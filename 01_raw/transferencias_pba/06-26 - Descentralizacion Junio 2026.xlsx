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6\06-Junio\"/>
    </mc:Choice>
  </mc:AlternateContent>
  <xr:revisionPtr revIDLastSave="0" documentId="13_ncr:1_{9AB56E5F-E7CB-4B0C-BDB8-A9AEB7AFBC35}" xr6:coauthVersionLast="36" xr6:coauthVersionMax="36" xr10:uidLastSave="{00000000-0000-0000-0000-000000000000}"/>
  <bookViews>
    <workbookView xWindow="0" yWindow="0" windowWidth="15360" windowHeight="7635" activeTab="5" xr2:uid="{00000000-000D-0000-FFFF-FFFF00000000}"/>
  </bookViews>
  <sheets>
    <sheet name="Enero" sheetId="1" r:id="rId1"/>
    <sheet name="Febrero" sheetId="21" r:id="rId2"/>
    <sheet name="Marzo" sheetId="22" r:id="rId3"/>
    <sheet name="Abril" sheetId="23" r:id="rId4"/>
    <sheet name="Mayo" sheetId="24" r:id="rId5"/>
    <sheet name="Junio" sheetId="35" r:id="rId6"/>
    <sheet name="Julio" sheetId="36" state="hidden" r:id="rId7"/>
    <sheet name="Agosto" sheetId="37" state="hidden" r:id="rId8"/>
    <sheet name="Septiembre" sheetId="38" state="hidden" r:id="rId9"/>
    <sheet name="Octubre" sheetId="39" state="hidden" r:id="rId10"/>
    <sheet name="Noviembre" sheetId="40" state="hidden" r:id="rId11"/>
    <sheet name="Diciembre" sheetId="41" state="hidden" r:id="rId12"/>
    <sheet name="Acumulado" sheetId="18" r:id="rId13"/>
  </sheets>
  <externalReferences>
    <externalReference r:id="rId14"/>
    <externalReference r:id="rId15"/>
    <externalReference r:id="rId16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0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Abril!$B$9:$G$145</definedName>
    <definedName name="_xlnm._FilterDatabase" localSheetId="12" hidden="1">Acumulado!$B$9:$G$145</definedName>
    <definedName name="_xlnm._FilterDatabase" localSheetId="7" hidden="1">Agosto!$B$9:$G$145</definedName>
    <definedName name="_xlnm._FilterDatabase" localSheetId="11" hidden="1">Diciembre!$B$9:$G$145</definedName>
    <definedName name="_xlnm._FilterDatabase" localSheetId="0" hidden="1">Enero!$B$9:$G$145</definedName>
    <definedName name="_xlnm._FilterDatabase" localSheetId="1" hidden="1">Febrero!$B$9:$G$145</definedName>
    <definedName name="_xlnm._FilterDatabase" localSheetId="6" hidden="1">Julio!$B$9:$G$145</definedName>
    <definedName name="_xlnm._FilterDatabase" localSheetId="5" hidden="1">Junio!$B$9:$G$145</definedName>
    <definedName name="_xlnm._FilterDatabase" localSheetId="2" hidden="1">Marzo!$B$9:$G$145</definedName>
    <definedName name="_xlnm._FilterDatabase" localSheetId="4" hidden="1">Mayo!$B$9:$G$145</definedName>
    <definedName name="_xlnm._FilterDatabase" localSheetId="10" hidden="1">Noviembre!$B$9:$G$145</definedName>
    <definedName name="_xlnm._FilterDatabase" localSheetId="9" hidden="1">Octubre!$B$9:$G$145</definedName>
    <definedName name="_xlnm._FilterDatabase" localSheetId="8" hidden="1">Septiembre!$B$9:$G$145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0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0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Abril!$D$1:$I$145</definedName>
    <definedName name="_xlnm.Print_Area" localSheetId="12">Acumulado!$D$1:$I$145</definedName>
    <definedName name="_xlnm.Print_Area" localSheetId="7">Agosto!$D$1:$I$145</definedName>
    <definedName name="_xlnm.Print_Area" localSheetId="11">Diciembre!$D$1:$I$145</definedName>
    <definedName name="_xlnm.Print_Area" localSheetId="0">Enero!$D$1:$I$145</definedName>
    <definedName name="_xlnm.Print_Area" localSheetId="1">Febrero!$D$1:$I$145</definedName>
    <definedName name="_xlnm.Print_Area" localSheetId="6">Julio!$D$1:$I$145</definedName>
    <definedName name="_xlnm.Print_Area" localSheetId="5">Junio!$D$1:$I$145</definedName>
    <definedName name="_xlnm.Print_Area" localSheetId="2">Marzo!$D$1:$I$145</definedName>
    <definedName name="_xlnm.Print_Area" localSheetId="4">Mayo!$D$1:$I$145</definedName>
    <definedName name="_xlnm.Print_Area" localSheetId="10">Noviembre!$D$1:$I$145</definedName>
    <definedName name="_xlnm.Print_Area" localSheetId="9">Octubre!$D$1:$I$145</definedName>
    <definedName name="_xlnm.Print_Area" localSheetId="8">Septiembre!$D$1:$I$145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0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0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h" localSheetId="3">#REF!</definedName>
    <definedName name="h" localSheetId="7">#REF!</definedName>
    <definedName name="h" localSheetId="11">#REF!</definedName>
    <definedName name="h" localSheetId="1">#REF!</definedName>
    <definedName name="h" localSheetId="6">#REF!</definedName>
    <definedName name="h" localSheetId="5">#REF!</definedName>
    <definedName name="h" localSheetId="2">#REF!</definedName>
    <definedName name="h" localSheetId="4">#REF!</definedName>
    <definedName name="h" localSheetId="10">#REF!</definedName>
    <definedName name="h" localSheetId="9">#REF!</definedName>
    <definedName name="h" localSheetId="8">#REF!</definedName>
    <definedName name="h">#REF!</definedName>
    <definedName name="Junio" localSheetId="3" hidden="1">#REF!</definedName>
    <definedName name="Junio" localSheetId="7" hidden="1">#REF!</definedName>
    <definedName name="Junio" localSheetId="11" hidden="1">#REF!</definedName>
    <definedName name="Junio" localSheetId="1" hidden="1">#REF!</definedName>
    <definedName name="Junio" localSheetId="6" hidden="1">#REF!</definedName>
    <definedName name="Junio" localSheetId="5" hidden="1">#REF!</definedName>
    <definedName name="Junio" localSheetId="2" hidden="1">#REF!</definedName>
    <definedName name="Junio" localSheetId="4" hidden="1">#REF!</definedName>
    <definedName name="Junio" localSheetId="10" hidden="1">#REF!</definedName>
    <definedName name="Junio" localSheetId="9" hidden="1">#REF!</definedName>
    <definedName name="Junio" localSheetId="8" hidden="1">#REF!</definedName>
    <definedName name="Junio" hidden="1">#REF!</definedName>
    <definedName name="_xlnm.Print_Titles" localSheetId="3">Abril!$D:$D,Abril!$1:$9</definedName>
    <definedName name="_xlnm.Print_Titles" localSheetId="12">Acumulado!$D:$D,Acumulado!$1:$9</definedName>
    <definedName name="_xlnm.Print_Titles" localSheetId="7">Agosto!$D:$D,Agosto!$1:$9</definedName>
    <definedName name="_xlnm.Print_Titles" localSheetId="11">Diciembre!$D:$D,Diciembre!$1:$9</definedName>
    <definedName name="_xlnm.Print_Titles" localSheetId="0">Enero!$D:$D,Enero!$1:$9</definedName>
    <definedName name="_xlnm.Print_Titles" localSheetId="1">Febrero!$D:$D,Febrero!$1:$9</definedName>
    <definedName name="_xlnm.Print_Titles" localSheetId="6">Julio!$D:$D,Julio!$1:$9</definedName>
    <definedName name="_xlnm.Print_Titles" localSheetId="5">Junio!$D:$D,Junio!$1:$9</definedName>
    <definedName name="_xlnm.Print_Titles" localSheetId="2">Marzo!$D:$D,Marzo!$1:$9</definedName>
    <definedName name="_xlnm.Print_Titles" localSheetId="4">Mayo!$D:$D,Mayo!$1:$9</definedName>
    <definedName name="_xlnm.Print_Titles" localSheetId="10">Noviembre!$D:$D,Noviembre!$1:$9</definedName>
    <definedName name="_xlnm.Print_Titles" localSheetId="9">Octubre!$D:$D,Octubre!$1:$9</definedName>
    <definedName name="_xlnm.Print_Titles" localSheetId="8">Septiembre!$D:$D,Septiembre!$1:$9</definedName>
    <definedName name="Z_1154F945_E781_4016_ADEC_250E9B61A614_.wvu.FilterData" localSheetId="3" hidden="1">Abril!$B$9:$G$145</definedName>
    <definedName name="Z_1154F945_E781_4016_ADEC_250E9B61A614_.wvu.FilterData" localSheetId="12" hidden="1">Acumulado!$B$9:$G$145</definedName>
    <definedName name="Z_1154F945_E781_4016_ADEC_250E9B61A614_.wvu.FilterData" localSheetId="7" hidden="1">Agosto!$B$9:$G$145</definedName>
    <definedName name="Z_1154F945_E781_4016_ADEC_250E9B61A614_.wvu.FilterData" localSheetId="11" hidden="1">Diciembre!$B$9:$G$145</definedName>
    <definedName name="Z_1154F945_E781_4016_ADEC_250E9B61A614_.wvu.FilterData" localSheetId="0" hidden="1">Enero!$B$9:$G$145</definedName>
    <definedName name="Z_1154F945_E781_4016_ADEC_250E9B61A614_.wvu.FilterData" localSheetId="1" hidden="1">Febrero!$B$9:$G$145</definedName>
    <definedName name="Z_1154F945_E781_4016_ADEC_250E9B61A614_.wvu.FilterData" localSheetId="6" hidden="1">Julio!$B$9:$G$145</definedName>
    <definedName name="Z_1154F945_E781_4016_ADEC_250E9B61A614_.wvu.FilterData" localSheetId="5" hidden="1">Junio!$B$9:$G$145</definedName>
    <definedName name="Z_1154F945_E781_4016_ADEC_250E9B61A614_.wvu.FilterData" localSheetId="2" hidden="1">Marzo!$B$9:$G$145</definedName>
    <definedName name="Z_1154F945_E781_4016_ADEC_250E9B61A614_.wvu.FilterData" localSheetId="4" hidden="1">Mayo!$B$9:$G$145</definedName>
    <definedName name="Z_1154F945_E781_4016_ADEC_250E9B61A614_.wvu.FilterData" localSheetId="10" hidden="1">Noviembre!$B$9:$G$145</definedName>
    <definedName name="Z_1154F945_E781_4016_ADEC_250E9B61A614_.wvu.FilterData" localSheetId="9" hidden="1">Octubre!$B$9:$G$145</definedName>
    <definedName name="Z_1154F945_E781_4016_ADEC_250E9B61A614_.wvu.FilterData" localSheetId="8" hidden="1">Septiembre!$B$9:$G$145</definedName>
    <definedName name="Z_1154F945_E781_4016_ADEC_250E9B61A614_.wvu.PrintArea" localSheetId="3" hidden="1">Abril!$D$1:$I$145</definedName>
    <definedName name="Z_1154F945_E781_4016_ADEC_250E9B61A614_.wvu.PrintArea" localSheetId="12" hidden="1">Acumulado!$D$1:$I$145</definedName>
    <definedName name="Z_1154F945_E781_4016_ADEC_250E9B61A614_.wvu.PrintArea" localSheetId="7" hidden="1">Agosto!$D$1:$I$145</definedName>
    <definedName name="Z_1154F945_E781_4016_ADEC_250E9B61A614_.wvu.PrintArea" localSheetId="11" hidden="1">Diciembre!$D$1:$I$145</definedName>
    <definedName name="Z_1154F945_E781_4016_ADEC_250E9B61A614_.wvu.PrintArea" localSheetId="0" hidden="1">Enero!$D$1:$I$145</definedName>
    <definedName name="Z_1154F945_E781_4016_ADEC_250E9B61A614_.wvu.PrintArea" localSheetId="1" hidden="1">Febrero!$D$1:$I$145</definedName>
    <definedName name="Z_1154F945_E781_4016_ADEC_250E9B61A614_.wvu.PrintArea" localSheetId="6" hidden="1">Julio!$D$1:$I$145</definedName>
    <definedName name="Z_1154F945_E781_4016_ADEC_250E9B61A614_.wvu.PrintArea" localSheetId="5" hidden="1">Junio!$D$1:$I$145</definedName>
    <definedName name="Z_1154F945_E781_4016_ADEC_250E9B61A614_.wvu.PrintArea" localSheetId="2" hidden="1">Marzo!$D$1:$I$145</definedName>
    <definedName name="Z_1154F945_E781_4016_ADEC_250E9B61A614_.wvu.PrintArea" localSheetId="4" hidden="1">Mayo!$D$1:$I$145</definedName>
    <definedName name="Z_1154F945_E781_4016_ADEC_250E9B61A614_.wvu.PrintArea" localSheetId="10" hidden="1">Noviembre!$D$1:$I$145</definedName>
    <definedName name="Z_1154F945_E781_4016_ADEC_250E9B61A614_.wvu.PrintArea" localSheetId="9" hidden="1">Octubre!$D$1:$I$145</definedName>
    <definedName name="Z_1154F945_E781_4016_ADEC_250E9B61A614_.wvu.PrintArea" localSheetId="8" hidden="1">Septiembre!$D$1:$I$145</definedName>
    <definedName name="Z_1154F945_E781_4016_ADEC_250E9B61A614_.wvu.PrintTitles" localSheetId="3" hidden="1">Abril!$D:$D,Abril!$1:$9</definedName>
    <definedName name="Z_1154F945_E781_4016_ADEC_250E9B61A614_.wvu.PrintTitles" localSheetId="12" hidden="1">Acumulado!$D:$D,Acumulado!$1:$9</definedName>
    <definedName name="Z_1154F945_E781_4016_ADEC_250E9B61A614_.wvu.PrintTitles" localSheetId="7" hidden="1">Agosto!$D:$D,Agosto!$1:$9</definedName>
    <definedName name="Z_1154F945_E781_4016_ADEC_250E9B61A614_.wvu.PrintTitles" localSheetId="11" hidden="1">Diciembre!$D:$D,Diciembre!$1:$9</definedName>
    <definedName name="Z_1154F945_E781_4016_ADEC_250E9B61A614_.wvu.PrintTitles" localSheetId="0" hidden="1">Enero!$D:$D,Enero!$1:$9</definedName>
    <definedName name="Z_1154F945_E781_4016_ADEC_250E9B61A614_.wvu.PrintTitles" localSheetId="1" hidden="1">Febrero!$D:$D,Febrero!$1:$9</definedName>
    <definedName name="Z_1154F945_E781_4016_ADEC_250E9B61A614_.wvu.PrintTitles" localSheetId="6" hidden="1">Julio!$D:$D,Julio!$1:$9</definedName>
    <definedName name="Z_1154F945_E781_4016_ADEC_250E9B61A614_.wvu.PrintTitles" localSheetId="5" hidden="1">Junio!$D:$D,Junio!$1:$9</definedName>
    <definedName name="Z_1154F945_E781_4016_ADEC_250E9B61A614_.wvu.PrintTitles" localSheetId="2" hidden="1">Marzo!$D:$D,Marzo!$1:$9</definedName>
    <definedName name="Z_1154F945_E781_4016_ADEC_250E9B61A614_.wvu.PrintTitles" localSheetId="4" hidden="1">Mayo!$D:$D,Mayo!$1:$9</definedName>
    <definedName name="Z_1154F945_E781_4016_ADEC_250E9B61A614_.wvu.PrintTitles" localSheetId="10" hidden="1">Noviembre!$D:$D,Noviembre!$1:$9</definedName>
    <definedName name="Z_1154F945_E781_4016_ADEC_250E9B61A614_.wvu.PrintTitles" localSheetId="9" hidden="1">Octubre!$D:$D,Octubre!$1:$9</definedName>
    <definedName name="Z_1154F945_E781_4016_ADEC_250E9B61A614_.wvu.PrintTitles" localSheetId="8" hidden="1">Septiembre!$D:$D,Septiembre!$1:$9</definedName>
    <definedName name="Z_F1F511AB_5865_40AB_8DB4_DDEDE7CBB603_.wvu.FilterData" localSheetId="3" hidden="1">Abril!$B$9:$G$145</definedName>
    <definedName name="Z_F1F511AB_5865_40AB_8DB4_DDEDE7CBB603_.wvu.FilterData" localSheetId="12" hidden="1">Acumulado!$B$9:$G$145</definedName>
    <definedName name="Z_F1F511AB_5865_40AB_8DB4_DDEDE7CBB603_.wvu.FilterData" localSheetId="7" hidden="1">Agosto!$B$9:$G$145</definedName>
    <definedName name="Z_F1F511AB_5865_40AB_8DB4_DDEDE7CBB603_.wvu.FilterData" localSheetId="11" hidden="1">Diciembre!$B$9:$G$145</definedName>
    <definedName name="Z_F1F511AB_5865_40AB_8DB4_DDEDE7CBB603_.wvu.FilterData" localSheetId="0" hidden="1">Enero!$B$9:$G$145</definedName>
    <definedName name="Z_F1F511AB_5865_40AB_8DB4_DDEDE7CBB603_.wvu.FilterData" localSheetId="1" hidden="1">Febrero!$B$9:$G$145</definedName>
    <definedName name="Z_F1F511AB_5865_40AB_8DB4_DDEDE7CBB603_.wvu.FilterData" localSheetId="6" hidden="1">Julio!$B$9:$G$145</definedName>
    <definedName name="Z_F1F511AB_5865_40AB_8DB4_DDEDE7CBB603_.wvu.FilterData" localSheetId="5" hidden="1">Junio!$B$9:$G$145</definedName>
    <definedName name="Z_F1F511AB_5865_40AB_8DB4_DDEDE7CBB603_.wvu.FilterData" localSheetId="2" hidden="1">Marzo!$B$9:$G$145</definedName>
    <definedName name="Z_F1F511AB_5865_40AB_8DB4_DDEDE7CBB603_.wvu.FilterData" localSheetId="4" hidden="1">Mayo!$B$9:$G$145</definedName>
    <definedName name="Z_F1F511AB_5865_40AB_8DB4_DDEDE7CBB603_.wvu.FilterData" localSheetId="10" hidden="1">Noviembre!$B$9:$G$145</definedName>
    <definedName name="Z_F1F511AB_5865_40AB_8DB4_DDEDE7CBB603_.wvu.FilterData" localSheetId="9" hidden="1">Octubre!$B$9:$G$145</definedName>
    <definedName name="Z_F1F511AB_5865_40AB_8DB4_DDEDE7CBB603_.wvu.FilterData" localSheetId="8" hidden="1">Septiembre!$B$9:$G$145</definedName>
    <definedName name="Z_F1F511AB_5865_40AB_8DB4_DDEDE7CBB603_.wvu.PrintArea" localSheetId="3" hidden="1">Abril!$D$1:$I$145</definedName>
    <definedName name="Z_F1F511AB_5865_40AB_8DB4_DDEDE7CBB603_.wvu.PrintArea" localSheetId="12" hidden="1">Acumulado!$D$1:$I$145</definedName>
    <definedName name="Z_F1F511AB_5865_40AB_8DB4_DDEDE7CBB603_.wvu.PrintArea" localSheetId="7" hidden="1">Agosto!$D$1:$I$145</definedName>
    <definedName name="Z_F1F511AB_5865_40AB_8DB4_DDEDE7CBB603_.wvu.PrintArea" localSheetId="11" hidden="1">Diciembre!$D$1:$I$145</definedName>
    <definedName name="Z_F1F511AB_5865_40AB_8DB4_DDEDE7CBB603_.wvu.PrintArea" localSheetId="0" hidden="1">Enero!$D$1:$I$145</definedName>
    <definedName name="Z_F1F511AB_5865_40AB_8DB4_DDEDE7CBB603_.wvu.PrintArea" localSheetId="1" hidden="1">Febrero!$D$1:$I$145</definedName>
    <definedName name="Z_F1F511AB_5865_40AB_8DB4_DDEDE7CBB603_.wvu.PrintArea" localSheetId="6" hidden="1">Julio!$D$1:$I$145</definedName>
    <definedName name="Z_F1F511AB_5865_40AB_8DB4_DDEDE7CBB603_.wvu.PrintArea" localSheetId="5" hidden="1">Junio!$D$1:$I$145</definedName>
    <definedName name="Z_F1F511AB_5865_40AB_8DB4_DDEDE7CBB603_.wvu.PrintArea" localSheetId="2" hidden="1">Marzo!$D$1:$I$145</definedName>
    <definedName name="Z_F1F511AB_5865_40AB_8DB4_DDEDE7CBB603_.wvu.PrintArea" localSheetId="4" hidden="1">Mayo!$D$1:$I$145</definedName>
    <definedName name="Z_F1F511AB_5865_40AB_8DB4_DDEDE7CBB603_.wvu.PrintArea" localSheetId="10" hidden="1">Noviembre!$D$1:$I$145</definedName>
    <definedName name="Z_F1F511AB_5865_40AB_8DB4_DDEDE7CBB603_.wvu.PrintArea" localSheetId="9" hidden="1">Octubre!$D$1:$I$145</definedName>
    <definedName name="Z_F1F511AB_5865_40AB_8DB4_DDEDE7CBB603_.wvu.PrintArea" localSheetId="8" hidden="1">Septiembre!$D$1:$I$145</definedName>
    <definedName name="Z_F1F511AB_5865_40AB_8DB4_DDEDE7CBB603_.wvu.PrintTitles" localSheetId="3" hidden="1">Abril!$D:$D,Abril!$1:$9</definedName>
    <definedName name="Z_F1F511AB_5865_40AB_8DB4_DDEDE7CBB603_.wvu.PrintTitles" localSheetId="12" hidden="1">Acumulado!$D:$D,Acumulado!$1:$9</definedName>
    <definedName name="Z_F1F511AB_5865_40AB_8DB4_DDEDE7CBB603_.wvu.PrintTitles" localSheetId="7" hidden="1">Agosto!$D:$D,Agosto!$1:$9</definedName>
    <definedName name="Z_F1F511AB_5865_40AB_8DB4_DDEDE7CBB603_.wvu.PrintTitles" localSheetId="11" hidden="1">Diciembre!$D:$D,Diciembre!$1:$9</definedName>
    <definedName name="Z_F1F511AB_5865_40AB_8DB4_DDEDE7CBB603_.wvu.PrintTitles" localSheetId="0" hidden="1">Enero!$D:$D,Enero!$1:$9</definedName>
    <definedName name="Z_F1F511AB_5865_40AB_8DB4_DDEDE7CBB603_.wvu.PrintTitles" localSheetId="1" hidden="1">Febrero!$D:$D,Febrero!$1:$9</definedName>
    <definedName name="Z_F1F511AB_5865_40AB_8DB4_DDEDE7CBB603_.wvu.PrintTitles" localSheetId="6" hidden="1">Julio!$D:$D,Julio!$1:$9</definedName>
    <definedName name="Z_F1F511AB_5865_40AB_8DB4_DDEDE7CBB603_.wvu.PrintTitles" localSheetId="5" hidden="1">Junio!$D:$D,Junio!$1:$9</definedName>
    <definedName name="Z_F1F511AB_5865_40AB_8DB4_DDEDE7CBB603_.wvu.PrintTitles" localSheetId="2" hidden="1">Marzo!$D:$D,Marzo!$1:$9</definedName>
    <definedName name="Z_F1F511AB_5865_40AB_8DB4_DDEDE7CBB603_.wvu.PrintTitles" localSheetId="4" hidden="1">Mayo!$D:$D,Mayo!$1:$9</definedName>
    <definedName name="Z_F1F511AB_5865_40AB_8DB4_DDEDE7CBB603_.wvu.PrintTitles" localSheetId="10" hidden="1">Noviembre!$D:$D,Noviembre!$1:$9</definedName>
    <definedName name="Z_F1F511AB_5865_40AB_8DB4_DDEDE7CBB603_.wvu.PrintTitles" localSheetId="9" hidden="1">Octubre!$D:$D,Octubre!$1:$9</definedName>
    <definedName name="Z_F1F511AB_5865_40AB_8DB4_DDEDE7CBB603_.wvu.PrintTitles" localSheetId="8" hidden="1">Septiembre!$D:$D,Septiembre!$1:$9</definedName>
  </definedNames>
  <calcPr calcId="191029"/>
  <customWorkbookViews>
    <customWorkbookView name="paola - Vista personalizada" guid="{F1F511AB-5865-40AB-8DB4-DDEDE7CBB603}" mergeInterval="0" personalView="1" maximized="1" windowWidth="1436" windowHeight="635" activeSheetId="18"/>
    <customWorkbookView name="Eliana Beatriz Koladynski - Vista personalizada" guid="{1154F945-E781-4016-ADEC-250E9B61A614}" mergeInterval="0" personalView="1" maximized="1" windowWidth="1362" windowHeight="462" activeSheetId="18"/>
  </customWorkbookViews>
</workbook>
</file>

<file path=xl/calcChain.xml><?xml version="1.0" encoding="utf-8"?>
<calcChain xmlns="http://schemas.openxmlformats.org/spreadsheetml/2006/main">
  <c r="I144" i="21" l="1"/>
  <c r="I143" i="21"/>
  <c r="I142" i="21"/>
  <c r="I141" i="21"/>
  <c r="I140" i="21"/>
  <c r="I139" i="21"/>
  <c r="I138" i="21"/>
  <c r="I137" i="21"/>
  <c r="I136" i="21"/>
  <c r="I135" i="21"/>
  <c r="I134" i="21"/>
  <c r="I133" i="21"/>
  <c r="I132" i="21"/>
  <c r="I131" i="21"/>
  <c r="I130" i="21"/>
  <c r="I129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5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H145" i="21"/>
  <c r="G145" i="21"/>
  <c r="I14" i="21"/>
  <c r="E145" i="21"/>
  <c r="F145" i="21" l="1"/>
  <c r="I10" i="41" l="1"/>
  <c r="I144" i="41" l="1"/>
  <c r="I143" i="41"/>
  <c r="I142" i="41"/>
  <c r="I141" i="41"/>
  <c r="I140" i="41"/>
  <c r="I139" i="41"/>
  <c r="I138" i="41"/>
  <c r="I137" i="41"/>
  <c r="I136" i="41"/>
  <c r="I135" i="41"/>
  <c r="I134" i="41"/>
  <c r="I133" i="41"/>
  <c r="I132" i="41"/>
  <c r="I131" i="41"/>
  <c r="I130" i="41"/>
  <c r="I129" i="41"/>
  <c r="I128" i="41"/>
  <c r="I127" i="41"/>
  <c r="I126" i="41"/>
  <c r="I125" i="41"/>
  <c r="I124" i="41"/>
  <c r="I123" i="41"/>
  <c r="I122" i="41"/>
  <c r="I121" i="41"/>
  <c r="I120" i="41"/>
  <c r="I119" i="41"/>
  <c r="I118" i="41"/>
  <c r="I117" i="41"/>
  <c r="I116" i="41"/>
  <c r="I115" i="41"/>
  <c r="I114" i="41"/>
  <c r="I113" i="41"/>
  <c r="I112" i="41"/>
  <c r="I111" i="41"/>
  <c r="I110" i="41"/>
  <c r="I109" i="41"/>
  <c r="I108" i="41"/>
  <c r="I107" i="41"/>
  <c r="I106" i="41"/>
  <c r="I105" i="41"/>
  <c r="I104" i="41"/>
  <c r="I103" i="41"/>
  <c r="I102" i="41"/>
  <c r="I101" i="41"/>
  <c r="I100" i="41"/>
  <c r="I99" i="41"/>
  <c r="I98" i="41"/>
  <c r="I97" i="41"/>
  <c r="I96" i="41"/>
  <c r="I95" i="41"/>
  <c r="I94" i="41"/>
  <c r="I93" i="41"/>
  <c r="I92" i="41"/>
  <c r="I91" i="41"/>
  <c r="I90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4" i="41"/>
  <c r="I73" i="41"/>
  <c r="I72" i="41"/>
  <c r="I71" i="41"/>
  <c r="I70" i="41"/>
  <c r="I69" i="41"/>
  <c r="I68" i="41"/>
  <c r="I67" i="41"/>
  <c r="I66" i="41"/>
  <c r="I65" i="41"/>
  <c r="I64" i="41"/>
  <c r="I63" i="41"/>
  <c r="I62" i="41"/>
  <c r="I61" i="41"/>
  <c r="I60" i="41"/>
  <c r="I59" i="41"/>
  <c r="I58" i="41"/>
  <c r="I57" i="41"/>
  <c r="I56" i="41"/>
  <c r="I55" i="41"/>
  <c r="I54" i="41"/>
  <c r="I53" i="41"/>
  <c r="I52" i="41"/>
  <c r="I51" i="41"/>
  <c r="I50" i="41"/>
  <c r="I49" i="41"/>
  <c r="I48" i="41"/>
  <c r="I47" i="41"/>
  <c r="I46" i="41"/>
  <c r="I45" i="41"/>
  <c r="I44" i="41"/>
  <c r="I43" i="41"/>
  <c r="I42" i="41"/>
  <c r="I41" i="41"/>
  <c r="I40" i="4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H145" i="41"/>
  <c r="G145" i="41"/>
  <c r="I19" i="41"/>
  <c r="F145" i="41" l="1"/>
  <c r="H10" i="18" l="1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0" i="18"/>
  <c r="E145" i="41" l="1"/>
  <c r="I18" i="41"/>
  <c r="I17" i="41"/>
  <c r="I16" i="41"/>
  <c r="I15" i="41"/>
  <c r="I14" i="41"/>
  <c r="I13" i="41"/>
  <c r="I12" i="41"/>
  <c r="I11" i="41"/>
  <c r="I145" i="41" l="1"/>
  <c r="H145" i="18"/>
  <c r="H145" i="40" l="1"/>
  <c r="G145" i="40"/>
  <c r="F145" i="40"/>
  <c r="E145" i="40"/>
  <c r="I144" i="40"/>
  <c r="I143" i="40"/>
  <c r="I142" i="40"/>
  <c r="I141" i="40"/>
  <c r="I140" i="40"/>
  <c r="I139" i="40"/>
  <c r="I138" i="40"/>
  <c r="I137" i="40"/>
  <c r="I136" i="40"/>
  <c r="I135" i="40"/>
  <c r="I134" i="40"/>
  <c r="I133" i="40"/>
  <c r="I132" i="40"/>
  <c r="I131" i="40"/>
  <c r="I130" i="40"/>
  <c r="I129" i="40"/>
  <c r="I128" i="40"/>
  <c r="I127" i="40"/>
  <c r="I126" i="40"/>
  <c r="I125" i="40"/>
  <c r="I124" i="40"/>
  <c r="I123" i="40"/>
  <c r="I122" i="40"/>
  <c r="I121" i="40"/>
  <c r="I120" i="40"/>
  <c r="I119" i="40"/>
  <c r="I118" i="40"/>
  <c r="I117" i="40"/>
  <c r="I116" i="40"/>
  <c r="I115" i="40"/>
  <c r="I114" i="40"/>
  <c r="I113" i="40"/>
  <c r="I112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2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I12" i="40"/>
  <c r="I11" i="40"/>
  <c r="I10" i="40"/>
  <c r="I145" i="40" l="1"/>
  <c r="H145" i="39"/>
  <c r="G145" i="39"/>
  <c r="F145" i="39"/>
  <c r="E145" i="39"/>
  <c r="I144" i="39"/>
  <c r="I143" i="39"/>
  <c r="I142" i="39"/>
  <c r="I141" i="39"/>
  <c r="I140" i="39"/>
  <c r="I139" i="39"/>
  <c r="I138" i="39"/>
  <c r="I137" i="39"/>
  <c r="I136" i="39"/>
  <c r="I135" i="39"/>
  <c r="I134" i="39"/>
  <c r="I133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I102" i="39"/>
  <c r="I101" i="39"/>
  <c r="I100" i="39"/>
  <c r="I99" i="39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145" i="39" l="1"/>
  <c r="H145" i="38" l="1"/>
  <c r="G145" i="38"/>
  <c r="F145" i="38"/>
  <c r="E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145" i="38" l="1"/>
  <c r="H145" i="37" l="1"/>
  <c r="G145" i="37"/>
  <c r="F145" i="37"/>
  <c r="E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145" i="37" l="1"/>
  <c r="H145" i="36" l="1"/>
  <c r="G145" i="36"/>
  <c r="E145" i="36"/>
  <c r="I144" i="36"/>
  <c r="I143" i="36"/>
  <c r="I142" i="36"/>
  <c r="I141" i="36"/>
  <c r="I140" i="36"/>
  <c r="I139" i="36"/>
  <c r="I138" i="36"/>
  <c r="I137" i="36"/>
  <c r="I136" i="36"/>
  <c r="I135" i="36"/>
  <c r="I134" i="36"/>
  <c r="I133" i="36"/>
  <c r="I132" i="36"/>
  <c r="I131" i="36"/>
  <c r="I130" i="36"/>
  <c r="I129" i="36"/>
  <c r="I128" i="36"/>
  <c r="I127" i="36"/>
  <c r="I126" i="36"/>
  <c r="I125" i="36"/>
  <c r="I124" i="36"/>
  <c r="I123" i="36"/>
  <c r="I122" i="36"/>
  <c r="I121" i="36"/>
  <c r="I120" i="36"/>
  <c r="I119" i="36"/>
  <c r="I118" i="36"/>
  <c r="I117" i="36"/>
  <c r="I116" i="36"/>
  <c r="I115" i="36"/>
  <c r="I114" i="36"/>
  <c r="I113" i="36"/>
  <c r="I112" i="36"/>
  <c r="I111" i="36"/>
  <c r="I110" i="36"/>
  <c r="I109" i="36"/>
  <c r="I108" i="36"/>
  <c r="I107" i="36"/>
  <c r="I106" i="36"/>
  <c r="I105" i="36"/>
  <c r="I104" i="36"/>
  <c r="I103" i="36"/>
  <c r="I102" i="36"/>
  <c r="I101" i="36"/>
  <c r="I100" i="36"/>
  <c r="I99" i="36"/>
  <c r="I98" i="36"/>
  <c r="I97" i="36"/>
  <c r="I96" i="36"/>
  <c r="I95" i="36"/>
  <c r="I94" i="36"/>
  <c r="I93" i="36"/>
  <c r="I92" i="36"/>
  <c r="I91" i="36"/>
  <c r="I90" i="36"/>
  <c r="I89" i="36"/>
  <c r="I88" i="36"/>
  <c r="I87" i="36"/>
  <c r="I86" i="36"/>
  <c r="I85" i="36"/>
  <c r="I84" i="36"/>
  <c r="I83" i="36"/>
  <c r="I82" i="36"/>
  <c r="I81" i="36"/>
  <c r="I80" i="36"/>
  <c r="I79" i="36"/>
  <c r="I78" i="36"/>
  <c r="I77" i="36"/>
  <c r="I76" i="36"/>
  <c r="I75" i="36"/>
  <c r="I74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H145" i="35"/>
  <c r="G145" i="35"/>
  <c r="F145" i="35"/>
  <c r="E145" i="35"/>
  <c r="I144" i="35"/>
  <c r="I143" i="35"/>
  <c r="I142" i="35"/>
  <c r="I141" i="35"/>
  <c r="I140" i="35"/>
  <c r="I139" i="35"/>
  <c r="I138" i="35"/>
  <c r="I137" i="35"/>
  <c r="I136" i="35"/>
  <c r="I135" i="35"/>
  <c r="I134" i="35"/>
  <c r="I133" i="35"/>
  <c r="I132" i="35"/>
  <c r="I131" i="35"/>
  <c r="I130" i="35"/>
  <c r="I129" i="35"/>
  <c r="I128" i="35"/>
  <c r="I127" i="35"/>
  <c r="I126" i="35"/>
  <c r="I125" i="35"/>
  <c r="I124" i="35"/>
  <c r="I123" i="35"/>
  <c r="I122" i="35"/>
  <c r="I121" i="35"/>
  <c r="I120" i="35"/>
  <c r="I119" i="35"/>
  <c r="I118" i="35"/>
  <c r="I117" i="35"/>
  <c r="I116" i="35"/>
  <c r="I115" i="35"/>
  <c r="I114" i="35"/>
  <c r="I113" i="35"/>
  <c r="I112" i="35"/>
  <c r="I111" i="35"/>
  <c r="I110" i="35"/>
  <c r="I109" i="35"/>
  <c r="I108" i="35"/>
  <c r="I107" i="35"/>
  <c r="I106" i="35"/>
  <c r="I105" i="35"/>
  <c r="I104" i="35"/>
  <c r="I103" i="35"/>
  <c r="I102" i="35"/>
  <c r="I101" i="35"/>
  <c r="I100" i="35"/>
  <c r="I99" i="35"/>
  <c r="I98" i="35"/>
  <c r="I97" i="35"/>
  <c r="I96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I79" i="35"/>
  <c r="I78" i="35"/>
  <c r="I77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I53" i="35"/>
  <c r="I52" i="35"/>
  <c r="I51" i="35"/>
  <c r="I50" i="35"/>
  <c r="I49" i="35"/>
  <c r="I48" i="35"/>
  <c r="I47" i="35"/>
  <c r="I46" i="35"/>
  <c r="I45" i="35"/>
  <c r="I44" i="35"/>
  <c r="I43" i="35"/>
  <c r="I42" i="35"/>
  <c r="I41" i="35"/>
  <c r="I40" i="35"/>
  <c r="I39" i="35"/>
  <c r="I38" i="35"/>
  <c r="I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145" i="35" l="1"/>
  <c r="G145" i="24"/>
  <c r="H145" i="24" l="1"/>
  <c r="F145" i="24"/>
  <c r="E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145" i="24" l="1"/>
  <c r="H145" i="23"/>
  <c r="G145" i="23"/>
  <c r="F145" i="23"/>
  <c r="E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145" i="23" l="1"/>
  <c r="H145" i="22"/>
  <c r="G145" i="22"/>
  <c r="F145" i="22"/>
  <c r="E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145" i="22" l="1"/>
  <c r="H145" i="1" l="1"/>
  <c r="G145" i="1"/>
  <c r="F145" i="1"/>
  <c r="E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145" i="18"/>
  <c r="I145" i="1" l="1"/>
  <c r="I11" i="18" l="1"/>
  <c r="I11" i="21"/>
  <c r="I12" i="18"/>
  <c r="I12" i="21"/>
  <c r="I14" i="18"/>
  <c r="I16" i="18"/>
  <c r="I19" i="18"/>
  <c r="I21" i="18"/>
  <c r="I22" i="18"/>
  <c r="I25" i="18"/>
  <c r="I27" i="18"/>
  <c r="I29" i="18"/>
  <c r="I30" i="18"/>
  <c r="I32" i="18"/>
  <c r="I34" i="18"/>
  <c r="I36" i="18"/>
  <c r="I38" i="18"/>
  <c r="I40" i="18"/>
  <c r="I43" i="18"/>
  <c r="I45" i="18"/>
  <c r="I46" i="18"/>
  <c r="I47" i="18"/>
  <c r="I49" i="18"/>
  <c r="I51" i="18"/>
  <c r="I53" i="18"/>
  <c r="I55" i="18"/>
  <c r="I58" i="18"/>
  <c r="I60" i="18"/>
  <c r="I62" i="18"/>
  <c r="I64" i="18"/>
  <c r="I67" i="18"/>
  <c r="I68" i="18"/>
  <c r="I70" i="18"/>
  <c r="I73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0" i="21"/>
  <c r="I13" i="18"/>
  <c r="I13" i="21"/>
  <c r="I15" i="18"/>
  <c r="I17" i="18"/>
  <c r="I18" i="18"/>
  <c r="I20" i="18"/>
  <c r="I23" i="18"/>
  <c r="I24" i="18"/>
  <c r="I26" i="18"/>
  <c r="I28" i="18"/>
  <c r="I31" i="18"/>
  <c r="I33" i="18"/>
  <c r="I35" i="18"/>
  <c r="I37" i="18"/>
  <c r="I39" i="18"/>
  <c r="I41" i="18"/>
  <c r="I42" i="18"/>
  <c r="I44" i="18"/>
  <c r="I48" i="18"/>
  <c r="I50" i="18"/>
  <c r="I52" i="18"/>
  <c r="I54" i="18"/>
  <c r="I56" i="18"/>
  <c r="I57" i="18"/>
  <c r="I59" i="18"/>
  <c r="I61" i="18"/>
  <c r="I63" i="18"/>
  <c r="I65" i="18"/>
  <c r="I66" i="18"/>
  <c r="I69" i="18"/>
  <c r="I71" i="18"/>
  <c r="I72" i="18"/>
  <c r="I74" i="18"/>
  <c r="F145" i="18"/>
  <c r="I145" i="21" l="1"/>
  <c r="E145" i="18"/>
  <c r="I10" i="18"/>
  <c r="I145" i="18" l="1"/>
  <c r="F145" i="36"/>
  <c r="I10" i="36"/>
  <c r="I145" i="36" s="1"/>
</calcChain>
</file>

<file path=xl/sharedStrings.xml><?xml version="1.0" encoding="utf-8"?>
<sst xmlns="http://schemas.openxmlformats.org/spreadsheetml/2006/main" count="1898" uniqueCount="170">
  <si>
    <t>(En pesos)</t>
  </si>
  <si>
    <t>Municipio</t>
  </si>
  <si>
    <t>Inmobiliario
Rural
Libre
Disponibilidad</t>
  </si>
  <si>
    <t>Inmobiliario
Rural
Fondo
Compensador</t>
  </si>
  <si>
    <t>Ingresos
Brutos
Pequeños
Contribuyentes</t>
  </si>
  <si>
    <t>Otros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</si>
  <si>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</si>
  <si>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</si>
  <si>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</si>
  <si>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</si>
  <si>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</si>
  <si>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</si>
  <si>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</si>
  <si>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</si>
  <si>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</si>
  <si>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</si>
  <si>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</si>
  <si>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</si>
  <si>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</si>
  <si>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</si>
  <si>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</si>
  <si>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</si>
  <si>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</si>
  <si>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</si>
  <si>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</si>
  <si>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</si>
  <si>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</si>
  <si>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</si>
  <si>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</si>
  <si>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</si>
  <si>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</si>
  <si>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</si>
  <si>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</si>
  <si>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</si>
  <si>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</si>
  <si>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</si>
  <si>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</si>
  <si>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</si>
  <si>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</si>
  <si>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</si>
  <si>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</si>
  <si>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</si>
  <si>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</si>
  <si>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</si>
  <si>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</si>
  <si>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</si>
  <si>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</si>
  <si>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</si>
  <si>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</si>
  <si>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</si>
  <si>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</si>
  <si>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</si>
  <si>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</si>
  <si>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</si>
  <si>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</si>
  <si>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</si>
  <si>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</si>
  <si>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</si>
  <si>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</si>
  <si>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</si>
  <si>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</si>
  <si>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</si>
  <si>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</si>
  <si>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</si>
  <si>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</si>
  <si>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</si>
  <si>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</si>
  <si>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</si>
  <si>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</si>
  <si>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</si>
  <si>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</si>
  <si>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</si>
  <si>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</si>
  <si>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</si>
  <si>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</si>
  <si>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</si>
  <si>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</si>
  <si>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</si>
  <si>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</si>
  <si>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</si>
  <si>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</si>
  <si>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</si>
  <si>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</si>
  <si>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</si>
  <si>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</si>
  <si>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</si>
  <si>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</si>
  <si>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</si>
  <si>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</si>
  <si>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</si>
  <si>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</si>
  <si>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</si>
  <si>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</si>
  <si>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</si>
  <si>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</si>
  <si>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</si>
  <si>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</si>
  <si>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</si>
  <si>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</si>
  <si>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</si>
  <si>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</si>
  <si>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</si>
  <si>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</si>
  <si>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</si>
  <si>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</si>
  <si>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</si>
  <si>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</si>
  <si>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</si>
  <si>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</si>
  <si>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</si>
  <si>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</si>
  <si>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</si>
  <si>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</si>
  <si>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</si>
  <si>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</si>
  <si>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</si>
  <si>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</si>
  <si>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</si>
  <si>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</si>
  <si>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</si>
  <si>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</si>
  <si>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</si>
  <si>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</si>
  <si>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</si>
  <si>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</si>
  <si>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</si>
  <si>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</si>
  <si>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</si>
  <si>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</si>
  <si>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</si>
  <si>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</si>
  <si>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</si>
  <si>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</si>
  <si>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</si>
  <si>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</si>
  <si>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</si>
  <si>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</si>
  <si>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</si>
  <si>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</si>
  <si>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</si>
  <si>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</si>
  <si>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</si>
  <si>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 xml:space="preserve">Total      </t>
  </si>
  <si>
    <t>LEY 13.010 Y MODIFICATORIAS. DESCENTRALIZACIÓN ADMINISTRATIVA TRIBUTARIA</t>
  </si>
  <si>
    <t>MES DE ENERO 2026</t>
  </si>
  <si>
    <t>ENERO 2026</t>
  </si>
  <si>
    <t>MES DE DICIEMBRE 2026</t>
  </si>
  <si>
    <t>DICIEMBRE 2026</t>
  </si>
  <si>
    <t>MES DE NOVIEMBRE 2026</t>
  </si>
  <si>
    <t>NOVIEMBRE 2026</t>
  </si>
  <si>
    <t>MES DE OCTUBRE 2026</t>
  </si>
  <si>
    <t>OCTUBRE 2026</t>
  </si>
  <si>
    <t>MES DE SEPTIEMBRE 2026</t>
  </si>
  <si>
    <t>SEPTIEMBRE 2026</t>
  </si>
  <si>
    <t>MES DE AGOSTO 2026</t>
  </si>
  <si>
    <t>AGOSTO 2026</t>
  </si>
  <si>
    <t>MES DE JULIO 2026</t>
  </si>
  <si>
    <t>JULIO 2026</t>
  </si>
  <si>
    <t>MES DE JUNIO 2026</t>
  </si>
  <si>
    <t>JUNIO 2026</t>
  </si>
  <si>
    <t>MES DE MAYO 2026</t>
  </si>
  <si>
    <t>MAYO 2026</t>
  </si>
  <si>
    <t>MES DE ABRIL 2026</t>
  </si>
  <si>
    <t>ABRIL 2026</t>
  </si>
  <si>
    <t>MES DE MARZO 2026</t>
  </si>
  <si>
    <t>MARZO 2026</t>
  </si>
  <si>
    <t>MES DE FEBRERO 2026</t>
  </si>
  <si>
    <t>FEBRERO 2026</t>
  </si>
  <si>
    <t>ACUMULADO ENERO - JUNIO 2026</t>
  </si>
  <si>
    <t>Acumulado ENERO -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</si>
</sst>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_ ;_ * \-#,##0_ ;_ * &quot;-&quot;_ ;_ @_ "/>
    <numFmt numFmtId="165" formatCode="_(* #,##0.00_);_(* \(#,##0.00\);_(* &quot;-&quot;??_);_(@_)"/>
    <numFmt numFmtId="166" formatCode="#,"/>
    <numFmt numFmtId="167" formatCode="#,#00"/>
    <numFmt numFmtId="168" formatCode="#.##000"/>
    <numFmt numFmtId="169" formatCode="&quot;$&quot;#,#00"/>
    <numFmt numFmtId="170" formatCode="\$#,##0\ ;\(\$#,##0\)"/>
    <numFmt numFmtId="171" formatCode="#,##0.0"/>
    <numFmt numFmtId="172" formatCode="_(* #,##0_);_(* \(#,##0\);_(* &quot;-&quot;??_);_(@_)"/>
    <numFmt numFmtId="173" formatCode="_ * #,##0.0000000_ ;_ * \-#,##0.0000000_ ;_ * &quot;-&quot;_ ;_ @_ "/>
  </numFmts>
  <fonts count="22" x14ac:knownFonts="1">
    <font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b/>
      <sz val="12"/>
      <color indexed="9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b/>
      <i/>
      <sz val="16"/>
      <color rgb="FF44AEAC"/>
      <name val="Arial"/>
      <family val="2"/>
    </font>
    <font>
      <sz val="11"/>
      <color rgb="FF44AEA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AEAC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2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>
      <protection locked="0"/>
    </xf>
    <xf numFmtId="166" fontId="15" fillId="0" borderId="0">
      <protection locked="0"/>
    </xf>
    <xf numFmtId="166" fontId="15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7" fillId="0" borderId="0" applyFont="0" applyFill="0" applyBorder="0" applyAlignment="0" applyProtection="0"/>
    <xf numFmtId="167" fontId="14" fillId="0" borderId="0">
      <protection locked="0"/>
    </xf>
    <xf numFmtId="168" fontId="14" fillId="0" borderId="0">
      <protection locked="0"/>
    </xf>
    <xf numFmtId="165" fontId="1" fillId="0" borderId="0" applyFont="0" applyFill="0" applyBorder="0" applyAlignment="0" applyProtection="0"/>
    <xf numFmtId="169" fontId="14" fillId="0" borderId="0">
      <protection locked="0"/>
    </xf>
    <xf numFmtId="170" fontId="17" fillId="0" borderId="0" applyFont="0" applyFill="0" applyBorder="0" applyAlignment="0" applyProtection="0"/>
    <xf numFmtId="171" fontId="7" fillId="0" borderId="0" applyFill="0" applyBorder="0" applyAlignment="0" applyProtection="0"/>
    <xf numFmtId="3" fontId="17" fillId="0" borderId="0" applyFont="0" applyFill="0" applyBorder="0" applyAlignment="0" applyProtection="0"/>
    <xf numFmtId="0" fontId="18" fillId="0" borderId="0"/>
  </cellStyleXfs>
  <cellXfs count="28">
    <xf numFmtId="0" fontId="0" fillId="0" borderId="0" xfId="0"/>
    <xf numFmtId="164" fontId="2" fillId="0" borderId="0" xfId="0" applyNumberFormat="1" applyFont="1" applyFill="1" applyBorder="1"/>
    <xf numFmtId="164" fontId="2" fillId="0" borderId="0" xfId="0" applyNumberFormat="1" applyFont="1"/>
    <xf numFmtId="164" fontId="2" fillId="0" borderId="0" xfId="0" applyNumberFormat="1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Fill="1" applyBorder="1" applyAlignment="1" applyProtection="1">
      <alignment horizontal="center" vertical="center" textRotation="90" wrapText="1"/>
    </xf>
    <xf numFmtId="164" fontId="7" fillId="0" borderId="0" xfId="0" applyNumberFormat="1" applyFont="1" applyFill="1" applyBorder="1" applyAlignment="1" applyProtection="1">
      <alignment horizontal="center"/>
    </xf>
    <xf numFmtId="164" fontId="7" fillId="0" borderId="0" xfId="0" applyNumberFormat="1" applyFont="1" applyFill="1" applyBorder="1" applyProtection="1"/>
    <xf numFmtId="164" fontId="10" fillId="0" borderId="0" xfId="0" applyNumberFormat="1" applyFont="1" applyFill="1" applyBorder="1" applyProtection="1"/>
    <xf numFmtId="173" fontId="2" fillId="0" borderId="0" xfId="0" applyNumberFormat="1" applyFont="1"/>
    <xf numFmtId="0" fontId="8" fillId="0" borderId="1" xfId="0" applyFont="1" applyFill="1" applyBorder="1" applyAlignment="1" applyProtection="1">
      <alignment horizontal="left" indent="1"/>
    </xf>
    <xf numFmtId="164" fontId="8" fillId="2" borderId="1" xfId="16" applyNumberFormat="1" applyFont="1" applyFill="1" applyBorder="1" applyAlignment="1" applyProtection="1">
      <alignment horizontal="right" indent="2"/>
    </xf>
    <xf numFmtId="172" fontId="9" fillId="2" borderId="1" xfId="16" applyNumberFormat="1" applyFont="1" applyFill="1" applyBorder="1" applyAlignment="1" applyProtection="1">
      <alignment horizontal="right"/>
    </xf>
    <xf numFmtId="0" fontId="19" fillId="2" borderId="0" xfId="21" applyFont="1" applyFill="1" applyAlignment="1">
      <alignment vertical="center"/>
    </xf>
    <xf numFmtId="164" fontId="9" fillId="0" borderId="1" xfId="16" applyNumberFormat="1" applyFont="1" applyFill="1" applyBorder="1" applyAlignment="1" applyProtection="1">
      <alignment horizontal="right" indent="2"/>
    </xf>
    <xf numFmtId="172" fontId="9" fillId="0" borderId="1" xfId="16" applyNumberFormat="1" applyFont="1" applyFill="1" applyBorder="1" applyAlignment="1" applyProtection="1">
      <alignment horizontal="right"/>
    </xf>
    <xf numFmtId="164" fontId="20" fillId="0" borderId="0" xfId="0" applyNumberFormat="1" applyFont="1" applyBorder="1"/>
    <xf numFmtId="164" fontId="21" fillId="0" borderId="0" xfId="0" applyNumberFormat="1" applyFont="1" applyBorder="1"/>
    <xf numFmtId="164" fontId="5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left" vertical="center" wrapText="1" indent="1"/>
    </xf>
    <xf numFmtId="172" fontId="11" fillId="3" borderId="1" xfId="16" applyNumberFormat="1" applyFont="1" applyFill="1" applyBorder="1" applyAlignment="1" applyProtection="1">
      <alignment horizontal="right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2" xfId="0" quotePrefix="1" applyNumberFormat="1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</cellXfs>
  <cellStyles count="22">
    <cellStyle name="Cabecera 1" xfId="1" xr:uid="{00000000-0005-0000-0000-000000000000}"/>
    <cellStyle name="Cabecera 2" xfId="2" xr:uid="{00000000-0005-0000-0000-000001000000}"/>
    <cellStyle name="Dia" xfId="3" xr:uid="{00000000-0005-0000-0000-000002000000}"/>
    <cellStyle name="Encabez1" xfId="4" xr:uid="{00000000-0005-0000-0000-000003000000}"/>
    <cellStyle name="Encabez2" xfId="5" xr:uid="{00000000-0005-0000-0000-000004000000}"/>
    <cellStyle name="F2" xfId="6" xr:uid="{00000000-0005-0000-0000-000005000000}"/>
    <cellStyle name="F3" xfId="7" xr:uid="{00000000-0005-0000-0000-000006000000}"/>
    <cellStyle name="F4" xfId="8" xr:uid="{00000000-0005-0000-0000-000007000000}"/>
    <cellStyle name="F5" xfId="9" xr:uid="{00000000-0005-0000-0000-000008000000}"/>
    <cellStyle name="F6" xfId="10" xr:uid="{00000000-0005-0000-0000-000009000000}"/>
    <cellStyle name="F7" xfId="11" xr:uid="{00000000-0005-0000-0000-00000A000000}"/>
    <cellStyle name="F8" xfId="12" xr:uid="{00000000-0005-0000-0000-00000B000000}"/>
    <cellStyle name="Fecha" xfId="13" xr:uid="{00000000-0005-0000-0000-00000C000000}"/>
    <cellStyle name="Fijo" xfId="14" xr:uid="{00000000-0005-0000-0000-00000D000000}"/>
    <cellStyle name="Financiero" xfId="15" xr:uid="{00000000-0005-0000-0000-00000E000000}"/>
    <cellStyle name="Millares" xfId="16" builtinId="3"/>
    <cellStyle name="Monetario" xfId="17" xr:uid="{00000000-0005-0000-0000-000010000000}"/>
    <cellStyle name="Monetario0" xfId="18" xr:uid="{00000000-0005-0000-0000-000011000000}"/>
    <cellStyle name="Normal" xfId="0" builtinId="0"/>
    <cellStyle name="Normal 5" xfId="21" xr:uid="{00000000-0005-0000-0000-000013000000}"/>
    <cellStyle name="Punto" xfId="19" xr:uid="{00000000-0005-0000-0000-000014000000}"/>
    <cellStyle name="Punto0" xfId="20" xr:uid="{00000000-0005-0000-0000-000015000000}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1035844</xdr:colOff>
      <xdr:row>0</xdr:row>
      <xdr:rowOff>178595</xdr:rowOff>
    </xdr:from>
    <xdr:to>
      <xdr:col>8</xdr:col>
      <xdr:colOff>999165</xdr:colOff>
      <xdr:row>1</xdr:row>
      <xdr:rowOff>487910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344" y="17859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11907</xdr:colOff>
      <xdr:row>0</xdr:row>
      <xdr:rowOff>154782</xdr:rowOff>
    </xdr:from>
    <xdr:to>
      <xdr:col>8</xdr:col>
      <xdr:colOff>1130134</xdr:colOff>
      <xdr:row>1</xdr:row>
      <xdr:rowOff>464097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3313" y="154782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1118228</xdr:colOff>
      <xdr:row>1</xdr:row>
      <xdr:rowOff>547440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1118228</xdr:colOff>
      <xdr:row>1</xdr:row>
      <xdr:rowOff>547440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1070603</xdr:colOff>
      <xdr:row>1</xdr:row>
      <xdr:rowOff>547440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1118228</xdr:colOff>
      <xdr:row>1</xdr:row>
      <xdr:rowOff>547440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  <sheetName val="DISTRIBUIDO FEBRERO CUOTA CTE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3.6640625" style="2" customWidth="1"/>
    <col min="6" max="8" width="20.1640625" style="2" customWidth="1"/>
    <col min="9" max="9" width="21.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144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7">
        <v>38973838.220000006</v>
      </c>
      <c r="F10" s="17">
        <v>69558968.365014255</v>
      </c>
      <c r="G10" s="17">
        <v>2023838.7999999998</v>
      </c>
      <c r="H10" s="17">
        <v>0</v>
      </c>
      <c r="I10" s="13">
        <f t="shared" ref="I10:I73" si="0">SUM(E10:H10)</f>
        <v>110556645.38501425</v>
      </c>
    </row>
    <row r="11" spans="1:9" ht="15.75" x14ac:dyDescent="0.25">
      <c r="A11" s="8"/>
      <c r="B11" s="8"/>
      <c r="C11" s="9"/>
      <c r="D11" s="12" t="s">
        <v>7</v>
      </c>
      <c r="E11" s="17">
        <v>58624174.330000006</v>
      </c>
      <c r="F11" s="17">
        <v>39041742.976817176</v>
      </c>
      <c r="G11" s="17">
        <v>1886750.76</v>
      </c>
      <c r="H11" s="17">
        <v>0</v>
      </c>
      <c r="I11" s="13">
        <f t="shared" si="0"/>
        <v>99552668.066817179</v>
      </c>
    </row>
    <row r="12" spans="1:9" ht="15.75" x14ac:dyDescent="0.25">
      <c r="A12" s="8"/>
      <c r="B12" s="8"/>
      <c r="C12" s="9"/>
      <c r="D12" s="12" t="s">
        <v>8</v>
      </c>
      <c r="E12" s="17">
        <v>48030613.699999988</v>
      </c>
      <c r="F12" s="17">
        <v>14153952.460953901</v>
      </c>
      <c r="G12" s="17">
        <v>1006357.29</v>
      </c>
      <c r="H12" s="17">
        <v>0</v>
      </c>
      <c r="I12" s="13">
        <f t="shared" si="0"/>
        <v>63190923.450953886</v>
      </c>
    </row>
    <row r="13" spans="1:9" ht="15.75" x14ac:dyDescent="0.25">
      <c r="A13" s="8"/>
      <c r="B13" s="8"/>
      <c r="C13" s="9"/>
      <c r="D13" s="12" t="s">
        <v>9</v>
      </c>
      <c r="E13" s="17">
        <v>6938981.4299999997</v>
      </c>
      <c r="F13" s="17">
        <v>374286.39478468063</v>
      </c>
      <c r="G13" s="17">
        <v>30734366.009999998</v>
      </c>
      <c r="H13" s="17">
        <v>0</v>
      </c>
      <c r="I13" s="13">
        <f t="shared" si="0"/>
        <v>38047633.834784679</v>
      </c>
    </row>
    <row r="14" spans="1:9" ht="15.75" x14ac:dyDescent="0.25">
      <c r="A14" s="8"/>
      <c r="B14" s="8"/>
      <c r="C14" s="9"/>
      <c r="D14" s="12" t="s">
        <v>10</v>
      </c>
      <c r="E14" s="17">
        <v>69163872.559999973</v>
      </c>
      <c r="F14" s="17">
        <v>15726470.687579384</v>
      </c>
      <c r="G14" s="17">
        <v>2234890.6400000006</v>
      </c>
      <c r="H14" s="17">
        <v>0</v>
      </c>
      <c r="I14" s="13">
        <f t="shared" si="0"/>
        <v>87125233.887579352</v>
      </c>
    </row>
    <row r="15" spans="1:9" ht="15.75" x14ac:dyDescent="0.25">
      <c r="A15" s="8"/>
      <c r="B15" s="8"/>
      <c r="C15" s="9"/>
      <c r="D15" s="12" t="s">
        <v>11</v>
      </c>
      <c r="E15" s="17">
        <v>27169.399999999936</v>
      </c>
      <c r="F15" s="17">
        <v>87290.544738940167</v>
      </c>
      <c r="G15" s="17">
        <v>22511380.370000001</v>
      </c>
      <c r="H15" s="17">
        <v>0</v>
      </c>
      <c r="I15" s="13">
        <f t="shared" si="0"/>
        <v>22625840.31473894</v>
      </c>
    </row>
    <row r="16" spans="1:9" ht="15.75" x14ac:dyDescent="0.25">
      <c r="A16" s="8"/>
      <c r="B16" s="8"/>
      <c r="C16" s="9"/>
      <c r="D16" s="12" t="s">
        <v>12</v>
      </c>
      <c r="E16" s="17">
        <v>62243419.560000002</v>
      </c>
      <c r="F16" s="17">
        <v>74988375.82671009</v>
      </c>
      <c r="G16" s="17">
        <v>2351878.8999999994</v>
      </c>
      <c r="H16" s="17">
        <v>0</v>
      </c>
      <c r="I16" s="13">
        <f t="shared" si="0"/>
        <v>139583674.28671011</v>
      </c>
    </row>
    <row r="17" spans="1:9" ht="15.75" x14ac:dyDescent="0.25">
      <c r="A17" s="8"/>
      <c r="B17" s="8"/>
      <c r="C17" s="9"/>
      <c r="D17" s="12" t="s">
        <v>13</v>
      </c>
      <c r="E17" s="17">
        <v>188794444.98999998</v>
      </c>
      <c r="F17" s="17">
        <v>68897364.014852703</v>
      </c>
      <c r="G17" s="17">
        <v>6701053.5899999999</v>
      </c>
      <c r="H17" s="17">
        <v>0</v>
      </c>
      <c r="I17" s="13">
        <f t="shared" si="0"/>
        <v>264392862.59485269</v>
      </c>
    </row>
    <row r="18" spans="1:9" ht="15.75" x14ac:dyDescent="0.25">
      <c r="A18" s="8"/>
      <c r="B18" s="8"/>
      <c r="C18" s="9"/>
      <c r="D18" s="12" t="s">
        <v>14</v>
      </c>
      <c r="E18" s="17">
        <v>11295985.150000013</v>
      </c>
      <c r="F18" s="17">
        <v>5616550.6590881888</v>
      </c>
      <c r="G18" s="17">
        <v>42328536.989999995</v>
      </c>
      <c r="H18" s="17">
        <v>0</v>
      </c>
      <c r="I18" s="13">
        <f t="shared" si="0"/>
        <v>59241072.799088195</v>
      </c>
    </row>
    <row r="19" spans="1:9" ht="15.75" x14ac:dyDescent="0.25">
      <c r="A19" s="8"/>
      <c r="B19" s="8"/>
      <c r="C19" s="9"/>
      <c r="D19" s="12" t="s">
        <v>15</v>
      </c>
      <c r="E19" s="17">
        <v>178170675.30000001</v>
      </c>
      <c r="F19" s="17">
        <v>53607668.156299144</v>
      </c>
      <c r="G19" s="17">
        <v>5927427.9399999995</v>
      </c>
      <c r="H19" s="17">
        <v>0</v>
      </c>
      <c r="I19" s="13">
        <f t="shared" si="0"/>
        <v>237705771.39629915</v>
      </c>
    </row>
    <row r="20" spans="1:9" ht="15.75" x14ac:dyDescent="0.25">
      <c r="A20" s="8"/>
      <c r="B20" s="8"/>
      <c r="C20" s="9"/>
      <c r="D20" s="12" t="s">
        <v>16</v>
      </c>
      <c r="E20" s="17">
        <v>49281837.080000006</v>
      </c>
      <c r="F20" s="17">
        <v>13342569.131812239</v>
      </c>
      <c r="G20" s="17">
        <v>2986720.6999999993</v>
      </c>
      <c r="H20" s="17">
        <v>0</v>
      </c>
      <c r="I20" s="13">
        <f t="shared" si="0"/>
        <v>65611126.911812246</v>
      </c>
    </row>
    <row r="21" spans="1:9" ht="15.75" x14ac:dyDescent="0.25">
      <c r="A21" s="8"/>
      <c r="B21" s="8"/>
      <c r="C21" s="9"/>
      <c r="D21" s="12" t="s">
        <v>17</v>
      </c>
      <c r="E21" s="17">
        <v>83763573.37000002</v>
      </c>
      <c r="F21" s="17">
        <v>64129560.903318405</v>
      </c>
      <c r="G21" s="17">
        <v>1707127.4500000002</v>
      </c>
      <c r="H21" s="17">
        <v>0</v>
      </c>
      <c r="I21" s="13">
        <f t="shared" si="0"/>
        <v>149600261.7233184</v>
      </c>
    </row>
    <row r="22" spans="1:9" ht="15.75" x14ac:dyDescent="0.25">
      <c r="A22" s="8"/>
      <c r="B22" s="8"/>
      <c r="C22" s="9"/>
      <c r="D22" s="12" t="s">
        <v>18</v>
      </c>
      <c r="E22" s="17">
        <v>3643629.5</v>
      </c>
      <c r="F22" s="17">
        <v>2745947.9479685044</v>
      </c>
      <c r="G22" s="17">
        <v>16569115.990000002</v>
      </c>
      <c r="H22" s="17">
        <v>0</v>
      </c>
      <c r="I22" s="13">
        <f t="shared" si="0"/>
        <v>22958693.437968507</v>
      </c>
    </row>
    <row r="23" spans="1:9" ht="15.75" x14ac:dyDescent="0.25">
      <c r="A23" s="8"/>
      <c r="B23" s="8"/>
      <c r="C23" s="9"/>
      <c r="D23" s="12" t="s">
        <v>19</v>
      </c>
      <c r="E23" s="17">
        <v>419629.77999999997</v>
      </c>
      <c r="F23" s="17">
        <v>1023328.6370317818</v>
      </c>
      <c r="G23" s="17">
        <v>7239266.4800000004</v>
      </c>
      <c r="H23" s="17">
        <v>0</v>
      </c>
      <c r="I23" s="13">
        <f t="shared" si="0"/>
        <v>8682224.8970317822</v>
      </c>
    </row>
    <row r="24" spans="1:9" ht="15.75" x14ac:dyDescent="0.25">
      <c r="A24" s="8"/>
      <c r="B24" s="8"/>
      <c r="C24" s="9"/>
      <c r="D24" s="12" t="s">
        <v>20</v>
      </c>
      <c r="E24" s="17">
        <v>51335816.619999997</v>
      </c>
      <c r="F24" s="17">
        <v>39329060.932194069</v>
      </c>
      <c r="G24" s="17">
        <v>3621807.74</v>
      </c>
      <c r="H24" s="17">
        <v>0</v>
      </c>
      <c r="I24" s="13">
        <f t="shared" si="0"/>
        <v>94286685.292194054</v>
      </c>
    </row>
    <row r="25" spans="1:9" ht="15.75" x14ac:dyDescent="0.25">
      <c r="A25" s="8"/>
      <c r="B25" s="8"/>
      <c r="C25" s="9"/>
      <c r="D25" s="12" t="s">
        <v>21</v>
      </c>
      <c r="E25" s="17">
        <v>50460095.99000001</v>
      </c>
      <c r="F25" s="17">
        <v>29206578.795788411</v>
      </c>
      <c r="G25" s="17">
        <v>4278480.63</v>
      </c>
      <c r="H25" s="17">
        <v>0</v>
      </c>
      <c r="I25" s="13">
        <f t="shared" si="0"/>
        <v>83945155.415788412</v>
      </c>
    </row>
    <row r="26" spans="1:9" ht="15.75" x14ac:dyDescent="0.25">
      <c r="A26" s="8"/>
      <c r="B26" s="8"/>
      <c r="C26" s="9"/>
      <c r="D26" s="12" t="s">
        <v>22</v>
      </c>
      <c r="E26" s="17">
        <v>25696373.789999988</v>
      </c>
      <c r="F26" s="17">
        <v>16724997.214113388</v>
      </c>
      <c r="G26" s="17">
        <v>3657018.0000000014</v>
      </c>
      <c r="H26" s="17">
        <v>0</v>
      </c>
      <c r="I26" s="13">
        <f t="shared" si="0"/>
        <v>46078389.004113376</v>
      </c>
    </row>
    <row r="27" spans="1:9" ht="15.75" x14ac:dyDescent="0.25">
      <c r="A27" s="8"/>
      <c r="B27" s="8"/>
      <c r="C27" s="9"/>
      <c r="D27" s="12" t="s">
        <v>23</v>
      </c>
      <c r="E27" s="17">
        <v>14662783.820000002</v>
      </c>
      <c r="F27" s="17">
        <v>2870602.7111196849</v>
      </c>
      <c r="G27" s="17">
        <v>9250372.2800000012</v>
      </c>
      <c r="H27" s="17">
        <v>0</v>
      </c>
      <c r="I27" s="13">
        <f t="shared" si="0"/>
        <v>26783758.811119687</v>
      </c>
    </row>
    <row r="28" spans="1:9" ht="15.75" x14ac:dyDescent="0.25">
      <c r="A28" s="8"/>
      <c r="B28" s="8"/>
      <c r="C28" s="9"/>
      <c r="D28" s="12" t="s">
        <v>24</v>
      </c>
      <c r="E28" s="17">
        <v>23683932.670000002</v>
      </c>
      <c r="F28" s="17">
        <v>13604762.871360203</v>
      </c>
      <c r="G28" s="17">
        <v>3785396.04</v>
      </c>
      <c r="H28" s="17">
        <v>0</v>
      </c>
      <c r="I28" s="13">
        <f t="shared" si="0"/>
        <v>41074091.581360206</v>
      </c>
    </row>
    <row r="29" spans="1:9" ht="15.75" x14ac:dyDescent="0.25">
      <c r="A29" s="8"/>
      <c r="B29" s="8"/>
      <c r="C29" s="9"/>
      <c r="D29" s="12" t="s">
        <v>25</v>
      </c>
      <c r="E29" s="17">
        <v>20784128.209999997</v>
      </c>
      <c r="F29" s="17">
        <v>7613603.7121561905</v>
      </c>
      <c r="G29" s="17">
        <v>1878376.8600000003</v>
      </c>
      <c r="H29" s="17">
        <v>0</v>
      </c>
      <c r="I29" s="13">
        <f t="shared" si="0"/>
        <v>30276108.782156188</v>
      </c>
    </row>
    <row r="30" spans="1:9" ht="15.75" x14ac:dyDescent="0.25">
      <c r="A30" s="8"/>
      <c r="B30" s="8"/>
      <c r="C30" s="9"/>
      <c r="D30" s="12" t="s">
        <v>26</v>
      </c>
      <c r="E30" s="17">
        <v>49483531.739999995</v>
      </c>
      <c r="F30" s="17">
        <v>41063920.245714113</v>
      </c>
      <c r="G30" s="17">
        <v>2357508.66</v>
      </c>
      <c r="H30" s="17">
        <v>0</v>
      </c>
      <c r="I30" s="13">
        <f t="shared" si="0"/>
        <v>92904960.645714104</v>
      </c>
    </row>
    <row r="31" spans="1:9" ht="15.75" x14ac:dyDescent="0.25">
      <c r="A31" s="8"/>
      <c r="B31" s="8"/>
      <c r="C31" s="9"/>
      <c r="D31" s="12" t="s">
        <v>27</v>
      </c>
      <c r="E31" s="17">
        <v>47273415.799999997</v>
      </c>
      <c r="F31" s="17">
        <v>42561710.0355151</v>
      </c>
      <c r="G31" s="17">
        <v>2613230.1499999994</v>
      </c>
      <c r="H31" s="17">
        <v>0</v>
      </c>
      <c r="I31" s="13">
        <f t="shared" si="0"/>
        <v>92448355.985515103</v>
      </c>
    </row>
    <row r="32" spans="1:9" ht="15.75" x14ac:dyDescent="0.25">
      <c r="A32" s="8"/>
      <c r="B32" s="8"/>
      <c r="C32" s="9"/>
      <c r="D32" s="12" t="s">
        <v>28</v>
      </c>
      <c r="E32" s="17">
        <v>54045365.980000004</v>
      </c>
      <c r="F32" s="17">
        <v>14366219.874175165</v>
      </c>
      <c r="G32" s="17">
        <v>1332958.1499999999</v>
      </c>
      <c r="H32" s="17">
        <v>0</v>
      </c>
      <c r="I32" s="13">
        <f t="shared" si="0"/>
        <v>69744544.004175171</v>
      </c>
    </row>
    <row r="33" spans="1:9" ht="15.75" x14ac:dyDescent="0.25">
      <c r="A33" s="8"/>
      <c r="B33" s="8"/>
      <c r="C33" s="9"/>
      <c r="D33" s="12" t="s">
        <v>29</v>
      </c>
      <c r="E33" s="17">
        <v>13694606.349999998</v>
      </c>
      <c r="F33" s="17">
        <v>21717629.846783392</v>
      </c>
      <c r="G33" s="17">
        <v>1270813.2300000004</v>
      </c>
      <c r="H33" s="17">
        <v>0</v>
      </c>
      <c r="I33" s="13">
        <f t="shared" si="0"/>
        <v>36683049.426783398</v>
      </c>
    </row>
    <row r="34" spans="1:9" ht="15.75" x14ac:dyDescent="0.25">
      <c r="A34" s="8"/>
      <c r="B34" s="8"/>
      <c r="C34" s="9"/>
      <c r="D34" s="12" t="s">
        <v>30</v>
      </c>
      <c r="E34" s="17">
        <v>158436327.73999998</v>
      </c>
      <c r="F34" s="17">
        <v>31165945.525113028</v>
      </c>
      <c r="G34" s="17">
        <v>4735470.3900000015</v>
      </c>
      <c r="H34" s="17">
        <v>0</v>
      </c>
      <c r="I34" s="13">
        <f t="shared" si="0"/>
        <v>194337743.65511301</v>
      </c>
    </row>
    <row r="35" spans="1:9" ht="15.75" x14ac:dyDescent="0.25">
      <c r="A35" s="8"/>
      <c r="B35" s="8"/>
      <c r="C35" s="9"/>
      <c r="D35" s="12" t="s">
        <v>31</v>
      </c>
      <c r="E35" s="17">
        <v>65609245.960000016</v>
      </c>
      <c r="F35" s="17">
        <v>45819161.249333926</v>
      </c>
      <c r="G35" s="17">
        <v>3942977.24</v>
      </c>
      <c r="H35" s="17">
        <v>0</v>
      </c>
      <c r="I35" s="13">
        <f t="shared" si="0"/>
        <v>115371384.44933394</v>
      </c>
    </row>
    <row r="36" spans="1:9" ht="15.75" x14ac:dyDescent="0.25">
      <c r="A36" s="8"/>
      <c r="B36" s="8"/>
      <c r="C36" s="9"/>
      <c r="D36" s="12" t="s">
        <v>32</v>
      </c>
      <c r="E36" s="17">
        <v>60594636.650000006</v>
      </c>
      <c r="F36" s="17">
        <v>28432559.685058989</v>
      </c>
      <c r="G36" s="17">
        <v>6895549.1200000001</v>
      </c>
      <c r="H36" s="17">
        <v>0</v>
      </c>
      <c r="I36" s="13">
        <f t="shared" si="0"/>
        <v>95922745.455058992</v>
      </c>
    </row>
    <row r="37" spans="1:9" ht="15.75" x14ac:dyDescent="0.25">
      <c r="A37" s="8"/>
      <c r="B37" s="8"/>
      <c r="C37" s="9"/>
      <c r="D37" s="12" t="s">
        <v>33</v>
      </c>
      <c r="E37" s="17">
        <v>91717632.99000001</v>
      </c>
      <c r="F37" s="17">
        <v>15726470.687579384</v>
      </c>
      <c r="G37" s="17">
        <v>2793667.6899999995</v>
      </c>
      <c r="H37" s="17">
        <v>0</v>
      </c>
      <c r="I37" s="13">
        <f t="shared" si="0"/>
        <v>110237771.36757939</v>
      </c>
    </row>
    <row r="38" spans="1:9" ht="15.75" x14ac:dyDescent="0.25">
      <c r="A38" s="8"/>
      <c r="B38" s="8"/>
      <c r="C38" s="9"/>
      <c r="D38" s="12" t="s">
        <v>34</v>
      </c>
      <c r="E38" s="17">
        <v>42134140.529999986</v>
      </c>
      <c r="F38" s="17">
        <v>34174087.21262949</v>
      </c>
      <c r="G38" s="17">
        <v>2554575.89</v>
      </c>
      <c r="H38" s="17">
        <v>0</v>
      </c>
      <c r="I38" s="13">
        <f t="shared" si="0"/>
        <v>78862803.632629469</v>
      </c>
    </row>
    <row r="39" spans="1:9" ht="15.75" x14ac:dyDescent="0.25">
      <c r="A39" s="8"/>
      <c r="B39" s="8"/>
      <c r="C39" s="9"/>
      <c r="D39" s="12" t="s">
        <v>35</v>
      </c>
      <c r="E39" s="17">
        <v>42191732.480000012</v>
      </c>
      <c r="F39" s="17">
        <v>53507815.503645748</v>
      </c>
      <c r="G39" s="17">
        <v>2148845.2000000002</v>
      </c>
      <c r="H39" s="17">
        <v>0</v>
      </c>
      <c r="I39" s="13">
        <f t="shared" si="0"/>
        <v>97848393.18364577</v>
      </c>
    </row>
    <row r="40" spans="1:9" ht="15.75" x14ac:dyDescent="0.25">
      <c r="A40" s="8"/>
      <c r="B40" s="8"/>
      <c r="C40" s="9"/>
      <c r="D40" s="12" t="s">
        <v>36</v>
      </c>
      <c r="E40" s="17">
        <v>3983015.9600000014</v>
      </c>
      <c r="F40" s="17">
        <v>2808436.3822096647</v>
      </c>
      <c r="G40" s="17">
        <v>211913.31000000003</v>
      </c>
      <c r="H40" s="17">
        <v>0</v>
      </c>
      <c r="I40" s="13">
        <f t="shared" si="0"/>
        <v>7003365.6522096656</v>
      </c>
    </row>
    <row r="41" spans="1:9" ht="15.75" x14ac:dyDescent="0.25">
      <c r="A41" s="8"/>
      <c r="B41" s="8"/>
      <c r="C41" s="9"/>
      <c r="D41" s="12" t="s">
        <v>37</v>
      </c>
      <c r="E41" s="17">
        <v>61156214.670000009</v>
      </c>
      <c r="F41" s="17">
        <v>46930102.53643579</v>
      </c>
      <c r="G41" s="17">
        <v>4456001.16</v>
      </c>
      <c r="H41" s="17">
        <v>0</v>
      </c>
      <c r="I41" s="13">
        <f t="shared" si="0"/>
        <v>112542318.3664358</v>
      </c>
    </row>
    <row r="42" spans="1:9" ht="15.75" x14ac:dyDescent="0.25">
      <c r="A42" s="8"/>
      <c r="B42" s="8"/>
      <c r="C42" s="9"/>
      <c r="D42" s="12" t="s">
        <v>38</v>
      </c>
      <c r="E42" s="17">
        <v>54588292.089999989</v>
      </c>
      <c r="F42" s="17">
        <v>50824355.989918396</v>
      </c>
      <c r="G42" s="17">
        <v>1470762.63</v>
      </c>
      <c r="H42" s="17">
        <v>0</v>
      </c>
      <c r="I42" s="13">
        <f t="shared" si="0"/>
        <v>106883410.70991838</v>
      </c>
    </row>
    <row r="43" spans="1:9" ht="15.75" x14ac:dyDescent="0.25">
      <c r="A43" s="8"/>
      <c r="B43" s="8"/>
      <c r="C43" s="9"/>
      <c r="D43" s="12" t="s">
        <v>39</v>
      </c>
      <c r="E43" s="17">
        <v>10256292.75</v>
      </c>
      <c r="F43" s="17">
        <v>18484980.743462346</v>
      </c>
      <c r="G43" s="17">
        <v>2998997.66</v>
      </c>
      <c r="H43" s="17">
        <v>0</v>
      </c>
      <c r="I43" s="13">
        <f t="shared" si="0"/>
        <v>31740271.153462347</v>
      </c>
    </row>
    <row r="44" spans="1:9" ht="15.75" x14ac:dyDescent="0.25">
      <c r="A44" s="8"/>
      <c r="B44" s="8"/>
      <c r="C44" s="9"/>
      <c r="D44" s="12" t="s">
        <v>40</v>
      </c>
      <c r="E44" s="17">
        <v>492199.89</v>
      </c>
      <c r="F44" s="17">
        <v>1422739.2476453821</v>
      </c>
      <c r="G44" s="17">
        <v>4989103.5200000005</v>
      </c>
      <c r="H44" s="17">
        <v>0</v>
      </c>
      <c r="I44" s="13">
        <f t="shared" si="0"/>
        <v>6904042.657645382</v>
      </c>
    </row>
    <row r="45" spans="1:9" ht="15.75" x14ac:dyDescent="0.25">
      <c r="A45" s="8"/>
      <c r="B45" s="8"/>
      <c r="C45" s="9"/>
      <c r="D45" s="12" t="s">
        <v>41</v>
      </c>
      <c r="E45" s="17">
        <v>23309609.460000005</v>
      </c>
      <c r="F45" s="17">
        <v>411972.71852806071</v>
      </c>
      <c r="G45" s="17">
        <v>11155410.27</v>
      </c>
      <c r="H45" s="17">
        <v>0</v>
      </c>
      <c r="I45" s="13">
        <f t="shared" si="0"/>
        <v>34876992.448528066</v>
      </c>
    </row>
    <row r="46" spans="1:9" ht="15.75" x14ac:dyDescent="0.25">
      <c r="A46" s="8"/>
      <c r="B46" s="8"/>
      <c r="C46" s="9"/>
      <c r="D46" s="12" t="s">
        <v>42</v>
      </c>
      <c r="E46" s="17">
        <v>474587.37000000011</v>
      </c>
      <c r="F46" s="17">
        <v>1372812.9213186819</v>
      </c>
      <c r="G46" s="17">
        <v>19459293.629999999</v>
      </c>
      <c r="H46" s="17">
        <v>0</v>
      </c>
      <c r="I46" s="13">
        <f t="shared" si="0"/>
        <v>21306693.92131868</v>
      </c>
    </row>
    <row r="47" spans="1:9" ht="15.75" x14ac:dyDescent="0.25">
      <c r="A47" s="8"/>
      <c r="B47" s="8"/>
      <c r="C47" s="9"/>
      <c r="D47" s="12" t="s">
        <v>43</v>
      </c>
      <c r="E47" s="17">
        <v>24189232.169999994</v>
      </c>
      <c r="F47" s="17">
        <v>8711982.8913435936</v>
      </c>
      <c r="G47" s="17">
        <v>3132622.66</v>
      </c>
      <c r="H47" s="17">
        <v>0</v>
      </c>
      <c r="I47" s="13">
        <f t="shared" si="0"/>
        <v>36033837.721343592</v>
      </c>
    </row>
    <row r="48" spans="1:9" ht="15.75" x14ac:dyDescent="0.25">
      <c r="A48" s="8"/>
      <c r="B48" s="8"/>
      <c r="C48" s="9"/>
      <c r="D48" s="12" t="s">
        <v>44</v>
      </c>
      <c r="E48" s="17">
        <v>9637253.7700000014</v>
      </c>
      <c r="F48" s="17">
        <v>1372812.9213186819</v>
      </c>
      <c r="G48" s="17">
        <v>9244937.5600000005</v>
      </c>
      <c r="H48" s="17">
        <v>0</v>
      </c>
      <c r="I48" s="13">
        <f t="shared" si="0"/>
        <v>20255004.251318686</v>
      </c>
    </row>
    <row r="49" spans="1:9" ht="15.75" x14ac:dyDescent="0.25">
      <c r="A49" s="8"/>
      <c r="B49" s="8"/>
      <c r="C49" s="9"/>
      <c r="D49" s="12" t="s">
        <v>45</v>
      </c>
      <c r="E49" s="17">
        <v>1853031.2400000002</v>
      </c>
      <c r="F49" s="17">
        <v>1635006.6608666428</v>
      </c>
      <c r="G49" s="17">
        <v>16634864.049999999</v>
      </c>
      <c r="H49" s="17">
        <v>0</v>
      </c>
      <c r="I49" s="13">
        <f t="shared" si="0"/>
        <v>20122901.950866643</v>
      </c>
    </row>
    <row r="50" spans="1:9" ht="15.75" x14ac:dyDescent="0.25">
      <c r="A50" s="8"/>
      <c r="B50" s="8"/>
      <c r="C50" s="9"/>
      <c r="D50" s="12" t="s">
        <v>46</v>
      </c>
      <c r="E50" s="17">
        <v>38131317.529999994</v>
      </c>
      <c r="F50" s="17">
        <v>15801521.229735002</v>
      </c>
      <c r="G50" s="17">
        <v>724417.92000000016</v>
      </c>
      <c r="H50" s="17">
        <v>0</v>
      </c>
      <c r="I50" s="13">
        <f t="shared" si="0"/>
        <v>54657256.679734997</v>
      </c>
    </row>
    <row r="51" spans="1:9" ht="15.75" x14ac:dyDescent="0.25">
      <c r="A51" s="8"/>
      <c r="B51" s="8"/>
      <c r="C51" s="9"/>
      <c r="D51" s="12" t="s">
        <v>47</v>
      </c>
      <c r="E51" s="17">
        <v>53939960.490000002</v>
      </c>
      <c r="F51" s="17">
        <v>28732117.643019184</v>
      </c>
      <c r="G51" s="17">
        <v>3390236.7600000002</v>
      </c>
      <c r="H51" s="17">
        <v>0</v>
      </c>
      <c r="I51" s="13">
        <f t="shared" si="0"/>
        <v>86062314.893019184</v>
      </c>
    </row>
    <row r="52" spans="1:9" ht="15.75" x14ac:dyDescent="0.25">
      <c r="A52" s="8"/>
      <c r="B52" s="8"/>
      <c r="C52" s="9"/>
      <c r="D52" s="12" t="s">
        <v>48</v>
      </c>
      <c r="E52" s="17">
        <v>37513751.930000007</v>
      </c>
      <c r="F52" s="17">
        <v>28956947.16415491</v>
      </c>
      <c r="G52" s="17">
        <v>1423057.21</v>
      </c>
      <c r="H52" s="17">
        <v>0</v>
      </c>
      <c r="I52" s="13">
        <f t="shared" si="0"/>
        <v>67893756.304154918</v>
      </c>
    </row>
    <row r="53" spans="1:9" ht="15.75" x14ac:dyDescent="0.25">
      <c r="A53" s="8"/>
      <c r="B53" s="8"/>
      <c r="C53" s="9"/>
      <c r="D53" s="12" t="s">
        <v>49</v>
      </c>
      <c r="E53" s="17">
        <v>35110950.920000017</v>
      </c>
      <c r="F53" s="17">
        <v>19845553.662197709</v>
      </c>
      <c r="G53" s="17">
        <v>1884185.3600000003</v>
      </c>
      <c r="H53" s="17">
        <v>0</v>
      </c>
      <c r="I53" s="13">
        <f t="shared" si="0"/>
        <v>56840689.942197725</v>
      </c>
    </row>
    <row r="54" spans="1:9" ht="15.75" x14ac:dyDescent="0.25">
      <c r="A54" s="8"/>
      <c r="B54" s="8"/>
      <c r="C54" s="9"/>
      <c r="D54" s="12" t="s">
        <v>50</v>
      </c>
      <c r="E54" s="17">
        <v>40247420.060000002</v>
      </c>
      <c r="F54" s="17">
        <v>18222787.003914393</v>
      </c>
      <c r="G54" s="17">
        <v>2333316.4500000002</v>
      </c>
      <c r="H54" s="17">
        <v>0</v>
      </c>
      <c r="I54" s="13">
        <f t="shared" si="0"/>
        <v>60803523.513914399</v>
      </c>
    </row>
    <row r="55" spans="1:9" ht="15.75" x14ac:dyDescent="0.25">
      <c r="A55" s="8"/>
      <c r="B55" s="8"/>
      <c r="C55" s="9"/>
      <c r="D55" s="12" t="s">
        <v>51</v>
      </c>
      <c r="E55" s="17">
        <v>8257250.0900000026</v>
      </c>
      <c r="F55" s="17">
        <v>37319445.771211594</v>
      </c>
      <c r="G55" s="17">
        <v>194702.06999999995</v>
      </c>
      <c r="H55" s="17">
        <v>0</v>
      </c>
      <c r="I55" s="13">
        <f t="shared" si="0"/>
        <v>45771397.931211598</v>
      </c>
    </row>
    <row r="56" spans="1:9" ht="15.75" x14ac:dyDescent="0.25">
      <c r="A56" s="8"/>
      <c r="B56" s="8"/>
      <c r="C56" s="9"/>
      <c r="D56" s="12" t="s">
        <v>52</v>
      </c>
      <c r="E56" s="17">
        <v>33585419.539999999</v>
      </c>
      <c r="F56" s="17">
        <v>41538059.293152198</v>
      </c>
      <c r="G56" s="17">
        <v>3529813.13</v>
      </c>
      <c r="H56" s="17">
        <v>0</v>
      </c>
      <c r="I56" s="13">
        <f t="shared" si="0"/>
        <v>78653291.9631522</v>
      </c>
    </row>
    <row r="57" spans="1:9" ht="15.75" x14ac:dyDescent="0.25">
      <c r="A57" s="8"/>
      <c r="B57" s="8"/>
      <c r="C57" s="9"/>
      <c r="D57" s="12" t="s">
        <v>53</v>
      </c>
      <c r="E57" s="17">
        <v>6703396.3600000003</v>
      </c>
      <c r="F57" s="17">
        <v>13729417.634511381</v>
      </c>
      <c r="G57" s="17">
        <v>1619330.31</v>
      </c>
      <c r="H57" s="17">
        <v>0</v>
      </c>
      <c r="I57" s="13">
        <f t="shared" si="0"/>
        <v>22052144.304511379</v>
      </c>
    </row>
    <row r="58" spans="1:9" ht="15.75" x14ac:dyDescent="0.25">
      <c r="A58" s="8"/>
      <c r="B58" s="8"/>
      <c r="C58" s="9"/>
      <c r="D58" s="12" t="s">
        <v>54</v>
      </c>
      <c r="E58" s="17">
        <v>6847945.7600000026</v>
      </c>
      <c r="F58" s="17">
        <v>14777870.487372082</v>
      </c>
      <c r="G58" s="17">
        <v>208693.16</v>
      </c>
      <c r="H58" s="17">
        <v>0</v>
      </c>
      <c r="I58" s="13">
        <f t="shared" si="0"/>
        <v>21834509.407372084</v>
      </c>
    </row>
    <row r="59" spans="1:9" ht="15.75" x14ac:dyDescent="0.25">
      <c r="A59" s="8"/>
      <c r="B59" s="8"/>
      <c r="C59" s="9"/>
      <c r="D59" s="12" t="s">
        <v>55</v>
      </c>
      <c r="E59" s="17">
        <v>28006140.190000001</v>
      </c>
      <c r="F59" s="17">
        <v>24962841.0580189</v>
      </c>
      <c r="G59" s="17">
        <v>2002214.1399999997</v>
      </c>
      <c r="H59" s="17">
        <v>0</v>
      </c>
      <c r="I59" s="13">
        <f t="shared" si="0"/>
        <v>54971195.388018906</v>
      </c>
    </row>
    <row r="60" spans="1:9" ht="15.75" x14ac:dyDescent="0.25">
      <c r="A60" s="8"/>
      <c r="B60" s="8"/>
      <c r="C60" s="9"/>
      <c r="D60" s="12" t="s">
        <v>56</v>
      </c>
      <c r="E60" s="17">
        <v>12539192.870000008</v>
      </c>
      <c r="F60" s="17">
        <v>15102552.661161199</v>
      </c>
      <c r="G60" s="17">
        <v>1093289.0900000001</v>
      </c>
      <c r="H60" s="17">
        <v>0</v>
      </c>
      <c r="I60" s="13">
        <f t="shared" si="0"/>
        <v>28735034.621161208</v>
      </c>
    </row>
    <row r="61" spans="1:9" ht="15.75" x14ac:dyDescent="0.25">
      <c r="A61" s="8"/>
      <c r="B61" s="8"/>
      <c r="C61" s="9"/>
      <c r="D61" s="12" t="s">
        <v>57</v>
      </c>
      <c r="E61" s="17">
        <v>50625809.210000001</v>
      </c>
      <c r="F61" s="17">
        <v>25337127.452803578</v>
      </c>
      <c r="G61" s="17">
        <v>1333373.1400000001</v>
      </c>
      <c r="H61" s="17">
        <v>0</v>
      </c>
      <c r="I61" s="13">
        <f t="shared" si="0"/>
        <v>77296309.802803576</v>
      </c>
    </row>
    <row r="62" spans="1:9" ht="15.75" x14ac:dyDescent="0.25">
      <c r="A62" s="8"/>
      <c r="B62" s="8"/>
      <c r="C62" s="9"/>
      <c r="D62" s="12" t="s">
        <v>58</v>
      </c>
      <c r="E62" s="17">
        <v>38674851.150000006</v>
      </c>
      <c r="F62" s="17">
        <v>28270540.703495566</v>
      </c>
      <c r="G62" s="17">
        <v>82707926.049999982</v>
      </c>
      <c r="H62" s="17">
        <v>0</v>
      </c>
      <c r="I62" s="13">
        <f t="shared" si="0"/>
        <v>149653317.90349555</v>
      </c>
    </row>
    <row r="63" spans="1:9" ht="15.75" x14ac:dyDescent="0.25">
      <c r="A63" s="8"/>
      <c r="B63" s="8"/>
      <c r="C63" s="9"/>
      <c r="D63" s="12" t="s">
        <v>59</v>
      </c>
      <c r="E63" s="17">
        <v>9503355.4900000021</v>
      </c>
      <c r="F63" s="17">
        <v>3120234.342753185</v>
      </c>
      <c r="G63" s="17">
        <v>7563160.5500000007</v>
      </c>
      <c r="H63" s="17">
        <v>0</v>
      </c>
      <c r="I63" s="13">
        <f t="shared" si="0"/>
        <v>20186750.382753186</v>
      </c>
    </row>
    <row r="64" spans="1:9" ht="15.75" x14ac:dyDescent="0.25">
      <c r="A64" s="8"/>
      <c r="B64" s="8"/>
      <c r="C64" s="9"/>
      <c r="D64" s="12" t="s">
        <v>60</v>
      </c>
      <c r="E64" s="17">
        <v>0</v>
      </c>
      <c r="F64" s="17">
        <v>0</v>
      </c>
      <c r="G64" s="17">
        <v>40881368.989999995</v>
      </c>
      <c r="H64" s="17">
        <v>0</v>
      </c>
      <c r="I64" s="13">
        <f t="shared" si="0"/>
        <v>40881368.989999995</v>
      </c>
    </row>
    <row r="65" spans="1:9" ht="15.75" x14ac:dyDescent="0.25">
      <c r="A65" s="8"/>
      <c r="B65" s="8"/>
      <c r="C65" s="9"/>
      <c r="D65" s="12" t="s">
        <v>61</v>
      </c>
      <c r="E65" s="17">
        <v>35785102.18</v>
      </c>
      <c r="F65" s="17">
        <v>36944837.271095783</v>
      </c>
      <c r="G65" s="17">
        <v>1410262.2200000002</v>
      </c>
      <c r="H65" s="17">
        <v>0</v>
      </c>
      <c r="I65" s="13">
        <f t="shared" si="0"/>
        <v>74140201.671095788</v>
      </c>
    </row>
    <row r="66" spans="1:9" ht="15.75" x14ac:dyDescent="0.25">
      <c r="A66" s="8"/>
      <c r="B66" s="8"/>
      <c r="C66" s="9"/>
      <c r="D66" s="12" t="s">
        <v>62</v>
      </c>
      <c r="E66" s="17">
        <v>268379527.33000004</v>
      </c>
      <c r="F66" s="17">
        <v>73453221.818496853</v>
      </c>
      <c r="G66" s="17">
        <v>3262198.41</v>
      </c>
      <c r="H66" s="17">
        <v>0</v>
      </c>
      <c r="I66" s="13">
        <f t="shared" si="0"/>
        <v>345094947.55849689</v>
      </c>
    </row>
    <row r="67" spans="1:9" ht="15.75" x14ac:dyDescent="0.25">
      <c r="A67" s="8"/>
      <c r="B67" s="8"/>
      <c r="C67" s="9"/>
      <c r="D67" s="12" t="s">
        <v>63</v>
      </c>
      <c r="E67" s="17">
        <v>38821174.949999996</v>
      </c>
      <c r="F67" s="17">
        <v>33949579.796824917</v>
      </c>
      <c r="G67" s="17">
        <v>964419.73000000021</v>
      </c>
      <c r="H67" s="17">
        <v>0</v>
      </c>
      <c r="I67" s="13">
        <f t="shared" si="0"/>
        <v>73735174.476824924</v>
      </c>
    </row>
    <row r="68" spans="1:9" ht="15.75" x14ac:dyDescent="0.25">
      <c r="A68" s="8"/>
      <c r="B68" s="8"/>
      <c r="C68" s="9"/>
      <c r="D68" s="12" t="s">
        <v>64</v>
      </c>
      <c r="E68" s="17">
        <v>40713765.599999987</v>
      </c>
      <c r="F68" s="17">
        <v>14353657.766260708</v>
      </c>
      <c r="G68" s="17">
        <v>38437.42</v>
      </c>
      <c r="H68" s="17">
        <v>0</v>
      </c>
      <c r="I68" s="13">
        <f t="shared" si="0"/>
        <v>55105860.786260694</v>
      </c>
    </row>
    <row r="69" spans="1:9" ht="15.75" x14ac:dyDescent="0.25">
      <c r="A69" s="8"/>
      <c r="B69" s="8"/>
      <c r="C69" s="9"/>
      <c r="D69" s="12" t="s">
        <v>65</v>
      </c>
      <c r="E69" s="17">
        <v>0</v>
      </c>
      <c r="F69" s="17">
        <v>0</v>
      </c>
      <c r="G69" s="17">
        <v>11561746.41</v>
      </c>
      <c r="H69" s="17">
        <v>0</v>
      </c>
      <c r="I69" s="13">
        <f t="shared" si="0"/>
        <v>11561746.41</v>
      </c>
    </row>
    <row r="70" spans="1:9" ht="15.75" x14ac:dyDescent="0.25">
      <c r="A70" s="8"/>
      <c r="B70" s="8"/>
      <c r="C70" s="9"/>
      <c r="D70" s="12" t="s">
        <v>66</v>
      </c>
      <c r="E70" s="17">
        <v>0</v>
      </c>
      <c r="F70" s="17">
        <v>0</v>
      </c>
      <c r="G70" s="17">
        <v>13729063.910000004</v>
      </c>
      <c r="H70" s="17">
        <v>0</v>
      </c>
      <c r="I70" s="13">
        <f t="shared" si="0"/>
        <v>13729063.910000004</v>
      </c>
    </row>
    <row r="71" spans="1:9" ht="15.75" x14ac:dyDescent="0.25">
      <c r="A71" s="8"/>
      <c r="B71" s="8"/>
      <c r="C71" s="9"/>
      <c r="D71" s="12" t="s">
        <v>67</v>
      </c>
      <c r="E71" s="17">
        <v>90474.400000000023</v>
      </c>
      <c r="F71" s="17">
        <v>374286.39478468063</v>
      </c>
      <c r="G71" s="17">
        <v>13157935.160000002</v>
      </c>
      <c r="H71" s="17">
        <v>0</v>
      </c>
      <c r="I71" s="13">
        <f t="shared" si="0"/>
        <v>13622695.954784682</v>
      </c>
    </row>
    <row r="72" spans="1:9" ht="15.75" x14ac:dyDescent="0.25">
      <c r="A72" s="8"/>
      <c r="B72" s="8"/>
      <c r="C72" s="9"/>
      <c r="D72" s="12" t="s">
        <v>68</v>
      </c>
      <c r="E72" s="17">
        <v>76419608.710000008</v>
      </c>
      <c r="F72" s="17">
        <v>23315272.289237801</v>
      </c>
      <c r="G72" s="17">
        <v>11247848.91</v>
      </c>
      <c r="H72" s="17">
        <v>0</v>
      </c>
      <c r="I72" s="13">
        <f t="shared" si="0"/>
        <v>110982729.9092378</v>
      </c>
    </row>
    <row r="73" spans="1:9" ht="15.75" x14ac:dyDescent="0.25">
      <c r="A73" s="8"/>
      <c r="B73" s="8"/>
      <c r="C73" s="9"/>
      <c r="D73" s="12" t="s">
        <v>69</v>
      </c>
      <c r="E73" s="17">
        <v>359356.1399999999</v>
      </c>
      <c r="F73" s="17">
        <v>0</v>
      </c>
      <c r="G73" s="17">
        <v>8655717.9899999984</v>
      </c>
      <c r="H73" s="17">
        <v>0</v>
      </c>
      <c r="I73" s="13">
        <f t="shared" si="0"/>
        <v>9015074.129999999</v>
      </c>
    </row>
    <row r="74" spans="1:9" ht="15.75" x14ac:dyDescent="0.25">
      <c r="A74" s="8"/>
      <c r="B74" s="8"/>
      <c r="C74" s="9"/>
      <c r="D74" s="12" t="s">
        <v>70</v>
      </c>
      <c r="E74" s="17">
        <v>841192.7099999995</v>
      </c>
      <c r="F74" s="17">
        <v>1971928.8372390831</v>
      </c>
      <c r="G74" s="17">
        <v>67941998.019999996</v>
      </c>
      <c r="H74" s="17">
        <v>0</v>
      </c>
      <c r="I74" s="13">
        <f t="shared" ref="I74:I137" si="1">SUM(E74:H74)</f>
        <v>70755119.567239076</v>
      </c>
    </row>
    <row r="75" spans="1:9" ht="15.75" x14ac:dyDescent="0.25">
      <c r="A75" s="8"/>
      <c r="B75" s="8"/>
      <c r="C75" s="9"/>
      <c r="D75" s="12" t="s">
        <v>71</v>
      </c>
      <c r="E75" s="17">
        <v>16840426.039999999</v>
      </c>
      <c r="F75" s="17">
        <v>7663530.0384828914</v>
      </c>
      <c r="G75" s="17">
        <v>115128236.87999998</v>
      </c>
      <c r="H75" s="17">
        <v>0</v>
      </c>
      <c r="I75" s="13">
        <f t="shared" si="1"/>
        <v>139632192.95848286</v>
      </c>
    </row>
    <row r="76" spans="1:9" ht="15.75" x14ac:dyDescent="0.25">
      <c r="A76" s="8"/>
      <c r="B76" s="8"/>
      <c r="C76" s="9"/>
      <c r="D76" s="12" t="s">
        <v>72</v>
      </c>
      <c r="E76" s="17">
        <v>0</v>
      </c>
      <c r="F76" s="17">
        <v>0</v>
      </c>
      <c r="G76" s="17">
        <v>42361404.819999993</v>
      </c>
      <c r="H76" s="17">
        <v>0</v>
      </c>
      <c r="I76" s="13">
        <f t="shared" si="1"/>
        <v>42361404.819999993</v>
      </c>
    </row>
    <row r="77" spans="1:9" ht="15.75" x14ac:dyDescent="0.25">
      <c r="A77" s="8"/>
      <c r="B77" s="8"/>
      <c r="C77" s="9"/>
      <c r="D77" s="12" t="s">
        <v>73</v>
      </c>
      <c r="E77" s="17">
        <v>27542958.280000005</v>
      </c>
      <c r="F77" s="17">
        <v>38005852.231870949</v>
      </c>
      <c r="G77" s="17">
        <v>1029898.7299999999</v>
      </c>
      <c r="H77" s="17">
        <v>0</v>
      </c>
      <c r="I77" s="13">
        <f t="shared" si="1"/>
        <v>66578709.241870947</v>
      </c>
    </row>
    <row r="78" spans="1:9" ht="15.75" x14ac:dyDescent="0.25">
      <c r="A78" s="8"/>
      <c r="B78" s="8"/>
      <c r="C78" s="9"/>
      <c r="D78" s="12" t="s">
        <v>74</v>
      </c>
      <c r="E78" s="17">
        <v>53472359.949999996</v>
      </c>
      <c r="F78" s="17">
        <v>38567603.929379106</v>
      </c>
      <c r="G78" s="17">
        <v>1767488.1000000003</v>
      </c>
      <c r="H78" s="17">
        <v>0</v>
      </c>
      <c r="I78" s="13">
        <f t="shared" si="1"/>
        <v>93807451.979379088</v>
      </c>
    </row>
    <row r="79" spans="1:9" ht="15.75" x14ac:dyDescent="0.25">
      <c r="A79" s="8"/>
      <c r="B79" s="8"/>
      <c r="C79" s="9"/>
      <c r="D79" s="12" t="s">
        <v>75</v>
      </c>
      <c r="E79" s="17">
        <v>94816334.670000002</v>
      </c>
      <c r="F79" s="17">
        <v>21655141.412542235</v>
      </c>
      <c r="G79" s="17">
        <v>1508217.17</v>
      </c>
      <c r="H79" s="17">
        <v>0</v>
      </c>
      <c r="I79" s="13">
        <f t="shared" si="1"/>
        <v>117979693.25254224</v>
      </c>
    </row>
    <row r="80" spans="1:9" ht="15.75" x14ac:dyDescent="0.25">
      <c r="A80" s="8"/>
      <c r="B80" s="8"/>
      <c r="C80" s="9"/>
      <c r="D80" s="12" t="s">
        <v>76</v>
      </c>
      <c r="E80" s="17">
        <v>12049540.5</v>
      </c>
      <c r="F80" s="17">
        <v>11445368.731397642</v>
      </c>
      <c r="G80" s="17">
        <v>328622.00000000006</v>
      </c>
      <c r="H80" s="17">
        <v>0</v>
      </c>
      <c r="I80" s="13">
        <f t="shared" si="1"/>
        <v>23823531.231397644</v>
      </c>
    </row>
    <row r="81" spans="1:9" ht="15.75" x14ac:dyDescent="0.25">
      <c r="A81" s="8"/>
      <c r="B81" s="8"/>
      <c r="C81" s="9"/>
      <c r="D81" s="12" t="s">
        <v>77</v>
      </c>
      <c r="E81" s="17">
        <v>149093974.06999999</v>
      </c>
      <c r="F81" s="17">
        <v>69059705.101747259</v>
      </c>
      <c r="G81" s="17">
        <v>4026462.6500000004</v>
      </c>
      <c r="H81" s="17">
        <v>0</v>
      </c>
      <c r="I81" s="13">
        <f t="shared" si="1"/>
        <v>222180141.82174727</v>
      </c>
    </row>
    <row r="82" spans="1:9" ht="15.75" x14ac:dyDescent="0.25">
      <c r="A82" s="8"/>
      <c r="B82" s="8"/>
      <c r="C82" s="9"/>
      <c r="D82" s="12" t="s">
        <v>78</v>
      </c>
      <c r="E82" s="17">
        <v>186303906.32000002</v>
      </c>
      <c r="F82" s="17">
        <v>47866140.628728636</v>
      </c>
      <c r="G82" s="17">
        <v>1111663.5299999998</v>
      </c>
      <c r="H82" s="17">
        <v>0</v>
      </c>
      <c r="I82" s="13">
        <f t="shared" si="1"/>
        <v>235281710.47872865</v>
      </c>
    </row>
    <row r="83" spans="1:9" ht="15.75" x14ac:dyDescent="0.25">
      <c r="A83" s="8"/>
      <c r="B83" s="8"/>
      <c r="C83" s="9"/>
      <c r="D83" s="12" t="s">
        <v>79</v>
      </c>
      <c r="E83" s="17">
        <v>23934762.669999998</v>
      </c>
      <c r="F83" s="17">
        <v>19658088.359474231</v>
      </c>
      <c r="G83" s="17">
        <v>10647079.469999999</v>
      </c>
      <c r="H83" s="17">
        <v>0</v>
      </c>
      <c r="I83" s="13">
        <f t="shared" si="1"/>
        <v>54239930.499474227</v>
      </c>
    </row>
    <row r="84" spans="1:9" ht="15.75" x14ac:dyDescent="0.25">
      <c r="A84" s="8"/>
      <c r="B84" s="8"/>
      <c r="C84" s="9"/>
      <c r="D84" s="12" t="s">
        <v>80</v>
      </c>
      <c r="E84" s="17">
        <v>0</v>
      </c>
      <c r="F84" s="17">
        <v>0</v>
      </c>
      <c r="G84" s="17">
        <v>39838493.479999989</v>
      </c>
      <c r="H84" s="17">
        <v>0</v>
      </c>
      <c r="I84" s="13">
        <f t="shared" si="1"/>
        <v>39838493.479999989</v>
      </c>
    </row>
    <row r="85" spans="1:9" ht="15.75" x14ac:dyDescent="0.25">
      <c r="A85" s="8"/>
      <c r="B85" s="8"/>
      <c r="C85" s="9"/>
      <c r="D85" s="12" t="s">
        <v>81</v>
      </c>
      <c r="E85" s="17">
        <v>26914206.229999997</v>
      </c>
      <c r="F85" s="17">
        <v>6115813.9223551909</v>
      </c>
      <c r="G85" s="17">
        <v>10557056.919999998</v>
      </c>
      <c r="H85" s="17">
        <v>0</v>
      </c>
      <c r="I85" s="13">
        <f t="shared" si="1"/>
        <v>43587077.072355181</v>
      </c>
    </row>
    <row r="86" spans="1:9" ht="15.75" x14ac:dyDescent="0.25">
      <c r="A86" s="8"/>
      <c r="B86" s="8"/>
      <c r="C86" s="9"/>
      <c r="D86" s="12" t="s">
        <v>82</v>
      </c>
      <c r="E86" s="17">
        <v>11339174.289999988</v>
      </c>
      <c r="F86" s="17">
        <v>25399615.887044743</v>
      </c>
      <c r="G86" s="17">
        <v>1521569.9</v>
      </c>
      <c r="H86" s="17">
        <v>0</v>
      </c>
      <c r="I86" s="13">
        <f t="shared" si="1"/>
        <v>38260360.077044733</v>
      </c>
    </row>
    <row r="87" spans="1:9" ht="15.75" x14ac:dyDescent="0.25">
      <c r="A87" s="8"/>
      <c r="B87" s="8"/>
      <c r="C87" s="9"/>
      <c r="D87" s="12" t="s">
        <v>83</v>
      </c>
      <c r="E87" s="17">
        <v>17448924.169999998</v>
      </c>
      <c r="F87" s="17">
        <v>33450316.533557914</v>
      </c>
      <c r="G87" s="17">
        <v>1168065.6399999999</v>
      </c>
      <c r="H87" s="17">
        <v>0</v>
      </c>
      <c r="I87" s="13">
        <f t="shared" si="1"/>
        <v>52067306.343557909</v>
      </c>
    </row>
    <row r="88" spans="1:9" ht="15.75" x14ac:dyDescent="0.25">
      <c r="A88" s="8"/>
      <c r="B88" s="8"/>
      <c r="C88" s="9"/>
      <c r="D88" s="12" t="s">
        <v>84</v>
      </c>
      <c r="E88" s="17">
        <v>3836108.14</v>
      </c>
      <c r="F88" s="17">
        <v>0</v>
      </c>
      <c r="G88" s="17">
        <v>13380486.59</v>
      </c>
      <c r="H88" s="17">
        <v>0</v>
      </c>
      <c r="I88" s="13">
        <f t="shared" si="1"/>
        <v>17216594.73</v>
      </c>
    </row>
    <row r="89" spans="1:9" ht="15.75" x14ac:dyDescent="0.25">
      <c r="A89" s="8"/>
      <c r="B89" s="8"/>
      <c r="C89" s="9"/>
      <c r="D89" s="12" t="s">
        <v>85</v>
      </c>
      <c r="E89" s="17">
        <v>33401077.280000001</v>
      </c>
      <c r="F89" s="17">
        <v>32801274.291310821</v>
      </c>
      <c r="G89" s="17">
        <v>789958.29999999993</v>
      </c>
      <c r="H89" s="17">
        <v>0</v>
      </c>
      <c r="I89" s="13">
        <f t="shared" si="1"/>
        <v>66992309.871310815</v>
      </c>
    </row>
    <row r="90" spans="1:9" ht="15.75" x14ac:dyDescent="0.25">
      <c r="A90" s="8"/>
      <c r="B90" s="8"/>
      <c r="C90" s="9"/>
      <c r="D90" s="12" t="s">
        <v>86</v>
      </c>
      <c r="E90" s="17">
        <v>5571120.0200000033</v>
      </c>
      <c r="F90" s="17">
        <v>8487475.4755390156</v>
      </c>
      <c r="G90" s="17">
        <v>3120795.0500000003</v>
      </c>
      <c r="H90" s="17">
        <v>0</v>
      </c>
      <c r="I90" s="13">
        <f t="shared" si="1"/>
        <v>17179390.545539018</v>
      </c>
    </row>
    <row r="91" spans="1:9" ht="15.75" x14ac:dyDescent="0.25">
      <c r="A91" s="8"/>
      <c r="B91" s="8"/>
      <c r="C91" s="9"/>
      <c r="D91" s="12" t="s">
        <v>87</v>
      </c>
      <c r="E91" s="17">
        <v>12300400.280000012</v>
      </c>
      <c r="F91" s="17">
        <v>19358530.401514031</v>
      </c>
      <c r="G91" s="17">
        <v>6942085.6699999999</v>
      </c>
      <c r="H91" s="17">
        <v>0</v>
      </c>
      <c r="I91" s="13">
        <f t="shared" si="1"/>
        <v>38601016.351514041</v>
      </c>
    </row>
    <row r="92" spans="1:9" ht="15.75" x14ac:dyDescent="0.25">
      <c r="A92" s="8"/>
      <c r="B92" s="8"/>
      <c r="C92" s="9"/>
      <c r="D92" s="12" t="s">
        <v>88</v>
      </c>
      <c r="E92" s="17">
        <v>3097605.07</v>
      </c>
      <c r="F92" s="17">
        <v>2670897.4058128837</v>
      </c>
      <c r="G92" s="17">
        <v>18974002.950000003</v>
      </c>
      <c r="H92" s="17">
        <v>0</v>
      </c>
      <c r="I92" s="13">
        <f t="shared" si="1"/>
        <v>24742505.425812885</v>
      </c>
    </row>
    <row r="93" spans="1:9" ht="15.75" x14ac:dyDescent="0.25">
      <c r="A93" s="8"/>
      <c r="B93" s="8"/>
      <c r="C93" s="9"/>
      <c r="D93" s="12" t="s">
        <v>89</v>
      </c>
      <c r="E93" s="17">
        <v>52478148.700000018</v>
      </c>
      <c r="F93" s="17">
        <v>21642901.409958914</v>
      </c>
      <c r="G93" s="17">
        <v>1938475.0000000002</v>
      </c>
      <c r="H93" s="17">
        <v>0</v>
      </c>
      <c r="I93" s="13">
        <f t="shared" si="1"/>
        <v>76059525.109958932</v>
      </c>
    </row>
    <row r="94" spans="1:9" ht="15.75" x14ac:dyDescent="0.25">
      <c r="A94" s="8"/>
      <c r="B94" s="8"/>
      <c r="C94" s="9"/>
      <c r="D94" s="12" t="s">
        <v>90</v>
      </c>
      <c r="E94" s="17">
        <v>0</v>
      </c>
      <c r="F94" s="17">
        <v>0</v>
      </c>
      <c r="G94" s="17">
        <v>537791.3899999999</v>
      </c>
      <c r="H94" s="17">
        <v>0</v>
      </c>
      <c r="I94" s="13">
        <f t="shared" si="1"/>
        <v>537791.3899999999</v>
      </c>
    </row>
    <row r="95" spans="1:9" ht="15.75" x14ac:dyDescent="0.25">
      <c r="A95" s="8"/>
      <c r="B95" s="8"/>
      <c r="C95" s="9"/>
      <c r="D95" s="12" t="s">
        <v>91</v>
      </c>
      <c r="E95" s="17">
        <v>1839275.2799999993</v>
      </c>
      <c r="F95" s="17">
        <v>686406.46065934096</v>
      </c>
      <c r="G95" s="17">
        <v>19109091.77</v>
      </c>
      <c r="H95" s="17">
        <v>0</v>
      </c>
      <c r="I95" s="13">
        <f t="shared" si="1"/>
        <v>21634773.510659341</v>
      </c>
    </row>
    <row r="96" spans="1:9" ht="15.75" x14ac:dyDescent="0.25">
      <c r="A96" s="8"/>
      <c r="B96" s="8"/>
      <c r="C96" s="9"/>
      <c r="D96" s="12" t="s">
        <v>92</v>
      </c>
      <c r="E96" s="17">
        <v>0</v>
      </c>
      <c r="F96" s="17">
        <v>0</v>
      </c>
      <c r="G96" s="17">
        <v>28451167.330000009</v>
      </c>
      <c r="H96" s="17">
        <v>0</v>
      </c>
      <c r="I96" s="13">
        <f t="shared" si="1"/>
        <v>28451167.330000009</v>
      </c>
    </row>
    <row r="97" spans="1:9" ht="15.75" x14ac:dyDescent="0.25">
      <c r="A97" s="8"/>
      <c r="B97" s="8"/>
      <c r="C97" s="9"/>
      <c r="D97" s="12" t="s">
        <v>93</v>
      </c>
      <c r="E97" s="17">
        <v>13812921.909999996</v>
      </c>
      <c r="F97" s="17">
        <v>30829023.348740593</v>
      </c>
      <c r="G97" s="17">
        <v>1280580.8300000003</v>
      </c>
      <c r="H97" s="17">
        <v>0</v>
      </c>
      <c r="I97" s="13">
        <f t="shared" si="1"/>
        <v>45922526.088740587</v>
      </c>
    </row>
    <row r="98" spans="1:9" ht="15.75" x14ac:dyDescent="0.25">
      <c r="A98" s="8"/>
      <c r="B98" s="8"/>
      <c r="C98" s="9"/>
      <c r="D98" s="12" t="s">
        <v>94</v>
      </c>
      <c r="E98" s="17">
        <v>72834921.750000015</v>
      </c>
      <c r="F98" s="17">
        <v>40552094.87453264</v>
      </c>
      <c r="G98" s="17">
        <v>10796978.569999997</v>
      </c>
      <c r="H98" s="17">
        <v>0</v>
      </c>
      <c r="I98" s="13">
        <f t="shared" si="1"/>
        <v>124183995.19453265</v>
      </c>
    </row>
    <row r="99" spans="1:9" ht="15.75" x14ac:dyDescent="0.25">
      <c r="A99" s="8"/>
      <c r="B99" s="8"/>
      <c r="C99" s="9"/>
      <c r="D99" s="12" t="s">
        <v>95</v>
      </c>
      <c r="E99" s="17">
        <v>80809121.980000004</v>
      </c>
      <c r="F99" s="17">
        <v>77272424.729823828</v>
      </c>
      <c r="G99" s="17">
        <v>4615161.8600000003</v>
      </c>
      <c r="H99" s="17">
        <v>0</v>
      </c>
      <c r="I99" s="13">
        <f t="shared" si="1"/>
        <v>162696708.56982386</v>
      </c>
    </row>
    <row r="100" spans="1:9" ht="15.75" x14ac:dyDescent="0.25">
      <c r="A100" s="8"/>
      <c r="B100" s="8"/>
      <c r="C100" s="9"/>
      <c r="D100" s="12" t="s">
        <v>96</v>
      </c>
      <c r="E100" s="17">
        <v>96476458.48999998</v>
      </c>
      <c r="F100" s="17">
        <v>77309788.948236063</v>
      </c>
      <c r="G100" s="17">
        <v>9584026.4799999986</v>
      </c>
      <c r="H100" s="17">
        <v>0</v>
      </c>
      <c r="I100" s="13">
        <f t="shared" si="1"/>
        <v>183370273.91823605</v>
      </c>
    </row>
    <row r="101" spans="1:9" ht="15.75" x14ac:dyDescent="0.25">
      <c r="A101" s="8"/>
      <c r="B101" s="8"/>
      <c r="C101" s="9"/>
      <c r="D101" s="12" t="s">
        <v>97</v>
      </c>
      <c r="E101" s="17">
        <v>1710330.3200000005</v>
      </c>
      <c r="F101" s="17">
        <v>103747872.42287616</v>
      </c>
      <c r="G101" s="17">
        <v>262365.98</v>
      </c>
      <c r="H101" s="17">
        <v>0</v>
      </c>
      <c r="I101" s="13">
        <f t="shared" si="1"/>
        <v>105720568.72287618</v>
      </c>
    </row>
    <row r="102" spans="1:9" ht="15.75" x14ac:dyDescent="0.25">
      <c r="A102" s="8"/>
      <c r="B102" s="8"/>
      <c r="C102" s="9"/>
      <c r="D102" s="12" t="s">
        <v>98</v>
      </c>
      <c r="E102" s="17">
        <v>115118075.93000004</v>
      </c>
      <c r="F102" s="17">
        <v>44608689.414909817</v>
      </c>
      <c r="G102" s="17">
        <v>5769619.8699999992</v>
      </c>
      <c r="H102" s="17">
        <v>0</v>
      </c>
      <c r="I102" s="13">
        <f t="shared" si="1"/>
        <v>165496385.21490985</v>
      </c>
    </row>
    <row r="103" spans="1:9" ht="15.75" x14ac:dyDescent="0.25">
      <c r="A103" s="8"/>
      <c r="B103" s="8"/>
      <c r="C103" s="9"/>
      <c r="D103" s="12" t="s">
        <v>99</v>
      </c>
      <c r="E103" s="17">
        <v>36297892.839999996</v>
      </c>
      <c r="F103" s="17">
        <v>14166514.568868365</v>
      </c>
      <c r="G103" s="17">
        <v>765503.54999999981</v>
      </c>
      <c r="H103" s="17">
        <v>0</v>
      </c>
      <c r="I103" s="13">
        <f t="shared" si="1"/>
        <v>51229910.958868355</v>
      </c>
    </row>
    <row r="104" spans="1:9" ht="15.75" x14ac:dyDescent="0.25">
      <c r="A104" s="8"/>
      <c r="B104" s="8"/>
      <c r="C104" s="9"/>
      <c r="D104" s="12" t="s">
        <v>100</v>
      </c>
      <c r="E104" s="17">
        <v>187598444.79000002</v>
      </c>
      <c r="F104" s="17">
        <v>25886317.042397283</v>
      </c>
      <c r="G104" s="17">
        <v>10984103.420000002</v>
      </c>
      <c r="H104" s="17">
        <v>0</v>
      </c>
      <c r="I104" s="13">
        <f t="shared" si="1"/>
        <v>224468865.2523973</v>
      </c>
    </row>
    <row r="105" spans="1:9" ht="15.75" x14ac:dyDescent="0.25">
      <c r="A105" s="8"/>
      <c r="B105" s="8"/>
      <c r="C105" s="9"/>
      <c r="D105" s="12" t="s">
        <v>101</v>
      </c>
      <c r="E105" s="17">
        <v>21590737.100000013</v>
      </c>
      <c r="F105" s="17">
        <v>38442627.060896784</v>
      </c>
      <c r="G105" s="17">
        <v>309244.70999999996</v>
      </c>
      <c r="H105" s="17">
        <v>0</v>
      </c>
      <c r="I105" s="13">
        <f t="shared" si="1"/>
        <v>60342608.870896794</v>
      </c>
    </row>
    <row r="106" spans="1:9" ht="15.75" x14ac:dyDescent="0.25">
      <c r="A106" s="8"/>
      <c r="B106" s="8"/>
      <c r="C106" s="9"/>
      <c r="D106" s="12" t="s">
        <v>102</v>
      </c>
      <c r="E106" s="17">
        <v>6177414.5799999982</v>
      </c>
      <c r="F106" s="17">
        <v>2371339.4478526842</v>
      </c>
      <c r="G106" s="17">
        <v>23427070.170000002</v>
      </c>
      <c r="H106" s="17">
        <v>0</v>
      </c>
      <c r="I106" s="13">
        <f t="shared" si="1"/>
        <v>31975824.197852686</v>
      </c>
    </row>
    <row r="107" spans="1:9" ht="15.75" x14ac:dyDescent="0.25">
      <c r="A107" s="8"/>
      <c r="B107" s="8"/>
      <c r="C107" s="9"/>
      <c r="D107" s="12" t="s">
        <v>103</v>
      </c>
      <c r="E107" s="17">
        <v>143697.65000000002</v>
      </c>
      <c r="F107" s="17">
        <v>0</v>
      </c>
      <c r="G107" s="17">
        <v>4606143.8199999984</v>
      </c>
      <c r="H107" s="17">
        <v>0</v>
      </c>
      <c r="I107" s="13">
        <f t="shared" si="1"/>
        <v>4749841.4699999988</v>
      </c>
    </row>
    <row r="108" spans="1:9" ht="15.75" x14ac:dyDescent="0.25">
      <c r="A108" s="8"/>
      <c r="B108" s="8"/>
      <c r="C108" s="9"/>
      <c r="D108" s="12" t="s">
        <v>104</v>
      </c>
      <c r="E108" s="17">
        <v>511166.84000000008</v>
      </c>
      <c r="F108" s="17">
        <v>0</v>
      </c>
      <c r="G108" s="17">
        <v>3164364.3299999991</v>
      </c>
      <c r="H108" s="17">
        <v>0</v>
      </c>
      <c r="I108" s="13">
        <f t="shared" si="1"/>
        <v>3675531.169999999</v>
      </c>
    </row>
    <row r="109" spans="1:9" ht="15.75" x14ac:dyDescent="0.25">
      <c r="A109" s="8"/>
      <c r="B109" s="8"/>
      <c r="C109" s="9"/>
      <c r="D109" s="12" t="s">
        <v>105</v>
      </c>
      <c r="E109" s="17">
        <v>6263386.1600000001</v>
      </c>
      <c r="F109" s="17">
        <v>61832949.892290197</v>
      </c>
      <c r="G109" s="17">
        <v>361240.23000000004</v>
      </c>
      <c r="H109" s="17">
        <v>0</v>
      </c>
      <c r="I109" s="13">
        <f t="shared" si="1"/>
        <v>68457576.282290205</v>
      </c>
    </row>
    <row r="110" spans="1:9" ht="15.75" x14ac:dyDescent="0.25">
      <c r="A110" s="8"/>
      <c r="B110" s="8"/>
      <c r="C110" s="9"/>
      <c r="D110" s="12" t="s">
        <v>106</v>
      </c>
      <c r="E110" s="17">
        <v>7287292.71</v>
      </c>
      <c r="F110" s="17">
        <v>14341095.658346243</v>
      </c>
      <c r="G110" s="17">
        <v>1041204.86</v>
      </c>
      <c r="H110" s="17">
        <v>0</v>
      </c>
      <c r="I110" s="13">
        <f t="shared" si="1"/>
        <v>22669593.228346244</v>
      </c>
    </row>
    <row r="111" spans="1:9" ht="15.75" x14ac:dyDescent="0.25">
      <c r="A111" s="8"/>
      <c r="B111" s="8"/>
      <c r="C111" s="9"/>
      <c r="D111" s="12" t="s">
        <v>107</v>
      </c>
      <c r="E111" s="17">
        <v>5280.81</v>
      </c>
      <c r="F111" s="17">
        <v>237069.52371904042</v>
      </c>
      <c r="G111" s="17">
        <v>35779001.350000001</v>
      </c>
      <c r="H111" s="17">
        <v>0</v>
      </c>
      <c r="I111" s="13">
        <f t="shared" si="1"/>
        <v>36021351.683719039</v>
      </c>
    </row>
    <row r="112" spans="1:9" ht="15.75" x14ac:dyDescent="0.25">
      <c r="A112" s="8"/>
      <c r="B112" s="8"/>
      <c r="C112" s="9"/>
      <c r="D112" s="12" t="s">
        <v>108</v>
      </c>
      <c r="E112" s="17">
        <v>37740987.32</v>
      </c>
      <c r="F112" s="17">
        <v>16225733.950846383</v>
      </c>
      <c r="G112" s="17">
        <v>3270485.3199999994</v>
      </c>
      <c r="H112" s="17">
        <v>0</v>
      </c>
      <c r="I112" s="13">
        <f t="shared" si="1"/>
        <v>57237206.590846382</v>
      </c>
    </row>
    <row r="113" spans="1:9" ht="15.75" x14ac:dyDescent="0.25">
      <c r="A113" s="8"/>
      <c r="B113" s="8"/>
      <c r="C113" s="9"/>
      <c r="D113" s="12" t="s">
        <v>109</v>
      </c>
      <c r="E113" s="17">
        <v>20218848.870000001</v>
      </c>
      <c r="F113" s="17">
        <v>39066867.192646101</v>
      </c>
      <c r="G113" s="17">
        <v>1320751.8099999998</v>
      </c>
      <c r="H113" s="17">
        <v>0</v>
      </c>
      <c r="I113" s="13">
        <f t="shared" si="1"/>
        <v>60606467.872646108</v>
      </c>
    </row>
    <row r="114" spans="1:9" ht="15.75" x14ac:dyDescent="0.25">
      <c r="A114" s="8"/>
      <c r="B114" s="8"/>
      <c r="C114" s="9"/>
      <c r="D114" s="12" t="s">
        <v>110</v>
      </c>
      <c r="E114" s="17">
        <v>78269879.850000024</v>
      </c>
      <c r="F114" s="17">
        <v>44808394.720216624</v>
      </c>
      <c r="G114" s="17">
        <v>2780542.01</v>
      </c>
      <c r="H114" s="17">
        <v>0</v>
      </c>
      <c r="I114" s="13">
        <f t="shared" si="1"/>
        <v>125858816.58021666</v>
      </c>
    </row>
    <row r="115" spans="1:9" ht="15.75" x14ac:dyDescent="0.25">
      <c r="A115" s="8"/>
      <c r="B115" s="8"/>
      <c r="C115" s="9"/>
      <c r="D115" s="12" t="s">
        <v>111</v>
      </c>
      <c r="E115" s="17">
        <v>153562348.47999996</v>
      </c>
      <c r="F115" s="17">
        <v>22154404.675809234</v>
      </c>
      <c r="G115" s="17">
        <v>2430852.7000000002</v>
      </c>
      <c r="H115" s="17">
        <v>0</v>
      </c>
      <c r="I115" s="13">
        <f t="shared" si="1"/>
        <v>178147605.85580918</v>
      </c>
    </row>
    <row r="116" spans="1:9" ht="15.75" x14ac:dyDescent="0.25">
      <c r="A116" s="8"/>
      <c r="B116" s="8"/>
      <c r="C116" s="9"/>
      <c r="D116" s="12" t="s">
        <v>112</v>
      </c>
      <c r="E116" s="17">
        <v>33143511.419999998</v>
      </c>
      <c r="F116" s="17">
        <v>28769803.966762558</v>
      </c>
      <c r="G116" s="17">
        <v>215611.47999999998</v>
      </c>
      <c r="H116" s="17">
        <v>0</v>
      </c>
      <c r="I116" s="13">
        <f t="shared" si="1"/>
        <v>62128926.866762556</v>
      </c>
    </row>
    <row r="117" spans="1:9" ht="15.75" x14ac:dyDescent="0.25">
      <c r="A117" s="8"/>
      <c r="B117" s="8"/>
      <c r="C117" s="9"/>
      <c r="D117" s="12" t="s">
        <v>113</v>
      </c>
      <c r="E117" s="17">
        <v>14881730.199999999</v>
      </c>
      <c r="F117" s="17">
        <v>22216893.110050391</v>
      </c>
      <c r="G117" s="17">
        <v>2689720.1100000003</v>
      </c>
      <c r="H117" s="17">
        <v>0</v>
      </c>
      <c r="I117" s="13">
        <f t="shared" si="1"/>
        <v>39788343.42005039</v>
      </c>
    </row>
    <row r="118" spans="1:9" ht="15.75" x14ac:dyDescent="0.25">
      <c r="A118" s="8"/>
      <c r="B118" s="8"/>
      <c r="C118" s="9"/>
      <c r="D118" s="12" t="s">
        <v>114</v>
      </c>
      <c r="E118" s="17">
        <v>24284610.93</v>
      </c>
      <c r="F118" s="17">
        <v>34698474.691725411</v>
      </c>
      <c r="G118" s="17">
        <v>3479163.6799999997</v>
      </c>
      <c r="H118" s="17">
        <v>0</v>
      </c>
      <c r="I118" s="13">
        <f t="shared" si="1"/>
        <v>62462249.30172541</v>
      </c>
    </row>
    <row r="119" spans="1:9" ht="15.75" x14ac:dyDescent="0.25">
      <c r="A119" s="8"/>
      <c r="B119" s="8"/>
      <c r="C119" s="9"/>
      <c r="D119" s="12" t="s">
        <v>115</v>
      </c>
      <c r="E119" s="17">
        <v>10209970.840000004</v>
      </c>
      <c r="F119" s="17">
        <v>3369865.974386686</v>
      </c>
      <c r="G119" s="17">
        <v>1296422.5699999998</v>
      </c>
      <c r="H119" s="17">
        <v>0</v>
      </c>
      <c r="I119" s="13">
        <f t="shared" si="1"/>
        <v>14876259.38438669</v>
      </c>
    </row>
    <row r="120" spans="1:9" ht="15.75" x14ac:dyDescent="0.25">
      <c r="A120" s="8"/>
      <c r="B120" s="8"/>
      <c r="C120" s="9"/>
      <c r="D120" s="12" t="s">
        <v>116</v>
      </c>
      <c r="E120" s="17">
        <v>183170862.70000002</v>
      </c>
      <c r="F120" s="17">
        <v>14727944.161045382</v>
      </c>
      <c r="G120" s="17">
        <v>3673222.83</v>
      </c>
      <c r="H120" s="17">
        <v>0</v>
      </c>
      <c r="I120" s="13">
        <f t="shared" si="1"/>
        <v>201572029.6910454</v>
      </c>
    </row>
    <row r="121" spans="1:9" ht="15.75" x14ac:dyDescent="0.25">
      <c r="A121" s="8"/>
      <c r="B121" s="8"/>
      <c r="C121" s="9"/>
      <c r="D121" s="12" t="s">
        <v>117</v>
      </c>
      <c r="E121" s="17">
        <v>32920995.809999987</v>
      </c>
      <c r="F121" s="17">
        <v>21854846.717849031</v>
      </c>
      <c r="G121" s="17">
        <v>2553541.0299999998</v>
      </c>
      <c r="H121" s="17">
        <v>0</v>
      </c>
      <c r="I121" s="13">
        <f t="shared" si="1"/>
        <v>57329383.55784902</v>
      </c>
    </row>
    <row r="122" spans="1:9" ht="15.75" x14ac:dyDescent="0.25">
      <c r="A122" s="8"/>
      <c r="B122" s="8"/>
      <c r="C122" s="9"/>
      <c r="D122" s="12" t="s">
        <v>118</v>
      </c>
      <c r="E122" s="17">
        <v>39806030.980000012</v>
      </c>
      <c r="F122" s="17">
        <v>16113641.295609668</v>
      </c>
      <c r="G122" s="17">
        <v>2529182.6899999995</v>
      </c>
      <c r="H122" s="17">
        <v>0</v>
      </c>
      <c r="I122" s="13">
        <f t="shared" si="1"/>
        <v>58448854.965609677</v>
      </c>
    </row>
    <row r="123" spans="1:9" ht="15.75" x14ac:dyDescent="0.25">
      <c r="A123" s="8"/>
      <c r="B123" s="8"/>
      <c r="C123" s="9"/>
      <c r="D123" s="12" t="s">
        <v>119</v>
      </c>
      <c r="E123" s="17">
        <v>48328987.63000001</v>
      </c>
      <c r="F123" s="17">
        <v>29605989.406402007</v>
      </c>
      <c r="G123" s="17">
        <v>1027391.3700000001</v>
      </c>
      <c r="H123" s="17">
        <v>0</v>
      </c>
      <c r="I123" s="13">
        <f t="shared" si="1"/>
        <v>78962368.406402022</v>
      </c>
    </row>
    <row r="124" spans="1:9" ht="15.75" x14ac:dyDescent="0.25">
      <c r="A124" s="8"/>
      <c r="B124" s="8"/>
      <c r="C124" s="9"/>
      <c r="D124" s="12" t="s">
        <v>120</v>
      </c>
      <c r="E124" s="17">
        <v>365451.04999999981</v>
      </c>
      <c r="F124" s="17">
        <v>0</v>
      </c>
      <c r="G124" s="17">
        <v>18046058.490000002</v>
      </c>
      <c r="H124" s="17">
        <v>21778081.779999971</v>
      </c>
      <c r="I124" s="13">
        <f t="shared" si="1"/>
        <v>40189591.319999978</v>
      </c>
    </row>
    <row r="125" spans="1:9" ht="15.75" x14ac:dyDescent="0.25">
      <c r="A125" s="8"/>
      <c r="B125" s="8"/>
      <c r="C125" s="9"/>
      <c r="D125" s="12" t="s">
        <v>121</v>
      </c>
      <c r="E125" s="17">
        <v>0</v>
      </c>
      <c r="F125" s="17">
        <v>0</v>
      </c>
      <c r="G125" s="17">
        <v>37367881.07</v>
      </c>
      <c r="H125" s="17">
        <v>4836197.8549999967</v>
      </c>
      <c r="I125" s="13">
        <f t="shared" si="1"/>
        <v>42204078.924999997</v>
      </c>
    </row>
    <row r="126" spans="1:9" ht="15.75" x14ac:dyDescent="0.25">
      <c r="A126" s="8"/>
      <c r="B126" s="8"/>
      <c r="C126" s="9"/>
      <c r="D126" s="12" t="s">
        <v>122</v>
      </c>
      <c r="E126" s="17">
        <v>9655.44</v>
      </c>
      <c r="F126" s="17">
        <v>0</v>
      </c>
      <c r="G126" s="17">
        <v>20545100.789999995</v>
      </c>
      <c r="H126" s="17">
        <v>0</v>
      </c>
      <c r="I126" s="13">
        <f t="shared" si="1"/>
        <v>20554756.229999997</v>
      </c>
    </row>
    <row r="127" spans="1:9" ht="15.75" x14ac:dyDescent="0.25">
      <c r="A127" s="8"/>
      <c r="B127" s="8"/>
      <c r="C127" s="9"/>
      <c r="D127" s="12" t="s">
        <v>123</v>
      </c>
      <c r="E127" s="17">
        <v>16167220.34</v>
      </c>
      <c r="F127" s="17">
        <v>6240790.7908375086</v>
      </c>
      <c r="G127" s="17">
        <v>11395767.42</v>
      </c>
      <c r="H127" s="17">
        <v>0</v>
      </c>
      <c r="I127" s="13">
        <f t="shared" si="1"/>
        <v>33803778.550837509</v>
      </c>
    </row>
    <row r="128" spans="1:9" ht="15.75" x14ac:dyDescent="0.25">
      <c r="A128" s="8"/>
      <c r="B128" s="8"/>
      <c r="C128" s="9"/>
      <c r="D128" s="12" t="s">
        <v>124</v>
      </c>
      <c r="E128" s="17">
        <v>47578359.040000007</v>
      </c>
      <c r="F128" s="17">
        <v>19470945.16208189</v>
      </c>
      <c r="G128" s="17">
        <v>4279116.669999999</v>
      </c>
      <c r="H128" s="17">
        <v>0</v>
      </c>
      <c r="I128" s="13">
        <f t="shared" si="1"/>
        <v>71328420.872081891</v>
      </c>
    </row>
    <row r="129" spans="1:9" ht="15.75" x14ac:dyDescent="0.25">
      <c r="A129" s="8"/>
      <c r="B129" s="8"/>
      <c r="C129" s="9"/>
      <c r="D129" s="12" t="s">
        <v>125</v>
      </c>
      <c r="E129" s="17">
        <v>9707758.4800000023</v>
      </c>
      <c r="F129" s="17">
        <v>9423513.5678318553</v>
      </c>
      <c r="G129" s="17">
        <v>4005331.4100000006</v>
      </c>
      <c r="H129" s="17">
        <v>0</v>
      </c>
      <c r="I129" s="13">
        <f t="shared" si="1"/>
        <v>23136603.457831856</v>
      </c>
    </row>
    <row r="130" spans="1:9" ht="15.75" x14ac:dyDescent="0.25">
      <c r="A130" s="8"/>
      <c r="B130" s="8"/>
      <c r="C130" s="9"/>
      <c r="D130" s="12" t="s">
        <v>126</v>
      </c>
      <c r="E130" s="17">
        <v>8381052.7199999979</v>
      </c>
      <c r="F130" s="17">
        <v>16600342.450962208</v>
      </c>
      <c r="G130" s="17">
        <v>939710.65999999992</v>
      </c>
      <c r="H130" s="17">
        <v>0</v>
      </c>
      <c r="I130" s="13">
        <f t="shared" si="1"/>
        <v>25921105.830962207</v>
      </c>
    </row>
    <row r="131" spans="1:9" ht="15.75" x14ac:dyDescent="0.25">
      <c r="A131" s="8"/>
      <c r="B131" s="8"/>
      <c r="C131" s="9"/>
      <c r="D131" s="12" t="s">
        <v>127</v>
      </c>
      <c r="E131" s="17">
        <v>163179124.12000003</v>
      </c>
      <c r="F131" s="17">
        <v>90727408.622203931</v>
      </c>
      <c r="G131" s="17">
        <v>22246969.390000004</v>
      </c>
      <c r="H131" s="17">
        <v>0</v>
      </c>
      <c r="I131" s="13">
        <f t="shared" si="1"/>
        <v>276153502.13220394</v>
      </c>
    </row>
    <row r="132" spans="1:9" ht="15.75" x14ac:dyDescent="0.25">
      <c r="A132" s="8"/>
      <c r="B132" s="8"/>
      <c r="C132" s="9"/>
      <c r="D132" s="12" t="s">
        <v>128</v>
      </c>
      <c r="E132" s="17">
        <v>28163789.769999996</v>
      </c>
      <c r="F132" s="17">
        <v>55667209.643608294</v>
      </c>
      <c r="G132" s="17">
        <v>27350.420000000006</v>
      </c>
      <c r="H132" s="17">
        <v>0</v>
      </c>
      <c r="I132" s="13">
        <f t="shared" si="1"/>
        <v>83858349.833608285</v>
      </c>
    </row>
    <row r="133" spans="1:9" ht="15.75" x14ac:dyDescent="0.25">
      <c r="A133" s="8"/>
      <c r="B133" s="8"/>
      <c r="C133" s="9"/>
      <c r="D133" s="12" t="s">
        <v>129</v>
      </c>
      <c r="E133" s="17">
        <v>1603861.4099999978</v>
      </c>
      <c r="F133" s="17">
        <v>0</v>
      </c>
      <c r="G133" s="17">
        <v>34942644.809999995</v>
      </c>
      <c r="H133" s="17">
        <v>16410151.309999987</v>
      </c>
      <c r="I133" s="13">
        <f t="shared" si="1"/>
        <v>52956657.529999979</v>
      </c>
    </row>
    <row r="134" spans="1:9" ht="15.75" x14ac:dyDescent="0.25">
      <c r="A134" s="8"/>
      <c r="B134" s="8"/>
      <c r="C134" s="9"/>
      <c r="D134" s="12" t="s">
        <v>130</v>
      </c>
      <c r="E134" s="17">
        <v>4601656.3599999994</v>
      </c>
      <c r="F134" s="17">
        <v>2745947.9479685044</v>
      </c>
      <c r="G134" s="17">
        <v>3876.74</v>
      </c>
      <c r="H134" s="17">
        <v>0</v>
      </c>
      <c r="I134" s="13">
        <f t="shared" si="1"/>
        <v>7351481.047968504</v>
      </c>
    </row>
    <row r="135" spans="1:9" ht="15.75" x14ac:dyDescent="0.25">
      <c r="A135" s="8"/>
      <c r="B135" s="8"/>
      <c r="C135" s="9"/>
      <c r="D135" s="12" t="s">
        <v>131</v>
      </c>
      <c r="E135" s="17">
        <v>16363169.359999998</v>
      </c>
      <c r="F135" s="17">
        <v>34698474.691725411</v>
      </c>
      <c r="G135" s="17">
        <v>353290.67000000004</v>
      </c>
      <c r="H135" s="17">
        <v>0</v>
      </c>
      <c r="I135" s="13">
        <f t="shared" si="1"/>
        <v>51414934.721725412</v>
      </c>
    </row>
    <row r="136" spans="1:9" ht="15.75" x14ac:dyDescent="0.25">
      <c r="A136" s="8"/>
      <c r="B136" s="8"/>
      <c r="C136" s="9"/>
      <c r="D136" s="12" t="s">
        <v>132</v>
      </c>
      <c r="E136" s="17">
        <v>148056779.40000001</v>
      </c>
      <c r="F136" s="17">
        <v>41937469.903765768</v>
      </c>
      <c r="G136" s="17">
        <v>5508149.1300000008</v>
      </c>
      <c r="H136" s="17">
        <v>0</v>
      </c>
      <c r="I136" s="13">
        <f t="shared" si="1"/>
        <v>195502398.43376577</v>
      </c>
    </row>
    <row r="137" spans="1:9" ht="15.75" x14ac:dyDescent="0.25">
      <c r="A137" s="8"/>
      <c r="B137" s="8"/>
      <c r="C137" s="9"/>
      <c r="D137" s="12" t="s">
        <v>133</v>
      </c>
      <c r="E137" s="17">
        <v>134072065.27999996</v>
      </c>
      <c r="F137" s="17">
        <v>65939148.653662935</v>
      </c>
      <c r="G137" s="17">
        <v>9564871.5300000012</v>
      </c>
      <c r="H137" s="17">
        <v>0</v>
      </c>
      <c r="I137" s="13">
        <f t="shared" si="1"/>
        <v>209576085.46366289</v>
      </c>
    </row>
    <row r="138" spans="1:9" ht="15.75" x14ac:dyDescent="0.25">
      <c r="A138" s="8"/>
      <c r="B138" s="8"/>
      <c r="C138" s="9"/>
      <c r="D138" s="12" t="s">
        <v>134</v>
      </c>
      <c r="E138" s="17">
        <v>0</v>
      </c>
      <c r="F138" s="17">
        <v>0</v>
      </c>
      <c r="G138" s="17">
        <v>22647364.199999999</v>
      </c>
      <c r="H138" s="17">
        <v>0</v>
      </c>
      <c r="I138" s="13">
        <f t="shared" ref="I138:I144" si="2">SUM(E138:H138)</f>
        <v>22647364.199999999</v>
      </c>
    </row>
    <row r="139" spans="1:9" ht="15.75" x14ac:dyDescent="0.25">
      <c r="A139" s="8"/>
      <c r="B139" s="8"/>
      <c r="C139" s="9"/>
      <c r="D139" s="12" t="s">
        <v>135</v>
      </c>
      <c r="E139" s="17">
        <v>12895523.930000002</v>
      </c>
      <c r="F139" s="17">
        <v>9872850.5047721565</v>
      </c>
      <c r="G139" s="17">
        <v>1307427.4100000001</v>
      </c>
      <c r="H139" s="17">
        <v>0</v>
      </c>
      <c r="I139" s="13">
        <f t="shared" si="2"/>
        <v>24075801.844772156</v>
      </c>
    </row>
    <row r="140" spans="1:9" ht="15.75" x14ac:dyDescent="0.25">
      <c r="A140" s="8"/>
      <c r="B140" s="8"/>
      <c r="C140" s="9"/>
      <c r="D140" s="12" t="s">
        <v>136</v>
      </c>
      <c r="E140" s="17">
        <v>90545680.650000006</v>
      </c>
      <c r="F140" s="17">
        <v>70020867.409869015</v>
      </c>
      <c r="G140" s="17">
        <v>3355391.9</v>
      </c>
      <c r="H140" s="17">
        <v>0</v>
      </c>
      <c r="I140" s="13">
        <f t="shared" si="2"/>
        <v>163921939.95986903</v>
      </c>
    </row>
    <row r="141" spans="1:9" ht="15.75" x14ac:dyDescent="0.25">
      <c r="A141" s="8"/>
      <c r="B141" s="8"/>
      <c r="C141" s="9"/>
      <c r="D141" s="12" t="s">
        <v>137</v>
      </c>
      <c r="E141" s="17">
        <v>0</v>
      </c>
      <c r="F141" s="17">
        <v>0</v>
      </c>
      <c r="G141" s="17">
        <v>36619146.709999993</v>
      </c>
      <c r="H141" s="17">
        <v>1650087.2699999996</v>
      </c>
      <c r="I141" s="13">
        <f t="shared" si="2"/>
        <v>38269233.979999989</v>
      </c>
    </row>
    <row r="142" spans="1:9" ht="15.75" x14ac:dyDescent="0.25">
      <c r="A142" s="8"/>
      <c r="B142" s="8"/>
      <c r="C142" s="9"/>
      <c r="D142" s="12" t="s">
        <v>138</v>
      </c>
      <c r="E142" s="17">
        <v>218849.19999999998</v>
      </c>
      <c r="F142" s="17">
        <v>0</v>
      </c>
      <c r="G142" s="17">
        <v>4557157.959999999</v>
      </c>
      <c r="H142" s="17">
        <v>0</v>
      </c>
      <c r="I142" s="13">
        <f t="shared" si="2"/>
        <v>4776007.1599999992</v>
      </c>
    </row>
    <row r="143" spans="1:9" ht="15.75" x14ac:dyDescent="0.25">
      <c r="A143" s="8"/>
      <c r="B143" s="8"/>
      <c r="C143" s="9"/>
      <c r="D143" s="12" t="s">
        <v>139</v>
      </c>
      <c r="E143" s="17">
        <v>2340269.4099999992</v>
      </c>
      <c r="F143" s="17">
        <v>64716114.711324349</v>
      </c>
      <c r="G143" s="17">
        <v>69533.86</v>
      </c>
      <c r="H143" s="17">
        <v>0</v>
      </c>
      <c r="I143" s="13">
        <f t="shared" si="2"/>
        <v>67125917.981324345</v>
      </c>
    </row>
    <row r="144" spans="1:9" ht="15.75" x14ac:dyDescent="0.25">
      <c r="A144" s="8"/>
      <c r="B144" s="8"/>
      <c r="C144" s="9"/>
      <c r="D144" s="12" t="s">
        <v>140</v>
      </c>
      <c r="E144" s="17">
        <v>31044260.82</v>
      </c>
      <c r="F144" s="17">
        <v>7863235.343789692</v>
      </c>
      <c r="G144" s="17">
        <v>9841657.9500000011</v>
      </c>
      <c r="H144" s="17">
        <v>0</v>
      </c>
      <c r="I144" s="13">
        <f t="shared" si="2"/>
        <v>48749154.113789693</v>
      </c>
    </row>
    <row r="145" spans="3:10" s="2" customFormat="1" ht="24.75" customHeight="1" x14ac:dyDescent="0.2">
      <c r="C145" s="10"/>
      <c r="D145" s="21" t="s">
        <v>141</v>
      </c>
      <c r="E145" s="22">
        <f>SUM(E10:E144)</f>
        <v>5432963042.2999983</v>
      </c>
      <c r="F145" s="22">
        <f>SUM(F10:F144)</f>
        <v>3220903854.5263543</v>
      </c>
      <c r="G145" s="22">
        <f>SUM(G10:G144)</f>
        <v>1271813788.3000011</v>
      </c>
      <c r="H145" s="22">
        <f>SUM(H10:H144)</f>
        <v>44674518.214999959</v>
      </c>
      <c r="I145" s="22">
        <f>SUM(I10:I144)</f>
        <v>9970355203.3413563</v>
      </c>
      <c r="J145" s="11"/>
    </row>
  </sheetData>
  <customSheetViews>
    <customSheetView guid="{F1F511AB-5865-40AB-8DB4-DDEDE7CBB603}" scale="80" showGridLines="0" fitToPage="1">
      <pane xSplit="4" ySplit="9" topLeftCell="E133" activePane="bottomRight" state="frozen"/>
      <selection pane="bottomRight" activeCell="G29" sqref="G29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D10" sqref="D10"/>
      <pageMargins left="0" right="0" top="0.19685039370078741" bottom="0.39370078740157483" header="0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3" fitToHeight="7" orientation="portrait" r:id="rId3"/>
  <headerFooter alignWithMargins="0">
    <oddFooter>&amp;C&amp;"Arial,Normal"&amp;9Subsecretaría de Coordinación Económica y Estadística
MINISTERIO DE ECONOMÍA&amp;R&amp;P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.83203125" style="2" customWidth="1"/>
    <col min="10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/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166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11493428.48</v>
      </c>
      <c r="F10" s="14">
        <v>27218021.600239057</v>
      </c>
      <c r="G10" s="14">
        <v>4952251.919999999</v>
      </c>
      <c r="H10" s="14">
        <v>0</v>
      </c>
      <c r="I10" s="13">
        <f t="shared" ref="I10:I73" si="0">SUM(E10:H10)</f>
        <v>43663702.000239059</v>
      </c>
    </row>
    <row r="11" spans="1:9" ht="15.75" x14ac:dyDescent="0.25">
      <c r="A11" s="8"/>
      <c r="B11" s="8"/>
      <c r="C11" s="9"/>
      <c r="D11" s="12" t="s">
        <v>7</v>
      </c>
      <c r="E11" s="14">
        <v>12437986.33</v>
      </c>
      <c r="F11" s="14">
        <v>15276807.989413226</v>
      </c>
      <c r="G11" s="14">
        <v>1894333.87</v>
      </c>
      <c r="H11" s="14">
        <v>0</v>
      </c>
      <c r="I11" s="13">
        <f t="shared" si="0"/>
        <v>29609128.189413227</v>
      </c>
    </row>
    <row r="12" spans="1:9" ht="15.75" x14ac:dyDescent="0.25">
      <c r="A12" s="8"/>
      <c r="B12" s="8"/>
      <c r="C12" s="9"/>
      <c r="D12" s="12" t="s">
        <v>8</v>
      </c>
      <c r="E12" s="14">
        <v>8869613.3999999985</v>
      </c>
      <c r="F12" s="14">
        <v>5538359.6517622266</v>
      </c>
      <c r="G12" s="14">
        <v>2109460.4699999997</v>
      </c>
      <c r="H12" s="14">
        <v>0</v>
      </c>
      <c r="I12" s="13">
        <f t="shared" si="0"/>
        <v>16517433.521762226</v>
      </c>
    </row>
    <row r="13" spans="1:9" ht="15.75" x14ac:dyDescent="0.25">
      <c r="A13" s="8"/>
      <c r="B13" s="8"/>
      <c r="C13" s="9"/>
      <c r="D13" s="12" t="s">
        <v>9</v>
      </c>
      <c r="E13" s="14">
        <v>3560113.46</v>
      </c>
      <c r="F13" s="14">
        <v>146456.09929788602</v>
      </c>
      <c r="G13" s="14">
        <v>47916123.849999994</v>
      </c>
      <c r="H13" s="14">
        <v>0</v>
      </c>
      <c r="I13" s="13">
        <f t="shared" si="0"/>
        <v>51622693.409297884</v>
      </c>
    </row>
    <row r="14" spans="1:9" ht="15.75" x14ac:dyDescent="0.25">
      <c r="A14" s="8"/>
      <c r="B14" s="8"/>
      <c r="C14" s="9"/>
      <c r="D14" s="12" t="s">
        <v>10</v>
      </c>
      <c r="E14" s="14">
        <v>7845782.6599999992</v>
      </c>
      <c r="F14" s="14">
        <v>6153676.9295352735</v>
      </c>
      <c r="G14" s="14">
        <v>3613348.1200000006</v>
      </c>
      <c r="H14" s="14">
        <v>0</v>
      </c>
      <c r="I14" s="13">
        <f t="shared" si="0"/>
        <v>17612807.709535275</v>
      </c>
    </row>
    <row r="15" spans="1:9" ht="15.75" x14ac:dyDescent="0.25">
      <c r="A15" s="8"/>
      <c r="B15" s="8"/>
      <c r="C15" s="9"/>
      <c r="D15" s="12" t="s">
        <v>11</v>
      </c>
      <c r="E15" s="14">
        <v>119197.3</v>
      </c>
      <c r="F15" s="14">
        <v>34156.28477601301</v>
      </c>
      <c r="G15" s="14">
        <v>43637083.629999995</v>
      </c>
      <c r="H15" s="14">
        <v>0</v>
      </c>
      <c r="I15" s="13">
        <f t="shared" si="0"/>
        <v>43790437.214776009</v>
      </c>
    </row>
    <row r="16" spans="1:9" ht="15.75" x14ac:dyDescent="0.25">
      <c r="A16" s="8"/>
      <c r="B16" s="8"/>
      <c r="C16" s="9"/>
      <c r="D16" s="12" t="s">
        <v>12</v>
      </c>
      <c r="E16" s="14">
        <v>23302812.790000003</v>
      </c>
      <c r="F16" s="14">
        <v>29342517.305716824</v>
      </c>
      <c r="G16" s="14">
        <v>3724109.2299999995</v>
      </c>
      <c r="H16" s="14">
        <v>0</v>
      </c>
      <c r="I16" s="13">
        <f t="shared" si="0"/>
        <v>56369439.325716823</v>
      </c>
    </row>
    <row r="17" spans="1:9" ht="15.75" x14ac:dyDescent="0.25">
      <c r="A17" s="8"/>
      <c r="B17" s="8"/>
      <c r="C17" s="9"/>
      <c r="D17" s="12" t="s">
        <v>13</v>
      </c>
      <c r="E17" s="14">
        <v>44752600.400000013</v>
      </c>
      <c r="F17" s="14">
        <v>26959139.648468092</v>
      </c>
      <c r="G17" s="14">
        <v>10739238.959999999</v>
      </c>
      <c r="H17" s="14">
        <v>0</v>
      </c>
      <c r="I17" s="13">
        <f t="shared" si="0"/>
        <v>82450979.008468106</v>
      </c>
    </row>
    <row r="18" spans="1:9" ht="15.75" x14ac:dyDescent="0.25">
      <c r="A18" s="8"/>
      <c r="B18" s="8"/>
      <c r="C18" s="9"/>
      <c r="D18" s="12" t="s">
        <v>14</v>
      </c>
      <c r="E18" s="14">
        <v>9323086.3600000031</v>
      </c>
      <c r="F18" s="14">
        <v>2197723.7551267114</v>
      </c>
      <c r="G18" s="14">
        <v>63647127.889999993</v>
      </c>
      <c r="H18" s="14">
        <v>0</v>
      </c>
      <c r="I18" s="13">
        <f t="shared" si="0"/>
        <v>75167938.005126715</v>
      </c>
    </row>
    <row r="19" spans="1:9" ht="15.75" x14ac:dyDescent="0.25">
      <c r="A19" s="8"/>
      <c r="B19" s="8"/>
      <c r="C19" s="9"/>
      <c r="D19" s="12" t="s">
        <v>15</v>
      </c>
      <c r="E19" s="14">
        <v>52335715.479999989</v>
      </c>
      <c r="F19" s="14">
        <v>20976370.18076409</v>
      </c>
      <c r="G19" s="14">
        <v>9851105.8399999999</v>
      </c>
      <c r="H19" s="14">
        <v>0</v>
      </c>
      <c r="I19" s="13">
        <f t="shared" si="0"/>
        <v>83163191.500764087</v>
      </c>
    </row>
    <row r="20" spans="1:9" ht="15.75" x14ac:dyDescent="0.25">
      <c r="A20" s="8"/>
      <c r="B20" s="8"/>
      <c r="C20" s="9"/>
      <c r="D20" s="12" t="s">
        <v>16</v>
      </c>
      <c r="E20" s="14">
        <v>19116323.079999998</v>
      </c>
      <c r="F20" s="14">
        <v>5220870.0526818698</v>
      </c>
      <c r="G20" s="14">
        <v>5062223.04</v>
      </c>
      <c r="H20" s="14">
        <v>0</v>
      </c>
      <c r="I20" s="13">
        <f t="shared" si="0"/>
        <v>29399416.172681868</v>
      </c>
    </row>
    <row r="21" spans="1:9" ht="15.75" x14ac:dyDescent="0.25">
      <c r="A21" s="8"/>
      <c r="B21" s="8"/>
      <c r="C21" s="9"/>
      <c r="D21" s="12" t="s">
        <v>17</v>
      </c>
      <c r="E21" s="14">
        <v>15680193.92</v>
      </c>
      <c r="F21" s="14">
        <v>25093525.894761287</v>
      </c>
      <c r="G21" s="14">
        <v>2301083.63</v>
      </c>
      <c r="H21" s="14">
        <v>0</v>
      </c>
      <c r="I21" s="13">
        <f t="shared" si="0"/>
        <v>43074803.444761291</v>
      </c>
    </row>
    <row r="22" spans="1:9" ht="15.75" x14ac:dyDescent="0.25">
      <c r="A22" s="8"/>
      <c r="B22" s="8"/>
      <c r="C22" s="9"/>
      <c r="D22" s="12" t="s">
        <v>18</v>
      </c>
      <c r="E22" s="14">
        <v>637005.85</v>
      </c>
      <c r="F22" s="14">
        <v>1074473.5340055753</v>
      </c>
      <c r="G22" s="14">
        <v>27300745.679999996</v>
      </c>
      <c r="H22" s="14">
        <v>0</v>
      </c>
      <c r="I22" s="13">
        <f t="shared" si="0"/>
        <v>29012225.064005572</v>
      </c>
    </row>
    <row r="23" spans="1:9" ht="15.75" x14ac:dyDescent="0.25">
      <c r="A23" s="8"/>
      <c r="B23" s="8"/>
      <c r="C23" s="9"/>
      <c r="D23" s="12" t="s">
        <v>19</v>
      </c>
      <c r="E23" s="14">
        <v>1074374.46</v>
      </c>
      <c r="F23" s="14">
        <v>400422.5709719311</v>
      </c>
      <c r="G23" s="14">
        <v>12093859.800000001</v>
      </c>
      <c r="H23" s="14">
        <v>0</v>
      </c>
      <c r="I23" s="13">
        <f t="shared" si="0"/>
        <v>13568656.830971932</v>
      </c>
    </row>
    <row r="24" spans="1:9" ht="15.75" x14ac:dyDescent="0.25">
      <c r="A24" s="8"/>
      <c r="B24" s="8"/>
      <c r="C24" s="9"/>
      <c r="D24" s="12" t="s">
        <v>20</v>
      </c>
      <c r="E24" s="14">
        <v>19591855.039999999</v>
      </c>
      <c r="F24" s="14">
        <v>15389233.841886304</v>
      </c>
      <c r="G24" s="14">
        <v>6818162.0100000007</v>
      </c>
      <c r="H24" s="14">
        <v>0</v>
      </c>
      <c r="I24" s="13">
        <f t="shared" si="0"/>
        <v>41799250.891886301</v>
      </c>
    </row>
    <row r="25" spans="1:9" ht="15.75" x14ac:dyDescent="0.25">
      <c r="A25" s="8"/>
      <c r="B25" s="8"/>
      <c r="C25" s="9"/>
      <c r="D25" s="12" t="s">
        <v>21</v>
      </c>
      <c r="E25" s="14">
        <v>15745925.309999995</v>
      </c>
      <c r="F25" s="14">
        <v>11428365.187380824</v>
      </c>
      <c r="G25" s="14">
        <v>6285315.2099999981</v>
      </c>
      <c r="H25" s="14">
        <v>0</v>
      </c>
      <c r="I25" s="13">
        <f t="shared" si="0"/>
        <v>33459605.707380816</v>
      </c>
    </row>
    <row r="26" spans="1:9" ht="15.75" x14ac:dyDescent="0.25">
      <c r="A26" s="8"/>
      <c r="B26" s="8"/>
      <c r="C26" s="9"/>
      <c r="D26" s="12" t="s">
        <v>22</v>
      </c>
      <c r="E26" s="14">
        <v>12597764.739999998</v>
      </c>
      <c r="F26" s="14">
        <v>6544394.5782645736</v>
      </c>
      <c r="G26" s="14">
        <v>3962789.7399999998</v>
      </c>
      <c r="H26" s="14">
        <v>0</v>
      </c>
      <c r="I26" s="13">
        <f t="shared" si="0"/>
        <v>23104949.058264572</v>
      </c>
    </row>
    <row r="27" spans="1:9" ht="15.75" x14ac:dyDescent="0.25">
      <c r="A27" s="8"/>
      <c r="B27" s="8"/>
      <c r="C27" s="9"/>
      <c r="D27" s="12" t="s">
        <v>23</v>
      </c>
      <c r="E27" s="14">
        <v>8185674.5699999975</v>
      </c>
      <c r="F27" s="14">
        <v>1123250.2211211361</v>
      </c>
      <c r="G27" s="14">
        <v>14539875.510000002</v>
      </c>
      <c r="H27" s="14">
        <v>0</v>
      </c>
      <c r="I27" s="13">
        <f t="shared" si="0"/>
        <v>23848800.301121134</v>
      </c>
    </row>
    <row r="28" spans="1:9" ht="15.75" x14ac:dyDescent="0.25">
      <c r="A28" s="8"/>
      <c r="B28" s="8"/>
      <c r="C28" s="9"/>
      <c r="D28" s="12" t="s">
        <v>24</v>
      </c>
      <c r="E28" s="14">
        <v>11067849.379999997</v>
      </c>
      <c r="F28" s="14">
        <v>5323464.944961112</v>
      </c>
      <c r="G28" s="14">
        <v>5865782.8399999989</v>
      </c>
      <c r="H28" s="14">
        <v>0</v>
      </c>
      <c r="I28" s="13">
        <f t="shared" si="0"/>
        <v>22257097.164961107</v>
      </c>
    </row>
    <row r="29" spans="1:9" ht="15.75" x14ac:dyDescent="0.25">
      <c r="A29" s="8"/>
      <c r="B29" s="8"/>
      <c r="C29" s="9"/>
      <c r="D29" s="12" t="s">
        <v>25</v>
      </c>
      <c r="E29" s="14">
        <v>7023203.1100000022</v>
      </c>
      <c r="F29" s="14">
        <v>2979159.0525853112</v>
      </c>
      <c r="G29" s="14">
        <v>3169485.85</v>
      </c>
      <c r="H29" s="14">
        <v>0</v>
      </c>
      <c r="I29" s="13">
        <f t="shared" si="0"/>
        <v>13171848.012585314</v>
      </c>
    </row>
    <row r="30" spans="1:9" ht="15.75" x14ac:dyDescent="0.25">
      <c r="A30" s="8"/>
      <c r="B30" s="8"/>
      <c r="C30" s="9"/>
      <c r="D30" s="12" t="s">
        <v>26</v>
      </c>
      <c r="E30" s="14">
        <v>18142031.050000001</v>
      </c>
      <c r="F30" s="14">
        <v>16068074.24706566</v>
      </c>
      <c r="G30" s="14">
        <v>4193377.7699999996</v>
      </c>
      <c r="H30" s="14">
        <v>0</v>
      </c>
      <c r="I30" s="13">
        <f t="shared" si="0"/>
        <v>38403483.067065656</v>
      </c>
    </row>
    <row r="31" spans="1:9" ht="15.75" x14ac:dyDescent="0.25">
      <c r="A31" s="8"/>
      <c r="B31" s="8"/>
      <c r="C31" s="9"/>
      <c r="D31" s="12" t="s">
        <v>27</v>
      </c>
      <c r="E31" s="14">
        <v>12626475.080000002</v>
      </c>
      <c r="F31" s="14">
        <v>16654150.720159613</v>
      </c>
      <c r="G31" s="14">
        <v>3040802.92</v>
      </c>
      <c r="H31" s="14">
        <v>0</v>
      </c>
      <c r="I31" s="13">
        <f t="shared" si="0"/>
        <v>32321428.720159613</v>
      </c>
    </row>
    <row r="32" spans="1:9" ht="15.75" x14ac:dyDescent="0.25">
      <c r="A32" s="8"/>
      <c r="B32" s="8"/>
      <c r="C32" s="9"/>
      <c r="D32" s="12" t="s">
        <v>28</v>
      </c>
      <c r="E32" s="14">
        <v>18933835.759999998</v>
      </c>
      <c r="F32" s="14">
        <v>5621418.6616050033</v>
      </c>
      <c r="G32" s="14">
        <v>2287585.11</v>
      </c>
      <c r="H32" s="14">
        <v>0</v>
      </c>
      <c r="I32" s="13">
        <f t="shared" si="0"/>
        <v>26842839.531605002</v>
      </c>
    </row>
    <row r="33" spans="1:9" ht="15.75" x14ac:dyDescent="0.25">
      <c r="A33" s="8"/>
      <c r="B33" s="8"/>
      <c r="C33" s="9"/>
      <c r="D33" s="12" t="s">
        <v>29</v>
      </c>
      <c r="E33" s="14">
        <v>7017887.8100000005</v>
      </c>
      <c r="F33" s="14">
        <v>8497982.8219110742</v>
      </c>
      <c r="G33" s="14">
        <v>2829795.29</v>
      </c>
      <c r="H33" s="14">
        <v>0</v>
      </c>
      <c r="I33" s="13">
        <f t="shared" si="0"/>
        <v>18345665.921911076</v>
      </c>
    </row>
    <row r="34" spans="1:9" ht="15.75" x14ac:dyDescent="0.25">
      <c r="A34" s="8"/>
      <c r="B34" s="8"/>
      <c r="C34" s="9"/>
      <c r="D34" s="12" t="s">
        <v>30</v>
      </c>
      <c r="E34" s="14">
        <v>38137125.210000001</v>
      </c>
      <c r="F34" s="14">
        <v>12195054.044548674</v>
      </c>
      <c r="G34" s="14">
        <v>7443825.549999998</v>
      </c>
      <c r="H34" s="14">
        <v>0</v>
      </c>
      <c r="I34" s="13">
        <f t="shared" si="0"/>
        <v>57776004.804548673</v>
      </c>
    </row>
    <row r="35" spans="1:9" ht="15.75" x14ac:dyDescent="0.25">
      <c r="A35" s="8"/>
      <c r="B35" s="8"/>
      <c r="C35" s="9"/>
      <c r="D35" s="12" t="s">
        <v>31</v>
      </c>
      <c r="E35" s="14">
        <v>15742787.32</v>
      </c>
      <c r="F35" s="14">
        <v>17928772.520675551</v>
      </c>
      <c r="G35" s="14">
        <v>6942730.0899999989</v>
      </c>
      <c r="H35" s="14">
        <v>0</v>
      </c>
      <c r="I35" s="13">
        <f t="shared" si="0"/>
        <v>40614289.930675544</v>
      </c>
    </row>
    <row r="36" spans="1:9" ht="15.75" x14ac:dyDescent="0.25">
      <c r="A36" s="8"/>
      <c r="B36" s="8"/>
      <c r="C36" s="9"/>
      <c r="D36" s="12" t="s">
        <v>32</v>
      </c>
      <c r="E36" s="14">
        <v>8568524.9300000016</v>
      </c>
      <c r="F36" s="14">
        <v>11125495.990640014</v>
      </c>
      <c r="G36" s="14">
        <v>11988486.740000002</v>
      </c>
      <c r="H36" s="14">
        <v>0</v>
      </c>
      <c r="I36" s="13">
        <f t="shared" si="0"/>
        <v>31682507.660640016</v>
      </c>
    </row>
    <row r="37" spans="1:9" ht="15.75" x14ac:dyDescent="0.25">
      <c r="A37" s="8"/>
      <c r="B37" s="8"/>
      <c r="C37" s="9"/>
      <c r="D37" s="12" t="s">
        <v>33</v>
      </c>
      <c r="E37" s="14">
        <v>12703846.84</v>
      </c>
      <c r="F37" s="14">
        <v>6153676.9295352735</v>
      </c>
      <c r="G37" s="14">
        <v>4006566.0700000003</v>
      </c>
      <c r="H37" s="14">
        <v>0</v>
      </c>
      <c r="I37" s="13">
        <f t="shared" si="0"/>
        <v>22864089.839535274</v>
      </c>
    </row>
    <row r="38" spans="1:9" ht="15.75" x14ac:dyDescent="0.25">
      <c r="A38" s="8"/>
      <c r="B38" s="8"/>
      <c r="C38" s="9"/>
      <c r="D38" s="12" t="s">
        <v>34</v>
      </c>
      <c r="E38" s="14">
        <v>17196216.559999999</v>
      </c>
      <c r="F38" s="14">
        <v>13372122.47083349</v>
      </c>
      <c r="G38" s="14">
        <v>3453307.4299999997</v>
      </c>
      <c r="H38" s="14">
        <v>0</v>
      </c>
      <c r="I38" s="13">
        <f t="shared" si="0"/>
        <v>34021646.46083349</v>
      </c>
    </row>
    <row r="39" spans="1:9" ht="15.75" x14ac:dyDescent="0.25">
      <c r="A39" s="8"/>
      <c r="B39" s="8"/>
      <c r="C39" s="9"/>
      <c r="D39" s="12" t="s">
        <v>35</v>
      </c>
      <c r="E39" s="14">
        <v>12570907.550000001</v>
      </c>
      <c r="F39" s="14">
        <v>20937298.415891159</v>
      </c>
      <c r="G39" s="14">
        <v>3305236.0100000002</v>
      </c>
      <c r="H39" s="14">
        <v>0</v>
      </c>
      <c r="I39" s="13">
        <f t="shared" si="0"/>
        <v>36813441.975891158</v>
      </c>
    </row>
    <row r="40" spans="1:9" ht="15.75" x14ac:dyDescent="0.25">
      <c r="A40" s="8"/>
      <c r="B40" s="8"/>
      <c r="C40" s="9"/>
      <c r="D40" s="12" t="s">
        <v>36</v>
      </c>
      <c r="E40" s="14">
        <v>904028.34000000008</v>
      </c>
      <c r="F40" s="14">
        <v>1098924.8965389573</v>
      </c>
      <c r="G40" s="14">
        <v>745680.06000000017</v>
      </c>
      <c r="H40" s="14">
        <v>0</v>
      </c>
      <c r="I40" s="13">
        <f t="shared" si="0"/>
        <v>2748633.2965389574</v>
      </c>
    </row>
    <row r="41" spans="1:9" ht="15.75" x14ac:dyDescent="0.25">
      <c r="A41" s="8"/>
      <c r="B41" s="8"/>
      <c r="C41" s="9"/>
      <c r="D41" s="12" t="s">
        <v>37</v>
      </c>
      <c r="E41" s="14">
        <v>35228378.210000016</v>
      </c>
      <c r="F41" s="14">
        <v>18363477.414374698</v>
      </c>
      <c r="G41" s="14">
        <v>7840054.0999999996</v>
      </c>
      <c r="H41" s="14">
        <v>0</v>
      </c>
      <c r="I41" s="13">
        <f t="shared" si="0"/>
        <v>61431909.724374719</v>
      </c>
    </row>
    <row r="42" spans="1:9" ht="15.75" x14ac:dyDescent="0.25">
      <c r="A42" s="8"/>
      <c r="B42" s="8"/>
      <c r="C42" s="9"/>
      <c r="D42" s="12" t="s">
        <v>38</v>
      </c>
      <c r="E42" s="14">
        <v>17546303.170000002</v>
      </c>
      <c r="F42" s="14">
        <v>19887276.244418968</v>
      </c>
      <c r="G42" s="14">
        <v>2451903.5100000002</v>
      </c>
      <c r="H42" s="14">
        <v>0</v>
      </c>
      <c r="I42" s="13">
        <f t="shared" si="0"/>
        <v>39885482.924418963</v>
      </c>
    </row>
    <row r="43" spans="1:9" ht="15.75" x14ac:dyDescent="0.25">
      <c r="A43" s="8"/>
      <c r="B43" s="8"/>
      <c r="C43" s="9"/>
      <c r="D43" s="12" t="s">
        <v>39</v>
      </c>
      <c r="E43" s="14">
        <v>2699510.1999999997</v>
      </c>
      <c r="F43" s="14">
        <v>7233065.9436377641</v>
      </c>
      <c r="G43" s="14">
        <v>4887376.78</v>
      </c>
      <c r="H43" s="14">
        <v>0</v>
      </c>
      <c r="I43" s="13">
        <f t="shared" si="0"/>
        <v>14819952.923637763</v>
      </c>
    </row>
    <row r="44" spans="1:9" ht="15.75" x14ac:dyDescent="0.25">
      <c r="A44" s="8"/>
      <c r="B44" s="8"/>
      <c r="C44" s="9"/>
      <c r="D44" s="12" t="s">
        <v>40</v>
      </c>
      <c r="E44" s="14">
        <v>21680.519999999997</v>
      </c>
      <c r="F44" s="14">
        <v>556709.63046365103</v>
      </c>
      <c r="G44" s="14">
        <v>7639003.4400000013</v>
      </c>
      <c r="H44" s="14">
        <v>0</v>
      </c>
      <c r="I44" s="13">
        <f t="shared" si="0"/>
        <v>8217393.5904636523</v>
      </c>
    </row>
    <row r="45" spans="1:9" ht="15.75" x14ac:dyDescent="0.25">
      <c r="A45" s="8"/>
      <c r="B45" s="8"/>
      <c r="C45" s="9"/>
      <c r="D45" s="12" t="s">
        <v>41</v>
      </c>
      <c r="E45" s="14">
        <v>5923107.5200000023</v>
      </c>
      <c r="F45" s="14">
        <v>161202.53958863701</v>
      </c>
      <c r="G45" s="14">
        <v>15949213.68</v>
      </c>
      <c r="H45" s="14">
        <v>0</v>
      </c>
      <c r="I45" s="13">
        <f t="shared" si="0"/>
        <v>22033523.739588641</v>
      </c>
    </row>
    <row r="46" spans="1:9" ht="15.75" x14ac:dyDescent="0.25">
      <c r="A46" s="8"/>
      <c r="B46" s="8"/>
      <c r="C46" s="9"/>
      <c r="D46" s="12" t="s">
        <v>42</v>
      </c>
      <c r="E46" s="14">
        <v>1430595.87</v>
      </c>
      <c r="F46" s="14">
        <v>537173.74802718603</v>
      </c>
      <c r="G46" s="14">
        <v>30984479.589999996</v>
      </c>
      <c r="H46" s="14">
        <v>0</v>
      </c>
      <c r="I46" s="13">
        <f t="shared" si="0"/>
        <v>32952249.208027184</v>
      </c>
    </row>
    <row r="47" spans="1:9" ht="15.75" x14ac:dyDescent="0.25">
      <c r="A47" s="8"/>
      <c r="B47" s="8"/>
      <c r="C47" s="9"/>
      <c r="D47" s="12" t="s">
        <v>43</v>
      </c>
      <c r="E47" s="14">
        <v>12190757.979999999</v>
      </c>
      <c r="F47" s="14">
        <v>3408948.4661875414</v>
      </c>
      <c r="G47" s="14">
        <v>4271636.459999999</v>
      </c>
      <c r="H47" s="14">
        <v>0</v>
      </c>
      <c r="I47" s="13">
        <f t="shared" si="0"/>
        <v>19871342.906187542</v>
      </c>
    </row>
    <row r="48" spans="1:9" ht="15.75" x14ac:dyDescent="0.25">
      <c r="A48" s="8"/>
      <c r="B48" s="8"/>
      <c r="C48" s="9"/>
      <c r="D48" s="12" t="s">
        <v>44</v>
      </c>
      <c r="E48" s="14">
        <v>1037390.3900000001</v>
      </c>
      <c r="F48" s="14">
        <v>537173.74802718603</v>
      </c>
      <c r="G48" s="14">
        <v>15876210.550000003</v>
      </c>
      <c r="H48" s="14">
        <v>0</v>
      </c>
      <c r="I48" s="13">
        <f t="shared" si="0"/>
        <v>17450774.688027188</v>
      </c>
    </row>
    <row r="49" spans="1:9" ht="15.75" x14ac:dyDescent="0.25">
      <c r="A49" s="8"/>
      <c r="B49" s="8"/>
      <c r="C49" s="9"/>
      <c r="D49" s="12" t="s">
        <v>45</v>
      </c>
      <c r="E49" s="14">
        <v>2590194.6000000006</v>
      </c>
      <c r="F49" s="14">
        <v>639768.64030642807</v>
      </c>
      <c r="G49" s="14">
        <v>46692626.790000007</v>
      </c>
      <c r="H49" s="14">
        <v>0</v>
      </c>
      <c r="I49" s="13">
        <f t="shared" si="0"/>
        <v>49922590.030306436</v>
      </c>
    </row>
    <row r="50" spans="1:9" ht="15.75" x14ac:dyDescent="0.25">
      <c r="A50" s="8"/>
      <c r="B50" s="8"/>
      <c r="C50" s="9"/>
      <c r="D50" s="12" t="s">
        <v>46</v>
      </c>
      <c r="E50" s="14">
        <v>9464528.1799999978</v>
      </c>
      <c r="F50" s="14">
        <v>6183043.7721655723</v>
      </c>
      <c r="G50" s="14">
        <v>2498804.9500000002</v>
      </c>
      <c r="H50" s="14">
        <v>0</v>
      </c>
      <c r="I50" s="13">
        <f t="shared" si="0"/>
        <v>18146376.902165569</v>
      </c>
    </row>
    <row r="51" spans="1:9" ht="15.75" x14ac:dyDescent="0.25">
      <c r="A51" s="8"/>
      <c r="B51" s="8"/>
      <c r="C51" s="9"/>
      <c r="D51" s="12" t="s">
        <v>47</v>
      </c>
      <c r="E51" s="14">
        <v>22770911.98</v>
      </c>
      <c r="F51" s="14">
        <v>11242711.285258805</v>
      </c>
      <c r="G51" s="14">
        <v>6873251.8300000001</v>
      </c>
      <c r="H51" s="14">
        <v>0</v>
      </c>
      <c r="I51" s="13">
        <f t="shared" si="0"/>
        <v>40886875.095258802</v>
      </c>
    </row>
    <row r="52" spans="1:9" ht="15.75" x14ac:dyDescent="0.25">
      <c r="A52" s="8"/>
      <c r="B52" s="8"/>
      <c r="C52" s="9"/>
      <c r="D52" s="12" t="s">
        <v>48</v>
      </c>
      <c r="E52" s="14">
        <v>8985584.3500000015</v>
      </c>
      <c r="F52" s="14">
        <v>11330685.775198499</v>
      </c>
      <c r="G52" s="14">
        <v>1338211.0299999998</v>
      </c>
      <c r="H52" s="14">
        <v>0</v>
      </c>
      <c r="I52" s="13">
        <f t="shared" si="0"/>
        <v>21654481.1551985</v>
      </c>
    </row>
    <row r="53" spans="1:9" ht="15.75" x14ac:dyDescent="0.25">
      <c r="A53" s="8"/>
      <c r="B53" s="8"/>
      <c r="C53" s="9"/>
      <c r="D53" s="12" t="s">
        <v>49</v>
      </c>
      <c r="E53" s="14">
        <v>13247770.770000001</v>
      </c>
      <c r="F53" s="14">
        <v>7765450.2495192373</v>
      </c>
      <c r="G53" s="14">
        <v>3681111.3400000003</v>
      </c>
      <c r="H53" s="14">
        <v>0</v>
      </c>
      <c r="I53" s="13">
        <f t="shared" si="0"/>
        <v>24694332.35951924</v>
      </c>
    </row>
    <row r="54" spans="1:9" ht="15.75" x14ac:dyDescent="0.25">
      <c r="A54" s="8"/>
      <c r="B54" s="8"/>
      <c r="C54" s="9"/>
      <c r="D54" s="12" t="s">
        <v>50</v>
      </c>
      <c r="E54" s="14">
        <v>19458468.91</v>
      </c>
      <c r="F54" s="14">
        <v>7130471.0513585247</v>
      </c>
      <c r="G54" s="14">
        <v>3447853.4299999997</v>
      </c>
      <c r="H54" s="14">
        <v>0</v>
      </c>
      <c r="I54" s="13">
        <f t="shared" si="0"/>
        <v>30036793.391358525</v>
      </c>
    </row>
    <row r="55" spans="1:9" ht="15.75" x14ac:dyDescent="0.25">
      <c r="A55" s="8"/>
      <c r="B55" s="8"/>
      <c r="C55" s="9"/>
      <c r="D55" s="12" t="s">
        <v>51</v>
      </c>
      <c r="E55" s="14">
        <v>6170456.4100000001</v>
      </c>
      <c r="F55" s="14">
        <v>14602883.064330785</v>
      </c>
      <c r="G55" s="14">
        <v>301099.48000000004</v>
      </c>
      <c r="H55" s="14">
        <v>0</v>
      </c>
      <c r="I55" s="13">
        <f t="shared" si="0"/>
        <v>21074438.954330783</v>
      </c>
    </row>
    <row r="56" spans="1:9" ht="15.75" x14ac:dyDescent="0.25">
      <c r="A56" s="8"/>
      <c r="B56" s="8"/>
      <c r="C56" s="9"/>
      <c r="D56" s="12" t="s">
        <v>52</v>
      </c>
      <c r="E56" s="14">
        <v>14226687.819999998</v>
      </c>
      <c r="F56" s="14">
        <v>16253602.111236475</v>
      </c>
      <c r="G56" s="14">
        <v>3188782.76</v>
      </c>
      <c r="H56" s="14">
        <v>0</v>
      </c>
      <c r="I56" s="13">
        <f t="shared" si="0"/>
        <v>33669072.691236474</v>
      </c>
    </row>
    <row r="57" spans="1:9" ht="15.75" x14ac:dyDescent="0.25">
      <c r="A57" s="8"/>
      <c r="B57" s="8"/>
      <c r="C57" s="9"/>
      <c r="D57" s="12" t="s">
        <v>53</v>
      </c>
      <c r="E57" s="14">
        <v>6411164</v>
      </c>
      <c r="F57" s="14">
        <v>5372241.6320766732</v>
      </c>
      <c r="G57" s="14">
        <v>2276054.2199999997</v>
      </c>
      <c r="H57" s="14">
        <v>0</v>
      </c>
      <c r="I57" s="13">
        <f t="shared" si="0"/>
        <v>14059459.852076672</v>
      </c>
    </row>
    <row r="58" spans="1:9" ht="15.75" x14ac:dyDescent="0.25">
      <c r="A58" s="8"/>
      <c r="B58" s="8"/>
      <c r="C58" s="9"/>
      <c r="D58" s="12" t="s">
        <v>54</v>
      </c>
      <c r="E58" s="14">
        <v>1749570.4000000001</v>
      </c>
      <c r="F58" s="14">
        <v>5782495.1632424369</v>
      </c>
      <c r="G58" s="14">
        <v>260985.51</v>
      </c>
      <c r="H58" s="14">
        <v>0</v>
      </c>
      <c r="I58" s="13">
        <f t="shared" si="0"/>
        <v>7793051.0732424371</v>
      </c>
    </row>
    <row r="59" spans="1:9" ht="15.75" x14ac:dyDescent="0.25">
      <c r="A59" s="8"/>
      <c r="B59" s="8"/>
      <c r="C59" s="9"/>
      <c r="D59" s="12" t="s">
        <v>55</v>
      </c>
      <c r="E59" s="14">
        <v>11869382.019999998</v>
      </c>
      <c r="F59" s="14">
        <v>9767815.1802812982</v>
      </c>
      <c r="G59" s="14">
        <v>3355732.52</v>
      </c>
      <c r="H59" s="14">
        <v>0</v>
      </c>
      <c r="I59" s="13">
        <f t="shared" si="0"/>
        <v>24992929.720281295</v>
      </c>
    </row>
    <row r="60" spans="1:9" ht="15.75" x14ac:dyDescent="0.25">
      <c r="A60" s="8"/>
      <c r="B60" s="8"/>
      <c r="C60" s="9"/>
      <c r="D60" s="12" t="s">
        <v>56</v>
      </c>
      <c r="E60" s="14">
        <v>5709997.6100000003</v>
      </c>
      <c r="F60" s="14">
        <v>5909541.4180550622</v>
      </c>
      <c r="G60" s="14">
        <v>2095893.64</v>
      </c>
      <c r="H60" s="14">
        <v>0</v>
      </c>
      <c r="I60" s="13">
        <f t="shared" si="0"/>
        <v>13715432.668055063</v>
      </c>
    </row>
    <row r="61" spans="1:9" ht="15.75" x14ac:dyDescent="0.25">
      <c r="A61" s="8"/>
      <c r="B61" s="8"/>
      <c r="C61" s="9"/>
      <c r="D61" s="12" t="s">
        <v>57</v>
      </c>
      <c r="E61" s="14">
        <v>22714185.659999996</v>
      </c>
      <c r="F61" s="14">
        <v>9914271.2795791849</v>
      </c>
      <c r="G61" s="14">
        <v>2015272.3199999998</v>
      </c>
      <c r="H61" s="14">
        <v>0</v>
      </c>
      <c r="I61" s="13">
        <f t="shared" si="0"/>
        <v>34643729.259579182</v>
      </c>
    </row>
    <row r="62" spans="1:9" ht="15.75" x14ac:dyDescent="0.25">
      <c r="A62" s="8"/>
      <c r="B62" s="8"/>
      <c r="C62" s="9"/>
      <c r="D62" s="12" t="s">
        <v>58</v>
      </c>
      <c r="E62" s="14">
        <v>33279046.68</v>
      </c>
      <c r="F62" s="14">
        <v>11062098.901184907</v>
      </c>
      <c r="G62" s="14">
        <v>147399316.28999993</v>
      </c>
      <c r="H62" s="14">
        <v>0</v>
      </c>
      <c r="I62" s="13">
        <f t="shared" si="0"/>
        <v>191740461.87118483</v>
      </c>
    </row>
    <row r="63" spans="1:9" ht="15.75" x14ac:dyDescent="0.25">
      <c r="A63" s="8"/>
      <c r="B63" s="8"/>
      <c r="C63" s="9"/>
      <c r="D63" s="12" t="s">
        <v>59</v>
      </c>
      <c r="E63" s="14">
        <v>4433873.6500000004</v>
      </c>
      <c r="F63" s="14">
        <v>1220929.6333034611</v>
      </c>
      <c r="G63" s="14">
        <v>11045392.520000001</v>
      </c>
      <c r="H63" s="14">
        <v>0</v>
      </c>
      <c r="I63" s="13">
        <f t="shared" si="0"/>
        <v>16700195.803303463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68339302.520000011</v>
      </c>
      <c r="H64" s="14">
        <v>0</v>
      </c>
      <c r="I64" s="13">
        <f t="shared" si="0"/>
        <v>68339302.520000011</v>
      </c>
    </row>
    <row r="65" spans="1:9" ht="15.75" x14ac:dyDescent="0.25">
      <c r="A65" s="8"/>
      <c r="B65" s="8"/>
      <c r="C65" s="9"/>
      <c r="D65" s="12" t="s">
        <v>61</v>
      </c>
      <c r="E65" s="14">
        <v>21671464.710000001</v>
      </c>
      <c r="F65" s="14">
        <v>14456300.927081699</v>
      </c>
      <c r="G65" s="14">
        <v>2262723.98</v>
      </c>
      <c r="H65" s="14">
        <v>0</v>
      </c>
      <c r="I65" s="13">
        <f t="shared" si="0"/>
        <v>38390489.617081694</v>
      </c>
    </row>
    <row r="66" spans="1:9" ht="15.75" x14ac:dyDescent="0.25">
      <c r="A66" s="8"/>
      <c r="B66" s="8"/>
      <c r="C66" s="9"/>
      <c r="D66" s="12" t="s">
        <v>62</v>
      </c>
      <c r="E66" s="14">
        <v>56946720.639999986</v>
      </c>
      <c r="F66" s="14">
        <v>28741820.430283327</v>
      </c>
      <c r="G66" s="14">
        <v>4542580.71</v>
      </c>
      <c r="H66" s="14">
        <v>0</v>
      </c>
      <c r="I66" s="13">
        <f t="shared" si="0"/>
        <v>90231121.780283302</v>
      </c>
    </row>
    <row r="67" spans="1:9" ht="15.75" x14ac:dyDescent="0.25">
      <c r="A67" s="8"/>
      <c r="B67" s="8"/>
      <c r="C67" s="9"/>
      <c r="D67" s="12" t="s">
        <v>63</v>
      </c>
      <c r="E67" s="14">
        <v>12856950.779999997</v>
      </c>
      <c r="F67" s="14">
        <v>13284274.018844999</v>
      </c>
      <c r="G67" s="14">
        <v>1670992.41</v>
      </c>
      <c r="H67" s="14">
        <v>0</v>
      </c>
      <c r="I67" s="13">
        <f t="shared" si="0"/>
        <v>27812217.208844997</v>
      </c>
    </row>
    <row r="68" spans="1:9" ht="15.75" x14ac:dyDescent="0.25">
      <c r="A68" s="8"/>
      <c r="B68" s="8"/>
      <c r="C68" s="9"/>
      <c r="D68" s="12" t="s">
        <v>64</v>
      </c>
      <c r="E68" s="14">
        <v>12498503.960000001</v>
      </c>
      <c r="F68" s="14">
        <v>5616503.1815080866</v>
      </c>
      <c r="G68" s="14">
        <v>382264.70999999996</v>
      </c>
      <c r="H68" s="14">
        <v>0</v>
      </c>
      <c r="I68" s="13">
        <f t="shared" si="0"/>
        <v>18497271.851508088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20000197.57</v>
      </c>
      <c r="H69" s="14">
        <v>0</v>
      </c>
      <c r="I69" s="13">
        <f t="shared" si="0"/>
        <v>20000197.57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22367936.520000003</v>
      </c>
      <c r="H70" s="14">
        <v>0</v>
      </c>
      <c r="I70" s="13">
        <f t="shared" si="0"/>
        <v>22367936.520000003</v>
      </c>
    </row>
    <row r="71" spans="1:9" ht="15.75" x14ac:dyDescent="0.25">
      <c r="A71" s="8"/>
      <c r="B71" s="8"/>
      <c r="C71" s="9"/>
      <c r="D71" s="12" t="s">
        <v>67</v>
      </c>
      <c r="E71" s="14">
        <v>21744.16</v>
      </c>
      <c r="F71" s="14">
        <v>146456.09929788602</v>
      </c>
      <c r="G71" s="14">
        <v>23271022.530000005</v>
      </c>
      <c r="H71" s="14">
        <v>0</v>
      </c>
      <c r="I71" s="13">
        <f t="shared" si="0"/>
        <v>23439222.78929789</v>
      </c>
    </row>
    <row r="72" spans="1:9" ht="15.75" x14ac:dyDescent="0.25">
      <c r="A72" s="8"/>
      <c r="B72" s="8"/>
      <c r="C72" s="9"/>
      <c r="D72" s="12" t="s">
        <v>68</v>
      </c>
      <c r="E72" s="14">
        <v>14533427.240000002</v>
      </c>
      <c r="F72" s="14">
        <v>9123131.0598779544</v>
      </c>
      <c r="G72" s="14">
        <v>18967262.489999998</v>
      </c>
      <c r="H72" s="14">
        <v>0</v>
      </c>
      <c r="I72" s="13">
        <f t="shared" si="0"/>
        <v>42623820.789877951</v>
      </c>
    </row>
    <row r="73" spans="1:9" ht="15.75" x14ac:dyDescent="0.25">
      <c r="A73" s="8"/>
      <c r="B73" s="8"/>
      <c r="C73" s="9"/>
      <c r="D73" s="12" t="s">
        <v>69</v>
      </c>
      <c r="E73" s="14">
        <v>124750.37</v>
      </c>
      <c r="F73" s="14">
        <v>0</v>
      </c>
      <c r="G73" s="14">
        <v>18215208.82</v>
      </c>
      <c r="H73" s="14">
        <v>0</v>
      </c>
      <c r="I73" s="13">
        <f t="shared" si="0"/>
        <v>18339959.190000001</v>
      </c>
    </row>
    <row r="74" spans="1:9" ht="15.75" x14ac:dyDescent="0.25">
      <c r="A74" s="8"/>
      <c r="B74" s="8"/>
      <c r="C74" s="9"/>
      <c r="D74" s="12" t="s">
        <v>70</v>
      </c>
      <c r="E74" s="14">
        <v>1242362.7899999998</v>
      </c>
      <c r="F74" s="14">
        <v>771604.3372647661</v>
      </c>
      <c r="G74" s="14">
        <v>113025285.74000002</v>
      </c>
      <c r="H74" s="14">
        <v>0</v>
      </c>
      <c r="I74" s="13">
        <f t="shared" ref="I74:I137" si="1">SUM(E74:H74)</f>
        <v>115039252.86726479</v>
      </c>
    </row>
    <row r="75" spans="1:9" ht="15.75" x14ac:dyDescent="0.25">
      <c r="A75" s="8"/>
      <c r="B75" s="8"/>
      <c r="C75" s="9"/>
      <c r="D75" s="12" t="s">
        <v>71</v>
      </c>
      <c r="E75" s="14">
        <v>8719276.2400000002</v>
      </c>
      <c r="F75" s="14">
        <v>2998694.9350217767</v>
      </c>
      <c r="G75" s="14">
        <v>185363767.41</v>
      </c>
      <c r="H75" s="14">
        <v>0</v>
      </c>
      <c r="I75" s="13">
        <f t="shared" si="1"/>
        <v>197081738.58502176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50808804.979999997</v>
      </c>
      <c r="H76" s="14">
        <v>0</v>
      </c>
      <c r="I76" s="13">
        <f t="shared" si="1"/>
        <v>50808804.979999997</v>
      </c>
    </row>
    <row r="77" spans="1:9" ht="15.75" x14ac:dyDescent="0.25">
      <c r="A77" s="8"/>
      <c r="B77" s="8"/>
      <c r="C77" s="9"/>
      <c r="D77" s="12" t="s">
        <v>73</v>
      </c>
      <c r="E77" s="14">
        <v>4977634.49</v>
      </c>
      <c r="F77" s="14">
        <v>14871469.93834438</v>
      </c>
      <c r="G77" s="14">
        <v>2310819.4899999998</v>
      </c>
      <c r="H77" s="14">
        <v>0</v>
      </c>
      <c r="I77" s="13">
        <f t="shared" si="1"/>
        <v>22159923.918344378</v>
      </c>
    </row>
    <row r="78" spans="1:9" ht="15.75" x14ac:dyDescent="0.25">
      <c r="A78" s="8"/>
      <c r="B78" s="8"/>
      <c r="C78" s="9"/>
      <c r="D78" s="12" t="s">
        <v>74</v>
      </c>
      <c r="E78" s="14">
        <v>17171323.789999995</v>
      </c>
      <c r="F78" s="14">
        <v>15091280.125242408</v>
      </c>
      <c r="G78" s="14">
        <v>3768200.51</v>
      </c>
      <c r="H78" s="14">
        <v>0</v>
      </c>
      <c r="I78" s="13">
        <f t="shared" si="1"/>
        <v>36030804.425242402</v>
      </c>
    </row>
    <row r="79" spans="1:9" ht="15.75" x14ac:dyDescent="0.25">
      <c r="A79" s="8"/>
      <c r="B79" s="8"/>
      <c r="C79" s="9"/>
      <c r="D79" s="12" t="s">
        <v>75</v>
      </c>
      <c r="E79" s="14">
        <v>12381159.08</v>
      </c>
      <c r="F79" s="14">
        <v>8473531.4593776911</v>
      </c>
      <c r="G79" s="14">
        <v>2487470.48</v>
      </c>
      <c r="H79" s="14">
        <v>0</v>
      </c>
      <c r="I79" s="13">
        <f t="shared" si="1"/>
        <v>23342161.01937769</v>
      </c>
    </row>
    <row r="80" spans="1:9" ht="15.75" x14ac:dyDescent="0.25">
      <c r="A80" s="8"/>
      <c r="B80" s="8"/>
      <c r="C80" s="9"/>
      <c r="D80" s="12" t="s">
        <v>76</v>
      </c>
      <c r="E80" s="14">
        <v>5420655.0999999996</v>
      </c>
      <c r="F80" s="14">
        <v>4478506.5200961996</v>
      </c>
      <c r="G80" s="14">
        <v>857553.84</v>
      </c>
      <c r="H80" s="14">
        <v>0</v>
      </c>
      <c r="I80" s="13">
        <f t="shared" si="1"/>
        <v>10756715.460096199</v>
      </c>
    </row>
    <row r="81" spans="1:9" ht="15.75" x14ac:dyDescent="0.25">
      <c r="A81" s="8"/>
      <c r="B81" s="8"/>
      <c r="C81" s="9"/>
      <c r="D81" s="12" t="s">
        <v>77</v>
      </c>
      <c r="E81" s="14">
        <v>51790588.600000009</v>
      </c>
      <c r="F81" s="14">
        <v>27022662.775874414</v>
      </c>
      <c r="G81" s="14">
        <v>6747624.2200000016</v>
      </c>
      <c r="H81" s="14">
        <v>0</v>
      </c>
      <c r="I81" s="13">
        <f t="shared" si="1"/>
        <v>85560875.595874429</v>
      </c>
    </row>
    <row r="82" spans="1:9" ht="15.75" x14ac:dyDescent="0.25">
      <c r="A82" s="8"/>
      <c r="B82" s="8"/>
      <c r="C82" s="9"/>
      <c r="D82" s="12" t="s">
        <v>78</v>
      </c>
      <c r="E82" s="14">
        <v>52163549.640000008</v>
      </c>
      <c r="F82" s="14">
        <v>18729743.700570617</v>
      </c>
      <c r="G82" s="14">
        <v>2432606.5699999998</v>
      </c>
      <c r="H82" s="14">
        <v>0</v>
      </c>
      <c r="I82" s="13">
        <f t="shared" si="1"/>
        <v>73325899.910570621</v>
      </c>
    </row>
    <row r="83" spans="1:9" ht="15.75" x14ac:dyDescent="0.25">
      <c r="A83" s="8"/>
      <c r="B83" s="8"/>
      <c r="C83" s="9"/>
      <c r="D83" s="12" t="s">
        <v>79</v>
      </c>
      <c r="E83" s="14">
        <v>14822320.620000001</v>
      </c>
      <c r="F83" s="14">
        <v>7692096.1619190909</v>
      </c>
      <c r="G83" s="14">
        <v>11698898.440000001</v>
      </c>
      <c r="H83" s="14">
        <v>0</v>
      </c>
      <c r="I83" s="13">
        <f t="shared" si="1"/>
        <v>34213315.22191909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65969455.150000006</v>
      </c>
      <c r="H84" s="14">
        <v>0</v>
      </c>
      <c r="I84" s="13">
        <f t="shared" si="1"/>
        <v>65969455.150000006</v>
      </c>
    </row>
    <row r="85" spans="1:9" ht="15.75" x14ac:dyDescent="0.25">
      <c r="A85" s="8"/>
      <c r="B85" s="8"/>
      <c r="C85" s="9"/>
      <c r="D85" s="12" t="s">
        <v>81</v>
      </c>
      <c r="E85" s="14">
        <v>13799139.910000002</v>
      </c>
      <c r="F85" s="14">
        <v>2393082.5794913615</v>
      </c>
      <c r="G85" s="14">
        <v>17008497.75</v>
      </c>
      <c r="H85" s="14">
        <v>0</v>
      </c>
      <c r="I85" s="13">
        <f t="shared" si="1"/>
        <v>33200720.239491366</v>
      </c>
    </row>
    <row r="86" spans="1:9" ht="15.75" x14ac:dyDescent="0.25">
      <c r="A86" s="8"/>
      <c r="B86" s="8"/>
      <c r="C86" s="9"/>
      <c r="D86" s="12" t="s">
        <v>82</v>
      </c>
      <c r="E86" s="14">
        <v>8874041.4799999986</v>
      </c>
      <c r="F86" s="14">
        <v>9938722.6421125662</v>
      </c>
      <c r="G86" s="14">
        <v>3071277.14</v>
      </c>
      <c r="H86" s="14">
        <v>0</v>
      </c>
      <c r="I86" s="13">
        <f t="shared" si="1"/>
        <v>21884041.262112565</v>
      </c>
    </row>
    <row r="87" spans="1:9" ht="15.75" x14ac:dyDescent="0.25">
      <c r="A87" s="8"/>
      <c r="B87" s="8"/>
      <c r="C87" s="9"/>
      <c r="D87" s="12" t="s">
        <v>83</v>
      </c>
      <c r="E87" s="14">
        <v>4948943.8600000003</v>
      </c>
      <c r="F87" s="14">
        <v>13088915.194480348</v>
      </c>
      <c r="G87" s="14">
        <v>1864960.2700000003</v>
      </c>
      <c r="H87" s="14">
        <v>0</v>
      </c>
      <c r="I87" s="13">
        <f t="shared" si="1"/>
        <v>19902819.324480347</v>
      </c>
    </row>
    <row r="88" spans="1:9" ht="15.75" x14ac:dyDescent="0.25">
      <c r="A88" s="8"/>
      <c r="B88" s="8"/>
      <c r="C88" s="9"/>
      <c r="D88" s="12" t="s">
        <v>84</v>
      </c>
      <c r="E88" s="14">
        <v>1262085.4200000002</v>
      </c>
      <c r="F88" s="14">
        <v>0</v>
      </c>
      <c r="G88" s="14">
        <v>22549596.069999997</v>
      </c>
      <c r="H88" s="14">
        <v>0</v>
      </c>
      <c r="I88" s="13">
        <f t="shared" si="1"/>
        <v>23811681.489999998</v>
      </c>
    </row>
    <row r="89" spans="1:9" ht="15.75" x14ac:dyDescent="0.25">
      <c r="A89" s="8"/>
      <c r="B89" s="8"/>
      <c r="C89" s="9"/>
      <c r="D89" s="12" t="s">
        <v>85</v>
      </c>
      <c r="E89" s="14">
        <v>9186176.4399999976</v>
      </c>
      <c r="F89" s="14">
        <v>12834948.722806305</v>
      </c>
      <c r="G89" s="14">
        <v>1606849.67</v>
      </c>
      <c r="H89" s="14">
        <v>0</v>
      </c>
      <c r="I89" s="13">
        <f t="shared" si="1"/>
        <v>23627974.832806304</v>
      </c>
    </row>
    <row r="90" spans="1:9" ht="15.75" x14ac:dyDescent="0.25">
      <c r="A90" s="8"/>
      <c r="B90" s="8"/>
      <c r="C90" s="9"/>
      <c r="D90" s="12" t="s">
        <v>86</v>
      </c>
      <c r="E90" s="14">
        <v>2448674.8099999991</v>
      </c>
      <c r="F90" s="14">
        <v>3321100.0141990501</v>
      </c>
      <c r="G90" s="14">
        <v>5888348.0600000005</v>
      </c>
      <c r="H90" s="14">
        <v>0</v>
      </c>
      <c r="I90" s="13">
        <f t="shared" si="1"/>
        <v>11658122.884199049</v>
      </c>
    </row>
    <row r="91" spans="1:9" ht="15.75" x14ac:dyDescent="0.25">
      <c r="A91" s="8"/>
      <c r="B91" s="8"/>
      <c r="C91" s="9"/>
      <c r="D91" s="12" t="s">
        <v>87</v>
      </c>
      <c r="E91" s="14">
        <v>4548893.33</v>
      </c>
      <c r="F91" s="14">
        <v>7574880.8673002999</v>
      </c>
      <c r="G91" s="14">
        <v>12558360.609999999</v>
      </c>
      <c r="H91" s="14">
        <v>0</v>
      </c>
      <c r="I91" s="13">
        <f t="shared" si="1"/>
        <v>24682134.807300299</v>
      </c>
    </row>
    <row r="92" spans="1:9" ht="15.75" x14ac:dyDescent="0.25">
      <c r="A92" s="8"/>
      <c r="B92" s="8"/>
      <c r="C92" s="9"/>
      <c r="D92" s="12" t="s">
        <v>88</v>
      </c>
      <c r="E92" s="14">
        <v>2462714.5699999998</v>
      </c>
      <c r="F92" s="14">
        <v>1045106.6913752761</v>
      </c>
      <c r="G92" s="14">
        <v>32873039.240000002</v>
      </c>
      <c r="H92" s="14">
        <v>0</v>
      </c>
      <c r="I92" s="13">
        <f t="shared" si="1"/>
        <v>36380860.50137528</v>
      </c>
    </row>
    <row r="93" spans="1:9" ht="15.75" x14ac:dyDescent="0.25">
      <c r="A93" s="8"/>
      <c r="B93" s="8"/>
      <c r="C93" s="9"/>
      <c r="D93" s="12" t="s">
        <v>89</v>
      </c>
      <c r="E93" s="14">
        <v>21029373.429999992</v>
      </c>
      <c r="F93" s="14">
        <v>8468742.0172319785</v>
      </c>
      <c r="G93" s="14">
        <v>2954207.8199999994</v>
      </c>
      <c r="H93" s="14">
        <v>0</v>
      </c>
      <c r="I93" s="13">
        <f t="shared" si="1"/>
        <v>32452323.267231971</v>
      </c>
    </row>
    <row r="94" spans="1:9" ht="15.75" x14ac:dyDescent="0.25">
      <c r="A94" s="8"/>
      <c r="B94" s="8"/>
      <c r="C94" s="9"/>
      <c r="D94" s="12" t="s">
        <v>90</v>
      </c>
      <c r="E94" s="14">
        <v>506041.17000000004</v>
      </c>
      <c r="F94" s="14">
        <v>0</v>
      </c>
      <c r="G94" s="14">
        <v>1135790.32</v>
      </c>
      <c r="H94" s="14">
        <v>0</v>
      </c>
      <c r="I94" s="13">
        <f t="shared" si="1"/>
        <v>1641831.4900000002</v>
      </c>
    </row>
    <row r="95" spans="1:9" ht="15.75" x14ac:dyDescent="0.25">
      <c r="A95" s="8"/>
      <c r="B95" s="8"/>
      <c r="C95" s="9"/>
      <c r="D95" s="12" t="s">
        <v>91</v>
      </c>
      <c r="E95" s="14">
        <v>1354874.77</v>
      </c>
      <c r="F95" s="14">
        <v>268586.87401359301</v>
      </c>
      <c r="G95" s="14">
        <v>35879584.489999995</v>
      </c>
      <c r="H95" s="14">
        <v>0</v>
      </c>
      <c r="I95" s="13">
        <f t="shared" si="1"/>
        <v>37503046.134013586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47528729.080000006</v>
      </c>
      <c r="H96" s="14">
        <v>0</v>
      </c>
      <c r="I96" s="13">
        <f t="shared" si="1"/>
        <v>47528729.080000006</v>
      </c>
    </row>
    <row r="97" spans="1:9" ht="15.75" x14ac:dyDescent="0.25">
      <c r="A97" s="8"/>
      <c r="B97" s="8"/>
      <c r="C97" s="9"/>
      <c r="D97" s="12" t="s">
        <v>93</v>
      </c>
      <c r="E97" s="14">
        <v>3054741.77</v>
      </c>
      <c r="F97" s="14">
        <v>12063218.347590335</v>
      </c>
      <c r="G97" s="14">
        <v>2633037.5</v>
      </c>
      <c r="H97" s="14">
        <v>0</v>
      </c>
      <c r="I97" s="13">
        <f t="shared" si="1"/>
        <v>17750997.617590334</v>
      </c>
    </row>
    <row r="98" spans="1:9" ht="15.75" x14ac:dyDescent="0.25">
      <c r="A98" s="8"/>
      <c r="B98" s="8"/>
      <c r="C98" s="9"/>
      <c r="D98" s="12" t="s">
        <v>94</v>
      </c>
      <c r="E98" s="14">
        <v>24368267.219999995</v>
      </c>
      <c r="F98" s="14">
        <v>15867799.942604095</v>
      </c>
      <c r="G98" s="14">
        <v>18816391.719999999</v>
      </c>
      <c r="H98" s="14">
        <v>0</v>
      </c>
      <c r="I98" s="13">
        <f t="shared" si="1"/>
        <v>59052458.882604092</v>
      </c>
    </row>
    <row r="99" spans="1:9" ht="15.75" x14ac:dyDescent="0.25">
      <c r="A99" s="8"/>
      <c r="B99" s="8"/>
      <c r="C99" s="9"/>
      <c r="D99" s="12" t="s">
        <v>95</v>
      </c>
      <c r="E99" s="14">
        <v>23987311.180000003</v>
      </c>
      <c r="F99" s="14">
        <v>30236252.417697299</v>
      </c>
      <c r="G99" s="14">
        <v>9836522.4300000016</v>
      </c>
      <c r="H99" s="14">
        <v>0</v>
      </c>
      <c r="I99" s="13">
        <f t="shared" si="1"/>
        <v>64060086.027697302</v>
      </c>
    </row>
    <row r="100" spans="1:9" ht="15.75" x14ac:dyDescent="0.25">
      <c r="A100" s="8"/>
      <c r="B100" s="8"/>
      <c r="C100" s="9"/>
      <c r="D100" s="12" t="s">
        <v>96</v>
      </c>
      <c r="E100" s="14">
        <v>20799106.140000001</v>
      </c>
      <c r="F100" s="14">
        <v>30250872.820036847</v>
      </c>
      <c r="G100" s="14">
        <v>16857519.549999997</v>
      </c>
      <c r="H100" s="14">
        <v>0</v>
      </c>
      <c r="I100" s="13">
        <f t="shared" si="1"/>
        <v>67907498.510036841</v>
      </c>
    </row>
    <row r="101" spans="1:9" ht="15.75" x14ac:dyDescent="0.25">
      <c r="A101" s="8"/>
      <c r="B101" s="8"/>
      <c r="C101" s="9"/>
      <c r="D101" s="12" t="s">
        <v>97</v>
      </c>
      <c r="E101" s="14">
        <v>1569642.06</v>
      </c>
      <c r="F101" s="14">
        <v>40595941.816827886</v>
      </c>
      <c r="G101" s="14">
        <v>229302.37</v>
      </c>
      <c r="H101" s="14">
        <v>0</v>
      </c>
      <c r="I101" s="13">
        <f t="shared" si="1"/>
        <v>42394886.246827886</v>
      </c>
    </row>
    <row r="102" spans="1:9" ht="15.75" x14ac:dyDescent="0.25">
      <c r="A102" s="8"/>
      <c r="B102" s="8"/>
      <c r="C102" s="9"/>
      <c r="D102" s="12" t="s">
        <v>98</v>
      </c>
      <c r="E102" s="14">
        <v>28197008.489999998</v>
      </c>
      <c r="F102" s="14">
        <v>17455121.900054678</v>
      </c>
      <c r="G102" s="14">
        <v>7495021.4199999999</v>
      </c>
      <c r="H102" s="14">
        <v>0</v>
      </c>
      <c r="I102" s="13">
        <f t="shared" si="1"/>
        <v>53147151.810054675</v>
      </c>
    </row>
    <row r="103" spans="1:9" ht="15.75" x14ac:dyDescent="0.25">
      <c r="A103" s="8"/>
      <c r="B103" s="8"/>
      <c r="C103" s="9"/>
      <c r="D103" s="12" t="s">
        <v>99</v>
      </c>
      <c r="E103" s="14">
        <v>11907872.310000002</v>
      </c>
      <c r="F103" s="14">
        <v>5543275.1318591442</v>
      </c>
      <c r="G103" s="14">
        <v>1055846.96</v>
      </c>
      <c r="H103" s="14">
        <v>0</v>
      </c>
      <c r="I103" s="13">
        <f t="shared" si="1"/>
        <v>18506994.401859149</v>
      </c>
    </row>
    <row r="104" spans="1:9" ht="15.75" x14ac:dyDescent="0.25">
      <c r="A104" s="8"/>
      <c r="B104" s="8"/>
      <c r="C104" s="9"/>
      <c r="D104" s="12" t="s">
        <v>100</v>
      </c>
      <c r="E104" s="14">
        <v>53910737.769999988</v>
      </c>
      <c r="F104" s="14">
        <v>10129165.9863803</v>
      </c>
      <c r="G104" s="14">
        <v>18468553.699999999</v>
      </c>
      <c r="H104" s="14">
        <v>0</v>
      </c>
      <c r="I104" s="13">
        <f t="shared" si="1"/>
        <v>82508457.456380293</v>
      </c>
    </row>
    <row r="105" spans="1:9" ht="15.75" x14ac:dyDescent="0.25">
      <c r="A105" s="8"/>
      <c r="B105" s="8"/>
      <c r="C105" s="9"/>
      <c r="D105" s="12" t="s">
        <v>101</v>
      </c>
      <c r="E105" s="14">
        <v>7688663.75</v>
      </c>
      <c r="F105" s="14">
        <v>15042377.400175648</v>
      </c>
      <c r="G105" s="14">
        <v>473005.30000000005</v>
      </c>
      <c r="H105" s="14">
        <v>0</v>
      </c>
      <c r="I105" s="13">
        <f t="shared" si="1"/>
        <v>23204046.450175647</v>
      </c>
    </row>
    <row r="106" spans="1:9" ht="15.75" x14ac:dyDescent="0.25">
      <c r="A106" s="8"/>
      <c r="B106" s="8"/>
      <c r="C106" s="9"/>
      <c r="D106" s="12" t="s">
        <v>102</v>
      </c>
      <c r="E106" s="14">
        <v>11586119.750000002</v>
      </c>
      <c r="F106" s="14">
        <v>927891.39675648615</v>
      </c>
      <c r="G106" s="14">
        <v>40686519.449999996</v>
      </c>
      <c r="H106" s="14">
        <v>0</v>
      </c>
      <c r="I106" s="13">
        <f t="shared" si="1"/>
        <v>53200530.596756488</v>
      </c>
    </row>
    <row r="107" spans="1:9" ht="15.75" x14ac:dyDescent="0.25">
      <c r="A107" s="8"/>
      <c r="B107" s="8"/>
      <c r="C107" s="9"/>
      <c r="D107" s="12" t="s">
        <v>103</v>
      </c>
      <c r="E107" s="14">
        <v>708700.60000000009</v>
      </c>
      <c r="F107" s="14">
        <v>0</v>
      </c>
      <c r="G107" s="14">
        <v>11302989.34</v>
      </c>
      <c r="H107" s="14">
        <v>0</v>
      </c>
      <c r="I107" s="13">
        <f t="shared" si="1"/>
        <v>12011689.939999999</v>
      </c>
    </row>
    <row r="108" spans="1:9" ht="15.75" x14ac:dyDescent="0.25">
      <c r="A108" s="8"/>
      <c r="B108" s="8"/>
      <c r="C108" s="9"/>
      <c r="D108" s="12" t="s">
        <v>104</v>
      </c>
      <c r="E108" s="14">
        <v>889150.03</v>
      </c>
      <c r="F108" s="14">
        <v>0</v>
      </c>
      <c r="G108" s="14">
        <v>5563101.1499999994</v>
      </c>
      <c r="H108" s="14">
        <v>0</v>
      </c>
      <c r="I108" s="13">
        <f t="shared" si="1"/>
        <v>6452251.1799999997</v>
      </c>
    </row>
    <row r="109" spans="1:9" ht="15.75" x14ac:dyDescent="0.25">
      <c r="A109" s="8"/>
      <c r="B109" s="8"/>
      <c r="C109" s="9"/>
      <c r="D109" s="12" t="s">
        <v>105</v>
      </c>
      <c r="E109" s="14">
        <v>4126175.1100000003</v>
      </c>
      <c r="F109" s="14">
        <v>24194875.302683897</v>
      </c>
      <c r="G109" s="14">
        <v>787247.92</v>
      </c>
      <c r="H109" s="14">
        <v>0</v>
      </c>
      <c r="I109" s="13">
        <f t="shared" si="1"/>
        <v>29108298.332683899</v>
      </c>
    </row>
    <row r="110" spans="1:9" ht="15.75" x14ac:dyDescent="0.25">
      <c r="A110" s="8"/>
      <c r="B110" s="8"/>
      <c r="C110" s="9"/>
      <c r="D110" s="12" t="s">
        <v>106</v>
      </c>
      <c r="E110" s="14">
        <v>2481695.1800000002</v>
      </c>
      <c r="F110" s="14">
        <v>5611587.7014111709</v>
      </c>
      <c r="G110" s="14">
        <v>1571630.3400000003</v>
      </c>
      <c r="H110" s="14">
        <v>0</v>
      </c>
      <c r="I110" s="13">
        <f t="shared" si="1"/>
        <v>9664913.2214111704</v>
      </c>
    </row>
    <row r="111" spans="1:9" ht="15.75" x14ac:dyDescent="0.25">
      <c r="A111" s="8"/>
      <c r="B111" s="8"/>
      <c r="C111" s="9"/>
      <c r="D111" s="12" t="s">
        <v>107</v>
      </c>
      <c r="E111" s="14">
        <v>404165.97000000003</v>
      </c>
      <c r="F111" s="14">
        <v>92763.932085408014</v>
      </c>
      <c r="G111" s="14">
        <v>59919233.839999996</v>
      </c>
      <c r="H111" s="14">
        <v>0</v>
      </c>
      <c r="I111" s="13">
        <f t="shared" si="1"/>
        <v>60416163.742085405</v>
      </c>
    </row>
    <row r="112" spans="1:9" ht="15.75" x14ac:dyDescent="0.25">
      <c r="A112" s="8"/>
      <c r="B112" s="8"/>
      <c r="C112" s="9"/>
      <c r="D112" s="12" t="s">
        <v>108</v>
      </c>
      <c r="E112" s="14">
        <v>18137577.040000003</v>
      </c>
      <c r="F112" s="14">
        <v>6349035.7538999226</v>
      </c>
      <c r="G112" s="14">
        <v>4513992.0200000005</v>
      </c>
      <c r="H112" s="14">
        <v>0</v>
      </c>
      <c r="I112" s="13">
        <f t="shared" si="1"/>
        <v>29000604.813899923</v>
      </c>
    </row>
    <row r="113" spans="1:9" ht="15.75" x14ac:dyDescent="0.25">
      <c r="A113" s="8"/>
      <c r="B113" s="8"/>
      <c r="C113" s="9"/>
      <c r="D113" s="12" t="s">
        <v>109</v>
      </c>
      <c r="E113" s="14">
        <v>6478607.1000000006</v>
      </c>
      <c r="F113" s="14">
        <v>15286638.949607063</v>
      </c>
      <c r="G113" s="14">
        <v>2426014.3899999997</v>
      </c>
      <c r="H113" s="14">
        <v>0</v>
      </c>
      <c r="I113" s="13">
        <f t="shared" si="1"/>
        <v>24191260.439607065</v>
      </c>
    </row>
    <row r="114" spans="1:9" ht="15.75" x14ac:dyDescent="0.25">
      <c r="A114" s="8"/>
      <c r="B114" s="8"/>
      <c r="C114" s="9"/>
      <c r="D114" s="12" t="s">
        <v>110</v>
      </c>
      <c r="E114" s="14">
        <v>19073141.949999996</v>
      </c>
      <c r="F114" s="14">
        <v>17533265.429800536</v>
      </c>
      <c r="G114" s="14">
        <v>4791473.34</v>
      </c>
      <c r="H114" s="14">
        <v>0</v>
      </c>
      <c r="I114" s="13">
        <f t="shared" si="1"/>
        <v>41397880.719800532</v>
      </c>
    </row>
    <row r="115" spans="1:9" ht="15.75" x14ac:dyDescent="0.25">
      <c r="A115" s="8"/>
      <c r="B115" s="8"/>
      <c r="C115" s="9"/>
      <c r="D115" s="12" t="s">
        <v>111</v>
      </c>
      <c r="E115" s="14">
        <v>41763726.539999999</v>
      </c>
      <c r="F115" s="14">
        <v>8668890.2837423403</v>
      </c>
      <c r="G115" s="14">
        <v>4197373.5200000005</v>
      </c>
      <c r="H115" s="14">
        <v>0</v>
      </c>
      <c r="I115" s="13">
        <f t="shared" si="1"/>
        <v>54629990.343742341</v>
      </c>
    </row>
    <row r="116" spans="1:9" ht="15.75" x14ac:dyDescent="0.25">
      <c r="A116" s="8"/>
      <c r="B116" s="8"/>
      <c r="C116" s="9"/>
      <c r="D116" s="12" t="s">
        <v>112</v>
      </c>
      <c r="E116" s="14">
        <v>8859025.7000000011</v>
      </c>
      <c r="F116" s="14">
        <v>11257457.725549554</v>
      </c>
      <c r="G116" s="14">
        <v>96104.079999999987</v>
      </c>
      <c r="H116" s="14">
        <v>0</v>
      </c>
      <c r="I116" s="13">
        <f t="shared" si="1"/>
        <v>20212587.505549554</v>
      </c>
    </row>
    <row r="117" spans="1:9" ht="15.75" x14ac:dyDescent="0.25">
      <c r="A117" s="8"/>
      <c r="B117" s="8"/>
      <c r="C117" s="9"/>
      <c r="D117" s="12" t="s">
        <v>113</v>
      </c>
      <c r="E117" s="14">
        <v>5674747.7600000007</v>
      </c>
      <c r="F117" s="14">
        <v>8693341.6462757234</v>
      </c>
      <c r="G117" s="14">
        <v>4468396.93</v>
      </c>
      <c r="H117" s="14">
        <v>0</v>
      </c>
      <c r="I117" s="13">
        <f t="shared" si="1"/>
        <v>18836486.336275723</v>
      </c>
    </row>
    <row r="118" spans="1:9" ht="15.75" x14ac:dyDescent="0.25">
      <c r="A118" s="8"/>
      <c r="B118" s="8"/>
      <c r="C118" s="9"/>
      <c r="D118" s="12" t="s">
        <v>114</v>
      </c>
      <c r="E118" s="14">
        <v>11706043.83</v>
      </c>
      <c r="F118" s="14">
        <v>13577312.255391974</v>
      </c>
      <c r="G118" s="14">
        <v>5930151.2399999993</v>
      </c>
      <c r="H118" s="14">
        <v>0</v>
      </c>
      <c r="I118" s="13">
        <f t="shared" si="1"/>
        <v>31213507.325391974</v>
      </c>
    </row>
    <row r="119" spans="1:9" ht="15.75" x14ac:dyDescent="0.25">
      <c r="A119" s="8"/>
      <c r="B119" s="8"/>
      <c r="C119" s="9"/>
      <c r="D119" s="12" t="s">
        <v>115</v>
      </c>
      <c r="E119" s="14">
        <v>1926780.17</v>
      </c>
      <c r="F119" s="14">
        <v>1318609.0454857864</v>
      </c>
      <c r="G119" s="14">
        <v>2471413.8400000003</v>
      </c>
      <c r="H119" s="14">
        <v>0</v>
      </c>
      <c r="I119" s="13">
        <f t="shared" si="1"/>
        <v>5716803.0554857869</v>
      </c>
    </row>
    <row r="120" spans="1:9" ht="15.75" x14ac:dyDescent="0.25">
      <c r="A120" s="8"/>
      <c r="B120" s="8"/>
      <c r="C120" s="9"/>
      <c r="D120" s="12" t="s">
        <v>116</v>
      </c>
      <c r="E120" s="14">
        <v>38209941.360000007</v>
      </c>
      <c r="F120" s="14">
        <v>5762959.2808059733</v>
      </c>
      <c r="G120" s="14">
        <v>4845614.45</v>
      </c>
      <c r="H120" s="14">
        <v>0</v>
      </c>
      <c r="I120" s="13">
        <f t="shared" si="1"/>
        <v>48818515.090805985</v>
      </c>
    </row>
    <row r="121" spans="1:9" ht="15.75" x14ac:dyDescent="0.25">
      <c r="A121" s="8"/>
      <c r="B121" s="8"/>
      <c r="C121" s="9"/>
      <c r="D121" s="12" t="s">
        <v>117</v>
      </c>
      <c r="E121" s="14">
        <v>11997215.970000001</v>
      </c>
      <c r="F121" s="14">
        <v>8551674.9891235512</v>
      </c>
      <c r="G121" s="14">
        <v>3549672.3899999997</v>
      </c>
      <c r="H121" s="14">
        <v>0</v>
      </c>
      <c r="I121" s="13">
        <f t="shared" si="1"/>
        <v>24098563.349123552</v>
      </c>
    </row>
    <row r="122" spans="1:9" ht="15.75" x14ac:dyDescent="0.25">
      <c r="A122" s="8"/>
      <c r="B122" s="8"/>
      <c r="C122" s="9"/>
      <c r="D122" s="12" t="s">
        <v>118</v>
      </c>
      <c r="E122" s="14">
        <v>8257603.0999999996</v>
      </c>
      <c r="F122" s="14">
        <v>6305174.5468812799</v>
      </c>
      <c r="G122" s="14">
        <v>4824376.84</v>
      </c>
      <c r="H122" s="14">
        <v>0</v>
      </c>
      <c r="I122" s="13">
        <f t="shared" si="1"/>
        <v>19387154.486881278</v>
      </c>
    </row>
    <row r="123" spans="1:9" ht="15.75" x14ac:dyDescent="0.25">
      <c r="A123" s="8"/>
      <c r="B123" s="8"/>
      <c r="C123" s="9"/>
      <c r="D123" s="12" t="s">
        <v>119</v>
      </c>
      <c r="E123" s="14">
        <v>12036687.4</v>
      </c>
      <c r="F123" s="14">
        <v>11584652.246872542</v>
      </c>
      <c r="G123" s="14">
        <v>2826053.93</v>
      </c>
      <c r="H123" s="14">
        <v>0</v>
      </c>
      <c r="I123" s="13">
        <f t="shared" si="1"/>
        <v>26447393.576872543</v>
      </c>
    </row>
    <row r="124" spans="1:9" ht="15.75" x14ac:dyDescent="0.25">
      <c r="A124" s="8"/>
      <c r="B124" s="8"/>
      <c r="C124" s="9"/>
      <c r="D124" s="12" t="s">
        <v>120</v>
      </c>
      <c r="E124" s="14">
        <v>696823.03999999992</v>
      </c>
      <c r="F124" s="14">
        <v>0</v>
      </c>
      <c r="G124" s="14">
        <v>24359990.350000001</v>
      </c>
      <c r="H124" s="14">
        <v>14827962.640000001</v>
      </c>
      <c r="I124" s="13">
        <f t="shared" si="1"/>
        <v>39884776.030000001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61584985.310000002</v>
      </c>
      <c r="H125" s="14">
        <v>1755241.2899999998</v>
      </c>
      <c r="I125" s="13">
        <f t="shared" si="1"/>
        <v>63340226.600000001</v>
      </c>
    </row>
    <row r="126" spans="1:9" ht="15.75" x14ac:dyDescent="0.25">
      <c r="A126" s="8"/>
      <c r="B126" s="8"/>
      <c r="C126" s="9"/>
      <c r="D126" s="12" t="s">
        <v>122</v>
      </c>
      <c r="E126" s="14">
        <v>4689.95</v>
      </c>
      <c r="F126" s="14">
        <v>0</v>
      </c>
      <c r="G126" s="14">
        <v>33953836.810000002</v>
      </c>
      <c r="H126" s="14">
        <v>0</v>
      </c>
      <c r="I126" s="13">
        <f t="shared" si="1"/>
        <v>33958526.760000005</v>
      </c>
    </row>
    <row r="127" spans="1:9" ht="15.75" x14ac:dyDescent="0.25">
      <c r="A127" s="8"/>
      <c r="B127" s="8"/>
      <c r="C127" s="9"/>
      <c r="D127" s="12" t="s">
        <v>123</v>
      </c>
      <c r="E127" s="14">
        <v>10240847.850000003</v>
      </c>
      <c r="F127" s="14">
        <v>2441985.3045581253</v>
      </c>
      <c r="G127" s="14">
        <v>22076695.780000005</v>
      </c>
      <c r="H127" s="14">
        <v>0</v>
      </c>
      <c r="I127" s="13">
        <f t="shared" si="1"/>
        <v>34759528.934558138</v>
      </c>
    </row>
    <row r="128" spans="1:9" ht="15.75" x14ac:dyDescent="0.25">
      <c r="A128" s="8"/>
      <c r="B128" s="8"/>
      <c r="C128" s="9"/>
      <c r="D128" s="12" t="s">
        <v>124</v>
      </c>
      <c r="E128" s="14">
        <v>17736621.200000003</v>
      </c>
      <c r="F128" s="14">
        <v>7618868.1122701485</v>
      </c>
      <c r="G128" s="14">
        <v>7979552.5299999993</v>
      </c>
      <c r="H128" s="14">
        <v>0</v>
      </c>
      <c r="I128" s="13">
        <f t="shared" si="1"/>
        <v>33335041.842270151</v>
      </c>
    </row>
    <row r="129" spans="1:9" ht="15.75" x14ac:dyDescent="0.25">
      <c r="A129" s="8"/>
      <c r="B129" s="8"/>
      <c r="C129" s="9"/>
      <c r="D129" s="12" t="s">
        <v>125</v>
      </c>
      <c r="E129" s="14">
        <v>8544463.6900000013</v>
      </c>
      <c r="F129" s="14">
        <v>3687366.3003949686</v>
      </c>
      <c r="G129" s="14">
        <v>7469570.71</v>
      </c>
      <c r="H129" s="14">
        <v>0</v>
      </c>
      <c r="I129" s="13">
        <f t="shared" si="1"/>
        <v>19701400.700394969</v>
      </c>
    </row>
    <row r="130" spans="1:9" ht="15.75" x14ac:dyDescent="0.25">
      <c r="A130" s="8"/>
      <c r="B130" s="8"/>
      <c r="C130" s="9"/>
      <c r="D130" s="12" t="s">
        <v>126</v>
      </c>
      <c r="E130" s="14">
        <v>3458804.48</v>
      </c>
      <c r="F130" s="14">
        <v>6495617.8911490114</v>
      </c>
      <c r="G130" s="14">
        <v>1439237.3699999999</v>
      </c>
      <c r="H130" s="14">
        <v>0</v>
      </c>
      <c r="I130" s="13">
        <f t="shared" si="1"/>
        <v>11393659.74114901</v>
      </c>
    </row>
    <row r="131" spans="1:9" ht="15.75" x14ac:dyDescent="0.25">
      <c r="A131" s="8"/>
      <c r="B131" s="8"/>
      <c r="C131" s="9"/>
      <c r="D131" s="12" t="s">
        <v>127</v>
      </c>
      <c r="E131" s="14">
        <v>58505730.680000015</v>
      </c>
      <c r="F131" s="14">
        <v>35501109.715349019</v>
      </c>
      <c r="G131" s="14">
        <v>33572229.340000004</v>
      </c>
      <c r="H131" s="14">
        <v>0</v>
      </c>
      <c r="I131" s="13">
        <f t="shared" si="1"/>
        <v>127579069.73534903</v>
      </c>
    </row>
    <row r="132" spans="1:9" ht="15.75" x14ac:dyDescent="0.25">
      <c r="A132" s="8"/>
      <c r="B132" s="8"/>
      <c r="C132" s="9"/>
      <c r="D132" s="12" t="s">
        <v>128</v>
      </c>
      <c r="E132" s="14">
        <v>8026123</v>
      </c>
      <c r="F132" s="14">
        <v>21782256.840756074</v>
      </c>
      <c r="G132" s="14">
        <v>95161.909999999989</v>
      </c>
      <c r="H132" s="14">
        <v>0</v>
      </c>
      <c r="I132" s="13">
        <f t="shared" si="1"/>
        <v>29903541.750756074</v>
      </c>
    </row>
    <row r="133" spans="1:9" ht="15.75" x14ac:dyDescent="0.25">
      <c r="A133" s="8"/>
      <c r="B133" s="8"/>
      <c r="C133" s="9"/>
      <c r="D133" s="12" t="s">
        <v>129</v>
      </c>
      <c r="E133" s="14">
        <v>4330810.63</v>
      </c>
      <c r="F133" s="14">
        <v>0</v>
      </c>
      <c r="G133" s="14">
        <v>91515299.209999993</v>
      </c>
      <c r="H133" s="14">
        <v>5817208.9050000003</v>
      </c>
      <c r="I133" s="13">
        <f t="shared" si="1"/>
        <v>101663318.74499999</v>
      </c>
    </row>
    <row r="134" spans="1:9" ht="15.75" x14ac:dyDescent="0.25">
      <c r="A134" s="8"/>
      <c r="B134" s="8"/>
      <c r="C134" s="9"/>
      <c r="D134" s="12" t="s">
        <v>130</v>
      </c>
      <c r="E134" s="14">
        <v>1707382.8</v>
      </c>
      <c r="F134" s="14">
        <v>1074473.5340055753</v>
      </c>
      <c r="G134" s="14">
        <v>3759.87</v>
      </c>
      <c r="H134" s="14">
        <v>0</v>
      </c>
      <c r="I134" s="13">
        <f t="shared" si="1"/>
        <v>2785616.2040055757</v>
      </c>
    </row>
    <row r="135" spans="1:9" ht="15.75" x14ac:dyDescent="0.25">
      <c r="A135" s="8"/>
      <c r="B135" s="8"/>
      <c r="C135" s="9"/>
      <c r="D135" s="12" t="s">
        <v>131</v>
      </c>
      <c r="E135" s="14">
        <v>8983713.5199999996</v>
      </c>
      <c r="F135" s="14">
        <v>13577312.255391974</v>
      </c>
      <c r="G135" s="14">
        <v>1644918.2800000003</v>
      </c>
      <c r="H135" s="14">
        <v>0</v>
      </c>
      <c r="I135" s="13">
        <f t="shared" si="1"/>
        <v>24205944.055391975</v>
      </c>
    </row>
    <row r="136" spans="1:9" ht="15.75" x14ac:dyDescent="0.25">
      <c r="A136" s="8"/>
      <c r="B136" s="8"/>
      <c r="C136" s="9"/>
      <c r="D136" s="12" t="s">
        <v>132</v>
      </c>
      <c r="E136" s="14">
        <v>30265888.609999996</v>
      </c>
      <c r="F136" s="14">
        <v>16409889.170728195</v>
      </c>
      <c r="G136" s="14">
        <v>11114558.35</v>
      </c>
      <c r="H136" s="14">
        <v>0</v>
      </c>
      <c r="I136" s="13">
        <f t="shared" si="1"/>
        <v>57790336.130728193</v>
      </c>
    </row>
    <row r="137" spans="1:9" ht="15.75" x14ac:dyDescent="0.25">
      <c r="A137" s="8"/>
      <c r="B137" s="8"/>
      <c r="C137" s="9"/>
      <c r="D137" s="12" t="s">
        <v>133</v>
      </c>
      <c r="E137" s="14">
        <v>36942350.740000002</v>
      </c>
      <c r="F137" s="14">
        <v>25801607.104619745</v>
      </c>
      <c r="G137" s="14">
        <v>11726825.380000001</v>
      </c>
      <c r="H137" s="14">
        <v>0</v>
      </c>
      <c r="I137" s="13">
        <f t="shared" si="1"/>
        <v>74470783.224619746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36257276.340000004</v>
      </c>
      <c r="H138" s="14">
        <v>0</v>
      </c>
      <c r="I138" s="13">
        <f t="shared" ref="I138:I144" si="2">SUM(E138:H138)</f>
        <v>36257276.340000004</v>
      </c>
    </row>
    <row r="139" spans="1:9" ht="15.75" x14ac:dyDescent="0.25">
      <c r="A139" s="8"/>
      <c r="B139" s="8"/>
      <c r="C139" s="9"/>
      <c r="D139" s="12" t="s">
        <v>135</v>
      </c>
      <c r="E139" s="14">
        <v>6230351.7699999996</v>
      </c>
      <c r="F139" s="14">
        <v>3863189.2423231537</v>
      </c>
      <c r="G139" s="14">
        <v>2758743.14</v>
      </c>
      <c r="H139" s="14">
        <v>0</v>
      </c>
      <c r="I139" s="13">
        <f t="shared" si="2"/>
        <v>12852284.152323153</v>
      </c>
    </row>
    <row r="140" spans="1:9" ht="15.75" x14ac:dyDescent="0.25">
      <c r="A140" s="8"/>
      <c r="B140" s="8"/>
      <c r="C140" s="9"/>
      <c r="D140" s="12" t="s">
        <v>136</v>
      </c>
      <c r="E140" s="14">
        <v>11527145.860000003</v>
      </c>
      <c r="F140" s="14">
        <v>27398760.022264153</v>
      </c>
      <c r="G140" s="14">
        <v>4750663.1500000004</v>
      </c>
      <c r="H140" s="14">
        <v>0</v>
      </c>
      <c r="I140" s="13">
        <f t="shared" si="2"/>
        <v>43676569.032264151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51334162.060000002</v>
      </c>
      <c r="H141" s="14">
        <v>505193.94500000001</v>
      </c>
      <c r="I141" s="13">
        <f t="shared" si="2"/>
        <v>51839356.005000003</v>
      </c>
    </row>
    <row r="142" spans="1:9" ht="15.75" x14ac:dyDescent="0.25">
      <c r="A142" s="8"/>
      <c r="B142" s="8"/>
      <c r="C142" s="9"/>
      <c r="D142" s="12" t="s">
        <v>138</v>
      </c>
      <c r="E142" s="14">
        <v>130150.87</v>
      </c>
      <c r="F142" s="14">
        <v>0</v>
      </c>
      <c r="G142" s="14">
        <v>8352097.580000001</v>
      </c>
      <c r="H142" s="14">
        <v>0</v>
      </c>
      <c r="I142" s="13">
        <f t="shared" si="2"/>
        <v>8482248.4500000011</v>
      </c>
    </row>
    <row r="143" spans="1:9" ht="15.75" x14ac:dyDescent="0.25">
      <c r="A143" s="8"/>
      <c r="B143" s="8"/>
      <c r="C143" s="9"/>
      <c r="D143" s="12" t="s">
        <v>139</v>
      </c>
      <c r="E143" s="14">
        <v>2154027.6899999995</v>
      </c>
      <c r="F143" s="14">
        <v>25323041.003901951</v>
      </c>
      <c r="G143" s="14">
        <v>166795.11000000002</v>
      </c>
      <c r="H143" s="14">
        <v>0</v>
      </c>
      <c r="I143" s="13">
        <f t="shared" si="2"/>
        <v>27643863.803901948</v>
      </c>
    </row>
    <row r="144" spans="1:9" ht="15.75" x14ac:dyDescent="0.25">
      <c r="A144" s="8"/>
      <c r="B144" s="8"/>
      <c r="C144" s="9"/>
      <c r="D144" s="12" t="s">
        <v>140</v>
      </c>
      <c r="E144" s="14">
        <v>10387423.82</v>
      </c>
      <c r="F144" s="14">
        <v>3076838.4647676367</v>
      </c>
      <c r="G144" s="14">
        <v>15502984.960000001</v>
      </c>
      <c r="H144" s="14">
        <v>0</v>
      </c>
      <c r="I144" s="13">
        <f t="shared" si="2"/>
        <v>28967247.244767636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1663900916.3199992</v>
      </c>
      <c r="F145" s="22">
        <f t="shared" ref="F145:I145" si="3">SUM(F10:F144)</f>
        <v>1260321030.4206424</v>
      </c>
      <c r="G145" s="22">
        <f t="shared" si="3"/>
        <v>2134796289.9799993</v>
      </c>
      <c r="H145" s="22">
        <f t="shared" si="3"/>
        <v>22905606.780000001</v>
      </c>
      <c r="I145" s="22">
        <f t="shared" si="3"/>
        <v>5081923843.5006399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6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.6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164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5619135</v>
      </c>
      <c r="F10" s="14">
        <v>16330318.617250677</v>
      </c>
      <c r="G10" s="14">
        <v>4663125.6400000006</v>
      </c>
      <c r="H10" s="14">
        <v>0</v>
      </c>
      <c r="I10" s="13">
        <f t="shared" ref="I10:I73" si="0">SUM(E10:H10)</f>
        <v>26612579.257250678</v>
      </c>
    </row>
    <row r="11" spans="1:9" ht="15.75" x14ac:dyDescent="0.25">
      <c r="A11" s="8"/>
      <c r="B11" s="8"/>
      <c r="C11" s="9"/>
      <c r="D11" s="12" t="s">
        <v>7</v>
      </c>
      <c r="E11" s="14">
        <v>6349961.9500000002</v>
      </c>
      <c r="F11" s="14">
        <v>9165807.3311062232</v>
      </c>
      <c r="G11" s="14">
        <v>2635228.5</v>
      </c>
      <c r="H11" s="14">
        <v>0</v>
      </c>
      <c r="I11" s="13">
        <f t="shared" si="0"/>
        <v>18150997.781106222</v>
      </c>
    </row>
    <row r="12" spans="1:9" ht="15.75" x14ac:dyDescent="0.25">
      <c r="A12" s="8"/>
      <c r="B12" s="8"/>
      <c r="C12" s="9"/>
      <c r="D12" s="12" t="s">
        <v>8</v>
      </c>
      <c r="E12" s="14">
        <v>5162545.37</v>
      </c>
      <c r="F12" s="14">
        <v>3322915.2015004763</v>
      </c>
      <c r="G12" s="14">
        <v>4075775.3499999996</v>
      </c>
      <c r="H12" s="14">
        <v>0</v>
      </c>
      <c r="I12" s="13">
        <f t="shared" si="0"/>
        <v>12561235.921500476</v>
      </c>
    </row>
    <row r="13" spans="1:9" ht="15.75" x14ac:dyDescent="0.25">
      <c r="A13" s="8"/>
      <c r="B13" s="8"/>
      <c r="C13" s="9"/>
      <c r="D13" s="12" t="s">
        <v>9</v>
      </c>
      <c r="E13" s="14">
        <v>2671640.41</v>
      </c>
      <c r="F13" s="14">
        <v>87870.999593635992</v>
      </c>
      <c r="G13" s="14">
        <v>54083599.5</v>
      </c>
      <c r="H13" s="14">
        <v>0</v>
      </c>
      <c r="I13" s="13">
        <f t="shared" si="0"/>
        <v>56843110.909593634</v>
      </c>
    </row>
    <row r="14" spans="1:9" ht="15.75" x14ac:dyDescent="0.25">
      <c r="A14" s="8"/>
      <c r="B14" s="8"/>
      <c r="C14" s="9"/>
      <c r="D14" s="12" t="s">
        <v>10</v>
      </c>
      <c r="E14" s="14">
        <v>7619193.2999999998</v>
      </c>
      <c r="F14" s="14">
        <v>3692094.392564272</v>
      </c>
      <c r="G14" s="14">
        <v>4813690.8100000005</v>
      </c>
      <c r="H14" s="14">
        <v>0</v>
      </c>
      <c r="I14" s="13">
        <f t="shared" si="0"/>
        <v>16124978.502564272</v>
      </c>
    </row>
    <row r="15" spans="1:9" ht="15.75" x14ac:dyDescent="0.25">
      <c r="A15" s="8"/>
      <c r="B15" s="8"/>
      <c r="C15" s="9"/>
      <c r="D15" s="12" t="s">
        <v>11</v>
      </c>
      <c r="E15" s="14">
        <v>60747.199999999997</v>
      </c>
      <c r="F15" s="14">
        <v>20493.150507638002</v>
      </c>
      <c r="G15" s="14">
        <v>46227806.480000004</v>
      </c>
      <c r="H15" s="14">
        <v>0</v>
      </c>
      <c r="I15" s="13">
        <f t="shared" si="0"/>
        <v>46309046.830507644</v>
      </c>
    </row>
    <row r="16" spans="1:9" ht="15.75" x14ac:dyDescent="0.25">
      <c r="A16" s="8"/>
      <c r="B16" s="8"/>
      <c r="C16" s="9"/>
      <c r="D16" s="12" t="s">
        <v>12</v>
      </c>
      <c r="E16" s="14">
        <v>12557163.550000001</v>
      </c>
      <c r="F16" s="14">
        <v>17604977.454729445</v>
      </c>
      <c r="G16" s="14">
        <v>4102903.3899999997</v>
      </c>
      <c r="H16" s="14">
        <v>0</v>
      </c>
      <c r="I16" s="13">
        <f t="shared" si="0"/>
        <v>34265044.394729443</v>
      </c>
    </row>
    <row r="17" spans="1:9" ht="15.75" x14ac:dyDescent="0.25">
      <c r="A17" s="8"/>
      <c r="B17" s="8"/>
      <c r="C17" s="9"/>
      <c r="D17" s="12" t="s">
        <v>13</v>
      </c>
      <c r="E17" s="14">
        <v>25128623.250000011</v>
      </c>
      <c r="F17" s="14">
        <v>16174994.148089467</v>
      </c>
      <c r="G17" s="14">
        <v>13080769.470000003</v>
      </c>
      <c r="H17" s="14">
        <v>0</v>
      </c>
      <c r="I17" s="13">
        <f t="shared" si="0"/>
        <v>54384386.868089482</v>
      </c>
    </row>
    <row r="18" spans="1:9" ht="15.75" x14ac:dyDescent="0.25">
      <c r="A18" s="8"/>
      <c r="B18" s="8"/>
      <c r="C18" s="9"/>
      <c r="D18" s="12" t="s">
        <v>14</v>
      </c>
      <c r="E18" s="14">
        <v>5193343.13</v>
      </c>
      <c r="F18" s="14">
        <v>1318594.3372755859</v>
      </c>
      <c r="G18" s="14">
        <v>71855687.040000007</v>
      </c>
      <c r="H18" s="14">
        <v>0</v>
      </c>
      <c r="I18" s="13">
        <f t="shared" si="0"/>
        <v>78367624.507275596</v>
      </c>
    </row>
    <row r="19" spans="1:9" ht="15.75" x14ac:dyDescent="0.25">
      <c r="A19" s="8"/>
      <c r="B19" s="8"/>
      <c r="C19" s="9"/>
      <c r="D19" s="12" t="s">
        <v>15</v>
      </c>
      <c r="E19" s="14">
        <v>26131976.77</v>
      </c>
      <c r="F19" s="14">
        <v>12585441.128544962</v>
      </c>
      <c r="G19" s="14">
        <v>11384108.279999999</v>
      </c>
      <c r="H19" s="14">
        <v>0</v>
      </c>
      <c r="I19" s="13">
        <f t="shared" si="0"/>
        <v>50101526.178544961</v>
      </c>
    </row>
    <row r="20" spans="1:9" ht="15.75" x14ac:dyDescent="0.25">
      <c r="A20" s="8"/>
      <c r="B20" s="8"/>
      <c r="C20" s="9"/>
      <c r="D20" s="12" t="s">
        <v>16</v>
      </c>
      <c r="E20" s="14">
        <v>14078860.249999998</v>
      </c>
      <c r="F20" s="14">
        <v>3132427.2084054938</v>
      </c>
      <c r="G20" s="14">
        <v>5843368.3900000006</v>
      </c>
      <c r="H20" s="14">
        <v>0</v>
      </c>
      <c r="I20" s="13">
        <f t="shared" si="0"/>
        <v>23054655.848405492</v>
      </c>
    </row>
    <row r="21" spans="1:9" ht="15.75" x14ac:dyDescent="0.25">
      <c r="A21" s="8"/>
      <c r="B21" s="8"/>
      <c r="C21" s="9"/>
      <c r="D21" s="12" t="s">
        <v>17</v>
      </c>
      <c r="E21" s="14">
        <v>11177472.41</v>
      </c>
      <c r="F21" s="14">
        <v>15055659.779771913</v>
      </c>
      <c r="G21" s="14">
        <v>3254726.8499999996</v>
      </c>
      <c r="H21" s="14">
        <v>0</v>
      </c>
      <c r="I21" s="13">
        <f t="shared" si="0"/>
        <v>29487859.039771914</v>
      </c>
    </row>
    <row r="22" spans="1:9" ht="15.75" x14ac:dyDescent="0.25">
      <c r="A22" s="8"/>
      <c r="B22" s="8"/>
      <c r="C22" s="9"/>
      <c r="D22" s="12" t="s">
        <v>18</v>
      </c>
      <c r="E22" s="14">
        <v>425526.70999999996</v>
      </c>
      <c r="F22" s="14">
        <v>644664.60545244999</v>
      </c>
      <c r="G22" s="14">
        <v>32482089.32</v>
      </c>
      <c r="H22" s="14">
        <v>0</v>
      </c>
      <c r="I22" s="13">
        <f t="shared" si="0"/>
        <v>33552280.635452449</v>
      </c>
    </row>
    <row r="23" spans="1:9" ht="15.75" x14ac:dyDescent="0.25">
      <c r="A23" s="8"/>
      <c r="B23" s="8"/>
      <c r="C23" s="9"/>
      <c r="D23" s="12" t="s">
        <v>19</v>
      </c>
      <c r="E23" s="14">
        <v>170383.64</v>
      </c>
      <c r="F23" s="14">
        <v>240246.26997330599</v>
      </c>
      <c r="G23" s="14">
        <v>21017287.66</v>
      </c>
      <c r="H23" s="14">
        <v>0</v>
      </c>
      <c r="I23" s="13">
        <f t="shared" si="0"/>
        <v>21427917.569973305</v>
      </c>
    </row>
    <row r="24" spans="1:9" ht="15.75" x14ac:dyDescent="0.25">
      <c r="A24" s="8"/>
      <c r="B24" s="8"/>
      <c r="C24" s="9"/>
      <c r="D24" s="12" t="s">
        <v>20</v>
      </c>
      <c r="E24" s="14">
        <v>12303739.819999998</v>
      </c>
      <c r="F24" s="14">
        <v>9233260.8006738015</v>
      </c>
      <c r="G24" s="14">
        <v>7101187.9300000006</v>
      </c>
      <c r="H24" s="14">
        <v>0</v>
      </c>
      <c r="I24" s="13">
        <f t="shared" si="0"/>
        <v>28638188.550673798</v>
      </c>
    </row>
    <row r="25" spans="1:9" ht="15.75" x14ac:dyDescent="0.25">
      <c r="A25" s="8"/>
      <c r="B25" s="8"/>
      <c r="C25" s="9"/>
      <c r="D25" s="12" t="s">
        <v>21</v>
      </c>
      <c r="E25" s="14">
        <v>6298970.8300000001</v>
      </c>
      <c r="F25" s="14">
        <v>6856811.5466035716</v>
      </c>
      <c r="G25" s="14">
        <v>7850393.7199999997</v>
      </c>
      <c r="H25" s="14">
        <v>0</v>
      </c>
      <c r="I25" s="13">
        <f t="shared" si="0"/>
        <v>21006176.096603572</v>
      </c>
    </row>
    <row r="26" spans="1:9" ht="15.75" x14ac:dyDescent="0.25">
      <c r="A26" s="8"/>
      <c r="B26" s="8"/>
      <c r="C26" s="9"/>
      <c r="D26" s="12" t="s">
        <v>22</v>
      </c>
      <c r="E26" s="14">
        <v>5631902.5</v>
      </c>
      <c r="F26" s="14">
        <v>3926517.8854560722</v>
      </c>
      <c r="G26" s="14">
        <v>5601539.4800000004</v>
      </c>
      <c r="H26" s="14">
        <v>0</v>
      </c>
      <c r="I26" s="13">
        <f t="shared" si="0"/>
        <v>15159959.865456073</v>
      </c>
    </row>
    <row r="27" spans="1:9" ht="15.75" x14ac:dyDescent="0.25">
      <c r="A27" s="8"/>
      <c r="B27" s="8"/>
      <c r="C27" s="9"/>
      <c r="D27" s="12" t="s">
        <v>23</v>
      </c>
      <c r="E27" s="14">
        <v>3859719.0399999996</v>
      </c>
      <c r="F27" s="14">
        <v>673929.73182313598</v>
      </c>
      <c r="G27" s="14">
        <v>18825176.640000001</v>
      </c>
      <c r="H27" s="14">
        <v>0</v>
      </c>
      <c r="I27" s="13">
        <f t="shared" si="0"/>
        <v>23358825.411823135</v>
      </c>
    </row>
    <row r="28" spans="1:9" ht="15.75" x14ac:dyDescent="0.25">
      <c r="A28" s="8"/>
      <c r="B28" s="8"/>
      <c r="C28" s="9"/>
      <c r="D28" s="12" t="s">
        <v>24</v>
      </c>
      <c r="E28" s="14">
        <v>4985918.6600000011</v>
      </c>
      <c r="F28" s="14">
        <v>3193982.2804099862</v>
      </c>
      <c r="G28" s="14">
        <v>7502704.9999999981</v>
      </c>
      <c r="H28" s="14">
        <v>0</v>
      </c>
      <c r="I28" s="13">
        <f t="shared" si="0"/>
        <v>15682605.940409984</v>
      </c>
    </row>
    <row r="29" spans="1:9" ht="15.75" x14ac:dyDescent="0.25">
      <c r="A29" s="8"/>
      <c r="B29" s="8"/>
      <c r="C29" s="9"/>
      <c r="D29" s="12" t="s">
        <v>25</v>
      </c>
      <c r="E29" s="14">
        <v>3575668.1299999994</v>
      </c>
      <c r="F29" s="14">
        <v>1787441.3230591859</v>
      </c>
      <c r="G29" s="14">
        <v>2782105.1700000004</v>
      </c>
      <c r="H29" s="14">
        <v>0</v>
      </c>
      <c r="I29" s="13">
        <f t="shared" si="0"/>
        <v>8145214.6230591852</v>
      </c>
    </row>
    <row r="30" spans="1:9" ht="15.75" x14ac:dyDescent="0.25">
      <c r="A30" s="8"/>
      <c r="B30" s="8"/>
      <c r="C30" s="9"/>
      <c r="D30" s="12" t="s">
        <v>26</v>
      </c>
      <c r="E30" s="14">
        <v>9777567.5999999996</v>
      </c>
      <c r="F30" s="14">
        <v>9640552.7144529093</v>
      </c>
      <c r="G30" s="14">
        <v>4408732.04</v>
      </c>
      <c r="H30" s="14">
        <v>0</v>
      </c>
      <c r="I30" s="13">
        <f t="shared" si="0"/>
        <v>23826852.354452908</v>
      </c>
    </row>
    <row r="31" spans="1:9" ht="15.75" x14ac:dyDescent="0.25">
      <c r="A31" s="8"/>
      <c r="B31" s="8"/>
      <c r="C31" s="9"/>
      <c r="D31" s="12" t="s">
        <v>27</v>
      </c>
      <c r="E31" s="14">
        <v>12261522.810000004</v>
      </c>
      <c r="F31" s="14">
        <v>9992187.9537906088</v>
      </c>
      <c r="G31" s="14">
        <v>3257110.7899999996</v>
      </c>
      <c r="H31" s="14">
        <v>0</v>
      </c>
      <c r="I31" s="13">
        <f t="shared" si="0"/>
        <v>25510821.553790614</v>
      </c>
    </row>
    <row r="32" spans="1:9" ht="15.75" x14ac:dyDescent="0.25">
      <c r="A32" s="8"/>
      <c r="B32" s="8"/>
      <c r="C32" s="9"/>
      <c r="D32" s="12" t="s">
        <v>28</v>
      </c>
      <c r="E32" s="14">
        <v>9955282.8300000001</v>
      </c>
      <c r="F32" s="14">
        <v>3372749.0988603779</v>
      </c>
      <c r="G32" s="14">
        <v>2421761.34</v>
      </c>
      <c r="H32" s="14">
        <v>0</v>
      </c>
      <c r="I32" s="13">
        <f t="shared" si="0"/>
        <v>15749793.268860377</v>
      </c>
    </row>
    <row r="33" spans="1:9" ht="15.75" x14ac:dyDescent="0.25">
      <c r="A33" s="8"/>
      <c r="B33" s="8"/>
      <c r="C33" s="9"/>
      <c r="D33" s="12" t="s">
        <v>29</v>
      </c>
      <c r="E33" s="14">
        <v>1003665.05</v>
      </c>
      <c r="F33" s="14">
        <v>5098635.3499150714</v>
      </c>
      <c r="G33" s="14">
        <v>2479539.6900000004</v>
      </c>
      <c r="H33" s="14">
        <v>0</v>
      </c>
      <c r="I33" s="13">
        <f t="shared" si="0"/>
        <v>8581840.0899150707</v>
      </c>
    </row>
    <row r="34" spans="1:9" ht="15.75" x14ac:dyDescent="0.25">
      <c r="A34" s="8"/>
      <c r="B34" s="8"/>
      <c r="C34" s="9"/>
      <c r="D34" s="12" t="s">
        <v>30</v>
      </c>
      <c r="E34" s="14">
        <v>14022471.539999999</v>
      </c>
      <c r="F34" s="14">
        <v>7316810.9360425463</v>
      </c>
      <c r="G34" s="14">
        <v>9627541.4100000001</v>
      </c>
      <c r="H34" s="14">
        <v>0</v>
      </c>
      <c r="I34" s="13">
        <f t="shared" si="0"/>
        <v>30966823.886042546</v>
      </c>
    </row>
    <row r="35" spans="1:9" ht="15.75" x14ac:dyDescent="0.25">
      <c r="A35" s="8"/>
      <c r="B35" s="8"/>
      <c r="C35" s="9"/>
      <c r="D35" s="12" t="s">
        <v>31</v>
      </c>
      <c r="E35" s="14">
        <v>10613243.84</v>
      </c>
      <c r="F35" s="14">
        <v>10756937.883988922</v>
      </c>
      <c r="G35" s="14">
        <v>8499686.3899999987</v>
      </c>
      <c r="H35" s="14">
        <v>0</v>
      </c>
      <c r="I35" s="13">
        <f t="shared" si="0"/>
        <v>29869868.113988921</v>
      </c>
    </row>
    <row r="36" spans="1:9" ht="15.75" x14ac:dyDescent="0.25">
      <c r="A36" s="8"/>
      <c r="B36" s="8"/>
      <c r="C36" s="9"/>
      <c r="D36" s="12" t="s">
        <v>32</v>
      </c>
      <c r="E36" s="14">
        <v>8815425.1699999999</v>
      </c>
      <c r="F36" s="14">
        <v>6675095.5293716379</v>
      </c>
      <c r="G36" s="14">
        <v>12384661.450000001</v>
      </c>
      <c r="H36" s="14">
        <v>0</v>
      </c>
      <c r="I36" s="13">
        <f t="shared" si="0"/>
        <v>27875182.149371639</v>
      </c>
    </row>
    <row r="37" spans="1:9" ht="15.75" x14ac:dyDescent="0.25">
      <c r="A37" s="8"/>
      <c r="B37" s="8"/>
      <c r="C37" s="9"/>
      <c r="D37" s="12" t="s">
        <v>33</v>
      </c>
      <c r="E37" s="14">
        <v>5902774.120000001</v>
      </c>
      <c r="F37" s="14">
        <v>3692094.392564272</v>
      </c>
      <c r="G37" s="14">
        <v>5714710.04</v>
      </c>
      <c r="H37" s="14">
        <v>0</v>
      </c>
      <c r="I37" s="13">
        <f t="shared" si="0"/>
        <v>15309578.552564275</v>
      </c>
    </row>
    <row r="38" spans="1:9" ht="15.75" x14ac:dyDescent="0.25">
      <c r="A38" s="8"/>
      <c r="B38" s="8"/>
      <c r="C38" s="9"/>
      <c r="D38" s="12" t="s">
        <v>34</v>
      </c>
      <c r="E38" s="14">
        <v>5866062.9499999993</v>
      </c>
      <c r="F38" s="14">
        <v>8023030.6134994878</v>
      </c>
      <c r="G38" s="14">
        <v>4268259.04</v>
      </c>
      <c r="H38" s="14">
        <v>0</v>
      </c>
      <c r="I38" s="13">
        <f t="shared" si="0"/>
        <v>18157352.603499487</v>
      </c>
    </row>
    <row r="39" spans="1:9" ht="15.75" x14ac:dyDescent="0.25">
      <c r="A39" s="8"/>
      <c r="B39" s="8"/>
      <c r="C39" s="9"/>
      <c r="D39" s="12" t="s">
        <v>35</v>
      </c>
      <c r="E39" s="14">
        <v>6319149.2799999993</v>
      </c>
      <c r="F39" s="14">
        <v>12561998.779255781</v>
      </c>
      <c r="G39" s="14">
        <v>3986094.6799999997</v>
      </c>
      <c r="H39" s="14">
        <v>0</v>
      </c>
      <c r="I39" s="13">
        <f t="shared" si="0"/>
        <v>22867242.739255778</v>
      </c>
    </row>
    <row r="40" spans="1:9" ht="15.75" x14ac:dyDescent="0.25">
      <c r="A40" s="8"/>
      <c r="B40" s="8"/>
      <c r="C40" s="9"/>
      <c r="D40" s="12" t="s">
        <v>36</v>
      </c>
      <c r="E40" s="14">
        <v>370629.80000000005</v>
      </c>
      <c r="F40" s="14">
        <v>659334.97887858201</v>
      </c>
      <c r="G40" s="14">
        <v>2641914.42</v>
      </c>
      <c r="H40" s="14">
        <v>0</v>
      </c>
      <c r="I40" s="13">
        <f t="shared" si="0"/>
        <v>3671879.1988785821</v>
      </c>
    </row>
    <row r="41" spans="1:9" ht="15.75" x14ac:dyDescent="0.25">
      <c r="A41" s="8"/>
      <c r="B41" s="8"/>
      <c r="C41" s="9"/>
      <c r="D41" s="12" t="s">
        <v>37</v>
      </c>
      <c r="E41" s="14">
        <v>11222971.57</v>
      </c>
      <c r="F41" s="14">
        <v>11017752.924951442</v>
      </c>
      <c r="G41" s="14">
        <v>9124363.4499999993</v>
      </c>
      <c r="H41" s="14">
        <v>0</v>
      </c>
      <c r="I41" s="13">
        <f t="shared" si="0"/>
        <v>31365087.944951441</v>
      </c>
    </row>
    <row r="42" spans="1:9" ht="15.75" x14ac:dyDescent="0.25">
      <c r="A42" s="8"/>
      <c r="B42" s="8"/>
      <c r="C42" s="9"/>
      <c r="D42" s="12" t="s">
        <v>38</v>
      </c>
      <c r="E42" s="14">
        <v>11463332.619999995</v>
      </c>
      <c r="F42" s="14">
        <v>11932004.547229465</v>
      </c>
      <c r="G42" s="14">
        <v>4277066.6500000004</v>
      </c>
      <c r="H42" s="14">
        <v>0</v>
      </c>
      <c r="I42" s="13">
        <f t="shared" si="0"/>
        <v>27672403.817229457</v>
      </c>
    </row>
    <row r="43" spans="1:9" ht="15.75" x14ac:dyDescent="0.25">
      <c r="A43" s="8"/>
      <c r="B43" s="8"/>
      <c r="C43" s="9"/>
      <c r="D43" s="12" t="s">
        <v>39</v>
      </c>
      <c r="E43" s="14">
        <v>1972909.37</v>
      </c>
      <c r="F43" s="14">
        <v>4339708.1967982631</v>
      </c>
      <c r="G43" s="14">
        <v>6755685.8899999997</v>
      </c>
      <c r="H43" s="14">
        <v>0</v>
      </c>
      <c r="I43" s="13">
        <f t="shared" si="0"/>
        <v>13068303.456798263</v>
      </c>
    </row>
    <row r="44" spans="1:9" ht="15.75" x14ac:dyDescent="0.25">
      <c r="A44" s="8"/>
      <c r="B44" s="8"/>
      <c r="C44" s="9"/>
      <c r="D44" s="12" t="s">
        <v>40</v>
      </c>
      <c r="E44" s="14">
        <v>31709.82</v>
      </c>
      <c r="F44" s="14">
        <v>334015.66713002604</v>
      </c>
      <c r="G44" s="14">
        <v>7896597.6399999987</v>
      </c>
      <c r="H44" s="14">
        <v>0</v>
      </c>
      <c r="I44" s="13">
        <f t="shared" si="0"/>
        <v>8262323.1271300251</v>
      </c>
    </row>
    <row r="45" spans="1:9" ht="15.75" x14ac:dyDescent="0.25">
      <c r="A45" s="8"/>
      <c r="B45" s="8"/>
      <c r="C45" s="9"/>
      <c r="D45" s="12" t="s">
        <v>41</v>
      </c>
      <c r="E45" s="14">
        <v>1910406.7100000002</v>
      </c>
      <c r="F45" s="14">
        <v>96718.595938261991</v>
      </c>
      <c r="G45" s="14">
        <v>24632430.27</v>
      </c>
      <c r="H45" s="14">
        <v>0</v>
      </c>
      <c r="I45" s="13">
        <f t="shared" si="0"/>
        <v>26639555.575938262</v>
      </c>
    </row>
    <row r="46" spans="1:9" ht="15.75" x14ac:dyDescent="0.25">
      <c r="A46" s="8"/>
      <c r="B46" s="8"/>
      <c r="C46" s="9"/>
      <c r="D46" s="12" t="s">
        <v>42</v>
      </c>
      <c r="E46" s="14">
        <v>155317.56</v>
      </c>
      <c r="F46" s="14">
        <v>322294.49248543597</v>
      </c>
      <c r="G46" s="14">
        <v>40577416.059999995</v>
      </c>
      <c r="H46" s="14">
        <v>0</v>
      </c>
      <c r="I46" s="13">
        <f t="shared" si="0"/>
        <v>41055028.112485431</v>
      </c>
    </row>
    <row r="47" spans="1:9" ht="15.75" x14ac:dyDescent="0.25">
      <c r="A47" s="8"/>
      <c r="B47" s="8"/>
      <c r="C47" s="9"/>
      <c r="D47" s="12" t="s">
        <v>43</v>
      </c>
      <c r="E47" s="14">
        <v>2103894</v>
      </c>
      <c r="F47" s="14">
        <v>2045307.1652401658</v>
      </c>
      <c r="G47" s="14">
        <v>5174289.41</v>
      </c>
      <c r="H47" s="14">
        <v>0</v>
      </c>
      <c r="I47" s="13">
        <f t="shared" si="0"/>
        <v>9323490.575240165</v>
      </c>
    </row>
    <row r="48" spans="1:9" ht="15.75" x14ac:dyDescent="0.25">
      <c r="A48" s="8"/>
      <c r="B48" s="8"/>
      <c r="C48" s="9"/>
      <c r="D48" s="12" t="s">
        <v>44</v>
      </c>
      <c r="E48" s="14">
        <v>3343405.01</v>
      </c>
      <c r="F48" s="14">
        <v>322294.49248543597</v>
      </c>
      <c r="G48" s="14">
        <v>18964002.619999997</v>
      </c>
      <c r="H48" s="14">
        <v>0</v>
      </c>
      <c r="I48" s="13">
        <f t="shared" si="0"/>
        <v>22629702.122485433</v>
      </c>
    </row>
    <row r="49" spans="1:9" ht="15.75" x14ac:dyDescent="0.25">
      <c r="A49" s="8"/>
      <c r="B49" s="8"/>
      <c r="C49" s="9"/>
      <c r="D49" s="12" t="s">
        <v>45</v>
      </c>
      <c r="E49" s="14">
        <v>371404.95000000013</v>
      </c>
      <c r="F49" s="14">
        <v>383849.56448992802</v>
      </c>
      <c r="G49" s="14">
        <v>32940546.579999998</v>
      </c>
      <c r="H49" s="14">
        <v>0</v>
      </c>
      <c r="I49" s="13">
        <f t="shared" si="0"/>
        <v>33695801.094489925</v>
      </c>
    </row>
    <row r="50" spans="1:9" ht="15.75" x14ac:dyDescent="0.25">
      <c r="A50" s="8"/>
      <c r="B50" s="8"/>
      <c r="C50" s="9"/>
      <c r="D50" s="12" t="s">
        <v>46</v>
      </c>
      <c r="E50" s="14">
        <v>2819914.88</v>
      </c>
      <c r="F50" s="14">
        <v>3709713.964771946</v>
      </c>
      <c r="G50" s="14">
        <v>1979322.8699999999</v>
      </c>
      <c r="H50" s="14">
        <v>0</v>
      </c>
      <c r="I50" s="13">
        <f t="shared" si="0"/>
        <v>8508951.714771945</v>
      </c>
    </row>
    <row r="51" spans="1:9" ht="15.75" x14ac:dyDescent="0.25">
      <c r="A51" s="8"/>
      <c r="B51" s="8"/>
      <c r="C51" s="9"/>
      <c r="D51" s="12" t="s">
        <v>47</v>
      </c>
      <c r="E51" s="14">
        <v>7004430.8100000015</v>
      </c>
      <c r="F51" s="14">
        <v>6745422.5772391781</v>
      </c>
      <c r="G51" s="14">
        <v>10499746.139999999</v>
      </c>
      <c r="H51" s="14">
        <v>0</v>
      </c>
      <c r="I51" s="13">
        <f t="shared" si="0"/>
        <v>24249599.527239181</v>
      </c>
    </row>
    <row r="52" spans="1:9" ht="15.75" x14ac:dyDescent="0.25">
      <c r="A52" s="8"/>
      <c r="B52" s="8"/>
      <c r="C52" s="9"/>
      <c r="D52" s="12" t="s">
        <v>48</v>
      </c>
      <c r="E52" s="14">
        <v>3424705.28</v>
      </c>
      <c r="F52" s="14">
        <v>6798205.6733806217</v>
      </c>
      <c r="G52" s="14">
        <v>1484283.3499999999</v>
      </c>
      <c r="H52" s="14">
        <v>0</v>
      </c>
      <c r="I52" s="13">
        <f t="shared" si="0"/>
        <v>11707194.303380622</v>
      </c>
    </row>
    <row r="53" spans="1:9" ht="15.75" x14ac:dyDescent="0.25">
      <c r="A53" s="8"/>
      <c r="B53" s="8"/>
      <c r="C53" s="9"/>
      <c r="D53" s="12" t="s">
        <v>49</v>
      </c>
      <c r="E53" s="14">
        <v>7938339.4000000004</v>
      </c>
      <c r="F53" s="14">
        <v>4659129.1109837359</v>
      </c>
      <c r="G53" s="14">
        <v>3915896.27</v>
      </c>
      <c r="H53" s="14">
        <v>0</v>
      </c>
      <c r="I53" s="13">
        <f t="shared" si="0"/>
        <v>16513364.780983735</v>
      </c>
    </row>
    <row r="54" spans="1:9" ht="15.75" x14ac:dyDescent="0.25">
      <c r="A54" s="8"/>
      <c r="B54" s="8"/>
      <c r="C54" s="9"/>
      <c r="D54" s="12" t="s">
        <v>50</v>
      </c>
      <c r="E54" s="14">
        <v>8574397</v>
      </c>
      <c r="F54" s="14">
        <v>4278153.1247937717</v>
      </c>
      <c r="G54" s="14">
        <v>4213915.4800000004</v>
      </c>
      <c r="H54" s="14">
        <v>0</v>
      </c>
      <c r="I54" s="13">
        <f t="shared" si="0"/>
        <v>17066465.604793772</v>
      </c>
    </row>
    <row r="55" spans="1:9" ht="15.75" x14ac:dyDescent="0.25">
      <c r="A55" s="8"/>
      <c r="B55" s="8"/>
      <c r="C55" s="9"/>
      <c r="D55" s="12" t="s">
        <v>51</v>
      </c>
      <c r="E55" s="14">
        <v>1917972.7199999997</v>
      </c>
      <c r="F55" s="14">
        <v>8761464.6161086578</v>
      </c>
      <c r="G55" s="14">
        <v>448245.07</v>
      </c>
      <c r="H55" s="14">
        <v>0</v>
      </c>
      <c r="I55" s="13">
        <f t="shared" si="0"/>
        <v>11127682.406108659</v>
      </c>
    </row>
    <row r="56" spans="1:9" ht="15.75" x14ac:dyDescent="0.25">
      <c r="A56" s="8"/>
      <c r="B56" s="8"/>
      <c r="C56" s="9"/>
      <c r="D56" s="12" t="s">
        <v>52</v>
      </c>
      <c r="E56" s="14">
        <v>6452325.1199999982</v>
      </c>
      <c r="F56" s="14">
        <v>9751866.0633357242</v>
      </c>
      <c r="G56" s="14">
        <v>3114521.92</v>
      </c>
      <c r="H56" s="14">
        <v>0</v>
      </c>
      <c r="I56" s="13">
        <f t="shared" si="0"/>
        <v>19318713.103335723</v>
      </c>
    </row>
    <row r="57" spans="1:9" ht="15.75" x14ac:dyDescent="0.25">
      <c r="A57" s="8"/>
      <c r="B57" s="8"/>
      <c r="C57" s="9"/>
      <c r="D57" s="12" t="s">
        <v>53</v>
      </c>
      <c r="E57" s="14">
        <v>2794124.54</v>
      </c>
      <c r="F57" s="14">
        <v>3223247.4067806723</v>
      </c>
      <c r="G57" s="14">
        <v>2631602.34</v>
      </c>
      <c r="H57" s="14">
        <v>0</v>
      </c>
      <c r="I57" s="13">
        <f t="shared" si="0"/>
        <v>8648974.2867806721</v>
      </c>
    </row>
    <row r="58" spans="1:9" ht="15.75" x14ac:dyDescent="0.25">
      <c r="A58" s="8"/>
      <c r="B58" s="8"/>
      <c r="C58" s="9"/>
      <c r="D58" s="12" t="s">
        <v>54</v>
      </c>
      <c r="E58" s="14">
        <v>3474401.34</v>
      </c>
      <c r="F58" s="14">
        <v>3469392.0743170618</v>
      </c>
      <c r="G58" s="14">
        <v>482944.93000000005</v>
      </c>
      <c r="H58" s="14">
        <v>0</v>
      </c>
      <c r="I58" s="13">
        <f t="shared" si="0"/>
        <v>7426738.3443170618</v>
      </c>
    </row>
    <row r="59" spans="1:9" ht="15.75" x14ac:dyDescent="0.25">
      <c r="A59" s="8"/>
      <c r="B59" s="8"/>
      <c r="C59" s="9"/>
      <c r="D59" s="12" t="s">
        <v>55</v>
      </c>
      <c r="E59" s="14">
        <v>8723153.25</v>
      </c>
      <c r="F59" s="14">
        <v>5860511.7018134212</v>
      </c>
      <c r="G59" s="14">
        <v>4048682.0100000002</v>
      </c>
      <c r="H59" s="14">
        <v>0</v>
      </c>
      <c r="I59" s="13">
        <f t="shared" si="0"/>
        <v>18632346.961813424</v>
      </c>
    </row>
    <row r="60" spans="1:9" ht="15.75" x14ac:dyDescent="0.25">
      <c r="A60" s="8"/>
      <c r="B60" s="8"/>
      <c r="C60" s="9"/>
      <c r="D60" s="12" t="s">
        <v>56</v>
      </c>
      <c r="E60" s="14">
        <v>4670931.32</v>
      </c>
      <c r="F60" s="14">
        <v>3545617.5197476866</v>
      </c>
      <c r="G60" s="14">
        <v>2501983.42</v>
      </c>
      <c r="H60" s="14">
        <v>0</v>
      </c>
      <c r="I60" s="13">
        <f t="shared" si="0"/>
        <v>10718532.259747688</v>
      </c>
    </row>
    <row r="61" spans="1:9" ht="15.75" x14ac:dyDescent="0.25">
      <c r="A61" s="8"/>
      <c r="B61" s="8"/>
      <c r="C61" s="9"/>
      <c r="D61" s="12" t="s">
        <v>57</v>
      </c>
      <c r="E61" s="14">
        <v>6211046.7800000012</v>
      </c>
      <c r="F61" s="14">
        <v>5948382.7014070582</v>
      </c>
      <c r="G61" s="14">
        <v>2604077.5799999996</v>
      </c>
      <c r="H61" s="14">
        <v>0</v>
      </c>
      <c r="I61" s="13">
        <f t="shared" si="0"/>
        <v>14763507.061407059</v>
      </c>
    </row>
    <row r="62" spans="1:9" ht="15.75" x14ac:dyDescent="0.25">
      <c r="A62" s="8"/>
      <c r="B62" s="8"/>
      <c r="C62" s="9"/>
      <c r="D62" s="12" t="s">
        <v>58</v>
      </c>
      <c r="E62" s="14">
        <v>11240397.369999999</v>
      </c>
      <c r="F62" s="14">
        <v>6637058.4271379048</v>
      </c>
      <c r="G62" s="14">
        <v>175126935.04999998</v>
      </c>
      <c r="H62" s="14">
        <v>0</v>
      </c>
      <c r="I62" s="13">
        <f t="shared" si="0"/>
        <v>193004390.8471379</v>
      </c>
    </row>
    <row r="63" spans="1:9" ht="15.75" x14ac:dyDescent="0.25">
      <c r="A63" s="8"/>
      <c r="B63" s="8"/>
      <c r="C63" s="9"/>
      <c r="D63" s="12" t="s">
        <v>59</v>
      </c>
      <c r="E63" s="14">
        <v>1595134.68</v>
      </c>
      <c r="F63" s="14">
        <v>732535.6050460859</v>
      </c>
      <c r="G63" s="14">
        <v>12772992.77</v>
      </c>
      <c r="H63" s="14">
        <v>0</v>
      </c>
      <c r="I63" s="13">
        <f t="shared" si="0"/>
        <v>15100663.055046085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73643654.159999996</v>
      </c>
      <c r="H64" s="14">
        <v>0</v>
      </c>
      <c r="I64" s="13">
        <f t="shared" si="0"/>
        <v>73643654.159999996</v>
      </c>
    </row>
    <row r="65" spans="1:9" ht="15.75" x14ac:dyDescent="0.25">
      <c r="A65" s="8"/>
      <c r="B65" s="8"/>
      <c r="C65" s="9"/>
      <c r="D65" s="12" t="s">
        <v>61</v>
      </c>
      <c r="E65" s="14">
        <v>9385224.4900000021</v>
      </c>
      <c r="F65" s="14">
        <v>8673517.996033445</v>
      </c>
      <c r="G65" s="14">
        <v>2794139.34</v>
      </c>
      <c r="H65" s="14">
        <v>0</v>
      </c>
      <c r="I65" s="13">
        <f t="shared" si="0"/>
        <v>20852881.826033447</v>
      </c>
    </row>
    <row r="66" spans="1:9" ht="15.75" x14ac:dyDescent="0.25">
      <c r="A66" s="8"/>
      <c r="B66" s="8"/>
      <c r="C66" s="9"/>
      <c r="D66" s="12" t="s">
        <v>62</v>
      </c>
      <c r="E66" s="14">
        <v>29590150.919999991</v>
      </c>
      <c r="F66" s="14">
        <v>17244570.239528693</v>
      </c>
      <c r="G66" s="14">
        <v>5635541.8800000008</v>
      </c>
      <c r="H66" s="14">
        <v>0</v>
      </c>
      <c r="I66" s="13">
        <f t="shared" si="0"/>
        <v>52470263.03952869</v>
      </c>
    </row>
    <row r="67" spans="1:9" ht="15.75" x14ac:dyDescent="0.25">
      <c r="A67" s="8"/>
      <c r="B67" s="8"/>
      <c r="C67" s="9"/>
      <c r="D67" s="12" t="s">
        <v>63</v>
      </c>
      <c r="E67" s="14">
        <v>3156602.7299999991</v>
      </c>
      <c r="F67" s="14">
        <v>7970323.1378396228</v>
      </c>
      <c r="G67" s="14">
        <v>3521323.28</v>
      </c>
      <c r="H67" s="14">
        <v>0</v>
      </c>
      <c r="I67" s="13">
        <f t="shared" si="0"/>
        <v>14648249.147839621</v>
      </c>
    </row>
    <row r="68" spans="1:9" ht="15.75" x14ac:dyDescent="0.25">
      <c r="A68" s="8"/>
      <c r="B68" s="8"/>
      <c r="C68" s="9"/>
      <c r="D68" s="12" t="s">
        <v>64</v>
      </c>
      <c r="E68" s="14">
        <v>6350946.6800000016</v>
      </c>
      <c r="F68" s="14">
        <v>3369799.9000788364</v>
      </c>
      <c r="G68" s="14">
        <v>1495220.11</v>
      </c>
      <c r="H68" s="14">
        <v>0</v>
      </c>
      <c r="I68" s="13">
        <f t="shared" si="0"/>
        <v>11215966.690078838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23570624.739999998</v>
      </c>
      <c r="H69" s="14">
        <v>0</v>
      </c>
      <c r="I69" s="13">
        <f t="shared" si="0"/>
        <v>23570624.739999998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28280404.549999997</v>
      </c>
      <c r="H70" s="14">
        <v>0</v>
      </c>
      <c r="I70" s="13">
        <f t="shared" si="0"/>
        <v>28280404.549999997</v>
      </c>
    </row>
    <row r="71" spans="1:9" ht="15.75" x14ac:dyDescent="0.25">
      <c r="A71" s="8"/>
      <c r="B71" s="8"/>
      <c r="C71" s="9"/>
      <c r="D71" s="12" t="s">
        <v>67</v>
      </c>
      <c r="E71" s="14">
        <v>2811.66</v>
      </c>
      <c r="F71" s="14">
        <v>87870.999593635992</v>
      </c>
      <c r="G71" s="14">
        <v>28585697.780000001</v>
      </c>
      <c r="H71" s="14">
        <v>0</v>
      </c>
      <c r="I71" s="13">
        <f t="shared" si="0"/>
        <v>28676380.439593635</v>
      </c>
    </row>
    <row r="72" spans="1:9" ht="15.75" x14ac:dyDescent="0.25">
      <c r="A72" s="8"/>
      <c r="B72" s="8"/>
      <c r="C72" s="9"/>
      <c r="D72" s="12" t="s">
        <v>68</v>
      </c>
      <c r="E72" s="14">
        <v>10590119.099999998</v>
      </c>
      <c r="F72" s="14">
        <v>5473712.9385419525</v>
      </c>
      <c r="G72" s="14">
        <v>23861067.450000003</v>
      </c>
      <c r="H72" s="14">
        <v>0</v>
      </c>
      <c r="I72" s="13">
        <f t="shared" si="0"/>
        <v>39924899.488541953</v>
      </c>
    </row>
    <row r="73" spans="1:9" ht="15.75" x14ac:dyDescent="0.25">
      <c r="A73" s="8"/>
      <c r="B73" s="8"/>
      <c r="C73" s="9"/>
      <c r="D73" s="12" t="s">
        <v>69</v>
      </c>
      <c r="E73" s="14">
        <v>335919.74</v>
      </c>
      <c r="F73" s="14">
        <v>0</v>
      </c>
      <c r="G73" s="14">
        <v>27835246.190000001</v>
      </c>
      <c r="H73" s="14">
        <v>0</v>
      </c>
      <c r="I73" s="13">
        <f t="shared" si="0"/>
        <v>28171165.93</v>
      </c>
    </row>
    <row r="74" spans="1:9" ht="15.75" x14ac:dyDescent="0.25">
      <c r="A74" s="8"/>
      <c r="B74" s="8"/>
      <c r="C74" s="9"/>
      <c r="D74" s="12" t="s">
        <v>70</v>
      </c>
      <c r="E74" s="14">
        <v>584217.14</v>
      </c>
      <c r="F74" s="14">
        <v>462948.58822051599</v>
      </c>
      <c r="G74" s="14">
        <v>135425660.63</v>
      </c>
      <c r="H74" s="14">
        <v>0</v>
      </c>
      <c r="I74" s="13">
        <f t="shared" ref="I74:I137" si="1">SUM(E74:H74)</f>
        <v>136472826.35822052</v>
      </c>
    </row>
    <row r="75" spans="1:9" ht="15.75" x14ac:dyDescent="0.25">
      <c r="A75" s="8"/>
      <c r="B75" s="8"/>
      <c r="C75" s="9"/>
      <c r="D75" s="12" t="s">
        <v>71</v>
      </c>
      <c r="E75" s="14">
        <v>9328066.7100000009</v>
      </c>
      <c r="F75" s="14">
        <v>1799162.4977037758</v>
      </c>
      <c r="G75" s="14">
        <v>204616542.72</v>
      </c>
      <c r="H75" s="14">
        <v>0</v>
      </c>
      <c r="I75" s="13">
        <f t="shared" si="1"/>
        <v>215743771.92770377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73308514.469999984</v>
      </c>
      <c r="H76" s="14">
        <v>0</v>
      </c>
      <c r="I76" s="13">
        <f t="shared" si="1"/>
        <v>73308514.469999984</v>
      </c>
    </row>
    <row r="77" spans="1:9" ht="15.75" x14ac:dyDescent="0.25">
      <c r="A77" s="8"/>
      <c r="B77" s="8"/>
      <c r="C77" s="9"/>
      <c r="D77" s="12" t="s">
        <v>73</v>
      </c>
      <c r="E77" s="14">
        <v>4227429.84</v>
      </c>
      <c r="F77" s="14">
        <v>8922611.8623513766</v>
      </c>
      <c r="G77" s="14">
        <v>2348250.91</v>
      </c>
      <c r="H77" s="14">
        <v>0</v>
      </c>
      <c r="I77" s="13">
        <f t="shared" si="1"/>
        <v>15498292.612351377</v>
      </c>
    </row>
    <row r="78" spans="1:9" ht="15.75" x14ac:dyDescent="0.25">
      <c r="A78" s="8"/>
      <c r="B78" s="8"/>
      <c r="C78" s="9"/>
      <c r="D78" s="12" t="s">
        <v>74</v>
      </c>
      <c r="E78" s="14">
        <v>6189667.5299999993</v>
      </c>
      <c r="F78" s="14">
        <v>9054493.9822234083</v>
      </c>
      <c r="G78" s="14">
        <v>4901349.95</v>
      </c>
      <c r="H78" s="14">
        <v>0</v>
      </c>
      <c r="I78" s="13">
        <f t="shared" si="1"/>
        <v>20145511.462223407</v>
      </c>
    </row>
    <row r="79" spans="1:9" ht="15.75" x14ac:dyDescent="0.25">
      <c r="A79" s="8"/>
      <c r="B79" s="8"/>
      <c r="C79" s="9"/>
      <c r="D79" s="12" t="s">
        <v>75</v>
      </c>
      <c r="E79" s="14">
        <v>2867210.1399999997</v>
      </c>
      <c r="F79" s="14">
        <v>5083964.9764889404</v>
      </c>
      <c r="G79" s="14">
        <v>3127211.3799999994</v>
      </c>
      <c r="H79" s="14">
        <v>0</v>
      </c>
      <c r="I79" s="13">
        <f t="shared" si="1"/>
        <v>11078386.49648894</v>
      </c>
    </row>
    <row r="80" spans="1:9" ht="15.75" x14ac:dyDescent="0.25">
      <c r="A80" s="8"/>
      <c r="B80" s="8"/>
      <c r="C80" s="9"/>
      <c r="D80" s="12" t="s">
        <v>76</v>
      </c>
      <c r="E80" s="14">
        <v>3660129.1300000004</v>
      </c>
      <c r="F80" s="14">
        <v>2687022.5719110738</v>
      </c>
      <c r="G80" s="14">
        <v>957582.20000000007</v>
      </c>
      <c r="H80" s="14">
        <v>0</v>
      </c>
      <c r="I80" s="13">
        <f t="shared" si="1"/>
        <v>7304733.9019110743</v>
      </c>
    </row>
    <row r="81" spans="1:9" ht="15.75" x14ac:dyDescent="0.25">
      <c r="A81" s="8"/>
      <c r="B81" s="8"/>
      <c r="C81" s="9"/>
      <c r="D81" s="12" t="s">
        <v>77</v>
      </c>
      <c r="E81" s="14">
        <v>14070754.019999998</v>
      </c>
      <c r="F81" s="14">
        <v>16213106.870804779</v>
      </c>
      <c r="G81" s="14">
        <v>7268105.4500000002</v>
      </c>
      <c r="H81" s="14">
        <v>0</v>
      </c>
      <c r="I81" s="13">
        <f t="shared" si="1"/>
        <v>37551966.340804778</v>
      </c>
    </row>
    <row r="82" spans="1:9" ht="15.75" x14ac:dyDescent="0.25">
      <c r="A82" s="8"/>
      <c r="B82" s="8"/>
      <c r="C82" s="9"/>
      <c r="D82" s="12" t="s">
        <v>78</v>
      </c>
      <c r="E82" s="14">
        <v>17403575.300000001</v>
      </c>
      <c r="F82" s="14">
        <v>11237506.044417113</v>
      </c>
      <c r="G82" s="14">
        <v>3230180.17</v>
      </c>
      <c r="H82" s="14">
        <v>0</v>
      </c>
      <c r="I82" s="13">
        <f t="shared" si="1"/>
        <v>31871261.514417112</v>
      </c>
    </row>
    <row r="83" spans="1:9" ht="15.75" x14ac:dyDescent="0.25">
      <c r="A83" s="8"/>
      <c r="B83" s="8"/>
      <c r="C83" s="9"/>
      <c r="D83" s="12" t="s">
        <v>79</v>
      </c>
      <c r="E83" s="14">
        <v>4475393.3099999996</v>
      </c>
      <c r="F83" s="14">
        <v>4615117.9907053392</v>
      </c>
      <c r="G83" s="14">
        <v>10658052.219999999</v>
      </c>
      <c r="H83" s="14">
        <v>0</v>
      </c>
      <c r="I83" s="13">
        <f t="shared" si="1"/>
        <v>19748563.520705339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79619262.559999987</v>
      </c>
      <c r="H84" s="14">
        <v>0</v>
      </c>
      <c r="I84" s="13">
        <f t="shared" si="1"/>
        <v>79619262.559999987</v>
      </c>
    </row>
    <row r="85" spans="1:9" ht="15.75" x14ac:dyDescent="0.25">
      <c r="A85" s="8"/>
      <c r="B85" s="8"/>
      <c r="C85" s="9"/>
      <c r="D85" s="12" t="s">
        <v>81</v>
      </c>
      <c r="E85" s="14">
        <v>7430959.7500000009</v>
      </c>
      <c r="F85" s="14">
        <v>1435806.0837214862</v>
      </c>
      <c r="G85" s="14">
        <v>20729161.190000001</v>
      </c>
      <c r="H85" s="14">
        <v>0</v>
      </c>
      <c r="I85" s="13">
        <f t="shared" si="1"/>
        <v>29595927.023721486</v>
      </c>
    </row>
    <row r="86" spans="1:9" ht="15.75" x14ac:dyDescent="0.25">
      <c r="A86" s="8"/>
      <c r="B86" s="8"/>
      <c r="C86" s="9"/>
      <c r="D86" s="12" t="s">
        <v>82</v>
      </c>
      <c r="E86" s="14">
        <v>15866095.310000001</v>
      </c>
      <c r="F86" s="14">
        <v>5963053.0748331891</v>
      </c>
      <c r="G86" s="14">
        <v>3097297.98</v>
      </c>
      <c r="H86" s="14">
        <v>0</v>
      </c>
      <c r="I86" s="13">
        <f t="shared" si="1"/>
        <v>24926446.364833191</v>
      </c>
    </row>
    <row r="87" spans="1:9" ht="15.75" x14ac:dyDescent="0.25">
      <c r="A87" s="8"/>
      <c r="B87" s="8"/>
      <c r="C87" s="9"/>
      <c r="D87" s="12" t="s">
        <v>83</v>
      </c>
      <c r="E87" s="14">
        <v>2849589.27</v>
      </c>
      <c r="F87" s="14">
        <v>7853111.3913937211</v>
      </c>
      <c r="G87" s="14">
        <v>2362057.21</v>
      </c>
      <c r="H87" s="14">
        <v>0</v>
      </c>
      <c r="I87" s="13">
        <f t="shared" si="1"/>
        <v>13064757.871393722</v>
      </c>
    </row>
    <row r="88" spans="1:9" ht="15.75" x14ac:dyDescent="0.25">
      <c r="A88" s="8"/>
      <c r="B88" s="8"/>
      <c r="C88" s="9"/>
      <c r="D88" s="12" t="s">
        <v>84</v>
      </c>
      <c r="E88" s="14">
        <v>1798548.59</v>
      </c>
      <c r="F88" s="14">
        <v>0</v>
      </c>
      <c r="G88" s="14">
        <v>26942203.270000003</v>
      </c>
      <c r="H88" s="14">
        <v>0</v>
      </c>
      <c r="I88" s="13">
        <f t="shared" si="1"/>
        <v>28740751.860000003</v>
      </c>
    </row>
    <row r="89" spans="1:9" ht="15.75" x14ac:dyDescent="0.25">
      <c r="A89" s="8"/>
      <c r="B89" s="8"/>
      <c r="C89" s="9"/>
      <c r="D89" s="12" t="s">
        <v>85</v>
      </c>
      <c r="E89" s="14">
        <v>5639793.46</v>
      </c>
      <c r="F89" s="14">
        <v>7700736.1210140521</v>
      </c>
      <c r="G89" s="14">
        <v>2681532.85</v>
      </c>
      <c r="H89" s="14">
        <v>0</v>
      </c>
      <c r="I89" s="13">
        <f t="shared" si="1"/>
        <v>16022062.431014052</v>
      </c>
    </row>
    <row r="90" spans="1:9" ht="15.75" x14ac:dyDescent="0.25">
      <c r="A90" s="8"/>
      <c r="B90" s="8"/>
      <c r="C90" s="9"/>
      <c r="D90" s="12" t="s">
        <v>86</v>
      </c>
      <c r="E90" s="14">
        <v>1968174.1200000003</v>
      </c>
      <c r="F90" s="14">
        <v>1992599.6895802999</v>
      </c>
      <c r="G90" s="14">
        <v>7943754.6999999993</v>
      </c>
      <c r="H90" s="14">
        <v>0</v>
      </c>
      <c r="I90" s="13">
        <f t="shared" si="1"/>
        <v>11904528.509580299</v>
      </c>
    </row>
    <row r="91" spans="1:9" ht="15.75" x14ac:dyDescent="0.25">
      <c r="A91" s="8"/>
      <c r="B91" s="8"/>
      <c r="C91" s="9"/>
      <c r="D91" s="12" t="s">
        <v>87</v>
      </c>
      <c r="E91" s="14">
        <v>4603499.1300000008</v>
      </c>
      <c r="F91" s="14">
        <v>4544790.9428377999</v>
      </c>
      <c r="G91" s="14">
        <v>12347606.639999999</v>
      </c>
      <c r="H91" s="14">
        <v>0</v>
      </c>
      <c r="I91" s="13">
        <f t="shared" si="1"/>
        <v>21495896.7128378</v>
      </c>
    </row>
    <row r="92" spans="1:9" ht="15.75" x14ac:dyDescent="0.25">
      <c r="A92" s="8"/>
      <c r="B92" s="8"/>
      <c r="C92" s="9"/>
      <c r="D92" s="12" t="s">
        <v>88</v>
      </c>
      <c r="E92" s="14">
        <v>993486.02000000014</v>
      </c>
      <c r="F92" s="14">
        <v>627045.03324477596</v>
      </c>
      <c r="G92" s="14">
        <v>39913980.82</v>
      </c>
      <c r="H92" s="14">
        <v>0</v>
      </c>
      <c r="I92" s="13">
        <f t="shared" si="1"/>
        <v>41534511.873244777</v>
      </c>
    </row>
    <row r="93" spans="1:9" ht="15.75" x14ac:dyDescent="0.25">
      <c r="A93" s="8"/>
      <c r="B93" s="8"/>
      <c r="C93" s="9"/>
      <c r="D93" s="12" t="s">
        <v>89</v>
      </c>
      <c r="E93" s="14">
        <v>9487291.25</v>
      </c>
      <c r="F93" s="14">
        <v>5081091.3981889747</v>
      </c>
      <c r="G93" s="14">
        <v>3923724.53</v>
      </c>
      <c r="H93" s="14">
        <v>0</v>
      </c>
      <c r="I93" s="13">
        <f t="shared" si="1"/>
        <v>18492107.178188976</v>
      </c>
    </row>
    <row r="94" spans="1:9" ht="15.75" x14ac:dyDescent="0.25">
      <c r="A94" s="8"/>
      <c r="B94" s="8"/>
      <c r="C94" s="9"/>
      <c r="D94" s="12" t="s">
        <v>90</v>
      </c>
      <c r="E94" s="14">
        <v>163156.84</v>
      </c>
      <c r="F94" s="14">
        <v>0</v>
      </c>
      <c r="G94" s="14">
        <v>1406328.8299999998</v>
      </c>
      <c r="H94" s="14">
        <v>0</v>
      </c>
      <c r="I94" s="13">
        <f t="shared" si="1"/>
        <v>1569485.67</v>
      </c>
    </row>
    <row r="95" spans="1:9" ht="15.75" x14ac:dyDescent="0.25">
      <c r="A95" s="8"/>
      <c r="B95" s="8"/>
      <c r="C95" s="9"/>
      <c r="D95" s="12" t="s">
        <v>91</v>
      </c>
      <c r="E95" s="14">
        <v>1008220.31</v>
      </c>
      <c r="F95" s="14">
        <v>161147.24624271799</v>
      </c>
      <c r="G95" s="14">
        <v>41070044.550000004</v>
      </c>
      <c r="H95" s="14">
        <v>0</v>
      </c>
      <c r="I95" s="13">
        <f t="shared" si="1"/>
        <v>42239412.106242724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56600182.280000009</v>
      </c>
      <c r="H96" s="14">
        <v>0</v>
      </c>
      <c r="I96" s="13">
        <f t="shared" si="1"/>
        <v>56600182.280000009</v>
      </c>
    </row>
    <row r="97" spans="1:9" ht="15.75" x14ac:dyDescent="0.25">
      <c r="A97" s="8"/>
      <c r="B97" s="8"/>
      <c r="C97" s="9"/>
      <c r="D97" s="12" t="s">
        <v>93</v>
      </c>
      <c r="E97" s="14">
        <v>3279039.13</v>
      </c>
      <c r="F97" s="14">
        <v>7237711.9123119581</v>
      </c>
      <c r="G97" s="14">
        <v>2717411.08</v>
      </c>
      <c r="H97" s="14">
        <v>0</v>
      </c>
      <c r="I97" s="13">
        <f t="shared" si="1"/>
        <v>13234162.122311959</v>
      </c>
    </row>
    <row r="98" spans="1:9" ht="15.75" x14ac:dyDescent="0.25">
      <c r="A98" s="8"/>
      <c r="B98" s="8"/>
      <c r="C98" s="9"/>
      <c r="D98" s="12" t="s">
        <v>94</v>
      </c>
      <c r="E98" s="14">
        <v>10370254.639999999</v>
      </c>
      <c r="F98" s="14">
        <v>9520391.769225467</v>
      </c>
      <c r="G98" s="14">
        <v>21015964.960000001</v>
      </c>
      <c r="H98" s="14">
        <v>0</v>
      </c>
      <c r="I98" s="13">
        <f t="shared" si="1"/>
        <v>40906611.369225465</v>
      </c>
    </row>
    <row r="99" spans="1:9" ht="15.75" x14ac:dyDescent="0.25">
      <c r="A99" s="8"/>
      <c r="B99" s="8"/>
      <c r="C99" s="9"/>
      <c r="D99" s="12" t="s">
        <v>95</v>
      </c>
      <c r="E99" s="14">
        <v>13592289.619999997</v>
      </c>
      <c r="F99" s="14">
        <v>18141202.289599046</v>
      </c>
      <c r="G99" s="14">
        <v>10471752.789999999</v>
      </c>
      <c r="H99" s="14">
        <v>0</v>
      </c>
      <c r="I99" s="13">
        <f t="shared" si="1"/>
        <v>42205244.699599043</v>
      </c>
    </row>
    <row r="100" spans="1:9" ht="15.75" x14ac:dyDescent="0.25">
      <c r="A100" s="8"/>
      <c r="B100" s="8"/>
      <c r="C100" s="9"/>
      <c r="D100" s="12" t="s">
        <v>96</v>
      </c>
      <c r="E100" s="14">
        <v>21570383</v>
      </c>
      <c r="F100" s="14">
        <v>18149974.265462093</v>
      </c>
      <c r="G100" s="14">
        <v>20411272.510000002</v>
      </c>
      <c r="H100" s="14">
        <v>0</v>
      </c>
      <c r="I100" s="13">
        <f t="shared" si="1"/>
        <v>60131629.775462091</v>
      </c>
    </row>
    <row r="101" spans="1:9" ht="15.75" x14ac:dyDescent="0.25">
      <c r="A101" s="8"/>
      <c r="B101" s="8"/>
      <c r="C101" s="9"/>
      <c r="D101" s="12" t="s">
        <v>97</v>
      </c>
      <c r="E101" s="14">
        <v>2392019.9700000002</v>
      </c>
      <c r="F101" s="14">
        <v>24356827.772902749</v>
      </c>
      <c r="G101" s="14">
        <v>126351.34</v>
      </c>
      <c r="H101" s="14">
        <v>0</v>
      </c>
      <c r="I101" s="13">
        <f t="shared" si="1"/>
        <v>26875199.082902748</v>
      </c>
    </row>
    <row r="102" spans="1:9" ht="15.75" x14ac:dyDescent="0.25">
      <c r="A102" s="8"/>
      <c r="B102" s="8"/>
      <c r="C102" s="9"/>
      <c r="D102" s="12" t="s">
        <v>98</v>
      </c>
      <c r="E102" s="14">
        <v>12621295.940000001</v>
      </c>
      <c r="F102" s="14">
        <v>10472756.114218798</v>
      </c>
      <c r="G102" s="14">
        <v>9349318.5600000005</v>
      </c>
      <c r="H102" s="14">
        <v>0</v>
      </c>
      <c r="I102" s="13">
        <f t="shared" si="1"/>
        <v>32443370.614218801</v>
      </c>
    </row>
    <row r="103" spans="1:9" ht="15.75" x14ac:dyDescent="0.25">
      <c r="A103" s="8"/>
      <c r="B103" s="8"/>
      <c r="C103" s="9"/>
      <c r="D103" s="12" t="s">
        <v>99</v>
      </c>
      <c r="E103" s="14">
        <v>24247246.420000002</v>
      </c>
      <c r="F103" s="14">
        <v>3325864.4002820179</v>
      </c>
      <c r="G103" s="14">
        <v>1348746.95</v>
      </c>
      <c r="H103" s="14">
        <v>0</v>
      </c>
      <c r="I103" s="13">
        <f t="shared" si="1"/>
        <v>28921857.770282019</v>
      </c>
    </row>
    <row r="104" spans="1:9" ht="15.75" x14ac:dyDescent="0.25">
      <c r="A104" s="8"/>
      <c r="B104" s="8"/>
      <c r="C104" s="9"/>
      <c r="D104" s="12" t="s">
        <v>100</v>
      </c>
      <c r="E104" s="14">
        <v>39829608.840000004</v>
      </c>
      <c r="F104" s="14">
        <v>6077315.6224975483</v>
      </c>
      <c r="G104" s="14">
        <v>22387762.719999999</v>
      </c>
      <c r="H104" s="14">
        <v>0</v>
      </c>
      <c r="I104" s="13">
        <f t="shared" si="1"/>
        <v>68294687.182497561</v>
      </c>
    </row>
    <row r="105" spans="1:9" ht="15.75" x14ac:dyDescent="0.25">
      <c r="A105" s="8"/>
      <c r="B105" s="8"/>
      <c r="C105" s="9"/>
      <c r="D105" s="12" t="s">
        <v>101</v>
      </c>
      <c r="E105" s="14">
        <v>8085703.7599999988</v>
      </c>
      <c r="F105" s="14">
        <v>9025153.2353711445</v>
      </c>
      <c r="G105" s="14">
        <v>679343.28</v>
      </c>
      <c r="H105" s="14">
        <v>0</v>
      </c>
      <c r="I105" s="13">
        <f t="shared" si="1"/>
        <v>17790200.275371145</v>
      </c>
    </row>
    <row r="106" spans="1:9" ht="15.75" x14ac:dyDescent="0.25">
      <c r="A106" s="8"/>
      <c r="B106" s="8"/>
      <c r="C106" s="9"/>
      <c r="D106" s="12" t="s">
        <v>102</v>
      </c>
      <c r="E106" s="14">
        <v>9288392.8599999975</v>
      </c>
      <c r="F106" s="14">
        <v>556717.98537723604</v>
      </c>
      <c r="G106" s="14">
        <v>48884720.18</v>
      </c>
      <c r="H106" s="14">
        <v>0</v>
      </c>
      <c r="I106" s="13">
        <f t="shared" si="1"/>
        <v>58729831.025377229</v>
      </c>
    </row>
    <row r="107" spans="1:9" ht="15.75" x14ac:dyDescent="0.25">
      <c r="A107" s="8"/>
      <c r="B107" s="8"/>
      <c r="C107" s="9"/>
      <c r="D107" s="12" t="s">
        <v>103</v>
      </c>
      <c r="E107" s="14">
        <v>88278.73</v>
      </c>
      <c r="F107" s="14">
        <v>0</v>
      </c>
      <c r="G107" s="14">
        <v>13144895.780000001</v>
      </c>
      <c r="H107" s="14">
        <v>0</v>
      </c>
      <c r="I107" s="13">
        <f t="shared" si="1"/>
        <v>13233174.510000002</v>
      </c>
    </row>
    <row r="108" spans="1:9" ht="15.75" x14ac:dyDescent="0.25">
      <c r="A108" s="8"/>
      <c r="B108" s="8"/>
      <c r="C108" s="9"/>
      <c r="D108" s="12" t="s">
        <v>104</v>
      </c>
      <c r="E108" s="14">
        <v>1181611.2900000003</v>
      </c>
      <c r="F108" s="14">
        <v>0</v>
      </c>
      <c r="G108" s="14">
        <v>6307847.3300000001</v>
      </c>
      <c r="H108" s="14">
        <v>0</v>
      </c>
      <c r="I108" s="13">
        <f t="shared" si="1"/>
        <v>7489458.6200000001</v>
      </c>
    </row>
    <row r="109" spans="1:9" ht="15.75" x14ac:dyDescent="0.25">
      <c r="A109" s="8"/>
      <c r="B109" s="8"/>
      <c r="C109" s="9"/>
      <c r="D109" s="12" t="s">
        <v>105</v>
      </c>
      <c r="E109" s="14">
        <v>4472355.45</v>
      </c>
      <c r="F109" s="14">
        <v>14516485.746120771</v>
      </c>
      <c r="G109" s="14">
        <v>937617.22</v>
      </c>
      <c r="H109" s="14">
        <v>0</v>
      </c>
      <c r="I109" s="13">
        <f t="shared" si="1"/>
        <v>19926458.416120771</v>
      </c>
    </row>
    <row r="110" spans="1:9" ht="15.75" x14ac:dyDescent="0.25">
      <c r="A110" s="8"/>
      <c r="B110" s="8"/>
      <c r="C110" s="9"/>
      <c r="D110" s="12" t="s">
        <v>106</v>
      </c>
      <c r="E110" s="14">
        <v>2462161.4500000002</v>
      </c>
      <c r="F110" s="14">
        <v>3366850.7012972939</v>
      </c>
      <c r="G110" s="14">
        <v>1742786.2</v>
      </c>
      <c r="H110" s="14">
        <v>0</v>
      </c>
      <c r="I110" s="13">
        <f t="shared" si="1"/>
        <v>7571798.3512972938</v>
      </c>
    </row>
    <row r="111" spans="1:9" ht="15.75" x14ac:dyDescent="0.25">
      <c r="A111" s="8"/>
      <c r="B111" s="8"/>
      <c r="C111" s="9"/>
      <c r="D111" s="12" t="s">
        <v>107</v>
      </c>
      <c r="E111" s="14">
        <v>552949.38</v>
      </c>
      <c r="F111" s="14">
        <v>55656.674441407995</v>
      </c>
      <c r="G111" s="14">
        <v>70041406.539999992</v>
      </c>
      <c r="H111" s="14">
        <v>0</v>
      </c>
      <c r="I111" s="13">
        <f t="shared" si="1"/>
        <v>70650012.594441399</v>
      </c>
    </row>
    <row r="112" spans="1:9" ht="15.75" x14ac:dyDescent="0.25">
      <c r="A112" s="8"/>
      <c r="B112" s="8"/>
      <c r="C112" s="9"/>
      <c r="D112" s="12" t="s">
        <v>108</v>
      </c>
      <c r="E112" s="14">
        <v>11193751.190000001</v>
      </c>
      <c r="F112" s="14">
        <v>3809306.1390101719</v>
      </c>
      <c r="G112" s="14">
        <v>5262228.1399999997</v>
      </c>
      <c r="H112" s="14">
        <v>0</v>
      </c>
      <c r="I112" s="13">
        <f t="shared" si="1"/>
        <v>20265285.469010174</v>
      </c>
    </row>
    <row r="113" spans="1:9" ht="15.75" x14ac:dyDescent="0.25">
      <c r="A113" s="8"/>
      <c r="B113" s="8"/>
      <c r="C113" s="9"/>
      <c r="D113" s="12" t="s">
        <v>109</v>
      </c>
      <c r="E113" s="14">
        <v>5654627.6599999992</v>
      </c>
      <c r="F113" s="14">
        <v>9171705.7286693081</v>
      </c>
      <c r="G113" s="14">
        <v>2492615.9500000002</v>
      </c>
      <c r="H113" s="14">
        <v>0</v>
      </c>
      <c r="I113" s="13">
        <f t="shared" si="1"/>
        <v>17318949.338669308</v>
      </c>
    </row>
    <row r="114" spans="1:9" ht="15.75" x14ac:dyDescent="0.25">
      <c r="A114" s="8"/>
      <c r="B114" s="8"/>
      <c r="C114" s="9"/>
      <c r="D114" s="12" t="s">
        <v>110</v>
      </c>
      <c r="E114" s="14">
        <v>13438495.529999999</v>
      </c>
      <c r="F114" s="14">
        <v>10519640.812797157</v>
      </c>
      <c r="G114" s="14">
        <v>3658147.03</v>
      </c>
      <c r="H114" s="14">
        <v>0</v>
      </c>
      <c r="I114" s="13">
        <f t="shared" si="1"/>
        <v>27616283.372797158</v>
      </c>
    </row>
    <row r="115" spans="1:9" ht="15.75" x14ac:dyDescent="0.25">
      <c r="A115" s="8"/>
      <c r="B115" s="8"/>
      <c r="C115" s="9"/>
      <c r="D115" s="12" t="s">
        <v>111</v>
      </c>
      <c r="E115" s="14">
        <v>16624598.030000001</v>
      </c>
      <c r="F115" s="14">
        <v>5201176.7229348402</v>
      </c>
      <c r="G115" s="14">
        <v>5067695.68</v>
      </c>
      <c r="H115" s="14">
        <v>0</v>
      </c>
      <c r="I115" s="13">
        <f t="shared" si="1"/>
        <v>26893470.432934843</v>
      </c>
    </row>
    <row r="116" spans="1:9" ht="15.75" x14ac:dyDescent="0.25">
      <c r="A116" s="8"/>
      <c r="B116" s="8"/>
      <c r="C116" s="9"/>
      <c r="D116" s="12" t="s">
        <v>112</v>
      </c>
      <c r="E116" s="14">
        <v>2208423.2199999997</v>
      </c>
      <c r="F116" s="14">
        <v>6754270.1735838037</v>
      </c>
      <c r="G116" s="14">
        <v>1111732.48</v>
      </c>
      <c r="H116" s="14">
        <v>0</v>
      </c>
      <c r="I116" s="13">
        <f t="shared" si="1"/>
        <v>10074425.873583805</v>
      </c>
    </row>
    <row r="117" spans="1:9" ht="15.75" x14ac:dyDescent="0.25">
      <c r="A117" s="8"/>
      <c r="B117" s="8"/>
      <c r="C117" s="9"/>
      <c r="D117" s="12" t="s">
        <v>113</v>
      </c>
      <c r="E117" s="14">
        <v>5458015.7300000004</v>
      </c>
      <c r="F117" s="14">
        <v>5215847.0963609722</v>
      </c>
      <c r="G117" s="14">
        <v>5073977.2299999995</v>
      </c>
      <c r="H117" s="14">
        <v>0</v>
      </c>
      <c r="I117" s="13">
        <f t="shared" si="1"/>
        <v>15747840.056360971</v>
      </c>
    </row>
    <row r="118" spans="1:9" ht="15.75" x14ac:dyDescent="0.25">
      <c r="A118" s="8"/>
      <c r="B118" s="8"/>
      <c r="C118" s="9"/>
      <c r="D118" s="12" t="s">
        <v>114</v>
      </c>
      <c r="E118" s="14">
        <v>2833952.9</v>
      </c>
      <c r="F118" s="14">
        <v>8146140.7575084716</v>
      </c>
      <c r="G118" s="14">
        <v>7322254.9300000016</v>
      </c>
      <c r="H118" s="14">
        <v>0</v>
      </c>
      <c r="I118" s="13">
        <f t="shared" si="1"/>
        <v>18302348.587508474</v>
      </c>
    </row>
    <row r="119" spans="1:9" ht="15.75" x14ac:dyDescent="0.25">
      <c r="A119" s="8"/>
      <c r="B119" s="8"/>
      <c r="C119" s="9"/>
      <c r="D119" s="12" t="s">
        <v>115</v>
      </c>
      <c r="E119" s="14">
        <v>2560338.9299999997</v>
      </c>
      <c r="F119" s="14">
        <v>791141.47826903604</v>
      </c>
      <c r="G119" s="14">
        <v>2904806.7800000003</v>
      </c>
      <c r="H119" s="14">
        <v>0</v>
      </c>
      <c r="I119" s="13">
        <f t="shared" si="1"/>
        <v>6256287.1882690359</v>
      </c>
    </row>
    <row r="120" spans="1:9" ht="15.75" x14ac:dyDescent="0.25">
      <c r="A120" s="8"/>
      <c r="B120" s="8"/>
      <c r="C120" s="9"/>
      <c r="D120" s="12" t="s">
        <v>116</v>
      </c>
      <c r="E120" s="14">
        <v>14424416.08</v>
      </c>
      <c r="F120" s="14">
        <v>3457670.8996724719</v>
      </c>
      <c r="G120" s="14">
        <v>5598568.1900000004</v>
      </c>
      <c r="H120" s="14">
        <v>0</v>
      </c>
      <c r="I120" s="13">
        <f t="shared" si="1"/>
        <v>23480655.169672474</v>
      </c>
    </row>
    <row r="121" spans="1:9" ht="15.75" x14ac:dyDescent="0.25">
      <c r="A121" s="8"/>
      <c r="B121" s="8"/>
      <c r="C121" s="9"/>
      <c r="D121" s="12" t="s">
        <v>117</v>
      </c>
      <c r="E121" s="14">
        <v>7317075.5800000001</v>
      </c>
      <c r="F121" s="14">
        <v>5130849.6750673</v>
      </c>
      <c r="G121" s="14">
        <v>5450066.0300000003</v>
      </c>
      <c r="H121" s="14">
        <v>0</v>
      </c>
      <c r="I121" s="13">
        <f t="shared" si="1"/>
        <v>17897991.285067301</v>
      </c>
    </row>
    <row r="122" spans="1:9" ht="15.75" x14ac:dyDescent="0.25">
      <c r="A122" s="8"/>
      <c r="B122" s="8"/>
      <c r="C122" s="9"/>
      <c r="D122" s="12" t="s">
        <v>118</v>
      </c>
      <c r="E122" s="14">
        <v>8693865.8800000008</v>
      </c>
      <c r="F122" s="14">
        <v>3782990.2114210282</v>
      </c>
      <c r="G122" s="14">
        <v>4664376.3599999994</v>
      </c>
      <c r="H122" s="14">
        <v>0</v>
      </c>
      <c r="I122" s="13">
        <f t="shared" si="1"/>
        <v>17141232.45142103</v>
      </c>
    </row>
    <row r="123" spans="1:9" ht="15.75" x14ac:dyDescent="0.25">
      <c r="A123" s="8"/>
      <c r="B123" s="8"/>
      <c r="C123" s="9"/>
      <c r="D123" s="12" t="s">
        <v>119</v>
      </c>
      <c r="E123" s="14">
        <v>7605143.1200000001</v>
      </c>
      <c r="F123" s="14">
        <v>6950580.9437602926</v>
      </c>
      <c r="G123" s="14">
        <v>1750220.3599999999</v>
      </c>
      <c r="H123" s="14">
        <v>0</v>
      </c>
      <c r="I123" s="13">
        <f t="shared" si="1"/>
        <v>16305944.423760291</v>
      </c>
    </row>
    <row r="124" spans="1:9" ht="15.75" x14ac:dyDescent="0.25">
      <c r="A124" s="8"/>
      <c r="B124" s="8"/>
      <c r="C124" s="9"/>
      <c r="D124" s="12" t="s">
        <v>120</v>
      </c>
      <c r="E124" s="14">
        <v>566033.99</v>
      </c>
      <c r="F124" s="14">
        <v>0</v>
      </c>
      <c r="G124" s="14">
        <v>22114854.5</v>
      </c>
      <c r="H124" s="14">
        <v>4330838.67</v>
      </c>
      <c r="I124" s="13">
        <f t="shared" si="1"/>
        <v>27011727.159999996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71045231.569999978</v>
      </c>
      <c r="H125" s="14">
        <v>324589.77499999997</v>
      </c>
      <c r="I125" s="13">
        <f t="shared" si="1"/>
        <v>71369821.344999984</v>
      </c>
    </row>
    <row r="126" spans="1:9" ht="15.75" x14ac:dyDescent="0.25">
      <c r="A126" s="8"/>
      <c r="B126" s="8"/>
      <c r="C126" s="9"/>
      <c r="D126" s="12" t="s">
        <v>122</v>
      </c>
      <c r="E126" s="14">
        <v>30227.79</v>
      </c>
      <c r="F126" s="14">
        <v>0</v>
      </c>
      <c r="G126" s="14">
        <v>40674589.990000002</v>
      </c>
      <c r="H126" s="14">
        <v>0</v>
      </c>
      <c r="I126" s="13">
        <f t="shared" si="1"/>
        <v>40704817.780000001</v>
      </c>
    </row>
    <row r="127" spans="1:9" ht="15.75" x14ac:dyDescent="0.25">
      <c r="A127" s="8"/>
      <c r="B127" s="8"/>
      <c r="C127" s="9"/>
      <c r="D127" s="12" t="s">
        <v>123</v>
      </c>
      <c r="E127" s="14">
        <v>11318226.109999999</v>
      </c>
      <c r="F127" s="14">
        <v>1465146.83057375</v>
      </c>
      <c r="G127" s="14">
        <v>27618875.199999996</v>
      </c>
      <c r="H127" s="14">
        <v>0</v>
      </c>
      <c r="I127" s="13">
        <f t="shared" si="1"/>
        <v>40402248.140573747</v>
      </c>
    </row>
    <row r="128" spans="1:9" ht="15.75" x14ac:dyDescent="0.25">
      <c r="A128" s="8"/>
      <c r="B128" s="8"/>
      <c r="C128" s="9"/>
      <c r="D128" s="12" t="s">
        <v>124</v>
      </c>
      <c r="E128" s="14">
        <v>12904233.080000002</v>
      </c>
      <c r="F128" s="14">
        <v>4571182.4909085222</v>
      </c>
      <c r="G128" s="14">
        <v>9426888.5</v>
      </c>
      <c r="H128" s="14">
        <v>0</v>
      </c>
      <c r="I128" s="13">
        <f t="shared" si="1"/>
        <v>26902304.070908524</v>
      </c>
    </row>
    <row r="129" spans="1:9" ht="15.75" x14ac:dyDescent="0.25">
      <c r="A129" s="8"/>
      <c r="B129" s="8"/>
      <c r="C129" s="9"/>
      <c r="D129" s="12" t="s">
        <v>125</v>
      </c>
      <c r="E129" s="14">
        <v>3012120.96</v>
      </c>
      <c r="F129" s="14">
        <v>2212352.8090459676</v>
      </c>
      <c r="G129" s="14">
        <v>8632924.3599999994</v>
      </c>
      <c r="H129" s="14">
        <v>0</v>
      </c>
      <c r="I129" s="13">
        <f t="shared" si="1"/>
        <v>13857398.129045967</v>
      </c>
    </row>
    <row r="130" spans="1:9" ht="15.75" x14ac:dyDescent="0.25">
      <c r="A130" s="8"/>
      <c r="B130" s="8"/>
      <c r="C130" s="9"/>
      <c r="D130" s="12" t="s">
        <v>126</v>
      </c>
      <c r="E130" s="14">
        <v>713650.44</v>
      </c>
      <c r="F130" s="14">
        <v>3897252.7590853856</v>
      </c>
      <c r="G130" s="14">
        <v>1887604.3099999998</v>
      </c>
      <c r="H130" s="14">
        <v>0</v>
      </c>
      <c r="I130" s="13">
        <f t="shared" si="1"/>
        <v>6498507.5090853851</v>
      </c>
    </row>
    <row r="131" spans="1:9" ht="15.75" x14ac:dyDescent="0.25">
      <c r="A131" s="8"/>
      <c r="B131" s="8"/>
      <c r="C131" s="9"/>
      <c r="D131" s="12" t="s">
        <v>127</v>
      </c>
      <c r="E131" s="14">
        <v>16804678.989999998</v>
      </c>
      <c r="F131" s="14">
        <v>21300021.046075258</v>
      </c>
      <c r="G131" s="14">
        <v>40095215.359999992</v>
      </c>
      <c r="H131" s="14">
        <v>0</v>
      </c>
      <c r="I131" s="13">
        <f t="shared" si="1"/>
        <v>78199915.396075249</v>
      </c>
    </row>
    <row r="132" spans="1:9" ht="15.75" x14ac:dyDescent="0.25">
      <c r="A132" s="8"/>
      <c r="B132" s="8"/>
      <c r="C132" s="9"/>
      <c r="D132" s="12" t="s">
        <v>128</v>
      </c>
      <c r="E132" s="14">
        <v>8997272.6399999987</v>
      </c>
      <c r="F132" s="14">
        <v>13068958.487754693</v>
      </c>
      <c r="G132" s="14">
        <v>510245.02999999997</v>
      </c>
      <c r="H132" s="14">
        <v>0</v>
      </c>
      <c r="I132" s="13">
        <f t="shared" si="1"/>
        <v>22576476.157754693</v>
      </c>
    </row>
    <row r="133" spans="1:9" ht="15.75" x14ac:dyDescent="0.25">
      <c r="A133" s="8"/>
      <c r="B133" s="8"/>
      <c r="C133" s="9"/>
      <c r="D133" s="12" t="s">
        <v>129</v>
      </c>
      <c r="E133" s="14">
        <v>3575255.9000000004</v>
      </c>
      <c r="F133" s="14">
        <v>0</v>
      </c>
      <c r="G133" s="14">
        <v>69329410.209999993</v>
      </c>
      <c r="H133" s="14">
        <v>2996752.1000000006</v>
      </c>
      <c r="I133" s="13">
        <f t="shared" si="1"/>
        <v>75901418.209999993</v>
      </c>
    </row>
    <row r="134" spans="1:9" ht="15.75" x14ac:dyDescent="0.25">
      <c r="A134" s="8"/>
      <c r="B134" s="8"/>
      <c r="C134" s="9"/>
      <c r="D134" s="12" t="s">
        <v>130</v>
      </c>
      <c r="E134" s="14">
        <v>4658950.08</v>
      </c>
      <c r="F134" s="14">
        <v>644664.60545244999</v>
      </c>
      <c r="G134" s="14">
        <v>13730.939999999999</v>
      </c>
      <c r="H134" s="14">
        <v>0</v>
      </c>
      <c r="I134" s="13">
        <f t="shared" si="1"/>
        <v>5317345.6254524505</v>
      </c>
    </row>
    <row r="135" spans="1:9" ht="15.75" x14ac:dyDescent="0.25">
      <c r="A135" s="8"/>
      <c r="B135" s="8"/>
      <c r="C135" s="9"/>
      <c r="D135" s="12" t="s">
        <v>131</v>
      </c>
      <c r="E135" s="14">
        <v>4731141.6000000006</v>
      </c>
      <c r="F135" s="14">
        <v>8146140.7575084716</v>
      </c>
      <c r="G135" s="14">
        <v>1546661.5899999999</v>
      </c>
      <c r="H135" s="14">
        <v>0</v>
      </c>
      <c r="I135" s="13">
        <f t="shared" si="1"/>
        <v>14423943.947508473</v>
      </c>
    </row>
    <row r="136" spans="1:9" ht="15.75" x14ac:dyDescent="0.25">
      <c r="A136" s="8"/>
      <c r="B136" s="8"/>
      <c r="C136" s="9"/>
      <c r="D136" s="12" t="s">
        <v>132</v>
      </c>
      <c r="E136" s="14">
        <v>16438630.999999996</v>
      </c>
      <c r="F136" s="14">
        <v>9845635.4604924433</v>
      </c>
      <c r="G136" s="14">
        <v>11576785.98</v>
      </c>
      <c r="H136" s="14">
        <v>0</v>
      </c>
      <c r="I136" s="13">
        <f t="shared" si="1"/>
        <v>37861052.440492436</v>
      </c>
    </row>
    <row r="137" spans="1:9" ht="15.75" x14ac:dyDescent="0.25">
      <c r="A137" s="8"/>
      <c r="B137" s="8"/>
      <c r="C137" s="9"/>
      <c r="D137" s="12" t="s">
        <v>133</v>
      </c>
      <c r="E137" s="14">
        <v>27008344.32</v>
      </c>
      <c r="F137" s="14">
        <v>15480495.645277115</v>
      </c>
      <c r="G137" s="14">
        <v>14388406.500000002</v>
      </c>
      <c r="H137" s="14">
        <v>0</v>
      </c>
      <c r="I137" s="13">
        <f t="shared" si="1"/>
        <v>56877246.465277113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44299117.410000004</v>
      </c>
      <c r="H138" s="14">
        <v>0</v>
      </c>
      <c r="I138" s="13">
        <f t="shared" ref="I138:I144" si="2">SUM(E138:H138)</f>
        <v>44299117.410000004</v>
      </c>
    </row>
    <row r="139" spans="1:9" ht="15.75" x14ac:dyDescent="0.25">
      <c r="A139" s="8"/>
      <c r="B139" s="8"/>
      <c r="C139" s="9"/>
      <c r="D139" s="12" t="s">
        <v>135</v>
      </c>
      <c r="E139" s="14">
        <v>1765894.49</v>
      </c>
      <c r="F139" s="14">
        <v>2317843.3808472781</v>
      </c>
      <c r="G139" s="14">
        <v>2717087.38</v>
      </c>
      <c r="H139" s="14">
        <v>0</v>
      </c>
      <c r="I139" s="13">
        <f t="shared" si="2"/>
        <v>6800825.2508472782</v>
      </c>
    </row>
    <row r="140" spans="1:9" ht="15.75" x14ac:dyDescent="0.25">
      <c r="A140" s="8"/>
      <c r="B140" s="8"/>
      <c r="C140" s="9"/>
      <c r="D140" s="12" t="s">
        <v>136</v>
      </c>
      <c r="E140" s="14">
        <v>4769122.6099999985</v>
      </c>
      <c r="F140" s="14">
        <v>16438758.38783353</v>
      </c>
      <c r="G140" s="14">
        <v>5683334.96</v>
      </c>
      <c r="H140" s="14">
        <v>0</v>
      </c>
      <c r="I140" s="13">
        <f t="shared" si="2"/>
        <v>26891215.957833529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64524592.919999994</v>
      </c>
      <c r="H141" s="14">
        <v>183483</v>
      </c>
      <c r="I141" s="13">
        <f t="shared" si="2"/>
        <v>64708075.919999994</v>
      </c>
    </row>
    <row r="142" spans="1:9" ht="15.75" x14ac:dyDescent="0.25">
      <c r="A142" s="8"/>
      <c r="B142" s="8"/>
      <c r="C142" s="9"/>
      <c r="D142" s="12" t="s">
        <v>138</v>
      </c>
      <c r="E142" s="14">
        <v>8191.9</v>
      </c>
      <c r="F142" s="14">
        <v>0</v>
      </c>
      <c r="G142" s="14">
        <v>10064435.82</v>
      </c>
      <c r="H142" s="14">
        <v>0</v>
      </c>
      <c r="I142" s="13">
        <f t="shared" si="2"/>
        <v>10072627.720000001</v>
      </c>
    </row>
    <row r="143" spans="1:9" ht="15.75" x14ac:dyDescent="0.25">
      <c r="A143" s="8"/>
      <c r="B143" s="8"/>
      <c r="C143" s="9"/>
      <c r="D143" s="12" t="s">
        <v>139</v>
      </c>
      <c r="E143" s="14">
        <v>1468809.1500000001</v>
      </c>
      <c r="F143" s="14">
        <v>15193364.676725447</v>
      </c>
      <c r="G143" s="14">
        <v>117023.33999999998</v>
      </c>
      <c r="H143" s="14">
        <v>0</v>
      </c>
      <c r="I143" s="13">
        <f t="shared" si="2"/>
        <v>16779197.166725449</v>
      </c>
    </row>
    <row r="144" spans="1:9" ht="15.75" x14ac:dyDescent="0.25">
      <c r="A144" s="8"/>
      <c r="B144" s="8"/>
      <c r="C144" s="9"/>
      <c r="D144" s="12" t="s">
        <v>140</v>
      </c>
      <c r="E144" s="14">
        <v>12040095.130000001</v>
      </c>
      <c r="F144" s="14">
        <v>1846047.196282136</v>
      </c>
      <c r="G144" s="14">
        <v>18832824.400000002</v>
      </c>
      <c r="H144" s="14">
        <v>0</v>
      </c>
      <c r="I144" s="13">
        <f t="shared" si="2"/>
        <v>32718966.726282138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910211120.01000023</v>
      </c>
      <c r="F145" s="22">
        <f>SUM(F10:F144)</f>
        <v>756169727.87654757</v>
      </c>
      <c r="G145" s="22">
        <f>SUM(G10:G144)</f>
        <v>2473766067.5400014</v>
      </c>
      <c r="H145" s="22">
        <f>SUM(H10:H144)</f>
        <v>7835663.5450000009</v>
      </c>
      <c r="I145" s="22">
        <f>SUM(I10:I144)</f>
        <v>4147982578.971549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7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1.83203125" style="2" bestFit="1" customWidth="1"/>
    <col min="6" max="8" width="20.1640625" style="2" customWidth="1"/>
    <col min="9" max="9" width="21.83203125" style="2" bestFit="1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162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114462325.46999998</v>
      </c>
      <c r="F10" s="14">
        <v>153513079.23814908</v>
      </c>
      <c r="G10" s="14">
        <v>3775927.68</v>
      </c>
      <c r="H10" s="14">
        <v>0</v>
      </c>
      <c r="I10" s="13">
        <f t="shared" ref="I10:I73" si="0">SUM(E10:H10)</f>
        <v>271751332.38814908</v>
      </c>
    </row>
    <row r="11" spans="1:9" ht="15.75" x14ac:dyDescent="0.25">
      <c r="A11" s="8"/>
      <c r="B11" s="8"/>
      <c r="C11" s="9"/>
      <c r="D11" s="12" t="s">
        <v>7</v>
      </c>
      <c r="E11" s="14">
        <v>176033789.31</v>
      </c>
      <c r="F11" s="14">
        <v>86163126.395791501</v>
      </c>
      <c r="G11" s="14">
        <v>3144020.8499999996</v>
      </c>
      <c r="H11" s="14">
        <v>0</v>
      </c>
      <c r="I11" s="13">
        <f t="shared" si="0"/>
        <v>265340936.5557915</v>
      </c>
    </row>
    <row r="12" spans="1:9" ht="15.75" x14ac:dyDescent="0.25">
      <c r="A12" s="8"/>
      <c r="B12" s="8"/>
      <c r="C12" s="9"/>
      <c r="D12" s="12" t="s">
        <v>8</v>
      </c>
      <c r="E12" s="14">
        <v>177436840.69999999</v>
      </c>
      <c r="F12" s="14">
        <v>31237047.885320034</v>
      </c>
      <c r="G12" s="14">
        <v>2548778.0699999994</v>
      </c>
      <c r="H12" s="14">
        <v>0</v>
      </c>
      <c r="I12" s="13">
        <f t="shared" si="0"/>
        <v>211222666.65532002</v>
      </c>
    </row>
    <row r="13" spans="1:9" ht="15.75" x14ac:dyDescent="0.25">
      <c r="A13" s="8"/>
      <c r="B13" s="8"/>
      <c r="C13" s="9"/>
      <c r="D13" s="12" t="s">
        <v>9</v>
      </c>
      <c r="E13" s="14">
        <v>21847106.609999999</v>
      </c>
      <c r="F13" s="14">
        <v>826030.89624372753</v>
      </c>
      <c r="G13" s="14">
        <v>63357661.949999996</v>
      </c>
      <c r="H13" s="14">
        <v>0</v>
      </c>
      <c r="I13" s="13">
        <f t="shared" si="0"/>
        <v>86030799.456243724</v>
      </c>
    </row>
    <row r="14" spans="1:9" ht="15.75" x14ac:dyDescent="0.25">
      <c r="A14" s="8"/>
      <c r="B14" s="8"/>
      <c r="C14" s="9"/>
      <c r="D14" s="12" t="s">
        <v>10</v>
      </c>
      <c r="E14" s="14">
        <v>207023871.41000003</v>
      </c>
      <c r="F14" s="14">
        <v>34707515.04148344</v>
      </c>
      <c r="G14" s="14">
        <v>4720019.7799999993</v>
      </c>
      <c r="H14" s="14">
        <v>0</v>
      </c>
      <c r="I14" s="13">
        <f t="shared" si="0"/>
        <v>246451406.23148346</v>
      </c>
    </row>
    <row r="15" spans="1:9" ht="15.75" x14ac:dyDescent="0.25">
      <c r="A15" s="8"/>
      <c r="B15" s="8"/>
      <c r="C15" s="9"/>
      <c r="D15" s="12" t="s">
        <v>11</v>
      </c>
      <c r="E15" s="14">
        <v>6281362.6000000015</v>
      </c>
      <c r="F15" s="14">
        <v>192645.75979522392</v>
      </c>
      <c r="G15" s="14">
        <v>54592372.579999998</v>
      </c>
      <c r="H15" s="14">
        <v>0</v>
      </c>
      <c r="I15" s="13">
        <f t="shared" si="0"/>
        <v>61066380.939795226</v>
      </c>
    </row>
    <row r="16" spans="1:9" ht="15.75" x14ac:dyDescent="0.25">
      <c r="A16" s="8"/>
      <c r="B16" s="8"/>
      <c r="C16" s="9"/>
      <c r="D16" s="12" t="s">
        <v>12</v>
      </c>
      <c r="E16" s="14">
        <v>230565792.77999997</v>
      </c>
      <c r="F16" s="14">
        <v>165495503.32341951</v>
      </c>
      <c r="G16" s="14">
        <v>4225873.41</v>
      </c>
      <c r="H16" s="14">
        <v>0</v>
      </c>
      <c r="I16" s="13">
        <f t="shared" si="0"/>
        <v>400287169.51341951</v>
      </c>
    </row>
    <row r="17" spans="1:9" ht="15.75" x14ac:dyDescent="0.25">
      <c r="A17" s="8"/>
      <c r="B17" s="8"/>
      <c r="C17" s="9"/>
      <c r="D17" s="12" t="s">
        <v>13</v>
      </c>
      <c r="E17" s="14">
        <v>413801796.81000006</v>
      </c>
      <c r="F17" s="14">
        <v>152052952.33549449</v>
      </c>
      <c r="G17" s="14">
        <v>13977138.799999999</v>
      </c>
      <c r="H17" s="14">
        <v>0</v>
      </c>
      <c r="I17" s="13">
        <f t="shared" si="0"/>
        <v>579831887.94549453</v>
      </c>
    </row>
    <row r="18" spans="1:9" ht="15.75" x14ac:dyDescent="0.25">
      <c r="A18" s="8"/>
      <c r="B18" s="8"/>
      <c r="C18" s="9"/>
      <c r="D18" s="12" t="s">
        <v>14</v>
      </c>
      <c r="E18" s="14">
        <v>78572108.080000013</v>
      </c>
      <c r="F18" s="14">
        <v>12395439.533392321</v>
      </c>
      <c r="G18" s="14">
        <v>80511119.590000004</v>
      </c>
      <c r="H18" s="14">
        <v>0</v>
      </c>
      <c r="I18" s="13">
        <f t="shared" si="0"/>
        <v>171478667.20339233</v>
      </c>
    </row>
    <row r="19" spans="1:9" ht="15.75" x14ac:dyDescent="0.25">
      <c r="A19" s="8"/>
      <c r="B19" s="8"/>
      <c r="C19" s="9"/>
      <c r="D19" s="12" t="s">
        <v>15</v>
      </c>
      <c r="E19" s="14">
        <v>431564524.93999994</v>
      </c>
      <c r="F19" s="14">
        <v>118309376.96294951</v>
      </c>
      <c r="G19" s="14">
        <v>11021515.750000002</v>
      </c>
      <c r="H19" s="14">
        <v>0</v>
      </c>
      <c r="I19" s="13">
        <f t="shared" si="0"/>
        <v>560895417.65294945</v>
      </c>
    </row>
    <row r="20" spans="1:9" ht="15.75" x14ac:dyDescent="0.25">
      <c r="A20" s="8"/>
      <c r="B20" s="8"/>
      <c r="C20" s="9"/>
      <c r="D20" s="12" t="s">
        <v>16</v>
      </c>
      <c r="E20" s="14">
        <v>168279625.16</v>
      </c>
      <c r="F20" s="14">
        <v>29446366.450175498</v>
      </c>
      <c r="G20" s="14">
        <v>6346109.4699999997</v>
      </c>
      <c r="H20" s="14">
        <v>0</v>
      </c>
      <c r="I20" s="13">
        <f t="shared" si="0"/>
        <v>204072101.08017549</v>
      </c>
    </row>
    <row r="21" spans="1:9" ht="15.75" x14ac:dyDescent="0.25">
      <c r="A21" s="8"/>
      <c r="B21" s="8"/>
      <c r="C21" s="9"/>
      <c r="D21" s="12" t="s">
        <v>17</v>
      </c>
      <c r="E21" s="14">
        <v>250275222.99000001</v>
      </c>
      <c r="F21" s="14">
        <v>141530655.15287861</v>
      </c>
      <c r="G21" s="14">
        <v>3065940.8</v>
      </c>
      <c r="H21" s="14">
        <v>0</v>
      </c>
      <c r="I21" s="13">
        <f t="shared" si="0"/>
        <v>394871818.94287866</v>
      </c>
    </row>
    <row r="22" spans="1:9" ht="15.75" x14ac:dyDescent="0.25">
      <c r="A22" s="8"/>
      <c r="B22" s="8"/>
      <c r="C22" s="9"/>
      <c r="D22" s="12" t="s">
        <v>18</v>
      </c>
      <c r="E22" s="14">
        <v>4901727.12</v>
      </c>
      <c r="F22" s="14">
        <v>6060166.4289825968</v>
      </c>
      <c r="G22" s="14">
        <v>39262806.130000003</v>
      </c>
      <c r="H22" s="14">
        <v>0</v>
      </c>
      <c r="I22" s="13">
        <f t="shared" si="0"/>
        <v>50224699.678982601</v>
      </c>
    </row>
    <row r="23" spans="1:9" ht="15.75" x14ac:dyDescent="0.25">
      <c r="A23" s="8"/>
      <c r="B23" s="8"/>
      <c r="C23" s="9"/>
      <c r="D23" s="12" t="s">
        <v>19</v>
      </c>
      <c r="E23" s="14">
        <v>18718484.460000005</v>
      </c>
      <c r="F23" s="14">
        <v>2258433.8703668867</v>
      </c>
      <c r="G23" s="14">
        <v>15522908.279999999</v>
      </c>
      <c r="H23" s="14">
        <v>0</v>
      </c>
      <c r="I23" s="13">
        <f t="shared" si="0"/>
        <v>36499826.610366888</v>
      </c>
    </row>
    <row r="24" spans="1:9" ht="15.75" x14ac:dyDescent="0.25">
      <c r="A24" s="8"/>
      <c r="B24" s="8"/>
      <c r="C24" s="9"/>
      <c r="D24" s="12" t="s">
        <v>20</v>
      </c>
      <c r="E24" s="14">
        <v>219247819.79999995</v>
      </c>
      <c r="F24" s="14">
        <v>86797222.402202353</v>
      </c>
      <c r="G24" s="14">
        <v>12914467.050000001</v>
      </c>
      <c r="H24" s="14">
        <v>0</v>
      </c>
      <c r="I24" s="13">
        <f t="shared" si="0"/>
        <v>318959509.25220233</v>
      </c>
    </row>
    <row r="25" spans="1:9" ht="15.75" x14ac:dyDescent="0.25">
      <c r="A25" s="8"/>
      <c r="B25" s="8"/>
      <c r="C25" s="9"/>
      <c r="D25" s="12" t="s">
        <v>21</v>
      </c>
      <c r="E25" s="14">
        <v>174752876.47</v>
      </c>
      <c r="F25" s="14">
        <v>64457422.965579823</v>
      </c>
      <c r="G25" s="14">
        <v>9012875.5299999993</v>
      </c>
      <c r="H25" s="14">
        <v>0</v>
      </c>
      <c r="I25" s="13">
        <f t="shared" si="0"/>
        <v>248223174.96557984</v>
      </c>
    </row>
    <row r="26" spans="1:9" ht="15.75" x14ac:dyDescent="0.25">
      <c r="A26" s="8"/>
      <c r="B26" s="8"/>
      <c r="C26" s="9"/>
      <c r="D26" s="12" t="s">
        <v>22</v>
      </c>
      <c r="E26" s="14">
        <v>94197376.010000005</v>
      </c>
      <c r="F26" s="14">
        <v>36911211.924749836</v>
      </c>
      <c r="G26" s="14">
        <v>5727816.2599999988</v>
      </c>
      <c r="H26" s="14">
        <v>0</v>
      </c>
      <c r="I26" s="13">
        <f t="shared" si="0"/>
        <v>136836404.19474983</v>
      </c>
    </row>
    <row r="27" spans="1:9" ht="15.75" x14ac:dyDescent="0.25">
      <c r="A27" s="8"/>
      <c r="B27" s="8"/>
      <c r="C27" s="9"/>
      <c r="D27" s="12" t="s">
        <v>23</v>
      </c>
      <c r="E27" s="14">
        <v>59581170.890000008</v>
      </c>
      <c r="F27" s="14">
        <v>6335273.1044097254</v>
      </c>
      <c r="G27" s="14">
        <v>20125233.27</v>
      </c>
      <c r="H27" s="14">
        <v>0</v>
      </c>
      <c r="I27" s="13">
        <f t="shared" si="0"/>
        <v>86041677.264409736</v>
      </c>
    </row>
    <row r="28" spans="1:9" ht="15.75" x14ac:dyDescent="0.25">
      <c r="A28" s="8"/>
      <c r="B28" s="8"/>
      <c r="C28" s="9"/>
      <c r="D28" s="12" t="s">
        <v>24</v>
      </c>
      <c r="E28" s="14">
        <v>81154204.930000007</v>
      </c>
      <c r="F28" s="14">
        <v>30025014.599523511</v>
      </c>
      <c r="G28" s="14">
        <v>9344154.5199999996</v>
      </c>
      <c r="H28" s="14">
        <v>0</v>
      </c>
      <c r="I28" s="13">
        <f t="shared" si="0"/>
        <v>120523374.04952352</v>
      </c>
    </row>
    <row r="29" spans="1:9" ht="15.75" x14ac:dyDescent="0.25">
      <c r="A29" s="8"/>
      <c r="B29" s="8"/>
      <c r="C29" s="9"/>
      <c r="D29" s="12" t="s">
        <v>25</v>
      </c>
      <c r="E29" s="14">
        <v>91824478.879999995</v>
      </c>
      <c r="F29" s="14">
        <v>16802833.299925119</v>
      </c>
      <c r="G29" s="14">
        <v>3089597.0300000003</v>
      </c>
      <c r="H29" s="14">
        <v>0</v>
      </c>
      <c r="I29" s="13">
        <f t="shared" si="0"/>
        <v>111716909.20992512</v>
      </c>
    </row>
    <row r="30" spans="1:9" ht="15.75" x14ac:dyDescent="0.25">
      <c r="A30" s="8"/>
      <c r="B30" s="8"/>
      <c r="C30" s="9"/>
      <c r="D30" s="12" t="s">
        <v>26</v>
      </c>
      <c r="E30" s="14">
        <v>151143184.58000001</v>
      </c>
      <c r="F30" s="14">
        <v>90625968.019387141</v>
      </c>
      <c r="G30" s="14">
        <v>4507199.68</v>
      </c>
      <c r="H30" s="14">
        <v>0</v>
      </c>
      <c r="I30" s="13">
        <f t="shared" si="0"/>
        <v>246276352.27938718</v>
      </c>
    </row>
    <row r="31" spans="1:9" ht="15.75" x14ac:dyDescent="0.25">
      <c r="A31" s="8"/>
      <c r="B31" s="8"/>
      <c r="C31" s="9"/>
      <c r="D31" s="12" t="s">
        <v>27</v>
      </c>
      <c r="E31" s="14">
        <v>182797433.28</v>
      </c>
      <c r="F31" s="14">
        <v>93931513.34428674</v>
      </c>
      <c r="G31" s="14">
        <v>2587811.69</v>
      </c>
      <c r="H31" s="14">
        <v>0</v>
      </c>
      <c r="I31" s="13">
        <f t="shared" si="0"/>
        <v>279316758.31428677</v>
      </c>
    </row>
    <row r="32" spans="1:9" ht="15.75" x14ac:dyDescent="0.25">
      <c r="A32" s="8"/>
      <c r="B32" s="8"/>
      <c r="C32" s="9"/>
      <c r="D32" s="12" t="s">
        <v>28</v>
      </c>
      <c r="E32" s="14">
        <v>130962390.50999999</v>
      </c>
      <c r="F32" s="14">
        <v>31705511.190504726</v>
      </c>
      <c r="G32" s="14">
        <v>2926469.29</v>
      </c>
      <c r="H32" s="14">
        <v>0</v>
      </c>
      <c r="I32" s="13">
        <f t="shared" si="0"/>
        <v>165594370.99050471</v>
      </c>
    </row>
    <row r="33" spans="1:9" ht="15.75" x14ac:dyDescent="0.25">
      <c r="A33" s="8"/>
      <c r="B33" s="8"/>
      <c r="C33" s="9"/>
      <c r="D33" s="12" t="s">
        <v>29</v>
      </c>
      <c r="E33" s="14">
        <v>37282499.620000012</v>
      </c>
      <c r="F33" s="14">
        <v>47929696.341081828</v>
      </c>
      <c r="G33" s="14">
        <v>3184205.5099999993</v>
      </c>
      <c r="H33" s="14">
        <v>0</v>
      </c>
      <c r="I33" s="13">
        <f t="shared" si="0"/>
        <v>88396401.471081838</v>
      </c>
    </row>
    <row r="34" spans="1:9" ht="15.75" x14ac:dyDescent="0.25">
      <c r="A34" s="8"/>
      <c r="B34" s="8"/>
      <c r="C34" s="9"/>
      <c r="D34" s="12" t="s">
        <v>30</v>
      </c>
      <c r="E34" s="14">
        <v>371300389.99000001</v>
      </c>
      <c r="F34" s="14">
        <v>68781644.946518376</v>
      </c>
      <c r="G34" s="14">
        <v>12192254.549999999</v>
      </c>
      <c r="H34" s="14">
        <v>0</v>
      </c>
      <c r="I34" s="13">
        <f t="shared" si="0"/>
        <v>452274289.48651838</v>
      </c>
    </row>
    <row r="35" spans="1:9" ht="15.75" x14ac:dyDescent="0.25">
      <c r="A35" s="8"/>
      <c r="B35" s="8"/>
      <c r="C35" s="9"/>
      <c r="D35" s="12" t="s">
        <v>31</v>
      </c>
      <c r="E35" s="14">
        <v>166576430.45999998</v>
      </c>
      <c r="F35" s="14">
        <v>101120541.27347161</v>
      </c>
      <c r="G35" s="14">
        <v>9448449.3699999992</v>
      </c>
      <c r="H35" s="14">
        <v>0</v>
      </c>
      <c r="I35" s="13">
        <f t="shared" si="0"/>
        <v>277145421.10347158</v>
      </c>
    </row>
    <row r="36" spans="1:9" ht="15.75" x14ac:dyDescent="0.25">
      <c r="A36" s="8"/>
      <c r="B36" s="8"/>
      <c r="C36" s="9"/>
      <c r="D36" s="12" t="s">
        <v>32</v>
      </c>
      <c r="E36" s="14">
        <v>220898820.38999996</v>
      </c>
      <c r="F36" s="14">
        <v>62749202.446067184</v>
      </c>
      <c r="G36" s="14">
        <v>13304807.01</v>
      </c>
      <c r="H36" s="14">
        <v>0</v>
      </c>
      <c r="I36" s="13">
        <f t="shared" si="0"/>
        <v>296952829.84606713</v>
      </c>
    </row>
    <row r="37" spans="1:9" ht="15.75" x14ac:dyDescent="0.25">
      <c r="A37" s="8"/>
      <c r="B37" s="8"/>
      <c r="C37" s="9"/>
      <c r="D37" s="12" t="s">
        <v>33</v>
      </c>
      <c r="E37" s="14">
        <v>192805937.85999995</v>
      </c>
      <c r="F37" s="14">
        <v>34707515.04148344</v>
      </c>
      <c r="G37" s="14">
        <v>4811313.7</v>
      </c>
      <c r="H37" s="14">
        <v>0</v>
      </c>
      <c r="I37" s="13">
        <f t="shared" si="0"/>
        <v>232324766.60148337</v>
      </c>
    </row>
    <row r="38" spans="1:9" ht="15.75" x14ac:dyDescent="0.25">
      <c r="A38" s="8"/>
      <c r="B38" s="8"/>
      <c r="C38" s="9"/>
      <c r="D38" s="12" t="s">
        <v>34</v>
      </c>
      <c r="E38" s="14">
        <v>174751426.38999999</v>
      </c>
      <c r="F38" s="14">
        <v>75420459.524848983</v>
      </c>
      <c r="G38" s="14">
        <v>4737997.6099999994</v>
      </c>
      <c r="H38" s="14">
        <v>0</v>
      </c>
      <c r="I38" s="13">
        <f t="shared" si="0"/>
        <v>254909883.524849</v>
      </c>
    </row>
    <row r="39" spans="1:9" ht="15.75" x14ac:dyDescent="0.25">
      <c r="A39" s="8"/>
      <c r="B39" s="8"/>
      <c r="C39" s="9"/>
      <c r="D39" s="12" t="s">
        <v>35</v>
      </c>
      <c r="E39" s="14">
        <v>129822304.28999999</v>
      </c>
      <c r="F39" s="14">
        <v>118089007.27462287</v>
      </c>
      <c r="G39" s="14">
        <v>4300567.6399999997</v>
      </c>
      <c r="H39" s="14">
        <v>0</v>
      </c>
      <c r="I39" s="13">
        <f t="shared" si="0"/>
        <v>252211879.20462286</v>
      </c>
    </row>
    <row r="40" spans="1:9" ht="15.75" x14ac:dyDescent="0.25">
      <c r="A40" s="8"/>
      <c r="B40" s="8"/>
      <c r="C40" s="9"/>
      <c r="D40" s="12" t="s">
        <v>36</v>
      </c>
      <c r="E40" s="14">
        <v>16396081.680000002</v>
      </c>
      <c r="F40" s="14">
        <v>6198075.2016773336</v>
      </c>
      <c r="G40" s="14">
        <v>3967714.8800000004</v>
      </c>
      <c r="H40" s="14">
        <v>0</v>
      </c>
      <c r="I40" s="13">
        <f t="shared" si="0"/>
        <v>26561871.761677336</v>
      </c>
    </row>
    <row r="41" spans="1:9" ht="15.75" x14ac:dyDescent="0.25">
      <c r="A41" s="8"/>
      <c r="B41" s="8"/>
      <c r="C41" s="9"/>
      <c r="D41" s="12" t="s">
        <v>37</v>
      </c>
      <c r="E41" s="14">
        <v>255474709.87</v>
      </c>
      <c r="F41" s="14">
        <v>103572331.77359605</v>
      </c>
      <c r="G41" s="14">
        <v>8890657.0600000005</v>
      </c>
      <c r="H41" s="14">
        <v>0</v>
      </c>
      <c r="I41" s="13">
        <f t="shared" si="0"/>
        <v>367937698.70359606</v>
      </c>
    </row>
    <row r="42" spans="1:9" ht="15.75" x14ac:dyDescent="0.25">
      <c r="A42" s="8"/>
      <c r="B42" s="8"/>
      <c r="C42" s="9"/>
      <c r="D42" s="12" t="s">
        <v>38</v>
      </c>
      <c r="E42" s="14">
        <v>225342709.70999995</v>
      </c>
      <c r="F42" s="14">
        <v>112166749.61833502</v>
      </c>
      <c r="G42" s="14">
        <v>2845132.84</v>
      </c>
      <c r="H42" s="14">
        <v>0</v>
      </c>
      <c r="I42" s="13">
        <f t="shared" si="0"/>
        <v>340354592.16833496</v>
      </c>
    </row>
    <row r="43" spans="1:9" ht="15.75" x14ac:dyDescent="0.25">
      <c r="A43" s="8"/>
      <c r="B43" s="8"/>
      <c r="C43" s="9"/>
      <c r="D43" s="12" t="s">
        <v>39</v>
      </c>
      <c r="E43" s="14">
        <v>47437367.18</v>
      </c>
      <c r="F43" s="14">
        <v>40795405.398997448</v>
      </c>
      <c r="G43" s="14">
        <v>7374650.2599999998</v>
      </c>
      <c r="H43" s="14">
        <v>0</v>
      </c>
      <c r="I43" s="13">
        <f t="shared" si="0"/>
        <v>95607422.838997453</v>
      </c>
    </row>
    <row r="44" spans="1:9" ht="15.75" x14ac:dyDescent="0.25">
      <c r="A44" s="8"/>
      <c r="B44" s="8"/>
      <c r="C44" s="9"/>
      <c r="D44" s="12" t="s">
        <v>40</v>
      </c>
      <c r="E44" s="14">
        <v>1788069.27</v>
      </c>
      <c r="F44" s="14">
        <v>3139912.6236734465</v>
      </c>
      <c r="G44" s="14">
        <v>11726516.109999999</v>
      </c>
      <c r="H44" s="14">
        <v>0</v>
      </c>
      <c r="I44" s="13">
        <f t="shared" si="0"/>
        <v>16654498.003673445</v>
      </c>
    </row>
    <row r="45" spans="1:9" ht="15.75" x14ac:dyDescent="0.25">
      <c r="A45" s="8"/>
      <c r="B45" s="8"/>
      <c r="C45" s="9"/>
      <c r="D45" s="12" t="s">
        <v>41</v>
      </c>
      <c r="E45" s="14">
        <v>66487714.909999996</v>
      </c>
      <c r="F45" s="14">
        <v>909202.68183797551</v>
      </c>
      <c r="G45" s="14">
        <v>29085048.550000004</v>
      </c>
      <c r="H45" s="14">
        <v>0</v>
      </c>
      <c r="I45" s="13">
        <f t="shared" si="0"/>
        <v>96481966.141837984</v>
      </c>
    </row>
    <row r="46" spans="1:9" ht="15.75" x14ac:dyDescent="0.25">
      <c r="A46" s="8"/>
      <c r="B46" s="8"/>
      <c r="C46" s="9"/>
      <c r="D46" s="12" t="s">
        <v>42</v>
      </c>
      <c r="E46" s="14">
        <v>10698097.560000001</v>
      </c>
      <c r="F46" s="14">
        <v>3029727.7795101264</v>
      </c>
      <c r="G46" s="14">
        <v>43920504.230000004</v>
      </c>
      <c r="H46" s="14">
        <v>0</v>
      </c>
      <c r="I46" s="13">
        <f t="shared" si="0"/>
        <v>57648329.569510132</v>
      </c>
    </row>
    <row r="47" spans="1:9" ht="15.75" x14ac:dyDescent="0.25">
      <c r="A47" s="8"/>
      <c r="B47" s="8"/>
      <c r="C47" s="9"/>
      <c r="D47" s="12" t="s">
        <v>43</v>
      </c>
      <c r="E47" s="14">
        <v>95124074.719999999</v>
      </c>
      <c r="F47" s="14">
        <v>19226899.871518157</v>
      </c>
      <c r="G47" s="14">
        <v>5001168.55</v>
      </c>
      <c r="H47" s="14">
        <v>0</v>
      </c>
      <c r="I47" s="13">
        <f t="shared" si="0"/>
        <v>119352143.14151816</v>
      </c>
    </row>
    <row r="48" spans="1:9" ht="15.75" x14ac:dyDescent="0.25">
      <c r="A48" s="8"/>
      <c r="B48" s="8"/>
      <c r="C48" s="9"/>
      <c r="D48" s="12" t="s">
        <v>44</v>
      </c>
      <c r="E48" s="14">
        <v>36758626.699999996</v>
      </c>
      <c r="F48" s="14">
        <v>3029727.7795101264</v>
      </c>
      <c r="G48" s="14">
        <v>20913175.630000003</v>
      </c>
      <c r="H48" s="14">
        <v>0</v>
      </c>
      <c r="I48" s="13">
        <f t="shared" si="0"/>
        <v>60701530.109510124</v>
      </c>
    </row>
    <row r="49" spans="1:9" ht="15.75" x14ac:dyDescent="0.25">
      <c r="A49" s="8"/>
      <c r="B49" s="8"/>
      <c r="C49" s="9"/>
      <c r="D49" s="12" t="s">
        <v>45</v>
      </c>
      <c r="E49" s="14">
        <v>13795161.82</v>
      </c>
      <c r="F49" s="14">
        <v>3608375.9288581423</v>
      </c>
      <c r="G49" s="14">
        <v>41799138.260000005</v>
      </c>
      <c r="H49" s="14">
        <v>0</v>
      </c>
      <c r="I49" s="13">
        <f t="shared" si="0"/>
        <v>59202676.008858144</v>
      </c>
    </row>
    <row r="50" spans="1:9" ht="15.75" x14ac:dyDescent="0.25">
      <c r="A50" s="8"/>
      <c r="B50" s="8"/>
      <c r="C50" s="9"/>
      <c r="D50" s="12" t="s">
        <v>46</v>
      </c>
      <c r="E50" s="14">
        <v>95956561.179999992</v>
      </c>
      <c r="F50" s="14">
        <v>34873147.742709592</v>
      </c>
      <c r="G50" s="14">
        <v>1934693.5099999998</v>
      </c>
      <c r="H50" s="14">
        <v>0</v>
      </c>
      <c r="I50" s="13">
        <f t="shared" si="0"/>
        <v>132764402.43270959</v>
      </c>
    </row>
    <row r="51" spans="1:9" ht="15.75" x14ac:dyDescent="0.25">
      <c r="A51" s="8"/>
      <c r="B51" s="8"/>
      <c r="C51" s="9"/>
      <c r="D51" s="12" t="s">
        <v>47</v>
      </c>
      <c r="E51" s="14">
        <v>151242576.62000003</v>
      </c>
      <c r="F51" s="14">
        <v>63410311.51104711</v>
      </c>
      <c r="G51" s="14">
        <v>9599763.3200000003</v>
      </c>
      <c r="H51" s="14">
        <v>0</v>
      </c>
      <c r="I51" s="13">
        <f t="shared" si="0"/>
        <v>224252651.45104712</v>
      </c>
    </row>
    <row r="52" spans="1:9" ht="15.75" x14ac:dyDescent="0.25">
      <c r="A52" s="8"/>
      <c r="B52" s="8"/>
      <c r="C52" s="9"/>
      <c r="D52" s="12" t="s">
        <v>48</v>
      </c>
      <c r="E52" s="14">
        <v>99309800.299999997</v>
      </c>
      <c r="F52" s="14">
        <v>63906498.744763225</v>
      </c>
      <c r="G52" s="14">
        <v>1619428.4500000002</v>
      </c>
      <c r="H52" s="14">
        <v>0</v>
      </c>
      <c r="I52" s="13">
        <f t="shared" si="0"/>
        <v>164835727.4947632</v>
      </c>
    </row>
    <row r="53" spans="1:9" ht="15.75" x14ac:dyDescent="0.25">
      <c r="A53" s="8"/>
      <c r="B53" s="8"/>
      <c r="C53" s="9"/>
      <c r="D53" s="12" t="s">
        <v>49</v>
      </c>
      <c r="E53" s="14">
        <v>214454245.05000001</v>
      </c>
      <c r="F53" s="14">
        <v>43798120.119938508</v>
      </c>
      <c r="G53" s="14">
        <v>4486288.6099999994</v>
      </c>
      <c r="H53" s="14">
        <v>0</v>
      </c>
      <c r="I53" s="13">
        <f t="shared" si="0"/>
        <v>262738653.77993852</v>
      </c>
    </row>
    <row r="54" spans="1:9" ht="15.75" x14ac:dyDescent="0.25">
      <c r="A54" s="8"/>
      <c r="B54" s="8"/>
      <c r="C54" s="9"/>
      <c r="D54" s="12" t="s">
        <v>50</v>
      </c>
      <c r="E54" s="14">
        <v>112198126.55</v>
      </c>
      <c r="F54" s="14">
        <v>40216757.249649435</v>
      </c>
      <c r="G54" s="14">
        <v>4358509.9400000004</v>
      </c>
      <c r="H54" s="14">
        <v>0</v>
      </c>
      <c r="I54" s="13">
        <f t="shared" si="0"/>
        <v>156773393.73964942</v>
      </c>
    </row>
    <row r="55" spans="1:9" ht="15.75" x14ac:dyDescent="0.25">
      <c r="A55" s="8"/>
      <c r="B55" s="8"/>
      <c r="C55" s="9"/>
      <c r="D55" s="12" t="s">
        <v>51</v>
      </c>
      <c r="E55" s="14">
        <v>57298527.940000013</v>
      </c>
      <c r="F55" s="14">
        <v>82362104.707138136</v>
      </c>
      <c r="G55" s="14">
        <v>1048711.43</v>
      </c>
      <c r="H55" s="14">
        <v>0</v>
      </c>
      <c r="I55" s="13">
        <f t="shared" si="0"/>
        <v>140709344.07713816</v>
      </c>
    </row>
    <row r="56" spans="1:9" ht="15.75" x14ac:dyDescent="0.25">
      <c r="A56" s="8"/>
      <c r="B56" s="8"/>
      <c r="C56" s="9"/>
      <c r="D56" s="12" t="s">
        <v>52</v>
      </c>
      <c r="E56" s="14">
        <v>141510706.60000002</v>
      </c>
      <c r="F56" s="14">
        <v>91672368.603957504</v>
      </c>
      <c r="G56" s="14">
        <v>4919278.8699999992</v>
      </c>
      <c r="H56" s="14">
        <v>0</v>
      </c>
      <c r="I56" s="13">
        <f t="shared" si="0"/>
        <v>238102354.07395753</v>
      </c>
    </row>
    <row r="57" spans="1:9" ht="15.75" x14ac:dyDescent="0.25">
      <c r="A57" s="8"/>
      <c r="B57" s="8"/>
      <c r="C57" s="9"/>
      <c r="D57" s="12" t="s">
        <v>53</v>
      </c>
      <c r="E57" s="14">
        <v>47725665.769999996</v>
      </c>
      <c r="F57" s="14">
        <v>30300121.274950638</v>
      </c>
      <c r="G57" s="14">
        <v>2615110.79</v>
      </c>
      <c r="H57" s="14">
        <v>0</v>
      </c>
      <c r="I57" s="13">
        <f t="shared" si="0"/>
        <v>80640897.834950641</v>
      </c>
    </row>
    <row r="58" spans="1:9" ht="15.75" x14ac:dyDescent="0.25">
      <c r="A58" s="8"/>
      <c r="B58" s="8"/>
      <c r="C58" s="9"/>
      <c r="D58" s="12" t="s">
        <v>54</v>
      </c>
      <c r="E58" s="14">
        <v>37543487.95000001</v>
      </c>
      <c r="F58" s="14">
        <v>32614003.00238036</v>
      </c>
      <c r="G58" s="14">
        <v>413459.35</v>
      </c>
      <c r="H58" s="14">
        <v>0</v>
      </c>
      <c r="I58" s="13">
        <f t="shared" si="0"/>
        <v>70570950.302380368</v>
      </c>
    </row>
    <row r="59" spans="1:9" ht="15.75" x14ac:dyDescent="0.25">
      <c r="A59" s="8"/>
      <c r="B59" s="8"/>
      <c r="C59" s="9"/>
      <c r="D59" s="12" t="s">
        <v>55</v>
      </c>
      <c r="E59" s="14">
        <v>91763091.969999999</v>
      </c>
      <c r="F59" s="14">
        <v>55091711.211697623</v>
      </c>
      <c r="G59" s="14">
        <v>3347966.7699999996</v>
      </c>
      <c r="H59" s="14">
        <v>0</v>
      </c>
      <c r="I59" s="13">
        <f t="shared" si="0"/>
        <v>150202769.95169762</v>
      </c>
    </row>
    <row r="60" spans="1:9" ht="15.75" x14ac:dyDescent="0.25">
      <c r="A60" s="8"/>
      <c r="B60" s="8"/>
      <c r="C60" s="9"/>
      <c r="D60" s="12" t="s">
        <v>56</v>
      </c>
      <c r="E60" s="14">
        <v>65744605.579999998</v>
      </c>
      <c r="F60" s="14">
        <v>33330559.924423113</v>
      </c>
      <c r="G60" s="14">
        <v>2437726.33</v>
      </c>
      <c r="H60" s="14">
        <v>0</v>
      </c>
      <c r="I60" s="13">
        <f t="shared" si="0"/>
        <v>101512891.83442311</v>
      </c>
    </row>
    <row r="61" spans="1:9" ht="15.75" x14ac:dyDescent="0.25">
      <c r="A61" s="8"/>
      <c r="B61" s="8"/>
      <c r="C61" s="9"/>
      <c r="D61" s="12" t="s">
        <v>57</v>
      </c>
      <c r="E61" s="14">
        <v>180548026.95000002</v>
      </c>
      <c r="F61" s="14">
        <v>55917742.107941359</v>
      </c>
      <c r="G61" s="14">
        <v>2510409.25</v>
      </c>
      <c r="H61" s="14">
        <v>0</v>
      </c>
      <c r="I61" s="13">
        <f t="shared" si="0"/>
        <v>238976178.30794138</v>
      </c>
    </row>
    <row r="62" spans="1:9" ht="15.75" x14ac:dyDescent="0.25">
      <c r="A62" s="8"/>
      <c r="B62" s="8"/>
      <c r="C62" s="9"/>
      <c r="D62" s="12" t="s">
        <v>58</v>
      </c>
      <c r="E62" s="14">
        <v>157175986.50999996</v>
      </c>
      <c r="F62" s="14">
        <v>62391634.855008163</v>
      </c>
      <c r="G62" s="14">
        <v>188411459.78000003</v>
      </c>
      <c r="H62" s="14">
        <v>0</v>
      </c>
      <c r="I62" s="13">
        <f t="shared" si="0"/>
        <v>407979081.14500815</v>
      </c>
    </row>
    <row r="63" spans="1:9" ht="15.75" x14ac:dyDescent="0.25">
      <c r="A63" s="8"/>
      <c r="B63" s="8"/>
      <c r="C63" s="9"/>
      <c r="D63" s="12" t="s">
        <v>59</v>
      </c>
      <c r="E63" s="14">
        <v>44634814.440000005</v>
      </c>
      <c r="F63" s="14">
        <v>6886197.3252263246</v>
      </c>
      <c r="G63" s="14">
        <v>17805402.02</v>
      </c>
      <c r="H63" s="14">
        <v>0</v>
      </c>
      <c r="I63" s="13">
        <f t="shared" si="0"/>
        <v>69326413.78522633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79990580.919999987</v>
      </c>
      <c r="H64" s="14">
        <v>0</v>
      </c>
      <c r="I64" s="13">
        <f t="shared" si="0"/>
        <v>79990580.919999987</v>
      </c>
    </row>
    <row r="65" spans="1:9" ht="15.75" x14ac:dyDescent="0.25">
      <c r="A65" s="8"/>
      <c r="B65" s="8"/>
      <c r="C65" s="9"/>
      <c r="D65" s="12" t="s">
        <v>61</v>
      </c>
      <c r="E65" s="14">
        <v>149880452.46000001</v>
      </c>
      <c r="F65" s="14">
        <v>81535362.94093208</v>
      </c>
      <c r="G65" s="14">
        <v>2859146.2800000003</v>
      </c>
      <c r="H65" s="14">
        <v>0</v>
      </c>
      <c r="I65" s="13">
        <f t="shared" si="0"/>
        <v>234274961.68093207</v>
      </c>
    </row>
    <row r="66" spans="1:9" ht="15.75" x14ac:dyDescent="0.25">
      <c r="A66" s="8"/>
      <c r="B66" s="8"/>
      <c r="C66" s="9"/>
      <c r="D66" s="12" t="s">
        <v>62</v>
      </c>
      <c r="E66" s="14">
        <v>596810118.08000004</v>
      </c>
      <c r="F66" s="14">
        <v>162107497.08288801</v>
      </c>
      <c r="G66" s="14">
        <v>6299289.21</v>
      </c>
      <c r="H66" s="14">
        <v>0</v>
      </c>
      <c r="I66" s="13">
        <f t="shared" si="0"/>
        <v>765216904.37288809</v>
      </c>
    </row>
    <row r="67" spans="1:9" ht="15.75" x14ac:dyDescent="0.25">
      <c r="A67" s="8"/>
      <c r="B67" s="8"/>
      <c r="C67" s="9"/>
      <c r="D67" s="12" t="s">
        <v>63</v>
      </c>
      <c r="E67" s="14">
        <v>126358530.30000001</v>
      </c>
      <c r="F67" s="14">
        <v>74924983.161095217</v>
      </c>
      <c r="G67" s="14">
        <v>2062269.56</v>
      </c>
      <c r="H67" s="14">
        <v>0</v>
      </c>
      <c r="I67" s="13">
        <f t="shared" si="0"/>
        <v>203345783.02109522</v>
      </c>
    </row>
    <row r="68" spans="1:9" ht="15.75" x14ac:dyDescent="0.25">
      <c r="A68" s="8"/>
      <c r="B68" s="8"/>
      <c r="C68" s="9"/>
      <c r="D68" s="12" t="s">
        <v>64</v>
      </c>
      <c r="E68" s="14">
        <v>103473398.47999999</v>
      </c>
      <c r="F68" s="14">
        <v>31677787.261973314</v>
      </c>
      <c r="G68" s="14">
        <v>2537385.4300000002</v>
      </c>
      <c r="H68" s="14">
        <v>0</v>
      </c>
      <c r="I68" s="13">
        <f t="shared" si="0"/>
        <v>137688571.17197332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25488182.320000004</v>
      </c>
      <c r="H69" s="14">
        <v>0</v>
      </c>
      <c r="I69" s="13">
        <f t="shared" si="0"/>
        <v>25488182.320000004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34100093.449999996</v>
      </c>
      <c r="H70" s="14">
        <v>0</v>
      </c>
      <c r="I70" s="13">
        <f t="shared" si="0"/>
        <v>34100093.449999996</v>
      </c>
    </row>
    <row r="71" spans="1:9" ht="15.75" x14ac:dyDescent="0.25">
      <c r="A71" s="8"/>
      <c r="B71" s="8"/>
      <c r="C71" s="9"/>
      <c r="D71" s="12" t="s">
        <v>67</v>
      </c>
      <c r="E71" s="14">
        <v>179096.23</v>
      </c>
      <c r="F71" s="14">
        <v>826030.89624372753</v>
      </c>
      <c r="G71" s="14">
        <v>32470962.899999999</v>
      </c>
      <c r="H71" s="14">
        <v>0</v>
      </c>
      <c r="I71" s="13">
        <f t="shared" si="0"/>
        <v>33476090.026243728</v>
      </c>
    </row>
    <row r="72" spans="1:9" ht="15.75" x14ac:dyDescent="0.25">
      <c r="A72" s="8"/>
      <c r="B72" s="8"/>
      <c r="C72" s="9"/>
      <c r="D72" s="12" t="s">
        <v>68</v>
      </c>
      <c r="E72" s="14">
        <v>230105721.10000002</v>
      </c>
      <c r="F72" s="14">
        <v>51455611.354308069</v>
      </c>
      <c r="G72" s="14">
        <v>26272501.069999997</v>
      </c>
      <c r="H72" s="14">
        <v>0</v>
      </c>
      <c r="I72" s="13">
        <f t="shared" si="0"/>
        <v>307833833.52430809</v>
      </c>
    </row>
    <row r="73" spans="1:9" ht="15.75" x14ac:dyDescent="0.25">
      <c r="A73" s="8"/>
      <c r="B73" s="8"/>
      <c r="C73" s="9"/>
      <c r="D73" s="12" t="s">
        <v>69</v>
      </c>
      <c r="E73" s="14">
        <v>2017610.1700000002</v>
      </c>
      <c r="F73" s="14">
        <v>0</v>
      </c>
      <c r="G73" s="14">
        <v>33251682.739999998</v>
      </c>
      <c r="H73" s="14">
        <v>0</v>
      </c>
      <c r="I73" s="13">
        <f t="shared" si="0"/>
        <v>35269292.909999996</v>
      </c>
    </row>
    <row r="74" spans="1:9" ht="15.75" x14ac:dyDescent="0.25">
      <c r="A74" s="8"/>
      <c r="B74" s="8"/>
      <c r="C74" s="9"/>
      <c r="D74" s="12" t="s">
        <v>70</v>
      </c>
      <c r="E74" s="14">
        <v>16875776.659999996</v>
      </c>
      <c r="F74" s="14">
        <v>4351945.9094699658</v>
      </c>
      <c r="G74" s="14">
        <v>145128139.41999999</v>
      </c>
      <c r="H74" s="14">
        <v>0</v>
      </c>
      <c r="I74" s="13">
        <f t="shared" ref="I74:I137" si="1">SUM(E74:H74)</f>
        <v>166355861.98946995</v>
      </c>
    </row>
    <row r="75" spans="1:9" ht="15.75" x14ac:dyDescent="0.25">
      <c r="A75" s="8"/>
      <c r="B75" s="8"/>
      <c r="C75" s="9"/>
      <c r="D75" s="12" t="s">
        <v>71</v>
      </c>
      <c r="E75" s="14">
        <v>86926346.839999974</v>
      </c>
      <c r="F75" s="14">
        <v>16913018.14408844</v>
      </c>
      <c r="G75" s="14">
        <v>233435264.62</v>
      </c>
      <c r="H75" s="14">
        <v>0</v>
      </c>
      <c r="I75" s="13">
        <f t="shared" si="1"/>
        <v>337274629.60408843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69972908.420000002</v>
      </c>
      <c r="H76" s="14">
        <v>0</v>
      </c>
      <c r="I76" s="13">
        <f t="shared" si="1"/>
        <v>69972908.420000002</v>
      </c>
    </row>
    <row r="77" spans="1:9" ht="15.75" x14ac:dyDescent="0.25">
      <c r="A77" s="8"/>
      <c r="B77" s="8"/>
      <c r="C77" s="9"/>
      <c r="D77" s="12" t="s">
        <v>73</v>
      </c>
      <c r="E77" s="14">
        <v>89460091.739999995</v>
      </c>
      <c r="F77" s="14">
        <v>83876968.596893221</v>
      </c>
      <c r="G77" s="14">
        <v>2523238.3200000003</v>
      </c>
      <c r="H77" s="14">
        <v>0</v>
      </c>
      <c r="I77" s="13">
        <f t="shared" si="1"/>
        <v>175860298.65689319</v>
      </c>
    </row>
    <row r="78" spans="1:9" ht="15.75" x14ac:dyDescent="0.25">
      <c r="A78" s="8"/>
      <c r="B78" s="8"/>
      <c r="C78" s="9"/>
      <c r="D78" s="12" t="s">
        <v>74</v>
      </c>
      <c r="E78" s="14">
        <v>167407085.5</v>
      </c>
      <c r="F78" s="14">
        <v>85116725.811221138</v>
      </c>
      <c r="G78" s="14">
        <v>4477604.72</v>
      </c>
      <c r="H78" s="14">
        <v>0</v>
      </c>
      <c r="I78" s="13">
        <f t="shared" si="1"/>
        <v>257001416.03122112</v>
      </c>
    </row>
    <row r="79" spans="1:9" ht="15.75" x14ac:dyDescent="0.25">
      <c r="A79" s="8"/>
      <c r="B79" s="8"/>
      <c r="C79" s="9"/>
      <c r="D79" s="12" t="s">
        <v>75</v>
      </c>
      <c r="E79" s="14">
        <v>147731588.68000001</v>
      </c>
      <c r="F79" s="14">
        <v>47791787.568387099</v>
      </c>
      <c r="G79" s="14">
        <v>2975641.5700000003</v>
      </c>
      <c r="H79" s="14">
        <v>0</v>
      </c>
      <c r="I79" s="13">
        <f t="shared" si="1"/>
        <v>198499017.81838709</v>
      </c>
    </row>
    <row r="80" spans="1:9" ht="15.75" x14ac:dyDescent="0.25">
      <c r="A80" s="8"/>
      <c r="B80" s="8"/>
      <c r="C80" s="9"/>
      <c r="D80" s="12" t="s">
        <v>76</v>
      </c>
      <c r="E80" s="14">
        <v>58840477.899999991</v>
      </c>
      <c r="F80" s="14">
        <v>25259342.371969342</v>
      </c>
      <c r="G80" s="14">
        <v>1062464.7200000002</v>
      </c>
      <c r="H80" s="14">
        <v>0</v>
      </c>
      <c r="I80" s="13">
        <f t="shared" si="1"/>
        <v>85162284.991969332</v>
      </c>
    </row>
    <row r="81" spans="1:9" ht="15.75" x14ac:dyDescent="0.25">
      <c r="A81" s="8"/>
      <c r="B81" s="8"/>
      <c r="C81" s="9"/>
      <c r="D81" s="12" t="s">
        <v>77</v>
      </c>
      <c r="E81" s="14">
        <v>353639039.0200001</v>
      </c>
      <c r="F81" s="14">
        <v>152411230.79651588</v>
      </c>
      <c r="G81" s="14">
        <v>9216722.2699999996</v>
      </c>
      <c r="H81" s="14">
        <v>0</v>
      </c>
      <c r="I81" s="13">
        <f t="shared" si="1"/>
        <v>515266992.08651596</v>
      </c>
    </row>
    <row r="82" spans="1:9" ht="15.75" x14ac:dyDescent="0.25">
      <c r="A82" s="8"/>
      <c r="B82" s="8"/>
      <c r="C82" s="9"/>
      <c r="D82" s="12" t="s">
        <v>78</v>
      </c>
      <c r="E82" s="14">
        <v>450518576.36000013</v>
      </c>
      <c r="F82" s="14">
        <v>105638119.88416772</v>
      </c>
      <c r="G82" s="14">
        <v>2773056.23</v>
      </c>
      <c r="H82" s="14">
        <v>0</v>
      </c>
      <c r="I82" s="13">
        <f t="shared" si="1"/>
        <v>558929752.47416782</v>
      </c>
    </row>
    <row r="83" spans="1:9" ht="15.75" x14ac:dyDescent="0.25">
      <c r="A83" s="8"/>
      <c r="B83" s="8"/>
      <c r="C83" s="9"/>
      <c r="D83" s="12" t="s">
        <v>79</v>
      </c>
      <c r="E83" s="14">
        <v>106250703.74000001</v>
      </c>
      <c r="F83" s="14">
        <v>43384393.801854298</v>
      </c>
      <c r="G83" s="14">
        <v>8730393.7199999988</v>
      </c>
      <c r="H83" s="14">
        <v>0</v>
      </c>
      <c r="I83" s="13">
        <f t="shared" si="1"/>
        <v>158365491.26185432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83098315.620000005</v>
      </c>
      <c r="H84" s="14">
        <v>0</v>
      </c>
      <c r="I84" s="13">
        <f t="shared" si="1"/>
        <v>83098315.620000005</v>
      </c>
    </row>
    <row r="85" spans="1:9" ht="15.75" x14ac:dyDescent="0.25">
      <c r="A85" s="8"/>
      <c r="B85" s="8"/>
      <c r="C85" s="9"/>
      <c r="D85" s="12" t="s">
        <v>81</v>
      </c>
      <c r="E85" s="14">
        <v>108271165.01000001</v>
      </c>
      <c r="F85" s="14">
        <v>13497287.975025523</v>
      </c>
      <c r="G85" s="14">
        <v>27123148.689999998</v>
      </c>
      <c r="H85" s="14">
        <v>0</v>
      </c>
      <c r="I85" s="13">
        <f t="shared" si="1"/>
        <v>148891601.67502552</v>
      </c>
    </row>
    <row r="86" spans="1:9" ht="15.75" x14ac:dyDescent="0.25">
      <c r="A86" s="8"/>
      <c r="B86" s="8"/>
      <c r="C86" s="9"/>
      <c r="D86" s="12" t="s">
        <v>82</v>
      </c>
      <c r="E86" s="14">
        <v>76199021.809999987</v>
      </c>
      <c r="F86" s="14">
        <v>56055650.880636089</v>
      </c>
      <c r="G86" s="14">
        <v>3941910.36</v>
      </c>
      <c r="H86" s="14">
        <v>0</v>
      </c>
      <c r="I86" s="13">
        <f t="shared" si="1"/>
        <v>136196583.05063608</v>
      </c>
    </row>
    <row r="87" spans="1:9" ht="15.75" x14ac:dyDescent="0.25">
      <c r="A87" s="8"/>
      <c r="B87" s="8"/>
      <c r="C87" s="9"/>
      <c r="D87" s="12" t="s">
        <v>83</v>
      </c>
      <c r="E87" s="14">
        <v>59849976.380000003</v>
      </c>
      <c r="F87" s="14">
        <v>73823134.719462007</v>
      </c>
      <c r="G87" s="14">
        <v>2443868.5699999998</v>
      </c>
      <c r="H87" s="14">
        <v>0</v>
      </c>
      <c r="I87" s="13">
        <f t="shared" si="1"/>
        <v>136116979.669462</v>
      </c>
    </row>
    <row r="88" spans="1:9" ht="15.75" x14ac:dyDescent="0.25">
      <c r="A88" s="8"/>
      <c r="B88" s="8"/>
      <c r="C88" s="9"/>
      <c r="D88" s="12" t="s">
        <v>84</v>
      </c>
      <c r="E88" s="14">
        <v>8518829.9600000009</v>
      </c>
      <c r="F88" s="14">
        <v>0</v>
      </c>
      <c r="G88" s="14">
        <v>30765611.990000002</v>
      </c>
      <c r="H88" s="14">
        <v>0</v>
      </c>
      <c r="I88" s="13">
        <f t="shared" si="1"/>
        <v>39284441.950000003</v>
      </c>
    </row>
    <row r="89" spans="1:9" ht="15.75" x14ac:dyDescent="0.25">
      <c r="A89" s="8"/>
      <c r="B89" s="8"/>
      <c r="C89" s="9"/>
      <c r="D89" s="12" t="s">
        <v>85</v>
      </c>
      <c r="E89" s="14">
        <v>85533199.650000006</v>
      </c>
      <c r="F89" s="14">
        <v>72390731.745338857</v>
      </c>
      <c r="G89" s="14">
        <v>1828575.3900000001</v>
      </c>
      <c r="H89" s="14">
        <v>0</v>
      </c>
      <c r="I89" s="13">
        <f t="shared" si="1"/>
        <v>159752506.78533885</v>
      </c>
    </row>
    <row r="90" spans="1:9" ht="15.75" x14ac:dyDescent="0.25">
      <c r="A90" s="8"/>
      <c r="B90" s="8"/>
      <c r="C90" s="9"/>
      <c r="D90" s="12" t="s">
        <v>86</v>
      </c>
      <c r="E90" s="14">
        <v>32503917.020000007</v>
      </c>
      <c r="F90" s="14">
        <v>18731423.507764392</v>
      </c>
      <c r="G90" s="14">
        <v>9181032.089999998</v>
      </c>
      <c r="H90" s="14">
        <v>0</v>
      </c>
      <c r="I90" s="13">
        <f t="shared" si="1"/>
        <v>60416372.617764391</v>
      </c>
    </row>
    <row r="91" spans="1:9" ht="15.75" x14ac:dyDescent="0.25">
      <c r="A91" s="8"/>
      <c r="B91" s="8"/>
      <c r="C91" s="9"/>
      <c r="D91" s="12" t="s">
        <v>87</v>
      </c>
      <c r="E91" s="14">
        <v>105568670.62</v>
      </c>
      <c r="F91" s="14">
        <v>42723284.736874379</v>
      </c>
      <c r="G91" s="14">
        <v>12506818.199999999</v>
      </c>
      <c r="H91" s="14">
        <v>0</v>
      </c>
      <c r="I91" s="13">
        <f t="shared" si="1"/>
        <v>160798773.55687436</v>
      </c>
    </row>
    <row r="92" spans="1:9" ht="15.75" x14ac:dyDescent="0.25">
      <c r="A92" s="8"/>
      <c r="B92" s="8"/>
      <c r="C92" s="9"/>
      <c r="D92" s="12" t="s">
        <v>88</v>
      </c>
      <c r="E92" s="14">
        <v>4222950.45</v>
      </c>
      <c r="F92" s="14">
        <v>5894533.7277564444</v>
      </c>
      <c r="G92" s="14">
        <v>42064935.119999997</v>
      </c>
      <c r="H92" s="14">
        <v>0</v>
      </c>
      <c r="I92" s="13">
        <f t="shared" si="1"/>
        <v>52182419.297756441</v>
      </c>
    </row>
    <row r="93" spans="1:9" ht="15.75" x14ac:dyDescent="0.25">
      <c r="A93" s="8"/>
      <c r="B93" s="8"/>
      <c r="C93" s="9"/>
      <c r="D93" s="12" t="s">
        <v>89</v>
      </c>
      <c r="E93" s="14">
        <v>142015630.28999999</v>
      </c>
      <c r="F93" s="14">
        <v>47764774.509818025</v>
      </c>
      <c r="G93" s="14">
        <v>4614193.58</v>
      </c>
      <c r="H93" s="14">
        <v>0</v>
      </c>
      <c r="I93" s="13">
        <f t="shared" si="1"/>
        <v>194394598.37981802</v>
      </c>
    </row>
    <row r="94" spans="1:9" ht="15.75" x14ac:dyDescent="0.25">
      <c r="A94" s="8"/>
      <c r="B94" s="8"/>
      <c r="C94" s="9"/>
      <c r="D94" s="12" t="s">
        <v>90</v>
      </c>
      <c r="E94" s="14">
        <v>595907.52999999991</v>
      </c>
      <c r="F94" s="14">
        <v>0</v>
      </c>
      <c r="G94" s="14">
        <v>1285837.0999999999</v>
      </c>
      <c r="H94" s="14">
        <v>0</v>
      </c>
      <c r="I94" s="13">
        <f t="shared" si="1"/>
        <v>1881744.63</v>
      </c>
    </row>
    <row r="95" spans="1:9" ht="15.75" x14ac:dyDescent="0.25">
      <c r="A95" s="8"/>
      <c r="B95" s="8"/>
      <c r="C95" s="9"/>
      <c r="D95" s="12" t="s">
        <v>91</v>
      </c>
      <c r="E95" s="14">
        <v>11359781.799999999</v>
      </c>
      <c r="F95" s="14">
        <v>1514863.8897550632</v>
      </c>
      <c r="G95" s="14">
        <v>46354579.890000008</v>
      </c>
      <c r="H95" s="14">
        <v>0</v>
      </c>
      <c r="I95" s="13">
        <f t="shared" si="1"/>
        <v>59229225.579755068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66541779.82</v>
      </c>
      <c r="H96" s="14">
        <v>0</v>
      </c>
      <c r="I96" s="13">
        <f t="shared" si="1"/>
        <v>66541779.82</v>
      </c>
    </row>
    <row r="97" spans="1:9" ht="15.75" x14ac:dyDescent="0.25">
      <c r="A97" s="8"/>
      <c r="B97" s="8"/>
      <c r="C97" s="9"/>
      <c r="D97" s="12" t="s">
        <v>93</v>
      </c>
      <c r="E97" s="14">
        <v>72363272.450000003</v>
      </c>
      <c r="F97" s="14">
        <v>68038074.965906546</v>
      </c>
      <c r="G97" s="14">
        <v>3002221.64</v>
      </c>
      <c r="H97" s="14">
        <v>0</v>
      </c>
      <c r="I97" s="13">
        <f t="shared" si="1"/>
        <v>143403569.05590653</v>
      </c>
    </row>
    <row r="98" spans="1:9" ht="15.75" x14ac:dyDescent="0.25">
      <c r="A98" s="8"/>
      <c r="B98" s="8"/>
      <c r="C98" s="9"/>
      <c r="D98" s="12" t="s">
        <v>94</v>
      </c>
      <c r="E98" s="14">
        <v>232176947.16000003</v>
      </c>
      <c r="F98" s="14">
        <v>89496395.649222508</v>
      </c>
      <c r="G98" s="14">
        <v>24008142.079999998</v>
      </c>
      <c r="H98" s="14">
        <v>0</v>
      </c>
      <c r="I98" s="13">
        <f t="shared" si="1"/>
        <v>345681484.8892225</v>
      </c>
    </row>
    <row r="99" spans="1:9" ht="15.75" x14ac:dyDescent="0.25">
      <c r="A99" s="8"/>
      <c r="B99" s="8"/>
      <c r="C99" s="9"/>
      <c r="D99" s="12" t="s">
        <v>95</v>
      </c>
      <c r="E99" s="14">
        <v>227580964.15000004</v>
      </c>
      <c r="F99" s="14">
        <v>170536282.22640082</v>
      </c>
      <c r="G99" s="14">
        <v>10210480.549999999</v>
      </c>
      <c r="H99" s="14">
        <v>0</v>
      </c>
      <c r="I99" s="13">
        <f t="shared" si="1"/>
        <v>408327726.92640084</v>
      </c>
    </row>
    <row r="100" spans="1:9" ht="15.75" x14ac:dyDescent="0.25">
      <c r="A100" s="8"/>
      <c r="B100" s="8"/>
      <c r="C100" s="9"/>
      <c r="D100" s="12" t="s">
        <v>96</v>
      </c>
      <c r="E100" s="14">
        <v>315231278.21999997</v>
      </c>
      <c r="F100" s="14">
        <v>170618743.14203271</v>
      </c>
      <c r="G100" s="14">
        <v>22550183.669999998</v>
      </c>
      <c r="H100" s="14">
        <v>0</v>
      </c>
      <c r="I100" s="13">
        <f t="shared" si="1"/>
        <v>508400205.03203267</v>
      </c>
    </row>
    <row r="101" spans="1:9" ht="15.75" x14ac:dyDescent="0.25">
      <c r="A101" s="8"/>
      <c r="B101" s="8"/>
      <c r="C101" s="9"/>
      <c r="D101" s="12" t="s">
        <v>97</v>
      </c>
      <c r="E101" s="14">
        <v>15002985.479999999</v>
      </c>
      <c r="F101" s="14">
        <v>228966238.78126588</v>
      </c>
      <c r="G101" s="14">
        <v>67786.61</v>
      </c>
      <c r="H101" s="14">
        <v>0</v>
      </c>
      <c r="I101" s="13">
        <f t="shared" si="1"/>
        <v>244037010.87126589</v>
      </c>
    </row>
    <row r="102" spans="1:9" ht="15.75" x14ac:dyDescent="0.25">
      <c r="A102" s="8"/>
      <c r="B102" s="8"/>
      <c r="C102" s="9"/>
      <c r="D102" s="12" t="s">
        <v>98</v>
      </c>
      <c r="E102" s="14">
        <v>305454140.75999993</v>
      </c>
      <c r="F102" s="14">
        <v>98449091.954982862</v>
      </c>
      <c r="G102" s="14">
        <v>9445639.7899999991</v>
      </c>
      <c r="H102" s="14">
        <v>0</v>
      </c>
      <c r="I102" s="13">
        <f t="shared" si="1"/>
        <v>413348872.50498283</v>
      </c>
    </row>
    <row r="103" spans="1:9" ht="15.75" x14ac:dyDescent="0.25">
      <c r="A103" s="8"/>
      <c r="B103" s="8"/>
      <c r="C103" s="9"/>
      <c r="D103" s="12" t="s">
        <v>99</v>
      </c>
      <c r="E103" s="14">
        <v>99049593.920000002</v>
      </c>
      <c r="F103" s="14">
        <v>31264771.813851446</v>
      </c>
      <c r="G103" s="14">
        <v>1295663.2699999998</v>
      </c>
      <c r="H103" s="14">
        <v>0</v>
      </c>
      <c r="I103" s="13">
        <f t="shared" si="1"/>
        <v>131610029.00385144</v>
      </c>
    </row>
    <row r="104" spans="1:9" ht="15.75" x14ac:dyDescent="0.25">
      <c r="A104" s="8"/>
      <c r="B104" s="8"/>
      <c r="C104" s="9"/>
      <c r="D104" s="12" t="s">
        <v>100</v>
      </c>
      <c r="E104" s="14">
        <v>578846706.41999996</v>
      </c>
      <c r="F104" s="14">
        <v>57129775.393737875</v>
      </c>
      <c r="G104" s="14">
        <v>24473682.829999998</v>
      </c>
      <c r="H104" s="14">
        <v>0</v>
      </c>
      <c r="I104" s="13">
        <f t="shared" si="1"/>
        <v>660450164.64373791</v>
      </c>
    </row>
    <row r="105" spans="1:9" ht="15.75" x14ac:dyDescent="0.25">
      <c r="A105" s="8"/>
      <c r="B105" s="8"/>
      <c r="C105" s="9"/>
      <c r="D105" s="12" t="s">
        <v>101</v>
      </c>
      <c r="E105" s="14">
        <v>67308434.460000008</v>
      </c>
      <c r="F105" s="14">
        <v>84840908.265831679</v>
      </c>
      <c r="G105" s="14">
        <v>856713.02</v>
      </c>
      <c r="H105" s="14">
        <v>0</v>
      </c>
      <c r="I105" s="13">
        <f t="shared" si="1"/>
        <v>153006055.7458317</v>
      </c>
    </row>
    <row r="106" spans="1:9" ht="15.75" x14ac:dyDescent="0.25">
      <c r="A106" s="8"/>
      <c r="B106" s="8"/>
      <c r="C106" s="9"/>
      <c r="D106" s="12" t="s">
        <v>102</v>
      </c>
      <c r="E106" s="14">
        <v>62686270.260000005</v>
      </c>
      <c r="F106" s="14">
        <v>5233424.6627765261</v>
      </c>
      <c r="G106" s="14">
        <v>67447637.36999999</v>
      </c>
      <c r="H106" s="14">
        <v>0</v>
      </c>
      <c r="I106" s="13">
        <f t="shared" si="1"/>
        <v>135367332.29277653</v>
      </c>
    </row>
    <row r="107" spans="1:9" ht="15.75" x14ac:dyDescent="0.25">
      <c r="A107" s="8"/>
      <c r="B107" s="8"/>
      <c r="C107" s="9"/>
      <c r="D107" s="12" t="s">
        <v>103</v>
      </c>
      <c r="E107" s="14">
        <v>20413360.07</v>
      </c>
      <c r="F107" s="14">
        <v>0</v>
      </c>
      <c r="G107" s="14">
        <v>13589343.639999999</v>
      </c>
      <c r="H107" s="14">
        <v>0</v>
      </c>
      <c r="I107" s="13">
        <f t="shared" si="1"/>
        <v>34002703.710000001</v>
      </c>
    </row>
    <row r="108" spans="1:9" ht="15.75" x14ac:dyDescent="0.25">
      <c r="A108" s="8"/>
      <c r="B108" s="8"/>
      <c r="C108" s="9"/>
      <c r="D108" s="12" t="s">
        <v>104</v>
      </c>
      <c r="E108" s="14">
        <v>6178015.6299999999</v>
      </c>
      <c r="F108" s="14">
        <v>0</v>
      </c>
      <c r="G108" s="14">
        <v>7314446.8999999994</v>
      </c>
      <c r="H108" s="14">
        <v>0</v>
      </c>
      <c r="I108" s="13">
        <f t="shared" si="1"/>
        <v>13492462.529999999</v>
      </c>
    </row>
    <row r="109" spans="1:9" ht="15.75" x14ac:dyDescent="0.25">
      <c r="A109" s="8"/>
      <c r="B109" s="8"/>
      <c r="C109" s="9"/>
      <c r="D109" s="12" t="s">
        <v>105</v>
      </c>
      <c r="E109" s="14">
        <v>54322944.080000006</v>
      </c>
      <c r="F109" s="14">
        <v>136462152.32136589</v>
      </c>
      <c r="G109" s="14">
        <v>384360.95</v>
      </c>
      <c r="H109" s="14">
        <v>0</v>
      </c>
      <c r="I109" s="13">
        <f t="shared" si="1"/>
        <v>191169457.35136589</v>
      </c>
    </row>
    <row r="110" spans="1:9" ht="15.75" x14ac:dyDescent="0.25">
      <c r="A110" s="8"/>
      <c r="B110" s="8"/>
      <c r="C110" s="9"/>
      <c r="D110" s="12" t="s">
        <v>106</v>
      </c>
      <c r="E110" s="14">
        <v>47593175.690000013</v>
      </c>
      <c r="F110" s="14">
        <v>31650063.333441898</v>
      </c>
      <c r="G110" s="14">
        <v>1666657.6999999997</v>
      </c>
      <c r="H110" s="14">
        <v>0</v>
      </c>
      <c r="I110" s="13">
        <f t="shared" si="1"/>
        <v>80909896.723441914</v>
      </c>
    </row>
    <row r="111" spans="1:9" ht="15.75" x14ac:dyDescent="0.25">
      <c r="A111" s="8"/>
      <c r="B111" s="8"/>
      <c r="C111" s="9"/>
      <c r="D111" s="12" t="s">
        <v>107</v>
      </c>
      <c r="E111" s="14">
        <v>2110000.4499999997</v>
      </c>
      <c r="F111" s="14">
        <v>523200.29228518379</v>
      </c>
      <c r="G111" s="14">
        <v>91568193.129999995</v>
      </c>
      <c r="H111" s="14">
        <v>0</v>
      </c>
      <c r="I111" s="13">
        <f t="shared" si="1"/>
        <v>94201393.872285172</v>
      </c>
    </row>
    <row r="112" spans="1:9" ht="15.75" x14ac:dyDescent="0.25">
      <c r="A112" s="8"/>
      <c r="B112" s="8"/>
      <c r="C112" s="9"/>
      <c r="D112" s="12" t="s">
        <v>108</v>
      </c>
      <c r="E112" s="14">
        <v>192048655.32000002</v>
      </c>
      <c r="F112" s="14">
        <v>35809363.483116634</v>
      </c>
      <c r="G112" s="14">
        <v>5798394.5699999994</v>
      </c>
      <c r="H112" s="14">
        <v>0</v>
      </c>
      <c r="I112" s="13">
        <f t="shared" si="1"/>
        <v>233656413.37311664</v>
      </c>
    </row>
    <row r="113" spans="1:9" ht="15.75" x14ac:dyDescent="0.25">
      <c r="A113" s="8"/>
      <c r="B113" s="8"/>
      <c r="C113" s="9"/>
      <c r="D113" s="12" t="s">
        <v>109</v>
      </c>
      <c r="E113" s="14">
        <v>117845747.56</v>
      </c>
      <c r="F113" s="14">
        <v>86218574.252854347</v>
      </c>
      <c r="G113" s="14">
        <v>3196718.09</v>
      </c>
      <c r="H113" s="14">
        <v>0</v>
      </c>
      <c r="I113" s="13">
        <f t="shared" si="1"/>
        <v>207261039.90285435</v>
      </c>
    </row>
    <row r="114" spans="1:9" ht="15.75" x14ac:dyDescent="0.25">
      <c r="A114" s="8"/>
      <c r="B114" s="8"/>
      <c r="C114" s="9"/>
      <c r="D114" s="12" t="s">
        <v>110</v>
      </c>
      <c r="E114" s="14">
        <v>249719094.91000006</v>
      </c>
      <c r="F114" s="14">
        <v>98889831.331636146</v>
      </c>
      <c r="G114" s="14">
        <v>4858482.51</v>
      </c>
      <c r="H114" s="14">
        <v>0</v>
      </c>
      <c r="I114" s="13">
        <f t="shared" si="1"/>
        <v>353467408.75163621</v>
      </c>
    </row>
    <row r="115" spans="1:9" ht="15.75" x14ac:dyDescent="0.25">
      <c r="A115" s="8"/>
      <c r="B115" s="8"/>
      <c r="C115" s="9"/>
      <c r="D115" s="12" t="s">
        <v>111</v>
      </c>
      <c r="E115" s="14">
        <v>437241401.94999993</v>
      </c>
      <c r="F115" s="14">
        <v>48893636.010020293</v>
      </c>
      <c r="G115" s="14">
        <v>5616237.3199999994</v>
      </c>
      <c r="H115" s="14">
        <v>0</v>
      </c>
      <c r="I115" s="13">
        <f t="shared" si="1"/>
        <v>491751275.28002024</v>
      </c>
    </row>
    <row r="116" spans="1:9" ht="15.75" x14ac:dyDescent="0.25">
      <c r="A116" s="8"/>
      <c r="B116" s="8"/>
      <c r="C116" s="9"/>
      <c r="D116" s="12" t="s">
        <v>112</v>
      </c>
      <c r="E116" s="14">
        <v>83397170.809999987</v>
      </c>
      <c r="F116" s="14">
        <v>63493483.296641357</v>
      </c>
      <c r="G116" s="14">
        <v>2056506.32</v>
      </c>
      <c r="H116" s="14">
        <v>0</v>
      </c>
      <c r="I116" s="13">
        <f t="shared" si="1"/>
        <v>148947160.42664135</v>
      </c>
    </row>
    <row r="117" spans="1:9" ht="15.75" x14ac:dyDescent="0.25">
      <c r="A117" s="8"/>
      <c r="B117" s="8"/>
      <c r="C117" s="9"/>
      <c r="D117" s="12" t="s">
        <v>113</v>
      </c>
      <c r="E117" s="14">
        <v>89250702.37999998</v>
      </c>
      <c r="F117" s="14">
        <v>49031544.782715037</v>
      </c>
      <c r="G117" s="14">
        <v>4902087.92</v>
      </c>
      <c r="H117" s="14">
        <v>0</v>
      </c>
      <c r="I117" s="13">
        <f t="shared" si="1"/>
        <v>143184335.082715</v>
      </c>
    </row>
    <row r="118" spans="1:9" ht="15.75" x14ac:dyDescent="0.25">
      <c r="A118" s="8"/>
      <c r="B118" s="8"/>
      <c r="C118" s="9"/>
      <c r="D118" s="12" t="s">
        <v>114</v>
      </c>
      <c r="E118" s="14">
        <v>119060681.42000002</v>
      </c>
      <c r="F118" s="14">
        <v>76577755.823545009</v>
      </c>
      <c r="G118" s="14">
        <v>7943978.5200000005</v>
      </c>
      <c r="H118" s="14">
        <v>0</v>
      </c>
      <c r="I118" s="13">
        <f t="shared" si="1"/>
        <v>203582415.76354504</v>
      </c>
    </row>
    <row r="119" spans="1:9" ht="15.75" x14ac:dyDescent="0.25">
      <c r="A119" s="8"/>
      <c r="B119" s="8"/>
      <c r="C119" s="9"/>
      <c r="D119" s="12" t="s">
        <v>115</v>
      </c>
      <c r="E119" s="14">
        <v>33511250.300000001</v>
      </c>
      <c r="F119" s="14">
        <v>7437121.5460429247</v>
      </c>
      <c r="G119" s="14">
        <v>2601093.17</v>
      </c>
      <c r="H119" s="14">
        <v>0</v>
      </c>
      <c r="I119" s="13">
        <f t="shared" si="1"/>
        <v>43549465.016042925</v>
      </c>
    </row>
    <row r="120" spans="1:9" ht="15.75" x14ac:dyDescent="0.25">
      <c r="A120" s="8"/>
      <c r="B120" s="8"/>
      <c r="C120" s="9"/>
      <c r="D120" s="12" t="s">
        <v>116</v>
      </c>
      <c r="E120" s="14">
        <v>366194282.24000001</v>
      </c>
      <c r="F120" s="14">
        <v>32503818.158217035</v>
      </c>
      <c r="G120" s="14">
        <v>6925510.7199999988</v>
      </c>
      <c r="H120" s="14">
        <v>0</v>
      </c>
      <c r="I120" s="13">
        <f t="shared" si="1"/>
        <v>405623611.11821699</v>
      </c>
    </row>
    <row r="121" spans="1:9" ht="15.75" x14ac:dyDescent="0.25">
      <c r="A121" s="8"/>
      <c r="B121" s="8"/>
      <c r="C121" s="9"/>
      <c r="D121" s="12" t="s">
        <v>117</v>
      </c>
      <c r="E121" s="14">
        <v>134120348.94000001</v>
      </c>
      <c r="F121" s="14">
        <v>48232526.945040375</v>
      </c>
      <c r="G121" s="14">
        <v>4376775.2699999996</v>
      </c>
      <c r="H121" s="14">
        <v>0</v>
      </c>
      <c r="I121" s="13">
        <f t="shared" si="1"/>
        <v>186729651.15504041</v>
      </c>
    </row>
    <row r="122" spans="1:9" ht="15.75" x14ac:dyDescent="0.25">
      <c r="A122" s="8"/>
      <c r="B122" s="8"/>
      <c r="C122" s="9"/>
      <c r="D122" s="12" t="s">
        <v>118</v>
      </c>
      <c r="E122" s="14">
        <v>133255664.16999997</v>
      </c>
      <c r="F122" s="14">
        <v>35561980.736220933</v>
      </c>
      <c r="G122" s="14">
        <v>5337582.1900000004</v>
      </c>
      <c r="H122" s="14">
        <v>0</v>
      </c>
      <c r="I122" s="13">
        <f t="shared" si="1"/>
        <v>174155227.09622091</v>
      </c>
    </row>
    <row r="123" spans="1:9" ht="15.75" x14ac:dyDescent="0.25">
      <c r="A123" s="8"/>
      <c r="B123" s="8"/>
      <c r="C123" s="9"/>
      <c r="D123" s="12" t="s">
        <v>119</v>
      </c>
      <c r="E123" s="14">
        <v>156295193.13999999</v>
      </c>
      <c r="F123" s="14">
        <v>65338901.718886375</v>
      </c>
      <c r="G123" s="14">
        <v>5824790.5999999996</v>
      </c>
      <c r="H123" s="14">
        <v>0</v>
      </c>
      <c r="I123" s="13">
        <f t="shared" si="1"/>
        <v>227458885.45888636</v>
      </c>
    </row>
    <row r="124" spans="1:9" ht="15.75" x14ac:dyDescent="0.25">
      <c r="A124" s="8"/>
      <c r="B124" s="8"/>
      <c r="C124" s="9"/>
      <c r="D124" s="12" t="s">
        <v>120</v>
      </c>
      <c r="E124" s="14">
        <v>4990988.71</v>
      </c>
      <c r="F124" s="14">
        <v>0</v>
      </c>
      <c r="G124" s="14">
        <v>43440726.909999996</v>
      </c>
      <c r="H124" s="14">
        <v>3552286.665</v>
      </c>
      <c r="I124" s="13">
        <f t="shared" si="1"/>
        <v>51984002.284999996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76561904.359999999</v>
      </c>
      <c r="H125" s="14">
        <v>144709.07</v>
      </c>
      <c r="I125" s="13">
        <f t="shared" si="1"/>
        <v>76706613.429999992</v>
      </c>
    </row>
    <row r="126" spans="1:9" ht="15.75" x14ac:dyDescent="0.25">
      <c r="A126" s="8"/>
      <c r="B126" s="8"/>
      <c r="C126" s="9"/>
      <c r="D126" s="12" t="s">
        <v>122</v>
      </c>
      <c r="E126" s="14">
        <v>56616.88</v>
      </c>
      <c r="F126" s="14">
        <v>0</v>
      </c>
      <c r="G126" s="14">
        <v>42767593.559999995</v>
      </c>
      <c r="H126" s="14">
        <v>0</v>
      </c>
      <c r="I126" s="13">
        <f t="shared" si="1"/>
        <v>42824210.439999998</v>
      </c>
    </row>
    <row r="127" spans="1:9" ht="15.75" x14ac:dyDescent="0.25">
      <c r="A127" s="8"/>
      <c r="B127" s="8"/>
      <c r="C127" s="9"/>
      <c r="D127" s="12" t="s">
        <v>123</v>
      </c>
      <c r="E127" s="14">
        <v>106124391.64</v>
      </c>
      <c r="F127" s="14">
        <v>13773105.520414993</v>
      </c>
      <c r="G127" s="14">
        <v>29241648.120000001</v>
      </c>
      <c r="H127" s="14">
        <v>0</v>
      </c>
      <c r="I127" s="13">
        <f t="shared" si="1"/>
        <v>149139145.280415</v>
      </c>
    </row>
    <row r="128" spans="1:9" ht="15.75" x14ac:dyDescent="0.25">
      <c r="A128" s="8"/>
      <c r="B128" s="8"/>
      <c r="C128" s="9"/>
      <c r="D128" s="12" t="s">
        <v>124</v>
      </c>
      <c r="E128" s="14">
        <v>192448298.87</v>
      </c>
      <c r="F128" s="14">
        <v>42971378.353732429</v>
      </c>
      <c r="G128" s="14">
        <v>9264501.8099999987</v>
      </c>
      <c r="H128" s="14">
        <v>0</v>
      </c>
      <c r="I128" s="13">
        <f t="shared" si="1"/>
        <v>244684179.03373244</v>
      </c>
    </row>
    <row r="129" spans="1:9" ht="15.75" x14ac:dyDescent="0.25">
      <c r="A129" s="8"/>
      <c r="B129" s="8"/>
      <c r="C129" s="9"/>
      <c r="D129" s="12" t="s">
        <v>125</v>
      </c>
      <c r="E129" s="14">
        <v>50939949.120000005</v>
      </c>
      <c r="F129" s="14">
        <v>20797211.618336052</v>
      </c>
      <c r="G129" s="14">
        <v>9282332.25</v>
      </c>
      <c r="H129" s="14">
        <v>0</v>
      </c>
      <c r="I129" s="13">
        <f t="shared" si="1"/>
        <v>81019492.988336056</v>
      </c>
    </row>
    <row r="130" spans="1:9" ht="15.75" x14ac:dyDescent="0.25">
      <c r="A130" s="8"/>
      <c r="B130" s="8"/>
      <c r="C130" s="9"/>
      <c r="D130" s="12" t="s">
        <v>126</v>
      </c>
      <c r="E130" s="14">
        <v>50401272.219999999</v>
      </c>
      <c r="F130" s="14">
        <v>36636105.249322705</v>
      </c>
      <c r="G130" s="14">
        <v>1835313.35</v>
      </c>
      <c r="H130" s="14">
        <v>0</v>
      </c>
      <c r="I130" s="13">
        <f t="shared" si="1"/>
        <v>88872690.819322705</v>
      </c>
    </row>
    <row r="131" spans="1:9" ht="15.75" x14ac:dyDescent="0.25">
      <c r="A131" s="8"/>
      <c r="B131" s="8"/>
      <c r="C131" s="9"/>
      <c r="D131" s="12" t="s">
        <v>127</v>
      </c>
      <c r="E131" s="14">
        <v>417975676.25</v>
      </c>
      <c r="F131" s="14">
        <v>200230742.29343438</v>
      </c>
      <c r="G131" s="14">
        <v>47752651.420000002</v>
      </c>
      <c r="H131" s="14">
        <v>0</v>
      </c>
      <c r="I131" s="13">
        <f t="shared" si="1"/>
        <v>665959069.96343434</v>
      </c>
    </row>
    <row r="132" spans="1:9" ht="15.75" x14ac:dyDescent="0.25">
      <c r="A132" s="8"/>
      <c r="B132" s="8"/>
      <c r="C132" s="9"/>
      <c r="D132" s="12" t="s">
        <v>128</v>
      </c>
      <c r="E132" s="14">
        <v>101016598.84</v>
      </c>
      <c r="F132" s="14">
        <v>122854679.50217704</v>
      </c>
      <c r="G132" s="14">
        <v>781639.58000000007</v>
      </c>
      <c r="H132" s="14">
        <v>0</v>
      </c>
      <c r="I132" s="13">
        <f t="shared" si="1"/>
        <v>224652917.92217705</v>
      </c>
    </row>
    <row r="133" spans="1:9" ht="15.75" x14ac:dyDescent="0.25">
      <c r="A133" s="8"/>
      <c r="B133" s="8"/>
      <c r="C133" s="9"/>
      <c r="D133" s="12" t="s">
        <v>129</v>
      </c>
      <c r="E133" s="14">
        <v>40641489.239999995</v>
      </c>
      <c r="F133" s="14">
        <v>0</v>
      </c>
      <c r="G133" s="14">
        <v>105336711.15000001</v>
      </c>
      <c r="H133" s="14">
        <v>2468085.4250000003</v>
      </c>
      <c r="I133" s="13">
        <f t="shared" si="1"/>
        <v>148446285.815</v>
      </c>
    </row>
    <row r="134" spans="1:9" ht="15.75" x14ac:dyDescent="0.25">
      <c r="A134" s="8"/>
      <c r="B134" s="8"/>
      <c r="C134" s="9"/>
      <c r="D134" s="12" t="s">
        <v>130</v>
      </c>
      <c r="E134" s="14">
        <v>18349453.329999998</v>
      </c>
      <c r="F134" s="14">
        <v>6060166.4289825968</v>
      </c>
      <c r="G134" s="14">
        <v>68952.23000000001</v>
      </c>
      <c r="H134" s="14">
        <v>0</v>
      </c>
      <c r="I134" s="13">
        <f t="shared" si="1"/>
        <v>24478571.988982596</v>
      </c>
    </row>
    <row r="135" spans="1:9" ht="15.75" x14ac:dyDescent="0.25">
      <c r="A135" s="8"/>
      <c r="B135" s="8"/>
      <c r="C135" s="9"/>
      <c r="D135" s="12" t="s">
        <v>131</v>
      </c>
      <c r="E135" s="14">
        <v>63914596.719999991</v>
      </c>
      <c r="F135" s="14">
        <v>76577755.823545009</v>
      </c>
      <c r="G135" s="14">
        <v>3092923.5799999991</v>
      </c>
      <c r="H135" s="14">
        <v>0</v>
      </c>
      <c r="I135" s="13">
        <f t="shared" si="1"/>
        <v>143585276.12354502</v>
      </c>
    </row>
    <row r="136" spans="1:9" ht="15.75" x14ac:dyDescent="0.25">
      <c r="A136" s="8"/>
      <c r="B136" s="8"/>
      <c r="C136" s="9"/>
      <c r="D136" s="12" t="s">
        <v>132</v>
      </c>
      <c r="E136" s="14">
        <v>353835499.75</v>
      </c>
      <c r="F136" s="14">
        <v>92553847.357264072</v>
      </c>
      <c r="G136" s="14">
        <v>13523655.83</v>
      </c>
      <c r="H136" s="14">
        <v>0</v>
      </c>
      <c r="I136" s="13">
        <f t="shared" si="1"/>
        <v>459913002.93726403</v>
      </c>
    </row>
    <row r="137" spans="1:9" ht="15.75" x14ac:dyDescent="0.25">
      <c r="A137" s="8"/>
      <c r="B137" s="8"/>
      <c r="C137" s="9"/>
      <c r="D137" s="12" t="s">
        <v>133</v>
      </c>
      <c r="E137" s="14">
        <v>414936533.18000001</v>
      </c>
      <c r="F137" s="14">
        <v>145524322.60132721</v>
      </c>
      <c r="G137" s="14">
        <v>16370560.029999997</v>
      </c>
      <c r="H137" s="14">
        <v>0</v>
      </c>
      <c r="I137" s="13">
        <f t="shared" si="1"/>
        <v>576831415.81132722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48927431.630000003</v>
      </c>
      <c r="H138" s="14">
        <v>0</v>
      </c>
      <c r="I138" s="13">
        <f t="shared" ref="I138:I144" si="2">SUM(E138:H138)</f>
        <v>48927431.630000003</v>
      </c>
    </row>
    <row r="139" spans="1:9" ht="15.75" x14ac:dyDescent="0.25">
      <c r="A139" s="8"/>
      <c r="B139" s="8"/>
      <c r="C139" s="9"/>
      <c r="D139" s="12" t="s">
        <v>135</v>
      </c>
      <c r="E139" s="14">
        <v>54306198.440000013</v>
      </c>
      <c r="F139" s="14">
        <v>21788875.215805937</v>
      </c>
      <c r="G139" s="14">
        <v>2582736.9900000002</v>
      </c>
      <c r="H139" s="14">
        <v>0</v>
      </c>
      <c r="I139" s="13">
        <f t="shared" si="2"/>
        <v>78677810.64580594</v>
      </c>
    </row>
    <row r="140" spans="1:9" ht="15.75" x14ac:dyDescent="0.25">
      <c r="A140" s="8"/>
      <c r="B140" s="8"/>
      <c r="C140" s="9"/>
      <c r="D140" s="12" t="s">
        <v>136</v>
      </c>
      <c r="E140" s="14">
        <v>224158723.22999999</v>
      </c>
      <c r="F140" s="14">
        <v>154532466.76415035</v>
      </c>
      <c r="G140" s="14">
        <v>6751499.3699999992</v>
      </c>
      <c r="H140" s="14">
        <v>0</v>
      </c>
      <c r="I140" s="13">
        <f t="shared" si="2"/>
        <v>385442689.36415035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76172595.799999997</v>
      </c>
      <c r="H141" s="14">
        <v>277244.26</v>
      </c>
      <c r="I141" s="13">
        <f t="shared" si="2"/>
        <v>76449840.060000002</v>
      </c>
    </row>
    <row r="142" spans="1:9" ht="15.75" x14ac:dyDescent="0.25">
      <c r="A142" s="8"/>
      <c r="B142" s="8"/>
      <c r="C142" s="9"/>
      <c r="D142" s="12" t="s">
        <v>138</v>
      </c>
      <c r="E142" s="14">
        <v>2183434.1</v>
      </c>
      <c r="F142" s="14">
        <v>0</v>
      </c>
      <c r="G142" s="14">
        <v>10582221.069999998</v>
      </c>
      <c r="H142" s="14">
        <v>0</v>
      </c>
      <c r="I142" s="13">
        <f t="shared" si="2"/>
        <v>12765655.169999998</v>
      </c>
    </row>
    <row r="143" spans="1:9" ht="15.75" x14ac:dyDescent="0.25">
      <c r="A143" s="8"/>
      <c r="B143" s="8"/>
      <c r="C143" s="9"/>
      <c r="D143" s="12" t="s">
        <v>139</v>
      </c>
      <c r="E143" s="14">
        <v>23878522.149999995</v>
      </c>
      <c r="F143" s="14">
        <v>142825149.35430706</v>
      </c>
      <c r="G143" s="14">
        <v>138498.52000000002</v>
      </c>
      <c r="H143" s="14">
        <v>0</v>
      </c>
      <c r="I143" s="13">
        <f t="shared" si="2"/>
        <v>166842170.02430707</v>
      </c>
    </row>
    <row r="144" spans="1:9" ht="15.75" x14ac:dyDescent="0.25">
      <c r="A144" s="8"/>
      <c r="B144" s="8"/>
      <c r="C144" s="9"/>
      <c r="D144" s="12" t="s">
        <v>140</v>
      </c>
      <c r="E144" s="14">
        <v>121171907.04000001</v>
      </c>
      <c r="F144" s="14">
        <v>17353757.52074172</v>
      </c>
      <c r="G144" s="14">
        <v>18104269.150000002</v>
      </c>
      <c r="H144" s="14">
        <v>0</v>
      </c>
      <c r="I144" s="13">
        <f t="shared" si="2"/>
        <v>156629933.71074173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16825974255.449997</v>
      </c>
      <c r="F145" s="22">
        <f>SUM(F10:F144)</f>
        <v>7108369779.7774725</v>
      </c>
      <c r="G145" s="22">
        <f>SUM(G10:G144)</f>
        <v>2806597139.0100007</v>
      </c>
      <c r="H145" s="22">
        <f>SUM(H10:H144)</f>
        <v>6442325.4199999999</v>
      </c>
      <c r="I145" s="22">
        <f>SUM(I10:I144)</f>
        <v>26747383499.657475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.83203125" style="2" bestFit="1" customWidth="1"/>
    <col min="10" max="16" width="12" style="2"/>
    <col min="17" max="17" width="16.5" style="2" bestFit="1" customWidth="1"/>
    <col min="18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0.25" x14ac:dyDescent="0.3">
      <c r="D5" s="18" t="s">
        <v>143</v>
      </c>
      <c r="E5" s="19"/>
      <c r="F5" s="19"/>
      <c r="G5" s="19"/>
      <c r="H5" s="19"/>
      <c r="I5" s="19"/>
    </row>
    <row r="6" spans="1:9" ht="20.25" x14ac:dyDescent="0.3">
      <c r="D6" s="18" t="s">
        <v>160</v>
      </c>
      <c r="E6" s="19"/>
      <c r="F6" s="19"/>
      <c r="G6" s="19"/>
      <c r="H6" s="19"/>
      <c r="I6" s="19"/>
    </row>
    <row r="7" spans="1:9" ht="15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3194840.3699999992</v>
      </c>
      <c r="F10" s="14">
        <v>44691436.102448292</v>
      </c>
      <c r="G10" s="14">
        <v>3859772.4</v>
      </c>
      <c r="H10" s="14">
        <v>0</v>
      </c>
      <c r="I10" s="13">
        <f t="shared" ref="I10:I73" si="0">SUM(E10:H10)</f>
        <v>51746048.872448288</v>
      </c>
    </row>
    <row r="11" spans="1:9" ht="15.75" x14ac:dyDescent="0.25">
      <c r="A11" s="8"/>
      <c r="B11" s="8"/>
      <c r="C11" s="9"/>
      <c r="D11" s="12" t="s">
        <v>7</v>
      </c>
      <c r="E11" s="14">
        <v>7508254.2599999998</v>
      </c>
      <c r="F11" s="14">
        <v>25084207.005781647</v>
      </c>
      <c r="G11" s="14">
        <v>3089914.1899999995</v>
      </c>
      <c r="H11" s="14">
        <v>0</v>
      </c>
      <c r="I11" s="13">
        <f t="shared" si="0"/>
        <v>35682375.455781646</v>
      </c>
    </row>
    <row r="12" spans="1:9" ht="15.75" x14ac:dyDescent="0.25">
      <c r="A12" s="8"/>
      <c r="B12" s="8"/>
      <c r="C12" s="9"/>
      <c r="D12" s="12" t="s">
        <v>8</v>
      </c>
      <c r="E12" s="14">
        <v>5775499.6399999987</v>
      </c>
      <c r="F12" s="14">
        <v>9093873.5417468902</v>
      </c>
      <c r="G12" s="14">
        <v>2733040.4</v>
      </c>
      <c r="H12" s="14">
        <v>0</v>
      </c>
      <c r="I12" s="13">
        <f t="shared" si="0"/>
        <v>17602413.581746887</v>
      </c>
    </row>
    <row r="13" spans="1:9" ht="15.75" x14ac:dyDescent="0.25">
      <c r="A13" s="8"/>
      <c r="B13" s="8"/>
      <c r="C13" s="9"/>
      <c r="D13" s="12" t="s">
        <v>9</v>
      </c>
      <c r="E13" s="14">
        <v>244876.37000000002</v>
      </c>
      <c r="F13" s="14">
        <v>240477.92671043391</v>
      </c>
      <c r="G13" s="14">
        <v>63911680.389999986</v>
      </c>
      <c r="H13" s="14">
        <v>0</v>
      </c>
      <c r="I13" s="13">
        <f t="shared" si="0"/>
        <v>64397034.686710417</v>
      </c>
    </row>
    <row r="14" spans="1:9" ht="15.75" x14ac:dyDescent="0.25">
      <c r="A14" s="8"/>
      <c r="B14" s="8"/>
      <c r="C14" s="9"/>
      <c r="D14" s="12" t="s">
        <v>10</v>
      </c>
      <c r="E14" s="14">
        <v>9338271.540000001</v>
      </c>
      <c r="F14" s="14">
        <v>10104211.956721364</v>
      </c>
      <c r="G14" s="14">
        <v>4991774.2600000007</v>
      </c>
      <c r="H14" s="14">
        <v>0</v>
      </c>
      <c r="I14" s="13">
        <f t="shared" si="0"/>
        <v>24434257.756721366</v>
      </c>
    </row>
    <row r="15" spans="1:9" ht="15.75" x14ac:dyDescent="0.25">
      <c r="A15" s="8"/>
      <c r="B15" s="8"/>
      <c r="C15" s="9"/>
      <c r="D15" s="12" t="s">
        <v>11</v>
      </c>
      <c r="E15" s="14">
        <v>4312.6099999999997</v>
      </c>
      <c r="F15" s="14">
        <v>56083.922666546983</v>
      </c>
      <c r="G15" s="14">
        <v>53250372.229999989</v>
      </c>
      <c r="H15" s="14">
        <v>0</v>
      </c>
      <c r="I15" s="13">
        <f t="shared" si="0"/>
        <v>53310768.762666538</v>
      </c>
    </row>
    <row r="16" spans="1:9" ht="15.75" x14ac:dyDescent="0.25">
      <c r="A16" s="8"/>
      <c r="B16" s="8"/>
      <c r="C16" s="9"/>
      <c r="D16" s="12" t="s">
        <v>12</v>
      </c>
      <c r="E16" s="14">
        <v>9555913.0700000022</v>
      </c>
      <c r="F16" s="14">
        <v>48179814.701958679</v>
      </c>
      <c r="G16" s="14">
        <v>4648744.9200000009</v>
      </c>
      <c r="H16" s="14">
        <v>0</v>
      </c>
      <c r="I16" s="13">
        <f t="shared" si="0"/>
        <v>62384472.691958681</v>
      </c>
    </row>
    <row r="17" spans="1:9" ht="15.75" x14ac:dyDescent="0.25">
      <c r="A17" s="8"/>
      <c r="B17" s="8"/>
      <c r="C17" s="9"/>
      <c r="D17" s="12" t="s">
        <v>13</v>
      </c>
      <c r="E17" s="14">
        <v>17647659.830000006</v>
      </c>
      <c r="F17" s="14">
        <v>44266357.219949812</v>
      </c>
      <c r="G17" s="14">
        <v>15741270.35</v>
      </c>
      <c r="H17" s="14">
        <v>0</v>
      </c>
      <c r="I17" s="13">
        <f t="shared" si="0"/>
        <v>77655287.399949819</v>
      </c>
    </row>
    <row r="18" spans="1:9" ht="15.75" x14ac:dyDescent="0.25">
      <c r="A18" s="8"/>
      <c r="B18" s="8"/>
      <c r="C18" s="9"/>
      <c r="D18" s="12" t="s">
        <v>14</v>
      </c>
      <c r="E18" s="14">
        <v>2626906.3199999998</v>
      </c>
      <c r="F18" s="14">
        <v>3608617.5628656074</v>
      </c>
      <c r="G18" s="14">
        <v>86961871.660000011</v>
      </c>
      <c r="H18" s="14">
        <v>0</v>
      </c>
      <c r="I18" s="13">
        <f t="shared" si="0"/>
        <v>93197395.542865619</v>
      </c>
    </row>
    <row r="19" spans="1:9" ht="15.75" x14ac:dyDescent="0.25">
      <c r="A19" s="8"/>
      <c r="B19" s="8"/>
      <c r="C19" s="9"/>
      <c r="D19" s="12" t="s">
        <v>15</v>
      </c>
      <c r="E19" s="14">
        <v>26409074.880000003</v>
      </c>
      <c r="F19" s="14">
        <v>34442771.828305341</v>
      </c>
      <c r="G19" s="14">
        <v>12124245.59</v>
      </c>
      <c r="H19" s="14">
        <v>0</v>
      </c>
      <c r="I19" s="13">
        <f t="shared" si="0"/>
        <v>72976092.298305348</v>
      </c>
    </row>
    <row r="20" spans="1:9" ht="15.75" x14ac:dyDescent="0.25">
      <c r="A20" s="8"/>
      <c r="B20" s="8"/>
      <c r="C20" s="9"/>
      <c r="D20" s="12" t="s">
        <v>16</v>
      </c>
      <c r="E20" s="14">
        <v>10716906.599999998</v>
      </c>
      <c r="F20" s="14">
        <v>8572562.0982154086</v>
      </c>
      <c r="G20" s="14">
        <v>7020108.2599999998</v>
      </c>
      <c r="H20" s="14">
        <v>0</v>
      </c>
      <c r="I20" s="13">
        <f t="shared" si="0"/>
        <v>26309576.958215408</v>
      </c>
    </row>
    <row r="21" spans="1:9" ht="15.75" x14ac:dyDescent="0.25">
      <c r="A21" s="8"/>
      <c r="B21" s="8"/>
      <c r="C21" s="9"/>
      <c r="D21" s="12" t="s">
        <v>17</v>
      </c>
      <c r="E21" s="14">
        <v>22217427.469999999</v>
      </c>
      <c r="F21" s="14">
        <v>41203057.502937898</v>
      </c>
      <c r="G21" s="14">
        <v>3700250.03</v>
      </c>
      <c r="H21" s="14">
        <v>0</v>
      </c>
      <c r="I21" s="13">
        <f t="shared" si="0"/>
        <v>67120735.002937898</v>
      </c>
    </row>
    <row r="22" spans="1:9" ht="15.75" x14ac:dyDescent="0.25">
      <c r="A22" s="8"/>
      <c r="B22" s="8"/>
      <c r="C22" s="9"/>
      <c r="D22" s="12" t="s">
        <v>18</v>
      </c>
      <c r="E22" s="14">
        <v>233185.33</v>
      </c>
      <c r="F22" s="14">
        <v>1764263.6189384246</v>
      </c>
      <c r="G22" s="14">
        <v>39091103.280000009</v>
      </c>
      <c r="H22" s="14">
        <v>0</v>
      </c>
      <c r="I22" s="13">
        <f t="shared" si="0"/>
        <v>41088552.228938431</v>
      </c>
    </row>
    <row r="23" spans="1:9" ht="15.75" x14ac:dyDescent="0.25">
      <c r="A23" s="8"/>
      <c r="B23" s="8"/>
      <c r="C23" s="9"/>
      <c r="D23" s="12" t="s">
        <v>19</v>
      </c>
      <c r="E23" s="14">
        <v>860631.91999999981</v>
      </c>
      <c r="F23" s="14">
        <v>657485.69118678872</v>
      </c>
      <c r="G23" s="14">
        <v>17249206.119999997</v>
      </c>
      <c r="H23" s="14">
        <v>0</v>
      </c>
      <c r="I23" s="13">
        <f t="shared" si="0"/>
        <v>18767323.731186785</v>
      </c>
    </row>
    <row r="24" spans="1:9" ht="15.75" x14ac:dyDescent="0.25">
      <c r="A24" s="8"/>
      <c r="B24" s="8"/>
      <c r="C24" s="9"/>
      <c r="D24" s="12" t="s">
        <v>20</v>
      </c>
      <c r="E24" s="14">
        <v>14964918.890000004</v>
      </c>
      <c r="F24" s="14">
        <v>25268807.961569693</v>
      </c>
      <c r="G24" s="14">
        <v>10704211.640000001</v>
      </c>
      <c r="H24" s="14">
        <v>0</v>
      </c>
      <c r="I24" s="13">
        <f t="shared" si="0"/>
        <v>50937938.491569698</v>
      </c>
    </row>
    <row r="25" spans="1:9" ht="15.75" x14ac:dyDescent="0.25">
      <c r="A25" s="8"/>
      <c r="B25" s="8"/>
      <c r="C25" s="9"/>
      <c r="D25" s="12" t="s">
        <v>21</v>
      </c>
      <c r="E25" s="14">
        <v>13962626.190000001</v>
      </c>
      <c r="F25" s="14">
        <v>18765142.44969181</v>
      </c>
      <c r="G25" s="14">
        <v>9575848.7200000007</v>
      </c>
      <c r="H25" s="14">
        <v>0</v>
      </c>
      <c r="I25" s="13">
        <f t="shared" si="0"/>
        <v>42303617.359691814</v>
      </c>
    </row>
    <row r="26" spans="1:9" ht="15.75" x14ac:dyDescent="0.25">
      <c r="A26" s="8"/>
      <c r="B26" s="8"/>
      <c r="C26" s="9"/>
      <c r="D26" s="12" t="s">
        <v>22</v>
      </c>
      <c r="E26" s="14">
        <v>4129504.0799999996</v>
      </c>
      <c r="F26" s="14">
        <v>10745762.363608066</v>
      </c>
      <c r="G26" s="14">
        <v>10304392.560000002</v>
      </c>
      <c r="H26" s="14">
        <v>0</v>
      </c>
      <c r="I26" s="13">
        <f t="shared" si="0"/>
        <v>25179659.00360807</v>
      </c>
    </row>
    <row r="27" spans="1:9" ht="15.75" x14ac:dyDescent="0.25">
      <c r="A27" s="8"/>
      <c r="B27" s="8"/>
      <c r="C27" s="9"/>
      <c r="D27" s="12" t="s">
        <v>23</v>
      </c>
      <c r="E27" s="14">
        <v>1683257.1999999997</v>
      </c>
      <c r="F27" s="14">
        <v>1844353.9439271833</v>
      </c>
      <c r="G27" s="14">
        <v>20498468.699999999</v>
      </c>
      <c r="H27" s="14">
        <v>0</v>
      </c>
      <c r="I27" s="13">
        <f t="shared" si="0"/>
        <v>24026079.843927182</v>
      </c>
    </row>
    <row r="28" spans="1:9" ht="15.75" x14ac:dyDescent="0.25">
      <c r="A28" s="8"/>
      <c r="B28" s="8"/>
      <c r="C28" s="9"/>
      <c r="D28" s="12" t="s">
        <v>24</v>
      </c>
      <c r="E28" s="14">
        <v>6261852.1099999994</v>
      </c>
      <c r="F28" s="14">
        <v>8741020.817959208</v>
      </c>
      <c r="G28" s="14">
        <v>9310622.3800000008</v>
      </c>
      <c r="H28" s="14">
        <v>0</v>
      </c>
      <c r="I28" s="13">
        <f t="shared" si="0"/>
        <v>24313495.307959206</v>
      </c>
    </row>
    <row r="29" spans="1:9" ht="15.75" x14ac:dyDescent="0.25">
      <c r="A29" s="8"/>
      <c r="B29" s="8"/>
      <c r="C29" s="9"/>
      <c r="D29" s="12" t="s">
        <v>25</v>
      </c>
      <c r="E29" s="14">
        <v>3436828.43</v>
      </c>
      <c r="F29" s="14">
        <v>4891718.3766390067</v>
      </c>
      <c r="G29" s="14">
        <v>3225524.6800000006</v>
      </c>
      <c r="H29" s="14">
        <v>0</v>
      </c>
      <c r="I29" s="13">
        <f t="shared" si="0"/>
        <v>11554071.486639008</v>
      </c>
    </row>
    <row r="30" spans="1:9" ht="15.75" x14ac:dyDescent="0.25">
      <c r="A30" s="8"/>
      <c r="B30" s="8"/>
      <c r="C30" s="9"/>
      <c r="D30" s="12" t="s">
        <v>26</v>
      </c>
      <c r="E30" s="14">
        <v>14777241.82</v>
      </c>
      <c r="F30" s="14">
        <v>26383450.055599295</v>
      </c>
      <c r="G30" s="14">
        <v>4546301.5200000005</v>
      </c>
      <c r="H30" s="14">
        <v>0</v>
      </c>
      <c r="I30" s="13">
        <f t="shared" si="0"/>
        <v>45706993.395599298</v>
      </c>
    </row>
    <row r="31" spans="1:9" ht="15.75" x14ac:dyDescent="0.25">
      <c r="A31" s="8"/>
      <c r="B31" s="8"/>
      <c r="C31" s="9"/>
      <c r="D31" s="12" t="s">
        <v>27</v>
      </c>
      <c r="E31" s="14">
        <v>13139528.870000001</v>
      </c>
      <c r="F31" s="14">
        <v>27345775.665929344</v>
      </c>
      <c r="G31" s="14">
        <v>2895864.8299999996</v>
      </c>
      <c r="H31" s="14">
        <v>0</v>
      </c>
      <c r="I31" s="13">
        <f t="shared" si="0"/>
        <v>43381169.365929343</v>
      </c>
    </row>
    <row r="32" spans="1:9" ht="15.75" x14ac:dyDescent="0.25">
      <c r="A32" s="8"/>
      <c r="B32" s="8"/>
      <c r="C32" s="9"/>
      <c r="D32" s="12" t="s">
        <v>28</v>
      </c>
      <c r="E32" s="14">
        <v>6489588.3600000013</v>
      </c>
      <c r="F32" s="14">
        <v>9230254.741146354</v>
      </c>
      <c r="G32" s="14">
        <v>2726406.82</v>
      </c>
      <c r="H32" s="14">
        <v>0</v>
      </c>
      <c r="I32" s="13">
        <f t="shared" si="0"/>
        <v>18446249.921146356</v>
      </c>
    </row>
    <row r="33" spans="1:9" ht="15.75" x14ac:dyDescent="0.25">
      <c r="A33" s="8"/>
      <c r="B33" s="8"/>
      <c r="C33" s="9"/>
      <c r="D33" s="12" t="s">
        <v>29</v>
      </c>
      <c r="E33" s="14">
        <v>2264765.04</v>
      </c>
      <c r="F33" s="14">
        <v>13953514.398041563</v>
      </c>
      <c r="G33" s="14">
        <v>2544502.19</v>
      </c>
      <c r="H33" s="14">
        <v>0</v>
      </c>
      <c r="I33" s="13">
        <f t="shared" si="0"/>
        <v>18762781.628041565</v>
      </c>
    </row>
    <row r="34" spans="1:9" ht="15.75" x14ac:dyDescent="0.25">
      <c r="A34" s="8"/>
      <c r="B34" s="8"/>
      <c r="C34" s="9"/>
      <c r="D34" s="12" t="s">
        <v>30</v>
      </c>
      <c r="E34" s="14">
        <v>18085039.809999999</v>
      </c>
      <c r="F34" s="14">
        <v>20024029.909398843</v>
      </c>
      <c r="G34" s="14">
        <v>11562118.829999998</v>
      </c>
      <c r="H34" s="14">
        <v>0</v>
      </c>
      <c r="I34" s="13">
        <f t="shared" si="0"/>
        <v>49671188.549398839</v>
      </c>
    </row>
    <row r="35" spans="1:9" ht="15.75" x14ac:dyDescent="0.25">
      <c r="A35" s="8"/>
      <c r="B35" s="8"/>
      <c r="C35" s="9"/>
      <c r="D35" s="12" t="s">
        <v>31</v>
      </c>
      <c r="E35" s="14">
        <v>10562189.26</v>
      </c>
      <c r="F35" s="14">
        <v>29438678.654589079</v>
      </c>
      <c r="G35" s="14">
        <v>9278412.7100000009</v>
      </c>
      <c r="H35" s="14">
        <v>0</v>
      </c>
      <c r="I35" s="13">
        <f t="shared" si="0"/>
        <v>49279280.624589078</v>
      </c>
    </row>
    <row r="36" spans="1:9" ht="15.75" x14ac:dyDescent="0.25">
      <c r="A36" s="8"/>
      <c r="B36" s="8"/>
      <c r="C36" s="9"/>
      <c r="D36" s="12" t="s">
        <v>32</v>
      </c>
      <c r="E36" s="14">
        <v>7608177.870000001</v>
      </c>
      <c r="F36" s="14">
        <v>18267837.40848254</v>
      </c>
      <c r="G36" s="14">
        <v>13239511.979999999</v>
      </c>
      <c r="H36" s="14">
        <v>0</v>
      </c>
      <c r="I36" s="13">
        <f t="shared" si="0"/>
        <v>39115527.258482538</v>
      </c>
    </row>
    <row r="37" spans="1:9" ht="15.75" x14ac:dyDescent="0.25">
      <c r="A37" s="8"/>
      <c r="B37" s="8"/>
      <c r="C37" s="9"/>
      <c r="D37" s="12" t="s">
        <v>33</v>
      </c>
      <c r="E37" s="14">
        <v>4469331.6300000008</v>
      </c>
      <c r="F37" s="14">
        <v>10104211.956721364</v>
      </c>
      <c r="G37" s="14">
        <v>5376735.2399999993</v>
      </c>
      <c r="H37" s="14">
        <v>0</v>
      </c>
      <c r="I37" s="13">
        <f t="shared" si="0"/>
        <v>19950278.826721363</v>
      </c>
    </row>
    <row r="38" spans="1:9" ht="15.75" x14ac:dyDescent="0.25">
      <c r="A38" s="8"/>
      <c r="B38" s="8"/>
      <c r="C38" s="9"/>
      <c r="D38" s="12" t="s">
        <v>34</v>
      </c>
      <c r="E38" s="14">
        <v>3918703.31</v>
      </c>
      <c r="F38" s="14">
        <v>21956752.248081058</v>
      </c>
      <c r="G38" s="14">
        <v>6502682</v>
      </c>
      <c r="H38" s="14">
        <v>0</v>
      </c>
      <c r="I38" s="13">
        <f t="shared" si="0"/>
        <v>32378137.558081057</v>
      </c>
    </row>
    <row r="39" spans="1:9" ht="15.75" x14ac:dyDescent="0.25">
      <c r="A39" s="8"/>
      <c r="B39" s="8"/>
      <c r="C39" s="9"/>
      <c r="D39" s="12" t="s">
        <v>35</v>
      </c>
      <c r="E39" s="14">
        <v>7359692.5799999991</v>
      </c>
      <c r="F39" s="14">
        <v>34378616.78761667</v>
      </c>
      <c r="G39" s="14">
        <v>4094825.47</v>
      </c>
      <c r="H39" s="14">
        <v>0</v>
      </c>
      <c r="I39" s="13">
        <f t="shared" si="0"/>
        <v>45833134.837616667</v>
      </c>
    </row>
    <row r="40" spans="1:9" ht="15.75" x14ac:dyDescent="0.25">
      <c r="A40" s="8"/>
      <c r="B40" s="8"/>
      <c r="C40" s="9"/>
      <c r="D40" s="12" t="s">
        <v>36</v>
      </c>
      <c r="E40" s="14">
        <v>1043520.91</v>
      </c>
      <c r="F40" s="14">
        <v>1804412.2573048824</v>
      </c>
      <c r="G40" s="14">
        <v>4700572.2499999991</v>
      </c>
      <c r="H40" s="14">
        <v>0</v>
      </c>
      <c r="I40" s="13">
        <f t="shared" si="0"/>
        <v>7548505.4173048809</v>
      </c>
    </row>
    <row r="41" spans="1:9" ht="15.75" x14ac:dyDescent="0.25">
      <c r="A41" s="8"/>
      <c r="B41" s="8"/>
      <c r="C41" s="9"/>
      <c r="D41" s="12" t="s">
        <v>37</v>
      </c>
      <c r="E41" s="14">
        <v>12739625.850000001</v>
      </c>
      <c r="F41" s="14">
        <v>30152455.220186573</v>
      </c>
      <c r="G41" s="14">
        <v>10549791.920000004</v>
      </c>
      <c r="H41" s="14">
        <v>0</v>
      </c>
      <c r="I41" s="13">
        <f t="shared" si="0"/>
        <v>53441872.990186572</v>
      </c>
    </row>
    <row r="42" spans="1:9" ht="15.75" x14ac:dyDescent="0.25">
      <c r="A42" s="8"/>
      <c r="B42" s="8"/>
      <c r="C42" s="9"/>
      <c r="D42" s="12" t="s">
        <v>38</v>
      </c>
      <c r="E42" s="14">
        <v>13810092.379999999</v>
      </c>
      <c r="F42" s="14">
        <v>32654501.807044707</v>
      </c>
      <c r="G42" s="14">
        <v>3594362.32</v>
      </c>
      <c r="H42" s="14">
        <v>0</v>
      </c>
      <c r="I42" s="13">
        <f t="shared" si="0"/>
        <v>50058956.50704471</v>
      </c>
    </row>
    <row r="43" spans="1:9" ht="15.75" x14ac:dyDescent="0.25">
      <c r="A43" s="8"/>
      <c r="B43" s="8"/>
      <c r="C43" s="9"/>
      <c r="D43" s="12" t="s">
        <v>39</v>
      </c>
      <c r="E43" s="14">
        <v>2359118.7200000007</v>
      </c>
      <c r="F43" s="14">
        <v>11876546.693681909</v>
      </c>
      <c r="G43" s="14">
        <v>5905458.7000000002</v>
      </c>
      <c r="H43" s="14">
        <v>0</v>
      </c>
      <c r="I43" s="13">
        <f t="shared" si="0"/>
        <v>20141124.113681909</v>
      </c>
    </row>
    <row r="44" spans="1:9" ht="15.75" x14ac:dyDescent="0.25">
      <c r="A44" s="8"/>
      <c r="B44" s="8"/>
      <c r="C44" s="9"/>
      <c r="D44" s="12" t="s">
        <v>40</v>
      </c>
      <c r="E44" s="14">
        <v>32536.799999999999</v>
      </c>
      <c r="F44" s="14">
        <v>914105.85394146875</v>
      </c>
      <c r="G44" s="14">
        <v>10150135.16</v>
      </c>
      <c r="H44" s="14">
        <v>0</v>
      </c>
      <c r="I44" s="13">
        <f t="shared" si="0"/>
        <v>11096777.813941469</v>
      </c>
    </row>
    <row r="45" spans="1:9" ht="15.75" x14ac:dyDescent="0.25">
      <c r="A45" s="8"/>
      <c r="B45" s="8"/>
      <c r="C45" s="9"/>
      <c r="D45" s="12" t="s">
        <v>41</v>
      </c>
      <c r="E45" s="14">
        <v>2978938.4699999993</v>
      </c>
      <c r="F45" s="14">
        <v>264691.28077680292</v>
      </c>
      <c r="G45" s="14">
        <v>28842392.069999997</v>
      </c>
      <c r="H45" s="14">
        <v>0</v>
      </c>
      <c r="I45" s="13">
        <f t="shared" si="0"/>
        <v>32086021.820776798</v>
      </c>
    </row>
    <row r="46" spans="1:9" ht="15.75" x14ac:dyDescent="0.25">
      <c r="A46" s="8"/>
      <c r="B46" s="8"/>
      <c r="C46" s="9"/>
      <c r="D46" s="12" t="s">
        <v>42</v>
      </c>
      <c r="E46" s="14">
        <v>755767.91</v>
      </c>
      <c r="F46" s="14">
        <v>882028.33359713363</v>
      </c>
      <c r="G46" s="14">
        <v>44751925.490000002</v>
      </c>
      <c r="H46" s="14">
        <v>0</v>
      </c>
      <c r="I46" s="13">
        <f t="shared" si="0"/>
        <v>46389721.733597137</v>
      </c>
    </row>
    <row r="47" spans="1:9" ht="15.75" x14ac:dyDescent="0.25">
      <c r="A47" s="8"/>
      <c r="B47" s="8"/>
      <c r="C47" s="9"/>
      <c r="D47" s="12" t="s">
        <v>43</v>
      </c>
      <c r="E47" s="14">
        <v>8546546.9399999995</v>
      </c>
      <c r="F47" s="14">
        <v>5597423.8242143765</v>
      </c>
      <c r="G47" s="14">
        <v>5163275.96</v>
      </c>
      <c r="H47" s="14">
        <v>0</v>
      </c>
      <c r="I47" s="13">
        <f t="shared" si="0"/>
        <v>19307246.724214375</v>
      </c>
    </row>
    <row r="48" spans="1:9" ht="15.75" x14ac:dyDescent="0.25">
      <c r="A48" s="8"/>
      <c r="B48" s="8"/>
      <c r="C48" s="9"/>
      <c r="D48" s="12" t="s">
        <v>44</v>
      </c>
      <c r="E48" s="14">
        <v>855040.50999999989</v>
      </c>
      <c r="F48" s="14">
        <v>882028.33359713363</v>
      </c>
      <c r="G48" s="14">
        <v>22075611.59</v>
      </c>
      <c r="H48" s="14">
        <v>0</v>
      </c>
      <c r="I48" s="13">
        <f t="shared" si="0"/>
        <v>23812680.433597133</v>
      </c>
    </row>
    <row r="49" spans="1:9" ht="15.75" x14ac:dyDescent="0.25">
      <c r="A49" s="8"/>
      <c r="B49" s="8"/>
      <c r="C49" s="9"/>
      <c r="D49" s="12" t="s">
        <v>45</v>
      </c>
      <c r="E49" s="14">
        <v>1371485.3000000005</v>
      </c>
      <c r="F49" s="14">
        <v>1050487.0533409317</v>
      </c>
      <c r="G49" s="14">
        <v>37443085.57</v>
      </c>
      <c r="H49" s="14">
        <v>0</v>
      </c>
      <c r="I49" s="13">
        <f t="shared" si="0"/>
        <v>39865057.923340932</v>
      </c>
    </row>
    <row r="50" spans="1:9" ht="15.75" x14ac:dyDescent="0.25">
      <c r="A50" s="8"/>
      <c r="B50" s="8"/>
      <c r="C50" s="9"/>
      <c r="D50" s="12" t="s">
        <v>46</v>
      </c>
      <c r="E50" s="14">
        <v>9347831.2599999998</v>
      </c>
      <c r="F50" s="14">
        <v>10152431.713109946</v>
      </c>
      <c r="G50" s="14">
        <v>2096525.27</v>
      </c>
      <c r="H50" s="14">
        <v>0</v>
      </c>
      <c r="I50" s="13">
        <f t="shared" si="0"/>
        <v>21596788.243109945</v>
      </c>
    </row>
    <row r="51" spans="1:9" ht="15.75" x14ac:dyDescent="0.25">
      <c r="A51" s="8"/>
      <c r="B51" s="8"/>
      <c r="C51" s="9"/>
      <c r="D51" s="12" t="s">
        <v>47</v>
      </c>
      <c r="E51" s="14">
        <v>10888962.550000001</v>
      </c>
      <c r="F51" s="14">
        <v>18460302.53054855</v>
      </c>
      <c r="G51" s="14">
        <v>8429389.3100000005</v>
      </c>
      <c r="H51" s="14">
        <v>0</v>
      </c>
      <c r="I51" s="13">
        <f t="shared" si="0"/>
        <v>37778654.39054855</v>
      </c>
    </row>
    <row r="52" spans="1:9" ht="15.75" x14ac:dyDescent="0.25">
      <c r="A52" s="8"/>
      <c r="B52" s="8"/>
      <c r="C52" s="9"/>
      <c r="D52" s="12" t="s">
        <v>48</v>
      </c>
      <c r="E52" s="14">
        <v>3011565.8000000003</v>
      </c>
      <c r="F52" s="14">
        <v>18604754.847970136</v>
      </c>
      <c r="G52" s="14">
        <v>2103829.61</v>
      </c>
      <c r="H52" s="14">
        <v>0</v>
      </c>
      <c r="I52" s="13">
        <f t="shared" si="0"/>
        <v>23720150.257970136</v>
      </c>
    </row>
    <row r="53" spans="1:9" ht="15.75" x14ac:dyDescent="0.25">
      <c r="A53" s="8"/>
      <c r="B53" s="8"/>
      <c r="C53" s="9"/>
      <c r="D53" s="12" t="s">
        <v>49</v>
      </c>
      <c r="E53" s="14">
        <v>7974656.1099999994</v>
      </c>
      <c r="F53" s="14">
        <v>12750710.86100108</v>
      </c>
      <c r="G53" s="14">
        <v>4037915.0399999991</v>
      </c>
      <c r="H53" s="14">
        <v>0</v>
      </c>
      <c r="I53" s="13">
        <f t="shared" si="0"/>
        <v>24763282.01100108</v>
      </c>
    </row>
    <row r="54" spans="1:9" ht="15.75" x14ac:dyDescent="0.25">
      <c r="A54" s="8"/>
      <c r="B54" s="8"/>
      <c r="C54" s="9"/>
      <c r="D54" s="12" t="s">
        <v>50</v>
      </c>
      <c r="E54" s="14">
        <v>6777349.0000000009</v>
      </c>
      <c r="F54" s="14">
        <v>11708087.973938115</v>
      </c>
      <c r="G54" s="14">
        <v>5224695.68</v>
      </c>
      <c r="H54" s="14">
        <v>0</v>
      </c>
      <c r="I54" s="13">
        <f t="shared" si="0"/>
        <v>23710132.653938115</v>
      </c>
    </row>
    <row r="55" spans="1:9" ht="15.75" x14ac:dyDescent="0.25">
      <c r="A55" s="8"/>
      <c r="B55" s="8"/>
      <c r="C55" s="9"/>
      <c r="D55" s="12" t="s">
        <v>51</v>
      </c>
      <c r="E55" s="14">
        <v>2293335.19</v>
      </c>
      <c r="F55" s="14">
        <v>23977636.029774167</v>
      </c>
      <c r="G55" s="14">
        <v>459550.66000000003</v>
      </c>
      <c r="H55" s="14">
        <v>0</v>
      </c>
      <c r="I55" s="13">
        <f t="shared" si="0"/>
        <v>26730521.879774168</v>
      </c>
    </row>
    <row r="56" spans="1:9" ht="15.75" x14ac:dyDescent="0.25">
      <c r="A56" s="8"/>
      <c r="B56" s="8"/>
      <c r="C56" s="9"/>
      <c r="D56" s="12" t="s">
        <v>52</v>
      </c>
      <c r="E56" s="14">
        <v>6889700.4999999991</v>
      </c>
      <c r="F56" s="14">
        <v>26688083.022998393</v>
      </c>
      <c r="G56" s="14">
        <v>3008782.9400000004</v>
      </c>
      <c r="H56" s="14">
        <v>0</v>
      </c>
      <c r="I56" s="13">
        <f t="shared" si="0"/>
        <v>36586566.46299839</v>
      </c>
    </row>
    <row r="57" spans="1:9" ht="15.75" x14ac:dyDescent="0.25">
      <c r="A57" s="8"/>
      <c r="B57" s="8"/>
      <c r="C57" s="9"/>
      <c r="D57" s="12" t="s">
        <v>53</v>
      </c>
      <c r="E57" s="14">
        <v>3231490.5199999996</v>
      </c>
      <c r="F57" s="14">
        <v>8821111.1429479644</v>
      </c>
      <c r="G57" s="14">
        <v>2814526.46</v>
      </c>
      <c r="H57" s="14">
        <v>0</v>
      </c>
      <c r="I57" s="13">
        <f t="shared" si="0"/>
        <v>14867128.122947965</v>
      </c>
    </row>
    <row r="58" spans="1:9" ht="15.75" x14ac:dyDescent="0.25">
      <c r="A58" s="8"/>
      <c r="B58" s="8"/>
      <c r="C58" s="9"/>
      <c r="D58" s="12" t="s">
        <v>54</v>
      </c>
      <c r="E58" s="14">
        <v>1990164.18</v>
      </c>
      <c r="F58" s="14">
        <v>9494739.0701789986</v>
      </c>
      <c r="G58" s="14">
        <v>436368.16000000003</v>
      </c>
      <c r="H58" s="14">
        <v>0</v>
      </c>
      <c r="I58" s="13">
        <f t="shared" si="0"/>
        <v>11921271.410178998</v>
      </c>
    </row>
    <row r="59" spans="1:9" ht="15.75" x14ac:dyDescent="0.25">
      <c r="A59" s="8"/>
      <c r="B59" s="8"/>
      <c r="C59" s="9"/>
      <c r="D59" s="12" t="s">
        <v>55</v>
      </c>
      <c r="E59" s="14">
        <v>4193237.629999999</v>
      </c>
      <c r="F59" s="14">
        <v>16038553.220423337</v>
      </c>
      <c r="G59" s="14">
        <v>4237583.3</v>
      </c>
      <c r="H59" s="14">
        <v>0</v>
      </c>
      <c r="I59" s="13">
        <f t="shared" si="0"/>
        <v>24469374.150423337</v>
      </c>
    </row>
    <row r="60" spans="1:9" ht="15.75" x14ac:dyDescent="0.25">
      <c r="A60" s="8"/>
      <c r="B60" s="8"/>
      <c r="C60" s="9"/>
      <c r="D60" s="12" t="s">
        <v>56</v>
      </c>
      <c r="E60" s="14">
        <v>2949249.06</v>
      </c>
      <c r="F60" s="14">
        <v>9703346.4282892551</v>
      </c>
      <c r="G60" s="14">
        <v>2498936.7800000003</v>
      </c>
      <c r="H60" s="14">
        <v>0</v>
      </c>
      <c r="I60" s="13">
        <f t="shared" si="0"/>
        <v>15151532.268289257</v>
      </c>
    </row>
    <row r="61" spans="1:9" ht="15.75" x14ac:dyDescent="0.25">
      <c r="A61" s="8"/>
      <c r="B61" s="8"/>
      <c r="C61" s="9"/>
      <c r="D61" s="12" t="s">
        <v>57</v>
      </c>
      <c r="E61" s="14">
        <v>6737566.8300000019</v>
      </c>
      <c r="F61" s="14">
        <v>16279031.147133771</v>
      </c>
      <c r="G61" s="14">
        <v>2910751.2199999997</v>
      </c>
      <c r="H61" s="14">
        <v>0</v>
      </c>
      <c r="I61" s="13">
        <f t="shared" si="0"/>
        <v>25927349.197133772</v>
      </c>
    </row>
    <row r="62" spans="1:9" ht="15.75" x14ac:dyDescent="0.25">
      <c r="A62" s="8"/>
      <c r="B62" s="8"/>
      <c r="C62" s="9"/>
      <c r="D62" s="12" t="s">
        <v>58</v>
      </c>
      <c r="E62" s="14">
        <v>9940030.5199999977</v>
      </c>
      <c r="F62" s="14">
        <v>18163740.68117157</v>
      </c>
      <c r="G62" s="14">
        <v>192463177.91000003</v>
      </c>
      <c r="H62" s="14">
        <v>0</v>
      </c>
      <c r="I62" s="13">
        <f t="shared" si="0"/>
        <v>220566949.1111716</v>
      </c>
    </row>
    <row r="63" spans="1:9" ht="15.75" x14ac:dyDescent="0.25">
      <c r="A63" s="8"/>
      <c r="B63" s="8"/>
      <c r="C63" s="9"/>
      <c r="D63" s="12" t="s">
        <v>59</v>
      </c>
      <c r="E63" s="14">
        <v>3399462.18</v>
      </c>
      <c r="F63" s="14">
        <v>2004741.5456488584</v>
      </c>
      <c r="G63" s="14">
        <v>14757921.539999997</v>
      </c>
      <c r="H63" s="14">
        <v>0</v>
      </c>
      <c r="I63" s="13">
        <f t="shared" si="0"/>
        <v>20162125.265648857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82151721.190000013</v>
      </c>
      <c r="H64" s="14">
        <v>0</v>
      </c>
      <c r="I64" s="13">
        <f t="shared" si="0"/>
        <v>82151721.190000013</v>
      </c>
    </row>
    <row r="65" spans="1:9" ht="15.75" x14ac:dyDescent="0.25">
      <c r="A65" s="8"/>
      <c r="B65" s="8"/>
      <c r="C65" s="9"/>
      <c r="D65" s="12" t="s">
        <v>61</v>
      </c>
      <c r="E65" s="14">
        <v>8791313.5800000001</v>
      </c>
      <c r="F65" s="14">
        <v>23736951.151319578</v>
      </c>
      <c r="G65" s="14">
        <v>3308100.0300000003</v>
      </c>
      <c r="H65" s="14">
        <v>0</v>
      </c>
      <c r="I65" s="13">
        <f t="shared" si="0"/>
        <v>35836364.761319578</v>
      </c>
    </row>
    <row r="66" spans="1:9" ht="15.75" x14ac:dyDescent="0.25">
      <c r="A66" s="8"/>
      <c r="B66" s="8"/>
      <c r="C66" s="9"/>
      <c r="D66" s="12" t="s">
        <v>62</v>
      </c>
      <c r="E66" s="14">
        <v>26970757.860000003</v>
      </c>
      <c r="F66" s="14">
        <v>47193482.689306423</v>
      </c>
      <c r="G66" s="14">
        <v>6680522.0399999991</v>
      </c>
      <c r="H66" s="14">
        <v>0</v>
      </c>
      <c r="I66" s="13">
        <f t="shared" si="0"/>
        <v>80844762.589306414</v>
      </c>
    </row>
    <row r="67" spans="1:9" ht="15.75" x14ac:dyDescent="0.25">
      <c r="A67" s="8"/>
      <c r="B67" s="8"/>
      <c r="C67" s="9"/>
      <c r="D67" s="12" t="s">
        <v>63</v>
      </c>
      <c r="E67" s="14">
        <v>7878418.4700000016</v>
      </c>
      <c r="F67" s="14">
        <v>21812506.882403634</v>
      </c>
      <c r="G67" s="14">
        <v>1937675.6400000001</v>
      </c>
      <c r="H67" s="14">
        <v>0</v>
      </c>
      <c r="I67" s="13">
        <f t="shared" si="0"/>
        <v>31628600.992403638</v>
      </c>
    </row>
    <row r="68" spans="1:9" ht="15.75" x14ac:dyDescent="0.25">
      <c r="A68" s="8"/>
      <c r="B68" s="8"/>
      <c r="C68" s="9"/>
      <c r="D68" s="12" t="s">
        <v>64</v>
      </c>
      <c r="E68" s="14">
        <v>3388580.77</v>
      </c>
      <c r="F68" s="14">
        <v>9222183.6231242307</v>
      </c>
      <c r="G68" s="14">
        <v>2367710</v>
      </c>
      <c r="H68" s="14">
        <v>0</v>
      </c>
      <c r="I68" s="13">
        <f t="shared" si="0"/>
        <v>14978474.39312423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26077724.260000002</v>
      </c>
      <c r="H69" s="14">
        <v>0</v>
      </c>
      <c r="I69" s="13">
        <f t="shared" si="0"/>
        <v>26077724.260000002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38150725.279999994</v>
      </c>
      <c r="H70" s="14">
        <v>0</v>
      </c>
      <c r="I70" s="13">
        <f t="shared" si="0"/>
        <v>38150725.279999994</v>
      </c>
    </row>
    <row r="71" spans="1:9" ht="15.75" x14ac:dyDescent="0.25">
      <c r="A71" s="8"/>
      <c r="B71" s="8"/>
      <c r="C71" s="9"/>
      <c r="D71" s="12" t="s">
        <v>67</v>
      </c>
      <c r="E71" s="14">
        <v>641294.82000000007</v>
      </c>
      <c r="F71" s="14">
        <v>240477.92671043391</v>
      </c>
      <c r="G71" s="14">
        <v>30510042.890000004</v>
      </c>
      <c r="H71" s="14">
        <v>0</v>
      </c>
      <c r="I71" s="13">
        <f t="shared" si="0"/>
        <v>31391815.636710439</v>
      </c>
    </row>
    <row r="72" spans="1:9" ht="15.75" x14ac:dyDescent="0.25">
      <c r="A72" s="8"/>
      <c r="B72" s="8"/>
      <c r="C72" s="9"/>
      <c r="D72" s="12" t="s">
        <v>68</v>
      </c>
      <c r="E72" s="14">
        <v>17610473.760000002</v>
      </c>
      <c r="F72" s="14">
        <v>14979995.049060283</v>
      </c>
      <c r="G72" s="14">
        <v>26668893.239999995</v>
      </c>
      <c r="H72" s="14">
        <v>0</v>
      </c>
      <c r="I72" s="13">
        <f t="shared" si="0"/>
        <v>59259362.049060278</v>
      </c>
    </row>
    <row r="73" spans="1:9" ht="15.75" x14ac:dyDescent="0.25">
      <c r="A73" s="8"/>
      <c r="B73" s="8"/>
      <c r="C73" s="9"/>
      <c r="D73" s="12" t="s">
        <v>69</v>
      </c>
      <c r="E73" s="14">
        <v>128579.94</v>
      </c>
      <c r="F73" s="14">
        <v>0</v>
      </c>
      <c r="G73" s="14">
        <v>21495491.520000003</v>
      </c>
      <c r="H73" s="14">
        <v>0</v>
      </c>
      <c r="I73" s="13">
        <f t="shared" si="0"/>
        <v>21624071.460000005</v>
      </c>
    </row>
    <row r="74" spans="1:9" ht="15.75" x14ac:dyDescent="0.25">
      <c r="A74" s="8"/>
      <c r="B74" s="8"/>
      <c r="C74" s="9"/>
      <c r="D74" s="12" t="s">
        <v>70</v>
      </c>
      <c r="E74" s="14">
        <v>725885.10000000009</v>
      </c>
      <c r="F74" s="14">
        <v>1266958.5777291534</v>
      </c>
      <c r="G74" s="14">
        <v>155154449.18000004</v>
      </c>
      <c r="H74" s="14">
        <v>0</v>
      </c>
      <c r="I74" s="13">
        <f t="shared" ref="I74:I137" si="1">SUM(E74:H74)</f>
        <v>157147292.8577292</v>
      </c>
    </row>
    <row r="75" spans="1:9" ht="15.75" x14ac:dyDescent="0.25">
      <c r="A75" s="8"/>
      <c r="B75" s="8"/>
      <c r="C75" s="9"/>
      <c r="D75" s="12" t="s">
        <v>71</v>
      </c>
      <c r="E75" s="14">
        <v>6566054.8200000012</v>
      </c>
      <c r="F75" s="14">
        <v>4923795.8969833422</v>
      </c>
      <c r="G75" s="14">
        <v>247154258.05000004</v>
      </c>
      <c r="H75" s="14">
        <v>0</v>
      </c>
      <c r="I75" s="13">
        <f t="shared" si="1"/>
        <v>258644108.76698339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87933789.50999999</v>
      </c>
      <c r="H76" s="14">
        <v>0</v>
      </c>
      <c r="I76" s="13">
        <f t="shared" si="1"/>
        <v>87933789.50999999</v>
      </c>
    </row>
    <row r="77" spans="1:9" ht="15.75" x14ac:dyDescent="0.25">
      <c r="A77" s="8"/>
      <c r="B77" s="8"/>
      <c r="C77" s="9"/>
      <c r="D77" s="12" t="s">
        <v>73</v>
      </c>
      <c r="E77" s="14">
        <v>4178091.0900000008</v>
      </c>
      <c r="F77" s="14">
        <v>24418650.196572736</v>
      </c>
      <c r="G77" s="14">
        <v>2223686.0300000003</v>
      </c>
      <c r="H77" s="14">
        <v>0</v>
      </c>
      <c r="I77" s="13">
        <f t="shared" si="1"/>
        <v>30820427.316572737</v>
      </c>
    </row>
    <row r="78" spans="1:9" ht="15.75" x14ac:dyDescent="0.25">
      <c r="A78" s="8"/>
      <c r="B78" s="8"/>
      <c r="C78" s="9"/>
      <c r="D78" s="12" t="s">
        <v>74</v>
      </c>
      <c r="E78" s="14">
        <v>9892563.9900000021</v>
      </c>
      <c r="F78" s="14">
        <v>24779574.038382541</v>
      </c>
      <c r="G78" s="14">
        <v>5135478.6399999997</v>
      </c>
      <c r="H78" s="14">
        <v>0</v>
      </c>
      <c r="I78" s="13">
        <f t="shared" si="1"/>
        <v>39807616.66838254</v>
      </c>
    </row>
    <row r="79" spans="1:9" ht="15.75" x14ac:dyDescent="0.25">
      <c r="A79" s="8"/>
      <c r="B79" s="8"/>
      <c r="C79" s="9"/>
      <c r="D79" s="12" t="s">
        <v>75</v>
      </c>
      <c r="E79" s="14">
        <v>6320156.1400000015</v>
      </c>
      <c r="F79" s="14">
        <v>13913365.759675106</v>
      </c>
      <c r="G79" s="14">
        <v>3170547.57</v>
      </c>
      <c r="H79" s="14">
        <v>0</v>
      </c>
      <c r="I79" s="13">
        <f t="shared" si="1"/>
        <v>23404069.469675109</v>
      </c>
    </row>
    <row r="80" spans="1:9" ht="15.75" x14ac:dyDescent="0.25">
      <c r="A80" s="8"/>
      <c r="B80" s="8"/>
      <c r="C80" s="9"/>
      <c r="D80" s="12" t="s">
        <v>76</v>
      </c>
      <c r="E80" s="14">
        <v>3688245.4799999995</v>
      </c>
      <c r="F80" s="14">
        <v>7353616.3251306778</v>
      </c>
      <c r="G80" s="14">
        <v>924600.66</v>
      </c>
      <c r="H80" s="14">
        <v>0</v>
      </c>
      <c r="I80" s="13">
        <f t="shared" si="1"/>
        <v>11966462.465130677</v>
      </c>
    </row>
    <row r="81" spans="1:9" ht="15.75" x14ac:dyDescent="0.25">
      <c r="A81" s="8"/>
      <c r="B81" s="8"/>
      <c r="C81" s="9"/>
      <c r="D81" s="12" t="s">
        <v>77</v>
      </c>
      <c r="E81" s="14">
        <v>32274215.180000007</v>
      </c>
      <c r="F81" s="14">
        <v>44370660.899004944</v>
      </c>
      <c r="G81" s="14">
        <v>9638228.5900000017</v>
      </c>
      <c r="H81" s="14">
        <v>0</v>
      </c>
      <c r="I81" s="13">
        <f t="shared" si="1"/>
        <v>86283104.669004947</v>
      </c>
    </row>
    <row r="82" spans="1:9" ht="15.75" x14ac:dyDescent="0.25">
      <c r="A82" s="8"/>
      <c r="B82" s="8"/>
      <c r="C82" s="9"/>
      <c r="D82" s="12" t="s">
        <v>78</v>
      </c>
      <c r="E82" s="14">
        <v>17366601.400000002</v>
      </c>
      <c r="F82" s="14">
        <v>30753856.98870682</v>
      </c>
      <c r="G82" s="14">
        <v>2763631.18</v>
      </c>
      <c r="H82" s="14">
        <v>0</v>
      </c>
      <c r="I82" s="13">
        <f t="shared" si="1"/>
        <v>50884089.568706818</v>
      </c>
    </row>
    <row r="83" spans="1:9" ht="15.75" x14ac:dyDescent="0.25">
      <c r="A83" s="8"/>
      <c r="B83" s="8"/>
      <c r="C83" s="9"/>
      <c r="D83" s="12" t="s">
        <v>79</v>
      </c>
      <c r="E83" s="14">
        <v>13306948.080000002</v>
      </c>
      <c r="F83" s="14">
        <v>12630264.945901703</v>
      </c>
      <c r="G83" s="14">
        <v>11182889</v>
      </c>
      <c r="H83" s="14">
        <v>0</v>
      </c>
      <c r="I83" s="13">
        <f t="shared" si="1"/>
        <v>37120102.025901705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89472727.029999986</v>
      </c>
      <c r="H84" s="14">
        <v>0</v>
      </c>
      <c r="I84" s="13">
        <f t="shared" si="1"/>
        <v>89472727.029999986</v>
      </c>
    </row>
    <row r="85" spans="1:9" ht="15.75" x14ac:dyDescent="0.25">
      <c r="A85" s="8"/>
      <c r="B85" s="8"/>
      <c r="C85" s="9"/>
      <c r="D85" s="12" t="s">
        <v>81</v>
      </c>
      <c r="E85" s="14">
        <v>10392517.640000001</v>
      </c>
      <c r="F85" s="14">
        <v>3929392.7663089577</v>
      </c>
      <c r="G85" s="14">
        <v>26840920.610000003</v>
      </c>
      <c r="H85" s="14">
        <v>0</v>
      </c>
      <c r="I85" s="13">
        <f t="shared" si="1"/>
        <v>41162831.016308963</v>
      </c>
    </row>
    <row r="86" spans="1:9" ht="15.75" x14ac:dyDescent="0.25">
      <c r="A86" s="8"/>
      <c r="B86" s="8"/>
      <c r="C86" s="9"/>
      <c r="D86" s="12" t="s">
        <v>82</v>
      </c>
      <c r="E86" s="14">
        <v>4952196.8499999996</v>
      </c>
      <c r="F86" s="14">
        <v>16319179.785500228</v>
      </c>
      <c r="G86" s="14">
        <v>3571708.42</v>
      </c>
      <c r="H86" s="14">
        <v>0</v>
      </c>
      <c r="I86" s="13">
        <f t="shared" si="1"/>
        <v>24843085.055500232</v>
      </c>
    </row>
    <row r="87" spans="1:9" ht="15.75" x14ac:dyDescent="0.25">
      <c r="A87" s="8"/>
      <c r="B87" s="8"/>
      <c r="C87" s="9"/>
      <c r="D87" s="12" t="s">
        <v>83</v>
      </c>
      <c r="E87" s="14">
        <v>2584418.0300000003</v>
      </c>
      <c r="F87" s="14">
        <v>21491731.678960282</v>
      </c>
      <c r="G87" s="14">
        <v>2521494.5500000003</v>
      </c>
      <c r="H87" s="14">
        <v>0</v>
      </c>
      <c r="I87" s="13">
        <f t="shared" si="1"/>
        <v>26597644.258960284</v>
      </c>
    </row>
    <row r="88" spans="1:9" ht="15.75" x14ac:dyDescent="0.25">
      <c r="A88" s="8"/>
      <c r="B88" s="8"/>
      <c r="C88" s="9"/>
      <c r="D88" s="12" t="s">
        <v>84</v>
      </c>
      <c r="E88" s="14">
        <v>466888.35</v>
      </c>
      <c r="F88" s="14">
        <v>0</v>
      </c>
      <c r="G88" s="14">
        <v>30794269.68</v>
      </c>
      <c r="H88" s="14">
        <v>0</v>
      </c>
      <c r="I88" s="13">
        <f t="shared" si="1"/>
        <v>31261158.030000001</v>
      </c>
    </row>
    <row r="89" spans="1:9" ht="15.75" x14ac:dyDescent="0.25">
      <c r="A89" s="8"/>
      <c r="B89" s="8"/>
      <c r="C89" s="9"/>
      <c r="D89" s="12" t="s">
        <v>85</v>
      </c>
      <c r="E89" s="14">
        <v>3846066.66</v>
      </c>
      <c r="F89" s="14">
        <v>21074723.914483931</v>
      </c>
      <c r="G89" s="14">
        <v>1791812.5600000005</v>
      </c>
      <c r="H89" s="14">
        <v>0</v>
      </c>
      <c r="I89" s="13">
        <f t="shared" si="1"/>
        <v>26712603.134483933</v>
      </c>
    </row>
    <row r="90" spans="1:9" ht="15.75" x14ac:dyDescent="0.25">
      <c r="A90" s="8"/>
      <c r="B90" s="8"/>
      <c r="C90" s="9"/>
      <c r="D90" s="12" t="s">
        <v>86</v>
      </c>
      <c r="E90" s="14">
        <v>1906803.1199999999</v>
      </c>
      <c r="F90" s="14">
        <v>5453178.4585369481</v>
      </c>
      <c r="G90" s="14">
        <v>6340558.9299999997</v>
      </c>
      <c r="H90" s="14">
        <v>0</v>
      </c>
      <c r="I90" s="13">
        <f t="shared" si="1"/>
        <v>13700540.508536948</v>
      </c>
    </row>
    <row r="91" spans="1:9" ht="15.75" x14ac:dyDescent="0.25">
      <c r="A91" s="8"/>
      <c r="B91" s="8"/>
      <c r="C91" s="9"/>
      <c r="D91" s="12" t="s">
        <v>87</v>
      </c>
      <c r="E91" s="14">
        <v>3778382.55</v>
      </c>
      <c r="F91" s="14">
        <v>12437799.823835695</v>
      </c>
      <c r="G91" s="14">
        <v>13404173.789999997</v>
      </c>
      <c r="H91" s="14">
        <v>0</v>
      </c>
      <c r="I91" s="13">
        <f t="shared" si="1"/>
        <v>29620356.163835689</v>
      </c>
    </row>
    <row r="92" spans="1:9" ht="15.75" x14ac:dyDescent="0.25">
      <c r="A92" s="8"/>
      <c r="B92" s="8"/>
      <c r="C92" s="9"/>
      <c r="D92" s="12" t="s">
        <v>88</v>
      </c>
      <c r="E92" s="14">
        <v>553611.67000000004</v>
      </c>
      <c r="F92" s="14">
        <v>1716043.862549843</v>
      </c>
      <c r="G92" s="14">
        <v>44102421.619999997</v>
      </c>
      <c r="H92" s="14">
        <v>0</v>
      </c>
      <c r="I92" s="13">
        <f t="shared" si="1"/>
        <v>46372077.152549841</v>
      </c>
    </row>
    <row r="93" spans="1:9" ht="15.75" x14ac:dyDescent="0.25">
      <c r="A93" s="8"/>
      <c r="B93" s="8"/>
      <c r="C93" s="9"/>
      <c r="D93" s="12" t="s">
        <v>89</v>
      </c>
      <c r="E93" s="14">
        <v>9447029.6800000034</v>
      </c>
      <c r="F93" s="14">
        <v>13905501.593397139</v>
      </c>
      <c r="G93" s="14">
        <v>3535530.4699999997</v>
      </c>
      <c r="H93" s="14">
        <v>0</v>
      </c>
      <c r="I93" s="13">
        <f t="shared" si="1"/>
        <v>26888061.743397139</v>
      </c>
    </row>
    <row r="94" spans="1:9" ht="15.75" x14ac:dyDescent="0.25">
      <c r="A94" s="8"/>
      <c r="B94" s="8"/>
      <c r="C94" s="9"/>
      <c r="D94" s="12" t="s">
        <v>90</v>
      </c>
      <c r="E94" s="14">
        <v>59341.759999999995</v>
      </c>
      <c r="F94" s="14">
        <v>0</v>
      </c>
      <c r="G94" s="14">
        <v>1227576.9499999997</v>
      </c>
      <c r="H94" s="14">
        <v>0</v>
      </c>
      <c r="I94" s="13">
        <f t="shared" si="1"/>
        <v>1286918.7099999997</v>
      </c>
    </row>
    <row r="95" spans="1:9" ht="15.75" x14ac:dyDescent="0.25">
      <c r="A95" s="8"/>
      <c r="B95" s="8"/>
      <c r="C95" s="9"/>
      <c r="D95" s="12" t="s">
        <v>91</v>
      </c>
      <c r="E95" s="14">
        <v>2705609.1499999994</v>
      </c>
      <c r="F95" s="14">
        <v>441014.16679856682</v>
      </c>
      <c r="G95" s="14">
        <v>49957999.840000004</v>
      </c>
      <c r="H95" s="14">
        <v>0</v>
      </c>
      <c r="I95" s="13">
        <f t="shared" si="1"/>
        <v>53104623.156798571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72595224.840000004</v>
      </c>
      <c r="H96" s="14">
        <v>0</v>
      </c>
      <c r="I96" s="13">
        <f t="shared" si="1"/>
        <v>72595224.840000004</v>
      </c>
    </row>
    <row r="97" spans="1:9" ht="15.75" x14ac:dyDescent="0.25">
      <c r="A97" s="8"/>
      <c r="B97" s="8"/>
      <c r="C97" s="9"/>
      <c r="D97" s="12" t="s">
        <v>93</v>
      </c>
      <c r="E97" s="14">
        <v>3775859.6500000004</v>
      </c>
      <c r="F97" s="14">
        <v>19807558.385010619</v>
      </c>
      <c r="G97" s="14">
        <v>2867807.8</v>
      </c>
      <c r="H97" s="14">
        <v>0</v>
      </c>
      <c r="I97" s="13">
        <f t="shared" si="1"/>
        <v>26451225.835010622</v>
      </c>
    </row>
    <row r="98" spans="1:9" ht="15.75" x14ac:dyDescent="0.25">
      <c r="A98" s="8"/>
      <c r="B98" s="8"/>
      <c r="C98" s="9"/>
      <c r="D98" s="12" t="s">
        <v>94</v>
      </c>
      <c r="E98" s="14">
        <v>11477864.540000001</v>
      </c>
      <c r="F98" s="14">
        <v>26054603.734133817</v>
      </c>
      <c r="G98" s="14">
        <v>24341371.16</v>
      </c>
      <c r="H98" s="14">
        <v>0</v>
      </c>
      <c r="I98" s="13">
        <f t="shared" si="1"/>
        <v>61873839.434133813</v>
      </c>
    </row>
    <row r="99" spans="1:9" ht="15.75" x14ac:dyDescent="0.25">
      <c r="A99" s="8"/>
      <c r="B99" s="8"/>
      <c r="C99" s="9"/>
      <c r="D99" s="12" t="s">
        <v>95</v>
      </c>
      <c r="E99" s="14">
        <v>54864390.68</v>
      </c>
      <c r="F99" s="14">
        <v>49647309.519775964</v>
      </c>
      <c r="G99" s="14">
        <v>10865168.620000001</v>
      </c>
      <c r="H99" s="14">
        <v>0</v>
      </c>
      <c r="I99" s="13">
        <f t="shared" si="1"/>
        <v>115376868.81977597</v>
      </c>
    </row>
    <row r="100" spans="1:9" ht="15.75" x14ac:dyDescent="0.25">
      <c r="A100" s="8"/>
      <c r="B100" s="8"/>
      <c r="C100" s="9"/>
      <c r="D100" s="12" t="s">
        <v>96</v>
      </c>
      <c r="E100" s="14">
        <v>12265411.780000001</v>
      </c>
      <c r="F100" s="14">
        <v>49671315.922098175</v>
      </c>
      <c r="G100" s="14">
        <v>27129880.349999998</v>
      </c>
      <c r="H100" s="14">
        <v>0</v>
      </c>
      <c r="I100" s="13">
        <f t="shared" si="1"/>
        <v>89066608.05209817</v>
      </c>
    </row>
    <row r="101" spans="1:9" ht="15.75" x14ac:dyDescent="0.25">
      <c r="A101" s="8"/>
      <c r="B101" s="8"/>
      <c r="C101" s="9"/>
      <c r="D101" s="12" t="s">
        <v>97</v>
      </c>
      <c r="E101" s="14">
        <v>581272.50999999989</v>
      </c>
      <c r="F101" s="14">
        <v>66657708.130760573</v>
      </c>
      <c r="G101" s="14">
        <v>254382.55</v>
      </c>
      <c r="H101" s="14">
        <v>0</v>
      </c>
      <c r="I101" s="13">
        <f t="shared" si="1"/>
        <v>67493363.190760568</v>
      </c>
    </row>
    <row r="102" spans="1:9" ht="15.75" x14ac:dyDescent="0.25">
      <c r="A102" s="8"/>
      <c r="B102" s="8"/>
      <c r="C102" s="9"/>
      <c r="D102" s="12" t="s">
        <v>98</v>
      </c>
      <c r="E102" s="14">
        <v>20621471.139999997</v>
      </c>
      <c r="F102" s="14">
        <v>28660954.00004708</v>
      </c>
      <c r="G102" s="14">
        <v>13142409.600000001</v>
      </c>
      <c r="H102" s="14">
        <v>0</v>
      </c>
      <c r="I102" s="13">
        <f t="shared" si="1"/>
        <v>62424834.740047075</v>
      </c>
    </row>
    <row r="103" spans="1:9" ht="15.75" x14ac:dyDescent="0.25">
      <c r="A103" s="8"/>
      <c r="B103" s="8"/>
      <c r="C103" s="9"/>
      <c r="D103" s="12" t="s">
        <v>99</v>
      </c>
      <c r="E103" s="14">
        <v>2695760.4699999997</v>
      </c>
      <c r="F103" s="14">
        <v>9101944.6597690135</v>
      </c>
      <c r="G103" s="14">
        <v>1648106.9999999998</v>
      </c>
      <c r="H103" s="14">
        <v>0</v>
      </c>
      <c r="I103" s="13">
        <f t="shared" si="1"/>
        <v>13445812.129769012</v>
      </c>
    </row>
    <row r="104" spans="1:9" ht="15.75" x14ac:dyDescent="0.25">
      <c r="A104" s="8"/>
      <c r="B104" s="8"/>
      <c r="C104" s="9"/>
      <c r="D104" s="12" t="s">
        <v>100</v>
      </c>
      <c r="E104" s="14">
        <v>32657818.160000004</v>
      </c>
      <c r="F104" s="14">
        <v>16631883.870921457</v>
      </c>
      <c r="G104" s="14">
        <v>25149643.940000001</v>
      </c>
      <c r="H104" s="14">
        <v>0</v>
      </c>
      <c r="I104" s="13">
        <f t="shared" si="1"/>
        <v>74439345.970921457</v>
      </c>
    </row>
    <row r="105" spans="1:9" ht="15.75" x14ac:dyDescent="0.25">
      <c r="A105" s="8"/>
      <c r="B105" s="8"/>
      <c r="C105" s="9"/>
      <c r="D105" s="12" t="s">
        <v>101</v>
      </c>
      <c r="E105" s="14">
        <v>5207205.46</v>
      </c>
      <c r="F105" s="14">
        <v>24699276.761649631</v>
      </c>
      <c r="G105" s="14">
        <v>546910.36</v>
      </c>
      <c r="H105" s="14">
        <v>0</v>
      </c>
      <c r="I105" s="13">
        <f t="shared" si="1"/>
        <v>30453392.581649631</v>
      </c>
    </row>
    <row r="106" spans="1:9" ht="15.75" x14ac:dyDescent="0.25">
      <c r="A106" s="8"/>
      <c r="B106" s="8"/>
      <c r="C106" s="9"/>
      <c r="D106" s="12" t="s">
        <v>102</v>
      </c>
      <c r="E106" s="14">
        <v>15644657.690000003</v>
      </c>
      <c r="F106" s="14">
        <v>1523578.7404838335</v>
      </c>
      <c r="G106" s="14">
        <v>90771746.570000023</v>
      </c>
      <c r="H106" s="14">
        <v>0</v>
      </c>
      <c r="I106" s="13">
        <f t="shared" si="1"/>
        <v>107939983.00048386</v>
      </c>
    </row>
    <row r="107" spans="1:9" ht="15.75" x14ac:dyDescent="0.25">
      <c r="A107" s="8"/>
      <c r="B107" s="8"/>
      <c r="C107" s="9"/>
      <c r="D107" s="12" t="s">
        <v>103</v>
      </c>
      <c r="E107" s="14">
        <v>572129.94999999995</v>
      </c>
      <c r="F107" s="14">
        <v>0</v>
      </c>
      <c r="G107" s="14">
        <v>9775038.8200000003</v>
      </c>
      <c r="H107" s="14">
        <v>0</v>
      </c>
      <c r="I107" s="13">
        <f t="shared" si="1"/>
        <v>10347168.77</v>
      </c>
    </row>
    <row r="108" spans="1:9" ht="15.75" x14ac:dyDescent="0.25">
      <c r="A108" s="8"/>
      <c r="B108" s="8"/>
      <c r="C108" s="9"/>
      <c r="D108" s="12" t="s">
        <v>104</v>
      </c>
      <c r="E108" s="14">
        <v>855796.64</v>
      </c>
      <c r="F108" s="14">
        <v>0</v>
      </c>
      <c r="G108" s="14">
        <v>6990637.3400000008</v>
      </c>
      <c r="H108" s="14">
        <v>0</v>
      </c>
      <c r="I108" s="13">
        <f t="shared" si="1"/>
        <v>7846433.9800000004</v>
      </c>
    </row>
    <row r="109" spans="1:9" ht="15.75" x14ac:dyDescent="0.25">
      <c r="A109" s="8"/>
      <c r="B109" s="8"/>
      <c r="C109" s="9"/>
      <c r="D109" s="12" t="s">
        <v>105</v>
      </c>
      <c r="E109" s="14">
        <v>1573261.4200000002</v>
      </c>
      <c r="F109" s="14">
        <v>39727491.567098491</v>
      </c>
      <c r="G109" s="14">
        <v>1180800.55</v>
      </c>
      <c r="H109" s="14">
        <v>0</v>
      </c>
      <c r="I109" s="13">
        <f t="shared" si="1"/>
        <v>42481553.53709849</v>
      </c>
    </row>
    <row r="110" spans="1:9" ht="15.75" x14ac:dyDescent="0.25">
      <c r="A110" s="8"/>
      <c r="B110" s="8"/>
      <c r="C110" s="9"/>
      <c r="D110" s="12" t="s">
        <v>106</v>
      </c>
      <c r="E110" s="14">
        <v>2511182.14</v>
      </c>
      <c r="F110" s="14">
        <v>9214112.5051021073</v>
      </c>
      <c r="G110" s="14">
        <v>2157096.86</v>
      </c>
      <c r="H110" s="14">
        <v>0</v>
      </c>
      <c r="I110" s="13">
        <f t="shared" si="1"/>
        <v>13882391.505102107</v>
      </c>
    </row>
    <row r="111" spans="1:9" ht="15.75" x14ac:dyDescent="0.25">
      <c r="A111" s="8"/>
      <c r="B111" s="8"/>
      <c r="C111" s="9"/>
      <c r="D111" s="12" t="s">
        <v>107</v>
      </c>
      <c r="E111" s="14">
        <v>243421.99000000002</v>
      </c>
      <c r="F111" s="14">
        <v>152316.48369955193</v>
      </c>
      <c r="G111" s="14">
        <v>94897128.550000027</v>
      </c>
      <c r="H111" s="14">
        <v>0</v>
      </c>
      <c r="I111" s="13">
        <f t="shared" si="1"/>
        <v>95292867.023699582</v>
      </c>
    </row>
    <row r="112" spans="1:9" ht="15.75" x14ac:dyDescent="0.25">
      <c r="A112" s="8"/>
      <c r="B112" s="8"/>
      <c r="C112" s="9"/>
      <c r="D112" s="12" t="s">
        <v>108</v>
      </c>
      <c r="E112" s="14">
        <v>6731973.2800000003</v>
      </c>
      <c r="F112" s="14">
        <v>10424987.160164714</v>
      </c>
      <c r="G112" s="14">
        <v>6122033.8500000024</v>
      </c>
      <c r="H112" s="14">
        <v>0</v>
      </c>
      <c r="I112" s="13">
        <f t="shared" si="1"/>
        <v>23278994.290164717</v>
      </c>
    </row>
    <row r="113" spans="1:9" ht="15.75" x14ac:dyDescent="0.25">
      <c r="A113" s="8"/>
      <c r="B113" s="8"/>
      <c r="C113" s="9"/>
      <c r="D113" s="12" t="s">
        <v>109</v>
      </c>
      <c r="E113" s="14">
        <v>4832389.9800000004</v>
      </c>
      <c r="F113" s="14">
        <v>25100349.241825894</v>
      </c>
      <c r="G113" s="14">
        <v>3138159.83</v>
      </c>
      <c r="H113" s="14">
        <v>0</v>
      </c>
      <c r="I113" s="13">
        <f t="shared" si="1"/>
        <v>33070899.051825896</v>
      </c>
    </row>
    <row r="114" spans="1:9" ht="15.75" x14ac:dyDescent="0.25">
      <c r="A114" s="8"/>
      <c r="B114" s="8"/>
      <c r="C114" s="9"/>
      <c r="D114" s="12" t="s">
        <v>110</v>
      </c>
      <c r="E114" s="14">
        <v>11632740.110000001</v>
      </c>
      <c r="F114" s="14">
        <v>28789264.081424419</v>
      </c>
      <c r="G114" s="14">
        <v>5185854.1800000006</v>
      </c>
      <c r="H114" s="14">
        <v>0</v>
      </c>
      <c r="I114" s="13">
        <f t="shared" si="1"/>
        <v>45607858.371424422</v>
      </c>
    </row>
    <row r="115" spans="1:9" ht="15.75" x14ac:dyDescent="0.25">
      <c r="A115" s="8"/>
      <c r="B115" s="8"/>
      <c r="C115" s="9"/>
      <c r="D115" s="12" t="s">
        <v>111</v>
      </c>
      <c r="E115" s="14">
        <v>27077941.349999994</v>
      </c>
      <c r="F115" s="14">
        <v>14234140.963118453</v>
      </c>
      <c r="G115" s="14">
        <v>5842654.6499999994</v>
      </c>
      <c r="H115" s="14">
        <v>0</v>
      </c>
      <c r="I115" s="13">
        <f t="shared" si="1"/>
        <v>47154736.963118441</v>
      </c>
    </row>
    <row r="116" spans="1:9" ht="15.75" x14ac:dyDescent="0.25">
      <c r="A116" s="8"/>
      <c r="B116" s="8"/>
      <c r="C116" s="9"/>
      <c r="D116" s="12" t="s">
        <v>112</v>
      </c>
      <c r="E116" s="14">
        <v>2710749.5900000003</v>
      </c>
      <c r="F116" s="14">
        <v>18484515.884614918</v>
      </c>
      <c r="G116" s="14">
        <v>1693829.4400000002</v>
      </c>
      <c r="H116" s="14">
        <v>0</v>
      </c>
      <c r="I116" s="13">
        <f t="shared" si="1"/>
        <v>22889094.91461492</v>
      </c>
    </row>
    <row r="117" spans="1:9" ht="15.75" x14ac:dyDescent="0.25">
      <c r="A117" s="8"/>
      <c r="B117" s="8"/>
      <c r="C117" s="9"/>
      <c r="D117" s="12" t="s">
        <v>113</v>
      </c>
      <c r="E117" s="14">
        <v>4851003.330000001</v>
      </c>
      <c r="F117" s="14">
        <v>14274289.601484913</v>
      </c>
      <c r="G117" s="14">
        <v>5726094.0099999998</v>
      </c>
      <c r="H117" s="14">
        <v>0</v>
      </c>
      <c r="I117" s="13">
        <f t="shared" si="1"/>
        <v>24851386.941484913</v>
      </c>
    </row>
    <row r="118" spans="1:9" ht="15.75" x14ac:dyDescent="0.25">
      <c r="A118" s="8"/>
      <c r="B118" s="8"/>
      <c r="C118" s="9"/>
      <c r="D118" s="12" t="s">
        <v>114</v>
      </c>
      <c r="E118" s="14">
        <v>5969556.0999999996</v>
      </c>
      <c r="F118" s="14">
        <v>22293669.687568657</v>
      </c>
      <c r="G118" s="14">
        <v>7659542.419999999</v>
      </c>
      <c r="H118" s="14">
        <v>0</v>
      </c>
      <c r="I118" s="13">
        <f t="shared" si="1"/>
        <v>35922768.20756866</v>
      </c>
    </row>
    <row r="119" spans="1:9" ht="15.75" x14ac:dyDescent="0.25">
      <c r="A119" s="8"/>
      <c r="B119" s="8"/>
      <c r="C119" s="9"/>
      <c r="D119" s="12" t="s">
        <v>115</v>
      </c>
      <c r="E119" s="14">
        <v>2539344.09</v>
      </c>
      <c r="F119" s="14">
        <v>2165129.1473705331</v>
      </c>
      <c r="G119" s="14">
        <v>2932637.71</v>
      </c>
      <c r="H119" s="14">
        <v>0</v>
      </c>
      <c r="I119" s="13">
        <f t="shared" si="1"/>
        <v>7637110.9473705329</v>
      </c>
    </row>
    <row r="120" spans="1:9" ht="15.75" x14ac:dyDescent="0.25">
      <c r="A120" s="8"/>
      <c r="B120" s="8"/>
      <c r="C120" s="9"/>
      <c r="D120" s="12" t="s">
        <v>116</v>
      </c>
      <c r="E120" s="14">
        <v>10892533.530000001</v>
      </c>
      <c r="F120" s="14">
        <v>9462661.549834663</v>
      </c>
      <c r="G120" s="14">
        <v>6395169.4199999999</v>
      </c>
      <c r="H120" s="14">
        <v>0</v>
      </c>
      <c r="I120" s="13">
        <f t="shared" si="1"/>
        <v>26750364.499834664</v>
      </c>
    </row>
    <row r="121" spans="1:9" ht="15.75" x14ac:dyDescent="0.25">
      <c r="A121" s="8"/>
      <c r="B121" s="8"/>
      <c r="C121" s="9"/>
      <c r="D121" s="12" t="s">
        <v>117</v>
      </c>
      <c r="E121" s="14">
        <v>5618443.8200000003</v>
      </c>
      <c r="F121" s="14">
        <v>14041675.841052443</v>
      </c>
      <c r="G121" s="14">
        <v>7705088.7199999997</v>
      </c>
      <c r="H121" s="14">
        <v>0</v>
      </c>
      <c r="I121" s="13">
        <f t="shared" si="1"/>
        <v>27365208.381052442</v>
      </c>
    </row>
    <row r="122" spans="1:9" ht="15.75" x14ac:dyDescent="0.25">
      <c r="A122" s="8"/>
      <c r="B122" s="8"/>
      <c r="C122" s="9"/>
      <c r="D122" s="12" t="s">
        <v>118</v>
      </c>
      <c r="E122" s="14">
        <v>10082644.860000001</v>
      </c>
      <c r="F122" s="14">
        <v>10352967.953198079</v>
      </c>
      <c r="G122" s="14">
        <v>5980942.8699999992</v>
      </c>
      <c r="H122" s="14">
        <v>0</v>
      </c>
      <c r="I122" s="13">
        <f t="shared" si="1"/>
        <v>26416555.683198079</v>
      </c>
    </row>
    <row r="123" spans="1:9" ht="15.75" x14ac:dyDescent="0.25">
      <c r="A123" s="8"/>
      <c r="B123" s="8"/>
      <c r="C123" s="9"/>
      <c r="D123" s="12" t="s">
        <v>119</v>
      </c>
      <c r="E123" s="14">
        <v>6332142.6500000004</v>
      </c>
      <c r="F123" s="14">
        <v>19021762.612446491</v>
      </c>
      <c r="G123" s="14">
        <v>1900695.75</v>
      </c>
      <c r="H123" s="14">
        <v>0</v>
      </c>
      <c r="I123" s="13">
        <f t="shared" si="1"/>
        <v>27254601.012446493</v>
      </c>
    </row>
    <row r="124" spans="1:9" ht="15.75" x14ac:dyDescent="0.25">
      <c r="A124" s="8"/>
      <c r="B124" s="8"/>
      <c r="C124" s="9"/>
      <c r="D124" s="12" t="s">
        <v>120</v>
      </c>
      <c r="E124" s="14">
        <v>1333300.8600000001</v>
      </c>
      <c r="F124" s="14">
        <v>0</v>
      </c>
      <c r="G124" s="14">
        <v>31130826.410000004</v>
      </c>
      <c r="H124" s="14">
        <v>628607857.33000004</v>
      </c>
      <c r="I124" s="13">
        <f t="shared" si="1"/>
        <v>661071984.60000002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84627529.319999993</v>
      </c>
      <c r="H125" s="14">
        <v>108729969.58500001</v>
      </c>
      <c r="I125" s="13">
        <f t="shared" si="1"/>
        <v>193357498.905</v>
      </c>
    </row>
    <row r="126" spans="1:9" ht="15.75" x14ac:dyDescent="0.25">
      <c r="A126" s="8"/>
      <c r="B126" s="8"/>
      <c r="C126" s="9"/>
      <c r="D126" s="12" t="s">
        <v>122</v>
      </c>
      <c r="E126" s="14">
        <v>171888.66999999998</v>
      </c>
      <c r="F126" s="14">
        <v>0</v>
      </c>
      <c r="G126" s="14">
        <v>53097082.520000003</v>
      </c>
      <c r="H126" s="14">
        <v>0</v>
      </c>
      <c r="I126" s="13">
        <f t="shared" si="1"/>
        <v>53268971.190000005</v>
      </c>
    </row>
    <row r="127" spans="1:9" ht="15.75" x14ac:dyDescent="0.25">
      <c r="A127" s="8"/>
      <c r="B127" s="8"/>
      <c r="C127" s="9"/>
      <c r="D127" s="12" t="s">
        <v>123</v>
      </c>
      <c r="E127" s="14">
        <v>4584619.8</v>
      </c>
      <c r="F127" s="14">
        <v>4009690.0430418733</v>
      </c>
      <c r="G127" s="14">
        <v>32841087.329999998</v>
      </c>
      <c r="H127" s="14">
        <v>0</v>
      </c>
      <c r="I127" s="13">
        <f t="shared" si="1"/>
        <v>41435397.173041873</v>
      </c>
    </row>
    <row r="128" spans="1:9" ht="15.75" x14ac:dyDescent="0.25">
      <c r="A128" s="8"/>
      <c r="B128" s="8"/>
      <c r="C128" s="9"/>
      <c r="D128" s="12" t="s">
        <v>124</v>
      </c>
      <c r="E128" s="14">
        <v>8918365.1999999993</v>
      </c>
      <c r="F128" s="14">
        <v>12510025.982546488</v>
      </c>
      <c r="G128" s="14">
        <v>11902140.300000001</v>
      </c>
      <c r="H128" s="14">
        <v>0</v>
      </c>
      <c r="I128" s="13">
        <f t="shared" si="1"/>
        <v>33330531.48254649</v>
      </c>
    </row>
    <row r="129" spans="1:9" ht="15.75" x14ac:dyDescent="0.25">
      <c r="A129" s="8"/>
      <c r="B129" s="8"/>
      <c r="C129" s="9"/>
      <c r="D129" s="12" t="s">
        <v>125</v>
      </c>
      <c r="E129" s="14">
        <v>2916480.35</v>
      </c>
      <c r="F129" s="14">
        <v>6054580.2270571897</v>
      </c>
      <c r="G129" s="14">
        <v>10541465.120000001</v>
      </c>
      <c r="H129" s="14">
        <v>0</v>
      </c>
      <c r="I129" s="13">
        <f t="shared" si="1"/>
        <v>19512525.697057191</v>
      </c>
    </row>
    <row r="130" spans="1:9" ht="15.75" x14ac:dyDescent="0.25">
      <c r="A130" s="8"/>
      <c r="B130" s="8"/>
      <c r="C130" s="9"/>
      <c r="D130" s="12" t="s">
        <v>126</v>
      </c>
      <c r="E130" s="14">
        <v>1312950.04</v>
      </c>
      <c r="F130" s="14">
        <v>10665672.038619306</v>
      </c>
      <c r="G130" s="14">
        <v>2016436.55</v>
      </c>
      <c r="H130" s="14">
        <v>0</v>
      </c>
      <c r="I130" s="13">
        <f t="shared" si="1"/>
        <v>13995058.628619306</v>
      </c>
    </row>
    <row r="131" spans="1:9" ht="15.75" x14ac:dyDescent="0.25">
      <c r="A131" s="8"/>
      <c r="B131" s="8"/>
      <c r="C131" s="9"/>
      <c r="D131" s="12" t="s">
        <v>127</v>
      </c>
      <c r="E131" s="14">
        <v>38341375.320000008</v>
      </c>
      <c r="F131" s="14">
        <v>58292097.776702166</v>
      </c>
      <c r="G131" s="14">
        <v>62583061.450000003</v>
      </c>
      <c r="H131" s="14">
        <v>0</v>
      </c>
      <c r="I131" s="13">
        <f t="shared" si="1"/>
        <v>159216534.54670218</v>
      </c>
    </row>
    <row r="132" spans="1:9" ht="15.75" x14ac:dyDescent="0.25">
      <c r="A132" s="8"/>
      <c r="B132" s="8"/>
      <c r="C132" s="9"/>
      <c r="D132" s="12" t="s">
        <v>128</v>
      </c>
      <c r="E132" s="14">
        <v>5940134.9799999995</v>
      </c>
      <c r="F132" s="14">
        <v>35766021.280445196</v>
      </c>
      <c r="G132" s="14">
        <v>898335.85999999987</v>
      </c>
      <c r="H132" s="14">
        <v>0</v>
      </c>
      <c r="I132" s="13">
        <f t="shared" si="1"/>
        <v>42604492.120445192</v>
      </c>
    </row>
    <row r="133" spans="1:9" ht="15.75" x14ac:dyDescent="0.25">
      <c r="A133" s="8"/>
      <c r="B133" s="8"/>
      <c r="C133" s="9"/>
      <c r="D133" s="12" t="s">
        <v>129</v>
      </c>
      <c r="E133" s="14">
        <v>2831190.9400000009</v>
      </c>
      <c r="F133" s="14">
        <v>0</v>
      </c>
      <c r="G133" s="14">
        <v>88542205.719999999</v>
      </c>
      <c r="H133" s="14">
        <v>319998461.16500008</v>
      </c>
      <c r="I133" s="13">
        <f t="shared" si="1"/>
        <v>411371857.82500005</v>
      </c>
    </row>
    <row r="134" spans="1:9" ht="15.75" x14ac:dyDescent="0.25">
      <c r="A134" s="8"/>
      <c r="B134" s="8"/>
      <c r="C134" s="9"/>
      <c r="D134" s="12" t="s">
        <v>130</v>
      </c>
      <c r="E134" s="14">
        <v>430042.33999999997</v>
      </c>
      <c r="F134" s="14">
        <v>1764263.6189384246</v>
      </c>
      <c r="G134" s="14">
        <v>72846.05</v>
      </c>
      <c r="H134" s="14">
        <v>0</v>
      </c>
      <c r="I134" s="13">
        <f t="shared" si="1"/>
        <v>2267152.0089384243</v>
      </c>
    </row>
    <row r="135" spans="1:9" ht="15.75" x14ac:dyDescent="0.25">
      <c r="A135" s="8"/>
      <c r="B135" s="8"/>
      <c r="C135" s="9"/>
      <c r="D135" s="12" t="s">
        <v>131</v>
      </c>
      <c r="E135" s="14">
        <v>5770311.2299999995</v>
      </c>
      <c r="F135" s="14">
        <v>22293669.687568657</v>
      </c>
      <c r="G135" s="14">
        <v>1516794.77</v>
      </c>
      <c r="H135" s="14">
        <v>0</v>
      </c>
      <c r="I135" s="13">
        <f t="shared" si="1"/>
        <v>29580775.687568657</v>
      </c>
    </row>
    <row r="136" spans="1:9" ht="15.75" x14ac:dyDescent="0.25">
      <c r="A136" s="8"/>
      <c r="B136" s="8"/>
      <c r="C136" s="9"/>
      <c r="D136" s="12" t="s">
        <v>132</v>
      </c>
      <c r="E136" s="14">
        <v>23478823.530000001</v>
      </c>
      <c r="F136" s="14">
        <v>26944703.185753074</v>
      </c>
      <c r="G136" s="14">
        <v>11988740.6</v>
      </c>
      <c r="H136" s="14">
        <v>0</v>
      </c>
      <c r="I136" s="13">
        <f t="shared" si="1"/>
        <v>62412267.31575308</v>
      </c>
    </row>
    <row r="137" spans="1:9" ht="15.75" x14ac:dyDescent="0.25">
      <c r="A137" s="8"/>
      <c r="B137" s="8"/>
      <c r="C137" s="9"/>
      <c r="D137" s="12" t="s">
        <v>133</v>
      </c>
      <c r="E137" s="14">
        <v>16473251.419999994</v>
      </c>
      <c r="F137" s="14">
        <v>42365712.401611924</v>
      </c>
      <c r="G137" s="14">
        <v>17186498.810000002</v>
      </c>
      <c r="H137" s="14">
        <v>0</v>
      </c>
      <c r="I137" s="13">
        <f t="shared" si="1"/>
        <v>76025462.631611913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51965198.560000002</v>
      </c>
      <c r="H138" s="14">
        <v>0</v>
      </c>
      <c r="I138" s="13">
        <f t="shared" ref="I138:I144" si="2">SUM(E138:H138)</f>
        <v>51965198.560000002</v>
      </c>
    </row>
    <row r="139" spans="1:9" ht="15.75" x14ac:dyDescent="0.25">
      <c r="A139" s="8"/>
      <c r="B139" s="8"/>
      <c r="C139" s="9"/>
      <c r="D139" s="12" t="s">
        <v>135</v>
      </c>
      <c r="E139" s="14">
        <v>11907422.990000002</v>
      </c>
      <c r="F139" s="14">
        <v>6343277.9101562053</v>
      </c>
      <c r="G139" s="14">
        <v>2335052.4</v>
      </c>
      <c r="H139" s="14">
        <v>0</v>
      </c>
      <c r="I139" s="13">
        <f t="shared" si="2"/>
        <v>20585753.300156206</v>
      </c>
    </row>
    <row r="140" spans="1:9" ht="15.75" x14ac:dyDescent="0.25">
      <c r="A140" s="8"/>
      <c r="B140" s="8"/>
      <c r="C140" s="9"/>
      <c r="D140" s="12" t="s">
        <v>136</v>
      </c>
      <c r="E140" s="14">
        <v>13215054.130000001</v>
      </c>
      <c r="F140" s="14">
        <v>44988204.903569423</v>
      </c>
      <c r="G140" s="14">
        <v>6134810.7000000002</v>
      </c>
      <c r="H140" s="14">
        <v>0</v>
      </c>
      <c r="I140" s="13">
        <f t="shared" si="2"/>
        <v>64338069.733569428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65801060.529999994</v>
      </c>
      <c r="H141" s="14">
        <v>36330005.479999997</v>
      </c>
      <c r="I141" s="13">
        <f t="shared" si="2"/>
        <v>102131066.00999999</v>
      </c>
    </row>
    <row r="142" spans="1:9" ht="15.75" x14ac:dyDescent="0.25">
      <c r="A142" s="8"/>
      <c r="B142" s="8"/>
      <c r="C142" s="9"/>
      <c r="D142" s="12" t="s">
        <v>138</v>
      </c>
      <c r="E142" s="14">
        <v>3074.3799999999997</v>
      </c>
      <c r="F142" s="14">
        <v>0</v>
      </c>
      <c r="G142" s="14">
        <v>8533800.6899999995</v>
      </c>
      <c r="H142" s="14">
        <v>0</v>
      </c>
      <c r="I142" s="13">
        <f t="shared" si="2"/>
        <v>8536875.0700000003</v>
      </c>
    </row>
    <row r="143" spans="1:9" ht="15.75" x14ac:dyDescent="0.25">
      <c r="A143" s="8"/>
      <c r="B143" s="8"/>
      <c r="C143" s="9"/>
      <c r="D143" s="12" t="s">
        <v>139</v>
      </c>
      <c r="E143" s="14">
        <v>1891099.6300000001</v>
      </c>
      <c r="F143" s="14">
        <v>41579916.629047796</v>
      </c>
      <c r="G143" s="14">
        <v>143126.63</v>
      </c>
      <c r="H143" s="14">
        <v>0</v>
      </c>
      <c r="I143" s="13">
        <f t="shared" si="2"/>
        <v>43614142.889047801</v>
      </c>
    </row>
    <row r="144" spans="1:9" ht="15.75" x14ac:dyDescent="0.25">
      <c r="A144" s="8"/>
      <c r="B144" s="8"/>
      <c r="C144" s="9"/>
      <c r="D144" s="12" t="s">
        <v>140</v>
      </c>
      <c r="E144" s="14">
        <v>24850349.120000001</v>
      </c>
      <c r="F144" s="14">
        <v>5052105.9783606818</v>
      </c>
      <c r="G144" s="14">
        <v>19600157.379999999</v>
      </c>
      <c r="H144" s="14">
        <v>0</v>
      </c>
      <c r="I144" s="13">
        <f t="shared" si="2"/>
        <v>49502612.478360683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1003174028.5600001</v>
      </c>
      <c r="F145" s="22">
        <f>SUM(F10:F144)</f>
        <v>2069421415.9607108</v>
      </c>
      <c r="G145" s="22">
        <f>SUM(G10:G144)</f>
        <v>2909662023.6700006</v>
      </c>
      <c r="H145" s="22">
        <f>SUM(H10:H144)</f>
        <v>1093666293.5600002</v>
      </c>
      <c r="I145" s="22">
        <f>SUM(I10:I144)</f>
        <v>7075923761.7507114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6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44AEAC"/>
    <pageSetUpPr fitToPage="1"/>
  </sheetPr>
  <dimension ref="A1:J145"/>
  <sheetViews>
    <sheetView showGridLines="0" tabSelected="1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4.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158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11342028.720000001</v>
      </c>
      <c r="F10" s="14">
        <v>29833608.030860361</v>
      </c>
      <c r="G10" s="14">
        <v>5075536.1499999994</v>
      </c>
      <c r="H10" s="14">
        <v>0</v>
      </c>
      <c r="I10" s="13">
        <f t="shared" ref="I10:I73" si="0">SUM(E10:H10)</f>
        <v>46251172.900860362</v>
      </c>
    </row>
    <row r="11" spans="1:9" ht="15.75" x14ac:dyDescent="0.25">
      <c r="A11" s="8"/>
      <c r="B11" s="8"/>
      <c r="C11" s="9"/>
      <c r="D11" s="12" t="s">
        <v>7</v>
      </c>
      <c r="E11" s="14">
        <v>10192969.26</v>
      </c>
      <c r="F11" s="14">
        <v>16744872.504431665</v>
      </c>
      <c r="G11" s="14">
        <v>3277471.7399999998</v>
      </c>
      <c r="H11" s="14">
        <v>0</v>
      </c>
      <c r="I11" s="13">
        <f t="shared" si="0"/>
        <v>30215313.504431661</v>
      </c>
    </row>
    <row r="12" spans="1:9" ht="15.75" x14ac:dyDescent="0.25">
      <c r="A12" s="8"/>
      <c r="B12" s="8"/>
      <c r="C12" s="9"/>
      <c r="D12" s="12" t="s">
        <v>8</v>
      </c>
      <c r="E12" s="14">
        <v>6006789.7699999996</v>
      </c>
      <c r="F12" s="14">
        <v>6070582.6974270362</v>
      </c>
      <c r="G12" s="14">
        <v>2528324.81</v>
      </c>
      <c r="H12" s="14">
        <v>0</v>
      </c>
      <c r="I12" s="13">
        <f t="shared" si="0"/>
        <v>14605697.277427036</v>
      </c>
    </row>
    <row r="13" spans="1:9" ht="15.75" x14ac:dyDescent="0.25">
      <c r="A13" s="8"/>
      <c r="B13" s="8"/>
      <c r="C13" s="9"/>
      <c r="D13" s="12" t="s">
        <v>9</v>
      </c>
      <c r="E13" s="14">
        <v>215647.19</v>
      </c>
      <c r="F13" s="14">
        <v>160530.17828979599</v>
      </c>
      <c r="G13" s="14">
        <v>65061078.080000006</v>
      </c>
      <c r="H13" s="14">
        <v>0</v>
      </c>
      <c r="I13" s="13">
        <f t="shared" si="0"/>
        <v>65437255.448289804</v>
      </c>
    </row>
    <row r="14" spans="1:9" ht="15.75" x14ac:dyDescent="0.25">
      <c r="A14" s="8"/>
      <c r="B14" s="8"/>
      <c r="C14" s="9"/>
      <c r="D14" s="12" t="s">
        <v>10</v>
      </c>
      <c r="E14" s="14">
        <v>7045945.9100000011</v>
      </c>
      <c r="F14" s="14">
        <v>6745030.4860765915</v>
      </c>
      <c r="G14" s="14">
        <v>5629181.1999999993</v>
      </c>
      <c r="H14" s="14">
        <v>0</v>
      </c>
      <c r="I14" s="13">
        <f t="shared" si="0"/>
        <v>19420157.596076593</v>
      </c>
    </row>
    <row r="15" spans="1:9" ht="15.75" x14ac:dyDescent="0.25">
      <c r="A15" s="8"/>
      <c r="B15" s="8"/>
      <c r="C15" s="9"/>
      <c r="D15" s="12" t="s">
        <v>11</v>
      </c>
      <c r="E15" s="14">
        <v>95151.66</v>
      </c>
      <c r="F15" s="14">
        <v>37438.621614918004</v>
      </c>
      <c r="G15" s="14">
        <v>56044757.649999999</v>
      </c>
      <c r="H15" s="14">
        <v>0</v>
      </c>
      <c r="I15" s="13">
        <f t="shared" si="0"/>
        <v>56177347.931614913</v>
      </c>
    </row>
    <row r="16" spans="1:9" ht="15.75" x14ac:dyDescent="0.25">
      <c r="A16" s="8"/>
      <c r="B16" s="8"/>
      <c r="C16" s="9"/>
      <c r="D16" s="12" t="s">
        <v>12</v>
      </c>
      <c r="E16" s="14">
        <v>14480880.640000002</v>
      </c>
      <c r="F16" s="14">
        <v>32162262.665329203</v>
      </c>
      <c r="G16" s="14">
        <v>4870974.05</v>
      </c>
      <c r="H16" s="14">
        <v>0</v>
      </c>
      <c r="I16" s="13">
        <f t="shared" si="0"/>
        <v>51514117.355329201</v>
      </c>
    </row>
    <row r="17" spans="1:9" ht="15.75" x14ac:dyDescent="0.25">
      <c r="A17" s="8"/>
      <c r="B17" s="8"/>
      <c r="C17" s="9"/>
      <c r="D17" s="12" t="s">
        <v>13</v>
      </c>
      <c r="E17" s="14">
        <v>16219534.179999998</v>
      </c>
      <c r="F17" s="14">
        <v>29549848.146000426</v>
      </c>
      <c r="G17" s="14">
        <v>13193551.85</v>
      </c>
      <c r="H17" s="14">
        <v>0</v>
      </c>
      <c r="I17" s="13">
        <f t="shared" si="0"/>
        <v>58962934.176000424</v>
      </c>
    </row>
    <row r="18" spans="1:9" ht="15.75" x14ac:dyDescent="0.25">
      <c r="A18" s="8"/>
      <c r="B18" s="8"/>
      <c r="C18" s="9"/>
      <c r="D18" s="12" t="s">
        <v>14</v>
      </c>
      <c r="E18" s="14">
        <v>2953686.89</v>
      </c>
      <c r="F18" s="14">
        <v>2408919.7236137465</v>
      </c>
      <c r="G18" s="14">
        <v>87183264.090000004</v>
      </c>
      <c r="H18" s="14">
        <v>0</v>
      </c>
      <c r="I18" s="13">
        <f t="shared" si="0"/>
        <v>92545870.703613758</v>
      </c>
    </row>
    <row r="19" spans="1:9" ht="15.75" x14ac:dyDescent="0.25">
      <c r="A19" s="8"/>
      <c r="B19" s="8"/>
      <c r="C19" s="9"/>
      <c r="D19" s="12" t="s">
        <v>15</v>
      </c>
      <c r="E19" s="14">
        <v>28048749.609999999</v>
      </c>
      <c r="F19" s="14">
        <v>22992148.917893682</v>
      </c>
      <c r="G19" s="14">
        <v>11273656.459999999</v>
      </c>
      <c r="H19" s="14">
        <v>0</v>
      </c>
      <c r="I19" s="13">
        <f t="shared" si="0"/>
        <v>62314554.987893678</v>
      </c>
    </row>
    <row r="20" spans="1:9" ht="15.75" x14ac:dyDescent="0.25">
      <c r="A20" s="8"/>
      <c r="B20" s="8"/>
      <c r="C20" s="9"/>
      <c r="D20" s="12" t="s">
        <v>16</v>
      </c>
      <c r="E20" s="14">
        <v>12254167.489999998</v>
      </c>
      <c r="F20" s="14">
        <v>5722583.1112721339</v>
      </c>
      <c r="G20" s="14">
        <v>6548008.7500000009</v>
      </c>
      <c r="H20" s="14">
        <v>0</v>
      </c>
      <c r="I20" s="13">
        <f t="shared" si="0"/>
        <v>24524759.351272132</v>
      </c>
    </row>
    <row r="21" spans="1:9" ht="15.75" x14ac:dyDescent="0.25">
      <c r="A21" s="8"/>
      <c r="B21" s="8"/>
      <c r="C21" s="9"/>
      <c r="D21" s="12" t="s">
        <v>17</v>
      </c>
      <c r="E21" s="14">
        <v>18319557.379999999</v>
      </c>
      <c r="F21" s="14">
        <v>27504953.396391511</v>
      </c>
      <c r="G21" s="14">
        <v>3656943.4599999995</v>
      </c>
      <c r="H21" s="14">
        <v>0</v>
      </c>
      <c r="I21" s="13">
        <f t="shared" si="0"/>
        <v>49481454.236391507</v>
      </c>
    </row>
    <row r="22" spans="1:9" ht="15.75" x14ac:dyDescent="0.25">
      <c r="A22" s="8"/>
      <c r="B22" s="8"/>
      <c r="C22" s="9"/>
      <c r="D22" s="12" t="s">
        <v>18</v>
      </c>
      <c r="E22" s="14">
        <v>996578.22</v>
      </c>
      <c r="F22" s="14">
        <v>1177727.8570744502</v>
      </c>
      <c r="G22" s="14">
        <v>41023746.930000007</v>
      </c>
      <c r="H22" s="14">
        <v>0</v>
      </c>
      <c r="I22" s="13">
        <f t="shared" si="0"/>
        <v>43198053.00707446</v>
      </c>
    </row>
    <row r="23" spans="1:9" ht="15.75" x14ac:dyDescent="0.25">
      <c r="A23" s="8"/>
      <c r="B23" s="8"/>
      <c r="C23" s="9"/>
      <c r="D23" s="12" t="s">
        <v>19</v>
      </c>
      <c r="E23" s="14">
        <v>971331.34000000008</v>
      </c>
      <c r="F23" s="14">
        <v>438902.21723466599</v>
      </c>
      <c r="G23" s="14">
        <v>15372923.16</v>
      </c>
      <c r="H23" s="14">
        <v>0</v>
      </c>
      <c r="I23" s="13">
        <f t="shared" si="0"/>
        <v>16783156.717234667</v>
      </c>
    </row>
    <row r="24" spans="1:9" ht="15.75" x14ac:dyDescent="0.25">
      <c r="A24" s="8"/>
      <c r="B24" s="8"/>
      <c r="C24" s="9"/>
      <c r="D24" s="12" t="s">
        <v>20</v>
      </c>
      <c r="E24" s="14">
        <v>11037632.680000002</v>
      </c>
      <c r="F24" s="14">
        <v>16868102.211001802</v>
      </c>
      <c r="G24" s="14">
        <v>7638074.6600000001</v>
      </c>
      <c r="H24" s="14">
        <v>0</v>
      </c>
      <c r="I24" s="13">
        <f t="shared" si="0"/>
        <v>35543809.551001802</v>
      </c>
    </row>
    <row r="25" spans="1:9" ht="15.75" x14ac:dyDescent="0.25">
      <c r="A25" s="8"/>
      <c r="B25" s="8"/>
      <c r="C25" s="9"/>
      <c r="D25" s="12" t="s">
        <v>21</v>
      </c>
      <c r="E25" s="14">
        <v>7253578.1599999992</v>
      </c>
      <c r="F25" s="14">
        <v>12526603.602623893</v>
      </c>
      <c r="G25" s="14">
        <v>8572936.8900000006</v>
      </c>
      <c r="H25" s="14">
        <v>0</v>
      </c>
      <c r="I25" s="13">
        <f t="shared" si="0"/>
        <v>28353118.652623892</v>
      </c>
    </row>
    <row r="26" spans="1:9" ht="15.75" x14ac:dyDescent="0.25">
      <c r="A26" s="8"/>
      <c r="B26" s="8"/>
      <c r="C26" s="9"/>
      <c r="D26" s="12" t="s">
        <v>22</v>
      </c>
      <c r="E26" s="14">
        <v>8608766.4999999981</v>
      </c>
      <c r="F26" s="14">
        <v>7173295.1613763925</v>
      </c>
      <c r="G26" s="14">
        <v>11453669.759999998</v>
      </c>
      <c r="H26" s="14">
        <v>0</v>
      </c>
      <c r="I26" s="13">
        <f t="shared" si="0"/>
        <v>27235731.421376389</v>
      </c>
    </row>
    <row r="27" spans="1:9" ht="15.75" x14ac:dyDescent="0.25">
      <c r="A27" s="8"/>
      <c r="B27" s="8"/>
      <c r="C27" s="9"/>
      <c r="D27" s="12" t="s">
        <v>23</v>
      </c>
      <c r="E27" s="14">
        <v>3235022.61</v>
      </c>
      <c r="F27" s="14">
        <v>1231191.8665392962</v>
      </c>
      <c r="G27" s="14">
        <v>19610402.400000002</v>
      </c>
      <c r="H27" s="14">
        <v>0</v>
      </c>
      <c r="I27" s="13">
        <f t="shared" si="0"/>
        <v>24076616.876539297</v>
      </c>
    </row>
    <row r="28" spans="1:9" ht="15.75" x14ac:dyDescent="0.25">
      <c r="A28" s="8"/>
      <c r="B28" s="8"/>
      <c r="C28" s="9"/>
      <c r="D28" s="12" t="s">
        <v>24</v>
      </c>
      <c r="E28" s="14">
        <v>6727057.8600000013</v>
      </c>
      <c r="F28" s="14">
        <v>5835037.1260121465</v>
      </c>
      <c r="G28" s="14">
        <v>8966585.0199999996</v>
      </c>
      <c r="H28" s="14">
        <v>0</v>
      </c>
      <c r="I28" s="13">
        <f t="shared" si="0"/>
        <v>21528680.006012149</v>
      </c>
    </row>
    <row r="29" spans="1:9" ht="15.75" x14ac:dyDescent="0.25">
      <c r="A29" s="8"/>
      <c r="B29" s="8"/>
      <c r="C29" s="9"/>
      <c r="D29" s="12" t="s">
        <v>25</v>
      </c>
      <c r="E29" s="14">
        <v>4622733.6199999992</v>
      </c>
      <c r="F29" s="14">
        <v>3265449.0742133465</v>
      </c>
      <c r="G29" s="14">
        <v>2683697.81</v>
      </c>
      <c r="H29" s="14">
        <v>0</v>
      </c>
      <c r="I29" s="13">
        <f t="shared" si="0"/>
        <v>10571880.504213346</v>
      </c>
    </row>
    <row r="30" spans="1:9" ht="15.75" x14ac:dyDescent="0.25">
      <c r="A30" s="8"/>
      <c r="B30" s="8"/>
      <c r="C30" s="9"/>
      <c r="D30" s="12" t="s">
        <v>26</v>
      </c>
      <c r="E30" s="14">
        <v>16615714.859999999</v>
      </c>
      <c r="F30" s="14">
        <v>17612177.546861392</v>
      </c>
      <c r="G30" s="14">
        <v>5674142.7799999993</v>
      </c>
      <c r="H30" s="14">
        <v>0</v>
      </c>
      <c r="I30" s="13">
        <f t="shared" si="0"/>
        <v>39902035.186861396</v>
      </c>
    </row>
    <row r="31" spans="1:9" ht="15.75" x14ac:dyDescent="0.25">
      <c r="A31" s="8"/>
      <c r="B31" s="8"/>
      <c r="C31" s="9"/>
      <c r="D31" s="12" t="s">
        <v>27</v>
      </c>
      <c r="E31" s="14">
        <v>9695970.8000000007</v>
      </c>
      <c r="F31" s="14">
        <v>18254574.559811089</v>
      </c>
      <c r="G31" s="14">
        <v>3157342.85</v>
      </c>
      <c r="H31" s="14">
        <v>0</v>
      </c>
      <c r="I31" s="13">
        <f t="shared" si="0"/>
        <v>31107888.209811091</v>
      </c>
    </row>
    <row r="32" spans="1:9" ht="15.75" x14ac:dyDescent="0.25">
      <c r="A32" s="8"/>
      <c r="B32" s="8"/>
      <c r="C32" s="9"/>
      <c r="D32" s="12" t="s">
        <v>28</v>
      </c>
      <c r="E32" s="14">
        <v>7748211.7700000005</v>
      </c>
      <c r="F32" s="14">
        <v>6161623.4784020586</v>
      </c>
      <c r="G32" s="14">
        <v>2643756.2799999998</v>
      </c>
      <c r="H32" s="14">
        <v>0</v>
      </c>
      <c r="I32" s="13">
        <f t="shared" si="0"/>
        <v>16553591.528402058</v>
      </c>
    </row>
    <row r="33" spans="1:9" ht="15.75" x14ac:dyDescent="0.25">
      <c r="A33" s="8"/>
      <c r="B33" s="8"/>
      <c r="C33" s="9"/>
      <c r="D33" s="12" t="s">
        <v>29</v>
      </c>
      <c r="E33" s="14">
        <v>12875334.710000001</v>
      </c>
      <c r="F33" s="14">
        <v>9314618.5378753915</v>
      </c>
      <c r="G33" s="14">
        <v>2604027.9799999995</v>
      </c>
      <c r="H33" s="14">
        <v>0</v>
      </c>
      <c r="I33" s="13">
        <f t="shared" si="0"/>
        <v>24793981.227875393</v>
      </c>
    </row>
    <row r="34" spans="1:9" ht="15.75" x14ac:dyDescent="0.25">
      <c r="A34" s="8"/>
      <c r="B34" s="8"/>
      <c r="C34" s="9"/>
      <c r="D34" s="12" t="s">
        <v>30</v>
      </c>
      <c r="E34" s="14">
        <v>19723639.779999997</v>
      </c>
      <c r="F34" s="14">
        <v>13366969.415478308</v>
      </c>
      <c r="G34" s="14">
        <v>10805138.939999999</v>
      </c>
      <c r="H34" s="14">
        <v>0</v>
      </c>
      <c r="I34" s="13">
        <f t="shared" si="0"/>
        <v>43895748.135478303</v>
      </c>
    </row>
    <row r="35" spans="1:9" ht="15.75" x14ac:dyDescent="0.25">
      <c r="A35" s="8"/>
      <c r="B35" s="8"/>
      <c r="C35" s="9"/>
      <c r="D35" s="12" t="s">
        <v>31</v>
      </c>
      <c r="E35" s="14">
        <v>10877319.640000001</v>
      </c>
      <c r="F35" s="14">
        <v>19651684.450555243</v>
      </c>
      <c r="G35" s="14">
        <v>9536093.0899999999</v>
      </c>
      <c r="H35" s="14">
        <v>0</v>
      </c>
      <c r="I35" s="13">
        <f t="shared" si="0"/>
        <v>40065097.180555239</v>
      </c>
    </row>
    <row r="36" spans="1:9" ht="15.75" x14ac:dyDescent="0.25">
      <c r="A36" s="8"/>
      <c r="B36" s="8"/>
      <c r="C36" s="9"/>
      <c r="D36" s="12" t="s">
        <v>32</v>
      </c>
      <c r="E36" s="14">
        <v>8378201.419999999</v>
      </c>
      <c r="F36" s="14">
        <v>12194629.404318918</v>
      </c>
      <c r="G36" s="14">
        <v>14237285.640000002</v>
      </c>
      <c r="H36" s="14">
        <v>0</v>
      </c>
      <c r="I36" s="13">
        <f t="shared" si="0"/>
        <v>34810116.464318916</v>
      </c>
    </row>
    <row r="37" spans="1:9" ht="15.75" x14ac:dyDescent="0.25">
      <c r="A37" s="8"/>
      <c r="B37" s="8"/>
      <c r="C37" s="9"/>
      <c r="D37" s="12" t="s">
        <v>33</v>
      </c>
      <c r="E37" s="14">
        <v>15848445.230000004</v>
      </c>
      <c r="F37" s="14">
        <v>6745030.4860765915</v>
      </c>
      <c r="G37" s="14">
        <v>5134579.4700000016</v>
      </c>
      <c r="H37" s="14">
        <v>0</v>
      </c>
      <c r="I37" s="13">
        <f t="shared" si="0"/>
        <v>27728055.1860766</v>
      </c>
    </row>
    <row r="38" spans="1:9" ht="15.75" x14ac:dyDescent="0.25">
      <c r="A38" s="8"/>
      <c r="B38" s="8"/>
      <c r="C38" s="9"/>
      <c r="D38" s="12" t="s">
        <v>34</v>
      </c>
      <c r="E38" s="14">
        <v>3658591.41</v>
      </c>
      <c r="F38" s="14">
        <v>14657151.287292767</v>
      </c>
      <c r="G38" s="14">
        <v>5833227.9899999993</v>
      </c>
      <c r="H38" s="14">
        <v>0</v>
      </c>
      <c r="I38" s="13">
        <f t="shared" si="0"/>
        <v>24148970.687292766</v>
      </c>
    </row>
    <row r="39" spans="1:9" ht="15.75" x14ac:dyDescent="0.25">
      <c r="A39" s="8"/>
      <c r="B39" s="8"/>
      <c r="C39" s="9"/>
      <c r="D39" s="12" t="s">
        <v>35</v>
      </c>
      <c r="E39" s="14">
        <v>3358929.37</v>
      </c>
      <c r="F39" s="14">
        <v>22949322.450363703</v>
      </c>
      <c r="G39" s="14">
        <v>3950177.9499999997</v>
      </c>
      <c r="H39" s="14">
        <v>0</v>
      </c>
      <c r="I39" s="13">
        <f t="shared" si="0"/>
        <v>30258429.770363703</v>
      </c>
    </row>
    <row r="40" spans="1:9" ht="15.75" x14ac:dyDescent="0.25">
      <c r="A40" s="8"/>
      <c r="B40" s="8"/>
      <c r="C40" s="9"/>
      <c r="D40" s="12" t="s">
        <v>36</v>
      </c>
      <c r="E40" s="14">
        <v>5522668.379999999</v>
      </c>
      <c r="F40" s="14">
        <v>1204528.9367545021</v>
      </c>
      <c r="G40" s="14">
        <v>4671435.1199999992</v>
      </c>
      <c r="H40" s="14">
        <v>0</v>
      </c>
      <c r="I40" s="13">
        <f t="shared" si="0"/>
        <v>11398632.4367545</v>
      </c>
    </row>
    <row r="41" spans="1:9" ht="15.75" x14ac:dyDescent="0.25">
      <c r="A41" s="8"/>
      <c r="B41" s="8"/>
      <c r="C41" s="9"/>
      <c r="D41" s="12" t="s">
        <v>37</v>
      </c>
      <c r="E41" s="14">
        <v>20692959.459999993</v>
      </c>
      <c r="F41" s="14">
        <v>20128163.439300083</v>
      </c>
      <c r="G41" s="14">
        <v>9953455.0500000007</v>
      </c>
      <c r="H41" s="14">
        <v>0</v>
      </c>
      <c r="I41" s="13">
        <f t="shared" si="0"/>
        <v>50774577.949300081</v>
      </c>
    </row>
    <row r="42" spans="1:9" ht="15.75" x14ac:dyDescent="0.25">
      <c r="A42" s="8"/>
      <c r="B42" s="8"/>
      <c r="C42" s="9"/>
      <c r="D42" s="12" t="s">
        <v>38</v>
      </c>
      <c r="E42" s="14">
        <v>12562810.780000001</v>
      </c>
      <c r="F42" s="14">
        <v>21798395.672969304</v>
      </c>
      <c r="G42" s="14">
        <v>3459804.5100000002</v>
      </c>
      <c r="H42" s="14">
        <v>0</v>
      </c>
      <c r="I42" s="13">
        <f t="shared" si="0"/>
        <v>37821010.962969303</v>
      </c>
    </row>
    <row r="43" spans="1:9" ht="15.75" x14ac:dyDescent="0.25">
      <c r="A43" s="8"/>
      <c r="B43" s="8"/>
      <c r="C43" s="9"/>
      <c r="D43" s="12" t="s">
        <v>39</v>
      </c>
      <c r="E43" s="14">
        <v>1806185.5</v>
      </c>
      <c r="F43" s="14">
        <v>7928146.1890661046</v>
      </c>
      <c r="G43" s="14">
        <v>6514073.29</v>
      </c>
      <c r="H43" s="14">
        <v>0</v>
      </c>
      <c r="I43" s="13">
        <f t="shared" si="0"/>
        <v>16248404.979066104</v>
      </c>
    </row>
    <row r="44" spans="1:9" ht="15.75" x14ac:dyDescent="0.25">
      <c r="A44" s="8"/>
      <c r="B44" s="8"/>
      <c r="C44" s="9"/>
      <c r="D44" s="12" t="s">
        <v>40</v>
      </c>
      <c r="E44" s="14">
        <v>21221.38</v>
      </c>
      <c r="F44" s="14">
        <v>610208.08735458599</v>
      </c>
      <c r="G44" s="14">
        <v>9970087.5600000005</v>
      </c>
      <c r="H44" s="14">
        <v>0</v>
      </c>
      <c r="I44" s="13">
        <f t="shared" si="0"/>
        <v>10601517.027354587</v>
      </c>
    </row>
    <row r="45" spans="1:9" ht="15.75" x14ac:dyDescent="0.25">
      <c r="A45" s="8"/>
      <c r="B45" s="8"/>
      <c r="C45" s="9"/>
      <c r="D45" s="12" t="s">
        <v>41</v>
      </c>
      <c r="E45" s="14">
        <v>15979124.419999998</v>
      </c>
      <c r="F45" s="14">
        <v>176693.716034982</v>
      </c>
      <c r="G45" s="14">
        <v>31146841.399999999</v>
      </c>
      <c r="H45" s="14">
        <v>0</v>
      </c>
      <c r="I45" s="13">
        <f t="shared" si="0"/>
        <v>47302659.536034979</v>
      </c>
    </row>
    <row r="46" spans="1:9" ht="15.75" x14ac:dyDescent="0.25">
      <c r="A46" s="8"/>
      <c r="B46" s="8"/>
      <c r="C46" s="9"/>
      <c r="D46" s="12" t="s">
        <v>42</v>
      </c>
      <c r="E46" s="14">
        <v>75665.149999999994</v>
      </c>
      <c r="F46" s="14">
        <v>588794.85358959599</v>
      </c>
      <c r="G46" s="14">
        <v>47298790.119999997</v>
      </c>
      <c r="H46" s="14">
        <v>0</v>
      </c>
      <c r="I46" s="13">
        <f t="shared" si="0"/>
        <v>47963250.12358959</v>
      </c>
    </row>
    <row r="47" spans="1:9" ht="15.75" x14ac:dyDescent="0.25">
      <c r="A47" s="8"/>
      <c r="B47" s="8"/>
      <c r="C47" s="9"/>
      <c r="D47" s="12" t="s">
        <v>43</v>
      </c>
      <c r="E47" s="14">
        <v>4213422.0200000005</v>
      </c>
      <c r="F47" s="14">
        <v>3736540.217043126</v>
      </c>
      <c r="G47" s="14">
        <v>5569966.6699999999</v>
      </c>
      <c r="H47" s="14">
        <v>0</v>
      </c>
      <c r="I47" s="13">
        <f t="shared" si="0"/>
        <v>13519928.907043125</v>
      </c>
    </row>
    <row r="48" spans="1:9" ht="15.75" x14ac:dyDescent="0.25">
      <c r="A48" s="8"/>
      <c r="B48" s="8"/>
      <c r="C48" s="9"/>
      <c r="D48" s="12" t="s">
        <v>44</v>
      </c>
      <c r="E48" s="14">
        <v>766234.43</v>
      </c>
      <c r="F48" s="14">
        <v>588794.85358959599</v>
      </c>
      <c r="G48" s="14">
        <v>21898015.539999999</v>
      </c>
      <c r="H48" s="14">
        <v>0</v>
      </c>
      <c r="I48" s="13">
        <f t="shared" si="0"/>
        <v>23253044.823589593</v>
      </c>
    </row>
    <row r="49" spans="1:9" ht="15.75" x14ac:dyDescent="0.25">
      <c r="A49" s="8"/>
      <c r="B49" s="8"/>
      <c r="C49" s="9"/>
      <c r="D49" s="12" t="s">
        <v>45</v>
      </c>
      <c r="E49" s="14">
        <v>254286.74000000002</v>
      </c>
      <c r="F49" s="14">
        <v>701248.868329608</v>
      </c>
      <c r="G49" s="14">
        <v>36679987.100000001</v>
      </c>
      <c r="H49" s="14">
        <v>0</v>
      </c>
      <c r="I49" s="13">
        <f t="shared" si="0"/>
        <v>37635522.708329611</v>
      </c>
    </row>
    <row r="50" spans="1:9" ht="15.75" x14ac:dyDescent="0.25">
      <c r="A50" s="8"/>
      <c r="B50" s="8"/>
      <c r="C50" s="9"/>
      <c r="D50" s="12" t="s">
        <v>46</v>
      </c>
      <c r="E50" s="14">
        <v>5198635.0299999993</v>
      </c>
      <c r="F50" s="14">
        <v>6777219.4116717055</v>
      </c>
      <c r="G50" s="14">
        <v>1905810.8</v>
      </c>
      <c r="H50" s="14">
        <v>0</v>
      </c>
      <c r="I50" s="13">
        <f t="shared" si="0"/>
        <v>13881665.241671706</v>
      </c>
    </row>
    <row r="51" spans="1:9" ht="15.75" x14ac:dyDescent="0.25">
      <c r="A51" s="8"/>
      <c r="B51" s="8"/>
      <c r="C51" s="9"/>
      <c r="D51" s="12" t="s">
        <v>47</v>
      </c>
      <c r="E51" s="14">
        <v>13943554.18</v>
      </c>
      <c r="F51" s="14">
        <v>12323108.806908857</v>
      </c>
      <c r="G51" s="14">
        <v>7251704.6299999999</v>
      </c>
      <c r="H51" s="14">
        <v>0</v>
      </c>
      <c r="I51" s="13">
        <f t="shared" si="0"/>
        <v>33518367.616908856</v>
      </c>
    </row>
    <row r="52" spans="1:9" ht="15.75" x14ac:dyDescent="0.25">
      <c r="A52" s="8"/>
      <c r="B52" s="8"/>
      <c r="C52" s="9"/>
      <c r="D52" s="12" t="s">
        <v>48</v>
      </c>
      <c r="E52" s="14">
        <v>6053241.9800000004</v>
      </c>
      <c r="F52" s="14">
        <v>12419537.433798943</v>
      </c>
      <c r="G52" s="14">
        <v>2922246.33</v>
      </c>
      <c r="H52" s="14">
        <v>0</v>
      </c>
      <c r="I52" s="13">
        <f t="shared" si="0"/>
        <v>21395025.743798941</v>
      </c>
    </row>
    <row r="53" spans="1:9" ht="15.75" x14ac:dyDescent="0.25">
      <c r="A53" s="8"/>
      <c r="B53" s="8"/>
      <c r="C53" s="9"/>
      <c r="D53" s="12" t="s">
        <v>49</v>
      </c>
      <c r="E53" s="14">
        <v>5983556.7100000009</v>
      </c>
      <c r="F53" s="14">
        <v>8511691.3466358967</v>
      </c>
      <c r="G53" s="14">
        <v>3801896.3600000003</v>
      </c>
      <c r="H53" s="14">
        <v>0</v>
      </c>
      <c r="I53" s="13">
        <f t="shared" si="0"/>
        <v>18297144.416635897</v>
      </c>
    </row>
    <row r="54" spans="1:9" ht="15.75" x14ac:dyDescent="0.25">
      <c r="A54" s="8"/>
      <c r="B54" s="8"/>
      <c r="C54" s="9"/>
      <c r="D54" s="12" t="s">
        <v>50</v>
      </c>
      <c r="E54" s="14">
        <v>14329824.23</v>
      </c>
      <c r="F54" s="14">
        <v>7815692.1743260929</v>
      </c>
      <c r="G54" s="14">
        <v>4477581.9700000007</v>
      </c>
      <c r="H54" s="14">
        <v>0</v>
      </c>
      <c r="I54" s="13">
        <f t="shared" si="0"/>
        <v>26623098.374326095</v>
      </c>
    </row>
    <row r="55" spans="1:9" ht="15.75" x14ac:dyDescent="0.25">
      <c r="A55" s="8"/>
      <c r="B55" s="8"/>
      <c r="C55" s="9"/>
      <c r="D55" s="12" t="s">
        <v>51</v>
      </c>
      <c r="E55" s="14">
        <v>2970404.6399999997</v>
      </c>
      <c r="F55" s="14">
        <v>16006185.014487136</v>
      </c>
      <c r="G55" s="14">
        <v>406125.27</v>
      </c>
      <c r="H55" s="14">
        <v>0</v>
      </c>
      <c r="I55" s="13">
        <f t="shared" si="0"/>
        <v>19382714.924487136</v>
      </c>
    </row>
    <row r="56" spans="1:9" ht="15.75" x14ac:dyDescent="0.25">
      <c r="A56" s="8"/>
      <c r="B56" s="8"/>
      <c r="C56" s="9"/>
      <c r="D56" s="12" t="s">
        <v>52</v>
      </c>
      <c r="E56" s="14">
        <v>3893726.9899999998</v>
      </c>
      <c r="F56" s="14">
        <v>17815534.192681164</v>
      </c>
      <c r="G56" s="14">
        <v>3942604.06</v>
      </c>
      <c r="H56" s="14">
        <v>0</v>
      </c>
      <c r="I56" s="13">
        <f t="shared" si="0"/>
        <v>25651865.242681161</v>
      </c>
    </row>
    <row r="57" spans="1:9" ht="15.75" x14ac:dyDescent="0.25">
      <c r="A57" s="8"/>
      <c r="B57" s="8"/>
      <c r="C57" s="9"/>
      <c r="D57" s="12" t="s">
        <v>53</v>
      </c>
      <c r="E57" s="14">
        <v>2971004.8699999996</v>
      </c>
      <c r="F57" s="14">
        <v>5888501.1354769915</v>
      </c>
      <c r="G57" s="14">
        <v>2744779.8</v>
      </c>
      <c r="H57" s="14">
        <v>0</v>
      </c>
      <c r="I57" s="13">
        <f t="shared" si="0"/>
        <v>11604285.80547699</v>
      </c>
    </row>
    <row r="58" spans="1:9" ht="15.75" x14ac:dyDescent="0.25">
      <c r="A58" s="8"/>
      <c r="B58" s="8"/>
      <c r="C58" s="9"/>
      <c r="D58" s="12" t="s">
        <v>54</v>
      </c>
      <c r="E58" s="14">
        <v>2615438.4699999997</v>
      </c>
      <c r="F58" s="14">
        <v>6338179.0445417818</v>
      </c>
      <c r="G58" s="14">
        <v>399189.8</v>
      </c>
      <c r="H58" s="14">
        <v>0</v>
      </c>
      <c r="I58" s="13">
        <f t="shared" si="0"/>
        <v>9352807.3145417832</v>
      </c>
    </row>
    <row r="59" spans="1:9" ht="15.75" x14ac:dyDescent="0.25">
      <c r="A59" s="8"/>
      <c r="B59" s="8"/>
      <c r="C59" s="9"/>
      <c r="D59" s="12" t="s">
        <v>55</v>
      </c>
      <c r="E59" s="14">
        <v>3370333.7399999998</v>
      </c>
      <c r="F59" s="14">
        <v>10706478.732599743</v>
      </c>
      <c r="G59" s="14">
        <v>4113234.1199999992</v>
      </c>
      <c r="H59" s="14">
        <v>0</v>
      </c>
      <c r="I59" s="13">
        <f t="shared" si="0"/>
        <v>18190046.592599742</v>
      </c>
    </row>
    <row r="60" spans="1:9" ht="15.75" x14ac:dyDescent="0.25">
      <c r="A60" s="8"/>
      <c r="B60" s="8"/>
      <c r="C60" s="9"/>
      <c r="D60" s="12" t="s">
        <v>56</v>
      </c>
      <c r="E60" s="14">
        <v>2528107.7799999993</v>
      </c>
      <c r="F60" s="14">
        <v>6477434.138961846</v>
      </c>
      <c r="G60" s="14">
        <v>2685361.57</v>
      </c>
      <c r="H60" s="14">
        <v>0</v>
      </c>
      <c r="I60" s="13">
        <f t="shared" si="0"/>
        <v>11690903.488961846</v>
      </c>
    </row>
    <row r="61" spans="1:9" ht="15.75" x14ac:dyDescent="0.25">
      <c r="A61" s="8"/>
      <c r="B61" s="8"/>
      <c r="C61" s="9"/>
      <c r="D61" s="12" t="s">
        <v>57</v>
      </c>
      <c r="E61" s="14">
        <v>7815583.6999999993</v>
      </c>
      <c r="F61" s="14">
        <v>10867008.91088954</v>
      </c>
      <c r="G61" s="14">
        <v>2778697.8100000005</v>
      </c>
      <c r="H61" s="14">
        <v>0</v>
      </c>
      <c r="I61" s="13">
        <f t="shared" si="0"/>
        <v>21461290.420889542</v>
      </c>
    </row>
    <row r="62" spans="1:9" ht="15.75" x14ac:dyDescent="0.25">
      <c r="A62" s="8"/>
      <c r="B62" s="8"/>
      <c r="C62" s="9"/>
      <c r="D62" s="12" t="s">
        <v>58</v>
      </c>
      <c r="E62" s="14">
        <v>8990165.2699999996</v>
      </c>
      <c r="F62" s="14">
        <v>12125140.007004146</v>
      </c>
      <c r="G62" s="14">
        <v>178045485.61000004</v>
      </c>
      <c r="H62" s="14">
        <v>0</v>
      </c>
      <c r="I62" s="13">
        <f t="shared" si="0"/>
        <v>199160790.8870042</v>
      </c>
    </row>
    <row r="63" spans="1:9" ht="15.75" x14ac:dyDescent="0.25">
      <c r="A63" s="8"/>
      <c r="B63" s="8"/>
      <c r="C63" s="9"/>
      <c r="D63" s="12" t="s">
        <v>59</v>
      </c>
      <c r="E63" s="14">
        <v>2544487.15</v>
      </c>
      <c r="F63" s="14">
        <v>1338258.035364246</v>
      </c>
      <c r="G63" s="14">
        <v>13777496.180000002</v>
      </c>
      <c r="H63" s="14">
        <v>0</v>
      </c>
      <c r="I63" s="13">
        <f t="shared" si="0"/>
        <v>17660241.365364246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84544298.959999979</v>
      </c>
      <c r="H64" s="14">
        <v>0</v>
      </c>
      <c r="I64" s="13">
        <f t="shared" si="0"/>
        <v>84544298.959999979</v>
      </c>
    </row>
    <row r="65" spans="1:9" ht="15.75" x14ac:dyDescent="0.25">
      <c r="A65" s="8"/>
      <c r="B65" s="8"/>
      <c r="C65" s="9"/>
      <c r="D65" s="12" t="s">
        <v>61</v>
      </c>
      <c r="E65" s="14">
        <v>11737431.449999999</v>
      </c>
      <c r="F65" s="14">
        <v>15845516.686302086</v>
      </c>
      <c r="G65" s="14">
        <v>3056454.6</v>
      </c>
      <c r="H65" s="14">
        <v>0</v>
      </c>
      <c r="I65" s="13">
        <f t="shared" si="0"/>
        <v>30639402.736302085</v>
      </c>
    </row>
    <row r="66" spans="1:9" ht="15.75" x14ac:dyDescent="0.25">
      <c r="A66" s="8"/>
      <c r="B66" s="8"/>
      <c r="C66" s="9"/>
      <c r="D66" s="12" t="s">
        <v>62</v>
      </c>
      <c r="E66" s="14">
        <v>33631982.540000007</v>
      </c>
      <c r="F66" s="14">
        <v>31503840.264529578</v>
      </c>
      <c r="G66" s="14">
        <v>6337208.1100000013</v>
      </c>
      <c r="H66" s="14">
        <v>0</v>
      </c>
      <c r="I66" s="13">
        <f t="shared" si="0"/>
        <v>71473030.914529592</v>
      </c>
    </row>
    <row r="67" spans="1:9" ht="15.75" x14ac:dyDescent="0.25">
      <c r="A67" s="8"/>
      <c r="B67" s="8"/>
      <c r="C67" s="9"/>
      <c r="D67" s="12" t="s">
        <v>63</v>
      </c>
      <c r="E67" s="14">
        <v>20379905.859999999</v>
      </c>
      <c r="F67" s="14">
        <v>14560860.810297942</v>
      </c>
      <c r="G67" s="14">
        <v>2252682.34</v>
      </c>
      <c r="H67" s="14">
        <v>0</v>
      </c>
      <c r="I67" s="13">
        <f t="shared" si="0"/>
        <v>37193449.010297939</v>
      </c>
    </row>
    <row r="68" spans="1:9" ht="15.75" x14ac:dyDescent="0.25">
      <c r="A68" s="8"/>
      <c r="B68" s="8"/>
      <c r="C68" s="9"/>
      <c r="D68" s="12" t="s">
        <v>64</v>
      </c>
      <c r="E68" s="14">
        <v>9029802.9700000007</v>
      </c>
      <c r="F68" s="14">
        <v>6156235.6324869962</v>
      </c>
      <c r="G68" s="14">
        <v>962021.19999999984</v>
      </c>
      <c r="H68" s="14">
        <v>0</v>
      </c>
      <c r="I68" s="13">
        <f t="shared" si="0"/>
        <v>16148059.802486997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27190292.780000001</v>
      </c>
      <c r="H69" s="14">
        <v>0</v>
      </c>
      <c r="I69" s="13">
        <f t="shared" si="0"/>
        <v>27190292.780000001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33732297.57</v>
      </c>
      <c r="H70" s="14">
        <v>0</v>
      </c>
      <c r="I70" s="13">
        <f t="shared" si="0"/>
        <v>33732297.57</v>
      </c>
    </row>
    <row r="71" spans="1:9" ht="15.75" x14ac:dyDescent="0.25">
      <c r="A71" s="8"/>
      <c r="B71" s="8"/>
      <c r="C71" s="9"/>
      <c r="D71" s="12" t="s">
        <v>67</v>
      </c>
      <c r="E71" s="14">
        <v>0</v>
      </c>
      <c r="F71" s="14">
        <v>160530.17828979599</v>
      </c>
      <c r="G71" s="14">
        <v>31152400.809999999</v>
      </c>
      <c r="H71" s="14">
        <v>0</v>
      </c>
      <c r="I71" s="13">
        <f t="shared" si="0"/>
        <v>31312930.988289796</v>
      </c>
    </row>
    <row r="72" spans="1:9" ht="15.75" x14ac:dyDescent="0.25">
      <c r="A72" s="8"/>
      <c r="B72" s="8"/>
      <c r="C72" s="9"/>
      <c r="D72" s="12" t="s">
        <v>68</v>
      </c>
      <c r="E72" s="14">
        <v>11219118.540000001</v>
      </c>
      <c r="F72" s="14">
        <v>9999842.0183550734</v>
      </c>
      <c r="G72" s="14">
        <v>25441472.329999998</v>
      </c>
      <c r="H72" s="14">
        <v>0</v>
      </c>
      <c r="I72" s="13">
        <f t="shared" si="0"/>
        <v>46660432.888355076</v>
      </c>
    </row>
    <row r="73" spans="1:9" ht="15.75" x14ac:dyDescent="0.25">
      <c r="A73" s="8"/>
      <c r="B73" s="8"/>
      <c r="C73" s="9"/>
      <c r="D73" s="12" t="s">
        <v>69</v>
      </c>
      <c r="E73" s="14">
        <v>289883.68</v>
      </c>
      <c r="F73" s="14">
        <v>0</v>
      </c>
      <c r="G73" s="14">
        <v>17398038.180000003</v>
      </c>
      <c r="H73" s="14">
        <v>0</v>
      </c>
      <c r="I73" s="13">
        <f t="shared" si="0"/>
        <v>17687921.860000003</v>
      </c>
    </row>
    <row r="74" spans="1:9" ht="15.75" x14ac:dyDescent="0.25">
      <c r="A74" s="8"/>
      <c r="B74" s="8"/>
      <c r="C74" s="9"/>
      <c r="D74" s="12" t="s">
        <v>70</v>
      </c>
      <c r="E74" s="14">
        <v>1194352.23</v>
      </c>
      <c r="F74" s="14">
        <v>845753.65876947599</v>
      </c>
      <c r="G74" s="14">
        <v>145412569.78999999</v>
      </c>
      <c r="H74" s="14">
        <v>0</v>
      </c>
      <c r="I74" s="13">
        <f t="shared" ref="I74:I137" si="1">SUM(E74:H74)</f>
        <v>147452675.67876947</v>
      </c>
    </row>
    <row r="75" spans="1:9" ht="15.75" x14ac:dyDescent="0.25">
      <c r="A75" s="8"/>
      <c r="B75" s="8"/>
      <c r="C75" s="9"/>
      <c r="D75" s="12" t="s">
        <v>71</v>
      </c>
      <c r="E75" s="14">
        <v>9430694.3900000006</v>
      </c>
      <c r="F75" s="14">
        <v>3286862.3079783362</v>
      </c>
      <c r="G75" s="14">
        <v>209307851.72999999</v>
      </c>
      <c r="H75" s="14">
        <v>0</v>
      </c>
      <c r="I75" s="13">
        <f t="shared" si="1"/>
        <v>222025408.42797834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69703105.060000002</v>
      </c>
      <c r="H76" s="14">
        <v>0</v>
      </c>
      <c r="I76" s="13">
        <f t="shared" si="1"/>
        <v>69703105.060000002</v>
      </c>
    </row>
    <row r="77" spans="1:9" ht="15.75" x14ac:dyDescent="0.25">
      <c r="A77" s="8"/>
      <c r="B77" s="8"/>
      <c r="C77" s="9"/>
      <c r="D77" s="12" t="s">
        <v>73</v>
      </c>
      <c r="E77" s="14">
        <v>1721768.0500000003</v>
      </c>
      <c r="F77" s="14">
        <v>16300582.441281937</v>
      </c>
      <c r="G77" s="14">
        <v>2344948.8699999996</v>
      </c>
      <c r="H77" s="14">
        <v>0</v>
      </c>
      <c r="I77" s="13">
        <f t="shared" si="1"/>
        <v>20367299.361281939</v>
      </c>
    </row>
    <row r="78" spans="1:9" ht="15.75" x14ac:dyDescent="0.25">
      <c r="A78" s="8"/>
      <c r="B78" s="8"/>
      <c r="C78" s="9"/>
      <c r="D78" s="12" t="s">
        <v>74</v>
      </c>
      <c r="E78" s="14">
        <v>9722810.3300000001</v>
      </c>
      <c r="F78" s="14">
        <v>16541515.858611887</v>
      </c>
      <c r="G78" s="14">
        <v>4000121.94</v>
      </c>
      <c r="H78" s="14">
        <v>0</v>
      </c>
      <c r="I78" s="13">
        <f t="shared" si="1"/>
        <v>30264448.128611889</v>
      </c>
    </row>
    <row r="79" spans="1:9" ht="15.75" x14ac:dyDescent="0.25">
      <c r="A79" s="8"/>
      <c r="B79" s="8"/>
      <c r="C79" s="9"/>
      <c r="D79" s="12" t="s">
        <v>75</v>
      </c>
      <c r="E79" s="14">
        <v>4859023.95</v>
      </c>
      <c r="F79" s="14">
        <v>9287817.4581953399</v>
      </c>
      <c r="G79" s="14">
        <v>3736394.04</v>
      </c>
      <c r="H79" s="14">
        <v>0</v>
      </c>
      <c r="I79" s="13">
        <f t="shared" si="1"/>
        <v>17883235.448195338</v>
      </c>
    </row>
    <row r="80" spans="1:9" ht="15.75" x14ac:dyDescent="0.25">
      <c r="A80" s="8"/>
      <c r="B80" s="8"/>
      <c r="C80" s="9"/>
      <c r="D80" s="12" t="s">
        <v>76</v>
      </c>
      <c r="E80" s="14">
        <v>2798634.96</v>
      </c>
      <c r="F80" s="14">
        <v>4908880.2282025134</v>
      </c>
      <c r="G80" s="14">
        <v>1086528.04</v>
      </c>
      <c r="H80" s="14">
        <v>0</v>
      </c>
      <c r="I80" s="13">
        <f t="shared" si="1"/>
        <v>8794043.2282025144</v>
      </c>
    </row>
    <row r="81" spans="1:9" ht="15.75" x14ac:dyDescent="0.25">
      <c r="A81" s="8"/>
      <c r="B81" s="8"/>
      <c r="C81" s="9"/>
      <c r="D81" s="12" t="s">
        <v>77</v>
      </c>
      <c r="E81" s="14">
        <v>32114251.160000004</v>
      </c>
      <c r="F81" s="14">
        <v>29619475.69321046</v>
      </c>
      <c r="G81" s="14">
        <v>9753581.0199999977</v>
      </c>
      <c r="H81" s="14">
        <v>0</v>
      </c>
      <c r="I81" s="13">
        <f t="shared" si="1"/>
        <v>71487307.87321046</v>
      </c>
    </row>
    <row r="82" spans="1:9" ht="15.75" x14ac:dyDescent="0.25">
      <c r="A82" s="8"/>
      <c r="B82" s="8"/>
      <c r="C82" s="9"/>
      <c r="D82" s="12" t="s">
        <v>78</v>
      </c>
      <c r="E82" s="14">
        <v>15384525.250000004</v>
      </c>
      <c r="F82" s="14">
        <v>20529627.034919836</v>
      </c>
      <c r="G82" s="14">
        <v>2418026.1</v>
      </c>
      <c r="H82" s="14">
        <v>0</v>
      </c>
      <c r="I82" s="13">
        <f t="shared" si="1"/>
        <v>38332178.384919845</v>
      </c>
    </row>
    <row r="83" spans="1:9" ht="15.75" x14ac:dyDescent="0.25">
      <c r="A83" s="8"/>
      <c r="B83" s="8"/>
      <c r="C83" s="9"/>
      <c r="D83" s="12" t="s">
        <v>79</v>
      </c>
      <c r="E83" s="14">
        <v>10766497.690000001</v>
      </c>
      <c r="F83" s="14">
        <v>8431288.1075957399</v>
      </c>
      <c r="G83" s="14">
        <v>12147103.51</v>
      </c>
      <c r="H83" s="14">
        <v>0</v>
      </c>
      <c r="I83" s="13">
        <f t="shared" si="1"/>
        <v>31344889.307595737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88350387.059999987</v>
      </c>
      <c r="H84" s="14">
        <v>0</v>
      </c>
      <c r="I84" s="13">
        <f t="shared" si="1"/>
        <v>88350387.059999987</v>
      </c>
    </row>
    <row r="85" spans="1:9" ht="15.75" x14ac:dyDescent="0.25">
      <c r="A85" s="8"/>
      <c r="B85" s="8"/>
      <c r="C85" s="9"/>
      <c r="D85" s="12" t="s">
        <v>81</v>
      </c>
      <c r="E85" s="14">
        <v>7523398.6199999992</v>
      </c>
      <c r="F85" s="14">
        <v>2623052.061263646</v>
      </c>
      <c r="G85" s="14">
        <v>21942823.450000003</v>
      </c>
      <c r="H85" s="14">
        <v>0</v>
      </c>
      <c r="I85" s="13">
        <f t="shared" si="1"/>
        <v>32089274.131263647</v>
      </c>
    </row>
    <row r="86" spans="1:9" ht="15.75" x14ac:dyDescent="0.25">
      <c r="A86" s="8"/>
      <c r="B86" s="8"/>
      <c r="C86" s="9"/>
      <c r="D86" s="12" t="s">
        <v>82</v>
      </c>
      <c r="E86" s="14">
        <v>3499218.9799999995</v>
      </c>
      <c r="F86" s="14">
        <v>10893809.99056959</v>
      </c>
      <c r="G86" s="14">
        <v>3658115.1300000004</v>
      </c>
      <c r="H86" s="14">
        <v>0</v>
      </c>
      <c r="I86" s="13">
        <f t="shared" si="1"/>
        <v>18051144.100569587</v>
      </c>
    </row>
    <row r="87" spans="1:9" ht="15.75" x14ac:dyDescent="0.25">
      <c r="A87" s="8"/>
      <c r="B87" s="8"/>
      <c r="C87" s="9"/>
      <c r="D87" s="12" t="s">
        <v>83</v>
      </c>
      <c r="E87" s="14">
        <v>2025466.5099999998</v>
      </c>
      <c r="F87" s="14">
        <v>14346728.472648039</v>
      </c>
      <c r="G87" s="14">
        <v>2446846.62</v>
      </c>
      <c r="H87" s="14">
        <v>0</v>
      </c>
      <c r="I87" s="13">
        <f t="shared" si="1"/>
        <v>18819041.602648038</v>
      </c>
    </row>
    <row r="88" spans="1:9" ht="15.75" x14ac:dyDescent="0.25">
      <c r="A88" s="8"/>
      <c r="B88" s="8"/>
      <c r="C88" s="9"/>
      <c r="D88" s="12" t="s">
        <v>84</v>
      </c>
      <c r="E88" s="14">
        <v>105166.69</v>
      </c>
      <c r="F88" s="14">
        <v>0</v>
      </c>
      <c r="G88" s="14">
        <v>30179664.420000002</v>
      </c>
      <c r="H88" s="14">
        <v>0</v>
      </c>
      <c r="I88" s="13">
        <f t="shared" si="1"/>
        <v>30284831.110000003</v>
      </c>
    </row>
    <row r="89" spans="1:9" ht="15.75" x14ac:dyDescent="0.25">
      <c r="A89" s="8"/>
      <c r="B89" s="8"/>
      <c r="C89" s="9"/>
      <c r="D89" s="12" t="s">
        <v>85</v>
      </c>
      <c r="E89" s="14">
        <v>4075645.1000000006</v>
      </c>
      <c r="F89" s="14">
        <v>14068356.433703173</v>
      </c>
      <c r="G89" s="14">
        <v>1791714.9599999997</v>
      </c>
      <c r="H89" s="14">
        <v>0</v>
      </c>
      <c r="I89" s="13">
        <f t="shared" si="1"/>
        <v>19935716.493703175</v>
      </c>
    </row>
    <row r="90" spans="1:9" ht="15.75" x14ac:dyDescent="0.25">
      <c r="A90" s="8"/>
      <c r="B90" s="8"/>
      <c r="C90" s="9"/>
      <c r="D90" s="12" t="s">
        <v>86</v>
      </c>
      <c r="E90" s="14">
        <v>2046886.13</v>
      </c>
      <c r="F90" s="14">
        <v>3640249.7400483005</v>
      </c>
      <c r="G90" s="14">
        <v>7880007.2300000004</v>
      </c>
      <c r="H90" s="14">
        <v>0</v>
      </c>
      <c r="I90" s="13">
        <f t="shared" si="1"/>
        <v>13567143.1000483</v>
      </c>
    </row>
    <row r="91" spans="1:9" ht="15.75" x14ac:dyDescent="0.25">
      <c r="A91" s="8"/>
      <c r="B91" s="8"/>
      <c r="C91" s="9"/>
      <c r="D91" s="12" t="s">
        <v>87</v>
      </c>
      <c r="E91" s="14">
        <v>5141950.4999999991</v>
      </c>
      <c r="F91" s="14">
        <v>8302808.7050057994</v>
      </c>
      <c r="G91" s="14">
        <v>13382448.01</v>
      </c>
      <c r="H91" s="14">
        <v>0</v>
      </c>
      <c r="I91" s="13">
        <f t="shared" si="1"/>
        <v>26827207.2150058</v>
      </c>
    </row>
    <row r="92" spans="1:9" ht="15.75" x14ac:dyDescent="0.25">
      <c r="A92" s="8"/>
      <c r="B92" s="8"/>
      <c r="C92" s="9"/>
      <c r="D92" s="12" t="s">
        <v>88</v>
      </c>
      <c r="E92" s="14">
        <v>2802693.64</v>
      </c>
      <c r="F92" s="14">
        <v>1145538.931479336</v>
      </c>
      <c r="G92" s="14">
        <v>45874430.810000002</v>
      </c>
      <c r="H92" s="14">
        <v>0</v>
      </c>
      <c r="I92" s="13">
        <f t="shared" si="1"/>
        <v>49822663.381479338</v>
      </c>
    </row>
    <row r="93" spans="1:9" ht="15.75" x14ac:dyDescent="0.25">
      <c r="A93" s="8"/>
      <c r="B93" s="8"/>
      <c r="C93" s="9"/>
      <c r="D93" s="12" t="s">
        <v>89</v>
      </c>
      <c r="E93" s="14">
        <v>10586268.010000002</v>
      </c>
      <c r="F93" s="14">
        <v>9282567.7621755376</v>
      </c>
      <c r="G93" s="14">
        <v>3905674.04</v>
      </c>
      <c r="H93" s="14">
        <v>0</v>
      </c>
      <c r="I93" s="13">
        <f t="shared" si="1"/>
        <v>23774509.812175538</v>
      </c>
    </row>
    <row r="94" spans="1:9" ht="15.75" x14ac:dyDescent="0.25">
      <c r="A94" s="8"/>
      <c r="B94" s="8"/>
      <c r="C94" s="9"/>
      <c r="D94" s="12" t="s">
        <v>90</v>
      </c>
      <c r="E94" s="14">
        <v>29965.38</v>
      </c>
      <c r="F94" s="14">
        <v>0</v>
      </c>
      <c r="G94" s="14">
        <v>1006484.3799999999</v>
      </c>
      <c r="H94" s="14">
        <v>0</v>
      </c>
      <c r="I94" s="13">
        <f t="shared" si="1"/>
        <v>1036449.7599999999</v>
      </c>
    </row>
    <row r="95" spans="1:9" ht="15.75" x14ac:dyDescent="0.25">
      <c r="A95" s="8"/>
      <c r="B95" s="8"/>
      <c r="C95" s="9"/>
      <c r="D95" s="12" t="s">
        <v>91</v>
      </c>
      <c r="E95" s="14">
        <v>1114899.1000000003</v>
      </c>
      <c r="F95" s="14">
        <v>294397.426794798</v>
      </c>
      <c r="G95" s="14">
        <v>49272003.980000004</v>
      </c>
      <c r="H95" s="14">
        <v>0</v>
      </c>
      <c r="I95" s="13">
        <f t="shared" si="1"/>
        <v>50681300.506794803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72693323.750000015</v>
      </c>
      <c r="H96" s="14">
        <v>0</v>
      </c>
      <c r="I96" s="13">
        <f t="shared" si="1"/>
        <v>72693323.750000015</v>
      </c>
    </row>
    <row r="97" spans="1:9" ht="15.75" x14ac:dyDescent="0.25">
      <c r="A97" s="8"/>
      <c r="B97" s="8"/>
      <c r="C97" s="9"/>
      <c r="D97" s="12" t="s">
        <v>93</v>
      </c>
      <c r="E97" s="14">
        <v>2206317.6499999994</v>
      </c>
      <c r="F97" s="14">
        <v>13222464.625038439</v>
      </c>
      <c r="G97" s="14">
        <v>3505511.5900000003</v>
      </c>
      <c r="H97" s="14">
        <v>0</v>
      </c>
      <c r="I97" s="13">
        <f t="shared" si="1"/>
        <v>18934293.86503844</v>
      </c>
    </row>
    <row r="98" spans="1:9" ht="15.75" x14ac:dyDescent="0.25">
      <c r="A98" s="8"/>
      <c r="B98" s="8"/>
      <c r="C98" s="9"/>
      <c r="D98" s="12" t="s">
        <v>94</v>
      </c>
      <c r="E98" s="14">
        <v>8849877.9000000004</v>
      </c>
      <c r="F98" s="14">
        <v>17392657.363296427</v>
      </c>
      <c r="G98" s="14">
        <v>20340589.610000003</v>
      </c>
      <c r="H98" s="14">
        <v>0</v>
      </c>
      <c r="I98" s="13">
        <f t="shared" si="1"/>
        <v>46583124.873296425</v>
      </c>
    </row>
    <row r="99" spans="1:9" ht="15.75" x14ac:dyDescent="0.25">
      <c r="A99" s="8"/>
      <c r="B99" s="8"/>
      <c r="C99" s="9"/>
      <c r="D99" s="12" t="s">
        <v>95</v>
      </c>
      <c r="E99" s="14">
        <v>18648057.300000001</v>
      </c>
      <c r="F99" s="14">
        <v>33141883.572603688</v>
      </c>
      <c r="G99" s="14">
        <v>10336871.66</v>
      </c>
      <c r="H99" s="14">
        <v>0</v>
      </c>
      <c r="I99" s="13">
        <f t="shared" si="1"/>
        <v>62126812.532603681</v>
      </c>
    </row>
    <row r="100" spans="1:9" ht="15.75" x14ac:dyDescent="0.25">
      <c r="A100" s="8"/>
      <c r="B100" s="8"/>
      <c r="C100" s="9"/>
      <c r="D100" s="12" t="s">
        <v>96</v>
      </c>
      <c r="E100" s="14">
        <v>15857649.300000001</v>
      </c>
      <c r="F100" s="14">
        <v>33157908.960453615</v>
      </c>
      <c r="G100" s="14">
        <v>23536399.319999997</v>
      </c>
      <c r="H100" s="14">
        <v>0</v>
      </c>
      <c r="I100" s="13">
        <f t="shared" si="1"/>
        <v>72551957.580453604</v>
      </c>
    </row>
    <row r="101" spans="1:9" ht="15.75" x14ac:dyDescent="0.25">
      <c r="A101" s="8"/>
      <c r="B101" s="8"/>
      <c r="C101" s="9"/>
      <c r="D101" s="12" t="s">
        <v>97</v>
      </c>
      <c r="E101" s="14">
        <v>457693.55</v>
      </c>
      <c r="F101" s="14">
        <v>44497114.213334993</v>
      </c>
      <c r="G101" s="14">
        <v>160493.26999999996</v>
      </c>
      <c r="H101" s="14">
        <v>0</v>
      </c>
      <c r="I101" s="13">
        <f t="shared" si="1"/>
        <v>45115301.033334993</v>
      </c>
    </row>
    <row r="102" spans="1:9" ht="15.75" x14ac:dyDescent="0.25">
      <c r="A102" s="8"/>
      <c r="B102" s="8"/>
      <c r="C102" s="9"/>
      <c r="D102" s="12" t="s">
        <v>98</v>
      </c>
      <c r="E102" s="14">
        <v>17558982.310000002</v>
      </c>
      <c r="F102" s="14">
        <v>19132517.144175682</v>
      </c>
      <c r="G102" s="14">
        <v>11312104</v>
      </c>
      <c r="H102" s="14">
        <v>0</v>
      </c>
      <c r="I102" s="13">
        <f t="shared" si="1"/>
        <v>48003603.454175681</v>
      </c>
    </row>
    <row r="103" spans="1:9" ht="15.75" x14ac:dyDescent="0.25">
      <c r="A103" s="8"/>
      <c r="B103" s="8"/>
      <c r="C103" s="9"/>
      <c r="D103" s="12" t="s">
        <v>99</v>
      </c>
      <c r="E103" s="14">
        <v>5533748.9100000001</v>
      </c>
      <c r="F103" s="14">
        <v>6075970.5433420986</v>
      </c>
      <c r="G103" s="14">
        <v>1583899.01</v>
      </c>
      <c r="H103" s="14">
        <v>0</v>
      </c>
      <c r="I103" s="13">
        <f t="shared" si="1"/>
        <v>13193618.463342099</v>
      </c>
    </row>
    <row r="104" spans="1:9" ht="15.75" x14ac:dyDescent="0.25">
      <c r="A104" s="8"/>
      <c r="B104" s="8"/>
      <c r="C104" s="9"/>
      <c r="D104" s="12" t="s">
        <v>100</v>
      </c>
      <c r="E104" s="14">
        <v>28971824.800000004</v>
      </c>
      <c r="F104" s="14">
        <v>11102554.48230443</v>
      </c>
      <c r="G104" s="14">
        <v>22842909.520000003</v>
      </c>
      <c r="H104" s="14">
        <v>0</v>
      </c>
      <c r="I104" s="13">
        <f t="shared" si="1"/>
        <v>62917288.802304439</v>
      </c>
    </row>
    <row r="105" spans="1:9" ht="15.75" x14ac:dyDescent="0.25">
      <c r="A105" s="8"/>
      <c r="B105" s="8"/>
      <c r="C105" s="9"/>
      <c r="D105" s="12" t="s">
        <v>101</v>
      </c>
      <c r="E105" s="14">
        <v>5319098.92</v>
      </c>
      <c r="F105" s="14">
        <v>16487913.699251786</v>
      </c>
      <c r="G105" s="14">
        <v>618271.65</v>
      </c>
      <c r="H105" s="14">
        <v>0</v>
      </c>
      <c r="I105" s="13">
        <f t="shared" si="1"/>
        <v>22425284.269251786</v>
      </c>
    </row>
    <row r="106" spans="1:9" ht="15.75" x14ac:dyDescent="0.25">
      <c r="A106" s="8"/>
      <c r="B106" s="8"/>
      <c r="C106" s="9"/>
      <c r="D106" s="12" t="s">
        <v>102</v>
      </c>
      <c r="E106" s="14">
        <v>12910804.85</v>
      </c>
      <c r="F106" s="14">
        <v>1017059.528889396</v>
      </c>
      <c r="G106" s="14">
        <v>79909498.719999999</v>
      </c>
      <c r="H106" s="14">
        <v>0</v>
      </c>
      <c r="I106" s="13">
        <f t="shared" si="1"/>
        <v>93837363.098889396</v>
      </c>
    </row>
    <row r="107" spans="1:9" ht="15.75" x14ac:dyDescent="0.25">
      <c r="A107" s="8"/>
      <c r="B107" s="8"/>
      <c r="C107" s="9"/>
      <c r="D107" s="12" t="s">
        <v>103</v>
      </c>
      <c r="E107" s="14">
        <v>0</v>
      </c>
      <c r="F107" s="14">
        <v>0</v>
      </c>
      <c r="G107" s="14">
        <v>8833556.1300000008</v>
      </c>
      <c r="H107" s="14">
        <v>0</v>
      </c>
      <c r="I107" s="13">
        <f t="shared" si="1"/>
        <v>8833556.1300000008</v>
      </c>
    </row>
    <row r="108" spans="1:9" ht="15.75" x14ac:dyDescent="0.25">
      <c r="A108" s="8"/>
      <c r="B108" s="8"/>
      <c r="C108" s="9"/>
      <c r="D108" s="12" t="s">
        <v>104</v>
      </c>
      <c r="E108" s="14">
        <v>504861.52999999997</v>
      </c>
      <c r="F108" s="14">
        <v>0</v>
      </c>
      <c r="G108" s="14">
        <v>7746498.6100000013</v>
      </c>
      <c r="H108" s="14">
        <v>0</v>
      </c>
      <c r="I108" s="13">
        <f t="shared" si="1"/>
        <v>8251360.1400000015</v>
      </c>
    </row>
    <row r="109" spans="1:9" ht="15.75" x14ac:dyDescent="0.25">
      <c r="A109" s="8"/>
      <c r="B109" s="8"/>
      <c r="C109" s="9"/>
      <c r="D109" s="12" t="s">
        <v>105</v>
      </c>
      <c r="E109" s="14">
        <v>2017053.93</v>
      </c>
      <c r="F109" s="14">
        <v>26519944.64320197</v>
      </c>
      <c r="G109" s="14">
        <v>421264.36999999994</v>
      </c>
      <c r="H109" s="14">
        <v>0</v>
      </c>
      <c r="I109" s="13">
        <f t="shared" si="1"/>
        <v>28958262.94320197</v>
      </c>
    </row>
    <row r="110" spans="1:9" ht="15.75" x14ac:dyDescent="0.25">
      <c r="A110" s="8"/>
      <c r="B110" s="8"/>
      <c r="C110" s="9"/>
      <c r="D110" s="12" t="s">
        <v>106</v>
      </c>
      <c r="E110" s="14">
        <v>2191295.2599999998</v>
      </c>
      <c r="F110" s="14">
        <v>6150847.7865719348</v>
      </c>
      <c r="G110" s="14">
        <v>1848561.46</v>
      </c>
      <c r="H110" s="14">
        <v>0</v>
      </c>
      <c r="I110" s="13">
        <f t="shared" si="1"/>
        <v>10190704.506571934</v>
      </c>
    </row>
    <row r="111" spans="1:9" ht="15.75" x14ac:dyDescent="0.25">
      <c r="A111" s="8"/>
      <c r="B111" s="8"/>
      <c r="C111" s="9"/>
      <c r="D111" s="12" t="s">
        <v>107</v>
      </c>
      <c r="E111" s="14">
        <v>714264.38</v>
      </c>
      <c r="F111" s="14">
        <v>101678.32290988801</v>
      </c>
      <c r="G111" s="14">
        <v>91526453.070000008</v>
      </c>
      <c r="H111" s="14">
        <v>0</v>
      </c>
      <c r="I111" s="13">
        <f t="shared" si="1"/>
        <v>92342395.772909895</v>
      </c>
    </row>
    <row r="112" spans="1:9" ht="15.75" x14ac:dyDescent="0.25">
      <c r="A112" s="8"/>
      <c r="B112" s="8"/>
      <c r="C112" s="9"/>
      <c r="D112" s="12" t="s">
        <v>108</v>
      </c>
      <c r="E112" s="14">
        <v>4609798.3899999997</v>
      </c>
      <c r="F112" s="14">
        <v>6959162.823726492</v>
      </c>
      <c r="G112" s="14">
        <v>5598428.0599999996</v>
      </c>
      <c r="H112" s="14">
        <v>0</v>
      </c>
      <c r="I112" s="13">
        <f t="shared" si="1"/>
        <v>17167389.273726489</v>
      </c>
    </row>
    <row r="113" spans="1:9" ht="15.75" x14ac:dyDescent="0.25">
      <c r="A113" s="8"/>
      <c r="B113" s="8"/>
      <c r="C113" s="9"/>
      <c r="D113" s="12" t="s">
        <v>109</v>
      </c>
      <c r="E113" s="14">
        <v>5673817.6399999987</v>
      </c>
      <c r="F113" s="14">
        <v>16755648.196261788</v>
      </c>
      <c r="G113" s="14">
        <v>2880947.3000000003</v>
      </c>
      <c r="H113" s="14">
        <v>0</v>
      </c>
      <c r="I113" s="13">
        <f t="shared" si="1"/>
        <v>25310413.136261787</v>
      </c>
    </row>
    <row r="114" spans="1:9" ht="15.75" x14ac:dyDescent="0.25">
      <c r="A114" s="8"/>
      <c r="B114" s="8"/>
      <c r="C114" s="9"/>
      <c r="D114" s="12" t="s">
        <v>110</v>
      </c>
      <c r="E114" s="14">
        <v>5267952.7600000016</v>
      </c>
      <c r="F114" s="14">
        <v>19218170.079235639</v>
      </c>
      <c r="G114" s="14">
        <v>6086392.3999999994</v>
      </c>
      <c r="H114" s="14">
        <v>0</v>
      </c>
      <c r="I114" s="13">
        <f t="shared" si="1"/>
        <v>30572515.23923564</v>
      </c>
    </row>
    <row r="115" spans="1:9" ht="15.75" x14ac:dyDescent="0.25">
      <c r="A115" s="8"/>
      <c r="B115" s="8"/>
      <c r="C115" s="9"/>
      <c r="D115" s="12" t="s">
        <v>111</v>
      </c>
      <c r="E115" s="14">
        <v>28571782.670000006</v>
      </c>
      <c r="F115" s="14">
        <v>9501949.7958452404</v>
      </c>
      <c r="G115" s="14">
        <v>5108794.43</v>
      </c>
      <c r="H115" s="14">
        <v>0</v>
      </c>
      <c r="I115" s="13">
        <f t="shared" si="1"/>
        <v>43182526.895845242</v>
      </c>
    </row>
    <row r="116" spans="1:9" ht="15.75" x14ac:dyDescent="0.25">
      <c r="A116" s="8"/>
      <c r="B116" s="8"/>
      <c r="C116" s="9"/>
      <c r="D116" s="12" t="s">
        <v>112</v>
      </c>
      <c r="E116" s="14">
        <v>1849246.1800000004</v>
      </c>
      <c r="F116" s="14">
        <v>12339272.344654042</v>
      </c>
      <c r="G116" s="14">
        <v>1542691.04</v>
      </c>
      <c r="H116" s="14">
        <v>0</v>
      </c>
      <c r="I116" s="13">
        <f t="shared" si="1"/>
        <v>15731209.564654041</v>
      </c>
    </row>
    <row r="117" spans="1:9" ht="15.75" x14ac:dyDescent="0.25">
      <c r="A117" s="8"/>
      <c r="B117" s="8"/>
      <c r="C117" s="9"/>
      <c r="D117" s="12" t="s">
        <v>113</v>
      </c>
      <c r="E117" s="14">
        <v>3375933.0900000003</v>
      </c>
      <c r="F117" s="14">
        <v>9528750.875525292</v>
      </c>
      <c r="G117" s="14">
        <v>4963345.47</v>
      </c>
      <c r="H117" s="14">
        <v>0</v>
      </c>
      <c r="I117" s="13">
        <f t="shared" si="1"/>
        <v>17868029.435525291</v>
      </c>
    </row>
    <row r="118" spans="1:9" ht="15.75" x14ac:dyDescent="0.25">
      <c r="A118" s="8"/>
      <c r="B118" s="8"/>
      <c r="C118" s="9"/>
      <c r="D118" s="12" t="s">
        <v>114</v>
      </c>
      <c r="E118" s="14">
        <v>6675327.040000001</v>
      </c>
      <c r="F118" s="14">
        <v>14882059.316772792</v>
      </c>
      <c r="G118" s="14">
        <v>7634561.4799999995</v>
      </c>
      <c r="H118" s="14">
        <v>0</v>
      </c>
      <c r="I118" s="13">
        <f t="shared" si="1"/>
        <v>29191947.836772796</v>
      </c>
    </row>
    <row r="119" spans="1:9" ht="15.75" x14ac:dyDescent="0.25">
      <c r="A119" s="8"/>
      <c r="B119" s="8"/>
      <c r="C119" s="9"/>
      <c r="D119" s="12" t="s">
        <v>115</v>
      </c>
      <c r="E119" s="14">
        <v>3797577.12</v>
      </c>
      <c r="F119" s="14">
        <v>1445324.2041891962</v>
      </c>
      <c r="G119" s="14">
        <v>4014622.9700000007</v>
      </c>
      <c r="H119" s="14">
        <v>0</v>
      </c>
      <c r="I119" s="13">
        <f t="shared" si="1"/>
        <v>9257524.2941891961</v>
      </c>
    </row>
    <row r="120" spans="1:9" ht="15.75" x14ac:dyDescent="0.25">
      <c r="A120" s="8"/>
      <c r="B120" s="8"/>
      <c r="C120" s="9"/>
      <c r="D120" s="12" t="s">
        <v>116</v>
      </c>
      <c r="E120" s="14">
        <v>7854628.21</v>
      </c>
      <c r="F120" s="14">
        <v>6316765.8107767915</v>
      </c>
      <c r="G120" s="14">
        <v>6795354.4299999997</v>
      </c>
      <c r="H120" s="14">
        <v>0</v>
      </c>
      <c r="I120" s="13">
        <f t="shared" si="1"/>
        <v>20966748.450776793</v>
      </c>
    </row>
    <row r="121" spans="1:9" ht="15.75" x14ac:dyDescent="0.25">
      <c r="A121" s="8"/>
      <c r="B121" s="8"/>
      <c r="C121" s="9"/>
      <c r="D121" s="12" t="s">
        <v>117</v>
      </c>
      <c r="E121" s="14">
        <v>2445547.5599999996</v>
      </c>
      <c r="F121" s="14">
        <v>9373470.3932553008</v>
      </c>
      <c r="G121" s="14">
        <v>5233981.9800000004</v>
      </c>
      <c r="H121" s="14">
        <v>0</v>
      </c>
      <c r="I121" s="13">
        <f t="shared" si="1"/>
        <v>17052999.9332553</v>
      </c>
    </row>
    <row r="122" spans="1:9" ht="15.75" x14ac:dyDescent="0.25">
      <c r="A122" s="8"/>
      <c r="B122" s="8"/>
      <c r="C122" s="9"/>
      <c r="D122" s="12" t="s">
        <v>118</v>
      </c>
      <c r="E122" s="14">
        <v>14063252.380000001</v>
      </c>
      <c r="F122" s="14">
        <v>6911086.6601767084</v>
      </c>
      <c r="G122" s="14">
        <v>5743628.0999999996</v>
      </c>
      <c r="H122" s="14">
        <v>0</v>
      </c>
      <c r="I122" s="13">
        <f t="shared" si="1"/>
        <v>26717967.140176706</v>
      </c>
    </row>
    <row r="123" spans="1:9" ht="15.75" x14ac:dyDescent="0.25">
      <c r="A123" s="8"/>
      <c r="B123" s="8"/>
      <c r="C123" s="9"/>
      <c r="D123" s="12" t="s">
        <v>119</v>
      </c>
      <c r="E123" s="14">
        <v>8841123.120000001</v>
      </c>
      <c r="F123" s="14">
        <v>12697909.472743813</v>
      </c>
      <c r="G123" s="14">
        <v>1994556.06</v>
      </c>
      <c r="H123" s="14">
        <v>0</v>
      </c>
      <c r="I123" s="13">
        <f t="shared" si="1"/>
        <v>23533588.652743813</v>
      </c>
    </row>
    <row r="124" spans="1:9" ht="15.75" x14ac:dyDescent="0.25">
      <c r="A124" s="8"/>
      <c r="B124" s="8"/>
      <c r="C124" s="9"/>
      <c r="D124" s="12" t="s">
        <v>120</v>
      </c>
      <c r="E124" s="14">
        <v>503106.71</v>
      </c>
      <c r="F124" s="14">
        <v>0</v>
      </c>
      <c r="G124" s="14">
        <v>25742006.530000001</v>
      </c>
      <c r="H124" s="14">
        <v>49279764.954999998</v>
      </c>
      <c r="I124" s="13">
        <f t="shared" si="1"/>
        <v>75524878.194999993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79533627.359999999</v>
      </c>
      <c r="H125" s="14">
        <v>9183775.3900000006</v>
      </c>
      <c r="I125" s="13">
        <f t="shared" si="1"/>
        <v>88717402.75</v>
      </c>
    </row>
    <row r="126" spans="1:9" ht="15.75" x14ac:dyDescent="0.25">
      <c r="A126" s="8"/>
      <c r="B126" s="8"/>
      <c r="C126" s="9"/>
      <c r="D126" s="12" t="s">
        <v>122</v>
      </c>
      <c r="E126" s="14">
        <v>12383.68</v>
      </c>
      <c r="F126" s="14">
        <v>0</v>
      </c>
      <c r="G126" s="14">
        <v>47587604.819999993</v>
      </c>
      <c r="H126" s="14">
        <v>0</v>
      </c>
      <c r="I126" s="13">
        <f t="shared" si="1"/>
        <v>47599988.499999993</v>
      </c>
    </row>
    <row r="127" spans="1:9" ht="15.75" x14ac:dyDescent="0.25">
      <c r="A127" s="8"/>
      <c r="B127" s="8"/>
      <c r="C127" s="9"/>
      <c r="D127" s="12" t="s">
        <v>123</v>
      </c>
      <c r="E127" s="14">
        <v>4453226.16</v>
      </c>
      <c r="F127" s="14">
        <v>2676654.2206237502</v>
      </c>
      <c r="G127" s="14">
        <v>30597018.859999996</v>
      </c>
      <c r="H127" s="14">
        <v>0</v>
      </c>
      <c r="I127" s="13">
        <f t="shared" si="1"/>
        <v>37726899.240623742</v>
      </c>
    </row>
    <row r="128" spans="1:9" ht="15.75" x14ac:dyDescent="0.25">
      <c r="A128" s="8"/>
      <c r="B128" s="8"/>
      <c r="C128" s="9"/>
      <c r="D128" s="12" t="s">
        <v>124</v>
      </c>
      <c r="E128" s="14">
        <v>8669228.209999999</v>
      </c>
      <c r="F128" s="14">
        <v>8351023.0184508422</v>
      </c>
      <c r="G128" s="14">
        <v>10005995.25</v>
      </c>
      <c r="H128" s="14">
        <v>0</v>
      </c>
      <c r="I128" s="13">
        <f t="shared" si="1"/>
        <v>27026246.478450842</v>
      </c>
    </row>
    <row r="129" spans="1:9" ht="15.75" x14ac:dyDescent="0.25">
      <c r="A129" s="8"/>
      <c r="B129" s="8"/>
      <c r="C129" s="9"/>
      <c r="D129" s="12" t="s">
        <v>125</v>
      </c>
      <c r="E129" s="14">
        <v>3599209.6100000003</v>
      </c>
      <c r="F129" s="14">
        <v>4041713.3356680479</v>
      </c>
      <c r="G129" s="14">
        <v>9430281.7699999996</v>
      </c>
      <c r="H129" s="14">
        <v>0</v>
      </c>
      <c r="I129" s="13">
        <f t="shared" si="1"/>
        <v>17071204.715668049</v>
      </c>
    </row>
    <row r="130" spans="1:9" ht="15.75" x14ac:dyDescent="0.25">
      <c r="A130" s="8"/>
      <c r="B130" s="8"/>
      <c r="C130" s="9"/>
      <c r="D130" s="12" t="s">
        <v>126</v>
      </c>
      <c r="E130" s="14">
        <v>1704803.34</v>
      </c>
      <c r="F130" s="14">
        <v>7119831.1519115455</v>
      </c>
      <c r="G130" s="14">
        <v>1908646.4699999997</v>
      </c>
      <c r="H130" s="14">
        <v>0</v>
      </c>
      <c r="I130" s="13">
        <f t="shared" si="1"/>
        <v>10733280.961911544</v>
      </c>
    </row>
    <row r="131" spans="1:9" ht="15.75" x14ac:dyDescent="0.25">
      <c r="A131" s="8"/>
      <c r="B131" s="8"/>
      <c r="C131" s="9"/>
      <c r="D131" s="12" t="s">
        <v>127</v>
      </c>
      <c r="E131" s="14">
        <v>33190828.830000002</v>
      </c>
      <c r="F131" s="14">
        <v>38912680.997320861</v>
      </c>
      <c r="G131" s="14">
        <v>77803636.840000004</v>
      </c>
      <c r="H131" s="14">
        <v>0</v>
      </c>
      <c r="I131" s="13">
        <f t="shared" si="1"/>
        <v>149907146.66732085</v>
      </c>
    </row>
    <row r="132" spans="1:9" ht="15.75" x14ac:dyDescent="0.25">
      <c r="A132" s="8"/>
      <c r="B132" s="8"/>
      <c r="C132" s="9"/>
      <c r="D132" s="12" t="s">
        <v>128</v>
      </c>
      <c r="E132" s="14">
        <v>3806734.0999999996</v>
      </c>
      <c r="F132" s="14">
        <v>23875479.348173335</v>
      </c>
      <c r="G132" s="14">
        <v>883848.98</v>
      </c>
      <c r="H132" s="14">
        <v>0</v>
      </c>
      <c r="I132" s="13">
        <f t="shared" si="1"/>
        <v>28566062.428173337</v>
      </c>
    </row>
    <row r="133" spans="1:9" ht="15.75" x14ac:dyDescent="0.25">
      <c r="A133" s="8"/>
      <c r="B133" s="8"/>
      <c r="C133" s="9"/>
      <c r="D133" s="12" t="s">
        <v>129</v>
      </c>
      <c r="E133" s="14">
        <v>2731545.5700000003</v>
      </c>
      <c r="F133" s="14">
        <v>0</v>
      </c>
      <c r="G133" s="14">
        <v>86359923.620000005</v>
      </c>
      <c r="H133" s="14">
        <v>27080286.305000007</v>
      </c>
      <c r="I133" s="13">
        <f t="shared" si="1"/>
        <v>116171755.495</v>
      </c>
    </row>
    <row r="134" spans="1:9" ht="15.75" x14ac:dyDescent="0.25">
      <c r="A134" s="8"/>
      <c r="B134" s="8"/>
      <c r="C134" s="9"/>
      <c r="D134" s="12" t="s">
        <v>130</v>
      </c>
      <c r="E134" s="14">
        <v>1593139.3</v>
      </c>
      <c r="F134" s="14">
        <v>1177727.8570744502</v>
      </c>
      <c r="G134" s="14">
        <v>6318.39</v>
      </c>
      <c r="H134" s="14">
        <v>0</v>
      </c>
      <c r="I134" s="13">
        <f t="shared" si="1"/>
        <v>2777185.5470744506</v>
      </c>
    </row>
    <row r="135" spans="1:9" ht="15.75" x14ac:dyDescent="0.25">
      <c r="A135" s="8"/>
      <c r="B135" s="8"/>
      <c r="C135" s="9"/>
      <c r="D135" s="12" t="s">
        <v>131</v>
      </c>
      <c r="E135" s="14">
        <v>2977745.32</v>
      </c>
      <c r="F135" s="14">
        <v>14882059.316772792</v>
      </c>
      <c r="G135" s="14">
        <v>1428141.8900000001</v>
      </c>
      <c r="H135" s="14">
        <v>0</v>
      </c>
      <c r="I135" s="13">
        <f t="shared" si="1"/>
        <v>19287946.526772793</v>
      </c>
    </row>
    <row r="136" spans="1:9" ht="15.75" x14ac:dyDescent="0.25">
      <c r="A136" s="8"/>
      <c r="B136" s="8"/>
      <c r="C136" s="9"/>
      <c r="D136" s="12" t="s">
        <v>132</v>
      </c>
      <c r="E136" s="14">
        <v>19061706.540000003</v>
      </c>
      <c r="F136" s="14">
        <v>17986840.062801085</v>
      </c>
      <c r="G136" s="14">
        <v>13922978.199999999</v>
      </c>
      <c r="H136" s="14">
        <v>0</v>
      </c>
      <c r="I136" s="13">
        <f t="shared" si="1"/>
        <v>50971524.802801087</v>
      </c>
    </row>
    <row r="137" spans="1:9" ht="15.75" x14ac:dyDescent="0.25">
      <c r="A137" s="8"/>
      <c r="B137" s="8"/>
      <c r="C137" s="9"/>
      <c r="D137" s="12" t="s">
        <v>133</v>
      </c>
      <c r="E137" s="14">
        <v>15563608.100000001</v>
      </c>
      <c r="F137" s="14">
        <v>28281079.507950958</v>
      </c>
      <c r="G137" s="14">
        <v>16320621.909999998</v>
      </c>
      <c r="H137" s="14">
        <v>0</v>
      </c>
      <c r="I137" s="13">
        <f t="shared" si="1"/>
        <v>60165309.517950952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50128307.18999999</v>
      </c>
      <c r="H138" s="14">
        <v>0</v>
      </c>
      <c r="I138" s="13">
        <f t="shared" ref="I138:I144" si="2">SUM(E138:H138)</f>
        <v>50128307.18999999</v>
      </c>
    </row>
    <row r="139" spans="1:9" ht="15.75" x14ac:dyDescent="0.25">
      <c r="A139" s="8"/>
      <c r="B139" s="8"/>
      <c r="C139" s="9"/>
      <c r="D139" s="12" t="s">
        <v>135</v>
      </c>
      <c r="E139" s="14">
        <v>1908730.26</v>
      </c>
      <c r="F139" s="14">
        <v>4234432.4395529581</v>
      </c>
      <c r="G139" s="14">
        <v>2139020.06</v>
      </c>
      <c r="H139" s="14">
        <v>0</v>
      </c>
      <c r="I139" s="13">
        <f t="shared" si="2"/>
        <v>8282182.7595529575</v>
      </c>
    </row>
    <row r="140" spans="1:9" ht="15.75" x14ac:dyDescent="0.25">
      <c r="A140" s="8"/>
      <c r="B140" s="8"/>
      <c r="C140" s="9"/>
      <c r="D140" s="12" t="s">
        <v>136</v>
      </c>
      <c r="E140" s="14">
        <v>12140373.160000002</v>
      </c>
      <c r="F140" s="14">
        <v>30031714.980660331</v>
      </c>
      <c r="G140" s="14">
        <v>6785182.0799999991</v>
      </c>
      <c r="H140" s="14">
        <v>0</v>
      </c>
      <c r="I140" s="13">
        <f t="shared" si="2"/>
        <v>48957270.220660329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66080541.839999996</v>
      </c>
      <c r="H141" s="14">
        <v>3665702.2050000001</v>
      </c>
      <c r="I141" s="13">
        <f t="shared" si="2"/>
        <v>69746244.045000002</v>
      </c>
    </row>
    <row r="142" spans="1:9" ht="15.75" x14ac:dyDescent="0.25">
      <c r="A142" s="8"/>
      <c r="B142" s="8"/>
      <c r="C142" s="9"/>
      <c r="D142" s="12" t="s">
        <v>138</v>
      </c>
      <c r="E142" s="14">
        <v>5470.17</v>
      </c>
      <c r="F142" s="14">
        <v>0</v>
      </c>
      <c r="G142" s="14">
        <v>7866999.3599999985</v>
      </c>
      <c r="H142" s="14">
        <v>0</v>
      </c>
      <c r="I142" s="13">
        <f t="shared" si="2"/>
        <v>7872469.5299999984</v>
      </c>
    </row>
    <row r="143" spans="1:9" ht="15.75" x14ac:dyDescent="0.25">
      <c r="A143" s="8"/>
      <c r="B143" s="8"/>
      <c r="C143" s="9"/>
      <c r="D143" s="12" t="s">
        <v>139</v>
      </c>
      <c r="E143" s="14">
        <v>6162388.1100000013</v>
      </c>
      <c r="F143" s="14">
        <v>27756524.35565633</v>
      </c>
      <c r="G143" s="14">
        <v>141762.65999999997</v>
      </c>
      <c r="H143" s="14">
        <v>0</v>
      </c>
      <c r="I143" s="13">
        <f t="shared" si="2"/>
        <v>34060675.125656329</v>
      </c>
    </row>
    <row r="144" spans="1:9" ht="15.75" x14ac:dyDescent="0.25">
      <c r="A144" s="8"/>
      <c r="B144" s="8"/>
      <c r="C144" s="9"/>
      <c r="D144" s="12" t="s">
        <v>140</v>
      </c>
      <c r="E144" s="14">
        <v>6110145.3799999999</v>
      </c>
      <c r="F144" s="14">
        <v>3372515.2430382958</v>
      </c>
      <c r="G144" s="14">
        <v>19869887.499999996</v>
      </c>
      <c r="H144" s="14">
        <v>0</v>
      </c>
      <c r="I144" s="13">
        <f t="shared" si="2"/>
        <v>29352548.123038292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976704942.68999982</v>
      </c>
      <c r="F145" s="22">
        <f>SUM(F10:F144)</f>
        <v>1381434851.0286002</v>
      </c>
      <c r="G145" s="22">
        <f>SUM(G10:G144)</f>
        <v>2780679086.6699986</v>
      </c>
      <c r="H145" s="22">
        <f>SUM(H10:H144)</f>
        <v>89209528.855000004</v>
      </c>
      <c r="I145" s="22">
        <f>SUM(I10:I144)</f>
        <v>5228028409.2435989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44AEAC"/>
    <pageSetUpPr fitToPage="1"/>
  </sheetPr>
  <dimension ref="A1:J145"/>
  <sheetViews>
    <sheetView showGridLines="0" zoomScale="80" zoomScaleNormal="80" workbookViewId="0">
      <selection activeCell="E10" sqref="E10:H144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2" style="2" customWidth="1"/>
    <col min="10" max="10" width="15.83203125" style="2" bestFit="1" customWidth="1"/>
    <col min="11" max="14" width="12" style="2"/>
    <col min="15" max="15" width="12" style="2" customWidth="1"/>
    <col min="16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/>
      <c r="F10" s="14"/>
      <c r="G10" s="14"/>
      <c r="H10" s="14"/>
      <c r="I10" s="13">
        <f t="shared" ref="I10:I73" si="0">SUM(E10:H10)</f>
        <v>0</v>
      </c>
    </row>
    <row r="11" spans="1:9" ht="15.75" x14ac:dyDescent="0.25">
      <c r="A11" s="8"/>
      <c r="B11" s="8"/>
      <c r="C11" s="9"/>
      <c r="D11" s="12" t="s">
        <v>7</v>
      </c>
      <c r="E11" s="14"/>
      <c r="F11" s="14"/>
      <c r="G11" s="14"/>
      <c r="H11" s="14"/>
      <c r="I11" s="13">
        <f t="shared" si="0"/>
        <v>0</v>
      </c>
    </row>
    <row r="12" spans="1:9" ht="15.75" x14ac:dyDescent="0.25">
      <c r="A12" s="8"/>
      <c r="B12" s="8"/>
      <c r="C12" s="9"/>
      <c r="D12" s="12" t="s">
        <v>8</v>
      </c>
      <c r="E12" s="14"/>
      <c r="F12" s="14"/>
      <c r="G12" s="14"/>
      <c r="H12" s="14"/>
      <c r="I12" s="13">
        <f t="shared" si="0"/>
        <v>0</v>
      </c>
    </row>
    <row r="13" spans="1:9" ht="15.75" x14ac:dyDescent="0.25">
      <c r="A13" s="8"/>
      <c r="B13" s="8"/>
      <c r="C13" s="9"/>
      <c r="D13" s="12" t="s">
        <v>9</v>
      </c>
      <c r="E13" s="14"/>
      <c r="F13" s="14"/>
      <c r="G13" s="14"/>
      <c r="H13" s="14"/>
      <c r="I13" s="13">
        <f t="shared" si="0"/>
        <v>0</v>
      </c>
    </row>
    <row r="14" spans="1:9" ht="15.75" x14ac:dyDescent="0.25">
      <c r="A14" s="8"/>
      <c r="B14" s="8"/>
      <c r="C14" s="9"/>
      <c r="D14" s="12" t="s">
        <v>10</v>
      </c>
      <c r="E14" s="14"/>
      <c r="F14" s="14"/>
      <c r="G14" s="14"/>
      <c r="H14" s="14"/>
      <c r="I14" s="13">
        <f t="shared" si="0"/>
        <v>0</v>
      </c>
    </row>
    <row r="15" spans="1:9" ht="15.75" x14ac:dyDescent="0.25">
      <c r="A15" s="8"/>
      <c r="B15" s="8"/>
      <c r="C15" s="9"/>
      <c r="D15" s="12" t="s">
        <v>11</v>
      </c>
      <c r="E15" s="14"/>
      <c r="F15" s="14"/>
      <c r="G15" s="14"/>
      <c r="H15" s="14"/>
      <c r="I15" s="13">
        <f t="shared" si="0"/>
        <v>0</v>
      </c>
    </row>
    <row r="16" spans="1:9" ht="15.75" x14ac:dyDescent="0.25">
      <c r="A16" s="8"/>
      <c r="B16" s="8"/>
      <c r="C16" s="9"/>
      <c r="D16" s="12" t="s">
        <v>12</v>
      </c>
      <c r="E16" s="14"/>
      <c r="F16" s="14"/>
      <c r="G16" s="14"/>
      <c r="H16" s="14"/>
      <c r="I16" s="13">
        <f t="shared" si="0"/>
        <v>0</v>
      </c>
    </row>
    <row r="17" spans="1:9" ht="15.75" x14ac:dyDescent="0.25">
      <c r="A17" s="8"/>
      <c r="B17" s="8"/>
      <c r="C17" s="9"/>
      <c r="D17" s="12" t="s">
        <v>13</v>
      </c>
      <c r="E17" s="14"/>
      <c r="F17" s="14"/>
      <c r="G17" s="14"/>
      <c r="H17" s="14"/>
      <c r="I17" s="13">
        <f t="shared" si="0"/>
        <v>0</v>
      </c>
    </row>
    <row r="18" spans="1:9" ht="15.75" x14ac:dyDescent="0.25">
      <c r="A18" s="8"/>
      <c r="B18" s="8"/>
      <c r="C18" s="9"/>
      <c r="D18" s="12" t="s">
        <v>14</v>
      </c>
      <c r="E18" s="14"/>
      <c r="F18" s="14"/>
      <c r="G18" s="14"/>
      <c r="H18" s="14"/>
      <c r="I18" s="13">
        <f t="shared" si="0"/>
        <v>0</v>
      </c>
    </row>
    <row r="19" spans="1:9" ht="15.75" x14ac:dyDescent="0.25">
      <c r="A19" s="8"/>
      <c r="B19" s="8"/>
      <c r="C19" s="9"/>
      <c r="D19" s="12" t="s">
        <v>15</v>
      </c>
      <c r="E19" s="14"/>
      <c r="F19" s="14"/>
      <c r="G19" s="14"/>
      <c r="H19" s="14"/>
      <c r="I19" s="13">
        <f t="shared" si="0"/>
        <v>0</v>
      </c>
    </row>
    <row r="20" spans="1:9" ht="15.75" x14ac:dyDescent="0.25">
      <c r="A20" s="8"/>
      <c r="B20" s="8"/>
      <c r="C20" s="9"/>
      <c r="D20" s="12" t="s">
        <v>16</v>
      </c>
      <c r="E20" s="14"/>
      <c r="F20" s="14"/>
      <c r="G20" s="14"/>
      <c r="H20" s="14"/>
      <c r="I20" s="13">
        <f t="shared" si="0"/>
        <v>0</v>
      </c>
    </row>
    <row r="21" spans="1:9" ht="15.75" x14ac:dyDescent="0.25">
      <c r="A21" s="8"/>
      <c r="B21" s="8"/>
      <c r="C21" s="9"/>
      <c r="D21" s="12" t="s">
        <v>17</v>
      </c>
      <c r="E21" s="14"/>
      <c r="F21" s="14"/>
      <c r="G21" s="14"/>
      <c r="H21" s="14"/>
      <c r="I21" s="13">
        <f t="shared" si="0"/>
        <v>0</v>
      </c>
    </row>
    <row r="22" spans="1:9" ht="15.75" x14ac:dyDescent="0.25">
      <c r="A22" s="8"/>
      <c r="B22" s="8"/>
      <c r="C22" s="9"/>
      <c r="D22" s="12" t="s">
        <v>18</v>
      </c>
      <c r="E22" s="14"/>
      <c r="F22" s="14"/>
      <c r="G22" s="14"/>
      <c r="H22" s="14"/>
      <c r="I22" s="13">
        <f t="shared" si="0"/>
        <v>0</v>
      </c>
    </row>
    <row r="23" spans="1:9" ht="15.75" x14ac:dyDescent="0.25">
      <c r="A23" s="8"/>
      <c r="B23" s="8"/>
      <c r="C23" s="9"/>
      <c r="D23" s="12" t="s">
        <v>19</v>
      </c>
      <c r="E23" s="14"/>
      <c r="F23" s="14"/>
      <c r="G23" s="14"/>
      <c r="H23" s="14"/>
      <c r="I23" s="13">
        <f t="shared" si="0"/>
        <v>0</v>
      </c>
    </row>
    <row r="24" spans="1:9" ht="15.75" x14ac:dyDescent="0.25">
      <c r="A24" s="8"/>
      <c r="B24" s="8"/>
      <c r="C24" s="9"/>
      <c r="D24" s="12" t="s">
        <v>20</v>
      </c>
      <c r="E24" s="14"/>
      <c r="F24" s="14"/>
      <c r="G24" s="14"/>
      <c r="H24" s="14"/>
      <c r="I24" s="13">
        <f t="shared" si="0"/>
        <v>0</v>
      </c>
    </row>
    <row r="25" spans="1:9" ht="15.75" x14ac:dyDescent="0.25">
      <c r="A25" s="8"/>
      <c r="B25" s="8"/>
      <c r="C25" s="9"/>
      <c r="D25" s="12" t="s">
        <v>21</v>
      </c>
      <c r="E25" s="14"/>
      <c r="F25" s="14"/>
      <c r="G25" s="14"/>
      <c r="H25" s="14"/>
      <c r="I25" s="13">
        <f t="shared" si="0"/>
        <v>0</v>
      </c>
    </row>
    <row r="26" spans="1:9" ht="15.75" x14ac:dyDescent="0.25">
      <c r="A26" s="8"/>
      <c r="B26" s="8"/>
      <c r="C26" s="9"/>
      <c r="D26" s="12" t="s">
        <v>22</v>
      </c>
      <c r="E26" s="14"/>
      <c r="F26" s="14"/>
      <c r="G26" s="14"/>
      <c r="H26" s="14"/>
      <c r="I26" s="13">
        <f t="shared" si="0"/>
        <v>0</v>
      </c>
    </row>
    <row r="27" spans="1:9" ht="15.75" x14ac:dyDescent="0.25">
      <c r="A27" s="8"/>
      <c r="B27" s="8"/>
      <c r="C27" s="9"/>
      <c r="D27" s="12" t="s">
        <v>23</v>
      </c>
      <c r="E27" s="14"/>
      <c r="F27" s="14"/>
      <c r="G27" s="14"/>
      <c r="H27" s="14"/>
      <c r="I27" s="13">
        <f t="shared" si="0"/>
        <v>0</v>
      </c>
    </row>
    <row r="28" spans="1:9" ht="15.75" x14ac:dyDescent="0.25">
      <c r="A28" s="8"/>
      <c r="B28" s="8"/>
      <c r="C28" s="9"/>
      <c r="D28" s="12" t="s">
        <v>24</v>
      </c>
      <c r="E28" s="14"/>
      <c r="F28" s="14"/>
      <c r="G28" s="14"/>
      <c r="H28" s="14"/>
      <c r="I28" s="13">
        <f t="shared" si="0"/>
        <v>0</v>
      </c>
    </row>
    <row r="29" spans="1:9" ht="15.75" x14ac:dyDescent="0.25">
      <c r="A29" s="8"/>
      <c r="B29" s="8"/>
      <c r="C29" s="9"/>
      <c r="D29" s="12" t="s">
        <v>25</v>
      </c>
      <c r="E29" s="14"/>
      <c r="F29" s="14"/>
      <c r="G29" s="14"/>
      <c r="H29" s="14"/>
      <c r="I29" s="13">
        <f t="shared" si="0"/>
        <v>0</v>
      </c>
    </row>
    <row r="30" spans="1:9" ht="15.75" x14ac:dyDescent="0.25">
      <c r="A30" s="8"/>
      <c r="B30" s="8"/>
      <c r="C30" s="9"/>
      <c r="D30" s="12" t="s">
        <v>26</v>
      </c>
      <c r="E30" s="14"/>
      <c r="F30" s="14"/>
      <c r="G30" s="14"/>
      <c r="H30" s="14"/>
      <c r="I30" s="13">
        <f t="shared" si="0"/>
        <v>0</v>
      </c>
    </row>
    <row r="31" spans="1:9" ht="15.75" x14ac:dyDescent="0.25">
      <c r="A31" s="8"/>
      <c r="B31" s="8"/>
      <c r="C31" s="9"/>
      <c r="D31" s="12" t="s">
        <v>27</v>
      </c>
      <c r="E31" s="14"/>
      <c r="F31" s="14"/>
      <c r="G31" s="14"/>
      <c r="H31" s="14"/>
      <c r="I31" s="13">
        <f t="shared" si="0"/>
        <v>0</v>
      </c>
    </row>
    <row r="32" spans="1:9" ht="15.75" x14ac:dyDescent="0.25">
      <c r="A32" s="8"/>
      <c r="B32" s="8"/>
      <c r="C32" s="9"/>
      <c r="D32" s="12" t="s">
        <v>28</v>
      </c>
      <c r="E32" s="14"/>
      <c r="F32" s="14"/>
      <c r="G32" s="14"/>
      <c r="H32" s="14"/>
      <c r="I32" s="13">
        <f t="shared" si="0"/>
        <v>0</v>
      </c>
    </row>
    <row r="33" spans="1:9" ht="15.75" x14ac:dyDescent="0.25">
      <c r="A33" s="8"/>
      <c r="B33" s="8"/>
      <c r="C33" s="9"/>
      <c r="D33" s="12" t="s">
        <v>29</v>
      </c>
      <c r="E33" s="14"/>
      <c r="F33" s="14"/>
      <c r="G33" s="14"/>
      <c r="H33" s="14"/>
      <c r="I33" s="13">
        <f t="shared" si="0"/>
        <v>0</v>
      </c>
    </row>
    <row r="34" spans="1:9" ht="15.75" x14ac:dyDescent="0.25">
      <c r="A34" s="8"/>
      <c r="B34" s="8"/>
      <c r="C34" s="9"/>
      <c r="D34" s="12" t="s">
        <v>30</v>
      </c>
      <c r="E34" s="14"/>
      <c r="F34" s="14"/>
      <c r="G34" s="14"/>
      <c r="H34" s="14"/>
      <c r="I34" s="13">
        <f t="shared" si="0"/>
        <v>0</v>
      </c>
    </row>
    <row r="35" spans="1:9" ht="15.75" x14ac:dyDescent="0.25">
      <c r="A35" s="8"/>
      <c r="B35" s="8"/>
      <c r="C35" s="9"/>
      <c r="D35" s="12" t="s">
        <v>31</v>
      </c>
      <c r="E35" s="14"/>
      <c r="F35" s="14"/>
      <c r="G35" s="14"/>
      <c r="H35" s="14"/>
      <c r="I35" s="13">
        <f t="shared" si="0"/>
        <v>0</v>
      </c>
    </row>
    <row r="36" spans="1:9" ht="15.75" x14ac:dyDescent="0.25">
      <c r="A36" s="8"/>
      <c r="B36" s="8"/>
      <c r="C36" s="9"/>
      <c r="D36" s="12" t="s">
        <v>32</v>
      </c>
      <c r="E36" s="14"/>
      <c r="F36" s="14"/>
      <c r="G36" s="14"/>
      <c r="H36" s="14"/>
      <c r="I36" s="13">
        <f t="shared" si="0"/>
        <v>0</v>
      </c>
    </row>
    <row r="37" spans="1:9" ht="15.75" x14ac:dyDescent="0.25">
      <c r="A37" s="8"/>
      <c r="B37" s="8"/>
      <c r="C37" s="9"/>
      <c r="D37" s="12" t="s">
        <v>33</v>
      </c>
      <c r="E37" s="14"/>
      <c r="F37" s="14"/>
      <c r="G37" s="14"/>
      <c r="H37" s="14"/>
      <c r="I37" s="13">
        <f t="shared" si="0"/>
        <v>0</v>
      </c>
    </row>
    <row r="38" spans="1:9" ht="15.75" x14ac:dyDescent="0.25">
      <c r="A38" s="8"/>
      <c r="B38" s="8"/>
      <c r="C38" s="9"/>
      <c r="D38" s="12" t="s">
        <v>34</v>
      </c>
      <c r="E38" s="14"/>
      <c r="F38" s="14"/>
      <c r="G38" s="14"/>
      <c r="H38" s="14"/>
      <c r="I38" s="13">
        <f t="shared" si="0"/>
        <v>0</v>
      </c>
    </row>
    <row r="39" spans="1:9" ht="15.75" x14ac:dyDescent="0.25">
      <c r="A39" s="8"/>
      <c r="B39" s="8"/>
      <c r="C39" s="9"/>
      <c r="D39" s="12" t="s">
        <v>35</v>
      </c>
      <c r="E39" s="14"/>
      <c r="F39" s="14"/>
      <c r="G39" s="14"/>
      <c r="H39" s="14"/>
      <c r="I39" s="13">
        <f t="shared" si="0"/>
        <v>0</v>
      </c>
    </row>
    <row r="40" spans="1:9" ht="15.75" x14ac:dyDescent="0.25">
      <c r="A40" s="8"/>
      <c r="B40" s="8"/>
      <c r="C40" s="9"/>
      <c r="D40" s="12" t="s">
        <v>36</v>
      </c>
      <c r="E40" s="14"/>
      <c r="F40" s="14"/>
      <c r="G40" s="14"/>
      <c r="H40" s="14"/>
      <c r="I40" s="13">
        <f t="shared" si="0"/>
        <v>0</v>
      </c>
    </row>
    <row r="41" spans="1:9" ht="15.75" x14ac:dyDescent="0.25">
      <c r="A41" s="8"/>
      <c r="B41" s="8"/>
      <c r="C41" s="9"/>
      <c r="D41" s="12" t="s">
        <v>37</v>
      </c>
      <c r="E41" s="14"/>
      <c r="F41" s="14"/>
      <c r="G41" s="14"/>
      <c r="H41" s="14"/>
      <c r="I41" s="13">
        <f t="shared" si="0"/>
        <v>0</v>
      </c>
    </row>
    <row r="42" spans="1:9" ht="15.75" x14ac:dyDescent="0.25">
      <c r="A42" s="8"/>
      <c r="B42" s="8"/>
      <c r="C42" s="9"/>
      <c r="D42" s="12" t="s">
        <v>38</v>
      </c>
      <c r="E42" s="14"/>
      <c r="F42" s="14"/>
      <c r="G42" s="14"/>
      <c r="H42" s="14"/>
      <c r="I42" s="13">
        <f t="shared" si="0"/>
        <v>0</v>
      </c>
    </row>
    <row r="43" spans="1:9" ht="15.75" x14ac:dyDescent="0.25">
      <c r="A43" s="8"/>
      <c r="B43" s="8"/>
      <c r="C43" s="9"/>
      <c r="D43" s="12" t="s">
        <v>39</v>
      </c>
      <c r="E43" s="14"/>
      <c r="F43" s="14"/>
      <c r="G43" s="14"/>
      <c r="H43" s="14"/>
      <c r="I43" s="13">
        <f t="shared" si="0"/>
        <v>0</v>
      </c>
    </row>
    <row r="44" spans="1:9" ht="15.75" x14ac:dyDescent="0.25">
      <c r="A44" s="8"/>
      <c r="B44" s="8"/>
      <c r="C44" s="9"/>
      <c r="D44" s="12" t="s">
        <v>40</v>
      </c>
      <c r="E44" s="14"/>
      <c r="F44" s="14"/>
      <c r="G44" s="14"/>
      <c r="H44" s="14"/>
      <c r="I44" s="13">
        <f t="shared" si="0"/>
        <v>0</v>
      </c>
    </row>
    <row r="45" spans="1:9" ht="15.75" x14ac:dyDescent="0.25">
      <c r="A45" s="8"/>
      <c r="B45" s="8"/>
      <c r="C45" s="9"/>
      <c r="D45" s="12" t="s">
        <v>41</v>
      </c>
      <c r="E45" s="14"/>
      <c r="F45" s="14"/>
      <c r="G45" s="14"/>
      <c r="H45" s="14"/>
      <c r="I45" s="13">
        <f t="shared" si="0"/>
        <v>0</v>
      </c>
    </row>
    <row r="46" spans="1:9" ht="15.75" x14ac:dyDescent="0.25">
      <c r="A46" s="8"/>
      <c r="B46" s="8"/>
      <c r="C46" s="9"/>
      <c r="D46" s="12" t="s">
        <v>42</v>
      </c>
      <c r="E46" s="14"/>
      <c r="F46" s="14"/>
      <c r="G46" s="14"/>
      <c r="H46" s="14"/>
      <c r="I46" s="13">
        <f t="shared" si="0"/>
        <v>0</v>
      </c>
    </row>
    <row r="47" spans="1:9" ht="15.75" x14ac:dyDescent="0.25">
      <c r="A47" s="8"/>
      <c r="B47" s="8"/>
      <c r="C47" s="9"/>
      <c r="D47" s="12" t="s">
        <v>43</v>
      </c>
      <c r="E47" s="14"/>
      <c r="F47" s="14"/>
      <c r="G47" s="14"/>
      <c r="H47" s="14"/>
      <c r="I47" s="13">
        <f t="shared" si="0"/>
        <v>0</v>
      </c>
    </row>
    <row r="48" spans="1:9" ht="15.75" x14ac:dyDescent="0.25">
      <c r="A48" s="8"/>
      <c r="B48" s="8"/>
      <c r="C48" s="9"/>
      <c r="D48" s="12" t="s">
        <v>44</v>
      </c>
      <c r="E48" s="14"/>
      <c r="F48" s="14"/>
      <c r="G48" s="14"/>
      <c r="H48" s="14"/>
      <c r="I48" s="13">
        <f t="shared" si="0"/>
        <v>0</v>
      </c>
    </row>
    <row r="49" spans="1:9" ht="15.75" x14ac:dyDescent="0.25">
      <c r="A49" s="8"/>
      <c r="B49" s="8"/>
      <c r="C49" s="9"/>
      <c r="D49" s="12" t="s">
        <v>45</v>
      </c>
      <c r="E49" s="14"/>
      <c r="F49" s="14"/>
      <c r="G49" s="14"/>
      <c r="H49" s="14"/>
      <c r="I49" s="13">
        <f t="shared" si="0"/>
        <v>0</v>
      </c>
    </row>
    <row r="50" spans="1:9" ht="15.75" x14ac:dyDescent="0.25">
      <c r="A50" s="8"/>
      <c r="B50" s="8"/>
      <c r="C50" s="9"/>
      <c r="D50" s="12" t="s">
        <v>46</v>
      </c>
      <c r="E50" s="14"/>
      <c r="F50" s="14"/>
      <c r="G50" s="14"/>
      <c r="H50" s="14"/>
      <c r="I50" s="13">
        <f t="shared" si="0"/>
        <v>0</v>
      </c>
    </row>
    <row r="51" spans="1:9" ht="15.75" x14ac:dyDescent="0.25">
      <c r="A51" s="8"/>
      <c r="B51" s="8"/>
      <c r="C51" s="9"/>
      <c r="D51" s="12" t="s">
        <v>47</v>
      </c>
      <c r="E51" s="14"/>
      <c r="F51" s="14"/>
      <c r="G51" s="14"/>
      <c r="H51" s="14"/>
      <c r="I51" s="13">
        <f t="shared" si="0"/>
        <v>0</v>
      </c>
    </row>
    <row r="52" spans="1:9" ht="15.75" x14ac:dyDescent="0.25">
      <c r="A52" s="8"/>
      <c r="B52" s="8"/>
      <c r="C52" s="9"/>
      <c r="D52" s="12" t="s">
        <v>48</v>
      </c>
      <c r="E52" s="14"/>
      <c r="F52" s="14"/>
      <c r="G52" s="14"/>
      <c r="H52" s="14"/>
      <c r="I52" s="13">
        <f t="shared" si="0"/>
        <v>0</v>
      </c>
    </row>
    <row r="53" spans="1:9" ht="15.75" x14ac:dyDescent="0.25">
      <c r="A53" s="8"/>
      <c r="B53" s="8"/>
      <c r="C53" s="9"/>
      <c r="D53" s="12" t="s">
        <v>49</v>
      </c>
      <c r="E53" s="14"/>
      <c r="F53" s="14"/>
      <c r="G53" s="14"/>
      <c r="H53" s="14"/>
      <c r="I53" s="13">
        <f t="shared" si="0"/>
        <v>0</v>
      </c>
    </row>
    <row r="54" spans="1:9" ht="15.75" x14ac:dyDescent="0.25">
      <c r="A54" s="8"/>
      <c r="B54" s="8"/>
      <c r="C54" s="9"/>
      <c r="D54" s="12" t="s">
        <v>50</v>
      </c>
      <c r="E54" s="14"/>
      <c r="F54" s="14"/>
      <c r="G54" s="14"/>
      <c r="H54" s="14"/>
      <c r="I54" s="13">
        <f t="shared" si="0"/>
        <v>0</v>
      </c>
    </row>
    <row r="55" spans="1:9" ht="15.75" x14ac:dyDescent="0.25">
      <c r="A55" s="8"/>
      <c r="B55" s="8"/>
      <c r="C55" s="9"/>
      <c r="D55" s="12" t="s">
        <v>51</v>
      </c>
      <c r="E55" s="14"/>
      <c r="F55" s="14"/>
      <c r="G55" s="14"/>
      <c r="H55" s="14"/>
      <c r="I55" s="13">
        <f t="shared" si="0"/>
        <v>0</v>
      </c>
    </row>
    <row r="56" spans="1:9" ht="15.75" x14ac:dyDescent="0.25">
      <c r="A56" s="8"/>
      <c r="B56" s="8"/>
      <c r="C56" s="9"/>
      <c r="D56" s="12" t="s">
        <v>52</v>
      </c>
      <c r="E56" s="14"/>
      <c r="F56" s="14"/>
      <c r="G56" s="14"/>
      <c r="H56" s="14"/>
      <c r="I56" s="13">
        <f t="shared" si="0"/>
        <v>0</v>
      </c>
    </row>
    <row r="57" spans="1:9" ht="15.75" x14ac:dyDescent="0.25">
      <c r="A57" s="8"/>
      <c r="B57" s="8"/>
      <c r="C57" s="9"/>
      <c r="D57" s="12" t="s">
        <v>53</v>
      </c>
      <c r="E57" s="14"/>
      <c r="F57" s="14"/>
      <c r="G57" s="14"/>
      <c r="H57" s="14"/>
      <c r="I57" s="13">
        <f t="shared" si="0"/>
        <v>0</v>
      </c>
    </row>
    <row r="58" spans="1:9" ht="15.75" x14ac:dyDescent="0.25">
      <c r="A58" s="8"/>
      <c r="B58" s="8"/>
      <c r="C58" s="9"/>
      <c r="D58" s="12" t="s">
        <v>54</v>
      </c>
      <c r="E58" s="14"/>
      <c r="F58" s="14"/>
      <c r="G58" s="14"/>
      <c r="H58" s="14"/>
      <c r="I58" s="13">
        <f t="shared" si="0"/>
        <v>0</v>
      </c>
    </row>
    <row r="59" spans="1:9" ht="15.75" x14ac:dyDescent="0.25">
      <c r="A59" s="8"/>
      <c r="B59" s="8"/>
      <c r="C59" s="9"/>
      <c r="D59" s="12" t="s">
        <v>55</v>
      </c>
      <c r="E59" s="14"/>
      <c r="F59" s="14"/>
      <c r="G59" s="14"/>
      <c r="H59" s="14"/>
      <c r="I59" s="13">
        <f t="shared" si="0"/>
        <v>0</v>
      </c>
    </row>
    <row r="60" spans="1:9" ht="15.75" x14ac:dyDescent="0.25">
      <c r="A60" s="8"/>
      <c r="B60" s="8"/>
      <c r="C60" s="9"/>
      <c r="D60" s="12" t="s">
        <v>56</v>
      </c>
      <c r="E60" s="14"/>
      <c r="F60" s="14"/>
      <c r="G60" s="14"/>
      <c r="H60" s="14"/>
      <c r="I60" s="13">
        <f t="shared" si="0"/>
        <v>0</v>
      </c>
    </row>
    <row r="61" spans="1:9" ht="15.75" x14ac:dyDescent="0.25">
      <c r="A61" s="8"/>
      <c r="B61" s="8"/>
      <c r="C61" s="9"/>
      <c r="D61" s="12" t="s">
        <v>57</v>
      </c>
      <c r="E61" s="14"/>
      <c r="F61" s="14"/>
      <c r="G61" s="14"/>
      <c r="H61" s="14"/>
      <c r="I61" s="13">
        <f t="shared" si="0"/>
        <v>0</v>
      </c>
    </row>
    <row r="62" spans="1:9" ht="15.75" x14ac:dyDescent="0.25">
      <c r="A62" s="8"/>
      <c r="B62" s="8"/>
      <c r="C62" s="9"/>
      <c r="D62" s="12" t="s">
        <v>58</v>
      </c>
      <c r="E62" s="14"/>
      <c r="F62" s="14"/>
      <c r="G62" s="14"/>
      <c r="H62" s="14"/>
      <c r="I62" s="13">
        <f t="shared" si="0"/>
        <v>0</v>
      </c>
    </row>
    <row r="63" spans="1:9" ht="15.75" x14ac:dyDescent="0.25">
      <c r="A63" s="8"/>
      <c r="B63" s="8"/>
      <c r="C63" s="9"/>
      <c r="D63" s="12" t="s">
        <v>59</v>
      </c>
      <c r="E63" s="14"/>
      <c r="F63" s="14"/>
      <c r="G63" s="14"/>
      <c r="H63" s="14"/>
      <c r="I63" s="13">
        <f t="shared" si="0"/>
        <v>0</v>
      </c>
    </row>
    <row r="64" spans="1:9" ht="15.75" x14ac:dyDescent="0.25">
      <c r="A64" s="8"/>
      <c r="B64" s="8"/>
      <c r="C64" s="9"/>
      <c r="D64" s="12" t="s">
        <v>60</v>
      </c>
      <c r="E64" s="14"/>
      <c r="F64" s="14"/>
      <c r="G64" s="14"/>
      <c r="H64" s="14"/>
      <c r="I64" s="13">
        <f t="shared" si="0"/>
        <v>0</v>
      </c>
    </row>
    <row r="65" spans="1:9" ht="15.75" x14ac:dyDescent="0.25">
      <c r="A65" s="8"/>
      <c r="B65" s="8"/>
      <c r="C65" s="9"/>
      <c r="D65" s="12" t="s">
        <v>61</v>
      </c>
      <c r="E65" s="14"/>
      <c r="F65" s="14"/>
      <c r="G65" s="14"/>
      <c r="H65" s="14"/>
      <c r="I65" s="13">
        <f t="shared" si="0"/>
        <v>0</v>
      </c>
    </row>
    <row r="66" spans="1:9" ht="15.75" x14ac:dyDescent="0.25">
      <c r="A66" s="8"/>
      <c r="B66" s="8"/>
      <c r="C66" s="9"/>
      <c r="D66" s="12" t="s">
        <v>62</v>
      </c>
      <c r="E66" s="14"/>
      <c r="F66" s="14"/>
      <c r="G66" s="14"/>
      <c r="H66" s="14"/>
      <c r="I66" s="13">
        <f t="shared" si="0"/>
        <v>0</v>
      </c>
    </row>
    <row r="67" spans="1:9" ht="15.75" x14ac:dyDescent="0.25">
      <c r="A67" s="8"/>
      <c r="B67" s="8"/>
      <c r="C67" s="9"/>
      <c r="D67" s="12" t="s">
        <v>63</v>
      </c>
      <c r="E67" s="14"/>
      <c r="F67" s="14"/>
      <c r="G67" s="14"/>
      <c r="H67" s="14"/>
      <c r="I67" s="13">
        <f t="shared" si="0"/>
        <v>0</v>
      </c>
    </row>
    <row r="68" spans="1:9" ht="15.75" x14ac:dyDescent="0.25">
      <c r="A68" s="8"/>
      <c r="B68" s="8"/>
      <c r="C68" s="9"/>
      <c r="D68" s="12" t="s">
        <v>64</v>
      </c>
      <c r="E68" s="14"/>
      <c r="F68" s="14"/>
      <c r="G68" s="14"/>
      <c r="H68" s="14"/>
      <c r="I68" s="13">
        <f t="shared" si="0"/>
        <v>0</v>
      </c>
    </row>
    <row r="69" spans="1:9" ht="15.75" x14ac:dyDescent="0.25">
      <c r="A69" s="8"/>
      <c r="B69" s="8"/>
      <c r="C69" s="9"/>
      <c r="D69" s="12" t="s">
        <v>65</v>
      </c>
      <c r="E69" s="14"/>
      <c r="F69" s="14"/>
      <c r="G69" s="14"/>
      <c r="H69" s="14"/>
      <c r="I69" s="13">
        <f t="shared" si="0"/>
        <v>0</v>
      </c>
    </row>
    <row r="70" spans="1:9" ht="15.75" x14ac:dyDescent="0.25">
      <c r="A70" s="8"/>
      <c r="B70" s="8"/>
      <c r="C70" s="9"/>
      <c r="D70" s="12" t="s">
        <v>66</v>
      </c>
      <c r="E70" s="14"/>
      <c r="F70" s="14"/>
      <c r="G70" s="14"/>
      <c r="H70" s="14"/>
      <c r="I70" s="13">
        <f t="shared" si="0"/>
        <v>0</v>
      </c>
    </row>
    <row r="71" spans="1:9" ht="15.75" x14ac:dyDescent="0.25">
      <c r="A71" s="8"/>
      <c r="B71" s="8"/>
      <c r="C71" s="9"/>
      <c r="D71" s="12" t="s">
        <v>67</v>
      </c>
      <c r="E71" s="14"/>
      <c r="F71" s="14"/>
      <c r="G71" s="14"/>
      <c r="H71" s="14"/>
      <c r="I71" s="13">
        <f t="shared" si="0"/>
        <v>0</v>
      </c>
    </row>
    <row r="72" spans="1:9" ht="15.75" x14ac:dyDescent="0.25">
      <c r="A72" s="8"/>
      <c r="B72" s="8"/>
      <c r="C72" s="9"/>
      <c r="D72" s="12" t="s">
        <v>68</v>
      </c>
      <c r="E72" s="14"/>
      <c r="F72" s="14"/>
      <c r="G72" s="14"/>
      <c r="H72" s="14"/>
      <c r="I72" s="13">
        <f t="shared" si="0"/>
        <v>0</v>
      </c>
    </row>
    <row r="73" spans="1:9" ht="15.75" x14ac:dyDescent="0.25">
      <c r="A73" s="8"/>
      <c r="B73" s="8"/>
      <c r="C73" s="9"/>
      <c r="D73" s="12" t="s">
        <v>69</v>
      </c>
      <c r="E73" s="14"/>
      <c r="F73" s="14"/>
      <c r="G73" s="14"/>
      <c r="H73" s="14"/>
      <c r="I73" s="13">
        <f t="shared" si="0"/>
        <v>0</v>
      </c>
    </row>
    <row r="74" spans="1:9" ht="15.75" x14ac:dyDescent="0.25">
      <c r="A74" s="8"/>
      <c r="B74" s="8"/>
      <c r="C74" s="9"/>
      <c r="D74" s="12" t="s">
        <v>70</v>
      </c>
      <c r="E74" s="14"/>
      <c r="F74" s="14"/>
      <c r="G74" s="14"/>
      <c r="H74" s="14"/>
      <c r="I74" s="13">
        <f t="shared" ref="I74:I137" si="1">SUM(E74:H74)</f>
        <v>0</v>
      </c>
    </row>
    <row r="75" spans="1:9" ht="15.75" x14ac:dyDescent="0.25">
      <c r="A75" s="8"/>
      <c r="B75" s="8"/>
      <c r="C75" s="9"/>
      <c r="D75" s="12" t="s">
        <v>71</v>
      </c>
      <c r="E75" s="14"/>
      <c r="F75" s="14"/>
      <c r="G75" s="14"/>
      <c r="H75" s="14"/>
      <c r="I75" s="13">
        <f t="shared" si="1"/>
        <v>0</v>
      </c>
    </row>
    <row r="76" spans="1:9" ht="15.75" x14ac:dyDescent="0.25">
      <c r="A76" s="8"/>
      <c r="B76" s="8"/>
      <c r="C76" s="9"/>
      <c r="D76" s="12" t="s">
        <v>72</v>
      </c>
      <c r="E76" s="14"/>
      <c r="F76" s="14"/>
      <c r="G76" s="14"/>
      <c r="H76" s="14"/>
      <c r="I76" s="13">
        <f t="shared" si="1"/>
        <v>0</v>
      </c>
    </row>
    <row r="77" spans="1:9" ht="15.75" x14ac:dyDescent="0.25">
      <c r="A77" s="8"/>
      <c r="B77" s="8"/>
      <c r="C77" s="9"/>
      <c r="D77" s="12" t="s">
        <v>73</v>
      </c>
      <c r="E77" s="14"/>
      <c r="F77" s="14"/>
      <c r="G77" s="14"/>
      <c r="H77" s="14"/>
      <c r="I77" s="13">
        <f t="shared" si="1"/>
        <v>0</v>
      </c>
    </row>
    <row r="78" spans="1:9" ht="15.75" x14ac:dyDescent="0.25">
      <c r="A78" s="8"/>
      <c r="B78" s="8"/>
      <c r="C78" s="9"/>
      <c r="D78" s="12" t="s">
        <v>74</v>
      </c>
      <c r="E78" s="14"/>
      <c r="F78" s="14"/>
      <c r="G78" s="14"/>
      <c r="H78" s="14"/>
      <c r="I78" s="13">
        <f t="shared" si="1"/>
        <v>0</v>
      </c>
    </row>
    <row r="79" spans="1:9" ht="15.75" x14ac:dyDescent="0.25">
      <c r="A79" s="8"/>
      <c r="B79" s="8"/>
      <c r="C79" s="9"/>
      <c r="D79" s="12" t="s">
        <v>75</v>
      </c>
      <c r="E79" s="14"/>
      <c r="F79" s="14"/>
      <c r="G79" s="14"/>
      <c r="H79" s="14"/>
      <c r="I79" s="13">
        <f t="shared" si="1"/>
        <v>0</v>
      </c>
    </row>
    <row r="80" spans="1:9" ht="15.75" x14ac:dyDescent="0.25">
      <c r="A80" s="8"/>
      <c r="B80" s="8"/>
      <c r="C80" s="9"/>
      <c r="D80" s="12" t="s">
        <v>76</v>
      </c>
      <c r="E80" s="14"/>
      <c r="F80" s="14"/>
      <c r="G80" s="14"/>
      <c r="H80" s="14"/>
      <c r="I80" s="13">
        <f t="shared" si="1"/>
        <v>0</v>
      </c>
    </row>
    <row r="81" spans="1:9" ht="15.75" x14ac:dyDescent="0.25">
      <c r="A81" s="8"/>
      <c r="B81" s="8"/>
      <c r="C81" s="9"/>
      <c r="D81" s="12" t="s">
        <v>77</v>
      </c>
      <c r="E81" s="14"/>
      <c r="F81" s="14"/>
      <c r="G81" s="14"/>
      <c r="H81" s="14"/>
      <c r="I81" s="13">
        <f t="shared" si="1"/>
        <v>0</v>
      </c>
    </row>
    <row r="82" spans="1:9" ht="15.75" x14ac:dyDescent="0.25">
      <c r="A82" s="8"/>
      <c r="B82" s="8"/>
      <c r="C82" s="9"/>
      <c r="D82" s="12" t="s">
        <v>78</v>
      </c>
      <c r="E82" s="14"/>
      <c r="F82" s="14"/>
      <c r="G82" s="14"/>
      <c r="H82" s="14"/>
      <c r="I82" s="13">
        <f t="shared" si="1"/>
        <v>0</v>
      </c>
    </row>
    <row r="83" spans="1:9" ht="15.75" x14ac:dyDescent="0.25">
      <c r="A83" s="8"/>
      <c r="B83" s="8"/>
      <c r="C83" s="9"/>
      <c r="D83" s="12" t="s">
        <v>79</v>
      </c>
      <c r="E83" s="14"/>
      <c r="F83" s="14"/>
      <c r="G83" s="14"/>
      <c r="H83" s="14"/>
      <c r="I83" s="13">
        <f t="shared" si="1"/>
        <v>0</v>
      </c>
    </row>
    <row r="84" spans="1:9" ht="15.75" x14ac:dyDescent="0.25">
      <c r="A84" s="8"/>
      <c r="B84" s="8"/>
      <c r="C84" s="9"/>
      <c r="D84" s="12" t="s">
        <v>80</v>
      </c>
      <c r="E84" s="14"/>
      <c r="F84" s="14"/>
      <c r="G84" s="14"/>
      <c r="H84" s="14"/>
      <c r="I84" s="13">
        <f t="shared" si="1"/>
        <v>0</v>
      </c>
    </row>
    <row r="85" spans="1:9" ht="15.75" x14ac:dyDescent="0.25">
      <c r="A85" s="8"/>
      <c r="B85" s="8"/>
      <c r="C85" s="9"/>
      <c r="D85" s="12" t="s">
        <v>81</v>
      </c>
      <c r="E85" s="14"/>
      <c r="F85" s="14"/>
      <c r="G85" s="14"/>
      <c r="H85" s="14"/>
      <c r="I85" s="13">
        <f t="shared" si="1"/>
        <v>0</v>
      </c>
    </row>
    <row r="86" spans="1:9" ht="15.75" x14ac:dyDescent="0.25">
      <c r="A86" s="8"/>
      <c r="B86" s="8"/>
      <c r="C86" s="9"/>
      <c r="D86" s="12" t="s">
        <v>82</v>
      </c>
      <c r="E86" s="14"/>
      <c r="F86" s="14"/>
      <c r="G86" s="14"/>
      <c r="H86" s="14"/>
      <c r="I86" s="13">
        <f t="shared" si="1"/>
        <v>0</v>
      </c>
    </row>
    <row r="87" spans="1:9" ht="15.75" x14ac:dyDescent="0.25">
      <c r="A87" s="8"/>
      <c r="B87" s="8"/>
      <c r="C87" s="9"/>
      <c r="D87" s="12" t="s">
        <v>83</v>
      </c>
      <c r="E87" s="14"/>
      <c r="F87" s="14"/>
      <c r="G87" s="14"/>
      <c r="H87" s="14"/>
      <c r="I87" s="13">
        <f t="shared" si="1"/>
        <v>0</v>
      </c>
    </row>
    <row r="88" spans="1:9" ht="15.75" x14ac:dyDescent="0.25">
      <c r="A88" s="8"/>
      <c r="B88" s="8"/>
      <c r="C88" s="9"/>
      <c r="D88" s="12" t="s">
        <v>84</v>
      </c>
      <c r="E88" s="14"/>
      <c r="F88" s="14"/>
      <c r="G88" s="14"/>
      <c r="H88" s="14"/>
      <c r="I88" s="13">
        <f t="shared" si="1"/>
        <v>0</v>
      </c>
    </row>
    <row r="89" spans="1:9" ht="15.75" x14ac:dyDescent="0.25">
      <c r="A89" s="8"/>
      <c r="B89" s="8"/>
      <c r="C89" s="9"/>
      <c r="D89" s="12" t="s">
        <v>85</v>
      </c>
      <c r="E89" s="14"/>
      <c r="F89" s="14"/>
      <c r="G89" s="14"/>
      <c r="H89" s="14"/>
      <c r="I89" s="13">
        <f t="shared" si="1"/>
        <v>0</v>
      </c>
    </row>
    <row r="90" spans="1:9" ht="15.75" x14ac:dyDescent="0.25">
      <c r="A90" s="8"/>
      <c r="B90" s="8"/>
      <c r="C90" s="9"/>
      <c r="D90" s="12" t="s">
        <v>86</v>
      </c>
      <c r="E90" s="14"/>
      <c r="F90" s="14"/>
      <c r="G90" s="14"/>
      <c r="H90" s="14"/>
      <c r="I90" s="13">
        <f t="shared" si="1"/>
        <v>0</v>
      </c>
    </row>
    <row r="91" spans="1:9" ht="15.75" x14ac:dyDescent="0.25">
      <c r="A91" s="8"/>
      <c r="B91" s="8"/>
      <c r="C91" s="9"/>
      <c r="D91" s="12" t="s">
        <v>87</v>
      </c>
      <c r="E91" s="14"/>
      <c r="F91" s="14"/>
      <c r="G91" s="14"/>
      <c r="H91" s="14"/>
      <c r="I91" s="13">
        <f t="shared" si="1"/>
        <v>0</v>
      </c>
    </row>
    <row r="92" spans="1:9" ht="15.75" x14ac:dyDescent="0.25">
      <c r="A92" s="8"/>
      <c r="B92" s="8"/>
      <c r="C92" s="9"/>
      <c r="D92" s="12" t="s">
        <v>88</v>
      </c>
      <c r="E92" s="14"/>
      <c r="F92" s="14"/>
      <c r="G92" s="14"/>
      <c r="H92" s="14"/>
      <c r="I92" s="13">
        <f t="shared" si="1"/>
        <v>0</v>
      </c>
    </row>
    <row r="93" spans="1:9" ht="15.75" x14ac:dyDescent="0.25">
      <c r="A93" s="8"/>
      <c r="B93" s="8"/>
      <c r="C93" s="9"/>
      <c r="D93" s="12" t="s">
        <v>89</v>
      </c>
      <c r="E93" s="14"/>
      <c r="F93" s="14"/>
      <c r="G93" s="14"/>
      <c r="H93" s="14"/>
      <c r="I93" s="13">
        <f t="shared" si="1"/>
        <v>0</v>
      </c>
    </row>
    <row r="94" spans="1:9" ht="15.75" x14ac:dyDescent="0.25">
      <c r="A94" s="8"/>
      <c r="B94" s="8"/>
      <c r="C94" s="9"/>
      <c r="D94" s="12" t="s">
        <v>90</v>
      </c>
      <c r="E94" s="14"/>
      <c r="F94" s="14"/>
      <c r="G94" s="14"/>
      <c r="H94" s="14"/>
      <c r="I94" s="13">
        <f t="shared" si="1"/>
        <v>0</v>
      </c>
    </row>
    <row r="95" spans="1:9" ht="15.75" x14ac:dyDescent="0.25">
      <c r="A95" s="8"/>
      <c r="B95" s="8"/>
      <c r="C95" s="9"/>
      <c r="D95" s="12" t="s">
        <v>91</v>
      </c>
      <c r="E95" s="14"/>
      <c r="F95" s="14"/>
      <c r="G95" s="14"/>
      <c r="H95" s="14"/>
      <c r="I95" s="13">
        <f t="shared" si="1"/>
        <v>0</v>
      </c>
    </row>
    <row r="96" spans="1:9" ht="15.75" x14ac:dyDescent="0.25">
      <c r="A96" s="8"/>
      <c r="B96" s="8"/>
      <c r="C96" s="9"/>
      <c r="D96" s="12" t="s">
        <v>92</v>
      </c>
      <c r="E96" s="14"/>
      <c r="F96" s="14"/>
      <c r="G96" s="14"/>
      <c r="H96" s="14"/>
      <c r="I96" s="13">
        <f t="shared" si="1"/>
        <v>0</v>
      </c>
    </row>
    <row r="97" spans="1:9" ht="15.75" x14ac:dyDescent="0.25">
      <c r="A97" s="8"/>
      <c r="B97" s="8"/>
      <c r="C97" s="9"/>
      <c r="D97" s="12" t="s">
        <v>93</v>
      </c>
      <c r="E97" s="14"/>
      <c r="F97" s="14"/>
      <c r="G97" s="14"/>
      <c r="H97" s="14"/>
      <c r="I97" s="13">
        <f t="shared" si="1"/>
        <v>0</v>
      </c>
    </row>
    <row r="98" spans="1:9" ht="15.75" x14ac:dyDescent="0.25">
      <c r="A98" s="8"/>
      <c r="B98" s="8"/>
      <c r="C98" s="9"/>
      <c r="D98" s="12" t="s">
        <v>94</v>
      </c>
      <c r="E98" s="14"/>
      <c r="F98" s="14"/>
      <c r="G98" s="14"/>
      <c r="H98" s="14"/>
      <c r="I98" s="13">
        <f t="shared" si="1"/>
        <v>0</v>
      </c>
    </row>
    <row r="99" spans="1:9" ht="15.75" x14ac:dyDescent="0.25">
      <c r="A99" s="8"/>
      <c r="B99" s="8"/>
      <c r="C99" s="9"/>
      <c r="D99" s="12" t="s">
        <v>95</v>
      </c>
      <c r="E99" s="14"/>
      <c r="F99" s="14"/>
      <c r="G99" s="14"/>
      <c r="H99" s="14"/>
      <c r="I99" s="13">
        <f t="shared" si="1"/>
        <v>0</v>
      </c>
    </row>
    <row r="100" spans="1:9" ht="15.75" x14ac:dyDescent="0.25">
      <c r="A100" s="8"/>
      <c r="B100" s="8"/>
      <c r="C100" s="9"/>
      <c r="D100" s="12" t="s">
        <v>96</v>
      </c>
      <c r="E100" s="14"/>
      <c r="F100" s="14"/>
      <c r="G100" s="14"/>
      <c r="H100" s="14"/>
      <c r="I100" s="13">
        <f t="shared" si="1"/>
        <v>0</v>
      </c>
    </row>
    <row r="101" spans="1:9" ht="15.75" x14ac:dyDescent="0.25">
      <c r="A101" s="8"/>
      <c r="B101" s="8"/>
      <c r="C101" s="9"/>
      <c r="D101" s="12" t="s">
        <v>97</v>
      </c>
      <c r="E101" s="14"/>
      <c r="F101" s="14"/>
      <c r="G101" s="14"/>
      <c r="H101" s="14"/>
      <c r="I101" s="13">
        <f t="shared" si="1"/>
        <v>0</v>
      </c>
    </row>
    <row r="102" spans="1:9" ht="15.75" x14ac:dyDescent="0.25">
      <c r="A102" s="8"/>
      <c r="B102" s="8"/>
      <c r="C102" s="9"/>
      <c r="D102" s="12" t="s">
        <v>98</v>
      </c>
      <c r="E102" s="14"/>
      <c r="F102" s="14"/>
      <c r="G102" s="14"/>
      <c r="H102" s="14"/>
      <c r="I102" s="13">
        <f t="shared" si="1"/>
        <v>0</v>
      </c>
    </row>
    <row r="103" spans="1:9" ht="15.75" x14ac:dyDescent="0.25">
      <c r="A103" s="8"/>
      <c r="B103" s="8"/>
      <c r="C103" s="9"/>
      <c r="D103" s="12" t="s">
        <v>99</v>
      </c>
      <c r="E103" s="14"/>
      <c r="F103" s="14"/>
      <c r="G103" s="14"/>
      <c r="H103" s="14"/>
      <c r="I103" s="13">
        <f t="shared" si="1"/>
        <v>0</v>
      </c>
    </row>
    <row r="104" spans="1:9" ht="15.75" x14ac:dyDescent="0.25">
      <c r="A104" s="8"/>
      <c r="B104" s="8"/>
      <c r="C104" s="9"/>
      <c r="D104" s="12" t="s">
        <v>100</v>
      </c>
      <c r="E104" s="14"/>
      <c r="F104" s="14"/>
      <c r="G104" s="14"/>
      <c r="H104" s="14"/>
      <c r="I104" s="13">
        <f t="shared" si="1"/>
        <v>0</v>
      </c>
    </row>
    <row r="105" spans="1:9" ht="15.75" x14ac:dyDescent="0.25">
      <c r="A105" s="8"/>
      <c r="B105" s="8"/>
      <c r="C105" s="9"/>
      <c r="D105" s="12" t="s">
        <v>101</v>
      </c>
      <c r="E105" s="14"/>
      <c r="F105" s="14"/>
      <c r="G105" s="14"/>
      <c r="H105" s="14"/>
      <c r="I105" s="13">
        <f t="shared" si="1"/>
        <v>0</v>
      </c>
    </row>
    <row r="106" spans="1:9" ht="15.75" x14ac:dyDescent="0.25">
      <c r="A106" s="8"/>
      <c r="B106" s="8"/>
      <c r="C106" s="9"/>
      <c r="D106" s="12" t="s">
        <v>102</v>
      </c>
      <c r="E106" s="14"/>
      <c r="F106" s="14"/>
      <c r="G106" s="14"/>
      <c r="H106" s="14"/>
      <c r="I106" s="13">
        <f t="shared" si="1"/>
        <v>0</v>
      </c>
    </row>
    <row r="107" spans="1:9" ht="15.75" x14ac:dyDescent="0.25">
      <c r="A107" s="8"/>
      <c r="B107" s="8"/>
      <c r="C107" s="9"/>
      <c r="D107" s="12" t="s">
        <v>103</v>
      </c>
      <c r="E107" s="14"/>
      <c r="F107" s="14"/>
      <c r="G107" s="14"/>
      <c r="H107" s="14"/>
      <c r="I107" s="13">
        <f t="shared" si="1"/>
        <v>0</v>
      </c>
    </row>
    <row r="108" spans="1:9" ht="15.75" x14ac:dyDescent="0.25">
      <c r="A108" s="8"/>
      <c r="B108" s="8"/>
      <c r="C108" s="9"/>
      <c r="D108" s="12" t="s">
        <v>104</v>
      </c>
      <c r="E108" s="14"/>
      <c r="F108" s="14"/>
      <c r="G108" s="14"/>
      <c r="H108" s="14"/>
      <c r="I108" s="13">
        <f t="shared" si="1"/>
        <v>0</v>
      </c>
    </row>
    <row r="109" spans="1:9" ht="15.75" x14ac:dyDescent="0.25">
      <c r="A109" s="8"/>
      <c r="B109" s="8"/>
      <c r="C109" s="9"/>
      <c r="D109" s="12" t="s">
        <v>105</v>
      </c>
      <c r="E109" s="14"/>
      <c r="F109" s="14"/>
      <c r="G109" s="14"/>
      <c r="H109" s="14"/>
      <c r="I109" s="13">
        <f t="shared" si="1"/>
        <v>0</v>
      </c>
    </row>
    <row r="110" spans="1:9" ht="15.75" x14ac:dyDescent="0.25">
      <c r="A110" s="8"/>
      <c r="B110" s="8"/>
      <c r="C110" s="9"/>
      <c r="D110" s="12" t="s">
        <v>106</v>
      </c>
      <c r="E110" s="14"/>
      <c r="F110" s="14"/>
      <c r="G110" s="14"/>
      <c r="H110" s="14"/>
      <c r="I110" s="13">
        <f t="shared" si="1"/>
        <v>0</v>
      </c>
    </row>
    <row r="111" spans="1:9" ht="15.75" x14ac:dyDescent="0.25">
      <c r="A111" s="8"/>
      <c r="B111" s="8"/>
      <c r="C111" s="9"/>
      <c r="D111" s="12" t="s">
        <v>107</v>
      </c>
      <c r="E111" s="14"/>
      <c r="F111" s="14"/>
      <c r="G111" s="14"/>
      <c r="H111" s="14"/>
      <c r="I111" s="13">
        <f t="shared" si="1"/>
        <v>0</v>
      </c>
    </row>
    <row r="112" spans="1:9" ht="15.75" x14ac:dyDescent="0.25">
      <c r="A112" s="8"/>
      <c r="B112" s="8"/>
      <c r="C112" s="9"/>
      <c r="D112" s="12" t="s">
        <v>108</v>
      </c>
      <c r="E112" s="14"/>
      <c r="F112" s="14"/>
      <c r="G112" s="14"/>
      <c r="H112" s="14"/>
      <c r="I112" s="13">
        <f t="shared" si="1"/>
        <v>0</v>
      </c>
    </row>
    <row r="113" spans="1:9" ht="15.75" x14ac:dyDescent="0.25">
      <c r="A113" s="8"/>
      <c r="B113" s="8"/>
      <c r="C113" s="9"/>
      <c r="D113" s="12" t="s">
        <v>109</v>
      </c>
      <c r="E113" s="14"/>
      <c r="F113" s="14"/>
      <c r="G113" s="14"/>
      <c r="H113" s="14"/>
      <c r="I113" s="13">
        <f t="shared" si="1"/>
        <v>0</v>
      </c>
    </row>
    <row r="114" spans="1:9" ht="15.75" x14ac:dyDescent="0.25">
      <c r="A114" s="8"/>
      <c r="B114" s="8"/>
      <c r="C114" s="9"/>
      <c r="D114" s="12" t="s">
        <v>110</v>
      </c>
      <c r="E114" s="14"/>
      <c r="F114" s="14"/>
      <c r="G114" s="14"/>
      <c r="H114" s="14"/>
      <c r="I114" s="13">
        <f t="shared" si="1"/>
        <v>0</v>
      </c>
    </row>
    <row r="115" spans="1:9" ht="15.75" x14ac:dyDescent="0.25">
      <c r="A115" s="8"/>
      <c r="B115" s="8"/>
      <c r="C115" s="9"/>
      <c r="D115" s="12" t="s">
        <v>111</v>
      </c>
      <c r="E115" s="14"/>
      <c r="F115" s="14"/>
      <c r="G115" s="14"/>
      <c r="H115" s="14"/>
      <c r="I115" s="13">
        <f t="shared" si="1"/>
        <v>0</v>
      </c>
    </row>
    <row r="116" spans="1:9" ht="15.75" x14ac:dyDescent="0.25">
      <c r="A116" s="8"/>
      <c r="B116" s="8"/>
      <c r="C116" s="9"/>
      <c r="D116" s="12" t="s">
        <v>112</v>
      </c>
      <c r="E116" s="14"/>
      <c r="F116" s="14"/>
      <c r="G116" s="14"/>
      <c r="H116" s="14"/>
      <c r="I116" s="13">
        <f t="shared" si="1"/>
        <v>0</v>
      </c>
    </row>
    <row r="117" spans="1:9" ht="15.75" x14ac:dyDescent="0.25">
      <c r="A117" s="8"/>
      <c r="B117" s="8"/>
      <c r="C117" s="9"/>
      <c r="D117" s="12" t="s">
        <v>113</v>
      </c>
      <c r="E117" s="14"/>
      <c r="F117" s="14"/>
      <c r="G117" s="14"/>
      <c r="H117" s="14"/>
      <c r="I117" s="13">
        <f t="shared" si="1"/>
        <v>0</v>
      </c>
    </row>
    <row r="118" spans="1:9" ht="15.75" x14ac:dyDescent="0.25">
      <c r="A118" s="8"/>
      <c r="B118" s="8"/>
      <c r="C118" s="9"/>
      <c r="D118" s="12" t="s">
        <v>114</v>
      </c>
      <c r="E118" s="14"/>
      <c r="F118" s="14"/>
      <c r="G118" s="14"/>
      <c r="H118" s="14"/>
      <c r="I118" s="13">
        <f t="shared" si="1"/>
        <v>0</v>
      </c>
    </row>
    <row r="119" spans="1:9" ht="15.75" x14ac:dyDescent="0.25">
      <c r="A119" s="8"/>
      <c r="B119" s="8"/>
      <c r="C119" s="9"/>
      <c r="D119" s="12" t="s">
        <v>115</v>
      </c>
      <c r="E119" s="14"/>
      <c r="F119" s="14"/>
      <c r="G119" s="14"/>
      <c r="H119" s="14"/>
      <c r="I119" s="13">
        <f t="shared" si="1"/>
        <v>0</v>
      </c>
    </row>
    <row r="120" spans="1:9" ht="15.75" x14ac:dyDescent="0.25">
      <c r="A120" s="8"/>
      <c r="B120" s="8"/>
      <c r="C120" s="9"/>
      <c r="D120" s="12" t="s">
        <v>116</v>
      </c>
      <c r="E120" s="14"/>
      <c r="F120" s="14"/>
      <c r="G120" s="14"/>
      <c r="H120" s="14"/>
      <c r="I120" s="13">
        <f t="shared" si="1"/>
        <v>0</v>
      </c>
    </row>
    <row r="121" spans="1:9" ht="15.75" x14ac:dyDescent="0.25">
      <c r="A121" s="8"/>
      <c r="B121" s="8"/>
      <c r="C121" s="9"/>
      <c r="D121" s="12" t="s">
        <v>117</v>
      </c>
      <c r="E121" s="14"/>
      <c r="F121" s="14"/>
      <c r="G121" s="14"/>
      <c r="H121" s="14"/>
      <c r="I121" s="13">
        <f t="shared" si="1"/>
        <v>0</v>
      </c>
    </row>
    <row r="122" spans="1:9" ht="15.75" x14ac:dyDescent="0.25">
      <c r="A122" s="8"/>
      <c r="B122" s="8"/>
      <c r="C122" s="9"/>
      <c r="D122" s="12" t="s">
        <v>118</v>
      </c>
      <c r="E122" s="14"/>
      <c r="F122" s="14"/>
      <c r="G122" s="14"/>
      <c r="H122" s="14"/>
      <c r="I122" s="13">
        <f t="shared" si="1"/>
        <v>0</v>
      </c>
    </row>
    <row r="123" spans="1:9" ht="15.75" x14ac:dyDescent="0.25">
      <c r="A123" s="8"/>
      <c r="B123" s="8"/>
      <c r="C123" s="9"/>
      <c r="D123" s="12" t="s">
        <v>119</v>
      </c>
      <c r="E123" s="14"/>
      <c r="F123" s="14"/>
      <c r="G123" s="14"/>
      <c r="H123" s="14"/>
      <c r="I123" s="13">
        <f t="shared" si="1"/>
        <v>0</v>
      </c>
    </row>
    <row r="124" spans="1:9" ht="15.75" x14ac:dyDescent="0.25">
      <c r="A124" s="8"/>
      <c r="B124" s="8"/>
      <c r="C124" s="9"/>
      <c r="D124" s="12" t="s">
        <v>120</v>
      </c>
      <c r="E124" s="14"/>
      <c r="F124" s="14"/>
      <c r="G124" s="14"/>
      <c r="H124" s="14"/>
      <c r="I124" s="13">
        <f t="shared" si="1"/>
        <v>0</v>
      </c>
    </row>
    <row r="125" spans="1:9" ht="15.75" x14ac:dyDescent="0.25">
      <c r="A125" s="8"/>
      <c r="B125" s="8"/>
      <c r="C125" s="9"/>
      <c r="D125" s="12" t="s">
        <v>121</v>
      </c>
      <c r="E125" s="14"/>
      <c r="F125" s="14"/>
      <c r="G125" s="14"/>
      <c r="H125" s="14"/>
      <c r="I125" s="13">
        <f t="shared" si="1"/>
        <v>0</v>
      </c>
    </row>
    <row r="126" spans="1:9" ht="15.75" x14ac:dyDescent="0.25">
      <c r="A126" s="8"/>
      <c r="B126" s="8"/>
      <c r="C126" s="9"/>
      <c r="D126" s="12" t="s">
        <v>122</v>
      </c>
      <c r="E126" s="14"/>
      <c r="F126" s="14"/>
      <c r="G126" s="14"/>
      <c r="H126" s="14"/>
      <c r="I126" s="13">
        <f t="shared" si="1"/>
        <v>0</v>
      </c>
    </row>
    <row r="127" spans="1:9" ht="15.75" x14ac:dyDescent="0.25">
      <c r="A127" s="8"/>
      <c r="B127" s="8"/>
      <c r="C127" s="9"/>
      <c r="D127" s="12" t="s">
        <v>123</v>
      </c>
      <c r="E127" s="14"/>
      <c r="F127" s="14"/>
      <c r="G127" s="14"/>
      <c r="H127" s="14"/>
      <c r="I127" s="13">
        <f t="shared" si="1"/>
        <v>0</v>
      </c>
    </row>
    <row r="128" spans="1:9" ht="15.75" x14ac:dyDescent="0.25">
      <c r="A128" s="8"/>
      <c r="B128" s="8"/>
      <c r="C128" s="9"/>
      <c r="D128" s="12" t="s">
        <v>124</v>
      </c>
      <c r="E128" s="14"/>
      <c r="F128" s="14"/>
      <c r="G128" s="14"/>
      <c r="H128" s="14"/>
      <c r="I128" s="13">
        <f t="shared" si="1"/>
        <v>0</v>
      </c>
    </row>
    <row r="129" spans="1:9" ht="15.75" x14ac:dyDescent="0.25">
      <c r="A129" s="8"/>
      <c r="B129" s="8"/>
      <c r="C129" s="9"/>
      <c r="D129" s="12" t="s">
        <v>125</v>
      </c>
      <c r="E129" s="14"/>
      <c r="F129" s="14"/>
      <c r="G129" s="14"/>
      <c r="H129" s="14"/>
      <c r="I129" s="13">
        <f t="shared" si="1"/>
        <v>0</v>
      </c>
    </row>
    <row r="130" spans="1:9" ht="15.75" x14ac:dyDescent="0.25">
      <c r="A130" s="8"/>
      <c r="B130" s="8"/>
      <c r="C130" s="9"/>
      <c r="D130" s="12" t="s">
        <v>126</v>
      </c>
      <c r="E130" s="14"/>
      <c r="F130" s="14"/>
      <c r="G130" s="14"/>
      <c r="H130" s="14"/>
      <c r="I130" s="13">
        <f t="shared" si="1"/>
        <v>0</v>
      </c>
    </row>
    <row r="131" spans="1:9" ht="15.75" x14ac:dyDescent="0.25">
      <c r="A131" s="8"/>
      <c r="B131" s="8"/>
      <c r="C131" s="9"/>
      <c r="D131" s="12" t="s">
        <v>127</v>
      </c>
      <c r="E131" s="14"/>
      <c r="F131" s="14"/>
      <c r="G131" s="14"/>
      <c r="H131" s="14"/>
      <c r="I131" s="13">
        <f t="shared" si="1"/>
        <v>0</v>
      </c>
    </row>
    <row r="132" spans="1:9" ht="15.75" x14ac:dyDescent="0.25">
      <c r="A132" s="8"/>
      <c r="B132" s="8"/>
      <c r="C132" s="9"/>
      <c r="D132" s="12" t="s">
        <v>128</v>
      </c>
      <c r="E132" s="14"/>
      <c r="F132" s="14"/>
      <c r="G132" s="14"/>
      <c r="H132" s="14"/>
      <c r="I132" s="13">
        <f t="shared" si="1"/>
        <v>0</v>
      </c>
    </row>
    <row r="133" spans="1:9" ht="15.75" x14ac:dyDescent="0.25">
      <c r="A133" s="8"/>
      <c r="B133" s="8"/>
      <c r="C133" s="9"/>
      <c r="D133" s="12" t="s">
        <v>129</v>
      </c>
      <c r="E133" s="14"/>
      <c r="F133" s="14"/>
      <c r="G133" s="14"/>
      <c r="H133" s="14"/>
      <c r="I133" s="13">
        <f t="shared" si="1"/>
        <v>0</v>
      </c>
    </row>
    <row r="134" spans="1:9" ht="15.75" x14ac:dyDescent="0.25">
      <c r="A134" s="8"/>
      <c r="B134" s="8"/>
      <c r="C134" s="9"/>
      <c r="D134" s="12" t="s">
        <v>130</v>
      </c>
      <c r="E134" s="14"/>
      <c r="F134" s="14"/>
      <c r="G134" s="14"/>
      <c r="H134" s="14"/>
      <c r="I134" s="13">
        <f t="shared" si="1"/>
        <v>0</v>
      </c>
    </row>
    <row r="135" spans="1:9" ht="15.75" x14ac:dyDescent="0.25">
      <c r="A135" s="8"/>
      <c r="B135" s="8"/>
      <c r="C135" s="9"/>
      <c r="D135" s="12" t="s">
        <v>131</v>
      </c>
      <c r="E135" s="14"/>
      <c r="F135" s="14"/>
      <c r="G135" s="14"/>
      <c r="H135" s="14"/>
      <c r="I135" s="13">
        <f t="shared" si="1"/>
        <v>0</v>
      </c>
    </row>
    <row r="136" spans="1:9" ht="15.75" x14ac:dyDescent="0.25">
      <c r="A136" s="8"/>
      <c r="B136" s="8"/>
      <c r="C136" s="9"/>
      <c r="D136" s="12" t="s">
        <v>132</v>
      </c>
      <c r="E136" s="14"/>
      <c r="F136" s="14"/>
      <c r="G136" s="14"/>
      <c r="H136" s="14"/>
      <c r="I136" s="13">
        <f t="shared" si="1"/>
        <v>0</v>
      </c>
    </row>
    <row r="137" spans="1:9" ht="15.75" x14ac:dyDescent="0.25">
      <c r="A137" s="8"/>
      <c r="B137" s="8"/>
      <c r="C137" s="9"/>
      <c r="D137" s="12" t="s">
        <v>133</v>
      </c>
      <c r="E137" s="14"/>
      <c r="F137" s="14"/>
      <c r="G137" s="14"/>
      <c r="H137" s="14"/>
      <c r="I137" s="13">
        <f t="shared" si="1"/>
        <v>0</v>
      </c>
    </row>
    <row r="138" spans="1:9" ht="15.75" x14ac:dyDescent="0.25">
      <c r="A138" s="8"/>
      <c r="B138" s="8"/>
      <c r="C138" s="9"/>
      <c r="D138" s="12" t="s">
        <v>134</v>
      </c>
      <c r="E138" s="14"/>
      <c r="F138" s="14"/>
      <c r="G138" s="14"/>
      <c r="H138" s="14"/>
      <c r="I138" s="13">
        <f t="shared" ref="I138:I144" si="2">SUM(E138:H138)</f>
        <v>0</v>
      </c>
    </row>
    <row r="139" spans="1:9" ht="15.75" x14ac:dyDescent="0.25">
      <c r="A139" s="8"/>
      <c r="B139" s="8"/>
      <c r="C139" s="9"/>
      <c r="D139" s="12" t="s">
        <v>135</v>
      </c>
      <c r="E139" s="14"/>
      <c r="F139" s="14"/>
      <c r="G139" s="14"/>
      <c r="H139" s="14"/>
      <c r="I139" s="13">
        <f t="shared" si="2"/>
        <v>0</v>
      </c>
    </row>
    <row r="140" spans="1:9" ht="15.75" x14ac:dyDescent="0.25">
      <c r="A140" s="8"/>
      <c r="B140" s="8"/>
      <c r="C140" s="9"/>
      <c r="D140" s="12" t="s">
        <v>136</v>
      </c>
      <c r="E140" s="14"/>
      <c r="F140" s="14"/>
      <c r="G140" s="14"/>
      <c r="H140" s="14"/>
      <c r="I140" s="13">
        <f t="shared" si="2"/>
        <v>0</v>
      </c>
    </row>
    <row r="141" spans="1:9" ht="15.75" x14ac:dyDescent="0.25">
      <c r="A141" s="8"/>
      <c r="B141" s="8"/>
      <c r="C141" s="9"/>
      <c r="D141" s="12" t="s">
        <v>137</v>
      </c>
      <c r="E141" s="14"/>
      <c r="F141" s="14"/>
      <c r="G141" s="14"/>
      <c r="H141" s="14"/>
      <c r="I141" s="13">
        <f t="shared" si="2"/>
        <v>0</v>
      </c>
    </row>
    <row r="142" spans="1:9" ht="15.75" x14ac:dyDescent="0.25">
      <c r="A142" s="8"/>
      <c r="B142" s="8"/>
      <c r="C142" s="9"/>
      <c r="D142" s="12" t="s">
        <v>138</v>
      </c>
      <c r="E142" s="14"/>
      <c r="F142" s="14"/>
      <c r="G142" s="14"/>
      <c r="H142" s="14"/>
      <c r="I142" s="13">
        <f t="shared" si="2"/>
        <v>0</v>
      </c>
    </row>
    <row r="143" spans="1:9" ht="15.75" x14ac:dyDescent="0.25">
      <c r="A143" s="8"/>
      <c r="B143" s="8"/>
      <c r="C143" s="9"/>
      <c r="D143" s="12" t="s">
        <v>139</v>
      </c>
      <c r="E143" s="14"/>
      <c r="F143" s="14"/>
      <c r="G143" s="14"/>
      <c r="H143" s="14"/>
      <c r="I143" s="13">
        <f t="shared" si="2"/>
        <v>0</v>
      </c>
    </row>
    <row r="144" spans="1:9" ht="15.75" x14ac:dyDescent="0.25">
      <c r="A144" s="8"/>
      <c r="B144" s="8"/>
      <c r="C144" s="9"/>
      <c r="D144" s="12" t="s">
        <v>140</v>
      </c>
      <c r="E144" s="14"/>
      <c r="F144" s="14"/>
      <c r="G144" s="14"/>
      <c r="H144" s="14"/>
      <c r="I144" s="13">
        <f t="shared" si="2"/>
        <v>0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0</v>
      </c>
      <c r="F145" s="22">
        <f>SUM(F10:F144)</f>
        <v>0</v>
      </c>
      <c r="G145" s="22">
        <f>SUM(G10:G144)</f>
        <v>0</v>
      </c>
      <c r="H145" s="22">
        <f>SUM(H10:H144)</f>
        <v>0</v>
      </c>
      <c r="I145" s="22">
        <f>SUM(I10:I144)</f>
        <v>0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6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44AEAC"/>
    <pageSetUpPr fitToPage="1"/>
  </sheetPr>
  <dimension ref="A1:I145"/>
  <sheetViews>
    <sheetView showGridLines="0" zoomScale="80" zoomScaleNormal="80" workbookViewId="0">
      <selection activeCell="E10" sqref="E10:H144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" style="2" bestFit="1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/>
      <c r="F10" s="14"/>
      <c r="G10" s="14"/>
      <c r="H10" s="14"/>
      <c r="I10" s="13">
        <f t="shared" ref="I10:I73" si="0">SUM(E10:H10)</f>
        <v>0</v>
      </c>
    </row>
    <row r="11" spans="1:9" ht="15.75" x14ac:dyDescent="0.25">
      <c r="A11" s="8"/>
      <c r="B11" s="8"/>
      <c r="C11" s="9"/>
      <c r="D11" s="12" t="s">
        <v>7</v>
      </c>
      <c r="E11" s="14"/>
      <c r="F11" s="14"/>
      <c r="G11" s="14"/>
      <c r="H11" s="14"/>
      <c r="I11" s="13">
        <f t="shared" si="0"/>
        <v>0</v>
      </c>
    </row>
    <row r="12" spans="1:9" ht="15.75" x14ac:dyDescent="0.25">
      <c r="A12" s="8"/>
      <c r="B12" s="8"/>
      <c r="C12" s="9"/>
      <c r="D12" s="12" t="s">
        <v>8</v>
      </c>
      <c r="E12" s="14"/>
      <c r="F12" s="14"/>
      <c r="G12" s="14"/>
      <c r="H12" s="14"/>
      <c r="I12" s="13">
        <f t="shared" si="0"/>
        <v>0</v>
      </c>
    </row>
    <row r="13" spans="1:9" ht="15.75" x14ac:dyDescent="0.25">
      <c r="A13" s="8"/>
      <c r="B13" s="8"/>
      <c r="C13" s="9"/>
      <c r="D13" s="12" t="s">
        <v>9</v>
      </c>
      <c r="E13" s="14"/>
      <c r="F13" s="14"/>
      <c r="G13" s="14"/>
      <c r="H13" s="14"/>
      <c r="I13" s="13">
        <f t="shared" si="0"/>
        <v>0</v>
      </c>
    </row>
    <row r="14" spans="1:9" ht="15.75" x14ac:dyDescent="0.25">
      <c r="A14" s="8"/>
      <c r="B14" s="8"/>
      <c r="C14" s="9"/>
      <c r="D14" s="12" t="s">
        <v>10</v>
      </c>
      <c r="E14" s="14"/>
      <c r="F14" s="14"/>
      <c r="G14" s="14"/>
      <c r="H14" s="14"/>
      <c r="I14" s="13">
        <f t="shared" si="0"/>
        <v>0</v>
      </c>
    </row>
    <row r="15" spans="1:9" ht="15.75" x14ac:dyDescent="0.25">
      <c r="A15" s="8"/>
      <c r="B15" s="8"/>
      <c r="C15" s="9"/>
      <c r="D15" s="12" t="s">
        <v>11</v>
      </c>
      <c r="E15" s="14"/>
      <c r="F15" s="14"/>
      <c r="G15" s="14"/>
      <c r="H15" s="14"/>
      <c r="I15" s="13">
        <f t="shared" si="0"/>
        <v>0</v>
      </c>
    </row>
    <row r="16" spans="1:9" ht="15.75" x14ac:dyDescent="0.25">
      <c r="A16" s="8"/>
      <c r="B16" s="8"/>
      <c r="C16" s="9"/>
      <c r="D16" s="12" t="s">
        <v>12</v>
      </c>
      <c r="E16" s="14"/>
      <c r="F16" s="14"/>
      <c r="G16" s="14"/>
      <c r="H16" s="14"/>
      <c r="I16" s="13">
        <f t="shared" si="0"/>
        <v>0</v>
      </c>
    </row>
    <row r="17" spans="1:9" ht="15.75" x14ac:dyDescent="0.25">
      <c r="A17" s="8"/>
      <c r="B17" s="8"/>
      <c r="C17" s="9"/>
      <c r="D17" s="12" t="s">
        <v>13</v>
      </c>
      <c r="E17" s="14"/>
      <c r="F17" s="14"/>
      <c r="G17" s="14"/>
      <c r="H17" s="14"/>
      <c r="I17" s="13">
        <f t="shared" si="0"/>
        <v>0</v>
      </c>
    </row>
    <row r="18" spans="1:9" ht="15.75" x14ac:dyDescent="0.25">
      <c r="A18" s="8"/>
      <c r="B18" s="8"/>
      <c r="C18" s="9"/>
      <c r="D18" s="12" t="s">
        <v>14</v>
      </c>
      <c r="E18" s="14"/>
      <c r="F18" s="14"/>
      <c r="G18" s="14"/>
      <c r="H18" s="14"/>
      <c r="I18" s="13">
        <f t="shared" si="0"/>
        <v>0</v>
      </c>
    </row>
    <row r="19" spans="1:9" ht="15.75" x14ac:dyDescent="0.25">
      <c r="A19" s="8"/>
      <c r="B19" s="8"/>
      <c r="C19" s="9"/>
      <c r="D19" s="12" t="s">
        <v>15</v>
      </c>
      <c r="E19" s="14"/>
      <c r="F19" s="14"/>
      <c r="G19" s="14"/>
      <c r="H19" s="14"/>
      <c r="I19" s="13">
        <f t="shared" si="0"/>
        <v>0</v>
      </c>
    </row>
    <row r="20" spans="1:9" ht="15.75" x14ac:dyDescent="0.25">
      <c r="A20" s="8"/>
      <c r="B20" s="8"/>
      <c r="C20" s="9"/>
      <c r="D20" s="12" t="s">
        <v>16</v>
      </c>
      <c r="E20" s="14"/>
      <c r="F20" s="14"/>
      <c r="G20" s="14"/>
      <c r="H20" s="14"/>
      <c r="I20" s="13">
        <f t="shared" si="0"/>
        <v>0</v>
      </c>
    </row>
    <row r="21" spans="1:9" ht="15.75" x14ac:dyDescent="0.25">
      <c r="A21" s="8"/>
      <c r="B21" s="8"/>
      <c r="C21" s="9"/>
      <c r="D21" s="12" t="s">
        <v>17</v>
      </c>
      <c r="E21" s="14"/>
      <c r="F21" s="14"/>
      <c r="G21" s="14"/>
      <c r="H21" s="14"/>
      <c r="I21" s="13">
        <f t="shared" si="0"/>
        <v>0</v>
      </c>
    </row>
    <row r="22" spans="1:9" ht="15.75" x14ac:dyDescent="0.25">
      <c r="A22" s="8"/>
      <c r="B22" s="8"/>
      <c r="C22" s="9"/>
      <c r="D22" s="12" t="s">
        <v>18</v>
      </c>
      <c r="E22" s="14"/>
      <c r="F22" s="14"/>
      <c r="G22" s="14"/>
      <c r="H22" s="14"/>
      <c r="I22" s="13">
        <f t="shared" si="0"/>
        <v>0</v>
      </c>
    </row>
    <row r="23" spans="1:9" ht="15.75" x14ac:dyDescent="0.25">
      <c r="A23" s="8"/>
      <c r="B23" s="8"/>
      <c r="C23" s="9"/>
      <c r="D23" s="12" t="s">
        <v>19</v>
      </c>
      <c r="E23" s="14"/>
      <c r="F23" s="14"/>
      <c r="G23" s="14"/>
      <c r="H23" s="14"/>
      <c r="I23" s="13">
        <f t="shared" si="0"/>
        <v>0</v>
      </c>
    </row>
    <row r="24" spans="1:9" ht="15.75" x14ac:dyDescent="0.25">
      <c r="A24" s="8"/>
      <c r="B24" s="8"/>
      <c r="C24" s="9"/>
      <c r="D24" s="12" t="s">
        <v>20</v>
      </c>
      <c r="E24" s="14"/>
      <c r="F24" s="14"/>
      <c r="G24" s="14"/>
      <c r="H24" s="14"/>
      <c r="I24" s="13">
        <f t="shared" si="0"/>
        <v>0</v>
      </c>
    </row>
    <row r="25" spans="1:9" ht="15.75" x14ac:dyDescent="0.25">
      <c r="A25" s="8"/>
      <c r="B25" s="8"/>
      <c r="C25" s="9"/>
      <c r="D25" s="12" t="s">
        <v>21</v>
      </c>
      <c r="E25" s="14"/>
      <c r="F25" s="14"/>
      <c r="G25" s="14"/>
      <c r="H25" s="14"/>
      <c r="I25" s="13">
        <f t="shared" si="0"/>
        <v>0</v>
      </c>
    </row>
    <row r="26" spans="1:9" ht="15.75" x14ac:dyDescent="0.25">
      <c r="A26" s="8"/>
      <c r="B26" s="8"/>
      <c r="C26" s="9"/>
      <c r="D26" s="12" t="s">
        <v>22</v>
      </c>
      <c r="E26" s="14"/>
      <c r="F26" s="14"/>
      <c r="G26" s="14"/>
      <c r="H26" s="14"/>
      <c r="I26" s="13">
        <f t="shared" si="0"/>
        <v>0</v>
      </c>
    </row>
    <row r="27" spans="1:9" ht="15.75" x14ac:dyDescent="0.25">
      <c r="A27" s="8"/>
      <c r="B27" s="8"/>
      <c r="C27" s="9"/>
      <c r="D27" s="12" t="s">
        <v>23</v>
      </c>
      <c r="E27" s="14"/>
      <c r="F27" s="14"/>
      <c r="G27" s="14"/>
      <c r="H27" s="14"/>
      <c r="I27" s="13">
        <f t="shared" si="0"/>
        <v>0</v>
      </c>
    </row>
    <row r="28" spans="1:9" ht="15.75" x14ac:dyDescent="0.25">
      <c r="A28" s="8"/>
      <c r="B28" s="8"/>
      <c r="C28" s="9"/>
      <c r="D28" s="12" t="s">
        <v>24</v>
      </c>
      <c r="E28" s="14"/>
      <c r="F28" s="14"/>
      <c r="G28" s="14"/>
      <c r="H28" s="14"/>
      <c r="I28" s="13">
        <f t="shared" si="0"/>
        <v>0</v>
      </c>
    </row>
    <row r="29" spans="1:9" ht="15.75" x14ac:dyDescent="0.25">
      <c r="A29" s="8"/>
      <c r="B29" s="8"/>
      <c r="C29" s="9"/>
      <c r="D29" s="12" t="s">
        <v>25</v>
      </c>
      <c r="E29" s="14"/>
      <c r="F29" s="14"/>
      <c r="G29" s="14"/>
      <c r="H29" s="14"/>
      <c r="I29" s="13">
        <f t="shared" si="0"/>
        <v>0</v>
      </c>
    </row>
    <row r="30" spans="1:9" ht="15.75" x14ac:dyDescent="0.25">
      <c r="A30" s="8"/>
      <c r="B30" s="8"/>
      <c r="C30" s="9"/>
      <c r="D30" s="12" t="s">
        <v>26</v>
      </c>
      <c r="E30" s="14"/>
      <c r="F30" s="14"/>
      <c r="G30" s="14"/>
      <c r="H30" s="14"/>
      <c r="I30" s="13">
        <f t="shared" si="0"/>
        <v>0</v>
      </c>
    </row>
    <row r="31" spans="1:9" ht="15.75" x14ac:dyDescent="0.25">
      <c r="A31" s="8"/>
      <c r="B31" s="8"/>
      <c r="C31" s="9"/>
      <c r="D31" s="12" t="s">
        <v>27</v>
      </c>
      <c r="E31" s="14"/>
      <c r="F31" s="14"/>
      <c r="G31" s="14"/>
      <c r="H31" s="14"/>
      <c r="I31" s="13">
        <f t="shared" si="0"/>
        <v>0</v>
      </c>
    </row>
    <row r="32" spans="1:9" ht="15.75" x14ac:dyDescent="0.25">
      <c r="A32" s="8"/>
      <c r="B32" s="8"/>
      <c r="C32" s="9"/>
      <c r="D32" s="12" t="s">
        <v>28</v>
      </c>
      <c r="E32" s="14"/>
      <c r="F32" s="14"/>
      <c r="G32" s="14"/>
      <c r="H32" s="14"/>
      <c r="I32" s="13">
        <f t="shared" si="0"/>
        <v>0</v>
      </c>
    </row>
    <row r="33" spans="1:9" ht="15.75" x14ac:dyDescent="0.25">
      <c r="A33" s="8"/>
      <c r="B33" s="8"/>
      <c r="C33" s="9"/>
      <c r="D33" s="12" t="s">
        <v>29</v>
      </c>
      <c r="E33" s="14"/>
      <c r="F33" s="14"/>
      <c r="G33" s="14"/>
      <c r="H33" s="14"/>
      <c r="I33" s="13">
        <f t="shared" si="0"/>
        <v>0</v>
      </c>
    </row>
    <row r="34" spans="1:9" ht="15.75" x14ac:dyDescent="0.25">
      <c r="A34" s="8"/>
      <c r="B34" s="8"/>
      <c r="C34" s="9"/>
      <c r="D34" s="12" t="s">
        <v>30</v>
      </c>
      <c r="E34" s="14"/>
      <c r="F34" s="14"/>
      <c r="G34" s="14"/>
      <c r="H34" s="14"/>
      <c r="I34" s="13">
        <f t="shared" si="0"/>
        <v>0</v>
      </c>
    </row>
    <row r="35" spans="1:9" ht="15.75" x14ac:dyDescent="0.25">
      <c r="A35" s="8"/>
      <c r="B35" s="8"/>
      <c r="C35" s="9"/>
      <c r="D35" s="12" t="s">
        <v>31</v>
      </c>
      <c r="E35" s="14"/>
      <c r="F35" s="14"/>
      <c r="G35" s="14"/>
      <c r="H35" s="14"/>
      <c r="I35" s="13">
        <f t="shared" si="0"/>
        <v>0</v>
      </c>
    </row>
    <row r="36" spans="1:9" ht="15.75" x14ac:dyDescent="0.25">
      <c r="A36" s="8"/>
      <c r="B36" s="8"/>
      <c r="C36" s="9"/>
      <c r="D36" s="12" t="s">
        <v>32</v>
      </c>
      <c r="E36" s="14"/>
      <c r="F36" s="14"/>
      <c r="G36" s="14"/>
      <c r="H36" s="14"/>
      <c r="I36" s="13">
        <f t="shared" si="0"/>
        <v>0</v>
      </c>
    </row>
    <row r="37" spans="1:9" ht="15.75" x14ac:dyDescent="0.25">
      <c r="A37" s="8"/>
      <c r="B37" s="8"/>
      <c r="C37" s="9"/>
      <c r="D37" s="12" t="s">
        <v>33</v>
      </c>
      <c r="E37" s="14"/>
      <c r="F37" s="14"/>
      <c r="G37" s="14"/>
      <c r="H37" s="14"/>
      <c r="I37" s="13">
        <f t="shared" si="0"/>
        <v>0</v>
      </c>
    </row>
    <row r="38" spans="1:9" ht="15.75" x14ac:dyDescent="0.25">
      <c r="A38" s="8"/>
      <c r="B38" s="8"/>
      <c r="C38" s="9"/>
      <c r="D38" s="12" t="s">
        <v>34</v>
      </c>
      <c r="E38" s="14"/>
      <c r="F38" s="14"/>
      <c r="G38" s="14"/>
      <c r="H38" s="14"/>
      <c r="I38" s="13">
        <f t="shared" si="0"/>
        <v>0</v>
      </c>
    </row>
    <row r="39" spans="1:9" ht="15.75" x14ac:dyDescent="0.25">
      <c r="A39" s="8"/>
      <c r="B39" s="8"/>
      <c r="C39" s="9"/>
      <c r="D39" s="12" t="s">
        <v>35</v>
      </c>
      <c r="E39" s="14"/>
      <c r="F39" s="14"/>
      <c r="G39" s="14"/>
      <c r="H39" s="14"/>
      <c r="I39" s="13">
        <f t="shared" si="0"/>
        <v>0</v>
      </c>
    </row>
    <row r="40" spans="1:9" ht="15.75" x14ac:dyDescent="0.25">
      <c r="A40" s="8"/>
      <c r="B40" s="8"/>
      <c r="C40" s="9"/>
      <c r="D40" s="12" t="s">
        <v>36</v>
      </c>
      <c r="E40" s="14"/>
      <c r="F40" s="14"/>
      <c r="G40" s="14"/>
      <c r="H40" s="14"/>
      <c r="I40" s="13">
        <f t="shared" si="0"/>
        <v>0</v>
      </c>
    </row>
    <row r="41" spans="1:9" ht="15.75" x14ac:dyDescent="0.25">
      <c r="A41" s="8"/>
      <c r="B41" s="8"/>
      <c r="C41" s="9"/>
      <c r="D41" s="12" t="s">
        <v>37</v>
      </c>
      <c r="E41" s="14"/>
      <c r="F41" s="14"/>
      <c r="G41" s="14"/>
      <c r="H41" s="14"/>
      <c r="I41" s="13">
        <f t="shared" si="0"/>
        <v>0</v>
      </c>
    </row>
    <row r="42" spans="1:9" ht="15.75" x14ac:dyDescent="0.25">
      <c r="A42" s="8"/>
      <c r="B42" s="8"/>
      <c r="C42" s="9"/>
      <c r="D42" s="12" t="s">
        <v>38</v>
      </c>
      <c r="E42" s="14"/>
      <c r="F42" s="14"/>
      <c r="G42" s="14"/>
      <c r="H42" s="14"/>
      <c r="I42" s="13">
        <f t="shared" si="0"/>
        <v>0</v>
      </c>
    </row>
    <row r="43" spans="1:9" ht="15.75" x14ac:dyDescent="0.25">
      <c r="A43" s="8"/>
      <c r="B43" s="8"/>
      <c r="C43" s="9"/>
      <c r="D43" s="12" t="s">
        <v>39</v>
      </c>
      <c r="E43" s="14"/>
      <c r="F43" s="14"/>
      <c r="G43" s="14"/>
      <c r="H43" s="14"/>
      <c r="I43" s="13">
        <f t="shared" si="0"/>
        <v>0</v>
      </c>
    </row>
    <row r="44" spans="1:9" ht="15.75" x14ac:dyDescent="0.25">
      <c r="A44" s="8"/>
      <c r="B44" s="8"/>
      <c r="C44" s="9"/>
      <c r="D44" s="12" t="s">
        <v>40</v>
      </c>
      <c r="E44" s="14"/>
      <c r="F44" s="14"/>
      <c r="G44" s="14"/>
      <c r="H44" s="14"/>
      <c r="I44" s="13">
        <f t="shared" si="0"/>
        <v>0</v>
      </c>
    </row>
    <row r="45" spans="1:9" ht="15.75" x14ac:dyDescent="0.25">
      <c r="A45" s="8"/>
      <c r="B45" s="8"/>
      <c r="C45" s="9"/>
      <c r="D45" s="12" t="s">
        <v>41</v>
      </c>
      <c r="E45" s="14"/>
      <c r="F45" s="14"/>
      <c r="G45" s="14"/>
      <c r="H45" s="14"/>
      <c r="I45" s="13">
        <f t="shared" si="0"/>
        <v>0</v>
      </c>
    </row>
    <row r="46" spans="1:9" ht="15.75" x14ac:dyDescent="0.25">
      <c r="A46" s="8"/>
      <c r="B46" s="8"/>
      <c r="C46" s="9"/>
      <c r="D46" s="12" t="s">
        <v>42</v>
      </c>
      <c r="E46" s="14"/>
      <c r="F46" s="14"/>
      <c r="G46" s="14"/>
      <c r="H46" s="14"/>
      <c r="I46" s="13">
        <f t="shared" si="0"/>
        <v>0</v>
      </c>
    </row>
    <row r="47" spans="1:9" ht="15.75" x14ac:dyDescent="0.25">
      <c r="A47" s="8"/>
      <c r="B47" s="8"/>
      <c r="C47" s="9"/>
      <c r="D47" s="12" t="s">
        <v>43</v>
      </c>
      <c r="E47" s="14"/>
      <c r="F47" s="14"/>
      <c r="G47" s="14"/>
      <c r="H47" s="14"/>
      <c r="I47" s="13">
        <f t="shared" si="0"/>
        <v>0</v>
      </c>
    </row>
    <row r="48" spans="1:9" ht="15.75" x14ac:dyDescent="0.25">
      <c r="A48" s="8"/>
      <c r="B48" s="8"/>
      <c r="C48" s="9"/>
      <c r="D48" s="12" t="s">
        <v>44</v>
      </c>
      <c r="E48" s="14"/>
      <c r="F48" s="14"/>
      <c r="G48" s="14"/>
      <c r="H48" s="14"/>
      <c r="I48" s="13">
        <f t="shared" si="0"/>
        <v>0</v>
      </c>
    </row>
    <row r="49" spans="1:9" ht="15.75" x14ac:dyDescent="0.25">
      <c r="A49" s="8"/>
      <c r="B49" s="8"/>
      <c r="C49" s="9"/>
      <c r="D49" s="12" t="s">
        <v>45</v>
      </c>
      <c r="E49" s="14"/>
      <c r="F49" s="14"/>
      <c r="G49" s="14"/>
      <c r="H49" s="14"/>
      <c r="I49" s="13">
        <f t="shared" si="0"/>
        <v>0</v>
      </c>
    </row>
    <row r="50" spans="1:9" ht="15.75" x14ac:dyDescent="0.25">
      <c r="A50" s="8"/>
      <c r="B50" s="8"/>
      <c r="C50" s="9"/>
      <c r="D50" s="12" t="s">
        <v>46</v>
      </c>
      <c r="E50" s="14"/>
      <c r="F50" s="14"/>
      <c r="G50" s="14"/>
      <c r="H50" s="14"/>
      <c r="I50" s="13">
        <f t="shared" si="0"/>
        <v>0</v>
      </c>
    </row>
    <row r="51" spans="1:9" ht="15.75" x14ac:dyDescent="0.25">
      <c r="A51" s="8"/>
      <c r="B51" s="8"/>
      <c r="C51" s="9"/>
      <c r="D51" s="12" t="s">
        <v>47</v>
      </c>
      <c r="E51" s="14"/>
      <c r="F51" s="14"/>
      <c r="G51" s="14"/>
      <c r="H51" s="14"/>
      <c r="I51" s="13">
        <f t="shared" si="0"/>
        <v>0</v>
      </c>
    </row>
    <row r="52" spans="1:9" ht="15.75" x14ac:dyDescent="0.25">
      <c r="A52" s="8"/>
      <c r="B52" s="8"/>
      <c r="C52" s="9"/>
      <c r="D52" s="12" t="s">
        <v>48</v>
      </c>
      <c r="E52" s="14"/>
      <c r="F52" s="14"/>
      <c r="G52" s="14"/>
      <c r="H52" s="14"/>
      <c r="I52" s="13">
        <f t="shared" si="0"/>
        <v>0</v>
      </c>
    </row>
    <row r="53" spans="1:9" ht="15.75" x14ac:dyDescent="0.25">
      <c r="A53" s="8"/>
      <c r="B53" s="8"/>
      <c r="C53" s="9"/>
      <c r="D53" s="12" t="s">
        <v>49</v>
      </c>
      <c r="E53" s="14"/>
      <c r="F53" s="14"/>
      <c r="G53" s="14"/>
      <c r="H53" s="14"/>
      <c r="I53" s="13">
        <f t="shared" si="0"/>
        <v>0</v>
      </c>
    </row>
    <row r="54" spans="1:9" ht="15.75" x14ac:dyDescent="0.25">
      <c r="A54" s="8"/>
      <c r="B54" s="8"/>
      <c r="C54" s="9"/>
      <c r="D54" s="12" t="s">
        <v>50</v>
      </c>
      <c r="E54" s="14"/>
      <c r="F54" s="14"/>
      <c r="G54" s="14"/>
      <c r="H54" s="14"/>
      <c r="I54" s="13">
        <f t="shared" si="0"/>
        <v>0</v>
      </c>
    </row>
    <row r="55" spans="1:9" ht="15.75" x14ac:dyDescent="0.25">
      <c r="A55" s="8"/>
      <c r="B55" s="8"/>
      <c r="C55" s="9"/>
      <c r="D55" s="12" t="s">
        <v>51</v>
      </c>
      <c r="E55" s="14"/>
      <c r="F55" s="14"/>
      <c r="G55" s="14"/>
      <c r="H55" s="14"/>
      <c r="I55" s="13">
        <f t="shared" si="0"/>
        <v>0</v>
      </c>
    </row>
    <row r="56" spans="1:9" ht="15.75" x14ac:dyDescent="0.25">
      <c r="A56" s="8"/>
      <c r="B56" s="8"/>
      <c r="C56" s="9"/>
      <c r="D56" s="12" t="s">
        <v>52</v>
      </c>
      <c r="E56" s="14"/>
      <c r="F56" s="14"/>
      <c r="G56" s="14"/>
      <c r="H56" s="14"/>
      <c r="I56" s="13">
        <f t="shared" si="0"/>
        <v>0</v>
      </c>
    </row>
    <row r="57" spans="1:9" ht="15.75" x14ac:dyDescent="0.25">
      <c r="A57" s="8"/>
      <c r="B57" s="8"/>
      <c r="C57" s="9"/>
      <c r="D57" s="12" t="s">
        <v>53</v>
      </c>
      <c r="E57" s="14"/>
      <c r="F57" s="14"/>
      <c r="G57" s="14"/>
      <c r="H57" s="14"/>
      <c r="I57" s="13">
        <f t="shared" si="0"/>
        <v>0</v>
      </c>
    </row>
    <row r="58" spans="1:9" ht="15.75" x14ac:dyDescent="0.25">
      <c r="A58" s="8"/>
      <c r="B58" s="8"/>
      <c r="C58" s="9"/>
      <c r="D58" s="12" t="s">
        <v>54</v>
      </c>
      <c r="E58" s="14"/>
      <c r="F58" s="14"/>
      <c r="G58" s="14"/>
      <c r="H58" s="14"/>
      <c r="I58" s="13">
        <f t="shared" si="0"/>
        <v>0</v>
      </c>
    </row>
    <row r="59" spans="1:9" ht="15.75" x14ac:dyDescent="0.25">
      <c r="A59" s="8"/>
      <c r="B59" s="8"/>
      <c r="C59" s="9"/>
      <c r="D59" s="12" t="s">
        <v>55</v>
      </c>
      <c r="E59" s="14"/>
      <c r="F59" s="14"/>
      <c r="G59" s="14"/>
      <c r="H59" s="14"/>
      <c r="I59" s="13">
        <f t="shared" si="0"/>
        <v>0</v>
      </c>
    </row>
    <row r="60" spans="1:9" ht="15.75" x14ac:dyDescent="0.25">
      <c r="A60" s="8"/>
      <c r="B60" s="8"/>
      <c r="C60" s="9"/>
      <c r="D60" s="12" t="s">
        <v>56</v>
      </c>
      <c r="E60" s="14"/>
      <c r="F60" s="14"/>
      <c r="G60" s="14"/>
      <c r="H60" s="14"/>
      <c r="I60" s="13">
        <f t="shared" si="0"/>
        <v>0</v>
      </c>
    </row>
    <row r="61" spans="1:9" ht="15.75" x14ac:dyDescent="0.25">
      <c r="A61" s="8"/>
      <c r="B61" s="8"/>
      <c r="C61" s="9"/>
      <c r="D61" s="12" t="s">
        <v>57</v>
      </c>
      <c r="E61" s="14"/>
      <c r="F61" s="14"/>
      <c r="G61" s="14"/>
      <c r="H61" s="14"/>
      <c r="I61" s="13">
        <f t="shared" si="0"/>
        <v>0</v>
      </c>
    </row>
    <row r="62" spans="1:9" ht="15.75" x14ac:dyDescent="0.25">
      <c r="A62" s="8"/>
      <c r="B62" s="8"/>
      <c r="C62" s="9"/>
      <c r="D62" s="12" t="s">
        <v>58</v>
      </c>
      <c r="E62" s="14"/>
      <c r="F62" s="14"/>
      <c r="G62" s="14"/>
      <c r="H62" s="14"/>
      <c r="I62" s="13">
        <f t="shared" si="0"/>
        <v>0</v>
      </c>
    </row>
    <row r="63" spans="1:9" ht="15.75" x14ac:dyDescent="0.25">
      <c r="A63" s="8"/>
      <c r="B63" s="8"/>
      <c r="C63" s="9"/>
      <c r="D63" s="12" t="s">
        <v>59</v>
      </c>
      <c r="E63" s="14"/>
      <c r="F63" s="14"/>
      <c r="G63" s="14"/>
      <c r="H63" s="14"/>
      <c r="I63" s="13">
        <f t="shared" si="0"/>
        <v>0</v>
      </c>
    </row>
    <row r="64" spans="1:9" ht="15.75" x14ac:dyDescent="0.25">
      <c r="A64" s="8"/>
      <c r="B64" s="8"/>
      <c r="C64" s="9"/>
      <c r="D64" s="12" t="s">
        <v>60</v>
      </c>
      <c r="E64" s="14"/>
      <c r="F64" s="14"/>
      <c r="G64" s="14"/>
      <c r="H64" s="14"/>
      <c r="I64" s="13">
        <f t="shared" si="0"/>
        <v>0</v>
      </c>
    </row>
    <row r="65" spans="1:9" ht="15.75" x14ac:dyDescent="0.25">
      <c r="A65" s="8"/>
      <c r="B65" s="8"/>
      <c r="C65" s="9"/>
      <c r="D65" s="12" t="s">
        <v>61</v>
      </c>
      <c r="E65" s="14"/>
      <c r="F65" s="14"/>
      <c r="G65" s="14"/>
      <c r="H65" s="14"/>
      <c r="I65" s="13">
        <f t="shared" si="0"/>
        <v>0</v>
      </c>
    </row>
    <row r="66" spans="1:9" ht="15.75" x14ac:dyDescent="0.25">
      <c r="A66" s="8"/>
      <c r="B66" s="8"/>
      <c r="C66" s="9"/>
      <c r="D66" s="12" t="s">
        <v>62</v>
      </c>
      <c r="E66" s="14"/>
      <c r="F66" s="14"/>
      <c r="G66" s="14"/>
      <c r="H66" s="14"/>
      <c r="I66" s="13">
        <f t="shared" si="0"/>
        <v>0</v>
      </c>
    </row>
    <row r="67" spans="1:9" ht="15.75" x14ac:dyDescent="0.25">
      <c r="A67" s="8"/>
      <c r="B67" s="8"/>
      <c r="C67" s="9"/>
      <c r="D67" s="12" t="s">
        <v>63</v>
      </c>
      <c r="E67" s="14"/>
      <c r="F67" s="14"/>
      <c r="G67" s="14"/>
      <c r="H67" s="14"/>
      <c r="I67" s="13">
        <f t="shared" si="0"/>
        <v>0</v>
      </c>
    </row>
    <row r="68" spans="1:9" ht="15.75" x14ac:dyDescent="0.25">
      <c r="A68" s="8"/>
      <c r="B68" s="8"/>
      <c r="C68" s="9"/>
      <c r="D68" s="12" t="s">
        <v>64</v>
      </c>
      <c r="E68" s="14"/>
      <c r="F68" s="14"/>
      <c r="G68" s="14"/>
      <c r="H68" s="14"/>
      <c r="I68" s="13">
        <f t="shared" si="0"/>
        <v>0</v>
      </c>
    </row>
    <row r="69" spans="1:9" ht="15.75" x14ac:dyDescent="0.25">
      <c r="A69" s="8"/>
      <c r="B69" s="8"/>
      <c r="C69" s="9"/>
      <c r="D69" s="12" t="s">
        <v>65</v>
      </c>
      <c r="E69" s="14"/>
      <c r="F69" s="14"/>
      <c r="G69" s="14"/>
      <c r="H69" s="14"/>
      <c r="I69" s="13">
        <f t="shared" si="0"/>
        <v>0</v>
      </c>
    </row>
    <row r="70" spans="1:9" ht="15.75" x14ac:dyDescent="0.25">
      <c r="A70" s="8"/>
      <c r="B70" s="8"/>
      <c r="C70" s="9"/>
      <c r="D70" s="12" t="s">
        <v>66</v>
      </c>
      <c r="E70" s="14"/>
      <c r="F70" s="14"/>
      <c r="G70" s="14"/>
      <c r="H70" s="14"/>
      <c r="I70" s="13">
        <f t="shared" si="0"/>
        <v>0</v>
      </c>
    </row>
    <row r="71" spans="1:9" ht="15.75" x14ac:dyDescent="0.25">
      <c r="A71" s="8"/>
      <c r="B71" s="8"/>
      <c r="C71" s="9"/>
      <c r="D71" s="12" t="s">
        <v>67</v>
      </c>
      <c r="E71" s="14"/>
      <c r="F71" s="14"/>
      <c r="G71" s="14"/>
      <c r="H71" s="14"/>
      <c r="I71" s="13">
        <f t="shared" si="0"/>
        <v>0</v>
      </c>
    </row>
    <row r="72" spans="1:9" ht="15.75" x14ac:dyDescent="0.25">
      <c r="A72" s="8"/>
      <c r="B72" s="8"/>
      <c r="C72" s="9"/>
      <c r="D72" s="12" t="s">
        <v>68</v>
      </c>
      <c r="E72" s="14"/>
      <c r="F72" s="14"/>
      <c r="G72" s="14"/>
      <c r="H72" s="14"/>
      <c r="I72" s="13">
        <f t="shared" si="0"/>
        <v>0</v>
      </c>
    </row>
    <row r="73" spans="1:9" ht="15.75" x14ac:dyDescent="0.25">
      <c r="A73" s="8"/>
      <c r="B73" s="8"/>
      <c r="C73" s="9"/>
      <c r="D73" s="12" t="s">
        <v>69</v>
      </c>
      <c r="E73" s="14"/>
      <c r="F73" s="14"/>
      <c r="G73" s="14"/>
      <c r="H73" s="14"/>
      <c r="I73" s="13">
        <f t="shared" si="0"/>
        <v>0</v>
      </c>
    </row>
    <row r="74" spans="1:9" ht="15.75" x14ac:dyDescent="0.25">
      <c r="A74" s="8"/>
      <c r="B74" s="8"/>
      <c r="C74" s="9"/>
      <c r="D74" s="12" t="s">
        <v>70</v>
      </c>
      <c r="E74" s="14"/>
      <c r="F74" s="14"/>
      <c r="G74" s="14"/>
      <c r="H74" s="14"/>
      <c r="I74" s="13">
        <f t="shared" ref="I74:I137" si="1">SUM(E74:H74)</f>
        <v>0</v>
      </c>
    </row>
    <row r="75" spans="1:9" ht="15.75" x14ac:dyDescent="0.25">
      <c r="A75" s="8"/>
      <c r="B75" s="8"/>
      <c r="C75" s="9"/>
      <c r="D75" s="12" t="s">
        <v>71</v>
      </c>
      <c r="E75" s="14"/>
      <c r="F75" s="14"/>
      <c r="G75" s="14"/>
      <c r="H75" s="14"/>
      <c r="I75" s="13">
        <f t="shared" si="1"/>
        <v>0</v>
      </c>
    </row>
    <row r="76" spans="1:9" ht="15.75" x14ac:dyDescent="0.25">
      <c r="A76" s="8"/>
      <c r="B76" s="8"/>
      <c r="C76" s="9"/>
      <c r="D76" s="12" t="s">
        <v>72</v>
      </c>
      <c r="E76" s="14"/>
      <c r="F76" s="14"/>
      <c r="G76" s="14"/>
      <c r="H76" s="14"/>
      <c r="I76" s="13">
        <f t="shared" si="1"/>
        <v>0</v>
      </c>
    </row>
    <row r="77" spans="1:9" ht="15.75" x14ac:dyDescent="0.25">
      <c r="A77" s="8"/>
      <c r="B77" s="8"/>
      <c r="C77" s="9"/>
      <c r="D77" s="12" t="s">
        <v>73</v>
      </c>
      <c r="E77" s="14"/>
      <c r="F77" s="14"/>
      <c r="G77" s="14"/>
      <c r="H77" s="14"/>
      <c r="I77" s="13">
        <f t="shared" si="1"/>
        <v>0</v>
      </c>
    </row>
    <row r="78" spans="1:9" ht="15.75" x14ac:dyDescent="0.25">
      <c r="A78" s="8"/>
      <c r="B78" s="8"/>
      <c r="C78" s="9"/>
      <c r="D78" s="12" t="s">
        <v>74</v>
      </c>
      <c r="E78" s="14"/>
      <c r="F78" s="14"/>
      <c r="G78" s="14"/>
      <c r="H78" s="14"/>
      <c r="I78" s="13">
        <f t="shared" si="1"/>
        <v>0</v>
      </c>
    </row>
    <row r="79" spans="1:9" ht="15.75" x14ac:dyDescent="0.25">
      <c r="A79" s="8"/>
      <c r="B79" s="8"/>
      <c r="C79" s="9"/>
      <c r="D79" s="12" t="s">
        <v>75</v>
      </c>
      <c r="E79" s="14"/>
      <c r="F79" s="14"/>
      <c r="G79" s="14"/>
      <c r="H79" s="14"/>
      <c r="I79" s="13">
        <f t="shared" si="1"/>
        <v>0</v>
      </c>
    </row>
    <row r="80" spans="1:9" ht="15.75" x14ac:dyDescent="0.25">
      <c r="A80" s="8"/>
      <c r="B80" s="8"/>
      <c r="C80" s="9"/>
      <c r="D80" s="12" t="s">
        <v>76</v>
      </c>
      <c r="E80" s="14"/>
      <c r="F80" s="14"/>
      <c r="G80" s="14"/>
      <c r="H80" s="14"/>
      <c r="I80" s="13">
        <f t="shared" si="1"/>
        <v>0</v>
      </c>
    </row>
    <row r="81" spans="1:9" ht="15.75" x14ac:dyDescent="0.25">
      <c r="A81" s="8"/>
      <c r="B81" s="8"/>
      <c r="C81" s="9"/>
      <c r="D81" s="12" t="s">
        <v>77</v>
      </c>
      <c r="E81" s="14"/>
      <c r="F81" s="14"/>
      <c r="G81" s="14"/>
      <c r="H81" s="14"/>
      <c r="I81" s="13">
        <f t="shared" si="1"/>
        <v>0</v>
      </c>
    </row>
    <row r="82" spans="1:9" ht="15.75" x14ac:dyDescent="0.25">
      <c r="A82" s="8"/>
      <c r="B82" s="8"/>
      <c r="C82" s="9"/>
      <c r="D82" s="12" t="s">
        <v>78</v>
      </c>
      <c r="E82" s="14"/>
      <c r="F82" s="14"/>
      <c r="G82" s="14"/>
      <c r="H82" s="14"/>
      <c r="I82" s="13">
        <f t="shared" si="1"/>
        <v>0</v>
      </c>
    </row>
    <row r="83" spans="1:9" ht="15.75" x14ac:dyDescent="0.25">
      <c r="A83" s="8"/>
      <c r="B83" s="8"/>
      <c r="C83" s="9"/>
      <c r="D83" s="12" t="s">
        <v>79</v>
      </c>
      <c r="E83" s="14"/>
      <c r="F83" s="14"/>
      <c r="G83" s="14"/>
      <c r="H83" s="14"/>
      <c r="I83" s="13">
        <f t="shared" si="1"/>
        <v>0</v>
      </c>
    </row>
    <row r="84" spans="1:9" ht="15.75" x14ac:dyDescent="0.25">
      <c r="A84" s="8"/>
      <c r="B84" s="8"/>
      <c r="C84" s="9"/>
      <c r="D84" s="12" t="s">
        <v>80</v>
      </c>
      <c r="E84" s="14"/>
      <c r="F84" s="14"/>
      <c r="G84" s="14"/>
      <c r="H84" s="14"/>
      <c r="I84" s="13">
        <f t="shared" si="1"/>
        <v>0</v>
      </c>
    </row>
    <row r="85" spans="1:9" ht="15.75" x14ac:dyDescent="0.25">
      <c r="A85" s="8"/>
      <c r="B85" s="8"/>
      <c r="C85" s="9"/>
      <c r="D85" s="12" t="s">
        <v>81</v>
      </c>
      <c r="E85" s="14"/>
      <c r="F85" s="14"/>
      <c r="G85" s="14"/>
      <c r="H85" s="14"/>
      <c r="I85" s="13">
        <f t="shared" si="1"/>
        <v>0</v>
      </c>
    </row>
    <row r="86" spans="1:9" ht="15.75" x14ac:dyDescent="0.25">
      <c r="A86" s="8"/>
      <c r="B86" s="8"/>
      <c r="C86" s="9"/>
      <c r="D86" s="12" t="s">
        <v>82</v>
      </c>
      <c r="E86" s="14"/>
      <c r="F86" s="14"/>
      <c r="G86" s="14"/>
      <c r="H86" s="14"/>
      <c r="I86" s="13">
        <f t="shared" si="1"/>
        <v>0</v>
      </c>
    </row>
    <row r="87" spans="1:9" ht="15.75" x14ac:dyDescent="0.25">
      <c r="A87" s="8"/>
      <c r="B87" s="8"/>
      <c r="C87" s="9"/>
      <c r="D87" s="12" t="s">
        <v>83</v>
      </c>
      <c r="E87" s="14"/>
      <c r="F87" s="14"/>
      <c r="G87" s="14"/>
      <c r="H87" s="14"/>
      <c r="I87" s="13">
        <f t="shared" si="1"/>
        <v>0</v>
      </c>
    </row>
    <row r="88" spans="1:9" ht="15.75" x14ac:dyDescent="0.25">
      <c r="A88" s="8"/>
      <c r="B88" s="8"/>
      <c r="C88" s="9"/>
      <c r="D88" s="12" t="s">
        <v>84</v>
      </c>
      <c r="E88" s="14"/>
      <c r="F88" s="14"/>
      <c r="G88" s="14"/>
      <c r="H88" s="14"/>
      <c r="I88" s="13">
        <f t="shared" si="1"/>
        <v>0</v>
      </c>
    </row>
    <row r="89" spans="1:9" ht="15.75" x14ac:dyDescent="0.25">
      <c r="A89" s="8"/>
      <c r="B89" s="8"/>
      <c r="C89" s="9"/>
      <c r="D89" s="12" t="s">
        <v>85</v>
      </c>
      <c r="E89" s="14"/>
      <c r="F89" s="14"/>
      <c r="G89" s="14"/>
      <c r="H89" s="14"/>
      <c r="I89" s="13">
        <f t="shared" si="1"/>
        <v>0</v>
      </c>
    </row>
    <row r="90" spans="1:9" ht="15.75" x14ac:dyDescent="0.25">
      <c r="A90" s="8"/>
      <c r="B90" s="8"/>
      <c r="C90" s="9"/>
      <c r="D90" s="12" t="s">
        <v>86</v>
      </c>
      <c r="E90" s="14"/>
      <c r="F90" s="14"/>
      <c r="G90" s="14"/>
      <c r="H90" s="14"/>
      <c r="I90" s="13">
        <f t="shared" si="1"/>
        <v>0</v>
      </c>
    </row>
    <row r="91" spans="1:9" ht="15.75" x14ac:dyDescent="0.25">
      <c r="A91" s="8"/>
      <c r="B91" s="8"/>
      <c r="C91" s="9"/>
      <c r="D91" s="12" t="s">
        <v>87</v>
      </c>
      <c r="E91" s="14"/>
      <c r="F91" s="14"/>
      <c r="G91" s="14"/>
      <c r="H91" s="14"/>
      <c r="I91" s="13">
        <f t="shared" si="1"/>
        <v>0</v>
      </c>
    </row>
    <row r="92" spans="1:9" ht="15.75" x14ac:dyDescent="0.25">
      <c r="A92" s="8"/>
      <c r="B92" s="8"/>
      <c r="C92" s="9"/>
      <c r="D92" s="12" t="s">
        <v>88</v>
      </c>
      <c r="E92" s="14"/>
      <c r="F92" s="14"/>
      <c r="G92" s="14"/>
      <c r="H92" s="14"/>
      <c r="I92" s="13">
        <f t="shared" si="1"/>
        <v>0</v>
      </c>
    </row>
    <row r="93" spans="1:9" ht="15.75" x14ac:dyDescent="0.25">
      <c r="A93" s="8"/>
      <c r="B93" s="8"/>
      <c r="C93" s="9"/>
      <c r="D93" s="12" t="s">
        <v>89</v>
      </c>
      <c r="E93" s="14"/>
      <c r="F93" s="14"/>
      <c r="G93" s="14"/>
      <c r="H93" s="14"/>
      <c r="I93" s="13">
        <f t="shared" si="1"/>
        <v>0</v>
      </c>
    </row>
    <row r="94" spans="1:9" ht="15.75" x14ac:dyDescent="0.25">
      <c r="A94" s="8"/>
      <c r="B94" s="8"/>
      <c r="C94" s="9"/>
      <c r="D94" s="12" t="s">
        <v>90</v>
      </c>
      <c r="E94" s="14"/>
      <c r="F94" s="14"/>
      <c r="G94" s="14"/>
      <c r="H94" s="14"/>
      <c r="I94" s="13">
        <f t="shared" si="1"/>
        <v>0</v>
      </c>
    </row>
    <row r="95" spans="1:9" ht="15.75" x14ac:dyDescent="0.25">
      <c r="A95" s="8"/>
      <c r="B95" s="8"/>
      <c r="C95" s="9"/>
      <c r="D95" s="12" t="s">
        <v>91</v>
      </c>
      <c r="E95" s="14"/>
      <c r="F95" s="14"/>
      <c r="G95" s="14"/>
      <c r="H95" s="14"/>
      <c r="I95" s="13">
        <f t="shared" si="1"/>
        <v>0</v>
      </c>
    </row>
    <row r="96" spans="1:9" ht="15.75" x14ac:dyDescent="0.25">
      <c r="A96" s="8"/>
      <c r="B96" s="8"/>
      <c r="C96" s="9"/>
      <c r="D96" s="12" t="s">
        <v>92</v>
      </c>
      <c r="E96" s="14"/>
      <c r="F96" s="14"/>
      <c r="G96" s="14"/>
      <c r="H96" s="14"/>
      <c r="I96" s="13">
        <f t="shared" si="1"/>
        <v>0</v>
      </c>
    </row>
    <row r="97" spans="1:9" ht="15.75" x14ac:dyDescent="0.25">
      <c r="A97" s="8"/>
      <c r="B97" s="8"/>
      <c r="C97" s="9"/>
      <c r="D97" s="12" t="s">
        <v>93</v>
      </c>
      <c r="E97" s="14"/>
      <c r="F97" s="14"/>
      <c r="G97" s="14"/>
      <c r="H97" s="14"/>
      <c r="I97" s="13">
        <f t="shared" si="1"/>
        <v>0</v>
      </c>
    </row>
    <row r="98" spans="1:9" ht="15.75" x14ac:dyDescent="0.25">
      <c r="A98" s="8"/>
      <c r="B98" s="8"/>
      <c r="C98" s="9"/>
      <c r="D98" s="12" t="s">
        <v>94</v>
      </c>
      <c r="E98" s="14"/>
      <c r="F98" s="14"/>
      <c r="G98" s="14"/>
      <c r="H98" s="14"/>
      <c r="I98" s="13">
        <f t="shared" si="1"/>
        <v>0</v>
      </c>
    </row>
    <row r="99" spans="1:9" ht="15.75" x14ac:dyDescent="0.25">
      <c r="A99" s="8"/>
      <c r="B99" s="8"/>
      <c r="C99" s="9"/>
      <c r="D99" s="12" t="s">
        <v>95</v>
      </c>
      <c r="E99" s="14"/>
      <c r="F99" s="14"/>
      <c r="G99" s="14"/>
      <c r="H99" s="14"/>
      <c r="I99" s="13">
        <f t="shared" si="1"/>
        <v>0</v>
      </c>
    </row>
    <row r="100" spans="1:9" ht="15.75" x14ac:dyDescent="0.25">
      <c r="A100" s="8"/>
      <c r="B100" s="8"/>
      <c r="C100" s="9"/>
      <c r="D100" s="12" t="s">
        <v>96</v>
      </c>
      <c r="E100" s="14"/>
      <c r="F100" s="14"/>
      <c r="G100" s="14"/>
      <c r="H100" s="14"/>
      <c r="I100" s="13">
        <f t="shared" si="1"/>
        <v>0</v>
      </c>
    </row>
    <row r="101" spans="1:9" ht="15.75" x14ac:dyDescent="0.25">
      <c r="A101" s="8"/>
      <c r="B101" s="8"/>
      <c r="C101" s="9"/>
      <c r="D101" s="12" t="s">
        <v>97</v>
      </c>
      <c r="E101" s="14"/>
      <c r="F101" s="14"/>
      <c r="G101" s="14"/>
      <c r="H101" s="14"/>
      <c r="I101" s="13">
        <f t="shared" si="1"/>
        <v>0</v>
      </c>
    </row>
    <row r="102" spans="1:9" ht="15.75" x14ac:dyDescent="0.25">
      <c r="A102" s="8"/>
      <c r="B102" s="8"/>
      <c r="C102" s="9"/>
      <c r="D102" s="12" t="s">
        <v>98</v>
      </c>
      <c r="E102" s="14"/>
      <c r="F102" s="14"/>
      <c r="G102" s="14"/>
      <c r="H102" s="14"/>
      <c r="I102" s="13">
        <f t="shared" si="1"/>
        <v>0</v>
      </c>
    </row>
    <row r="103" spans="1:9" ht="15.75" x14ac:dyDescent="0.25">
      <c r="A103" s="8"/>
      <c r="B103" s="8"/>
      <c r="C103" s="9"/>
      <c r="D103" s="12" t="s">
        <v>99</v>
      </c>
      <c r="E103" s="14"/>
      <c r="F103" s="14"/>
      <c r="G103" s="14"/>
      <c r="H103" s="14"/>
      <c r="I103" s="13">
        <f t="shared" si="1"/>
        <v>0</v>
      </c>
    </row>
    <row r="104" spans="1:9" ht="15.75" x14ac:dyDescent="0.25">
      <c r="A104" s="8"/>
      <c r="B104" s="8"/>
      <c r="C104" s="9"/>
      <c r="D104" s="12" t="s">
        <v>100</v>
      </c>
      <c r="E104" s="14"/>
      <c r="F104" s="14"/>
      <c r="G104" s="14"/>
      <c r="H104" s="14"/>
      <c r="I104" s="13">
        <f t="shared" si="1"/>
        <v>0</v>
      </c>
    </row>
    <row r="105" spans="1:9" ht="15.75" x14ac:dyDescent="0.25">
      <c r="A105" s="8"/>
      <c r="B105" s="8"/>
      <c r="C105" s="9"/>
      <c r="D105" s="12" t="s">
        <v>101</v>
      </c>
      <c r="E105" s="14"/>
      <c r="F105" s="14"/>
      <c r="G105" s="14"/>
      <c r="H105" s="14"/>
      <c r="I105" s="13">
        <f t="shared" si="1"/>
        <v>0</v>
      </c>
    </row>
    <row r="106" spans="1:9" ht="15.75" x14ac:dyDescent="0.25">
      <c r="A106" s="8"/>
      <c r="B106" s="8"/>
      <c r="C106" s="9"/>
      <c r="D106" s="12" t="s">
        <v>102</v>
      </c>
      <c r="E106" s="14"/>
      <c r="F106" s="14"/>
      <c r="G106" s="14"/>
      <c r="H106" s="14"/>
      <c r="I106" s="13">
        <f t="shared" si="1"/>
        <v>0</v>
      </c>
    </row>
    <row r="107" spans="1:9" ht="15.75" x14ac:dyDescent="0.25">
      <c r="A107" s="8"/>
      <c r="B107" s="8"/>
      <c r="C107" s="9"/>
      <c r="D107" s="12" t="s">
        <v>103</v>
      </c>
      <c r="E107" s="14"/>
      <c r="F107" s="14"/>
      <c r="G107" s="14"/>
      <c r="H107" s="14"/>
      <c r="I107" s="13">
        <f t="shared" si="1"/>
        <v>0</v>
      </c>
    </row>
    <row r="108" spans="1:9" ht="15.75" x14ac:dyDescent="0.25">
      <c r="A108" s="8"/>
      <c r="B108" s="8"/>
      <c r="C108" s="9"/>
      <c r="D108" s="12" t="s">
        <v>104</v>
      </c>
      <c r="E108" s="14"/>
      <c r="F108" s="14"/>
      <c r="G108" s="14"/>
      <c r="H108" s="14"/>
      <c r="I108" s="13">
        <f t="shared" si="1"/>
        <v>0</v>
      </c>
    </row>
    <row r="109" spans="1:9" ht="15.75" x14ac:dyDescent="0.25">
      <c r="A109" s="8"/>
      <c r="B109" s="8"/>
      <c r="C109" s="9"/>
      <c r="D109" s="12" t="s">
        <v>105</v>
      </c>
      <c r="E109" s="14"/>
      <c r="F109" s="14"/>
      <c r="G109" s="14"/>
      <c r="H109" s="14"/>
      <c r="I109" s="13">
        <f t="shared" si="1"/>
        <v>0</v>
      </c>
    </row>
    <row r="110" spans="1:9" ht="15.75" x14ac:dyDescent="0.25">
      <c r="A110" s="8"/>
      <c r="B110" s="8"/>
      <c r="C110" s="9"/>
      <c r="D110" s="12" t="s">
        <v>106</v>
      </c>
      <c r="E110" s="14"/>
      <c r="F110" s="14"/>
      <c r="G110" s="14"/>
      <c r="H110" s="14"/>
      <c r="I110" s="13">
        <f t="shared" si="1"/>
        <v>0</v>
      </c>
    </row>
    <row r="111" spans="1:9" ht="15.75" x14ac:dyDescent="0.25">
      <c r="A111" s="8"/>
      <c r="B111" s="8"/>
      <c r="C111" s="9"/>
      <c r="D111" s="12" t="s">
        <v>107</v>
      </c>
      <c r="E111" s="14"/>
      <c r="F111" s="14"/>
      <c r="G111" s="14"/>
      <c r="H111" s="14"/>
      <c r="I111" s="13">
        <f t="shared" si="1"/>
        <v>0</v>
      </c>
    </row>
    <row r="112" spans="1:9" ht="15.75" x14ac:dyDescent="0.25">
      <c r="A112" s="8"/>
      <c r="B112" s="8"/>
      <c r="C112" s="9"/>
      <c r="D112" s="12" t="s">
        <v>108</v>
      </c>
      <c r="E112" s="14"/>
      <c r="F112" s="14"/>
      <c r="G112" s="14"/>
      <c r="H112" s="14"/>
      <c r="I112" s="13">
        <f t="shared" si="1"/>
        <v>0</v>
      </c>
    </row>
    <row r="113" spans="1:9" ht="15.75" x14ac:dyDescent="0.25">
      <c r="A113" s="8"/>
      <c r="B113" s="8"/>
      <c r="C113" s="9"/>
      <c r="D113" s="12" t="s">
        <v>109</v>
      </c>
      <c r="E113" s="14"/>
      <c r="F113" s="14"/>
      <c r="G113" s="14"/>
      <c r="H113" s="14"/>
      <c r="I113" s="13">
        <f t="shared" si="1"/>
        <v>0</v>
      </c>
    </row>
    <row r="114" spans="1:9" ht="15.75" x14ac:dyDescent="0.25">
      <c r="A114" s="8"/>
      <c r="B114" s="8"/>
      <c r="C114" s="9"/>
      <c r="D114" s="12" t="s">
        <v>110</v>
      </c>
      <c r="E114" s="14"/>
      <c r="F114" s="14"/>
      <c r="G114" s="14"/>
      <c r="H114" s="14"/>
      <c r="I114" s="13">
        <f t="shared" si="1"/>
        <v>0</v>
      </c>
    </row>
    <row r="115" spans="1:9" ht="15.75" x14ac:dyDescent="0.25">
      <c r="A115" s="8"/>
      <c r="B115" s="8"/>
      <c r="C115" s="9"/>
      <c r="D115" s="12" t="s">
        <v>111</v>
      </c>
      <c r="E115" s="14"/>
      <c r="F115" s="14"/>
      <c r="G115" s="14"/>
      <c r="H115" s="14"/>
      <c r="I115" s="13">
        <f t="shared" si="1"/>
        <v>0</v>
      </c>
    </row>
    <row r="116" spans="1:9" ht="15.75" x14ac:dyDescent="0.25">
      <c r="A116" s="8"/>
      <c r="B116" s="8"/>
      <c r="C116" s="9"/>
      <c r="D116" s="12" t="s">
        <v>112</v>
      </c>
      <c r="E116" s="14"/>
      <c r="F116" s="14"/>
      <c r="G116" s="14"/>
      <c r="H116" s="14"/>
      <c r="I116" s="13">
        <f t="shared" si="1"/>
        <v>0</v>
      </c>
    </row>
    <row r="117" spans="1:9" ht="15.75" x14ac:dyDescent="0.25">
      <c r="A117" s="8"/>
      <c r="B117" s="8"/>
      <c r="C117" s="9"/>
      <c r="D117" s="12" t="s">
        <v>113</v>
      </c>
      <c r="E117" s="14"/>
      <c r="F117" s="14"/>
      <c r="G117" s="14"/>
      <c r="H117" s="14"/>
      <c r="I117" s="13">
        <f t="shared" si="1"/>
        <v>0</v>
      </c>
    </row>
    <row r="118" spans="1:9" ht="15.75" x14ac:dyDescent="0.25">
      <c r="A118" s="8"/>
      <c r="B118" s="8"/>
      <c r="C118" s="9"/>
      <c r="D118" s="12" t="s">
        <v>114</v>
      </c>
      <c r="E118" s="14"/>
      <c r="F118" s="14"/>
      <c r="G118" s="14"/>
      <c r="H118" s="14"/>
      <c r="I118" s="13">
        <f t="shared" si="1"/>
        <v>0</v>
      </c>
    </row>
    <row r="119" spans="1:9" ht="15.75" x14ac:dyDescent="0.25">
      <c r="A119" s="8"/>
      <c r="B119" s="8"/>
      <c r="C119" s="9"/>
      <c r="D119" s="12" t="s">
        <v>115</v>
      </c>
      <c r="E119" s="14"/>
      <c r="F119" s="14"/>
      <c r="G119" s="14"/>
      <c r="H119" s="14"/>
      <c r="I119" s="13">
        <f t="shared" si="1"/>
        <v>0</v>
      </c>
    </row>
    <row r="120" spans="1:9" ht="15.75" x14ac:dyDescent="0.25">
      <c r="A120" s="8"/>
      <c r="B120" s="8"/>
      <c r="C120" s="9"/>
      <c r="D120" s="12" t="s">
        <v>116</v>
      </c>
      <c r="E120" s="14"/>
      <c r="F120" s="14"/>
      <c r="G120" s="14"/>
      <c r="H120" s="14"/>
      <c r="I120" s="13">
        <f t="shared" si="1"/>
        <v>0</v>
      </c>
    </row>
    <row r="121" spans="1:9" ht="15.75" x14ac:dyDescent="0.25">
      <c r="A121" s="8"/>
      <c r="B121" s="8"/>
      <c r="C121" s="9"/>
      <c r="D121" s="12" t="s">
        <v>117</v>
      </c>
      <c r="E121" s="14"/>
      <c r="F121" s="14"/>
      <c r="G121" s="14"/>
      <c r="H121" s="14"/>
      <c r="I121" s="13">
        <f t="shared" si="1"/>
        <v>0</v>
      </c>
    </row>
    <row r="122" spans="1:9" ht="15.75" x14ac:dyDescent="0.25">
      <c r="A122" s="8"/>
      <c r="B122" s="8"/>
      <c r="C122" s="9"/>
      <c r="D122" s="12" t="s">
        <v>118</v>
      </c>
      <c r="E122" s="14"/>
      <c r="F122" s="14"/>
      <c r="G122" s="14"/>
      <c r="H122" s="14"/>
      <c r="I122" s="13">
        <f t="shared" si="1"/>
        <v>0</v>
      </c>
    </row>
    <row r="123" spans="1:9" ht="15.75" x14ac:dyDescent="0.25">
      <c r="A123" s="8"/>
      <c r="B123" s="8"/>
      <c r="C123" s="9"/>
      <c r="D123" s="12" t="s">
        <v>119</v>
      </c>
      <c r="E123" s="14"/>
      <c r="F123" s="14"/>
      <c r="G123" s="14"/>
      <c r="H123" s="14"/>
      <c r="I123" s="13">
        <f t="shared" si="1"/>
        <v>0</v>
      </c>
    </row>
    <row r="124" spans="1:9" ht="15.75" x14ac:dyDescent="0.25">
      <c r="A124" s="8"/>
      <c r="B124" s="8"/>
      <c r="C124" s="9"/>
      <c r="D124" s="12" t="s">
        <v>120</v>
      </c>
      <c r="E124" s="14"/>
      <c r="F124" s="14"/>
      <c r="G124" s="14"/>
      <c r="H124" s="14"/>
      <c r="I124" s="13">
        <f t="shared" si="1"/>
        <v>0</v>
      </c>
    </row>
    <row r="125" spans="1:9" ht="15.75" x14ac:dyDescent="0.25">
      <c r="A125" s="8"/>
      <c r="B125" s="8"/>
      <c r="C125" s="9"/>
      <c r="D125" s="12" t="s">
        <v>121</v>
      </c>
      <c r="E125" s="14"/>
      <c r="F125" s="14"/>
      <c r="G125" s="14"/>
      <c r="H125" s="14"/>
      <c r="I125" s="13">
        <f t="shared" si="1"/>
        <v>0</v>
      </c>
    </row>
    <row r="126" spans="1:9" ht="15.75" x14ac:dyDescent="0.25">
      <c r="A126" s="8"/>
      <c r="B126" s="8"/>
      <c r="C126" s="9"/>
      <c r="D126" s="12" t="s">
        <v>122</v>
      </c>
      <c r="E126" s="14"/>
      <c r="F126" s="14"/>
      <c r="G126" s="14"/>
      <c r="H126" s="14"/>
      <c r="I126" s="13">
        <f t="shared" si="1"/>
        <v>0</v>
      </c>
    </row>
    <row r="127" spans="1:9" ht="15.75" x14ac:dyDescent="0.25">
      <c r="A127" s="8"/>
      <c r="B127" s="8"/>
      <c r="C127" s="9"/>
      <c r="D127" s="12" t="s">
        <v>123</v>
      </c>
      <c r="E127" s="14"/>
      <c r="F127" s="14"/>
      <c r="G127" s="14"/>
      <c r="H127" s="14"/>
      <c r="I127" s="13">
        <f t="shared" si="1"/>
        <v>0</v>
      </c>
    </row>
    <row r="128" spans="1:9" ht="15.75" x14ac:dyDescent="0.25">
      <c r="A128" s="8"/>
      <c r="B128" s="8"/>
      <c r="C128" s="9"/>
      <c r="D128" s="12" t="s">
        <v>124</v>
      </c>
      <c r="E128" s="14"/>
      <c r="F128" s="14"/>
      <c r="G128" s="14"/>
      <c r="H128" s="14"/>
      <c r="I128" s="13">
        <f t="shared" si="1"/>
        <v>0</v>
      </c>
    </row>
    <row r="129" spans="1:9" ht="15.75" x14ac:dyDescent="0.25">
      <c r="A129" s="8"/>
      <c r="B129" s="8"/>
      <c r="C129" s="9"/>
      <c r="D129" s="12" t="s">
        <v>125</v>
      </c>
      <c r="E129" s="14"/>
      <c r="F129" s="14"/>
      <c r="G129" s="14"/>
      <c r="H129" s="14"/>
      <c r="I129" s="13">
        <f t="shared" si="1"/>
        <v>0</v>
      </c>
    </row>
    <row r="130" spans="1:9" ht="15.75" x14ac:dyDescent="0.25">
      <c r="A130" s="8"/>
      <c r="B130" s="8"/>
      <c r="C130" s="9"/>
      <c r="D130" s="12" t="s">
        <v>126</v>
      </c>
      <c r="E130" s="14"/>
      <c r="F130" s="14"/>
      <c r="G130" s="14"/>
      <c r="H130" s="14"/>
      <c r="I130" s="13">
        <f t="shared" si="1"/>
        <v>0</v>
      </c>
    </row>
    <row r="131" spans="1:9" ht="15.75" x14ac:dyDescent="0.25">
      <c r="A131" s="8"/>
      <c r="B131" s="8"/>
      <c r="C131" s="9"/>
      <c r="D131" s="12" t="s">
        <v>127</v>
      </c>
      <c r="E131" s="14"/>
      <c r="F131" s="14"/>
      <c r="G131" s="14"/>
      <c r="H131" s="14"/>
      <c r="I131" s="13">
        <f t="shared" si="1"/>
        <v>0</v>
      </c>
    </row>
    <row r="132" spans="1:9" ht="15.75" x14ac:dyDescent="0.25">
      <c r="A132" s="8"/>
      <c r="B132" s="8"/>
      <c r="C132" s="9"/>
      <c r="D132" s="12" t="s">
        <v>128</v>
      </c>
      <c r="E132" s="14"/>
      <c r="F132" s="14"/>
      <c r="G132" s="14"/>
      <c r="H132" s="14"/>
      <c r="I132" s="13">
        <f t="shared" si="1"/>
        <v>0</v>
      </c>
    </row>
    <row r="133" spans="1:9" ht="15.75" x14ac:dyDescent="0.25">
      <c r="A133" s="8"/>
      <c r="B133" s="8"/>
      <c r="C133" s="9"/>
      <c r="D133" s="12" t="s">
        <v>129</v>
      </c>
      <c r="E133" s="14"/>
      <c r="F133" s="14"/>
      <c r="G133" s="14"/>
      <c r="H133" s="14"/>
      <c r="I133" s="13">
        <f t="shared" si="1"/>
        <v>0</v>
      </c>
    </row>
    <row r="134" spans="1:9" ht="15.75" x14ac:dyDescent="0.25">
      <c r="A134" s="8"/>
      <c r="B134" s="8"/>
      <c r="C134" s="9"/>
      <c r="D134" s="12" t="s">
        <v>130</v>
      </c>
      <c r="E134" s="14"/>
      <c r="F134" s="14"/>
      <c r="G134" s="14"/>
      <c r="H134" s="14"/>
      <c r="I134" s="13">
        <f t="shared" si="1"/>
        <v>0</v>
      </c>
    </row>
    <row r="135" spans="1:9" ht="15.75" x14ac:dyDescent="0.25">
      <c r="A135" s="8"/>
      <c r="B135" s="8"/>
      <c r="C135" s="9"/>
      <c r="D135" s="12" t="s">
        <v>131</v>
      </c>
      <c r="E135" s="14"/>
      <c r="F135" s="14"/>
      <c r="G135" s="14"/>
      <c r="H135" s="14"/>
      <c r="I135" s="13">
        <f t="shared" si="1"/>
        <v>0</v>
      </c>
    </row>
    <row r="136" spans="1:9" ht="15.75" x14ac:dyDescent="0.25">
      <c r="A136" s="8"/>
      <c r="B136" s="8"/>
      <c r="C136" s="9"/>
      <c r="D136" s="12" t="s">
        <v>132</v>
      </c>
      <c r="E136" s="14"/>
      <c r="F136" s="14"/>
      <c r="G136" s="14"/>
      <c r="H136" s="14"/>
      <c r="I136" s="13">
        <f t="shared" si="1"/>
        <v>0</v>
      </c>
    </row>
    <row r="137" spans="1:9" ht="15.75" x14ac:dyDescent="0.25">
      <c r="A137" s="8"/>
      <c r="B137" s="8"/>
      <c r="C137" s="9"/>
      <c r="D137" s="12" t="s">
        <v>133</v>
      </c>
      <c r="E137" s="14"/>
      <c r="F137" s="14"/>
      <c r="G137" s="14"/>
      <c r="H137" s="14"/>
      <c r="I137" s="13">
        <f t="shared" si="1"/>
        <v>0</v>
      </c>
    </row>
    <row r="138" spans="1:9" ht="15.75" x14ac:dyDescent="0.25">
      <c r="A138" s="8"/>
      <c r="B138" s="8"/>
      <c r="C138" s="9"/>
      <c r="D138" s="12" t="s">
        <v>134</v>
      </c>
      <c r="E138" s="14"/>
      <c r="F138" s="14"/>
      <c r="G138" s="14"/>
      <c r="H138" s="14"/>
      <c r="I138" s="13">
        <f t="shared" ref="I138:I144" si="2">SUM(E138:H138)</f>
        <v>0</v>
      </c>
    </row>
    <row r="139" spans="1:9" ht="15.75" x14ac:dyDescent="0.25">
      <c r="A139" s="8"/>
      <c r="B139" s="8"/>
      <c r="C139" s="9"/>
      <c r="D139" s="12" t="s">
        <v>135</v>
      </c>
      <c r="E139" s="14"/>
      <c r="F139" s="14"/>
      <c r="G139" s="14"/>
      <c r="H139" s="14"/>
      <c r="I139" s="13">
        <f t="shared" si="2"/>
        <v>0</v>
      </c>
    </row>
    <row r="140" spans="1:9" ht="15.75" x14ac:dyDescent="0.25">
      <c r="A140" s="8"/>
      <c r="B140" s="8"/>
      <c r="C140" s="9"/>
      <c r="D140" s="12" t="s">
        <v>136</v>
      </c>
      <c r="E140" s="14"/>
      <c r="F140" s="14"/>
      <c r="G140" s="14"/>
      <c r="H140" s="14"/>
      <c r="I140" s="13">
        <f t="shared" si="2"/>
        <v>0</v>
      </c>
    </row>
    <row r="141" spans="1:9" ht="15.75" x14ac:dyDescent="0.25">
      <c r="A141" s="8"/>
      <c r="B141" s="8"/>
      <c r="C141" s="9"/>
      <c r="D141" s="12" t="s">
        <v>137</v>
      </c>
      <c r="E141" s="14"/>
      <c r="F141" s="14"/>
      <c r="G141" s="14"/>
      <c r="H141" s="14"/>
      <c r="I141" s="13">
        <f t="shared" si="2"/>
        <v>0</v>
      </c>
    </row>
    <row r="142" spans="1:9" ht="15.75" x14ac:dyDescent="0.25">
      <c r="A142" s="8"/>
      <c r="B142" s="8"/>
      <c r="C142" s="9"/>
      <c r="D142" s="12" t="s">
        <v>138</v>
      </c>
      <c r="E142" s="14"/>
      <c r="F142" s="14"/>
      <c r="G142" s="14"/>
      <c r="H142" s="14"/>
      <c r="I142" s="13">
        <f t="shared" si="2"/>
        <v>0</v>
      </c>
    </row>
    <row r="143" spans="1:9" ht="15.75" x14ac:dyDescent="0.25">
      <c r="A143" s="8"/>
      <c r="B143" s="8"/>
      <c r="C143" s="9"/>
      <c r="D143" s="12" t="s">
        <v>139</v>
      </c>
      <c r="E143" s="14"/>
      <c r="F143" s="14"/>
      <c r="G143" s="14"/>
      <c r="H143" s="14"/>
      <c r="I143" s="13">
        <f t="shared" si="2"/>
        <v>0</v>
      </c>
    </row>
    <row r="144" spans="1:9" ht="15.75" x14ac:dyDescent="0.25">
      <c r="A144" s="8"/>
      <c r="B144" s="8"/>
      <c r="C144" s="9"/>
      <c r="D144" s="12" t="s">
        <v>140</v>
      </c>
      <c r="E144" s="14"/>
      <c r="F144" s="14"/>
      <c r="G144" s="14"/>
      <c r="H144" s="14"/>
      <c r="I144" s="13">
        <f t="shared" si="2"/>
        <v>0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0</v>
      </c>
      <c r="F145" s="22">
        <f>SUM(F10:F144)</f>
        <v>0</v>
      </c>
      <c r="G145" s="22">
        <f>SUM(G10:G144)</f>
        <v>0</v>
      </c>
      <c r="H145" s="22">
        <f>SUM(H10:H144)</f>
        <v>0</v>
      </c>
      <c r="I145" s="22">
        <f>SUM(I10:I144)</f>
        <v>0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7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44AEAC"/>
    <pageSetUpPr fitToPage="1"/>
  </sheetPr>
  <dimension ref="A1:I145"/>
  <sheetViews>
    <sheetView showGridLines="0" zoomScale="80" zoomScaleNormal="80" workbookViewId="0">
      <selection activeCell="E10" sqref="E10:H144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6" width="20.1640625" style="2" customWidth="1"/>
    <col min="7" max="7" width="21" style="2" bestFit="1" customWidth="1"/>
    <col min="8" max="8" width="20.1640625" style="2" customWidth="1"/>
    <col min="9" max="9" width="21" style="2" bestFit="1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152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/>
      <c r="F10" s="16"/>
      <c r="G10" s="16"/>
      <c r="H10" s="16"/>
      <c r="I10" s="13">
        <f t="shared" ref="I10:I73" si="0">SUM(E10:H10)</f>
        <v>0</v>
      </c>
    </row>
    <row r="11" spans="1:9" ht="15.75" x14ac:dyDescent="0.25">
      <c r="A11" s="8"/>
      <c r="B11" s="8"/>
      <c r="C11" s="9"/>
      <c r="D11" s="12" t="s">
        <v>7</v>
      </c>
      <c r="E11" s="16"/>
      <c r="F11" s="16"/>
      <c r="G11" s="16"/>
      <c r="H11" s="16"/>
      <c r="I11" s="13">
        <f t="shared" si="0"/>
        <v>0</v>
      </c>
    </row>
    <row r="12" spans="1:9" ht="15.75" x14ac:dyDescent="0.25">
      <c r="A12" s="8"/>
      <c r="B12" s="8"/>
      <c r="C12" s="9"/>
      <c r="D12" s="12" t="s">
        <v>8</v>
      </c>
      <c r="E12" s="16"/>
      <c r="F12" s="16"/>
      <c r="G12" s="16"/>
      <c r="H12" s="16"/>
      <c r="I12" s="13">
        <f t="shared" si="0"/>
        <v>0</v>
      </c>
    </row>
    <row r="13" spans="1:9" ht="15.75" x14ac:dyDescent="0.25">
      <c r="A13" s="8"/>
      <c r="B13" s="8"/>
      <c r="C13" s="9"/>
      <c r="D13" s="12" t="s">
        <v>9</v>
      </c>
      <c r="E13" s="16"/>
      <c r="F13" s="16"/>
      <c r="G13" s="16"/>
      <c r="H13" s="16"/>
      <c r="I13" s="13">
        <f t="shared" si="0"/>
        <v>0</v>
      </c>
    </row>
    <row r="14" spans="1:9" ht="15.75" x14ac:dyDescent="0.25">
      <c r="A14" s="8"/>
      <c r="B14" s="8"/>
      <c r="C14" s="9"/>
      <c r="D14" s="12" t="s">
        <v>10</v>
      </c>
      <c r="E14" s="16"/>
      <c r="F14" s="16"/>
      <c r="G14" s="16"/>
      <c r="H14" s="16"/>
      <c r="I14" s="13">
        <f t="shared" si="0"/>
        <v>0</v>
      </c>
    </row>
    <row r="15" spans="1:9" ht="15.75" x14ac:dyDescent="0.25">
      <c r="A15" s="8"/>
      <c r="B15" s="8"/>
      <c r="C15" s="9"/>
      <c r="D15" s="12" t="s">
        <v>11</v>
      </c>
      <c r="E15" s="16"/>
      <c r="F15" s="16"/>
      <c r="G15" s="16"/>
      <c r="H15" s="16"/>
      <c r="I15" s="13">
        <f t="shared" si="0"/>
        <v>0</v>
      </c>
    </row>
    <row r="16" spans="1:9" ht="15.75" x14ac:dyDescent="0.25">
      <c r="A16" s="8"/>
      <c r="B16" s="8"/>
      <c r="C16" s="9"/>
      <c r="D16" s="12" t="s">
        <v>12</v>
      </c>
      <c r="E16" s="16"/>
      <c r="F16" s="16"/>
      <c r="G16" s="16"/>
      <c r="H16" s="16"/>
      <c r="I16" s="13">
        <f t="shared" si="0"/>
        <v>0</v>
      </c>
    </row>
    <row r="17" spans="1:9" ht="15.75" x14ac:dyDescent="0.25">
      <c r="A17" s="8"/>
      <c r="B17" s="8"/>
      <c r="C17" s="9"/>
      <c r="D17" s="12" t="s">
        <v>13</v>
      </c>
      <c r="E17" s="16"/>
      <c r="F17" s="16"/>
      <c r="G17" s="16"/>
      <c r="H17" s="16"/>
      <c r="I17" s="13">
        <f t="shared" si="0"/>
        <v>0</v>
      </c>
    </row>
    <row r="18" spans="1:9" ht="15.75" x14ac:dyDescent="0.25">
      <c r="A18" s="8"/>
      <c r="B18" s="8"/>
      <c r="C18" s="9"/>
      <c r="D18" s="12" t="s">
        <v>14</v>
      </c>
      <c r="E18" s="16"/>
      <c r="F18" s="16"/>
      <c r="G18" s="16"/>
      <c r="H18" s="16"/>
      <c r="I18" s="13">
        <f t="shared" si="0"/>
        <v>0</v>
      </c>
    </row>
    <row r="19" spans="1:9" ht="15.75" x14ac:dyDescent="0.25">
      <c r="A19" s="8"/>
      <c r="B19" s="8"/>
      <c r="C19" s="9"/>
      <c r="D19" s="12" t="s">
        <v>15</v>
      </c>
      <c r="E19" s="16"/>
      <c r="F19" s="16"/>
      <c r="G19" s="16"/>
      <c r="H19" s="16"/>
      <c r="I19" s="13">
        <f t="shared" si="0"/>
        <v>0</v>
      </c>
    </row>
    <row r="20" spans="1:9" ht="15.75" x14ac:dyDescent="0.25">
      <c r="A20" s="8"/>
      <c r="B20" s="8"/>
      <c r="C20" s="9"/>
      <c r="D20" s="12" t="s">
        <v>16</v>
      </c>
      <c r="E20" s="16"/>
      <c r="F20" s="16"/>
      <c r="G20" s="16"/>
      <c r="H20" s="16"/>
      <c r="I20" s="13">
        <f t="shared" si="0"/>
        <v>0</v>
      </c>
    </row>
    <row r="21" spans="1:9" ht="15.75" x14ac:dyDescent="0.25">
      <c r="A21" s="8"/>
      <c r="B21" s="8"/>
      <c r="C21" s="9"/>
      <c r="D21" s="12" t="s">
        <v>17</v>
      </c>
      <c r="E21" s="16"/>
      <c r="F21" s="16"/>
      <c r="G21" s="16"/>
      <c r="H21" s="16"/>
      <c r="I21" s="13">
        <f t="shared" si="0"/>
        <v>0</v>
      </c>
    </row>
    <row r="22" spans="1:9" ht="15.75" x14ac:dyDescent="0.25">
      <c r="A22" s="8"/>
      <c r="B22" s="8"/>
      <c r="C22" s="9"/>
      <c r="D22" s="12" t="s">
        <v>18</v>
      </c>
      <c r="E22" s="16"/>
      <c r="F22" s="16"/>
      <c r="G22" s="16"/>
      <c r="H22" s="16"/>
      <c r="I22" s="13">
        <f t="shared" si="0"/>
        <v>0</v>
      </c>
    </row>
    <row r="23" spans="1:9" ht="15.75" x14ac:dyDescent="0.25">
      <c r="A23" s="8"/>
      <c r="B23" s="8"/>
      <c r="C23" s="9"/>
      <c r="D23" s="12" t="s">
        <v>19</v>
      </c>
      <c r="E23" s="16"/>
      <c r="F23" s="16"/>
      <c r="G23" s="16"/>
      <c r="H23" s="16"/>
      <c r="I23" s="13">
        <f t="shared" si="0"/>
        <v>0</v>
      </c>
    </row>
    <row r="24" spans="1:9" ht="15.75" x14ac:dyDescent="0.25">
      <c r="A24" s="8"/>
      <c r="B24" s="8"/>
      <c r="C24" s="9"/>
      <c r="D24" s="12" t="s">
        <v>20</v>
      </c>
      <c r="E24" s="16"/>
      <c r="F24" s="16"/>
      <c r="G24" s="16"/>
      <c r="H24" s="16"/>
      <c r="I24" s="13">
        <f t="shared" si="0"/>
        <v>0</v>
      </c>
    </row>
    <row r="25" spans="1:9" ht="15.75" x14ac:dyDescent="0.25">
      <c r="A25" s="8"/>
      <c r="B25" s="8"/>
      <c r="C25" s="9"/>
      <c r="D25" s="12" t="s">
        <v>21</v>
      </c>
      <c r="E25" s="16"/>
      <c r="F25" s="16"/>
      <c r="G25" s="16"/>
      <c r="H25" s="16"/>
      <c r="I25" s="13">
        <f t="shared" si="0"/>
        <v>0</v>
      </c>
    </row>
    <row r="26" spans="1:9" ht="15.75" x14ac:dyDescent="0.25">
      <c r="A26" s="8"/>
      <c r="B26" s="8"/>
      <c r="C26" s="9"/>
      <c r="D26" s="12" t="s">
        <v>22</v>
      </c>
      <c r="E26" s="16"/>
      <c r="F26" s="16"/>
      <c r="G26" s="16"/>
      <c r="H26" s="16"/>
      <c r="I26" s="13">
        <f t="shared" si="0"/>
        <v>0</v>
      </c>
    </row>
    <row r="27" spans="1:9" ht="15.75" x14ac:dyDescent="0.25">
      <c r="A27" s="8"/>
      <c r="B27" s="8"/>
      <c r="C27" s="9"/>
      <c r="D27" s="12" t="s">
        <v>23</v>
      </c>
      <c r="E27" s="16"/>
      <c r="F27" s="16"/>
      <c r="G27" s="16"/>
      <c r="H27" s="16"/>
      <c r="I27" s="13">
        <f t="shared" si="0"/>
        <v>0</v>
      </c>
    </row>
    <row r="28" spans="1:9" ht="15.75" x14ac:dyDescent="0.25">
      <c r="A28" s="8"/>
      <c r="B28" s="8"/>
      <c r="C28" s="9"/>
      <c r="D28" s="12" t="s">
        <v>24</v>
      </c>
      <c r="E28" s="16"/>
      <c r="F28" s="16"/>
      <c r="G28" s="16"/>
      <c r="H28" s="16"/>
      <c r="I28" s="13">
        <f t="shared" si="0"/>
        <v>0</v>
      </c>
    </row>
    <row r="29" spans="1:9" ht="15.75" x14ac:dyDescent="0.25">
      <c r="A29" s="8"/>
      <c r="B29" s="8"/>
      <c r="C29" s="9"/>
      <c r="D29" s="12" t="s">
        <v>25</v>
      </c>
      <c r="E29" s="16"/>
      <c r="F29" s="16"/>
      <c r="G29" s="16"/>
      <c r="H29" s="16"/>
      <c r="I29" s="13">
        <f t="shared" si="0"/>
        <v>0</v>
      </c>
    </row>
    <row r="30" spans="1:9" ht="15.75" x14ac:dyDescent="0.25">
      <c r="A30" s="8"/>
      <c r="B30" s="8"/>
      <c r="C30" s="9"/>
      <c r="D30" s="12" t="s">
        <v>26</v>
      </c>
      <c r="E30" s="16"/>
      <c r="F30" s="16"/>
      <c r="G30" s="16"/>
      <c r="H30" s="16"/>
      <c r="I30" s="13">
        <f t="shared" si="0"/>
        <v>0</v>
      </c>
    </row>
    <row r="31" spans="1:9" ht="15.75" x14ac:dyDescent="0.25">
      <c r="A31" s="8"/>
      <c r="B31" s="8"/>
      <c r="C31" s="9"/>
      <c r="D31" s="12" t="s">
        <v>27</v>
      </c>
      <c r="E31" s="16"/>
      <c r="F31" s="16"/>
      <c r="G31" s="16"/>
      <c r="H31" s="16"/>
      <c r="I31" s="13">
        <f t="shared" si="0"/>
        <v>0</v>
      </c>
    </row>
    <row r="32" spans="1:9" ht="15.75" x14ac:dyDescent="0.25">
      <c r="A32" s="8"/>
      <c r="B32" s="8"/>
      <c r="C32" s="9"/>
      <c r="D32" s="12" t="s">
        <v>28</v>
      </c>
      <c r="E32" s="16"/>
      <c r="F32" s="16"/>
      <c r="G32" s="16"/>
      <c r="H32" s="16"/>
      <c r="I32" s="13">
        <f t="shared" si="0"/>
        <v>0</v>
      </c>
    </row>
    <row r="33" spans="1:9" ht="15.75" x14ac:dyDescent="0.25">
      <c r="A33" s="8"/>
      <c r="B33" s="8"/>
      <c r="C33" s="9"/>
      <c r="D33" s="12" t="s">
        <v>29</v>
      </c>
      <c r="E33" s="16"/>
      <c r="F33" s="16"/>
      <c r="G33" s="16"/>
      <c r="H33" s="16"/>
      <c r="I33" s="13">
        <f t="shared" si="0"/>
        <v>0</v>
      </c>
    </row>
    <row r="34" spans="1:9" ht="15.75" x14ac:dyDescent="0.25">
      <c r="A34" s="8"/>
      <c r="B34" s="8"/>
      <c r="C34" s="9"/>
      <c r="D34" s="12" t="s">
        <v>30</v>
      </c>
      <c r="E34" s="16"/>
      <c r="F34" s="16"/>
      <c r="G34" s="16"/>
      <c r="H34" s="16"/>
      <c r="I34" s="13">
        <f t="shared" si="0"/>
        <v>0</v>
      </c>
    </row>
    <row r="35" spans="1:9" ht="15.75" x14ac:dyDescent="0.25">
      <c r="A35" s="8"/>
      <c r="B35" s="8"/>
      <c r="C35" s="9"/>
      <c r="D35" s="12" t="s">
        <v>31</v>
      </c>
      <c r="E35" s="16"/>
      <c r="F35" s="16"/>
      <c r="G35" s="16"/>
      <c r="H35" s="16"/>
      <c r="I35" s="13">
        <f t="shared" si="0"/>
        <v>0</v>
      </c>
    </row>
    <row r="36" spans="1:9" ht="15.75" x14ac:dyDescent="0.25">
      <c r="A36" s="8"/>
      <c r="B36" s="8"/>
      <c r="C36" s="9"/>
      <c r="D36" s="12" t="s">
        <v>32</v>
      </c>
      <c r="E36" s="16"/>
      <c r="F36" s="16"/>
      <c r="G36" s="16"/>
      <c r="H36" s="16"/>
      <c r="I36" s="13">
        <f t="shared" si="0"/>
        <v>0</v>
      </c>
    </row>
    <row r="37" spans="1:9" ht="15.75" x14ac:dyDescent="0.25">
      <c r="A37" s="8"/>
      <c r="B37" s="8"/>
      <c r="C37" s="9"/>
      <c r="D37" s="12" t="s">
        <v>33</v>
      </c>
      <c r="E37" s="16"/>
      <c r="F37" s="16"/>
      <c r="G37" s="16"/>
      <c r="H37" s="16"/>
      <c r="I37" s="13">
        <f t="shared" si="0"/>
        <v>0</v>
      </c>
    </row>
    <row r="38" spans="1:9" ht="15.75" x14ac:dyDescent="0.25">
      <c r="A38" s="8"/>
      <c r="B38" s="8"/>
      <c r="C38" s="9"/>
      <c r="D38" s="12" t="s">
        <v>34</v>
      </c>
      <c r="E38" s="16"/>
      <c r="F38" s="16"/>
      <c r="G38" s="16"/>
      <c r="H38" s="16"/>
      <c r="I38" s="13">
        <f t="shared" si="0"/>
        <v>0</v>
      </c>
    </row>
    <row r="39" spans="1:9" ht="15.75" x14ac:dyDescent="0.25">
      <c r="A39" s="8"/>
      <c r="B39" s="8"/>
      <c r="C39" s="9"/>
      <c r="D39" s="12" t="s">
        <v>35</v>
      </c>
      <c r="E39" s="16"/>
      <c r="F39" s="16"/>
      <c r="G39" s="16"/>
      <c r="H39" s="16"/>
      <c r="I39" s="13">
        <f t="shared" si="0"/>
        <v>0</v>
      </c>
    </row>
    <row r="40" spans="1:9" ht="15.75" x14ac:dyDescent="0.25">
      <c r="A40" s="8"/>
      <c r="B40" s="8"/>
      <c r="C40" s="9"/>
      <c r="D40" s="12" t="s">
        <v>36</v>
      </c>
      <c r="E40" s="16"/>
      <c r="F40" s="16"/>
      <c r="G40" s="16"/>
      <c r="H40" s="16"/>
      <c r="I40" s="13">
        <f t="shared" si="0"/>
        <v>0</v>
      </c>
    </row>
    <row r="41" spans="1:9" ht="15.75" x14ac:dyDescent="0.25">
      <c r="A41" s="8"/>
      <c r="B41" s="8"/>
      <c r="C41" s="9"/>
      <c r="D41" s="12" t="s">
        <v>37</v>
      </c>
      <c r="E41" s="16"/>
      <c r="F41" s="16"/>
      <c r="G41" s="16"/>
      <c r="H41" s="16"/>
      <c r="I41" s="13">
        <f t="shared" si="0"/>
        <v>0</v>
      </c>
    </row>
    <row r="42" spans="1:9" ht="15.75" x14ac:dyDescent="0.25">
      <c r="A42" s="8"/>
      <c r="B42" s="8"/>
      <c r="C42" s="9"/>
      <c r="D42" s="12" t="s">
        <v>38</v>
      </c>
      <c r="E42" s="16"/>
      <c r="F42" s="16"/>
      <c r="G42" s="16"/>
      <c r="H42" s="16"/>
      <c r="I42" s="13">
        <f t="shared" si="0"/>
        <v>0</v>
      </c>
    </row>
    <row r="43" spans="1:9" ht="15.75" x14ac:dyDescent="0.25">
      <c r="A43" s="8"/>
      <c r="B43" s="8"/>
      <c r="C43" s="9"/>
      <c r="D43" s="12" t="s">
        <v>39</v>
      </c>
      <c r="E43" s="16"/>
      <c r="F43" s="16"/>
      <c r="G43" s="16"/>
      <c r="H43" s="16"/>
      <c r="I43" s="13">
        <f t="shared" si="0"/>
        <v>0</v>
      </c>
    </row>
    <row r="44" spans="1:9" ht="15.75" x14ac:dyDescent="0.25">
      <c r="A44" s="8"/>
      <c r="B44" s="8"/>
      <c r="C44" s="9"/>
      <c r="D44" s="12" t="s">
        <v>40</v>
      </c>
      <c r="E44" s="16"/>
      <c r="F44" s="16"/>
      <c r="G44" s="16"/>
      <c r="H44" s="16"/>
      <c r="I44" s="13">
        <f t="shared" si="0"/>
        <v>0</v>
      </c>
    </row>
    <row r="45" spans="1:9" ht="15.75" x14ac:dyDescent="0.25">
      <c r="A45" s="8"/>
      <c r="B45" s="8"/>
      <c r="C45" s="9"/>
      <c r="D45" s="12" t="s">
        <v>41</v>
      </c>
      <c r="E45" s="16"/>
      <c r="F45" s="16"/>
      <c r="G45" s="16"/>
      <c r="H45" s="16"/>
      <c r="I45" s="13">
        <f t="shared" si="0"/>
        <v>0</v>
      </c>
    </row>
    <row r="46" spans="1:9" ht="15.75" x14ac:dyDescent="0.25">
      <c r="A46" s="8"/>
      <c r="B46" s="8"/>
      <c r="C46" s="9"/>
      <c r="D46" s="12" t="s">
        <v>42</v>
      </c>
      <c r="E46" s="16"/>
      <c r="F46" s="16"/>
      <c r="G46" s="16"/>
      <c r="H46" s="16"/>
      <c r="I46" s="13">
        <f t="shared" si="0"/>
        <v>0</v>
      </c>
    </row>
    <row r="47" spans="1:9" ht="15.75" x14ac:dyDescent="0.25">
      <c r="A47" s="8"/>
      <c r="B47" s="8"/>
      <c r="C47" s="9"/>
      <c r="D47" s="12" t="s">
        <v>43</v>
      </c>
      <c r="E47" s="16"/>
      <c r="F47" s="16"/>
      <c r="G47" s="16"/>
      <c r="H47" s="16"/>
      <c r="I47" s="13">
        <f t="shared" si="0"/>
        <v>0</v>
      </c>
    </row>
    <row r="48" spans="1:9" ht="15.75" x14ac:dyDescent="0.25">
      <c r="A48" s="8"/>
      <c r="B48" s="8"/>
      <c r="C48" s="9"/>
      <c r="D48" s="12" t="s">
        <v>44</v>
      </c>
      <c r="E48" s="16"/>
      <c r="F48" s="16"/>
      <c r="G48" s="16"/>
      <c r="H48" s="16"/>
      <c r="I48" s="13">
        <f t="shared" si="0"/>
        <v>0</v>
      </c>
    </row>
    <row r="49" spans="1:9" ht="15.75" x14ac:dyDescent="0.25">
      <c r="A49" s="8"/>
      <c r="B49" s="8"/>
      <c r="C49" s="9"/>
      <c r="D49" s="12" t="s">
        <v>45</v>
      </c>
      <c r="E49" s="16"/>
      <c r="F49" s="16"/>
      <c r="G49" s="16"/>
      <c r="H49" s="16"/>
      <c r="I49" s="13">
        <f t="shared" si="0"/>
        <v>0</v>
      </c>
    </row>
    <row r="50" spans="1:9" ht="15.75" x14ac:dyDescent="0.25">
      <c r="A50" s="8"/>
      <c r="B50" s="8"/>
      <c r="C50" s="9"/>
      <c r="D50" s="12" t="s">
        <v>46</v>
      </c>
      <c r="E50" s="16"/>
      <c r="F50" s="16"/>
      <c r="G50" s="16"/>
      <c r="H50" s="16"/>
      <c r="I50" s="13">
        <f t="shared" si="0"/>
        <v>0</v>
      </c>
    </row>
    <row r="51" spans="1:9" ht="15.75" x14ac:dyDescent="0.25">
      <c r="A51" s="8"/>
      <c r="B51" s="8"/>
      <c r="C51" s="9"/>
      <c r="D51" s="12" t="s">
        <v>47</v>
      </c>
      <c r="E51" s="16"/>
      <c r="F51" s="16"/>
      <c r="G51" s="16"/>
      <c r="H51" s="16"/>
      <c r="I51" s="13">
        <f t="shared" si="0"/>
        <v>0</v>
      </c>
    </row>
    <row r="52" spans="1:9" ht="15.75" x14ac:dyDescent="0.25">
      <c r="A52" s="8"/>
      <c r="B52" s="8"/>
      <c r="C52" s="9"/>
      <c r="D52" s="12" t="s">
        <v>48</v>
      </c>
      <c r="E52" s="16"/>
      <c r="F52" s="16"/>
      <c r="G52" s="16"/>
      <c r="H52" s="16"/>
      <c r="I52" s="13">
        <f t="shared" si="0"/>
        <v>0</v>
      </c>
    </row>
    <row r="53" spans="1:9" ht="15.75" x14ac:dyDescent="0.25">
      <c r="A53" s="8"/>
      <c r="B53" s="8"/>
      <c r="C53" s="9"/>
      <c r="D53" s="12" t="s">
        <v>49</v>
      </c>
      <c r="E53" s="16"/>
      <c r="F53" s="16"/>
      <c r="G53" s="16"/>
      <c r="H53" s="16"/>
      <c r="I53" s="13">
        <f t="shared" si="0"/>
        <v>0</v>
      </c>
    </row>
    <row r="54" spans="1:9" ht="15.75" x14ac:dyDescent="0.25">
      <c r="A54" s="8"/>
      <c r="B54" s="8"/>
      <c r="C54" s="9"/>
      <c r="D54" s="12" t="s">
        <v>50</v>
      </c>
      <c r="E54" s="16"/>
      <c r="F54" s="16"/>
      <c r="G54" s="16"/>
      <c r="H54" s="16"/>
      <c r="I54" s="13">
        <f t="shared" si="0"/>
        <v>0</v>
      </c>
    </row>
    <row r="55" spans="1:9" ht="15.75" x14ac:dyDescent="0.25">
      <c r="A55" s="8"/>
      <c r="B55" s="8"/>
      <c r="C55" s="9"/>
      <c r="D55" s="12" t="s">
        <v>51</v>
      </c>
      <c r="E55" s="16"/>
      <c r="F55" s="16"/>
      <c r="G55" s="16"/>
      <c r="H55" s="16"/>
      <c r="I55" s="13">
        <f t="shared" si="0"/>
        <v>0</v>
      </c>
    </row>
    <row r="56" spans="1:9" ht="15.75" x14ac:dyDescent="0.25">
      <c r="A56" s="8"/>
      <c r="B56" s="8"/>
      <c r="C56" s="9"/>
      <c r="D56" s="12" t="s">
        <v>52</v>
      </c>
      <c r="E56" s="16"/>
      <c r="F56" s="16"/>
      <c r="G56" s="16"/>
      <c r="H56" s="16"/>
      <c r="I56" s="13">
        <f t="shared" si="0"/>
        <v>0</v>
      </c>
    </row>
    <row r="57" spans="1:9" ht="15.75" x14ac:dyDescent="0.25">
      <c r="A57" s="8"/>
      <c r="B57" s="8"/>
      <c r="C57" s="9"/>
      <c r="D57" s="12" t="s">
        <v>53</v>
      </c>
      <c r="E57" s="16"/>
      <c r="F57" s="16"/>
      <c r="G57" s="16"/>
      <c r="H57" s="16"/>
      <c r="I57" s="13">
        <f t="shared" si="0"/>
        <v>0</v>
      </c>
    </row>
    <row r="58" spans="1:9" ht="15.75" x14ac:dyDescent="0.25">
      <c r="A58" s="8"/>
      <c r="B58" s="8"/>
      <c r="C58" s="9"/>
      <c r="D58" s="12" t="s">
        <v>54</v>
      </c>
      <c r="E58" s="16"/>
      <c r="F58" s="16"/>
      <c r="G58" s="16"/>
      <c r="H58" s="16"/>
      <c r="I58" s="13">
        <f t="shared" si="0"/>
        <v>0</v>
      </c>
    </row>
    <row r="59" spans="1:9" ht="15.75" x14ac:dyDescent="0.25">
      <c r="A59" s="8"/>
      <c r="B59" s="8"/>
      <c r="C59" s="9"/>
      <c r="D59" s="12" t="s">
        <v>55</v>
      </c>
      <c r="E59" s="16"/>
      <c r="F59" s="16"/>
      <c r="G59" s="16"/>
      <c r="H59" s="16"/>
      <c r="I59" s="13">
        <f t="shared" si="0"/>
        <v>0</v>
      </c>
    </row>
    <row r="60" spans="1:9" ht="15.75" x14ac:dyDescent="0.25">
      <c r="A60" s="8"/>
      <c r="B60" s="8"/>
      <c r="C60" s="9"/>
      <c r="D60" s="12" t="s">
        <v>56</v>
      </c>
      <c r="E60" s="16"/>
      <c r="F60" s="16"/>
      <c r="G60" s="16"/>
      <c r="H60" s="16"/>
      <c r="I60" s="13">
        <f t="shared" si="0"/>
        <v>0</v>
      </c>
    </row>
    <row r="61" spans="1:9" ht="15.75" x14ac:dyDescent="0.25">
      <c r="A61" s="8"/>
      <c r="B61" s="8"/>
      <c r="C61" s="9"/>
      <c r="D61" s="12" t="s">
        <v>57</v>
      </c>
      <c r="E61" s="16"/>
      <c r="F61" s="16"/>
      <c r="G61" s="16"/>
      <c r="H61" s="16"/>
      <c r="I61" s="13">
        <f t="shared" si="0"/>
        <v>0</v>
      </c>
    </row>
    <row r="62" spans="1:9" ht="15.75" x14ac:dyDescent="0.25">
      <c r="A62" s="8"/>
      <c r="B62" s="8"/>
      <c r="C62" s="9"/>
      <c r="D62" s="12" t="s">
        <v>58</v>
      </c>
      <c r="E62" s="16"/>
      <c r="F62" s="16"/>
      <c r="G62" s="16"/>
      <c r="H62" s="16"/>
      <c r="I62" s="13">
        <f t="shared" si="0"/>
        <v>0</v>
      </c>
    </row>
    <row r="63" spans="1:9" ht="15.75" x14ac:dyDescent="0.25">
      <c r="A63" s="8"/>
      <c r="B63" s="8"/>
      <c r="C63" s="9"/>
      <c r="D63" s="12" t="s">
        <v>59</v>
      </c>
      <c r="E63" s="16"/>
      <c r="F63" s="16"/>
      <c r="G63" s="16"/>
      <c r="H63" s="16"/>
      <c r="I63" s="13">
        <f t="shared" si="0"/>
        <v>0</v>
      </c>
    </row>
    <row r="64" spans="1:9" ht="15.75" x14ac:dyDescent="0.25">
      <c r="A64" s="8"/>
      <c r="B64" s="8"/>
      <c r="C64" s="9"/>
      <c r="D64" s="12" t="s">
        <v>60</v>
      </c>
      <c r="E64" s="16"/>
      <c r="F64" s="16"/>
      <c r="G64" s="16"/>
      <c r="H64" s="16"/>
      <c r="I64" s="13">
        <f t="shared" si="0"/>
        <v>0</v>
      </c>
    </row>
    <row r="65" spans="1:9" ht="15.75" x14ac:dyDescent="0.25">
      <c r="A65" s="8"/>
      <c r="B65" s="8"/>
      <c r="C65" s="9"/>
      <c r="D65" s="12" t="s">
        <v>61</v>
      </c>
      <c r="E65" s="16"/>
      <c r="F65" s="16"/>
      <c r="G65" s="16"/>
      <c r="H65" s="16"/>
      <c r="I65" s="13">
        <f t="shared" si="0"/>
        <v>0</v>
      </c>
    </row>
    <row r="66" spans="1:9" ht="15.75" x14ac:dyDescent="0.25">
      <c r="A66" s="8"/>
      <c r="B66" s="8"/>
      <c r="C66" s="9"/>
      <c r="D66" s="12" t="s">
        <v>62</v>
      </c>
      <c r="E66" s="16"/>
      <c r="F66" s="16"/>
      <c r="G66" s="16"/>
      <c r="H66" s="16"/>
      <c r="I66" s="13">
        <f t="shared" si="0"/>
        <v>0</v>
      </c>
    </row>
    <row r="67" spans="1:9" ht="15.75" x14ac:dyDescent="0.25">
      <c r="A67" s="8"/>
      <c r="B67" s="8"/>
      <c r="C67" s="9"/>
      <c r="D67" s="12" t="s">
        <v>63</v>
      </c>
      <c r="E67" s="16"/>
      <c r="F67" s="16"/>
      <c r="G67" s="16"/>
      <c r="H67" s="16"/>
      <c r="I67" s="13">
        <f t="shared" si="0"/>
        <v>0</v>
      </c>
    </row>
    <row r="68" spans="1:9" ht="15.75" x14ac:dyDescent="0.25">
      <c r="A68" s="8"/>
      <c r="B68" s="8"/>
      <c r="C68" s="9"/>
      <c r="D68" s="12" t="s">
        <v>64</v>
      </c>
      <c r="E68" s="16"/>
      <c r="F68" s="16"/>
      <c r="G68" s="16"/>
      <c r="H68" s="16"/>
      <c r="I68" s="13">
        <f t="shared" si="0"/>
        <v>0</v>
      </c>
    </row>
    <row r="69" spans="1:9" ht="15.75" x14ac:dyDescent="0.25">
      <c r="A69" s="8"/>
      <c r="B69" s="8"/>
      <c r="C69" s="9"/>
      <c r="D69" s="12" t="s">
        <v>65</v>
      </c>
      <c r="E69" s="16"/>
      <c r="F69" s="16"/>
      <c r="G69" s="16"/>
      <c r="H69" s="16"/>
      <c r="I69" s="13">
        <f t="shared" si="0"/>
        <v>0</v>
      </c>
    </row>
    <row r="70" spans="1:9" ht="15.75" x14ac:dyDescent="0.25">
      <c r="A70" s="8"/>
      <c r="B70" s="8"/>
      <c r="C70" s="9"/>
      <c r="D70" s="12" t="s">
        <v>66</v>
      </c>
      <c r="E70" s="16"/>
      <c r="F70" s="16"/>
      <c r="G70" s="16"/>
      <c r="H70" s="16"/>
      <c r="I70" s="13">
        <f t="shared" si="0"/>
        <v>0</v>
      </c>
    </row>
    <row r="71" spans="1:9" ht="15.75" x14ac:dyDescent="0.25">
      <c r="A71" s="8"/>
      <c r="B71" s="8"/>
      <c r="C71" s="9"/>
      <c r="D71" s="12" t="s">
        <v>67</v>
      </c>
      <c r="E71" s="16"/>
      <c r="F71" s="16"/>
      <c r="G71" s="16"/>
      <c r="H71" s="16"/>
      <c r="I71" s="13">
        <f t="shared" si="0"/>
        <v>0</v>
      </c>
    </row>
    <row r="72" spans="1:9" ht="15.75" x14ac:dyDescent="0.25">
      <c r="A72" s="8"/>
      <c r="B72" s="8"/>
      <c r="C72" s="9"/>
      <c r="D72" s="12" t="s">
        <v>68</v>
      </c>
      <c r="E72" s="16"/>
      <c r="F72" s="16"/>
      <c r="G72" s="16"/>
      <c r="H72" s="16"/>
      <c r="I72" s="13">
        <f t="shared" si="0"/>
        <v>0</v>
      </c>
    </row>
    <row r="73" spans="1:9" ht="15.75" x14ac:dyDescent="0.25">
      <c r="A73" s="8"/>
      <c r="B73" s="8"/>
      <c r="C73" s="9"/>
      <c r="D73" s="12" t="s">
        <v>69</v>
      </c>
      <c r="E73" s="16"/>
      <c r="F73" s="16"/>
      <c r="G73" s="16"/>
      <c r="H73" s="16"/>
      <c r="I73" s="13">
        <f t="shared" si="0"/>
        <v>0</v>
      </c>
    </row>
    <row r="74" spans="1:9" ht="15.75" x14ac:dyDescent="0.25">
      <c r="A74" s="8"/>
      <c r="B74" s="8"/>
      <c r="C74" s="9"/>
      <c r="D74" s="12" t="s">
        <v>70</v>
      </c>
      <c r="E74" s="16"/>
      <c r="F74" s="16"/>
      <c r="G74" s="16"/>
      <c r="H74" s="16"/>
      <c r="I74" s="13">
        <f t="shared" ref="I74:I137" si="1">SUM(E74:H74)</f>
        <v>0</v>
      </c>
    </row>
    <row r="75" spans="1:9" ht="15.75" x14ac:dyDescent="0.25">
      <c r="A75" s="8"/>
      <c r="B75" s="8"/>
      <c r="C75" s="9"/>
      <c r="D75" s="12" t="s">
        <v>71</v>
      </c>
      <c r="E75" s="16"/>
      <c r="F75" s="16"/>
      <c r="G75" s="16"/>
      <c r="H75" s="16"/>
      <c r="I75" s="13">
        <f t="shared" si="1"/>
        <v>0</v>
      </c>
    </row>
    <row r="76" spans="1:9" ht="15.75" x14ac:dyDescent="0.25">
      <c r="A76" s="8"/>
      <c r="B76" s="8"/>
      <c r="C76" s="9"/>
      <c r="D76" s="12" t="s">
        <v>72</v>
      </c>
      <c r="E76" s="16"/>
      <c r="F76" s="16"/>
      <c r="G76" s="16"/>
      <c r="H76" s="16"/>
      <c r="I76" s="13">
        <f t="shared" si="1"/>
        <v>0</v>
      </c>
    </row>
    <row r="77" spans="1:9" ht="15.75" x14ac:dyDescent="0.25">
      <c r="A77" s="8"/>
      <c r="B77" s="8"/>
      <c r="C77" s="9"/>
      <c r="D77" s="12" t="s">
        <v>73</v>
      </c>
      <c r="E77" s="16"/>
      <c r="F77" s="16"/>
      <c r="G77" s="16"/>
      <c r="H77" s="16"/>
      <c r="I77" s="13">
        <f t="shared" si="1"/>
        <v>0</v>
      </c>
    </row>
    <row r="78" spans="1:9" ht="15.75" x14ac:dyDescent="0.25">
      <c r="A78" s="8"/>
      <c r="B78" s="8"/>
      <c r="C78" s="9"/>
      <c r="D78" s="12" t="s">
        <v>74</v>
      </c>
      <c r="E78" s="16"/>
      <c r="F78" s="16"/>
      <c r="G78" s="16"/>
      <c r="H78" s="16"/>
      <c r="I78" s="13">
        <f t="shared" si="1"/>
        <v>0</v>
      </c>
    </row>
    <row r="79" spans="1:9" ht="15.75" x14ac:dyDescent="0.25">
      <c r="A79" s="8"/>
      <c r="B79" s="8"/>
      <c r="C79" s="9"/>
      <c r="D79" s="12" t="s">
        <v>75</v>
      </c>
      <c r="E79" s="16"/>
      <c r="F79" s="16"/>
      <c r="G79" s="16"/>
      <c r="H79" s="16"/>
      <c r="I79" s="13">
        <f t="shared" si="1"/>
        <v>0</v>
      </c>
    </row>
    <row r="80" spans="1:9" ht="15.75" x14ac:dyDescent="0.25">
      <c r="A80" s="8"/>
      <c r="B80" s="8"/>
      <c r="C80" s="9"/>
      <c r="D80" s="12" t="s">
        <v>76</v>
      </c>
      <c r="E80" s="16"/>
      <c r="F80" s="16"/>
      <c r="G80" s="16"/>
      <c r="H80" s="16"/>
      <c r="I80" s="13">
        <f t="shared" si="1"/>
        <v>0</v>
      </c>
    </row>
    <row r="81" spans="1:9" ht="15.75" x14ac:dyDescent="0.25">
      <c r="A81" s="8"/>
      <c r="B81" s="8"/>
      <c r="C81" s="9"/>
      <c r="D81" s="12" t="s">
        <v>77</v>
      </c>
      <c r="E81" s="16"/>
      <c r="F81" s="16"/>
      <c r="G81" s="16"/>
      <c r="H81" s="16"/>
      <c r="I81" s="13">
        <f t="shared" si="1"/>
        <v>0</v>
      </c>
    </row>
    <row r="82" spans="1:9" ht="15.75" x14ac:dyDescent="0.25">
      <c r="A82" s="8"/>
      <c r="B82" s="8"/>
      <c r="C82" s="9"/>
      <c r="D82" s="12" t="s">
        <v>78</v>
      </c>
      <c r="E82" s="16"/>
      <c r="F82" s="16"/>
      <c r="G82" s="16"/>
      <c r="H82" s="16"/>
      <c r="I82" s="13">
        <f t="shared" si="1"/>
        <v>0</v>
      </c>
    </row>
    <row r="83" spans="1:9" ht="15.75" x14ac:dyDescent="0.25">
      <c r="A83" s="8"/>
      <c r="B83" s="8"/>
      <c r="C83" s="9"/>
      <c r="D83" s="12" t="s">
        <v>79</v>
      </c>
      <c r="E83" s="16"/>
      <c r="F83" s="16"/>
      <c r="G83" s="16"/>
      <c r="H83" s="16"/>
      <c r="I83" s="13">
        <f t="shared" si="1"/>
        <v>0</v>
      </c>
    </row>
    <row r="84" spans="1:9" ht="15.75" x14ac:dyDescent="0.25">
      <c r="A84" s="8"/>
      <c r="B84" s="8"/>
      <c r="C84" s="9"/>
      <c r="D84" s="12" t="s">
        <v>80</v>
      </c>
      <c r="E84" s="16"/>
      <c r="F84" s="16"/>
      <c r="G84" s="16"/>
      <c r="H84" s="16"/>
      <c r="I84" s="13">
        <f t="shared" si="1"/>
        <v>0</v>
      </c>
    </row>
    <row r="85" spans="1:9" ht="15.75" x14ac:dyDescent="0.25">
      <c r="A85" s="8"/>
      <c r="B85" s="8"/>
      <c r="C85" s="9"/>
      <c r="D85" s="12" t="s">
        <v>81</v>
      </c>
      <c r="E85" s="16"/>
      <c r="F85" s="16"/>
      <c r="G85" s="16"/>
      <c r="H85" s="16"/>
      <c r="I85" s="13">
        <f t="shared" si="1"/>
        <v>0</v>
      </c>
    </row>
    <row r="86" spans="1:9" ht="15.75" x14ac:dyDescent="0.25">
      <c r="A86" s="8"/>
      <c r="B86" s="8"/>
      <c r="C86" s="9"/>
      <c r="D86" s="12" t="s">
        <v>82</v>
      </c>
      <c r="E86" s="16"/>
      <c r="F86" s="16"/>
      <c r="G86" s="16"/>
      <c r="H86" s="16"/>
      <c r="I86" s="13">
        <f t="shared" si="1"/>
        <v>0</v>
      </c>
    </row>
    <row r="87" spans="1:9" ht="15.75" x14ac:dyDescent="0.25">
      <c r="A87" s="8"/>
      <c r="B87" s="8"/>
      <c r="C87" s="9"/>
      <c r="D87" s="12" t="s">
        <v>83</v>
      </c>
      <c r="E87" s="16"/>
      <c r="F87" s="16"/>
      <c r="G87" s="16"/>
      <c r="H87" s="16"/>
      <c r="I87" s="13">
        <f t="shared" si="1"/>
        <v>0</v>
      </c>
    </row>
    <row r="88" spans="1:9" ht="15.75" x14ac:dyDescent="0.25">
      <c r="A88" s="8"/>
      <c r="B88" s="8"/>
      <c r="C88" s="9"/>
      <c r="D88" s="12" t="s">
        <v>84</v>
      </c>
      <c r="E88" s="16"/>
      <c r="F88" s="16"/>
      <c r="G88" s="16"/>
      <c r="H88" s="16"/>
      <c r="I88" s="13">
        <f t="shared" si="1"/>
        <v>0</v>
      </c>
    </row>
    <row r="89" spans="1:9" ht="15.75" x14ac:dyDescent="0.25">
      <c r="A89" s="8"/>
      <c r="B89" s="8"/>
      <c r="C89" s="9"/>
      <c r="D89" s="12" t="s">
        <v>85</v>
      </c>
      <c r="E89" s="16"/>
      <c r="F89" s="16"/>
      <c r="G89" s="16"/>
      <c r="H89" s="16"/>
      <c r="I89" s="13">
        <f t="shared" si="1"/>
        <v>0</v>
      </c>
    </row>
    <row r="90" spans="1:9" ht="15.75" x14ac:dyDescent="0.25">
      <c r="A90" s="8"/>
      <c r="B90" s="8"/>
      <c r="C90" s="9"/>
      <c r="D90" s="12" t="s">
        <v>86</v>
      </c>
      <c r="E90" s="16"/>
      <c r="F90" s="16"/>
      <c r="G90" s="16"/>
      <c r="H90" s="16"/>
      <c r="I90" s="13">
        <f t="shared" si="1"/>
        <v>0</v>
      </c>
    </row>
    <row r="91" spans="1:9" ht="15.75" x14ac:dyDescent="0.25">
      <c r="A91" s="8"/>
      <c r="B91" s="8"/>
      <c r="C91" s="9"/>
      <c r="D91" s="12" t="s">
        <v>87</v>
      </c>
      <c r="E91" s="16"/>
      <c r="F91" s="16"/>
      <c r="G91" s="16"/>
      <c r="H91" s="16"/>
      <c r="I91" s="13">
        <f t="shared" si="1"/>
        <v>0</v>
      </c>
    </row>
    <row r="92" spans="1:9" ht="15.75" x14ac:dyDescent="0.25">
      <c r="A92" s="8"/>
      <c r="B92" s="8"/>
      <c r="C92" s="9"/>
      <c r="D92" s="12" t="s">
        <v>88</v>
      </c>
      <c r="E92" s="16"/>
      <c r="F92" s="16"/>
      <c r="G92" s="16"/>
      <c r="H92" s="16"/>
      <c r="I92" s="13">
        <f t="shared" si="1"/>
        <v>0</v>
      </c>
    </row>
    <row r="93" spans="1:9" ht="15.75" x14ac:dyDescent="0.25">
      <c r="A93" s="8"/>
      <c r="B93" s="8"/>
      <c r="C93" s="9"/>
      <c r="D93" s="12" t="s">
        <v>89</v>
      </c>
      <c r="E93" s="16"/>
      <c r="F93" s="16"/>
      <c r="G93" s="16"/>
      <c r="H93" s="16"/>
      <c r="I93" s="13">
        <f t="shared" si="1"/>
        <v>0</v>
      </c>
    </row>
    <row r="94" spans="1:9" ht="15.75" x14ac:dyDescent="0.25">
      <c r="A94" s="8"/>
      <c r="B94" s="8"/>
      <c r="C94" s="9"/>
      <c r="D94" s="12" t="s">
        <v>90</v>
      </c>
      <c r="E94" s="16"/>
      <c r="F94" s="16"/>
      <c r="G94" s="16"/>
      <c r="H94" s="16"/>
      <c r="I94" s="13">
        <f t="shared" si="1"/>
        <v>0</v>
      </c>
    </row>
    <row r="95" spans="1:9" ht="15.75" x14ac:dyDescent="0.25">
      <c r="A95" s="8"/>
      <c r="B95" s="8"/>
      <c r="C95" s="9"/>
      <c r="D95" s="12" t="s">
        <v>91</v>
      </c>
      <c r="E95" s="16"/>
      <c r="F95" s="16"/>
      <c r="G95" s="16"/>
      <c r="H95" s="16"/>
      <c r="I95" s="13">
        <f t="shared" si="1"/>
        <v>0</v>
      </c>
    </row>
    <row r="96" spans="1:9" ht="15.75" x14ac:dyDescent="0.25">
      <c r="A96" s="8"/>
      <c r="B96" s="8"/>
      <c r="C96" s="9"/>
      <c r="D96" s="12" t="s">
        <v>92</v>
      </c>
      <c r="E96" s="16"/>
      <c r="F96" s="16"/>
      <c r="G96" s="16"/>
      <c r="H96" s="16"/>
      <c r="I96" s="13">
        <f t="shared" si="1"/>
        <v>0</v>
      </c>
    </row>
    <row r="97" spans="1:9" ht="15.75" x14ac:dyDescent="0.25">
      <c r="A97" s="8"/>
      <c r="B97" s="8"/>
      <c r="C97" s="9"/>
      <c r="D97" s="12" t="s">
        <v>93</v>
      </c>
      <c r="E97" s="16"/>
      <c r="F97" s="16"/>
      <c r="G97" s="16"/>
      <c r="H97" s="16"/>
      <c r="I97" s="13">
        <f t="shared" si="1"/>
        <v>0</v>
      </c>
    </row>
    <row r="98" spans="1:9" ht="15.75" x14ac:dyDescent="0.25">
      <c r="A98" s="8"/>
      <c r="B98" s="8"/>
      <c r="C98" s="9"/>
      <c r="D98" s="12" t="s">
        <v>94</v>
      </c>
      <c r="E98" s="16"/>
      <c r="F98" s="16"/>
      <c r="G98" s="16"/>
      <c r="H98" s="16"/>
      <c r="I98" s="13">
        <f t="shared" si="1"/>
        <v>0</v>
      </c>
    </row>
    <row r="99" spans="1:9" ht="15.75" x14ac:dyDescent="0.25">
      <c r="A99" s="8"/>
      <c r="B99" s="8"/>
      <c r="C99" s="9"/>
      <c r="D99" s="12" t="s">
        <v>95</v>
      </c>
      <c r="E99" s="16"/>
      <c r="F99" s="16"/>
      <c r="G99" s="16"/>
      <c r="H99" s="16"/>
      <c r="I99" s="13">
        <f t="shared" si="1"/>
        <v>0</v>
      </c>
    </row>
    <row r="100" spans="1:9" ht="15.75" x14ac:dyDescent="0.25">
      <c r="A100" s="8"/>
      <c r="B100" s="8"/>
      <c r="C100" s="9"/>
      <c r="D100" s="12" t="s">
        <v>96</v>
      </c>
      <c r="E100" s="16"/>
      <c r="F100" s="16"/>
      <c r="G100" s="16"/>
      <c r="H100" s="16"/>
      <c r="I100" s="13">
        <f t="shared" si="1"/>
        <v>0</v>
      </c>
    </row>
    <row r="101" spans="1:9" ht="15.75" x14ac:dyDescent="0.25">
      <c r="A101" s="8"/>
      <c r="B101" s="8"/>
      <c r="C101" s="9"/>
      <c r="D101" s="12" t="s">
        <v>97</v>
      </c>
      <c r="E101" s="16"/>
      <c r="F101" s="16"/>
      <c r="G101" s="16"/>
      <c r="H101" s="16"/>
      <c r="I101" s="13">
        <f t="shared" si="1"/>
        <v>0</v>
      </c>
    </row>
    <row r="102" spans="1:9" ht="15.75" x14ac:dyDescent="0.25">
      <c r="A102" s="8"/>
      <c r="B102" s="8"/>
      <c r="C102" s="9"/>
      <c r="D102" s="12" t="s">
        <v>98</v>
      </c>
      <c r="E102" s="16"/>
      <c r="F102" s="16"/>
      <c r="G102" s="16"/>
      <c r="H102" s="16"/>
      <c r="I102" s="13">
        <f t="shared" si="1"/>
        <v>0</v>
      </c>
    </row>
    <row r="103" spans="1:9" ht="15.75" x14ac:dyDescent="0.25">
      <c r="A103" s="8"/>
      <c r="B103" s="8"/>
      <c r="C103" s="9"/>
      <c r="D103" s="12" t="s">
        <v>99</v>
      </c>
      <c r="E103" s="16"/>
      <c r="F103" s="16"/>
      <c r="G103" s="16"/>
      <c r="H103" s="16"/>
      <c r="I103" s="13">
        <f t="shared" si="1"/>
        <v>0</v>
      </c>
    </row>
    <row r="104" spans="1:9" ht="15.75" x14ac:dyDescent="0.25">
      <c r="A104" s="8"/>
      <c r="B104" s="8"/>
      <c r="C104" s="9"/>
      <c r="D104" s="12" t="s">
        <v>100</v>
      </c>
      <c r="E104" s="16"/>
      <c r="F104" s="16"/>
      <c r="G104" s="16"/>
      <c r="H104" s="16"/>
      <c r="I104" s="13">
        <f t="shared" si="1"/>
        <v>0</v>
      </c>
    </row>
    <row r="105" spans="1:9" ht="15.75" x14ac:dyDescent="0.25">
      <c r="A105" s="8"/>
      <c r="B105" s="8"/>
      <c r="C105" s="9"/>
      <c r="D105" s="12" t="s">
        <v>101</v>
      </c>
      <c r="E105" s="16"/>
      <c r="F105" s="16"/>
      <c r="G105" s="16"/>
      <c r="H105" s="16"/>
      <c r="I105" s="13">
        <f t="shared" si="1"/>
        <v>0</v>
      </c>
    </row>
    <row r="106" spans="1:9" ht="15.75" x14ac:dyDescent="0.25">
      <c r="A106" s="8"/>
      <c r="B106" s="8"/>
      <c r="C106" s="9"/>
      <c r="D106" s="12" t="s">
        <v>102</v>
      </c>
      <c r="E106" s="16"/>
      <c r="F106" s="16"/>
      <c r="G106" s="16"/>
      <c r="H106" s="16"/>
      <c r="I106" s="13">
        <f t="shared" si="1"/>
        <v>0</v>
      </c>
    </row>
    <row r="107" spans="1:9" ht="15.75" x14ac:dyDescent="0.25">
      <c r="A107" s="8"/>
      <c r="B107" s="8"/>
      <c r="C107" s="9"/>
      <c r="D107" s="12" t="s">
        <v>103</v>
      </c>
      <c r="E107" s="16"/>
      <c r="F107" s="16"/>
      <c r="G107" s="16"/>
      <c r="H107" s="16"/>
      <c r="I107" s="13">
        <f t="shared" si="1"/>
        <v>0</v>
      </c>
    </row>
    <row r="108" spans="1:9" ht="15.75" x14ac:dyDescent="0.25">
      <c r="A108" s="8"/>
      <c r="B108" s="8"/>
      <c r="C108" s="9"/>
      <c r="D108" s="12" t="s">
        <v>104</v>
      </c>
      <c r="E108" s="16"/>
      <c r="F108" s="16"/>
      <c r="G108" s="16"/>
      <c r="H108" s="16"/>
      <c r="I108" s="13">
        <f t="shared" si="1"/>
        <v>0</v>
      </c>
    </row>
    <row r="109" spans="1:9" ht="15.75" x14ac:dyDescent="0.25">
      <c r="A109" s="8"/>
      <c r="B109" s="8"/>
      <c r="C109" s="9"/>
      <c r="D109" s="12" t="s">
        <v>105</v>
      </c>
      <c r="E109" s="16"/>
      <c r="F109" s="16"/>
      <c r="G109" s="16"/>
      <c r="H109" s="16"/>
      <c r="I109" s="13">
        <f t="shared" si="1"/>
        <v>0</v>
      </c>
    </row>
    <row r="110" spans="1:9" ht="15.75" x14ac:dyDescent="0.25">
      <c r="A110" s="8"/>
      <c r="B110" s="8"/>
      <c r="C110" s="9"/>
      <c r="D110" s="12" t="s">
        <v>106</v>
      </c>
      <c r="E110" s="16"/>
      <c r="F110" s="16"/>
      <c r="G110" s="16"/>
      <c r="H110" s="16"/>
      <c r="I110" s="13">
        <f t="shared" si="1"/>
        <v>0</v>
      </c>
    </row>
    <row r="111" spans="1:9" ht="15.75" x14ac:dyDescent="0.25">
      <c r="A111" s="8"/>
      <c r="B111" s="8"/>
      <c r="C111" s="9"/>
      <c r="D111" s="12" t="s">
        <v>107</v>
      </c>
      <c r="E111" s="16"/>
      <c r="F111" s="16"/>
      <c r="G111" s="16"/>
      <c r="H111" s="16"/>
      <c r="I111" s="13">
        <f t="shared" si="1"/>
        <v>0</v>
      </c>
    </row>
    <row r="112" spans="1:9" ht="15.75" x14ac:dyDescent="0.25">
      <c r="A112" s="8"/>
      <c r="B112" s="8"/>
      <c r="C112" s="9"/>
      <c r="D112" s="12" t="s">
        <v>108</v>
      </c>
      <c r="E112" s="16"/>
      <c r="F112" s="16"/>
      <c r="G112" s="16"/>
      <c r="H112" s="16"/>
      <c r="I112" s="13">
        <f t="shared" si="1"/>
        <v>0</v>
      </c>
    </row>
    <row r="113" spans="1:9" ht="15.75" x14ac:dyDescent="0.25">
      <c r="A113" s="8"/>
      <c r="B113" s="8"/>
      <c r="C113" s="9"/>
      <c r="D113" s="12" t="s">
        <v>109</v>
      </c>
      <c r="E113" s="16"/>
      <c r="F113" s="16"/>
      <c r="G113" s="16"/>
      <c r="H113" s="16"/>
      <c r="I113" s="13">
        <f t="shared" si="1"/>
        <v>0</v>
      </c>
    </row>
    <row r="114" spans="1:9" ht="15.75" x14ac:dyDescent="0.25">
      <c r="A114" s="8"/>
      <c r="B114" s="8"/>
      <c r="C114" s="9"/>
      <c r="D114" s="12" t="s">
        <v>110</v>
      </c>
      <c r="E114" s="16"/>
      <c r="F114" s="16"/>
      <c r="G114" s="16"/>
      <c r="H114" s="16"/>
      <c r="I114" s="13">
        <f t="shared" si="1"/>
        <v>0</v>
      </c>
    </row>
    <row r="115" spans="1:9" ht="15.75" x14ac:dyDescent="0.25">
      <c r="A115" s="8"/>
      <c r="B115" s="8"/>
      <c r="C115" s="9"/>
      <c r="D115" s="12" t="s">
        <v>111</v>
      </c>
      <c r="E115" s="16"/>
      <c r="F115" s="16"/>
      <c r="G115" s="16"/>
      <c r="H115" s="16"/>
      <c r="I115" s="13">
        <f t="shared" si="1"/>
        <v>0</v>
      </c>
    </row>
    <row r="116" spans="1:9" ht="15.75" x14ac:dyDescent="0.25">
      <c r="A116" s="8"/>
      <c r="B116" s="8"/>
      <c r="C116" s="9"/>
      <c r="D116" s="12" t="s">
        <v>112</v>
      </c>
      <c r="E116" s="16"/>
      <c r="F116" s="16"/>
      <c r="G116" s="16"/>
      <c r="H116" s="16"/>
      <c r="I116" s="13">
        <f t="shared" si="1"/>
        <v>0</v>
      </c>
    </row>
    <row r="117" spans="1:9" ht="15.75" x14ac:dyDescent="0.25">
      <c r="A117" s="8"/>
      <c r="B117" s="8"/>
      <c r="C117" s="9"/>
      <c r="D117" s="12" t="s">
        <v>113</v>
      </c>
      <c r="E117" s="16"/>
      <c r="F117" s="16"/>
      <c r="G117" s="16"/>
      <c r="H117" s="16"/>
      <c r="I117" s="13">
        <f t="shared" si="1"/>
        <v>0</v>
      </c>
    </row>
    <row r="118" spans="1:9" ht="15.75" x14ac:dyDescent="0.25">
      <c r="A118" s="8"/>
      <c r="B118" s="8"/>
      <c r="C118" s="9"/>
      <c r="D118" s="12" t="s">
        <v>114</v>
      </c>
      <c r="E118" s="16"/>
      <c r="F118" s="16"/>
      <c r="G118" s="16"/>
      <c r="H118" s="16"/>
      <c r="I118" s="13">
        <f t="shared" si="1"/>
        <v>0</v>
      </c>
    </row>
    <row r="119" spans="1:9" ht="15.75" x14ac:dyDescent="0.25">
      <c r="A119" s="8"/>
      <c r="B119" s="8"/>
      <c r="C119" s="9"/>
      <c r="D119" s="12" t="s">
        <v>115</v>
      </c>
      <c r="E119" s="16"/>
      <c r="F119" s="16"/>
      <c r="G119" s="16"/>
      <c r="H119" s="16"/>
      <c r="I119" s="13">
        <f t="shared" si="1"/>
        <v>0</v>
      </c>
    </row>
    <row r="120" spans="1:9" ht="15.75" x14ac:dyDescent="0.25">
      <c r="A120" s="8"/>
      <c r="B120" s="8"/>
      <c r="C120" s="9"/>
      <c r="D120" s="12" t="s">
        <v>116</v>
      </c>
      <c r="E120" s="16"/>
      <c r="F120" s="16"/>
      <c r="G120" s="16"/>
      <c r="H120" s="16"/>
      <c r="I120" s="13">
        <f t="shared" si="1"/>
        <v>0</v>
      </c>
    </row>
    <row r="121" spans="1:9" ht="15.75" x14ac:dyDescent="0.25">
      <c r="A121" s="8"/>
      <c r="B121" s="8"/>
      <c r="C121" s="9"/>
      <c r="D121" s="12" t="s">
        <v>117</v>
      </c>
      <c r="E121" s="16"/>
      <c r="F121" s="16"/>
      <c r="G121" s="16"/>
      <c r="H121" s="16"/>
      <c r="I121" s="13">
        <f t="shared" si="1"/>
        <v>0</v>
      </c>
    </row>
    <row r="122" spans="1:9" ht="15.75" x14ac:dyDescent="0.25">
      <c r="A122" s="8"/>
      <c r="B122" s="8"/>
      <c r="C122" s="9"/>
      <c r="D122" s="12" t="s">
        <v>118</v>
      </c>
      <c r="E122" s="16"/>
      <c r="F122" s="16"/>
      <c r="G122" s="16"/>
      <c r="H122" s="16"/>
      <c r="I122" s="13">
        <f t="shared" si="1"/>
        <v>0</v>
      </c>
    </row>
    <row r="123" spans="1:9" ht="15.75" x14ac:dyDescent="0.25">
      <c r="A123" s="8"/>
      <c r="B123" s="8"/>
      <c r="C123" s="9"/>
      <c r="D123" s="12" t="s">
        <v>119</v>
      </c>
      <c r="E123" s="16"/>
      <c r="F123" s="16"/>
      <c r="G123" s="16"/>
      <c r="H123" s="16"/>
      <c r="I123" s="13">
        <f t="shared" si="1"/>
        <v>0</v>
      </c>
    </row>
    <row r="124" spans="1:9" ht="15.75" x14ac:dyDescent="0.25">
      <c r="A124" s="8"/>
      <c r="B124" s="8"/>
      <c r="C124" s="9"/>
      <c r="D124" s="12" t="s">
        <v>120</v>
      </c>
      <c r="E124" s="16"/>
      <c r="F124" s="16"/>
      <c r="G124" s="16"/>
      <c r="H124" s="16"/>
      <c r="I124" s="13">
        <f t="shared" si="1"/>
        <v>0</v>
      </c>
    </row>
    <row r="125" spans="1:9" ht="15.75" x14ac:dyDescent="0.25">
      <c r="A125" s="8"/>
      <c r="B125" s="8"/>
      <c r="C125" s="9"/>
      <c r="D125" s="12" t="s">
        <v>121</v>
      </c>
      <c r="E125" s="16"/>
      <c r="F125" s="16"/>
      <c r="G125" s="16"/>
      <c r="H125" s="16"/>
      <c r="I125" s="13">
        <f t="shared" si="1"/>
        <v>0</v>
      </c>
    </row>
    <row r="126" spans="1:9" ht="15.75" x14ac:dyDescent="0.25">
      <c r="A126" s="8"/>
      <c r="B126" s="8"/>
      <c r="C126" s="9"/>
      <c r="D126" s="12" t="s">
        <v>122</v>
      </c>
      <c r="E126" s="16"/>
      <c r="F126" s="16"/>
      <c r="G126" s="16"/>
      <c r="H126" s="16"/>
      <c r="I126" s="13">
        <f t="shared" si="1"/>
        <v>0</v>
      </c>
    </row>
    <row r="127" spans="1:9" ht="15.75" x14ac:dyDescent="0.25">
      <c r="A127" s="8"/>
      <c r="B127" s="8"/>
      <c r="C127" s="9"/>
      <c r="D127" s="12" t="s">
        <v>123</v>
      </c>
      <c r="E127" s="16"/>
      <c r="F127" s="16"/>
      <c r="G127" s="16"/>
      <c r="H127" s="16"/>
      <c r="I127" s="13">
        <f t="shared" si="1"/>
        <v>0</v>
      </c>
    </row>
    <row r="128" spans="1:9" ht="15.75" x14ac:dyDescent="0.25">
      <c r="A128" s="8"/>
      <c r="B128" s="8"/>
      <c r="C128" s="9"/>
      <c r="D128" s="12" t="s">
        <v>124</v>
      </c>
      <c r="E128" s="16"/>
      <c r="F128" s="16"/>
      <c r="G128" s="16"/>
      <c r="H128" s="16"/>
      <c r="I128" s="13">
        <f t="shared" si="1"/>
        <v>0</v>
      </c>
    </row>
    <row r="129" spans="1:9" ht="15.75" x14ac:dyDescent="0.25">
      <c r="A129" s="8"/>
      <c r="B129" s="8"/>
      <c r="C129" s="9"/>
      <c r="D129" s="12" t="s">
        <v>125</v>
      </c>
      <c r="E129" s="16"/>
      <c r="F129" s="16"/>
      <c r="G129" s="16"/>
      <c r="H129" s="16"/>
      <c r="I129" s="13">
        <f t="shared" si="1"/>
        <v>0</v>
      </c>
    </row>
    <row r="130" spans="1:9" ht="15.75" x14ac:dyDescent="0.25">
      <c r="A130" s="8"/>
      <c r="B130" s="8"/>
      <c r="C130" s="9"/>
      <c r="D130" s="12" t="s">
        <v>126</v>
      </c>
      <c r="E130" s="16"/>
      <c r="F130" s="16"/>
      <c r="G130" s="16"/>
      <c r="H130" s="16"/>
      <c r="I130" s="13">
        <f t="shared" si="1"/>
        <v>0</v>
      </c>
    </row>
    <row r="131" spans="1:9" ht="15.75" x14ac:dyDescent="0.25">
      <c r="A131" s="8"/>
      <c r="B131" s="8"/>
      <c r="C131" s="9"/>
      <c r="D131" s="12" t="s">
        <v>127</v>
      </c>
      <c r="E131" s="16"/>
      <c r="F131" s="16"/>
      <c r="G131" s="16"/>
      <c r="H131" s="16"/>
      <c r="I131" s="13">
        <f t="shared" si="1"/>
        <v>0</v>
      </c>
    </row>
    <row r="132" spans="1:9" ht="15.75" x14ac:dyDescent="0.25">
      <c r="A132" s="8"/>
      <c r="B132" s="8"/>
      <c r="C132" s="9"/>
      <c r="D132" s="12" t="s">
        <v>128</v>
      </c>
      <c r="E132" s="16"/>
      <c r="F132" s="16"/>
      <c r="G132" s="16"/>
      <c r="H132" s="16"/>
      <c r="I132" s="13">
        <f t="shared" si="1"/>
        <v>0</v>
      </c>
    </row>
    <row r="133" spans="1:9" ht="15.75" x14ac:dyDescent="0.25">
      <c r="A133" s="8"/>
      <c r="B133" s="8"/>
      <c r="C133" s="9"/>
      <c r="D133" s="12" t="s">
        <v>129</v>
      </c>
      <c r="E133" s="16"/>
      <c r="F133" s="16"/>
      <c r="G133" s="16"/>
      <c r="H133" s="16"/>
      <c r="I133" s="13">
        <f t="shared" si="1"/>
        <v>0</v>
      </c>
    </row>
    <row r="134" spans="1:9" ht="15.75" x14ac:dyDescent="0.25">
      <c r="A134" s="8"/>
      <c r="B134" s="8"/>
      <c r="C134" s="9"/>
      <c r="D134" s="12" t="s">
        <v>130</v>
      </c>
      <c r="E134" s="16"/>
      <c r="F134" s="16"/>
      <c r="G134" s="16"/>
      <c r="H134" s="16"/>
      <c r="I134" s="13">
        <f t="shared" si="1"/>
        <v>0</v>
      </c>
    </row>
    <row r="135" spans="1:9" ht="15.75" x14ac:dyDescent="0.25">
      <c r="A135" s="8"/>
      <c r="B135" s="8"/>
      <c r="C135" s="9"/>
      <c r="D135" s="12" t="s">
        <v>131</v>
      </c>
      <c r="E135" s="16"/>
      <c r="F135" s="16"/>
      <c r="G135" s="16"/>
      <c r="H135" s="16"/>
      <c r="I135" s="13">
        <f t="shared" si="1"/>
        <v>0</v>
      </c>
    </row>
    <row r="136" spans="1:9" ht="15.75" x14ac:dyDescent="0.25">
      <c r="A136" s="8"/>
      <c r="B136" s="8"/>
      <c r="C136" s="9"/>
      <c r="D136" s="12" t="s">
        <v>132</v>
      </c>
      <c r="E136" s="16"/>
      <c r="F136" s="16"/>
      <c r="G136" s="16"/>
      <c r="H136" s="16"/>
      <c r="I136" s="13">
        <f t="shared" si="1"/>
        <v>0</v>
      </c>
    </row>
    <row r="137" spans="1:9" ht="15.75" x14ac:dyDescent="0.25">
      <c r="A137" s="8"/>
      <c r="B137" s="8"/>
      <c r="C137" s="9"/>
      <c r="D137" s="12" t="s">
        <v>133</v>
      </c>
      <c r="E137" s="16"/>
      <c r="F137" s="16"/>
      <c r="G137" s="16"/>
      <c r="H137" s="16"/>
      <c r="I137" s="13">
        <f t="shared" si="1"/>
        <v>0</v>
      </c>
    </row>
    <row r="138" spans="1:9" ht="15.75" x14ac:dyDescent="0.25">
      <c r="A138" s="8"/>
      <c r="B138" s="8"/>
      <c r="C138" s="9"/>
      <c r="D138" s="12" t="s">
        <v>134</v>
      </c>
      <c r="E138" s="16"/>
      <c r="F138" s="16"/>
      <c r="G138" s="16"/>
      <c r="H138" s="16"/>
      <c r="I138" s="13">
        <f t="shared" ref="I138:I144" si="2">SUM(E138:H138)</f>
        <v>0</v>
      </c>
    </row>
    <row r="139" spans="1:9" ht="15.75" x14ac:dyDescent="0.25">
      <c r="A139" s="8"/>
      <c r="B139" s="8"/>
      <c r="C139" s="9"/>
      <c r="D139" s="12" t="s">
        <v>135</v>
      </c>
      <c r="E139" s="16"/>
      <c r="F139" s="16"/>
      <c r="G139" s="16"/>
      <c r="H139" s="16"/>
      <c r="I139" s="13">
        <f t="shared" si="2"/>
        <v>0</v>
      </c>
    </row>
    <row r="140" spans="1:9" ht="15.75" x14ac:dyDescent="0.25">
      <c r="A140" s="8"/>
      <c r="B140" s="8"/>
      <c r="C140" s="9"/>
      <c r="D140" s="12" t="s">
        <v>136</v>
      </c>
      <c r="E140" s="16"/>
      <c r="F140" s="16"/>
      <c r="G140" s="16"/>
      <c r="H140" s="16"/>
      <c r="I140" s="13">
        <f t="shared" si="2"/>
        <v>0</v>
      </c>
    </row>
    <row r="141" spans="1:9" ht="15.75" x14ac:dyDescent="0.25">
      <c r="A141" s="8"/>
      <c r="B141" s="8"/>
      <c r="C141" s="9"/>
      <c r="D141" s="12" t="s">
        <v>137</v>
      </c>
      <c r="E141" s="16"/>
      <c r="F141" s="16"/>
      <c r="G141" s="16"/>
      <c r="H141" s="16"/>
      <c r="I141" s="13">
        <f t="shared" si="2"/>
        <v>0</v>
      </c>
    </row>
    <row r="142" spans="1:9" ht="15.75" x14ac:dyDescent="0.25">
      <c r="A142" s="8"/>
      <c r="B142" s="8"/>
      <c r="C142" s="9"/>
      <c r="D142" s="12" t="s">
        <v>138</v>
      </c>
      <c r="E142" s="16"/>
      <c r="F142" s="16"/>
      <c r="G142" s="16"/>
      <c r="H142" s="16"/>
      <c r="I142" s="13">
        <f t="shared" si="2"/>
        <v>0</v>
      </c>
    </row>
    <row r="143" spans="1:9" ht="15.75" x14ac:dyDescent="0.25">
      <c r="A143" s="8"/>
      <c r="B143" s="8"/>
      <c r="C143" s="9"/>
      <c r="D143" s="12" t="s">
        <v>139</v>
      </c>
      <c r="E143" s="16"/>
      <c r="F143" s="16"/>
      <c r="G143" s="16"/>
      <c r="H143" s="16"/>
      <c r="I143" s="13">
        <f t="shared" si="2"/>
        <v>0</v>
      </c>
    </row>
    <row r="144" spans="1:9" ht="15.75" x14ac:dyDescent="0.25">
      <c r="A144" s="8"/>
      <c r="B144" s="8"/>
      <c r="C144" s="9"/>
      <c r="D144" s="12" t="s">
        <v>140</v>
      </c>
      <c r="E144" s="16"/>
      <c r="F144" s="16"/>
      <c r="G144" s="16"/>
      <c r="H144" s="16"/>
      <c r="I144" s="13">
        <f t="shared" si="2"/>
        <v>0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0</v>
      </c>
      <c r="F145" s="22">
        <f>SUM(F10:F144)</f>
        <v>0</v>
      </c>
      <c r="G145" s="22">
        <f>SUM(G10:G144)</f>
        <v>0</v>
      </c>
      <c r="H145" s="22">
        <f>SUM(H10:H144)</f>
        <v>0</v>
      </c>
      <c r="I145" s="22">
        <f>SUM(I10:I144)</f>
        <v>0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6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44AEAC"/>
    <pageSetUpPr fitToPage="1"/>
  </sheetPr>
  <dimension ref="A1:I145"/>
  <sheetViews>
    <sheetView showGridLines="0" zoomScale="80" zoomScaleNormal="80" workbookViewId="0">
      <selection activeCell="E10" sqref="E10:H144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2" style="2" customWidth="1"/>
    <col min="6" max="6" width="21.5" style="2" customWidth="1"/>
    <col min="7" max="7" width="20.83203125" style="2" customWidth="1"/>
    <col min="8" max="8" width="20.1640625" style="2" customWidth="1"/>
    <col min="9" max="9" width="22.832031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150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/>
      <c r="F10" s="16"/>
      <c r="G10" s="16"/>
      <c r="H10" s="16"/>
      <c r="I10" s="13">
        <f t="shared" ref="I10:I73" si="0">SUM(E10:H10)</f>
        <v>0</v>
      </c>
    </row>
    <row r="11" spans="1:9" ht="15.75" x14ac:dyDescent="0.25">
      <c r="A11" s="8"/>
      <c r="B11" s="8"/>
      <c r="C11" s="9"/>
      <c r="D11" s="12" t="s">
        <v>7</v>
      </c>
      <c r="E11" s="16"/>
      <c r="F11" s="16"/>
      <c r="G11" s="16"/>
      <c r="H11" s="16"/>
      <c r="I11" s="13">
        <f t="shared" si="0"/>
        <v>0</v>
      </c>
    </row>
    <row r="12" spans="1:9" ht="15.75" x14ac:dyDescent="0.25">
      <c r="A12" s="8"/>
      <c r="B12" s="8"/>
      <c r="C12" s="9"/>
      <c r="D12" s="12" t="s">
        <v>8</v>
      </c>
      <c r="E12" s="16"/>
      <c r="F12" s="16"/>
      <c r="G12" s="16"/>
      <c r="H12" s="16"/>
      <c r="I12" s="13">
        <f t="shared" si="0"/>
        <v>0</v>
      </c>
    </row>
    <row r="13" spans="1:9" ht="15.75" x14ac:dyDescent="0.25">
      <c r="A13" s="8"/>
      <c r="B13" s="8"/>
      <c r="C13" s="9"/>
      <c r="D13" s="12" t="s">
        <v>9</v>
      </c>
      <c r="E13" s="16"/>
      <c r="F13" s="16"/>
      <c r="G13" s="16"/>
      <c r="H13" s="16"/>
      <c r="I13" s="13">
        <f t="shared" si="0"/>
        <v>0</v>
      </c>
    </row>
    <row r="14" spans="1:9" ht="15.75" x14ac:dyDescent="0.25">
      <c r="A14" s="8"/>
      <c r="B14" s="8"/>
      <c r="C14" s="9"/>
      <c r="D14" s="12" t="s">
        <v>10</v>
      </c>
      <c r="E14" s="16"/>
      <c r="F14" s="16"/>
      <c r="G14" s="16"/>
      <c r="H14" s="16"/>
      <c r="I14" s="13">
        <f t="shared" si="0"/>
        <v>0</v>
      </c>
    </row>
    <row r="15" spans="1:9" ht="15.75" x14ac:dyDescent="0.25">
      <c r="A15" s="8"/>
      <c r="B15" s="8"/>
      <c r="C15" s="9"/>
      <c r="D15" s="12" t="s">
        <v>11</v>
      </c>
      <c r="E15" s="16"/>
      <c r="F15" s="16"/>
      <c r="G15" s="16"/>
      <c r="H15" s="16"/>
      <c r="I15" s="13">
        <f t="shared" si="0"/>
        <v>0</v>
      </c>
    </row>
    <row r="16" spans="1:9" ht="15.75" x14ac:dyDescent="0.25">
      <c r="A16" s="8"/>
      <c r="B16" s="8"/>
      <c r="C16" s="9"/>
      <c r="D16" s="12" t="s">
        <v>12</v>
      </c>
      <c r="E16" s="16"/>
      <c r="F16" s="16"/>
      <c r="G16" s="16"/>
      <c r="H16" s="16"/>
      <c r="I16" s="13">
        <f t="shared" si="0"/>
        <v>0</v>
      </c>
    </row>
    <row r="17" spans="1:9" ht="15.75" x14ac:dyDescent="0.25">
      <c r="A17" s="8"/>
      <c r="B17" s="8"/>
      <c r="C17" s="9"/>
      <c r="D17" s="12" t="s">
        <v>13</v>
      </c>
      <c r="E17" s="16"/>
      <c r="F17" s="16"/>
      <c r="G17" s="16"/>
      <c r="H17" s="16"/>
      <c r="I17" s="13">
        <f t="shared" si="0"/>
        <v>0</v>
      </c>
    </row>
    <row r="18" spans="1:9" ht="15.75" x14ac:dyDescent="0.25">
      <c r="A18" s="8"/>
      <c r="B18" s="8"/>
      <c r="C18" s="9"/>
      <c r="D18" s="12" t="s">
        <v>14</v>
      </c>
      <c r="E18" s="16"/>
      <c r="F18" s="16"/>
      <c r="G18" s="16"/>
      <c r="H18" s="16"/>
      <c r="I18" s="13">
        <f t="shared" si="0"/>
        <v>0</v>
      </c>
    </row>
    <row r="19" spans="1:9" ht="15.75" x14ac:dyDescent="0.25">
      <c r="A19" s="8"/>
      <c r="B19" s="8"/>
      <c r="C19" s="9"/>
      <c r="D19" s="12" t="s">
        <v>15</v>
      </c>
      <c r="E19" s="16"/>
      <c r="F19" s="16"/>
      <c r="G19" s="16"/>
      <c r="H19" s="16"/>
      <c r="I19" s="13">
        <f t="shared" si="0"/>
        <v>0</v>
      </c>
    </row>
    <row r="20" spans="1:9" ht="15.75" x14ac:dyDescent="0.25">
      <c r="A20" s="8"/>
      <c r="B20" s="8"/>
      <c r="C20" s="9"/>
      <c r="D20" s="12" t="s">
        <v>16</v>
      </c>
      <c r="E20" s="16"/>
      <c r="F20" s="16"/>
      <c r="G20" s="16"/>
      <c r="H20" s="16"/>
      <c r="I20" s="13">
        <f t="shared" si="0"/>
        <v>0</v>
      </c>
    </row>
    <row r="21" spans="1:9" ht="15.75" x14ac:dyDescent="0.25">
      <c r="A21" s="8"/>
      <c r="B21" s="8"/>
      <c r="C21" s="9"/>
      <c r="D21" s="12" t="s">
        <v>17</v>
      </c>
      <c r="E21" s="16"/>
      <c r="F21" s="16"/>
      <c r="G21" s="16"/>
      <c r="H21" s="16"/>
      <c r="I21" s="13">
        <f t="shared" si="0"/>
        <v>0</v>
      </c>
    </row>
    <row r="22" spans="1:9" ht="15.75" x14ac:dyDescent="0.25">
      <c r="A22" s="8"/>
      <c r="B22" s="8"/>
      <c r="C22" s="9"/>
      <c r="D22" s="12" t="s">
        <v>18</v>
      </c>
      <c r="E22" s="16"/>
      <c r="F22" s="16"/>
      <c r="G22" s="16"/>
      <c r="H22" s="16"/>
      <c r="I22" s="13">
        <f t="shared" si="0"/>
        <v>0</v>
      </c>
    </row>
    <row r="23" spans="1:9" ht="15.75" x14ac:dyDescent="0.25">
      <c r="A23" s="8"/>
      <c r="B23" s="8"/>
      <c r="C23" s="9"/>
      <c r="D23" s="12" t="s">
        <v>19</v>
      </c>
      <c r="E23" s="16"/>
      <c r="F23" s="16"/>
      <c r="G23" s="16"/>
      <c r="H23" s="16"/>
      <c r="I23" s="13">
        <f t="shared" si="0"/>
        <v>0</v>
      </c>
    </row>
    <row r="24" spans="1:9" ht="15.75" x14ac:dyDescent="0.25">
      <c r="A24" s="8"/>
      <c r="B24" s="8"/>
      <c r="C24" s="9"/>
      <c r="D24" s="12" t="s">
        <v>20</v>
      </c>
      <c r="E24" s="16"/>
      <c r="F24" s="16"/>
      <c r="G24" s="16"/>
      <c r="H24" s="16"/>
      <c r="I24" s="13">
        <f t="shared" si="0"/>
        <v>0</v>
      </c>
    </row>
    <row r="25" spans="1:9" ht="15.75" x14ac:dyDescent="0.25">
      <c r="A25" s="8"/>
      <c r="B25" s="8"/>
      <c r="C25" s="9"/>
      <c r="D25" s="12" t="s">
        <v>21</v>
      </c>
      <c r="E25" s="16"/>
      <c r="F25" s="16"/>
      <c r="G25" s="16"/>
      <c r="H25" s="16"/>
      <c r="I25" s="13">
        <f t="shared" si="0"/>
        <v>0</v>
      </c>
    </row>
    <row r="26" spans="1:9" ht="15.75" x14ac:dyDescent="0.25">
      <c r="A26" s="8"/>
      <c r="B26" s="8"/>
      <c r="C26" s="9"/>
      <c r="D26" s="12" t="s">
        <v>22</v>
      </c>
      <c r="E26" s="16"/>
      <c r="F26" s="16"/>
      <c r="G26" s="16"/>
      <c r="H26" s="16"/>
      <c r="I26" s="13">
        <f t="shared" si="0"/>
        <v>0</v>
      </c>
    </row>
    <row r="27" spans="1:9" ht="15.75" x14ac:dyDescent="0.25">
      <c r="A27" s="8"/>
      <c r="B27" s="8"/>
      <c r="C27" s="9"/>
      <c r="D27" s="12" t="s">
        <v>23</v>
      </c>
      <c r="E27" s="16"/>
      <c r="F27" s="16"/>
      <c r="G27" s="16"/>
      <c r="H27" s="16"/>
      <c r="I27" s="13">
        <f t="shared" si="0"/>
        <v>0</v>
      </c>
    </row>
    <row r="28" spans="1:9" ht="15.75" x14ac:dyDescent="0.25">
      <c r="A28" s="8"/>
      <c r="B28" s="8"/>
      <c r="C28" s="9"/>
      <c r="D28" s="12" t="s">
        <v>24</v>
      </c>
      <c r="E28" s="16"/>
      <c r="F28" s="16"/>
      <c r="G28" s="16"/>
      <c r="H28" s="16"/>
      <c r="I28" s="13">
        <f t="shared" si="0"/>
        <v>0</v>
      </c>
    </row>
    <row r="29" spans="1:9" ht="15.75" x14ac:dyDescent="0.25">
      <c r="A29" s="8"/>
      <c r="B29" s="8"/>
      <c r="C29" s="9"/>
      <c r="D29" s="12" t="s">
        <v>25</v>
      </c>
      <c r="E29" s="16"/>
      <c r="F29" s="16"/>
      <c r="G29" s="16"/>
      <c r="H29" s="16"/>
      <c r="I29" s="13">
        <f t="shared" si="0"/>
        <v>0</v>
      </c>
    </row>
    <row r="30" spans="1:9" ht="15.75" x14ac:dyDescent="0.25">
      <c r="A30" s="8"/>
      <c r="B30" s="8"/>
      <c r="C30" s="9"/>
      <c r="D30" s="12" t="s">
        <v>26</v>
      </c>
      <c r="E30" s="16"/>
      <c r="F30" s="16"/>
      <c r="G30" s="16"/>
      <c r="H30" s="16"/>
      <c r="I30" s="13">
        <f t="shared" si="0"/>
        <v>0</v>
      </c>
    </row>
    <row r="31" spans="1:9" ht="15.75" x14ac:dyDescent="0.25">
      <c r="A31" s="8"/>
      <c r="B31" s="8"/>
      <c r="C31" s="9"/>
      <c r="D31" s="12" t="s">
        <v>27</v>
      </c>
      <c r="E31" s="16"/>
      <c r="F31" s="16"/>
      <c r="G31" s="16"/>
      <c r="H31" s="16"/>
      <c r="I31" s="13">
        <f t="shared" si="0"/>
        <v>0</v>
      </c>
    </row>
    <row r="32" spans="1:9" ht="15.75" x14ac:dyDescent="0.25">
      <c r="A32" s="8"/>
      <c r="B32" s="8"/>
      <c r="C32" s="9"/>
      <c r="D32" s="12" t="s">
        <v>28</v>
      </c>
      <c r="E32" s="16"/>
      <c r="F32" s="16"/>
      <c r="G32" s="16"/>
      <c r="H32" s="16"/>
      <c r="I32" s="13">
        <f t="shared" si="0"/>
        <v>0</v>
      </c>
    </row>
    <row r="33" spans="1:9" ht="15.75" x14ac:dyDescent="0.25">
      <c r="A33" s="8"/>
      <c r="B33" s="8"/>
      <c r="C33" s="9"/>
      <c r="D33" s="12" t="s">
        <v>29</v>
      </c>
      <c r="E33" s="16"/>
      <c r="F33" s="16"/>
      <c r="G33" s="16"/>
      <c r="H33" s="16"/>
      <c r="I33" s="13">
        <f t="shared" si="0"/>
        <v>0</v>
      </c>
    </row>
    <row r="34" spans="1:9" ht="15.75" x14ac:dyDescent="0.25">
      <c r="A34" s="8"/>
      <c r="B34" s="8"/>
      <c r="C34" s="9"/>
      <c r="D34" s="12" t="s">
        <v>30</v>
      </c>
      <c r="E34" s="16"/>
      <c r="F34" s="16"/>
      <c r="G34" s="16"/>
      <c r="H34" s="16"/>
      <c r="I34" s="13">
        <f t="shared" si="0"/>
        <v>0</v>
      </c>
    </row>
    <row r="35" spans="1:9" ht="15.75" x14ac:dyDescent="0.25">
      <c r="A35" s="8"/>
      <c r="B35" s="8"/>
      <c r="C35" s="9"/>
      <c r="D35" s="12" t="s">
        <v>31</v>
      </c>
      <c r="E35" s="16"/>
      <c r="F35" s="16"/>
      <c r="G35" s="16"/>
      <c r="H35" s="16"/>
      <c r="I35" s="13">
        <f t="shared" si="0"/>
        <v>0</v>
      </c>
    </row>
    <row r="36" spans="1:9" ht="15.75" x14ac:dyDescent="0.25">
      <c r="A36" s="8"/>
      <c r="B36" s="8"/>
      <c r="C36" s="9"/>
      <c r="D36" s="12" t="s">
        <v>32</v>
      </c>
      <c r="E36" s="16"/>
      <c r="F36" s="16"/>
      <c r="G36" s="16"/>
      <c r="H36" s="16"/>
      <c r="I36" s="13">
        <f t="shared" si="0"/>
        <v>0</v>
      </c>
    </row>
    <row r="37" spans="1:9" ht="15.75" x14ac:dyDescent="0.25">
      <c r="A37" s="8"/>
      <c r="B37" s="8"/>
      <c r="C37" s="9"/>
      <c r="D37" s="12" t="s">
        <v>33</v>
      </c>
      <c r="E37" s="16"/>
      <c r="F37" s="16"/>
      <c r="G37" s="16"/>
      <c r="H37" s="16"/>
      <c r="I37" s="13">
        <f t="shared" si="0"/>
        <v>0</v>
      </c>
    </row>
    <row r="38" spans="1:9" ht="15.75" x14ac:dyDescent="0.25">
      <c r="A38" s="8"/>
      <c r="B38" s="8"/>
      <c r="C38" s="9"/>
      <c r="D38" s="12" t="s">
        <v>34</v>
      </c>
      <c r="E38" s="16"/>
      <c r="F38" s="16"/>
      <c r="G38" s="16"/>
      <c r="H38" s="16"/>
      <c r="I38" s="13">
        <f t="shared" si="0"/>
        <v>0</v>
      </c>
    </row>
    <row r="39" spans="1:9" ht="15.75" x14ac:dyDescent="0.25">
      <c r="A39" s="8"/>
      <c r="B39" s="8"/>
      <c r="C39" s="9"/>
      <c r="D39" s="12" t="s">
        <v>35</v>
      </c>
      <c r="E39" s="16"/>
      <c r="F39" s="16"/>
      <c r="G39" s="16"/>
      <c r="H39" s="16"/>
      <c r="I39" s="13">
        <f t="shared" si="0"/>
        <v>0</v>
      </c>
    </row>
    <row r="40" spans="1:9" ht="15.75" x14ac:dyDescent="0.25">
      <c r="A40" s="8"/>
      <c r="B40" s="8"/>
      <c r="C40" s="9"/>
      <c r="D40" s="12" t="s">
        <v>36</v>
      </c>
      <c r="E40" s="16"/>
      <c r="F40" s="16"/>
      <c r="G40" s="16"/>
      <c r="H40" s="16"/>
      <c r="I40" s="13">
        <f t="shared" si="0"/>
        <v>0</v>
      </c>
    </row>
    <row r="41" spans="1:9" ht="15.75" x14ac:dyDescent="0.25">
      <c r="A41" s="8"/>
      <c r="B41" s="8"/>
      <c r="C41" s="9"/>
      <c r="D41" s="12" t="s">
        <v>37</v>
      </c>
      <c r="E41" s="16"/>
      <c r="F41" s="16"/>
      <c r="G41" s="16"/>
      <c r="H41" s="16"/>
      <c r="I41" s="13">
        <f t="shared" si="0"/>
        <v>0</v>
      </c>
    </row>
    <row r="42" spans="1:9" ht="15.75" x14ac:dyDescent="0.25">
      <c r="A42" s="8"/>
      <c r="B42" s="8"/>
      <c r="C42" s="9"/>
      <c r="D42" s="12" t="s">
        <v>38</v>
      </c>
      <c r="E42" s="16"/>
      <c r="F42" s="16"/>
      <c r="G42" s="16"/>
      <c r="H42" s="16"/>
      <c r="I42" s="13">
        <f t="shared" si="0"/>
        <v>0</v>
      </c>
    </row>
    <row r="43" spans="1:9" ht="15.75" x14ac:dyDescent="0.25">
      <c r="A43" s="8"/>
      <c r="B43" s="8"/>
      <c r="C43" s="9"/>
      <c r="D43" s="12" t="s">
        <v>39</v>
      </c>
      <c r="E43" s="16"/>
      <c r="F43" s="16"/>
      <c r="G43" s="16"/>
      <c r="H43" s="16"/>
      <c r="I43" s="13">
        <f t="shared" si="0"/>
        <v>0</v>
      </c>
    </row>
    <row r="44" spans="1:9" ht="15.75" x14ac:dyDescent="0.25">
      <c r="A44" s="8"/>
      <c r="B44" s="8"/>
      <c r="C44" s="9"/>
      <c r="D44" s="12" t="s">
        <v>40</v>
      </c>
      <c r="E44" s="16"/>
      <c r="F44" s="16"/>
      <c r="G44" s="16"/>
      <c r="H44" s="16"/>
      <c r="I44" s="13">
        <f t="shared" si="0"/>
        <v>0</v>
      </c>
    </row>
    <row r="45" spans="1:9" ht="15.75" x14ac:dyDescent="0.25">
      <c r="A45" s="8"/>
      <c r="B45" s="8"/>
      <c r="C45" s="9"/>
      <c r="D45" s="12" t="s">
        <v>41</v>
      </c>
      <c r="E45" s="16"/>
      <c r="F45" s="16"/>
      <c r="G45" s="16"/>
      <c r="H45" s="16"/>
      <c r="I45" s="13">
        <f t="shared" si="0"/>
        <v>0</v>
      </c>
    </row>
    <row r="46" spans="1:9" ht="15.75" x14ac:dyDescent="0.25">
      <c r="A46" s="8"/>
      <c r="B46" s="8"/>
      <c r="C46" s="9"/>
      <c r="D46" s="12" t="s">
        <v>42</v>
      </c>
      <c r="E46" s="16"/>
      <c r="F46" s="16"/>
      <c r="G46" s="16"/>
      <c r="H46" s="16"/>
      <c r="I46" s="13">
        <f t="shared" si="0"/>
        <v>0</v>
      </c>
    </row>
    <row r="47" spans="1:9" ht="15.75" x14ac:dyDescent="0.25">
      <c r="A47" s="8"/>
      <c r="B47" s="8"/>
      <c r="C47" s="9"/>
      <c r="D47" s="12" t="s">
        <v>43</v>
      </c>
      <c r="E47" s="16"/>
      <c r="F47" s="16"/>
      <c r="G47" s="16"/>
      <c r="H47" s="16"/>
      <c r="I47" s="13">
        <f t="shared" si="0"/>
        <v>0</v>
      </c>
    </row>
    <row r="48" spans="1:9" ht="15.75" x14ac:dyDescent="0.25">
      <c r="A48" s="8"/>
      <c r="B48" s="8"/>
      <c r="C48" s="9"/>
      <c r="D48" s="12" t="s">
        <v>44</v>
      </c>
      <c r="E48" s="16"/>
      <c r="F48" s="16"/>
      <c r="G48" s="16"/>
      <c r="H48" s="16"/>
      <c r="I48" s="13">
        <f t="shared" si="0"/>
        <v>0</v>
      </c>
    </row>
    <row r="49" spans="1:9" ht="15.75" x14ac:dyDescent="0.25">
      <c r="A49" s="8"/>
      <c r="B49" s="8"/>
      <c r="C49" s="9"/>
      <c r="D49" s="12" t="s">
        <v>45</v>
      </c>
      <c r="E49" s="16"/>
      <c r="F49" s="16"/>
      <c r="G49" s="16"/>
      <c r="H49" s="16"/>
      <c r="I49" s="13">
        <f t="shared" si="0"/>
        <v>0</v>
      </c>
    </row>
    <row r="50" spans="1:9" ht="15.75" x14ac:dyDescent="0.25">
      <c r="A50" s="8"/>
      <c r="B50" s="8"/>
      <c r="C50" s="9"/>
      <c r="D50" s="12" t="s">
        <v>46</v>
      </c>
      <c r="E50" s="16"/>
      <c r="F50" s="16"/>
      <c r="G50" s="16"/>
      <c r="H50" s="16"/>
      <c r="I50" s="13">
        <f t="shared" si="0"/>
        <v>0</v>
      </c>
    </row>
    <row r="51" spans="1:9" ht="15.75" x14ac:dyDescent="0.25">
      <c r="A51" s="8"/>
      <c r="B51" s="8"/>
      <c r="C51" s="9"/>
      <c r="D51" s="12" t="s">
        <v>47</v>
      </c>
      <c r="E51" s="16"/>
      <c r="F51" s="16"/>
      <c r="G51" s="16"/>
      <c r="H51" s="16"/>
      <c r="I51" s="13">
        <f t="shared" si="0"/>
        <v>0</v>
      </c>
    </row>
    <row r="52" spans="1:9" ht="15.75" x14ac:dyDescent="0.25">
      <c r="A52" s="8"/>
      <c r="B52" s="8"/>
      <c r="C52" s="9"/>
      <c r="D52" s="12" t="s">
        <v>48</v>
      </c>
      <c r="E52" s="16"/>
      <c r="F52" s="16"/>
      <c r="G52" s="16"/>
      <c r="H52" s="16"/>
      <c r="I52" s="13">
        <f t="shared" si="0"/>
        <v>0</v>
      </c>
    </row>
    <row r="53" spans="1:9" ht="15.75" x14ac:dyDescent="0.25">
      <c r="A53" s="8"/>
      <c r="B53" s="8"/>
      <c r="C53" s="9"/>
      <c r="D53" s="12" t="s">
        <v>49</v>
      </c>
      <c r="E53" s="16"/>
      <c r="F53" s="16"/>
      <c r="G53" s="16"/>
      <c r="H53" s="16"/>
      <c r="I53" s="13">
        <f t="shared" si="0"/>
        <v>0</v>
      </c>
    </row>
    <row r="54" spans="1:9" ht="15.75" x14ac:dyDescent="0.25">
      <c r="A54" s="8"/>
      <c r="B54" s="8"/>
      <c r="C54" s="9"/>
      <c r="D54" s="12" t="s">
        <v>50</v>
      </c>
      <c r="E54" s="16"/>
      <c r="F54" s="16"/>
      <c r="G54" s="16"/>
      <c r="H54" s="16"/>
      <c r="I54" s="13">
        <f t="shared" si="0"/>
        <v>0</v>
      </c>
    </row>
    <row r="55" spans="1:9" ht="15.75" x14ac:dyDescent="0.25">
      <c r="A55" s="8"/>
      <c r="B55" s="8"/>
      <c r="C55" s="9"/>
      <c r="D55" s="12" t="s">
        <v>51</v>
      </c>
      <c r="E55" s="16"/>
      <c r="F55" s="16"/>
      <c r="G55" s="16"/>
      <c r="H55" s="16"/>
      <c r="I55" s="13">
        <f t="shared" si="0"/>
        <v>0</v>
      </c>
    </row>
    <row r="56" spans="1:9" ht="15.75" x14ac:dyDescent="0.25">
      <c r="A56" s="8"/>
      <c r="B56" s="8"/>
      <c r="C56" s="9"/>
      <c r="D56" s="12" t="s">
        <v>52</v>
      </c>
      <c r="E56" s="16"/>
      <c r="F56" s="16"/>
      <c r="G56" s="16"/>
      <c r="H56" s="16"/>
      <c r="I56" s="13">
        <f t="shared" si="0"/>
        <v>0</v>
      </c>
    </row>
    <row r="57" spans="1:9" ht="15.75" x14ac:dyDescent="0.25">
      <c r="A57" s="8"/>
      <c r="B57" s="8"/>
      <c r="C57" s="9"/>
      <c r="D57" s="12" t="s">
        <v>53</v>
      </c>
      <c r="E57" s="16"/>
      <c r="F57" s="16"/>
      <c r="G57" s="16"/>
      <c r="H57" s="16"/>
      <c r="I57" s="13">
        <f t="shared" si="0"/>
        <v>0</v>
      </c>
    </row>
    <row r="58" spans="1:9" ht="15.75" x14ac:dyDescent="0.25">
      <c r="A58" s="8"/>
      <c r="B58" s="8"/>
      <c r="C58" s="9"/>
      <c r="D58" s="12" t="s">
        <v>54</v>
      </c>
      <c r="E58" s="16"/>
      <c r="F58" s="16"/>
      <c r="G58" s="16"/>
      <c r="H58" s="16"/>
      <c r="I58" s="13">
        <f t="shared" si="0"/>
        <v>0</v>
      </c>
    </row>
    <row r="59" spans="1:9" ht="15.75" x14ac:dyDescent="0.25">
      <c r="A59" s="8"/>
      <c r="B59" s="8"/>
      <c r="C59" s="9"/>
      <c r="D59" s="12" t="s">
        <v>55</v>
      </c>
      <c r="E59" s="16"/>
      <c r="F59" s="16"/>
      <c r="G59" s="16"/>
      <c r="H59" s="16"/>
      <c r="I59" s="13">
        <f t="shared" si="0"/>
        <v>0</v>
      </c>
    </row>
    <row r="60" spans="1:9" ht="15.75" x14ac:dyDescent="0.25">
      <c r="A60" s="8"/>
      <c r="B60" s="8"/>
      <c r="C60" s="9"/>
      <c r="D60" s="12" t="s">
        <v>56</v>
      </c>
      <c r="E60" s="16"/>
      <c r="F60" s="16"/>
      <c r="G60" s="16"/>
      <c r="H60" s="16"/>
      <c r="I60" s="13">
        <f t="shared" si="0"/>
        <v>0</v>
      </c>
    </row>
    <row r="61" spans="1:9" ht="15.75" x14ac:dyDescent="0.25">
      <c r="A61" s="8"/>
      <c r="B61" s="8"/>
      <c r="C61" s="9"/>
      <c r="D61" s="12" t="s">
        <v>57</v>
      </c>
      <c r="E61" s="16"/>
      <c r="F61" s="16"/>
      <c r="G61" s="16"/>
      <c r="H61" s="16"/>
      <c r="I61" s="13">
        <f t="shared" si="0"/>
        <v>0</v>
      </c>
    </row>
    <row r="62" spans="1:9" ht="15.75" x14ac:dyDescent="0.25">
      <c r="A62" s="8"/>
      <c r="B62" s="8"/>
      <c r="C62" s="9"/>
      <c r="D62" s="12" t="s">
        <v>58</v>
      </c>
      <c r="E62" s="16"/>
      <c r="F62" s="16"/>
      <c r="G62" s="16"/>
      <c r="H62" s="16"/>
      <c r="I62" s="13">
        <f t="shared" si="0"/>
        <v>0</v>
      </c>
    </row>
    <row r="63" spans="1:9" ht="15.75" x14ac:dyDescent="0.25">
      <c r="A63" s="8"/>
      <c r="B63" s="8"/>
      <c r="C63" s="9"/>
      <c r="D63" s="12" t="s">
        <v>59</v>
      </c>
      <c r="E63" s="16"/>
      <c r="F63" s="16"/>
      <c r="G63" s="16"/>
      <c r="H63" s="16"/>
      <c r="I63" s="13">
        <f t="shared" si="0"/>
        <v>0</v>
      </c>
    </row>
    <row r="64" spans="1:9" ht="15.75" x14ac:dyDescent="0.25">
      <c r="A64" s="8"/>
      <c r="B64" s="8"/>
      <c r="C64" s="9"/>
      <c r="D64" s="12" t="s">
        <v>60</v>
      </c>
      <c r="E64" s="16"/>
      <c r="F64" s="16"/>
      <c r="G64" s="16"/>
      <c r="H64" s="16"/>
      <c r="I64" s="13">
        <f t="shared" si="0"/>
        <v>0</v>
      </c>
    </row>
    <row r="65" spans="1:9" ht="15.75" x14ac:dyDescent="0.25">
      <c r="A65" s="8"/>
      <c r="B65" s="8"/>
      <c r="C65" s="9"/>
      <c r="D65" s="12" t="s">
        <v>61</v>
      </c>
      <c r="E65" s="16"/>
      <c r="F65" s="16"/>
      <c r="G65" s="16"/>
      <c r="H65" s="16"/>
      <c r="I65" s="13">
        <f t="shared" si="0"/>
        <v>0</v>
      </c>
    </row>
    <row r="66" spans="1:9" ht="15.75" x14ac:dyDescent="0.25">
      <c r="A66" s="8"/>
      <c r="B66" s="8"/>
      <c r="C66" s="9"/>
      <c r="D66" s="12" t="s">
        <v>62</v>
      </c>
      <c r="E66" s="16"/>
      <c r="F66" s="16"/>
      <c r="G66" s="16"/>
      <c r="H66" s="16"/>
      <c r="I66" s="13">
        <f t="shared" si="0"/>
        <v>0</v>
      </c>
    </row>
    <row r="67" spans="1:9" ht="15.75" x14ac:dyDescent="0.25">
      <c r="A67" s="8"/>
      <c r="B67" s="8"/>
      <c r="C67" s="9"/>
      <c r="D67" s="12" t="s">
        <v>63</v>
      </c>
      <c r="E67" s="16"/>
      <c r="F67" s="16"/>
      <c r="G67" s="16"/>
      <c r="H67" s="16"/>
      <c r="I67" s="13">
        <f t="shared" si="0"/>
        <v>0</v>
      </c>
    </row>
    <row r="68" spans="1:9" ht="15.75" x14ac:dyDescent="0.25">
      <c r="A68" s="8"/>
      <c r="B68" s="8"/>
      <c r="C68" s="9"/>
      <c r="D68" s="12" t="s">
        <v>64</v>
      </c>
      <c r="E68" s="16"/>
      <c r="F68" s="16"/>
      <c r="G68" s="16"/>
      <c r="H68" s="16"/>
      <c r="I68" s="13">
        <f t="shared" si="0"/>
        <v>0</v>
      </c>
    </row>
    <row r="69" spans="1:9" ht="15.75" x14ac:dyDescent="0.25">
      <c r="A69" s="8"/>
      <c r="B69" s="8"/>
      <c r="C69" s="9"/>
      <c r="D69" s="12" t="s">
        <v>65</v>
      </c>
      <c r="E69" s="16"/>
      <c r="F69" s="16"/>
      <c r="G69" s="16"/>
      <c r="H69" s="16"/>
      <c r="I69" s="13">
        <f t="shared" si="0"/>
        <v>0</v>
      </c>
    </row>
    <row r="70" spans="1:9" ht="15.75" x14ac:dyDescent="0.25">
      <c r="A70" s="8"/>
      <c r="B70" s="8"/>
      <c r="C70" s="9"/>
      <c r="D70" s="12" t="s">
        <v>66</v>
      </c>
      <c r="E70" s="16"/>
      <c r="F70" s="16"/>
      <c r="G70" s="16"/>
      <c r="H70" s="16"/>
      <c r="I70" s="13">
        <f t="shared" si="0"/>
        <v>0</v>
      </c>
    </row>
    <row r="71" spans="1:9" ht="15.75" x14ac:dyDescent="0.25">
      <c r="A71" s="8"/>
      <c r="B71" s="8"/>
      <c r="C71" s="9"/>
      <c r="D71" s="12" t="s">
        <v>67</v>
      </c>
      <c r="E71" s="16"/>
      <c r="F71" s="16"/>
      <c r="G71" s="16"/>
      <c r="H71" s="16"/>
      <c r="I71" s="13">
        <f t="shared" si="0"/>
        <v>0</v>
      </c>
    </row>
    <row r="72" spans="1:9" ht="15.75" x14ac:dyDescent="0.25">
      <c r="A72" s="8"/>
      <c r="B72" s="8"/>
      <c r="C72" s="9"/>
      <c r="D72" s="12" t="s">
        <v>68</v>
      </c>
      <c r="E72" s="16"/>
      <c r="F72" s="16"/>
      <c r="G72" s="16"/>
      <c r="H72" s="16"/>
      <c r="I72" s="13">
        <f t="shared" si="0"/>
        <v>0</v>
      </c>
    </row>
    <row r="73" spans="1:9" ht="15.75" x14ac:dyDescent="0.25">
      <c r="A73" s="8"/>
      <c r="B73" s="8"/>
      <c r="C73" s="9"/>
      <c r="D73" s="12" t="s">
        <v>69</v>
      </c>
      <c r="E73" s="16"/>
      <c r="F73" s="16"/>
      <c r="G73" s="16"/>
      <c r="H73" s="16"/>
      <c r="I73" s="13">
        <f t="shared" si="0"/>
        <v>0</v>
      </c>
    </row>
    <row r="74" spans="1:9" ht="15.75" x14ac:dyDescent="0.25">
      <c r="A74" s="8"/>
      <c r="B74" s="8"/>
      <c r="C74" s="9"/>
      <c r="D74" s="12" t="s">
        <v>70</v>
      </c>
      <c r="E74" s="16"/>
      <c r="F74" s="16"/>
      <c r="G74" s="16"/>
      <c r="H74" s="16"/>
      <c r="I74" s="13">
        <f t="shared" ref="I74:I137" si="1">SUM(E74:H74)</f>
        <v>0</v>
      </c>
    </row>
    <row r="75" spans="1:9" ht="15.75" x14ac:dyDescent="0.25">
      <c r="A75" s="8"/>
      <c r="B75" s="8"/>
      <c r="C75" s="9"/>
      <c r="D75" s="12" t="s">
        <v>71</v>
      </c>
      <c r="E75" s="16"/>
      <c r="F75" s="16"/>
      <c r="G75" s="16"/>
      <c r="H75" s="16"/>
      <c r="I75" s="13">
        <f t="shared" si="1"/>
        <v>0</v>
      </c>
    </row>
    <row r="76" spans="1:9" ht="15.75" x14ac:dyDescent="0.25">
      <c r="A76" s="8"/>
      <c r="B76" s="8"/>
      <c r="C76" s="9"/>
      <c r="D76" s="12" t="s">
        <v>72</v>
      </c>
      <c r="E76" s="16"/>
      <c r="F76" s="16"/>
      <c r="G76" s="16"/>
      <c r="H76" s="16"/>
      <c r="I76" s="13">
        <f t="shared" si="1"/>
        <v>0</v>
      </c>
    </row>
    <row r="77" spans="1:9" ht="15.75" x14ac:dyDescent="0.25">
      <c r="A77" s="8"/>
      <c r="B77" s="8"/>
      <c r="C77" s="9"/>
      <c r="D77" s="12" t="s">
        <v>73</v>
      </c>
      <c r="E77" s="16"/>
      <c r="F77" s="16"/>
      <c r="G77" s="16"/>
      <c r="H77" s="16"/>
      <c r="I77" s="13">
        <f t="shared" si="1"/>
        <v>0</v>
      </c>
    </row>
    <row r="78" spans="1:9" ht="15.75" x14ac:dyDescent="0.25">
      <c r="A78" s="8"/>
      <c r="B78" s="8"/>
      <c r="C78" s="9"/>
      <c r="D78" s="12" t="s">
        <v>74</v>
      </c>
      <c r="E78" s="16"/>
      <c r="F78" s="16"/>
      <c r="G78" s="16"/>
      <c r="H78" s="16"/>
      <c r="I78" s="13">
        <f t="shared" si="1"/>
        <v>0</v>
      </c>
    </row>
    <row r="79" spans="1:9" ht="15.75" x14ac:dyDescent="0.25">
      <c r="A79" s="8"/>
      <c r="B79" s="8"/>
      <c r="C79" s="9"/>
      <c r="D79" s="12" t="s">
        <v>75</v>
      </c>
      <c r="E79" s="16"/>
      <c r="F79" s="16"/>
      <c r="G79" s="16"/>
      <c r="H79" s="16"/>
      <c r="I79" s="13">
        <f t="shared" si="1"/>
        <v>0</v>
      </c>
    </row>
    <row r="80" spans="1:9" ht="15.75" x14ac:dyDescent="0.25">
      <c r="A80" s="8"/>
      <c r="B80" s="8"/>
      <c r="C80" s="9"/>
      <c r="D80" s="12" t="s">
        <v>76</v>
      </c>
      <c r="E80" s="16"/>
      <c r="F80" s="16"/>
      <c r="G80" s="16"/>
      <c r="H80" s="16"/>
      <c r="I80" s="13">
        <f t="shared" si="1"/>
        <v>0</v>
      </c>
    </row>
    <row r="81" spans="1:9" ht="15.75" x14ac:dyDescent="0.25">
      <c r="A81" s="8"/>
      <c r="B81" s="8"/>
      <c r="C81" s="9"/>
      <c r="D81" s="12" t="s">
        <v>77</v>
      </c>
      <c r="E81" s="16"/>
      <c r="F81" s="16"/>
      <c r="G81" s="16"/>
      <c r="H81" s="16"/>
      <c r="I81" s="13">
        <f t="shared" si="1"/>
        <v>0</v>
      </c>
    </row>
    <row r="82" spans="1:9" ht="15.75" x14ac:dyDescent="0.25">
      <c r="A82" s="8"/>
      <c r="B82" s="8"/>
      <c r="C82" s="9"/>
      <c r="D82" s="12" t="s">
        <v>78</v>
      </c>
      <c r="E82" s="16"/>
      <c r="F82" s="16"/>
      <c r="G82" s="16"/>
      <c r="H82" s="16"/>
      <c r="I82" s="13">
        <f t="shared" si="1"/>
        <v>0</v>
      </c>
    </row>
    <row r="83" spans="1:9" ht="15.75" x14ac:dyDescent="0.25">
      <c r="A83" s="8"/>
      <c r="B83" s="8"/>
      <c r="C83" s="9"/>
      <c r="D83" s="12" t="s">
        <v>79</v>
      </c>
      <c r="E83" s="16"/>
      <c r="F83" s="16"/>
      <c r="G83" s="16"/>
      <c r="H83" s="16"/>
      <c r="I83" s="13">
        <f t="shared" si="1"/>
        <v>0</v>
      </c>
    </row>
    <row r="84" spans="1:9" ht="15.75" x14ac:dyDescent="0.25">
      <c r="A84" s="8"/>
      <c r="B84" s="8"/>
      <c r="C84" s="9"/>
      <c r="D84" s="12" t="s">
        <v>80</v>
      </c>
      <c r="E84" s="16"/>
      <c r="F84" s="16"/>
      <c r="G84" s="16"/>
      <c r="H84" s="16"/>
      <c r="I84" s="13">
        <f t="shared" si="1"/>
        <v>0</v>
      </c>
    </row>
    <row r="85" spans="1:9" ht="15.75" x14ac:dyDescent="0.25">
      <c r="A85" s="8"/>
      <c r="B85" s="8"/>
      <c r="C85" s="9"/>
      <c r="D85" s="12" t="s">
        <v>81</v>
      </c>
      <c r="E85" s="16"/>
      <c r="F85" s="16"/>
      <c r="G85" s="16"/>
      <c r="H85" s="16"/>
      <c r="I85" s="13">
        <f t="shared" si="1"/>
        <v>0</v>
      </c>
    </row>
    <row r="86" spans="1:9" ht="15.75" x14ac:dyDescent="0.25">
      <c r="A86" s="8"/>
      <c r="B86" s="8"/>
      <c r="C86" s="9"/>
      <c r="D86" s="12" t="s">
        <v>82</v>
      </c>
      <c r="E86" s="16"/>
      <c r="F86" s="16"/>
      <c r="G86" s="16"/>
      <c r="H86" s="16"/>
      <c r="I86" s="13">
        <f t="shared" si="1"/>
        <v>0</v>
      </c>
    </row>
    <row r="87" spans="1:9" ht="15.75" x14ac:dyDescent="0.25">
      <c r="A87" s="8"/>
      <c r="B87" s="8"/>
      <c r="C87" s="9"/>
      <c r="D87" s="12" t="s">
        <v>83</v>
      </c>
      <c r="E87" s="16"/>
      <c r="F87" s="16"/>
      <c r="G87" s="16"/>
      <c r="H87" s="16"/>
      <c r="I87" s="13">
        <f t="shared" si="1"/>
        <v>0</v>
      </c>
    </row>
    <row r="88" spans="1:9" ht="15.75" x14ac:dyDescent="0.25">
      <c r="A88" s="8"/>
      <c r="B88" s="8"/>
      <c r="C88" s="9"/>
      <c r="D88" s="12" t="s">
        <v>84</v>
      </c>
      <c r="E88" s="16"/>
      <c r="F88" s="16"/>
      <c r="G88" s="16"/>
      <c r="H88" s="16"/>
      <c r="I88" s="13">
        <f t="shared" si="1"/>
        <v>0</v>
      </c>
    </row>
    <row r="89" spans="1:9" ht="15.75" x14ac:dyDescent="0.25">
      <c r="A89" s="8"/>
      <c r="B89" s="8"/>
      <c r="C89" s="9"/>
      <c r="D89" s="12" t="s">
        <v>85</v>
      </c>
      <c r="E89" s="16"/>
      <c r="F89" s="16"/>
      <c r="G89" s="16"/>
      <c r="H89" s="16"/>
      <c r="I89" s="13">
        <f t="shared" si="1"/>
        <v>0</v>
      </c>
    </row>
    <row r="90" spans="1:9" ht="15.75" x14ac:dyDescent="0.25">
      <c r="A90" s="8"/>
      <c r="B90" s="8"/>
      <c r="C90" s="9"/>
      <c r="D90" s="12" t="s">
        <v>86</v>
      </c>
      <c r="E90" s="16"/>
      <c r="F90" s="16"/>
      <c r="G90" s="16"/>
      <c r="H90" s="16"/>
      <c r="I90" s="13">
        <f t="shared" si="1"/>
        <v>0</v>
      </c>
    </row>
    <row r="91" spans="1:9" ht="15.75" x14ac:dyDescent="0.25">
      <c r="A91" s="8"/>
      <c r="B91" s="8"/>
      <c r="C91" s="9"/>
      <c r="D91" s="12" t="s">
        <v>87</v>
      </c>
      <c r="E91" s="16"/>
      <c r="F91" s="16"/>
      <c r="G91" s="16"/>
      <c r="H91" s="16"/>
      <c r="I91" s="13">
        <f t="shared" si="1"/>
        <v>0</v>
      </c>
    </row>
    <row r="92" spans="1:9" ht="15.75" x14ac:dyDescent="0.25">
      <c r="A92" s="8"/>
      <c r="B92" s="8"/>
      <c r="C92" s="9"/>
      <c r="D92" s="12" t="s">
        <v>88</v>
      </c>
      <c r="E92" s="16"/>
      <c r="F92" s="16"/>
      <c r="G92" s="16"/>
      <c r="H92" s="16"/>
      <c r="I92" s="13">
        <f t="shared" si="1"/>
        <v>0</v>
      </c>
    </row>
    <row r="93" spans="1:9" ht="15.75" x14ac:dyDescent="0.25">
      <c r="A93" s="8"/>
      <c r="B93" s="8"/>
      <c r="C93" s="9"/>
      <c r="D93" s="12" t="s">
        <v>89</v>
      </c>
      <c r="E93" s="16"/>
      <c r="F93" s="16"/>
      <c r="G93" s="16"/>
      <c r="H93" s="16"/>
      <c r="I93" s="13">
        <f t="shared" si="1"/>
        <v>0</v>
      </c>
    </row>
    <row r="94" spans="1:9" ht="15.75" x14ac:dyDescent="0.25">
      <c r="A94" s="8"/>
      <c r="B94" s="8"/>
      <c r="C94" s="9"/>
      <c r="D94" s="12" t="s">
        <v>90</v>
      </c>
      <c r="E94" s="16"/>
      <c r="F94" s="16"/>
      <c r="G94" s="16"/>
      <c r="H94" s="16"/>
      <c r="I94" s="13">
        <f t="shared" si="1"/>
        <v>0</v>
      </c>
    </row>
    <row r="95" spans="1:9" ht="15.75" x14ac:dyDescent="0.25">
      <c r="A95" s="8"/>
      <c r="B95" s="8"/>
      <c r="C95" s="9"/>
      <c r="D95" s="12" t="s">
        <v>91</v>
      </c>
      <c r="E95" s="16"/>
      <c r="F95" s="16"/>
      <c r="G95" s="16"/>
      <c r="H95" s="16"/>
      <c r="I95" s="13">
        <f t="shared" si="1"/>
        <v>0</v>
      </c>
    </row>
    <row r="96" spans="1:9" ht="15.75" x14ac:dyDescent="0.25">
      <c r="A96" s="8"/>
      <c r="B96" s="8"/>
      <c r="C96" s="9"/>
      <c r="D96" s="12" t="s">
        <v>92</v>
      </c>
      <c r="E96" s="16"/>
      <c r="F96" s="16"/>
      <c r="G96" s="16"/>
      <c r="H96" s="16"/>
      <c r="I96" s="13">
        <f t="shared" si="1"/>
        <v>0</v>
      </c>
    </row>
    <row r="97" spans="1:9" ht="15.75" x14ac:dyDescent="0.25">
      <c r="A97" s="8"/>
      <c r="B97" s="8"/>
      <c r="C97" s="9"/>
      <c r="D97" s="12" t="s">
        <v>93</v>
      </c>
      <c r="E97" s="16"/>
      <c r="F97" s="16"/>
      <c r="G97" s="16"/>
      <c r="H97" s="16"/>
      <c r="I97" s="13">
        <f t="shared" si="1"/>
        <v>0</v>
      </c>
    </row>
    <row r="98" spans="1:9" ht="15.75" x14ac:dyDescent="0.25">
      <c r="A98" s="8"/>
      <c r="B98" s="8"/>
      <c r="C98" s="9"/>
      <c r="D98" s="12" t="s">
        <v>94</v>
      </c>
      <c r="E98" s="16"/>
      <c r="F98" s="16"/>
      <c r="G98" s="16"/>
      <c r="H98" s="16"/>
      <c r="I98" s="13">
        <f t="shared" si="1"/>
        <v>0</v>
      </c>
    </row>
    <row r="99" spans="1:9" ht="15.75" x14ac:dyDescent="0.25">
      <c r="A99" s="8"/>
      <c r="B99" s="8"/>
      <c r="C99" s="9"/>
      <c r="D99" s="12" t="s">
        <v>95</v>
      </c>
      <c r="E99" s="16"/>
      <c r="F99" s="16"/>
      <c r="G99" s="16"/>
      <c r="H99" s="16"/>
      <c r="I99" s="13">
        <f t="shared" si="1"/>
        <v>0</v>
      </c>
    </row>
    <row r="100" spans="1:9" ht="15.75" x14ac:dyDescent="0.25">
      <c r="A100" s="8"/>
      <c r="B100" s="8"/>
      <c r="C100" s="9"/>
      <c r="D100" s="12" t="s">
        <v>96</v>
      </c>
      <c r="E100" s="16"/>
      <c r="F100" s="16"/>
      <c r="G100" s="16"/>
      <c r="H100" s="16"/>
      <c r="I100" s="13">
        <f t="shared" si="1"/>
        <v>0</v>
      </c>
    </row>
    <row r="101" spans="1:9" ht="15.75" x14ac:dyDescent="0.25">
      <c r="A101" s="8"/>
      <c r="B101" s="8"/>
      <c r="C101" s="9"/>
      <c r="D101" s="12" t="s">
        <v>97</v>
      </c>
      <c r="E101" s="16"/>
      <c r="F101" s="16"/>
      <c r="G101" s="16"/>
      <c r="H101" s="16"/>
      <c r="I101" s="13">
        <f t="shared" si="1"/>
        <v>0</v>
      </c>
    </row>
    <row r="102" spans="1:9" ht="15.75" x14ac:dyDescent="0.25">
      <c r="A102" s="8"/>
      <c r="B102" s="8"/>
      <c r="C102" s="9"/>
      <c r="D102" s="12" t="s">
        <v>98</v>
      </c>
      <c r="E102" s="16"/>
      <c r="F102" s="16"/>
      <c r="G102" s="16"/>
      <c r="H102" s="16"/>
      <c r="I102" s="13">
        <f t="shared" si="1"/>
        <v>0</v>
      </c>
    </row>
    <row r="103" spans="1:9" ht="15.75" x14ac:dyDescent="0.25">
      <c r="A103" s="8"/>
      <c r="B103" s="8"/>
      <c r="C103" s="9"/>
      <c r="D103" s="12" t="s">
        <v>99</v>
      </c>
      <c r="E103" s="16"/>
      <c r="F103" s="16"/>
      <c r="G103" s="16"/>
      <c r="H103" s="16"/>
      <c r="I103" s="13">
        <f t="shared" si="1"/>
        <v>0</v>
      </c>
    </row>
    <row r="104" spans="1:9" ht="15.75" x14ac:dyDescent="0.25">
      <c r="A104" s="8"/>
      <c r="B104" s="8"/>
      <c r="C104" s="9"/>
      <c r="D104" s="12" t="s">
        <v>100</v>
      </c>
      <c r="E104" s="16"/>
      <c r="F104" s="16"/>
      <c r="G104" s="16"/>
      <c r="H104" s="16"/>
      <c r="I104" s="13">
        <f t="shared" si="1"/>
        <v>0</v>
      </c>
    </row>
    <row r="105" spans="1:9" ht="15.75" x14ac:dyDescent="0.25">
      <c r="A105" s="8"/>
      <c r="B105" s="8"/>
      <c r="C105" s="9"/>
      <c r="D105" s="12" t="s">
        <v>101</v>
      </c>
      <c r="E105" s="16"/>
      <c r="F105" s="16"/>
      <c r="G105" s="16"/>
      <c r="H105" s="16"/>
      <c r="I105" s="13">
        <f t="shared" si="1"/>
        <v>0</v>
      </c>
    </row>
    <row r="106" spans="1:9" ht="15.75" x14ac:dyDescent="0.25">
      <c r="A106" s="8"/>
      <c r="B106" s="8"/>
      <c r="C106" s="9"/>
      <c r="D106" s="12" t="s">
        <v>102</v>
      </c>
      <c r="E106" s="16"/>
      <c r="F106" s="16"/>
      <c r="G106" s="16"/>
      <c r="H106" s="16"/>
      <c r="I106" s="13">
        <f t="shared" si="1"/>
        <v>0</v>
      </c>
    </row>
    <row r="107" spans="1:9" ht="15.75" x14ac:dyDescent="0.25">
      <c r="A107" s="8"/>
      <c r="B107" s="8"/>
      <c r="C107" s="9"/>
      <c r="D107" s="12" t="s">
        <v>103</v>
      </c>
      <c r="E107" s="16"/>
      <c r="F107" s="16"/>
      <c r="G107" s="16"/>
      <c r="H107" s="16"/>
      <c r="I107" s="13">
        <f t="shared" si="1"/>
        <v>0</v>
      </c>
    </row>
    <row r="108" spans="1:9" ht="15.75" x14ac:dyDescent="0.25">
      <c r="A108" s="8"/>
      <c r="B108" s="8"/>
      <c r="C108" s="9"/>
      <c r="D108" s="12" t="s">
        <v>104</v>
      </c>
      <c r="E108" s="16"/>
      <c r="F108" s="16"/>
      <c r="G108" s="16"/>
      <c r="H108" s="16"/>
      <c r="I108" s="13">
        <f t="shared" si="1"/>
        <v>0</v>
      </c>
    </row>
    <row r="109" spans="1:9" ht="15.75" x14ac:dyDescent="0.25">
      <c r="A109" s="8"/>
      <c r="B109" s="8"/>
      <c r="C109" s="9"/>
      <c r="D109" s="12" t="s">
        <v>105</v>
      </c>
      <c r="E109" s="16"/>
      <c r="F109" s="16"/>
      <c r="G109" s="16"/>
      <c r="H109" s="16"/>
      <c r="I109" s="13">
        <f t="shared" si="1"/>
        <v>0</v>
      </c>
    </row>
    <row r="110" spans="1:9" ht="15.75" x14ac:dyDescent="0.25">
      <c r="A110" s="8"/>
      <c r="B110" s="8"/>
      <c r="C110" s="9"/>
      <c r="D110" s="12" t="s">
        <v>106</v>
      </c>
      <c r="E110" s="16"/>
      <c r="F110" s="16"/>
      <c r="G110" s="16"/>
      <c r="H110" s="16"/>
      <c r="I110" s="13">
        <f t="shared" si="1"/>
        <v>0</v>
      </c>
    </row>
    <row r="111" spans="1:9" ht="15.75" x14ac:dyDescent="0.25">
      <c r="A111" s="8"/>
      <c r="B111" s="8"/>
      <c r="C111" s="9"/>
      <c r="D111" s="12" t="s">
        <v>107</v>
      </c>
      <c r="E111" s="16"/>
      <c r="F111" s="16"/>
      <c r="G111" s="16"/>
      <c r="H111" s="16"/>
      <c r="I111" s="13">
        <f t="shared" si="1"/>
        <v>0</v>
      </c>
    </row>
    <row r="112" spans="1:9" ht="15.75" x14ac:dyDescent="0.25">
      <c r="A112" s="8"/>
      <c r="B112" s="8"/>
      <c r="C112" s="9"/>
      <c r="D112" s="12" t="s">
        <v>108</v>
      </c>
      <c r="E112" s="16"/>
      <c r="F112" s="16"/>
      <c r="G112" s="16"/>
      <c r="H112" s="16"/>
      <c r="I112" s="13">
        <f t="shared" si="1"/>
        <v>0</v>
      </c>
    </row>
    <row r="113" spans="1:9" ht="15.75" x14ac:dyDescent="0.25">
      <c r="A113" s="8"/>
      <c r="B113" s="8"/>
      <c r="C113" s="9"/>
      <c r="D113" s="12" t="s">
        <v>109</v>
      </c>
      <c r="E113" s="16"/>
      <c r="F113" s="16"/>
      <c r="G113" s="16"/>
      <c r="H113" s="16"/>
      <c r="I113" s="13">
        <f t="shared" si="1"/>
        <v>0</v>
      </c>
    </row>
    <row r="114" spans="1:9" ht="15.75" x14ac:dyDescent="0.25">
      <c r="A114" s="8"/>
      <c r="B114" s="8"/>
      <c r="C114" s="9"/>
      <c r="D114" s="12" t="s">
        <v>110</v>
      </c>
      <c r="E114" s="16"/>
      <c r="F114" s="16"/>
      <c r="G114" s="16"/>
      <c r="H114" s="16"/>
      <c r="I114" s="13">
        <f t="shared" si="1"/>
        <v>0</v>
      </c>
    </row>
    <row r="115" spans="1:9" ht="15.75" x14ac:dyDescent="0.25">
      <c r="A115" s="8"/>
      <c r="B115" s="8"/>
      <c r="C115" s="9"/>
      <c r="D115" s="12" t="s">
        <v>111</v>
      </c>
      <c r="E115" s="16"/>
      <c r="F115" s="16"/>
      <c r="G115" s="16"/>
      <c r="H115" s="16"/>
      <c r="I115" s="13">
        <f t="shared" si="1"/>
        <v>0</v>
      </c>
    </row>
    <row r="116" spans="1:9" ht="15.75" x14ac:dyDescent="0.25">
      <c r="A116" s="8"/>
      <c r="B116" s="8"/>
      <c r="C116" s="9"/>
      <c r="D116" s="12" t="s">
        <v>112</v>
      </c>
      <c r="E116" s="16"/>
      <c r="F116" s="16"/>
      <c r="G116" s="16"/>
      <c r="H116" s="16"/>
      <c r="I116" s="13">
        <f t="shared" si="1"/>
        <v>0</v>
      </c>
    </row>
    <row r="117" spans="1:9" ht="15.75" x14ac:dyDescent="0.25">
      <c r="A117" s="8"/>
      <c r="B117" s="8"/>
      <c r="C117" s="9"/>
      <c r="D117" s="12" t="s">
        <v>113</v>
      </c>
      <c r="E117" s="16"/>
      <c r="F117" s="16"/>
      <c r="G117" s="16"/>
      <c r="H117" s="16"/>
      <c r="I117" s="13">
        <f t="shared" si="1"/>
        <v>0</v>
      </c>
    </row>
    <row r="118" spans="1:9" ht="15.75" x14ac:dyDescent="0.25">
      <c r="A118" s="8"/>
      <c r="B118" s="8"/>
      <c r="C118" s="9"/>
      <c r="D118" s="12" t="s">
        <v>114</v>
      </c>
      <c r="E118" s="16"/>
      <c r="F118" s="16"/>
      <c r="G118" s="16"/>
      <c r="H118" s="16"/>
      <c r="I118" s="13">
        <f t="shared" si="1"/>
        <v>0</v>
      </c>
    </row>
    <row r="119" spans="1:9" ht="15.75" x14ac:dyDescent="0.25">
      <c r="A119" s="8"/>
      <c r="B119" s="8"/>
      <c r="C119" s="9"/>
      <c r="D119" s="12" t="s">
        <v>115</v>
      </c>
      <c r="E119" s="16"/>
      <c r="F119" s="16"/>
      <c r="G119" s="16"/>
      <c r="H119" s="16"/>
      <c r="I119" s="13">
        <f t="shared" si="1"/>
        <v>0</v>
      </c>
    </row>
    <row r="120" spans="1:9" ht="15.75" x14ac:dyDescent="0.25">
      <c r="A120" s="8"/>
      <c r="B120" s="8"/>
      <c r="C120" s="9"/>
      <c r="D120" s="12" t="s">
        <v>116</v>
      </c>
      <c r="E120" s="16"/>
      <c r="F120" s="16"/>
      <c r="G120" s="16"/>
      <c r="H120" s="16"/>
      <c r="I120" s="13">
        <f t="shared" si="1"/>
        <v>0</v>
      </c>
    </row>
    <row r="121" spans="1:9" ht="15.75" x14ac:dyDescent="0.25">
      <c r="A121" s="8"/>
      <c r="B121" s="8"/>
      <c r="C121" s="9"/>
      <c r="D121" s="12" t="s">
        <v>117</v>
      </c>
      <c r="E121" s="16"/>
      <c r="F121" s="16"/>
      <c r="G121" s="16"/>
      <c r="H121" s="16"/>
      <c r="I121" s="13">
        <f t="shared" si="1"/>
        <v>0</v>
      </c>
    </row>
    <row r="122" spans="1:9" ht="15.75" x14ac:dyDescent="0.25">
      <c r="A122" s="8"/>
      <c r="B122" s="8"/>
      <c r="C122" s="9"/>
      <c r="D122" s="12" t="s">
        <v>118</v>
      </c>
      <c r="E122" s="16"/>
      <c r="F122" s="16"/>
      <c r="G122" s="16"/>
      <c r="H122" s="16"/>
      <c r="I122" s="13">
        <f t="shared" si="1"/>
        <v>0</v>
      </c>
    </row>
    <row r="123" spans="1:9" ht="15.75" x14ac:dyDescent="0.25">
      <c r="A123" s="8"/>
      <c r="B123" s="8"/>
      <c r="C123" s="9"/>
      <c r="D123" s="12" t="s">
        <v>119</v>
      </c>
      <c r="E123" s="16"/>
      <c r="F123" s="16"/>
      <c r="G123" s="16"/>
      <c r="H123" s="16"/>
      <c r="I123" s="13">
        <f t="shared" si="1"/>
        <v>0</v>
      </c>
    </row>
    <row r="124" spans="1:9" ht="15.75" x14ac:dyDescent="0.25">
      <c r="A124" s="8"/>
      <c r="B124" s="8"/>
      <c r="C124" s="9"/>
      <c r="D124" s="12" t="s">
        <v>120</v>
      </c>
      <c r="E124" s="16"/>
      <c r="F124" s="16"/>
      <c r="G124" s="16"/>
      <c r="H124" s="16"/>
      <c r="I124" s="13">
        <f t="shared" si="1"/>
        <v>0</v>
      </c>
    </row>
    <row r="125" spans="1:9" ht="15.75" x14ac:dyDescent="0.25">
      <c r="A125" s="8"/>
      <c r="B125" s="8"/>
      <c r="C125" s="9"/>
      <c r="D125" s="12" t="s">
        <v>121</v>
      </c>
      <c r="E125" s="16"/>
      <c r="F125" s="16"/>
      <c r="G125" s="16"/>
      <c r="H125" s="16"/>
      <c r="I125" s="13">
        <f t="shared" si="1"/>
        <v>0</v>
      </c>
    </row>
    <row r="126" spans="1:9" ht="15.75" x14ac:dyDescent="0.25">
      <c r="A126" s="8"/>
      <c r="B126" s="8"/>
      <c r="C126" s="9"/>
      <c r="D126" s="12" t="s">
        <v>122</v>
      </c>
      <c r="E126" s="16"/>
      <c r="F126" s="16"/>
      <c r="G126" s="16"/>
      <c r="H126" s="16"/>
      <c r="I126" s="13">
        <f t="shared" si="1"/>
        <v>0</v>
      </c>
    </row>
    <row r="127" spans="1:9" ht="15.75" x14ac:dyDescent="0.25">
      <c r="A127" s="8"/>
      <c r="B127" s="8"/>
      <c r="C127" s="9"/>
      <c r="D127" s="12" t="s">
        <v>123</v>
      </c>
      <c r="E127" s="16"/>
      <c r="F127" s="16"/>
      <c r="G127" s="16"/>
      <c r="H127" s="16"/>
      <c r="I127" s="13">
        <f t="shared" si="1"/>
        <v>0</v>
      </c>
    </row>
    <row r="128" spans="1:9" ht="15.75" x14ac:dyDescent="0.25">
      <c r="A128" s="8"/>
      <c r="B128" s="8"/>
      <c r="C128" s="9"/>
      <c r="D128" s="12" t="s">
        <v>124</v>
      </c>
      <c r="E128" s="16"/>
      <c r="F128" s="16"/>
      <c r="G128" s="16"/>
      <c r="H128" s="16"/>
      <c r="I128" s="13">
        <f t="shared" si="1"/>
        <v>0</v>
      </c>
    </row>
    <row r="129" spans="1:9" ht="15.75" x14ac:dyDescent="0.25">
      <c r="A129" s="8"/>
      <c r="B129" s="8"/>
      <c r="C129" s="9"/>
      <c r="D129" s="12" t="s">
        <v>125</v>
      </c>
      <c r="E129" s="16"/>
      <c r="F129" s="16"/>
      <c r="G129" s="16"/>
      <c r="H129" s="16"/>
      <c r="I129" s="13">
        <f t="shared" si="1"/>
        <v>0</v>
      </c>
    </row>
    <row r="130" spans="1:9" ht="15.75" x14ac:dyDescent="0.25">
      <c r="A130" s="8"/>
      <c r="B130" s="8"/>
      <c r="C130" s="9"/>
      <c r="D130" s="12" t="s">
        <v>126</v>
      </c>
      <c r="E130" s="16"/>
      <c r="F130" s="16"/>
      <c r="G130" s="16"/>
      <c r="H130" s="16"/>
      <c r="I130" s="13">
        <f t="shared" si="1"/>
        <v>0</v>
      </c>
    </row>
    <row r="131" spans="1:9" ht="15.75" x14ac:dyDescent="0.25">
      <c r="A131" s="8"/>
      <c r="B131" s="8"/>
      <c r="C131" s="9"/>
      <c r="D131" s="12" t="s">
        <v>127</v>
      </c>
      <c r="E131" s="16"/>
      <c r="F131" s="16"/>
      <c r="G131" s="16"/>
      <c r="H131" s="16"/>
      <c r="I131" s="13">
        <f t="shared" si="1"/>
        <v>0</v>
      </c>
    </row>
    <row r="132" spans="1:9" ht="15.75" x14ac:dyDescent="0.25">
      <c r="A132" s="8"/>
      <c r="B132" s="8"/>
      <c r="C132" s="9"/>
      <c r="D132" s="12" t="s">
        <v>128</v>
      </c>
      <c r="E132" s="16"/>
      <c r="F132" s="16"/>
      <c r="G132" s="16"/>
      <c r="H132" s="16"/>
      <c r="I132" s="13">
        <f t="shared" si="1"/>
        <v>0</v>
      </c>
    </row>
    <row r="133" spans="1:9" ht="15.75" x14ac:dyDescent="0.25">
      <c r="A133" s="8"/>
      <c r="B133" s="8"/>
      <c r="C133" s="9"/>
      <c r="D133" s="12" t="s">
        <v>129</v>
      </c>
      <c r="E133" s="16"/>
      <c r="F133" s="16"/>
      <c r="G133" s="16"/>
      <c r="H133" s="16"/>
      <c r="I133" s="13">
        <f t="shared" si="1"/>
        <v>0</v>
      </c>
    </row>
    <row r="134" spans="1:9" ht="15.75" x14ac:dyDescent="0.25">
      <c r="A134" s="8"/>
      <c r="B134" s="8"/>
      <c r="C134" s="9"/>
      <c r="D134" s="12" t="s">
        <v>130</v>
      </c>
      <c r="E134" s="16"/>
      <c r="F134" s="16"/>
      <c r="G134" s="16"/>
      <c r="H134" s="16"/>
      <c r="I134" s="13">
        <f t="shared" si="1"/>
        <v>0</v>
      </c>
    </row>
    <row r="135" spans="1:9" ht="15.75" x14ac:dyDescent="0.25">
      <c r="A135" s="8"/>
      <c r="B135" s="8"/>
      <c r="C135" s="9"/>
      <c r="D135" s="12" t="s">
        <v>131</v>
      </c>
      <c r="E135" s="16"/>
      <c r="F135" s="16"/>
      <c r="G135" s="16"/>
      <c r="H135" s="16"/>
      <c r="I135" s="13">
        <f t="shared" si="1"/>
        <v>0</v>
      </c>
    </row>
    <row r="136" spans="1:9" ht="15.75" x14ac:dyDescent="0.25">
      <c r="A136" s="8"/>
      <c r="B136" s="8"/>
      <c r="C136" s="9"/>
      <c r="D136" s="12" t="s">
        <v>132</v>
      </c>
      <c r="E136" s="16"/>
      <c r="F136" s="16"/>
      <c r="G136" s="16"/>
      <c r="H136" s="16"/>
      <c r="I136" s="13">
        <f t="shared" si="1"/>
        <v>0</v>
      </c>
    </row>
    <row r="137" spans="1:9" ht="15.75" x14ac:dyDescent="0.25">
      <c r="A137" s="8"/>
      <c r="B137" s="8"/>
      <c r="C137" s="9"/>
      <c r="D137" s="12" t="s">
        <v>133</v>
      </c>
      <c r="E137" s="16"/>
      <c r="F137" s="16"/>
      <c r="G137" s="16"/>
      <c r="H137" s="16"/>
      <c r="I137" s="13">
        <f t="shared" si="1"/>
        <v>0</v>
      </c>
    </row>
    <row r="138" spans="1:9" ht="15.75" x14ac:dyDescent="0.25">
      <c r="A138" s="8"/>
      <c r="B138" s="8"/>
      <c r="C138" s="9"/>
      <c r="D138" s="12" t="s">
        <v>134</v>
      </c>
      <c r="E138" s="16"/>
      <c r="F138" s="16"/>
      <c r="G138" s="16"/>
      <c r="H138" s="16"/>
      <c r="I138" s="13">
        <f t="shared" ref="I138:I144" si="2">SUM(E138:H138)</f>
        <v>0</v>
      </c>
    </row>
    <row r="139" spans="1:9" ht="15.75" x14ac:dyDescent="0.25">
      <c r="A139" s="8"/>
      <c r="B139" s="8"/>
      <c r="C139" s="9"/>
      <c r="D139" s="12" t="s">
        <v>135</v>
      </c>
      <c r="E139" s="16"/>
      <c r="F139" s="16"/>
      <c r="G139" s="16"/>
      <c r="H139" s="16"/>
      <c r="I139" s="13">
        <f t="shared" si="2"/>
        <v>0</v>
      </c>
    </row>
    <row r="140" spans="1:9" ht="15.75" x14ac:dyDescent="0.25">
      <c r="A140" s="8"/>
      <c r="B140" s="8"/>
      <c r="C140" s="9"/>
      <c r="D140" s="12" t="s">
        <v>136</v>
      </c>
      <c r="E140" s="16"/>
      <c r="F140" s="16"/>
      <c r="G140" s="16"/>
      <c r="H140" s="16"/>
      <c r="I140" s="13">
        <f t="shared" si="2"/>
        <v>0</v>
      </c>
    </row>
    <row r="141" spans="1:9" ht="15.75" x14ac:dyDescent="0.25">
      <c r="A141" s="8"/>
      <c r="B141" s="8"/>
      <c r="C141" s="9"/>
      <c r="D141" s="12" t="s">
        <v>137</v>
      </c>
      <c r="E141" s="16"/>
      <c r="F141" s="16"/>
      <c r="G141" s="16"/>
      <c r="H141" s="16"/>
      <c r="I141" s="13">
        <f t="shared" si="2"/>
        <v>0</v>
      </c>
    </row>
    <row r="142" spans="1:9" ht="15.75" x14ac:dyDescent="0.25">
      <c r="A142" s="8"/>
      <c r="B142" s="8"/>
      <c r="C142" s="9"/>
      <c r="D142" s="12" t="s">
        <v>138</v>
      </c>
      <c r="E142" s="16"/>
      <c r="F142" s="16"/>
      <c r="G142" s="16"/>
      <c r="H142" s="16"/>
      <c r="I142" s="13">
        <f t="shared" si="2"/>
        <v>0</v>
      </c>
    </row>
    <row r="143" spans="1:9" ht="15.75" x14ac:dyDescent="0.25">
      <c r="A143" s="8"/>
      <c r="B143" s="8"/>
      <c r="C143" s="9"/>
      <c r="D143" s="12" t="s">
        <v>139</v>
      </c>
      <c r="E143" s="16"/>
      <c r="F143" s="16"/>
      <c r="G143" s="16"/>
      <c r="H143" s="16"/>
      <c r="I143" s="13">
        <f t="shared" si="2"/>
        <v>0</v>
      </c>
    </row>
    <row r="144" spans="1:9" ht="15.75" x14ac:dyDescent="0.25">
      <c r="A144" s="8"/>
      <c r="B144" s="8"/>
      <c r="C144" s="9"/>
      <c r="D144" s="12" t="s">
        <v>140</v>
      </c>
      <c r="E144" s="16"/>
      <c r="F144" s="16"/>
      <c r="G144" s="16"/>
      <c r="H144" s="16"/>
      <c r="I144" s="13">
        <f t="shared" si="2"/>
        <v>0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0</v>
      </c>
      <c r="F145" s="22">
        <f>SUM(F10:F144)</f>
        <v>0</v>
      </c>
      <c r="G145" s="22">
        <f>SUM(G10:G144)</f>
        <v>0</v>
      </c>
      <c r="H145" s="22">
        <f>SUM(H10:H144)</f>
        <v>0</v>
      </c>
      <c r="I145" s="22">
        <f>SUM(I10:I144)</f>
        <v>0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44AEAC"/>
    <pageSetUpPr fitToPage="1"/>
  </sheetPr>
  <dimension ref="A1:I145"/>
  <sheetViews>
    <sheetView showGridLines="0" zoomScale="80" zoomScaleNormal="80" workbookViewId="0">
      <selection activeCell="E10" sqref="E10:H144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6" width="20.1640625" style="2" customWidth="1"/>
    <col min="7" max="7" width="21.6640625" style="2" customWidth="1"/>
    <col min="8" max="8" width="20.1640625" style="2" customWidth="1"/>
    <col min="9" max="9" width="21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148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/>
      <c r="F10" s="16"/>
      <c r="G10" s="16"/>
      <c r="H10" s="16"/>
      <c r="I10" s="13">
        <f t="shared" ref="I10:I73" si="0">SUM(E10:H10)</f>
        <v>0</v>
      </c>
    </row>
    <row r="11" spans="1:9" ht="15.75" x14ac:dyDescent="0.25">
      <c r="A11" s="8"/>
      <c r="B11" s="8"/>
      <c r="C11" s="9"/>
      <c r="D11" s="12" t="s">
        <v>7</v>
      </c>
      <c r="E11" s="16"/>
      <c r="F11" s="16"/>
      <c r="G11" s="16"/>
      <c r="H11" s="16"/>
      <c r="I11" s="13">
        <f t="shared" si="0"/>
        <v>0</v>
      </c>
    </row>
    <row r="12" spans="1:9" ht="15.75" x14ac:dyDescent="0.25">
      <c r="A12" s="8"/>
      <c r="B12" s="8"/>
      <c r="C12" s="9"/>
      <c r="D12" s="12" t="s">
        <v>8</v>
      </c>
      <c r="E12" s="16"/>
      <c r="F12" s="16"/>
      <c r="G12" s="16"/>
      <c r="H12" s="16"/>
      <c r="I12" s="13">
        <f t="shared" si="0"/>
        <v>0</v>
      </c>
    </row>
    <row r="13" spans="1:9" ht="15.75" x14ac:dyDescent="0.25">
      <c r="A13" s="8"/>
      <c r="B13" s="8"/>
      <c r="C13" s="9"/>
      <c r="D13" s="12" t="s">
        <v>9</v>
      </c>
      <c r="E13" s="16"/>
      <c r="F13" s="16"/>
      <c r="G13" s="16"/>
      <c r="H13" s="16"/>
      <c r="I13" s="13">
        <f t="shared" si="0"/>
        <v>0</v>
      </c>
    </row>
    <row r="14" spans="1:9" ht="15.75" x14ac:dyDescent="0.25">
      <c r="A14" s="8"/>
      <c r="B14" s="8"/>
      <c r="C14" s="9"/>
      <c r="D14" s="12" t="s">
        <v>10</v>
      </c>
      <c r="E14" s="16"/>
      <c r="F14" s="16"/>
      <c r="G14" s="16"/>
      <c r="H14" s="16"/>
      <c r="I14" s="13">
        <f t="shared" si="0"/>
        <v>0</v>
      </c>
    </row>
    <row r="15" spans="1:9" ht="15.75" x14ac:dyDescent="0.25">
      <c r="A15" s="8"/>
      <c r="B15" s="8"/>
      <c r="C15" s="9"/>
      <c r="D15" s="12" t="s">
        <v>11</v>
      </c>
      <c r="E15" s="16"/>
      <c r="F15" s="16"/>
      <c r="G15" s="16"/>
      <c r="H15" s="16"/>
      <c r="I15" s="13">
        <f t="shared" si="0"/>
        <v>0</v>
      </c>
    </row>
    <row r="16" spans="1:9" ht="15.75" x14ac:dyDescent="0.25">
      <c r="A16" s="8"/>
      <c r="B16" s="8"/>
      <c r="C16" s="9"/>
      <c r="D16" s="12" t="s">
        <v>12</v>
      </c>
      <c r="E16" s="16"/>
      <c r="F16" s="16"/>
      <c r="G16" s="16"/>
      <c r="H16" s="16"/>
      <c r="I16" s="13">
        <f t="shared" si="0"/>
        <v>0</v>
      </c>
    </row>
    <row r="17" spans="1:9" ht="15.75" x14ac:dyDescent="0.25">
      <c r="A17" s="8"/>
      <c r="B17" s="8"/>
      <c r="C17" s="9"/>
      <c r="D17" s="12" t="s">
        <v>13</v>
      </c>
      <c r="E17" s="16"/>
      <c r="F17" s="16"/>
      <c r="G17" s="16"/>
      <c r="H17" s="16"/>
      <c r="I17" s="13">
        <f t="shared" si="0"/>
        <v>0</v>
      </c>
    </row>
    <row r="18" spans="1:9" ht="15.75" x14ac:dyDescent="0.25">
      <c r="A18" s="8"/>
      <c r="B18" s="8"/>
      <c r="C18" s="9"/>
      <c r="D18" s="12" t="s">
        <v>14</v>
      </c>
      <c r="E18" s="16"/>
      <c r="F18" s="16"/>
      <c r="G18" s="16"/>
      <c r="H18" s="16"/>
      <c r="I18" s="13">
        <f t="shared" si="0"/>
        <v>0</v>
      </c>
    </row>
    <row r="19" spans="1:9" ht="15.75" x14ac:dyDescent="0.25">
      <c r="A19" s="8"/>
      <c r="B19" s="8"/>
      <c r="C19" s="9"/>
      <c r="D19" s="12" t="s">
        <v>15</v>
      </c>
      <c r="E19" s="16"/>
      <c r="F19" s="16"/>
      <c r="G19" s="16"/>
      <c r="H19" s="16"/>
      <c r="I19" s="13">
        <f t="shared" si="0"/>
        <v>0</v>
      </c>
    </row>
    <row r="20" spans="1:9" ht="15.75" x14ac:dyDescent="0.25">
      <c r="A20" s="8"/>
      <c r="B20" s="8"/>
      <c r="C20" s="9"/>
      <c r="D20" s="12" t="s">
        <v>16</v>
      </c>
      <c r="E20" s="16"/>
      <c r="F20" s="16"/>
      <c r="G20" s="16"/>
      <c r="H20" s="16"/>
      <c r="I20" s="13">
        <f t="shared" si="0"/>
        <v>0</v>
      </c>
    </row>
    <row r="21" spans="1:9" ht="15.75" x14ac:dyDescent="0.25">
      <c r="A21" s="8"/>
      <c r="B21" s="8"/>
      <c r="C21" s="9"/>
      <c r="D21" s="12" t="s">
        <v>17</v>
      </c>
      <c r="E21" s="16"/>
      <c r="F21" s="16"/>
      <c r="G21" s="16"/>
      <c r="H21" s="16"/>
      <c r="I21" s="13">
        <f t="shared" si="0"/>
        <v>0</v>
      </c>
    </row>
    <row r="22" spans="1:9" ht="15.75" x14ac:dyDescent="0.25">
      <c r="A22" s="8"/>
      <c r="B22" s="8"/>
      <c r="C22" s="9"/>
      <c r="D22" s="12" t="s">
        <v>18</v>
      </c>
      <c r="E22" s="16"/>
      <c r="F22" s="16"/>
      <c r="G22" s="16"/>
      <c r="H22" s="16"/>
      <c r="I22" s="13">
        <f t="shared" si="0"/>
        <v>0</v>
      </c>
    </row>
    <row r="23" spans="1:9" ht="15.75" x14ac:dyDescent="0.25">
      <c r="A23" s="8"/>
      <c r="B23" s="8"/>
      <c r="C23" s="9"/>
      <c r="D23" s="12" t="s">
        <v>19</v>
      </c>
      <c r="E23" s="16"/>
      <c r="F23" s="16"/>
      <c r="G23" s="16"/>
      <c r="H23" s="16"/>
      <c r="I23" s="13">
        <f t="shared" si="0"/>
        <v>0</v>
      </c>
    </row>
    <row r="24" spans="1:9" ht="15.75" x14ac:dyDescent="0.25">
      <c r="A24" s="8"/>
      <c r="B24" s="8"/>
      <c r="C24" s="9"/>
      <c r="D24" s="12" t="s">
        <v>20</v>
      </c>
      <c r="E24" s="16"/>
      <c r="F24" s="16"/>
      <c r="G24" s="16"/>
      <c r="H24" s="16"/>
      <c r="I24" s="13">
        <f t="shared" si="0"/>
        <v>0</v>
      </c>
    </row>
    <row r="25" spans="1:9" ht="15.75" x14ac:dyDescent="0.25">
      <c r="A25" s="8"/>
      <c r="B25" s="8"/>
      <c r="C25" s="9"/>
      <c r="D25" s="12" t="s">
        <v>21</v>
      </c>
      <c r="E25" s="16"/>
      <c r="F25" s="16"/>
      <c r="G25" s="16"/>
      <c r="H25" s="16"/>
      <c r="I25" s="13">
        <f t="shared" si="0"/>
        <v>0</v>
      </c>
    </row>
    <row r="26" spans="1:9" ht="15.75" x14ac:dyDescent="0.25">
      <c r="A26" s="8"/>
      <c r="B26" s="8"/>
      <c r="C26" s="9"/>
      <c r="D26" s="12" t="s">
        <v>22</v>
      </c>
      <c r="E26" s="16"/>
      <c r="F26" s="16"/>
      <c r="G26" s="16"/>
      <c r="H26" s="16"/>
      <c r="I26" s="13">
        <f t="shared" si="0"/>
        <v>0</v>
      </c>
    </row>
    <row r="27" spans="1:9" ht="15.75" x14ac:dyDescent="0.25">
      <c r="A27" s="8"/>
      <c r="B27" s="8"/>
      <c r="C27" s="9"/>
      <c r="D27" s="12" t="s">
        <v>23</v>
      </c>
      <c r="E27" s="16"/>
      <c r="F27" s="16"/>
      <c r="G27" s="16"/>
      <c r="H27" s="16"/>
      <c r="I27" s="13">
        <f t="shared" si="0"/>
        <v>0</v>
      </c>
    </row>
    <row r="28" spans="1:9" ht="15.75" x14ac:dyDescent="0.25">
      <c r="A28" s="8"/>
      <c r="B28" s="8"/>
      <c r="C28" s="9"/>
      <c r="D28" s="12" t="s">
        <v>24</v>
      </c>
      <c r="E28" s="16"/>
      <c r="F28" s="16"/>
      <c r="G28" s="16"/>
      <c r="H28" s="16"/>
      <c r="I28" s="13">
        <f t="shared" si="0"/>
        <v>0</v>
      </c>
    </row>
    <row r="29" spans="1:9" ht="15.75" x14ac:dyDescent="0.25">
      <c r="A29" s="8"/>
      <c r="B29" s="8"/>
      <c r="C29" s="9"/>
      <c r="D29" s="12" t="s">
        <v>25</v>
      </c>
      <c r="E29" s="16"/>
      <c r="F29" s="16"/>
      <c r="G29" s="16"/>
      <c r="H29" s="16"/>
      <c r="I29" s="13">
        <f t="shared" si="0"/>
        <v>0</v>
      </c>
    </row>
    <row r="30" spans="1:9" ht="15.75" x14ac:dyDescent="0.25">
      <c r="A30" s="8"/>
      <c r="B30" s="8"/>
      <c r="C30" s="9"/>
      <c r="D30" s="12" t="s">
        <v>26</v>
      </c>
      <c r="E30" s="16"/>
      <c r="F30" s="16"/>
      <c r="G30" s="16"/>
      <c r="H30" s="16"/>
      <c r="I30" s="13">
        <f t="shared" si="0"/>
        <v>0</v>
      </c>
    </row>
    <row r="31" spans="1:9" ht="15.75" x14ac:dyDescent="0.25">
      <c r="A31" s="8"/>
      <c r="B31" s="8"/>
      <c r="C31" s="9"/>
      <c r="D31" s="12" t="s">
        <v>27</v>
      </c>
      <c r="E31" s="16"/>
      <c r="F31" s="16"/>
      <c r="G31" s="16"/>
      <c r="H31" s="16"/>
      <c r="I31" s="13">
        <f t="shared" si="0"/>
        <v>0</v>
      </c>
    </row>
    <row r="32" spans="1:9" ht="15.75" x14ac:dyDescent="0.25">
      <c r="A32" s="8"/>
      <c r="B32" s="8"/>
      <c r="C32" s="9"/>
      <c r="D32" s="12" t="s">
        <v>28</v>
      </c>
      <c r="E32" s="16"/>
      <c r="F32" s="16"/>
      <c r="G32" s="16"/>
      <c r="H32" s="16"/>
      <c r="I32" s="13">
        <f t="shared" si="0"/>
        <v>0</v>
      </c>
    </row>
    <row r="33" spans="1:9" ht="15.75" x14ac:dyDescent="0.25">
      <c r="A33" s="8"/>
      <c r="B33" s="8"/>
      <c r="C33" s="9"/>
      <c r="D33" s="12" t="s">
        <v>29</v>
      </c>
      <c r="E33" s="16"/>
      <c r="F33" s="16"/>
      <c r="G33" s="16"/>
      <c r="H33" s="16"/>
      <c r="I33" s="13">
        <f t="shared" si="0"/>
        <v>0</v>
      </c>
    </row>
    <row r="34" spans="1:9" ht="15.75" x14ac:dyDescent="0.25">
      <c r="A34" s="8"/>
      <c r="B34" s="8"/>
      <c r="C34" s="9"/>
      <c r="D34" s="12" t="s">
        <v>30</v>
      </c>
      <c r="E34" s="16"/>
      <c r="F34" s="16"/>
      <c r="G34" s="16"/>
      <c r="H34" s="16"/>
      <c r="I34" s="13">
        <f t="shared" si="0"/>
        <v>0</v>
      </c>
    </row>
    <row r="35" spans="1:9" ht="15.75" x14ac:dyDescent="0.25">
      <c r="A35" s="8"/>
      <c r="B35" s="8"/>
      <c r="C35" s="9"/>
      <c r="D35" s="12" t="s">
        <v>31</v>
      </c>
      <c r="E35" s="16"/>
      <c r="F35" s="16"/>
      <c r="G35" s="16"/>
      <c r="H35" s="16"/>
      <c r="I35" s="13">
        <f t="shared" si="0"/>
        <v>0</v>
      </c>
    </row>
    <row r="36" spans="1:9" ht="15.75" x14ac:dyDescent="0.25">
      <c r="A36" s="8"/>
      <c r="B36" s="8"/>
      <c r="C36" s="9"/>
      <c r="D36" s="12" t="s">
        <v>32</v>
      </c>
      <c r="E36" s="16"/>
      <c r="F36" s="16"/>
      <c r="G36" s="16"/>
      <c r="H36" s="16"/>
      <c r="I36" s="13">
        <f t="shared" si="0"/>
        <v>0</v>
      </c>
    </row>
    <row r="37" spans="1:9" ht="15.75" x14ac:dyDescent="0.25">
      <c r="A37" s="8"/>
      <c r="B37" s="8"/>
      <c r="C37" s="9"/>
      <c r="D37" s="12" t="s">
        <v>33</v>
      </c>
      <c r="E37" s="16"/>
      <c r="F37" s="16"/>
      <c r="G37" s="16"/>
      <c r="H37" s="16"/>
      <c r="I37" s="13">
        <f t="shared" si="0"/>
        <v>0</v>
      </c>
    </row>
    <row r="38" spans="1:9" ht="15.75" x14ac:dyDescent="0.25">
      <c r="A38" s="8"/>
      <c r="B38" s="8"/>
      <c r="C38" s="9"/>
      <c r="D38" s="12" t="s">
        <v>34</v>
      </c>
      <c r="E38" s="16"/>
      <c r="F38" s="16"/>
      <c r="G38" s="16"/>
      <c r="H38" s="16"/>
      <c r="I38" s="13">
        <f t="shared" si="0"/>
        <v>0</v>
      </c>
    </row>
    <row r="39" spans="1:9" ht="15.75" x14ac:dyDescent="0.25">
      <c r="A39" s="8"/>
      <c r="B39" s="8"/>
      <c r="C39" s="9"/>
      <c r="D39" s="12" t="s">
        <v>35</v>
      </c>
      <c r="E39" s="16"/>
      <c r="F39" s="16"/>
      <c r="G39" s="16"/>
      <c r="H39" s="16"/>
      <c r="I39" s="13">
        <f t="shared" si="0"/>
        <v>0</v>
      </c>
    </row>
    <row r="40" spans="1:9" ht="15.75" x14ac:dyDescent="0.25">
      <c r="A40" s="8"/>
      <c r="B40" s="8"/>
      <c r="C40" s="9"/>
      <c r="D40" s="12" t="s">
        <v>36</v>
      </c>
      <c r="E40" s="16"/>
      <c r="F40" s="16"/>
      <c r="G40" s="16"/>
      <c r="H40" s="16"/>
      <c r="I40" s="13">
        <f t="shared" si="0"/>
        <v>0</v>
      </c>
    </row>
    <row r="41" spans="1:9" ht="15.75" x14ac:dyDescent="0.25">
      <c r="A41" s="8"/>
      <c r="B41" s="8"/>
      <c r="C41" s="9"/>
      <c r="D41" s="12" t="s">
        <v>37</v>
      </c>
      <c r="E41" s="16"/>
      <c r="F41" s="16"/>
      <c r="G41" s="16"/>
      <c r="H41" s="16"/>
      <c r="I41" s="13">
        <f t="shared" si="0"/>
        <v>0</v>
      </c>
    </row>
    <row r="42" spans="1:9" ht="15.75" x14ac:dyDescent="0.25">
      <c r="A42" s="8"/>
      <c r="B42" s="8"/>
      <c r="C42" s="9"/>
      <c r="D42" s="12" t="s">
        <v>38</v>
      </c>
      <c r="E42" s="16"/>
      <c r="F42" s="16"/>
      <c r="G42" s="16"/>
      <c r="H42" s="16"/>
      <c r="I42" s="13">
        <f t="shared" si="0"/>
        <v>0</v>
      </c>
    </row>
    <row r="43" spans="1:9" ht="15.75" x14ac:dyDescent="0.25">
      <c r="A43" s="8"/>
      <c r="B43" s="8"/>
      <c r="C43" s="9"/>
      <c r="D43" s="12" t="s">
        <v>39</v>
      </c>
      <c r="E43" s="16"/>
      <c r="F43" s="16"/>
      <c r="G43" s="16"/>
      <c r="H43" s="16"/>
      <c r="I43" s="13">
        <f t="shared" si="0"/>
        <v>0</v>
      </c>
    </row>
    <row r="44" spans="1:9" ht="15.75" x14ac:dyDescent="0.25">
      <c r="A44" s="8"/>
      <c r="B44" s="8"/>
      <c r="C44" s="9"/>
      <c r="D44" s="12" t="s">
        <v>40</v>
      </c>
      <c r="E44" s="16"/>
      <c r="F44" s="16"/>
      <c r="G44" s="16"/>
      <c r="H44" s="16"/>
      <c r="I44" s="13">
        <f t="shared" si="0"/>
        <v>0</v>
      </c>
    </row>
    <row r="45" spans="1:9" ht="15.75" x14ac:dyDescent="0.25">
      <c r="A45" s="8"/>
      <c r="B45" s="8"/>
      <c r="C45" s="9"/>
      <c r="D45" s="12" t="s">
        <v>41</v>
      </c>
      <c r="E45" s="16"/>
      <c r="F45" s="16"/>
      <c r="G45" s="16"/>
      <c r="H45" s="16"/>
      <c r="I45" s="13">
        <f t="shared" si="0"/>
        <v>0</v>
      </c>
    </row>
    <row r="46" spans="1:9" ht="15.75" x14ac:dyDescent="0.25">
      <c r="A46" s="8"/>
      <c r="B46" s="8"/>
      <c r="C46" s="9"/>
      <c r="D46" s="12" t="s">
        <v>42</v>
      </c>
      <c r="E46" s="16"/>
      <c r="F46" s="16"/>
      <c r="G46" s="16"/>
      <c r="H46" s="16"/>
      <c r="I46" s="13">
        <f t="shared" si="0"/>
        <v>0</v>
      </c>
    </row>
    <row r="47" spans="1:9" ht="15.75" x14ac:dyDescent="0.25">
      <c r="A47" s="8"/>
      <c r="B47" s="8"/>
      <c r="C47" s="9"/>
      <c r="D47" s="12" t="s">
        <v>43</v>
      </c>
      <c r="E47" s="16"/>
      <c r="F47" s="16"/>
      <c r="G47" s="16"/>
      <c r="H47" s="16"/>
      <c r="I47" s="13">
        <f t="shared" si="0"/>
        <v>0</v>
      </c>
    </row>
    <row r="48" spans="1:9" ht="15.75" x14ac:dyDescent="0.25">
      <c r="A48" s="8"/>
      <c r="B48" s="8"/>
      <c r="C48" s="9"/>
      <c r="D48" s="12" t="s">
        <v>44</v>
      </c>
      <c r="E48" s="16"/>
      <c r="F48" s="16"/>
      <c r="G48" s="16"/>
      <c r="H48" s="16"/>
      <c r="I48" s="13">
        <f t="shared" si="0"/>
        <v>0</v>
      </c>
    </row>
    <row r="49" spans="1:9" ht="15.75" x14ac:dyDescent="0.25">
      <c r="A49" s="8"/>
      <c r="B49" s="8"/>
      <c r="C49" s="9"/>
      <c r="D49" s="12" t="s">
        <v>45</v>
      </c>
      <c r="E49" s="16"/>
      <c r="F49" s="16"/>
      <c r="G49" s="16"/>
      <c r="H49" s="16"/>
      <c r="I49" s="13">
        <f t="shared" si="0"/>
        <v>0</v>
      </c>
    </row>
    <row r="50" spans="1:9" ht="15.75" x14ac:dyDescent="0.25">
      <c r="A50" s="8"/>
      <c r="B50" s="8"/>
      <c r="C50" s="9"/>
      <c r="D50" s="12" t="s">
        <v>46</v>
      </c>
      <c r="E50" s="16"/>
      <c r="F50" s="16"/>
      <c r="G50" s="16"/>
      <c r="H50" s="16"/>
      <c r="I50" s="13">
        <f t="shared" si="0"/>
        <v>0</v>
      </c>
    </row>
    <row r="51" spans="1:9" ht="15.75" x14ac:dyDescent="0.25">
      <c r="A51" s="8"/>
      <c r="B51" s="8"/>
      <c r="C51" s="9"/>
      <c r="D51" s="12" t="s">
        <v>47</v>
      </c>
      <c r="E51" s="16"/>
      <c r="F51" s="16"/>
      <c r="G51" s="16"/>
      <c r="H51" s="16"/>
      <c r="I51" s="13">
        <f t="shared" si="0"/>
        <v>0</v>
      </c>
    </row>
    <row r="52" spans="1:9" ht="15.75" x14ac:dyDescent="0.25">
      <c r="A52" s="8"/>
      <c r="B52" s="8"/>
      <c r="C52" s="9"/>
      <c r="D52" s="12" t="s">
        <v>48</v>
      </c>
      <c r="E52" s="16"/>
      <c r="F52" s="16"/>
      <c r="G52" s="16"/>
      <c r="H52" s="16"/>
      <c r="I52" s="13">
        <f t="shared" si="0"/>
        <v>0</v>
      </c>
    </row>
    <row r="53" spans="1:9" ht="15.75" x14ac:dyDescent="0.25">
      <c r="A53" s="8"/>
      <c r="B53" s="8"/>
      <c r="C53" s="9"/>
      <c r="D53" s="12" t="s">
        <v>49</v>
      </c>
      <c r="E53" s="16"/>
      <c r="F53" s="16"/>
      <c r="G53" s="16"/>
      <c r="H53" s="16"/>
      <c r="I53" s="13">
        <f t="shared" si="0"/>
        <v>0</v>
      </c>
    </row>
    <row r="54" spans="1:9" ht="15.75" x14ac:dyDescent="0.25">
      <c r="A54" s="8"/>
      <c r="B54" s="8"/>
      <c r="C54" s="9"/>
      <c r="D54" s="12" t="s">
        <v>50</v>
      </c>
      <c r="E54" s="16"/>
      <c r="F54" s="16"/>
      <c r="G54" s="16"/>
      <c r="H54" s="16"/>
      <c r="I54" s="13">
        <f t="shared" si="0"/>
        <v>0</v>
      </c>
    </row>
    <row r="55" spans="1:9" ht="15.75" x14ac:dyDescent="0.25">
      <c r="A55" s="8"/>
      <c r="B55" s="8"/>
      <c r="C55" s="9"/>
      <c r="D55" s="12" t="s">
        <v>51</v>
      </c>
      <c r="E55" s="16"/>
      <c r="F55" s="16"/>
      <c r="G55" s="16"/>
      <c r="H55" s="16"/>
      <c r="I55" s="13">
        <f t="shared" si="0"/>
        <v>0</v>
      </c>
    </row>
    <row r="56" spans="1:9" ht="15.75" x14ac:dyDescent="0.25">
      <c r="A56" s="8"/>
      <c r="B56" s="8"/>
      <c r="C56" s="9"/>
      <c r="D56" s="12" t="s">
        <v>52</v>
      </c>
      <c r="E56" s="16"/>
      <c r="F56" s="16"/>
      <c r="G56" s="16"/>
      <c r="H56" s="16"/>
      <c r="I56" s="13">
        <f t="shared" si="0"/>
        <v>0</v>
      </c>
    </row>
    <row r="57" spans="1:9" ht="15.75" x14ac:dyDescent="0.25">
      <c r="A57" s="8"/>
      <c r="B57" s="8"/>
      <c r="C57" s="9"/>
      <c r="D57" s="12" t="s">
        <v>53</v>
      </c>
      <c r="E57" s="16"/>
      <c r="F57" s="16"/>
      <c r="G57" s="16"/>
      <c r="H57" s="16"/>
      <c r="I57" s="13">
        <f t="shared" si="0"/>
        <v>0</v>
      </c>
    </row>
    <row r="58" spans="1:9" ht="15.75" x14ac:dyDescent="0.25">
      <c r="A58" s="8"/>
      <c r="B58" s="8"/>
      <c r="C58" s="9"/>
      <c r="D58" s="12" t="s">
        <v>54</v>
      </c>
      <c r="E58" s="16"/>
      <c r="F58" s="16"/>
      <c r="G58" s="16"/>
      <c r="H58" s="16"/>
      <c r="I58" s="13">
        <f t="shared" si="0"/>
        <v>0</v>
      </c>
    </row>
    <row r="59" spans="1:9" ht="15.75" x14ac:dyDescent="0.25">
      <c r="A59" s="8"/>
      <c r="B59" s="8"/>
      <c r="C59" s="9"/>
      <c r="D59" s="12" t="s">
        <v>55</v>
      </c>
      <c r="E59" s="16"/>
      <c r="F59" s="16"/>
      <c r="G59" s="16"/>
      <c r="H59" s="16"/>
      <c r="I59" s="13">
        <f t="shared" si="0"/>
        <v>0</v>
      </c>
    </row>
    <row r="60" spans="1:9" ht="15.75" x14ac:dyDescent="0.25">
      <c r="A60" s="8"/>
      <c r="B60" s="8"/>
      <c r="C60" s="9"/>
      <c r="D60" s="12" t="s">
        <v>56</v>
      </c>
      <c r="E60" s="16"/>
      <c r="F60" s="16"/>
      <c r="G60" s="16"/>
      <c r="H60" s="16"/>
      <c r="I60" s="13">
        <f t="shared" si="0"/>
        <v>0</v>
      </c>
    </row>
    <row r="61" spans="1:9" ht="15.75" x14ac:dyDescent="0.25">
      <c r="A61" s="8"/>
      <c r="B61" s="8"/>
      <c r="C61" s="9"/>
      <c r="D61" s="12" t="s">
        <v>57</v>
      </c>
      <c r="E61" s="16"/>
      <c r="F61" s="16"/>
      <c r="G61" s="16"/>
      <c r="H61" s="16"/>
      <c r="I61" s="13">
        <f t="shared" si="0"/>
        <v>0</v>
      </c>
    </row>
    <row r="62" spans="1:9" ht="15.75" x14ac:dyDescent="0.25">
      <c r="A62" s="8"/>
      <c r="B62" s="8"/>
      <c r="C62" s="9"/>
      <c r="D62" s="12" t="s">
        <v>58</v>
      </c>
      <c r="E62" s="16"/>
      <c r="F62" s="16"/>
      <c r="G62" s="16"/>
      <c r="H62" s="16"/>
      <c r="I62" s="13">
        <f t="shared" si="0"/>
        <v>0</v>
      </c>
    </row>
    <row r="63" spans="1:9" ht="15.75" x14ac:dyDescent="0.25">
      <c r="A63" s="8"/>
      <c r="B63" s="8"/>
      <c r="C63" s="9"/>
      <c r="D63" s="12" t="s">
        <v>59</v>
      </c>
      <c r="E63" s="16"/>
      <c r="F63" s="16"/>
      <c r="G63" s="16"/>
      <c r="H63" s="16"/>
      <c r="I63" s="13">
        <f t="shared" si="0"/>
        <v>0</v>
      </c>
    </row>
    <row r="64" spans="1:9" ht="15.75" x14ac:dyDescent="0.25">
      <c r="A64" s="8"/>
      <c r="B64" s="8"/>
      <c r="C64" s="9"/>
      <c r="D64" s="12" t="s">
        <v>60</v>
      </c>
      <c r="E64" s="16"/>
      <c r="F64" s="16"/>
      <c r="G64" s="16"/>
      <c r="H64" s="16"/>
      <c r="I64" s="13">
        <f t="shared" si="0"/>
        <v>0</v>
      </c>
    </row>
    <row r="65" spans="1:9" ht="15.75" x14ac:dyDescent="0.25">
      <c r="A65" s="8"/>
      <c r="B65" s="8"/>
      <c r="C65" s="9"/>
      <c r="D65" s="12" t="s">
        <v>61</v>
      </c>
      <c r="E65" s="16"/>
      <c r="F65" s="16"/>
      <c r="G65" s="16"/>
      <c r="H65" s="16"/>
      <c r="I65" s="13">
        <f t="shared" si="0"/>
        <v>0</v>
      </c>
    </row>
    <row r="66" spans="1:9" ht="15.75" x14ac:dyDescent="0.25">
      <c r="A66" s="8"/>
      <c r="B66" s="8"/>
      <c r="C66" s="9"/>
      <c r="D66" s="12" t="s">
        <v>62</v>
      </c>
      <c r="E66" s="16"/>
      <c r="F66" s="16"/>
      <c r="G66" s="16"/>
      <c r="H66" s="16"/>
      <c r="I66" s="13">
        <f t="shared" si="0"/>
        <v>0</v>
      </c>
    </row>
    <row r="67" spans="1:9" ht="15.75" x14ac:dyDescent="0.25">
      <c r="A67" s="8"/>
      <c r="B67" s="8"/>
      <c r="C67" s="9"/>
      <c r="D67" s="12" t="s">
        <v>63</v>
      </c>
      <c r="E67" s="16"/>
      <c r="F67" s="16"/>
      <c r="G67" s="16"/>
      <c r="H67" s="16"/>
      <c r="I67" s="13">
        <f t="shared" si="0"/>
        <v>0</v>
      </c>
    </row>
    <row r="68" spans="1:9" ht="15.75" x14ac:dyDescent="0.25">
      <c r="A68" s="8"/>
      <c r="B68" s="8"/>
      <c r="C68" s="9"/>
      <c r="D68" s="12" t="s">
        <v>64</v>
      </c>
      <c r="E68" s="16"/>
      <c r="F68" s="16"/>
      <c r="G68" s="16"/>
      <c r="H68" s="16"/>
      <c r="I68" s="13">
        <f t="shared" si="0"/>
        <v>0</v>
      </c>
    </row>
    <row r="69" spans="1:9" ht="15.75" x14ac:dyDescent="0.25">
      <c r="A69" s="8"/>
      <c r="B69" s="8"/>
      <c r="C69" s="9"/>
      <c r="D69" s="12" t="s">
        <v>65</v>
      </c>
      <c r="E69" s="16"/>
      <c r="F69" s="16"/>
      <c r="G69" s="16"/>
      <c r="H69" s="16"/>
      <c r="I69" s="13">
        <f t="shared" si="0"/>
        <v>0</v>
      </c>
    </row>
    <row r="70" spans="1:9" ht="15.75" x14ac:dyDescent="0.25">
      <c r="A70" s="8"/>
      <c r="B70" s="8"/>
      <c r="C70" s="9"/>
      <c r="D70" s="12" t="s">
        <v>66</v>
      </c>
      <c r="E70" s="16"/>
      <c r="F70" s="16"/>
      <c r="G70" s="16"/>
      <c r="H70" s="16"/>
      <c r="I70" s="13">
        <f t="shared" si="0"/>
        <v>0</v>
      </c>
    </row>
    <row r="71" spans="1:9" ht="15.75" x14ac:dyDescent="0.25">
      <c r="A71" s="8"/>
      <c r="B71" s="8"/>
      <c r="C71" s="9"/>
      <c r="D71" s="12" t="s">
        <v>67</v>
      </c>
      <c r="E71" s="16"/>
      <c r="F71" s="16"/>
      <c r="G71" s="16"/>
      <c r="H71" s="16"/>
      <c r="I71" s="13">
        <f t="shared" si="0"/>
        <v>0</v>
      </c>
    </row>
    <row r="72" spans="1:9" ht="15.75" x14ac:dyDescent="0.25">
      <c r="A72" s="8"/>
      <c r="B72" s="8"/>
      <c r="C72" s="9"/>
      <c r="D72" s="12" t="s">
        <v>68</v>
      </c>
      <c r="E72" s="16"/>
      <c r="F72" s="16"/>
      <c r="G72" s="16"/>
      <c r="H72" s="16"/>
      <c r="I72" s="13">
        <f t="shared" si="0"/>
        <v>0</v>
      </c>
    </row>
    <row r="73" spans="1:9" ht="15.75" x14ac:dyDescent="0.25">
      <c r="A73" s="8"/>
      <c r="B73" s="8"/>
      <c r="C73" s="9"/>
      <c r="D73" s="12" t="s">
        <v>69</v>
      </c>
      <c r="E73" s="16"/>
      <c r="F73" s="16"/>
      <c r="G73" s="16"/>
      <c r="H73" s="16"/>
      <c r="I73" s="13">
        <f t="shared" si="0"/>
        <v>0</v>
      </c>
    </row>
    <row r="74" spans="1:9" ht="15.75" x14ac:dyDescent="0.25">
      <c r="A74" s="8"/>
      <c r="B74" s="8"/>
      <c r="C74" s="9"/>
      <c r="D74" s="12" t="s">
        <v>70</v>
      </c>
      <c r="E74" s="16"/>
      <c r="F74" s="16"/>
      <c r="G74" s="16"/>
      <c r="H74" s="16"/>
      <c r="I74" s="13">
        <f t="shared" ref="I74:I137" si="1">SUM(E74:H74)</f>
        <v>0</v>
      </c>
    </row>
    <row r="75" spans="1:9" ht="15.75" x14ac:dyDescent="0.25">
      <c r="A75" s="8"/>
      <c r="B75" s="8"/>
      <c r="C75" s="9"/>
      <c r="D75" s="12" t="s">
        <v>71</v>
      </c>
      <c r="E75" s="16"/>
      <c r="F75" s="16"/>
      <c r="G75" s="16"/>
      <c r="H75" s="16"/>
      <c r="I75" s="13">
        <f t="shared" si="1"/>
        <v>0</v>
      </c>
    </row>
    <row r="76" spans="1:9" ht="15.75" x14ac:dyDescent="0.25">
      <c r="A76" s="8"/>
      <c r="B76" s="8"/>
      <c r="C76" s="9"/>
      <c r="D76" s="12" t="s">
        <v>72</v>
      </c>
      <c r="E76" s="16"/>
      <c r="F76" s="16"/>
      <c r="G76" s="16"/>
      <c r="H76" s="16"/>
      <c r="I76" s="13">
        <f t="shared" si="1"/>
        <v>0</v>
      </c>
    </row>
    <row r="77" spans="1:9" ht="15.75" x14ac:dyDescent="0.25">
      <c r="A77" s="8"/>
      <c r="B77" s="8"/>
      <c r="C77" s="9"/>
      <c r="D77" s="12" t="s">
        <v>73</v>
      </c>
      <c r="E77" s="16"/>
      <c r="F77" s="16"/>
      <c r="G77" s="16"/>
      <c r="H77" s="16"/>
      <c r="I77" s="13">
        <f t="shared" si="1"/>
        <v>0</v>
      </c>
    </row>
    <row r="78" spans="1:9" ht="15.75" x14ac:dyDescent="0.25">
      <c r="A78" s="8"/>
      <c r="B78" s="8"/>
      <c r="C78" s="9"/>
      <c r="D78" s="12" t="s">
        <v>74</v>
      </c>
      <c r="E78" s="16"/>
      <c r="F78" s="16"/>
      <c r="G78" s="16"/>
      <c r="H78" s="16"/>
      <c r="I78" s="13">
        <f t="shared" si="1"/>
        <v>0</v>
      </c>
    </row>
    <row r="79" spans="1:9" ht="15.75" x14ac:dyDescent="0.25">
      <c r="A79" s="8"/>
      <c r="B79" s="8"/>
      <c r="C79" s="9"/>
      <c r="D79" s="12" t="s">
        <v>75</v>
      </c>
      <c r="E79" s="16"/>
      <c r="F79" s="16"/>
      <c r="G79" s="16"/>
      <c r="H79" s="16"/>
      <c r="I79" s="13">
        <f t="shared" si="1"/>
        <v>0</v>
      </c>
    </row>
    <row r="80" spans="1:9" ht="15.75" x14ac:dyDescent="0.25">
      <c r="A80" s="8"/>
      <c r="B80" s="8"/>
      <c r="C80" s="9"/>
      <c r="D80" s="12" t="s">
        <v>76</v>
      </c>
      <c r="E80" s="16"/>
      <c r="F80" s="16"/>
      <c r="G80" s="16"/>
      <c r="H80" s="16"/>
      <c r="I80" s="13">
        <f t="shared" si="1"/>
        <v>0</v>
      </c>
    </row>
    <row r="81" spans="1:9" ht="15.75" x14ac:dyDescent="0.25">
      <c r="A81" s="8"/>
      <c r="B81" s="8"/>
      <c r="C81" s="9"/>
      <c r="D81" s="12" t="s">
        <v>77</v>
      </c>
      <c r="E81" s="16"/>
      <c r="F81" s="16"/>
      <c r="G81" s="16"/>
      <c r="H81" s="16"/>
      <c r="I81" s="13">
        <f t="shared" si="1"/>
        <v>0</v>
      </c>
    </row>
    <row r="82" spans="1:9" ht="15.75" x14ac:dyDescent="0.25">
      <c r="A82" s="8"/>
      <c r="B82" s="8"/>
      <c r="C82" s="9"/>
      <c r="D82" s="12" t="s">
        <v>78</v>
      </c>
      <c r="E82" s="16"/>
      <c r="F82" s="16"/>
      <c r="G82" s="16"/>
      <c r="H82" s="16"/>
      <c r="I82" s="13">
        <f t="shared" si="1"/>
        <v>0</v>
      </c>
    </row>
    <row r="83" spans="1:9" ht="15.75" x14ac:dyDescent="0.25">
      <c r="A83" s="8"/>
      <c r="B83" s="8"/>
      <c r="C83" s="9"/>
      <c r="D83" s="12" t="s">
        <v>79</v>
      </c>
      <c r="E83" s="16"/>
      <c r="F83" s="16"/>
      <c r="G83" s="16"/>
      <c r="H83" s="16"/>
      <c r="I83" s="13">
        <f t="shared" si="1"/>
        <v>0</v>
      </c>
    </row>
    <row r="84" spans="1:9" ht="15.75" x14ac:dyDescent="0.25">
      <c r="A84" s="8"/>
      <c r="B84" s="8"/>
      <c r="C84" s="9"/>
      <c r="D84" s="12" t="s">
        <v>80</v>
      </c>
      <c r="E84" s="16"/>
      <c r="F84" s="16"/>
      <c r="G84" s="16"/>
      <c r="H84" s="16"/>
      <c r="I84" s="13">
        <f t="shared" si="1"/>
        <v>0</v>
      </c>
    </row>
    <row r="85" spans="1:9" ht="15.75" x14ac:dyDescent="0.25">
      <c r="A85" s="8"/>
      <c r="B85" s="8"/>
      <c r="C85" s="9"/>
      <c r="D85" s="12" t="s">
        <v>81</v>
      </c>
      <c r="E85" s="16"/>
      <c r="F85" s="16"/>
      <c r="G85" s="16"/>
      <c r="H85" s="16"/>
      <c r="I85" s="13">
        <f t="shared" si="1"/>
        <v>0</v>
      </c>
    </row>
    <row r="86" spans="1:9" ht="15.75" x14ac:dyDescent="0.25">
      <c r="A86" s="8"/>
      <c r="B86" s="8"/>
      <c r="C86" s="9"/>
      <c r="D86" s="12" t="s">
        <v>82</v>
      </c>
      <c r="E86" s="16"/>
      <c r="F86" s="16"/>
      <c r="G86" s="16"/>
      <c r="H86" s="16"/>
      <c r="I86" s="13">
        <f t="shared" si="1"/>
        <v>0</v>
      </c>
    </row>
    <row r="87" spans="1:9" ht="15.75" x14ac:dyDescent="0.25">
      <c r="A87" s="8"/>
      <c r="B87" s="8"/>
      <c r="C87" s="9"/>
      <c r="D87" s="12" t="s">
        <v>83</v>
      </c>
      <c r="E87" s="16"/>
      <c r="F87" s="16"/>
      <c r="G87" s="16"/>
      <c r="H87" s="16"/>
      <c r="I87" s="13">
        <f t="shared" si="1"/>
        <v>0</v>
      </c>
    </row>
    <row r="88" spans="1:9" ht="15.75" x14ac:dyDescent="0.25">
      <c r="A88" s="8"/>
      <c r="B88" s="8"/>
      <c r="C88" s="9"/>
      <c r="D88" s="12" t="s">
        <v>84</v>
      </c>
      <c r="E88" s="16"/>
      <c r="F88" s="16"/>
      <c r="G88" s="16"/>
      <c r="H88" s="16"/>
      <c r="I88" s="13">
        <f t="shared" si="1"/>
        <v>0</v>
      </c>
    </row>
    <row r="89" spans="1:9" ht="15.75" x14ac:dyDescent="0.25">
      <c r="A89" s="8"/>
      <c r="B89" s="8"/>
      <c r="C89" s="9"/>
      <c r="D89" s="12" t="s">
        <v>85</v>
      </c>
      <c r="E89" s="16"/>
      <c r="F89" s="16"/>
      <c r="G89" s="16"/>
      <c r="H89" s="16"/>
      <c r="I89" s="13">
        <f t="shared" si="1"/>
        <v>0</v>
      </c>
    </row>
    <row r="90" spans="1:9" ht="15.75" x14ac:dyDescent="0.25">
      <c r="A90" s="8"/>
      <c r="B90" s="8"/>
      <c r="C90" s="9"/>
      <c r="D90" s="12" t="s">
        <v>86</v>
      </c>
      <c r="E90" s="16"/>
      <c r="F90" s="16"/>
      <c r="G90" s="16"/>
      <c r="H90" s="16"/>
      <c r="I90" s="13">
        <f t="shared" si="1"/>
        <v>0</v>
      </c>
    </row>
    <row r="91" spans="1:9" ht="15.75" x14ac:dyDescent="0.25">
      <c r="A91" s="8"/>
      <c r="B91" s="8"/>
      <c r="C91" s="9"/>
      <c r="D91" s="12" t="s">
        <v>87</v>
      </c>
      <c r="E91" s="16"/>
      <c r="F91" s="16"/>
      <c r="G91" s="16"/>
      <c r="H91" s="16"/>
      <c r="I91" s="13">
        <f t="shared" si="1"/>
        <v>0</v>
      </c>
    </row>
    <row r="92" spans="1:9" ht="15.75" x14ac:dyDescent="0.25">
      <c r="A92" s="8"/>
      <c r="B92" s="8"/>
      <c r="C92" s="9"/>
      <c r="D92" s="12" t="s">
        <v>88</v>
      </c>
      <c r="E92" s="16"/>
      <c r="F92" s="16"/>
      <c r="G92" s="16"/>
      <c r="H92" s="16"/>
      <c r="I92" s="13">
        <f t="shared" si="1"/>
        <v>0</v>
      </c>
    </row>
    <row r="93" spans="1:9" ht="15.75" x14ac:dyDescent="0.25">
      <c r="A93" s="8"/>
      <c r="B93" s="8"/>
      <c r="C93" s="9"/>
      <c r="D93" s="12" t="s">
        <v>89</v>
      </c>
      <c r="E93" s="16"/>
      <c r="F93" s="16"/>
      <c r="G93" s="16"/>
      <c r="H93" s="16"/>
      <c r="I93" s="13">
        <f t="shared" si="1"/>
        <v>0</v>
      </c>
    </row>
    <row r="94" spans="1:9" ht="15.75" x14ac:dyDescent="0.25">
      <c r="A94" s="8"/>
      <c r="B94" s="8"/>
      <c r="C94" s="9"/>
      <c r="D94" s="12" t="s">
        <v>90</v>
      </c>
      <c r="E94" s="16"/>
      <c r="F94" s="16"/>
      <c r="G94" s="16"/>
      <c r="H94" s="16"/>
      <c r="I94" s="13">
        <f t="shared" si="1"/>
        <v>0</v>
      </c>
    </row>
    <row r="95" spans="1:9" ht="15.75" x14ac:dyDescent="0.25">
      <c r="A95" s="8"/>
      <c r="B95" s="8"/>
      <c r="C95" s="9"/>
      <c r="D95" s="12" t="s">
        <v>91</v>
      </c>
      <c r="E95" s="16"/>
      <c r="F95" s="16"/>
      <c r="G95" s="16"/>
      <c r="H95" s="16"/>
      <c r="I95" s="13">
        <f t="shared" si="1"/>
        <v>0</v>
      </c>
    </row>
    <row r="96" spans="1:9" ht="15.75" x14ac:dyDescent="0.25">
      <c r="A96" s="8"/>
      <c r="B96" s="8"/>
      <c r="C96" s="9"/>
      <c r="D96" s="12" t="s">
        <v>92</v>
      </c>
      <c r="E96" s="16"/>
      <c r="F96" s="16"/>
      <c r="G96" s="16"/>
      <c r="H96" s="16"/>
      <c r="I96" s="13">
        <f t="shared" si="1"/>
        <v>0</v>
      </c>
    </row>
    <row r="97" spans="1:9" ht="15.75" x14ac:dyDescent="0.25">
      <c r="A97" s="8"/>
      <c r="B97" s="8"/>
      <c r="C97" s="9"/>
      <c r="D97" s="12" t="s">
        <v>93</v>
      </c>
      <c r="E97" s="16"/>
      <c r="F97" s="16"/>
      <c r="G97" s="16"/>
      <c r="H97" s="16"/>
      <c r="I97" s="13">
        <f t="shared" si="1"/>
        <v>0</v>
      </c>
    </row>
    <row r="98" spans="1:9" ht="15.75" x14ac:dyDescent="0.25">
      <c r="A98" s="8"/>
      <c r="B98" s="8"/>
      <c r="C98" s="9"/>
      <c r="D98" s="12" t="s">
        <v>94</v>
      </c>
      <c r="E98" s="16"/>
      <c r="F98" s="16"/>
      <c r="G98" s="16"/>
      <c r="H98" s="16"/>
      <c r="I98" s="13">
        <f t="shared" si="1"/>
        <v>0</v>
      </c>
    </row>
    <row r="99" spans="1:9" ht="15.75" x14ac:dyDescent="0.25">
      <c r="A99" s="8"/>
      <c r="B99" s="8"/>
      <c r="C99" s="9"/>
      <c r="D99" s="12" t="s">
        <v>95</v>
      </c>
      <c r="E99" s="16"/>
      <c r="F99" s="16"/>
      <c r="G99" s="16"/>
      <c r="H99" s="16"/>
      <c r="I99" s="13">
        <f t="shared" si="1"/>
        <v>0</v>
      </c>
    </row>
    <row r="100" spans="1:9" ht="15.75" x14ac:dyDescent="0.25">
      <c r="A100" s="8"/>
      <c r="B100" s="8"/>
      <c r="C100" s="9"/>
      <c r="D100" s="12" t="s">
        <v>96</v>
      </c>
      <c r="E100" s="16"/>
      <c r="F100" s="16"/>
      <c r="G100" s="16"/>
      <c r="H100" s="16"/>
      <c r="I100" s="13">
        <f t="shared" si="1"/>
        <v>0</v>
      </c>
    </row>
    <row r="101" spans="1:9" ht="15.75" x14ac:dyDescent="0.25">
      <c r="A101" s="8"/>
      <c r="B101" s="8"/>
      <c r="C101" s="9"/>
      <c r="D101" s="12" t="s">
        <v>97</v>
      </c>
      <c r="E101" s="16"/>
      <c r="F101" s="16"/>
      <c r="G101" s="16"/>
      <c r="H101" s="16"/>
      <c r="I101" s="13">
        <f t="shared" si="1"/>
        <v>0</v>
      </c>
    </row>
    <row r="102" spans="1:9" ht="15.75" x14ac:dyDescent="0.25">
      <c r="A102" s="8"/>
      <c r="B102" s="8"/>
      <c r="C102" s="9"/>
      <c r="D102" s="12" t="s">
        <v>98</v>
      </c>
      <c r="E102" s="16"/>
      <c r="F102" s="16"/>
      <c r="G102" s="16"/>
      <c r="H102" s="16"/>
      <c r="I102" s="13">
        <f t="shared" si="1"/>
        <v>0</v>
      </c>
    </row>
    <row r="103" spans="1:9" ht="15.75" x14ac:dyDescent="0.25">
      <c r="A103" s="8"/>
      <c r="B103" s="8"/>
      <c r="C103" s="9"/>
      <c r="D103" s="12" t="s">
        <v>99</v>
      </c>
      <c r="E103" s="16"/>
      <c r="F103" s="16"/>
      <c r="G103" s="16"/>
      <c r="H103" s="16"/>
      <c r="I103" s="13">
        <f t="shared" si="1"/>
        <v>0</v>
      </c>
    </row>
    <row r="104" spans="1:9" ht="15.75" x14ac:dyDescent="0.25">
      <c r="A104" s="8"/>
      <c r="B104" s="8"/>
      <c r="C104" s="9"/>
      <c r="D104" s="12" t="s">
        <v>100</v>
      </c>
      <c r="E104" s="16"/>
      <c r="F104" s="16"/>
      <c r="G104" s="16"/>
      <c r="H104" s="16"/>
      <c r="I104" s="13">
        <f t="shared" si="1"/>
        <v>0</v>
      </c>
    </row>
    <row r="105" spans="1:9" ht="15.75" x14ac:dyDescent="0.25">
      <c r="A105" s="8"/>
      <c r="B105" s="8"/>
      <c r="C105" s="9"/>
      <c r="D105" s="12" t="s">
        <v>101</v>
      </c>
      <c r="E105" s="16"/>
      <c r="F105" s="16"/>
      <c r="G105" s="16"/>
      <c r="H105" s="16"/>
      <c r="I105" s="13">
        <f t="shared" si="1"/>
        <v>0</v>
      </c>
    </row>
    <row r="106" spans="1:9" ht="15.75" x14ac:dyDescent="0.25">
      <c r="A106" s="8"/>
      <c r="B106" s="8"/>
      <c r="C106" s="9"/>
      <c r="D106" s="12" t="s">
        <v>102</v>
      </c>
      <c r="E106" s="16"/>
      <c r="F106" s="16"/>
      <c r="G106" s="16"/>
      <c r="H106" s="16"/>
      <c r="I106" s="13">
        <f t="shared" si="1"/>
        <v>0</v>
      </c>
    </row>
    <row r="107" spans="1:9" ht="15.75" x14ac:dyDescent="0.25">
      <c r="A107" s="8"/>
      <c r="B107" s="8"/>
      <c r="C107" s="9"/>
      <c r="D107" s="12" t="s">
        <v>103</v>
      </c>
      <c r="E107" s="16"/>
      <c r="F107" s="16"/>
      <c r="G107" s="16"/>
      <c r="H107" s="16"/>
      <c r="I107" s="13">
        <f t="shared" si="1"/>
        <v>0</v>
      </c>
    </row>
    <row r="108" spans="1:9" ht="15.75" x14ac:dyDescent="0.25">
      <c r="A108" s="8"/>
      <c r="B108" s="8"/>
      <c r="C108" s="9"/>
      <c r="D108" s="12" t="s">
        <v>104</v>
      </c>
      <c r="E108" s="16"/>
      <c r="F108" s="16"/>
      <c r="G108" s="16"/>
      <c r="H108" s="16"/>
      <c r="I108" s="13">
        <f t="shared" si="1"/>
        <v>0</v>
      </c>
    </row>
    <row r="109" spans="1:9" ht="15.75" x14ac:dyDescent="0.25">
      <c r="A109" s="8"/>
      <c r="B109" s="8"/>
      <c r="C109" s="9"/>
      <c r="D109" s="12" t="s">
        <v>105</v>
      </c>
      <c r="E109" s="16"/>
      <c r="F109" s="16"/>
      <c r="G109" s="16"/>
      <c r="H109" s="16"/>
      <c r="I109" s="13">
        <f t="shared" si="1"/>
        <v>0</v>
      </c>
    </row>
    <row r="110" spans="1:9" ht="15.75" x14ac:dyDescent="0.25">
      <c r="A110" s="8"/>
      <c r="B110" s="8"/>
      <c r="C110" s="9"/>
      <c r="D110" s="12" t="s">
        <v>106</v>
      </c>
      <c r="E110" s="16"/>
      <c r="F110" s="16"/>
      <c r="G110" s="16"/>
      <c r="H110" s="16"/>
      <c r="I110" s="13">
        <f t="shared" si="1"/>
        <v>0</v>
      </c>
    </row>
    <row r="111" spans="1:9" ht="15.75" x14ac:dyDescent="0.25">
      <c r="A111" s="8"/>
      <c r="B111" s="8"/>
      <c r="C111" s="9"/>
      <c r="D111" s="12" t="s">
        <v>107</v>
      </c>
      <c r="E111" s="16"/>
      <c r="F111" s="16"/>
      <c r="G111" s="16"/>
      <c r="H111" s="16"/>
      <c r="I111" s="13">
        <f t="shared" si="1"/>
        <v>0</v>
      </c>
    </row>
    <row r="112" spans="1:9" ht="15.75" x14ac:dyDescent="0.25">
      <c r="A112" s="8"/>
      <c r="B112" s="8"/>
      <c r="C112" s="9"/>
      <c r="D112" s="12" t="s">
        <v>108</v>
      </c>
      <c r="E112" s="16"/>
      <c r="F112" s="16"/>
      <c r="G112" s="16"/>
      <c r="H112" s="16"/>
      <c r="I112" s="13">
        <f t="shared" si="1"/>
        <v>0</v>
      </c>
    </row>
    <row r="113" spans="1:9" ht="15.75" x14ac:dyDescent="0.25">
      <c r="A113" s="8"/>
      <c r="B113" s="8"/>
      <c r="C113" s="9"/>
      <c r="D113" s="12" t="s">
        <v>109</v>
      </c>
      <c r="E113" s="16"/>
      <c r="F113" s="16"/>
      <c r="G113" s="16"/>
      <c r="H113" s="16"/>
      <c r="I113" s="13">
        <f t="shared" si="1"/>
        <v>0</v>
      </c>
    </row>
    <row r="114" spans="1:9" ht="15.75" x14ac:dyDescent="0.25">
      <c r="A114" s="8"/>
      <c r="B114" s="8"/>
      <c r="C114" s="9"/>
      <c r="D114" s="12" t="s">
        <v>110</v>
      </c>
      <c r="E114" s="16"/>
      <c r="F114" s="16"/>
      <c r="G114" s="16"/>
      <c r="H114" s="16"/>
      <c r="I114" s="13">
        <f t="shared" si="1"/>
        <v>0</v>
      </c>
    </row>
    <row r="115" spans="1:9" ht="15.75" x14ac:dyDescent="0.25">
      <c r="A115" s="8"/>
      <c r="B115" s="8"/>
      <c r="C115" s="9"/>
      <c r="D115" s="12" t="s">
        <v>111</v>
      </c>
      <c r="E115" s="16"/>
      <c r="F115" s="16"/>
      <c r="G115" s="16"/>
      <c r="H115" s="16"/>
      <c r="I115" s="13">
        <f t="shared" si="1"/>
        <v>0</v>
      </c>
    </row>
    <row r="116" spans="1:9" ht="15.75" x14ac:dyDescent="0.25">
      <c r="A116" s="8"/>
      <c r="B116" s="8"/>
      <c r="C116" s="9"/>
      <c r="D116" s="12" t="s">
        <v>112</v>
      </c>
      <c r="E116" s="16"/>
      <c r="F116" s="16"/>
      <c r="G116" s="16"/>
      <c r="H116" s="16"/>
      <c r="I116" s="13">
        <f t="shared" si="1"/>
        <v>0</v>
      </c>
    </row>
    <row r="117" spans="1:9" ht="15.75" x14ac:dyDescent="0.25">
      <c r="A117" s="8"/>
      <c r="B117" s="8"/>
      <c r="C117" s="9"/>
      <c r="D117" s="12" t="s">
        <v>113</v>
      </c>
      <c r="E117" s="16"/>
      <c r="F117" s="16"/>
      <c r="G117" s="16"/>
      <c r="H117" s="16"/>
      <c r="I117" s="13">
        <f t="shared" si="1"/>
        <v>0</v>
      </c>
    </row>
    <row r="118" spans="1:9" ht="15.75" x14ac:dyDescent="0.25">
      <c r="A118" s="8"/>
      <c r="B118" s="8"/>
      <c r="C118" s="9"/>
      <c r="D118" s="12" t="s">
        <v>114</v>
      </c>
      <c r="E118" s="16"/>
      <c r="F118" s="16"/>
      <c r="G118" s="16"/>
      <c r="H118" s="16"/>
      <c r="I118" s="13">
        <f t="shared" si="1"/>
        <v>0</v>
      </c>
    </row>
    <row r="119" spans="1:9" ht="15.75" x14ac:dyDescent="0.25">
      <c r="A119" s="8"/>
      <c r="B119" s="8"/>
      <c r="C119" s="9"/>
      <c r="D119" s="12" t="s">
        <v>115</v>
      </c>
      <c r="E119" s="16"/>
      <c r="F119" s="16"/>
      <c r="G119" s="16"/>
      <c r="H119" s="16"/>
      <c r="I119" s="13">
        <f t="shared" si="1"/>
        <v>0</v>
      </c>
    </row>
    <row r="120" spans="1:9" ht="15.75" x14ac:dyDescent="0.25">
      <c r="A120" s="8"/>
      <c r="B120" s="8"/>
      <c r="C120" s="9"/>
      <c r="D120" s="12" t="s">
        <v>116</v>
      </c>
      <c r="E120" s="16"/>
      <c r="F120" s="16"/>
      <c r="G120" s="16"/>
      <c r="H120" s="16"/>
      <c r="I120" s="13">
        <f t="shared" si="1"/>
        <v>0</v>
      </c>
    </row>
    <row r="121" spans="1:9" ht="15.75" x14ac:dyDescent="0.25">
      <c r="A121" s="8"/>
      <c r="B121" s="8"/>
      <c r="C121" s="9"/>
      <c r="D121" s="12" t="s">
        <v>117</v>
      </c>
      <c r="E121" s="16"/>
      <c r="F121" s="16"/>
      <c r="G121" s="16"/>
      <c r="H121" s="16"/>
      <c r="I121" s="13">
        <f t="shared" si="1"/>
        <v>0</v>
      </c>
    </row>
    <row r="122" spans="1:9" ht="15.75" x14ac:dyDescent="0.25">
      <c r="A122" s="8"/>
      <c r="B122" s="8"/>
      <c r="C122" s="9"/>
      <c r="D122" s="12" t="s">
        <v>118</v>
      </c>
      <c r="E122" s="16"/>
      <c r="F122" s="16"/>
      <c r="G122" s="16"/>
      <c r="H122" s="16"/>
      <c r="I122" s="13">
        <f t="shared" si="1"/>
        <v>0</v>
      </c>
    </row>
    <row r="123" spans="1:9" ht="15.75" x14ac:dyDescent="0.25">
      <c r="A123" s="8"/>
      <c r="B123" s="8"/>
      <c r="C123" s="9"/>
      <c r="D123" s="12" t="s">
        <v>119</v>
      </c>
      <c r="E123" s="16"/>
      <c r="F123" s="16"/>
      <c r="G123" s="16"/>
      <c r="H123" s="16"/>
      <c r="I123" s="13">
        <f t="shared" si="1"/>
        <v>0</v>
      </c>
    </row>
    <row r="124" spans="1:9" ht="15.75" x14ac:dyDescent="0.25">
      <c r="A124" s="8"/>
      <c r="B124" s="8"/>
      <c r="C124" s="9"/>
      <c r="D124" s="12" t="s">
        <v>120</v>
      </c>
      <c r="E124" s="16"/>
      <c r="F124" s="16"/>
      <c r="G124" s="16"/>
      <c r="H124" s="16"/>
      <c r="I124" s="13">
        <f t="shared" si="1"/>
        <v>0</v>
      </c>
    </row>
    <row r="125" spans="1:9" ht="15.75" x14ac:dyDescent="0.25">
      <c r="A125" s="8"/>
      <c r="B125" s="8"/>
      <c r="C125" s="9"/>
      <c r="D125" s="12" t="s">
        <v>121</v>
      </c>
      <c r="E125" s="16"/>
      <c r="F125" s="16"/>
      <c r="G125" s="16"/>
      <c r="H125" s="16"/>
      <c r="I125" s="13">
        <f t="shared" si="1"/>
        <v>0</v>
      </c>
    </row>
    <row r="126" spans="1:9" ht="15.75" x14ac:dyDescent="0.25">
      <c r="A126" s="8"/>
      <c r="B126" s="8"/>
      <c r="C126" s="9"/>
      <c r="D126" s="12" t="s">
        <v>122</v>
      </c>
      <c r="E126" s="16"/>
      <c r="F126" s="16"/>
      <c r="G126" s="16"/>
      <c r="H126" s="16"/>
      <c r="I126" s="13">
        <f t="shared" si="1"/>
        <v>0</v>
      </c>
    </row>
    <row r="127" spans="1:9" ht="15.75" x14ac:dyDescent="0.25">
      <c r="A127" s="8"/>
      <c r="B127" s="8"/>
      <c r="C127" s="9"/>
      <c r="D127" s="12" t="s">
        <v>123</v>
      </c>
      <c r="E127" s="16"/>
      <c r="F127" s="16"/>
      <c r="G127" s="16"/>
      <c r="H127" s="16"/>
      <c r="I127" s="13">
        <f t="shared" si="1"/>
        <v>0</v>
      </c>
    </row>
    <row r="128" spans="1:9" ht="15.75" x14ac:dyDescent="0.25">
      <c r="A128" s="8"/>
      <c r="B128" s="8"/>
      <c r="C128" s="9"/>
      <c r="D128" s="12" t="s">
        <v>124</v>
      </c>
      <c r="E128" s="16"/>
      <c r="F128" s="16"/>
      <c r="G128" s="16"/>
      <c r="H128" s="16"/>
      <c r="I128" s="13">
        <f t="shared" si="1"/>
        <v>0</v>
      </c>
    </row>
    <row r="129" spans="1:9" ht="15.75" x14ac:dyDescent="0.25">
      <c r="A129" s="8"/>
      <c r="B129" s="8"/>
      <c r="C129" s="9"/>
      <c r="D129" s="12" t="s">
        <v>125</v>
      </c>
      <c r="E129" s="16"/>
      <c r="F129" s="16"/>
      <c r="G129" s="16"/>
      <c r="H129" s="16"/>
      <c r="I129" s="13">
        <f t="shared" si="1"/>
        <v>0</v>
      </c>
    </row>
    <row r="130" spans="1:9" ht="15.75" x14ac:dyDescent="0.25">
      <c r="A130" s="8"/>
      <c r="B130" s="8"/>
      <c r="C130" s="9"/>
      <c r="D130" s="12" t="s">
        <v>126</v>
      </c>
      <c r="E130" s="16"/>
      <c r="F130" s="16"/>
      <c r="G130" s="16"/>
      <c r="H130" s="16"/>
      <c r="I130" s="13">
        <f t="shared" si="1"/>
        <v>0</v>
      </c>
    </row>
    <row r="131" spans="1:9" ht="15.75" x14ac:dyDescent="0.25">
      <c r="A131" s="8"/>
      <c r="B131" s="8"/>
      <c r="C131" s="9"/>
      <c r="D131" s="12" t="s">
        <v>127</v>
      </c>
      <c r="E131" s="16"/>
      <c r="F131" s="16"/>
      <c r="G131" s="16"/>
      <c r="H131" s="16"/>
      <c r="I131" s="13">
        <f t="shared" si="1"/>
        <v>0</v>
      </c>
    </row>
    <row r="132" spans="1:9" ht="15.75" x14ac:dyDescent="0.25">
      <c r="A132" s="8"/>
      <c r="B132" s="8"/>
      <c r="C132" s="9"/>
      <c r="D132" s="12" t="s">
        <v>128</v>
      </c>
      <c r="E132" s="16"/>
      <c r="F132" s="16"/>
      <c r="G132" s="16"/>
      <c r="H132" s="16"/>
      <c r="I132" s="13">
        <f t="shared" si="1"/>
        <v>0</v>
      </c>
    </row>
    <row r="133" spans="1:9" ht="15.75" x14ac:dyDescent="0.25">
      <c r="A133" s="8"/>
      <c r="B133" s="8"/>
      <c r="C133" s="9"/>
      <c r="D133" s="12" t="s">
        <v>129</v>
      </c>
      <c r="E133" s="16"/>
      <c r="F133" s="16"/>
      <c r="G133" s="16"/>
      <c r="H133" s="16"/>
      <c r="I133" s="13">
        <f t="shared" si="1"/>
        <v>0</v>
      </c>
    </row>
    <row r="134" spans="1:9" ht="15.75" x14ac:dyDescent="0.25">
      <c r="A134" s="8"/>
      <c r="B134" s="8"/>
      <c r="C134" s="9"/>
      <c r="D134" s="12" t="s">
        <v>130</v>
      </c>
      <c r="E134" s="16"/>
      <c r="F134" s="16"/>
      <c r="G134" s="16"/>
      <c r="H134" s="16"/>
      <c r="I134" s="13">
        <f t="shared" si="1"/>
        <v>0</v>
      </c>
    </row>
    <row r="135" spans="1:9" ht="15.75" x14ac:dyDescent="0.25">
      <c r="A135" s="8"/>
      <c r="B135" s="8"/>
      <c r="C135" s="9"/>
      <c r="D135" s="12" t="s">
        <v>131</v>
      </c>
      <c r="E135" s="16"/>
      <c r="F135" s="16"/>
      <c r="G135" s="16"/>
      <c r="H135" s="16"/>
      <c r="I135" s="13">
        <f t="shared" si="1"/>
        <v>0</v>
      </c>
    </row>
    <row r="136" spans="1:9" ht="15.75" x14ac:dyDescent="0.25">
      <c r="A136" s="8"/>
      <c r="B136" s="8"/>
      <c r="C136" s="9"/>
      <c r="D136" s="12" t="s">
        <v>132</v>
      </c>
      <c r="E136" s="16"/>
      <c r="F136" s="16"/>
      <c r="G136" s="16"/>
      <c r="H136" s="16"/>
      <c r="I136" s="13">
        <f t="shared" si="1"/>
        <v>0</v>
      </c>
    </row>
    <row r="137" spans="1:9" ht="15.75" x14ac:dyDescent="0.25">
      <c r="A137" s="8"/>
      <c r="B137" s="8"/>
      <c r="C137" s="9"/>
      <c r="D137" s="12" t="s">
        <v>133</v>
      </c>
      <c r="E137" s="16"/>
      <c r="F137" s="16"/>
      <c r="G137" s="16"/>
      <c r="H137" s="16"/>
      <c r="I137" s="13">
        <f t="shared" si="1"/>
        <v>0</v>
      </c>
    </row>
    <row r="138" spans="1:9" ht="15.75" x14ac:dyDescent="0.25">
      <c r="A138" s="8"/>
      <c r="B138" s="8"/>
      <c r="C138" s="9"/>
      <c r="D138" s="12" t="s">
        <v>134</v>
      </c>
      <c r="E138" s="16"/>
      <c r="F138" s="16"/>
      <c r="G138" s="16"/>
      <c r="H138" s="16"/>
      <c r="I138" s="13">
        <f t="shared" ref="I138:I144" si="2">SUM(E138:H138)</f>
        <v>0</v>
      </c>
    </row>
    <row r="139" spans="1:9" ht="15.75" x14ac:dyDescent="0.25">
      <c r="A139" s="8"/>
      <c r="B139" s="8"/>
      <c r="C139" s="9"/>
      <c r="D139" s="12" t="s">
        <v>135</v>
      </c>
      <c r="E139" s="16"/>
      <c r="F139" s="16"/>
      <c r="G139" s="16"/>
      <c r="H139" s="16"/>
      <c r="I139" s="13">
        <f t="shared" si="2"/>
        <v>0</v>
      </c>
    </row>
    <row r="140" spans="1:9" ht="15.75" x14ac:dyDescent="0.25">
      <c r="A140" s="8"/>
      <c r="B140" s="8"/>
      <c r="C140" s="9"/>
      <c r="D140" s="12" t="s">
        <v>136</v>
      </c>
      <c r="E140" s="16"/>
      <c r="F140" s="16"/>
      <c r="G140" s="16"/>
      <c r="H140" s="16"/>
      <c r="I140" s="13">
        <f t="shared" si="2"/>
        <v>0</v>
      </c>
    </row>
    <row r="141" spans="1:9" ht="15.75" x14ac:dyDescent="0.25">
      <c r="A141" s="8"/>
      <c r="B141" s="8"/>
      <c r="C141" s="9"/>
      <c r="D141" s="12" t="s">
        <v>137</v>
      </c>
      <c r="E141" s="16"/>
      <c r="F141" s="16"/>
      <c r="G141" s="16"/>
      <c r="H141" s="16"/>
      <c r="I141" s="13">
        <f t="shared" si="2"/>
        <v>0</v>
      </c>
    </row>
    <row r="142" spans="1:9" ht="15.75" x14ac:dyDescent="0.25">
      <c r="A142" s="8"/>
      <c r="B142" s="8"/>
      <c r="C142" s="9"/>
      <c r="D142" s="12" t="s">
        <v>138</v>
      </c>
      <c r="E142" s="16"/>
      <c r="F142" s="16"/>
      <c r="G142" s="16"/>
      <c r="H142" s="16"/>
      <c r="I142" s="13">
        <f t="shared" si="2"/>
        <v>0</v>
      </c>
    </row>
    <row r="143" spans="1:9" ht="15.75" x14ac:dyDescent="0.25">
      <c r="A143" s="8"/>
      <c r="B143" s="8"/>
      <c r="C143" s="9"/>
      <c r="D143" s="12" t="s">
        <v>139</v>
      </c>
      <c r="E143" s="16"/>
      <c r="F143" s="16"/>
      <c r="G143" s="16"/>
      <c r="H143" s="16"/>
      <c r="I143" s="13">
        <f t="shared" si="2"/>
        <v>0</v>
      </c>
    </row>
    <row r="144" spans="1:9" ht="15.75" x14ac:dyDescent="0.25">
      <c r="A144" s="8"/>
      <c r="B144" s="8"/>
      <c r="C144" s="9"/>
      <c r="D144" s="12" t="s">
        <v>140</v>
      </c>
      <c r="E144" s="16"/>
      <c r="F144" s="16"/>
      <c r="G144" s="16"/>
      <c r="H144" s="16"/>
      <c r="I144" s="13">
        <f t="shared" si="2"/>
        <v>0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0</v>
      </c>
      <c r="F145" s="22">
        <f>SUM(F10:F144)</f>
        <v>0</v>
      </c>
      <c r="G145" s="22">
        <f>SUM(G10:G144)</f>
        <v>0</v>
      </c>
      <c r="H145" s="22">
        <f>SUM(H10:H144)</f>
        <v>0</v>
      </c>
      <c r="I145" s="22">
        <f>SUM(I10:I144)</f>
        <v>0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6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44AEAC"/>
    <pageSetUpPr fitToPage="1"/>
  </sheetPr>
  <dimension ref="A1:I145"/>
  <sheetViews>
    <sheetView showGridLines="0" zoomScale="80" zoomScaleNormal="80" workbookViewId="0">
      <selection activeCell="E10" sqref="E10:H144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1.5" style="2" customWidth="1"/>
    <col min="6" max="7" width="20.6640625" style="2" customWidth="1"/>
    <col min="8" max="8" width="21" style="2" customWidth="1"/>
    <col min="9" max="9" width="22.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146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/>
      <c r="F10" s="16"/>
      <c r="G10" s="16"/>
      <c r="H10" s="16"/>
      <c r="I10" s="13">
        <f>SUM(E10:H10)</f>
        <v>0</v>
      </c>
    </row>
    <row r="11" spans="1:9" ht="15.75" x14ac:dyDescent="0.25">
      <c r="A11" s="8"/>
      <c r="B11" s="8"/>
      <c r="C11" s="9"/>
      <c r="D11" s="12" t="s">
        <v>7</v>
      </c>
      <c r="E11" s="16"/>
      <c r="F11" s="16"/>
      <c r="G11" s="16"/>
      <c r="H11" s="16"/>
      <c r="I11" s="13">
        <f t="shared" ref="I11:I73" si="0">SUM(E11:H11)</f>
        <v>0</v>
      </c>
    </row>
    <row r="12" spans="1:9" ht="15.75" x14ac:dyDescent="0.25">
      <c r="A12" s="8"/>
      <c r="B12" s="8"/>
      <c r="C12" s="9"/>
      <c r="D12" s="12" t="s">
        <v>8</v>
      </c>
      <c r="E12" s="16"/>
      <c r="F12" s="16"/>
      <c r="G12" s="16"/>
      <c r="H12" s="16"/>
      <c r="I12" s="13">
        <f t="shared" si="0"/>
        <v>0</v>
      </c>
    </row>
    <row r="13" spans="1:9" ht="15.75" x14ac:dyDescent="0.25">
      <c r="A13" s="8"/>
      <c r="B13" s="8"/>
      <c r="C13" s="9"/>
      <c r="D13" s="12" t="s">
        <v>9</v>
      </c>
      <c r="E13" s="16"/>
      <c r="F13" s="16"/>
      <c r="G13" s="16"/>
      <c r="H13" s="16"/>
      <c r="I13" s="13">
        <f t="shared" si="0"/>
        <v>0</v>
      </c>
    </row>
    <row r="14" spans="1:9" ht="15.75" x14ac:dyDescent="0.25">
      <c r="A14" s="8"/>
      <c r="B14" s="8"/>
      <c r="C14" s="9"/>
      <c r="D14" s="12" t="s">
        <v>10</v>
      </c>
      <c r="E14" s="16"/>
      <c r="F14" s="16"/>
      <c r="G14" s="16"/>
      <c r="H14" s="16"/>
      <c r="I14" s="13">
        <f t="shared" si="0"/>
        <v>0</v>
      </c>
    </row>
    <row r="15" spans="1:9" ht="15.75" x14ac:dyDescent="0.25">
      <c r="A15" s="8"/>
      <c r="B15" s="8"/>
      <c r="C15" s="9"/>
      <c r="D15" s="12" t="s">
        <v>11</v>
      </c>
      <c r="E15" s="16"/>
      <c r="F15" s="16"/>
      <c r="G15" s="16"/>
      <c r="H15" s="16"/>
      <c r="I15" s="13">
        <f t="shared" si="0"/>
        <v>0</v>
      </c>
    </row>
    <row r="16" spans="1:9" ht="15.75" x14ac:dyDescent="0.25">
      <c r="A16" s="8"/>
      <c r="B16" s="8"/>
      <c r="C16" s="9"/>
      <c r="D16" s="12" t="s">
        <v>12</v>
      </c>
      <c r="E16" s="16"/>
      <c r="F16" s="16"/>
      <c r="G16" s="16"/>
      <c r="H16" s="16"/>
      <c r="I16" s="13">
        <f t="shared" si="0"/>
        <v>0</v>
      </c>
    </row>
    <row r="17" spans="1:9" ht="15.75" x14ac:dyDescent="0.25">
      <c r="A17" s="8"/>
      <c r="B17" s="8"/>
      <c r="C17" s="9"/>
      <c r="D17" s="12" t="s">
        <v>13</v>
      </c>
      <c r="E17" s="16"/>
      <c r="F17" s="16"/>
      <c r="G17" s="16"/>
      <c r="H17" s="16"/>
      <c r="I17" s="13">
        <f t="shared" si="0"/>
        <v>0</v>
      </c>
    </row>
    <row r="18" spans="1:9" ht="15.75" x14ac:dyDescent="0.25">
      <c r="A18" s="8"/>
      <c r="B18" s="8"/>
      <c r="C18" s="9"/>
      <c r="D18" s="12" t="s">
        <v>14</v>
      </c>
      <c r="E18" s="16"/>
      <c r="F18" s="16"/>
      <c r="G18" s="16"/>
      <c r="H18" s="16"/>
      <c r="I18" s="13">
        <f t="shared" si="0"/>
        <v>0</v>
      </c>
    </row>
    <row r="19" spans="1:9" ht="15.75" x14ac:dyDescent="0.25">
      <c r="A19" s="8"/>
      <c r="B19" s="8"/>
      <c r="C19" s="9"/>
      <c r="D19" s="12" t="s">
        <v>15</v>
      </c>
      <c r="E19" s="16"/>
      <c r="F19" s="16"/>
      <c r="G19" s="16"/>
      <c r="H19" s="16"/>
      <c r="I19" s="13">
        <f t="shared" si="0"/>
        <v>0</v>
      </c>
    </row>
    <row r="20" spans="1:9" ht="15.75" x14ac:dyDescent="0.25">
      <c r="A20" s="8"/>
      <c r="B20" s="8"/>
      <c r="C20" s="9"/>
      <c r="D20" s="12" t="s">
        <v>16</v>
      </c>
      <c r="E20" s="16"/>
      <c r="F20" s="16"/>
      <c r="G20" s="16"/>
      <c r="H20" s="16"/>
      <c r="I20" s="13">
        <f t="shared" si="0"/>
        <v>0</v>
      </c>
    </row>
    <row r="21" spans="1:9" ht="15.75" x14ac:dyDescent="0.25">
      <c r="A21" s="8"/>
      <c r="B21" s="8"/>
      <c r="C21" s="9"/>
      <c r="D21" s="12" t="s">
        <v>17</v>
      </c>
      <c r="E21" s="16"/>
      <c r="F21" s="16"/>
      <c r="G21" s="16"/>
      <c r="H21" s="16"/>
      <c r="I21" s="13">
        <f t="shared" si="0"/>
        <v>0</v>
      </c>
    </row>
    <row r="22" spans="1:9" ht="15.75" x14ac:dyDescent="0.25">
      <c r="A22" s="8"/>
      <c r="B22" s="8"/>
      <c r="C22" s="9"/>
      <c r="D22" s="12" t="s">
        <v>18</v>
      </c>
      <c r="E22" s="16"/>
      <c r="F22" s="16"/>
      <c r="G22" s="16"/>
      <c r="H22" s="16"/>
      <c r="I22" s="13">
        <f t="shared" si="0"/>
        <v>0</v>
      </c>
    </row>
    <row r="23" spans="1:9" ht="15.75" x14ac:dyDescent="0.25">
      <c r="A23" s="8"/>
      <c r="B23" s="8"/>
      <c r="C23" s="9"/>
      <c r="D23" s="12" t="s">
        <v>19</v>
      </c>
      <c r="E23" s="16"/>
      <c r="F23" s="16"/>
      <c r="G23" s="16"/>
      <c r="H23" s="16"/>
      <c r="I23" s="13">
        <f t="shared" si="0"/>
        <v>0</v>
      </c>
    </row>
    <row r="24" spans="1:9" ht="15.75" x14ac:dyDescent="0.25">
      <c r="A24" s="8"/>
      <c r="B24" s="8"/>
      <c r="C24" s="9"/>
      <c r="D24" s="12" t="s">
        <v>20</v>
      </c>
      <c r="E24" s="16"/>
      <c r="F24" s="16"/>
      <c r="G24" s="16"/>
      <c r="H24" s="16"/>
      <c r="I24" s="13">
        <f t="shared" si="0"/>
        <v>0</v>
      </c>
    </row>
    <row r="25" spans="1:9" ht="15.75" x14ac:dyDescent="0.25">
      <c r="A25" s="8"/>
      <c r="B25" s="8"/>
      <c r="C25" s="9"/>
      <c r="D25" s="12" t="s">
        <v>21</v>
      </c>
      <c r="E25" s="16"/>
      <c r="F25" s="16"/>
      <c r="G25" s="16"/>
      <c r="H25" s="16"/>
      <c r="I25" s="13">
        <f t="shared" si="0"/>
        <v>0</v>
      </c>
    </row>
    <row r="26" spans="1:9" ht="15.75" x14ac:dyDescent="0.25">
      <c r="A26" s="8"/>
      <c r="B26" s="8"/>
      <c r="C26" s="9"/>
      <c r="D26" s="12" t="s">
        <v>22</v>
      </c>
      <c r="E26" s="16"/>
      <c r="F26" s="16"/>
      <c r="G26" s="16"/>
      <c r="H26" s="16"/>
      <c r="I26" s="13">
        <f t="shared" si="0"/>
        <v>0</v>
      </c>
    </row>
    <row r="27" spans="1:9" ht="15.75" x14ac:dyDescent="0.25">
      <c r="A27" s="8"/>
      <c r="B27" s="8"/>
      <c r="C27" s="9"/>
      <c r="D27" s="12" t="s">
        <v>23</v>
      </c>
      <c r="E27" s="16"/>
      <c r="F27" s="16"/>
      <c r="G27" s="16"/>
      <c r="H27" s="16"/>
      <c r="I27" s="13">
        <f t="shared" si="0"/>
        <v>0</v>
      </c>
    </row>
    <row r="28" spans="1:9" ht="15.75" x14ac:dyDescent="0.25">
      <c r="A28" s="8"/>
      <c r="B28" s="8"/>
      <c r="C28" s="9"/>
      <c r="D28" s="12" t="s">
        <v>24</v>
      </c>
      <c r="E28" s="16"/>
      <c r="F28" s="16"/>
      <c r="G28" s="16"/>
      <c r="H28" s="16"/>
      <c r="I28" s="13">
        <f t="shared" si="0"/>
        <v>0</v>
      </c>
    </row>
    <row r="29" spans="1:9" ht="15.75" x14ac:dyDescent="0.25">
      <c r="A29" s="8"/>
      <c r="B29" s="8"/>
      <c r="C29" s="9"/>
      <c r="D29" s="12" t="s">
        <v>25</v>
      </c>
      <c r="E29" s="16"/>
      <c r="F29" s="16"/>
      <c r="G29" s="16"/>
      <c r="H29" s="16"/>
      <c r="I29" s="13">
        <f t="shared" si="0"/>
        <v>0</v>
      </c>
    </row>
    <row r="30" spans="1:9" ht="15.75" x14ac:dyDescent="0.25">
      <c r="A30" s="8"/>
      <c r="B30" s="8"/>
      <c r="C30" s="9"/>
      <c r="D30" s="12" t="s">
        <v>26</v>
      </c>
      <c r="E30" s="16"/>
      <c r="F30" s="16"/>
      <c r="G30" s="16"/>
      <c r="H30" s="16"/>
      <c r="I30" s="13">
        <f t="shared" si="0"/>
        <v>0</v>
      </c>
    </row>
    <row r="31" spans="1:9" ht="15.75" x14ac:dyDescent="0.25">
      <c r="A31" s="8"/>
      <c r="B31" s="8"/>
      <c r="C31" s="9"/>
      <c r="D31" s="12" t="s">
        <v>27</v>
      </c>
      <c r="E31" s="16"/>
      <c r="F31" s="16"/>
      <c r="G31" s="16"/>
      <c r="H31" s="16"/>
      <c r="I31" s="13">
        <f t="shared" si="0"/>
        <v>0</v>
      </c>
    </row>
    <row r="32" spans="1:9" ht="15.75" x14ac:dyDescent="0.25">
      <c r="A32" s="8"/>
      <c r="B32" s="8"/>
      <c r="C32" s="9"/>
      <c r="D32" s="12" t="s">
        <v>28</v>
      </c>
      <c r="E32" s="16"/>
      <c r="F32" s="16"/>
      <c r="G32" s="16"/>
      <c r="H32" s="16"/>
      <c r="I32" s="13">
        <f t="shared" si="0"/>
        <v>0</v>
      </c>
    </row>
    <row r="33" spans="1:9" ht="15.75" x14ac:dyDescent="0.25">
      <c r="A33" s="8"/>
      <c r="B33" s="8"/>
      <c r="C33" s="9"/>
      <c r="D33" s="12" t="s">
        <v>29</v>
      </c>
      <c r="E33" s="16"/>
      <c r="F33" s="16"/>
      <c r="G33" s="16"/>
      <c r="H33" s="16"/>
      <c r="I33" s="13">
        <f t="shared" si="0"/>
        <v>0</v>
      </c>
    </row>
    <row r="34" spans="1:9" ht="15.75" x14ac:dyDescent="0.25">
      <c r="A34" s="8"/>
      <c r="B34" s="8"/>
      <c r="C34" s="9"/>
      <c r="D34" s="12" t="s">
        <v>30</v>
      </c>
      <c r="E34" s="16"/>
      <c r="F34" s="16"/>
      <c r="G34" s="16"/>
      <c r="H34" s="16"/>
      <c r="I34" s="13">
        <f t="shared" si="0"/>
        <v>0</v>
      </c>
    </row>
    <row r="35" spans="1:9" ht="15.75" x14ac:dyDescent="0.25">
      <c r="A35" s="8"/>
      <c r="B35" s="8"/>
      <c r="C35" s="9"/>
      <c r="D35" s="12" t="s">
        <v>31</v>
      </c>
      <c r="E35" s="16"/>
      <c r="F35" s="16"/>
      <c r="G35" s="16"/>
      <c r="H35" s="16"/>
      <c r="I35" s="13">
        <f t="shared" si="0"/>
        <v>0</v>
      </c>
    </row>
    <row r="36" spans="1:9" ht="15.75" x14ac:dyDescent="0.25">
      <c r="A36" s="8"/>
      <c r="B36" s="8"/>
      <c r="C36" s="9"/>
      <c r="D36" s="12" t="s">
        <v>32</v>
      </c>
      <c r="E36" s="16"/>
      <c r="F36" s="16"/>
      <c r="G36" s="16"/>
      <c r="H36" s="16"/>
      <c r="I36" s="13">
        <f t="shared" si="0"/>
        <v>0</v>
      </c>
    </row>
    <row r="37" spans="1:9" ht="15.75" x14ac:dyDescent="0.25">
      <c r="A37" s="8"/>
      <c r="B37" s="8"/>
      <c r="C37" s="9"/>
      <c r="D37" s="12" t="s">
        <v>33</v>
      </c>
      <c r="E37" s="16"/>
      <c r="F37" s="16"/>
      <c r="G37" s="16"/>
      <c r="H37" s="16"/>
      <c r="I37" s="13">
        <f t="shared" si="0"/>
        <v>0</v>
      </c>
    </row>
    <row r="38" spans="1:9" ht="15.75" x14ac:dyDescent="0.25">
      <c r="A38" s="8"/>
      <c r="B38" s="8"/>
      <c r="C38" s="9"/>
      <c r="D38" s="12" t="s">
        <v>34</v>
      </c>
      <c r="E38" s="16"/>
      <c r="F38" s="16"/>
      <c r="G38" s="16"/>
      <c r="H38" s="16"/>
      <c r="I38" s="13">
        <f t="shared" si="0"/>
        <v>0</v>
      </c>
    </row>
    <row r="39" spans="1:9" ht="15.75" x14ac:dyDescent="0.25">
      <c r="A39" s="8"/>
      <c r="B39" s="8"/>
      <c r="C39" s="9"/>
      <c r="D39" s="12" t="s">
        <v>35</v>
      </c>
      <c r="E39" s="16"/>
      <c r="F39" s="16"/>
      <c r="G39" s="16"/>
      <c r="H39" s="16"/>
      <c r="I39" s="13">
        <f t="shared" si="0"/>
        <v>0</v>
      </c>
    </row>
    <row r="40" spans="1:9" ht="15.75" x14ac:dyDescent="0.25">
      <c r="A40" s="8"/>
      <c r="B40" s="8"/>
      <c r="C40" s="9"/>
      <c r="D40" s="12" t="s">
        <v>36</v>
      </c>
      <c r="E40" s="16"/>
      <c r="F40" s="16"/>
      <c r="G40" s="16"/>
      <c r="H40" s="16"/>
      <c r="I40" s="13">
        <f t="shared" si="0"/>
        <v>0</v>
      </c>
    </row>
    <row r="41" spans="1:9" ht="15.75" x14ac:dyDescent="0.25">
      <c r="A41" s="8"/>
      <c r="B41" s="8"/>
      <c r="C41" s="9"/>
      <c r="D41" s="12" t="s">
        <v>37</v>
      </c>
      <c r="E41" s="16"/>
      <c r="F41" s="16"/>
      <c r="G41" s="16"/>
      <c r="H41" s="16"/>
      <c r="I41" s="13">
        <f t="shared" si="0"/>
        <v>0</v>
      </c>
    </row>
    <row r="42" spans="1:9" ht="15.75" x14ac:dyDescent="0.25">
      <c r="A42" s="8"/>
      <c r="B42" s="8"/>
      <c r="C42" s="9"/>
      <c r="D42" s="12" t="s">
        <v>38</v>
      </c>
      <c r="E42" s="16"/>
      <c r="F42" s="16"/>
      <c r="G42" s="16"/>
      <c r="H42" s="16"/>
      <c r="I42" s="13">
        <f t="shared" si="0"/>
        <v>0</v>
      </c>
    </row>
    <row r="43" spans="1:9" ht="15.75" x14ac:dyDescent="0.25">
      <c r="A43" s="8"/>
      <c r="B43" s="8"/>
      <c r="C43" s="9"/>
      <c r="D43" s="12" t="s">
        <v>39</v>
      </c>
      <c r="E43" s="16"/>
      <c r="F43" s="16"/>
      <c r="G43" s="16"/>
      <c r="H43" s="16"/>
      <c r="I43" s="13">
        <f t="shared" si="0"/>
        <v>0</v>
      </c>
    </row>
    <row r="44" spans="1:9" ht="15.75" x14ac:dyDescent="0.25">
      <c r="A44" s="8"/>
      <c r="B44" s="8"/>
      <c r="C44" s="9"/>
      <c r="D44" s="12" t="s">
        <v>40</v>
      </c>
      <c r="E44" s="16"/>
      <c r="F44" s="16"/>
      <c r="G44" s="16"/>
      <c r="H44" s="16"/>
      <c r="I44" s="13">
        <f t="shared" si="0"/>
        <v>0</v>
      </c>
    </row>
    <row r="45" spans="1:9" ht="15.75" x14ac:dyDescent="0.25">
      <c r="A45" s="8"/>
      <c r="B45" s="8"/>
      <c r="C45" s="9"/>
      <c r="D45" s="12" t="s">
        <v>41</v>
      </c>
      <c r="E45" s="16"/>
      <c r="F45" s="16"/>
      <c r="G45" s="16"/>
      <c r="H45" s="16"/>
      <c r="I45" s="13">
        <f t="shared" si="0"/>
        <v>0</v>
      </c>
    </row>
    <row r="46" spans="1:9" ht="15.75" x14ac:dyDescent="0.25">
      <c r="A46" s="8"/>
      <c r="B46" s="8"/>
      <c r="C46" s="9"/>
      <c r="D46" s="12" t="s">
        <v>42</v>
      </c>
      <c r="E46" s="16"/>
      <c r="F46" s="16"/>
      <c r="G46" s="16"/>
      <c r="H46" s="16"/>
      <c r="I46" s="13">
        <f t="shared" si="0"/>
        <v>0</v>
      </c>
    </row>
    <row r="47" spans="1:9" ht="15.75" x14ac:dyDescent="0.25">
      <c r="A47" s="8"/>
      <c r="B47" s="8"/>
      <c r="C47" s="9"/>
      <c r="D47" s="12" t="s">
        <v>43</v>
      </c>
      <c r="E47" s="16"/>
      <c r="F47" s="16"/>
      <c r="G47" s="16"/>
      <c r="H47" s="16"/>
      <c r="I47" s="13">
        <f t="shared" si="0"/>
        <v>0</v>
      </c>
    </row>
    <row r="48" spans="1:9" ht="15.75" x14ac:dyDescent="0.25">
      <c r="A48" s="8"/>
      <c r="B48" s="8"/>
      <c r="C48" s="9"/>
      <c r="D48" s="12" t="s">
        <v>44</v>
      </c>
      <c r="E48" s="16"/>
      <c r="F48" s="16"/>
      <c r="G48" s="16"/>
      <c r="H48" s="16"/>
      <c r="I48" s="13">
        <f t="shared" si="0"/>
        <v>0</v>
      </c>
    </row>
    <row r="49" spans="1:9" ht="15.75" x14ac:dyDescent="0.25">
      <c r="A49" s="8"/>
      <c r="B49" s="8"/>
      <c r="C49" s="9"/>
      <c r="D49" s="12" t="s">
        <v>45</v>
      </c>
      <c r="E49" s="16"/>
      <c r="F49" s="16"/>
      <c r="G49" s="16"/>
      <c r="H49" s="16"/>
      <c r="I49" s="13">
        <f t="shared" si="0"/>
        <v>0</v>
      </c>
    </row>
    <row r="50" spans="1:9" ht="15.75" x14ac:dyDescent="0.25">
      <c r="A50" s="8"/>
      <c r="B50" s="8"/>
      <c r="C50" s="9"/>
      <c r="D50" s="12" t="s">
        <v>46</v>
      </c>
      <c r="E50" s="16"/>
      <c r="F50" s="16"/>
      <c r="G50" s="16"/>
      <c r="H50" s="16"/>
      <c r="I50" s="13">
        <f t="shared" si="0"/>
        <v>0</v>
      </c>
    </row>
    <row r="51" spans="1:9" ht="15.75" x14ac:dyDescent="0.25">
      <c r="A51" s="8"/>
      <c r="B51" s="8"/>
      <c r="C51" s="9"/>
      <c r="D51" s="12" t="s">
        <v>47</v>
      </c>
      <c r="E51" s="16"/>
      <c r="F51" s="16"/>
      <c r="G51" s="16"/>
      <c r="H51" s="16"/>
      <c r="I51" s="13">
        <f t="shared" si="0"/>
        <v>0</v>
      </c>
    </row>
    <row r="52" spans="1:9" ht="15.75" x14ac:dyDescent="0.25">
      <c r="A52" s="8"/>
      <c r="B52" s="8"/>
      <c r="C52" s="9"/>
      <c r="D52" s="12" t="s">
        <v>48</v>
      </c>
      <c r="E52" s="16"/>
      <c r="F52" s="16"/>
      <c r="G52" s="16"/>
      <c r="H52" s="16"/>
      <c r="I52" s="13">
        <f t="shared" si="0"/>
        <v>0</v>
      </c>
    </row>
    <row r="53" spans="1:9" ht="15.75" x14ac:dyDescent="0.25">
      <c r="A53" s="8"/>
      <c r="B53" s="8"/>
      <c r="C53" s="9"/>
      <c r="D53" s="12" t="s">
        <v>49</v>
      </c>
      <c r="E53" s="16"/>
      <c r="F53" s="16"/>
      <c r="G53" s="16"/>
      <c r="H53" s="16"/>
      <c r="I53" s="13">
        <f t="shared" si="0"/>
        <v>0</v>
      </c>
    </row>
    <row r="54" spans="1:9" ht="15.75" x14ac:dyDescent="0.25">
      <c r="A54" s="8"/>
      <c r="B54" s="8"/>
      <c r="C54" s="9"/>
      <c r="D54" s="12" t="s">
        <v>50</v>
      </c>
      <c r="E54" s="16"/>
      <c r="F54" s="16"/>
      <c r="G54" s="16"/>
      <c r="H54" s="16"/>
      <c r="I54" s="13">
        <f t="shared" si="0"/>
        <v>0</v>
      </c>
    </row>
    <row r="55" spans="1:9" ht="15.75" x14ac:dyDescent="0.25">
      <c r="A55" s="8"/>
      <c r="B55" s="8"/>
      <c r="C55" s="9"/>
      <c r="D55" s="12" t="s">
        <v>51</v>
      </c>
      <c r="E55" s="16"/>
      <c r="F55" s="16"/>
      <c r="G55" s="16"/>
      <c r="H55" s="16"/>
      <c r="I55" s="13">
        <f t="shared" si="0"/>
        <v>0</v>
      </c>
    </row>
    <row r="56" spans="1:9" ht="15.75" x14ac:dyDescent="0.25">
      <c r="A56" s="8"/>
      <c r="B56" s="8"/>
      <c r="C56" s="9"/>
      <c r="D56" s="12" t="s">
        <v>52</v>
      </c>
      <c r="E56" s="16"/>
      <c r="F56" s="16"/>
      <c r="G56" s="16"/>
      <c r="H56" s="16"/>
      <c r="I56" s="13">
        <f t="shared" si="0"/>
        <v>0</v>
      </c>
    </row>
    <row r="57" spans="1:9" ht="15.75" x14ac:dyDescent="0.25">
      <c r="A57" s="8"/>
      <c r="B57" s="8"/>
      <c r="C57" s="9"/>
      <c r="D57" s="12" t="s">
        <v>53</v>
      </c>
      <c r="E57" s="16"/>
      <c r="F57" s="16"/>
      <c r="G57" s="16"/>
      <c r="H57" s="16"/>
      <c r="I57" s="13">
        <f t="shared" si="0"/>
        <v>0</v>
      </c>
    </row>
    <row r="58" spans="1:9" ht="15.75" x14ac:dyDescent="0.25">
      <c r="A58" s="8"/>
      <c r="B58" s="8"/>
      <c r="C58" s="9"/>
      <c r="D58" s="12" t="s">
        <v>54</v>
      </c>
      <c r="E58" s="16"/>
      <c r="F58" s="16"/>
      <c r="G58" s="16"/>
      <c r="H58" s="16"/>
      <c r="I58" s="13">
        <f t="shared" si="0"/>
        <v>0</v>
      </c>
    </row>
    <row r="59" spans="1:9" ht="15.75" x14ac:dyDescent="0.25">
      <c r="A59" s="8"/>
      <c r="B59" s="8"/>
      <c r="C59" s="9"/>
      <c r="D59" s="12" t="s">
        <v>55</v>
      </c>
      <c r="E59" s="16"/>
      <c r="F59" s="16"/>
      <c r="G59" s="16"/>
      <c r="H59" s="16"/>
      <c r="I59" s="13">
        <f t="shared" si="0"/>
        <v>0</v>
      </c>
    </row>
    <row r="60" spans="1:9" ht="15.75" x14ac:dyDescent="0.25">
      <c r="A60" s="8"/>
      <c r="B60" s="8"/>
      <c r="C60" s="9"/>
      <c r="D60" s="12" t="s">
        <v>56</v>
      </c>
      <c r="E60" s="16"/>
      <c r="F60" s="16"/>
      <c r="G60" s="16"/>
      <c r="H60" s="16"/>
      <c r="I60" s="13">
        <f t="shared" si="0"/>
        <v>0</v>
      </c>
    </row>
    <row r="61" spans="1:9" ht="15.75" x14ac:dyDescent="0.25">
      <c r="A61" s="8"/>
      <c r="B61" s="8"/>
      <c r="C61" s="9"/>
      <c r="D61" s="12" t="s">
        <v>57</v>
      </c>
      <c r="E61" s="16"/>
      <c r="F61" s="16"/>
      <c r="G61" s="16"/>
      <c r="H61" s="16"/>
      <c r="I61" s="13">
        <f t="shared" si="0"/>
        <v>0</v>
      </c>
    </row>
    <row r="62" spans="1:9" ht="15.75" x14ac:dyDescent="0.25">
      <c r="A62" s="8"/>
      <c r="B62" s="8"/>
      <c r="C62" s="9"/>
      <c r="D62" s="12" t="s">
        <v>58</v>
      </c>
      <c r="E62" s="16"/>
      <c r="F62" s="16"/>
      <c r="G62" s="16"/>
      <c r="H62" s="16"/>
      <c r="I62" s="13">
        <f t="shared" si="0"/>
        <v>0</v>
      </c>
    </row>
    <row r="63" spans="1:9" ht="15.75" x14ac:dyDescent="0.25">
      <c r="A63" s="8"/>
      <c r="B63" s="8"/>
      <c r="C63" s="9"/>
      <c r="D63" s="12" t="s">
        <v>59</v>
      </c>
      <c r="E63" s="16"/>
      <c r="F63" s="16"/>
      <c r="G63" s="16"/>
      <c r="H63" s="16"/>
      <c r="I63" s="13">
        <f t="shared" si="0"/>
        <v>0</v>
      </c>
    </row>
    <row r="64" spans="1:9" ht="15.75" x14ac:dyDescent="0.25">
      <c r="A64" s="8"/>
      <c r="B64" s="8"/>
      <c r="C64" s="9"/>
      <c r="D64" s="12" t="s">
        <v>60</v>
      </c>
      <c r="E64" s="16"/>
      <c r="F64" s="16"/>
      <c r="G64" s="16"/>
      <c r="H64" s="16"/>
      <c r="I64" s="13">
        <f t="shared" si="0"/>
        <v>0</v>
      </c>
    </row>
    <row r="65" spans="1:9" ht="15.75" x14ac:dyDescent="0.25">
      <c r="A65" s="8"/>
      <c r="B65" s="8"/>
      <c r="C65" s="9"/>
      <c r="D65" s="12" t="s">
        <v>61</v>
      </c>
      <c r="E65" s="16"/>
      <c r="F65" s="16"/>
      <c r="G65" s="16"/>
      <c r="H65" s="16"/>
      <c r="I65" s="13">
        <f t="shared" si="0"/>
        <v>0</v>
      </c>
    </row>
    <row r="66" spans="1:9" ht="15.75" x14ac:dyDescent="0.25">
      <c r="A66" s="8"/>
      <c r="B66" s="8"/>
      <c r="C66" s="9"/>
      <c r="D66" s="12" t="s">
        <v>62</v>
      </c>
      <c r="E66" s="16"/>
      <c r="F66" s="16"/>
      <c r="G66" s="16"/>
      <c r="H66" s="16"/>
      <c r="I66" s="13">
        <f t="shared" si="0"/>
        <v>0</v>
      </c>
    </row>
    <row r="67" spans="1:9" ht="15.75" x14ac:dyDescent="0.25">
      <c r="A67" s="8"/>
      <c r="B67" s="8"/>
      <c r="C67" s="9"/>
      <c r="D67" s="12" t="s">
        <v>63</v>
      </c>
      <c r="E67" s="16"/>
      <c r="F67" s="16"/>
      <c r="G67" s="16"/>
      <c r="H67" s="16"/>
      <c r="I67" s="13">
        <f t="shared" si="0"/>
        <v>0</v>
      </c>
    </row>
    <row r="68" spans="1:9" ht="15.75" x14ac:dyDescent="0.25">
      <c r="A68" s="8"/>
      <c r="B68" s="8"/>
      <c r="C68" s="9"/>
      <c r="D68" s="12" t="s">
        <v>64</v>
      </c>
      <c r="E68" s="16"/>
      <c r="F68" s="16"/>
      <c r="G68" s="16"/>
      <c r="H68" s="16"/>
      <c r="I68" s="13">
        <f t="shared" si="0"/>
        <v>0</v>
      </c>
    </row>
    <row r="69" spans="1:9" ht="15.75" x14ac:dyDescent="0.25">
      <c r="A69" s="8"/>
      <c r="B69" s="8"/>
      <c r="C69" s="9"/>
      <c r="D69" s="12" t="s">
        <v>65</v>
      </c>
      <c r="E69" s="16"/>
      <c r="F69" s="16"/>
      <c r="G69" s="16"/>
      <c r="H69" s="16"/>
      <c r="I69" s="13">
        <f t="shared" si="0"/>
        <v>0</v>
      </c>
    </row>
    <row r="70" spans="1:9" ht="15.75" x14ac:dyDescent="0.25">
      <c r="A70" s="8"/>
      <c r="B70" s="8"/>
      <c r="C70" s="9"/>
      <c r="D70" s="12" t="s">
        <v>66</v>
      </c>
      <c r="E70" s="16"/>
      <c r="F70" s="16"/>
      <c r="G70" s="16"/>
      <c r="H70" s="16"/>
      <c r="I70" s="13">
        <f t="shared" si="0"/>
        <v>0</v>
      </c>
    </row>
    <row r="71" spans="1:9" ht="15.75" x14ac:dyDescent="0.25">
      <c r="A71" s="8"/>
      <c r="B71" s="8"/>
      <c r="C71" s="9"/>
      <c r="D71" s="12" t="s">
        <v>67</v>
      </c>
      <c r="E71" s="16"/>
      <c r="F71" s="16"/>
      <c r="G71" s="16"/>
      <c r="H71" s="16"/>
      <c r="I71" s="13">
        <f t="shared" si="0"/>
        <v>0</v>
      </c>
    </row>
    <row r="72" spans="1:9" ht="15.75" x14ac:dyDescent="0.25">
      <c r="A72" s="8"/>
      <c r="B72" s="8"/>
      <c r="C72" s="9"/>
      <c r="D72" s="12" t="s">
        <v>68</v>
      </c>
      <c r="E72" s="16"/>
      <c r="F72" s="16"/>
      <c r="G72" s="16"/>
      <c r="H72" s="16"/>
      <c r="I72" s="13">
        <f t="shared" si="0"/>
        <v>0</v>
      </c>
    </row>
    <row r="73" spans="1:9" ht="15.75" x14ac:dyDescent="0.25">
      <c r="A73" s="8"/>
      <c r="B73" s="8"/>
      <c r="C73" s="9"/>
      <c r="D73" s="12" t="s">
        <v>69</v>
      </c>
      <c r="E73" s="16"/>
      <c r="F73" s="16"/>
      <c r="G73" s="16"/>
      <c r="H73" s="16"/>
      <c r="I73" s="13">
        <f t="shared" si="0"/>
        <v>0</v>
      </c>
    </row>
    <row r="74" spans="1:9" ht="15.75" x14ac:dyDescent="0.25">
      <c r="A74" s="8"/>
      <c r="B74" s="8"/>
      <c r="C74" s="9"/>
      <c r="D74" s="12" t="s">
        <v>70</v>
      </c>
      <c r="E74" s="16"/>
      <c r="F74" s="16"/>
      <c r="G74" s="16"/>
      <c r="H74" s="16"/>
      <c r="I74" s="13">
        <f t="shared" ref="I74:I137" si="1">SUM(E74:H74)</f>
        <v>0</v>
      </c>
    </row>
    <row r="75" spans="1:9" ht="15.75" x14ac:dyDescent="0.25">
      <c r="A75" s="8"/>
      <c r="B75" s="8"/>
      <c r="C75" s="9"/>
      <c r="D75" s="12" t="s">
        <v>71</v>
      </c>
      <c r="E75" s="16"/>
      <c r="F75" s="16"/>
      <c r="G75" s="16"/>
      <c r="H75" s="16"/>
      <c r="I75" s="13">
        <f t="shared" si="1"/>
        <v>0</v>
      </c>
    </row>
    <row r="76" spans="1:9" ht="15.75" x14ac:dyDescent="0.25">
      <c r="A76" s="8"/>
      <c r="B76" s="8"/>
      <c r="C76" s="9"/>
      <c r="D76" s="12" t="s">
        <v>72</v>
      </c>
      <c r="E76" s="16"/>
      <c r="F76" s="16"/>
      <c r="G76" s="16"/>
      <c r="H76" s="16"/>
      <c r="I76" s="13">
        <f t="shared" si="1"/>
        <v>0</v>
      </c>
    </row>
    <row r="77" spans="1:9" ht="15.75" x14ac:dyDescent="0.25">
      <c r="A77" s="8"/>
      <c r="B77" s="8"/>
      <c r="C77" s="9"/>
      <c r="D77" s="12" t="s">
        <v>73</v>
      </c>
      <c r="E77" s="16"/>
      <c r="F77" s="16"/>
      <c r="G77" s="16"/>
      <c r="H77" s="16"/>
      <c r="I77" s="13">
        <f t="shared" si="1"/>
        <v>0</v>
      </c>
    </row>
    <row r="78" spans="1:9" ht="15.75" x14ac:dyDescent="0.25">
      <c r="A78" s="8"/>
      <c r="B78" s="8"/>
      <c r="C78" s="9"/>
      <c r="D78" s="12" t="s">
        <v>74</v>
      </c>
      <c r="E78" s="16"/>
      <c r="F78" s="16"/>
      <c r="G78" s="16"/>
      <c r="H78" s="16"/>
      <c r="I78" s="13">
        <f t="shared" si="1"/>
        <v>0</v>
      </c>
    </row>
    <row r="79" spans="1:9" ht="15.75" x14ac:dyDescent="0.25">
      <c r="A79" s="8"/>
      <c r="B79" s="8"/>
      <c r="C79" s="9"/>
      <c r="D79" s="12" t="s">
        <v>75</v>
      </c>
      <c r="E79" s="16"/>
      <c r="F79" s="16"/>
      <c r="G79" s="16"/>
      <c r="H79" s="16"/>
      <c r="I79" s="13">
        <f t="shared" si="1"/>
        <v>0</v>
      </c>
    </row>
    <row r="80" spans="1:9" ht="15.75" x14ac:dyDescent="0.25">
      <c r="A80" s="8"/>
      <c r="B80" s="8"/>
      <c r="C80" s="9"/>
      <c r="D80" s="12" t="s">
        <v>76</v>
      </c>
      <c r="E80" s="16"/>
      <c r="F80" s="16"/>
      <c r="G80" s="16"/>
      <c r="H80" s="16"/>
      <c r="I80" s="13">
        <f t="shared" si="1"/>
        <v>0</v>
      </c>
    </row>
    <row r="81" spans="1:9" ht="15.75" x14ac:dyDescent="0.25">
      <c r="A81" s="8"/>
      <c r="B81" s="8"/>
      <c r="C81" s="9"/>
      <c r="D81" s="12" t="s">
        <v>77</v>
      </c>
      <c r="E81" s="16"/>
      <c r="F81" s="16"/>
      <c r="G81" s="16"/>
      <c r="H81" s="16"/>
      <c r="I81" s="13">
        <f t="shared" si="1"/>
        <v>0</v>
      </c>
    </row>
    <row r="82" spans="1:9" ht="15.75" x14ac:dyDescent="0.25">
      <c r="A82" s="8"/>
      <c r="B82" s="8"/>
      <c r="C82" s="9"/>
      <c r="D82" s="12" t="s">
        <v>78</v>
      </c>
      <c r="E82" s="16"/>
      <c r="F82" s="16"/>
      <c r="G82" s="16"/>
      <c r="H82" s="16"/>
      <c r="I82" s="13">
        <f t="shared" si="1"/>
        <v>0</v>
      </c>
    </row>
    <row r="83" spans="1:9" ht="15.75" x14ac:dyDescent="0.25">
      <c r="A83" s="8"/>
      <c r="B83" s="8"/>
      <c r="C83" s="9"/>
      <c r="D83" s="12" t="s">
        <v>79</v>
      </c>
      <c r="E83" s="16"/>
      <c r="F83" s="16"/>
      <c r="G83" s="16"/>
      <c r="H83" s="16"/>
      <c r="I83" s="13">
        <f t="shared" si="1"/>
        <v>0</v>
      </c>
    </row>
    <row r="84" spans="1:9" ht="15.75" x14ac:dyDescent="0.25">
      <c r="A84" s="8"/>
      <c r="B84" s="8"/>
      <c r="C84" s="9"/>
      <c r="D84" s="12" t="s">
        <v>80</v>
      </c>
      <c r="E84" s="16"/>
      <c r="F84" s="16"/>
      <c r="G84" s="16"/>
      <c r="H84" s="16"/>
      <c r="I84" s="13">
        <f t="shared" si="1"/>
        <v>0</v>
      </c>
    </row>
    <row r="85" spans="1:9" ht="15.75" x14ac:dyDescent="0.25">
      <c r="A85" s="8"/>
      <c r="B85" s="8"/>
      <c r="C85" s="9"/>
      <c r="D85" s="12" t="s">
        <v>81</v>
      </c>
      <c r="E85" s="16"/>
      <c r="F85" s="16"/>
      <c r="G85" s="16"/>
      <c r="H85" s="16"/>
      <c r="I85" s="13">
        <f t="shared" si="1"/>
        <v>0</v>
      </c>
    </row>
    <row r="86" spans="1:9" ht="15.75" x14ac:dyDescent="0.25">
      <c r="A86" s="8"/>
      <c r="B86" s="8"/>
      <c r="C86" s="9"/>
      <c r="D86" s="12" t="s">
        <v>82</v>
      </c>
      <c r="E86" s="16"/>
      <c r="F86" s="16"/>
      <c r="G86" s="16"/>
      <c r="H86" s="16"/>
      <c r="I86" s="13">
        <f t="shared" si="1"/>
        <v>0</v>
      </c>
    </row>
    <row r="87" spans="1:9" ht="15.75" x14ac:dyDescent="0.25">
      <c r="A87" s="8"/>
      <c r="B87" s="8"/>
      <c r="C87" s="9"/>
      <c r="D87" s="12" t="s">
        <v>83</v>
      </c>
      <c r="E87" s="16"/>
      <c r="F87" s="16"/>
      <c r="G87" s="16"/>
      <c r="H87" s="16"/>
      <c r="I87" s="13">
        <f t="shared" si="1"/>
        <v>0</v>
      </c>
    </row>
    <row r="88" spans="1:9" ht="15.75" x14ac:dyDescent="0.25">
      <c r="A88" s="8"/>
      <c r="B88" s="8"/>
      <c r="C88" s="9"/>
      <c r="D88" s="12" t="s">
        <v>84</v>
      </c>
      <c r="E88" s="16"/>
      <c r="F88" s="16"/>
      <c r="G88" s="16"/>
      <c r="H88" s="16"/>
      <c r="I88" s="13">
        <f t="shared" si="1"/>
        <v>0</v>
      </c>
    </row>
    <row r="89" spans="1:9" ht="15.75" x14ac:dyDescent="0.25">
      <c r="A89" s="8"/>
      <c r="B89" s="8"/>
      <c r="C89" s="9"/>
      <c r="D89" s="12" t="s">
        <v>85</v>
      </c>
      <c r="E89" s="16"/>
      <c r="F89" s="16"/>
      <c r="G89" s="16"/>
      <c r="H89" s="16"/>
      <c r="I89" s="13">
        <f t="shared" si="1"/>
        <v>0</v>
      </c>
    </row>
    <row r="90" spans="1:9" ht="15.75" x14ac:dyDescent="0.25">
      <c r="A90" s="8"/>
      <c r="B90" s="8"/>
      <c r="C90" s="9"/>
      <c r="D90" s="12" t="s">
        <v>86</v>
      </c>
      <c r="E90" s="16"/>
      <c r="F90" s="16"/>
      <c r="G90" s="16"/>
      <c r="H90" s="16"/>
      <c r="I90" s="13">
        <f t="shared" si="1"/>
        <v>0</v>
      </c>
    </row>
    <row r="91" spans="1:9" ht="15.75" x14ac:dyDescent="0.25">
      <c r="A91" s="8"/>
      <c r="B91" s="8"/>
      <c r="C91" s="9"/>
      <c r="D91" s="12" t="s">
        <v>87</v>
      </c>
      <c r="E91" s="16"/>
      <c r="F91" s="16"/>
      <c r="G91" s="16"/>
      <c r="H91" s="16"/>
      <c r="I91" s="13">
        <f t="shared" si="1"/>
        <v>0</v>
      </c>
    </row>
    <row r="92" spans="1:9" ht="15.75" x14ac:dyDescent="0.25">
      <c r="A92" s="8"/>
      <c r="B92" s="8"/>
      <c r="C92" s="9"/>
      <c r="D92" s="12" t="s">
        <v>88</v>
      </c>
      <c r="E92" s="16"/>
      <c r="F92" s="16"/>
      <c r="G92" s="16"/>
      <c r="H92" s="16"/>
      <c r="I92" s="13">
        <f t="shared" si="1"/>
        <v>0</v>
      </c>
    </row>
    <row r="93" spans="1:9" ht="15.75" x14ac:dyDescent="0.25">
      <c r="A93" s="8"/>
      <c r="B93" s="8"/>
      <c r="C93" s="9"/>
      <c r="D93" s="12" t="s">
        <v>89</v>
      </c>
      <c r="E93" s="16"/>
      <c r="F93" s="16"/>
      <c r="G93" s="16"/>
      <c r="H93" s="16"/>
      <c r="I93" s="13">
        <f t="shared" si="1"/>
        <v>0</v>
      </c>
    </row>
    <row r="94" spans="1:9" ht="15.75" x14ac:dyDescent="0.25">
      <c r="A94" s="8"/>
      <c r="B94" s="8"/>
      <c r="C94" s="9"/>
      <c r="D94" s="12" t="s">
        <v>90</v>
      </c>
      <c r="E94" s="16"/>
      <c r="F94" s="16"/>
      <c r="G94" s="16"/>
      <c r="H94" s="16"/>
      <c r="I94" s="13">
        <f t="shared" si="1"/>
        <v>0</v>
      </c>
    </row>
    <row r="95" spans="1:9" ht="15.75" x14ac:dyDescent="0.25">
      <c r="A95" s="8"/>
      <c r="B95" s="8"/>
      <c r="C95" s="9"/>
      <c r="D95" s="12" t="s">
        <v>91</v>
      </c>
      <c r="E95" s="16"/>
      <c r="F95" s="16"/>
      <c r="G95" s="16"/>
      <c r="H95" s="16"/>
      <c r="I95" s="13">
        <f t="shared" si="1"/>
        <v>0</v>
      </c>
    </row>
    <row r="96" spans="1:9" ht="15.75" x14ac:dyDescent="0.25">
      <c r="A96" s="8"/>
      <c r="B96" s="8"/>
      <c r="C96" s="9"/>
      <c r="D96" s="12" t="s">
        <v>92</v>
      </c>
      <c r="E96" s="16"/>
      <c r="F96" s="16"/>
      <c r="G96" s="16"/>
      <c r="H96" s="16"/>
      <c r="I96" s="13">
        <f t="shared" si="1"/>
        <v>0</v>
      </c>
    </row>
    <row r="97" spans="1:9" ht="15.75" x14ac:dyDescent="0.25">
      <c r="A97" s="8"/>
      <c r="B97" s="8"/>
      <c r="C97" s="9"/>
      <c r="D97" s="12" t="s">
        <v>93</v>
      </c>
      <c r="E97" s="16"/>
      <c r="F97" s="16"/>
      <c r="G97" s="16"/>
      <c r="H97" s="16"/>
      <c r="I97" s="13">
        <f t="shared" si="1"/>
        <v>0</v>
      </c>
    </row>
    <row r="98" spans="1:9" ht="15.75" x14ac:dyDescent="0.25">
      <c r="A98" s="8"/>
      <c r="B98" s="8"/>
      <c r="C98" s="9"/>
      <c r="D98" s="12" t="s">
        <v>94</v>
      </c>
      <c r="E98" s="16"/>
      <c r="F98" s="16"/>
      <c r="G98" s="16"/>
      <c r="H98" s="16"/>
      <c r="I98" s="13">
        <f t="shared" si="1"/>
        <v>0</v>
      </c>
    </row>
    <row r="99" spans="1:9" ht="15.75" x14ac:dyDescent="0.25">
      <c r="A99" s="8"/>
      <c r="B99" s="8"/>
      <c r="C99" s="9"/>
      <c r="D99" s="12" t="s">
        <v>95</v>
      </c>
      <c r="E99" s="16"/>
      <c r="F99" s="16"/>
      <c r="G99" s="16"/>
      <c r="H99" s="16"/>
      <c r="I99" s="13">
        <f t="shared" si="1"/>
        <v>0</v>
      </c>
    </row>
    <row r="100" spans="1:9" ht="15.75" x14ac:dyDescent="0.25">
      <c r="A100" s="8"/>
      <c r="B100" s="8"/>
      <c r="C100" s="9"/>
      <c r="D100" s="12" t="s">
        <v>96</v>
      </c>
      <c r="E100" s="16"/>
      <c r="F100" s="16"/>
      <c r="G100" s="16"/>
      <c r="H100" s="16"/>
      <c r="I100" s="13">
        <f t="shared" si="1"/>
        <v>0</v>
      </c>
    </row>
    <row r="101" spans="1:9" ht="15.75" x14ac:dyDescent="0.25">
      <c r="A101" s="8"/>
      <c r="B101" s="8"/>
      <c r="C101" s="9"/>
      <c r="D101" s="12" t="s">
        <v>97</v>
      </c>
      <c r="E101" s="16"/>
      <c r="F101" s="16"/>
      <c r="G101" s="16"/>
      <c r="H101" s="16"/>
      <c r="I101" s="13">
        <f t="shared" si="1"/>
        <v>0</v>
      </c>
    </row>
    <row r="102" spans="1:9" ht="15.75" x14ac:dyDescent="0.25">
      <c r="A102" s="8"/>
      <c r="B102" s="8"/>
      <c r="C102" s="9"/>
      <c r="D102" s="12" t="s">
        <v>98</v>
      </c>
      <c r="E102" s="16"/>
      <c r="F102" s="16"/>
      <c r="G102" s="16"/>
      <c r="H102" s="16"/>
      <c r="I102" s="13">
        <f t="shared" si="1"/>
        <v>0</v>
      </c>
    </row>
    <row r="103" spans="1:9" ht="15.75" x14ac:dyDescent="0.25">
      <c r="A103" s="8"/>
      <c r="B103" s="8"/>
      <c r="C103" s="9"/>
      <c r="D103" s="12" t="s">
        <v>99</v>
      </c>
      <c r="E103" s="16"/>
      <c r="F103" s="16"/>
      <c r="G103" s="16"/>
      <c r="H103" s="16"/>
      <c r="I103" s="13">
        <f t="shared" si="1"/>
        <v>0</v>
      </c>
    </row>
    <row r="104" spans="1:9" ht="15.75" x14ac:dyDescent="0.25">
      <c r="A104" s="8"/>
      <c r="B104" s="8"/>
      <c r="C104" s="9"/>
      <c r="D104" s="12" t="s">
        <v>100</v>
      </c>
      <c r="E104" s="16"/>
      <c r="F104" s="16"/>
      <c r="G104" s="16"/>
      <c r="H104" s="16"/>
      <c r="I104" s="13">
        <f t="shared" si="1"/>
        <v>0</v>
      </c>
    </row>
    <row r="105" spans="1:9" ht="15.75" x14ac:dyDescent="0.25">
      <c r="A105" s="8"/>
      <c r="B105" s="8"/>
      <c r="C105" s="9"/>
      <c r="D105" s="12" t="s">
        <v>101</v>
      </c>
      <c r="E105" s="16"/>
      <c r="F105" s="16"/>
      <c r="G105" s="16"/>
      <c r="H105" s="16"/>
      <c r="I105" s="13">
        <f t="shared" si="1"/>
        <v>0</v>
      </c>
    </row>
    <row r="106" spans="1:9" ht="15.75" x14ac:dyDescent="0.25">
      <c r="A106" s="8"/>
      <c r="B106" s="8"/>
      <c r="C106" s="9"/>
      <c r="D106" s="12" t="s">
        <v>102</v>
      </c>
      <c r="E106" s="16"/>
      <c r="F106" s="16"/>
      <c r="G106" s="16"/>
      <c r="H106" s="16"/>
      <c r="I106" s="13">
        <f t="shared" si="1"/>
        <v>0</v>
      </c>
    </row>
    <row r="107" spans="1:9" ht="15.75" x14ac:dyDescent="0.25">
      <c r="A107" s="8"/>
      <c r="B107" s="8"/>
      <c r="C107" s="9"/>
      <c r="D107" s="12" t="s">
        <v>103</v>
      </c>
      <c r="E107" s="16"/>
      <c r="F107" s="16"/>
      <c r="G107" s="16"/>
      <c r="H107" s="16"/>
      <c r="I107" s="13">
        <f t="shared" si="1"/>
        <v>0</v>
      </c>
    </row>
    <row r="108" spans="1:9" ht="15.75" x14ac:dyDescent="0.25">
      <c r="A108" s="8"/>
      <c r="B108" s="8"/>
      <c r="C108" s="9"/>
      <c r="D108" s="12" t="s">
        <v>104</v>
      </c>
      <c r="E108" s="16"/>
      <c r="F108" s="16"/>
      <c r="G108" s="16"/>
      <c r="H108" s="16"/>
      <c r="I108" s="13">
        <f t="shared" si="1"/>
        <v>0</v>
      </c>
    </row>
    <row r="109" spans="1:9" ht="15.75" x14ac:dyDescent="0.25">
      <c r="A109" s="8"/>
      <c r="B109" s="8"/>
      <c r="C109" s="9"/>
      <c r="D109" s="12" t="s">
        <v>105</v>
      </c>
      <c r="E109" s="16"/>
      <c r="F109" s="16"/>
      <c r="G109" s="16"/>
      <c r="H109" s="16"/>
      <c r="I109" s="13">
        <f t="shared" si="1"/>
        <v>0</v>
      </c>
    </row>
    <row r="110" spans="1:9" ht="15.75" x14ac:dyDescent="0.25">
      <c r="A110" s="8"/>
      <c r="B110" s="8"/>
      <c r="C110" s="9"/>
      <c r="D110" s="12" t="s">
        <v>106</v>
      </c>
      <c r="E110" s="16"/>
      <c r="F110" s="16"/>
      <c r="G110" s="16"/>
      <c r="H110" s="16"/>
      <c r="I110" s="13">
        <f t="shared" si="1"/>
        <v>0</v>
      </c>
    </row>
    <row r="111" spans="1:9" ht="15.75" x14ac:dyDescent="0.25">
      <c r="A111" s="8"/>
      <c r="B111" s="8"/>
      <c r="C111" s="9"/>
      <c r="D111" s="12" t="s">
        <v>107</v>
      </c>
      <c r="E111" s="16"/>
      <c r="F111" s="16"/>
      <c r="G111" s="16"/>
      <c r="H111" s="16"/>
      <c r="I111" s="13">
        <f t="shared" si="1"/>
        <v>0</v>
      </c>
    </row>
    <row r="112" spans="1:9" ht="15.75" x14ac:dyDescent="0.25">
      <c r="A112" s="8"/>
      <c r="B112" s="8"/>
      <c r="C112" s="9"/>
      <c r="D112" s="12" t="s">
        <v>108</v>
      </c>
      <c r="E112" s="16"/>
      <c r="F112" s="16"/>
      <c r="G112" s="16"/>
      <c r="H112" s="16"/>
      <c r="I112" s="13">
        <f t="shared" si="1"/>
        <v>0</v>
      </c>
    </row>
    <row r="113" spans="1:9" ht="15.75" x14ac:dyDescent="0.25">
      <c r="A113" s="8"/>
      <c r="B113" s="8"/>
      <c r="C113" s="9"/>
      <c r="D113" s="12" t="s">
        <v>109</v>
      </c>
      <c r="E113" s="16"/>
      <c r="F113" s="16"/>
      <c r="G113" s="16"/>
      <c r="H113" s="16"/>
      <c r="I113" s="13">
        <f t="shared" si="1"/>
        <v>0</v>
      </c>
    </row>
    <row r="114" spans="1:9" ht="15.75" x14ac:dyDescent="0.25">
      <c r="A114" s="8"/>
      <c r="B114" s="8"/>
      <c r="C114" s="9"/>
      <c r="D114" s="12" t="s">
        <v>110</v>
      </c>
      <c r="E114" s="16"/>
      <c r="F114" s="16"/>
      <c r="G114" s="16"/>
      <c r="H114" s="16"/>
      <c r="I114" s="13">
        <f t="shared" si="1"/>
        <v>0</v>
      </c>
    </row>
    <row r="115" spans="1:9" ht="15.75" x14ac:dyDescent="0.25">
      <c r="A115" s="8"/>
      <c r="B115" s="8"/>
      <c r="C115" s="9"/>
      <c r="D115" s="12" t="s">
        <v>111</v>
      </c>
      <c r="E115" s="16"/>
      <c r="F115" s="16"/>
      <c r="G115" s="16"/>
      <c r="H115" s="16"/>
      <c r="I115" s="13">
        <f t="shared" si="1"/>
        <v>0</v>
      </c>
    </row>
    <row r="116" spans="1:9" ht="15.75" x14ac:dyDescent="0.25">
      <c r="A116" s="8"/>
      <c r="B116" s="8"/>
      <c r="C116" s="9"/>
      <c r="D116" s="12" t="s">
        <v>112</v>
      </c>
      <c r="E116" s="16"/>
      <c r="F116" s="16"/>
      <c r="G116" s="16"/>
      <c r="H116" s="16"/>
      <c r="I116" s="13">
        <f t="shared" si="1"/>
        <v>0</v>
      </c>
    </row>
    <row r="117" spans="1:9" ht="15.75" x14ac:dyDescent="0.25">
      <c r="A117" s="8"/>
      <c r="B117" s="8"/>
      <c r="C117" s="9"/>
      <c r="D117" s="12" t="s">
        <v>113</v>
      </c>
      <c r="E117" s="16"/>
      <c r="F117" s="16"/>
      <c r="G117" s="16"/>
      <c r="H117" s="16"/>
      <c r="I117" s="13">
        <f t="shared" si="1"/>
        <v>0</v>
      </c>
    </row>
    <row r="118" spans="1:9" ht="15.75" x14ac:dyDescent="0.25">
      <c r="A118" s="8"/>
      <c r="B118" s="8"/>
      <c r="C118" s="9"/>
      <c r="D118" s="12" t="s">
        <v>114</v>
      </c>
      <c r="E118" s="16"/>
      <c r="F118" s="16"/>
      <c r="G118" s="16"/>
      <c r="H118" s="16"/>
      <c r="I118" s="13">
        <f t="shared" si="1"/>
        <v>0</v>
      </c>
    </row>
    <row r="119" spans="1:9" ht="15.75" x14ac:dyDescent="0.25">
      <c r="A119" s="8"/>
      <c r="B119" s="8"/>
      <c r="C119" s="9"/>
      <c r="D119" s="12" t="s">
        <v>115</v>
      </c>
      <c r="E119" s="16"/>
      <c r="F119" s="16"/>
      <c r="G119" s="16"/>
      <c r="H119" s="16"/>
      <c r="I119" s="13">
        <f t="shared" si="1"/>
        <v>0</v>
      </c>
    </row>
    <row r="120" spans="1:9" ht="15.75" x14ac:dyDescent="0.25">
      <c r="A120" s="8"/>
      <c r="B120" s="8"/>
      <c r="C120" s="9"/>
      <c r="D120" s="12" t="s">
        <v>116</v>
      </c>
      <c r="E120" s="16"/>
      <c r="F120" s="16"/>
      <c r="G120" s="16"/>
      <c r="H120" s="16"/>
      <c r="I120" s="13">
        <f t="shared" si="1"/>
        <v>0</v>
      </c>
    </row>
    <row r="121" spans="1:9" ht="15.75" x14ac:dyDescent="0.25">
      <c r="A121" s="8"/>
      <c r="B121" s="8"/>
      <c r="C121" s="9"/>
      <c r="D121" s="12" t="s">
        <v>117</v>
      </c>
      <c r="E121" s="16"/>
      <c r="F121" s="16"/>
      <c r="G121" s="16"/>
      <c r="H121" s="16"/>
      <c r="I121" s="13">
        <f t="shared" si="1"/>
        <v>0</v>
      </c>
    </row>
    <row r="122" spans="1:9" ht="15.75" x14ac:dyDescent="0.25">
      <c r="A122" s="8"/>
      <c r="B122" s="8"/>
      <c r="C122" s="9"/>
      <c r="D122" s="12" t="s">
        <v>118</v>
      </c>
      <c r="E122" s="16"/>
      <c r="F122" s="16"/>
      <c r="G122" s="16"/>
      <c r="H122" s="16"/>
      <c r="I122" s="13">
        <f t="shared" si="1"/>
        <v>0</v>
      </c>
    </row>
    <row r="123" spans="1:9" ht="15.75" x14ac:dyDescent="0.25">
      <c r="A123" s="8"/>
      <c r="B123" s="8"/>
      <c r="C123" s="9"/>
      <c r="D123" s="12" t="s">
        <v>119</v>
      </c>
      <c r="E123" s="16"/>
      <c r="F123" s="16"/>
      <c r="G123" s="16"/>
      <c r="H123" s="16"/>
      <c r="I123" s="13">
        <f t="shared" si="1"/>
        <v>0</v>
      </c>
    </row>
    <row r="124" spans="1:9" ht="15.75" x14ac:dyDescent="0.25">
      <c r="A124" s="8"/>
      <c r="B124" s="8"/>
      <c r="C124" s="9"/>
      <c r="D124" s="12" t="s">
        <v>120</v>
      </c>
      <c r="E124" s="16"/>
      <c r="F124" s="16"/>
      <c r="G124" s="16"/>
      <c r="H124" s="16"/>
      <c r="I124" s="13">
        <f t="shared" si="1"/>
        <v>0</v>
      </c>
    </row>
    <row r="125" spans="1:9" ht="15.75" x14ac:dyDescent="0.25">
      <c r="A125" s="8"/>
      <c r="B125" s="8"/>
      <c r="C125" s="9"/>
      <c r="D125" s="12" t="s">
        <v>121</v>
      </c>
      <c r="E125" s="16"/>
      <c r="F125" s="16"/>
      <c r="G125" s="16"/>
      <c r="H125" s="16"/>
      <c r="I125" s="13">
        <f t="shared" si="1"/>
        <v>0</v>
      </c>
    </row>
    <row r="126" spans="1:9" ht="15.75" x14ac:dyDescent="0.25">
      <c r="A126" s="8"/>
      <c r="B126" s="8"/>
      <c r="C126" s="9"/>
      <c r="D126" s="12" t="s">
        <v>122</v>
      </c>
      <c r="E126" s="16"/>
      <c r="F126" s="16"/>
      <c r="G126" s="16"/>
      <c r="H126" s="16"/>
      <c r="I126" s="13">
        <f t="shared" si="1"/>
        <v>0</v>
      </c>
    </row>
    <row r="127" spans="1:9" ht="15.75" x14ac:dyDescent="0.25">
      <c r="A127" s="8"/>
      <c r="B127" s="8"/>
      <c r="C127" s="9"/>
      <c r="D127" s="12" t="s">
        <v>123</v>
      </c>
      <c r="E127" s="16"/>
      <c r="F127" s="16"/>
      <c r="G127" s="16"/>
      <c r="H127" s="16"/>
      <c r="I127" s="13">
        <f t="shared" si="1"/>
        <v>0</v>
      </c>
    </row>
    <row r="128" spans="1:9" ht="15.75" x14ac:dyDescent="0.25">
      <c r="A128" s="8"/>
      <c r="B128" s="8"/>
      <c r="C128" s="9"/>
      <c r="D128" s="12" t="s">
        <v>124</v>
      </c>
      <c r="E128" s="16"/>
      <c r="F128" s="16"/>
      <c r="G128" s="16"/>
      <c r="H128" s="16"/>
      <c r="I128" s="13">
        <f t="shared" si="1"/>
        <v>0</v>
      </c>
    </row>
    <row r="129" spans="1:9" ht="15.75" x14ac:dyDescent="0.25">
      <c r="A129" s="8"/>
      <c r="B129" s="8"/>
      <c r="C129" s="9"/>
      <c r="D129" s="12" t="s">
        <v>125</v>
      </c>
      <c r="E129" s="16"/>
      <c r="F129" s="16"/>
      <c r="G129" s="16"/>
      <c r="H129" s="16"/>
      <c r="I129" s="13">
        <f t="shared" si="1"/>
        <v>0</v>
      </c>
    </row>
    <row r="130" spans="1:9" ht="15.75" x14ac:dyDescent="0.25">
      <c r="A130" s="8"/>
      <c r="B130" s="8"/>
      <c r="C130" s="9"/>
      <c r="D130" s="12" t="s">
        <v>126</v>
      </c>
      <c r="E130" s="16"/>
      <c r="F130" s="16"/>
      <c r="G130" s="16"/>
      <c r="H130" s="16"/>
      <c r="I130" s="13">
        <f t="shared" si="1"/>
        <v>0</v>
      </c>
    </row>
    <row r="131" spans="1:9" ht="15.75" x14ac:dyDescent="0.25">
      <c r="A131" s="8"/>
      <c r="B131" s="8"/>
      <c r="C131" s="9"/>
      <c r="D131" s="12" t="s">
        <v>127</v>
      </c>
      <c r="E131" s="16"/>
      <c r="F131" s="16"/>
      <c r="G131" s="16"/>
      <c r="H131" s="16"/>
      <c r="I131" s="13">
        <f t="shared" si="1"/>
        <v>0</v>
      </c>
    </row>
    <row r="132" spans="1:9" ht="15.75" x14ac:dyDescent="0.25">
      <c r="A132" s="8"/>
      <c r="B132" s="8"/>
      <c r="C132" s="9"/>
      <c r="D132" s="12" t="s">
        <v>128</v>
      </c>
      <c r="E132" s="16"/>
      <c r="F132" s="16"/>
      <c r="G132" s="16"/>
      <c r="H132" s="16"/>
      <c r="I132" s="13">
        <f t="shared" si="1"/>
        <v>0</v>
      </c>
    </row>
    <row r="133" spans="1:9" ht="15.75" x14ac:dyDescent="0.25">
      <c r="A133" s="8"/>
      <c r="B133" s="8"/>
      <c r="C133" s="9"/>
      <c r="D133" s="12" t="s">
        <v>129</v>
      </c>
      <c r="E133" s="16"/>
      <c r="F133" s="16"/>
      <c r="G133" s="16"/>
      <c r="H133" s="16"/>
      <c r="I133" s="13">
        <f t="shared" si="1"/>
        <v>0</v>
      </c>
    </row>
    <row r="134" spans="1:9" ht="15.75" x14ac:dyDescent="0.25">
      <c r="A134" s="8"/>
      <c r="B134" s="8"/>
      <c r="C134" s="9"/>
      <c r="D134" s="12" t="s">
        <v>130</v>
      </c>
      <c r="E134" s="16"/>
      <c r="F134" s="16"/>
      <c r="G134" s="16"/>
      <c r="H134" s="16"/>
      <c r="I134" s="13">
        <f t="shared" si="1"/>
        <v>0</v>
      </c>
    </row>
    <row r="135" spans="1:9" ht="15.75" x14ac:dyDescent="0.25">
      <c r="A135" s="8"/>
      <c r="B135" s="8"/>
      <c r="C135" s="9"/>
      <c r="D135" s="12" t="s">
        <v>131</v>
      </c>
      <c r="E135" s="16"/>
      <c r="F135" s="16"/>
      <c r="G135" s="16"/>
      <c r="H135" s="16"/>
      <c r="I135" s="13">
        <f t="shared" si="1"/>
        <v>0</v>
      </c>
    </row>
    <row r="136" spans="1:9" ht="15.75" x14ac:dyDescent="0.25">
      <c r="A136" s="8"/>
      <c r="B136" s="8"/>
      <c r="C136" s="9"/>
      <c r="D136" s="12" t="s">
        <v>132</v>
      </c>
      <c r="E136" s="16"/>
      <c r="F136" s="16"/>
      <c r="G136" s="16"/>
      <c r="H136" s="16"/>
      <c r="I136" s="13">
        <f t="shared" si="1"/>
        <v>0</v>
      </c>
    </row>
    <row r="137" spans="1:9" ht="15.75" x14ac:dyDescent="0.25">
      <c r="A137" s="8"/>
      <c r="B137" s="8"/>
      <c r="C137" s="9"/>
      <c r="D137" s="12" t="s">
        <v>133</v>
      </c>
      <c r="E137" s="16"/>
      <c r="F137" s="16"/>
      <c r="G137" s="16"/>
      <c r="H137" s="16"/>
      <c r="I137" s="13">
        <f t="shared" si="1"/>
        <v>0</v>
      </c>
    </row>
    <row r="138" spans="1:9" ht="15.75" x14ac:dyDescent="0.25">
      <c r="A138" s="8"/>
      <c r="B138" s="8"/>
      <c r="C138" s="9"/>
      <c r="D138" s="12" t="s">
        <v>134</v>
      </c>
      <c r="E138" s="16"/>
      <c r="F138" s="16"/>
      <c r="G138" s="16"/>
      <c r="H138" s="16"/>
      <c r="I138" s="13">
        <f t="shared" ref="I138:I144" si="2">SUM(E138:H138)</f>
        <v>0</v>
      </c>
    </row>
    <row r="139" spans="1:9" ht="15.75" x14ac:dyDescent="0.25">
      <c r="A139" s="8"/>
      <c r="B139" s="8"/>
      <c r="C139" s="9"/>
      <c r="D139" s="12" t="s">
        <v>135</v>
      </c>
      <c r="E139" s="16"/>
      <c r="F139" s="16"/>
      <c r="G139" s="16"/>
      <c r="H139" s="16"/>
      <c r="I139" s="13">
        <f t="shared" si="2"/>
        <v>0</v>
      </c>
    </row>
    <row r="140" spans="1:9" ht="15.75" x14ac:dyDescent="0.25">
      <c r="A140" s="8"/>
      <c r="B140" s="8"/>
      <c r="C140" s="9"/>
      <c r="D140" s="12" t="s">
        <v>136</v>
      </c>
      <c r="E140" s="16"/>
      <c r="F140" s="16"/>
      <c r="G140" s="16"/>
      <c r="H140" s="16"/>
      <c r="I140" s="13">
        <f t="shared" si="2"/>
        <v>0</v>
      </c>
    </row>
    <row r="141" spans="1:9" ht="15.75" x14ac:dyDescent="0.25">
      <c r="A141" s="8"/>
      <c r="B141" s="8"/>
      <c r="C141" s="9"/>
      <c r="D141" s="12" t="s">
        <v>137</v>
      </c>
      <c r="E141" s="16"/>
      <c r="F141" s="16"/>
      <c r="G141" s="16"/>
      <c r="H141" s="16"/>
      <c r="I141" s="13">
        <f t="shared" si="2"/>
        <v>0</v>
      </c>
    </row>
    <row r="142" spans="1:9" ht="15.75" x14ac:dyDescent="0.25">
      <c r="A142" s="8"/>
      <c r="B142" s="8"/>
      <c r="C142" s="9"/>
      <c r="D142" s="12" t="s">
        <v>138</v>
      </c>
      <c r="E142" s="16"/>
      <c r="F142" s="16"/>
      <c r="G142" s="16"/>
      <c r="H142" s="16"/>
      <c r="I142" s="13">
        <f t="shared" si="2"/>
        <v>0</v>
      </c>
    </row>
    <row r="143" spans="1:9" ht="15.75" x14ac:dyDescent="0.25">
      <c r="A143" s="8"/>
      <c r="B143" s="8"/>
      <c r="C143" s="9"/>
      <c r="D143" s="12" t="s">
        <v>139</v>
      </c>
      <c r="E143" s="16"/>
      <c r="F143" s="16"/>
      <c r="G143" s="16"/>
      <c r="H143" s="16"/>
      <c r="I143" s="13">
        <f t="shared" si="2"/>
        <v>0</v>
      </c>
    </row>
    <row r="144" spans="1:9" ht="15.75" x14ac:dyDescent="0.25">
      <c r="A144" s="8"/>
      <c r="B144" s="8"/>
      <c r="C144" s="9"/>
      <c r="D144" s="12" t="s">
        <v>140</v>
      </c>
      <c r="E144" s="16"/>
      <c r="F144" s="16"/>
      <c r="G144" s="16"/>
      <c r="H144" s="16"/>
      <c r="I144" s="13">
        <f t="shared" si="2"/>
        <v>0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0</v>
      </c>
      <c r="F145" s="22">
        <f>SUM(F10:F144)</f>
        <v>0</v>
      </c>
      <c r="G145" s="22">
        <f>SUM(G10:G144)</f>
        <v>0</v>
      </c>
      <c r="H145" s="22">
        <f>SUM(H10:H144)</f>
        <v>0</v>
      </c>
      <c r="I145" s="22">
        <f>SUM(I10:I144)</f>
        <v>0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ECONOMÍA&amp;R&amp;P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>
    <tabColor rgb="FF44AEAC"/>
    <pageSetUpPr fitToPage="1"/>
  </sheetPr>
  <dimension ref="A1:I145"/>
  <sheetViews>
    <sheetView showGridLines="0" zoomScale="80" zoomScaleNormal="80" workbookViewId="0">
      <selection activeCell="D7" sqref="D7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2" style="2" customWidth="1"/>
    <col min="6" max="6" width="21.5" style="2" customWidth="1"/>
    <col min="7" max="7" width="21.83203125" style="2" customWidth="1"/>
    <col min="8" max="8" width="20.1640625" style="2" customWidth="1"/>
    <col min="9" max="9" width="27" style="2" customWidth="1"/>
    <col min="10" max="10" width="21.1640625" style="2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f>+Enero!E10+Febrero!E10+Marzo!E10+Abril!E10+Mayo!E10+Junio!E10+Julio!E10+Agosto!E10+Septiembre!E10+Octubre!E10+Noviembre!E10+Diciembre!E10</f>
        <v>185085596.25999999</v>
      </c>
      <c r="F10" s="14">
        <f>+Enero!F10+Febrero!F10+Marzo!F10+Abril!F10+Mayo!F10+Junio!F10+Julio!F10+Agosto!F10+Septiembre!F10+Octubre!F10+Noviembre!F10+Diciembre!F10</f>
        <v>341145431.95396173</v>
      </c>
      <c r="G10" s="14">
        <f>+Enero!G10+Febrero!G10+Marzo!G10+Abril!G10+Mayo!G10+Junio!G10+Julio!G10+Agosto!G10+Septiembre!G10+Octubre!G10+Noviembre!G10+Diciembre!G10</f>
        <v>24350452.589999996</v>
      </c>
      <c r="H10" s="14">
        <f>+Enero!H10+Febrero!H10+Marzo!H10+Abril!H10+Mayo!H10+Junio!H10+Julio!H10+Agosto!H10+Septiembre!H10+Octubre!H10+Noviembre!H10+Diciembre!H10</f>
        <v>0</v>
      </c>
      <c r="I10" s="13">
        <f t="shared" ref="I10:I41" si="0">SUM(E10:H10)</f>
        <v>550581480.80396175</v>
      </c>
    </row>
    <row r="11" spans="1:9" ht="15.75" x14ac:dyDescent="0.25">
      <c r="A11" s="8"/>
      <c r="B11" s="8"/>
      <c r="C11" s="9"/>
      <c r="D11" s="12" t="s">
        <v>7</v>
      </c>
      <c r="E11" s="14">
        <f>+Enero!E11+Febrero!E11+Marzo!E11+Abril!E11+Mayo!E11+Junio!E11+Julio!E11+Agosto!E11+Septiembre!E11+Octubre!E11+Noviembre!E11+Diciembre!E11</f>
        <v>271147135.44</v>
      </c>
      <c r="F11" s="14">
        <f>+Enero!F11+Febrero!F11+Marzo!F11+Abril!F11+Mayo!F11+Junio!F11+Julio!F11+Agosto!F11+Septiembre!F11+Octubre!F11+Noviembre!F11+Diciembre!F11</f>
        <v>191476564.20334142</v>
      </c>
      <c r="G11" s="14">
        <f>+Enero!G11+Febrero!G11+Marzo!G11+Abril!G11+Mayo!G11+Junio!G11+Julio!G11+Agosto!G11+Septiembre!G11+Octubre!G11+Noviembre!G11+Diciembre!G11</f>
        <v>15927719.91</v>
      </c>
      <c r="H11" s="14">
        <f>+Enero!H11+Febrero!H11+Marzo!H11+Abril!H11+Mayo!H11+Junio!H11+Julio!H11+Agosto!H11+Septiembre!H11+Octubre!H11+Noviembre!H11+Diciembre!H11</f>
        <v>0</v>
      </c>
      <c r="I11" s="13">
        <f t="shared" si="0"/>
        <v>478551419.55334145</v>
      </c>
    </row>
    <row r="12" spans="1:9" ht="15.75" x14ac:dyDescent="0.25">
      <c r="A12" s="8"/>
      <c r="B12" s="8"/>
      <c r="C12" s="9"/>
      <c r="D12" s="12" t="s">
        <v>8</v>
      </c>
      <c r="E12" s="14">
        <f>+Enero!E12+Febrero!E12+Marzo!E12+Abril!E12+Mayo!E12+Junio!E12+Julio!E12+Agosto!E12+Septiembre!E12+Octubre!E12+Noviembre!E12+Diciembre!E12</f>
        <v>251281902.57999995</v>
      </c>
      <c r="F12" s="14">
        <f>+Enero!F12+Febrero!F12+Marzo!F12+Abril!F12+Mayo!F12+Junio!F12+Julio!F12+Agosto!F12+Septiembre!F12+Octubre!F12+Noviembre!F12+Diciembre!F12</f>
        <v>69416731.43871057</v>
      </c>
      <c r="G12" s="14">
        <f>+Enero!G12+Febrero!G12+Marzo!G12+Abril!G12+Mayo!G12+Junio!G12+Julio!G12+Agosto!G12+Septiembre!G12+Octubre!G12+Noviembre!G12+Diciembre!G12</f>
        <v>15001736.390000001</v>
      </c>
      <c r="H12" s="14">
        <f>+Enero!H12+Febrero!H12+Marzo!H12+Abril!H12+Mayo!H12+Junio!H12+Julio!H12+Agosto!H12+Septiembre!H12+Octubre!H12+Noviembre!H12+Diciembre!H12</f>
        <v>0</v>
      </c>
      <c r="I12" s="13">
        <f t="shared" si="0"/>
        <v>335700370.40871048</v>
      </c>
    </row>
    <row r="13" spans="1:9" ht="15.75" x14ac:dyDescent="0.25">
      <c r="A13" s="8"/>
      <c r="B13" s="8"/>
      <c r="C13" s="9"/>
      <c r="D13" s="12" t="s">
        <v>9</v>
      </c>
      <c r="E13" s="14">
        <f>+Enero!E13+Febrero!E13+Marzo!E13+Abril!E13+Mayo!E13+Junio!E13+Julio!E13+Agosto!E13+Septiembre!E13+Octubre!E13+Noviembre!E13+Diciembre!E13</f>
        <v>35478365.469999991</v>
      </c>
      <c r="F13" s="14">
        <f>+Enero!F13+Febrero!F13+Marzo!F13+Abril!F13+Mayo!F13+Junio!F13+Julio!F13+Agosto!F13+Septiembre!F13+Octubre!F13+Noviembre!F13+Diciembre!F13</f>
        <v>1835652.4949201599</v>
      </c>
      <c r="G13" s="14">
        <f>+Enero!G13+Febrero!G13+Marzo!G13+Abril!G13+Mayo!G13+Junio!G13+Julio!G13+Agosto!G13+Septiembre!G13+Octubre!G13+Noviembre!G13+Diciembre!G13</f>
        <v>325064509.77999997</v>
      </c>
      <c r="H13" s="14">
        <f>+Enero!H13+Febrero!H13+Marzo!H13+Abril!H13+Mayo!H13+Junio!H13+Julio!H13+Agosto!H13+Septiembre!H13+Octubre!H13+Noviembre!H13+Diciembre!H13</f>
        <v>0</v>
      </c>
      <c r="I13" s="13">
        <f t="shared" si="0"/>
        <v>362378527.74492013</v>
      </c>
    </row>
    <row r="14" spans="1:9" ht="15.75" x14ac:dyDescent="0.25">
      <c r="A14" s="8"/>
      <c r="B14" s="8"/>
      <c r="C14" s="9"/>
      <c r="D14" s="12" t="s">
        <v>10</v>
      </c>
      <c r="E14" s="14">
        <f>+Enero!E14+Febrero!E14+Marzo!E14+Abril!E14+Mayo!E14+Junio!E14+Julio!E14+Agosto!E14+Septiembre!E14+Octubre!E14+Noviembre!E14+Diciembre!E14</f>
        <v>308036937.38000005</v>
      </c>
      <c r="F14" s="14">
        <f>+Enero!F14+Febrero!F14+Marzo!F14+Abril!F14+Mayo!F14+Junio!F14+Julio!F14+Agosto!F14+Septiembre!F14+Octubre!F14+Noviembre!F14+Diciembre!F14</f>
        <v>77128999.493960321</v>
      </c>
      <c r="G14" s="14">
        <f>+Enero!G14+Febrero!G14+Marzo!G14+Abril!G14+Mayo!G14+Junio!G14+Julio!G14+Agosto!G14+Septiembre!G14+Octubre!G14+Noviembre!G14+Diciembre!G14</f>
        <v>26002904.810000002</v>
      </c>
      <c r="H14" s="14">
        <f>+Enero!H14+Febrero!H14+Marzo!H14+Abril!H14+Mayo!H14+Junio!H14+Julio!H14+Agosto!H14+Septiembre!H14+Octubre!H14+Noviembre!H14+Diciembre!H14</f>
        <v>0</v>
      </c>
      <c r="I14" s="13">
        <f t="shared" si="0"/>
        <v>411168841.68396038</v>
      </c>
    </row>
    <row r="15" spans="1:9" ht="15.75" x14ac:dyDescent="0.25">
      <c r="A15" s="8"/>
      <c r="B15" s="8"/>
      <c r="C15" s="9"/>
      <c r="D15" s="12" t="s">
        <v>11</v>
      </c>
      <c r="E15" s="14">
        <f>+Enero!E15+Febrero!E15+Marzo!E15+Abril!E15+Mayo!E15+Junio!E15+Julio!E15+Agosto!E15+Septiembre!E15+Octubre!E15+Noviembre!E15+Diciembre!E15</f>
        <v>6587940.7700000023</v>
      </c>
      <c r="F15" s="14">
        <f>+Enero!F15+Febrero!F15+Marzo!F15+Abril!F15+Mayo!F15+Junio!F15+Julio!F15+Agosto!F15+Septiembre!F15+Octubre!F15+Noviembre!F15+Diciembre!F15</f>
        <v>428108.28409928014</v>
      </c>
      <c r="G15" s="14">
        <f>+Enero!G15+Febrero!G15+Marzo!G15+Abril!G15+Mayo!G15+Junio!G15+Julio!G15+Agosto!G15+Septiembre!G15+Octubre!G15+Noviembre!G15+Diciembre!G15</f>
        <v>276263772.94</v>
      </c>
      <c r="H15" s="14">
        <f>+Enero!H15+Febrero!H15+Marzo!H15+Abril!H15+Mayo!H15+Junio!H15+Julio!H15+Agosto!H15+Septiembre!H15+Octubre!H15+Noviembre!H15+Diciembre!H15</f>
        <v>0</v>
      </c>
      <c r="I15" s="13">
        <f t="shared" si="0"/>
        <v>283279821.99409926</v>
      </c>
    </row>
    <row r="16" spans="1:9" ht="15.75" x14ac:dyDescent="0.25">
      <c r="A16" s="8"/>
      <c r="B16" s="8"/>
      <c r="C16" s="9"/>
      <c r="D16" s="12" t="s">
        <v>12</v>
      </c>
      <c r="E16" s="14">
        <f>+Enero!E16+Febrero!E16+Marzo!E16+Abril!E16+Mayo!E16+Junio!E16+Julio!E16+Agosto!E16+Septiembre!E16+Octubre!E16+Noviembre!E16+Diciembre!E16</f>
        <v>352705982.38999993</v>
      </c>
      <c r="F16" s="14">
        <f>+Enero!F16+Febrero!F16+Marzo!F16+Abril!F16+Mayo!F16+Junio!F16+Julio!F16+Agosto!F16+Septiembre!F16+Octubre!F16+Noviembre!F16+Diciembre!F16</f>
        <v>367773451.27786374</v>
      </c>
      <c r="G16" s="14">
        <f>+Enero!G16+Febrero!G16+Marzo!G16+Abril!G16+Mayo!G16+Junio!G16+Julio!G16+Agosto!G16+Septiembre!G16+Octubre!G16+Noviembre!G16+Diciembre!G16</f>
        <v>23924483.900000002</v>
      </c>
      <c r="H16" s="14">
        <f>+Enero!H16+Febrero!H16+Marzo!H16+Abril!H16+Mayo!H16+Junio!H16+Julio!H16+Agosto!H16+Septiembre!H16+Octubre!H16+Noviembre!H16+Diciembre!H16</f>
        <v>0</v>
      </c>
      <c r="I16" s="13">
        <f t="shared" si="0"/>
        <v>744403917.56786358</v>
      </c>
    </row>
    <row r="17" spans="1:9" ht="15.75" x14ac:dyDescent="0.25">
      <c r="A17" s="8"/>
      <c r="B17" s="8"/>
      <c r="C17" s="9"/>
      <c r="D17" s="12" t="s">
        <v>13</v>
      </c>
      <c r="E17" s="14">
        <f>+Enero!E17+Febrero!E17+Marzo!E17+Abril!E17+Mayo!E17+Junio!E17+Julio!E17+Agosto!E17+Septiembre!E17+Octubre!E17+Noviembre!E17+Diciembre!E17</f>
        <v>706344659.46000004</v>
      </c>
      <c r="F17" s="14">
        <f>+Enero!F17+Febrero!F17+Marzo!F17+Abril!F17+Mayo!F17+Junio!F17+Julio!F17+Agosto!F17+Septiembre!F17+Octubre!F17+Noviembre!F17+Diciembre!F17</f>
        <v>337900655.51285499</v>
      </c>
      <c r="G17" s="14">
        <f>+Enero!G17+Febrero!G17+Marzo!G17+Abril!G17+Mayo!G17+Junio!G17+Julio!G17+Agosto!G17+Septiembre!G17+Octubre!G17+Noviembre!G17+Diciembre!G17</f>
        <v>73433023.019999996</v>
      </c>
      <c r="H17" s="14">
        <f>+Enero!H17+Febrero!H17+Marzo!H17+Abril!H17+Mayo!H17+Junio!H17+Julio!H17+Agosto!H17+Septiembre!H17+Octubre!H17+Noviembre!H17+Diciembre!H17</f>
        <v>0</v>
      </c>
      <c r="I17" s="13">
        <f t="shared" si="0"/>
        <v>1117678337.9928551</v>
      </c>
    </row>
    <row r="18" spans="1:9" ht="15.75" x14ac:dyDescent="0.25">
      <c r="A18" s="8"/>
      <c r="B18" s="8"/>
      <c r="C18" s="9"/>
      <c r="D18" s="12" t="s">
        <v>14</v>
      </c>
      <c r="E18" s="14">
        <f>+Enero!E18+Febrero!E18+Marzo!E18+Abril!E18+Mayo!E18+Junio!E18+Julio!E18+Agosto!E18+Septiembre!E18+Octubre!E18+Noviembre!E18+Diciembre!E18</f>
        <v>109965115.93000002</v>
      </c>
      <c r="F18" s="14">
        <f>+Enero!F18+Febrero!F18+Marzo!F18+Abril!F18+Mayo!F18+Junio!F18+Julio!F18+Agosto!F18+Septiembre!F18+Octubre!F18+Noviembre!F18+Diciembre!F18</f>
        <v>27545845.57136216</v>
      </c>
      <c r="G18" s="14">
        <f>+Enero!G18+Febrero!G18+Marzo!G18+Abril!G18+Mayo!G18+Junio!G18+Julio!G18+Agosto!G18+Septiembre!G18+Octubre!G18+Noviembre!G18+Diciembre!G18</f>
        <v>432487607.25999999</v>
      </c>
      <c r="H18" s="14">
        <f>+Enero!H18+Febrero!H18+Marzo!H18+Abril!H18+Mayo!H18+Junio!H18+Julio!H18+Agosto!H18+Septiembre!H18+Octubre!H18+Noviembre!H18+Diciembre!H18</f>
        <v>0</v>
      </c>
      <c r="I18" s="13">
        <f t="shared" si="0"/>
        <v>569998568.7613622</v>
      </c>
    </row>
    <row r="19" spans="1:9" ht="15.75" x14ac:dyDescent="0.25">
      <c r="A19" s="8"/>
      <c r="B19" s="8"/>
      <c r="C19" s="9"/>
      <c r="D19" s="12" t="s">
        <v>15</v>
      </c>
      <c r="E19" s="14">
        <f>+Enero!E19+Febrero!E19+Marzo!E19+Abril!E19+Mayo!E19+Junio!E19+Julio!E19+Agosto!E19+Septiembre!E19+Octubre!E19+Noviembre!E19+Diciembre!E19</f>
        <v>742660716.98000002</v>
      </c>
      <c r="F19" s="14">
        <f>+Enero!F19+Febrero!F19+Marzo!F19+Abril!F19+Mayo!F19+Junio!F19+Julio!F19+Agosto!F19+Septiembre!F19+Octubre!F19+Noviembre!F19+Diciembre!F19</f>
        <v>262913777.17475671</v>
      </c>
      <c r="G19" s="14">
        <f>+Enero!G19+Febrero!G19+Marzo!G19+Abril!G19+Mayo!G19+Junio!G19+Julio!G19+Agosto!G19+Septiembre!G19+Octubre!G19+Noviembre!G19+Diciembre!G19</f>
        <v>61582059.860000007</v>
      </c>
      <c r="H19" s="14">
        <f>+Enero!H19+Febrero!H19+Marzo!H19+Abril!H19+Mayo!H19+Junio!H19+Julio!H19+Agosto!H19+Septiembre!H19+Octubre!H19+Noviembre!H19+Diciembre!H19</f>
        <v>0</v>
      </c>
      <c r="I19" s="13">
        <f t="shared" si="0"/>
        <v>1067156554.0147568</v>
      </c>
    </row>
    <row r="20" spans="1:9" ht="15.75" x14ac:dyDescent="0.25">
      <c r="A20" s="8"/>
      <c r="B20" s="8"/>
      <c r="C20" s="9"/>
      <c r="D20" s="12" t="s">
        <v>16</v>
      </c>
      <c r="E20" s="14">
        <f>+Enero!E20+Febrero!E20+Marzo!E20+Abril!E20+Mayo!E20+Junio!E20+Julio!E20+Agosto!E20+Septiembre!E20+Octubre!E20+Noviembre!E20+Diciembre!E20</f>
        <v>273727719.65999997</v>
      </c>
      <c r="F20" s="14">
        <f>+Enero!F20+Febrero!F20+Marzo!F20+Abril!F20+Mayo!F20+Junio!F20+Julio!F20+Agosto!F20+Septiembre!F20+Octubre!F20+Noviembre!F20+Diciembre!F20</f>
        <v>65437378.052562639</v>
      </c>
      <c r="G20" s="14">
        <f>+Enero!G20+Febrero!G20+Marzo!G20+Abril!G20+Mayo!G20+Junio!G20+Julio!G20+Agosto!G20+Septiembre!G20+Octubre!G20+Noviembre!G20+Diciembre!G20</f>
        <v>33806538.609999999</v>
      </c>
      <c r="H20" s="14">
        <f>+Enero!H20+Febrero!H20+Marzo!H20+Abril!H20+Mayo!H20+Junio!H20+Julio!H20+Agosto!H20+Septiembre!H20+Octubre!H20+Noviembre!H20+Diciembre!H20</f>
        <v>0</v>
      </c>
      <c r="I20" s="13">
        <f t="shared" si="0"/>
        <v>372971636.32256263</v>
      </c>
    </row>
    <row r="21" spans="1:9" ht="15.75" x14ac:dyDescent="0.25">
      <c r="A21" s="8"/>
      <c r="B21" s="8"/>
      <c r="C21" s="9"/>
      <c r="D21" s="12" t="s">
        <v>17</v>
      </c>
      <c r="E21" s="14">
        <f>+Enero!E21+Febrero!E21+Marzo!E21+Abril!E21+Mayo!E21+Junio!E21+Julio!E21+Agosto!E21+Septiembre!E21+Octubre!E21+Noviembre!E21+Diciembre!E21</f>
        <v>401433447.54000008</v>
      </c>
      <c r="F21" s="14">
        <f>+Enero!F21+Febrero!F21+Marzo!F21+Abril!F21+Mayo!F21+Junio!F21+Julio!F21+Agosto!F21+Septiembre!F21+Octubre!F21+Noviembre!F21+Diciembre!F21</f>
        <v>314517412.63005966</v>
      </c>
      <c r="G21" s="14">
        <f>+Enero!G21+Febrero!G21+Marzo!G21+Abril!G21+Mayo!G21+Junio!G21+Julio!G21+Agosto!G21+Septiembre!G21+Octubre!G21+Noviembre!G21+Diciembre!G21</f>
        <v>17686072.219999999</v>
      </c>
      <c r="H21" s="14">
        <f>+Enero!H21+Febrero!H21+Marzo!H21+Abril!H21+Mayo!H21+Junio!H21+Julio!H21+Agosto!H21+Septiembre!H21+Octubre!H21+Noviembre!H21+Diciembre!H21</f>
        <v>0</v>
      </c>
      <c r="I21" s="13">
        <f t="shared" si="0"/>
        <v>733636932.39005971</v>
      </c>
    </row>
    <row r="22" spans="1:9" ht="15.75" x14ac:dyDescent="0.25">
      <c r="A22" s="8"/>
      <c r="B22" s="8"/>
      <c r="C22" s="9"/>
      <c r="D22" s="12" t="s">
        <v>18</v>
      </c>
      <c r="E22" s="14">
        <f>+Enero!E22+Febrero!E22+Marzo!E22+Abril!E22+Mayo!E22+Junio!E22+Julio!E22+Agosto!E22+Septiembre!E22+Octubre!E22+Noviembre!E22+Diciembre!E22</f>
        <v>10837652.73</v>
      </c>
      <c r="F22" s="14">
        <f>+Enero!F22+Febrero!F22+Marzo!F22+Abril!F22+Mayo!F22+Junio!F22+Julio!F22+Agosto!F22+Septiembre!F22+Octubre!F22+Noviembre!F22+Diciembre!F22</f>
        <v>13467243.992422003</v>
      </c>
      <c r="G22" s="14">
        <f>+Enero!G22+Febrero!G22+Marzo!G22+Abril!G22+Mayo!G22+Junio!G22+Julio!G22+Agosto!G22+Septiembre!G22+Octubre!G22+Noviembre!G22+Diciembre!G22</f>
        <v>195729607.33000001</v>
      </c>
      <c r="H22" s="14">
        <f>+Enero!H22+Febrero!H22+Marzo!H22+Abril!H22+Mayo!H22+Junio!H22+Julio!H22+Agosto!H22+Septiembre!H22+Octubre!H22+Noviembre!H22+Diciembre!H22</f>
        <v>0</v>
      </c>
      <c r="I22" s="13">
        <f t="shared" si="0"/>
        <v>220034504.05242202</v>
      </c>
    </row>
    <row r="23" spans="1:9" ht="15.75" x14ac:dyDescent="0.25">
      <c r="A23" s="8"/>
      <c r="B23" s="8"/>
      <c r="C23" s="9"/>
      <c r="D23" s="12" t="s">
        <v>19</v>
      </c>
      <c r="E23" s="14">
        <f>+Enero!E23+Febrero!E23+Marzo!E23+Abril!E23+Mayo!E23+Junio!E23+Julio!E23+Agosto!E23+Septiembre!E23+Octubre!E23+Noviembre!E23+Diciembre!E23</f>
        <v>22214835.600000001</v>
      </c>
      <c r="F23" s="14">
        <f>+Enero!F23+Febrero!F23+Marzo!F23+Abril!F23+Mayo!F23+Junio!F23+Julio!F23+Agosto!F23+Septiembre!F23+Octubre!F23+Noviembre!F23+Diciembre!F23</f>
        <v>5018819.25676536</v>
      </c>
      <c r="G23" s="14">
        <f>+Enero!G23+Febrero!G23+Marzo!G23+Abril!G23+Mayo!G23+Junio!G23+Julio!G23+Agosto!G23+Septiembre!G23+Octubre!G23+Noviembre!G23+Diciembre!G23</f>
        <v>88495451.5</v>
      </c>
      <c r="H23" s="14">
        <f>+Enero!H23+Febrero!H23+Marzo!H23+Abril!H23+Mayo!H23+Junio!H23+Julio!H23+Agosto!H23+Septiembre!H23+Octubre!H23+Noviembre!H23+Diciembre!H23</f>
        <v>0</v>
      </c>
      <c r="I23" s="13">
        <f t="shared" si="0"/>
        <v>115729106.35676536</v>
      </c>
    </row>
    <row r="24" spans="1:9" ht="15.75" x14ac:dyDescent="0.25">
      <c r="A24" s="8"/>
      <c r="B24" s="8"/>
      <c r="C24" s="9"/>
      <c r="D24" s="12" t="s">
        <v>20</v>
      </c>
      <c r="E24" s="14">
        <f>+Enero!E24+Febrero!E24+Marzo!E24+Abril!E24+Mayo!E24+Junio!E24+Julio!E24+Agosto!E24+Septiembre!E24+Octubre!E24+Noviembre!E24+Diciembre!E24</f>
        <v>328481782.84999996</v>
      </c>
      <c r="F24" s="14">
        <f>+Enero!F24+Febrero!F24+Marzo!F24+Abril!F24+Mayo!F24+Junio!F24+Julio!F24+Agosto!F24+Septiembre!F24+Octubre!F24+Noviembre!F24+Diciembre!F24</f>
        <v>192885688.14952806</v>
      </c>
      <c r="G24" s="14">
        <f>+Enero!G24+Febrero!G24+Marzo!G24+Abril!G24+Mayo!G24+Junio!G24+Julio!G24+Agosto!G24+Septiembre!G24+Octubre!G24+Noviembre!G24+Diciembre!G24</f>
        <v>48797911.030000001</v>
      </c>
      <c r="H24" s="14">
        <f>+Enero!H24+Febrero!H24+Marzo!H24+Abril!H24+Mayo!H24+Junio!H24+Julio!H24+Agosto!H24+Septiembre!H24+Octubre!H24+Noviembre!H24+Diciembre!H24</f>
        <v>0</v>
      </c>
      <c r="I24" s="13">
        <f t="shared" si="0"/>
        <v>570165382.02952802</v>
      </c>
    </row>
    <row r="25" spans="1:9" ht="15.75" x14ac:dyDescent="0.25">
      <c r="A25" s="8"/>
      <c r="B25" s="8"/>
      <c r="C25" s="9"/>
      <c r="D25" s="12" t="s">
        <v>21</v>
      </c>
      <c r="E25" s="14">
        <f>+Enero!E25+Febrero!E25+Marzo!E25+Abril!E25+Mayo!E25+Junio!E25+Julio!E25+Agosto!E25+Septiembre!E25+Octubre!E25+Noviembre!E25+Diciembre!E25</f>
        <v>268474072.95000005</v>
      </c>
      <c r="F25" s="14">
        <f>+Enero!F25+Febrero!F25+Marzo!F25+Abril!F25+Mayo!F25+Junio!F25+Julio!F25+Agosto!F25+Septiembre!F25+Octubre!F25+Noviembre!F25+Diciembre!F25</f>
        <v>143240924.54766831</v>
      </c>
      <c r="G25" s="14">
        <f>+Enero!G25+Febrero!G25+Marzo!G25+Abril!G25+Mayo!G25+Junio!G25+Julio!G25+Agosto!G25+Septiembre!G25+Octubre!G25+Noviembre!G25+Diciembre!G25</f>
        <v>45575850.699999996</v>
      </c>
      <c r="H25" s="14">
        <f>+Enero!H25+Febrero!H25+Marzo!H25+Abril!H25+Mayo!H25+Junio!H25+Julio!H25+Agosto!H25+Septiembre!H25+Octubre!H25+Noviembre!H25+Diciembre!H25</f>
        <v>0</v>
      </c>
      <c r="I25" s="13">
        <f t="shared" si="0"/>
        <v>457290848.19766837</v>
      </c>
    </row>
    <row r="26" spans="1:9" ht="15.75" x14ac:dyDescent="0.25">
      <c r="A26" s="8"/>
      <c r="B26" s="8"/>
      <c r="C26" s="9"/>
      <c r="D26" s="12" t="s">
        <v>22</v>
      </c>
      <c r="E26" s="14">
        <f>+Enero!E26+Febrero!E26+Marzo!E26+Abril!E26+Mayo!E26+Junio!E26+Julio!E26+Agosto!E26+Septiembre!E26+Octubre!E26+Noviembre!E26+Diciembre!E26</f>
        <v>150861687.62</v>
      </c>
      <c r="F26" s="14">
        <f>+Enero!F26+Febrero!F26+Marzo!F26+Abril!F26+Mayo!F26+Junio!F26+Julio!F26+Agosto!F26+Septiembre!F26+Octubre!F26+Noviembre!F26+Diciembre!F26</f>
        <v>82026179.127568319</v>
      </c>
      <c r="G26" s="14">
        <f>+Enero!G26+Febrero!G26+Marzo!G26+Abril!G26+Mayo!G26+Junio!G26+Julio!G26+Agosto!G26+Septiembre!G26+Octubre!G26+Noviembre!G26+Diciembre!G26</f>
        <v>40707225.799999997</v>
      </c>
      <c r="H26" s="14">
        <f>+Enero!H26+Febrero!H26+Marzo!H26+Abril!H26+Mayo!H26+Junio!H26+Julio!H26+Agosto!H26+Septiembre!H26+Octubre!H26+Noviembre!H26+Diciembre!H26</f>
        <v>0</v>
      </c>
      <c r="I26" s="13">
        <f t="shared" si="0"/>
        <v>273595092.54756832</v>
      </c>
    </row>
    <row r="27" spans="1:9" ht="15.75" x14ac:dyDescent="0.25">
      <c r="A27" s="8"/>
      <c r="B27" s="8"/>
      <c r="C27" s="9"/>
      <c r="D27" s="12" t="s">
        <v>23</v>
      </c>
      <c r="E27" s="14">
        <f>+Enero!E27+Febrero!E27+Marzo!E27+Abril!E27+Mayo!E27+Junio!E27+Julio!E27+Agosto!E27+Septiembre!E27+Octubre!E27+Noviembre!E27+Diciembre!E27</f>
        <v>91207628.13000001</v>
      </c>
      <c r="F27" s="14">
        <f>+Enero!F27+Febrero!F27+Marzo!F27+Abril!F27+Mayo!F27+Junio!F27+Julio!F27+Agosto!F27+Septiembre!F27+Octubre!F27+Noviembre!F27+Diciembre!F27</f>
        <v>14078601.578940161</v>
      </c>
      <c r="G27" s="14">
        <f>+Enero!G27+Febrero!G27+Marzo!G27+Abril!G27+Mayo!G27+Junio!G27+Julio!G27+Agosto!G27+Septiembre!G27+Octubre!G27+Noviembre!G27+Diciembre!G27</f>
        <v>102849528.80000001</v>
      </c>
      <c r="H27" s="14">
        <f>+Enero!H27+Febrero!H27+Marzo!H27+Abril!H27+Mayo!H27+Junio!H27+Julio!H27+Agosto!H27+Septiembre!H27+Octubre!H27+Noviembre!H27+Diciembre!H27</f>
        <v>0</v>
      </c>
      <c r="I27" s="13">
        <f t="shared" si="0"/>
        <v>208135758.50894019</v>
      </c>
    </row>
    <row r="28" spans="1:9" ht="15.75" x14ac:dyDescent="0.25">
      <c r="A28" s="8"/>
      <c r="B28" s="8"/>
      <c r="C28" s="9"/>
      <c r="D28" s="12" t="s">
        <v>24</v>
      </c>
      <c r="E28" s="14">
        <f>+Enero!E28+Febrero!E28+Marzo!E28+Abril!E28+Mayo!E28+Junio!E28+Julio!E28+Agosto!E28+Septiembre!E28+Octubre!E28+Noviembre!E28+Diciembre!E28</f>
        <v>133880815.61000001</v>
      </c>
      <c r="F28" s="14">
        <f>+Enero!F28+Febrero!F28+Marzo!F28+Abril!F28+Mayo!F28+Junio!F28+Julio!F28+Agosto!F28+Septiembre!F28+Octubre!F28+Noviembre!F28+Diciembre!F28</f>
        <v>66723282.640226156</v>
      </c>
      <c r="G28" s="14">
        <f>+Enero!G28+Febrero!G28+Marzo!G28+Abril!G28+Mayo!G28+Junio!G28+Julio!G28+Agosto!G28+Septiembre!G28+Octubre!G28+Noviembre!G28+Diciembre!G28</f>
        <v>44775245.799999997</v>
      </c>
      <c r="H28" s="14">
        <f>+Enero!H28+Febrero!H28+Marzo!H28+Abril!H28+Mayo!H28+Junio!H28+Julio!H28+Agosto!H28+Septiembre!H28+Octubre!H28+Noviembre!H28+Diciembre!H28</f>
        <v>0</v>
      </c>
      <c r="I28" s="13">
        <f t="shared" si="0"/>
        <v>245379344.05022615</v>
      </c>
    </row>
    <row r="29" spans="1:9" ht="15.75" x14ac:dyDescent="0.25">
      <c r="A29" s="8"/>
      <c r="B29" s="8"/>
      <c r="C29" s="9"/>
      <c r="D29" s="12" t="s">
        <v>25</v>
      </c>
      <c r="E29" s="14">
        <f>+Enero!E29+Febrero!E29+Marzo!E29+Abril!E29+Mayo!E29+Junio!E29+Julio!E29+Agosto!E29+Septiembre!E29+Octubre!E29+Noviembre!E29+Diciembre!E29</f>
        <v>131267040.38000001</v>
      </c>
      <c r="F29" s="14">
        <f>+Enero!F29+Febrero!F29+Marzo!F29+Abril!F29+Mayo!F29+Junio!F29+Julio!F29+Agosto!F29+Septiembre!F29+Octubre!F29+Noviembre!F29+Diciembre!F29</f>
        <v>37340204.838578165</v>
      </c>
      <c r="G29" s="14">
        <f>+Enero!G29+Febrero!G29+Marzo!G29+Abril!G29+Mayo!G29+Junio!G29+Julio!G29+Agosto!G29+Septiembre!G29+Octubre!G29+Noviembre!G29+Diciembre!G29</f>
        <v>16828787.399999999</v>
      </c>
      <c r="H29" s="14">
        <f>+Enero!H29+Febrero!H29+Marzo!H29+Abril!H29+Mayo!H29+Junio!H29+Julio!H29+Agosto!H29+Septiembre!H29+Octubre!H29+Noviembre!H29+Diciembre!H29</f>
        <v>0</v>
      </c>
      <c r="I29" s="13">
        <f t="shared" si="0"/>
        <v>185436032.61857817</v>
      </c>
    </row>
    <row r="30" spans="1:9" ht="15.75" x14ac:dyDescent="0.25">
      <c r="A30" s="8"/>
      <c r="B30" s="8"/>
      <c r="C30" s="9"/>
      <c r="D30" s="12" t="s">
        <v>26</v>
      </c>
      <c r="E30" s="14">
        <f>+Enero!E30+Febrero!E30+Marzo!E30+Abril!E30+Mayo!E30+Junio!E30+Julio!E30+Agosto!E30+Septiembre!E30+Octubre!E30+Noviembre!E30+Diciembre!E30</f>
        <v>259939271.64999998</v>
      </c>
      <c r="F30" s="14">
        <f>+Enero!F30+Febrero!F30+Marzo!F30+Abril!F30+Mayo!F30+Junio!F30+Julio!F30+Agosto!F30+Septiembre!F30+Octubre!F30+Noviembre!F30+Diciembre!F30</f>
        <v>201394142.82908052</v>
      </c>
      <c r="G30" s="14">
        <f>+Enero!G30+Febrero!G30+Marzo!G30+Abril!G30+Mayo!G30+Junio!G30+Julio!G30+Agosto!G30+Septiembre!G30+Octubre!G30+Noviembre!G30+Diciembre!G30</f>
        <v>25687262.449999996</v>
      </c>
      <c r="H30" s="14">
        <f>+Enero!H30+Febrero!H30+Marzo!H30+Abril!H30+Mayo!H30+Junio!H30+Julio!H30+Agosto!H30+Septiembre!H30+Octubre!H30+Noviembre!H30+Diciembre!H30</f>
        <v>0</v>
      </c>
      <c r="I30" s="13">
        <f t="shared" si="0"/>
        <v>487020676.92908049</v>
      </c>
    </row>
    <row r="31" spans="1:9" ht="15.75" x14ac:dyDescent="0.25">
      <c r="A31" s="8"/>
      <c r="B31" s="8"/>
      <c r="C31" s="9"/>
      <c r="D31" s="12" t="s">
        <v>27</v>
      </c>
      <c r="E31" s="14">
        <f>+Enero!E31+Febrero!E31+Marzo!E31+Abril!E31+Mayo!E31+Junio!E31+Julio!E31+Agosto!E31+Septiembre!E31+Octubre!E31+Noviembre!E31+Diciembre!E31</f>
        <v>277794346.63999999</v>
      </c>
      <c r="F31" s="14">
        <f>+Enero!F31+Febrero!F31+Marzo!F31+Abril!F31+Mayo!F31+Junio!F31+Julio!F31+Agosto!F31+Septiembre!F31+Octubre!F31+Noviembre!F31+Diciembre!F31</f>
        <v>208739912.2794925</v>
      </c>
      <c r="G31" s="14">
        <f>+Enero!G31+Febrero!G31+Marzo!G31+Abril!G31+Mayo!G31+Junio!G31+Julio!G31+Agosto!G31+Septiembre!G31+Octubre!G31+Noviembre!G31+Diciembre!G31</f>
        <v>17552163.23</v>
      </c>
      <c r="H31" s="14">
        <f>+Enero!H31+Febrero!H31+Marzo!H31+Abril!H31+Mayo!H31+Junio!H31+Julio!H31+Agosto!H31+Septiembre!H31+Octubre!H31+Noviembre!H31+Diciembre!H31</f>
        <v>0</v>
      </c>
      <c r="I31" s="13">
        <f t="shared" si="0"/>
        <v>504086422.1494925</v>
      </c>
    </row>
    <row r="32" spans="1:9" ht="15.75" x14ac:dyDescent="0.25">
      <c r="A32" s="8"/>
      <c r="B32" s="8"/>
      <c r="C32" s="9"/>
      <c r="D32" s="12" t="s">
        <v>28</v>
      </c>
      <c r="E32" s="14">
        <f>+Enero!E32+Febrero!E32+Marzo!E32+Abril!E32+Mayo!E32+Junio!E32+Julio!E32+Agosto!E32+Septiembre!E32+Octubre!E32+Noviembre!E32+Diciembre!E32</f>
        <v>228134675.21000001</v>
      </c>
      <c r="F32" s="14">
        <f>+Enero!F32+Febrero!F32+Marzo!F32+Abril!F32+Mayo!F32+Junio!F32+Julio!F32+Agosto!F32+Septiembre!F32+Octubre!F32+Noviembre!F32+Diciembre!F32</f>
        <v>70457777.044693694</v>
      </c>
      <c r="G32" s="14">
        <f>+Enero!G32+Febrero!G32+Marzo!G32+Abril!G32+Mayo!G32+Junio!G32+Julio!G32+Agosto!G32+Septiembre!G32+Octubre!G32+Noviembre!G32+Diciembre!G32</f>
        <v>14338936.99</v>
      </c>
      <c r="H32" s="14">
        <f>+Enero!H32+Febrero!H32+Marzo!H32+Abril!H32+Mayo!H32+Junio!H32+Julio!H32+Agosto!H32+Septiembre!H32+Octubre!H32+Noviembre!H32+Diciembre!H32</f>
        <v>0</v>
      </c>
      <c r="I32" s="13">
        <f t="shared" si="0"/>
        <v>312931389.2446937</v>
      </c>
    </row>
    <row r="33" spans="1:9" ht="15.75" x14ac:dyDescent="0.25">
      <c r="A33" s="8"/>
      <c r="B33" s="8"/>
      <c r="C33" s="9"/>
      <c r="D33" s="12" t="s">
        <v>29</v>
      </c>
      <c r="E33" s="14">
        <f>+Enero!E33+Febrero!E33+Marzo!E33+Abril!E33+Mayo!E33+Junio!E33+Julio!E33+Agosto!E33+Septiembre!E33+Octubre!E33+Noviembre!E33+Diciembre!E33</f>
        <v>74138758.580000013</v>
      </c>
      <c r="F33" s="14">
        <f>+Enero!F33+Febrero!F33+Marzo!F33+Abril!F33+Mayo!F33+Junio!F33+Julio!F33+Agosto!F33+Septiembre!F33+Octubre!F33+Noviembre!F33+Diciembre!F33</f>
        <v>106512077.29560831</v>
      </c>
      <c r="G33" s="14">
        <f>+Enero!G33+Febrero!G33+Marzo!G33+Abril!G33+Mayo!G33+Junio!G33+Julio!G33+Agosto!G33+Septiembre!G33+Octubre!G33+Noviembre!G33+Diciembre!G33</f>
        <v>14912883.890000001</v>
      </c>
      <c r="H33" s="14">
        <f>+Enero!H33+Febrero!H33+Marzo!H33+Abril!H33+Mayo!H33+Junio!H33+Julio!H33+Agosto!H33+Septiembre!H33+Octubre!H33+Noviembre!H33+Diciembre!H33</f>
        <v>0</v>
      </c>
      <c r="I33" s="13">
        <f t="shared" si="0"/>
        <v>195563719.76560831</v>
      </c>
    </row>
    <row r="34" spans="1:9" ht="15.75" x14ac:dyDescent="0.25">
      <c r="A34" s="8"/>
      <c r="B34" s="8"/>
      <c r="C34" s="9"/>
      <c r="D34" s="12" t="s">
        <v>30</v>
      </c>
      <c r="E34" s="14">
        <f>+Enero!E34+Febrero!E34+Marzo!E34+Abril!E34+Mayo!E34+Junio!E34+Julio!E34+Agosto!E34+Septiembre!E34+Octubre!E34+Noviembre!E34+Diciembre!E34</f>
        <v>619704994.06999993</v>
      </c>
      <c r="F34" s="14">
        <f>+Enero!F34+Febrero!F34+Marzo!F34+Abril!F34+Mayo!F34+Junio!F34+Julio!F34+Agosto!F34+Septiembre!F34+Octubre!F34+Noviembre!F34+Diciembre!F34</f>
        <v>152850454.77709979</v>
      </c>
      <c r="G34" s="14">
        <f>+Enero!G34+Febrero!G34+Marzo!G34+Abril!G34+Mayo!G34+Junio!G34+Julio!G34+Agosto!G34+Septiembre!G34+Octubre!G34+Noviembre!G34+Diciembre!G34</f>
        <v>56366349.669999994</v>
      </c>
      <c r="H34" s="14">
        <f>+Enero!H34+Febrero!H34+Marzo!H34+Abril!H34+Mayo!H34+Junio!H34+Julio!H34+Agosto!H34+Septiembre!H34+Octubre!H34+Noviembre!H34+Diciembre!H34</f>
        <v>0</v>
      </c>
      <c r="I34" s="13">
        <f t="shared" si="0"/>
        <v>828921798.51709974</v>
      </c>
    </row>
    <row r="35" spans="1:9" ht="15.75" x14ac:dyDescent="0.25">
      <c r="A35" s="8"/>
      <c r="B35" s="8"/>
      <c r="C35" s="9"/>
      <c r="D35" s="12" t="s">
        <v>31</v>
      </c>
      <c r="E35" s="14">
        <f>+Enero!E35+Febrero!E35+Marzo!E35+Abril!E35+Mayo!E35+Junio!E35+Julio!E35+Agosto!E35+Septiembre!E35+Octubre!E35+Noviembre!E35+Diciembre!E35</f>
        <v>279981216.47999996</v>
      </c>
      <c r="F35" s="14">
        <f>+Enero!F35+Febrero!F35+Marzo!F35+Abril!F35+Mayo!F35+Junio!F35+Julio!F35+Agosto!F35+Septiembre!F35+Octubre!F35+Noviembre!F35+Diciembre!F35</f>
        <v>224715776.03261432</v>
      </c>
      <c r="G35" s="14">
        <f>+Enero!G35+Febrero!G35+Marzo!G35+Abril!G35+Mayo!G35+Junio!G35+Julio!G35+Agosto!G35+Septiembre!G35+Octubre!G35+Noviembre!G35+Diciembre!G35</f>
        <v>47648348.890000001</v>
      </c>
      <c r="H35" s="14">
        <f>+Enero!H35+Febrero!H35+Marzo!H35+Abril!H35+Mayo!H35+Junio!H35+Julio!H35+Agosto!H35+Septiembre!H35+Octubre!H35+Noviembre!H35+Diciembre!H35</f>
        <v>0</v>
      </c>
      <c r="I35" s="13">
        <f t="shared" si="0"/>
        <v>552345341.40261424</v>
      </c>
    </row>
    <row r="36" spans="1:9" ht="15.75" x14ac:dyDescent="0.25">
      <c r="A36" s="8"/>
      <c r="B36" s="8"/>
      <c r="C36" s="9"/>
      <c r="D36" s="12" t="s">
        <v>32</v>
      </c>
      <c r="E36" s="14">
        <f>+Enero!E36+Febrero!E36+Marzo!E36+Abril!E36+Mayo!E36+Junio!E36+Julio!E36+Agosto!E36+Septiembre!E36+Octubre!E36+Noviembre!E36+Diciembre!E36</f>
        <v>314863786.43000001</v>
      </c>
      <c r="F36" s="14">
        <f>+Enero!F36+Febrero!F36+Marzo!F36+Abril!F36+Mayo!F36+Junio!F36+Julio!F36+Agosto!F36+Septiembre!F36+Octubre!F36+Noviembre!F36+Diciembre!F36</f>
        <v>139444820.46393928</v>
      </c>
      <c r="G36" s="14">
        <f>+Enero!G36+Febrero!G36+Marzo!G36+Abril!G36+Mayo!G36+Junio!G36+Julio!G36+Agosto!G36+Septiembre!G36+Octubre!G36+Noviembre!G36+Diciembre!G36</f>
        <v>72050301.939999998</v>
      </c>
      <c r="H36" s="14">
        <f>+Enero!H36+Febrero!H36+Marzo!H36+Abril!H36+Mayo!H36+Junio!H36+Julio!H36+Agosto!H36+Septiembre!H36+Octubre!H36+Noviembre!H36+Diciembre!H36</f>
        <v>0</v>
      </c>
      <c r="I36" s="13">
        <f t="shared" si="0"/>
        <v>526358908.83393925</v>
      </c>
    </row>
    <row r="37" spans="1:9" ht="15.75" x14ac:dyDescent="0.25">
      <c r="A37" s="8"/>
      <c r="B37" s="8"/>
      <c r="C37" s="9"/>
      <c r="D37" s="12" t="s">
        <v>33</v>
      </c>
      <c r="E37" s="14">
        <f>+Enero!E37+Febrero!E37+Marzo!E37+Abril!E37+Mayo!E37+Junio!E37+Julio!E37+Agosto!E37+Septiembre!E37+Octubre!E37+Noviembre!E37+Diciembre!E37</f>
        <v>323447968.66999996</v>
      </c>
      <c r="F37" s="14">
        <f>+Enero!F37+Febrero!F37+Marzo!F37+Abril!F37+Mayo!F37+Junio!F37+Julio!F37+Agosto!F37+Septiembre!F37+Octubre!F37+Noviembre!F37+Diciembre!F37</f>
        <v>77128999.493960321</v>
      </c>
      <c r="G37" s="14">
        <f>+Enero!G37+Febrero!G37+Marzo!G37+Abril!G37+Mayo!G37+Junio!G37+Julio!G37+Agosto!G37+Septiembre!G37+Octubre!G37+Noviembre!G37+Diciembre!G37</f>
        <v>27837572.210000001</v>
      </c>
      <c r="H37" s="14">
        <f>+Enero!H37+Febrero!H37+Marzo!H37+Abril!H37+Mayo!H37+Junio!H37+Julio!H37+Agosto!H37+Septiembre!H37+Octubre!H37+Noviembre!H37+Diciembre!H37</f>
        <v>0</v>
      </c>
      <c r="I37" s="13">
        <f t="shared" si="0"/>
        <v>428414540.37396026</v>
      </c>
    </row>
    <row r="38" spans="1:9" ht="15.75" x14ac:dyDescent="0.25">
      <c r="A38" s="8"/>
      <c r="B38" s="8"/>
      <c r="C38" s="9"/>
      <c r="D38" s="12" t="s">
        <v>34</v>
      </c>
      <c r="E38" s="14">
        <f>+Enero!E38+Febrero!E38+Marzo!E38+Abril!E38+Mayo!E38+Junio!E38+Julio!E38+Agosto!E38+Septiembre!E38+Octubre!E38+Noviembre!E38+Diciembre!E38</f>
        <v>247525141.14999998</v>
      </c>
      <c r="F38" s="14">
        <f>+Enero!F38+Febrero!F38+Marzo!F38+Abril!F38+Mayo!F38+Junio!F38+Julio!F38+Agosto!F38+Septiembre!F38+Octubre!F38+Noviembre!F38+Diciembre!F38</f>
        <v>167603603.35718527</v>
      </c>
      <c r="G38" s="14">
        <f>+Enero!G38+Febrero!G38+Marzo!G38+Abril!G38+Mayo!G38+Junio!G38+Julio!G38+Agosto!G38+Septiembre!G38+Octubre!G38+Noviembre!G38+Diciembre!G38</f>
        <v>27350049.959999997</v>
      </c>
      <c r="H38" s="14">
        <f>+Enero!H38+Febrero!H38+Marzo!H38+Abril!H38+Mayo!H38+Junio!H38+Julio!H38+Agosto!H38+Septiembre!H38+Octubre!H38+Noviembre!H38+Diciembre!H38</f>
        <v>0</v>
      </c>
      <c r="I38" s="13">
        <f t="shared" si="0"/>
        <v>442478794.4671852</v>
      </c>
    </row>
    <row r="39" spans="1:9" ht="15.75" x14ac:dyDescent="0.25">
      <c r="A39" s="8"/>
      <c r="B39" s="8"/>
      <c r="C39" s="9"/>
      <c r="D39" s="12" t="s">
        <v>35</v>
      </c>
      <c r="E39" s="14">
        <f>+Enero!E39+Febrero!E39+Marzo!E39+Abril!E39+Mayo!E39+Junio!E39+Julio!E39+Agosto!E39+Septiembre!E39+Octubre!E39+Noviembre!E39+Diciembre!E39</f>
        <v>201622715.55000004</v>
      </c>
      <c r="F39" s="14">
        <f>+Enero!F39+Febrero!F39+Marzo!F39+Abril!F39+Mayo!F39+Junio!F39+Julio!F39+Agosto!F39+Septiembre!F39+Octubre!F39+Noviembre!F39+Diciembre!F39</f>
        <v>262424059.21139592</v>
      </c>
      <c r="G39" s="14">
        <f>+Enero!G39+Febrero!G39+Marzo!G39+Abril!G39+Mayo!G39+Junio!G39+Julio!G39+Agosto!G39+Septiembre!G39+Octubre!G39+Noviembre!G39+Diciembre!G39</f>
        <v>21785746.949999999</v>
      </c>
      <c r="H39" s="14">
        <f>+Enero!H39+Febrero!H39+Marzo!H39+Abril!H39+Mayo!H39+Junio!H39+Julio!H39+Agosto!H39+Septiembre!H39+Octubre!H39+Noviembre!H39+Diciembre!H39</f>
        <v>0</v>
      </c>
      <c r="I39" s="13">
        <f t="shared" si="0"/>
        <v>485832521.71139592</v>
      </c>
    </row>
    <row r="40" spans="1:9" ht="15.75" x14ac:dyDescent="0.25">
      <c r="A40" s="8"/>
      <c r="B40" s="8"/>
      <c r="C40" s="9"/>
      <c r="D40" s="12" t="s">
        <v>36</v>
      </c>
      <c r="E40" s="14">
        <f>+Enero!E40+Febrero!E40+Marzo!E40+Abril!E40+Mayo!E40+Junio!E40+Julio!E40+Agosto!E40+Septiembre!E40+Octubre!E40+Noviembre!E40+Diciembre!E40</f>
        <v>28219945.07</v>
      </c>
      <c r="F40" s="14">
        <f>+Enero!F40+Febrero!F40+Marzo!F40+Abril!F40+Mayo!F40+Junio!F40+Julio!F40+Agosto!F40+Septiembre!F40+Octubre!F40+Noviembre!F40+Diciembre!F40</f>
        <v>13773712.653363923</v>
      </c>
      <c r="G40" s="14">
        <f>+Enero!G40+Febrero!G40+Marzo!G40+Abril!G40+Mayo!G40+Junio!G40+Julio!G40+Agosto!G40+Septiembre!G40+Octubre!G40+Noviembre!G40+Diciembre!G40</f>
        <v>16939230.039999999</v>
      </c>
      <c r="H40" s="14">
        <f>+Enero!H40+Febrero!H40+Marzo!H40+Abril!H40+Mayo!H40+Junio!H40+Julio!H40+Agosto!H40+Septiembre!H40+Octubre!H40+Noviembre!H40+Diciembre!H40</f>
        <v>0</v>
      </c>
      <c r="I40" s="13">
        <f t="shared" si="0"/>
        <v>58932887.76336392</v>
      </c>
    </row>
    <row r="41" spans="1:9" ht="15.75" x14ac:dyDescent="0.25">
      <c r="A41" s="8"/>
      <c r="B41" s="8"/>
      <c r="C41" s="9"/>
      <c r="D41" s="12" t="s">
        <v>37</v>
      </c>
      <c r="E41" s="14">
        <f>+Enero!E41+Febrero!E41+Marzo!E41+Abril!E41+Mayo!E41+Junio!E41+Julio!E41+Agosto!E41+Septiembre!E41+Octubre!E41+Noviembre!E41+Diciembre!E41</f>
        <v>396514859.63000005</v>
      </c>
      <c r="F41" s="14">
        <f>+Enero!F41+Febrero!F41+Marzo!F41+Abril!F41+Mayo!F41+Junio!F41+Julio!F41+Agosto!F41+Septiembre!F41+Octubre!F41+Noviembre!F41+Diciembre!F41</f>
        <v>230164283.30884463</v>
      </c>
      <c r="G41" s="14">
        <f>+Enero!G41+Febrero!G41+Marzo!G41+Abril!G41+Mayo!G41+Junio!G41+Julio!G41+Agosto!G41+Septiembre!G41+Octubre!G41+Noviembre!G41+Diciembre!G41</f>
        <v>50814322.74000001</v>
      </c>
      <c r="H41" s="14">
        <f>+Enero!H41+Febrero!H41+Marzo!H41+Abril!H41+Mayo!H41+Junio!H41+Julio!H41+Agosto!H41+Septiembre!H41+Octubre!H41+Noviembre!H41+Diciembre!H41</f>
        <v>0</v>
      </c>
      <c r="I41" s="13">
        <f t="shared" si="0"/>
        <v>677493465.67884469</v>
      </c>
    </row>
    <row r="42" spans="1:9" ht="15.75" x14ac:dyDescent="0.25">
      <c r="A42" s="8"/>
      <c r="B42" s="8"/>
      <c r="C42" s="9"/>
      <c r="D42" s="12" t="s">
        <v>38</v>
      </c>
      <c r="E42" s="14">
        <f>+Enero!E42+Febrero!E42+Marzo!E42+Abril!E42+Mayo!E42+Junio!E42+Julio!E42+Agosto!E42+Septiembre!E42+Octubre!E42+Noviembre!E42+Diciembre!E42</f>
        <v>335313540.74999988</v>
      </c>
      <c r="F42" s="14">
        <f>+Enero!F42+Febrero!F42+Marzo!F42+Abril!F42+Mayo!F42+Junio!F42+Julio!F42+Agosto!F42+Septiembre!F42+Octubre!F42+Noviembre!F42+Diciembre!F42</f>
        <v>249263283.87991589</v>
      </c>
      <c r="G42" s="14">
        <f>+Enero!G42+Febrero!G42+Marzo!G42+Abril!G42+Mayo!G42+Junio!G42+Julio!G42+Agosto!G42+Septiembre!G42+Octubre!G42+Noviembre!G42+Diciembre!G42</f>
        <v>18099032.460000001</v>
      </c>
      <c r="H42" s="14">
        <f>+Enero!H42+Febrero!H42+Marzo!H42+Abril!H42+Mayo!H42+Junio!H42+Julio!H42+Agosto!H42+Septiembre!H42+Octubre!H42+Noviembre!H42+Diciembre!H42</f>
        <v>0</v>
      </c>
      <c r="I42" s="13">
        <f t="shared" ref="I42:I73" si="1">SUM(E42:H42)</f>
        <v>602675857.08991575</v>
      </c>
    </row>
    <row r="43" spans="1:9" ht="15.75" x14ac:dyDescent="0.25">
      <c r="A43" s="8"/>
      <c r="B43" s="8"/>
      <c r="C43" s="9"/>
      <c r="D43" s="12" t="s">
        <v>39</v>
      </c>
      <c r="E43" s="14">
        <f>+Enero!E43+Febrero!E43+Marzo!E43+Abril!E43+Mayo!E43+Junio!E43+Julio!E43+Agosto!E43+Septiembre!E43+Octubre!E43+Noviembre!E43+Diciembre!E43</f>
        <v>66531383.719999999</v>
      </c>
      <c r="F43" s="14">
        <f>+Enero!F43+Febrero!F43+Marzo!F43+Abril!F43+Mayo!F43+Junio!F43+Julio!F43+Agosto!F43+Septiembre!F43+Octubre!F43+Noviembre!F43+Diciembre!F43</f>
        <v>90657853.165643841</v>
      </c>
      <c r="G43" s="14">
        <f>+Enero!G43+Febrero!G43+Marzo!G43+Abril!G43+Mayo!G43+Junio!G43+Julio!G43+Agosto!G43+Septiembre!G43+Octubre!G43+Noviembre!G43+Diciembre!G43</f>
        <v>34436242.579999998</v>
      </c>
      <c r="H43" s="14">
        <f>+Enero!H43+Febrero!H43+Marzo!H43+Abril!H43+Mayo!H43+Junio!H43+Julio!H43+Agosto!H43+Septiembre!H43+Octubre!H43+Noviembre!H43+Diciembre!H43</f>
        <v>0</v>
      </c>
      <c r="I43" s="13">
        <f t="shared" si="1"/>
        <v>191625479.46564382</v>
      </c>
    </row>
    <row r="44" spans="1:9" ht="15.75" x14ac:dyDescent="0.25">
      <c r="A44" s="8"/>
      <c r="B44" s="8"/>
      <c r="C44" s="9"/>
      <c r="D44" s="12" t="s">
        <v>40</v>
      </c>
      <c r="E44" s="14">
        <f>+Enero!E44+Febrero!E44+Marzo!E44+Abril!E44+Mayo!E44+Junio!E44+Julio!E44+Agosto!E44+Septiembre!E44+Octubre!E44+Noviembre!E44+Diciembre!E44</f>
        <v>2387417.6799999997</v>
      </c>
      <c r="F44" s="14">
        <f>+Enero!F44+Febrero!F44+Marzo!F44+Abril!F44+Mayo!F44+Junio!F44+Julio!F44+Agosto!F44+Septiembre!F44+Octubre!F44+Noviembre!F44+Diciembre!F44</f>
        <v>6977691.1102085598</v>
      </c>
      <c r="G44" s="14">
        <f>+Enero!G44+Febrero!G44+Marzo!G44+Abril!G44+Mayo!G44+Junio!G44+Julio!G44+Agosto!G44+Septiembre!G44+Octubre!G44+Noviembre!G44+Diciembre!G44</f>
        <v>52371443.430000007</v>
      </c>
      <c r="H44" s="14">
        <f>+Enero!H44+Febrero!H44+Marzo!H44+Abril!H44+Mayo!H44+Junio!H44+Julio!H44+Agosto!H44+Septiembre!H44+Octubre!H44+Noviembre!H44+Diciembre!H44</f>
        <v>0</v>
      </c>
      <c r="I44" s="13">
        <f t="shared" si="1"/>
        <v>61736552.22020857</v>
      </c>
    </row>
    <row r="45" spans="1:9" ht="15.75" x14ac:dyDescent="0.25">
      <c r="A45" s="8"/>
      <c r="B45" s="8"/>
      <c r="C45" s="9"/>
      <c r="D45" s="12" t="s">
        <v>41</v>
      </c>
      <c r="E45" s="14">
        <f>+Enero!E45+Febrero!E45+Marzo!E45+Abril!E45+Mayo!E45+Junio!E45+Julio!E45+Agosto!E45+Septiembre!E45+Octubre!E45+Noviembre!E45+Diciembre!E45</f>
        <v>116588901.49000001</v>
      </c>
      <c r="F45" s="14">
        <f>+Enero!F45+Febrero!F45+Marzo!F45+Abril!F45+Mayo!F45+Junio!F45+Julio!F45+Agosto!F45+Septiembre!F45+Octubre!F45+Noviembre!F45+Diciembre!F45</f>
        <v>2020481.5327047198</v>
      </c>
      <c r="G45" s="14">
        <f>+Enero!G45+Febrero!G45+Marzo!G45+Abril!G45+Mayo!G45+Junio!G45+Julio!G45+Agosto!G45+Septiembre!G45+Octubre!G45+Noviembre!G45+Diciembre!G45</f>
        <v>140811336.24000001</v>
      </c>
      <c r="H45" s="14">
        <f>+Enero!H45+Febrero!H45+Marzo!H45+Abril!H45+Mayo!H45+Junio!H45+Julio!H45+Agosto!H45+Septiembre!H45+Octubre!H45+Noviembre!H45+Diciembre!H45</f>
        <v>0</v>
      </c>
      <c r="I45" s="13">
        <f t="shared" si="1"/>
        <v>259420719.26270473</v>
      </c>
    </row>
    <row r="46" spans="1:9" ht="15.75" x14ac:dyDescent="0.25">
      <c r="A46" s="8"/>
      <c r="B46" s="8"/>
      <c r="C46" s="9"/>
      <c r="D46" s="12" t="s">
        <v>42</v>
      </c>
      <c r="E46" s="14">
        <f>+Enero!E46+Febrero!E46+Marzo!E46+Abril!E46+Mayo!E46+Junio!E46+Julio!E46+Agosto!E46+Septiembre!E46+Octubre!E46+Noviembre!E46+Diciembre!E46</f>
        <v>13590031.420000002</v>
      </c>
      <c r="F46" s="14">
        <f>+Enero!F46+Febrero!F46+Marzo!F46+Abril!F46+Mayo!F46+Junio!F46+Julio!F46+Agosto!F46+Septiembre!F46+Octubre!F46+Noviembre!F46+Diciembre!F46</f>
        <v>6732832.12852816</v>
      </c>
      <c r="G46" s="14">
        <f>+Enero!G46+Febrero!G46+Marzo!G46+Abril!G46+Mayo!G46+Junio!G46+Julio!G46+Agosto!G46+Septiembre!G46+Octubre!G46+Noviembre!G46+Diciembre!G46</f>
        <v>226992409.12</v>
      </c>
      <c r="H46" s="14">
        <f>+Enero!H46+Febrero!H46+Marzo!H46+Abril!H46+Mayo!H46+Junio!H46+Julio!H46+Agosto!H46+Septiembre!H46+Octubre!H46+Noviembre!H46+Diciembre!H46</f>
        <v>0</v>
      </c>
      <c r="I46" s="13">
        <f t="shared" si="1"/>
        <v>247315272.66852817</v>
      </c>
    </row>
    <row r="47" spans="1:9" ht="15.75" x14ac:dyDescent="0.25">
      <c r="A47" s="8"/>
      <c r="B47" s="8"/>
      <c r="C47" s="9"/>
      <c r="D47" s="12" t="s">
        <v>43</v>
      </c>
      <c r="E47" s="14">
        <f>+Enero!E47+Febrero!E47+Marzo!E47+Abril!E47+Mayo!E47+Junio!E47+Julio!E47+Agosto!E47+Septiembre!E47+Octubre!E47+Noviembre!E47+Diciembre!E47</f>
        <v>146367927.83000001</v>
      </c>
      <c r="F47" s="14">
        <f>+Enero!F47+Febrero!F47+Marzo!F47+Abril!F47+Mayo!F47+Junio!F47+Julio!F47+Agosto!F47+Septiembre!F47+Octubre!F47+Noviembre!F47+Diciembre!F47</f>
        <v>42727102.435546957</v>
      </c>
      <c r="G47" s="14">
        <f>+Enero!G47+Febrero!G47+Marzo!G47+Abril!G47+Mayo!G47+Junio!G47+Julio!G47+Agosto!G47+Septiembre!G47+Octubre!G47+Noviembre!G47+Diciembre!G47</f>
        <v>28312959.710000001</v>
      </c>
      <c r="H47" s="14">
        <f>+Enero!H47+Febrero!H47+Marzo!H47+Abril!H47+Mayo!H47+Junio!H47+Julio!H47+Agosto!H47+Septiembre!H47+Octubre!H47+Noviembre!H47+Diciembre!H47</f>
        <v>0</v>
      </c>
      <c r="I47" s="13">
        <f t="shared" si="1"/>
        <v>217407989.97554699</v>
      </c>
    </row>
    <row r="48" spans="1:9" ht="15.75" x14ac:dyDescent="0.25">
      <c r="A48" s="8"/>
      <c r="B48" s="8"/>
      <c r="C48" s="9"/>
      <c r="D48" s="12" t="s">
        <v>44</v>
      </c>
      <c r="E48" s="14">
        <f>+Enero!E48+Febrero!E48+Marzo!E48+Abril!E48+Mayo!E48+Junio!E48+Julio!E48+Agosto!E48+Septiembre!E48+Octubre!E48+Noviembre!E48+Diciembre!E48</f>
        <v>52397950.809999995</v>
      </c>
      <c r="F48" s="14">
        <f>+Enero!F48+Febrero!F48+Marzo!F48+Abril!F48+Mayo!F48+Junio!F48+Julio!F48+Agosto!F48+Septiembre!F48+Octubre!F48+Noviembre!F48+Diciembre!F48</f>
        <v>6732832.12852816</v>
      </c>
      <c r="G48" s="14">
        <f>+Enero!G48+Febrero!G48+Marzo!G48+Abril!G48+Mayo!G48+Junio!G48+Julio!G48+Agosto!G48+Septiembre!G48+Octubre!G48+Noviembre!G48+Diciembre!G48</f>
        <v>108971953.49000001</v>
      </c>
      <c r="H48" s="14">
        <f>+Enero!H48+Febrero!H48+Marzo!H48+Abril!H48+Mayo!H48+Junio!H48+Julio!H48+Agosto!H48+Septiembre!H48+Octubre!H48+Noviembre!H48+Diciembre!H48</f>
        <v>0</v>
      </c>
      <c r="I48" s="13">
        <f t="shared" si="1"/>
        <v>168102736.42852816</v>
      </c>
    </row>
    <row r="49" spans="1:9" ht="15.75" x14ac:dyDescent="0.25">
      <c r="A49" s="8"/>
      <c r="B49" s="8"/>
      <c r="C49" s="9"/>
      <c r="D49" s="12" t="s">
        <v>45</v>
      </c>
      <c r="E49" s="14">
        <f>+Enero!E49+Febrero!E49+Marzo!E49+Abril!E49+Mayo!E49+Junio!E49+Julio!E49+Agosto!E49+Septiembre!E49+Octubre!E49+Noviembre!E49+Diciembre!E49</f>
        <v>20235564.649999999</v>
      </c>
      <c r="F49" s="14">
        <f>+Enero!F49+Febrero!F49+Marzo!F49+Abril!F49+Mayo!F49+Junio!F49+Julio!F49+Agosto!F49+Septiembre!F49+Octubre!F49+Noviembre!F49+Diciembre!F49</f>
        <v>8018736.7161916811</v>
      </c>
      <c r="G49" s="14">
        <f>+Enero!G49+Febrero!G49+Marzo!G49+Abril!G49+Mayo!G49+Junio!G49+Julio!G49+Agosto!G49+Septiembre!G49+Octubre!G49+Noviembre!G49+Diciembre!G49</f>
        <v>212190248.34999999</v>
      </c>
      <c r="H49" s="14">
        <f>+Enero!H49+Febrero!H49+Marzo!H49+Abril!H49+Mayo!H49+Junio!H49+Julio!H49+Agosto!H49+Septiembre!H49+Octubre!H49+Noviembre!H49+Diciembre!H49</f>
        <v>0</v>
      </c>
      <c r="I49" s="13">
        <f t="shared" si="1"/>
        <v>240444549.71619168</v>
      </c>
    </row>
    <row r="50" spans="1:9" ht="15.75" x14ac:dyDescent="0.25">
      <c r="A50" s="8"/>
      <c r="B50" s="8"/>
      <c r="C50" s="9"/>
      <c r="D50" s="12" t="s">
        <v>46</v>
      </c>
      <c r="E50" s="14">
        <f>+Enero!E50+Febrero!E50+Marzo!E50+Abril!E50+Mayo!E50+Junio!E50+Julio!E50+Agosto!E50+Septiembre!E50+Octubre!E50+Noviembre!E50+Diciembre!E50</f>
        <v>160918788.05999997</v>
      </c>
      <c r="F50" s="14">
        <f>+Enero!F50+Febrero!F50+Marzo!F50+Abril!F50+Mayo!F50+Junio!F50+Julio!F50+Agosto!F50+Septiembre!F50+Octubre!F50+Noviembre!F50+Diciembre!F50</f>
        <v>77497077.834163755</v>
      </c>
      <c r="G50" s="14">
        <f>+Enero!G50+Febrero!G50+Marzo!G50+Abril!G50+Mayo!G50+Junio!G50+Julio!G50+Agosto!G50+Septiembre!G50+Octubre!G50+Noviembre!G50+Diciembre!G50</f>
        <v>11139575.32</v>
      </c>
      <c r="H50" s="14">
        <f>+Enero!H50+Febrero!H50+Marzo!H50+Abril!H50+Mayo!H50+Junio!H50+Julio!H50+Agosto!H50+Septiembre!H50+Octubre!H50+Noviembre!H50+Diciembre!H50</f>
        <v>0</v>
      </c>
      <c r="I50" s="13">
        <f t="shared" si="1"/>
        <v>249555441.21416372</v>
      </c>
    </row>
    <row r="51" spans="1:9" ht="15.75" x14ac:dyDescent="0.25">
      <c r="A51" s="8"/>
      <c r="B51" s="8"/>
      <c r="C51" s="9"/>
      <c r="D51" s="12" t="s">
        <v>47</v>
      </c>
      <c r="E51" s="14">
        <f>+Enero!E51+Febrero!E51+Marzo!E51+Abril!E51+Mayo!E51+Junio!E51+Julio!E51+Agosto!E51+Septiembre!E51+Octubre!E51+Noviembre!E51+Diciembre!E51</f>
        <v>259790396.63000005</v>
      </c>
      <c r="F51" s="14">
        <f>+Enero!F51+Febrero!F51+Marzo!F51+Abril!F51+Mayo!F51+Junio!F51+Julio!F51+Agosto!F51+Septiembre!F51+Octubre!F51+Noviembre!F51+Diciembre!F51</f>
        <v>140913974.35402167</v>
      </c>
      <c r="G51" s="14">
        <f>+Enero!G51+Febrero!G51+Marzo!G51+Abril!G51+Mayo!G51+Junio!G51+Julio!G51+Agosto!G51+Septiembre!G51+Octubre!G51+Noviembre!G51+Diciembre!G51</f>
        <v>46044091.990000002</v>
      </c>
      <c r="H51" s="14">
        <f>+Enero!H51+Febrero!H51+Marzo!H51+Abril!H51+Mayo!H51+Junio!H51+Julio!H51+Agosto!H51+Septiembre!H51+Octubre!H51+Noviembre!H51+Diciembre!H51</f>
        <v>0</v>
      </c>
      <c r="I51" s="13">
        <f t="shared" si="1"/>
        <v>446748462.97402173</v>
      </c>
    </row>
    <row r="52" spans="1:9" ht="15.75" x14ac:dyDescent="0.25">
      <c r="A52" s="8"/>
      <c r="B52" s="8"/>
      <c r="C52" s="9"/>
      <c r="D52" s="12" t="s">
        <v>48</v>
      </c>
      <c r="E52" s="14">
        <f>+Enero!E52+Febrero!E52+Marzo!E52+Abril!E52+Mayo!E52+Junio!E52+Julio!E52+Agosto!E52+Septiembre!E52+Octubre!E52+Noviembre!E52+Diciembre!E52</f>
        <v>158298649.64000002</v>
      </c>
      <c r="F52" s="14">
        <f>+Enero!F52+Febrero!F52+Marzo!F52+Abril!F52+Mayo!F52+Junio!F52+Julio!F52+Agosto!F52+Septiembre!F52+Octubre!F52+Noviembre!F52+Diciembre!F52</f>
        <v>142016629.63926631</v>
      </c>
      <c r="G52" s="14">
        <f>+Enero!G52+Febrero!G52+Marzo!G52+Abril!G52+Mayo!G52+Junio!G52+Julio!G52+Agosto!G52+Septiembre!G52+Octubre!G52+Noviembre!G52+Diciembre!G52</f>
        <v>10891055.98</v>
      </c>
      <c r="H52" s="14">
        <f>+Enero!H52+Febrero!H52+Marzo!H52+Abril!H52+Mayo!H52+Junio!H52+Julio!H52+Agosto!H52+Septiembre!H52+Octubre!H52+Noviembre!H52+Diciembre!H52</f>
        <v>0</v>
      </c>
      <c r="I52" s="13">
        <f t="shared" si="1"/>
        <v>311206335.25926638</v>
      </c>
    </row>
    <row r="53" spans="1:9" ht="15.75" x14ac:dyDescent="0.25">
      <c r="A53" s="8"/>
      <c r="B53" s="8"/>
      <c r="C53" s="9"/>
      <c r="D53" s="12" t="s">
        <v>49</v>
      </c>
      <c r="E53" s="14">
        <f>+Enero!E53+Febrero!E53+Marzo!E53+Abril!E53+Mayo!E53+Junio!E53+Julio!E53+Agosto!E53+Septiembre!E53+Octubre!E53+Noviembre!E53+Diciembre!E53</f>
        <v>284709518.96000004</v>
      </c>
      <c r="F53" s="14">
        <f>+Enero!F53+Febrero!F53+Marzo!F53+Abril!F53+Mayo!F53+Junio!F53+Julio!F53+Agosto!F53+Septiembre!F53+Octubre!F53+Noviembre!F53+Diciembre!F53</f>
        <v>97330655.350276157</v>
      </c>
      <c r="G53" s="14">
        <f>+Enero!G53+Febrero!G53+Marzo!G53+Abril!G53+Mayo!G53+Junio!G53+Julio!G53+Agosto!G53+Septiembre!G53+Octubre!G53+Noviembre!G53+Diciembre!G53</f>
        <v>21807292.979999997</v>
      </c>
      <c r="H53" s="14">
        <f>+Enero!H53+Febrero!H53+Marzo!H53+Abril!H53+Mayo!H53+Junio!H53+Julio!H53+Agosto!H53+Septiembre!H53+Octubre!H53+Noviembre!H53+Diciembre!H53</f>
        <v>0</v>
      </c>
      <c r="I53" s="13">
        <f t="shared" si="1"/>
        <v>403847467.29027623</v>
      </c>
    </row>
    <row r="54" spans="1:9" ht="15.75" x14ac:dyDescent="0.25">
      <c r="A54" s="8"/>
      <c r="B54" s="8"/>
      <c r="C54" s="9"/>
      <c r="D54" s="12" t="s">
        <v>50</v>
      </c>
      <c r="E54" s="14">
        <f>+Enero!E54+Febrero!E54+Marzo!E54+Abril!E54+Mayo!E54+Junio!E54+Julio!E54+Agosto!E54+Septiembre!E54+Octubre!E54+Noviembre!E54+Diciembre!E54</f>
        <v>201585585.74999997</v>
      </c>
      <c r="F54" s="14">
        <f>+Enero!F54+Febrero!F54+Marzo!F54+Abril!F54+Mayo!F54+Junio!F54+Julio!F54+Agosto!F54+Septiembre!F54+Octubre!F54+Noviembre!F54+Diciembre!F54</f>
        <v>89371948.57798034</v>
      </c>
      <c r="G54" s="14">
        <f>+Enero!G54+Febrero!G54+Marzo!G54+Abril!G54+Mayo!G54+Junio!G54+Julio!G54+Agosto!G54+Septiembre!G54+Octubre!G54+Noviembre!G54+Diciembre!G54</f>
        <v>24055872.950000003</v>
      </c>
      <c r="H54" s="14">
        <f>+Enero!H54+Febrero!H54+Marzo!H54+Abril!H54+Mayo!H54+Junio!H54+Julio!H54+Agosto!H54+Septiembre!H54+Octubre!H54+Noviembre!H54+Diciembre!H54</f>
        <v>0</v>
      </c>
      <c r="I54" s="13">
        <f t="shared" si="1"/>
        <v>315013407.27798027</v>
      </c>
    </row>
    <row r="55" spans="1:9" ht="15.75" x14ac:dyDescent="0.25">
      <c r="A55" s="8"/>
      <c r="B55" s="8"/>
      <c r="C55" s="9"/>
      <c r="D55" s="12" t="s">
        <v>51</v>
      </c>
      <c r="E55" s="14">
        <f>+Enero!E55+Febrero!E55+Marzo!E55+Abril!E55+Mayo!E55+Junio!E55+Julio!E55+Agosto!E55+Septiembre!E55+Octubre!E55+Noviembre!E55+Diciembre!E55</f>
        <v>78907946.99000001</v>
      </c>
      <c r="F55" s="14">
        <f>+Enero!F55+Febrero!F55+Marzo!F55+Abril!F55+Mayo!F55+Junio!F55+Julio!F55+Agosto!F55+Septiembre!F55+Octubre!F55+Noviembre!F55+Diciembre!F55</f>
        <v>183029719.20305046</v>
      </c>
      <c r="G55" s="14">
        <f>+Enero!G55+Febrero!G55+Marzo!G55+Abril!G55+Mayo!G55+Junio!G55+Julio!G55+Agosto!G55+Septiembre!G55+Octubre!G55+Noviembre!G55+Diciembre!G55</f>
        <v>2858433.98</v>
      </c>
      <c r="H55" s="14">
        <f>+Enero!H55+Febrero!H55+Marzo!H55+Abril!H55+Mayo!H55+Junio!H55+Julio!H55+Agosto!H55+Septiembre!H55+Octubre!H55+Noviembre!H55+Diciembre!H55</f>
        <v>0</v>
      </c>
      <c r="I55" s="13">
        <f t="shared" si="1"/>
        <v>264796100.17305046</v>
      </c>
    </row>
    <row r="56" spans="1:9" ht="15.75" x14ac:dyDescent="0.25">
      <c r="A56" s="8"/>
      <c r="B56" s="8"/>
      <c r="C56" s="9"/>
      <c r="D56" s="12" t="s">
        <v>52</v>
      </c>
      <c r="E56" s="14">
        <f>+Enero!E56+Febrero!E56+Marzo!E56+Abril!E56+Mayo!E56+Junio!E56+Julio!E56+Agosto!E56+Septiembre!E56+Octubre!E56+Noviembre!E56+Diciembre!E56</f>
        <v>206558566.57000002</v>
      </c>
      <c r="F56" s="14">
        <f>+Enero!F56+Febrero!F56+Marzo!F56+Abril!F56+Mayo!F56+Junio!F56+Julio!F56+Agosto!F56+Septiembre!F56+Octubre!F56+Noviembre!F56+Diciembre!F56</f>
        <v>203719513.28736147</v>
      </c>
      <c r="G56" s="14">
        <f>+Enero!G56+Febrero!G56+Marzo!G56+Abril!G56+Mayo!G56+Junio!G56+Julio!G56+Agosto!G56+Septiembre!G56+Octubre!G56+Noviembre!G56+Diciembre!G56</f>
        <v>21703783.679999996</v>
      </c>
      <c r="H56" s="14">
        <f>+Enero!H56+Febrero!H56+Marzo!H56+Abril!H56+Mayo!H56+Junio!H56+Julio!H56+Agosto!H56+Septiembre!H56+Octubre!H56+Noviembre!H56+Diciembre!H56</f>
        <v>0</v>
      </c>
      <c r="I56" s="13">
        <f t="shared" si="1"/>
        <v>431981863.5373615</v>
      </c>
    </row>
    <row r="57" spans="1:9" ht="15.75" x14ac:dyDescent="0.25">
      <c r="A57" s="8"/>
      <c r="B57" s="8"/>
      <c r="C57" s="9"/>
      <c r="D57" s="12" t="s">
        <v>53</v>
      </c>
      <c r="E57" s="14">
        <f>+Enero!E57+Febrero!E57+Marzo!E57+Abril!E57+Mayo!E57+Junio!E57+Julio!E57+Agosto!E57+Septiembre!E57+Octubre!E57+Noviembre!E57+Diciembre!E57</f>
        <v>69836846.060000002</v>
      </c>
      <c r="F57" s="14">
        <f>+Enero!F57+Febrero!F57+Marzo!F57+Abril!F57+Mayo!F57+Junio!F57+Julio!F57+Agosto!F57+Septiembre!F57+Octubre!F57+Noviembre!F57+Diciembre!F57</f>
        <v>67334640.226744324</v>
      </c>
      <c r="G57" s="14">
        <f>+Enero!G57+Febrero!G57+Marzo!G57+Abril!G57+Mayo!G57+Junio!G57+Julio!G57+Agosto!G57+Septiembre!G57+Octubre!G57+Noviembre!G57+Diciembre!G57</f>
        <v>14701403.920000002</v>
      </c>
      <c r="H57" s="14">
        <f>+Enero!H57+Febrero!H57+Marzo!H57+Abril!H57+Mayo!H57+Junio!H57+Julio!H57+Agosto!H57+Septiembre!H57+Octubre!H57+Noviembre!H57+Diciembre!H57</f>
        <v>0</v>
      </c>
      <c r="I57" s="13">
        <f t="shared" si="1"/>
        <v>151872890.20674431</v>
      </c>
    </row>
    <row r="58" spans="1:9" ht="15.75" x14ac:dyDescent="0.25">
      <c r="A58" s="8"/>
      <c r="B58" s="8"/>
      <c r="C58" s="9"/>
      <c r="D58" s="12" t="s">
        <v>54</v>
      </c>
      <c r="E58" s="14">
        <f>+Enero!E58+Febrero!E58+Marzo!E58+Abril!E58+Mayo!E58+Junio!E58+Julio!E58+Agosto!E58+Septiembre!E58+Octubre!E58+Noviembre!E58+Diciembre!E58</f>
        <v>54221008.100000009</v>
      </c>
      <c r="F58" s="14">
        <f>+Enero!F58+Febrero!F58+Marzo!F58+Abril!F58+Mayo!F58+Junio!F58+Julio!F58+Agosto!F58+Septiembre!F58+Octubre!F58+Noviembre!F58+Diciembre!F58</f>
        <v>72476678.842032716</v>
      </c>
      <c r="G58" s="14">
        <f>+Enero!G58+Febrero!G58+Marzo!G58+Abril!G58+Mayo!G58+Junio!G58+Julio!G58+Agosto!G58+Septiembre!G58+Octubre!G58+Noviembre!G58+Diciembre!G58</f>
        <v>2201640.91</v>
      </c>
      <c r="H58" s="14">
        <f>+Enero!H58+Febrero!H58+Marzo!H58+Abril!H58+Mayo!H58+Junio!H58+Julio!H58+Agosto!H58+Septiembre!H58+Octubre!H58+Noviembre!H58+Diciembre!H58</f>
        <v>0</v>
      </c>
      <c r="I58" s="13">
        <f t="shared" si="1"/>
        <v>128899327.85203272</v>
      </c>
    </row>
    <row r="59" spans="1:9" ht="15.75" x14ac:dyDescent="0.25">
      <c r="A59" s="8"/>
      <c r="B59" s="8"/>
      <c r="C59" s="9"/>
      <c r="D59" s="12" t="s">
        <v>55</v>
      </c>
      <c r="E59" s="14">
        <f>+Enero!E59+Febrero!E59+Marzo!E59+Abril!E59+Mayo!E59+Junio!E59+Julio!E59+Agosto!E59+Septiembre!E59+Octubre!E59+Noviembre!E59+Diciembre!E59</f>
        <v>147925338.80000001</v>
      </c>
      <c r="F59" s="14">
        <f>+Enero!F59+Febrero!F59+Marzo!F59+Abril!F59+Mayo!F59+Junio!F59+Julio!F59+Agosto!F59+Septiembre!F59+Octubre!F59+Noviembre!F59+Diciembre!F59</f>
        <v>122427911.10483432</v>
      </c>
      <c r="G59" s="14">
        <f>+Enero!G59+Febrero!G59+Marzo!G59+Abril!G59+Mayo!G59+Junio!G59+Julio!G59+Agosto!G59+Septiembre!G59+Octubre!G59+Noviembre!G59+Diciembre!G59</f>
        <v>21105412.859999999</v>
      </c>
      <c r="H59" s="14">
        <f>+Enero!H59+Febrero!H59+Marzo!H59+Abril!H59+Mayo!H59+Junio!H59+Julio!H59+Agosto!H59+Septiembre!H59+Octubre!H59+Noviembre!H59+Diciembre!H59</f>
        <v>0</v>
      </c>
      <c r="I59" s="13">
        <f t="shared" si="1"/>
        <v>291458662.76483434</v>
      </c>
    </row>
    <row r="60" spans="1:9" ht="15.75" x14ac:dyDescent="0.25">
      <c r="A60" s="8"/>
      <c r="B60" s="8"/>
      <c r="C60" s="9"/>
      <c r="D60" s="12" t="s">
        <v>56</v>
      </c>
      <c r="E60" s="14">
        <f>+Enero!E60+Febrero!E60+Marzo!E60+Abril!E60+Mayo!E60+Junio!E60+Julio!E60+Agosto!E60+Septiembre!E60+Octubre!E60+Noviembre!E60+Diciembre!E60</f>
        <v>94142084.220000014</v>
      </c>
      <c r="F60" s="14">
        <f>+Enero!F60+Febrero!F60+Marzo!F60+Abril!F60+Mayo!F60+Junio!F60+Julio!F60+Agosto!F60+Septiembre!F60+Octubre!F60+Noviembre!F60+Diciembre!F60</f>
        <v>74069052.090638161</v>
      </c>
      <c r="G60" s="14">
        <f>+Enero!G60+Febrero!G60+Marzo!G60+Abril!G60+Mayo!G60+Junio!G60+Julio!G60+Agosto!G60+Septiembre!G60+Octubre!G60+Noviembre!G60+Diciembre!G60</f>
        <v>13313190.830000002</v>
      </c>
      <c r="H60" s="14">
        <f>+Enero!H60+Febrero!H60+Marzo!H60+Abril!H60+Mayo!H60+Junio!H60+Julio!H60+Agosto!H60+Septiembre!H60+Octubre!H60+Noviembre!H60+Diciembre!H60</f>
        <v>0</v>
      </c>
      <c r="I60" s="13">
        <f t="shared" si="1"/>
        <v>181524327.1406382</v>
      </c>
    </row>
    <row r="61" spans="1:9" ht="15.75" x14ac:dyDescent="0.25">
      <c r="A61" s="8"/>
      <c r="B61" s="8"/>
      <c r="C61" s="9"/>
      <c r="D61" s="12" t="s">
        <v>57</v>
      </c>
      <c r="E61" s="14">
        <f>+Enero!E61+Febrero!E61+Marzo!E61+Abril!E61+Mayo!E61+Junio!E61+Julio!E61+Agosto!E61+Septiembre!E61+Octubre!E61+Noviembre!E61+Diciembre!E61</f>
        <v>274652219.13000005</v>
      </c>
      <c r="F61" s="14">
        <f>+Enero!F61+Febrero!F61+Marzo!F61+Abril!F61+Mayo!F61+Junio!F61+Julio!F61+Agosto!F61+Septiembre!F61+Octubre!F61+Noviembre!F61+Diciembre!F61</f>
        <v>124263563.59975448</v>
      </c>
      <c r="G61" s="14">
        <f>+Enero!G61+Febrero!G61+Marzo!G61+Abril!G61+Mayo!G61+Junio!G61+Julio!G61+Agosto!G61+Septiembre!G61+Octubre!G61+Noviembre!G61+Diciembre!G61</f>
        <v>14152581.319999998</v>
      </c>
      <c r="H61" s="14">
        <f>+Enero!H61+Febrero!H61+Marzo!H61+Abril!H61+Mayo!H61+Junio!H61+Julio!H61+Agosto!H61+Septiembre!H61+Octubre!H61+Noviembre!H61+Diciembre!H61</f>
        <v>0</v>
      </c>
      <c r="I61" s="13">
        <f t="shared" si="1"/>
        <v>413068364.04975456</v>
      </c>
    </row>
    <row r="62" spans="1:9" ht="15.75" x14ac:dyDescent="0.25">
      <c r="A62" s="8"/>
      <c r="B62" s="8"/>
      <c r="C62" s="9"/>
      <c r="D62" s="12" t="s">
        <v>58</v>
      </c>
      <c r="E62" s="14">
        <f>+Enero!E62+Febrero!E62+Marzo!E62+Abril!E62+Mayo!E62+Junio!E62+Julio!E62+Agosto!E62+Septiembre!E62+Octubre!E62+Noviembre!E62+Diciembre!E62</f>
        <v>259300477.5</v>
      </c>
      <c r="F62" s="14">
        <f>+Enero!F62+Febrero!F62+Marzo!F62+Abril!F62+Mayo!F62+Junio!F62+Julio!F62+Agosto!F62+Septiembre!F62+Octubre!F62+Noviembre!F62+Diciembre!F62</f>
        <v>138650213.57500225</v>
      </c>
      <c r="G62" s="14">
        <f>+Enero!G62+Febrero!G62+Marzo!G62+Abril!G62+Mayo!G62+Junio!G62+Julio!G62+Agosto!G62+Septiembre!G62+Octubre!G62+Noviembre!G62+Diciembre!G62</f>
        <v>964154300.68999994</v>
      </c>
      <c r="H62" s="14">
        <f>+Enero!H62+Febrero!H62+Marzo!H62+Abril!H62+Mayo!H62+Junio!H62+Julio!H62+Agosto!H62+Septiembre!H62+Octubre!H62+Noviembre!H62+Diciembre!H62</f>
        <v>0</v>
      </c>
      <c r="I62" s="13">
        <f t="shared" si="1"/>
        <v>1362104991.7650023</v>
      </c>
    </row>
    <row r="63" spans="1:9" ht="15.75" x14ac:dyDescent="0.25">
      <c r="A63" s="8"/>
      <c r="B63" s="8"/>
      <c r="C63" s="9"/>
      <c r="D63" s="12" t="s">
        <v>59</v>
      </c>
      <c r="E63" s="14">
        <f>+Enero!E63+Febrero!E63+Marzo!E63+Abril!E63+Mayo!E63+Junio!E63+Julio!E63+Agosto!E63+Septiembre!E63+Octubre!E63+Noviembre!E63+Diciembre!E63</f>
        <v>66111127.590000004</v>
      </c>
      <c r="F63" s="14">
        <f>+Enero!F63+Febrero!F63+Marzo!F63+Abril!F63+Mayo!F63+Junio!F63+Julio!F63+Agosto!F63+Septiembre!F63+Octubre!F63+Noviembre!F63+Diciembre!F63</f>
        <v>15302896.487342162</v>
      </c>
      <c r="G63" s="14">
        <f>+Enero!G63+Febrero!G63+Marzo!G63+Abril!G63+Mayo!G63+Junio!G63+Julio!G63+Agosto!G63+Septiembre!G63+Octubre!G63+Noviembre!G63+Diciembre!G63</f>
        <v>77722365.579999998</v>
      </c>
      <c r="H63" s="14">
        <f>+Enero!H63+Febrero!H63+Marzo!H63+Abril!H63+Mayo!H63+Junio!H63+Julio!H63+Agosto!H63+Septiembre!H63+Octubre!H63+Noviembre!H63+Diciembre!H63</f>
        <v>0</v>
      </c>
      <c r="I63" s="13">
        <f t="shared" si="1"/>
        <v>159136389.65734217</v>
      </c>
    </row>
    <row r="64" spans="1:9" ht="15.75" x14ac:dyDescent="0.25">
      <c r="A64" s="8"/>
      <c r="B64" s="8"/>
      <c r="C64" s="9"/>
      <c r="D64" s="12" t="s">
        <v>60</v>
      </c>
      <c r="E64" s="14">
        <f>+Enero!E64+Febrero!E64+Marzo!E64+Abril!E64+Mayo!E64+Junio!E64+Julio!E64+Agosto!E64+Septiembre!E64+Octubre!E64+Noviembre!E64+Diciembre!E64</f>
        <v>0</v>
      </c>
      <c r="F64" s="14">
        <f>+Enero!F64+Febrero!F64+Marzo!F64+Abril!F64+Mayo!F64+Junio!F64+Julio!F64+Agosto!F64+Septiembre!F64+Octubre!F64+Noviembre!F64+Diciembre!F64</f>
        <v>0</v>
      </c>
      <c r="G64" s="14">
        <f>+Enero!G64+Febrero!G64+Marzo!G64+Abril!G64+Mayo!G64+Junio!G64+Julio!G64+Agosto!G64+Septiembre!G64+Octubre!G64+Noviembre!G64+Diciembre!G64</f>
        <v>429550926.74000001</v>
      </c>
      <c r="H64" s="14">
        <f>+Enero!H64+Febrero!H64+Marzo!H64+Abril!H64+Mayo!H64+Junio!H64+Julio!H64+Agosto!H64+Septiembre!H64+Octubre!H64+Noviembre!H64+Diciembre!H64</f>
        <v>0</v>
      </c>
      <c r="I64" s="13">
        <f t="shared" si="1"/>
        <v>429550926.74000001</v>
      </c>
    </row>
    <row r="65" spans="1:9" ht="15.75" x14ac:dyDescent="0.25">
      <c r="A65" s="8"/>
      <c r="B65" s="8"/>
      <c r="C65" s="9"/>
      <c r="D65" s="12" t="s">
        <v>61</v>
      </c>
      <c r="E65" s="14">
        <f>+Enero!E65+Febrero!E65+Marzo!E65+Abril!E65+Mayo!E65+Junio!E65+Julio!E65+Agosto!E65+Septiembre!E65+Octubre!E65+Noviembre!E65+Diciembre!E65</f>
        <v>237250988.87</v>
      </c>
      <c r="F65" s="14">
        <f>+Enero!F65+Febrero!F65+Marzo!F65+Abril!F65+Mayo!F65+Junio!F65+Julio!F65+Agosto!F65+Septiembre!F65+Octubre!F65+Noviembre!F65+Diciembre!F65</f>
        <v>181192486.9727647</v>
      </c>
      <c r="G65" s="14">
        <f>+Enero!G65+Febrero!G65+Marzo!G65+Abril!G65+Mayo!G65+Junio!G65+Julio!G65+Agosto!G65+Septiembre!G65+Octubre!G65+Noviembre!G65+Diciembre!G65</f>
        <v>15690826.450000001</v>
      </c>
      <c r="H65" s="14">
        <f>+Enero!H65+Febrero!H65+Marzo!H65+Abril!H65+Mayo!H65+Junio!H65+Julio!H65+Agosto!H65+Septiembre!H65+Octubre!H65+Noviembre!H65+Diciembre!H65</f>
        <v>0</v>
      </c>
      <c r="I65" s="13">
        <f t="shared" si="1"/>
        <v>434134302.29276472</v>
      </c>
    </row>
    <row r="66" spans="1:9" ht="15.75" x14ac:dyDescent="0.25">
      <c r="A66" s="8"/>
      <c r="B66" s="8"/>
      <c r="C66" s="9"/>
      <c r="D66" s="12" t="s">
        <v>62</v>
      </c>
      <c r="E66" s="14">
        <f>+Enero!E66+Febrero!E66+Marzo!E66+Abril!E66+Mayo!E66+Junio!E66+Julio!E66+Agosto!E66+Septiembre!E66+Octubre!E66+Noviembre!E66+Diciembre!E66</f>
        <v>1012329257.37</v>
      </c>
      <c r="F66" s="14">
        <f>+Enero!F66+Febrero!F66+Marzo!F66+Abril!F66+Mayo!F66+Junio!F66+Julio!F66+Agosto!F66+Septiembre!F66+Octubre!F66+Noviembre!F66+Diciembre!F66</f>
        <v>360244432.52503294</v>
      </c>
      <c r="G66" s="14">
        <f>+Enero!G66+Febrero!G66+Marzo!G66+Abril!G66+Mayo!G66+Junio!G66+Julio!G66+Agosto!G66+Septiembre!G66+Octubre!G66+Noviembre!G66+Diciembre!G66</f>
        <v>32757340.359999999</v>
      </c>
      <c r="H66" s="14">
        <f>+Enero!H66+Febrero!H66+Marzo!H66+Abril!H66+Mayo!H66+Junio!H66+Julio!H66+Agosto!H66+Septiembre!H66+Octubre!H66+Noviembre!H66+Diciembre!H66</f>
        <v>0</v>
      </c>
      <c r="I66" s="13">
        <f t="shared" si="1"/>
        <v>1405331030.2550328</v>
      </c>
    </row>
    <row r="67" spans="1:9" ht="15.75" x14ac:dyDescent="0.25">
      <c r="A67" s="8"/>
      <c r="B67" s="8"/>
      <c r="C67" s="9"/>
      <c r="D67" s="12" t="s">
        <v>63</v>
      </c>
      <c r="E67" s="14">
        <f>+Enero!E67+Febrero!E67+Marzo!E67+Abril!E67+Mayo!E67+Junio!E67+Julio!E67+Agosto!E67+Septiembre!E67+Octubre!E67+Noviembre!E67+Diciembre!E67</f>
        <v>209451583.08999997</v>
      </c>
      <c r="F67" s="14">
        <f>+Enero!F67+Febrero!F67+Marzo!F67+Abril!F67+Mayo!F67+Junio!F67+Julio!F67+Agosto!F67+Septiembre!F67+Octubre!F67+Noviembre!F67+Diciembre!F67</f>
        <v>166502527.80730632</v>
      </c>
      <c r="G67" s="14">
        <f>+Enero!G67+Febrero!G67+Marzo!G67+Abril!G67+Mayo!G67+Junio!G67+Julio!G67+Agosto!G67+Septiembre!G67+Octubre!G67+Noviembre!G67+Diciembre!G67</f>
        <v>12409362.960000001</v>
      </c>
      <c r="H67" s="14">
        <f>+Enero!H67+Febrero!H67+Marzo!H67+Abril!H67+Mayo!H67+Junio!H67+Julio!H67+Agosto!H67+Septiembre!H67+Octubre!H67+Noviembre!H67+Diciembre!H67</f>
        <v>0</v>
      </c>
      <c r="I67" s="13">
        <f t="shared" si="1"/>
        <v>388363473.8573063</v>
      </c>
    </row>
    <row r="68" spans="1:9" ht="15.75" x14ac:dyDescent="0.25">
      <c r="A68" s="8"/>
      <c r="B68" s="8"/>
      <c r="C68" s="9"/>
      <c r="D68" s="12" t="s">
        <v>64</v>
      </c>
      <c r="E68" s="14">
        <f>+Enero!E68+Febrero!E68+Marzo!E68+Abril!E68+Mayo!E68+Junio!E68+Julio!E68+Agosto!E68+Septiembre!E68+Octubre!E68+Noviembre!E68+Diciembre!E68</f>
        <v>175454998.45999998</v>
      </c>
      <c r="F68" s="14">
        <f>+Enero!F68+Febrero!F68+Marzo!F68+Abril!F68+Mayo!F68+Junio!F68+Julio!F68+Agosto!F68+Septiembre!F68+Octubre!F68+Noviembre!F68+Diciembre!F68</f>
        <v>70396167.365432173</v>
      </c>
      <c r="G68" s="14">
        <f>+Enero!G68+Febrero!G68+Marzo!G68+Abril!G68+Mayo!G68+Junio!G68+Julio!G68+Agosto!G68+Septiembre!G68+Octubre!G68+Noviembre!G68+Diciembre!G68</f>
        <v>7783038.8700000001</v>
      </c>
      <c r="H68" s="14">
        <f>+Enero!H68+Febrero!H68+Marzo!H68+Abril!H68+Mayo!H68+Junio!H68+Julio!H68+Agosto!H68+Septiembre!H68+Octubre!H68+Noviembre!H68+Diciembre!H68</f>
        <v>0</v>
      </c>
      <c r="I68" s="13">
        <f t="shared" si="1"/>
        <v>253634204.69543216</v>
      </c>
    </row>
    <row r="69" spans="1:9" ht="15.75" x14ac:dyDescent="0.25">
      <c r="A69" s="8"/>
      <c r="B69" s="8"/>
      <c r="C69" s="9"/>
      <c r="D69" s="12" t="s">
        <v>65</v>
      </c>
      <c r="E69" s="14">
        <f>+Enero!E69+Febrero!E69+Marzo!E69+Abril!E69+Mayo!E69+Junio!E69+Julio!E69+Agosto!E69+Septiembre!E69+Octubre!E69+Noviembre!E69+Diciembre!E69</f>
        <v>0</v>
      </c>
      <c r="F69" s="14">
        <f>+Enero!F69+Febrero!F69+Marzo!F69+Abril!F69+Mayo!F69+Junio!F69+Julio!F69+Agosto!F69+Septiembre!F69+Octubre!F69+Noviembre!F69+Diciembre!F69</f>
        <v>0</v>
      </c>
      <c r="G69" s="14">
        <f>+Enero!G69+Febrero!G69+Marzo!G69+Abril!G69+Mayo!G69+Junio!G69+Julio!G69+Agosto!G69+Septiembre!G69+Octubre!G69+Noviembre!G69+Diciembre!G69</f>
        <v>133888768.08000001</v>
      </c>
      <c r="H69" s="14">
        <f>+Enero!H69+Febrero!H69+Marzo!H69+Abril!H69+Mayo!H69+Junio!H69+Julio!H69+Agosto!H69+Septiembre!H69+Octubre!H69+Noviembre!H69+Diciembre!H69</f>
        <v>0</v>
      </c>
      <c r="I69" s="13">
        <f t="shared" si="1"/>
        <v>133888768.08000001</v>
      </c>
    </row>
    <row r="70" spans="1:9" ht="15.75" x14ac:dyDescent="0.25">
      <c r="A70" s="8"/>
      <c r="B70" s="8"/>
      <c r="C70" s="9"/>
      <c r="D70" s="12" t="s">
        <v>66</v>
      </c>
      <c r="E70" s="14">
        <f>+Enero!E70+Febrero!E70+Marzo!E70+Abril!E70+Mayo!E70+Junio!E70+Julio!E70+Agosto!E70+Septiembre!E70+Octubre!E70+Noviembre!E70+Diciembre!E70</f>
        <v>0</v>
      </c>
      <c r="F70" s="14">
        <f>+Enero!F70+Febrero!F70+Marzo!F70+Abril!F70+Mayo!F70+Junio!F70+Julio!F70+Agosto!F70+Septiembre!F70+Octubre!F70+Noviembre!F70+Diciembre!F70</f>
        <v>0</v>
      </c>
      <c r="G70" s="14">
        <f>+Enero!G70+Febrero!G70+Marzo!G70+Abril!G70+Mayo!G70+Junio!G70+Julio!G70+Agosto!G70+Septiembre!G70+Octubre!G70+Noviembre!G70+Diciembre!G70</f>
        <v>170360521.28</v>
      </c>
      <c r="H70" s="14">
        <f>+Enero!H70+Febrero!H70+Marzo!H70+Abril!H70+Mayo!H70+Junio!H70+Julio!H70+Agosto!H70+Septiembre!H70+Octubre!H70+Noviembre!H70+Diciembre!H70</f>
        <v>0</v>
      </c>
      <c r="I70" s="13">
        <f t="shared" si="1"/>
        <v>170360521.28</v>
      </c>
    </row>
    <row r="71" spans="1:9" ht="15.75" x14ac:dyDescent="0.25">
      <c r="A71" s="8"/>
      <c r="B71" s="8"/>
      <c r="C71" s="9"/>
      <c r="D71" s="12" t="s">
        <v>67</v>
      </c>
      <c r="E71" s="14">
        <f>+Enero!E71+Febrero!E71+Marzo!E71+Abril!E71+Mayo!E71+Junio!E71+Julio!E71+Agosto!E71+Septiembre!E71+Octubre!E71+Noviembre!E71+Diciembre!E71</f>
        <v>935421.27000000014</v>
      </c>
      <c r="F71" s="14">
        <f>+Enero!F71+Febrero!F71+Marzo!F71+Abril!F71+Mayo!F71+Junio!F71+Julio!F71+Agosto!F71+Septiembre!F71+Octubre!F71+Noviembre!F71+Diciembre!F71</f>
        <v>1835652.4949201599</v>
      </c>
      <c r="G71" s="14">
        <f>+Enero!G71+Febrero!G71+Marzo!G71+Abril!G71+Mayo!G71+Junio!G71+Julio!G71+Agosto!G71+Septiembre!G71+Octubre!G71+Noviembre!G71+Diciembre!G71</f>
        <v>159148062.06999999</v>
      </c>
      <c r="H71" s="14">
        <f>+Enero!H71+Febrero!H71+Marzo!H71+Abril!H71+Mayo!H71+Junio!H71+Julio!H71+Agosto!H71+Septiembre!H71+Octubre!H71+Noviembre!H71+Diciembre!H71</f>
        <v>0</v>
      </c>
      <c r="I71" s="13">
        <f t="shared" si="1"/>
        <v>161919135.83492017</v>
      </c>
    </row>
    <row r="72" spans="1:9" ht="15.75" x14ac:dyDescent="0.25">
      <c r="A72" s="8"/>
      <c r="B72" s="8"/>
      <c r="C72" s="9"/>
      <c r="D72" s="12" t="s">
        <v>68</v>
      </c>
      <c r="E72" s="14">
        <f>+Enero!E72+Febrero!E72+Marzo!E72+Abril!E72+Mayo!E72+Junio!E72+Julio!E72+Agosto!E72+Septiembre!E72+Octubre!E72+Noviembre!E72+Diciembre!E72</f>
        <v>360478468.45000005</v>
      </c>
      <c r="F72" s="14">
        <f>+Enero!F72+Febrero!F72+Marzo!F72+Abril!F72+Mayo!F72+Junio!F72+Julio!F72+Agosto!F72+Septiembre!F72+Octubre!F72+Noviembre!F72+Diciembre!F72</f>
        <v>114347564.70938113</v>
      </c>
      <c r="G72" s="14">
        <f>+Enero!G72+Febrero!G72+Marzo!G72+Abril!G72+Mayo!G72+Junio!G72+Julio!G72+Agosto!G72+Septiembre!G72+Octubre!G72+Noviembre!G72+Diciembre!G72</f>
        <v>132459045.48999999</v>
      </c>
      <c r="H72" s="14">
        <f>+Enero!H72+Febrero!H72+Marzo!H72+Abril!H72+Mayo!H72+Junio!H72+Julio!H72+Agosto!H72+Septiembre!H72+Octubre!H72+Noviembre!H72+Diciembre!H72</f>
        <v>0</v>
      </c>
      <c r="I72" s="13">
        <f t="shared" si="1"/>
        <v>607285078.64938116</v>
      </c>
    </row>
    <row r="73" spans="1:9" ht="15.75" x14ac:dyDescent="0.25">
      <c r="A73" s="8"/>
      <c r="B73" s="8"/>
      <c r="C73" s="9"/>
      <c r="D73" s="12" t="s">
        <v>69</v>
      </c>
      <c r="E73" s="14">
        <f>+Enero!E73+Febrero!E73+Marzo!E73+Abril!E73+Mayo!E73+Junio!E73+Julio!E73+Agosto!E73+Septiembre!E73+Octubre!E73+Noviembre!E73+Diciembre!E73</f>
        <v>3256100.04</v>
      </c>
      <c r="F73" s="14">
        <f>+Enero!F73+Febrero!F73+Marzo!F73+Abril!F73+Mayo!F73+Junio!F73+Julio!F73+Agosto!F73+Septiembre!F73+Octubre!F73+Noviembre!F73+Diciembre!F73</f>
        <v>0</v>
      </c>
      <c r="G73" s="14">
        <f>+Enero!G73+Febrero!G73+Marzo!G73+Abril!G73+Mayo!G73+Junio!G73+Julio!G73+Agosto!G73+Septiembre!G73+Octubre!G73+Noviembre!G73+Diciembre!G73</f>
        <v>126851385.44</v>
      </c>
      <c r="H73" s="14">
        <f>+Enero!H73+Febrero!H73+Marzo!H73+Abril!H73+Mayo!H73+Junio!H73+Julio!H73+Agosto!H73+Septiembre!H73+Octubre!H73+Noviembre!H73+Diciembre!H73</f>
        <v>0</v>
      </c>
      <c r="I73" s="13">
        <f t="shared" si="1"/>
        <v>130107485.48</v>
      </c>
    </row>
    <row r="74" spans="1:9" ht="15.75" x14ac:dyDescent="0.25">
      <c r="A74" s="8"/>
      <c r="B74" s="8"/>
      <c r="C74" s="9"/>
      <c r="D74" s="12" t="s">
        <v>70</v>
      </c>
      <c r="E74" s="14">
        <f>+Enero!E74+Febrero!E74+Marzo!E74+Abril!E74+Mayo!E74+Junio!E74+Julio!E74+Agosto!E74+Septiembre!E74+Octubre!E74+Noviembre!E74+Diciembre!E74</f>
        <v>21463786.629999999</v>
      </c>
      <c r="F74" s="14">
        <f>+Enero!F74+Febrero!F74+Marzo!F74+Abril!F74+Mayo!F74+Junio!F74+Julio!F74+Agosto!F74+Septiembre!F74+Octubre!F74+Noviembre!F74+Diciembre!F74</f>
        <v>9671139.9086929597</v>
      </c>
      <c r="G74" s="14">
        <f>+Enero!G74+Febrero!G74+Marzo!G74+Abril!G74+Mayo!G74+Junio!G74+Julio!G74+Agosto!G74+Septiembre!G74+Octubre!G74+Noviembre!G74+Diciembre!G74</f>
        <v>762088102.77999997</v>
      </c>
      <c r="H74" s="14">
        <f>+Enero!H74+Febrero!H74+Marzo!H74+Abril!H74+Mayo!H74+Junio!H74+Julio!H74+Agosto!H74+Septiembre!H74+Octubre!H74+Noviembre!H74+Diciembre!H74</f>
        <v>0</v>
      </c>
      <c r="I74" s="13">
        <f t="shared" ref="I74:I105" si="2">SUM(E74:H74)</f>
        <v>793223029.31869292</v>
      </c>
    </row>
    <row r="75" spans="1:9" ht="15.75" x14ac:dyDescent="0.25">
      <c r="A75" s="8"/>
      <c r="B75" s="8"/>
      <c r="C75" s="9"/>
      <c r="D75" s="12" t="s">
        <v>71</v>
      </c>
      <c r="E75" s="14">
        <f>+Enero!E75+Febrero!E75+Marzo!E75+Abril!E75+Mayo!E75+Junio!E75+Julio!E75+Agosto!E75+Septiembre!E75+Octubre!E75+Noviembre!E75+Diciembre!E75</f>
        <v>137810865.03999999</v>
      </c>
      <c r="F75" s="14">
        <f>+Enero!F75+Febrero!F75+Marzo!F75+Abril!F75+Mayo!F75+Junio!F75+Julio!F75+Agosto!F75+Septiembre!F75+Octubre!F75+Noviembre!F75+Diciembre!F75</f>
        <v>37585063.820258565</v>
      </c>
      <c r="G75" s="14">
        <f>+Enero!G75+Febrero!G75+Marzo!G75+Abril!G75+Mayo!G75+Junio!G75+Julio!G75+Agosto!G75+Septiembre!G75+Octubre!G75+Noviembre!G75+Diciembre!G75</f>
        <v>1195005921.4100001</v>
      </c>
      <c r="H75" s="14">
        <f>+Enero!H75+Febrero!H75+Marzo!H75+Abril!H75+Mayo!H75+Junio!H75+Julio!H75+Agosto!H75+Septiembre!H75+Octubre!H75+Noviembre!H75+Diciembre!H75</f>
        <v>0</v>
      </c>
      <c r="I75" s="13">
        <f t="shared" si="2"/>
        <v>1370401850.2702587</v>
      </c>
    </row>
    <row r="76" spans="1:9" ht="15.75" x14ac:dyDescent="0.25">
      <c r="A76" s="8"/>
      <c r="B76" s="8"/>
      <c r="C76" s="9"/>
      <c r="D76" s="12" t="s">
        <v>72</v>
      </c>
      <c r="E76" s="14">
        <f>+Enero!E76+Febrero!E76+Marzo!E76+Abril!E76+Mayo!E76+Junio!E76+Julio!E76+Agosto!E76+Septiembre!E76+Octubre!E76+Noviembre!E76+Diciembre!E76</f>
        <v>0</v>
      </c>
      <c r="F76" s="14">
        <f>+Enero!F76+Febrero!F76+Marzo!F76+Abril!F76+Mayo!F76+Junio!F76+Julio!F76+Agosto!F76+Septiembre!F76+Octubre!F76+Noviembre!F76+Diciembre!F76</f>
        <v>0</v>
      </c>
      <c r="G76" s="14">
        <f>+Enero!G76+Febrero!G76+Marzo!G76+Abril!G76+Mayo!G76+Junio!G76+Julio!G76+Agosto!G76+Septiembre!G76+Octubre!G76+Noviembre!G76+Diciembre!G76</f>
        <v>394088527.25999999</v>
      </c>
      <c r="H76" s="14">
        <f>+Enero!H76+Febrero!H76+Marzo!H76+Abril!H76+Mayo!H76+Junio!H76+Julio!H76+Agosto!H76+Septiembre!H76+Octubre!H76+Noviembre!H76+Diciembre!H76</f>
        <v>0</v>
      </c>
      <c r="I76" s="13">
        <f t="shared" si="2"/>
        <v>394088527.25999999</v>
      </c>
    </row>
    <row r="77" spans="1:9" ht="15.75" x14ac:dyDescent="0.25">
      <c r="A77" s="8"/>
      <c r="B77" s="8"/>
      <c r="C77" s="9"/>
      <c r="D77" s="12" t="s">
        <v>73</v>
      </c>
      <c r="E77" s="14">
        <f>+Enero!E77+Febrero!E77+Marzo!E77+Abril!E77+Mayo!E77+Junio!E77+Julio!E77+Agosto!E77+Septiembre!E77+Octubre!E77+Noviembre!E77+Diciembre!E77</f>
        <v>132107973.48999999</v>
      </c>
      <c r="F77" s="14">
        <f>+Enero!F77+Febrero!F77+Marzo!F77+Abril!F77+Mayo!F77+Junio!F77+Julio!F77+Agosto!F77+Septiembre!F77+Octubre!F77+Noviembre!F77+Diciembre!F77</f>
        <v>186396135.26731458</v>
      </c>
      <c r="G77" s="14">
        <f>+Enero!G77+Febrero!G77+Marzo!G77+Abril!G77+Mayo!G77+Junio!G77+Julio!G77+Agosto!G77+Septiembre!G77+Octubre!G77+Noviembre!G77+Diciembre!G77</f>
        <v>12780842.35</v>
      </c>
      <c r="H77" s="14">
        <f>+Enero!H77+Febrero!H77+Marzo!H77+Abril!H77+Mayo!H77+Junio!H77+Julio!H77+Agosto!H77+Septiembre!H77+Octubre!H77+Noviembre!H77+Diciembre!H77</f>
        <v>0</v>
      </c>
      <c r="I77" s="13">
        <f t="shared" si="2"/>
        <v>331284951.10731459</v>
      </c>
    </row>
    <row r="78" spans="1:9" ht="15.75" x14ac:dyDescent="0.25">
      <c r="A78" s="8"/>
      <c r="B78" s="8"/>
      <c r="C78" s="9"/>
      <c r="D78" s="12" t="s">
        <v>74</v>
      </c>
      <c r="E78" s="14">
        <f>+Enero!E78+Febrero!E78+Marzo!E78+Abril!E78+Mayo!E78+Junio!E78+Julio!E78+Agosto!E78+Septiembre!E78+Octubre!E78+Noviembre!E78+Diciembre!E78</f>
        <v>263855811.09</v>
      </c>
      <c r="F78" s="14">
        <f>+Enero!F78+Febrero!F78+Marzo!F78+Abril!F78+Mayo!F78+Junio!F78+Julio!F78+Agosto!F78+Septiembre!F78+Octubre!F78+Noviembre!F78+Diciembre!F78</f>
        <v>189151193.74506047</v>
      </c>
      <c r="G78" s="14">
        <f>+Enero!G78+Febrero!G78+Marzo!G78+Abril!G78+Mayo!G78+Junio!G78+Julio!G78+Agosto!G78+Septiembre!G78+Octubre!G78+Noviembre!G78+Diciembre!G78</f>
        <v>24050243.860000003</v>
      </c>
      <c r="H78" s="14">
        <f>+Enero!H78+Febrero!H78+Marzo!H78+Abril!H78+Mayo!H78+Junio!H78+Julio!H78+Agosto!H78+Septiembre!H78+Octubre!H78+Noviembre!H78+Diciembre!H78</f>
        <v>0</v>
      </c>
      <c r="I78" s="13">
        <f t="shared" si="2"/>
        <v>477057248.69506049</v>
      </c>
    </row>
    <row r="79" spans="1:9" ht="15.75" x14ac:dyDescent="0.25">
      <c r="A79" s="8"/>
      <c r="B79" s="8"/>
      <c r="C79" s="9"/>
      <c r="D79" s="12" t="s">
        <v>75</v>
      </c>
      <c r="E79" s="14">
        <f>+Enero!E79+Febrero!E79+Marzo!E79+Abril!E79+Mayo!E79+Junio!E79+Julio!E79+Agosto!E79+Septiembre!E79+Octubre!E79+Noviembre!E79+Diciembre!E79</f>
        <v>268975472.66000003</v>
      </c>
      <c r="F79" s="14">
        <f>+Enero!F79+Febrero!F79+Marzo!F79+Abril!F79+Mayo!F79+Junio!F79+Julio!F79+Agosto!F79+Septiembre!F79+Octubre!F79+Noviembre!F79+Diciembre!F79</f>
        <v>106205608.63466641</v>
      </c>
      <c r="G79" s="14">
        <f>+Enero!G79+Febrero!G79+Marzo!G79+Abril!G79+Mayo!G79+Junio!G79+Julio!G79+Agosto!G79+Septiembre!G79+Octubre!G79+Noviembre!G79+Diciembre!G79</f>
        <v>17005482.210000001</v>
      </c>
      <c r="H79" s="14">
        <f>+Enero!H79+Febrero!H79+Marzo!H79+Abril!H79+Mayo!H79+Junio!H79+Julio!H79+Agosto!H79+Septiembre!H79+Octubre!H79+Noviembre!H79+Diciembre!H79</f>
        <v>0</v>
      </c>
      <c r="I79" s="13">
        <f t="shared" si="2"/>
        <v>392186563.50466639</v>
      </c>
    </row>
    <row r="80" spans="1:9" ht="15.75" x14ac:dyDescent="0.25">
      <c r="A80" s="8"/>
      <c r="B80" s="8"/>
      <c r="C80" s="9"/>
      <c r="D80" s="12" t="s">
        <v>76</v>
      </c>
      <c r="E80" s="14">
        <f>+Enero!E80+Febrero!E80+Marzo!E80+Abril!E80+Mayo!E80+Junio!E80+Julio!E80+Agosto!E80+Septiembre!E80+Octubre!E80+Noviembre!E80+Diciembre!E80</f>
        <v>86457683.069999993</v>
      </c>
      <c r="F80" s="14">
        <f>+Enero!F80+Febrero!F80+Marzo!F80+Abril!F80+Mayo!F80+Junio!F80+Julio!F80+Agosto!F80+Septiembre!F80+Octubre!F80+Noviembre!F80+Diciembre!F80</f>
        <v>56132736.748707451</v>
      </c>
      <c r="G80" s="14">
        <f>+Enero!G80+Febrero!G80+Marzo!G80+Abril!G80+Mayo!G80+Junio!G80+Julio!G80+Agosto!G80+Septiembre!G80+Octubre!G80+Noviembre!G80+Diciembre!G80</f>
        <v>5217351.4600000009</v>
      </c>
      <c r="H80" s="14">
        <f>+Enero!H80+Febrero!H80+Marzo!H80+Abril!H80+Mayo!H80+Junio!H80+Julio!H80+Agosto!H80+Septiembre!H80+Octubre!H80+Noviembre!H80+Diciembre!H80</f>
        <v>0</v>
      </c>
      <c r="I80" s="13">
        <f t="shared" si="2"/>
        <v>147807771.27870744</v>
      </c>
    </row>
    <row r="81" spans="1:9" ht="15.75" x14ac:dyDescent="0.25">
      <c r="A81" s="8"/>
      <c r="B81" s="8"/>
      <c r="C81" s="9"/>
      <c r="D81" s="12" t="s">
        <v>77</v>
      </c>
      <c r="E81" s="14">
        <f>+Enero!E81+Febrero!E81+Marzo!E81+Abril!E81+Mayo!E81+Junio!E81+Julio!E81+Agosto!E81+Septiembre!E81+Octubre!E81+Noviembre!E81+Diciembre!E81</f>
        <v>632982822.05000007</v>
      </c>
      <c r="F81" s="14">
        <f>+Enero!F81+Febrero!F81+Marzo!F81+Abril!F81+Mayo!F81+Junio!F81+Julio!F81+Agosto!F81+Septiembre!F81+Octubre!F81+Noviembre!F81+Diciembre!F81</f>
        <v>338696842.1371578</v>
      </c>
      <c r="G81" s="14">
        <f>+Enero!G81+Febrero!G81+Marzo!G81+Abril!G81+Mayo!G81+Junio!G81+Julio!G81+Agosto!G81+Septiembre!G81+Octubre!G81+Noviembre!G81+Diciembre!G81</f>
        <v>46650724.199999996</v>
      </c>
      <c r="H81" s="14">
        <f>+Enero!H81+Febrero!H81+Marzo!H81+Abril!H81+Mayo!H81+Junio!H81+Julio!H81+Agosto!H81+Septiembre!H81+Octubre!H81+Noviembre!H81+Diciembre!H81</f>
        <v>0</v>
      </c>
      <c r="I81" s="13">
        <f t="shared" si="2"/>
        <v>1018330388.3871579</v>
      </c>
    </row>
    <row r="82" spans="1:9" ht="15.75" x14ac:dyDescent="0.25">
      <c r="A82" s="8"/>
      <c r="B82" s="8"/>
      <c r="C82" s="9"/>
      <c r="D82" s="12" t="s">
        <v>78</v>
      </c>
      <c r="E82" s="14">
        <f>+Enero!E82+Febrero!E82+Marzo!E82+Abril!E82+Mayo!E82+Junio!E82+Julio!E82+Agosto!E82+Septiembre!E82+Octubre!E82+Noviembre!E82+Diciembre!E82</f>
        <v>739140734.2700001</v>
      </c>
      <c r="F82" s="14">
        <f>+Enero!F82+Febrero!F82+Marzo!F82+Abril!F82+Mayo!F82+Junio!F82+Julio!F82+Agosto!F82+Septiembre!F82+Octubre!F82+Noviembre!F82+Diciembre!F82</f>
        <v>234754994.28151074</v>
      </c>
      <c r="G82" s="14">
        <f>+Enero!G82+Febrero!G82+Marzo!G82+Abril!G82+Mayo!G82+Junio!G82+Julio!G82+Agosto!G82+Septiembre!G82+Octubre!G82+Noviembre!G82+Diciembre!G82</f>
        <v>14729163.779999999</v>
      </c>
      <c r="H82" s="14">
        <f>+Enero!H82+Febrero!H82+Marzo!H82+Abril!H82+Mayo!H82+Junio!H82+Julio!H82+Agosto!H82+Septiembre!H82+Octubre!H82+Noviembre!H82+Diciembre!H82</f>
        <v>0</v>
      </c>
      <c r="I82" s="13">
        <f t="shared" si="2"/>
        <v>988624892.33151078</v>
      </c>
    </row>
    <row r="83" spans="1:9" ht="15.75" x14ac:dyDescent="0.25">
      <c r="A83" s="8"/>
      <c r="B83" s="8"/>
      <c r="C83" s="9"/>
      <c r="D83" s="12" t="s">
        <v>79</v>
      </c>
      <c r="E83" s="14">
        <f>+Enero!E83+Febrero!E83+Marzo!E83+Abril!E83+Mayo!E83+Junio!E83+Julio!E83+Agosto!E83+Septiembre!E83+Octubre!E83+Noviembre!E83+Diciembre!E83</f>
        <v>173556626.11000001</v>
      </c>
      <c r="F83" s="14">
        <f>+Enero!F83+Febrero!F83+Marzo!F83+Abril!F83+Mayo!F83+Junio!F83+Julio!F83+Agosto!F83+Septiembre!F83+Octubre!F83+Noviembre!F83+Diciembre!F83</f>
        <v>96411249.367450401</v>
      </c>
      <c r="G83" s="14">
        <f>+Enero!G83+Febrero!G83+Marzo!G83+Abril!G83+Mayo!G83+Junio!G83+Julio!G83+Agosto!G83+Septiembre!G83+Octubre!G83+Noviembre!G83+Diciembre!G83</f>
        <v>65064416.359999992</v>
      </c>
      <c r="H83" s="14">
        <f>+Enero!H83+Febrero!H83+Marzo!H83+Abril!H83+Mayo!H83+Junio!H83+Julio!H83+Agosto!H83+Septiembre!H83+Octubre!H83+Noviembre!H83+Diciembre!H83</f>
        <v>0</v>
      </c>
      <c r="I83" s="13">
        <f t="shared" si="2"/>
        <v>335032291.83745044</v>
      </c>
    </row>
    <row r="84" spans="1:9" ht="15.75" x14ac:dyDescent="0.25">
      <c r="A84" s="8"/>
      <c r="B84" s="8"/>
      <c r="C84" s="9"/>
      <c r="D84" s="12" t="s">
        <v>80</v>
      </c>
      <c r="E84" s="14">
        <f>+Enero!E84+Febrero!E84+Marzo!E84+Abril!E84+Mayo!E84+Junio!E84+Julio!E84+Agosto!E84+Septiembre!E84+Octubre!E84+Noviembre!E84+Diciembre!E84</f>
        <v>0</v>
      </c>
      <c r="F84" s="14">
        <f>+Enero!F84+Febrero!F84+Marzo!F84+Abril!F84+Mayo!F84+Junio!F84+Julio!F84+Agosto!F84+Septiembre!F84+Octubre!F84+Noviembre!F84+Diciembre!F84</f>
        <v>0</v>
      </c>
      <c r="G84" s="14">
        <f>+Enero!G84+Febrero!G84+Marzo!G84+Abril!G84+Mayo!G84+Junio!G84+Julio!G84+Agosto!G84+Septiembre!G84+Octubre!G84+Noviembre!G84+Diciembre!G84</f>
        <v>446348640.89999998</v>
      </c>
      <c r="H84" s="14">
        <f>+Enero!H84+Febrero!H84+Marzo!H84+Abril!H84+Mayo!H84+Junio!H84+Julio!H84+Agosto!H84+Septiembre!H84+Octubre!H84+Noviembre!H84+Diciembre!H84</f>
        <v>0</v>
      </c>
      <c r="I84" s="13">
        <f t="shared" si="2"/>
        <v>446348640.89999998</v>
      </c>
    </row>
    <row r="85" spans="1:9" ht="15.75" x14ac:dyDescent="0.25">
      <c r="A85" s="8"/>
      <c r="B85" s="8"/>
      <c r="C85" s="9"/>
      <c r="D85" s="12" t="s">
        <v>81</v>
      </c>
      <c r="E85" s="14">
        <f>+Enero!E85+Febrero!E85+Marzo!E85+Abril!E85+Mayo!E85+Junio!E85+Julio!E85+Agosto!E85+Septiembre!E85+Octubre!E85+Noviembre!E85+Diciembre!E85</f>
        <v>174331387.16000003</v>
      </c>
      <c r="F85" s="14">
        <f>+Enero!F85+Febrero!F85+Marzo!F85+Abril!F85+Mayo!F85+Junio!F85+Julio!F85+Agosto!F85+Septiembre!F85+Octubre!F85+Noviembre!F85+Diciembre!F85</f>
        <v>29994435.388166163</v>
      </c>
      <c r="G85" s="14">
        <f>+Enero!G85+Febrero!G85+Marzo!G85+Abril!G85+Mayo!G85+Junio!G85+Julio!G85+Agosto!G85+Septiembre!G85+Octubre!G85+Noviembre!G85+Diciembre!G85</f>
        <v>124201608.61</v>
      </c>
      <c r="H85" s="14">
        <f>+Enero!H85+Febrero!H85+Marzo!H85+Abril!H85+Mayo!H85+Junio!H85+Julio!H85+Agosto!H85+Septiembre!H85+Octubre!H85+Noviembre!H85+Diciembre!H85</f>
        <v>0</v>
      </c>
      <c r="I85" s="13">
        <f t="shared" si="2"/>
        <v>328527431.15816617</v>
      </c>
    </row>
    <row r="86" spans="1:9" ht="15.75" x14ac:dyDescent="0.25">
      <c r="A86" s="8"/>
      <c r="B86" s="8"/>
      <c r="C86" s="9"/>
      <c r="D86" s="12" t="s">
        <v>82</v>
      </c>
      <c r="E86" s="14">
        <f>+Enero!E86+Febrero!E86+Marzo!E86+Abril!E86+Mayo!E86+Junio!E86+Julio!E86+Agosto!E86+Septiembre!E86+Octubre!E86+Noviembre!E86+Diciembre!E86</f>
        <v>120729748.71999998</v>
      </c>
      <c r="F86" s="14">
        <f>+Enero!F86+Febrero!F86+Marzo!F86+Abril!F86+Mayo!F86+Junio!F86+Julio!F86+Agosto!F86+Septiembre!F86+Octubre!F86+Noviembre!F86+Diciembre!F86</f>
        <v>124570032.26069641</v>
      </c>
      <c r="G86" s="14">
        <f>+Enero!G86+Febrero!G86+Marzo!G86+Abril!G86+Mayo!G86+Junio!G86+Julio!G86+Agosto!G86+Septiembre!G86+Octubre!G86+Noviembre!G86+Diciembre!G86</f>
        <v>18861878.93</v>
      </c>
      <c r="H86" s="14">
        <f>+Enero!H86+Febrero!H86+Marzo!H86+Abril!H86+Mayo!H86+Junio!H86+Julio!H86+Agosto!H86+Septiembre!H86+Octubre!H86+Noviembre!H86+Diciembre!H86</f>
        <v>0</v>
      </c>
      <c r="I86" s="13">
        <f t="shared" si="2"/>
        <v>264161659.91069639</v>
      </c>
    </row>
    <row r="87" spans="1:9" ht="15.75" x14ac:dyDescent="0.25">
      <c r="A87" s="8"/>
      <c r="B87" s="8"/>
      <c r="C87" s="9"/>
      <c r="D87" s="12" t="s">
        <v>83</v>
      </c>
      <c r="E87" s="14">
        <f>+Enero!E87+Febrero!E87+Marzo!E87+Abril!E87+Mayo!E87+Junio!E87+Julio!E87+Agosto!E87+Septiembre!E87+Octubre!E87+Noviembre!E87+Diciembre!E87</f>
        <v>89707318.220000014</v>
      </c>
      <c r="F87" s="14">
        <f>+Enero!F87+Febrero!F87+Marzo!F87+Abril!F87+Mayo!F87+Junio!F87+Julio!F87+Agosto!F87+Septiembre!F87+Octubre!F87+Noviembre!F87+Diciembre!F87</f>
        <v>164053937.9905023</v>
      </c>
      <c r="G87" s="14">
        <f>+Enero!G87+Febrero!G87+Marzo!G87+Abril!G87+Mayo!G87+Junio!G87+Julio!G87+Agosto!G87+Septiembre!G87+Octubre!G87+Noviembre!G87+Diciembre!G87</f>
        <v>12807292.859999999</v>
      </c>
      <c r="H87" s="14">
        <f>+Enero!H87+Febrero!H87+Marzo!H87+Abril!H87+Mayo!H87+Junio!H87+Julio!H87+Agosto!H87+Septiembre!H87+Octubre!H87+Noviembre!H87+Diciembre!H87</f>
        <v>0</v>
      </c>
      <c r="I87" s="13">
        <f t="shared" si="2"/>
        <v>266568549.07050234</v>
      </c>
    </row>
    <row r="88" spans="1:9" ht="15.75" x14ac:dyDescent="0.25">
      <c r="A88" s="8"/>
      <c r="B88" s="8"/>
      <c r="C88" s="9"/>
      <c r="D88" s="12" t="s">
        <v>84</v>
      </c>
      <c r="E88" s="14">
        <f>+Enero!E88+Febrero!E88+Marzo!E88+Abril!E88+Mayo!E88+Junio!E88+Julio!E88+Agosto!E88+Septiembre!E88+Octubre!E88+Noviembre!E88+Diciembre!E88</f>
        <v>15987627.15</v>
      </c>
      <c r="F88" s="14">
        <f>+Enero!F88+Febrero!F88+Marzo!F88+Abril!F88+Mayo!F88+Junio!F88+Julio!F88+Agosto!F88+Septiembre!F88+Octubre!F88+Noviembre!F88+Diciembre!F88</f>
        <v>0</v>
      </c>
      <c r="G88" s="14">
        <f>+Enero!G88+Febrero!G88+Marzo!G88+Abril!G88+Mayo!G88+Junio!G88+Julio!G88+Agosto!G88+Septiembre!G88+Octubre!G88+Noviembre!G88+Diciembre!G88</f>
        <v>154611832.01999998</v>
      </c>
      <c r="H88" s="14">
        <f>+Enero!H88+Febrero!H88+Marzo!H88+Abril!H88+Mayo!H88+Junio!H88+Julio!H88+Agosto!H88+Septiembre!H88+Octubre!H88+Noviembre!H88+Diciembre!H88</f>
        <v>0</v>
      </c>
      <c r="I88" s="13">
        <f t="shared" si="2"/>
        <v>170599459.16999999</v>
      </c>
    </row>
    <row r="89" spans="1:9" ht="15.75" x14ac:dyDescent="0.25">
      <c r="A89" s="8"/>
      <c r="B89" s="8"/>
      <c r="C89" s="9"/>
      <c r="D89" s="12" t="s">
        <v>85</v>
      </c>
      <c r="E89" s="14">
        <f>+Enero!E89+Febrero!E89+Marzo!E89+Abril!E89+Mayo!E89+Junio!E89+Julio!E89+Agosto!E89+Septiembre!E89+Octubre!E89+Noviembre!E89+Diciembre!E89</f>
        <v>141681958.59</v>
      </c>
      <c r="F89" s="14">
        <f>+Enero!F89+Febrero!F89+Marzo!F89+Abril!F89+Mayo!F89+Junio!F89+Julio!F89+Agosto!F89+Septiembre!F89+Octubre!F89+Noviembre!F89+Diciembre!F89</f>
        <v>160870771.22865716</v>
      </c>
      <c r="G89" s="14">
        <f>+Enero!G89+Febrero!G89+Marzo!G89+Abril!G89+Mayo!G89+Junio!G89+Julio!G89+Agosto!G89+Septiembre!G89+Octubre!G89+Noviembre!G89+Diciembre!G89</f>
        <v>10490443.73</v>
      </c>
      <c r="H89" s="14">
        <f>+Enero!H89+Febrero!H89+Marzo!H89+Abril!H89+Mayo!H89+Junio!H89+Julio!H89+Agosto!H89+Septiembre!H89+Octubre!H89+Noviembre!H89+Diciembre!H89</f>
        <v>0</v>
      </c>
      <c r="I89" s="13">
        <f t="shared" si="2"/>
        <v>313043173.54865718</v>
      </c>
    </row>
    <row r="90" spans="1:9" ht="15.75" x14ac:dyDescent="0.25">
      <c r="A90" s="8"/>
      <c r="B90" s="8"/>
      <c r="C90" s="9"/>
      <c r="D90" s="12" t="s">
        <v>86</v>
      </c>
      <c r="E90" s="14">
        <f>+Enero!E90+Febrero!E90+Marzo!E90+Abril!E90+Mayo!E90+Junio!E90+Julio!E90+Agosto!E90+Septiembre!E90+Octubre!E90+Noviembre!E90+Diciembre!E90</f>
        <v>46445575.220000014</v>
      </c>
      <c r="F90" s="14">
        <f>+Enero!F90+Febrero!F90+Marzo!F90+Abril!F90+Mayo!F90+Junio!F90+Julio!F90+Agosto!F90+Septiembre!F90+Octubre!F90+Noviembre!F90+Diciembre!F90</f>
        <v>41626026.88566801</v>
      </c>
      <c r="G90" s="14">
        <f>+Enero!G90+Febrero!G90+Marzo!G90+Abril!G90+Mayo!G90+Junio!G90+Julio!G90+Agosto!G90+Septiembre!G90+Octubre!G90+Noviembre!G90+Diciembre!G90</f>
        <v>40354496.060000002</v>
      </c>
      <c r="H90" s="14">
        <f>+Enero!H90+Febrero!H90+Marzo!H90+Abril!H90+Mayo!H90+Junio!H90+Julio!H90+Agosto!H90+Septiembre!H90+Octubre!H90+Noviembre!H90+Diciembre!H90</f>
        <v>0</v>
      </c>
      <c r="I90" s="13">
        <f t="shared" si="2"/>
        <v>128426098.16566803</v>
      </c>
    </row>
    <row r="91" spans="1:9" ht="15.75" x14ac:dyDescent="0.25">
      <c r="A91" s="8"/>
      <c r="B91" s="8"/>
      <c r="C91" s="9"/>
      <c r="D91" s="12" t="s">
        <v>87</v>
      </c>
      <c r="E91" s="14">
        <f>+Enero!E91+Febrero!E91+Marzo!E91+Abril!E91+Mayo!E91+Junio!E91+Julio!E91+Agosto!E91+Septiembre!E91+Octubre!E91+Noviembre!E91+Diciembre!E91</f>
        <v>135941796.41</v>
      </c>
      <c r="F91" s="14">
        <f>+Enero!F91+Febrero!F91+Marzo!F91+Abril!F91+Mayo!F91+Junio!F91+Julio!F91+Agosto!F91+Septiembre!F91+Octubre!F91+Noviembre!F91+Diciembre!F91</f>
        <v>94942095.477368012</v>
      </c>
      <c r="G91" s="14">
        <f>+Enero!G91+Febrero!G91+Marzo!G91+Abril!G91+Mayo!G91+Junio!G91+Julio!G91+Agosto!G91+Septiembre!G91+Octubre!G91+Noviembre!G91+Diciembre!G91</f>
        <v>71141492.920000002</v>
      </c>
      <c r="H91" s="14">
        <f>+Enero!H91+Febrero!H91+Marzo!H91+Abril!H91+Mayo!H91+Junio!H91+Julio!H91+Agosto!H91+Septiembre!H91+Octubre!H91+Noviembre!H91+Diciembre!H91</f>
        <v>0</v>
      </c>
      <c r="I91" s="13">
        <f t="shared" si="2"/>
        <v>302025384.80736804</v>
      </c>
    </row>
    <row r="92" spans="1:9" ht="15.75" x14ac:dyDescent="0.25">
      <c r="A92" s="8"/>
      <c r="B92" s="8"/>
      <c r="C92" s="9"/>
      <c r="D92" s="12" t="s">
        <v>88</v>
      </c>
      <c r="E92" s="14">
        <f>+Enero!E92+Febrero!E92+Marzo!E92+Abril!E92+Mayo!E92+Junio!E92+Julio!E92+Agosto!E92+Septiembre!E92+Octubre!E92+Noviembre!E92+Diciembre!E92</f>
        <v>14133061.42</v>
      </c>
      <c r="F92" s="14">
        <f>+Enero!F92+Febrero!F92+Marzo!F92+Abril!F92+Mayo!F92+Junio!F92+Julio!F92+Agosto!F92+Septiembre!F92+Octubre!F92+Noviembre!F92+Diciembre!F92</f>
        <v>13099165.65221856</v>
      </c>
      <c r="G92" s="14">
        <f>+Enero!G92+Febrero!G92+Marzo!G92+Abril!G92+Mayo!G92+Junio!G92+Julio!G92+Agosto!G92+Septiembre!G92+Octubre!G92+Noviembre!G92+Diciembre!G92</f>
        <v>223802810.56</v>
      </c>
      <c r="H92" s="14">
        <f>+Enero!H92+Febrero!H92+Marzo!H92+Abril!H92+Mayo!H92+Junio!H92+Julio!H92+Agosto!H92+Septiembre!H92+Octubre!H92+Noviembre!H92+Diciembre!H92</f>
        <v>0</v>
      </c>
      <c r="I92" s="13">
        <f t="shared" si="2"/>
        <v>251035037.63221857</v>
      </c>
    </row>
    <row r="93" spans="1:9" ht="15.75" x14ac:dyDescent="0.25">
      <c r="A93" s="8"/>
      <c r="B93" s="8"/>
      <c r="C93" s="9"/>
      <c r="D93" s="12" t="s">
        <v>89</v>
      </c>
      <c r="E93" s="14">
        <f>+Enero!E93+Febrero!E93+Marzo!E93+Abril!E93+Mayo!E93+Junio!E93+Julio!E93+Agosto!E93+Septiembre!E93+Octubre!E93+Noviembre!E93+Diciembre!E93</f>
        <v>245043741.36000001</v>
      </c>
      <c r="F93" s="14">
        <f>+Enero!F93+Febrero!F93+Marzo!F93+Abril!F93+Mayo!F93+Junio!F93+Julio!F93+Agosto!F93+Septiembre!F93+Octubre!F93+Noviembre!F93+Diciembre!F93</f>
        <v>106145578.69077057</v>
      </c>
      <c r="G93" s="14">
        <f>+Enero!G93+Febrero!G93+Marzo!G93+Abril!G93+Mayo!G93+Junio!G93+Julio!G93+Agosto!G93+Septiembre!G93+Octubre!G93+Noviembre!G93+Diciembre!G93</f>
        <v>20871805.439999998</v>
      </c>
      <c r="H93" s="14">
        <f>+Enero!H93+Febrero!H93+Marzo!H93+Abril!H93+Mayo!H93+Junio!H93+Julio!H93+Agosto!H93+Septiembre!H93+Octubre!H93+Noviembre!H93+Diciembre!H93</f>
        <v>0</v>
      </c>
      <c r="I93" s="13">
        <f t="shared" si="2"/>
        <v>372061125.49077058</v>
      </c>
    </row>
    <row r="94" spans="1:9" ht="15.75" x14ac:dyDescent="0.25">
      <c r="A94" s="8"/>
      <c r="B94" s="8"/>
      <c r="C94" s="9"/>
      <c r="D94" s="12" t="s">
        <v>90</v>
      </c>
      <c r="E94" s="14">
        <f>+Enero!E94+Febrero!E94+Marzo!E94+Abril!E94+Mayo!E94+Junio!E94+Julio!E94+Agosto!E94+Septiembre!E94+Octubre!E94+Noviembre!E94+Diciembre!E94</f>
        <v>1354412.68</v>
      </c>
      <c r="F94" s="14">
        <f>+Enero!F94+Febrero!F94+Marzo!F94+Abril!F94+Mayo!F94+Junio!F94+Julio!F94+Agosto!F94+Septiembre!F94+Octubre!F94+Noviembre!F94+Diciembre!F94</f>
        <v>0</v>
      </c>
      <c r="G94" s="14">
        <f>+Enero!G94+Febrero!G94+Marzo!G94+Abril!G94+Mayo!G94+Junio!G94+Julio!G94+Agosto!G94+Septiembre!G94+Octubre!G94+Noviembre!G94+Diciembre!G94</f>
        <v>6599808.9699999997</v>
      </c>
      <c r="H94" s="14">
        <f>+Enero!H94+Febrero!H94+Marzo!H94+Abril!H94+Mayo!H94+Junio!H94+Julio!H94+Agosto!H94+Septiembre!H94+Octubre!H94+Noviembre!H94+Diciembre!H94</f>
        <v>0</v>
      </c>
      <c r="I94" s="13">
        <f t="shared" si="2"/>
        <v>7954221.6499999994</v>
      </c>
    </row>
    <row r="95" spans="1:9" ht="15.75" x14ac:dyDescent="0.25">
      <c r="A95" s="8"/>
      <c r="B95" s="8"/>
      <c r="C95" s="9"/>
      <c r="D95" s="12" t="s">
        <v>91</v>
      </c>
      <c r="E95" s="14">
        <f>+Enero!E95+Febrero!E95+Marzo!E95+Abril!E95+Mayo!E95+Junio!E95+Julio!E95+Agosto!E95+Septiembre!E95+Octubre!E95+Noviembre!E95+Diciembre!E95</f>
        <v>19382660.41</v>
      </c>
      <c r="F95" s="14">
        <f>+Enero!F95+Febrero!F95+Marzo!F95+Abril!F95+Mayo!F95+Junio!F95+Julio!F95+Agosto!F95+Septiembre!F95+Octubre!F95+Noviembre!F95+Diciembre!F95</f>
        <v>3366416.06426408</v>
      </c>
      <c r="G95" s="14">
        <f>+Enero!G95+Febrero!G95+Marzo!G95+Abril!G95+Mayo!G95+Junio!G95+Julio!G95+Agosto!G95+Septiembre!G95+Octubre!G95+Noviembre!G95+Diciembre!G95</f>
        <v>241643304.52000004</v>
      </c>
      <c r="H95" s="14">
        <f>+Enero!H95+Febrero!H95+Marzo!H95+Abril!H95+Mayo!H95+Junio!H95+Julio!H95+Agosto!H95+Septiembre!H95+Octubre!H95+Noviembre!H95+Diciembre!H95</f>
        <v>0</v>
      </c>
      <c r="I95" s="13">
        <f t="shared" si="2"/>
        <v>264392380.99426413</v>
      </c>
    </row>
    <row r="96" spans="1:9" ht="15.75" x14ac:dyDescent="0.25">
      <c r="A96" s="8"/>
      <c r="B96" s="8"/>
      <c r="C96" s="9"/>
      <c r="D96" s="12" t="s">
        <v>92</v>
      </c>
      <c r="E96" s="14">
        <f>+Enero!E96+Febrero!E96+Marzo!E96+Abril!E96+Mayo!E96+Junio!E96+Julio!E96+Agosto!E96+Septiembre!E96+Octubre!E96+Noviembre!E96+Diciembre!E96</f>
        <v>0</v>
      </c>
      <c r="F96" s="14">
        <f>+Enero!F96+Febrero!F96+Marzo!F96+Abril!F96+Mayo!F96+Junio!F96+Julio!F96+Agosto!F96+Septiembre!F96+Octubre!F96+Noviembre!F96+Diciembre!F96</f>
        <v>0</v>
      </c>
      <c r="G96" s="14">
        <f>+Enero!G96+Febrero!G96+Marzo!G96+Abril!G96+Mayo!G96+Junio!G96+Julio!G96+Agosto!G96+Septiembre!G96+Octubre!G96+Noviembre!G96+Diciembre!G96</f>
        <v>344410407.10000002</v>
      </c>
      <c r="H96" s="14">
        <f>+Enero!H96+Febrero!H96+Marzo!H96+Abril!H96+Mayo!H96+Junio!H96+Julio!H96+Agosto!H96+Septiembre!H96+Octubre!H96+Noviembre!H96+Diciembre!H96</f>
        <v>0</v>
      </c>
      <c r="I96" s="13">
        <f t="shared" si="2"/>
        <v>344410407.10000002</v>
      </c>
    </row>
    <row r="97" spans="1:9" ht="15.75" x14ac:dyDescent="0.25">
      <c r="A97" s="8"/>
      <c r="B97" s="8"/>
      <c r="C97" s="9"/>
      <c r="D97" s="12" t="s">
        <v>93</v>
      </c>
      <c r="E97" s="14">
        <f>+Enero!E97+Febrero!E97+Marzo!E97+Abril!E97+Mayo!E97+Junio!E97+Julio!E97+Agosto!E97+Septiembre!E97+Octubre!E97+Noviembre!E97+Diciembre!E97</f>
        <v>98492152.560000002</v>
      </c>
      <c r="F97" s="14">
        <f>+Enero!F97+Febrero!F97+Marzo!F97+Abril!F97+Mayo!F97+Junio!F97+Julio!F97+Agosto!F97+Septiembre!F97+Octubre!F97+Noviembre!F97+Diciembre!F97</f>
        <v>151198051.58459851</v>
      </c>
      <c r="G97" s="14">
        <f>+Enero!G97+Febrero!G97+Marzo!G97+Abril!G97+Mayo!G97+Junio!G97+Julio!G97+Agosto!G97+Septiembre!G97+Octubre!G97+Noviembre!G97+Diciembre!G97</f>
        <v>16006570.440000001</v>
      </c>
      <c r="H97" s="14">
        <f>+Enero!H97+Febrero!H97+Marzo!H97+Abril!H97+Mayo!H97+Junio!H97+Julio!H97+Agosto!H97+Septiembre!H97+Octubre!H97+Noviembre!H97+Diciembre!H97</f>
        <v>0</v>
      </c>
      <c r="I97" s="13">
        <f t="shared" si="2"/>
        <v>265696774.58459851</v>
      </c>
    </row>
    <row r="98" spans="1:9" ht="15.75" x14ac:dyDescent="0.25">
      <c r="A98" s="8"/>
      <c r="B98" s="8"/>
      <c r="C98" s="9"/>
      <c r="D98" s="12" t="s">
        <v>94</v>
      </c>
      <c r="E98" s="14">
        <f>+Enero!E98+Febrero!E98+Marzo!E98+Abril!E98+Mayo!E98+Junio!E98+Julio!E98+Agosto!E98+Septiembre!E98+Octubre!E98+Noviembre!E98+Diciembre!E98</f>
        <v>360078133.21000004</v>
      </c>
      <c r="F98" s="14">
        <f>+Enero!F98+Febrero!F98+Marzo!F98+Abril!F98+Mayo!F98+Junio!F98+Julio!F98+Agosto!F98+Septiembre!F98+Octubre!F98+Noviembre!F98+Diciembre!F98</f>
        <v>198883943.33301494</v>
      </c>
      <c r="G98" s="14">
        <f>+Enero!G98+Febrero!G98+Marzo!G98+Abril!G98+Mayo!G98+Junio!G98+Julio!G98+Agosto!G98+Septiembre!G98+Octubre!G98+Noviembre!G98+Diciembre!G98</f>
        <v>119319438.09999999</v>
      </c>
      <c r="H98" s="14">
        <f>+Enero!H98+Febrero!H98+Marzo!H98+Abril!H98+Mayo!H98+Junio!H98+Julio!H98+Agosto!H98+Septiembre!H98+Octubre!H98+Noviembre!H98+Diciembre!H98</f>
        <v>0</v>
      </c>
      <c r="I98" s="13">
        <f t="shared" si="2"/>
        <v>678281514.64301503</v>
      </c>
    </row>
    <row r="99" spans="1:9" ht="15.75" x14ac:dyDescent="0.25">
      <c r="A99" s="8"/>
      <c r="B99" s="8"/>
      <c r="C99" s="9"/>
      <c r="D99" s="12" t="s">
        <v>95</v>
      </c>
      <c r="E99" s="14">
        <f>+Enero!E99+Febrero!E99+Marzo!E99+Abril!E99+Mayo!E99+Junio!E99+Julio!E99+Agosto!E99+Septiembre!E99+Octubre!E99+Noviembre!E99+Diciembre!E99</f>
        <v>419482134.91000009</v>
      </c>
      <c r="F99" s="14">
        <f>+Enero!F99+Febrero!F99+Marzo!F99+Abril!F99+Mayo!F99+Junio!F99+Julio!F99+Agosto!F99+Septiembre!F99+Octubre!F99+Noviembre!F99+Diciembre!F99</f>
        <v>378975354.75590068</v>
      </c>
      <c r="G99" s="14">
        <f>+Enero!G99+Febrero!G99+Marzo!G99+Abril!G99+Mayo!G99+Junio!G99+Julio!G99+Agosto!G99+Septiembre!G99+Octubre!G99+Noviembre!G99+Diciembre!G99</f>
        <v>56335957.909999996</v>
      </c>
      <c r="H99" s="14">
        <f>+Enero!H99+Febrero!H99+Marzo!H99+Abril!H99+Mayo!H99+Junio!H99+Julio!H99+Agosto!H99+Septiembre!H99+Octubre!H99+Noviembre!H99+Diciembre!H99</f>
        <v>0</v>
      </c>
      <c r="I99" s="13">
        <f t="shared" si="2"/>
        <v>854793447.57590067</v>
      </c>
    </row>
    <row r="100" spans="1:9" ht="15.75" x14ac:dyDescent="0.25">
      <c r="A100" s="8"/>
      <c r="B100" s="8"/>
      <c r="C100" s="9"/>
      <c r="D100" s="12" t="s">
        <v>96</v>
      </c>
      <c r="E100" s="14">
        <f>+Enero!E100+Febrero!E100+Marzo!E100+Abril!E100+Mayo!E100+Junio!E100+Julio!E100+Agosto!E100+Septiembre!E100+Octubre!E100+Noviembre!E100+Diciembre!E100</f>
        <v>482200286.93000001</v>
      </c>
      <c r="F100" s="14">
        <f>+Enero!F100+Febrero!F100+Marzo!F100+Abril!F100+Mayo!F100+Junio!F100+Julio!F100+Agosto!F100+Septiembre!F100+Octubre!F100+Noviembre!F100+Diciembre!F100</f>
        <v>379158604.05831951</v>
      </c>
      <c r="G100" s="14">
        <f>+Enero!G100+Febrero!G100+Marzo!G100+Abril!G100+Mayo!G100+Junio!G100+Julio!G100+Agosto!G100+Septiembre!G100+Octubre!G100+Noviembre!G100+Diciembre!G100</f>
        <v>120069281.87999998</v>
      </c>
      <c r="H100" s="14">
        <f>+Enero!H100+Febrero!H100+Marzo!H100+Abril!H100+Mayo!H100+Junio!H100+Julio!H100+Agosto!H100+Septiembre!H100+Octubre!H100+Noviembre!H100+Diciembre!H100</f>
        <v>0</v>
      </c>
      <c r="I100" s="13">
        <f t="shared" si="2"/>
        <v>981428172.86831951</v>
      </c>
    </row>
    <row r="101" spans="1:9" ht="15.75" x14ac:dyDescent="0.25">
      <c r="A101" s="8"/>
      <c r="B101" s="8"/>
      <c r="C101" s="9"/>
      <c r="D101" s="12" t="s">
        <v>97</v>
      </c>
      <c r="E101" s="14">
        <f>+Enero!E101+Febrero!E101+Marzo!E101+Abril!E101+Mayo!E101+Junio!E101+Julio!E101+Agosto!E101+Septiembre!E101+Octubre!E101+Noviembre!E101+Diciembre!E101</f>
        <v>21713943.890000001</v>
      </c>
      <c r="F101" s="14">
        <f>+Enero!F101+Febrero!F101+Marzo!F101+Abril!F101+Mayo!F101+Junio!F101+Julio!F101+Agosto!F101+Septiembre!F101+Octubre!F101+Noviembre!F101+Diciembre!F101</f>
        <v>508821703.13796824</v>
      </c>
      <c r="G101" s="14">
        <f>+Enero!G101+Febrero!G101+Marzo!G101+Abril!G101+Mayo!G101+Junio!G101+Julio!G101+Agosto!G101+Septiembre!G101+Octubre!G101+Noviembre!G101+Diciembre!G101</f>
        <v>1100682.1199999999</v>
      </c>
      <c r="H101" s="14">
        <f>+Enero!H101+Febrero!H101+Marzo!H101+Abril!H101+Mayo!H101+Junio!H101+Julio!H101+Agosto!H101+Septiembre!H101+Octubre!H101+Noviembre!H101+Diciembre!H101</f>
        <v>0</v>
      </c>
      <c r="I101" s="13">
        <f t="shared" si="2"/>
        <v>531636329.14796823</v>
      </c>
    </row>
    <row r="102" spans="1:9" ht="15.75" x14ac:dyDescent="0.25">
      <c r="A102" s="8"/>
      <c r="B102" s="8"/>
      <c r="C102" s="9"/>
      <c r="D102" s="12" t="s">
        <v>98</v>
      </c>
      <c r="E102" s="14">
        <f>+Enero!E102+Febrero!E102+Marzo!E102+Abril!E102+Mayo!E102+Junio!E102+Julio!E102+Agosto!E102+Septiembre!E102+Octubre!E102+Noviembre!E102+Diciembre!E102</f>
        <v>499570974.56999999</v>
      </c>
      <c r="F102" s="14">
        <f>+Enero!F102+Febrero!F102+Marzo!F102+Abril!F102+Mayo!F102+Junio!F102+Julio!F102+Agosto!F102+Septiembre!F102+Octubre!F102+Noviembre!F102+Diciembre!F102</f>
        <v>218779130.52838892</v>
      </c>
      <c r="G102" s="14">
        <f>+Enero!G102+Febrero!G102+Marzo!G102+Abril!G102+Mayo!G102+Junio!G102+Julio!G102+Agosto!G102+Septiembre!G102+Octubre!G102+Noviembre!G102+Diciembre!G102</f>
        <v>56514113.240000002</v>
      </c>
      <c r="H102" s="14">
        <f>+Enero!H102+Febrero!H102+Marzo!H102+Abril!H102+Mayo!H102+Junio!H102+Julio!H102+Agosto!H102+Septiembre!H102+Octubre!H102+Noviembre!H102+Diciembre!H102</f>
        <v>0</v>
      </c>
      <c r="I102" s="13">
        <f t="shared" si="2"/>
        <v>774864218.33838892</v>
      </c>
    </row>
    <row r="103" spans="1:9" ht="15.75" x14ac:dyDescent="0.25">
      <c r="A103" s="8"/>
      <c r="B103" s="8"/>
      <c r="C103" s="9"/>
      <c r="D103" s="12" t="s">
        <v>99</v>
      </c>
      <c r="E103" s="14">
        <f>+Enero!E103+Febrero!E103+Marzo!E103+Abril!E103+Mayo!E103+Junio!E103+Julio!E103+Agosto!E103+Septiembre!E103+Octubre!E103+Noviembre!E103+Diciembre!E103</f>
        <v>179732114.87</v>
      </c>
      <c r="F103" s="14">
        <f>+Enero!F103+Febrero!F103+Marzo!F103+Abril!F103+Mayo!F103+Junio!F103+Julio!F103+Agosto!F103+Septiembre!F103+Octubre!F103+Noviembre!F103+Diciembre!F103</f>
        <v>69478341.117972076</v>
      </c>
      <c r="G103" s="14">
        <f>+Enero!G103+Febrero!G103+Marzo!G103+Abril!G103+Mayo!G103+Junio!G103+Julio!G103+Agosto!G103+Septiembre!G103+Octubre!G103+Noviembre!G103+Diciembre!G103</f>
        <v>7697766.7399999993</v>
      </c>
      <c r="H103" s="14">
        <f>+Enero!H103+Febrero!H103+Marzo!H103+Abril!H103+Mayo!H103+Junio!H103+Julio!H103+Agosto!H103+Septiembre!H103+Octubre!H103+Noviembre!H103+Diciembre!H103</f>
        <v>0</v>
      </c>
      <c r="I103" s="13">
        <f t="shared" si="2"/>
        <v>256908222.72797209</v>
      </c>
    </row>
    <row r="104" spans="1:9" ht="15.75" x14ac:dyDescent="0.25">
      <c r="A104" s="8"/>
      <c r="B104" s="8"/>
      <c r="C104" s="9"/>
      <c r="D104" s="12" t="s">
        <v>100</v>
      </c>
      <c r="E104" s="14">
        <f>+Enero!E104+Febrero!E104+Marzo!E104+Abril!E104+Mayo!E104+Junio!E104+Julio!E104+Agosto!E104+Septiembre!E104+Octubre!E104+Noviembre!E104+Diciembre!E104</f>
        <v>921815140.77999985</v>
      </c>
      <c r="F104" s="14">
        <f>+Enero!F104+Febrero!F104+Marzo!F104+Abril!F104+Mayo!F104+Junio!F104+Julio!F104+Agosto!F104+Septiembre!F104+Octubre!F104+Noviembre!F104+Diciembre!F104</f>
        <v>126957012.3982389</v>
      </c>
      <c r="G104" s="14">
        <f>+Enero!G104+Febrero!G104+Marzo!G104+Abril!G104+Mayo!G104+Junio!G104+Julio!G104+Agosto!G104+Septiembre!G104+Octubre!G104+Noviembre!G104+Diciembre!G104</f>
        <v>124306656.13</v>
      </c>
      <c r="H104" s="14">
        <f>+Enero!H104+Febrero!H104+Marzo!H104+Abril!H104+Mayo!H104+Junio!H104+Julio!H104+Agosto!H104+Septiembre!H104+Octubre!H104+Noviembre!H104+Diciembre!H104</f>
        <v>0</v>
      </c>
      <c r="I104" s="13">
        <f t="shared" si="2"/>
        <v>1173078809.3082387</v>
      </c>
    </row>
    <row r="105" spans="1:9" ht="15.75" x14ac:dyDescent="0.25">
      <c r="A105" s="8"/>
      <c r="B105" s="8"/>
      <c r="C105" s="9"/>
      <c r="D105" s="12" t="s">
        <v>101</v>
      </c>
      <c r="E105" s="14">
        <f>+Enero!E105+Febrero!E105+Marzo!E105+Abril!E105+Mayo!E105+Junio!E105+Julio!E105+Agosto!E105+Septiembre!E105+Octubre!E105+Noviembre!E105+Diciembre!E105</f>
        <v>115199843.45000002</v>
      </c>
      <c r="F105" s="14">
        <f>+Enero!F105+Febrero!F105+Marzo!F105+Abril!F105+Mayo!F105+Junio!F105+Julio!F105+Agosto!F105+Septiembre!F105+Octubre!F105+Noviembre!F105+Diciembre!F105</f>
        <v>188538256.42317671</v>
      </c>
      <c r="G105" s="14">
        <f>+Enero!G105+Febrero!G105+Marzo!G105+Abril!G105+Mayo!G105+Junio!G105+Julio!G105+Agosto!G105+Septiembre!G105+Octubre!G105+Noviembre!G105+Diciembre!G105</f>
        <v>3483488.32</v>
      </c>
      <c r="H105" s="14">
        <f>+Enero!H105+Febrero!H105+Marzo!H105+Abril!H105+Mayo!H105+Junio!H105+Julio!H105+Agosto!H105+Septiembre!H105+Octubre!H105+Noviembre!H105+Diciembre!H105</f>
        <v>0</v>
      </c>
      <c r="I105" s="13">
        <f t="shared" si="2"/>
        <v>307221588.19317669</v>
      </c>
    </row>
    <row r="106" spans="1:9" ht="15.75" x14ac:dyDescent="0.25">
      <c r="A106" s="8"/>
      <c r="B106" s="8"/>
      <c r="C106" s="9"/>
      <c r="D106" s="12" t="s">
        <v>102</v>
      </c>
      <c r="E106" s="14">
        <f>+Enero!E106+Febrero!E106+Marzo!E106+Abril!E106+Mayo!E106+Junio!E106+Julio!E106+Agosto!E106+Septiembre!E106+Octubre!E106+Noviembre!E106+Diciembre!E106</f>
        <v>118293659.98999999</v>
      </c>
      <c r="F106" s="14">
        <f>+Enero!F106+Febrero!F106+Marzo!F106+Abril!F106+Mayo!F106+Junio!F106+Julio!F106+Agosto!F106+Septiembre!F106+Octubre!F106+Noviembre!F106+Diciembre!F106</f>
        <v>11630011.762136161</v>
      </c>
      <c r="G106" s="14">
        <f>+Enero!G106+Febrero!G106+Marzo!G106+Abril!G106+Mayo!G106+Junio!G106+Julio!G106+Agosto!G106+Septiembre!G106+Octubre!G106+Noviembre!G106+Diciembre!G106</f>
        <v>351127192.46000004</v>
      </c>
      <c r="H106" s="14">
        <f>+Enero!H106+Febrero!H106+Marzo!H106+Abril!H106+Mayo!H106+Junio!H106+Julio!H106+Agosto!H106+Septiembre!H106+Octubre!H106+Noviembre!H106+Diciembre!H106</f>
        <v>0</v>
      </c>
      <c r="I106" s="13">
        <f t="shared" ref="I106:I137" si="3">SUM(E106:H106)</f>
        <v>481050864.21213621</v>
      </c>
    </row>
    <row r="107" spans="1:9" ht="15.75" x14ac:dyDescent="0.25">
      <c r="A107" s="8"/>
      <c r="B107" s="8"/>
      <c r="C107" s="9"/>
      <c r="D107" s="12" t="s">
        <v>103</v>
      </c>
      <c r="E107" s="14">
        <f>+Enero!E107+Febrero!E107+Marzo!E107+Abril!E107+Mayo!E107+Junio!E107+Julio!E107+Agosto!E107+Septiembre!E107+Octubre!E107+Noviembre!E107+Diciembre!E107</f>
        <v>21926167</v>
      </c>
      <c r="F107" s="14">
        <f>+Enero!F107+Febrero!F107+Marzo!F107+Abril!F107+Mayo!F107+Junio!F107+Julio!F107+Agosto!F107+Septiembre!F107+Octubre!F107+Noviembre!F107+Diciembre!F107</f>
        <v>0</v>
      </c>
      <c r="G107" s="14">
        <f>+Enero!G107+Febrero!G107+Marzo!G107+Abril!G107+Mayo!G107+Junio!G107+Julio!G107+Agosto!G107+Septiembre!G107+Octubre!G107+Noviembre!G107+Diciembre!G107</f>
        <v>61251967.530000001</v>
      </c>
      <c r="H107" s="14">
        <f>+Enero!H107+Febrero!H107+Marzo!H107+Abril!H107+Mayo!H107+Junio!H107+Julio!H107+Agosto!H107+Septiembre!H107+Octubre!H107+Noviembre!H107+Diciembre!H107</f>
        <v>0</v>
      </c>
      <c r="I107" s="13">
        <f t="shared" si="3"/>
        <v>83178134.530000001</v>
      </c>
    </row>
    <row r="108" spans="1:9" ht="15.75" x14ac:dyDescent="0.25">
      <c r="A108" s="8"/>
      <c r="B108" s="8"/>
      <c r="C108" s="9"/>
      <c r="D108" s="12" t="s">
        <v>104</v>
      </c>
      <c r="E108" s="14">
        <f>+Enero!E108+Febrero!E108+Marzo!E108+Abril!E108+Mayo!E108+Junio!E108+Julio!E108+Agosto!E108+Septiembre!E108+Octubre!E108+Noviembre!E108+Diciembre!E108</f>
        <v>10120601.959999999</v>
      </c>
      <c r="F108" s="14">
        <f>+Enero!F108+Febrero!F108+Marzo!F108+Abril!F108+Mayo!F108+Junio!F108+Julio!F108+Agosto!F108+Septiembre!F108+Octubre!F108+Noviembre!F108+Diciembre!F108</f>
        <v>0</v>
      </c>
      <c r="G108" s="14">
        <f>+Enero!G108+Febrero!G108+Marzo!G108+Abril!G108+Mayo!G108+Junio!G108+Julio!G108+Agosto!G108+Septiembre!G108+Octubre!G108+Noviembre!G108+Diciembre!G108</f>
        <v>37086895.659999996</v>
      </c>
      <c r="H108" s="14">
        <f>+Enero!H108+Febrero!H108+Marzo!H108+Abril!H108+Mayo!H108+Junio!H108+Julio!H108+Agosto!H108+Septiembre!H108+Octubre!H108+Noviembre!H108+Diciembre!H108</f>
        <v>0</v>
      </c>
      <c r="I108" s="13">
        <f t="shared" si="3"/>
        <v>47207497.619999997</v>
      </c>
    </row>
    <row r="109" spans="1:9" ht="15.75" x14ac:dyDescent="0.25">
      <c r="A109" s="8"/>
      <c r="B109" s="8"/>
      <c r="C109" s="9"/>
      <c r="D109" s="12" t="s">
        <v>105</v>
      </c>
      <c r="E109" s="14">
        <f>+Enero!E109+Febrero!E109+Marzo!E109+Abril!E109+Mayo!E109+Junio!E109+Julio!E109+Agosto!E109+Septiembre!E109+Octubre!E109+Noviembre!E109+Diciembre!E109</f>
        <v>72775176.150000021</v>
      </c>
      <c r="F109" s="14">
        <f>+Enero!F109+Febrero!F109+Marzo!F109+Abril!F109+Mayo!F109+Junio!F109+Julio!F109+Agosto!F109+Septiembre!F109+Octubre!F109+Noviembre!F109+Diciembre!F109</f>
        <v>303253899.47276121</v>
      </c>
      <c r="G109" s="14">
        <f>+Enero!G109+Febrero!G109+Marzo!G109+Abril!G109+Mayo!G109+Junio!G109+Julio!G109+Agosto!G109+Septiembre!G109+Octubre!G109+Noviembre!G109+Diciembre!G109</f>
        <v>4072531.24</v>
      </c>
      <c r="H109" s="14">
        <f>+Enero!H109+Febrero!H109+Marzo!H109+Abril!H109+Mayo!H109+Junio!H109+Julio!H109+Agosto!H109+Septiembre!H109+Octubre!H109+Noviembre!H109+Diciembre!H109</f>
        <v>0</v>
      </c>
      <c r="I109" s="13">
        <f t="shared" si="3"/>
        <v>380101606.86276126</v>
      </c>
    </row>
    <row r="110" spans="1:9" ht="15.75" x14ac:dyDescent="0.25">
      <c r="A110" s="8"/>
      <c r="B110" s="8"/>
      <c r="C110" s="9"/>
      <c r="D110" s="12" t="s">
        <v>106</v>
      </c>
      <c r="E110" s="14">
        <f>+Enero!E110+Febrero!E110+Marzo!E110+Abril!E110+Mayo!E110+Junio!E110+Julio!E110+Agosto!E110+Septiembre!E110+Octubre!E110+Noviembre!E110+Diciembre!E110</f>
        <v>64526802.430000015</v>
      </c>
      <c r="F110" s="14">
        <f>+Enero!F110+Febrero!F110+Marzo!F110+Abril!F110+Mayo!F110+Junio!F110+Julio!F110+Agosto!F110+Septiembre!F110+Octubre!F110+Noviembre!F110+Diciembre!F110</f>
        <v>70334557.686170638</v>
      </c>
      <c r="G110" s="14">
        <f>+Enero!G110+Febrero!G110+Marzo!G110+Abril!G110+Mayo!G110+Junio!G110+Julio!G110+Agosto!G110+Septiembre!G110+Octubre!G110+Noviembre!G110+Diciembre!G110</f>
        <v>10027937.419999998</v>
      </c>
      <c r="H110" s="14">
        <f>+Enero!H110+Febrero!H110+Marzo!H110+Abril!H110+Mayo!H110+Junio!H110+Julio!H110+Agosto!H110+Septiembre!H110+Octubre!H110+Noviembre!H110+Diciembre!H110</f>
        <v>0</v>
      </c>
      <c r="I110" s="13">
        <f t="shared" si="3"/>
        <v>144889297.53617063</v>
      </c>
    </row>
    <row r="111" spans="1:9" ht="15.75" x14ac:dyDescent="0.25">
      <c r="A111" s="8"/>
      <c r="B111" s="8"/>
      <c r="C111" s="9"/>
      <c r="D111" s="12" t="s">
        <v>107</v>
      </c>
      <c r="E111" s="14">
        <f>+Enero!E111+Febrero!E111+Marzo!E111+Abril!E111+Mayo!E111+Junio!E111+Julio!E111+Agosto!E111+Septiembre!E111+Octubre!E111+Noviembre!E111+Diciembre!E111</f>
        <v>4030082.98</v>
      </c>
      <c r="F111" s="14">
        <f>+Enero!F111+Febrero!F111+Marzo!F111+Abril!F111+Mayo!F111+Junio!F111+Julio!F111+Agosto!F111+Septiembre!F111+Octubre!F111+Noviembre!F111+Diciembre!F111</f>
        <v>1162685.2291404803</v>
      </c>
      <c r="G111" s="14">
        <f>+Enero!G111+Febrero!G111+Marzo!G111+Abril!G111+Mayo!G111+Junio!G111+Julio!G111+Agosto!G111+Septiembre!G111+Octubre!G111+Noviembre!G111+Diciembre!G111</f>
        <v>443731416.48000002</v>
      </c>
      <c r="H111" s="14">
        <f>+Enero!H111+Febrero!H111+Marzo!H111+Abril!H111+Mayo!H111+Junio!H111+Julio!H111+Agosto!H111+Septiembre!H111+Octubre!H111+Noviembre!H111+Diciembre!H111</f>
        <v>0</v>
      </c>
      <c r="I111" s="13">
        <f t="shared" si="3"/>
        <v>448924184.6891405</v>
      </c>
    </row>
    <row r="112" spans="1:9" ht="15.75" x14ac:dyDescent="0.25">
      <c r="A112" s="8"/>
      <c r="B112" s="8"/>
      <c r="C112" s="9"/>
      <c r="D112" s="12" t="s">
        <v>108</v>
      </c>
      <c r="E112" s="14">
        <f>+Enero!E112+Febrero!E112+Marzo!E112+Abril!E112+Mayo!E112+Junio!E112+Julio!E112+Agosto!E112+Septiembre!E112+Octubre!E112+Noviembre!E112+Diciembre!E112</f>
        <v>270462742.54000002</v>
      </c>
      <c r="F112" s="14">
        <f>+Enero!F112+Febrero!F112+Marzo!F112+Abril!F112+Mayo!F112+Junio!F112+Julio!F112+Agosto!F112+Septiembre!F112+Octubre!F112+Noviembre!F112+Diciembre!F112</f>
        <v>79577589.310764313</v>
      </c>
      <c r="G112" s="14">
        <f>+Enero!G112+Febrero!G112+Marzo!G112+Abril!G112+Mayo!G112+Junio!G112+Julio!G112+Agosto!G112+Septiembre!G112+Octubre!G112+Noviembre!G112+Diciembre!G112</f>
        <v>30565561.960000001</v>
      </c>
      <c r="H112" s="14">
        <f>+Enero!H112+Febrero!H112+Marzo!H112+Abril!H112+Mayo!H112+Junio!H112+Julio!H112+Agosto!H112+Septiembre!H112+Octubre!H112+Noviembre!H112+Diciembre!H112</f>
        <v>0</v>
      </c>
      <c r="I112" s="13">
        <f t="shared" si="3"/>
        <v>380605893.81076431</v>
      </c>
    </row>
    <row r="113" spans="1:9" ht="15.75" x14ac:dyDescent="0.25">
      <c r="A113" s="8"/>
      <c r="B113" s="8"/>
      <c r="C113" s="9"/>
      <c r="D113" s="12" t="s">
        <v>109</v>
      </c>
      <c r="E113" s="14">
        <f>+Enero!E113+Febrero!E113+Marzo!E113+Abril!E113+Mayo!E113+Junio!E113+Julio!E113+Agosto!E113+Septiembre!E113+Octubre!E113+Noviembre!E113+Diciembre!E113</f>
        <v>160704038.80999997</v>
      </c>
      <c r="F113" s="14">
        <f>+Enero!F113+Febrero!F113+Marzo!F113+Abril!F113+Mayo!F113+Junio!F113+Julio!F113+Agosto!F113+Septiembre!F113+Octubre!F113+Noviembre!F113+Diciembre!F113</f>
        <v>191599783.56186453</v>
      </c>
      <c r="G113" s="14">
        <f>+Enero!G113+Febrero!G113+Marzo!G113+Abril!G113+Mayo!G113+Junio!G113+Julio!G113+Agosto!G113+Septiembre!G113+Octubre!G113+Noviembre!G113+Diciembre!G113</f>
        <v>15455207.369999999</v>
      </c>
      <c r="H113" s="14">
        <f>+Enero!H113+Febrero!H113+Marzo!H113+Abril!H113+Mayo!H113+Junio!H113+Julio!H113+Agosto!H113+Septiembre!H113+Octubre!H113+Noviembre!H113+Diciembre!H113</f>
        <v>0</v>
      </c>
      <c r="I113" s="13">
        <f t="shared" si="3"/>
        <v>367759029.7418645</v>
      </c>
    </row>
    <row r="114" spans="1:9" ht="15.75" x14ac:dyDescent="0.25">
      <c r="A114" s="8"/>
      <c r="B114" s="8"/>
      <c r="C114" s="9"/>
      <c r="D114" s="12" t="s">
        <v>110</v>
      </c>
      <c r="E114" s="14">
        <f>+Enero!E114+Febrero!E114+Marzo!E114+Abril!E114+Mayo!E114+Junio!E114+Julio!E114+Agosto!E114+Septiembre!E114+Octubre!E114+Noviembre!E114+Diciembre!E114</f>
        <v>377401305.11000007</v>
      </c>
      <c r="F114" s="14">
        <f>+Enero!F114+Febrero!F114+Marzo!F114+Abril!F114+Mayo!F114+Junio!F114+Julio!F114+Agosto!F114+Septiembre!F114+Octubre!F114+Noviembre!F114+Diciembre!F114</f>
        <v>219758566.45511052</v>
      </c>
      <c r="G114" s="14">
        <f>+Enero!G114+Febrero!G114+Marzo!G114+Abril!G114+Mayo!G114+Junio!G114+Julio!G114+Agosto!G114+Septiembre!G114+Octubre!G114+Noviembre!G114+Diciembre!G114</f>
        <v>27360891.469999999</v>
      </c>
      <c r="H114" s="14">
        <f>+Enero!H114+Febrero!H114+Marzo!H114+Abril!H114+Mayo!H114+Junio!H114+Julio!H114+Agosto!H114+Septiembre!H114+Octubre!H114+Noviembre!H114+Diciembre!H114</f>
        <v>0</v>
      </c>
      <c r="I114" s="13">
        <f t="shared" si="3"/>
        <v>624520763.03511059</v>
      </c>
    </row>
    <row r="115" spans="1:9" ht="15.75" x14ac:dyDescent="0.25">
      <c r="A115" s="8"/>
      <c r="B115" s="8"/>
      <c r="C115" s="9"/>
      <c r="D115" s="12" t="s">
        <v>111</v>
      </c>
      <c r="E115" s="14">
        <f>+Enero!E115+Febrero!E115+Marzo!E115+Abril!E115+Mayo!E115+Junio!E115+Julio!E115+Agosto!E115+Septiembre!E115+Octubre!E115+Noviembre!E115+Diciembre!E115</f>
        <v>704841799.01999986</v>
      </c>
      <c r="F115" s="14">
        <f>+Enero!F115+Febrero!F115+Marzo!F115+Abril!F115+Mayo!F115+Junio!F115+Julio!F115+Agosto!F115+Septiembre!F115+Octubre!F115+Noviembre!F115+Diciembre!F115</f>
        <v>108654198.45147039</v>
      </c>
      <c r="G115" s="14">
        <f>+Enero!G115+Febrero!G115+Marzo!G115+Abril!G115+Mayo!G115+Junio!G115+Julio!G115+Agosto!G115+Septiembre!G115+Octubre!G115+Noviembre!G115+Diciembre!G115</f>
        <v>28263608.299999997</v>
      </c>
      <c r="H115" s="14">
        <f>+Enero!H115+Febrero!H115+Marzo!H115+Abril!H115+Mayo!H115+Junio!H115+Julio!H115+Agosto!H115+Septiembre!H115+Octubre!H115+Noviembre!H115+Diciembre!H115</f>
        <v>0</v>
      </c>
      <c r="I115" s="13">
        <f t="shared" si="3"/>
        <v>841759605.77147019</v>
      </c>
    </row>
    <row r="116" spans="1:9" ht="15.75" x14ac:dyDescent="0.25">
      <c r="A116" s="8"/>
      <c r="B116" s="8"/>
      <c r="C116" s="9"/>
      <c r="D116" s="12" t="s">
        <v>112</v>
      </c>
      <c r="E116" s="14">
        <f>+Enero!E116+Febrero!E116+Marzo!E116+Abril!E116+Mayo!E116+Junio!E116+Julio!E116+Agosto!E116+Septiembre!E116+Octubre!E116+Noviembre!E116+Diciembre!E116</f>
        <v>132168126.91999999</v>
      </c>
      <c r="F116" s="14">
        <f>+Enero!F116+Febrero!F116+Marzo!F116+Abril!F116+Mayo!F116+Junio!F116+Julio!F116+Agosto!F116+Septiembre!F116+Octubre!F116+Noviembre!F116+Diciembre!F116</f>
        <v>141098803.39180624</v>
      </c>
      <c r="G116" s="14">
        <f>+Enero!G116+Febrero!G116+Marzo!G116+Abril!G116+Mayo!G116+Junio!G116+Julio!G116+Agosto!G116+Septiembre!G116+Octubre!G116+Noviembre!G116+Diciembre!G116</f>
        <v>6716474.8400000008</v>
      </c>
      <c r="H116" s="14">
        <f>+Enero!H116+Febrero!H116+Marzo!H116+Abril!H116+Mayo!H116+Junio!H116+Julio!H116+Agosto!H116+Septiembre!H116+Octubre!H116+Noviembre!H116+Diciembre!H116</f>
        <v>0</v>
      </c>
      <c r="I116" s="13">
        <f t="shared" si="3"/>
        <v>279983405.15180618</v>
      </c>
    </row>
    <row r="117" spans="1:9" ht="15.75" x14ac:dyDescent="0.25">
      <c r="A117" s="8"/>
      <c r="B117" s="8"/>
      <c r="C117" s="9"/>
      <c r="D117" s="12" t="s">
        <v>113</v>
      </c>
      <c r="E117" s="14">
        <f>+Enero!E117+Febrero!E117+Marzo!E117+Abril!E117+Mayo!E117+Junio!E117+Julio!E117+Agosto!E117+Septiembre!E117+Octubre!E117+Noviembre!E117+Diciembre!E117</f>
        <v>123492132.48999998</v>
      </c>
      <c r="F117" s="14">
        <f>+Enero!F117+Febrero!F117+Marzo!F117+Abril!F117+Mayo!F117+Junio!F117+Julio!F117+Agosto!F117+Septiembre!F117+Octubre!F117+Noviembre!F117+Diciembre!F117</f>
        <v>108960667.11241233</v>
      </c>
      <c r="G117" s="14">
        <f>+Enero!G117+Febrero!G117+Marzo!G117+Abril!G117+Mayo!G117+Junio!G117+Julio!G117+Agosto!G117+Septiembre!G117+Octubre!G117+Noviembre!G117+Diciembre!G117</f>
        <v>27823621.669999994</v>
      </c>
      <c r="H117" s="14">
        <f>+Enero!H117+Febrero!H117+Marzo!H117+Abril!H117+Mayo!H117+Junio!H117+Julio!H117+Agosto!H117+Septiembre!H117+Octubre!H117+Noviembre!H117+Diciembre!H117</f>
        <v>0</v>
      </c>
      <c r="I117" s="13">
        <f t="shared" si="3"/>
        <v>260276421.2724123</v>
      </c>
    </row>
    <row r="118" spans="1:9" ht="15.75" x14ac:dyDescent="0.25">
      <c r="A118" s="8"/>
      <c r="B118" s="8"/>
      <c r="C118" s="9"/>
      <c r="D118" s="12" t="s">
        <v>114</v>
      </c>
      <c r="E118" s="14">
        <f>+Enero!E118+Febrero!E118+Marzo!E118+Abril!E118+Mayo!E118+Junio!E118+Julio!E118+Agosto!E118+Septiembre!E118+Octubre!E118+Noviembre!E118+Diciembre!E118</f>
        <v>170530172.22</v>
      </c>
      <c r="F118" s="14">
        <f>+Enero!F118+Febrero!F118+Marzo!F118+Abril!F118+Mayo!F118+Junio!F118+Julio!F118+Agosto!F118+Septiembre!F118+Octubre!F118+Noviembre!F118+Diciembre!F118</f>
        <v>170175412.53251231</v>
      </c>
      <c r="G118" s="14">
        <f>+Enero!G118+Febrero!G118+Marzo!G118+Abril!G118+Mayo!G118+Junio!G118+Julio!G118+Agosto!G118+Septiembre!G118+Octubre!G118+Noviembre!G118+Diciembre!G118</f>
        <v>39969652.269999996</v>
      </c>
      <c r="H118" s="14">
        <f>+Enero!H118+Febrero!H118+Marzo!H118+Abril!H118+Mayo!H118+Junio!H118+Julio!H118+Agosto!H118+Septiembre!H118+Octubre!H118+Noviembre!H118+Diciembre!H118</f>
        <v>0</v>
      </c>
      <c r="I118" s="13">
        <f t="shared" si="3"/>
        <v>380675237.02251232</v>
      </c>
    </row>
    <row r="119" spans="1:9" ht="15.75" x14ac:dyDescent="0.25">
      <c r="A119" s="8"/>
      <c r="B119" s="8"/>
      <c r="C119" s="9"/>
      <c r="D119" s="12" t="s">
        <v>115</v>
      </c>
      <c r="E119" s="14">
        <f>+Enero!E119+Febrero!E119+Marzo!E119+Abril!E119+Mayo!E119+Junio!E119+Julio!E119+Agosto!E119+Septiembre!E119+Octubre!E119+Noviembre!E119+Diciembre!E119</f>
        <v>54545261.449999996</v>
      </c>
      <c r="F119" s="14">
        <f>+Enero!F119+Febrero!F119+Marzo!F119+Abril!F119+Mayo!F119+Junio!F119+Julio!F119+Agosto!F119+Septiembre!F119+Octubre!F119+Noviembre!F119+Diciembre!F119</f>
        <v>16527191.395744164</v>
      </c>
      <c r="G119" s="14">
        <f>+Enero!G119+Febrero!G119+Marzo!G119+Abril!G119+Mayo!G119+Junio!G119+Julio!G119+Agosto!G119+Septiembre!G119+Octubre!G119+Noviembre!G119+Diciembre!G119</f>
        <v>16220997.040000001</v>
      </c>
      <c r="H119" s="14">
        <f>+Enero!H119+Febrero!H119+Marzo!H119+Abril!H119+Mayo!H119+Junio!H119+Julio!H119+Agosto!H119+Septiembre!H119+Octubre!H119+Noviembre!H119+Diciembre!H119</f>
        <v>0</v>
      </c>
      <c r="I119" s="13">
        <f t="shared" si="3"/>
        <v>87293449.885744169</v>
      </c>
    </row>
    <row r="120" spans="1:9" ht="15.75" x14ac:dyDescent="0.25">
      <c r="A120" s="8"/>
      <c r="B120" s="8"/>
      <c r="C120" s="9"/>
      <c r="D120" s="12" t="s">
        <v>116</v>
      </c>
      <c r="E120" s="14">
        <f>+Enero!E120+Febrero!E120+Marzo!E120+Abril!E120+Mayo!E120+Junio!E120+Julio!E120+Agosto!E120+Septiembre!E120+Octubre!E120+Noviembre!E120+Diciembre!E120</f>
        <v>620746664.12000012</v>
      </c>
      <c r="F120" s="14">
        <f>+Enero!F120+Febrero!F120+Marzo!F120+Abril!F120+Mayo!F120+Junio!F120+Julio!F120+Agosto!F120+Septiembre!F120+Octubre!F120+Noviembre!F120+Diciembre!F120</f>
        <v>72231819.860352308</v>
      </c>
      <c r="G120" s="14">
        <f>+Enero!G120+Febrero!G120+Marzo!G120+Abril!G120+Mayo!G120+Junio!G120+Julio!G120+Agosto!G120+Septiembre!G120+Octubre!G120+Noviembre!G120+Diciembre!G120</f>
        <v>34233440.039999999</v>
      </c>
      <c r="H120" s="14">
        <f>+Enero!H120+Febrero!H120+Marzo!H120+Abril!H120+Mayo!H120+Junio!H120+Julio!H120+Agosto!H120+Septiembre!H120+Octubre!H120+Noviembre!H120+Diciembre!H120</f>
        <v>0</v>
      </c>
      <c r="I120" s="13">
        <f t="shared" si="3"/>
        <v>727211924.02035236</v>
      </c>
    </row>
    <row r="121" spans="1:9" ht="15.75" x14ac:dyDescent="0.25">
      <c r="A121" s="8"/>
      <c r="B121" s="8"/>
      <c r="C121" s="9"/>
      <c r="D121" s="12" t="s">
        <v>117</v>
      </c>
      <c r="E121" s="14">
        <f>+Enero!E121+Febrero!E121+Marzo!E121+Abril!E121+Mayo!E121+Junio!E121+Julio!E121+Agosto!E121+Septiembre!E121+Octubre!E121+Noviembre!E121+Diciembre!E121</f>
        <v>194419627.68000001</v>
      </c>
      <c r="F121" s="14">
        <f>+Enero!F121+Febrero!F121+Marzo!F121+Abril!F121+Mayo!F121+Junio!F121+Julio!F121+Agosto!F121+Septiembre!F121+Octubre!F121+Noviembre!F121+Diciembre!F121</f>
        <v>107185044.56138799</v>
      </c>
      <c r="G121" s="14">
        <f>+Enero!G121+Febrero!G121+Marzo!G121+Abril!G121+Mayo!G121+Junio!G121+Julio!G121+Agosto!G121+Septiembre!G121+Octubre!G121+Noviembre!G121+Diciembre!G121</f>
        <v>28869125.419999998</v>
      </c>
      <c r="H121" s="14">
        <f>+Enero!H121+Febrero!H121+Marzo!H121+Abril!H121+Mayo!H121+Junio!H121+Julio!H121+Agosto!H121+Septiembre!H121+Octubre!H121+Noviembre!H121+Diciembre!H121</f>
        <v>0</v>
      </c>
      <c r="I121" s="13">
        <f t="shared" si="3"/>
        <v>330473797.66138798</v>
      </c>
    </row>
    <row r="122" spans="1:9" ht="15.75" x14ac:dyDescent="0.25">
      <c r="A122" s="8"/>
      <c r="B122" s="8"/>
      <c r="C122" s="9"/>
      <c r="D122" s="12" t="s">
        <v>118</v>
      </c>
      <c r="E122" s="14">
        <f>+Enero!E122+Febrero!E122+Marzo!E122+Abril!E122+Mayo!E122+Junio!E122+Julio!E122+Agosto!E122+Septiembre!E122+Octubre!E122+Noviembre!E122+Diciembre!E122</f>
        <v>214159061.37</v>
      </c>
      <c r="F122" s="14">
        <f>+Enero!F122+Febrero!F122+Marzo!F122+Abril!F122+Mayo!F122+Junio!F122+Julio!F122+Agosto!F122+Septiembre!F122+Octubre!F122+Noviembre!F122+Diciembre!F122</f>
        <v>79027841.403507695</v>
      </c>
      <c r="G122" s="14">
        <f>+Enero!G122+Febrero!G122+Marzo!G122+Abril!G122+Mayo!G122+Junio!G122+Julio!G122+Agosto!G122+Septiembre!G122+Octubre!G122+Noviembre!G122+Diciembre!G122</f>
        <v>29080089.049999997</v>
      </c>
      <c r="H122" s="14">
        <f>+Enero!H122+Febrero!H122+Marzo!H122+Abril!H122+Mayo!H122+Junio!H122+Julio!H122+Agosto!H122+Septiembre!H122+Octubre!H122+Noviembre!H122+Diciembre!H122</f>
        <v>0</v>
      </c>
      <c r="I122" s="13">
        <f t="shared" si="3"/>
        <v>322266991.82350773</v>
      </c>
    </row>
    <row r="123" spans="1:9" ht="15.75" x14ac:dyDescent="0.25">
      <c r="A123" s="8"/>
      <c r="B123" s="8"/>
      <c r="C123" s="9"/>
      <c r="D123" s="12" t="s">
        <v>119</v>
      </c>
      <c r="E123" s="14">
        <f>+Enero!E123+Febrero!E123+Marzo!E123+Abril!E123+Mayo!E123+Junio!E123+Julio!E123+Agosto!E123+Septiembre!E123+Octubre!E123+Noviembre!E123+Diciembre!E123</f>
        <v>239439277.06</v>
      </c>
      <c r="F123" s="14">
        <f>+Enero!F123+Febrero!F123+Marzo!F123+Abril!F123+Mayo!F123+Junio!F123+Julio!F123+Agosto!F123+Septiembre!F123+Octubre!F123+Noviembre!F123+Diciembre!F123</f>
        <v>145199796.40111151</v>
      </c>
      <c r="G123" s="14">
        <f>+Enero!G123+Febrero!G123+Marzo!G123+Abril!G123+Mayo!G123+Junio!G123+Julio!G123+Agosto!G123+Septiembre!G123+Octubre!G123+Noviembre!G123+Diciembre!G123</f>
        <v>15323708.07</v>
      </c>
      <c r="H123" s="14">
        <f>+Enero!H123+Febrero!H123+Marzo!H123+Abril!H123+Mayo!H123+Junio!H123+Julio!H123+Agosto!H123+Septiembre!H123+Octubre!H123+Noviembre!H123+Diciembre!H123</f>
        <v>0</v>
      </c>
      <c r="I123" s="13">
        <f t="shared" si="3"/>
        <v>399962781.53111154</v>
      </c>
    </row>
    <row r="124" spans="1:9" ht="15.75" x14ac:dyDescent="0.25">
      <c r="A124" s="8"/>
      <c r="B124" s="8"/>
      <c r="C124" s="9"/>
      <c r="D124" s="12" t="s">
        <v>120</v>
      </c>
      <c r="E124" s="14">
        <f>+Enero!E124+Febrero!E124+Marzo!E124+Abril!E124+Mayo!E124+Junio!E124+Julio!E124+Agosto!E124+Septiembre!E124+Octubre!E124+Noviembre!E124+Diciembre!E124</f>
        <v>8455704.3600000013</v>
      </c>
      <c r="F124" s="14">
        <f>+Enero!F124+Febrero!F124+Marzo!F124+Abril!F124+Mayo!F124+Junio!F124+Julio!F124+Agosto!F124+Septiembre!F124+Octubre!F124+Noviembre!F124+Diciembre!F124</f>
        <v>0</v>
      </c>
      <c r="G124" s="14">
        <f>+Enero!G124+Febrero!G124+Marzo!G124+Abril!G124+Mayo!G124+Junio!G124+Julio!G124+Agosto!G124+Septiembre!G124+Octubre!G124+Noviembre!G124+Diciembre!G124</f>
        <v>164834463.19</v>
      </c>
      <c r="H124" s="14">
        <f>+Enero!H124+Febrero!H124+Marzo!H124+Abril!H124+Mayo!H124+Junio!H124+Julio!H124+Agosto!H124+Septiembre!H124+Octubre!H124+Noviembre!H124+Diciembre!H124</f>
        <v>722376792.04000008</v>
      </c>
      <c r="I124" s="13">
        <f t="shared" si="3"/>
        <v>895666959.59000015</v>
      </c>
    </row>
    <row r="125" spans="1:9" ht="15.75" x14ac:dyDescent="0.25">
      <c r="A125" s="8"/>
      <c r="B125" s="8"/>
      <c r="C125" s="9"/>
      <c r="D125" s="12" t="s">
        <v>121</v>
      </c>
      <c r="E125" s="14">
        <f>+Enero!E125+Febrero!E125+Marzo!E125+Abril!E125+Mayo!E125+Junio!E125+Julio!E125+Agosto!E125+Septiembre!E125+Octubre!E125+Noviembre!E125+Diciembre!E125</f>
        <v>0</v>
      </c>
      <c r="F125" s="14">
        <f>+Enero!F125+Febrero!F125+Marzo!F125+Abril!F125+Mayo!F125+Junio!F125+Julio!F125+Agosto!F125+Septiembre!F125+Octubre!F125+Noviembre!F125+Diciembre!F125</f>
        <v>0</v>
      </c>
      <c r="G125" s="14">
        <f>+Enero!G125+Febrero!G125+Marzo!G125+Abril!G125+Mayo!G125+Junio!G125+Julio!G125+Agosto!G125+Septiembre!G125+Octubre!G125+Noviembre!G125+Diciembre!G125</f>
        <v>410721158.99000001</v>
      </c>
      <c r="H125" s="14">
        <f>+Enero!H125+Febrero!H125+Marzo!H125+Abril!H125+Mayo!H125+Junio!H125+Julio!H125+Agosto!H125+Septiembre!H125+Octubre!H125+Noviembre!H125+Diciembre!H125</f>
        <v>124974482.965</v>
      </c>
      <c r="I125" s="13">
        <f t="shared" si="3"/>
        <v>535695641.95500004</v>
      </c>
    </row>
    <row r="126" spans="1:9" ht="15.75" x14ac:dyDescent="0.25">
      <c r="A126" s="8"/>
      <c r="B126" s="8"/>
      <c r="C126" s="9"/>
      <c r="D126" s="12" t="s">
        <v>122</v>
      </c>
      <c r="E126" s="14">
        <f>+Enero!E126+Febrero!E126+Marzo!E126+Abril!E126+Mayo!E126+Junio!E126+Julio!E126+Agosto!E126+Septiembre!E126+Octubre!E126+Noviembre!E126+Diciembre!E126</f>
        <v>285462.40999999997</v>
      </c>
      <c r="F126" s="14">
        <f>+Enero!F126+Febrero!F126+Marzo!F126+Abril!F126+Mayo!F126+Junio!F126+Julio!F126+Agosto!F126+Septiembre!F126+Octubre!F126+Noviembre!F126+Diciembre!F126</f>
        <v>0</v>
      </c>
      <c r="G126" s="14">
        <f>+Enero!G126+Febrero!G126+Marzo!G126+Abril!G126+Mayo!G126+Junio!G126+Julio!G126+Agosto!G126+Septiembre!G126+Octubre!G126+Noviembre!G126+Diciembre!G126</f>
        <v>238625808.49000001</v>
      </c>
      <c r="H126" s="14">
        <f>+Enero!H126+Febrero!H126+Marzo!H126+Abril!H126+Mayo!H126+Junio!H126+Julio!H126+Agosto!H126+Septiembre!H126+Octubre!H126+Noviembre!H126+Diciembre!H126</f>
        <v>0</v>
      </c>
      <c r="I126" s="13">
        <f t="shared" si="3"/>
        <v>238911270.90000001</v>
      </c>
    </row>
    <row r="127" spans="1:9" ht="15.75" x14ac:dyDescent="0.25">
      <c r="A127" s="8"/>
      <c r="B127" s="8"/>
      <c r="C127" s="9"/>
      <c r="D127" s="12" t="s">
        <v>123</v>
      </c>
      <c r="E127" s="14">
        <f>+Enero!E127+Febrero!E127+Marzo!E127+Abril!E127+Mayo!E127+Junio!E127+Julio!E127+Agosto!E127+Septiembre!E127+Octubre!E127+Noviembre!E127+Diciembre!E127</f>
        <v>152888531.90000001</v>
      </c>
      <c r="F127" s="14">
        <f>+Enero!F127+Febrero!F127+Marzo!F127+Abril!F127+Mayo!F127+Junio!F127+Julio!F127+Agosto!F127+Septiembre!F127+Octubre!F127+Noviembre!F127+Diciembre!F127</f>
        <v>30607372.710050002</v>
      </c>
      <c r="G127" s="14">
        <f>+Enero!G127+Febrero!G127+Marzo!G127+Abril!G127+Mayo!G127+Junio!G127+Julio!G127+Agosto!G127+Septiembre!G127+Octubre!G127+Noviembre!G127+Diciembre!G127</f>
        <v>153771092.70999998</v>
      </c>
      <c r="H127" s="14">
        <f>+Enero!H127+Febrero!H127+Marzo!H127+Abril!H127+Mayo!H127+Junio!H127+Julio!H127+Agosto!H127+Septiembre!H127+Octubre!H127+Noviembre!H127+Diciembre!H127</f>
        <v>0</v>
      </c>
      <c r="I127" s="13">
        <f t="shared" si="3"/>
        <v>337266997.32005</v>
      </c>
    </row>
    <row r="128" spans="1:9" ht="15.75" x14ac:dyDescent="0.25">
      <c r="A128" s="8"/>
      <c r="B128" s="8"/>
      <c r="C128" s="9"/>
      <c r="D128" s="12" t="s">
        <v>124</v>
      </c>
      <c r="E128" s="14">
        <f>+Enero!E128+Febrero!E128+Marzo!E128+Abril!E128+Mayo!E128+Junio!E128+Julio!E128+Agosto!E128+Septiembre!E128+Octubre!E128+Noviembre!E128+Diciembre!E128</f>
        <v>288255105.59999996</v>
      </c>
      <c r="F128" s="14">
        <f>+Enero!F128+Febrero!F128+Marzo!F128+Abril!F128+Mayo!F128+Junio!F128+Julio!F128+Agosto!F128+Septiembre!F128+Octubre!F128+Noviembre!F128+Diciembre!F128</f>
        <v>95493423.119990319</v>
      </c>
      <c r="G128" s="14">
        <f>+Enero!G128+Febrero!G128+Marzo!G128+Abril!G128+Mayo!G128+Junio!G128+Julio!G128+Agosto!G128+Septiembre!G128+Octubre!G128+Noviembre!G128+Diciembre!G128</f>
        <v>52858195.060000002</v>
      </c>
      <c r="H128" s="14">
        <f>+Enero!H128+Febrero!H128+Marzo!H128+Abril!H128+Mayo!H128+Junio!H128+Julio!H128+Agosto!H128+Septiembre!H128+Octubre!H128+Noviembre!H128+Diciembre!H128</f>
        <v>0</v>
      </c>
      <c r="I128" s="13">
        <f t="shared" si="3"/>
        <v>436606723.77999026</v>
      </c>
    </row>
    <row r="129" spans="1:9" ht="15.75" x14ac:dyDescent="0.25">
      <c r="A129" s="8"/>
      <c r="B129" s="8"/>
      <c r="C129" s="9"/>
      <c r="D129" s="12" t="s">
        <v>125</v>
      </c>
      <c r="E129" s="14">
        <f>+Enero!E129+Febrero!E129+Marzo!E129+Abril!E129+Mayo!E129+Junio!E129+Julio!E129+Agosto!E129+Septiembre!E129+Octubre!E129+Noviembre!E129+Diciembre!E129</f>
        <v>78719982.209999993</v>
      </c>
      <c r="F129" s="14">
        <f>+Enero!F129+Febrero!F129+Marzo!F129+Abril!F129+Mayo!F129+Junio!F129+Julio!F129+Agosto!F129+Septiembre!F129+Octubre!F129+Noviembre!F129+Diciembre!F129</f>
        <v>46216737.858334087</v>
      </c>
      <c r="G129" s="14">
        <f>+Enero!G129+Febrero!G129+Marzo!G129+Abril!G129+Mayo!G129+Junio!G129+Julio!G129+Agosto!G129+Septiembre!G129+Octubre!G129+Noviembre!G129+Diciembre!G129</f>
        <v>49361905.620000005</v>
      </c>
      <c r="H129" s="14">
        <f>+Enero!H129+Febrero!H129+Marzo!H129+Abril!H129+Mayo!H129+Junio!H129+Julio!H129+Agosto!H129+Septiembre!H129+Octubre!H129+Noviembre!H129+Diciembre!H129</f>
        <v>0</v>
      </c>
      <c r="I129" s="13">
        <f t="shared" si="3"/>
        <v>174298625.68833408</v>
      </c>
    </row>
    <row r="130" spans="1:9" ht="15.75" x14ac:dyDescent="0.25">
      <c r="A130" s="8"/>
      <c r="B130" s="8"/>
      <c r="C130" s="9"/>
      <c r="D130" s="12" t="s">
        <v>126</v>
      </c>
      <c r="E130" s="14">
        <f>+Enero!E130+Febrero!E130+Marzo!E130+Abril!E130+Mayo!E130+Junio!E130+Julio!E130+Agosto!E130+Septiembre!E130+Octubre!E130+Noviembre!E130+Diciembre!E130</f>
        <v>65972533.240000002</v>
      </c>
      <c r="F130" s="14">
        <f>+Enero!F130+Febrero!F130+Marzo!F130+Abril!F130+Mayo!F130+Junio!F130+Julio!F130+Agosto!F130+Septiembre!F130+Octubre!F130+Noviembre!F130+Diciembre!F130</f>
        <v>81414821.541050166</v>
      </c>
      <c r="G130" s="14">
        <f>+Enero!G130+Febrero!G130+Marzo!G130+Abril!G130+Mayo!G130+Junio!G130+Julio!G130+Agosto!G130+Septiembre!G130+Octubre!G130+Noviembre!G130+Diciembre!G130</f>
        <v>10026948.709999999</v>
      </c>
      <c r="H130" s="14">
        <f>+Enero!H130+Febrero!H130+Marzo!H130+Abril!H130+Mayo!H130+Junio!H130+Julio!H130+Agosto!H130+Septiembre!H130+Octubre!H130+Noviembre!H130+Diciembre!H130</f>
        <v>0</v>
      </c>
      <c r="I130" s="13">
        <f t="shared" si="3"/>
        <v>157414303.49105018</v>
      </c>
    </row>
    <row r="131" spans="1:9" ht="15.75" x14ac:dyDescent="0.25">
      <c r="A131" s="8"/>
      <c r="B131" s="8"/>
      <c r="C131" s="9"/>
      <c r="D131" s="12" t="s">
        <v>127</v>
      </c>
      <c r="E131" s="14">
        <f>+Enero!E131+Febrero!E131+Marzo!E131+Abril!E131+Mayo!E131+Junio!E131+Julio!E131+Agosto!E131+Septiembre!E131+Octubre!E131+Noviembre!E131+Diciembre!E131</f>
        <v>727997414.19000018</v>
      </c>
      <c r="F131" s="14">
        <f>+Enero!F131+Febrero!F131+Marzo!F131+Abril!F131+Mayo!F131+Junio!F131+Julio!F131+Agosto!F131+Septiembre!F131+Octubre!F131+Noviembre!F131+Diciembre!F131</f>
        <v>444964060.45108569</v>
      </c>
      <c r="G131" s="14">
        <f>+Enero!G131+Febrero!G131+Marzo!G131+Abril!G131+Mayo!G131+Junio!G131+Julio!G131+Agosto!G131+Septiembre!G131+Octubre!G131+Noviembre!G131+Diciembre!G131</f>
        <v>284053763.79999995</v>
      </c>
      <c r="H131" s="14">
        <f>+Enero!H131+Febrero!H131+Marzo!H131+Abril!H131+Mayo!H131+Junio!H131+Julio!H131+Agosto!H131+Septiembre!H131+Octubre!H131+Noviembre!H131+Diciembre!H131</f>
        <v>0</v>
      </c>
      <c r="I131" s="13">
        <f t="shared" si="3"/>
        <v>1457015238.4410858</v>
      </c>
    </row>
    <row r="132" spans="1:9" ht="15.75" x14ac:dyDescent="0.25">
      <c r="A132" s="8"/>
      <c r="B132" s="8"/>
      <c r="C132" s="9"/>
      <c r="D132" s="12" t="s">
        <v>128</v>
      </c>
      <c r="E132" s="14">
        <f>+Enero!E132+Febrero!E132+Marzo!E132+Abril!E132+Mayo!E132+Junio!E132+Julio!E132+Agosto!E132+Septiembre!E132+Octubre!E132+Noviembre!E132+Diciembre!E132</f>
        <v>155950653.32999998</v>
      </c>
      <c r="F132" s="14">
        <f>+Enero!F132+Febrero!F132+Marzo!F132+Abril!F132+Mayo!F132+Junio!F132+Julio!F132+Agosto!F132+Septiembre!F132+Octubre!F132+Noviembre!F132+Diciembre!F132</f>
        <v>273014605.10291463</v>
      </c>
      <c r="G132" s="14">
        <f>+Enero!G132+Febrero!G132+Marzo!G132+Abril!G132+Mayo!G132+Junio!G132+Julio!G132+Agosto!G132+Septiembre!G132+Octubre!G132+Noviembre!G132+Diciembre!G132</f>
        <v>3196581.78</v>
      </c>
      <c r="H132" s="14">
        <f>+Enero!H132+Febrero!H132+Marzo!H132+Abril!H132+Mayo!H132+Junio!H132+Julio!H132+Agosto!H132+Septiembre!H132+Octubre!H132+Noviembre!H132+Diciembre!H132</f>
        <v>0</v>
      </c>
      <c r="I132" s="13">
        <f t="shared" si="3"/>
        <v>432161840.21291459</v>
      </c>
    </row>
    <row r="133" spans="1:9" ht="15.75" x14ac:dyDescent="0.25">
      <c r="A133" s="8"/>
      <c r="B133" s="8"/>
      <c r="C133" s="9"/>
      <c r="D133" s="12" t="s">
        <v>129</v>
      </c>
      <c r="E133" s="14">
        <f>+Enero!E133+Febrero!E133+Marzo!E133+Abril!E133+Mayo!E133+Junio!E133+Julio!E133+Agosto!E133+Septiembre!E133+Octubre!E133+Noviembre!E133+Diciembre!E133</f>
        <v>55714153.68999999</v>
      </c>
      <c r="F133" s="14">
        <f>+Enero!F133+Febrero!F133+Marzo!F133+Abril!F133+Mayo!F133+Junio!F133+Julio!F133+Agosto!F133+Septiembre!F133+Octubre!F133+Noviembre!F133+Diciembre!F133</f>
        <v>0</v>
      </c>
      <c r="G133" s="14">
        <f>+Enero!G133+Febrero!G133+Marzo!G133+Abril!G133+Mayo!G133+Junio!G133+Julio!G133+Agosto!G133+Septiembre!G133+Octubre!G133+Noviembre!G133+Diciembre!G133</f>
        <v>476026194.72000003</v>
      </c>
      <c r="H133" s="14">
        <f>+Enero!H133+Febrero!H133+Marzo!H133+Abril!H133+Mayo!H133+Junio!H133+Julio!H133+Agosto!H133+Septiembre!H133+Octubre!H133+Noviembre!H133+Diciembre!H133</f>
        <v>374770945.2100001</v>
      </c>
      <c r="I133" s="13">
        <f t="shared" si="3"/>
        <v>906511293.62000012</v>
      </c>
    </row>
    <row r="134" spans="1:9" ht="15.75" x14ac:dyDescent="0.25">
      <c r="A134" s="8"/>
      <c r="B134" s="8"/>
      <c r="C134" s="9"/>
      <c r="D134" s="12" t="s">
        <v>130</v>
      </c>
      <c r="E134" s="14">
        <f>+Enero!E134+Febrero!E134+Marzo!E134+Abril!E134+Mayo!E134+Junio!E134+Julio!E134+Agosto!E134+Septiembre!E134+Octubre!E134+Noviembre!E134+Diciembre!E134</f>
        <v>31340624.209999997</v>
      </c>
      <c r="F134" s="14">
        <f>+Enero!F134+Febrero!F134+Marzo!F134+Abril!F134+Mayo!F134+Junio!F134+Julio!F134+Agosto!F134+Septiembre!F134+Octubre!F134+Noviembre!F134+Diciembre!F134</f>
        <v>13467243.992422003</v>
      </c>
      <c r="G134" s="14">
        <f>+Enero!G134+Febrero!G134+Marzo!G134+Abril!G134+Mayo!G134+Junio!G134+Julio!G134+Agosto!G134+Septiembre!G134+Octubre!G134+Noviembre!G134+Diciembre!G134</f>
        <v>169484.22000000003</v>
      </c>
      <c r="H134" s="14">
        <f>+Enero!H134+Febrero!H134+Marzo!H134+Abril!H134+Mayo!H134+Junio!H134+Julio!H134+Agosto!H134+Septiembre!H134+Octubre!H134+Noviembre!H134+Diciembre!H134</f>
        <v>0</v>
      </c>
      <c r="I134" s="13">
        <f t="shared" si="3"/>
        <v>44977352.422421999</v>
      </c>
    </row>
    <row r="135" spans="1:9" ht="15.75" x14ac:dyDescent="0.25">
      <c r="A135" s="8"/>
      <c r="B135" s="8"/>
      <c r="C135" s="9"/>
      <c r="D135" s="12" t="s">
        <v>131</v>
      </c>
      <c r="E135" s="14">
        <f>+Enero!E135+Febrero!E135+Marzo!E135+Abril!E135+Mayo!E135+Junio!E135+Julio!E135+Agosto!E135+Septiembre!E135+Octubre!E135+Noviembre!E135+Diciembre!E135</f>
        <v>102740677.74999999</v>
      </c>
      <c r="F135" s="14">
        <f>+Enero!F135+Febrero!F135+Marzo!F135+Abril!F135+Mayo!F135+Junio!F135+Julio!F135+Agosto!F135+Septiembre!F135+Octubre!F135+Noviembre!F135+Diciembre!F135</f>
        <v>170175412.53251231</v>
      </c>
      <c r="G135" s="14">
        <f>+Enero!G135+Febrero!G135+Marzo!G135+Abril!G135+Mayo!G135+Junio!G135+Julio!G135+Agosto!G135+Septiembre!G135+Octubre!G135+Noviembre!G135+Diciembre!G135</f>
        <v>9582730.7799999993</v>
      </c>
      <c r="H135" s="14">
        <f>+Enero!H135+Febrero!H135+Marzo!H135+Abril!H135+Mayo!H135+Junio!H135+Julio!H135+Agosto!H135+Septiembre!H135+Octubre!H135+Noviembre!H135+Diciembre!H135</f>
        <v>0</v>
      </c>
      <c r="I135" s="13">
        <f t="shared" si="3"/>
        <v>282498821.06251228</v>
      </c>
    </row>
    <row r="136" spans="1:9" ht="15.75" x14ac:dyDescent="0.25">
      <c r="A136" s="8"/>
      <c r="B136" s="8"/>
      <c r="C136" s="9"/>
      <c r="D136" s="12" t="s">
        <v>132</v>
      </c>
      <c r="E136" s="14">
        <f>+Enero!E136+Febrero!E136+Marzo!E136+Abril!E136+Mayo!E136+Junio!E136+Julio!E136+Agosto!E136+Septiembre!E136+Octubre!E136+Noviembre!E136+Diciembre!E136</f>
        <v>591137328.82999992</v>
      </c>
      <c r="F136" s="14">
        <f>+Enero!F136+Febrero!F136+Marzo!F136+Abril!F136+Mayo!F136+Junio!F136+Julio!F136+Agosto!F136+Septiembre!F136+Octubre!F136+Noviembre!F136+Diciembre!F136</f>
        <v>205678385.14080465</v>
      </c>
      <c r="G136" s="14">
        <f>+Enero!G136+Febrero!G136+Marzo!G136+Abril!G136+Mayo!G136+Junio!G136+Julio!G136+Agosto!G136+Septiembre!G136+Octubre!G136+Noviembre!G136+Diciembre!G136</f>
        <v>67634868.090000004</v>
      </c>
      <c r="H136" s="14">
        <f>+Enero!H136+Febrero!H136+Marzo!H136+Abril!H136+Mayo!H136+Junio!H136+Julio!H136+Agosto!H136+Septiembre!H136+Octubre!H136+Noviembre!H136+Diciembre!H136</f>
        <v>0</v>
      </c>
      <c r="I136" s="13">
        <f t="shared" si="3"/>
        <v>864450582.06080461</v>
      </c>
    </row>
    <row r="137" spans="1:9" ht="15.75" x14ac:dyDescent="0.25">
      <c r="A137" s="8"/>
      <c r="B137" s="8"/>
      <c r="C137" s="9"/>
      <c r="D137" s="12" t="s">
        <v>133</v>
      </c>
      <c r="E137" s="14">
        <f>+Enero!E137+Febrero!E137+Marzo!E137+Abril!E137+Mayo!E137+Junio!E137+Julio!E137+Agosto!E137+Septiembre!E137+Octubre!E137+Noviembre!E137+Diciembre!E137</f>
        <v>644996153.03999996</v>
      </c>
      <c r="F137" s="14">
        <f>+Enero!F137+Febrero!F137+Marzo!F137+Abril!F137+Mayo!F137+Junio!F137+Julio!F137+Agosto!F137+Septiembre!F137+Octubre!F137+Noviembre!F137+Diciembre!F137</f>
        <v>323392365.91444987</v>
      </c>
      <c r="G137" s="14">
        <f>+Enero!G137+Febrero!G137+Marzo!G137+Abril!G137+Mayo!G137+Junio!G137+Julio!G137+Agosto!G137+Septiembre!G137+Octubre!G137+Noviembre!G137+Diciembre!G137</f>
        <v>85557784.159999996</v>
      </c>
      <c r="H137" s="14">
        <f>+Enero!H137+Febrero!H137+Marzo!H137+Abril!H137+Mayo!H137+Junio!H137+Julio!H137+Agosto!H137+Septiembre!H137+Octubre!H137+Noviembre!H137+Diciembre!H137</f>
        <v>0</v>
      </c>
      <c r="I137" s="13">
        <f t="shared" si="3"/>
        <v>1053946303.1144499</v>
      </c>
    </row>
    <row r="138" spans="1:9" ht="15.75" x14ac:dyDescent="0.25">
      <c r="A138" s="8"/>
      <c r="B138" s="8"/>
      <c r="C138" s="9"/>
      <c r="D138" s="12" t="s">
        <v>134</v>
      </c>
      <c r="E138" s="14">
        <f>+Enero!E138+Febrero!E138+Marzo!E138+Abril!E138+Mayo!E138+Junio!E138+Julio!E138+Agosto!E138+Septiembre!E138+Octubre!E138+Noviembre!E138+Diciembre!E138</f>
        <v>0</v>
      </c>
      <c r="F138" s="14">
        <f>+Enero!F138+Febrero!F138+Marzo!F138+Abril!F138+Mayo!F138+Junio!F138+Julio!F138+Agosto!F138+Septiembre!F138+Octubre!F138+Noviembre!F138+Diciembre!F138</f>
        <v>0</v>
      </c>
      <c r="G138" s="14">
        <f>+Enero!G138+Febrero!G138+Marzo!G138+Abril!G138+Mayo!G138+Junio!G138+Julio!G138+Agosto!G138+Septiembre!G138+Octubre!G138+Noviembre!G138+Diciembre!G138</f>
        <v>254224695.33000001</v>
      </c>
      <c r="H138" s="14">
        <f>+Enero!H138+Febrero!H138+Marzo!H138+Abril!H138+Mayo!H138+Junio!H138+Julio!H138+Agosto!H138+Septiembre!H138+Octubre!H138+Noviembre!H138+Diciembre!H138</f>
        <v>0</v>
      </c>
      <c r="I138" s="13">
        <f t="shared" ref="I138:I144" si="4">SUM(E138:H138)</f>
        <v>254224695.33000001</v>
      </c>
    </row>
    <row r="139" spans="1:9" ht="15.75" x14ac:dyDescent="0.25">
      <c r="A139" s="8"/>
      <c r="B139" s="8"/>
      <c r="C139" s="9"/>
      <c r="D139" s="12" t="s">
        <v>135</v>
      </c>
      <c r="E139" s="14">
        <f>+Enero!E139+Febrero!E139+Marzo!E139+Abril!E139+Mayo!E139+Junio!E139+Julio!E139+Agosto!E139+Septiembre!E139+Octubre!E139+Noviembre!E139+Diciembre!E139</f>
        <v>89014121.88000001</v>
      </c>
      <c r="F139" s="14">
        <f>+Enero!F139+Febrero!F139+Marzo!F139+Abril!F139+Mayo!F139+Junio!F139+Julio!F139+Agosto!F139+Septiembre!F139+Octubre!F139+Noviembre!F139+Diciembre!F139</f>
        <v>48420468.693457685</v>
      </c>
      <c r="G139" s="14">
        <f>+Enero!G139+Febrero!G139+Marzo!G139+Abril!G139+Mayo!G139+Junio!G139+Julio!G139+Agosto!G139+Septiembre!G139+Octubre!G139+Noviembre!G139+Diciembre!G139</f>
        <v>13840067.380000001</v>
      </c>
      <c r="H139" s="14">
        <f>+Enero!H139+Febrero!H139+Marzo!H139+Abril!H139+Mayo!H139+Junio!H139+Julio!H139+Agosto!H139+Septiembre!H139+Octubre!H139+Noviembre!H139+Diciembre!H139</f>
        <v>0</v>
      </c>
      <c r="I139" s="13">
        <f t="shared" si="4"/>
        <v>151274657.95345768</v>
      </c>
    </row>
    <row r="140" spans="1:9" ht="15.75" x14ac:dyDescent="0.25">
      <c r="A140" s="8"/>
      <c r="B140" s="8"/>
      <c r="C140" s="9"/>
      <c r="D140" s="12" t="s">
        <v>136</v>
      </c>
      <c r="E140" s="14">
        <f>+Enero!E140+Febrero!E140+Marzo!E140+Abril!E140+Mayo!E140+Junio!E140+Julio!E140+Agosto!E140+Septiembre!E140+Octubre!E140+Noviembre!E140+Diciembre!E140</f>
        <v>356356099.64000005</v>
      </c>
      <c r="F140" s="14">
        <f>+Enero!F140+Febrero!F140+Marzo!F140+Abril!F140+Mayo!F140+Junio!F140+Julio!F140+Agosto!F140+Septiembre!F140+Octubre!F140+Noviembre!F140+Diciembre!F140</f>
        <v>343410772.46834677</v>
      </c>
      <c r="G140" s="14">
        <f>+Enero!G140+Febrero!G140+Marzo!G140+Abril!G140+Mayo!G140+Junio!G140+Julio!G140+Agosto!G140+Septiembre!G140+Octubre!G140+Noviembre!G140+Diciembre!G140</f>
        <v>33460882.16</v>
      </c>
      <c r="H140" s="14">
        <f>+Enero!H140+Febrero!H140+Marzo!H140+Abril!H140+Mayo!H140+Junio!H140+Julio!H140+Agosto!H140+Septiembre!H140+Octubre!H140+Noviembre!H140+Diciembre!H140</f>
        <v>0</v>
      </c>
      <c r="I140" s="13">
        <f t="shared" si="4"/>
        <v>733227754.26834679</v>
      </c>
    </row>
    <row r="141" spans="1:9" ht="15.75" x14ac:dyDescent="0.25">
      <c r="A141" s="8"/>
      <c r="B141" s="8"/>
      <c r="C141" s="9"/>
      <c r="D141" s="12" t="s">
        <v>137</v>
      </c>
      <c r="E141" s="14">
        <f>+Enero!E141+Febrero!E141+Marzo!E141+Abril!E141+Mayo!E141+Junio!E141+Julio!E141+Agosto!E141+Septiembre!E141+Octubre!E141+Noviembre!E141+Diciembre!E141</f>
        <v>0</v>
      </c>
      <c r="F141" s="14">
        <f>+Enero!F141+Febrero!F141+Marzo!F141+Abril!F141+Mayo!F141+Junio!F141+Julio!F141+Agosto!F141+Septiembre!F141+Octubre!F141+Noviembre!F141+Diciembre!F141</f>
        <v>0</v>
      </c>
      <c r="G141" s="14">
        <f>+Enero!G141+Febrero!G141+Marzo!G141+Abril!G141+Mayo!G141+Junio!G141+Julio!G141+Agosto!G141+Septiembre!G141+Octubre!G141+Noviembre!G141+Diciembre!G141</f>
        <v>360532099.85999995</v>
      </c>
      <c r="H141" s="14">
        <f>+Enero!H141+Febrero!H141+Marzo!H141+Abril!H141+Mayo!H141+Junio!H141+Julio!H141+Agosto!H141+Septiembre!H141+Octubre!H141+Noviembre!H141+Diciembre!H141</f>
        <v>42611716.159999996</v>
      </c>
      <c r="I141" s="13">
        <f t="shared" si="4"/>
        <v>403143816.01999998</v>
      </c>
    </row>
    <row r="142" spans="1:9" ht="15.75" x14ac:dyDescent="0.25">
      <c r="A142" s="8"/>
      <c r="B142" s="8"/>
      <c r="C142" s="9"/>
      <c r="D142" s="12" t="s">
        <v>138</v>
      </c>
      <c r="E142" s="14">
        <f>+Enero!E142+Febrero!E142+Marzo!E142+Abril!E142+Mayo!E142+Junio!E142+Julio!E142+Agosto!E142+Septiembre!E142+Octubre!E142+Noviembre!E142+Diciembre!E142</f>
        <v>2549170.62</v>
      </c>
      <c r="F142" s="14">
        <f>+Enero!F142+Febrero!F142+Marzo!F142+Abril!F142+Mayo!F142+Junio!F142+Julio!F142+Agosto!F142+Septiembre!F142+Octubre!F142+Noviembre!F142+Diciembre!F142</f>
        <v>0</v>
      </c>
      <c r="G142" s="14">
        <f>+Enero!G142+Febrero!G142+Marzo!G142+Abril!G142+Mayo!G142+Junio!G142+Julio!G142+Agosto!G142+Septiembre!G142+Octubre!G142+Noviembre!G142+Diciembre!G142</f>
        <v>49956712.479999997</v>
      </c>
      <c r="H142" s="14">
        <f>+Enero!H142+Febrero!H142+Marzo!H142+Abril!H142+Mayo!H142+Junio!H142+Julio!H142+Agosto!H142+Septiembre!H142+Octubre!H142+Noviembre!H142+Diciembre!H142</f>
        <v>0</v>
      </c>
      <c r="I142" s="13">
        <f t="shared" si="4"/>
        <v>52505883.099999994</v>
      </c>
    </row>
    <row r="143" spans="1:9" ht="15.75" x14ac:dyDescent="0.25">
      <c r="A143" s="8"/>
      <c r="B143" s="8"/>
      <c r="C143" s="9"/>
      <c r="D143" s="12" t="s">
        <v>139</v>
      </c>
      <c r="E143" s="14">
        <f>+Enero!E143+Febrero!E143+Marzo!E143+Abril!E143+Mayo!E143+Junio!E143+Julio!E143+Agosto!E143+Septiembre!E143+Octubre!E143+Noviembre!E143+Diciembre!E143</f>
        <v>37895116.139999993</v>
      </c>
      <c r="F143" s="14">
        <f>+Enero!F143+Febrero!F143+Marzo!F143+Abril!F143+Mayo!F143+Junio!F143+Julio!F143+Agosto!F143+Septiembre!F143+Octubre!F143+Noviembre!F143+Diciembre!F143</f>
        <v>317394110.73096293</v>
      </c>
      <c r="G143" s="14">
        <f>+Enero!G143+Febrero!G143+Marzo!G143+Abril!G143+Mayo!G143+Junio!G143+Julio!G143+Agosto!G143+Septiembre!G143+Octubre!G143+Noviembre!G143+Diciembre!G143</f>
        <v>776740.11999999988</v>
      </c>
      <c r="H143" s="14">
        <f>+Enero!H143+Febrero!H143+Marzo!H143+Abril!H143+Mayo!H143+Junio!H143+Julio!H143+Agosto!H143+Septiembre!H143+Octubre!H143+Noviembre!H143+Diciembre!H143</f>
        <v>0</v>
      </c>
      <c r="I143" s="13">
        <f t="shared" si="4"/>
        <v>356065966.99096292</v>
      </c>
    </row>
    <row r="144" spans="1:9" ht="15.75" x14ac:dyDescent="0.25">
      <c r="A144" s="8"/>
      <c r="B144" s="8"/>
      <c r="C144" s="9"/>
      <c r="D144" s="12" t="s">
        <v>140</v>
      </c>
      <c r="E144" s="14">
        <f>+Enero!E144+Febrero!E144+Marzo!E144+Abril!E144+Mayo!E144+Junio!E144+Julio!E144+Agosto!E144+Septiembre!E144+Octubre!E144+Noviembre!E144+Diciembre!E144</f>
        <v>205604181.31</v>
      </c>
      <c r="F144" s="14">
        <f>+Enero!F144+Febrero!F144+Marzo!F144+Abril!F144+Mayo!F144+Junio!F144+Julio!F144+Agosto!F144+Septiembre!F144+Octubre!F144+Noviembre!F144+Diciembre!F144</f>
        <v>38564499.74698016</v>
      </c>
      <c r="G144" s="14">
        <f>+Enero!G144+Febrero!G144+Marzo!G144+Abril!G144+Mayo!G144+Junio!G144+Julio!G144+Agosto!G144+Septiembre!G144+Octubre!G144+Noviembre!G144+Diciembre!G144</f>
        <v>101751781.34</v>
      </c>
      <c r="H144" s="14">
        <f>+Enero!H144+Febrero!H144+Marzo!H144+Abril!H144+Mayo!H144+Junio!H144+Julio!H144+Agosto!H144+Septiembre!H144+Octubre!H144+Noviembre!H144+Diciembre!H144</f>
        <v>0</v>
      </c>
      <c r="I144" s="13">
        <f t="shared" si="4"/>
        <v>345920462.39698017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26812928305.329998</v>
      </c>
      <c r="F145" s="22">
        <f>SUM(F10:F144)</f>
        <v>15796620659.590324</v>
      </c>
      <c r="G145" s="22">
        <f>SUM(G10:G144)</f>
        <v>14377314395.169992</v>
      </c>
      <c r="H145" s="22">
        <f>SUM(H10:H144)</f>
        <v>1264733936.3750002</v>
      </c>
      <c r="I145" s="22">
        <f>SUM(I10:I144)</f>
        <v>58251597296.465317</v>
      </c>
    </row>
  </sheetData>
  <customSheetViews>
    <customSheetView guid="{F1F511AB-5865-40AB-8DB4-DDEDE7CBB603}" scale="80" showGridLines="0" fitToPage="1">
      <selection activeCell="I20" sqref="I20"/>
      <pageMargins left="0" right="0" top="0.19685039370078741" bottom="0.43307086614173229" header="0.15748031496062992" footer="0"/>
      <printOptions horizontalCentered="1"/>
      <pageSetup paperSize="9" scale="86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M10" sqref="M10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&amp;C&amp;"Arial,Negrita"&amp;K09-023MINISTERIO DE ECONOMÍA - 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2" fitToHeight="7" orientation="portrait" r:id="rId3"/>
  <headerFooter alignWithMargins="0">
    <oddFooter>&amp;C&amp;"Arial,Normal"&amp;9Subsecretaría de Coordinación Económica y Estadística
MINISTERIO DE ECONOMÍA&amp;R&amp;P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2026-07-01T15:04:04Z</cp:lastPrinted>
  <dcterms:created xsi:type="dcterms:W3CDTF">2012-05-08T13:32:03Z</dcterms:created>
  <dcterms:modified xsi:type="dcterms:W3CDTF">2026-07-01T15:04:08Z</dcterms:modified>
</cp:coreProperties>
</file>