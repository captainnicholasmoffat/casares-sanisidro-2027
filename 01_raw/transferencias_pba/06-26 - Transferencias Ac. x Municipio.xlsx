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erArchivos\finanzas municipales\Tareas\Cierres Mensuales\web\2026\06-Junio\"/>
    </mc:Choice>
  </mc:AlternateContent>
  <xr:revisionPtr revIDLastSave="0" documentId="13_ncr:1_{4FAF7F54-F5E9-497C-89CE-B44A76FC2C2E}" xr6:coauthVersionLast="36" xr6:coauthVersionMax="36" xr10:uidLastSave="{00000000-0000-0000-0000-000000000000}"/>
  <bookViews>
    <workbookView xWindow="240" yWindow="615" windowWidth="15120" windowHeight="5325" xr2:uid="{00000000-000D-0000-FFFF-FFFF00000000}"/>
  </bookViews>
  <sheets>
    <sheet name="Municipio" sheetId="1" r:id="rId1"/>
    <sheet name="JUNIO" sheetId="2" state="hidden" r:id="rId2"/>
  </sheets>
  <externalReferences>
    <externalReference r:id="rId3"/>
    <externalReference r:id="rId4"/>
    <externalReference r:id="rId5"/>
  </externalReferences>
  <definedNames>
    <definedName name="\a">'[1]2001'!$P$1:$Q$3</definedName>
    <definedName name="_Fill" hidden="1">#REF!</definedName>
    <definedName name="_xlnm._FilterDatabase" localSheetId="1" hidden="1">JUNIO!$A$9:$I$145</definedName>
    <definedName name="_Key1" hidden="1">[2]REDE02!#REF!</definedName>
    <definedName name="_Order1" hidden="1">255</definedName>
    <definedName name="_Sort" hidden="1">#REF!</definedName>
    <definedName name="_xlnm.Print_Area" localSheetId="1">JUNIO!$B$1:$S$145</definedName>
    <definedName name="_xlnm.Print_Area" localSheetId="0">Municipio!$D$4:$L$36</definedName>
    <definedName name="contador">#REF!</definedName>
    <definedName name="FSA" hidden="1">'[3]Rec. y Transf.ENERO-04'!#REF!</definedName>
    <definedName name="_xlnm.Print_Titles" localSheetId="1">JUNIO!$B:$B,JUNIO!$1:$9</definedName>
    <definedName name="Z_07FF841F_DFB2_4D49_BB4D_4871C3F618D6_.wvu.FilterData" localSheetId="1" hidden="1">JUNIO!$A$9:$I$145</definedName>
    <definedName name="Z_07FF841F_DFB2_4D49_BB4D_4871C3F618D6_.wvu.PrintArea" localSheetId="1" hidden="1">JUNIO!$B$1:$S$145</definedName>
    <definedName name="Z_07FF841F_DFB2_4D49_BB4D_4871C3F618D6_.wvu.PrintArea" localSheetId="0" hidden="1">Municipio!$D$1:$K$29</definedName>
    <definedName name="Z_07FF841F_DFB2_4D49_BB4D_4871C3F618D6_.wvu.PrintTitles" localSheetId="1" hidden="1">JUNIO!$B:$B,JUNIO!$1:$9</definedName>
    <definedName name="Z_07FF841F_DFB2_4D49_BB4D_4871C3F618D6_.wvu.Rows" localSheetId="0" hidden="1">Municipio!$1:$1</definedName>
  </definedNames>
  <calcPr calcId="191029"/>
  <customWorkbookViews>
    <customWorkbookView name="paola - Vista personalizada" guid="{07FF841F-DFB2-4D49-BB4D-4871C3F618D6}" mergeInterval="0" personalView="1" maximized="1" windowWidth="1436" windowHeight="635" activeSheetId="1" showComments="commIndAndComment"/>
  </customWorkbookViews>
</workbook>
</file>

<file path=xl/calcChain.xml><?xml version="1.0" encoding="utf-8"?>
<calcChain xmlns="http://schemas.openxmlformats.org/spreadsheetml/2006/main">
  <c r="N12" i="1" l="1"/>
  <c r="N11" i="1"/>
  <c r="R145" i="2" l="1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C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145" i="2" l="1"/>
  <c r="N5" i="1"/>
  <c r="N10" i="1" l="1"/>
  <c r="O16" i="1" l="1"/>
  <c r="N15" i="1"/>
  <c r="N16" i="1"/>
  <c r="N14" i="1"/>
  <c r="N17" i="1"/>
  <c r="N18" i="1"/>
  <c r="N13" i="1" l="1"/>
  <c r="N9" i="1" l="1"/>
  <c r="N8" i="1"/>
  <c r="N7" i="1"/>
  <c r="N6" i="1"/>
  <c r="N4" i="1"/>
  <c r="D10" i="1" l="1"/>
  <c r="E28" i="1" s="1"/>
  <c r="O11" i="1" s="1"/>
  <c r="E16" i="1" l="1"/>
  <c r="O5" i="1" s="1"/>
  <c r="E31" i="1"/>
  <c r="O14" i="1" s="1"/>
  <c r="E32" i="1"/>
  <c r="O15" i="1" s="1"/>
  <c r="E30" i="1"/>
  <c r="O13" i="1" s="1"/>
  <c r="E29" i="1" l="1"/>
  <c r="E21" i="1"/>
  <c r="E20" i="1"/>
  <c r="O12" i="1" l="1"/>
  <c r="E27" i="1"/>
  <c r="O10" i="1" s="1"/>
  <c r="E25" i="1"/>
  <c r="E22" i="1"/>
  <c r="E17" i="1"/>
  <c r="O6" i="1" s="1"/>
  <c r="E26" i="1"/>
  <c r="O9" i="1" s="1"/>
  <c r="E24" i="1"/>
  <c r="E19" i="1"/>
  <c r="E15" i="1"/>
  <c r="O4" i="1" s="1"/>
  <c r="E18" i="1" l="1"/>
  <c r="O7" i="1" s="1"/>
  <c r="E23" i="1"/>
  <c r="O8" i="1" s="1"/>
  <c r="E14" i="1" l="1"/>
  <c r="O17" i="1"/>
</calcChain>
</file>

<file path=xl/sharedStrings.xml><?xml version="1.0" encoding="utf-8"?>
<sst xmlns="http://schemas.openxmlformats.org/spreadsheetml/2006/main" count="328" uniqueCount="180">
  <si>
    <t>TRANSFERENCIAS DE FONDOS</t>
  </si>
  <si>
    <t>(En pesos)</t>
  </si>
  <si>
    <t>Municipio</t>
  </si>
  <si>
    <t>Coparticipación
Bruta</t>
  </si>
  <si>
    <t>Juegos de Azar</t>
  </si>
  <si>
    <t>Fdo. Fort. Rec. Municip.</t>
  </si>
  <si>
    <t>Fdo. Inclus. Social</t>
  </si>
  <si>
    <t>Fondo Solidario Provincial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</si>
  <si>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</si>
  <si>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</si>
  <si>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</si>
  <si>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</si>
  <si>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</si>
  <si>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</si>
  <si>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</si>
  <si>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</si>
  <si>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</si>
  <si>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</si>
  <si>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</si>
  <si>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</si>
  <si>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</si>
  <si>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</si>
  <si>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</si>
  <si>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</si>
  <si>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</si>
  <si>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</si>
  <si>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</si>
  <si>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</si>
  <si>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</si>
  <si>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</si>
  <si>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</si>
  <si>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</si>
  <si>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</si>
  <si>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</si>
  <si>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</si>
  <si>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</si>
  <si>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DORREGO</t>
  </si>
  <si>
    <t>CORONEL PRINGLES</t>
  </si>
  <si>
    <t>CORONEL ROSALES</t>
  </si>
  <si>
    <t>CORONEL SUAREZ</t>
  </si>
  <si>
    <t>DAIREAUX</t>
  </si>
  <si>
    <t>DOLORES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</si>
  <si>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</si>
  <si>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</si>
  <si>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</si>
  <si>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</si>
  <si>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</si>
  <si>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</si>
  <si>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</si>
  <si>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</si>
  <si>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</si>
  <si>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</si>
  <si>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</si>
  <si>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</si>
  <si>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</si>
  <si>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</si>
  <si>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LAVALLE</t>
  </si>
  <si>
    <t>GENERAL MADARIAGA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</si>
  <si>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</si>
  <si>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</si>
  <si>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</si>
  <si>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</si>
  <si>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</si>
  <si>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</si>
  <si>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</si>
  <si>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</si>
  <si>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</si>
  <si>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</si>
  <si>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</si>
  <si>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</si>
  <si>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</si>
  <si>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</si>
  <si>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</si>
  <si>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</si>
  <si>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</si>
  <si>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</si>
  <si>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</si>
  <si>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</si>
  <si>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</si>
  <si>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</si>
  <si>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</si>
  <si>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</si>
  <si>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</si>
  <si>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</si>
  <si>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</si>
  <si>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</si>
  <si>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</si>
  <si>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</si>
  <si>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</si>
  <si>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</si>
  <si>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</si>
  <si>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</si>
  <si>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</si>
  <si>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</si>
  <si>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</si>
  <si>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</si>
  <si>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</si>
  <si>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NUEVE DE JULIO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</si>
  <si>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</si>
  <si>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</si>
  <si>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</si>
  <si>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</si>
  <si>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</si>
  <si>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</si>
  <si>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</si>
  <si>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</si>
  <si>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</si>
  <si>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</si>
  <si>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</si>
  <si>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</si>
  <si>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</si>
  <si>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</si>
  <si>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</si>
  <si>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</si>
  <si>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</si>
  <si>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</si>
  <si>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</si>
  <si>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</si>
  <si>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</si>
  <si>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</si>
  <si>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</si>
  <si>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</si>
  <si>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</si>
  <si>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</si>
  <si>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</si>
  <si>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</si>
  <si>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</si>
  <si>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</si>
  <si>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</si>
  <si>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</si>
  <si>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</si>
  <si>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</si>
  <si>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</si>
  <si>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</si>
  <si>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</si>
  <si>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</si>
  <si>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</si>
  <si>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</si>
  <si>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</si>
  <si>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VICENTE LOPEZ</t>
  </si>
  <si>
    <t>VILLA GESELL</t>
  </si>
  <si>
    <t>VILLARINO</t>
  </si>
  <si>
    <t>ZARATE</t>
  </si>
  <si>
    <t>CONSOLIDADO 135 MUNICIPIOS</t>
  </si>
  <si>
    <t>Inmobiliario
Rural
Libre
Disponibilidad</t>
  </si>
  <si>
    <t>Inmobiliario
Rural
Fondo
Compensador</t>
  </si>
  <si>
    <t>Ingresos
Brutos</t>
  </si>
  <si>
    <t>Otros</t>
  </si>
  <si>
    <t>TOTAL DE TRANSFERENCIAS</t>
  </si>
  <si>
    <t>Inmob. Rural Libre Disp.</t>
  </si>
  <si>
    <t>Ingresos Brutos Peq. Contrib.</t>
  </si>
  <si>
    <t xml:space="preserve">Fdo. Fort. Prog. Soc. </t>
  </si>
  <si>
    <t>Trat. y Disp. Final de Resid.</t>
  </si>
  <si>
    <t>Fdo. Fort. Recursos Municipales (F.F.R.M.)</t>
  </si>
  <si>
    <t>Los montos consignados corresponden a lo efectivamente pagado.</t>
  </si>
  <si>
    <t>Coparticipación</t>
  </si>
  <si>
    <t>F.F.P.S.    (Planes Sociales)</t>
  </si>
  <si>
    <t>F.S.A. (Tratamiento de Residuos)</t>
  </si>
  <si>
    <t>Fondo de Financ. Educativo</t>
  </si>
  <si>
    <t>Fdo. de Financiamiento Educativo (F.F.E.)</t>
  </si>
  <si>
    <t>Descentralizac. Tributaria Total</t>
  </si>
  <si>
    <t>BUENOS AIRES PROVINCIA</t>
  </si>
  <si>
    <t>Fdo. Infraestructura Municipal (F.I.M.) 2017</t>
  </si>
  <si>
    <t>Fdo. Ley 14890</t>
  </si>
  <si>
    <t>Fdo. Municipal de Inclusión Social (F.M.I.S.)</t>
  </si>
  <si>
    <t>Fdo. Prog. Sociales y Saneam. Amb.</t>
  </si>
  <si>
    <t>Fdo Compensador 
Decreto PEN 836/18</t>
  </si>
  <si>
    <t>Inmob. Rural Fondo Vial</t>
  </si>
  <si>
    <t>Descen-tralización</t>
  </si>
  <si>
    <t>Omisión distrib. Fondo Solidario Provincial  2017</t>
  </si>
  <si>
    <t>Fdo Ley 14890</t>
  </si>
  <si>
    <t xml:space="preserve">TRANSFERENCIAS DE FONDOS </t>
  </si>
  <si>
    <t>Omisión de Distribución Copa 2023</t>
  </si>
  <si>
    <t>Total
2026</t>
  </si>
  <si>
    <t>Omisión Coparticiación 
2025</t>
  </si>
  <si>
    <t>Fondo Emergencia y Fort. Inversión Municipal
(FEFIM)</t>
  </si>
  <si>
    <t>Fondo Emergencia y Fort. Inversión Municipal (FEFIM)</t>
  </si>
  <si>
    <t>ACUMULADO ENERO - JUNIO 2026</t>
  </si>
  <si>
    <t>ACUMULADO JUNIO 2026</t>
  </si>
  <si>
    <t>ACUMULADO 
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</si>
</sst>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_ ;_ * \-#,##0_ ;_ * &quot;-&quot;_ ;_ @_ "/>
    <numFmt numFmtId="165" formatCode="_(* #,##0.00_);_(* \(#,##0.00\);_(* &quot;-&quot;??_);_(@_)"/>
    <numFmt numFmtId="166" formatCode="_(* #,##0_);_(* \(#,##0\);_(* &quot;-&quot;??_);_(@_)"/>
    <numFmt numFmtId="167" formatCode="#,"/>
    <numFmt numFmtId="168" formatCode="#,#00"/>
    <numFmt numFmtId="169" formatCode="#.##000"/>
    <numFmt numFmtId="170" formatCode="&quot;$&quot;#,#00"/>
    <numFmt numFmtId="171" formatCode="\$#,##0\ ;\(\$#,##0\)"/>
    <numFmt numFmtId="172" formatCode="#,##0.0"/>
  </numFmts>
  <fonts count="38" x14ac:knownFonts="1">
    <font>
      <sz val="10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b/>
      <sz val="11"/>
      <color indexed="10"/>
      <name val="Arial"/>
      <family val="2"/>
    </font>
    <font>
      <i/>
      <sz val="10"/>
      <name val="Arial"/>
      <family val="2"/>
    </font>
    <font>
      <b/>
      <sz val="11"/>
      <color indexed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b/>
      <sz val="12"/>
      <color indexed="9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b/>
      <sz val="16"/>
      <color indexed="9"/>
      <name val="Arial"/>
      <family val="2"/>
    </font>
    <font>
      <b/>
      <i/>
      <sz val="11"/>
      <color indexed="9"/>
      <name val="Arial"/>
      <family val="2"/>
    </font>
    <font>
      <b/>
      <i/>
      <sz val="11"/>
      <color indexed="8"/>
      <name val="Arial"/>
      <family val="2"/>
    </font>
    <font>
      <i/>
      <sz val="8"/>
      <color indexed="63"/>
      <name val="Arial"/>
      <family val="2"/>
    </font>
    <font>
      <i/>
      <sz val="8"/>
      <name val="Arial"/>
      <family val="2"/>
    </font>
    <font>
      <i/>
      <sz val="11"/>
      <name val="Arial"/>
      <family val="2"/>
    </font>
    <font>
      <b/>
      <i/>
      <sz val="11"/>
      <color theme="0"/>
      <name val="Arial"/>
      <family val="2"/>
    </font>
    <font>
      <b/>
      <i/>
      <sz val="11"/>
      <name val="Arial"/>
      <family val="2"/>
    </font>
    <font>
      <i/>
      <sz val="9"/>
      <color indexed="63"/>
      <name val="Arial"/>
      <family val="2"/>
    </font>
    <font>
      <sz val="8"/>
      <name val="Courier"/>
      <family val="3"/>
    </font>
    <font>
      <b/>
      <sz val="11"/>
      <color theme="0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sz val="12"/>
      <color theme="0"/>
      <name val="Arial"/>
      <family val="2"/>
    </font>
    <font>
      <sz val="10"/>
      <color rgb="FF44AEAC"/>
      <name val="Arial"/>
      <family val="2"/>
    </font>
    <font>
      <b/>
      <i/>
      <sz val="14"/>
      <color rgb="FF44AEAC"/>
      <name val="Arial"/>
      <family val="2"/>
    </font>
    <font>
      <b/>
      <i/>
      <sz val="16"/>
      <color rgb="FF44AEAC"/>
      <name val="Arial"/>
      <family val="2"/>
    </font>
    <font>
      <sz val="11"/>
      <color rgb="FF44AEAC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AEAC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24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>
      <protection locked="0"/>
    </xf>
    <xf numFmtId="167" fontId="15" fillId="0" borderId="0">
      <protection locked="0"/>
    </xf>
    <xf numFmtId="167" fontId="15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6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6" fillId="0" borderId="0">
      <protection locked="0"/>
    </xf>
    <xf numFmtId="0" fontId="17" fillId="0" borderId="0" applyFont="0" applyFill="0" applyBorder="0" applyAlignment="0" applyProtection="0"/>
    <xf numFmtId="168" fontId="14" fillId="0" borderId="0">
      <protection locked="0"/>
    </xf>
    <xf numFmtId="169" fontId="14" fillId="0" borderId="0">
      <protection locked="0"/>
    </xf>
    <xf numFmtId="165" fontId="1" fillId="0" borderId="0" applyFont="0" applyFill="0" applyBorder="0" applyAlignment="0" applyProtection="0"/>
    <xf numFmtId="170" fontId="14" fillId="0" borderId="0">
      <protection locked="0"/>
    </xf>
    <xf numFmtId="171" fontId="1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2" fontId="7" fillId="0" borderId="0" applyFill="0" applyBorder="0" applyAlignment="0" applyProtection="0"/>
    <xf numFmtId="3" fontId="17" fillId="0" borderId="0" applyFont="0" applyFill="0" applyBorder="0" applyAlignment="0" applyProtection="0"/>
    <xf numFmtId="0" fontId="27" fillId="0" borderId="0"/>
  </cellStyleXfs>
  <cellXfs count="74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Fill="1"/>
    <xf numFmtId="0" fontId="6" fillId="0" borderId="1" xfId="0" applyFont="1" applyFill="1" applyBorder="1" applyAlignment="1" applyProtection="1">
      <alignment horizontal="center" vertical="center" textRotation="90" wrapText="1"/>
    </xf>
    <xf numFmtId="0" fontId="7" fillId="0" borderId="1" xfId="0" applyFont="1" applyFill="1" applyBorder="1" applyProtection="1"/>
    <xf numFmtId="0" fontId="10" fillId="0" borderId="0" xfId="0" applyFont="1" applyFill="1" applyProtection="1"/>
    <xf numFmtId="166" fontId="2" fillId="0" borderId="0" xfId="0" applyNumberFormat="1" applyFont="1"/>
    <xf numFmtId="0" fontId="7" fillId="0" borderId="0" xfId="0" applyFont="1" applyProtection="1">
      <protection locked="0"/>
    </xf>
    <xf numFmtId="166" fontId="2" fillId="0" borderId="0" xfId="16" applyNumberFormat="1" applyFont="1" applyFill="1"/>
    <xf numFmtId="166" fontId="2" fillId="0" borderId="0" xfId="16" applyNumberFormat="1" applyFont="1"/>
    <xf numFmtId="0" fontId="8" fillId="0" borderId="3" xfId="0" applyFont="1" applyFill="1" applyBorder="1" applyAlignment="1" applyProtection="1">
      <alignment horizontal="left" indent="1"/>
    </xf>
    <xf numFmtId="3" fontId="9" fillId="0" borderId="3" xfId="16" applyNumberFormat="1" applyFont="1" applyFill="1" applyBorder="1" applyAlignment="1" applyProtection="1">
      <alignment horizontal="right" indent="2"/>
    </xf>
    <xf numFmtId="3" fontId="8" fillId="0" borderId="3" xfId="16" applyNumberFormat="1" applyFont="1" applyFill="1" applyBorder="1" applyAlignment="1" applyProtection="1">
      <alignment horizontal="right" indent="2"/>
    </xf>
    <xf numFmtId="3" fontId="2" fillId="0" borderId="0" xfId="0" applyNumberFormat="1" applyFont="1"/>
    <xf numFmtId="0" fontId="29" fillId="0" borderId="0" xfId="0" applyFont="1"/>
    <xf numFmtId="164" fontId="2" fillId="0" borderId="0" xfId="0" applyNumberFormat="1" applyFont="1" applyFill="1" applyBorder="1"/>
    <xf numFmtId="164" fontId="2" fillId="0" borderId="0" xfId="0" applyNumberFormat="1" applyFont="1"/>
    <xf numFmtId="166" fontId="25" fillId="0" borderId="3" xfId="16" applyNumberFormat="1" applyFont="1" applyFill="1" applyBorder="1" applyAlignment="1" applyProtection="1">
      <alignment horizontal="right" vertical="center" indent="1"/>
    </xf>
    <xf numFmtId="166" fontId="23" fillId="0" borderId="3" xfId="16" applyNumberFormat="1" applyFont="1" applyFill="1" applyBorder="1" applyAlignment="1" applyProtection="1">
      <alignment horizontal="right" vertical="center" indent="1"/>
    </xf>
    <xf numFmtId="0" fontId="7" fillId="0" borderId="0" xfId="0" applyFont="1" applyProtection="1"/>
    <xf numFmtId="0" fontId="28" fillId="2" borderId="0" xfId="23" applyFont="1" applyFill="1" applyAlignment="1" applyProtection="1">
      <alignment vertical="center"/>
    </xf>
    <xf numFmtId="0" fontId="31" fillId="2" borderId="0" xfId="23" applyFont="1" applyFill="1" applyAlignment="1" applyProtection="1">
      <alignment vertical="center"/>
    </xf>
    <xf numFmtId="0" fontId="7" fillId="0" borderId="0" xfId="0" applyFont="1" applyBorder="1" applyProtection="1"/>
    <xf numFmtId="0" fontId="7" fillId="0" borderId="0" xfId="0" applyFont="1" applyFill="1" applyProtection="1"/>
    <xf numFmtId="0" fontId="22" fillId="0" borderId="0" xfId="0" applyFont="1" applyAlignment="1" applyProtection="1">
      <alignment horizontal="right"/>
    </xf>
    <xf numFmtId="0" fontId="18" fillId="0" borderId="4" xfId="19" applyFont="1" applyFill="1" applyBorder="1" applyAlignment="1" applyProtection="1">
      <alignment horizontal="left" vertical="center"/>
    </xf>
    <xf numFmtId="10" fontId="7" fillId="0" borderId="0" xfId="20" applyNumberFormat="1" applyFont="1" applyFill="1" applyProtection="1"/>
    <xf numFmtId="0" fontId="30" fillId="0" borderId="0" xfId="0" applyFont="1" applyFill="1" applyProtection="1"/>
    <xf numFmtId="0" fontId="30" fillId="0" borderId="0" xfId="0" applyFont="1" applyProtection="1"/>
    <xf numFmtId="0" fontId="29" fillId="0" borderId="0" xfId="0" applyFont="1" applyProtection="1"/>
    <xf numFmtId="9" fontId="7" fillId="0" borderId="0" xfId="20" applyFont="1" applyProtection="1"/>
    <xf numFmtId="166" fontId="7" fillId="0" borderId="0" xfId="0" applyNumberFormat="1" applyFont="1" applyProtection="1"/>
    <xf numFmtId="0" fontId="20" fillId="0" borderId="3" xfId="19" applyFont="1" applyFill="1" applyBorder="1" applyAlignment="1" applyProtection="1">
      <alignment horizontal="left" vertical="center" indent="1"/>
    </xf>
    <xf numFmtId="9" fontId="7" fillId="0" borderId="0" xfId="20" applyNumberFormat="1" applyFont="1" applyFill="1" applyProtection="1"/>
    <xf numFmtId="166" fontId="30" fillId="0" borderId="0" xfId="0" applyNumberFormat="1" applyFont="1" applyFill="1" applyProtection="1"/>
    <xf numFmtId="0" fontId="26" fillId="0" borderId="3" xfId="19" applyFont="1" applyFill="1" applyBorder="1" applyAlignment="1" applyProtection="1">
      <alignment horizontal="right" vertical="center" indent="4"/>
    </xf>
    <xf numFmtId="166" fontId="30" fillId="0" borderId="0" xfId="0" applyNumberFormat="1" applyFont="1" applyProtection="1"/>
    <xf numFmtId="0" fontId="7" fillId="0" borderId="0" xfId="0" applyFont="1" applyFill="1" applyBorder="1" applyProtection="1"/>
    <xf numFmtId="0" fontId="20" fillId="0" borderId="3" xfId="19" applyFont="1" applyFill="1" applyBorder="1" applyAlignment="1" applyProtection="1">
      <alignment horizontal="left" vertical="center" wrapText="1" indent="1"/>
    </xf>
    <xf numFmtId="49" fontId="11" fillId="0" borderId="0" xfId="0" applyNumberFormat="1" applyFont="1" applyFill="1" applyBorder="1" applyAlignment="1">
      <alignment horizontal="center" vertical="center" wrapText="1"/>
    </xf>
    <xf numFmtId="164" fontId="11" fillId="0" borderId="0" xfId="0" applyNumberFormat="1" applyFont="1" applyFill="1" applyBorder="1" applyAlignment="1">
      <alignment horizontal="center" vertical="center" wrapText="1"/>
    </xf>
    <xf numFmtId="0" fontId="20" fillId="3" borderId="3" xfId="19" applyFont="1" applyFill="1" applyBorder="1" applyAlignment="1" applyProtection="1">
      <alignment horizontal="left" vertical="center" indent="1"/>
    </xf>
    <xf numFmtId="0" fontId="32" fillId="0" borderId="0" xfId="0" applyFont="1" applyBorder="1" applyProtection="1"/>
    <xf numFmtId="0" fontId="33" fillId="0" borderId="0" xfId="0" applyFont="1" applyBorder="1" applyProtection="1"/>
    <xf numFmtId="0" fontId="19" fillId="4" borderId="3" xfId="19" applyFont="1" applyFill="1" applyBorder="1" applyAlignment="1" applyProtection="1">
      <alignment horizontal="left" vertical="center" indent="1"/>
    </xf>
    <xf numFmtId="166" fontId="19" fillId="4" borderId="3" xfId="16" applyNumberFormat="1" applyFont="1" applyFill="1" applyBorder="1" applyAlignment="1" applyProtection="1">
      <alignment horizontal="right" vertical="center" indent="1"/>
    </xf>
    <xf numFmtId="49" fontId="24" fillId="4" borderId="3" xfId="19" applyNumberFormat="1" applyFont="1" applyFill="1" applyBorder="1" applyAlignment="1" applyProtection="1">
      <alignment horizontal="center" vertical="center" wrapText="1"/>
    </xf>
    <xf numFmtId="0" fontId="35" fillId="0" borderId="0" xfId="0" applyFont="1" applyBorder="1"/>
    <xf numFmtId="0" fontId="34" fillId="0" borderId="0" xfId="0" applyFont="1" applyBorder="1"/>
    <xf numFmtId="0" fontId="34" fillId="0" borderId="0" xfId="0" quotePrefix="1" applyFont="1" applyBorder="1"/>
    <xf numFmtId="49" fontId="11" fillId="4" borderId="7" xfId="0" applyNumberFormat="1" applyFont="1" applyFill="1" applyBorder="1" applyAlignment="1">
      <alignment horizontal="center" vertical="center" wrapText="1"/>
    </xf>
    <xf numFmtId="49" fontId="11" fillId="4" borderId="3" xfId="0" applyNumberFormat="1" applyFont="1" applyFill="1" applyBorder="1" applyAlignment="1">
      <alignment horizontal="center" vertical="center" wrapText="1"/>
    </xf>
    <xf numFmtId="164" fontId="11" fillId="4" borderId="5" xfId="0" applyNumberFormat="1" applyFont="1" applyFill="1" applyBorder="1" applyAlignment="1">
      <alignment horizontal="center" vertical="center" wrapText="1"/>
    </xf>
    <xf numFmtId="0" fontId="11" fillId="4" borderId="3" xfId="0" applyFont="1" applyFill="1" applyBorder="1" applyAlignment="1" applyProtection="1">
      <alignment horizontal="left" vertical="center" wrapText="1" indent="1"/>
    </xf>
    <xf numFmtId="3" fontId="11" fillId="4" borderId="3" xfId="16" applyNumberFormat="1" applyFont="1" applyFill="1" applyBorder="1" applyAlignment="1" applyProtection="1">
      <alignment horizontal="right" vertical="center" wrapText="1" indent="2"/>
    </xf>
    <xf numFmtId="0" fontId="36" fillId="0" borderId="0" xfId="0" applyFont="1" applyFill="1" applyBorder="1" applyAlignment="1">
      <alignment horizontal="center"/>
    </xf>
    <xf numFmtId="49" fontId="37" fillId="4" borderId="3" xfId="0" applyNumberFormat="1" applyFont="1" applyFill="1" applyBorder="1" applyAlignment="1">
      <alignment horizontal="center" vertical="center" wrapText="1"/>
    </xf>
    <xf numFmtId="166" fontId="7" fillId="0" borderId="0" xfId="0" applyNumberFormat="1" applyFont="1" applyFill="1" applyProtection="1"/>
    <xf numFmtId="0" fontId="33" fillId="0" borderId="0" xfId="0" quotePrefix="1" applyFont="1" applyBorder="1" applyProtection="1"/>
    <xf numFmtId="0" fontId="21" fillId="0" borderId="2" xfId="0" applyFont="1" applyBorder="1" applyAlignment="1" applyProtection="1">
      <alignment horizontal="left" vertical="center" wrapText="1"/>
    </xf>
    <xf numFmtId="0" fontId="34" fillId="0" borderId="0" xfId="0" applyFont="1" applyFill="1" applyAlignment="1" applyProtection="1">
      <alignment horizontal="right" vertical="center"/>
    </xf>
    <xf numFmtId="0" fontId="21" fillId="0" borderId="11" xfId="0" applyFont="1" applyBorder="1" applyAlignment="1" applyProtection="1">
      <alignment horizontal="left" vertical="center" wrapText="1"/>
    </xf>
    <xf numFmtId="0" fontId="21" fillId="0" borderId="10" xfId="0" applyFont="1" applyBorder="1" applyAlignment="1" applyProtection="1">
      <alignment horizontal="left" vertical="center" wrapText="1"/>
    </xf>
    <xf numFmtId="49" fontId="11" fillId="4" borderId="5" xfId="0" applyNumberFormat="1" applyFont="1" applyFill="1" applyBorder="1" applyAlignment="1">
      <alignment horizontal="center" vertical="center" wrapText="1"/>
    </xf>
    <xf numFmtId="49" fontId="11" fillId="4" borderId="6" xfId="0" applyNumberFormat="1" applyFont="1" applyFill="1" applyBorder="1" applyAlignment="1">
      <alignment horizontal="center" vertical="center" wrapText="1"/>
    </xf>
    <xf numFmtId="49" fontId="5" fillId="4" borderId="12" xfId="0" applyNumberFormat="1" applyFont="1" applyFill="1" applyBorder="1" applyAlignment="1">
      <alignment horizontal="center" vertical="center"/>
    </xf>
    <xf numFmtId="49" fontId="5" fillId="4" borderId="13" xfId="0" applyNumberFormat="1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/>
    </xf>
    <xf numFmtId="0" fontId="28" fillId="2" borderId="0" xfId="23" applyFont="1" applyFill="1" applyAlignment="1">
      <alignment horizontal="center" vertical="center"/>
    </xf>
  </cellXfs>
  <cellStyles count="24">
    <cellStyle name="Cabecera 1" xfId="1" xr:uid="{00000000-0005-0000-0000-000000000000}"/>
    <cellStyle name="Cabecera 2" xfId="2" xr:uid="{00000000-0005-0000-0000-000001000000}"/>
    <cellStyle name="Dia" xfId="3" xr:uid="{00000000-0005-0000-0000-000002000000}"/>
    <cellStyle name="Encabez1" xfId="4" xr:uid="{00000000-0005-0000-0000-000003000000}"/>
    <cellStyle name="Encabez2" xfId="5" xr:uid="{00000000-0005-0000-0000-000004000000}"/>
    <cellStyle name="F2" xfId="6" xr:uid="{00000000-0005-0000-0000-000005000000}"/>
    <cellStyle name="F3" xfId="7" xr:uid="{00000000-0005-0000-0000-000006000000}"/>
    <cellStyle name="F4" xfId="8" xr:uid="{00000000-0005-0000-0000-000007000000}"/>
    <cellStyle name="F5" xfId="9" xr:uid="{00000000-0005-0000-0000-000008000000}"/>
    <cellStyle name="F6" xfId="10" xr:uid="{00000000-0005-0000-0000-000009000000}"/>
    <cellStyle name="F7" xfId="11" xr:uid="{00000000-0005-0000-0000-00000A000000}"/>
    <cellStyle name="F8" xfId="12" xr:uid="{00000000-0005-0000-0000-00000B000000}"/>
    <cellStyle name="Fecha" xfId="13" xr:uid="{00000000-0005-0000-0000-00000C000000}"/>
    <cellStyle name="Fijo" xfId="14" xr:uid="{00000000-0005-0000-0000-00000D000000}"/>
    <cellStyle name="Financiero" xfId="15" xr:uid="{00000000-0005-0000-0000-00000E000000}"/>
    <cellStyle name="Millares" xfId="16" builtinId="3"/>
    <cellStyle name="Monetario" xfId="17" xr:uid="{00000000-0005-0000-0000-000010000000}"/>
    <cellStyle name="Monetario0" xfId="18" xr:uid="{00000000-0005-0000-0000-000011000000}"/>
    <cellStyle name="Normal" xfId="0" builtinId="0"/>
    <cellStyle name="Normal 5" xfId="23" xr:uid="{00000000-0005-0000-0000-000013000000}"/>
    <cellStyle name="Normal_TRANSFERENCIAS DE FONDOS 2004 - 2005" xfId="19" xr:uid="{00000000-0005-0000-0000-000014000000}"/>
    <cellStyle name="Porcentaje" xfId="20" builtinId="5"/>
    <cellStyle name="Punto" xfId="21" xr:uid="{00000000-0005-0000-0000-000016000000}"/>
    <cellStyle name="Punto0" xfId="22" xr:uid="{00000000-0005-0000-0000-000017000000}"/>
  </cellStyles>
  <dxfs count="0"/>
  <tableStyles count="0" defaultTableStyle="TableStyleMedium9" defaultPivotStyle="PivotStyleLight16"/>
  <colors>
    <mruColors>
      <color rgb="FF44A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622624549283173E-2"/>
          <c:y val="0.23213467444086267"/>
          <c:w val="0.46525196850393674"/>
          <c:h val="0.57115331171838812"/>
        </c:manualLayout>
      </c:layout>
      <c:pie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69D-410F-AA67-818586B9243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969D-410F-AA67-818586B9243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969D-410F-AA67-818586B92435}"/>
              </c:ext>
            </c:extLst>
          </c:dPt>
          <c:dLbls>
            <c:dLbl>
              <c:idx val="0"/>
              <c:numFmt formatCode="0.00%" sourceLinked="0"/>
              <c:spPr>
                <a:ln w="9525">
                  <a:noFill/>
                </a:ln>
              </c:spPr>
              <c:txPr>
                <a:bodyPr/>
                <a:lstStyle/>
                <a:p>
                  <a:pPr>
                    <a:defRPr sz="1100" b="1">
                      <a:solidFill>
                        <a:schemeClr val="bg1"/>
                      </a:solidFill>
                    </a:defRPr>
                  </a:pPr>
                  <a:endParaRPr lang="es-AR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9D-410F-AA67-818586B92435}"/>
                </c:ext>
              </c:extLst>
            </c:dLbl>
            <c:dLbl>
              <c:idx val="1"/>
              <c:layout>
                <c:manualLayout>
                  <c:x val="-7.1439716562543163E-3"/>
                  <c:y val="-0.135757062891028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9D-410F-AA67-818586B92435}"/>
                </c:ext>
              </c:extLst>
            </c:dLbl>
            <c:dLbl>
              <c:idx val="2"/>
              <c:layout>
                <c:manualLayout>
                  <c:x val="0.18248980776906087"/>
                  <c:y val="-9.858418838352950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9D-410F-AA67-818586B92435}"/>
                </c:ext>
              </c:extLst>
            </c:dLbl>
            <c:dLbl>
              <c:idx val="3"/>
              <c:layout>
                <c:manualLayout>
                  <c:x val="0.31921617942770292"/>
                  <c:y val="-3.18228333705945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9D-410F-AA67-818586B92435}"/>
                </c:ext>
              </c:extLst>
            </c:dLbl>
            <c:dLbl>
              <c:idx val="4"/>
              <c:layout>
                <c:manualLayout>
                  <c:x val="0.35240031246170694"/>
                  <c:y val="0.138029424830325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402300580076115"/>
                      <c:h val="0.249236142641809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69D-410F-AA67-818586B92435}"/>
                </c:ext>
              </c:extLst>
            </c:dLbl>
            <c:dLbl>
              <c:idx val="5"/>
              <c:layout>
                <c:manualLayout>
                  <c:x val="0.33787003058788534"/>
                  <c:y val="0.2229591172814854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9D-410F-AA67-818586B92435}"/>
                </c:ext>
              </c:extLst>
            </c:dLbl>
            <c:dLbl>
              <c:idx val="6"/>
              <c:layout>
                <c:manualLayout>
                  <c:x val="0.26158785398799067"/>
                  <c:y val="0.2188152043687207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21338677217804"/>
                      <c:h val="0.19451090900020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427-4D3D-8B54-157472420D42}"/>
                </c:ext>
              </c:extLst>
            </c:dLbl>
            <c:dLbl>
              <c:idx val="7"/>
              <c:layout>
                <c:manualLayout>
                  <c:x val="0.13854262580256504"/>
                  <c:y val="0.23036811524351264"/>
                </c:manualLayout>
              </c:layout>
              <c:numFmt formatCode="0.0000%" sourceLinked="0"/>
              <c:spPr>
                <a:ln w="9525">
                  <a:noFill/>
                </a:ln>
              </c:spPr>
              <c:txPr>
                <a:bodyPr/>
                <a:lstStyle/>
                <a:p>
                  <a:pPr>
                    <a:defRPr b="1"/>
                  </a:pPr>
                  <a:endParaRPr lang="es-A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0.20854348306589865"/>
                      <c:h val="0.230636158401760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11A-4E47-BBD8-80912D37648A}"/>
                </c:ext>
              </c:extLst>
            </c:dLbl>
            <c:dLbl>
              <c:idx val="8"/>
              <c:layout>
                <c:manualLayout>
                  <c:x val="-0.31250709925061343"/>
                  <c:y val="5.8321463052418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69D-410F-AA67-818586B92435}"/>
                </c:ext>
              </c:extLst>
            </c:dLbl>
            <c:numFmt formatCode="0.00%" sourceLinked="0"/>
            <c:spPr>
              <a:ln w="9525">
                <a:noFill/>
              </a:ln>
            </c:spPr>
            <c:txPr>
              <a:bodyPr/>
              <a:lstStyle/>
              <a:p>
                <a:pPr>
                  <a:defRPr b="1"/>
                </a:pPr>
                <a:endParaRPr lang="es-A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Municipio!$N$4:$N$15</c15:sqref>
                  </c15:fullRef>
                </c:ext>
              </c:extLst>
              <c:f>(Municipio!$N$4,Municipio!$N$6:$N$12)</c:f>
              <c:strCache>
                <c:ptCount val="8"/>
                <c:pt idx="0">
                  <c:v>Coparticipación</c:v>
                </c:pt>
                <c:pt idx="1">
                  <c:v>Juegos de Azar</c:v>
                </c:pt>
                <c:pt idx="2">
                  <c:v>Descentralizac. Tributaria Total</c:v>
                </c:pt>
                <c:pt idx="3">
                  <c:v>Fdo. Prog. Sociales y Saneam. Amb.</c:v>
                </c:pt>
                <c:pt idx="4">
                  <c:v>Fdo. Fort. Recursos Municipales (F.F.R.M.)</c:v>
                </c:pt>
                <c:pt idx="5">
                  <c:v>Fdo. Municipal de Inclusión Social (F.M.I.S.)</c:v>
                </c:pt>
                <c:pt idx="6">
                  <c:v>Fdo. de Financiamiento Educativo (F.F.E.)</c:v>
                </c:pt>
                <c:pt idx="7">
                  <c:v>Fondo Emergencia y Fort. Inversión Municipal (FEFIM)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Municipio!$O$4:$O$15</c15:sqref>
                  </c15:fullRef>
                </c:ext>
              </c:extLst>
              <c:f>(Municipio!$O$4,Municipio!$O$6:$O$12)</c:f>
              <c:numCache>
                <c:formatCode>_(* #,##0_);_(* \(#,##0\);_(* "-"??_);_(@_)</c:formatCode>
                <c:ptCount val="8"/>
                <c:pt idx="0">
                  <c:v>2110496045166.5793</c:v>
                </c:pt>
                <c:pt idx="1" formatCode="General">
                  <c:v>29335450957.974003</c:v>
                </c:pt>
                <c:pt idx="2" formatCode="General">
                  <c:v>58251597296.465309</c:v>
                </c:pt>
                <c:pt idx="3" formatCode="General">
                  <c:v>46356282233.229996</c:v>
                </c:pt>
                <c:pt idx="4" formatCode="General">
                  <c:v>122678564229.96004</c:v>
                </c:pt>
                <c:pt idx="5" formatCode="General">
                  <c:v>92402352444.289993</c:v>
                </c:pt>
                <c:pt idx="6">
                  <c:v>294587204630.53992</c:v>
                </c:pt>
                <c:pt idx="7">
                  <c:v>24887816965.819996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Municipio!$O$5</c15:sqref>
                  <c15:bubble3D val="0"/>
                  <c15:dLbl>
                    <c:idx val="0"/>
                    <c:layout>
                      <c:manualLayout>
                        <c:x val="-0.18479503600479155"/>
                        <c:y val="-0.13074116097582622"/>
                      </c:manualLayout>
                    </c:layout>
                    <c:numFmt formatCode="0.0000%" sourceLinked="0"/>
                    <c:spPr>
                      <a:ln w="9525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b="1"/>
                        </a:pPr>
                        <a:endParaRPr lang="es-AR"/>
                      </a:p>
                    </c:txPr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layout>
                          <c:manualLayout>
                            <c:w val="0.30338417364004094"/>
                            <c:h val="0.14001370960570203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3-CBFB-4799-B04C-F385F4BEEE44}"/>
                      </c:ext>
                    </c:extLst>
                  </c15:dLbl>
                </c15:categoryFilterException>
                <c15:categoryFilterException>
                  <c15:sqref>Municipio!$O$13</c15:sqref>
                  <c15:dLbl>
                    <c:idx val="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CBFB-4799-B04C-F385F4BEEE44}"/>
                      </c:ext>
                    </c:extLst>
                  </c15:dLbl>
                </c15:categoryFilterException>
                <c15:categoryFilterException>
                  <c15:sqref>Municipio!$O$14</c15:sqref>
                  <c15:dLbl>
                    <c:idx val="7"/>
                    <c:layout>
                      <c:manualLayout>
                        <c:x val="-0.17912047581755805"/>
                        <c:y val="0.2858627243820358"/>
                      </c:manualLayout>
                    </c:layout>
                    <c:numFmt formatCode="0.000000%" sourceLinked="0"/>
                    <c:spPr>
                      <a:ln w="9525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b="1"/>
                        </a:pPr>
                        <a:endParaRPr lang="es-AR"/>
                      </a:p>
                    </c:txPr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layout>
                          <c:manualLayout>
                            <c:w val="0.16799812735323363"/>
                            <c:h val="0.116736739403032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5-CBFB-4799-B04C-F385F4BEEE44}"/>
                      </c:ext>
                    </c:extLst>
                  </c15:dLbl>
                </c15:categoryFilterException>
                <c15:categoryFilterException>
                  <c15:sqref>Municipio!$O$15</c15:sqref>
                  <c15:dLbl>
                    <c:idx val="7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CBFB-4799-B04C-F385F4BEEE4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D-969D-410F-AA67-818586B92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11"/>
      </c:pieChart>
    </c:plotArea>
    <c:plotVisOnly val="1"/>
    <c:dispBlanksAs val="zero"/>
    <c:showDLblsOverMax val="0"/>
  </c:chart>
  <c:spPr>
    <a:noFill/>
    <a:ln>
      <a:noFill/>
    </a:ln>
    <a:effectLst/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trlProps/ctrlProp1.xml><?xml version="1.0" encoding="utf-8"?>
<formControlPr xmlns="http://schemas.microsoft.com/office/spreadsheetml/2009/9/main" objectType="List" dx="16" fmlaLink="$A$1" fmlaRange="JUNIO!$W$10:$W$145" noThreeD="1" sel="136" val="11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112805</xdr:colOff>
      <xdr:row>10</xdr:row>
      <xdr:rowOff>142875</xdr:rowOff>
    </xdr:from>
    <xdr:to>
      <xdr:col>12</xdr:col>
      <xdr:colOff>409574</xdr:colOff>
      <xdr:row>26</xdr:row>
      <xdr:rowOff>226219</xdr:rowOff>
    </xdr:to>
    <xdr:graphicFrame macro="">
      <xdr:nvGraphicFramePr>
        <xdr:cNvPr id="2441" name="8 Gráfico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5</xdr:row>
          <xdr:rowOff>9525</xdr:rowOff>
        </xdr:from>
        <xdr:to>
          <xdr:col>2</xdr:col>
          <xdr:colOff>885825</xdr:colOff>
          <xdr:row>19</xdr:row>
          <xdr:rowOff>238125</xdr:rowOff>
        </xdr:to>
        <xdr:sp macro="" textlink="">
          <xdr:nvSpPr>
            <xdr:cNvPr id="2051" name="List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238126</xdr:colOff>
      <xdr:row>3</xdr:row>
      <xdr:rowOff>47624</xdr:rowOff>
    </xdr:from>
    <xdr:to>
      <xdr:col>11</xdr:col>
      <xdr:colOff>117317</xdr:colOff>
      <xdr:row>6</xdr:row>
      <xdr:rowOff>17392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8032" y="380999"/>
          <a:ext cx="1950878" cy="469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onco\mis%20document\Mis%20documentos\Tareas\varios%202004\Coparticipaci&#243;n\ANTICIP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turla\aa%20decentral\Mis%20documentos\SMIRANDA\TRANSFERENCIAS\DESC\TRANDES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iranda\mis%20document\Mis%20documentos\SMIRANDA\DESCENTRALIZACION%20LEY%2013010\IMPUESTO%20INMOBILIARIO%20RURAL\Cierres%202004\CUOTA%20CORRIENTE\CUOTA%201-04\Febrero%2004\DISTRIBUIDO%20FEBRERO%20CUOTA%20CTE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8 FLUJO DE FONDOS (2)"/>
      <sheetName val="1998 FLUJO DE FONDOS"/>
      <sheetName val="Hoja1"/>
      <sheetName val="1992-2000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3 TOTO"/>
      <sheetName val="2004"/>
      <sheetName val="2004 TOTO"/>
      <sheetName val="Ret. Ant. 2002"/>
      <sheetName val="Ret. Ant. 2003"/>
      <sheetName val="Depósitos y Gasto en Pers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P2" t="str">
            <v>DESCUENTOS</v>
          </cell>
          <cell r="Q2" t="str">
            <v>SALDO</v>
          </cell>
        </row>
        <row r="3">
          <cell r="P3">
            <v>0</v>
          </cell>
          <cell r="Q3">
            <v>190000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 desde 1996"/>
      <sheetName val="Principal desde 1992"/>
      <sheetName val="IBT92"/>
      <sheetName val="IBT93"/>
      <sheetName val="IBT94"/>
      <sheetName val="IBT95"/>
      <sheetName val="IBT96"/>
      <sheetName val="IBT97"/>
      <sheetName val="IBT98"/>
      <sheetName val="IBT99"/>
      <sheetName val="IBT00"/>
      <sheetName val="IBT01"/>
      <sheetName val="IBT02"/>
      <sheetName val="IBT03"/>
      <sheetName val="INT92"/>
      <sheetName val="INT93"/>
      <sheetName val="INT94"/>
      <sheetName val="INT95"/>
      <sheetName val="INT96"/>
      <sheetName val="INT97"/>
      <sheetName val="INT98"/>
      <sheetName val="INT99"/>
      <sheetName val="INT00"/>
      <sheetName val="INT01"/>
      <sheetName val="INT02"/>
      <sheetName val="INT03"/>
      <sheetName val="FMOV03"/>
      <sheetName val="FET92"/>
      <sheetName val="FET93"/>
      <sheetName val="FET94"/>
      <sheetName val="FET95"/>
      <sheetName val="FET96"/>
      <sheetName val="FET97"/>
      <sheetName val="FET98"/>
      <sheetName val="FET99"/>
      <sheetName val="FET00"/>
      <sheetName val="REDE02"/>
      <sheetName val="REDE03"/>
      <sheetName val="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IDO IIR CC FEBRERO"/>
      <sheetName val="0302"/>
      <sheetName val="0402"/>
      <sheetName val="0502"/>
      <sheetName val="0602"/>
      <sheetName val="0902"/>
      <sheetName val="1002"/>
      <sheetName val="1102"/>
      <sheetName val="1202"/>
      <sheetName val="1302"/>
      <sheetName val="1602"/>
      <sheetName val="1702"/>
      <sheetName val="1802"/>
      <sheetName val="1902"/>
      <sheetName val="2002"/>
      <sheetName val="2302"/>
      <sheetName val="2402"/>
      <sheetName val="2502"/>
      <sheetName val="2602"/>
      <sheetName val="2702"/>
      <sheetName val="0103"/>
      <sheetName val="0202"/>
      <sheetName val="Rec. y Transf.ENERO-04"/>
      <sheetName val="Rec_ y Transf_ENERO_04"/>
      <sheetName val="DISTRIBUIDO FEBRERO CUOTA CTE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P217"/>
  <sheetViews>
    <sheetView showGridLines="0" tabSelected="1" topLeftCell="A2" zoomScale="80" zoomScaleNormal="80" workbookViewId="0">
      <selection activeCell="A2" sqref="A2"/>
    </sheetView>
  </sheetViews>
  <sheetFormatPr baseColWidth="10" defaultColWidth="12" defaultRowHeight="12.75" x14ac:dyDescent="0.2"/>
  <cols>
    <col min="1" max="2" width="12" style="23"/>
    <col min="3" max="3" width="19.5" style="23" customWidth="1"/>
    <col min="4" max="4" width="76" style="23" customWidth="1"/>
    <col min="5" max="5" width="28.5" style="23" customWidth="1"/>
    <col min="6" max="13" width="12" style="23"/>
    <col min="14" max="14" width="71" style="32" bestFit="1" customWidth="1"/>
    <col min="15" max="15" width="22" style="32" bestFit="1" customWidth="1"/>
    <col min="16" max="16" width="12" style="33"/>
    <col min="17" max="16384" width="12" style="23"/>
  </cols>
  <sheetData>
    <row r="1" spans="1:16" hidden="1" x14ac:dyDescent="0.2">
      <c r="A1" s="11">
        <v>136</v>
      </c>
    </row>
    <row r="2" spans="1:16" x14ac:dyDescent="0.2">
      <c r="P2" s="23"/>
    </row>
    <row r="3" spans="1:16" ht="12.75" customHeight="1" x14ac:dyDescent="0.2">
      <c r="P3" s="23"/>
    </row>
    <row r="4" spans="1:16" ht="12.75" customHeight="1" x14ac:dyDescent="0.2">
      <c r="N4" s="31" t="str">
        <f t="shared" ref="N4:O7" si="0">+D15</f>
        <v>Coparticipación</v>
      </c>
      <c r="O4" s="38">
        <f t="shared" si="0"/>
        <v>2110496045166.5793</v>
      </c>
      <c r="P4" s="23"/>
    </row>
    <row r="5" spans="1:16" ht="12.75" customHeight="1" x14ac:dyDescent="0.2">
      <c r="D5" s="24"/>
      <c r="E5" s="24"/>
      <c r="F5" s="24"/>
      <c r="G5" s="24"/>
      <c r="H5" s="24"/>
      <c r="I5" s="24"/>
      <c r="J5" s="24"/>
      <c r="K5" s="24"/>
      <c r="L5" s="25"/>
      <c r="N5" s="32" t="str">
        <f t="shared" si="0"/>
        <v>Omisión de Distribución Copa 2023</v>
      </c>
      <c r="O5" s="40">
        <f t="shared" si="0"/>
        <v>0.02</v>
      </c>
      <c r="P5" s="23"/>
    </row>
    <row r="6" spans="1:16" x14ac:dyDescent="0.2">
      <c r="D6" s="46"/>
      <c r="E6" s="26"/>
      <c r="F6" s="26"/>
      <c r="G6" s="26"/>
      <c r="H6" s="26"/>
      <c r="I6" s="26"/>
      <c r="J6" s="26"/>
      <c r="K6" s="26"/>
      <c r="N6" s="31" t="str">
        <f t="shared" si="0"/>
        <v>Juegos de Azar</v>
      </c>
      <c r="O6" s="31">
        <f t="shared" si="0"/>
        <v>29335450957.974003</v>
      </c>
      <c r="P6" s="23"/>
    </row>
    <row r="7" spans="1:16" ht="18.75" x14ac:dyDescent="0.3">
      <c r="D7" s="47" t="s">
        <v>171</v>
      </c>
      <c r="N7" s="31" t="str">
        <f t="shared" si="0"/>
        <v>Descentralizac. Tributaria Total</v>
      </c>
      <c r="O7" s="31">
        <f t="shared" si="0"/>
        <v>58251597296.465309</v>
      </c>
      <c r="P7" s="23"/>
    </row>
    <row r="8" spans="1:16" ht="18.75" x14ac:dyDescent="0.3">
      <c r="D8" s="62" t="s">
        <v>178</v>
      </c>
      <c r="E8" s="35"/>
      <c r="F8" s="35"/>
      <c r="N8" s="31" t="str">
        <f>+D23</f>
        <v>Fdo. Prog. Sociales y Saneam. Amb.</v>
      </c>
      <c r="O8" s="31">
        <f>+E23</f>
        <v>46356282233.229996</v>
      </c>
      <c r="P8" s="23"/>
    </row>
    <row r="9" spans="1:16" x14ac:dyDescent="0.2">
      <c r="E9" s="35"/>
      <c r="N9" s="31" t="str">
        <f t="shared" ref="N9:O16" si="1">+D26</f>
        <v>Fdo. Fort. Recursos Municipales (F.F.R.M.)</v>
      </c>
      <c r="O9" s="31">
        <f t="shared" si="1"/>
        <v>122678564229.96004</v>
      </c>
      <c r="P9" s="23"/>
    </row>
    <row r="10" spans="1:16" ht="20.25" customHeight="1" x14ac:dyDescent="0.2">
      <c r="D10" s="64" t="str">
        <f>VLOOKUP(A1,JUNIO!V10:W145,2,FALSE)</f>
        <v>CONSOLIDADO 135 MUNICIPIOS</v>
      </c>
      <c r="E10" s="64"/>
      <c r="F10" s="64"/>
      <c r="G10" s="64"/>
      <c r="H10" s="64"/>
      <c r="I10" s="64"/>
      <c r="J10" s="64"/>
      <c r="K10" s="64"/>
      <c r="N10" s="31" t="str">
        <f t="shared" si="1"/>
        <v>Fdo. Municipal de Inclusión Social (F.M.I.S.)</v>
      </c>
      <c r="O10" s="31">
        <f t="shared" si="1"/>
        <v>92402352444.289993</v>
      </c>
      <c r="P10" s="23"/>
    </row>
    <row r="11" spans="1:16" x14ac:dyDescent="0.2">
      <c r="F11" s="27"/>
      <c r="G11" s="27"/>
      <c r="H11" s="27"/>
      <c r="I11" s="61"/>
      <c r="J11" s="27"/>
      <c r="K11" s="27"/>
      <c r="L11" s="27"/>
      <c r="M11" s="27"/>
      <c r="N11" s="31" t="str">
        <f>+D28</f>
        <v>Fdo. de Financiamiento Educativo (F.F.E.)</v>
      </c>
      <c r="O11" s="38">
        <f>+E28</f>
        <v>294587204630.53992</v>
      </c>
      <c r="P11" s="23"/>
    </row>
    <row r="12" spans="1:16" x14ac:dyDescent="0.2">
      <c r="E12" s="28" t="s">
        <v>1</v>
      </c>
      <c r="F12" s="27"/>
      <c r="G12" s="27"/>
      <c r="H12" s="27"/>
      <c r="I12" s="27"/>
      <c r="J12" s="27"/>
      <c r="K12" s="27"/>
      <c r="L12" s="27"/>
      <c r="M12" s="27"/>
      <c r="N12" s="31" t="str">
        <f>+D29</f>
        <v>Fondo Emergencia y Fort. Inversión Municipal (FEFIM)</v>
      </c>
      <c r="O12" s="38">
        <f t="shared" si="1"/>
        <v>24887816965.819996</v>
      </c>
      <c r="P12" s="23"/>
    </row>
    <row r="13" spans="1:16" ht="33.75" customHeight="1" x14ac:dyDescent="0.2">
      <c r="D13" s="29"/>
      <c r="E13" s="50" t="s">
        <v>179</v>
      </c>
      <c r="F13" s="27"/>
      <c r="G13" s="27"/>
      <c r="H13" s="27"/>
      <c r="I13" s="27"/>
      <c r="J13" s="27"/>
      <c r="K13" s="27"/>
      <c r="L13" s="27"/>
      <c r="M13" s="27"/>
      <c r="N13" s="31" t="str">
        <f t="shared" si="1"/>
        <v>Fdo. Infraestructura Municipal (F.I.M.) 2017</v>
      </c>
      <c r="O13" s="38">
        <f t="shared" si="1"/>
        <v>0</v>
      </c>
      <c r="P13" s="23"/>
    </row>
    <row r="14" spans="1:16" ht="24.75" customHeight="1" x14ac:dyDescent="0.2">
      <c r="D14" s="48" t="s">
        <v>148</v>
      </c>
      <c r="E14" s="49">
        <f>+E15+E17+E18+E23+E26+E27+E28+E29+E16+E30+E31+E32</f>
        <v>2778995313924.8789</v>
      </c>
      <c r="F14" s="27"/>
      <c r="G14" s="27"/>
      <c r="H14" s="27"/>
      <c r="I14" s="27"/>
      <c r="J14" s="27"/>
      <c r="K14" s="27"/>
      <c r="L14" s="27"/>
      <c r="M14" s="30"/>
      <c r="N14" s="31" t="str">
        <f t="shared" si="1"/>
        <v>Fdo. Ley 14890</v>
      </c>
      <c r="O14" s="38">
        <f t="shared" si="1"/>
        <v>0</v>
      </c>
      <c r="P14" s="23"/>
    </row>
    <row r="15" spans="1:16" ht="18.75" customHeight="1" x14ac:dyDescent="0.2">
      <c r="B15" s="34"/>
      <c r="C15" s="35"/>
      <c r="D15" s="36" t="s">
        <v>155</v>
      </c>
      <c r="E15" s="21">
        <f>VLOOKUP($D$10,JUNIO!$B$10:$S$145,JUNIO!$C$1,FALSE)</f>
        <v>2110496045166.5793</v>
      </c>
      <c r="F15" s="27"/>
      <c r="G15" s="27"/>
      <c r="H15" s="27"/>
      <c r="I15" s="27"/>
      <c r="J15" s="27"/>
      <c r="K15" s="27"/>
      <c r="L15" s="27"/>
      <c r="M15" s="37"/>
      <c r="N15" s="31" t="str">
        <f t="shared" si="1"/>
        <v>Fdo Compensador 
Decreto PEN 836/18</v>
      </c>
      <c r="O15" s="38">
        <f t="shared" si="1"/>
        <v>0</v>
      </c>
      <c r="P15" s="23"/>
    </row>
    <row r="16" spans="1:16" ht="18.75" hidden="1" customHeight="1" x14ac:dyDescent="0.2">
      <c r="B16" s="34"/>
      <c r="C16" s="35"/>
      <c r="D16" s="36" t="s">
        <v>172</v>
      </c>
      <c r="E16" s="21">
        <f>VLOOKUP($D$10,JUNIO!$B$10:$S$145,JUNIO!$D$1,FALSE)</f>
        <v>0.02</v>
      </c>
      <c r="F16" s="27"/>
      <c r="G16" s="27"/>
      <c r="H16" s="27"/>
      <c r="I16" s="27"/>
      <c r="J16" s="27"/>
      <c r="K16" s="27"/>
      <c r="L16" s="27"/>
      <c r="M16" s="37"/>
      <c r="N16" s="31" t="str">
        <f t="shared" si="1"/>
        <v>Los montos consignados corresponden a lo efectivamente pagado.</v>
      </c>
      <c r="O16" s="38">
        <f t="shared" si="1"/>
        <v>0</v>
      </c>
      <c r="P16" s="23"/>
    </row>
    <row r="17" spans="2:16" ht="18.75" customHeight="1" x14ac:dyDescent="0.2">
      <c r="B17" s="34"/>
      <c r="D17" s="36" t="s">
        <v>4</v>
      </c>
      <c r="E17" s="21">
        <f>VLOOKUP($D$10,JUNIO!$B$10:$S$145,JUNIO!$I$1,FALSE)</f>
        <v>29335450957.974003</v>
      </c>
      <c r="F17" s="27"/>
      <c r="G17" s="27"/>
      <c r="H17" s="27"/>
      <c r="I17" s="27"/>
      <c r="J17" s="27"/>
      <c r="K17" s="27"/>
      <c r="L17" s="27"/>
      <c r="M17" s="37"/>
      <c r="N17" s="31">
        <f>+D35</f>
        <v>0</v>
      </c>
      <c r="O17" s="40">
        <f>SUM(O4:O15)</f>
        <v>2778995313924.8789</v>
      </c>
      <c r="P17" s="23"/>
    </row>
    <row r="18" spans="2:16" ht="18.75" customHeight="1" x14ac:dyDescent="0.2">
      <c r="B18" s="34"/>
      <c r="D18" s="36" t="s">
        <v>160</v>
      </c>
      <c r="E18" s="21">
        <f>E19+E20+E21+E22</f>
        <v>58251597296.465309</v>
      </c>
      <c r="F18" s="27"/>
      <c r="G18" s="27"/>
      <c r="H18" s="27"/>
      <c r="I18" s="27"/>
      <c r="J18" s="27"/>
      <c r="K18" s="27"/>
      <c r="L18" s="27"/>
      <c r="M18" s="37"/>
      <c r="N18" s="31">
        <f>+D36</f>
        <v>0</v>
      </c>
      <c r="P18" s="23"/>
    </row>
    <row r="19" spans="2:16" ht="18.75" customHeight="1" x14ac:dyDescent="0.2">
      <c r="B19" s="34"/>
      <c r="D19" s="39" t="s">
        <v>149</v>
      </c>
      <c r="E19" s="22">
        <f>VLOOKUP($D$10,JUNIO!$B$10:$S$145,JUNIO!$E$1,FALSE)</f>
        <v>26812928305.329998</v>
      </c>
      <c r="F19" s="27"/>
      <c r="G19" s="27"/>
      <c r="H19" s="27"/>
      <c r="I19" s="27"/>
      <c r="J19" s="27"/>
      <c r="K19" s="27"/>
      <c r="L19" s="27"/>
      <c r="M19" s="37"/>
      <c r="P19" s="23"/>
    </row>
    <row r="20" spans="2:16" ht="18.75" customHeight="1" x14ac:dyDescent="0.2">
      <c r="B20" s="34"/>
      <c r="D20" s="39" t="s">
        <v>167</v>
      </c>
      <c r="E20" s="22">
        <f>VLOOKUP($D$10,JUNIO!$B$10:$S$145,JUNIO!$F$1,FALSE)</f>
        <v>15796620659.590324</v>
      </c>
      <c r="F20" s="27"/>
      <c r="G20" s="27"/>
      <c r="H20" s="27"/>
      <c r="I20" s="27"/>
      <c r="J20" s="27"/>
      <c r="K20" s="27"/>
      <c r="L20" s="27"/>
      <c r="M20" s="37"/>
    </row>
    <row r="21" spans="2:16" ht="18.75" customHeight="1" x14ac:dyDescent="0.2">
      <c r="B21" s="34"/>
      <c r="D21" s="39" t="s">
        <v>150</v>
      </c>
      <c r="E21" s="22">
        <f>VLOOKUP($D$10,JUNIO!$B$10:$S$145,JUNIO!$G$1,FALSE)</f>
        <v>14377314395.169992</v>
      </c>
      <c r="F21" s="27"/>
      <c r="G21" s="27"/>
      <c r="H21" s="27"/>
      <c r="I21" s="27"/>
      <c r="J21" s="27"/>
      <c r="K21" s="27"/>
      <c r="L21" s="27"/>
      <c r="M21" s="37"/>
    </row>
    <row r="22" spans="2:16" ht="18.75" customHeight="1" x14ac:dyDescent="0.2">
      <c r="B22" s="34"/>
      <c r="D22" s="39" t="s">
        <v>147</v>
      </c>
      <c r="E22" s="22">
        <f>VLOOKUP($D$10,JUNIO!$B$10:$S$145,JUNIO!$H$1,FALSE)</f>
        <v>1264733936.3750002</v>
      </c>
      <c r="F22" s="27"/>
      <c r="G22" s="27"/>
      <c r="H22" s="27"/>
      <c r="I22" s="27"/>
      <c r="J22" s="27"/>
      <c r="K22" s="27"/>
      <c r="L22" s="27"/>
      <c r="M22" s="37"/>
    </row>
    <row r="23" spans="2:16" ht="18.75" customHeight="1" x14ac:dyDescent="0.2">
      <c r="B23" s="34"/>
      <c r="D23" s="36" t="s">
        <v>165</v>
      </c>
      <c r="E23" s="21">
        <f>+E24+E25</f>
        <v>46356282233.229996</v>
      </c>
      <c r="F23" s="27"/>
      <c r="G23" s="27"/>
      <c r="H23" s="27"/>
      <c r="I23" s="27"/>
      <c r="J23" s="27"/>
      <c r="K23" s="27"/>
      <c r="L23" s="27"/>
      <c r="M23" s="37"/>
    </row>
    <row r="24" spans="2:16" ht="18.75" customHeight="1" x14ac:dyDescent="0.2">
      <c r="B24" s="34"/>
      <c r="D24" s="39" t="s">
        <v>151</v>
      </c>
      <c r="E24" s="22">
        <f>VLOOKUP($D$10,JUNIO!$B$10:$S$145,JUNIO!$J$1,FALSE)</f>
        <v>34388227190.909988</v>
      </c>
      <c r="F24" s="27"/>
      <c r="G24" s="27"/>
      <c r="H24" s="27"/>
      <c r="I24" s="27"/>
      <c r="J24" s="27"/>
      <c r="K24" s="27"/>
      <c r="L24" s="27"/>
      <c r="M24" s="37"/>
    </row>
    <row r="25" spans="2:16" ht="18.75" customHeight="1" x14ac:dyDescent="0.2">
      <c r="B25" s="34"/>
      <c r="D25" s="39" t="s">
        <v>152</v>
      </c>
      <c r="E25" s="22">
        <f>VLOOKUP($D$10,JUNIO!$B$10:$S$145,JUNIO!$K$1,FALSE)</f>
        <v>11968055042.320005</v>
      </c>
      <c r="F25" s="27"/>
      <c r="G25" s="27"/>
      <c r="H25" s="27"/>
      <c r="I25" s="27"/>
      <c r="J25" s="27"/>
      <c r="K25" s="27"/>
      <c r="L25" s="27"/>
      <c r="M25" s="37"/>
    </row>
    <row r="26" spans="2:16" ht="18.75" customHeight="1" x14ac:dyDescent="0.2">
      <c r="B26" s="34"/>
      <c r="D26" s="36" t="s">
        <v>153</v>
      </c>
      <c r="E26" s="21">
        <f>VLOOKUP($D$10,JUNIO!$B$10:$S$145,JUNIO!$L$1,FALSE)</f>
        <v>122678564229.96004</v>
      </c>
      <c r="F26" s="27"/>
      <c r="G26" s="27"/>
      <c r="H26" s="27"/>
      <c r="I26" s="27"/>
      <c r="J26" s="27"/>
      <c r="K26" s="27"/>
      <c r="L26" s="27"/>
      <c r="M26" s="37"/>
    </row>
    <row r="27" spans="2:16" ht="18.75" customHeight="1" x14ac:dyDescent="0.2">
      <c r="B27" s="34"/>
      <c r="D27" s="36" t="s">
        <v>164</v>
      </c>
      <c r="E27" s="21">
        <f>VLOOKUP($D$10,JUNIO!$B$10:$S$145,JUNIO!$M$1,FALSE)</f>
        <v>92402352444.289993</v>
      </c>
      <c r="F27" s="27"/>
      <c r="G27" s="27"/>
      <c r="H27" s="27"/>
      <c r="I27" s="27"/>
      <c r="J27" s="27"/>
      <c r="K27" s="27"/>
      <c r="L27" s="27"/>
      <c r="M27" s="37"/>
    </row>
    <row r="28" spans="2:16" ht="18.75" customHeight="1" x14ac:dyDescent="0.2">
      <c r="B28" s="34"/>
      <c r="D28" s="42" t="s">
        <v>159</v>
      </c>
      <c r="E28" s="21">
        <f>VLOOKUP($D$10,JUNIO!$B$10:$S$145,JUNIO!$N$1,FALSE)</f>
        <v>294587204630.53992</v>
      </c>
      <c r="F28" s="27"/>
      <c r="G28" s="27"/>
      <c r="H28" s="27"/>
      <c r="I28" s="27"/>
      <c r="J28" s="27"/>
      <c r="K28" s="27"/>
      <c r="L28" s="27"/>
      <c r="M28" s="37"/>
    </row>
    <row r="29" spans="2:16" ht="26.25" customHeight="1" x14ac:dyDescent="0.2">
      <c r="B29" s="34"/>
      <c r="D29" s="42" t="s">
        <v>176</v>
      </c>
      <c r="E29" s="21">
        <f>VLOOKUP($D$10,JUNIO!$B$10:$S$145,JUNIO!$O$1,FALSE)</f>
        <v>24887816965.819996</v>
      </c>
      <c r="F29" s="41"/>
      <c r="G29" s="41"/>
      <c r="H29" s="41"/>
      <c r="I29" s="41"/>
      <c r="J29" s="41"/>
      <c r="K29" s="41"/>
      <c r="L29" s="27"/>
      <c r="M29" s="27"/>
      <c r="N29" s="31"/>
    </row>
    <row r="30" spans="2:16" ht="18.75" hidden="1" customHeight="1" x14ac:dyDescent="0.2">
      <c r="D30" s="45" t="s">
        <v>162</v>
      </c>
      <c r="E30" s="21">
        <f>VLOOKUP($D$10,JUNIO!$B$10:$S$145,JUNIO!$P$1,FALSE)</f>
        <v>0</v>
      </c>
      <c r="F30" s="27"/>
      <c r="G30" s="27"/>
      <c r="H30" s="27"/>
      <c r="I30" s="27"/>
      <c r="J30" s="27"/>
      <c r="K30" s="27"/>
      <c r="L30" s="27"/>
      <c r="M30" s="27"/>
      <c r="N30" s="31"/>
    </row>
    <row r="31" spans="2:16" ht="18.75" hidden="1" customHeight="1" x14ac:dyDescent="0.2">
      <c r="D31" s="36" t="s">
        <v>163</v>
      </c>
      <c r="E31" s="21">
        <f>VLOOKUP($D$10,JUNIO!$B$10:$S$145,JUNIO!$Q$1,FALSE)</f>
        <v>0</v>
      </c>
      <c r="F31" s="27"/>
      <c r="G31" s="27"/>
      <c r="H31" s="27"/>
      <c r="I31" s="27"/>
      <c r="J31" s="27"/>
      <c r="K31" s="27"/>
      <c r="L31" s="27"/>
      <c r="M31" s="27"/>
      <c r="N31" s="31"/>
    </row>
    <row r="32" spans="2:16" ht="18.75" hidden="1" customHeight="1" x14ac:dyDescent="0.2">
      <c r="D32" s="45" t="s">
        <v>166</v>
      </c>
      <c r="E32" s="21">
        <f>VLOOKUP($D$10,JUNIO!$B$10:$S$145,JUNIO!$R$1,FALSE)</f>
        <v>0</v>
      </c>
      <c r="F32" s="27"/>
      <c r="G32" s="27"/>
      <c r="H32" s="27"/>
      <c r="I32" s="27"/>
      <c r="J32" s="27"/>
      <c r="K32" s="27"/>
      <c r="L32" s="27"/>
      <c r="M32" s="27"/>
      <c r="N32" s="31"/>
    </row>
    <row r="33" spans="4:14" ht="18.75" customHeight="1" x14ac:dyDescent="0.2">
      <c r="D33" s="65" t="s">
        <v>154</v>
      </c>
      <c r="E33" s="65"/>
      <c r="F33" s="27"/>
      <c r="G33" s="27"/>
      <c r="H33" s="27"/>
      <c r="I33" s="27"/>
      <c r="J33" s="27"/>
      <c r="K33" s="27"/>
      <c r="L33" s="27"/>
      <c r="M33" s="27"/>
      <c r="N33" s="31"/>
    </row>
    <row r="34" spans="4:14" ht="18.75" customHeight="1" x14ac:dyDescent="0.2">
      <c r="D34" s="66"/>
      <c r="E34" s="66"/>
      <c r="F34" s="27"/>
      <c r="G34" s="27"/>
      <c r="H34" s="27"/>
      <c r="I34" s="27"/>
      <c r="J34" s="27"/>
      <c r="K34" s="27"/>
      <c r="L34" s="27"/>
      <c r="M34" s="27"/>
    </row>
    <row r="35" spans="4:14" x14ac:dyDescent="0.2">
      <c r="D35" s="66"/>
      <c r="E35" s="66"/>
      <c r="F35" s="27"/>
      <c r="G35" s="27"/>
      <c r="H35" s="27"/>
      <c r="I35" s="27"/>
      <c r="J35" s="27"/>
      <c r="K35" s="27"/>
      <c r="L35" s="27"/>
      <c r="M35" s="27"/>
    </row>
    <row r="36" spans="4:14" x14ac:dyDescent="0.2">
      <c r="D36" s="63"/>
      <c r="E36" s="63"/>
    </row>
    <row r="175" spans="4:4" x14ac:dyDescent="0.2">
      <c r="D175" s="33"/>
    </row>
    <row r="176" spans="4:4" x14ac:dyDescent="0.2">
      <c r="D176" s="33"/>
    </row>
    <row r="177" spans="3:4" x14ac:dyDescent="0.2">
      <c r="C177" s="33"/>
      <c r="D177" s="33"/>
    </row>
    <row r="178" spans="3:4" x14ac:dyDescent="0.2">
      <c r="C178" s="33"/>
      <c r="D178" s="33"/>
    </row>
    <row r="179" spans="3:4" x14ac:dyDescent="0.2">
      <c r="C179" s="33"/>
      <c r="D179" s="33"/>
    </row>
    <row r="180" spans="3:4" x14ac:dyDescent="0.2">
      <c r="C180" s="33"/>
      <c r="D180" s="33"/>
    </row>
    <row r="181" spans="3:4" x14ac:dyDescent="0.2">
      <c r="C181" s="33"/>
      <c r="D181" s="33"/>
    </row>
    <row r="182" spans="3:4" x14ac:dyDescent="0.2">
      <c r="C182" s="33"/>
      <c r="D182" s="33"/>
    </row>
    <row r="183" spans="3:4" x14ac:dyDescent="0.2">
      <c r="C183" s="33"/>
      <c r="D183" s="33"/>
    </row>
    <row r="184" spans="3:4" x14ac:dyDescent="0.2">
      <c r="C184" s="33"/>
      <c r="D184" s="33"/>
    </row>
    <row r="185" spans="3:4" x14ac:dyDescent="0.2">
      <c r="C185" s="33"/>
      <c r="D185" s="33"/>
    </row>
    <row r="186" spans="3:4" x14ac:dyDescent="0.2">
      <c r="C186" s="33"/>
    </row>
    <row r="187" spans="3:4" x14ac:dyDescent="0.2">
      <c r="C187" s="33"/>
    </row>
    <row r="188" spans="3:4" x14ac:dyDescent="0.2">
      <c r="C188" s="33"/>
    </row>
    <row r="189" spans="3:4" x14ac:dyDescent="0.2">
      <c r="C189" s="33"/>
      <c r="D189" s="33"/>
    </row>
    <row r="190" spans="3:4" x14ac:dyDescent="0.2">
      <c r="C190" s="33"/>
      <c r="D190" s="33"/>
    </row>
    <row r="191" spans="3:4" x14ac:dyDescent="0.2">
      <c r="C191" s="33"/>
      <c r="D191" s="33"/>
    </row>
    <row r="192" spans="3:4" x14ac:dyDescent="0.2">
      <c r="C192" s="33"/>
      <c r="D192" s="33"/>
    </row>
    <row r="193" spans="3:4" x14ac:dyDescent="0.2">
      <c r="C193" s="33"/>
      <c r="D193" s="33"/>
    </row>
    <row r="194" spans="3:4" x14ac:dyDescent="0.2">
      <c r="C194" s="33"/>
      <c r="D194" s="33"/>
    </row>
    <row r="195" spans="3:4" x14ac:dyDescent="0.2">
      <c r="C195" s="33"/>
      <c r="D195" s="33"/>
    </row>
    <row r="196" spans="3:4" x14ac:dyDescent="0.2">
      <c r="C196" s="33"/>
      <c r="D196" s="33"/>
    </row>
    <row r="197" spans="3:4" x14ac:dyDescent="0.2">
      <c r="C197" s="33"/>
      <c r="D197" s="33"/>
    </row>
    <row r="198" spans="3:4" x14ac:dyDescent="0.2">
      <c r="C198" s="33"/>
      <c r="D198" s="33"/>
    </row>
    <row r="199" spans="3:4" x14ac:dyDescent="0.2">
      <c r="C199" s="33"/>
      <c r="D199" s="33"/>
    </row>
    <row r="200" spans="3:4" x14ac:dyDescent="0.2">
      <c r="C200" s="33"/>
      <c r="D200" s="33"/>
    </row>
    <row r="201" spans="3:4" x14ac:dyDescent="0.2">
      <c r="C201" s="33"/>
      <c r="D201" s="33"/>
    </row>
    <row r="202" spans="3:4" x14ac:dyDescent="0.2">
      <c r="C202" s="33"/>
      <c r="D202" s="33"/>
    </row>
    <row r="203" spans="3:4" x14ac:dyDescent="0.2">
      <c r="C203" s="33"/>
      <c r="D203" s="33"/>
    </row>
    <row r="204" spans="3:4" x14ac:dyDescent="0.2">
      <c r="C204" s="33"/>
      <c r="D204" s="33"/>
    </row>
    <row r="205" spans="3:4" x14ac:dyDescent="0.2">
      <c r="C205" s="33"/>
      <c r="D205" s="33"/>
    </row>
    <row r="206" spans="3:4" x14ac:dyDescent="0.2">
      <c r="C206" s="33"/>
      <c r="D206" s="33"/>
    </row>
    <row r="207" spans="3:4" x14ac:dyDescent="0.2">
      <c r="C207" s="33"/>
      <c r="D207" s="33"/>
    </row>
    <row r="208" spans="3:4" x14ac:dyDescent="0.2">
      <c r="C208" s="33"/>
      <c r="D208" s="33"/>
    </row>
    <row r="209" spans="3:4" x14ac:dyDescent="0.2">
      <c r="C209" s="33"/>
      <c r="D209" s="33"/>
    </row>
    <row r="210" spans="3:4" x14ac:dyDescent="0.2">
      <c r="C210" s="33"/>
      <c r="D210" s="33"/>
    </row>
    <row r="211" spans="3:4" x14ac:dyDescent="0.2">
      <c r="C211" s="33"/>
      <c r="D211" s="33"/>
    </row>
    <row r="212" spans="3:4" x14ac:dyDescent="0.2">
      <c r="C212" s="33"/>
      <c r="D212" s="33"/>
    </row>
    <row r="213" spans="3:4" x14ac:dyDescent="0.2">
      <c r="C213" s="33"/>
      <c r="D213" s="33"/>
    </row>
    <row r="214" spans="3:4" x14ac:dyDescent="0.2">
      <c r="C214" s="33"/>
      <c r="D214" s="33"/>
    </row>
    <row r="215" spans="3:4" x14ac:dyDescent="0.2">
      <c r="C215" s="33"/>
      <c r="D215" s="33"/>
    </row>
    <row r="216" spans="3:4" x14ac:dyDescent="0.2">
      <c r="C216" s="33"/>
    </row>
    <row r="217" spans="3:4" x14ac:dyDescent="0.2">
      <c r="C217" s="33"/>
    </row>
  </sheetData>
  <customSheetViews>
    <customSheetView guid="{07FF841F-DFB2-4D49-BB4D-4871C3F618D6}" scale="75" showGridLines="0" showRowCol="0" fitToPage="1" hiddenRows="1" topLeftCell="A2">
      <selection activeCell="E14" sqref="E14"/>
      <pageMargins left="0.19685039370078741" right="0.23622047244094491" top="0.27559055118110237" bottom="0.43307086614173229" header="0.31496062992125984" footer="0.19685039370078741"/>
      <pageSetup paperSize="9" scale="98" orientation="landscape" horizontalDpi="300" verticalDpi="300" r:id="rId1"/>
      <headerFooter>
        <oddFooter xml:space="preserve">&amp;C&amp;"Arial,Negrita"&amp;8&amp;K09-023MINISTERIO DE ECONOMÍA - SUBSECRETARÍA DE COORDINACIÓN ECONÓMICA
Dirección Provincial de Coordinación Municipal </oddFooter>
      </headerFooter>
    </customSheetView>
  </customSheetViews>
  <mergeCells count="5">
    <mergeCell ref="D36:E36"/>
    <mergeCell ref="D10:K10"/>
    <mergeCell ref="D33:E33"/>
    <mergeCell ref="D34:E34"/>
    <mergeCell ref="D35:E35"/>
  </mergeCells>
  <pageMargins left="0.19685039370078741" right="0.23622047244094491" top="0" bottom="0" header="0" footer="0"/>
  <pageSetup paperSize="9" scale="85" orientation="landscape" r:id="rId2"/>
  <headerFooter>
    <oddFooter>&amp;C&amp;"Arial,Normal"&amp;9Subsecretaría de Coordinación Económica y Estadística
MINISTERIO DE ECONOMÍA</oddFooter>
  </headerFooter>
  <ignoredErrors>
    <ignoredError sqref="D10 E23 E18" unlockedFormula="1"/>
  </ignoredError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5" name="List Box 3">
              <controlPr defaultSize="0" autoLine="0" autoPict="0">
                <anchor moveWithCells="1">
                  <from>
                    <xdr:col>0</xdr:col>
                    <xdr:colOff>95250</xdr:colOff>
                    <xdr:row>5</xdr:row>
                    <xdr:rowOff>9525</xdr:rowOff>
                  </from>
                  <to>
                    <xdr:col>2</xdr:col>
                    <xdr:colOff>885825</xdr:colOff>
                    <xdr:row>19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44AEAC"/>
    <pageSetUpPr fitToPage="1"/>
  </sheetPr>
  <dimension ref="A1:AA152"/>
  <sheetViews>
    <sheetView showGridLines="0" zoomScale="71" zoomScaleNormal="71" workbookViewId="0">
      <selection activeCell="B7" sqref="B7"/>
    </sheetView>
  </sheetViews>
  <sheetFormatPr baseColWidth="10" defaultColWidth="12" defaultRowHeight="14.25" x14ac:dyDescent="0.2"/>
  <cols>
    <col min="1" max="1" width="5.33203125" style="6" customWidth="1"/>
    <col min="2" max="2" width="44.6640625" style="1" customWidth="1"/>
    <col min="3" max="3" width="28.33203125" style="1" bestFit="1" customWidth="1"/>
    <col min="4" max="4" width="28.33203125" style="1" hidden="1" customWidth="1"/>
    <col min="5" max="7" width="24.33203125" style="1" bestFit="1" customWidth="1"/>
    <col min="8" max="8" width="24.1640625" style="1" customWidth="1"/>
    <col min="9" max="9" width="24.33203125" style="1" customWidth="1"/>
    <col min="10" max="11" width="24.33203125" style="1" bestFit="1" customWidth="1"/>
    <col min="12" max="12" width="26.83203125" style="1" bestFit="1" customWidth="1"/>
    <col min="13" max="13" width="25" style="1" customWidth="1"/>
    <col min="14" max="15" width="26.83203125" style="1" customWidth="1"/>
    <col min="16" max="18" width="26.83203125" style="1" hidden="1" customWidth="1"/>
    <col min="19" max="19" width="27.1640625" style="1" bestFit="1" customWidth="1"/>
    <col min="20" max="20" width="12" style="1" customWidth="1"/>
    <col min="21" max="21" width="21.5" style="1" bestFit="1" customWidth="1"/>
    <col min="22" max="16384" width="12" style="1"/>
  </cols>
  <sheetData>
    <row r="1" spans="1:27" ht="18.75" customHeight="1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</row>
    <row r="2" spans="1:27" s="20" customFormat="1" ht="44.25" customHeight="1" x14ac:dyDescent="0.2">
      <c r="A2" s="19"/>
      <c r="B2" s="73" t="s">
        <v>161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</row>
    <row r="3" spans="1:27" ht="6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7" ht="15" x14ac:dyDescent="0.25">
      <c r="B4" s="51"/>
      <c r="C4" s="51"/>
      <c r="D4" s="2"/>
      <c r="E4" s="2"/>
      <c r="F4" s="2"/>
      <c r="G4" s="2"/>
      <c r="H4" s="2"/>
      <c r="I4" s="2"/>
      <c r="J4" s="59"/>
      <c r="K4" s="2"/>
      <c r="L4" s="2"/>
      <c r="M4" s="2"/>
      <c r="N4" s="2"/>
      <c r="O4" s="2"/>
      <c r="P4" s="2"/>
      <c r="Q4" s="2"/>
      <c r="R4" s="2"/>
      <c r="S4" s="2"/>
    </row>
    <row r="5" spans="1:27" ht="17.25" customHeight="1" x14ac:dyDescent="0.3">
      <c r="B5" s="52" t="s">
        <v>0</v>
      </c>
      <c r="C5" s="5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7" ht="17.25" customHeight="1" x14ac:dyDescent="0.3">
      <c r="B6" s="53" t="s">
        <v>177</v>
      </c>
      <c r="C6" s="5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7" ht="37.5" customHeight="1" x14ac:dyDescent="0.25">
      <c r="B7" s="3"/>
      <c r="C7" s="43" t="s">
        <v>3</v>
      </c>
      <c r="D7" s="44"/>
      <c r="E7" s="43" t="s">
        <v>168</v>
      </c>
      <c r="F7" s="43" t="s">
        <v>4</v>
      </c>
      <c r="G7" s="43" t="s">
        <v>156</v>
      </c>
      <c r="H7" s="43" t="s">
        <v>157</v>
      </c>
      <c r="I7" s="43" t="s">
        <v>5</v>
      </c>
      <c r="J7" s="43" t="s">
        <v>6</v>
      </c>
      <c r="K7" s="43" t="s">
        <v>7</v>
      </c>
      <c r="L7" s="43" t="s">
        <v>169</v>
      </c>
      <c r="M7" s="43" t="s">
        <v>158</v>
      </c>
      <c r="N7" s="44" t="s">
        <v>170</v>
      </c>
      <c r="O7" s="44" t="s">
        <v>166</v>
      </c>
      <c r="P7" s="4"/>
      <c r="Q7" s="4"/>
      <c r="R7" s="4"/>
      <c r="S7" s="5" t="s">
        <v>1</v>
      </c>
    </row>
    <row r="8" spans="1:27" ht="18.75" customHeight="1" x14ac:dyDescent="0.2">
      <c r="B8" s="67" t="s">
        <v>2</v>
      </c>
      <c r="C8" s="69" t="s">
        <v>177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1"/>
      <c r="Q8" s="71"/>
      <c r="R8" s="71"/>
      <c r="S8" s="72"/>
    </row>
    <row r="9" spans="1:27" ht="72.75" customHeight="1" x14ac:dyDescent="0.2">
      <c r="A9" s="7"/>
      <c r="B9" s="68"/>
      <c r="C9" s="54" t="s">
        <v>3</v>
      </c>
      <c r="D9" s="60" t="s">
        <v>174</v>
      </c>
      <c r="E9" s="54" t="s">
        <v>144</v>
      </c>
      <c r="F9" s="54" t="s">
        <v>145</v>
      </c>
      <c r="G9" s="54" t="s">
        <v>146</v>
      </c>
      <c r="H9" s="54" t="s">
        <v>147</v>
      </c>
      <c r="I9" s="54" t="s">
        <v>4</v>
      </c>
      <c r="J9" s="54" t="s">
        <v>156</v>
      </c>
      <c r="K9" s="54" t="s">
        <v>157</v>
      </c>
      <c r="L9" s="54" t="s">
        <v>5</v>
      </c>
      <c r="M9" s="54" t="s">
        <v>6</v>
      </c>
      <c r="N9" s="55" t="s">
        <v>158</v>
      </c>
      <c r="O9" s="60" t="s">
        <v>175</v>
      </c>
      <c r="P9" s="55"/>
      <c r="Q9" s="54"/>
      <c r="R9" s="56"/>
      <c r="S9" s="54" t="s">
        <v>173</v>
      </c>
    </row>
    <row r="10" spans="1:27" ht="15.75" x14ac:dyDescent="0.25">
      <c r="A10" s="8"/>
      <c r="B10" s="14" t="s">
        <v>8</v>
      </c>
      <c r="C10" s="15">
        <v>9678523813.2999992</v>
      </c>
      <c r="D10" s="15">
        <v>0</v>
      </c>
      <c r="E10" s="15">
        <v>185085596.25999999</v>
      </c>
      <c r="F10" s="15">
        <v>341145431.95396173</v>
      </c>
      <c r="G10" s="15">
        <v>24350452.589999996</v>
      </c>
      <c r="H10" s="15">
        <v>0</v>
      </c>
      <c r="I10" s="15">
        <v>119742138.46000001</v>
      </c>
      <c r="J10" s="15">
        <v>27682522.849999998</v>
      </c>
      <c r="K10" s="15">
        <v>11968055.039999999</v>
      </c>
      <c r="L10" s="15">
        <v>558401336.97000003</v>
      </c>
      <c r="M10" s="15">
        <v>74383893.720000014</v>
      </c>
      <c r="N10" s="15">
        <v>927030582.2299999</v>
      </c>
      <c r="O10" s="15">
        <v>109098234.45136856</v>
      </c>
      <c r="P10" s="15"/>
      <c r="Q10" s="15"/>
      <c r="R10" s="15"/>
      <c r="S10" s="16">
        <f>SUM(C10:R10)</f>
        <v>12057412057.825329</v>
      </c>
      <c r="T10" s="10"/>
      <c r="U10" s="10"/>
      <c r="V10" s="18">
        <v>1</v>
      </c>
      <c r="W10" s="18" t="s">
        <v>8</v>
      </c>
      <c r="AA10" s="10"/>
    </row>
    <row r="11" spans="1:27" ht="15.75" x14ac:dyDescent="0.25">
      <c r="A11" s="8"/>
      <c r="B11" s="14" t="s">
        <v>9</v>
      </c>
      <c r="C11" s="15">
        <v>5077431385.04</v>
      </c>
      <c r="D11" s="15">
        <v>0</v>
      </c>
      <c r="E11" s="15">
        <v>271147135.44</v>
      </c>
      <c r="F11" s="15">
        <v>191476564.20334142</v>
      </c>
      <c r="G11" s="15">
        <v>15927719.91</v>
      </c>
      <c r="H11" s="15">
        <v>0</v>
      </c>
      <c r="I11" s="15">
        <v>64671908.750000007</v>
      </c>
      <c r="J11" s="15">
        <v>19394960.109999999</v>
      </c>
      <c r="K11" s="15">
        <v>8856360.7400000002</v>
      </c>
      <c r="L11" s="15">
        <v>295668277.73000002</v>
      </c>
      <c r="M11" s="15">
        <v>52114926.769999996</v>
      </c>
      <c r="N11" s="15">
        <v>703014688.59999979</v>
      </c>
      <c r="O11" s="15">
        <v>60509749.388998166</v>
      </c>
      <c r="P11" s="15"/>
      <c r="Q11" s="15"/>
      <c r="R11" s="15"/>
      <c r="S11" s="16">
        <f t="shared" ref="S11:S74" si="0">SUM(C11:R11)</f>
        <v>6760213676.6823378</v>
      </c>
      <c r="U11" s="10"/>
      <c r="V11" s="18">
        <v>2</v>
      </c>
      <c r="W11" s="18" t="s">
        <v>9</v>
      </c>
      <c r="AA11" s="10"/>
    </row>
    <row r="12" spans="1:27" ht="15.75" x14ac:dyDescent="0.25">
      <c r="A12" s="8"/>
      <c r="B12" s="14" t="s">
        <v>10</v>
      </c>
      <c r="C12" s="15">
        <v>5387252204.4800005</v>
      </c>
      <c r="D12" s="15">
        <v>0</v>
      </c>
      <c r="E12" s="15">
        <v>251281902.57999995</v>
      </c>
      <c r="F12" s="15">
        <v>69416731.43871057</v>
      </c>
      <c r="G12" s="15">
        <v>15001736.390000001</v>
      </c>
      <c r="H12" s="15">
        <v>0</v>
      </c>
      <c r="I12" s="15">
        <v>69812368.75</v>
      </c>
      <c r="J12" s="15">
        <v>13548961.490000002</v>
      </c>
      <c r="K12" s="15">
        <v>8856360.7400000002</v>
      </c>
      <c r="L12" s="15">
        <v>314000617.69</v>
      </c>
      <c r="M12" s="15">
        <v>36406526.869999997</v>
      </c>
      <c r="N12" s="15">
        <v>415500522.52000004</v>
      </c>
      <c r="O12" s="15">
        <v>64551530.86424733</v>
      </c>
      <c r="P12" s="15"/>
      <c r="Q12" s="15"/>
      <c r="R12" s="15"/>
      <c r="S12" s="16">
        <f t="shared" si="0"/>
        <v>6645629463.8129578</v>
      </c>
      <c r="U12" s="10"/>
      <c r="V12" s="18">
        <v>3</v>
      </c>
      <c r="W12" s="18" t="s">
        <v>10</v>
      </c>
      <c r="AA12" s="10"/>
    </row>
    <row r="13" spans="1:27" ht="15.75" x14ac:dyDescent="0.25">
      <c r="A13" s="8"/>
      <c r="B13" s="14" t="s">
        <v>11</v>
      </c>
      <c r="C13" s="15">
        <v>42429834592.26001</v>
      </c>
      <c r="D13" s="15">
        <v>0</v>
      </c>
      <c r="E13" s="15">
        <v>35478365.469999991</v>
      </c>
      <c r="F13" s="15">
        <v>1835652.4949201599</v>
      </c>
      <c r="G13" s="15">
        <v>325064509.77999997</v>
      </c>
      <c r="H13" s="15">
        <v>0</v>
      </c>
      <c r="I13" s="15">
        <v>630553067.35000002</v>
      </c>
      <c r="J13" s="15">
        <v>1454278127.8699999</v>
      </c>
      <c r="K13" s="15">
        <v>729332567.48565793</v>
      </c>
      <c r="L13" s="15">
        <v>2466321249.79</v>
      </c>
      <c r="M13" s="15">
        <v>3907695484.8699999</v>
      </c>
      <c r="N13" s="15">
        <v>7817286844.539999</v>
      </c>
      <c r="O13" s="15">
        <v>500309829.33709311</v>
      </c>
      <c r="P13" s="15"/>
      <c r="Q13" s="15"/>
      <c r="R13" s="15"/>
      <c r="S13" s="16">
        <f t="shared" si="0"/>
        <v>60297990291.247681</v>
      </c>
      <c r="U13" s="10"/>
      <c r="V13" s="18">
        <v>4</v>
      </c>
      <c r="W13" s="18" t="s">
        <v>11</v>
      </c>
      <c r="AA13" s="10"/>
    </row>
    <row r="14" spans="1:27" ht="15.75" x14ac:dyDescent="0.25">
      <c r="A14" s="8"/>
      <c r="B14" s="14" t="s">
        <v>12</v>
      </c>
      <c r="C14" s="15">
        <v>5557147136.1199999</v>
      </c>
      <c r="D14" s="15">
        <v>0</v>
      </c>
      <c r="E14" s="15">
        <v>308036937.38000005</v>
      </c>
      <c r="F14" s="15">
        <v>77128999.493960321</v>
      </c>
      <c r="G14" s="15">
        <v>26002904.810000002</v>
      </c>
      <c r="H14" s="15">
        <v>0</v>
      </c>
      <c r="I14" s="15">
        <v>70822501.439999998</v>
      </c>
      <c r="J14" s="15">
        <v>49725376.469999999</v>
      </c>
      <c r="K14" s="15">
        <v>22021221.27</v>
      </c>
      <c r="L14" s="15">
        <v>323335626.24000001</v>
      </c>
      <c r="M14" s="15">
        <v>133613801.62</v>
      </c>
      <c r="N14" s="15">
        <v>842887638.74000025</v>
      </c>
      <c r="O14" s="15">
        <v>65905428.107187942</v>
      </c>
      <c r="P14" s="15"/>
      <c r="Q14" s="15"/>
      <c r="R14" s="15"/>
      <c r="S14" s="16">
        <f t="shared" si="0"/>
        <v>7476627571.6911497</v>
      </c>
      <c r="U14" s="10"/>
      <c r="V14" s="18">
        <v>5</v>
      </c>
      <c r="W14" s="18" t="s">
        <v>12</v>
      </c>
      <c r="AA14" s="10"/>
    </row>
    <row r="15" spans="1:27" ht="15.75" x14ac:dyDescent="0.25">
      <c r="A15" s="8"/>
      <c r="B15" s="14" t="s">
        <v>13</v>
      </c>
      <c r="C15" s="15">
        <v>25291762506.449997</v>
      </c>
      <c r="D15" s="15">
        <v>0</v>
      </c>
      <c r="E15" s="15">
        <v>6587940.7700000023</v>
      </c>
      <c r="F15" s="15">
        <v>428108.28409928014</v>
      </c>
      <c r="G15" s="15">
        <v>276263772.94</v>
      </c>
      <c r="H15" s="15">
        <v>0</v>
      </c>
      <c r="I15" s="15">
        <v>374633084.40999997</v>
      </c>
      <c r="J15" s="15">
        <v>707193892.16000009</v>
      </c>
      <c r="K15" s="15">
        <v>0</v>
      </c>
      <c r="L15" s="15">
        <v>1469206711.0999999</v>
      </c>
      <c r="M15" s="15">
        <v>1900254378.0100002</v>
      </c>
      <c r="N15" s="15">
        <v>5812718129.9800014</v>
      </c>
      <c r="O15" s="15">
        <v>297110758.93795913</v>
      </c>
      <c r="P15" s="15"/>
      <c r="Q15" s="15"/>
      <c r="R15" s="15"/>
      <c r="S15" s="16">
        <f t="shared" si="0"/>
        <v>36136159283.042053</v>
      </c>
      <c r="U15" s="10"/>
      <c r="V15" s="18">
        <v>6</v>
      </c>
      <c r="W15" s="18" t="s">
        <v>13</v>
      </c>
      <c r="AA15" s="10"/>
    </row>
    <row r="16" spans="1:27" ht="15.75" x14ac:dyDescent="0.25">
      <c r="A16" s="8"/>
      <c r="B16" s="14" t="s">
        <v>14</v>
      </c>
      <c r="C16" s="15">
        <v>8858174000.5</v>
      </c>
      <c r="D16" s="15">
        <v>0</v>
      </c>
      <c r="E16" s="15">
        <v>352705982.38999993</v>
      </c>
      <c r="F16" s="15">
        <v>367773451.27786374</v>
      </c>
      <c r="G16" s="15">
        <v>23924483.900000002</v>
      </c>
      <c r="H16" s="15">
        <v>0</v>
      </c>
      <c r="I16" s="15">
        <v>114873613.27999999</v>
      </c>
      <c r="J16" s="15">
        <v>32187380.620000001</v>
      </c>
      <c r="K16" s="15">
        <v>14960068.800000001</v>
      </c>
      <c r="L16" s="15">
        <v>517781469.06</v>
      </c>
      <c r="M16" s="15">
        <v>86488601.890000001</v>
      </c>
      <c r="N16" s="15">
        <v>1247847831.4599996</v>
      </c>
      <c r="O16" s="15">
        <v>107913574.36379552</v>
      </c>
      <c r="P16" s="15"/>
      <c r="Q16" s="15"/>
      <c r="R16" s="15"/>
      <c r="S16" s="16">
        <f t="shared" si="0"/>
        <v>11724630457.541658</v>
      </c>
      <c r="U16" s="10"/>
      <c r="V16" s="18">
        <v>7</v>
      </c>
      <c r="W16" s="18" t="s">
        <v>14</v>
      </c>
      <c r="AA16" s="10"/>
    </row>
    <row r="17" spans="1:27" ht="15.75" x14ac:dyDescent="0.25">
      <c r="A17" s="8"/>
      <c r="B17" s="14" t="s">
        <v>15</v>
      </c>
      <c r="C17" s="15">
        <v>14877097671.950001</v>
      </c>
      <c r="D17" s="15">
        <v>0</v>
      </c>
      <c r="E17" s="15">
        <v>706344659.46000004</v>
      </c>
      <c r="F17" s="15">
        <v>337900655.51285499</v>
      </c>
      <c r="G17" s="15">
        <v>73433023.019999996</v>
      </c>
      <c r="H17" s="15">
        <v>0</v>
      </c>
      <c r="I17" s="15">
        <v>194301931.43000001</v>
      </c>
      <c r="J17" s="15">
        <v>119911748.19000001</v>
      </c>
      <c r="K17" s="15">
        <v>51821678.329999998</v>
      </c>
      <c r="L17" s="15">
        <v>870738883.46999991</v>
      </c>
      <c r="M17" s="15">
        <v>322207002.98000002</v>
      </c>
      <c r="N17" s="15">
        <v>1990958784.7899995</v>
      </c>
      <c r="O17" s="15">
        <v>182604401.85991791</v>
      </c>
      <c r="P17" s="15"/>
      <c r="Q17" s="15"/>
      <c r="R17" s="15"/>
      <c r="S17" s="16">
        <f t="shared" si="0"/>
        <v>19727320440.992775</v>
      </c>
      <c r="U17" s="10"/>
      <c r="V17" s="18">
        <v>8</v>
      </c>
      <c r="W17" s="18" t="s">
        <v>15</v>
      </c>
      <c r="AA17" s="10"/>
    </row>
    <row r="18" spans="1:27" ht="15.75" x14ac:dyDescent="0.25">
      <c r="A18" s="8"/>
      <c r="B18" s="14" t="s">
        <v>16</v>
      </c>
      <c r="C18" s="15">
        <v>28021478091.32</v>
      </c>
      <c r="D18" s="15">
        <v>0</v>
      </c>
      <c r="E18" s="15">
        <v>109965115.93000002</v>
      </c>
      <c r="F18" s="15">
        <v>27545845.57136216</v>
      </c>
      <c r="G18" s="15">
        <v>432487607.25999999</v>
      </c>
      <c r="H18" s="15">
        <v>0</v>
      </c>
      <c r="I18" s="15">
        <v>412031940.54000002</v>
      </c>
      <c r="J18" s="15">
        <v>447218894.59000003</v>
      </c>
      <c r="K18" s="15">
        <v>229906337.37</v>
      </c>
      <c r="L18" s="15">
        <v>1629283524.52</v>
      </c>
      <c r="M18" s="15">
        <v>1201692593.52</v>
      </c>
      <c r="N18" s="15">
        <v>4945798066.4799986</v>
      </c>
      <c r="O18" s="15">
        <v>330988055.39183336</v>
      </c>
      <c r="P18" s="15"/>
      <c r="Q18" s="15"/>
      <c r="R18" s="15"/>
      <c r="S18" s="16">
        <f t="shared" si="0"/>
        <v>37788396072.493187</v>
      </c>
      <c r="U18" s="10"/>
      <c r="V18" s="18">
        <v>9</v>
      </c>
      <c r="W18" s="18" t="s">
        <v>16</v>
      </c>
      <c r="AA18" s="10"/>
    </row>
    <row r="19" spans="1:27" ht="15.75" x14ac:dyDescent="0.25">
      <c r="A19" s="8"/>
      <c r="B19" s="14" t="s">
        <v>17</v>
      </c>
      <c r="C19" s="15">
        <v>10817769578.509998</v>
      </c>
      <c r="D19" s="15">
        <v>0</v>
      </c>
      <c r="E19" s="15">
        <v>742660716.98000002</v>
      </c>
      <c r="F19" s="15">
        <v>262913777.17475671</v>
      </c>
      <c r="G19" s="15">
        <v>61582059.860000007</v>
      </c>
      <c r="H19" s="15">
        <v>0</v>
      </c>
      <c r="I19" s="15">
        <v>137647260.28</v>
      </c>
      <c r="J19" s="15">
        <v>91850954.810000002</v>
      </c>
      <c r="K19" s="15">
        <v>33510554.129999999</v>
      </c>
      <c r="L19" s="15">
        <v>629289921.46000004</v>
      </c>
      <c r="M19" s="15">
        <v>246806683.38</v>
      </c>
      <c r="N19" s="15">
        <v>1340592721.1200006</v>
      </c>
      <c r="O19" s="15">
        <v>128139903.21191745</v>
      </c>
      <c r="P19" s="15"/>
      <c r="Q19" s="15"/>
      <c r="R19" s="15"/>
      <c r="S19" s="16">
        <f t="shared" si="0"/>
        <v>14492764130.916672</v>
      </c>
      <c r="U19" s="10"/>
      <c r="V19" s="18">
        <v>10</v>
      </c>
      <c r="W19" s="18" t="s">
        <v>17</v>
      </c>
      <c r="AA19" s="10"/>
    </row>
    <row r="20" spans="1:27" ht="15.75" x14ac:dyDescent="0.25">
      <c r="A20" s="8"/>
      <c r="B20" s="14" t="s">
        <v>18</v>
      </c>
      <c r="C20" s="15">
        <v>6101866165.4099998</v>
      </c>
      <c r="D20" s="15">
        <v>0</v>
      </c>
      <c r="E20" s="15">
        <v>273727719.65999997</v>
      </c>
      <c r="F20" s="15">
        <v>65437378.052562639</v>
      </c>
      <c r="G20" s="15">
        <v>33806538.609999999</v>
      </c>
      <c r="H20" s="15">
        <v>0</v>
      </c>
      <c r="I20" s="15">
        <v>77472039.460000008</v>
      </c>
      <c r="J20" s="15">
        <v>61898808.910000004</v>
      </c>
      <c r="K20" s="15">
        <v>27287165.5</v>
      </c>
      <c r="L20" s="15">
        <v>354682050.93000007</v>
      </c>
      <c r="M20" s="15">
        <v>166324234.38999999</v>
      </c>
      <c r="N20" s="15">
        <v>1092950933.7799997</v>
      </c>
      <c r="O20" s="15">
        <v>71948190.066489041</v>
      </c>
      <c r="P20" s="15"/>
      <c r="Q20" s="15"/>
      <c r="R20" s="15"/>
      <c r="S20" s="16">
        <f t="shared" si="0"/>
        <v>8327401224.7690516</v>
      </c>
      <c r="U20" s="10"/>
      <c r="V20" s="18">
        <v>11</v>
      </c>
      <c r="W20" s="18" t="s">
        <v>18</v>
      </c>
      <c r="AA20" s="10"/>
    </row>
    <row r="21" spans="1:27" ht="15.75" x14ac:dyDescent="0.25">
      <c r="A21" s="8"/>
      <c r="B21" s="14" t="s">
        <v>19</v>
      </c>
      <c r="C21" s="15">
        <v>9908356832.6099987</v>
      </c>
      <c r="D21" s="15">
        <v>0</v>
      </c>
      <c r="E21" s="15">
        <v>401433447.54000008</v>
      </c>
      <c r="F21" s="15">
        <v>314517412.63005966</v>
      </c>
      <c r="G21" s="15">
        <v>17686072.219999999</v>
      </c>
      <c r="H21" s="15">
        <v>0</v>
      </c>
      <c r="I21" s="15">
        <v>124648330.19999999</v>
      </c>
      <c r="J21" s="15">
        <v>25000241.139999997</v>
      </c>
      <c r="K21" s="15">
        <v>15199429.890000001</v>
      </c>
      <c r="L21" s="15">
        <v>575218074.25999999</v>
      </c>
      <c r="M21" s="15">
        <v>67176510.219999999</v>
      </c>
      <c r="N21" s="15">
        <v>950903929.18999958</v>
      </c>
      <c r="O21" s="15">
        <v>115962294.37054171</v>
      </c>
      <c r="P21" s="15"/>
      <c r="Q21" s="15"/>
      <c r="R21" s="15"/>
      <c r="S21" s="16">
        <f t="shared" si="0"/>
        <v>12516102574.270601</v>
      </c>
      <c r="U21" s="10"/>
      <c r="V21" s="18">
        <v>12</v>
      </c>
      <c r="W21" s="18" t="s">
        <v>19</v>
      </c>
      <c r="AA21" s="10"/>
    </row>
    <row r="22" spans="1:27" ht="15.75" x14ac:dyDescent="0.25">
      <c r="A22" s="8"/>
      <c r="B22" s="14" t="s">
        <v>20</v>
      </c>
      <c r="C22" s="15">
        <v>35419821977.959991</v>
      </c>
      <c r="D22" s="15">
        <v>0</v>
      </c>
      <c r="E22" s="15">
        <v>10837652.73</v>
      </c>
      <c r="F22" s="15">
        <v>13467243.992422003</v>
      </c>
      <c r="G22" s="15">
        <v>195729607.33000001</v>
      </c>
      <c r="H22" s="15">
        <v>0</v>
      </c>
      <c r="I22" s="15">
        <v>520770569.39999998</v>
      </c>
      <c r="J22" s="15">
        <v>797944423.72000003</v>
      </c>
      <c r="K22" s="15">
        <v>373504329.29092717</v>
      </c>
      <c r="L22" s="15">
        <v>2056934636.9400001</v>
      </c>
      <c r="M22" s="15">
        <v>2144104186.1199999</v>
      </c>
      <c r="N22" s="15">
        <v>5407236518.2800016</v>
      </c>
      <c r="O22" s="15">
        <v>415350288.56087339</v>
      </c>
      <c r="P22" s="15"/>
      <c r="Q22" s="15"/>
      <c r="R22" s="15"/>
      <c r="S22" s="16">
        <f t="shared" si="0"/>
        <v>47355701434.324226</v>
      </c>
      <c r="U22" s="10"/>
      <c r="V22" s="18">
        <v>13</v>
      </c>
      <c r="W22" s="18" t="s">
        <v>20</v>
      </c>
      <c r="AA22" s="10"/>
    </row>
    <row r="23" spans="1:27" ht="15.75" x14ac:dyDescent="0.25">
      <c r="A23" s="8"/>
      <c r="B23" s="14" t="s">
        <v>21</v>
      </c>
      <c r="C23" s="15">
        <v>15294342740.110001</v>
      </c>
      <c r="D23" s="15">
        <v>0</v>
      </c>
      <c r="E23" s="15">
        <v>22214835.600000001</v>
      </c>
      <c r="F23" s="15">
        <v>5018819.25676536</v>
      </c>
      <c r="G23" s="15">
        <v>88495451.5</v>
      </c>
      <c r="H23" s="15">
        <v>0</v>
      </c>
      <c r="I23" s="15">
        <v>196361694.85999995</v>
      </c>
      <c r="J23" s="15">
        <v>212175361.72999999</v>
      </c>
      <c r="K23" s="15">
        <v>51624759.43825794</v>
      </c>
      <c r="L23" s="15">
        <v>888962808.19000006</v>
      </c>
      <c r="M23" s="15">
        <v>570122514.59000003</v>
      </c>
      <c r="N23" s="15">
        <v>1772787501.1700001</v>
      </c>
      <c r="O23" s="15">
        <v>180279879.75531033</v>
      </c>
      <c r="P23" s="15"/>
      <c r="Q23" s="15"/>
      <c r="R23" s="15"/>
      <c r="S23" s="16">
        <f t="shared" si="0"/>
        <v>19282386366.200333</v>
      </c>
      <c r="U23" s="10"/>
      <c r="V23" s="18">
        <v>14</v>
      </c>
      <c r="W23" s="18" t="s">
        <v>21</v>
      </c>
      <c r="AA23" s="10"/>
    </row>
    <row r="24" spans="1:27" ht="15.75" x14ac:dyDescent="0.25">
      <c r="A24" s="8"/>
      <c r="B24" s="14" t="s">
        <v>22</v>
      </c>
      <c r="C24" s="15">
        <v>12812188341.360001</v>
      </c>
      <c r="D24" s="15">
        <v>0</v>
      </c>
      <c r="E24" s="15">
        <v>328481782.84999996</v>
      </c>
      <c r="F24" s="15">
        <v>192885688.14952806</v>
      </c>
      <c r="G24" s="15">
        <v>48797911.030000001</v>
      </c>
      <c r="H24" s="15">
        <v>0</v>
      </c>
      <c r="I24" s="15">
        <v>159464762.87</v>
      </c>
      <c r="J24" s="15">
        <v>50516305.719999999</v>
      </c>
      <c r="K24" s="15">
        <v>25731318.349999998</v>
      </c>
      <c r="L24" s="15">
        <v>741836619.38999999</v>
      </c>
      <c r="M24" s="15">
        <v>135739055.74000001</v>
      </c>
      <c r="N24" s="15">
        <v>1331266090.1600001</v>
      </c>
      <c r="O24" s="15">
        <v>147592220.95240232</v>
      </c>
      <c r="P24" s="15"/>
      <c r="Q24" s="15"/>
      <c r="R24" s="15"/>
      <c r="S24" s="16">
        <f t="shared" si="0"/>
        <v>15974500096.571932</v>
      </c>
      <c r="U24" s="10"/>
      <c r="V24" s="18">
        <v>15</v>
      </c>
      <c r="W24" s="18" t="s">
        <v>22</v>
      </c>
      <c r="AA24" s="10"/>
    </row>
    <row r="25" spans="1:27" ht="15.75" x14ac:dyDescent="0.25">
      <c r="A25" s="8"/>
      <c r="B25" s="14" t="s">
        <v>23</v>
      </c>
      <c r="C25" s="15">
        <v>11649938169.139997</v>
      </c>
      <c r="D25" s="15">
        <v>0</v>
      </c>
      <c r="E25" s="15">
        <v>268474072.95000005</v>
      </c>
      <c r="F25" s="15">
        <v>143240924.54766831</v>
      </c>
      <c r="G25" s="15">
        <v>45575850.699999996</v>
      </c>
      <c r="H25" s="15">
        <v>0</v>
      </c>
      <c r="I25" s="15">
        <v>150304572.66</v>
      </c>
      <c r="J25" s="15">
        <v>48418623.860000007</v>
      </c>
      <c r="K25" s="15">
        <v>31715345.859999999</v>
      </c>
      <c r="L25" s="15">
        <v>678712241.17000008</v>
      </c>
      <c r="M25" s="15">
        <v>130102512.24000001</v>
      </c>
      <c r="N25" s="15">
        <v>1098907487.1899996</v>
      </c>
      <c r="O25" s="15">
        <v>139214981.76170734</v>
      </c>
      <c r="P25" s="15"/>
      <c r="Q25" s="15"/>
      <c r="R25" s="15"/>
      <c r="S25" s="16">
        <f t="shared" si="0"/>
        <v>14384604782.079376</v>
      </c>
      <c r="U25" s="10"/>
      <c r="V25" s="18">
        <v>16</v>
      </c>
      <c r="W25" s="18" t="s">
        <v>23</v>
      </c>
      <c r="AA25" s="10"/>
    </row>
    <row r="26" spans="1:27" ht="15.75" x14ac:dyDescent="0.25">
      <c r="A26" s="8"/>
      <c r="B26" s="14" t="s">
        <v>24</v>
      </c>
      <c r="C26" s="15">
        <v>3800581277.6800003</v>
      </c>
      <c r="D26" s="15">
        <v>0</v>
      </c>
      <c r="E26" s="15">
        <v>150861687.62</v>
      </c>
      <c r="F26" s="15">
        <v>82026179.127568319</v>
      </c>
      <c r="G26" s="15">
        <v>40707225.799999997</v>
      </c>
      <c r="H26" s="15">
        <v>0</v>
      </c>
      <c r="I26" s="15">
        <v>48819055.75</v>
      </c>
      <c r="J26" s="15">
        <v>50344364.579999998</v>
      </c>
      <c r="K26" s="15">
        <v>7060567.7708917335</v>
      </c>
      <c r="L26" s="15">
        <v>220383085.26000002</v>
      </c>
      <c r="M26" s="15">
        <v>135277043.98999998</v>
      </c>
      <c r="N26" s="15">
        <v>929843889.88999987</v>
      </c>
      <c r="O26" s="15">
        <v>44173386.33263392</v>
      </c>
      <c r="P26" s="15"/>
      <c r="Q26" s="15"/>
      <c r="R26" s="15"/>
      <c r="S26" s="16">
        <f t="shared" si="0"/>
        <v>5510077763.8010941</v>
      </c>
      <c r="U26" s="10"/>
      <c r="V26" s="18">
        <v>17</v>
      </c>
      <c r="W26" s="18" t="s">
        <v>24</v>
      </c>
      <c r="AA26" s="10"/>
    </row>
    <row r="27" spans="1:27" ht="15.75" x14ac:dyDescent="0.25">
      <c r="A27" s="8"/>
      <c r="B27" s="14" t="s">
        <v>25</v>
      </c>
      <c r="C27" s="15">
        <v>16558529871.199999</v>
      </c>
      <c r="D27" s="15">
        <v>0</v>
      </c>
      <c r="E27" s="15">
        <v>91207628.13000001</v>
      </c>
      <c r="F27" s="15">
        <v>14078601.578940161</v>
      </c>
      <c r="G27" s="15">
        <v>102849528.80000001</v>
      </c>
      <c r="H27" s="15">
        <v>0</v>
      </c>
      <c r="I27" s="15">
        <v>194731342.05000001</v>
      </c>
      <c r="J27" s="15">
        <v>223282759.12</v>
      </c>
      <c r="K27" s="15">
        <v>75518427.319999993</v>
      </c>
      <c r="L27" s="15">
        <v>944459880.71999991</v>
      </c>
      <c r="M27" s="15">
        <v>599968474.42999995</v>
      </c>
      <c r="N27" s="15">
        <v>2149517401.6099997</v>
      </c>
      <c r="O27" s="15">
        <v>173575101.86471844</v>
      </c>
      <c r="P27" s="15"/>
      <c r="Q27" s="15"/>
      <c r="R27" s="15"/>
      <c r="S27" s="16">
        <f t="shared" si="0"/>
        <v>21127719016.823658</v>
      </c>
      <c r="U27" s="10"/>
      <c r="V27" s="18">
        <v>18</v>
      </c>
      <c r="W27" s="18" t="s">
        <v>25</v>
      </c>
      <c r="AA27" s="10"/>
    </row>
    <row r="28" spans="1:27" ht="15.75" x14ac:dyDescent="0.25">
      <c r="A28" s="8"/>
      <c r="B28" s="14" t="s">
        <v>26</v>
      </c>
      <c r="C28" s="15">
        <v>6416330076.1700001</v>
      </c>
      <c r="D28" s="15">
        <v>0</v>
      </c>
      <c r="E28" s="15">
        <v>133880815.61000001</v>
      </c>
      <c r="F28" s="15">
        <v>66723282.640226156</v>
      </c>
      <c r="G28" s="15">
        <v>44775245.799999997</v>
      </c>
      <c r="H28" s="15">
        <v>0</v>
      </c>
      <c r="I28" s="15">
        <v>84513403.460000008</v>
      </c>
      <c r="J28" s="15">
        <v>101548434.85999998</v>
      </c>
      <c r="K28" s="15">
        <v>48231261.830000006</v>
      </c>
      <c r="L28" s="15">
        <v>371819856.83999997</v>
      </c>
      <c r="M28" s="15">
        <v>272864146.76999998</v>
      </c>
      <c r="N28" s="15">
        <v>1586084022.2199998</v>
      </c>
      <c r="O28" s="15">
        <v>74285156.079579532</v>
      </c>
      <c r="P28" s="15"/>
      <c r="Q28" s="15"/>
      <c r="R28" s="15"/>
      <c r="S28" s="16">
        <f t="shared" si="0"/>
        <v>9201055702.2798061</v>
      </c>
      <c r="U28" s="10"/>
      <c r="V28" s="18">
        <v>19</v>
      </c>
      <c r="W28" s="18" t="s">
        <v>26</v>
      </c>
      <c r="AA28" s="10"/>
    </row>
    <row r="29" spans="1:27" ht="15.75" x14ac:dyDescent="0.25">
      <c r="A29" s="8"/>
      <c r="B29" s="14" t="s">
        <v>27</v>
      </c>
      <c r="C29" s="15">
        <v>3176718646.6799998</v>
      </c>
      <c r="D29" s="15">
        <v>0</v>
      </c>
      <c r="E29" s="15">
        <v>131267040.38000001</v>
      </c>
      <c r="F29" s="15">
        <v>37340204.838578165</v>
      </c>
      <c r="G29" s="15">
        <v>16828787.399999999</v>
      </c>
      <c r="H29" s="15">
        <v>0</v>
      </c>
      <c r="I29" s="15">
        <v>38612784.869999997</v>
      </c>
      <c r="J29" s="15">
        <v>25240958.740000002</v>
      </c>
      <c r="K29" s="15">
        <v>10890930.09</v>
      </c>
      <c r="L29" s="15">
        <v>181662710.06</v>
      </c>
      <c r="M29" s="15">
        <v>67823326.699999988</v>
      </c>
      <c r="N29" s="15">
        <v>425027472.31000012</v>
      </c>
      <c r="O29" s="15">
        <v>33864852.545391276</v>
      </c>
      <c r="P29" s="15"/>
      <c r="Q29" s="15"/>
      <c r="R29" s="15"/>
      <c r="S29" s="16">
        <f t="shared" si="0"/>
        <v>4145277714.6139688</v>
      </c>
      <c r="U29" s="10"/>
      <c r="V29" s="18">
        <v>20</v>
      </c>
      <c r="W29" s="18" t="s">
        <v>27</v>
      </c>
      <c r="AA29" s="10"/>
    </row>
    <row r="30" spans="1:27" ht="15.75" x14ac:dyDescent="0.25">
      <c r="A30" s="8"/>
      <c r="B30" s="14" t="s">
        <v>28</v>
      </c>
      <c r="C30" s="15">
        <v>11073139599.98</v>
      </c>
      <c r="D30" s="15">
        <v>0</v>
      </c>
      <c r="E30" s="15">
        <v>259939271.64999998</v>
      </c>
      <c r="F30" s="15">
        <v>201394142.82908052</v>
      </c>
      <c r="G30" s="15">
        <v>25687262.449999996</v>
      </c>
      <c r="H30" s="15">
        <v>0</v>
      </c>
      <c r="I30" s="15">
        <v>140289668.06</v>
      </c>
      <c r="J30" s="15">
        <v>34766497.649999999</v>
      </c>
      <c r="K30" s="15">
        <v>15797832.66</v>
      </c>
      <c r="L30" s="15">
        <v>643009298.17999995</v>
      </c>
      <c r="M30" s="15">
        <v>93418778.309999987</v>
      </c>
      <c r="N30" s="15">
        <v>868988065.56999993</v>
      </c>
      <c r="O30" s="15">
        <v>129799920.60353762</v>
      </c>
      <c r="P30" s="15"/>
      <c r="Q30" s="15"/>
      <c r="R30" s="15"/>
      <c r="S30" s="16">
        <f t="shared" si="0"/>
        <v>13486230337.942617</v>
      </c>
      <c r="U30" s="10"/>
      <c r="V30" s="18">
        <v>21</v>
      </c>
      <c r="W30" s="18" t="s">
        <v>28</v>
      </c>
      <c r="AA30" s="10"/>
    </row>
    <row r="31" spans="1:27" ht="15.75" x14ac:dyDescent="0.25">
      <c r="A31" s="8"/>
      <c r="B31" s="14" t="s">
        <v>29</v>
      </c>
      <c r="C31" s="15">
        <v>6184597610.4000006</v>
      </c>
      <c r="D31" s="15">
        <v>0</v>
      </c>
      <c r="E31" s="15">
        <v>277794346.63999999</v>
      </c>
      <c r="F31" s="15">
        <v>208739912.2794925</v>
      </c>
      <c r="G31" s="15">
        <v>17552163.23</v>
      </c>
      <c r="H31" s="15">
        <v>0</v>
      </c>
      <c r="I31" s="15">
        <v>79132086.75</v>
      </c>
      <c r="J31" s="15">
        <v>21698971.330000002</v>
      </c>
      <c r="K31" s="15">
        <v>9574444.0399999991</v>
      </c>
      <c r="L31" s="15">
        <v>360526713.19999993</v>
      </c>
      <c r="M31" s="15">
        <v>58305884.390000008</v>
      </c>
      <c r="N31" s="15">
        <v>774693647.24000025</v>
      </c>
      <c r="O31" s="15">
        <v>74168183.339840174</v>
      </c>
      <c r="P31" s="15"/>
      <c r="Q31" s="15"/>
      <c r="R31" s="15"/>
      <c r="S31" s="16">
        <f t="shared" si="0"/>
        <v>8066783962.8393326</v>
      </c>
      <c r="U31" s="10"/>
      <c r="V31" s="18">
        <v>22</v>
      </c>
      <c r="W31" s="18" t="s">
        <v>29</v>
      </c>
      <c r="AA31" s="10"/>
    </row>
    <row r="32" spans="1:27" ht="15.75" x14ac:dyDescent="0.25">
      <c r="A32" s="8"/>
      <c r="B32" s="14" t="s">
        <v>30</v>
      </c>
      <c r="C32" s="15">
        <v>2260130214.2800002</v>
      </c>
      <c r="D32" s="15">
        <v>0</v>
      </c>
      <c r="E32" s="15">
        <v>228134675.21000001</v>
      </c>
      <c r="F32" s="15">
        <v>70457777.044693694</v>
      </c>
      <c r="G32" s="15">
        <v>14338936.99</v>
      </c>
      <c r="H32" s="15">
        <v>0</v>
      </c>
      <c r="I32" s="15">
        <v>28238409.849999998</v>
      </c>
      <c r="J32" s="15">
        <v>18741583.789999999</v>
      </c>
      <c r="K32" s="15">
        <v>11968055.039999999</v>
      </c>
      <c r="L32" s="15">
        <v>130844143.87</v>
      </c>
      <c r="M32" s="15">
        <v>50359282.07</v>
      </c>
      <c r="N32" s="15">
        <v>601821037.36000013</v>
      </c>
      <c r="O32" s="15">
        <v>26012746.292675063</v>
      </c>
      <c r="P32" s="15"/>
      <c r="Q32" s="15"/>
      <c r="R32" s="15"/>
      <c r="S32" s="16">
        <f t="shared" si="0"/>
        <v>3441046861.7973685</v>
      </c>
      <c r="U32" s="10"/>
      <c r="V32" s="18">
        <v>23</v>
      </c>
      <c r="W32" s="18" t="s">
        <v>30</v>
      </c>
      <c r="AA32" s="10"/>
    </row>
    <row r="33" spans="1:27" ht="15.75" x14ac:dyDescent="0.25">
      <c r="A33" s="8"/>
      <c r="B33" s="14" t="s">
        <v>31</v>
      </c>
      <c r="C33" s="15">
        <v>3718482981.5300002</v>
      </c>
      <c r="D33" s="15">
        <v>0</v>
      </c>
      <c r="E33" s="15">
        <v>74138758.580000013</v>
      </c>
      <c r="F33" s="15">
        <v>106512077.29560831</v>
      </c>
      <c r="G33" s="15">
        <v>14912883.890000001</v>
      </c>
      <c r="H33" s="15">
        <v>0</v>
      </c>
      <c r="I33" s="15">
        <v>47751220.170000002</v>
      </c>
      <c r="J33" s="15">
        <v>22386735.870000001</v>
      </c>
      <c r="K33" s="15">
        <v>6582430.2700000005</v>
      </c>
      <c r="L33" s="15">
        <v>216919966.59</v>
      </c>
      <c r="M33" s="15">
        <v>60153931.439999998</v>
      </c>
      <c r="N33" s="15">
        <v>426526921.15000015</v>
      </c>
      <c r="O33" s="15">
        <v>44778160.28490334</v>
      </c>
      <c r="P33" s="15"/>
      <c r="Q33" s="15"/>
      <c r="R33" s="15"/>
      <c r="S33" s="16">
        <f t="shared" si="0"/>
        <v>4739146067.0705128</v>
      </c>
      <c r="U33" s="10"/>
      <c r="V33" s="18">
        <v>24</v>
      </c>
      <c r="W33" s="18" t="s">
        <v>31</v>
      </c>
      <c r="AA33" s="10"/>
    </row>
    <row r="34" spans="1:27" ht="15.75" x14ac:dyDescent="0.25">
      <c r="A34" s="8"/>
      <c r="B34" s="14" t="s">
        <v>32</v>
      </c>
      <c r="C34" s="15">
        <v>20100575383.939999</v>
      </c>
      <c r="D34" s="15">
        <v>0</v>
      </c>
      <c r="E34" s="15">
        <v>619704994.06999993</v>
      </c>
      <c r="F34" s="15">
        <v>152850454.77709979</v>
      </c>
      <c r="G34" s="15">
        <v>56366349.669999994</v>
      </c>
      <c r="H34" s="15">
        <v>0</v>
      </c>
      <c r="I34" s="15">
        <v>231178074.25999999</v>
      </c>
      <c r="J34" s="15">
        <v>66025396.170000002</v>
      </c>
      <c r="K34" s="15">
        <v>36023845.68</v>
      </c>
      <c r="L34" s="15">
        <v>1141657963.52</v>
      </c>
      <c r="M34" s="15">
        <v>177412516.69</v>
      </c>
      <c r="N34" s="15">
        <v>1334577250.6899998</v>
      </c>
      <c r="O34" s="15">
        <v>204898908.29789948</v>
      </c>
      <c r="P34" s="15"/>
      <c r="Q34" s="15"/>
      <c r="R34" s="15"/>
      <c r="S34" s="16">
        <f t="shared" si="0"/>
        <v>24121271137.764992</v>
      </c>
      <c r="U34" s="10"/>
      <c r="V34" s="18">
        <v>25</v>
      </c>
      <c r="W34" s="18" t="s">
        <v>32</v>
      </c>
      <c r="AA34" s="10"/>
    </row>
    <row r="35" spans="1:27" ht="15.75" x14ac:dyDescent="0.25">
      <c r="A35" s="8"/>
      <c r="B35" s="14" t="s">
        <v>33</v>
      </c>
      <c r="C35" s="15">
        <v>10456874754.74</v>
      </c>
      <c r="D35" s="15">
        <v>0</v>
      </c>
      <c r="E35" s="15">
        <v>279981216.47999996</v>
      </c>
      <c r="F35" s="15">
        <v>224715776.03261432</v>
      </c>
      <c r="G35" s="15">
        <v>47648348.890000001</v>
      </c>
      <c r="H35" s="15">
        <v>0</v>
      </c>
      <c r="I35" s="15">
        <v>137225513.34</v>
      </c>
      <c r="J35" s="15">
        <v>48453012.079999991</v>
      </c>
      <c r="K35" s="15">
        <v>28962693.210000001</v>
      </c>
      <c r="L35" s="15">
        <v>612002988.36000001</v>
      </c>
      <c r="M35" s="15">
        <v>130194914.60000001</v>
      </c>
      <c r="N35" s="15">
        <v>1273014416.6299994</v>
      </c>
      <c r="O35" s="15">
        <v>128319095.49407133</v>
      </c>
      <c r="P35" s="15"/>
      <c r="Q35" s="15"/>
      <c r="R35" s="15"/>
      <c r="S35" s="16">
        <f t="shared" si="0"/>
        <v>13367392729.856684</v>
      </c>
      <c r="U35" s="10"/>
      <c r="V35" s="18">
        <v>26</v>
      </c>
      <c r="W35" s="18" t="s">
        <v>33</v>
      </c>
      <c r="AA35" s="10"/>
    </row>
    <row r="36" spans="1:27" ht="15.75" x14ac:dyDescent="0.25">
      <c r="A36" s="8"/>
      <c r="B36" s="14" t="s">
        <v>34</v>
      </c>
      <c r="C36" s="15">
        <v>14627214940.139999</v>
      </c>
      <c r="D36" s="15">
        <v>0</v>
      </c>
      <c r="E36" s="15">
        <v>314863786.43000001</v>
      </c>
      <c r="F36" s="15">
        <v>139444820.46393928</v>
      </c>
      <c r="G36" s="15">
        <v>72050301.939999998</v>
      </c>
      <c r="H36" s="15">
        <v>0</v>
      </c>
      <c r="I36" s="15">
        <v>221234468.81</v>
      </c>
      <c r="J36" s="15">
        <v>70461477.480000004</v>
      </c>
      <c r="K36" s="15">
        <v>48350942.359999999</v>
      </c>
      <c r="L36" s="15">
        <v>852675918.17000008</v>
      </c>
      <c r="M36" s="15">
        <v>189332420.15000001</v>
      </c>
      <c r="N36" s="15">
        <v>1601323018.2599998</v>
      </c>
      <c r="O36" s="15">
        <v>175406845.19340277</v>
      </c>
      <c r="P36" s="15"/>
      <c r="Q36" s="15"/>
      <c r="R36" s="15"/>
      <c r="S36" s="16">
        <f t="shared" si="0"/>
        <v>18312358939.397339</v>
      </c>
      <c r="U36" s="10"/>
      <c r="V36" s="18">
        <v>27</v>
      </c>
      <c r="W36" s="18" t="s">
        <v>34</v>
      </c>
      <c r="AA36" s="10"/>
    </row>
    <row r="37" spans="1:27" ht="15.75" x14ac:dyDescent="0.25">
      <c r="A37" s="8"/>
      <c r="B37" s="14" t="s">
        <v>35</v>
      </c>
      <c r="C37" s="15">
        <v>7401087530.9100008</v>
      </c>
      <c r="D37" s="15">
        <v>0</v>
      </c>
      <c r="E37" s="15">
        <v>323447968.66999996</v>
      </c>
      <c r="F37" s="15">
        <v>77128999.493960321</v>
      </c>
      <c r="G37" s="15">
        <v>27837572.210000001</v>
      </c>
      <c r="H37" s="15">
        <v>0</v>
      </c>
      <c r="I37" s="15">
        <v>94601756.859999999</v>
      </c>
      <c r="J37" s="15">
        <v>44051319.010000005</v>
      </c>
      <c r="K37" s="15">
        <v>18789846.420000002</v>
      </c>
      <c r="L37" s="15">
        <v>429608504.74999994</v>
      </c>
      <c r="M37" s="15">
        <v>118367413.47999999</v>
      </c>
      <c r="N37" s="15">
        <v>575520291.66999996</v>
      </c>
      <c r="O37" s="15">
        <v>86554849.843728796</v>
      </c>
      <c r="P37" s="15"/>
      <c r="Q37" s="15"/>
      <c r="R37" s="15"/>
      <c r="S37" s="16">
        <f t="shared" si="0"/>
        <v>9196996053.3176899</v>
      </c>
      <c r="U37" s="10"/>
      <c r="V37" s="18">
        <v>28</v>
      </c>
      <c r="W37" s="18" t="s">
        <v>35</v>
      </c>
      <c r="AA37" s="10"/>
    </row>
    <row r="38" spans="1:27" ht="15.75" x14ac:dyDescent="0.25">
      <c r="A38" s="8"/>
      <c r="B38" s="14" t="s">
        <v>36</v>
      </c>
      <c r="C38" s="15">
        <v>8401251606.7700005</v>
      </c>
      <c r="D38" s="15">
        <v>0</v>
      </c>
      <c r="E38" s="15">
        <v>247525141.14999998</v>
      </c>
      <c r="F38" s="15">
        <v>167603603.35718527</v>
      </c>
      <c r="G38" s="15">
        <v>27350049.959999997</v>
      </c>
      <c r="H38" s="15">
        <v>0</v>
      </c>
      <c r="I38" s="15">
        <v>106717475.48</v>
      </c>
      <c r="J38" s="15">
        <v>27716911.080000002</v>
      </c>
      <c r="K38" s="15">
        <v>10890930.09</v>
      </c>
      <c r="L38" s="15">
        <v>488545407.83999997</v>
      </c>
      <c r="M38" s="15">
        <v>74476296.069999993</v>
      </c>
      <c r="N38" s="15">
        <v>579603270.68999994</v>
      </c>
      <c r="O38" s="15">
        <v>99309856.038711548</v>
      </c>
      <c r="P38" s="15"/>
      <c r="Q38" s="15"/>
      <c r="R38" s="15"/>
      <c r="S38" s="16">
        <f t="shared" si="0"/>
        <v>10230990548.525896</v>
      </c>
      <c r="U38" s="10"/>
      <c r="V38" s="18">
        <v>29</v>
      </c>
      <c r="W38" s="18" t="s">
        <v>36</v>
      </c>
      <c r="AA38" s="10"/>
    </row>
    <row r="39" spans="1:27" ht="15.75" x14ac:dyDescent="0.25">
      <c r="A39" s="8"/>
      <c r="B39" s="14" t="s">
        <v>37</v>
      </c>
      <c r="C39" s="15">
        <v>8580221671.3599997</v>
      </c>
      <c r="D39" s="15">
        <v>0</v>
      </c>
      <c r="E39" s="15">
        <v>201622715.55000004</v>
      </c>
      <c r="F39" s="15">
        <v>262424059.21139592</v>
      </c>
      <c r="G39" s="15">
        <v>21785746.949999999</v>
      </c>
      <c r="H39" s="15">
        <v>0</v>
      </c>
      <c r="I39" s="15">
        <v>110241984.94999999</v>
      </c>
      <c r="J39" s="15">
        <v>51410399.620000005</v>
      </c>
      <c r="K39" s="15">
        <v>16635596.51</v>
      </c>
      <c r="L39" s="15">
        <v>500599396.22000003</v>
      </c>
      <c r="M39" s="15">
        <v>138141516.92000002</v>
      </c>
      <c r="N39" s="15">
        <v>983815211.75000012</v>
      </c>
      <c r="O39" s="15">
        <v>103403901.92958894</v>
      </c>
      <c r="P39" s="15"/>
      <c r="Q39" s="15"/>
      <c r="R39" s="15"/>
      <c r="S39" s="16">
        <f t="shared" si="0"/>
        <v>10970302200.970985</v>
      </c>
      <c r="U39" s="10"/>
      <c r="V39" s="18">
        <v>30</v>
      </c>
      <c r="W39" s="18" t="s">
        <v>37</v>
      </c>
      <c r="AA39" s="10"/>
    </row>
    <row r="40" spans="1:27" ht="15.75" x14ac:dyDescent="0.25">
      <c r="A40" s="8"/>
      <c r="B40" s="14" t="s">
        <v>38</v>
      </c>
      <c r="C40" s="15">
        <v>7260106395.0999994</v>
      </c>
      <c r="D40" s="15">
        <v>0</v>
      </c>
      <c r="E40" s="15">
        <v>28219945.07</v>
      </c>
      <c r="F40" s="15">
        <v>13773712.653363923</v>
      </c>
      <c r="G40" s="15">
        <v>16939230.039999999</v>
      </c>
      <c r="H40" s="15">
        <v>0</v>
      </c>
      <c r="I40" s="15">
        <v>94298715.299999997</v>
      </c>
      <c r="J40" s="15">
        <v>45942671.5</v>
      </c>
      <c r="K40" s="15">
        <v>46077011.909999996</v>
      </c>
      <c r="L40" s="15">
        <v>423397906.13999999</v>
      </c>
      <c r="M40" s="15">
        <v>123449542.86000001</v>
      </c>
      <c r="N40" s="15">
        <v>1623502489.21</v>
      </c>
      <c r="O40" s="15">
        <v>87276596.535737574</v>
      </c>
      <c r="P40" s="15"/>
      <c r="Q40" s="15"/>
      <c r="R40" s="15"/>
      <c r="S40" s="16">
        <f t="shared" si="0"/>
        <v>9762984216.3191013</v>
      </c>
      <c r="U40" s="10"/>
      <c r="V40" s="18">
        <v>31</v>
      </c>
      <c r="W40" s="18" t="s">
        <v>38</v>
      </c>
      <c r="AA40" s="10"/>
    </row>
    <row r="41" spans="1:27" ht="15.75" x14ac:dyDescent="0.25">
      <c r="A41" s="8"/>
      <c r="B41" s="14" t="s">
        <v>39</v>
      </c>
      <c r="C41" s="15">
        <v>14152986478.779999</v>
      </c>
      <c r="D41" s="15">
        <v>0</v>
      </c>
      <c r="E41" s="15">
        <v>396514859.63000005</v>
      </c>
      <c r="F41" s="15">
        <v>230164283.30884463</v>
      </c>
      <c r="G41" s="15">
        <v>50814322.74000001</v>
      </c>
      <c r="H41" s="15">
        <v>0</v>
      </c>
      <c r="I41" s="15">
        <v>179942702.58000001</v>
      </c>
      <c r="J41" s="15">
        <v>58528762.650000006</v>
      </c>
      <c r="K41" s="15">
        <v>28723332.110000003</v>
      </c>
      <c r="L41" s="15">
        <v>823403272.86999989</v>
      </c>
      <c r="M41" s="15">
        <v>157268803.87</v>
      </c>
      <c r="N41" s="15">
        <v>1409467210.0200005</v>
      </c>
      <c r="O41" s="15">
        <v>167763796.60319945</v>
      </c>
      <c r="P41" s="15"/>
      <c r="Q41" s="15"/>
      <c r="R41" s="15"/>
      <c r="S41" s="16">
        <f t="shared" si="0"/>
        <v>17655577825.162045</v>
      </c>
      <c r="U41" s="10"/>
      <c r="V41" s="18">
        <v>32</v>
      </c>
      <c r="W41" s="18" t="s">
        <v>39</v>
      </c>
      <c r="AA41" s="10"/>
    </row>
    <row r="42" spans="1:27" ht="15.75" x14ac:dyDescent="0.25">
      <c r="A42" s="8"/>
      <c r="B42" s="14" t="s">
        <v>40</v>
      </c>
      <c r="C42" s="15">
        <v>9258746149.8900013</v>
      </c>
      <c r="D42" s="15">
        <v>0</v>
      </c>
      <c r="E42" s="15">
        <v>335313540.74999988</v>
      </c>
      <c r="F42" s="15">
        <v>249263283.87991589</v>
      </c>
      <c r="G42" s="15">
        <v>18099032.460000001</v>
      </c>
      <c r="H42" s="15">
        <v>0</v>
      </c>
      <c r="I42" s="15">
        <v>118050478.26999998</v>
      </c>
      <c r="J42" s="15">
        <v>31258898.489999998</v>
      </c>
      <c r="K42" s="15">
        <v>12566457.799999999</v>
      </c>
      <c r="L42" s="15">
        <v>539021462.64999998</v>
      </c>
      <c r="M42" s="15">
        <v>83993738.370000005</v>
      </c>
      <c r="N42" s="15">
        <v>776502412.70000005</v>
      </c>
      <c r="O42" s="15">
        <v>110180854.48938172</v>
      </c>
      <c r="P42" s="15"/>
      <c r="Q42" s="15"/>
      <c r="R42" s="15"/>
      <c r="S42" s="16">
        <f t="shared" si="0"/>
        <v>11532996309.749298</v>
      </c>
      <c r="U42" s="10"/>
      <c r="V42" s="18">
        <v>33</v>
      </c>
      <c r="W42" s="18" t="s">
        <v>40</v>
      </c>
      <c r="AA42" s="10"/>
    </row>
    <row r="43" spans="1:27" ht="15.75" x14ac:dyDescent="0.25">
      <c r="A43" s="8"/>
      <c r="B43" s="14" t="s">
        <v>41</v>
      </c>
      <c r="C43" s="15">
        <v>10350927853.300001</v>
      </c>
      <c r="D43" s="15">
        <v>0</v>
      </c>
      <c r="E43" s="15">
        <v>66531383.719999999</v>
      </c>
      <c r="F43" s="15">
        <v>90657853.165643841</v>
      </c>
      <c r="G43" s="15">
        <v>34436242.579999998</v>
      </c>
      <c r="H43" s="15">
        <v>0</v>
      </c>
      <c r="I43" s="15">
        <v>126124708.72999999</v>
      </c>
      <c r="J43" s="15">
        <v>52923481.600000001</v>
      </c>
      <c r="K43" s="15">
        <v>21901540.73</v>
      </c>
      <c r="L43" s="15">
        <v>595914591.75999999</v>
      </c>
      <c r="M43" s="15">
        <v>142207220.41</v>
      </c>
      <c r="N43" s="15">
        <v>796793578.9200002</v>
      </c>
      <c r="O43" s="15">
        <v>115138507.62897307</v>
      </c>
      <c r="P43" s="15"/>
      <c r="Q43" s="15"/>
      <c r="R43" s="15"/>
      <c r="S43" s="16">
        <f t="shared" si="0"/>
        <v>12393556962.544617</v>
      </c>
      <c r="U43" s="10"/>
      <c r="V43" s="18">
        <v>34</v>
      </c>
      <c r="W43" s="18" t="s">
        <v>41</v>
      </c>
      <c r="AA43" s="10"/>
    </row>
    <row r="44" spans="1:27" ht="15.75" x14ac:dyDescent="0.25">
      <c r="A44" s="8"/>
      <c r="B44" s="14" t="s">
        <v>42</v>
      </c>
      <c r="C44" s="15">
        <v>5918041959.8800001</v>
      </c>
      <c r="D44" s="15">
        <v>0</v>
      </c>
      <c r="E44" s="15">
        <v>2387417.6799999997</v>
      </c>
      <c r="F44" s="15">
        <v>6977691.1102085598</v>
      </c>
      <c r="G44" s="15">
        <v>52371443.430000007</v>
      </c>
      <c r="H44" s="15">
        <v>0</v>
      </c>
      <c r="I44" s="15">
        <v>77296019.599999994</v>
      </c>
      <c r="J44" s="15">
        <v>143742789.62</v>
      </c>
      <c r="K44" s="15">
        <v>0</v>
      </c>
      <c r="L44" s="15">
        <v>344048531.09999996</v>
      </c>
      <c r="M44" s="15">
        <v>386241833.20999998</v>
      </c>
      <c r="N44" s="15">
        <v>1214176513.8199997</v>
      </c>
      <c r="O44" s="15">
        <v>69842680.751180664</v>
      </c>
      <c r="P44" s="15"/>
      <c r="Q44" s="15"/>
      <c r="R44" s="15"/>
      <c r="S44" s="16">
        <f t="shared" si="0"/>
        <v>8215126880.2013903</v>
      </c>
      <c r="U44" s="10"/>
      <c r="V44" s="18">
        <v>35</v>
      </c>
      <c r="W44" s="18" t="s">
        <v>42</v>
      </c>
      <c r="AA44" s="10"/>
    </row>
    <row r="45" spans="1:27" ht="15.75" x14ac:dyDescent="0.25">
      <c r="A45" s="8"/>
      <c r="B45" s="14" t="s">
        <v>43</v>
      </c>
      <c r="C45" s="15">
        <v>37695569863.520004</v>
      </c>
      <c r="D45" s="15">
        <v>0</v>
      </c>
      <c r="E45" s="15">
        <v>116588901.49000001</v>
      </c>
      <c r="F45" s="15">
        <v>2020481.5327047198</v>
      </c>
      <c r="G45" s="15">
        <v>140811336.24000001</v>
      </c>
      <c r="H45" s="15">
        <v>0</v>
      </c>
      <c r="I45" s="15">
        <v>465789409.06</v>
      </c>
      <c r="J45" s="15">
        <v>597736164.99000001</v>
      </c>
      <c r="K45" s="15">
        <v>174972964.70999998</v>
      </c>
      <c r="L45" s="15">
        <v>2173246944.6500001</v>
      </c>
      <c r="M45" s="15">
        <v>1606137690.1699998</v>
      </c>
      <c r="N45" s="15">
        <v>3976438247.9700007</v>
      </c>
      <c r="O45" s="15">
        <v>422995825.93277329</v>
      </c>
      <c r="P45" s="15"/>
      <c r="Q45" s="15"/>
      <c r="R45" s="15"/>
      <c r="S45" s="16">
        <f t="shared" si="0"/>
        <v>47372307830.265472</v>
      </c>
      <c r="U45" s="10"/>
      <c r="V45" s="18">
        <v>36</v>
      </c>
      <c r="W45" s="18" t="s">
        <v>43</v>
      </c>
      <c r="AA45" s="10"/>
    </row>
    <row r="46" spans="1:27" ht="15.75" x14ac:dyDescent="0.25">
      <c r="A46" s="8"/>
      <c r="B46" s="14" t="s">
        <v>44</v>
      </c>
      <c r="C46" s="15">
        <v>33103974667.529999</v>
      </c>
      <c r="D46" s="15">
        <v>0</v>
      </c>
      <c r="E46" s="15">
        <v>13590031.420000002</v>
      </c>
      <c r="F46" s="15">
        <v>6732832.12852816</v>
      </c>
      <c r="G46" s="15">
        <v>226992409.12</v>
      </c>
      <c r="H46" s="15">
        <v>0</v>
      </c>
      <c r="I46" s="15">
        <v>422887527.36000001</v>
      </c>
      <c r="J46" s="15">
        <v>752104916.86000001</v>
      </c>
      <c r="K46" s="15">
        <v>305704443.21065652</v>
      </c>
      <c r="L46" s="15">
        <v>1919790360.4199998</v>
      </c>
      <c r="M46" s="15">
        <v>2020931850.3100002</v>
      </c>
      <c r="N46" s="15">
        <v>5142137492.2899981</v>
      </c>
      <c r="O46" s="15">
        <v>385002084.55275249</v>
      </c>
      <c r="P46" s="15"/>
      <c r="Q46" s="15"/>
      <c r="R46" s="15"/>
      <c r="S46" s="16">
        <f t="shared" si="0"/>
        <v>44299848615.201927</v>
      </c>
      <c r="U46" s="10"/>
      <c r="V46" s="18">
        <v>37</v>
      </c>
      <c r="W46" s="18" t="s">
        <v>44</v>
      </c>
      <c r="AA46" s="10"/>
    </row>
    <row r="47" spans="1:27" ht="15.75" x14ac:dyDescent="0.25">
      <c r="A47" s="8"/>
      <c r="B47" s="14" t="s">
        <v>45</v>
      </c>
      <c r="C47" s="15">
        <v>9646022174.1800003</v>
      </c>
      <c r="D47" s="15">
        <v>0</v>
      </c>
      <c r="E47" s="15">
        <v>146367927.83000001</v>
      </c>
      <c r="F47" s="15">
        <v>42727102.435546957</v>
      </c>
      <c r="G47" s="15">
        <v>28312959.710000001</v>
      </c>
      <c r="H47" s="15">
        <v>0</v>
      </c>
      <c r="I47" s="15">
        <v>115141025.02000001</v>
      </c>
      <c r="J47" s="15">
        <v>56018422.069999993</v>
      </c>
      <c r="K47" s="15">
        <v>27406846.030000001</v>
      </c>
      <c r="L47" s="15">
        <v>551669328.90999997</v>
      </c>
      <c r="M47" s="15">
        <v>150523432.13</v>
      </c>
      <c r="N47" s="15">
        <v>769794661.48000014</v>
      </c>
      <c r="O47" s="15">
        <v>102896190.46348619</v>
      </c>
      <c r="P47" s="15"/>
      <c r="Q47" s="15"/>
      <c r="R47" s="15"/>
      <c r="S47" s="16">
        <f t="shared" si="0"/>
        <v>11636880070.259031</v>
      </c>
      <c r="U47" s="10"/>
      <c r="V47" s="18">
        <v>38</v>
      </c>
      <c r="W47" s="18" t="s">
        <v>45</v>
      </c>
      <c r="AA47" s="10"/>
    </row>
    <row r="48" spans="1:27" ht="15.75" x14ac:dyDescent="0.25">
      <c r="A48" s="8"/>
      <c r="B48" s="14" t="s">
        <v>46</v>
      </c>
      <c r="C48" s="15">
        <v>13115466622.980001</v>
      </c>
      <c r="D48" s="15">
        <v>0</v>
      </c>
      <c r="E48" s="15">
        <v>52397950.809999995</v>
      </c>
      <c r="F48" s="15">
        <v>6732832.12852816</v>
      </c>
      <c r="G48" s="15">
        <v>108971953.49000001</v>
      </c>
      <c r="H48" s="15">
        <v>0</v>
      </c>
      <c r="I48" s="15">
        <v>202953596.02999997</v>
      </c>
      <c r="J48" s="15">
        <v>441854331.13999999</v>
      </c>
      <c r="K48" s="15">
        <v>0</v>
      </c>
      <c r="L48" s="15">
        <v>769148974.05999994</v>
      </c>
      <c r="M48" s="15">
        <v>1187277826.5600002</v>
      </c>
      <c r="N48" s="15">
        <v>3256909000.7799997</v>
      </c>
      <c r="O48" s="15">
        <v>162803654.68191153</v>
      </c>
      <c r="P48" s="15"/>
      <c r="Q48" s="15"/>
      <c r="R48" s="15"/>
      <c r="S48" s="16">
        <f t="shared" si="0"/>
        <v>19304516742.660439</v>
      </c>
      <c r="U48" s="10"/>
      <c r="V48" s="18">
        <v>39</v>
      </c>
      <c r="W48" s="18" t="s">
        <v>46</v>
      </c>
      <c r="AA48" s="10"/>
    </row>
    <row r="49" spans="1:27" ht="15.75" x14ac:dyDescent="0.25">
      <c r="A49" s="8"/>
      <c r="B49" s="14" t="s">
        <v>47</v>
      </c>
      <c r="C49" s="15">
        <v>41998871299.830002</v>
      </c>
      <c r="D49" s="15">
        <v>0</v>
      </c>
      <c r="E49" s="15">
        <v>20235564.649999999</v>
      </c>
      <c r="F49" s="15">
        <v>8018736.7161916811</v>
      </c>
      <c r="G49" s="15">
        <v>212190248.34999999</v>
      </c>
      <c r="H49" s="15">
        <v>0</v>
      </c>
      <c r="I49" s="15">
        <v>628021685.63999999</v>
      </c>
      <c r="J49" s="15">
        <v>1377454828.3299999</v>
      </c>
      <c r="K49" s="15">
        <v>343717855.96880913</v>
      </c>
      <c r="L49" s="15">
        <v>2441139793.4899998</v>
      </c>
      <c r="M49" s="15">
        <v>3701268629.5100002</v>
      </c>
      <c r="N49" s="15">
        <v>7836482146.7400017</v>
      </c>
      <c r="O49" s="15">
        <v>495070943.86578804</v>
      </c>
      <c r="P49" s="15"/>
      <c r="Q49" s="15"/>
      <c r="R49" s="15"/>
      <c r="S49" s="16">
        <f t="shared" si="0"/>
        <v>59062471733.090797</v>
      </c>
      <c r="U49" s="10"/>
      <c r="V49" s="18">
        <v>40</v>
      </c>
      <c r="W49" s="18" t="s">
        <v>47</v>
      </c>
      <c r="AA49" s="10"/>
    </row>
    <row r="50" spans="1:27" ht="15.75" x14ac:dyDescent="0.25">
      <c r="A50" s="8"/>
      <c r="B50" s="14" t="s">
        <v>48</v>
      </c>
      <c r="C50" s="15">
        <v>3858830968.5099998</v>
      </c>
      <c r="D50" s="15">
        <v>0</v>
      </c>
      <c r="E50" s="15">
        <v>160918788.05999997</v>
      </c>
      <c r="F50" s="15">
        <v>77497077.834163755</v>
      </c>
      <c r="G50" s="15">
        <v>11139575.32</v>
      </c>
      <c r="H50" s="15">
        <v>0</v>
      </c>
      <c r="I50" s="15">
        <v>50625639.670000002</v>
      </c>
      <c r="J50" s="15">
        <v>11967103.039999999</v>
      </c>
      <c r="K50" s="15">
        <v>7420194.120000001</v>
      </c>
      <c r="L50" s="15">
        <v>226298101.60999998</v>
      </c>
      <c r="M50" s="15">
        <v>32156018.650000006</v>
      </c>
      <c r="N50" s="15">
        <v>420437804.00000012</v>
      </c>
      <c r="O50" s="15">
        <v>47899092.532417171</v>
      </c>
      <c r="P50" s="15"/>
      <c r="Q50" s="15"/>
      <c r="R50" s="15"/>
      <c r="S50" s="16">
        <f t="shared" si="0"/>
        <v>4905190363.3465805</v>
      </c>
      <c r="U50" s="10"/>
      <c r="V50" s="18">
        <v>41</v>
      </c>
      <c r="W50" s="18" t="s">
        <v>48</v>
      </c>
      <c r="AA50" s="10"/>
    </row>
    <row r="51" spans="1:27" ht="15.75" x14ac:dyDescent="0.25">
      <c r="A51" s="8"/>
      <c r="B51" s="14" t="s">
        <v>49</v>
      </c>
      <c r="C51" s="15">
        <v>7979152397.6900005</v>
      </c>
      <c r="D51" s="15">
        <v>0</v>
      </c>
      <c r="E51" s="15">
        <v>259790396.63000005</v>
      </c>
      <c r="F51" s="15">
        <v>140913974.35402167</v>
      </c>
      <c r="G51" s="15">
        <v>46044091.990000002</v>
      </c>
      <c r="H51" s="15">
        <v>0</v>
      </c>
      <c r="I51" s="15">
        <v>86535233.796000004</v>
      </c>
      <c r="J51" s="15">
        <v>70667806.829999998</v>
      </c>
      <c r="K51" s="15">
        <v>31116943.120000001</v>
      </c>
      <c r="L51" s="15">
        <v>460776356.46000004</v>
      </c>
      <c r="M51" s="15">
        <v>189886834.28000003</v>
      </c>
      <c r="N51" s="15">
        <v>989541986.86999989</v>
      </c>
      <c r="O51" s="15">
        <v>90447304.417183042</v>
      </c>
      <c r="P51" s="15"/>
      <c r="Q51" s="15"/>
      <c r="R51" s="15"/>
      <c r="S51" s="16">
        <f t="shared" si="0"/>
        <v>10344873326.437206</v>
      </c>
      <c r="U51" s="10"/>
      <c r="V51" s="18">
        <v>42</v>
      </c>
      <c r="W51" s="18" t="s">
        <v>49</v>
      </c>
      <c r="AA51" s="10"/>
    </row>
    <row r="52" spans="1:27" ht="15.75" x14ac:dyDescent="0.25">
      <c r="A52" s="8"/>
      <c r="B52" s="14" t="s">
        <v>50</v>
      </c>
      <c r="C52" s="15">
        <v>4842111076.04</v>
      </c>
      <c r="D52" s="15">
        <v>0</v>
      </c>
      <c r="E52" s="15">
        <v>158298649.64000002</v>
      </c>
      <c r="F52" s="15">
        <v>142016629.63926631</v>
      </c>
      <c r="G52" s="15">
        <v>10891055.98</v>
      </c>
      <c r="H52" s="15">
        <v>0</v>
      </c>
      <c r="I52" s="15">
        <v>63260361.950000003</v>
      </c>
      <c r="J52" s="15">
        <v>19807618.830000002</v>
      </c>
      <c r="K52" s="15">
        <v>8660513.9499999993</v>
      </c>
      <c r="L52" s="15">
        <v>282811933.90999997</v>
      </c>
      <c r="M52" s="15">
        <v>53223754.99000001</v>
      </c>
      <c r="N52" s="15">
        <v>715089817.62999988</v>
      </c>
      <c r="O52" s="15">
        <v>58722804.130852289</v>
      </c>
      <c r="P52" s="15"/>
      <c r="Q52" s="15"/>
      <c r="R52" s="15"/>
      <c r="S52" s="16">
        <f t="shared" si="0"/>
        <v>6354894216.6901178</v>
      </c>
      <c r="U52" s="10"/>
      <c r="V52" s="18">
        <v>43</v>
      </c>
      <c r="W52" s="18" t="s">
        <v>50</v>
      </c>
      <c r="AA52" s="10"/>
    </row>
    <row r="53" spans="1:27" ht="15.75" x14ac:dyDescent="0.25">
      <c r="A53" s="8"/>
      <c r="B53" s="14" t="s">
        <v>51</v>
      </c>
      <c r="C53" s="15">
        <v>4787238178.8899994</v>
      </c>
      <c r="D53" s="15">
        <v>0</v>
      </c>
      <c r="E53" s="15">
        <v>284709518.96000004</v>
      </c>
      <c r="F53" s="15">
        <v>97330655.350276157</v>
      </c>
      <c r="G53" s="15">
        <v>21807292.979999997</v>
      </c>
      <c r="H53" s="15">
        <v>0</v>
      </c>
      <c r="I53" s="15">
        <v>61253403.700000003</v>
      </c>
      <c r="J53" s="15">
        <v>24690747.110000003</v>
      </c>
      <c r="K53" s="15">
        <v>11130291.199999999</v>
      </c>
      <c r="L53" s="15">
        <v>279069247.43000001</v>
      </c>
      <c r="M53" s="15">
        <v>66344889.049999997</v>
      </c>
      <c r="N53" s="15">
        <v>496102527.30999982</v>
      </c>
      <c r="O53" s="15">
        <v>57411216.176753573</v>
      </c>
      <c r="P53" s="15"/>
      <c r="Q53" s="15"/>
      <c r="R53" s="15"/>
      <c r="S53" s="16">
        <f t="shared" si="0"/>
        <v>6187087968.1570282</v>
      </c>
      <c r="U53" s="10"/>
      <c r="V53" s="18">
        <v>44</v>
      </c>
      <c r="W53" s="18" t="s">
        <v>51</v>
      </c>
      <c r="AA53" s="10"/>
    </row>
    <row r="54" spans="1:27" ht="15.75" x14ac:dyDescent="0.25">
      <c r="A54" s="8"/>
      <c r="B54" s="14" t="s">
        <v>52</v>
      </c>
      <c r="C54" s="15">
        <v>5683776898.8499994</v>
      </c>
      <c r="D54" s="15">
        <v>0</v>
      </c>
      <c r="E54" s="15">
        <v>201585585.74999997</v>
      </c>
      <c r="F54" s="15">
        <v>89371948.57798034</v>
      </c>
      <c r="G54" s="15">
        <v>24055872.950000003</v>
      </c>
      <c r="H54" s="15">
        <v>0</v>
      </c>
      <c r="I54" s="15">
        <v>74123020.670000002</v>
      </c>
      <c r="J54" s="15">
        <v>22730618.139999997</v>
      </c>
      <c r="K54" s="15">
        <v>14241985.5</v>
      </c>
      <c r="L54" s="15">
        <v>330951113.08999997</v>
      </c>
      <c r="M54" s="15">
        <v>61077954.960000001</v>
      </c>
      <c r="N54" s="15">
        <v>635913614.87</v>
      </c>
      <c r="O54" s="15">
        <v>67704817.273816735</v>
      </c>
      <c r="P54" s="15"/>
      <c r="Q54" s="15"/>
      <c r="R54" s="15"/>
      <c r="S54" s="16">
        <f t="shared" si="0"/>
        <v>7205533430.6317968</v>
      </c>
      <c r="U54" s="10"/>
      <c r="V54" s="18">
        <v>45</v>
      </c>
      <c r="W54" s="18" t="s">
        <v>52</v>
      </c>
      <c r="AA54" s="10"/>
    </row>
    <row r="55" spans="1:27" ht="15.75" x14ac:dyDescent="0.25">
      <c r="A55" s="8"/>
      <c r="B55" s="14" t="s">
        <v>53</v>
      </c>
      <c r="C55" s="15">
        <v>1966771264.02</v>
      </c>
      <c r="D55" s="15">
        <v>0</v>
      </c>
      <c r="E55" s="15">
        <v>78907946.99000001</v>
      </c>
      <c r="F55" s="15">
        <v>183029719.20305046</v>
      </c>
      <c r="G55" s="15">
        <v>2858433.98</v>
      </c>
      <c r="H55" s="15">
        <v>0</v>
      </c>
      <c r="I55" s="15">
        <v>24921819.34</v>
      </c>
      <c r="J55" s="15">
        <v>3954646.1000000006</v>
      </c>
      <c r="K55" s="15">
        <v>2154249.9</v>
      </c>
      <c r="L55" s="15">
        <v>114392507.73999999</v>
      </c>
      <c r="M55" s="15">
        <v>10626270.52</v>
      </c>
      <c r="N55" s="15">
        <v>336309590.13999993</v>
      </c>
      <c r="O55" s="15">
        <v>23275086.426434863</v>
      </c>
      <c r="P55" s="15"/>
      <c r="Q55" s="15"/>
      <c r="R55" s="15"/>
      <c r="S55" s="16">
        <f t="shared" si="0"/>
        <v>2747201534.3594851</v>
      </c>
      <c r="U55" s="10"/>
      <c r="V55" s="18">
        <v>46</v>
      </c>
      <c r="W55" s="18" t="s">
        <v>53</v>
      </c>
      <c r="AA55" s="10"/>
    </row>
    <row r="56" spans="1:27" ht="15.75" x14ac:dyDescent="0.25">
      <c r="A56" s="8"/>
      <c r="B56" s="14" t="s">
        <v>54</v>
      </c>
      <c r="C56" s="15">
        <v>7596097365.4400005</v>
      </c>
      <c r="D56" s="15">
        <v>0</v>
      </c>
      <c r="E56" s="15">
        <v>206558566.57000002</v>
      </c>
      <c r="F56" s="15">
        <v>203719513.28736147</v>
      </c>
      <c r="G56" s="15">
        <v>21703783.679999996</v>
      </c>
      <c r="H56" s="15">
        <v>0</v>
      </c>
      <c r="I56" s="15">
        <v>96593555.030000001</v>
      </c>
      <c r="J56" s="15">
        <v>13583349.709999999</v>
      </c>
      <c r="K56" s="15">
        <v>7898916.3300000001</v>
      </c>
      <c r="L56" s="15">
        <v>442201298.43000001</v>
      </c>
      <c r="M56" s="15">
        <v>36498929.200000003</v>
      </c>
      <c r="N56" s="15">
        <v>769414644.33000004</v>
      </c>
      <c r="O56" s="15">
        <v>90365174.621195838</v>
      </c>
      <c r="P56" s="15"/>
      <c r="Q56" s="15"/>
      <c r="R56" s="15"/>
      <c r="S56" s="16">
        <f t="shared" si="0"/>
        <v>9484635096.6285591</v>
      </c>
      <c r="U56" s="10"/>
      <c r="V56" s="18">
        <v>47</v>
      </c>
      <c r="W56" s="18" t="s">
        <v>54</v>
      </c>
      <c r="AA56" s="10"/>
    </row>
    <row r="57" spans="1:27" ht="15.75" x14ac:dyDescent="0.25">
      <c r="A57" s="8"/>
      <c r="B57" s="14" t="s">
        <v>55</v>
      </c>
      <c r="C57" s="15">
        <v>3471343894.6200004</v>
      </c>
      <c r="D57" s="15">
        <v>0</v>
      </c>
      <c r="E57" s="15">
        <v>69836846.060000002</v>
      </c>
      <c r="F57" s="15">
        <v>67334640.226744324</v>
      </c>
      <c r="G57" s="15">
        <v>14701403.920000002</v>
      </c>
      <c r="H57" s="15">
        <v>0</v>
      </c>
      <c r="I57" s="15">
        <v>44147781.479999997</v>
      </c>
      <c r="J57" s="15">
        <v>25069017.609999999</v>
      </c>
      <c r="K57" s="15">
        <v>12327096.699999999</v>
      </c>
      <c r="L57" s="15">
        <v>201874912.07999998</v>
      </c>
      <c r="M57" s="15">
        <v>67361314.939999998</v>
      </c>
      <c r="N57" s="15">
        <v>543201130.04999983</v>
      </c>
      <c r="O57" s="15">
        <v>41047476.521726921</v>
      </c>
      <c r="P57" s="15"/>
      <c r="Q57" s="15"/>
      <c r="R57" s="15"/>
      <c r="S57" s="16">
        <f t="shared" si="0"/>
        <v>4558245514.2084713</v>
      </c>
      <c r="U57" s="10"/>
      <c r="V57" s="18">
        <v>48</v>
      </c>
      <c r="W57" s="18" t="s">
        <v>55</v>
      </c>
      <c r="AA57" s="10"/>
    </row>
    <row r="58" spans="1:27" ht="15.75" x14ac:dyDescent="0.25">
      <c r="A58" s="8"/>
      <c r="B58" s="14" t="s">
        <v>56</v>
      </c>
      <c r="C58" s="15">
        <v>2688983010.6700001</v>
      </c>
      <c r="D58" s="15">
        <v>0</v>
      </c>
      <c r="E58" s="15">
        <v>54221008.100000009</v>
      </c>
      <c r="F58" s="15">
        <v>72476678.842032716</v>
      </c>
      <c r="G58" s="15">
        <v>2201640.91</v>
      </c>
      <c r="H58" s="15">
        <v>0</v>
      </c>
      <c r="I58" s="15">
        <v>33715170.289999999</v>
      </c>
      <c r="J58" s="15">
        <v>7083974.7800000012</v>
      </c>
      <c r="K58" s="15">
        <v>3351055.41</v>
      </c>
      <c r="L58" s="15">
        <v>155969204.00999999</v>
      </c>
      <c r="M58" s="15">
        <v>19034884.600000001</v>
      </c>
      <c r="N58" s="15">
        <v>448414750.57000017</v>
      </c>
      <c r="O58" s="15">
        <v>31306384.961304981</v>
      </c>
      <c r="P58" s="15"/>
      <c r="Q58" s="15"/>
      <c r="R58" s="15"/>
      <c r="S58" s="16">
        <f t="shared" si="0"/>
        <v>3516757763.1433377</v>
      </c>
      <c r="U58" s="10"/>
      <c r="V58" s="18">
        <v>49</v>
      </c>
      <c r="W58" s="18" t="s">
        <v>56</v>
      </c>
      <c r="AA58" s="10"/>
    </row>
    <row r="59" spans="1:27" ht="15.75" x14ac:dyDescent="0.25">
      <c r="A59" s="8"/>
      <c r="B59" s="14" t="s">
        <v>57</v>
      </c>
      <c r="C59" s="15">
        <v>6277459436.4200001</v>
      </c>
      <c r="D59" s="15">
        <v>0</v>
      </c>
      <c r="E59" s="15">
        <v>147925338.80000001</v>
      </c>
      <c r="F59" s="15">
        <v>122427911.10483432</v>
      </c>
      <c r="G59" s="15">
        <v>21105412.859999999</v>
      </c>
      <c r="H59" s="15">
        <v>0</v>
      </c>
      <c r="I59" s="15">
        <v>83223979.760000005</v>
      </c>
      <c r="J59" s="15">
        <v>36382744.32</v>
      </c>
      <c r="K59" s="15">
        <v>15438791.000000002</v>
      </c>
      <c r="L59" s="15">
        <v>368138816.59999996</v>
      </c>
      <c r="M59" s="15">
        <v>97761688.890000001</v>
      </c>
      <c r="N59" s="15">
        <v>957414306.25000012</v>
      </c>
      <c r="O59" s="15">
        <v>77923754.919982418</v>
      </c>
      <c r="P59" s="15"/>
      <c r="Q59" s="15"/>
      <c r="R59" s="15"/>
      <c r="S59" s="16">
        <f t="shared" si="0"/>
        <v>8205202180.9248171</v>
      </c>
      <c r="U59" s="10"/>
      <c r="V59" s="18">
        <v>50</v>
      </c>
      <c r="W59" s="18" t="s">
        <v>57</v>
      </c>
      <c r="AA59" s="10"/>
    </row>
    <row r="60" spans="1:27" ht="15.75" x14ac:dyDescent="0.25">
      <c r="A60" s="8"/>
      <c r="B60" s="14" t="s">
        <v>58</v>
      </c>
      <c r="C60" s="15">
        <v>6350060500.3699999</v>
      </c>
      <c r="D60" s="15">
        <v>0</v>
      </c>
      <c r="E60" s="15">
        <v>94142084.220000014</v>
      </c>
      <c r="F60" s="15">
        <v>74069052.090638161</v>
      </c>
      <c r="G60" s="15">
        <v>13313190.830000002</v>
      </c>
      <c r="H60" s="15">
        <v>0</v>
      </c>
      <c r="I60" s="15">
        <v>79014041.859999999</v>
      </c>
      <c r="J60" s="15">
        <v>21183147.93</v>
      </c>
      <c r="K60" s="15">
        <v>9694124.5800000001</v>
      </c>
      <c r="L60" s="15">
        <v>367669479.11000001</v>
      </c>
      <c r="M60" s="15">
        <v>56919849.109999999</v>
      </c>
      <c r="N60" s="15">
        <v>541813623.74999976</v>
      </c>
      <c r="O60" s="15">
        <v>73145294.062544972</v>
      </c>
      <c r="P60" s="15"/>
      <c r="Q60" s="15"/>
      <c r="R60" s="15"/>
      <c r="S60" s="16">
        <f t="shared" si="0"/>
        <v>7681024387.9131823</v>
      </c>
      <c r="U60" s="10"/>
      <c r="V60" s="18">
        <v>51</v>
      </c>
      <c r="W60" s="18" t="s">
        <v>58</v>
      </c>
      <c r="AA60" s="10"/>
    </row>
    <row r="61" spans="1:27" ht="15.75" x14ac:dyDescent="0.25">
      <c r="A61" s="8"/>
      <c r="B61" s="14" t="s">
        <v>59</v>
      </c>
      <c r="C61" s="15">
        <v>6232505870.6299992</v>
      </c>
      <c r="D61" s="15">
        <v>0</v>
      </c>
      <c r="E61" s="15">
        <v>274652219.13000005</v>
      </c>
      <c r="F61" s="15">
        <v>124263563.59975448</v>
      </c>
      <c r="G61" s="15">
        <v>14152581.319999998</v>
      </c>
      <c r="H61" s="15">
        <v>0</v>
      </c>
      <c r="I61" s="15">
        <v>80341296.819999993</v>
      </c>
      <c r="J61" s="15">
        <v>20632936.289999999</v>
      </c>
      <c r="K61" s="15">
        <v>8856360.7400000002</v>
      </c>
      <c r="L61" s="15">
        <v>363036030.37</v>
      </c>
      <c r="M61" s="15">
        <v>55441411.469999999</v>
      </c>
      <c r="N61" s="15">
        <v>606004176.17999971</v>
      </c>
      <c r="O61" s="15">
        <v>74402128.819318891</v>
      </c>
      <c r="P61" s="15"/>
      <c r="Q61" s="15"/>
      <c r="R61" s="15"/>
      <c r="S61" s="16">
        <f t="shared" si="0"/>
        <v>7854288575.369071</v>
      </c>
      <c r="U61" s="10"/>
      <c r="V61" s="18">
        <v>52</v>
      </c>
      <c r="W61" s="18" t="s">
        <v>59</v>
      </c>
      <c r="AA61" s="10"/>
    </row>
    <row r="62" spans="1:27" ht="15.75" x14ac:dyDescent="0.25">
      <c r="A62" s="8"/>
      <c r="B62" s="14" t="s">
        <v>60</v>
      </c>
      <c r="C62" s="15">
        <v>45025744727.970001</v>
      </c>
      <c r="D62" s="15">
        <v>0</v>
      </c>
      <c r="E62" s="15">
        <v>259300477.5</v>
      </c>
      <c r="F62" s="15">
        <v>138650213.57500225</v>
      </c>
      <c r="G62" s="15">
        <v>964154300.68999994</v>
      </c>
      <c r="H62" s="15">
        <v>0</v>
      </c>
      <c r="I62" s="15">
        <v>859847126.34000003</v>
      </c>
      <c r="J62" s="15">
        <v>1134983438.4100001</v>
      </c>
      <c r="K62" s="15">
        <v>455623855.30000001</v>
      </c>
      <c r="L62" s="15">
        <v>2617804140.1200004</v>
      </c>
      <c r="M62" s="15">
        <v>3049739642.4200001</v>
      </c>
      <c r="N62" s="15">
        <v>10129699187.189997</v>
      </c>
      <c r="O62" s="15">
        <v>531628658.20688099</v>
      </c>
      <c r="P62" s="15"/>
      <c r="Q62" s="15"/>
      <c r="R62" s="15"/>
      <c r="S62" s="16">
        <f t="shared" si="0"/>
        <v>65167175767.721886</v>
      </c>
      <c r="U62" s="10"/>
      <c r="V62" s="18">
        <v>53</v>
      </c>
      <c r="W62" s="18" t="s">
        <v>60</v>
      </c>
      <c r="AA62" s="10"/>
    </row>
    <row r="63" spans="1:27" ht="15.75" x14ac:dyDescent="0.25">
      <c r="A63" s="8"/>
      <c r="B63" s="14" t="s">
        <v>61</v>
      </c>
      <c r="C63" s="15">
        <v>11297274279.969999</v>
      </c>
      <c r="D63" s="15">
        <v>0</v>
      </c>
      <c r="E63" s="15">
        <v>66111127.590000004</v>
      </c>
      <c r="F63" s="15">
        <v>15302896.487342162</v>
      </c>
      <c r="G63" s="15">
        <v>77722365.579999998</v>
      </c>
      <c r="H63" s="15">
        <v>0</v>
      </c>
      <c r="I63" s="15">
        <v>140278393.50999999</v>
      </c>
      <c r="J63" s="15">
        <v>202615434.58000001</v>
      </c>
      <c r="K63" s="15">
        <v>41392914.92025353</v>
      </c>
      <c r="L63" s="15">
        <v>649711934.75</v>
      </c>
      <c r="M63" s="15">
        <v>544434660.60000002</v>
      </c>
      <c r="N63" s="15">
        <v>2508180269.4000006</v>
      </c>
      <c r="O63" s="15">
        <v>124842267.46394628</v>
      </c>
      <c r="P63" s="15"/>
      <c r="Q63" s="15"/>
      <c r="R63" s="15"/>
      <c r="S63" s="16">
        <f t="shared" si="0"/>
        <v>15667866544.851542</v>
      </c>
      <c r="U63" s="10"/>
      <c r="V63" s="18">
        <v>54</v>
      </c>
      <c r="W63" s="18" t="s">
        <v>61</v>
      </c>
      <c r="AA63" s="10"/>
    </row>
    <row r="64" spans="1:27" ht="15.75" x14ac:dyDescent="0.25">
      <c r="A64" s="8"/>
      <c r="B64" s="14" t="s">
        <v>62</v>
      </c>
      <c r="C64" s="15">
        <v>47349189824.130005</v>
      </c>
      <c r="D64" s="15">
        <v>0</v>
      </c>
      <c r="E64" s="15">
        <v>0</v>
      </c>
      <c r="F64" s="15">
        <v>0</v>
      </c>
      <c r="G64" s="15">
        <v>429550926.74000001</v>
      </c>
      <c r="H64" s="15">
        <v>0</v>
      </c>
      <c r="I64" s="15">
        <v>733658067.23000002</v>
      </c>
      <c r="J64" s="15">
        <v>908502574.13</v>
      </c>
      <c r="K64" s="15">
        <v>0</v>
      </c>
      <c r="L64" s="15">
        <v>2770860786.8699994</v>
      </c>
      <c r="M64" s="15">
        <v>2441177749.2200003</v>
      </c>
      <c r="N64" s="15">
        <v>4987694258.5500002</v>
      </c>
      <c r="O64" s="15">
        <v>580655168.84784985</v>
      </c>
      <c r="P64" s="15"/>
      <c r="Q64" s="15"/>
      <c r="R64" s="15"/>
      <c r="S64" s="16">
        <f t="shared" si="0"/>
        <v>60201289355.717857</v>
      </c>
      <c r="U64" s="10"/>
      <c r="V64" s="18">
        <v>55</v>
      </c>
      <c r="W64" s="18" t="s">
        <v>62</v>
      </c>
      <c r="AA64" s="10"/>
    </row>
    <row r="65" spans="1:27" ht="15.75" x14ac:dyDescent="0.25">
      <c r="A65" s="8"/>
      <c r="B65" s="14" t="s">
        <v>63</v>
      </c>
      <c r="C65" s="15">
        <v>8363473727.5200005</v>
      </c>
      <c r="D65" s="15">
        <v>0</v>
      </c>
      <c r="E65" s="15">
        <v>237250988.87</v>
      </c>
      <c r="F65" s="15">
        <v>181192486.9727647</v>
      </c>
      <c r="G65" s="15">
        <v>15690826.450000001</v>
      </c>
      <c r="H65" s="15">
        <v>0</v>
      </c>
      <c r="I65" s="15">
        <v>108471898.51000001</v>
      </c>
      <c r="J65" s="15">
        <v>32015439.490000002</v>
      </c>
      <c r="K65" s="15">
        <v>15438791.000000002</v>
      </c>
      <c r="L65" s="15">
        <v>489172677.69000006</v>
      </c>
      <c r="M65" s="15">
        <v>86026590.129999995</v>
      </c>
      <c r="N65" s="15">
        <v>669308019.9000001</v>
      </c>
      <c r="O65" s="15">
        <v>102256573.56746463</v>
      </c>
      <c r="P65" s="15"/>
      <c r="Q65" s="15"/>
      <c r="R65" s="15"/>
      <c r="S65" s="16">
        <f t="shared" si="0"/>
        <v>10300298020.100231</v>
      </c>
      <c r="U65" s="10"/>
      <c r="V65" s="18">
        <v>56</v>
      </c>
      <c r="W65" s="18" t="s">
        <v>63</v>
      </c>
      <c r="AA65" s="10"/>
    </row>
    <row r="66" spans="1:27" ht="15.75" x14ac:dyDescent="0.25">
      <c r="A66" s="8"/>
      <c r="B66" s="14" t="s">
        <v>64</v>
      </c>
      <c r="C66" s="15">
        <v>13993432977.790001</v>
      </c>
      <c r="D66" s="15">
        <v>0</v>
      </c>
      <c r="E66" s="15">
        <v>1012329257.37</v>
      </c>
      <c r="F66" s="15">
        <v>360244432.52503294</v>
      </c>
      <c r="G66" s="15">
        <v>32757340.359999999</v>
      </c>
      <c r="H66" s="15">
        <v>0</v>
      </c>
      <c r="I66" s="15">
        <v>177496054.14999998</v>
      </c>
      <c r="J66" s="15">
        <v>58597539.099999994</v>
      </c>
      <c r="K66" s="15">
        <v>24055790.639999997</v>
      </c>
      <c r="L66" s="15">
        <v>808695687.60000014</v>
      </c>
      <c r="M66" s="15">
        <v>157453608.57999998</v>
      </c>
      <c r="N66" s="15">
        <v>1418840974.6200004</v>
      </c>
      <c r="O66" s="15">
        <v>159354203.25044888</v>
      </c>
      <c r="P66" s="15"/>
      <c r="Q66" s="15"/>
      <c r="R66" s="15"/>
      <c r="S66" s="16">
        <f t="shared" si="0"/>
        <v>18203257865.985485</v>
      </c>
      <c r="U66" s="10"/>
      <c r="V66" s="18">
        <v>57</v>
      </c>
      <c r="W66" s="18" t="s">
        <v>64</v>
      </c>
      <c r="AA66" s="10"/>
    </row>
    <row r="67" spans="1:27" ht="15.75" x14ac:dyDescent="0.25">
      <c r="A67" s="8"/>
      <c r="B67" s="14" t="s">
        <v>65</v>
      </c>
      <c r="C67" s="15">
        <v>7180540694.1700001</v>
      </c>
      <c r="D67" s="15">
        <v>0</v>
      </c>
      <c r="E67" s="15">
        <v>209451583.08999997</v>
      </c>
      <c r="F67" s="15">
        <v>166502527.80730632</v>
      </c>
      <c r="G67" s="15">
        <v>12409362.960000001</v>
      </c>
      <c r="H67" s="15">
        <v>0</v>
      </c>
      <c r="I67" s="15">
        <v>89880397.629999995</v>
      </c>
      <c r="J67" s="15">
        <v>12758032.25</v>
      </c>
      <c r="K67" s="15">
        <v>8018596.8799999999</v>
      </c>
      <c r="L67" s="15">
        <v>416453040.12</v>
      </c>
      <c r="M67" s="15">
        <v>34281272.75</v>
      </c>
      <c r="N67" s="15">
        <v>846281283.24999988</v>
      </c>
      <c r="O67" s="15">
        <v>83550890.335954323</v>
      </c>
      <c r="P67" s="15"/>
      <c r="Q67" s="15"/>
      <c r="R67" s="15"/>
      <c r="S67" s="16">
        <f t="shared" si="0"/>
        <v>9060127681.2432613</v>
      </c>
      <c r="U67" s="10"/>
      <c r="V67" s="18">
        <v>58</v>
      </c>
      <c r="W67" s="18" t="s">
        <v>65</v>
      </c>
      <c r="AA67" s="10"/>
    </row>
    <row r="68" spans="1:27" ht="15.75" x14ac:dyDescent="0.25">
      <c r="A68" s="8"/>
      <c r="B68" s="14" t="s">
        <v>66</v>
      </c>
      <c r="C68" s="15">
        <v>3811344807.4899998</v>
      </c>
      <c r="D68" s="15">
        <v>0</v>
      </c>
      <c r="E68" s="15">
        <v>175454998.45999998</v>
      </c>
      <c r="F68" s="15">
        <v>70396167.365432173</v>
      </c>
      <c r="G68" s="15">
        <v>7783038.8700000001</v>
      </c>
      <c r="H68" s="15">
        <v>0</v>
      </c>
      <c r="I68" s="15">
        <v>49524036.720000006</v>
      </c>
      <c r="J68" s="15">
        <v>12482926.459999999</v>
      </c>
      <c r="K68" s="15">
        <v>7300513.580000001</v>
      </c>
      <c r="L68" s="15">
        <v>222964076.87</v>
      </c>
      <c r="M68" s="15">
        <v>33542053.950000003</v>
      </c>
      <c r="N68" s="15">
        <v>375666440.20000011</v>
      </c>
      <c r="O68" s="15">
        <v>46649724.120733008</v>
      </c>
      <c r="P68" s="15"/>
      <c r="Q68" s="15"/>
      <c r="R68" s="15"/>
      <c r="S68" s="16">
        <f t="shared" si="0"/>
        <v>4813108784.0861645</v>
      </c>
      <c r="U68" s="10"/>
      <c r="V68" s="18">
        <v>59</v>
      </c>
      <c r="W68" s="18" t="s">
        <v>66</v>
      </c>
      <c r="AA68" s="10"/>
    </row>
    <row r="69" spans="1:27" ht="15.75" x14ac:dyDescent="0.25">
      <c r="A69" s="8"/>
      <c r="B69" s="14" t="s">
        <v>67</v>
      </c>
      <c r="C69" s="15">
        <v>17569457476.880001</v>
      </c>
      <c r="D69" s="15">
        <v>0</v>
      </c>
      <c r="E69" s="15">
        <v>0</v>
      </c>
      <c r="F69" s="15">
        <v>0</v>
      </c>
      <c r="G69" s="15">
        <v>133888768.08000001</v>
      </c>
      <c r="H69" s="15">
        <v>0</v>
      </c>
      <c r="I69" s="15">
        <v>262221175.70999998</v>
      </c>
      <c r="J69" s="15">
        <v>335422767.98000002</v>
      </c>
      <c r="K69" s="15">
        <v>145881497.0842706</v>
      </c>
      <c r="L69" s="15">
        <v>1023020638.58</v>
      </c>
      <c r="M69" s="15">
        <v>901292545.74000001</v>
      </c>
      <c r="N69" s="15">
        <v>2420458091.4299994</v>
      </c>
      <c r="O69" s="15">
        <v>209284141.64727697</v>
      </c>
      <c r="P69" s="15"/>
      <c r="Q69" s="15"/>
      <c r="R69" s="15"/>
      <c r="S69" s="16">
        <f t="shared" si="0"/>
        <v>23000927103.131554</v>
      </c>
      <c r="U69" s="10"/>
      <c r="V69" s="18">
        <v>60</v>
      </c>
      <c r="W69" s="18" t="s">
        <v>67</v>
      </c>
      <c r="AA69" s="10"/>
    </row>
    <row r="70" spans="1:27" ht="15.75" x14ac:dyDescent="0.25">
      <c r="A70" s="8"/>
      <c r="B70" s="14" t="s">
        <v>68</v>
      </c>
      <c r="C70" s="15">
        <v>11084958377.870001</v>
      </c>
      <c r="D70" s="15">
        <v>0</v>
      </c>
      <c r="E70" s="15">
        <v>0</v>
      </c>
      <c r="F70" s="15">
        <v>0</v>
      </c>
      <c r="G70" s="15">
        <v>170360521.28</v>
      </c>
      <c r="H70" s="15">
        <v>0</v>
      </c>
      <c r="I70" s="15">
        <v>141811623.93000001</v>
      </c>
      <c r="J70" s="15">
        <v>295807530.25999999</v>
      </c>
      <c r="K70" s="15">
        <v>145043106.55617034</v>
      </c>
      <c r="L70" s="15">
        <v>644506186.25999999</v>
      </c>
      <c r="M70" s="15">
        <v>794845035.72000003</v>
      </c>
      <c r="N70" s="15">
        <v>2032799005.2099991</v>
      </c>
      <c r="O70" s="15">
        <v>130912406.02190977</v>
      </c>
      <c r="P70" s="15"/>
      <c r="Q70" s="15"/>
      <c r="R70" s="15"/>
      <c r="S70" s="16">
        <f t="shared" si="0"/>
        <v>15441043793.10808</v>
      </c>
      <c r="U70" s="10"/>
      <c r="V70" s="18">
        <v>61</v>
      </c>
      <c r="W70" s="18" t="s">
        <v>68</v>
      </c>
      <c r="AA70" s="10"/>
    </row>
    <row r="71" spans="1:27" ht="15.75" x14ac:dyDescent="0.25">
      <c r="A71" s="8"/>
      <c r="B71" s="14" t="s">
        <v>69</v>
      </c>
      <c r="C71" s="15">
        <v>39616121264.730003</v>
      </c>
      <c r="D71" s="15">
        <v>0</v>
      </c>
      <c r="E71" s="15">
        <v>935421.27000000014</v>
      </c>
      <c r="F71" s="15">
        <v>1835652.4949201599</v>
      </c>
      <c r="G71" s="15">
        <v>159148062.06999999</v>
      </c>
      <c r="H71" s="15">
        <v>0</v>
      </c>
      <c r="I71" s="15">
        <v>507078961.97000003</v>
      </c>
      <c r="J71" s="15">
        <v>873013923.67000008</v>
      </c>
      <c r="K71" s="15">
        <v>161778997.53574693</v>
      </c>
      <c r="L71" s="15">
        <v>2303139026.48</v>
      </c>
      <c r="M71" s="15">
        <v>2345818521.5100002</v>
      </c>
      <c r="N71" s="15">
        <v>4746939920.0499983</v>
      </c>
      <c r="O71" s="15">
        <v>467577372.46364665</v>
      </c>
      <c r="P71" s="15"/>
      <c r="Q71" s="15"/>
      <c r="R71" s="15"/>
      <c r="S71" s="16">
        <f t="shared" si="0"/>
        <v>51183387124.244308</v>
      </c>
      <c r="U71" s="10"/>
      <c r="V71" s="18">
        <v>62</v>
      </c>
      <c r="W71" s="18" t="s">
        <v>69</v>
      </c>
      <c r="AA71" s="10"/>
    </row>
    <row r="72" spans="1:27" ht="15.75" x14ac:dyDescent="0.25">
      <c r="A72" s="8"/>
      <c r="B72" s="14" t="s">
        <v>70</v>
      </c>
      <c r="C72" s="15">
        <v>8235155567.9699993</v>
      </c>
      <c r="D72" s="15">
        <v>0</v>
      </c>
      <c r="E72" s="15">
        <v>360478468.45000005</v>
      </c>
      <c r="F72" s="15">
        <v>114347564.70938113</v>
      </c>
      <c r="G72" s="15">
        <v>132459045.48999999</v>
      </c>
      <c r="H72" s="15">
        <v>0</v>
      </c>
      <c r="I72" s="15">
        <v>106839380.26000001</v>
      </c>
      <c r="J72" s="15">
        <v>193880824.86000001</v>
      </c>
      <c r="K72" s="15">
        <v>70850885.849999994</v>
      </c>
      <c r="L72" s="15">
        <v>478695900.28000003</v>
      </c>
      <c r="M72" s="15">
        <v>520964463.08000004</v>
      </c>
      <c r="N72" s="15">
        <v>2017739707.4700007</v>
      </c>
      <c r="O72" s="15">
        <v>97117239.364022806</v>
      </c>
      <c r="P72" s="15"/>
      <c r="Q72" s="15"/>
      <c r="R72" s="15"/>
      <c r="S72" s="16">
        <f t="shared" si="0"/>
        <v>12328529047.783407</v>
      </c>
      <c r="U72" s="10"/>
      <c r="V72" s="18">
        <v>63</v>
      </c>
      <c r="W72" s="18" t="s">
        <v>70</v>
      </c>
      <c r="AA72" s="10"/>
    </row>
    <row r="73" spans="1:27" ht="15.75" x14ac:dyDescent="0.25">
      <c r="A73" s="8"/>
      <c r="B73" s="14" t="s">
        <v>71</v>
      </c>
      <c r="C73" s="15">
        <v>32125759750.540001</v>
      </c>
      <c r="D73" s="15">
        <v>0</v>
      </c>
      <c r="E73" s="15">
        <v>3256100.04</v>
      </c>
      <c r="F73" s="15">
        <v>0</v>
      </c>
      <c r="G73" s="15">
        <v>126851385.44</v>
      </c>
      <c r="H73" s="15">
        <v>0</v>
      </c>
      <c r="I73" s="15">
        <v>284227703.67000002</v>
      </c>
      <c r="J73" s="15">
        <v>122078206.5</v>
      </c>
      <c r="K73" s="15">
        <v>68816316.489999995</v>
      </c>
      <c r="L73" s="15">
        <v>1867013499.0599999</v>
      </c>
      <c r="M73" s="15">
        <v>328028351.16999996</v>
      </c>
      <c r="N73" s="15">
        <v>1686343831.8099995</v>
      </c>
      <c r="O73" s="15">
        <v>378374458.89475453</v>
      </c>
      <c r="P73" s="15"/>
      <c r="Q73" s="15"/>
      <c r="R73" s="15"/>
      <c r="S73" s="16">
        <f t="shared" si="0"/>
        <v>36990749603.614746</v>
      </c>
      <c r="U73" s="10"/>
      <c r="V73" s="18">
        <v>64</v>
      </c>
      <c r="W73" s="18" t="s">
        <v>71</v>
      </c>
      <c r="AA73" s="10"/>
    </row>
    <row r="74" spans="1:27" ht="15.75" x14ac:dyDescent="0.25">
      <c r="A74" s="8"/>
      <c r="B74" s="14" t="s">
        <v>72</v>
      </c>
      <c r="C74" s="15">
        <v>138935220955.57001</v>
      </c>
      <c r="D74" s="15">
        <v>0</v>
      </c>
      <c r="E74" s="15">
        <v>21463786.629999999</v>
      </c>
      <c r="F74" s="15">
        <v>9671139.9086929597</v>
      </c>
      <c r="G74" s="15">
        <v>762088102.77999997</v>
      </c>
      <c r="H74" s="15">
        <v>0</v>
      </c>
      <c r="I74" s="15">
        <v>2096373402.6300001</v>
      </c>
      <c r="J74" s="15">
        <v>3552131931.6900005</v>
      </c>
      <c r="K74" s="15">
        <v>0</v>
      </c>
      <c r="L74" s="15">
        <v>8101996549.4499998</v>
      </c>
      <c r="M74" s="15">
        <v>9544700995.7299995</v>
      </c>
      <c r="N74" s="15">
        <v>24706581085.539993</v>
      </c>
      <c r="O74" s="15">
        <v>1669611645.0605175</v>
      </c>
      <c r="P74" s="15"/>
      <c r="Q74" s="15"/>
      <c r="R74" s="15"/>
      <c r="S74" s="16">
        <f t="shared" si="0"/>
        <v>189399839594.98923</v>
      </c>
      <c r="U74" s="10"/>
      <c r="V74" s="18">
        <v>65</v>
      </c>
      <c r="W74" s="18" t="s">
        <v>72</v>
      </c>
      <c r="AA74" s="10"/>
    </row>
    <row r="75" spans="1:27" ht="15.75" x14ac:dyDescent="0.25">
      <c r="A75" s="8"/>
      <c r="B75" s="14" t="s">
        <v>73</v>
      </c>
      <c r="C75" s="15">
        <v>66899136790.410004</v>
      </c>
      <c r="D75" s="15">
        <v>0</v>
      </c>
      <c r="E75" s="15">
        <v>137810865.03999999</v>
      </c>
      <c r="F75" s="15">
        <v>37585063.820258565</v>
      </c>
      <c r="G75" s="15">
        <v>1195005921.4100001</v>
      </c>
      <c r="H75" s="15">
        <v>0</v>
      </c>
      <c r="I75" s="15">
        <v>990328688.15999997</v>
      </c>
      <c r="J75" s="15">
        <v>1318444630.47</v>
      </c>
      <c r="K75" s="15">
        <v>638181822.71860254</v>
      </c>
      <c r="L75" s="15">
        <v>3875424738.4599991</v>
      </c>
      <c r="M75" s="15">
        <v>3542706192.7200003</v>
      </c>
      <c r="N75" s="15">
        <v>10762015892.669996</v>
      </c>
      <c r="O75" s="15">
        <v>772948397.85256147</v>
      </c>
      <c r="P75" s="15"/>
      <c r="Q75" s="15"/>
      <c r="R75" s="15"/>
      <c r="S75" s="16">
        <f t="shared" ref="S75:S138" si="1">SUM(C75:R75)</f>
        <v>90169589003.731415</v>
      </c>
      <c r="U75" s="10"/>
      <c r="V75" s="18">
        <v>66</v>
      </c>
      <c r="W75" s="18" t="s">
        <v>73</v>
      </c>
      <c r="AA75" s="10"/>
    </row>
    <row r="76" spans="1:27" ht="15.75" x14ac:dyDescent="0.25">
      <c r="A76" s="8"/>
      <c r="B76" s="14" t="s">
        <v>74</v>
      </c>
      <c r="C76" s="15">
        <v>34573935163.049995</v>
      </c>
      <c r="D76" s="15">
        <v>0</v>
      </c>
      <c r="E76" s="15">
        <v>0</v>
      </c>
      <c r="F76" s="15">
        <v>0</v>
      </c>
      <c r="G76" s="15">
        <v>394088527.25999999</v>
      </c>
      <c r="H76" s="15">
        <v>0</v>
      </c>
      <c r="I76" s="15">
        <v>505110704.88999999</v>
      </c>
      <c r="J76" s="15">
        <v>957230692.05999994</v>
      </c>
      <c r="K76" s="15">
        <v>985017352.9030757</v>
      </c>
      <c r="L76" s="15">
        <v>2005320904.73</v>
      </c>
      <c r="M76" s="15">
        <v>2572111882.6199999</v>
      </c>
      <c r="N76" s="15">
        <v>5773267011.8200016</v>
      </c>
      <c r="O76" s="15">
        <v>402438489.11900598</v>
      </c>
      <c r="P76" s="15"/>
      <c r="Q76" s="15"/>
      <c r="R76" s="15"/>
      <c r="S76" s="16">
        <f t="shared" si="1"/>
        <v>48168520728.45208</v>
      </c>
      <c r="U76" s="10"/>
      <c r="V76" s="18">
        <v>67</v>
      </c>
      <c r="W76" s="18" t="s">
        <v>74</v>
      </c>
      <c r="AA76" s="10"/>
    </row>
    <row r="77" spans="1:27" ht="15.75" x14ac:dyDescent="0.25">
      <c r="A77" s="8"/>
      <c r="B77" s="14" t="s">
        <v>75</v>
      </c>
      <c r="C77" s="15">
        <v>6015335827.6300001</v>
      </c>
      <c r="D77" s="15">
        <v>0</v>
      </c>
      <c r="E77" s="15">
        <v>132107973.48999999</v>
      </c>
      <c r="F77" s="15">
        <v>186396135.26731458</v>
      </c>
      <c r="G77" s="15">
        <v>12780842.35</v>
      </c>
      <c r="H77" s="15">
        <v>0</v>
      </c>
      <c r="I77" s="15">
        <v>74173053.629999995</v>
      </c>
      <c r="J77" s="15">
        <v>17400442.920000002</v>
      </c>
      <c r="K77" s="15">
        <v>7898916.3300000001</v>
      </c>
      <c r="L77" s="15">
        <v>347365486.85000002</v>
      </c>
      <c r="M77" s="15">
        <v>46755590.340000004</v>
      </c>
      <c r="N77" s="15">
        <v>650619407.8100003</v>
      </c>
      <c r="O77" s="15">
        <v>68180174.577863902</v>
      </c>
      <c r="P77" s="15"/>
      <c r="Q77" s="15"/>
      <c r="R77" s="15"/>
      <c r="S77" s="16">
        <f t="shared" si="1"/>
        <v>7559013851.1951799</v>
      </c>
      <c r="U77" s="10"/>
      <c r="V77" s="18">
        <v>68</v>
      </c>
      <c r="W77" s="18" t="s">
        <v>75</v>
      </c>
      <c r="AA77" s="10"/>
    </row>
    <row r="78" spans="1:27" ht="15.75" x14ac:dyDescent="0.25">
      <c r="A78" s="8"/>
      <c r="B78" s="14" t="s">
        <v>76</v>
      </c>
      <c r="C78" s="15">
        <v>5830456374.0299997</v>
      </c>
      <c r="D78" s="15">
        <v>0</v>
      </c>
      <c r="E78" s="15">
        <v>263855811.09</v>
      </c>
      <c r="F78" s="15">
        <v>189151193.74506047</v>
      </c>
      <c r="G78" s="15">
        <v>24050243.860000003</v>
      </c>
      <c r="H78" s="15">
        <v>0</v>
      </c>
      <c r="I78" s="15">
        <v>73946546.870000005</v>
      </c>
      <c r="J78" s="15">
        <v>31327674.940000001</v>
      </c>
      <c r="K78" s="15">
        <v>18550485.32</v>
      </c>
      <c r="L78" s="15">
        <v>339000868.53000003</v>
      </c>
      <c r="M78" s="15">
        <v>84178543.080000013</v>
      </c>
      <c r="N78" s="15">
        <v>966134088.01999974</v>
      </c>
      <c r="O78" s="15">
        <v>68862100.76272735</v>
      </c>
      <c r="P78" s="15"/>
      <c r="Q78" s="15"/>
      <c r="R78" s="15"/>
      <c r="S78" s="16">
        <f t="shared" si="1"/>
        <v>7889513930.2477865</v>
      </c>
      <c r="U78" s="10"/>
      <c r="V78" s="18">
        <v>69</v>
      </c>
      <c r="W78" s="18" t="s">
        <v>76</v>
      </c>
      <c r="AA78" s="10"/>
    </row>
    <row r="79" spans="1:27" ht="15.75" x14ac:dyDescent="0.25">
      <c r="A79" s="8"/>
      <c r="B79" s="14" t="s">
        <v>77</v>
      </c>
      <c r="C79" s="15">
        <v>6218154497.5699997</v>
      </c>
      <c r="D79" s="15">
        <v>0</v>
      </c>
      <c r="E79" s="15">
        <v>268975472.66000003</v>
      </c>
      <c r="F79" s="15">
        <v>106205608.63466641</v>
      </c>
      <c r="G79" s="15">
        <v>17005482.210000001</v>
      </c>
      <c r="H79" s="15">
        <v>0</v>
      </c>
      <c r="I79" s="15">
        <v>81917170.189999998</v>
      </c>
      <c r="J79" s="15">
        <v>36795403.07</v>
      </c>
      <c r="K79" s="15">
        <v>11848374.500000002</v>
      </c>
      <c r="L79" s="15">
        <v>364660479.06</v>
      </c>
      <c r="M79" s="15">
        <v>98870517.109999999</v>
      </c>
      <c r="N79" s="15">
        <v>656475801.2900002</v>
      </c>
      <c r="O79" s="15">
        <v>77187075.537794158</v>
      </c>
      <c r="P79" s="15"/>
      <c r="Q79" s="15"/>
      <c r="R79" s="15"/>
      <c r="S79" s="16">
        <f t="shared" si="1"/>
        <v>7938095881.8324594</v>
      </c>
      <c r="U79" s="10"/>
      <c r="V79" s="18">
        <v>70</v>
      </c>
      <c r="W79" s="18" t="s">
        <v>77</v>
      </c>
      <c r="AA79" s="10"/>
    </row>
    <row r="80" spans="1:27" ht="15.75" x14ac:dyDescent="0.25">
      <c r="A80" s="8"/>
      <c r="B80" s="14" t="s">
        <v>78</v>
      </c>
      <c r="C80" s="15">
        <v>2452818503.1599998</v>
      </c>
      <c r="D80" s="15">
        <v>0</v>
      </c>
      <c r="E80" s="15">
        <v>86457683.069999993</v>
      </c>
      <c r="F80" s="15">
        <v>56132736.748707451</v>
      </c>
      <c r="G80" s="15">
        <v>5217351.4600000009</v>
      </c>
      <c r="H80" s="15">
        <v>0</v>
      </c>
      <c r="I80" s="15">
        <v>31562656.149999999</v>
      </c>
      <c r="J80" s="15">
        <v>13067526.300000001</v>
      </c>
      <c r="K80" s="15">
        <v>4188819.2699999996</v>
      </c>
      <c r="L80" s="15">
        <v>143194282.22999999</v>
      </c>
      <c r="M80" s="15">
        <v>35112893.919999994</v>
      </c>
      <c r="N80" s="15">
        <v>281528153.31999993</v>
      </c>
      <c r="O80" s="15">
        <v>29666277.823257439</v>
      </c>
      <c r="P80" s="15"/>
      <c r="Q80" s="15"/>
      <c r="R80" s="15"/>
      <c r="S80" s="16">
        <f t="shared" si="1"/>
        <v>3138946883.4519653</v>
      </c>
      <c r="U80" s="10"/>
      <c r="V80" s="18">
        <v>71</v>
      </c>
      <c r="W80" s="18" t="s">
        <v>78</v>
      </c>
      <c r="AA80" s="10"/>
    </row>
    <row r="81" spans="1:27" ht="15.75" x14ac:dyDescent="0.25">
      <c r="A81" s="8"/>
      <c r="B81" s="14" t="s">
        <v>79</v>
      </c>
      <c r="C81" s="15">
        <v>12735155235.610001</v>
      </c>
      <c r="D81" s="15">
        <v>0</v>
      </c>
      <c r="E81" s="15">
        <v>632982822.05000007</v>
      </c>
      <c r="F81" s="15">
        <v>338696842.1371578</v>
      </c>
      <c r="G81" s="15">
        <v>46650724.199999996</v>
      </c>
      <c r="H81" s="15">
        <v>0</v>
      </c>
      <c r="I81" s="15">
        <v>164096416.92000002</v>
      </c>
      <c r="J81" s="15">
        <v>65681513.899999999</v>
      </c>
      <c r="K81" s="15">
        <v>31116943.120000001</v>
      </c>
      <c r="L81" s="15">
        <v>742330032.0999999</v>
      </c>
      <c r="M81" s="15">
        <v>176488493.16999999</v>
      </c>
      <c r="N81" s="15">
        <v>1525051445.0800006</v>
      </c>
      <c r="O81" s="15">
        <v>152656891.70494673</v>
      </c>
      <c r="P81" s="15"/>
      <c r="Q81" s="15"/>
      <c r="R81" s="15"/>
      <c r="S81" s="16">
        <f t="shared" si="1"/>
        <v>16610907359.992105</v>
      </c>
      <c r="U81" s="10"/>
      <c r="V81" s="18">
        <v>72</v>
      </c>
      <c r="W81" s="18" t="s">
        <v>79</v>
      </c>
      <c r="AA81" s="10"/>
    </row>
    <row r="82" spans="1:27" ht="15.75" x14ac:dyDescent="0.25">
      <c r="A82" s="8"/>
      <c r="B82" s="14" t="s">
        <v>80</v>
      </c>
      <c r="C82" s="15">
        <v>6989962901.2599983</v>
      </c>
      <c r="D82" s="15">
        <v>0</v>
      </c>
      <c r="E82" s="15">
        <v>739140734.2700001</v>
      </c>
      <c r="F82" s="15">
        <v>234754994.28151074</v>
      </c>
      <c r="G82" s="15">
        <v>14729163.779999999</v>
      </c>
      <c r="H82" s="15">
        <v>0</v>
      </c>
      <c r="I82" s="15">
        <v>87677044.700000003</v>
      </c>
      <c r="J82" s="15">
        <v>21251924.390000001</v>
      </c>
      <c r="K82" s="15">
        <v>12446777.25</v>
      </c>
      <c r="L82" s="15">
        <v>405464232.75999999</v>
      </c>
      <c r="M82" s="15">
        <v>57104653.82</v>
      </c>
      <c r="N82" s="15">
        <v>985618085.48999977</v>
      </c>
      <c r="O82" s="15">
        <v>81410538.076893806</v>
      </c>
      <c r="P82" s="15"/>
      <c r="Q82" s="15"/>
      <c r="R82" s="15"/>
      <c r="S82" s="16">
        <f t="shared" si="1"/>
        <v>9629561050.0784035</v>
      </c>
      <c r="U82" s="10"/>
      <c r="V82" s="18">
        <v>73</v>
      </c>
      <c r="W82" s="18" t="s">
        <v>80</v>
      </c>
      <c r="AA82" s="10"/>
    </row>
    <row r="83" spans="1:27" ht="15.75" x14ac:dyDescent="0.25">
      <c r="A83" s="8"/>
      <c r="B83" s="14" t="s">
        <v>81</v>
      </c>
      <c r="C83" s="15">
        <v>3886267417.1599998</v>
      </c>
      <c r="D83" s="15">
        <v>0</v>
      </c>
      <c r="E83" s="15">
        <v>173556626.11000001</v>
      </c>
      <c r="F83" s="15">
        <v>96411249.367450401</v>
      </c>
      <c r="G83" s="15">
        <v>65064416.359999992</v>
      </c>
      <c r="H83" s="15">
        <v>0</v>
      </c>
      <c r="I83" s="15">
        <v>49962398.769999996</v>
      </c>
      <c r="J83" s="15">
        <v>55193104.610000007</v>
      </c>
      <c r="K83" s="15">
        <v>28483970.990000002</v>
      </c>
      <c r="L83" s="15">
        <v>225800884.58000001</v>
      </c>
      <c r="M83" s="15">
        <v>148305775.66999999</v>
      </c>
      <c r="N83" s="15">
        <v>1152351497.5599999</v>
      </c>
      <c r="O83" s="15">
        <v>45708964.639425009</v>
      </c>
      <c r="P83" s="15"/>
      <c r="Q83" s="15"/>
      <c r="R83" s="15"/>
      <c r="S83" s="16">
        <f t="shared" si="1"/>
        <v>5927106305.8168755</v>
      </c>
      <c r="U83" s="10"/>
      <c r="V83" s="18">
        <v>74</v>
      </c>
      <c r="W83" s="18" t="s">
        <v>81</v>
      </c>
      <c r="AA83" s="10"/>
    </row>
    <row r="84" spans="1:27" ht="15.75" x14ac:dyDescent="0.25">
      <c r="A84" s="8"/>
      <c r="B84" s="14" t="s">
        <v>82</v>
      </c>
      <c r="C84" s="15">
        <v>64338471938.749992</v>
      </c>
      <c r="D84" s="15">
        <v>0</v>
      </c>
      <c r="E84" s="15">
        <v>0</v>
      </c>
      <c r="F84" s="15">
        <v>0</v>
      </c>
      <c r="G84" s="15">
        <v>446348640.89999998</v>
      </c>
      <c r="H84" s="15">
        <v>0</v>
      </c>
      <c r="I84" s="15">
        <v>931831214.38</v>
      </c>
      <c r="J84" s="15">
        <v>1590696225.1199999</v>
      </c>
      <c r="K84" s="15">
        <v>1154226072.8662343</v>
      </c>
      <c r="L84" s="15">
        <v>3726268137.71</v>
      </c>
      <c r="M84" s="15">
        <v>4274255617.0200005</v>
      </c>
      <c r="N84" s="15">
        <v>9565502827.2600021</v>
      </c>
      <c r="O84" s="15">
        <v>742378692.27344477</v>
      </c>
      <c r="P84" s="15"/>
      <c r="Q84" s="15"/>
      <c r="R84" s="15"/>
      <c r="S84" s="16">
        <f t="shared" si="1"/>
        <v>86769979366.279663</v>
      </c>
      <c r="U84" s="10"/>
      <c r="V84" s="18">
        <v>75</v>
      </c>
      <c r="W84" s="18" t="s">
        <v>82</v>
      </c>
      <c r="AA84" s="10"/>
    </row>
    <row r="85" spans="1:27" ht="15.75" x14ac:dyDescent="0.25">
      <c r="A85" s="8"/>
      <c r="B85" s="14" t="s">
        <v>83</v>
      </c>
      <c r="C85" s="15">
        <v>15867553466.019999</v>
      </c>
      <c r="D85" s="15">
        <v>0</v>
      </c>
      <c r="E85" s="15">
        <v>174331387.16000003</v>
      </c>
      <c r="F85" s="15">
        <v>29994435.388166163</v>
      </c>
      <c r="G85" s="15">
        <v>124201608.61</v>
      </c>
      <c r="H85" s="15">
        <v>0</v>
      </c>
      <c r="I85" s="15">
        <v>240091300.02000001</v>
      </c>
      <c r="J85" s="15">
        <v>176136499.64000002</v>
      </c>
      <c r="K85" s="15">
        <v>75953635.189999998</v>
      </c>
      <c r="L85" s="15">
        <v>926340032.14999998</v>
      </c>
      <c r="M85" s="15">
        <v>473284849.20999998</v>
      </c>
      <c r="N85" s="15">
        <v>2070276390.0599992</v>
      </c>
      <c r="O85" s="15">
        <v>191914934.18683118</v>
      </c>
      <c r="P85" s="15"/>
      <c r="Q85" s="15"/>
      <c r="R85" s="15"/>
      <c r="S85" s="16">
        <f t="shared" si="1"/>
        <v>20350078537.634995</v>
      </c>
      <c r="U85" s="10"/>
      <c r="V85" s="18">
        <v>76</v>
      </c>
      <c r="W85" s="18" t="s">
        <v>83</v>
      </c>
      <c r="AA85" s="10"/>
    </row>
    <row r="86" spans="1:27" ht="15.75" x14ac:dyDescent="0.25">
      <c r="A86" s="8"/>
      <c r="B86" s="14" t="s">
        <v>84</v>
      </c>
      <c r="C86" s="15">
        <v>6935934202.5400009</v>
      </c>
      <c r="D86" s="15">
        <v>0</v>
      </c>
      <c r="E86" s="15">
        <v>120729748.71999998</v>
      </c>
      <c r="F86" s="15">
        <v>124570032.26069641</v>
      </c>
      <c r="G86" s="15">
        <v>18861878.93</v>
      </c>
      <c r="H86" s="15">
        <v>0</v>
      </c>
      <c r="I86" s="15">
        <v>87240649.620000005</v>
      </c>
      <c r="J86" s="15">
        <v>35351097.530000001</v>
      </c>
      <c r="K86" s="15">
        <v>8777191.3879226558</v>
      </c>
      <c r="L86" s="15">
        <v>402253236.45000005</v>
      </c>
      <c r="M86" s="15">
        <v>94989618.309999987</v>
      </c>
      <c r="N86" s="15">
        <v>851330507.93999982</v>
      </c>
      <c r="O86" s="15">
        <v>80688791.384885013</v>
      </c>
      <c r="P86" s="15"/>
      <c r="Q86" s="15"/>
      <c r="R86" s="15"/>
      <c r="S86" s="16">
        <f t="shared" si="1"/>
        <v>8760726955.0735054</v>
      </c>
      <c r="U86" s="10"/>
      <c r="V86" s="18">
        <v>77</v>
      </c>
      <c r="W86" s="18" t="s">
        <v>84</v>
      </c>
      <c r="AA86" s="10"/>
    </row>
    <row r="87" spans="1:27" ht="15.75" x14ac:dyDescent="0.25">
      <c r="A87" s="8"/>
      <c r="B87" s="14" t="s">
        <v>85</v>
      </c>
      <c r="C87" s="15">
        <v>5202161701.3000011</v>
      </c>
      <c r="D87" s="15">
        <v>0</v>
      </c>
      <c r="E87" s="15">
        <v>89707318.220000014</v>
      </c>
      <c r="F87" s="15">
        <v>164053937.9905023</v>
      </c>
      <c r="G87" s="15">
        <v>12807292.859999999</v>
      </c>
      <c r="H87" s="15">
        <v>0</v>
      </c>
      <c r="I87" s="15">
        <v>68962016.419999987</v>
      </c>
      <c r="J87" s="15">
        <v>16712678.389999999</v>
      </c>
      <c r="K87" s="15">
        <v>7779235.790000001</v>
      </c>
      <c r="L87" s="15">
        <v>305076901.67000002</v>
      </c>
      <c r="M87" s="15">
        <v>44907543.269999996</v>
      </c>
      <c r="N87" s="15">
        <v>501864653.45000005</v>
      </c>
      <c r="O87" s="15">
        <v>64573929.899516582</v>
      </c>
      <c r="P87" s="15"/>
      <c r="Q87" s="15"/>
      <c r="R87" s="15"/>
      <c r="S87" s="16">
        <f t="shared" si="1"/>
        <v>6478607209.2600212</v>
      </c>
      <c r="U87" s="10"/>
      <c r="V87" s="18">
        <v>78</v>
      </c>
      <c r="W87" s="18" t="s">
        <v>85</v>
      </c>
      <c r="AA87" s="10"/>
    </row>
    <row r="88" spans="1:27" ht="15.75" x14ac:dyDescent="0.25">
      <c r="A88" s="8"/>
      <c r="B88" s="14" t="s">
        <v>86</v>
      </c>
      <c r="C88" s="15">
        <v>66960974324.580002</v>
      </c>
      <c r="D88" s="15">
        <v>0</v>
      </c>
      <c r="E88" s="15">
        <v>15987627.15</v>
      </c>
      <c r="F88" s="15">
        <v>0</v>
      </c>
      <c r="G88" s="15">
        <v>154611832.01999998</v>
      </c>
      <c r="H88" s="15">
        <v>0</v>
      </c>
      <c r="I88" s="15">
        <v>998033375.98000002</v>
      </c>
      <c r="J88" s="15">
        <v>998049517.73000002</v>
      </c>
      <c r="K88" s="15">
        <v>329386809.18497097</v>
      </c>
      <c r="L88" s="15">
        <v>3906634127.0100002</v>
      </c>
      <c r="M88" s="15">
        <v>2681793475.0100002</v>
      </c>
      <c r="N88" s="15">
        <v>4223037197.2599993</v>
      </c>
      <c r="O88" s="15">
        <v>806858048.4684912</v>
      </c>
      <c r="P88" s="15"/>
      <c r="Q88" s="15"/>
      <c r="R88" s="15"/>
      <c r="S88" s="16">
        <f t="shared" si="1"/>
        <v>81075366334.393448</v>
      </c>
      <c r="U88" s="10"/>
      <c r="V88" s="18">
        <v>79</v>
      </c>
      <c r="W88" s="18" t="s">
        <v>86</v>
      </c>
      <c r="AA88" s="10"/>
    </row>
    <row r="89" spans="1:27" ht="15.75" x14ac:dyDescent="0.25">
      <c r="A89" s="8"/>
      <c r="B89" s="14" t="s">
        <v>87</v>
      </c>
      <c r="C89" s="15">
        <v>10786323187.49</v>
      </c>
      <c r="D89" s="15">
        <v>0</v>
      </c>
      <c r="E89" s="15">
        <v>141681958.59</v>
      </c>
      <c r="F89" s="15">
        <v>160870771.22865716</v>
      </c>
      <c r="G89" s="15">
        <v>10490443.73</v>
      </c>
      <c r="H89" s="15">
        <v>0</v>
      </c>
      <c r="I89" s="15">
        <v>135453939.57999998</v>
      </c>
      <c r="J89" s="15">
        <v>28335899.18</v>
      </c>
      <c r="K89" s="15">
        <v>22619624.030000001</v>
      </c>
      <c r="L89" s="15">
        <v>625757310.24999988</v>
      </c>
      <c r="M89" s="15">
        <v>76139538.419999987</v>
      </c>
      <c r="N89" s="15">
        <v>954910315.24000037</v>
      </c>
      <c r="O89" s="15">
        <v>125720807.40283972</v>
      </c>
      <c r="P89" s="15"/>
      <c r="Q89" s="15"/>
      <c r="R89" s="15"/>
      <c r="S89" s="16">
        <f t="shared" si="1"/>
        <v>13068303795.141497</v>
      </c>
      <c r="U89" s="10"/>
      <c r="V89" s="18">
        <v>80</v>
      </c>
      <c r="W89" s="18" t="s">
        <v>87</v>
      </c>
      <c r="AA89" s="10"/>
    </row>
    <row r="90" spans="1:27" ht="15.75" x14ac:dyDescent="0.25">
      <c r="A90" s="8"/>
      <c r="B90" s="14" t="s">
        <v>88</v>
      </c>
      <c r="C90" s="15">
        <v>10353249398.93</v>
      </c>
      <c r="D90" s="15">
        <v>0</v>
      </c>
      <c r="E90" s="15">
        <v>46445575.220000014</v>
      </c>
      <c r="F90" s="15">
        <v>41626026.88566801</v>
      </c>
      <c r="G90" s="15">
        <v>40354496.060000002</v>
      </c>
      <c r="H90" s="15">
        <v>0</v>
      </c>
      <c r="I90" s="15">
        <v>127217656.98999999</v>
      </c>
      <c r="J90" s="15">
        <v>139065990.73000002</v>
      </c>
      <c r="K90" s="15">
        <v>45717970.269999996</v>
      </c>
      <c r="L90" s="15">
        <v>596310525.12</v>
      </c>
      <c r="M90" s="15">
        <v>373675113.27999997</v>
      </c>
      <c r="N90" s="15">
        <v>1453608156.3300002</v>
      </c>
      <c r="O90" s="15">
        <v>115479470.72140481</v>
      </c>
      <c r="P90" s="15"/>
      <c r="Q90" s="15"/>
      <c r="R90" s="15"/>
      <c r="S90" s="16">
        <f t="shared" si="1"/>
        <v>13332750380.537073</v>
      </c>
      <c r="U90" s="10"/>
      <c r="V90" s="18">
        <v>81</v>
      </c>
      <c r="W90" s="18" t="s">
        <v>88</v>
      </c>
      <c r="AA90" s="10"/>
    </row>
    <row r="91" spans="1:27" ht="15.75" x14ac:dyDescent="0.25">
      <c r="A91" s="8"/>
      <c r="B91" s="14" t="s">
        <v>89</v>
      </c>
      <c r="C91" s="15">
        <v>13838944667.280001</v>
      </c>
      <c r="D91" s="15">
        <v>0</v>
      </c>
      <c r="E91" s="15">
        <v>135941796.41</v>
      </c>
      <c r="F91" s="15">
        <v>94942095.477368012</v>
      </c>
      <c r="G91" s="15">
        <v>71141492.920000002</v>
      </c>
      <c r="H91" s="15">
        <v>0</v>
      </c>
      <c r="I91" s="15">
        <v>182556878.52000001</v>
      </c>
      <c r="J91" s="15">
        <v>116954360.64999999</v>
      </c>
      <c r="K91" s="15">
        <v>49787108.970000006</v>
      </c>
      <c r="L91" s="15">
        <v>804591516.05000007</v>
      </c>
      <c r="M91" s="15">
        <v>314260400.66000003</v>
      </c>
      <c r="N91" s="15">
        <v>1492773525.45</v>
      </c>
      <c r="O91" s="15">
        <v>163391007.16230488</v>
      </c>
      <c r="P91" s="15"/>
      <c r="Q91" s="15"/>
      <c r="R91" s="15"/>
      <c r="S91" s="16">
        <f t="shared" si="1"/>
        <v>17265284849.549671</v>
      </c>
      <c r="U91" s="10"/>
      <c r="V91" s="18">
        <v>82</v>
      </c>
      <c r="W91" s="18" t="s">
        <v>89</v>
      </c>
      <c r="AA91" s="10"/>
    </row>
    <row r="92" spans="1:27" ht="15.75" x14ac:dyDescent="0.25">
      <c r="A92" s="8"/>
      <c r="B92" s="14" t="s">
        <v>90</v>
      </c>
      <c r="C92" s="15">
        <v>62482923815.740005</v>
      </c>
      <c r="D92" s="15">
        <v>0</v>
      </c>
      <c r="E92" s="15">
        <v>14133061.42</v>
      </c>
      <c r="F92" s="15">
        <v>13099165.65221856</v>
      </c>
      <c r="G92" s="15">
        <v>223802810.56</v>
      </c>
      <c r="H92" s="15">
        <v>0</v>
      </c>
      <c r="I92" s="15">
        <v>928777965.71000004</v>
      </c>
      <c r="J92" s="15">
        <v>1586466473.1799998</v>
      </c>
      <c r="K92" s="15">
        <v>463638847.85434407</v>
      </c>
      <c r="L92" s="15">
        <v>3636373746.8700004</v>
      </c>
      <c r="M92" s="15">
        <v>4262890127.6700001</v>
      </c>
      <c r="N92" s="15">
        <v>8701938111.6999969</v>
      </c>
      <c r="O92" s="15">
        <v>742082527.25155151</v>
      </c>
      <c r="P92" s="15"/>
      <c r="Q92" s="15"/>
      <c r="R92" s="15"/>
      <c r="S92" s="16">
        <f t="shared" si="1"/>
        <v>83056126653.608124</v>
      </c>
      <c r="U92" s="10"/>
      <c r="V92" s="18">
        <v>83</v>
      </c>
      <c r="W92" s="18" t="s">
        <v>90</v>
      </c>
      <c r="AA92" s="10"/>
    </row>
    <row r="93" spans="1:27" ht="15.75" x14ac:dyDescent="0.25">
      <c r="A93" s="8"/>
      <c r="B93" s="14" t="s">
        <v>91</v>
      </c>
      <c r="C93" s="15">
        <v>2939920990.4299994</v>
      </c>
      <c r="D93" s="15">
        <v>0</v>
      </c>
      <c r="E93" s="15">
        <v>245043741.36000001</v>
      </c>
      <c r="F93" s="15">
        <v>106145578.69077057</v>
      </c>
      <c r="G93" s="15">
        <v>20871805.439999998</v>
      </c>
      <c r="H93" s="15">
        <v>0</v>
      </c>
      <c r="I93" s="15">
        <v>37148787.530000001</v>
      </c>
      <c r="J93" s="15">
        <v>36829791.289999999</v>
      </c>
      <c r="K93" s="15">
        <v>16994638.16</v>
      </c>
      <c r="L93" s="15">
        <v>170568113.25</v>
      </c>
      <c r="M93" s="15">
        <v>98962919.460000008</v>
      </c>
      <c r="N93" s="15">
        <v>671102056.49999988</v>
      </c>
      <c r="O93" s="15">
        <v>34280479.088720471</v>
      </c>
      <c r="P93" s="15"/>
      <c r="Q93" s="15"/>
      <c r="R93" s="15"/>
      <c r="S93" s="16">
        <f t="shared" si="1"/>
        <v>4377868901.1994905</v>
      </c>
      <c r="U93" s="10"/>
      <c r="V93" s="18">
        <v>84</v>
      </c>
      <c r="W93" s="18" t="s">
        <v>91</v>
      </c>
      <c r="AA93" s="10"/>
    </row>
    <row r="94" spans="1:27" ht="15.75" x14ac:dyDescent="0.25">
      <c r="A94" s="8"/>
      <c r="B94" s="14" t="s">
        <v>92</v>
      </c>
      <c r="C94" s="15">
        <v>3950426496.8999996</v>
      </c>
      <c r="D94" s="15">
        <v>0</v>
      </c>
      <c r="E94" s="15">
        <v>1354412.68</v>
      </c>
      <c r="F94" s="15">
        <v>0</v>
      </c>
      <c r="G94" s="15">
        <v>6599808.9699999997</v>
      </c>
      <c r="H94" s="15">
        <v>0</v>
      </c>
      <c r="I94" s="15">
        <v>49709975.82</v>
      </c>
      <c r="J94" s="15">
        <v>7874904</v>
      </c>
      <c r="K94" s="15">
        <v>5744666.4299999997</v>
      </c>
      <c r="L94" s="15">
        <v>230414768.75</v>
      </c>
      <c r="M94" s="15">
        <v>21160138.719999999</v>
      </c>
      <c r="N94" s="15">
        <v>260951237.23999995</v>
      </c>
      <c r="O94" s="15">
        <v>47528264.059626453</v>
      </c>
      <c r="P94" s="15"/>
      <c r="Q94" s="15"/>
      <c r="R94" s="15"/>
      <c r="S94" s="16">
        <f t="shared" si="1"/>
        <v>4581764673.5696259</v>
      </c>
      <c r="U94" s="10"/>
      <c r="V94" s="18">
        <v>85</v>
      </c>
      <c r="W94" s="18" t="s">
        <v>92</v>
      </c>
      <c r="AA94" s="10"/>
    </row>
    <row r="95" spans="1:27" ht="15.75" x14ac:dyDescent="0.25">
      <c r="A95" s="8"/>
      <c r="B95" s="14" t="s">
        <v>93</v>
      </c>
      <c r="C95" s="15">
        <v>46343960557.759995</v>
      </c>
      <c r="D95" s="15">
        <v>0</v>
      </c>
      <c r="E95" s="15">
        <v>19382660.41</v>
      </c>
      <c r="F95" s="15">
        <v>3366416.06426408</v>
      </c>
      <c r="G95" s="15">
        <v>241643304.52000004</v>
      </c>
      <c r="H95" s="15">
        <v>0</v>
      </c>
      <c r="I95" s="15">
        <v>678137058.40999997</v>
      </c>
      <c r="J95" s="15">
        <v>1285775814.6400001</v>
      </c>
      <c r="K95" s="15">
        <v>243755523.00589141</v>
      </c>
      <c r="L95" s="15">
        <v>2686527065.9699998</v>
      </c>
      <c r="M95" s="15">
        <v>3454923957.8899999</v>
      </c>
      <c r="N95" s="15">
        <v>8983307188.2499962</v>
      </c>
      <c r="O95" s="15">
        <v>537678886.51127183</v>
      </c>
      <c r="P95" s="15"/>
      <c r="Q95" s="15"/>
      <c r="R95" s="15"/>
      <c r="S95" s="16">
        <f t="shared" si="1"/>
        <v>64478458433.431419</v>
      </c>
      <c r="U95" s="10"/>
      <c r="V95" s="18">
        <v>86</v>
      </c>
      <c r="W95" s="18" t="s">
        <v>93</v>
      </c>
      <c r="AA95" s="10"/>
    </row>
    <row r="96" spans="1:27" ht="15.75" x14ac:dyDescent="0.25">
      <c r="A96" s="8"/>
      <c r="B96" s="14" t="s">
        <v>94</v>
      </c>
      <c r="C96" s="15">
        <v>22861315260.740002</v>
      </c>
      <c r="D96" s="15">
        <v>0</v>
      </c>
      <c r="E96" s="15">
        <v>0</v>
      </c>
      <c r="F96" s="15">
        <v>0</v>
      </c>
      <c r="G96" s="15">
        <v>344410407.10000002</v>
      </c>
      <c r="H96" s="15">
        <v>0</v>
      </c>
      <c r="I96" s="15">
        <v>345100414.51999998</v>
      </c>
      <c r="J96" s="15">
        <v>581401757.07999992</v>
      </c>
      <c r="K96" s="15">
        <v>278795679.03402883</v>
      </c>
      <c r="L96" s="15">
        <v>1334630813.3399999</v>
      </c>
      <c r="M96" s="15">
        <v>1562246572.77</v>
      </c>
      <c r="N96" s="15">
        <v>4242692055.8499994</v>
      </c>
      <c r="O96" s="15">
        <v>276501157.70856363</v>
      </c>
      <c r="P96" s="15"/>
      <c r="Q96" s="15"/>
      <c r="R96" s="15"/>
      <c r="S96" s="16">
        <f t="shared" si="1"/>
        <v>31827094118.142593</v>
      </c>
      <c r="U96" s="10"/>
      <c r="V96" s="18">
        <v>87</v>
      </c>
      <c r="W96" s="18" t="s">
        <v>94</v>
      </c>
      <c r="AA96" s="10"/>
    </row>
    <row r="97" spans="1:27" ht="15.75" x14ac:dyDescent="0.25">
      <c r="A97" s="8"/>
      <c r="B97" s="14" t="s">
        <v>95</v>
      </c>
      <c r="C97" s="15">
        <v>4635071413.9499998</v>
      </c>
      <c r="D97" s="15">
        <v>0</v>
      </c>
      <c r="E97" s="15">
        <v>98492152.560000002</v>
      </c>
      <c r="F97" s="15">
        <v>151198051.58459851</v>
      </c>
      <c r="G97" s="15">
        <v>16006570.440000001</v>
      </c>
      <c r="H97" s="15">
        <v>0</v>
      </c>
      <c r="I97" s="15">
        <v>60614884.310000002</v>
      </c>
      <c r="J97" s="15">
        <v>28507840.319999997</v>
      </c>
      <c r="K97" s="15">
        <v>13643582.750000002</v>
      </c>
      <c r="L97" s="15">
        <v>270706741.69</v>
      </c>
      <c r="M97" s="15">
        <v>76601550.169999987</v>
      </c>
      <c r="N97" s="15">
        <v>678127961.53999984</v>
      </c>
      <c r="O97" s="15">
        <v>56196690.708821557</v>
      </c>
      <c r="P97" s="15"/>
      <c r="Q97" s="15"/>
      <c r="R97" s="15"/>
      <c r="S97" s="16">
        <f t="shared" si="1"/>
        <v>6085167440.0234194</v>
      </c>
      <c r="U97" s="10"/>
      <c r="V97" s="18">
        <v>88</v>
      </c>
      <c r="W97" s="18" t="s">
        <v>95</v>
      </c>
      <c r="AA97" s="10"/>
    </row>
    <row r="98" spans="1:27" ht="15.75" x14ac:dyDescent="0.25">
      <c r="A98" s="8"/>
      <c r="B98" s="14" t="s">
        <v>96</v>
      </c>
      <c r="C98" s="15">
        <v>15019134055.790001</v>
      </c>
      <c r="D98" s="15">
        <v>0</v>
      </c>
      <c r="E98" s="15">
        <v>360078133.21000004</v>
      </c>
      <c r="F98" s="15">
        <v>198883943.33301494</v>
      </c>
      <c r="G98" s="15">
        <v>119319438.09999999</v>
      </c>
      <c r="H98" s="15">
        <v>0</v>
      </c>
      <c r="I98" s="15">
        <v>131198552.38</v>
      </c>
      <c r="J98" s="15">
        <v>159767703.48999998</v>
      </c>
      <c r="K98" s="15">
        <v>69773760.900000006</v>
      </c>
      <c r="L98" s="15">
        <v>869609976.70000005</v>
      </c>
      <c r="M98" s="15">
        <v>429301329.45999998</v>
      </c>
      <c r="N98" s="15">
        <v>2298021757.9099994</v>
      </c>
      <c r="O98" s="15">
        <v>173002682.07450455</v>
      </c>
      <c r="P98" s="15"/>
      <c r="Q98" s="15"/>
      <c r="R98" s="15"/>
      <c r="S98" s="16">
        <f t="shared" si="1"/>
        <v>19828091333.347519</v>
      </c>
      <c r="U98" s="10"/>
      <c r="V98" s="18">
        <v>89</v>
      </c>
      <c r="W98" s="18" t="s">
        <v>96</v>
      </c>
      <c r="AA98" s="10"/>
    </row>
    <row r="99" spans="1:27" ht="15.75" x14ac:dyDescent="0.25">
      <c r="A99" s="8"/>
      <c r="B99" s="14" t="s">
        <v>97</v>
      </c>
      <c r="C99" s="15">
        <v>7458493023.2799997</v>
      </c>
      <c r="D99" s="15">
        <v>0</v>
      </c>
      <c r="E99" s="15">
        <v>419482134.91000009</v>
      </c>
      <c r="F99" s="15">
        <v>378975354.75590068</v>
      </c>
      <c r="G99" s="15">
        <v>56335957.909999996</v>
      </c>
      <c r="H99" s="15">
        <v>0</v>
      </c>
      <c r="I99" s="15">
        <v>96647651.580000013</v>
      </c>
      <c r="J99" s="15">
        <v>73762747.300000012</v>
      </c>
      <c r="K99" s="15">
        <v>35904165.119999997</v>
      </c>
      <c r="L99" s="15">
        <v>433438337.07999998</v>
      </c>
      <c r="M99" s="15">
        <v>198203046</v>
      </c>
      <c r="N99" s="15">
        <v>1561771740.2500002</v>
      </c>
      <c r="O99" s="15">
        <v>87824128.508985639</v>
      </c>
      <c r="P99" s="15"/>
      <c r="Q99" s="15"/>
      <c r="R99" s="15"/>
      <c r="S99" s="16">
        <f t="shared" si="1"/>
        <v>10800838286.694885</v>
      </c>
      <c r="U99" s="10"/>
      <c r="V99" s="18">
        <v>90</v>
      </c>
      <c r="W99" s="18" t="s">
        <v>97</v>
      </c>
      <c r="AA99" s="10"/>
    </row>
    <row r="100" spans="1:27" ht="15.75" x14ac:dyDescent="0.25">
      <c r="A100" s="8"/>
      <c r="B100" s="14" t="s">
        <v>98</v>
      </c>
      <c r="C100" s="15">
        <v>21389244269.18</v>
      </c>
      <c r="D100" s="15">
        <v>0</v>
      </c>
      <c r="E100" s="15">
        <v>482200286.93000001</v>
      </c>
      <c r="F100" s="15">
        <v>379158604.05831951</v>
      </c>
      <c r="G100" s="15">
        <v>120069281.87999998</v>
      </c>
      <c r="H100" s="15">
        <v>0</v>
      </c>
      <c r="I100" s="15">
        <v>312205391.81999999</v>
      </c>
      <c r="J100" s="15">
        <v>171528477.20999998</v>
      </c>
      <c r="K100" s="15">
        <v>85930635.219999999</v>
      </c>
      <c r="L100" s="15">
        <v>1243695711.3800001</v>
      </c>
      <c r="M100" s="15">
        <v>460902933.99000001</v>
      </c>
      <c r="N100" s="15">
        <v>3011152571.21</v>
      </c>
      <c r="O100" s="15">
        <v>252693471.99906021</v>
      </c>
      <c r="P100" s="15"/>
      <c r="Q100" s="15"/>
      <c r="R100" s="15"/>
      <c r="S100" s="16">
        <f t="shared" si="1"/>
        <v>27908781634.877384</v>
      </c>
      <c r="U100" s="10"/>
      <c r="V100" s="18">
        <v>91</v>
      </c>
      <c r="W100" s="18" t="s">
        <v>98</v>
      </c>
      <c r="AA100" s="10"/>
    </row>
    <row r="101" spans="1:27" ht="15.75" x14ac:dyDescent="0.25">
      <c r="A101" s="8"/>
      <c r="B101" s="14" t="s">
        <v>99</v>
      </c>
      <c r="C101" s="15">
        <v>15406199030.560001</v>
      </c>
      <c r="D101" s="15">
        <v>0</v>
      </c>
      <c r="E101" s="15">
        <v>21713943.890000001</v>
      </c>
      <c r="F101" s="15">
        <v>508821703.13796824</v>
      </c>
      <c r="G101" s="15">
        <v>1100682.1199999999</v>
      </c>
      <c r="H101" s="15">
        <v>0</v>
      </c>
      <c r="I101" s="15">
        <v>193321768.81999999</v>
      </c>
      <c r="J101" s="15">
        <v>63583832.040000007</v>
      </c>
      <c r="K101" s="15">
        <v>25731318.349999998</v>
      </c>
      <c r="L101" s="15">
        <v>893492870.55999994</v>
      </c>
      <c r="M101" s="15">
        <v>170851949.68000001</v>
      </c>
      <c r="N101" s="15">
        <v>1974479576.6600003</v>
      </c>
      <c r="O101" s="15">
        <v>179229613.87935272</v>
      </c>
      <c r="P101" s="15"/>
      <c r="Q101" s="15"/>
      <c r="R101" s="15"/>
      <c r="S101" s="16">
        <f t="shared" si="1"/>
        <v>19438526289.697323</v>
      </c>
      <c r="U101" s="10"/>
      <c r="V101" s="18">
        <v>92</v>
      </c>
      <c r="W101" s="18" t="s">
        <v>99</v>
      </c>
      <c r="AA101" s="10"/>
    </row>
    <row r="102" spans="1:27" ht="15.75" x14ac:dyDescent="0.25">
      <c r="A102" s="8"/>
      <c r="B102" s="14" t="s">
        <v>100</v>
      </c>
      <c r="C102" s="15">
        <v>15643840885.199999</v>
      </c>
      <c r="D102" s="15">
        <v>0</v>
      </c>
      <c r="E102" s="15">
        <v>499570974.56999999</v>
      </c>
      <c r="F102" s="15">
        <v>218779130.52838892</v>
      </c>
      <c r="G102" s="15">
        <v>56514113.240000002</v>
      </c>
      <c r="H102" s="15">
        <v>0</v>
      </c>
      <c r="I102" s="15">
        <v>201666700.72000003</v>
      </c>
      <c r="J102" s="15">
        <v>71389959.620000005</v>
      </c>
      <c r="K102" s="15">
        <v>30638220.91</v>
      </c>
      <c r="L102" s="15">
        <v>913410672.04999995</v>
      </c>
      <c r="M102" s="15">
        <v>191827283.66999999</v>
      </c>
      <c r="N102" s="15">
        <v>1526886723.6100001</v>
      </c>
      <c r="O102" s="15">
        <v>189366421.72953123</v>
      </c>
      <c r="P102" s="15"/>
      <c r="Q102" s="15"/>
      <c r="R102" s="15"/>
      <c r="S102" s="16">
        <f t="shared" si="1"/>
        <v>19543891085.847916</v>
      </c>
      <c r="U102" s="10"/>
      <c r="V102" s="18">
        <v>93</v>
      </c>
      <c r="W102" s="18" t="s">
        <v>100</v>
      </c>
      <c r="AA102" s="10"/>
    </row>
    <row r="103" spans="1:27" ht="15.75" x14ac:dyDescent="0.25">
      <c r="A103" s="8"/>
      <c r="B103" s="14" t="s">
        <v>101</v>
      </c>
      <c r="C103" s="15">
        <v>3348301975.1600003</v>
      </c>
      <c r="D103" s="15">
        <v>0</v>
      </c>
      <c r="E103" s="15">
        <v>179732114.87</v>
      </c>
      <c r="F103" s="15">
        <v>69478341.117972076</v>
      </c>
      <c r="G103" s="15">
        <v>7697766.7399999993</v>
      </c>
      <c r="H103" s="15">
        <v>0</v>
      </c>
      <c r="I103" s="15">
        <v>41861947.200000003</v>
      </c>
      <c r="J103" s="15">
        <v>8528280.3299999982</v>
      </c>
      <c r="K103" s="15">
        <v>4906902.58</v>
      </c>
      <c r="L103" s="15">
        <v>194061999.05999997</v>
      </c>
      <c r="M103" s="15">
        <v>22915783.41</v>
      </c>
      <c r="N103" s="15">
        <v>352388159.73999995</v>
      </c>
      <c r="O103" s="15">
        <v>38802595.431409962</v>
      </c>
      <c r="P103" s="15"/>
      <c r="Q103" s="15"/>
      <c r="R103" s="15"/>
      <c r="S103" s="16">
        <f t="shared" si="1"/>
        <v>4268675865.6393809</v>
      </c>
      <c r="U103" s="10"/>
      <c r="V103" s="18">
        <v>94</v>
      </c>
      <c r="W103" s="18" t="s">
        <v>101</v>
      </c>
      <c r="AA103" s="10"/>
    </row>
    <row r="104" spans="1:27" ht="15.75" x14ac:dyDescent="0.25">
      <c r="A104" s="8"/>
      <c r="B104" s="14" t="s">
        <v>102</v>
      </c>
      <c r="C104" s="15">
        <v>9144568313.8299999</v>
      </c>
      <c r="D104" s="15">
        <v>0</v>
      </c>
      <c r="E104" s="15">
        <v>921815140.77999985</v>
      </c>
      <c r="F104" s="15">
        <v>126957012.3982389</v>
      </c>
      <c r="G104" s="15">
        <v>124306656.13</v>
      </c>
      <c r="H104" s="15">
        <v>0</v>
      </c>
      <c r="I104" s="15">
        <v>141502087.85999998</v>
      </c>
      <c r="J104" s="15">
        <v>165132266.92999998</v>
      </c>
      <c r="K104" s="15">
        <v>78749802.170000002</v>
      </c>
      <c r="L104" s="15">
        <v>531303320.61000001</v>
      </c>
      <c r="M104" s="15">
        <v>443716096.45000005</v>
      </c>
      <c r="N104" s="15">
        <v>2269538120.5200009</v>
      </c>
      <c r="O104" s="15">
        <v>107535279.54591505</v>
      </c>
      <c r="P104" s="15"/>
      <c r="Q104" s="15"/>
      <c r="R104" s="15"/>
      <c r="S104" s="16">
        <f t="shared" si="1"/>
        <v>14055124097.224157</v>
      </c>
      <c r="U104" s="10"/>
      <c r="V104" s="18">
        <v>95</v>
      </c>
      <c r="W104" s="18" t="s">
        <v>102</v>
      </c>
      <c r="AA104" s="10"/>
    </row>
    <row r="105" spans="1:27" ht="15.75" x14ac:dyDescent="0.25">
      <c r="A105" s="8"/>
      <c r="B105" s="14" t="s">
        <v>103</v>
      </c>
      <c r="C105" s="15">
        <v>3215551773.8899999</v>
      </c>
      <c r="D105" s="15">
        <v>0</v>
      </c>
      <c r="E105" s="15">
        <v>115199843.45000002</v>
      </c>
      <c r="F105" s="15">
        <v>188538256.42317671</v>
      </c>
      <c r="G105" s="15">
        <v>3483488.32</v>
      </c>
      <c r="H105" s="15">
        <v>0</v>
      </c>
      <c r="I105" s="15">
        <v>42197775.189999998</v>
      </c>
      <c r="J105" s="15">
        <v>4092199.0100000002</v>
      </c>
      <c r="K105" s="15">
        <v>3111694.31</v>
      </c>
      <c r="L105" s="15">
        <v>188574263.20999998</v>
      </c>
      <c r="M105" s="15">
        <v>10995879.940000001</v>
      </c>
      <c r="N105" s="15">
        <v>498135179.25999981</v>
      </c>
      <c r="O105" s="15">
        <v>39915080.849782117</v>
      </c>
      <c r="P105" s="15"/>
      <c r="Q105" s="15"/>
      <c r="R105" s="15"/>
      <c r="S105" s="16">
        <f t="shared" si="1"/>
        <v>4309795433.8529587</v>
      </c>
      <c r="U105" s="10"/>
      <c r="V105" s="18">
        <v>96</v>
      </c>
      <c r="W105" s="18" t="s">
        <v>103</v>
      </c>
      <c r="AA105" s="10"/>
    </row>
    <row r="106" spans="1:27" ht="15.75" x14ac:dyDescent="0.25">
      <c r="A106" s="8"/>
      <c r="B106" s="14" t="s">
        <v>104</v>
      </c>
      <c r="C106" s="15">
        <v>51039814258.43</v>
      </c>
      <c r="D106" s="15">
        <v>0</v>
      </c>
      <c r="E106" s="15">
        <v>118293659.98999999</v>
      </c>
      <c r="F106" s="15">
        <v>11630011.762136161</v>
      </c>
      <c r="G106" s="15">
        <v>351127192.46000004</v>
      </c>
      <c r="H106" s="15">
        <v>0</v>
      </c>
      <c r="I106" s="15">
        <v>747727739.27999997</v>
      </c>
      <c r="J106" s="15">
        <v>838625696.48000002</v>
      </c>
      <c r="K106" s="15">
        <v>159004579.86906147</v>
      </c>
      <c r="L106" s="15">
        <v>2963973361.6099997</v>
      </c>
      <c r="M106" s="15">
        <v>2253416169.0799999</v>
      </c>
      <c r="N106" s="15">
        <v>5511576359.9300003</v>
      </c>
      <c r="O106" s="15">
        <v>598444980.41501796</v>
      </c>
      <c r="P106" s="15"/>
      <c r="Q106" s="15"/>
      <c r="R106" s="15"/>
      <c r="S106" s="16">
        <f t="shared" si="1"/>
        <v>64593634009.306221</v>
      </c>
      <c r="U106" s="10"/>
      <c r="V106" s="18">
        <v>97</v>
      </c>
      <c r="W106" s="18" t="s">
        <v>104</v>
      </c>
      <c r="AA106" s="10"/>
    </row>
    <row r="107" spans="1:27" ht="15.75" x14ac:dyDescent="0.25">
      <c r="A107" s="8"/>
      <c r="B107" s="14" t="s">
        <v>105</v>
      </c>
      <c r="C107" s="15">
        <v>8263225165.3599997</v>
      </c>
      <c r="D107" s="15">
        <v>0</v>
      </c>
      <c r="E107" s="15">
        <v>21926167</v>
      </c>
      <c r="F107" s="15">
        <v>0</v>
      </c>
      <c r="G107" s="15">
        <v>61251967.530000001</v>
      </c>
      <c r="H107" s="15">
        <v>0</v>
      </c>
      <c r="I107" s="15">
        <v>133509107.91800001</v>
      </c>
      <c r="J107" s="15">
        <v>36142026.759999998</v>
      </c>
      <c r="K107" s="15">
        <v>26928123.850000001</v>
      </c>
      <c r="L107" s="15">
        <v>484592383.61000001</v>
      </c>
      <c r="M107" s="15">
        <v>97114872.409999996</v>
      </c>
      <c r="N107" s="15">
        <v>719738403.82999992</v>
      </c>
      <c r="O107" s="15">
        <v>102572648.84293056</v>
      </c>
      <c r="P107" s="15"/>
      <c r="Q107" s="15"/>
      <c r="R107" s="15"/>
      <c r="S107" s="16">
        <f t="shared" si="1"/>
        <v>9947000867.1109295</v>
      </c>
      <c r="U107" s="10"/>
      <c r="V107" s="18">
        <v>98</v>
      </c>
      <c r="W107" s="18" t="s">
        <v>105</v>
      </c>
      <c r="AA107" s="10"/>
    </row>
    <row r="108" spans="1:27" ht="15.75" x14ac:dyDescent="0.25">
      <c r="A108" s="8"/>
      <c r="B108" s="14" t="s">
        <v>106</v>
      </c>
      <c r="C108" s="15">
        <v>9391285301.5699997</v>
      </c>
      <c r="D108" s="15">
        <v>0</v>
      </c>
      <c r="E108" s="15">
        <v>10120601.959999999</v>
      </c>
      <c r="F108" s="15">
        <v>0</v>
      </c>
      <c r="G108" s="15">
        <v>37086895.659999996</v>
      </c>
      <c r="H108" s="15">
        <v>0</v>
      </c>
      <c r="I108" s="15">
        <v>120566714.64</v>
      </c>
      <c r="J108" s="15">
        <v>256089127.85000002</v>
      </c>
      <c r="K108" s="15">
        <v>77464184.312235728</v>
      </c>
      <c r="L108" s="15">
        <v>544766202.90999997</v>
      </c>
      <c r="M108" s="15">
        <v>688120318.63999999</v>
      </c>
      <c r="N108" s="15">
        <v>1891609250.0100005</v>
      </c>
      <c r="O108" s="15">
        <v>109389421.90986864</v>
      </c>
      <c r="P108" s="15"/>
      <c r="Q108" s="15"/>
      <c r="R108" s="15"/>
      <c r="S108" s="16">
        <f t="shared" si="1"/>
        <v>13126498019.462101</v>
      </c>
      <c r="U108" s="10"/>
      <c r="V108" s="18">
        <v>99</v>
      </c>
      <c r="W108" s="18" t="s">
        <v>106</v>
      </c>
      <c r="AA108" s="10"/>
    </row>
    <row r="109" spans="1:27" ht="15.75" x14ac:dyDescent="0.25">
      <c r="A109" s="8"/>
      <c r="B109" s="14" t="s">
        <v>107</v>
      </c>
      <c r="C109" s="15">
        <v>12403596306.920002</v>
      </c>
      <c r="D109" s="15">
        <v>0</v>
      </c>
      <c r="E109" s="15">
        <v>72775176.150000021</v>
      </c>
      <c r="F109" s="15">
        <v>303253899.47276121</v>
      </c>
      <c r="G109" s="15">
        <v>4072531.24</v>
      </c>
      <c r="H109" s="15">
        <v>0</v>
      </c>
      <c r="I109" s="15">
        <v>157236366.28999999</v>
      </c>
      <c r="J109" s="15">
        <v>14236726.029999997</v>
      </c>
      <c r="K109" s="15">
        <v>11369652.289999999</v>
      </c>
      <c r="L109" s="15">
        <v>721462309.32000005</v>
      </c>
      <c r="M109" s="15">
        <v>38254573.909999996</v>
      </c>
      <c r="N109" s="15">
        <v>876376312.6400001</v>
      </c>
      <c r="O109" s="15">
        <v>146830653.75324824</v>
      </c>
      <c r="P109" s="15"/>
      <c r="Q109" s="15"/>
      <c r="R109" s="15"/>
      <c r="S109" s="16">
        <f t="shared" si="1"/>
        <v>14749464508.016012</v>
      </c>
      <c r="U109" s="10"/>
      <c r="V109" s="18">
        <v>100</v>
      </c>
      <c r="W109" s="18" t="s">
        <v>107</v>
      </c>
      <c r="AA109" s="10"/>
    </row>
    <row r="110" spans="1:27" ht="15.75" x14ac:dyDescent="0.25">
      <c r="A110" s="8"/>
      <c r="B110" s="14" t="s">
        <v>108</v>
      </c>
      <c r="C110" s="15">
        <v>4642247100.54</v>
      </c>
      <c r="D110" s="15">
        <v>0</v>
      </c>
      <c r="E110" s="15">
        <v>64526802.430000015</v>
      </c>
      <c r="F110" s="15">
        <v>70334557.686170638</v>
      </c>
      <c r="G110" s="15">
        <v>10027937.419999998</v>
      </c>
      <c r="H110" s="15">
        <v>0</v>
      </c>
      <c r="I110" s="15">
        <v>57932434.109999999</v>
      </c>
      <c r="J110" s="15">
        <v>14443055.399999999</v>
      </c>
      <c r="K110" s="15">
        <v>8377638.5299999993</v>
      </c>
      <c r="L110" s="15">
        <v>268944814.77999997</v>
      </c>
      <c r="M110" s="15">
        <v>38808988.040000007</v>
      </c>
      <c r="N110" s="15">
        <v>467512839.13999987</v>
      </c>
      <c r="O110" s="15">
        <v>53663110.941701084</v>
      </c>
      <c r="P110" s="15"/>
      <c r="Q110" s="15"/>
      <c r="R110" s="15"/>
      <c r="S110" s="16">
        <f t="shared" si="1"/>
        <v>5696819279.0178709</v>
      </c>
      <c r="U110" s="10"/>
      <c r="V110" s="18">
        <v>101</v>
      </c>
      <c r="W110" s="18" t="s">
        <v>108</v>
      </c>
      <c r="AA110" s="10"/>
    </row>
    <row r="111" spans="1:27" ht="15.75" x14ac:dyDescent="0.25">
      <c r="A111" s="8"/>
      <c r="B111" s="14" t="s">
        <v>109</v>
      </c>
      <c r="C111" s="15">
        <v>42024619351.540001</v>
      </c>
      <c r="D111" s="15">
        <v>0</v>
      </c>
      <c r="E111" s="15">
        <v>4030082.98</v>
      </c>
      <c r="F111" s="15">
        <v>1162685.2291404803</v>
      </c>
      <c r="G111" s="15">
        <v>443731416.48000002</v>
      </c>
      <c r="H111" s="15">
        <v>0</v>
      </c>
      <c r="I111" s="15">
        <v>621882471.93000007</v>
      </c>
      <c r="J111" s="15">
        <v>1474635958.3700001</v>
      </c>
      <c r="K111" s="15">
        <v>703902846.2562629</v>
      </c>
      <c r="L111" s="15">
        <v>2439560554.1700001</v>
      </c>
      <c r="M111" s="15">
        <v>3962397677.5099998</v>
      </c>
      <c r="N111" s="15">
        <v>8530134853.5600004</v>
      </c>
      <c r="O111" s="15">
        <v>491678734.41334677</v>
      </c>
      <c r="P111" s="15"/>
      <c r="Q111" s="15"/>
      <c r="R111" s="15"/>
      <c r="S111" s="16">
        <f t="shared" si="1"/>
        <v>60697736632.438759</v>
      </c>
      <c r="U111" s="10"/>
      <c r="V111" s="18">
        <v>102</v>
      </c>
      <c r="W111" s="18" t="s">
        <v>109</v>
      </c>
      <c r="AA111" s="10"/>
    </row>
    <row r="112" spans="1:27" ht="15.75" x14ac:dyDescent="0.25">
      <c r="A112" s="8"/>
      <c r="B112" s="14" t="s">
        <v>110</v>
      </c>
      <c r="C112" s="15">
        <v>4755580738.1900005</v>
      </c>
      <c r="D112" s="15">
        <v>0</v>
      </c>
      <c r="E112" s="15">
        <v>270462742.54000002</v>
      </c>
      <c r="F112" s="15">
        <v>79577589.310764313</v>
      </c>
      <c r="G112" s="15">
        <v>30565561.960000001</v>
      </c>
      <c r="H112" s="15">
        <v>0</v>
      </c>
      <c r="I112" s="15">
        <v>71131362.969999999</v>
      </c>
      <c r="J112" s="15">
        <v>56362304.329999998</v>
      </c>
      <c r="K112" s="15">
        <v>27167484.959999997</v>
      </c>
      <c r="L112" s="15">
        <v>277100646.80000001</v>
      </c>
      <c r="M112" s="15">
        <v>151447455.65000001</v>
      </c>
      <c r="N112" s="15">
        <v>988384259.47000027</v>
      </c>
      <c r="O112" s="15">
        <v>56883594.457078189</v>
      </c>
      <c r="P112" s="15"/>
      <c r="Q112" s="15"/>
      <c r="R112" s="15"/>
      <c r="S112" s="16">
        <f t="shared" si="1"/>
        <v>6764663740.6378431</v>
      </c>
      <c r="U112" s="10"/>
      <c r="V112" s="18">
        <v>103</v>
      </c>
      <c r="W112" s="18" t="s">
        <v>110</v>
      </c>
      <c r="AA112" s="10"/>
    </row>
    <row r="113" spans="1:27" ht="15.75" x14ac:dyDescent="0.25">
      <c r="A113" s="8"/>
      <c r="B113" s="14" t="s">
        <v>111</v>
      </c>
      <c r="C113" s="15">
        <v>5816949199.3100004</v>
      </c>
      <c r="D113" s="15">
        <v>0</v>
      </c>
      <c r="E113" s="15">
        <v>160704038.80999997</v>
      </c>
      <c r="F113" s="15">
        <v>191599783.56186453</v>
      </c>
      <c r="G113" s="15">
        <v>15455207.369999999</v>
      </c>
      <c r="H113" s="15">
        <v>0</v>
      </c>
      <c r="I113" s="15">
        <v>73043758.239999995</v>
      </c>
      <c r="J113" s="15">
        <v>19635677.710000001</v>
      </c>
      <c r="K113" s="15">
        <v>11369652.289999999</v>
      </c>
      <c r="L113" s="15">
        <v>337557044.32999998</v>
      </c>
      <c r="M113" s="15">
        <v>52761743.239999995</v>
      </c>
      <c r="N113" s="15">
        <v>770006764.54999995</v>
      </c>
      <c r="O113" s="15">
        <v>67911386.15463303</v>
      </c>
      <c r="P113" s="15"/>
      <c r="Q113" s="15"/>
      <c r="R113" s="15"/>
      <c r="S113" s="16">
        <f t="shared" si="1"/>
        <v>7516994255.5664978</v>
      </c>
      <c r="U113" s="10"/>
      <c r="V113" s="18">
        <v>104</v>
      </c>
      <c r="W113" s="18" t="s">
        <v>111</v>
      </c>
      <c r="AA113" s="10"/>
    </row>
    <row r="114" spans="1:27" ht="15.75" x14ac:dyDescent="0.25">
      <c r="A114" s="8"/>
      <c r="B114" s="14" t="s">
        <v>112</v>
      </c>
      <c r="C114" s="15">
        <v>8292983159.5900002</v>
      </c>
      <c r="D114" s="15">
        <v>0</v>
      </c>
      <c r="E114" s="15">
        <v>377401305.11000007</v>
      </c>
      <c r="F114" s="15">
        <v>219758566.45511052</v>
      </c>
      <c r="G114" s="15">
        <v>27360891.469999999</v>
      </c>
      <c r="H114" s="15">
        <v>0</v>
      </c>
      <c r="I114" s="15">
        <v>105788179.58</v>
      </c>
      <c r="J114" s="15">
        <v>23865429.640000001</v>
      </c>
      <c r="K114" s="15">
        <v>13523902.189999999</v>
      </c>
      <c r="L114" s="15">
        <v>482013795.12</v>
      </c>
      <c r="M114" s="15">
        <v>64127232.590000004</v>
      </c>
      <c r="N114" s="15">
        <v>807728655.68000007</v>
      </c>
      <c r="O114" s="15">
        <v>97746901.133258045</v>
      </c>
      <c r="P114" s="15"/>
      <c r="Q114" s="15"/>
      <c r="R114" s="15"/>
      <c r="S114" s="16">
        <f t="shared" si="1"/>
        <v>10512298018.558371</v>
      </c>
      <c r="U114" s="10"/>
      <c r="V114" s="18">
        <v>105</v>
      </c>
      <c r="W114" s="18" t="s">
        <v>112</v>
      </c>
      <c r="AA114" s="10"/>
    </row>
    <row r="115" spans="1:27" ht="15.75" x14ac:dyDescent="0.25">
      <c r="A115" s="8"/>
      <c r="B115" s="14" t="s">
        <v>113</v>
      </c>
      <c r="C115" s="15">
        <v>6676765288.1499996</v>
      </c>
      <c r="D115" s="15">
        <v>0</v>
      </c>
      <c r="E115" s="15">
        <v>704841799.01999986</v>
      </c>
      <c r="F115" s="15">
        <v>108654198.45147039</v>
      </c>
      <c r="G115" s="15">
        <v>28263608.299999997</v>
      </c>
      <c r="H115" s="15">
        <v>0</v>
      </c>
      <c r="I115" s="15">
        <v>83637638.99000001</v>
      </c>
      <c r="J115" s="15">
        <v>33631686.159999996</v>
      </c>
      <c r="K115" s="15">
        <v>17473360.359999999</v>
      </c>
      <c r="L115" s="15">
        <v>386970819.63000005</v>
      </c>
      <c r="M115" s="15">
        <v>90369500.679999992</v>
      </c>
      <c r="N115" s="15">
        <v>788819103.29999983</v>
      </c>
      <c r="O115" s="15">
        <v>77371245.383341223</v>
      </c>
      <c r="P115" s="15"/>
      <c r="Q115" s="15"/>
      <c r="R115" s="15"/>
      <c r="S115" s="16">
        <f t="shared" si="1"/>
        <v>8996798248.4248104</v>
      </c>
      <c r="U115" s="10"/>
      <c r="V115" s="18">
        <v>106</v>
      </c>
      <c r="W115" s="18" t="s">
        <v>113</v>
      </c>
      <c r="AA115" s="10"/>
    </row>
    <row r="116" spans="1:27" ht="15.75" x14ac:dyDescent="0.25">
      <c r="A116" s="8"/>
      <c r="B116" s="14" t="s">
        <v>114</v>
      </c>
      <c r="C116" s="15">
        <v>4126652916.6999998</v>
      </c>
      <c r="D116" s="15">
        <v>0</v>
      </c>
      <c r="E116" s="15">
        <v>132168126.91999999</v>
      </c>
      <c r="F116" s="15">
        <v>141098803.39180624</v>
      </c>
      <c r="G116" s="15">
        <v>6716474.8400000008</v>
      </c>
      <c r="H116" s="15">
        <v>0</v>
      </c>
      <c r="I116" s="15">
        <v>51260818.290000007</v>
      </c>
      <c r="J116" s="15">
        <v>20357830.469999999</v>
      </c>
      <c r="K116" s="15">
        <v>9574444.0399999991</v>
      </c>
      <c r="L116" s="15">
        <v>238781808.30000001</v>
      </c>
      <c r="M116" s="15">
        <v>54702192.649999999</v>
      </c>
      <c r="N116" s="15">
        <v>602581072.40999985</v>
      </c>
      <c r="O116" s="15">
        <v>47351560.559169143</v>
      </c>
      <c r="P116" s="15"/>
      <c r="Q116" s="15"/>
      <c r="R116" s="15"/>
      <c r="S116" s="16">
        <f t="shared" si="1"/>
        <v>5431246048.5709753</v>
      </c>
      <c r="U116" s="10"/>
      <c r="V116" s="18">
        <v>107</v>
      </c>
      <c r="W116" s="18" t="s">
        <v>114</v>
      </c>
      <c r="AA116" s="10"/>
    </row>
    <row r="117" spans="1:27" ht="15.75" x14ac:dyDescent="0.25">
      <c r="A117" s="8"/>
      <c r="B117" s="14" t="s">
        <v>115</v>
      </c>
      <c r="C117" s="15">
        <v>9715457494.0499992</v>
      </c>
      <c r="D117" s="15">
        <v>0</v>
      </c>
      <c r="E117" s="15">
        <v>123492132.48999998</v>
      </c>
      <c r="F117" s="15">
        <v>108960667.11241233</v>
      </c>
      <c r="G117" s="15">
        <v>27823621.669999994</v>
      </c>
      <c r="H117" s="15">
        <v>0</v>
      </c>
      <c r="I117" s="15">
        <v>125025750.60000001</v>
      </c>
      <c r="J117" s="15">
        <v>21079983.240000002</v>
      </c>
      <c r="K117" s="15">
        <v>15340867.619999999</v>
      </c>
      <c r="L117" s="15">
        <v>567182666.23999989</v>
      </c>
      <c r="M117" s="15">
        <v>56642642.060000002</v>
      </c>
      <c r="N117" s="15">
        <v>807401663.91000032</v>
      </c>
      <c r="O117" s="15">
        <v>117505339.02242255</v>
      </c>
      <c r="P117" s="15"/>
      <c r="Q117" s="15"/>
      <c r="R117" s="15"/>
      <c r="S117" s="16">
        <f t="shared" si="1"/>
        <v>11685912828.014833</v>
      </c>
      <c r="U117" s="10"/>
      <c r="V117" s="18">
        <v>108</v>
      </c>
      <c r="W117" s="18" t="s">
        <v>115</v>
      </c>
      <c r="AA117" s="10"/>
    </row>
    <row r="118" spans="1:27" ht="15.75" x14ac:dyDescent="0.25">
      <c r="A118" s="8"/>
      <c r="B118" s="14" t="s">
        <v>116</v>
      </c>
      <c r="C118" s="15">
        <v>6293077107.1300001</v>
      </c>
      <c r="D118" s="15">
        <v>0</v>
      </c>
      <c r="E118" s="15">
        <v>170530172.22</v>
      </c>
      <c r="F118" s="15">
        <v>170175412.53251231</v>
      </c>
      <c r="G118" s="15">
        <v>39969652.269999996</v>
      </c>
      <c r="H118" s="15">
        <v>0</v>
      </c>
      <c r="I118" s="15">
        <v>80538563.379999995</v>
      </c>
      <c r="J118" s="15">
        <v>58184880.370000005</v>
      </c>
      <c r="K118" s="15">
        <v>24295151.739999998</v>
      </c>
      <c r="L118" s="15">
        <v>365641379.45999998</v>
      </c>
      <c r="M118" s="15">
        <v>156344780.33000001</v>
      </c>
      <c r="N118" s="15">
        <v>1095319414.7700005</v>
      </c>
      <c r="O118" s="15">
        <v>74016367.656348675</v>
      </c>
      <c r="P118" s="15"/>
      <c r="Q118" s="15"/>
      <c r="R118" s="15"/>
      <c r="S118" s="16">
        <f t="shared" si="1"/>
        <v>8528092881.8588619</v>
      </c>
      <c r="U118" s="10"/>
      <c r="V118" s="18">
        <v>109</v>
      </c>
      <c r="W118" s="18" t="s">
        <v>116</v>
      </c>
      <c r="AA118" s="10"/>
    </row>
    <row r="119" spans="1:27" ht="15.75" x14ac:dyDescent="0.25">
      <c r="A119" s="8"/>
      <c r="B119" s="14" t="s">
        <v>117</v>
      </c>
      <c r="C119" s="15">
        <v>3449816835.02</v>
      </c>
      <c r="D119" s="15">
        <v>0</v>
      </c>
      <c r="E119" s="15">
        <v>54545261.449999996</v>
      </c>
      <c r="F119" s="15">
        <v>16527191.395744164</v>
      </c>
      <c r="G119" s="15">
        <v>16220997.040000001</v>
      </c>
      <c r="H119" s="15">
        <v>0</v>
      </c>
      <c r="I119" s="15">
        <v>43724515.399999999</v>
      </c>
      <c r="J119" s="15">
        <v>12242208.85</v>
      </c>
      <c r="K119" s="15">
        <v>6462749.7300000004</v>
      </c>
      <c r="L119" s="15">
        <v>200018763.79000002</v>
      </c>
      <c r="M119" s="15">
        <v>32895237.469999999</v>
      </c>
      <c r="N119" s="15">
        <v>322820441.69</v>
      </c>
      <c r="O119" s="15">
        <v>40066896.533273615</v>
      </c>
      <c r="P119" s="15"/>
      <c r="Q119" s="15"/>
      <c r="R119" s="15"/>
      <c r="S119" s="16">
        <f t="shared" si="1"/>
        <v>4195341098.3690176</v>
      </c>
      <c r="U119" s="10"/>
      <c r="V119" s="18">
        <v>110</v>
      </c>
      <c r="W119" s="18" t="s">
        <v>117</v>
      </c>
      <c r="AA119" s="10"/>
    </row>
    <row r="120" spans="1:27" ht="15.75" x14ac:dyDescent="0.25">
      <c r="A120" s="8"/>
      <c r="B120" s="14" t="s">
        <v>118</v>
      </c>
      <c r="C120" s="15">
        <v>5712479645.0700006</v>
      </c>
      <c r="D120" s="15">
        <v>0</v>
      </c>
      <c r="E120" s="15">
        <v>620746664.12000012</v>
      </c>
      <c r="F120" s="15">
        <v>72231819.860352308</v>
      </c>
      <c r="G120" s="15">
        <v>34233440.039999999</v>
      </c>
      <c r="H120" s="15">
        <v>0</v>
      </c>
      <c r="I120" s="15">
        <v>74932535.620000005</v>
      </c>
      <c r="J120" s="15">
        <v>57737833.43</v>
      </c>
      <c r="K120" s="15">
        <v>26928123.850000001</v>
      </c>
      <c r="L120" s="15">
        <v>333180870.68000001</v>
      </c>
      <c r="M120" s="15">
        <v>155143549.74000001</v>
      </c>
      <c r="N120" s="15">
        <v>889821272.12000036</v>
      </c>
      <c r="O120" s="15">
        <v>68717751.4243256</v>
      </c>
      <c r="P120" s="15"/>
      <c r="Q120" s="15"/>
      <c r="R120" s="15"/>
      <c r="S120" s="16">
        <f t="shared" si="1"/>
        <v>8046153505.9546795</v>
      </c>
      <c r="U120" s="10"/>
      <c r="V120" s="18">
        <v>111</v>
      </c>
      <c r="W120" s="18" t="s">
        <v>118</v>
      </c>
      <c r="AA120" s="10"/>
    </row>
    <row r="121" spans="1:27" ht="15.75" x14ac:dyDescent="0.25">
      <c r="A121" s="8"/>
      <c r="B121" s="14" t="s">
        <v>119</v>
      </c>
      <c r="C121" s="15">
        <v>7450262088.7299995</v>
      </c>
      <c r="D121" s="15">
        <v>0</v>
      </c>
      <c r="E121" s="15">
        <v>194419627.68000001</v>
      </c>
      <c r="F121" s="15">
        <v>107185044.56138799</v>
      </c>
      <c r="G121" s="15">
        <v>28869125.419999998</v>
      </c>
      <c r="H121" s="15">
        <v>0</v>
      </c>
      <c r="I121" s="15">
        <v>96357625.159999996</v>
      </c>
      <c r="J121" s="15">
        <v>46389718.450000003</v>
      </c>
      <c r="K121" s="15">
        <v>18071763.109999999</v>
      </c>
      <c r="L121" s="15">
        <v>434906936.30999994</v>
      </c>
      <c r="M121" s="15">
        <v>124650773.44000001</v>
      </c>
      <c r="N121" s="15">
        <v>809973410.70000005</v>
      </c>
      <c r="O121" s="15">
        <v>90066520.817606002</v>
      </c>
      <c r="P121" s="15"/>
      <c r="Q121" s="15"/>
      <c r="R121" s="15"/>
      <c r="S121" s="16">
        <f t="shared" si="1"/>
        <v>9401152634.3789921</v>
      </c>
      <c r="U121" s="10"/>
      <c r="V121" s="18">
        <v>112</v>
      </c>
      <c r="W121" s="18" t="s">
        <v>119</v>
      </c>
      <c r="AA121" s="10"/>
    </row>
    <row r="122" spans="1:27" ht="15.75" x14ac:dyDescent="0.25">
      <c r="A122" s="8"/>
      <c r="B122" s="14" t="s">
        <v>120</v>
      </c>
      <c r="C122" s="15">
        <v>4570912334.1999998</v>
      </c>
      <c r="D122" s="15">
        <v>0</v>
      </c>
      <c r="E122" s="15">
        <v>214159061.37</v>
      </c>
      <c r="F122" s="15">
        <v>79027841.403507695</v>
      </c>
      <c r="G122" s="15">
        <v>29080089.049999997</v>
      </c>
      <c r="H122" s="15">
        <v>0</v>
      </c>
      <c r="I122" s="15">
        <v>60316447.799999997</v>
      </c>
      <c r="J122" s="15">
        <v>31258898.489999998</v>
      </c>
      <c r="K122" s="15">
        <v>18311124.209999997</v>
      </c>
      <c r="L122" s="15">
        <v>267188588.49999997</v>
      </c>
      <c r="M122" s="15">
        <v>83993738.370000005</v>
      </c>
      <c r="N122" s="15">
        <v>839741447.61999965</v>
      </c>
      <c r="O122" s="15">
        <v>55693956.806111999</v>
      </c>
      <c r="P122" s="15"/>
      <c r="Q122" s="15"/>
      <c r="R122" s="15"/>
      <c r="S122" s="16">
        <f t="shared" si="1"/>
        <v>6249683527.8196192</v>
      </c>
      <c r="U122" s="10"/>
      <c r="V122" s="18">
        <v>113</v>
      </c>
      <c r="W122" s="18" t="s">
        <v>120</v>
      </c>
      <c r="AA122" s="10"/>
    </row>
    <row r="123" spans="1:27" ht="15.75" x14ac:dyDescent="0.25">
      <c r="A123" s="8"/>
      <c r="B123" s="14" t="s">
        <v>121</v>
      </c>
      <c r="C123" s="15">
        <v>5889339213.6799994</v>
      </c>
      <c r="D123" s="15">
        <v>0</v>
      </c>
      <c r="E123" s="15">
        <v>239439277.06</v>
      </c>
      <c r="F123" s="15">
        <v>145199796.40111151</v>
      </c>
      <c r="G123" s="15">
        <v>15323708.07</v>
      </c>
      <c r="H123" s="15">
        <v>0</v>
      </c>
      <c r="I123" s="15">
        <v>75930244.510000005</v>
      </c>
      <c r="J123" s="15">
        <v>13136302.75</v>
      </c>
      <c r="K123" s="15">
        <v>6103708.0799999991</v>
      </c>
      <c r="L123" s="15">
        <v>344006092.87000006</v>
      </c>
      <c r="M123" s="15">
        <v>35297698.629999995</v>
      </c>
      <c r="N123" s="15">
        <v>466617293.97999996</v>
      </c>
      <c r="O123" s="15">
        <v>71457900.072262377</v>
      </c>
      <c r="P123" s="15"/>
      <c r="Q123" s="15"/>
      <c r="R123" s="15"/>
      <c r="S123" s="16">
        <f t="shared" si="1"/>
        <v>7301851236.1033735</v>
      </c>
      <c r="U123" s="10"/>
      <c r="V123" s="18">
        <v>114</v>
      </c>
      <c r="W123" s="18" t="s">
        <v>121</v>
      </c>
      <c r="AA123" s="10"/>
    </row>
    <row r="124" spans="1:27" ht="15.75" x14ac:dyDescent="0.25">
      <c r="A124" s="8"/>
      <c r="B124" s="14" t="s">
        <v>122</v>
      </c>
      <c r="C124" s="15">
        <v>18950566088.900002</v>
      </c>
      <c r="D124" s="15">
        <v>0</v>
      </c>
      <c r="E124" s="15">
        <v>8455704.3600000013</v>
      </c>
      <c r="F124" s="15">
        <v>0</v>
      </c>
      <c r="G124" s="15">
        <v>164834463.19</v>
      </c>
      <c r="H124" s="15">
        <v>722376792.04000008</v>
      </c>
      <c r="I124" s="15">
        <v>280313742.98000002</v>
      </c>
      <c r="J124" s="15">
        <v>395464612.66000003</v>
      </c>
      <c r="K124" s="15">
        <v>178549232.35287055</v>
      </c>
      <c r="L124" s="15">
        <v>1100233858.49</v>
      </c>
      <c r="M124" s="15">
        <v>1062627053.1099999</v>
      </c>
      <c r="N124" s="15">
        <v>2188871306.8999991</v>
      </c>
      <c r="O124" s="15">
        <v>221884843.37707162</v>
      </c>
      <c r="P124" s="15"/>
      <c r="Q124" s="15"/>
      <c r="R124" s="15"/>
      <c r="S124" s="16">
        <f t="shared" si="1"/>
        <v>25274177698.359943</v>
      </c>
      <c r="U124" s="10"/>
      <c r="V124" s="18">
        <v>115</v>
      </c>
      <c r="W124" s="18" t="s">
        <v>122</v>
      </c>
      <c r="AA124" s="10"/>
    </row>
    <row r="125" spans="1:27" ht="15.75" x14ac:dyDescent="0.25">
      <c r="A125" s="8"/>
      <c r="B125" s="14" t="s">
        <v>123</v>
      </c>
      <c r="C125" s="15">
        <v>37712031732.699997</v>
      </c>
      <c r="D125" s="15">
        <v>0</v>
      </c>
      <c r="E125" s="15">
        <v>0</v>
      </c>
      <c r="F125" s="15">
        <v>0</v>
      </c>
      <c r="G125" s="15">
        <v>410721158.99000001</v>
      </c>
      <c r="H125" s="15">
        <v>124974482.965</v>
      </c>
      <c r="I125" s="15">
        <v>503164732.29999995</v>
      </c>
      <c r="J125" s="15">
        <v>549730199.84000003</v>
      </c>
      <c r="K125" s="15">
        <v>405353292.17706335</v>
      </c>
      <c r="L125" s="15">
        <v>2211599541.3500004</v>
      </c>
      <c r="M125" s="15">
        <v>1477144006.1700001</v>
      </c>
      <c r="N125" s="15">
        <v>2856058299.400001</v>
      </c>
      <c r="O125" s="15">
        <v>468122415.6551981</v>
      </c>
      <c r="P125" s="15"/>
      <c r="Q125" s="15"/>
      <c r="R125" s="15"/>
      <c r="S125" s="16">
        <f t="shared" si="1"/>
        <v>46718899861.547249</v>
      </c>
      <c r="U125" s="10"/>
      <c r="V125" s="18">
        <v>116</v>
      </c>
      <c r="W125" s="18" t="s">
        <v>123</v>
      </c>
      <c r="AA125" s="10"/>
    </row>
    <row r="126" spans="1:27" ht="15.75" x14ac:dyDescent="0.25">
      <c r="A126" s="8"/>
      <c r="B126" s="14" t="s">
        <v>124</v>
      </c>
      <c r="C126" s="15">
        <v>39465853946.32</v>
      </c>
      <c r="D126" s="15">
        <v>0</v>
      </c>
      <c r="E126" s="15">
        <v>285462.40999999997</v>
      </c>
      <c r="F126" s="15">
        <v>0</v>
      </c>
      <c r="G126" s="15">
        <v>238625808.49000001</v>
      </c>
      <c r="H126" s="15">
        <v>0</v>
      </c>
      <c r="I126" s="15">
        <v>568192619.8900001</v>
      </c>
      <c r="J126" s="15">
        <v>703961398.78999996</v>
      </c>
      <c r="K126" s="15">
        <v>0</v>
      </c>
      <c r="L126" s="15">
        <v>2281866581.6999998</v>
      </c>
      <c r="M126" s="15">
        <v>1891568556.8899999</v>
      </c>
      <c r="N126" s="15">
        <v>4086039417.3400011</v>
      </c>
      <c r="O126" s="15">
        <v>450740764.28626943</v>
      </c>
      <c r="P126" s="15"/>
      <c r="Q126" s="15"/>
      <c r="R126" s="15"/>
      <c r="S126" s="16">
        <f t="shared" si="1"/>
        <v>49687134556.116272</v>
      </c>
      <c r="U126" s="10"/>
      <c r="V126" s="18">
        <v>117</v>
      </c>
      <c r="W126" s="18" t="s">
        <v>124</v>
      </c>
      <c r="AA126" s="10"/>
    </row>
    <row r="127" spans="1:27" ht="15.75" x14ac:dyDescent="0.25">
      <c r="A127" s="8"/>
      <c r="B127" s="14" t="s">
        <v>125</v>
      </c>
      <c r="C127" s="15">
        <v>12449183021.529999</v>
      </c>
      <c r="D127" s="15">
        <v>0</v>
      </c>
      <c r="E127" s="15">
        <v>152888531.90000001</v>
      </c>
      <c r="F127" s="15">
        <v>30607372.710050002</v>
      </c>
      <c r="G127" s="15">
        <v>153771092.70999998</v>
      </c>
      <c r="H127" s="15">
        <v>0</v>
      </c>
      <c r="I127" s="15">
        <v>156740300.25</v>
      </c>
      <c r="J127" s="15">
        <v>273730288.41999996</v>
      </c>
      <c r="K127" s="15">
        <v>114751890.69</v>
      </c>
      <c r="L127" s="15">
        <v>721158456.66000009</v>
      </c>
      <c r="M127" s="15">
        <v>735522725.44999993</v>
      </c>
      <c r="N127" s="15">
        <v>2525018874.0699997</v>
      </c>
      <c r="O127" s="15">
        <v>143819227.90038404</v>
      </c>
      <c r="P127" s="15"/>
      <c r="Q127" s="15"/>
      <c r="R127" s="15"/>
      <c r="S127" s="16">
        <f t="shared" si="1"/>
        <v>17457191782.290432</v>
      </c>
      <c r="U127" s="10"/>
      <c r="V127" s="18">
        <v>118</v>
      </c>
      <c r="W127" s="18" t="s">
        <v>125</v>
      </c>
      <c r="AA127" s="10"/>
    </row>
    <row r="128" spans="1:27" ht="15.75" x14ac:dyDescent="0.25">
      <c r="A128" s="8"/>
      <c r="B128" s="14" t="s">
        <v>126</v>
      </c>
      <c r="C128" s="15">
        <v>12864317593.610001</v>
      </c>
      <c r="D128" s="15">
        <v>0</v>
      </c>
      <c r="E128" s="15">
        <v>288255105.59999996</v>
      </c>
      <c r="F128" s="15">
        <v>95493423.119990319</v>
      </c>
      <c r="G128" s="15">
        <v>52858195.060000002</v>
      </c>
      <c r="H128" s="15">
        <v>0</v>
      </c>
      <c r="I128" s="15">
        <v>167603340.07000002</v>
      </c>
      <c r="J128" s="15">
        <v>137037085.32999998</v>
      </c>
      <c r="K128" s="15">
        <v>46914775.770000003</v>
      </c>
      <c r="L128" s="15">
        <v>751592372.62</v>
      </c>
      <c r="M128" s="15">
        <v>368223374.47999996</v>
      </c>
      <c r="N128" s="15">
        <v>1732526268.0400002</v>
      </c>
      <c r="O128" s="15">
        <v>156288024.20025986</v>
      </c>
      <c r="P128" s="15"/>
      <c r="Q128" s="15"/>
      <c r="R128" s="15"/>
      <c r="S128" s="16">
        <f t="shared" si="1"/>
        <v>16661109557.900251</v>
      </c>
      <c r="U128" s="10"/>
      <c r="V128" s="18">
        <v>119</v>
      </c>
      <c r="W128" s="18" t="s">
        <v>126</v>
      </c>
      <c r="AA128" s="10"/>
    </row>
    <row r="129" spans="1:27" ht="15.75" x14ac:dyDescent="0.25">
      <c r="A129" s="8"/>
      <c r="B129" s="14" t="s">
        <v>127</v>
      </c>
      <c r="C129" s="15">
        <v>7852944734.1599998</v>
      </c>
      <c r="D129" s="15">
        <v>0</v>
      </c>
      <c r="E129" s="15">
        <v>78719982.209999993</v>
      </c>
      <c r="F129" s="15">
        <v>46216737.858334087</v>
      </c>
      <c r="G129" s="15">
        <v>49361905.620000005</v>
      </c>
      <c r="H129" s="15">
        <v>0</v>
      </c>
      <c r="I129" s="15">
        <v>103366746.61</v>
      </c>
      <c r="J129" s="15">
        <v>145462200.99000001</v>
      </c>
      <c r="K129" s="15">
        <v>67021108.230000004</v>
      </c>
      <c r="L129" s="15">
        <v>455739349.22000003</v>
      </c>
      <c r="M129" s="15">
        <v>390861950.84000003</v>
      </c>
      <c r="N129" s="15">
        <v>1920979594.6099997</v>
      </c>
      <c r="O129" s="15">
        <v>91721560.64583303</v>
      </c>
      <c r="P129" s="15"/>
      <c r="Q129" s="15"/>
      <c r="R129" s="15"/>
      <c r="S129" s="16">
        <f t="shared" si="1"/>
        <v>11202395870.994165</v>
      </c>
      <c r="U129" s="10"/>
      <c r="V129" s="18">
        <v>120</v>
      </c>
      <c r="W129" s="18" t="s">
        <v>127</v>
      </c>
      <c r="AA129" s="10"/>
    </row>
    <row r="130" spans="1:27" ht="15.75" x14ac:dyDescent="0.25">
      <c r="A130" s="8"/>
      <c r="B130" s="14" t="s">
        <v>128</v>
      </c>
      <c r="C130" s="15">
        <v>3518830055.6300006</v>
      </c>
      <c r="D130" s="15">
        <v>0</v>
      </c>
      <c r="E130" s="15">
        <v>65972533.240000002</v>
      </c>
      <c r="F130" s="15">
        <v>81414821.541050166</v>
      </c>
      <c r="G130" s="15">
        <v>10026948.709999999</v>
      </c>
      <c r="H130" s="15">
        <v>0</v>
      </c>
      <c r="I130" s="15">
        <v>43369725.069999993</v>
      </c>
      <c r="J130" s="15">
        <v>13308243.890000001</v>
      </c>
      <c r="K130" s="15">
        <v>8018596.8799999999</v>
      </c>
      <c r="L130" s="15">
        <v>203075471.95000002</v>
      </c>
      <c r="M130" s="15">
        <v>35759710.390000001</v>
      </c>
      <c r="N130" s="15">
        <v>412828616.62000006</v>
      </c>
      <c r="O130" s="15">
        <v>39733399.785931624</v>
      </c>
      <c r="P130" s="15"/>
      <c r="Q130" s="15"/>
      <c r="R130" s="15"/>
      <c r="S130" s="16">
        <f t="shared" si="1"/>
        <v>4432338123.7069817</v>
      </c>
      <c r="U130" s="10"/>
      <c r="V130" s="18">
        <v>121</v>
      </c>
      <c r="W130" s="18" t="s">
        <v>128</v>
      </c>
      <c r="AA130" s="10"/>
    </row>
    <row r="131" spans="1:27" ht="15.75" x14ac:dyDescent="0.25">
      <c r="A131" s="8"/>
      <c r="B131" s="14" t="s">
        <v>129</v>
      </c>
      <c r="C131" s="15">
        <v>21348933794.740002</v>
      </c>
      <c r="D131" s="15">
        <v>0</v>
      </c>
      <c r="E131" s="15">
        <v>727997414.19000018</v>
      </c>
      <c r="F131" s="15">
        <v>444964060.45108569</v>
      </c>
      <c r="G131" s="15">
        <v>284053763.79999995</v>
      </c>
      <c r="H131" s="15">
        <v>0</v>
      </c>
      <c r="I131" s="15">
        <v>221763607.73999998</v>
      </c>
      <c r="J131" s="15">
        <v>169258854.20999998</v>
      </c>
      <c r="K131" s="15">
        <v>99454537.399999991</v>
      </c>
      <c r="L131" s="15">
        <v>1249681349.1500001</v>
      </c>
      <c r="M131" s="15">
        <v>454804378.73000002</v>
      </c>
      <c r="N131" s="15">
        <v>2586693651.3699999</v>
      </c>
      <c r="O131" s="15">
        <v>262225505.89696926</v>
      </c>
      <c r="P131" s="15"/>
      <c r="Q131" s="15"/>
      <c r="R131" s="15"/>
      <c r="S131" s="16">
        <f t="shared" si="1"/>
        <v>27849830917.678055</v>
      </c>
      <c r="U131" s="10"/>
      <c r="V131" s="18">
        <v>122</v>
      </c>
      <c r="W131" s="18" t="s">
        <v>129</v>
      </c>
      <c r="AA131" s="10"/>
    </row>
    <row r="132" spans="1:27" ht="15.75" x14ac:dyDescent="0.25">
      <c r="A132" s="8"/>
      <c r="B132" s="14" t="s">
        <v>130</v>
      </c>
      <c r="C132" s="15">
        <v>5926061844.8500004</v>
      </c>
      <c r="D132" s="15">
        <v>0</v>
      </c>
      <c r="E132" s="15">
        <v>155950653.32999998</v>
      </c>
      <c r="F132" s="15">
        <v>273014605.10291463</v>
      </c>
      <c r="G132" s="15">
        <v>3196581.78</v>
      </c>
      <c r="H132" s="15">
        <v>0</v>
      </c>
      <c r="I132" s="15">
        <v>73984621.659999996</v>
      </c>
      <c r="J132" s="15">
        <v>20942430.32</v>
      </c>
      <c r="K132" s="15">
        <v>7420194.120000001</v>
      </c>
      <c r="L132" s="15">
        <v>343354767.58999997</v>
      </c>
      <c r="M132" s="15">
        <v>56273032.629999995</v>
      </c>
      <c r="N132" s="15">
        <v>710944976.00000012</v>
      </c>
      <c r="O132" s="15">
        <v>68543536.705564857</v>
      </c>
      <c r="P132" s="15"/>
      <c r="Q132" s="15"/>
      <c r="R132" s="15"/>
      <c r="S132" s="16">
        <f t="shared" si="1"/>
        <v>7639687244.088479</v>
      </c>
      <c r="U132" s="10"/>
      <c r="V132" s="18">
        <v>123</v>
      </c>
      <c r="W132" s="18" t="s">
        <v>130</v>
      </c>
      <c r="AA132" s="10"/>
    </row>
    <row r="133" spans="1:27" ht="15.75" x14ac:dyDescent="0.25">
      <c r="A133" s="8"/>
      <c r="B133" s="14" t="s">
        <v>131</v>
      </c>
      <c r="C133" s="15">
        <v>37767326729.07</v>
      </c>
      <c r="D133" s="15">
        <v>0</v>
      </c>
      <c r="E133" s="15">
        <v>55714153.68999999</v>
      </c>
      <c r="F133" s="15">
        <v>0</v>
      </c>
      <c r="G133" s="15">
        <v>476026194.72000003</v>
      </c>
      <c r="H133" s="15">
        <v>374770945.2100001</v>
      </c>
      <c r="I133" s="15">
        <v>740604293.35000014</v>
      </c>
      <c r="J133" s="15">
        <v>924733817.33999991</v>
      </c>
      <c r="K133" s="15">
        <v>0</v>
      </c>
      <c r="L133" s="15">
        <v>2194713580.6900001</v>
      </c>
      <c r="M133" s="15">
        <v>2484791659.5900002</v>
      </c>
      <c r="N133" s="15">
        <v>5585906603.8500004</v>
      </c>
      <c r="O133" s="15">
        <v>444623338.87607086</v>
      </c>
      <c r="P133" s="15"/>
      <c r="Q133" s="15"/>
      <c r="R133" s="15"/>
      <c r="S133" s="16">
        <f t="shared" si="1"/>
        <v>51049211316.38607</v>
      </c>
      <c r="U133" s="10"/>
      <c r="V133" s="18">
        <v>124</v>
      </c>
      <c r="W133" s="18" t="s">
        <v>131</v>
      </c>
      <c r="AA133" s="10"/>
    </row>
    <row r="134" spans="1:27" ht="15.75" x14ac:dyDescent="0.25">
      <c r="A134" s="8"/>
      <c r="B134" s="14" t="s">
        <v>132</v>
      </c>
      <c r="C134" s="15">
        <v>1335310847.2099998</v>
      </c>
      <c r="D134" s="15">
        <v>0</v>
      </c>
      <c r="E134" s="15">
        <v>31340624.209999997</v>
      </c>
      <c r="F134" s="15">
        <v>13467243.992422003</v>
      </c>
      <c r="G134" s="15">
        <v>169484.22000000003</v>
      </c>
      <c r="H134" s="15">
        <v>0</v>
      </c>
      <c r="I134" s="15">
        <v>17514794.59</v>
      </c>
      <c r="J134" s="15">
        <v>3954646.1000000006</v>
      </c>
      <c r="K134" s="15">
        <v>1795208.2500000002</v>
      </c>
      <c r="L134" s="15">
        <v>78308478.859999999</v>
      </c>
      <c r="M134" s="15">
        <v>10626270.52</v>
      </c>
      <c r="N134" s="15">
        <v>200584427.07000008</v>
      </c>
      <c r="O134" s="15">
        <v>16575286.099236121</v>
      </c>
      <c r="P134" s="15"/>
      <c r="Q134" s="15"/>
      <c r="R134" s="15"/>
      <c r="S134" s="16">
        <f t="shared" si="1"/>
        <v>1709647311.1216578</v>
      </c>
      <c r="U134" s="10"/>
      <c r="V134" s="18">
        <v>125</v>
      </c>
      <c r="W134" s="18" t="s">
        <v>132</v>
      </c>
      <c r="AA134" s="10"/>
    </row>
    <row r="135" spans="1:27" ht="15.75" x14ac:dyDescent="0.25">
      <c r="A135" s="8"/>
      <c r="B135" s="14" t="s">
        <v>133</v>
      </c>
      <c r="C135" s="15">
        <v>9672614424.4200001</v>
      </c>
      <c r="D135" s="15">
        <v>0</v>
      </c>
      <c r="E135" s="15">
        <v>102740677.74999999</v>
      </c>
      <c r="F135" s="15">
        <v>170175412.53251231</v>
      </c>
      <c r="G135" s="15">
        <v>9582730.7799999993</v>
      </c>
      <c r="H135" s="15">
        <v>0</v>
      </c>
      <c r="I135" s="15">
        <v>72011717.269999996</v>
      </c>
      <c r="J135" s="15">
        <v>14305502.489999998</v>
      </c>
      <c r="K135" s="15">
        <v>10172846.799999999</v>
      </c>
      <c r="L135" s="15">
        <v>560141590.05999994</v>
      </c>
      <c r="M135" s="15">
        <v>38439378.619999997</v>
      </c>
      <c r="N135" s="15">
        <v>739923519.26000023</v>
      </c>
      <c r="O135" s="15">
        <v>111532262.95062575</v>
      </c>
      <c r="P135" s="15"/>
      <c r="Q135" s="15"/>
      <c r="R135" s="15"/>
      <c r="S135" s="16">
        <f t="shared" si="1"/>
        <v>11501640062.93314</v>
      </c>
      <c r="U135" s="10"/>
      <c r="V135" s="18">
        <v>126</v>
      </c>
      <c r="W135" s="18" t="s">
        <v>133</v>
      </c>
      <c r="AA135" s="10"/>
    </row>
    <row r="136" spans="1:27" ht="15.75" x14ac:dyDescent="0.25">
      <c r="A136" s="8"/>
      <c r="B136" s="14" t="s">
        <v>134</v>
      </c>
      <c r="C136" s="15">
        <v>16027529066.220001</v>
      </c>
      <c r="D136" s="15">
        <v>0</v>
      </c>
      <c r="E136" s="15">
        <v>591137328.82999992</v>
      </c>
      <c r="F136" s="15">
        <v>205678385.14080465</v>
      </c>
      <c r="G136" s="15">
        <v>67634868.090000004</v>
      </c>
      <c r="H136" s="15">
        <v>0</v>
      </c>
      <c r="I136" s="15">
        <v>206150320.59000003</v>
      </c>
      <c r="J136" s="15">
        <v>66747548.939999998</v>
      </c>
      <c r="K136" s="15">
        <v>33728158.049999997</v>
      </c>
      <c r="L136" s="15">
        <v>934363131.04000008</v>
      </c>
      <c r="M136" s="15">
        <v>179352966.10000002</v>
      </c>
      <c r="N136" s="15">
        <v>1671007622.2200007</v>
      </c>
      <c r="O136" s="15">
        <v>192268341.18774581</v>
      </c>
      <c r="P136" s="15"/>
      <c r="Q136" s="15"/>
      <c r="R136" s="15"/>
      <c r="S136" s="16">
        <f t="shared" si="1"/>
        <v>20175597736.40855</v>
      </c>
      <c r="U136" s="10"/>
      <c r="V136" s="18">
        <v>127</v>
      </c>
      <c r="W136" s="18" t="s">
        <v>134</v>
      </c>
      <c r="AA136" s="10"/>
    </row>
    <row r="137" spans="1:27" ht="15.75" x14ac:dyDescent="0.25">
      <c r="A137" s="8"/>
      <c r="B137" s="14" t="s">
        <v>135</v>
      </c>
      <c r="C137" s="15">
        <v>13563735982.970001</v>
      </c>
      <c r="D137" s="15">
        <v>0</v>
      </c>
      <c r="E137" s="15">
        <v>644996153.03999996</v>
      </c>
      <c r="F137" s="15">
        <v>323392365.91444987</v>
      </c>
      <c r="G137" s="15">
        <v>85557784.159999996</v>
      </c>
      <c r="H137" s="15">
        <v>0</v>
      </c>
      <c r="I137" s="15">
        <v>197960156.25999999</v>
      </c>
      <c r="J137" s="15">
        <v>100482399.81999999</v>
      </c>
      <c r="K137" s="15">
        <v>42606275.949999996</v>
      </c>
      <c r="L137" s="15">
        <v>788751651.99000013</v>
      </c>
      <c r="M137" s="15">
        <v>269999673.84999996</v>
      </c>
      <c r="N137" s="15">
        <v>1722734188.9999993</v>
      </c>
      <c r="O137" s="15">
        <v>160334783.23890218</v>
      </c>
      <c r="P137" s="15"/>
      <c r="Q137" s="15"/>
      <c r="R137" s="15"/>
      <c r="S137" s="16">
        <f t="shared" si="1"/>
        <v>17900551416.193356</v>
      </c>
      <c r="U137" s="10"/>
      <c r="V137" s="18">
        <v>128</v>
      </c>
      <c r="W137" s="18" t="s">
        <v>135</v>
      </c>
      <c r="AA137" s="10"/>
    </row>
    <row r="138" spans="1:27" ht="15.75" x14ac:dyDescent="0.25">
      <c r="A138" s="8"/>
      <c r="B138" s="14" t="s">
        <v>136</v>
      </c>
      <c r="C138" s="15">
        <v>21103061005.43</v>
      </c>
      <c r="D138" s="15">
        <v>0</v>
      </c>
      <c r="E138" s="15">
        <v>0</v>
      </c>
      <c r="F138" s="15">
        <v>0</v>
      </c>
      <c r="G138" s="15">
        <v>254224695.33000001</v>
      </c>
      <c r="H138" s="15">
        <v>0</v>
      </c>
      <c r="I138" s="15">
        <v>321251632.70999998</v>
      </c>
      <c r="J138" s="15">
        <v>597839329.68000007</v>
      </c>
      <c r="K138" s="15">
        <v>311399505.18792921</v>
      </c>
      <c r="L138" s="15">
        <v>1227182706.25</v>
      </c>
      <c r="M138" s="15">
        <v>1606414897.23</v>
      </c>
      <c r="N138" s="15">
        <v>3916701854.5300007</v>
      </c>
      <c r="O138" s="15">
        <v>249465522.13859335</v>
      </c>
      <c r="P138" s="15"/>
      <c r="Q138" s="15"/>
      <c r="R138" s="15"/>
      <c r="S138" s="16">
        <f t="shared" si="1"/>
        <v>29587541148.486523</v>
      </c>
      <c r="U138" s="10"/>
      <c r="V138" s="18">
        <v>129</v>
      </c>
      <c r="W138" s="18" t="s">
        <v>136</v>
      </c>
      <c r="AA138" s="10"/>
    </row>
    <row r="139" spans="1:27" ht="15.75" x14ac:dyDescent="0.25">
      <c r="A139" s="8"/>
      <c r="B139" s="14" t="s">
        <v>137</v>
      </c>
      <c r="C139" s="15">
        <v>3320443427.4200001</v>
      </c>
      <c r="D139" s="15">
        <v>0</v>
      </c>
      <c r="E139" s="15">
        <v>89014121.88000001</v>
      </c>
      <c r="F139" s="15">
        <v>48420468.693457685</v>
      </c>
      <c r="G139" s="15">
        <v>13840067.380000001</v>
      </c>
      <c r="H139" s="15">
        <v>0</v>
      </c>
      <c r="I139" s="15">
        <v>42216439.640000001</v>
      </c>
      <c r="J139" s="15">
        <v>7152751.2400000002</v>
      </c>
      <c r="K139" s="15">
        <v>6223388.6200000001</v>
      </c>
      <c r="L139" s="15">
        <v>192921118.13</v>
      </c>
      <c r="M139" s="15">
        <v>19219689.300000001</v>
      </c>
      <c r="N139" s="15">
        <v>384221252.62000012</v>
      </c>
      <c r="O139" s="15">
        <v>39048984.819371581</v>
      </c>
      <c r="P139" s="15"/>
      <c r="Q139" s="15"/>
      <c r="R139" s="15"/>
      <c r="S139" s="16">
        <f t="shared" ref="S139:S144" si="2">SUM(C139:R139)</f>
        <v>4162721709.7428298</v>
      </c>
      <c r="U139" s="10"/>
      <c r="V139" s="18">
        <v>130</v>
      </c>
      <c r="W139" s="18" t="s">
        <v>137</v>
      </c>
      <c r="AA139" s="10"/>
    </row>
    <row r="140" spans="1:27" ht="15.75" x14ac:dyDescent="0.25">
      <c r="A140" s="8"/>
      <c r="B140" s="14" t="s">
        <v>138</v>
      </c>
      <c r="C140" s="15">
        <v>9757034266.2099991</v>
      </c>
      <c r="D140" s="15">
        <v>0</v>
      </c>
      <c r="E140" s="15">
        <v>356356099.64000005</v>
      </c>
      <c r="F140" s="15">
        <v>343410772.46834677</v>
      </c>
      <c r="G140" s="15">
        <v>33460882.16</v>
      </c>
      <c r="H140" s="15">
        <v>0</v>
      </c>
      <c r="I140" s="15">
        <v>127114161.94999999</v>
      </c>
      <c r="J140" s="15">
        <v>62277079.409999996</v>
      </c>
      <c r="K140" s="15">
        <v>24295151.739999998</v>
      </c>
      <c r="L140" s="15">
        <v>568126721.77999997</v>
      </c>
      <c r="M140" s="15">
        <v>167340660.27000001</v>
      </c>
      <c r="N140" s="15">
        <v>1396066438.0100002</v>
      </c>
      <c r="O140" s="15">
        <v>116226105.2303794</v>
      </c>
      <c r="P140" s="15"/>
      <c r="Q140" s="15"/>
      <c r="R140" s="15"/>
      <c r="S140" s="16">
        <f t="shared" si="2"/>
        <v>12951708338.868727</v>
      </c>
      <c r="U140" s="10"/>
      <c r="V140" s="18">
        <v>131</v>
      </c>
      <c r="W140" s="18" t="s">
        <v>138</v>
      </c>
      <c r="AA140" s="10"/>
    </row>
    <row r="141" spans="1:27" ht="15.75" x14ac:dyDescent="0.25">
      <c r="A141" s="8"/>
      <c r="B141" s="14" t="s">
        <v>139</v>
      </c>
      <c r="C141" s="15">
        <v>32190340929.520004</v>
      </c>
      <c r="D141" s="15">
        <v>0</v>
      </c>
      <c r="E141" s="15">
        <v>0</v>
      </c>
      <c r="F141" s="15">
        <v>0</v>
      </c>
      <c r="G141" s="15">
        <v>360532099.85999995</v>
      </c>
      <c r="H141" s="15">
        <v>42611716.159999996</v>
      </c>
      <c r="I141" s="15">
        <v>432308861.5</v>
      </c>
      <c r="J141" s="15">
        <v>320291948.02999997</v>
      </c>
      <c r="K141" s="15">
        <v>281894663.23786509</v>
      </c>
      <c r="L141" s="15">
        <v>1884390568.52</v>
      </c>
      <c r="M141" s="15">
        <v>860635510.81000006</v>
      </c>
      <c r="N141" s="15">
        <v>2492755683.3800001</v>
      </c>
      <c r="O141" s="15">
        <v>395504743.31232852</v>
      </c>
      <c r="P141" s="15"/>
      <c r="Q141" s="15"/>
      <c r="R141" s="15"/>
      <c r="S141" s="16">
        <f t="shared" si="2"/>
        <v>39261266724.330193</v>
      </c>
      <c r="U141" s="10"/>
      <c r="V141" s="18">
        <v>132</v>
      </c>
      <c r="W141" s="18" t="s">
        <v>139</v>
      </c>
      <c r="AA141" s="10"/>
    </row>
    <row r="142" spans="1:27" ht="15.75" x14ac:dyDescent="0.25">
      <c r="A142" s="8"/>
      <c r="B142" s="14" t="s">
        <v>140</v>
      </c>
      <c r="C142" s="15">
        <v>9881342483.289999</v>
      </c>
      <c r="D142" s="15">
        <v>0</v>
      </c>
      <c r="E142" s="15">
        <v>2549170.62</v>
      </c>
      <c r="F142" s="15">
        <v>0</v>
      </c>
      <c r="G142" s="15">
        <v>49956712.479999997</v>
      </c>
      <c r="H142" s="15">
        <v>0</v>
      </c>
      <c r="I142" s="15">
        <v>127755198.02</v>
      </c>
      <c r="J142" s="15">
        <v>52820316.940000005</v>
      </c>
      <c r="K142" s="15">
        <v>25611637.789999999</v>
      </c>
      <c r="L142" s="15">
        <v>576073310.35000002</v>
      </c>
      <c r="M142" s="15">
        <v>141930013.34</v>
      </c>
      <c r="N142" s="15">
        <v>630098463.35999966</v>
      </c>
      <c r="O142" s="15">
        <v>118558093.68007673</v>
      </c>
      <c r="P142" s="15"/>
      <c r="Q142" s="15"/>
      <c r="R142" s="15"/>
      <c r="S142" s="16">
        <f t="shared" si="2"/>
        <v>11606695399.870079</v>
      </c>
      <c r="U142" s="10"/>
      <c r="V142" s="18">
        <v>133</v>
      </c>
      <c r="W142" s="18" t="s">
        <v>140</v>
      </c>
      <c r="AA142" s="10"/>
    </row>
    <row r="143" spans="1:27" ht="15.75" x14ac:dyDescent="0.25">
      <c r="A143" s="8"/>
      <c r="B143" s="14" t="s">
        <v>141</v>
      </c>
      <c r="C143" s="15">
        <v>11195548370.640001</v>
      </c>
      <c r="D143" s="15">
        <v>0</v>
      </c>
      <c r="E143" s="15">
        <v>37895116.139999993</v>
      </c>
      <c r="F143" s="15">
        <v>317394110.73096293</v>
      </c>
      <c r="G143" s="15">
        <v>776740.11999999988</v>
      </c>
      <c r="H143" s="15">
        <v>0</v>
      </c>
      <c r="I143" s="15">
        <v>143794527.02000001</v>
      </c>
      <c r="J143" s="15">
        <v>76169923.180000007</v>
      </c>
      <c r="K143" s="15">
        <v>22380262.939999998</v>
      </c>
      <c r="L143" s="15">
        <v>652363757.36999989</v>
      </c>
      <c r="M143" s="15">
        <v>204671210.67000002</v>
      </c>
      <c r="N143" s="15">
        <v>1752366715.8300006</v>
      </c>
      <c r="O143" s="15">
        <v>133933787.00156033</v>
      </c>
      <c r="P143" s="15"/>
      <c r="Q143" s="15"/>
      <c r="R143" s="15"/>
      <c r="S143" s="16">
        <f t="shared" si="2"/>
        <v>14537294521.642525</v>
      </c>
      <c r="U143" s="10"/>
      <c r="V143" s="18">
        <v>134</v>
      </c>
      <c r="W143" s="18" t="s">
        <v>141</v>
      </c>
      <c r="AA143" s="10"/>
    </row>
    <row r="144" spans="1:27" ht="15.75" x14ac:dyDescent="0.25">
      <c r="A144" s="8"/>
      <c r="B144" s="14" t="s">
        <v>142</v>
      </c>
      <c r="C144" s="15">
        <v>11592743726.34</v>
      </c>
      <c r="D144" s="15">
        <v>0</v>
      </c>
      <c r="E144" s="15">
        <v>205604181.31</v>
      </c>
      <c r="F144" s="15">
        <v>38564499.74698016</v>
      </c>
      <c r="G144" s="15">
        <v>101751781.34</v>
      </c>
      <c r="H144" s="15">
        <v>0</v>
      </c>
      <c r="I144" s="15">
        <v>170106047.12</v>
      </c>
      <c r="J144" s="15">
        <v>327479087.5</v>
      </c>
      <c r="K144" s="15">
        <v>90358815.580000013</v>
      </c>
      <c r="L144" s="15">
        <v>673380538.01999998</v>
      </c>
      <c r="M144" s="15">
        <v>879947602.35000014</v>
      </c>
      <c r="N144" s="15">
        <v>2375418653.6900005</v>
      </c>
      <c r="O144" s="15">
        <v>136128892.45794564</v>
      </c>
      <c r="P144" s="15"/>
      <c r="Q144" s="15"/>
      <c r="R144" s="15"/>
      <c r="S144" s="16">
        <f t="shared" si="2"/>
        <v>16591483825.454927</v>
      </c>
      <c r="U144" s="10"/>
      <c r="V144" s="18">
        <v>135</v>
      </c>
      <c r="W144" s="18" t="s">
        <v>142</v>
      </c>
      <c r="AA144" s="10"/>
    </row>
    <row r="145" spans="1:27" ht="24.75" customHeight="1" x14ac:dyDescent="0.2">
      <c r="A145" s="9"/>
      <c r="B145" s="57" t="s">
        <v>143</v>
      </c>
      <c r="C145" s="58">
        <f>SUM(C10:C144)</f>
        <v>2110496045166.5793</v>
      </c>
      <c r="D145" s="58">
        <v>0.02</v>
      </c>
      <c r="E145" s="58">
        <f t="shared" ref="E145:S145" si="3">SUM(E10:E144)</f>
        <v>26812928305.329998</v>
      </c>
      <c r="F145" s="58">
        <f t="shared" si="3"/>
        <v>15796620659.590324</v>
      </c>
      <c r="G145" s="58">
        <f t="shared" si="3"/>
        <v>14377314395.169992</v>
      </c>
      <c r="H145" s="58">
        <f t="shared" si="3"/>
        <v>1264733936.3750002</v>
      </c>
      <c r="I145" s="58">
        <f t="shared" si="3"/>
        <v>29335450957.974003</v>
      </c>
      <c r="J145" s="58">
        <f t="shared" si="3"/>
        <v>34388227190.909988</v>
      </c>
      <c r="K145" s="58">
        <f t="shared" si="3"/>
        <v>11968055042.320005</v>
      </c>
      <c r="L145" s="58">
        <f t="shared" si="3"/>
        <v>122678564229.96004</v>
      </c>
      <c r="M145" s="58">
        <f t="shared" si="3"/>
        <v>92402352444.289993</v>
      </c>
      <c r="N145" s="58">
        <f t="shared" si="3"/>
        <v>294587204630.53992</v>
      </c>
      <c r="O145" s="58">
        <f t="shared" si="3"/>
        <v>24887816965.819996</v>
      </c>
      <c r="P145" s="58">
        <f t="shared" si="3"/>
        <v>0</v>
      </c>
      <c r="Q145" s="58">
        <f t="shared" si="3"/>
        <v>0</v>
      </c>
      <c r="R145" s="58">
        <f t="shared" si="3"/>
        <v>0</v>
      </c>
      <c r="S145" s="58">
        <f t="shared" si="3"/>
        <v>2778995313924.8594</v>
      </c>
      <c r="U145" s="10"/>
      <c r="V145" s="18">
        <v>136</v>
      </c>
      <c r="W145" s="18" t="s">
        <v>143</v>
      </c>
      <c r="AA145" s="10"/>
    </row>
    <row r="146" spans="1:27" x14ac:dyDescent="0.2"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7" s="13" customFormat="1" x14ac:dyDescent="0.2">
      <c r="A147" s="12"/>
    </row>
    <row r="148" spans="1:27" x14ac:dyDescent="0.2"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spans="1:27" x14ac:dyDescent="0.2"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</row>
    <row r="150" spans="1:27" x14ac:dyDescent="0.2"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spans="1:27" x14ac:dyDescent="0.2"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7" x14ac:dyDescent="0.2"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</row>
  </sheetData>
  <customSheetViews>
    <customSheetView guid="{07FF841F-DFB2-4D49-BB4D-4871C3F618D6}" scale="85" showGridLines="0" fitToPage="1" state="hidden">
      <pane xSplit="2" ySplit="9" topLeftCell="C10" activePane="bottomRight" state="frozen"/>
      <selection pane="bottomRight" activeCell="C10" sqref="C10:N144"/>
      <pageMargins left="0" right="0" top="0.19685039370078741" bottom="0.43307086614173229" header="0.15748031496062992" footer="0"/>
      <printOptions horizontalCentered="1"/>
      <pageSetup paperSize="9" scale="51" fitToHeight="7" orientation="landscape" horizontalDpi="300" verticalDpi="300" r:id="rId1"/>
      <headerFooter alignWithMargins="0">
        <oddFooter>&amp;C&amp;"Arial,Negrita"&amp;K09-024Ministerio de Economía &amp;"Arial,Normal"&amp;K000000| Subsecretaría de Coordinación Económica | Dirección Provincial de Coordinación Municipal&amp;R&amp;P</oddFooter>
      </headerFooter>
    </customSheetView>
  </customSheetViews>
  <mergeCells count="3">
    <mergeCell ref="B8:B9"/>
    <mergeCell ref="C8:S8"/>
    <mergeCell ref="B2:S2"/>
  </mergeCells>
  <printOptions horizontalCentered="1"/>
  <pageMargins left="0" right="0" top="0.19685039370078741" bottom="0.43307086614173229" header="0.15748031496062992" footer="0"/>
  <pageSetup paperSize="9" scale="42" fitToHeight="7" orientation="landscape" horizontalDpi="300" verticalDpi="300" r:id="rId2"/>
  <headerFooter alignWithMargins="0">
    <oddFooter>&amp;C&amp;"Arial,Normal"Subsecretaría de Coordinación Económica y Estadística
MINISTERIO DE ECONOMÍA&amp;R&amp;P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Municipio</vt:lpstr>
      <vt:lpstr>JUNIO</vt:lpstr>
      <vt:lpstr>JUNIO!Área_de_impresión</vt:lpstr>
      <vt:lpstr>Municipio!Área_de_impresión</vt:lpstr>
      <vt:lpstr>JUNIO!Títulos_a_imprimir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Mariela Tuerde</cp:lastModifiedBy>
  <cp:lastPrinted>2026-06-01T15:03:25Z</cp:lastPrinted>
  <dcterms:created xsi:type="dcterms:W3CDTF">2012-05-08T14:38:36Z</dcterms:created>
  <dcterms:modified xsi:type="dcterms:W3CDTF">2026-07-01T15:04:33Z</dcterms:modified>
</cp:coreProperties>
</file>