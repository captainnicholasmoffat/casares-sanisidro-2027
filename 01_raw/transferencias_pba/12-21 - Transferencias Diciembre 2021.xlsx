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Gallegos\AppData\Local\Microsoft\Windows\INetCache\Content.Outlook\T8AU4EVK\"/>
    </mc:Choice>
  </mc:AlternateContent>
  <bookViews>
    <workbookView xWindow="0" yWindow="0" windowWidth="20490" windowHeight="7650" firstSheet="4" activeTab="11"/>
  </bookViews>
  <sheets>
    <sheet name="ENERO" sheetId="1" r:id="rId1"/>
    <sheet name="FEBRERO" sheetId="3" r:id="rId2"/>
    <sheet name="MARZO" sheetId="5" r:id="rId3"/>
    <sheet name="ABRIL" sheetId="6" r:id="rId4"/>
    <sheet name="MAYO" sheetId="7" r:id="rId5"/>
    <sheet name="JUNIO" sheetId="16" r:id="rId6"/>
    <sheet name="JULIO" sheetId="24" r:id="rId7"/>
    <sheet name="AGOSTO" sheetId="19" r:id="rId8"/>
    <sheet name="SEPTIEMBRE" sheetId="20" r:id="rId9"/>
    <sheet name="OCTUBRE" sheetId="21" r:id="rId10"/>
    <sheet name="NOVIEMBRE" sheetId="22" r:id="rId11"/>
    <sheet name="DICIEMBRE" sheetId="23" r:id="rId12"/>
    <sheet name="Acumulado" sheetId="2" r:id="rId13"/>
    <sheet name="Hoja1" sheetId="25" state="hidden" r:id="rId14"/>
  </sheets>
  <externalReferences>
    <externalReference r:id="rId15"/>
    <externalReference r:id="rId16"/>
    <externalReference r:id="rId17"/>
  </externalReferences>
  <definedNames>
    <definedName name="\a">'[1]2001'!$P$1:$Q$3</definedName>
    <definedName name="_Fill" localSheetId="3" hidden="1">#REF!</definedName>
    <definedName name="_Fill" localSheetId="12" hidden="1">#REF!</definedName>
    <definedName name="_Fill" localSheetId="7" hidden="1">#REF!</definedName>
    <definedName name="_Fill" localSheetId="11" hidden="1">#REF!</definedName>
    <definedName name="_Fill" localSheetId="1" hidden="1">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4" hidden="1">#REF!</definedName>
    <definedName name="_Fill" localSheetId="10" hidden="1">#REF!</definedName>
    <definedName name="_Fill" localSheetId="9" hidden="1">#REF!</definedName>
    <definedName name="_Fill" localSheetId="8" hidden="1">#REF!</definedName>
    <definedName name="_Fill" hidden="1">#REF!</definedName>
    <definedName name="_xlnm._FilterDatabase" localSheetId="3" hidden="1">ABRIL!$A$6:$D$142</definedName>
    <definedName name="_xlnm._FilterDatabase" localSheetId="12" hidden="1">Acumulado!$A$7:$D$143</definedName>
    <definedName name="_xlnm._FilterDatabase" localSheetId="7" hidden="1">AGOSTO!$A$6:$D$142</definedName>
    <definedName name="_xlnm._FilterDatabase" localSheetId="11" hidden="1">DICIEMBRE!$A$6:$D$142</definedName>
    <definedName name="_xlnm._FilterDatabase" localSheetId="0" hidden="1">ENERO!$A$8:$N$143</definedName>
    <definedName name="_xlnm._FilterDatabase" localSheetId="1" hidden="1">FEBRERO!$A$7:$D$143</definedName>
    <definedName name="_xlnm._FilterDatabase" localSheetId="6" hidden="1">JULIO!$A$6:$D$142</definedName>
    <definedName name="_xlnm._FilterDatabase" localSheetId="5" hidden="1">JUNIO!$A$6:$D$142</definedName>
    <definedName name="_xlnm._FilterDatabase" localSheetId="2" hidden="1">MARZO!$A$6:$D$142</definedName>
    <definedName name="_xlnm._FilterDatabase" localSheetId="4" hidden="1">MAYO!$A$6:$D$142</definedName>
    <definedName name="_xlnm._FilterDatabase" localSheetId="10" hidden="1">NOVIEMBRE!$A$6:$D$142</definedName>
    <definedName name="_xlnm._FilterDatabase" localSheetId="9" hidden="1">OCTUBRE!$A$6:$D$142</definedName>
    <definedName name="_xlnm._FilterDatabase" localSheetId="8" hidden="1">SEPTIEMBRE!$A$6:$D$142</definedName>
    <definedName name="_Key1" localSheetId="3" hidden="1">[2]REDE02!#REF!</definedName>
    <definedName name="_Key1" localSheetId="12" hidden="1">[2]REDE02!#REF!</definedName>
    <definedName name="_Key1" localSheetId="7" hidden="1">[2]REDE02!#REF!</definedName>
    <definedName name="_Key1" localSheetId="11" hidden="1">[2]REDE02!#REF!</definedName>
    <definedName name="_Key1" localSheetId="1" hidden="1">[2]REDE02!#REF!</definedName>
    <definedName name="_Key1" localSheetId="6" hidden="1">[2]REDE02!#REF!</definedName>
    <definedName name="_Key1" localSheetId="5" hidden="1">[2]REDE02!#REF!</definedName>
    <definedName name="_Key1" localSheetId="2" hidden="1">[2]REDE02!#REF!</definedName>
    <definedName name="_Key1" localSheetId="4" hidden="1">[2]REDE02!#REF!</definedName>
    <definedName name="_Key1" localSheetId="10" hidden="1">[2]REDE02!#REF!</definedName>
    <definedName name="_Key1" localSheetId="9" hidden="1">[2]REDE02!#REF!</definedName>
    <definedName name="_Key1" localSheetId="8" hidden="1">[2]REDE02!#REF!</definedName>
    <definedName name="_Key1" hidden="1">[2]REDE02!#REF!</definedName>
    <definedName name="_Order1" hidden="1">255</definedName>
    <definedName name="_Sort" localSheetId="3" hidden="1">#REF!</definedName>
    <definedName name="_Sort" localSheetId="12" hidden="1">#REF!</definedName>
    <definedName name="_Sort" localSheetId="7" hidden="1">#REF!</definedName>
    <definedName name="_Sort" localSheetId="11" hidden="1">#REF!</definedName>
    <definedName name="_Sort" localSheetId="1" hidden="1">#REF!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4" hidden="1">#REF!</definedName>
    <definedName name="_Sort" localSheetId="10" hidden="1">#REF!</definedName>
    <definedName name="_Sort" localSheetId="9" hidden="1">#REF!</definedName>
    <definedName name="_Sort" localSheetId="8" hidden="1">#REF!</definedName>
    <definedName name="_Sort" hidden="1">#REF!</definedName>
    <definedName name="_xlnm.Print_Area" localSheetId="3">ABRIL!$A$1:$N$143</definedName>
    <definedName name="_xlnm.Print_Area" localSheetId="12">Acumulado!$B$8:$N$143</definedName>
    <definedName name="_xlnm.Print_Area" localSheetId="7">AGOSTO!$A$1:$N$143</definedName>
    <definedName name="_xlnm.Print_Area" localSheetId="11">DICIEMBRE!$A$1:$N$143</definedName>
    <definedName name="_xlnm.Print_Area" localSheetId="0">ENERO!$A$1:$N$143</definedName>
    <definedName name="_xlnm.Print_Area" localSheetId="1">FEBRERO!$A$1:$N$143</definedName>
    <definedName name="_xlnm.Print_Area" localSheetId="6">JULIO!$A$1:$N$143</definedName>
    <definedName name="_xlnm.Print_Area" localSheetId="5">JUNIO!$A$1:$N$143</definedName>
    <definedName name="_xlnm.Print_Area" localSheetId="2">MARZO!$A$1:$N$143</definedName>
    <definedName name="_xlnm.Print_Area" localSheetId="4">MAYO!$A$1:$N$143</definedName>
    <definedName name="_xlnm.Print_Area" localSheetId="10">NOVIEMBRE!$A$1:$N$143</definedName>
    <definedName name="_xlnm.Print_Area" localSheetId="9">OCTUBRE!$A$1:$N$143</definedName>
    <definedName name="_xlnm.Print_Area" localSheetId="8">SEPTIEMBRE!$A$1:$N$143</definedName>
    <definedName name="con" localSheetId="7">#REF!</definedName>
    <definedName name="con" localSheetId="11">#REF!</definedName>
    <definedName name="con" localSheetId="6">#REF!</definedName>
    <definedName name="con" localSheetId="10">#REF!</definedName>
    <definedName name="con" localSheetId="9">#REF!</definedName>
    <definedName name="con" localSheetId="8">#REF!</definedName>
    <definedName name="con">#REF!</definedName>
    <definedName name="contador" localSheetId="3">#REF!</definedName>
    <definedName name="contador" localSheetId="12">#REF!</definedName>
    <definedName name="contador" localSheetId="7">#REF!</definedName>
    <definedName name="contador" localSheetId="11">#REF!</definedName>
    <definedName name="contador" localSheetId="1">#REF!</definedName>
    <definedName name="contador" localSheetId="6">#REF!</definedName>
    <definedName name="contador" localSheetId="5">#REF!</definedName>
    <definedName name="contador" localSheetId="2">#REF!</definedName>
    <definedName name="contador" localSheetId="4">#REF!</definedName>
    <definedName name="contador" localSheetId="10">#REF!</definedName>
    <definedName name="contador" localSheetId="9">#REF!</definedName>
    <definedName name="contador" localSheetId="8">#REF!</definedName>
    <definedName name="contador">#REF!</definedName>
    <definedName name="FSA" localSheetId="3" hidden="1">'[3]Rec. y Transf.ENERO-04'!#REF!</definedName>
    <definedName name="FSA" localSheetId="12" hidden="1">'[3]Rec. y Transf.ENERO-04'!#REF!</definedName>
    <definedName name="FSA" localSheetId="7" hidden="1">'[3]Rec. y Transf.ENERO-04'!#REF!</definedName>
    <definedName name="FSA" localSheetId="11" hidden="1">'[3]Rec. y Transf.ENERO-04'!#REF!</definedName>
    <definedName name="FSA" localSheetId="1" hidden="1">'[3]Rec. y Transf.ENERO-04'!#REF!</definedName>
    <definedName name="FSA" localSheetId="6" hidden="1">'[3]Rec. y Transf.ENERO-04'!#REF!</definedName>
    <definedName name="FSA" localSheetId="5" hidden="1">'[3]Rec. y Transf.ENERO-04'!#REF!</definedName>
    <definedName name="FSA" localSheetId="2" hidden="1">'[3]Rec. y Transf.ENERO-04'!#REF!</definedName>
    <definedName name="FSA" localSheetId="4" hidden="1">'[3]Rec. y Transf.ENERO-04'!#REF!</definedName>
    <definedName name="FSA" localSheetId="10" hidden="1">'[3]Rec. y Transf.ENERO-04'!#REF!</definedName>
    <definedName name="FSA" localSheetId="9" hidden="1">'[3]Rec. y Transf.ENERO-04'!#REF!</definedName>
    <definedName name="FSA" localSheetId="8" hidden="1">'[3]Rec. y Transf.ENERO-04'!#REF!</definedName>
    <definedName name="FSA" hidden="1">'[3]Rec. y Transf.ENERO-04'!#REF!</definedName>
    <definedName name="JULIO" localSheetId="7" hidden="1">#REF!</definedName>
    <definedName name="JULIO" localSheetId="11" hidden="1">#REF!</definedName>
    <definedName name="JULIO" localSheetId="6" hidden="1">#REF!</definedName>
    <definedName name="JULIO" localSheetId="10" hidden="1">#REF!</definedName>
    <definedName name="JULIO" localSheetId="9" hidden="1">#REF!</definedName>
    <definedName name="JULIO" localSheetId="8" hidden="1">#REF!</definedName>
    <definedName name="JULIO" hidden="1">#REF!</definedName>
    <definedName name="_xlnm.Print_Titles" localSheetId="3">ABRIL!$A:$A,ABRIL!$1:$7</definedName>
    <definedName name="_xlnm.Print_Titles" localSheetId="12">Acumulado!$A:$A,Acumulado!$3:$7</definedName>
    <definedName name="_xlnm.Print_Titles" localSheetId="7">AGOSTO!$A:$A,AGOSTO!$1:$7</definedName>
    <definedName name="_xlnm.Print_Titles" localSheetId="11">DICIEMBRE!$A:$A,DICIEMBRE!$1:$7</definedName>
    <definedName name="_xlnm.Print_Titles" localSheetId="0">ENERO!$A:$A,ENERO!$1:$7</definedName>
    <definedName name="_xlnm.Print_Titles" localSheetId="1">FEBRERO!$A:$A,FEBRERO!$1:$7</definedName>
    <definedName name="_xlnm.Print_Titles" localSheetId="6">JULIO!$A:$A,JULIO!$1:$7</definedName>
    <definedName name="_xlnm.Print_Titles" localSheetId="5">JUNIO!$A:$A,JUNIO!$1:$7</definedName>
    <definedName name="_xlnm.Print_Titles" localSheetId="2">MARZO!$A:$A,MARZO!$1:$7</definedName>
    <definedName name="_xlnm.Print_Titles" localSheetId="4">MAYO!$A:$A,MAYO!$1:$7</definedName>
    <definedName name="_xlnm.Print_Titles" localSheetId="10">NOVIEMBRE!$A:$A,NOVIEMBRE!$1:$7</definedName>
    <definedName name="_xlnm.Print_Titles" localSheetId="9">OCTUBRE!$A:$A,OCTUBRE!$1:$7</definedName>
    <definedName name="_xlnm.Print_Titles" localSheetId="8">SEPTIEMBRE!$A:$A,SEPTIEMBRE!$1:$7</definedName>
  </definedNames>
  <calcPr calcId="162913"/>
</workbook>
</file>

<file path=xl/calcChain.xml><?xml version="1.0" encoding="utf-8"?>
<calcChain xmlns="http://schemas.openxmlformats.org/spreadsheetml/2006/main">
  <c r="N8" i="24" l="1"/>
  <c r="N9" i="5"/>
  <c r="N8" i="5" l="1"/>
  <c r="N8" i="21"/>
  <c r="C143" i="19"/>
  <c r="M9" i="2" l="1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N8" i="1" l="1"/>
  <c r="J143" i="3" l="1"/>
  <c r="N140" i="1" l="1"/>
  <c r="C143" i="23" l="1"/>
  <c r="M143" i="23" l="1"/>
  <c r="M143" i="20"/>
  <c r="M143" i="19"/>
  <c r="M143" i="24"/>
  <c r="M143" i="16"/>
  <c r="M143" i="7"/>
  <c r="M143" i="6"/>
  <c r="M143" i="5"/>
  <c r="M143" i="3"/>
  <c r="M143" i="1"/>
  <c r="N8" i="22"/>
  <c r="M143" i="22"/>
  <c r="C143" i="20" l="1"/>
  <c r="C143" i="24"/>
  <c r="L9" i="2" l="1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8" i="2"/>
  <c r="L143" i="2" l="1"/>
  <c r="J143" i="2"/>
  <c r="K143" i="2"/>
  <c r="C143" i="1" l="1"/>
  <c r="K143" i="1"/>
  <c r="N9" i="1"/>
  <c r="N12" i="1" l="1"/>
  <c r="N142" i="23" l="1"/>
  <c r="N9" i="22" l="1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N42" i="22"/>
  <c r="N43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N58" i="22"/>
  <c r="N59" i="22"/>
  <c r="N60" i="22"/>
  <c r="N61" i="22"/>
  <c r="N62" i="22"/>
  <c r="N63" i="22"/>
  <c r="N64" i="22"/>
  <c r="N65" i="22"/>
  <c r="N66" i="22"/>
  <c r="N67" i="22"/>
  <c r="N68" i="22"/>
  <c r="N69" i="22"/>
  <c r="N70" i="22"/>
  <c r="N71" i="22"/>
  <c r="N72" i="22"/>
  <c r="N73" i="22"/>
  <c r="N74" i="22"/>
  <c r="N75" i="22"/>
  <c r="N76" i="22"/>
  <c r="N77" i="22"/>
  <c r="N78" i="22"/>
  <c r="N79" i="22"/>
  <c r="N80" i="22"/>
  <c r="N81" i="22"/>
  <c r="N82" i="22"/>
  <c r="N83" i="22"/>
  <c r="N84" i="22"/>
  <c r="N85" i="22"/>
  <c r="N86" i="22"/>
  <c r="N87" i="22"/>
  <c r="N88" i="22"/>
  <c r="N89" i="22"/>
  <c r="N90" i="22"/>
  <c r="N91" i="22"/>
  <c r="N92" i="22"/>
  <c r="N93" i="22"/>
  <c r="N94" i="22"/>
  <c r="N95" i="22"/>
  <c r="N96" i="22"/>
  <c r="N97" i="22"/>
  <c r="N98" i="22"/>
  <c r="N99" i="22"/>
  <c r="N100" i="22"/>
  <c r="N101" i="22"/>
  <c r="N102" i="22"/>
  <c r="N103" i="22"/>
  <c r="N104" i="22"/>
  <c r="N105" i="22"/>
  <c r="N106" i="22"/>
  <c r="N107" i="22"/>
  <c r="N108" i="22"/>
  <c r="N109" i="22"/>
  <c r="N110" i="22"/>
  <c r="N111" i="22"/>
  <c r="N112" i="22"/>
  <c r="N113" i="22"/>
  <c r="N114" i="22"/>
  <c r="N115" i="22"/>
  <c r="N116" i="22"/>
  <c r="N117" i="22"/>
  <c r="N118" i="22"/>
  <c r="N119" i="22"/>
  <c r="N120" i="22"/>
  <c r="N121" i="22"/>
  <c r="N122" i="22"/>
  <c r="N123" i="22"/>
  <c r="N124" i="22"/>
  <c r="N125" i="22"/>
  <c r="N126" i="22"/>
  <c r="N127" i="22"/>
  <c r="N128" i="22"/>
  <c r="N129" i="22"/>
  <c r="N130" i="22"/>
  <c r="N131" i="22"/>
  <c r="N132" i="22"/>
  <c r="N133" i="22"/>
  <c r="N134" i="22"/>
  <c r="N135" i="22"/>
  <c r="N136" i="22"/>
  <c r="N137" i="22"/>
  <c r="N138" i="22"/>
  <c r="N139" i="22"/>
  <c r="N140" i="22"/>
  <c r="N141" i="22"/>
  <c r="N142" i="22"/>
  <c r="K143" i="22"/>
  <c r="J143" i="22"/>
  <c r="I143" i="22"/>
  <c r="H143" i="22"/>
  <c r="G143" i="22"/>
  <c r="F143" i="22"/>
  <c r="E143" i="22"/>
  <c r="D143" i="22"/>
  <c r="B143" i="22"/>
  <c r="N143" i="22" l="1"/>
  <c r="N8" i="20"/>
  <c r="E9" i="2" l="1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8" i="2"/>
  <c r="N9" i="23" l="1"/>
  <c r="N10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N40" i="23"/>
  <c r="N41" i="23"/>
  <c r="N42" i="23"/>
  <c r="N43" i="23"/>
  <c r="N44" i="23"/>
  <c r="N45" i="23"/>
  <c r="N46" i="23"/>
  <c r="N47" i="23"/>
  <c r="N48" i="23"/>
  <c r="N49" i="23"/>
  <c r="N50" i="23"/>
  <c r="N51" i="23"/>
  <c r="N52" i="23"/>
  <c r="N53" i="23"/>
  <c r="N54" i="23"/>
  <c r="N55" i="23"/>
  <c r="N56" i="23"/>
  <c r="N57" i="23"/>
  <c r="N58" i="23"/>
  <c r="N59" i="23"/>
  <c r="N60" i="23"/>
  <c r="N61" i="23"/>
  <c r="N62" i="23"/>
  <c r="N63" i="23"/>
  <c r="N64" i="23"/>
  <c r="N65" i="23"/>
  <c r="N66" i="23"/>
  <c r="N67" i="23"/>
  <c r="N68" i="23"/>
  <c r="N69" i="23"/>
  <c r="N70" i="23"/>
  <c r="N71" i="23"/>
  <c r="N72" i="23"/>
  <c r="N73" i="23"/>
  <c r="N74" i="23"/>
  <c r="N75" i="23"/>
  <c r="N76" i="23"/>
  <c r="N77" i="23"/>
  <c r="N78" i="23"/>
  <c r="N79" i="23"/>
  <c r="N80" i="23"/>
  <c r="N81" i="23"/>
  <c r="N82" i="23"/>
  <c r="N83" i="23"/>
  <c r="N84" i="23"/>
  <c r="N85" i="23"/>
  <c r="N86" i="23"/>
  <c r="N87" i="23"/>
  <c r="N88" i="23"/>
  <c r="N89" i="23"/>
  <c r="N90" i="23"/>
  <c r="N91" i="23"/>
  <c r="N92" i="23"/>
  <c r="N93" i="23"/>
  <c r="N94" i="23"/>
  <c r="N95" i="23"/>
  <c r="N96" i="23"/>
  <c r="N97" i="23"/>
  <c r="N98" i="23"/>
  <c r="N99" i="23"/>
  <c r="N100" i="23"/>
  <c r="N101" i="23"/>
  <c r="N102" i="23"/>
  <c r="N103" i="23"/>
  <c r="N104" i="23"/>
  <c r="N105" i="23"/>
  <c r="N106" i="23"/>
  <c r="N107" i="23"/>
  <c r="N108" i="23"/>
  <c r="N109" i="23"/>
  <c r="N110" i="23"/>
  <c r="N111" i="23"/>
  <c r="N112" i="23"/>
  <c r="N113" i="23"/>
  <c r="N114" i="23"/>
  <c r="N115" i="23"/>
  <c r="N116" i="23"/>
  <c r="N117" i="23"/>
  <c r="N118" i="23"/>
  <c r="N119" i="23"/>
  <c r="N120" i="23"/>
  <c r="N121" i="23"/>
  <c r="N122" i="23"/>
  <c r="N123" i="23"/>
  <c r="N124" i="23"/>
  <c r="N125" i="23"/>
  <c r="N126" i="23"/>
  <c r="N127" i="23"/>
  <c r="N128" i="23"/>
  <c r="N129" i="23"/>
  <c r="N130" i="23"/>
  <c r="N131" i="23"/>
  <c r="N132" i="23"/>
  <c r="N133" i="23"/>
  <c r="N134" i="23"/>
  <c r="N135" i="23"/>
  <c r="N136" i="23"/>
  <c r="N137" i="23"/>
  <c r="N138" i="23"/>
  <c r="N139" i="23"/>
  <c r="N140" i="23"/>
  <c r="N141" i="23"/>
  <c r="N8" i="23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N80" i="19"/>
  <c r="N81" i="19"/>
  <c r="N82" i="19"/>
  <c r="N83" i="19"/>
  <c r="N84" i="19"/>
  <c r="N85" i="19"/>
  <c r="N86" i="19"/>
  <c r="N87" i="19"/>
  <c r="N88" i="19"/>
  <c r="N89" i="19"/>
  <c r="N90" i="19"/>
  <c r="N91" i="19"/>
  <c r="N92" i="19"/>
  <c r="N93" i="19"/>
  <c r="N94" i="19"/>
  <c r="N95" i="19"/>
  <c r="N96" i="19"/>
  <c r="N97" i="19"/>
  <c r="N98" i="19"/>
  <c r="N99" i="19"/>
  <c r="N100" i="19"/>
  <c r="N101" i="19"/>
  <c r="N102" i="19"/>
  <c r="N103" i="19"/>
  <c r="N104" i="19"/>
  <c r="N105" i="19"/>
  <c r="N106" i="19"/>
  <c r="N107" i="19"/>
  <c r="N108" i="19"/>
  <c r="N109" i="19"/>
  <c r="N110" i="19"/>
  <c r="N111" i="19"/>
  <c r="N112" i="19"/>
  <c r="N113" i="19"/>
  <c r="N114" i="19"/>
  <c r="N115" i="19"/>
  <c r="N116" i="19"/>
  <c r="N117" i="19"/>
  <c r="N118" i="19"/>
  <c r="N119" i="19"/>
  <c r="N120" i="19"/>
  <c r="N121" i="19"/>
  <c r="N122" i="19"/>
  <c r="N123" i="19"/>
  <c r="N124" i="19"/>
  <c r="N125" i="19"/>
  <c r="N126" i="19"/>
  <c r="N127" i="19"/>
  <c r="N128" i="19"/>
  <c r="N129" i="19"/>
  <c r="N130" i="19"/>
  <c r="N131" i="19"/>
  <c r="N132" i="19"/>
  <c r="N133" i="19"/>
  <c r="N134" i="19"/>
  <c r="N135" i="19"/>
  <c r="N136" i="19"/>
  <c r="N137" i="19"/>
  <c r="N138" i="19"/>
  <c r="N139" i="19"/>
  <c r="N140" i="19"/>
  <c r="N141" i="19"/>
  <c r="N142" i="19"/>
  <c r="N8" i="19"/>
  <c r="N138" i="24"/>
  <c r="N9" i="24"/>
  <c r="N10" i="24"/>
  <c r="N11" i="24"/>
  <c r="N12" i="24"/>
  <c r="N13" i="24"/>
  <c r="N14" i="24"/>
  <c r="N15" i="24"/>
  <c r="N16" i="24"/>
  <c r="N17" i="24"/>
  <c r="N18" i="24"/>
  <c r="N19" i="24"/>
  <c r="N20" i="24"/>
  <c r="N21" i="24"/>
  <c r="N22" i="24"/>
  <c r="N23" i="24"/>
  <c r="N24" i="24"/>
  <c r="N25" i="24"/>
  <c r="N26" i="24"/>
  <c r="N27" i="24"/>
  <c r="N28" i="24"/>
  <c r="N29" i="24"/>
  <c r="N30" i="24"/>
  <c r="N31" i="24"/>
  <c r="N32" i="24"/>
  <c r="N33" i="24"/>
  <c r="N34" i="24"/>
  <c r="N35" i="24"/>
  <c r="N36" i="24"/>
  <c r="N37" i="24"/>
  <c r="N38" i="24"/>
  <c r="N39" i="24"/>
  <c r="N40" i="24"/>
  <c r="N41" i="24"/>
  <c r="N42" i="24"/>
  <c r="N43" i="24"/>
  <c r="N44" i="24"/>
  <c r="N45" i="24"/>
  <c r="N46" i="24"/>
  <c r="N47" i="24"/>
  <c r="N48" i="24"/>
  <c r="N49" i="24"/>
  <c r="N50" i="24"/>
  <c r="N51" i="24"/>
  <c r="N52" i="24"/>
  <c r="N53" i="24"/>
  <c r="N54" i="24"/>
  <c r="N55" i="24"/>
  <c r="N56" i="24"/>
  <c r="N57" i="24"/>
  <c r="N58" i="24"/>
  <c r="N59" i="24"/>
  <c r="N60" i="24"/>
  <c r="N61" i="24"/>
  <c r="N62" i="24"/>
  <c r="N63" i="24"/>
  <c r="N64" i="24"/>
  <c r="N65" i="24"/>
  <c r="N66" i="24"/>
  <c r="N67" i="24"/>
  <c r="N68" i="24"/>
  <c r="N69" i="24"/>
  <c r="N70" i="24"/>
  <c r="N71" i="24"/>
  <c r="N72" i="24"/>
  <c r="N73" i="24"/>
  <c r="N74" i="24"/>
  <c r="N75" i="24"/>
  <c r="N76" i="24"/>
  <c r="N77" i="24"/>
  <c r="N78" i="24"/>
  <c r="N79" i="24"/>
  <c r="N80" i="24"/>
  <c r="N81" i="24"/>
  <c r="N82" i="24"/>
  <c r="N83" i="24"/>
  <c r="N84" i="24"/>
  <c r="N85" i="24"/>
  <c r="N86" i="24"/>
  <c r="N87" i="24"/>
  <c r="N88" i="24"/>
  <c r="N89" i="24"/>
  <c r="N90" i="24"/>
  <c r="N91" i="24"/>
  <c r="N92" i="24"/>
  <c r="N93" i="24"/>
  <c r="N94" i="24"/>
  <c r="N95" i="24"/>
  <c r="N96" i="24"/>
  <c r="N97" i="24"/>
  <c r="N98" i="24"/>
  <c r="N99" i="24"/>
  <c r="N100" i="24"/>
  <c r="N101" i="24"/>
  <c r="N102" i="24"/>
  <c r="N103" i="24"/>
  <c r="N104" i="24"/>
  <c r="N105" i="24"/>
  <c r="N106" i="24"/>
  <c r="N107" i="24"/>
  <c r="N108" i="24"/>
  <c r="N109" i="24"/>
  <c r="N110" i="24"/>
  <c r="N111" i="24"/>
  <c r="N112" i="24"/>
  <c r="N113" i="24"/>
  <c r="N114" i="24"/>
  <c r="N115" i="24"/>
  <c r="N116" i="24"/>
  <c r="N117" i="24"/>
  <c r="N118" i="24"/>
  <c r="N119" i="24"/>
  <c r="N120" i="24"/>
  <c r="N121" i="24"/>
  <c r="N122" i="24"/>
  <c r="N123" i="24"/>
  <c r="N124" i="24"/>
  <c r="N125" i="24"/>
  <c r="N126" i="24"/>
  <c r="N127" i="24"/>
  <c r="N128" i="24"/>
  <c r="N129" i="24"/>
  <c r="N130" i="24"/>
  <c r="N131" i="24"/>
  <c r="N132" i="24"/>
  <c r="N133" i="24"/>
  <c r="N134" i="24"/>
  <c r="N135" i="24"/>
  <c r="N136" i="24"/>
  <c r="N137" i="24"/>
  <c r="N139" i="24"/>
  <c r="N140" i="24"/>
  <c r="N141" i="24"/>
  <c r="N142" i="24"/>
  <c r="N139" i="16"/>
  <c r="N142" i="16"/>
  <c r="N135" i="16"/>
  <c r="N126" i="16"/>
  <c r="N141" i="16"/>
  <c r="K143" i="16"/>
  <c r="N143" i="20" l="1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N124" i="16"/>
  <c r="N125" i="16"/>
  <c r="N127" i="16"/>
  <c r="N128" i="16"/>
  <c r="N129" i="16"/>
  <c r="N130" i="16"/>
  <c r="N131" i="16"/>
  <c r="N132" i="16"/>
  <c r="N133" i="16"/>
  <c r="N134" i="16"/>
  <c r="N136" i="16"/>
  <c r="N137" i="16"/>
  <c r="N138" i="16"/>
  <c r="N140" i="16"/>
  <c r="N8" i="16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8" i="7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8" i="6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14" i="1"/>
  <c r="N107" i="1"/>
  <c r="N10" i="1"/>
  <c r="N11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8" i="1"/>
  <c r="N109" i="1"/>
  <c r="N110" i="1"/>
  <c r="N111" i="1"/>
  <c r="N112" i="1"/>
  <c r="N113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1" i="1"/>
  <c r="N142" i="1"/>
  <c r="N143" i="7" l="1"/>
  <c r="N143" i="1"/>
  <c r="N143" i="16"/>
  <c r="L143" i="6"/>
  <c r="C9" i="2" l="1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8" i="2"/>
  <c r="L143" i="23"/>
  <c r="L143" i="22"/>
  <c r="L143" i="21"/>
  <c r="L143" i="20"/>
  <c r="L143" i="19"/>
  <c r="L143" i="24"/>
  <c r="L143" i="7"/>
  <c r="C143" i="7"/>
  <c r="L143" i="1"/>
  <c r="L143" i="3"/>
  <c r="L143" i="5"/>
  <c r="D143" i="5"/>
  <c r="E143" i="5"/>
  <c r="F143" i="5"/>
  <c r="G143" i="5"/>
  <c r="H143" i="5"/>
  <c r="I143" i="5"/>
  <c r="J143" i="5"/>
  <c r="K143" i="5"/>
  <c r="C143" i="5"/>
  <c r="C143" i="3"/>
  <c r="N133" i="3" l="1"/>
  <c r="N121" i="3"/>
  <c r="N109" i="3"/>
  <c r="N93" i="3"/>
  <c r="N81" i="3"/>
  <c r="N65" i="3"/>
  <c r="N57" i="3"/>
  <c r="N41" i="3"/>
  <c r="N29" i="3"/>
  <c r="N21" i="3"/>
  <c r="N13" i="3"/>
  <c r="N8" i="3"/>
  <c r="N142" i="3"/>
  <c r="N138" i="3"/>
  <c r="N134" i="3"/>
  <c r="N130" i="3"/>
  <c r="N126" i="3"/>
  <c r="N122" i="3"/>
  <c r="N118" i="3"/>
  <c r="N114" i="3"/>
  <c r="N110" i="3"/>
  <c r="N106" i="3"/>
  <c r="N102" i="3"/>
  <c r="N98" i="3"/>
  <c r="N94" i="3"/>
  <c r="N90" i="3"/>
  <c r="N86" i="3"/>
  <c r="N82" i="3"/>
  <c r="N78" i="3"/>
  <c r="N74" i="3"/>
  <c r="N70" i="3"/>
  <c r="N66" i="3"/>
  <c r="N62" i="3"/>
  <c r="N58" i="3"/>
  <c r="N54" i="3"/>
  <c r="N50" i="3"/>
  <c r="N46" i="3"/>
  <c r="N42" i="3"/>
  <c r="N38" i="3"/>
  <c r="N34" i="3"/>
  <c r="N30" i="3"/>
  <c r="N26" i="3"/>
  <c r="N22" i="3"/>
  <c r="N18" i="3"/>
  <c r="N14" i="3"/>
  <c r="N10" i="3"/>
  <c r="N9" i="3"/>
  <c r="N141" i="3"/>
  <c r="N129" i="3"/>
  <c r="N117" i="3"/>
  <c r="N105" i="3"/>
  <c r="N97" i="3"/>
  <c r="N85" i="3"/>
  <c r="N73" i="3"/>
  <c r="N61" i="3"/>
  <c r="N49" i="3"/>
  <c r="N37" i="3"/>
  <c r="N140" i="3"/>
  <c r="N136" i="3"/>
  <c r="N132" i="3"/>
  <c r="N128" i="3"/>
  <c r="N124" i="3"/>
  <c r="N120" i="3"/>
  <c r="N116" i="3"/>
  <c r="N112" i="3"/>
  <c r="N108" i="3"/>
  <c r="N104" i="3"/>
  <c r="N100" i="3"/>
  <c r="N96" i="3"/>
  <c r="N92" i="3"/>
  <c r="N88" i="3"/>
  <c r="N84" i="3"/>
  <c r="N80" i="3"/>
  <c r="N76" i="3"/>
  <c r="N72" i="3"/>
  <c r="N68" i="3"/>
  <c r="N64" i="3"/>
  <c r="N60" i="3"/>
  <c r="N56" i="3"/>
  <c r="N52" i="3"/>
  <c r="N48" i="3"/>
  <c r="N44" i="3"/>
  <c r="N40" i="3"/>
  <c r="N36" i="3"/>
  <c r="N32" i="3"/>
  <c r="N28" i="3"/>
  <c r="N24" i="3"/>
  <c r="N20" i="3"/>
  <c r="N16" i="3"/>
  <c r="N12" i="3"/>
  <c r="N137" i="3"/>
  <c r="N125" i="3"/>
  <c r="N113" i="3"/>
  <c r="N101" i="3"/>
  <c r="N89" i="3"/>
  <c r="N77" i="3"/>
  <c r="N69" i="3"/>
  <c r="N53" i="3"/>
  <c r="N45" i="3"/>
  <c r="N33" i="3"/>
  <c r="N25" i="3"/>
  <c r="N17" i="3"/>
  <c r="N139" i="3"/>
  <c r="N135" i="3"/>
  <c r="N131" i="3"/>
  <c r="N127" i="3"/>
  <c r="N123" i="3"/>
  <c r="N119" i="3"/>
  <c r="N115" i="3"/>
  <c r="N111" i="3"/>
  <c r="N107" i="3"/>
  <c r="N103" i="3"/>
  <c r="N99" i="3"/>
  <c r="N95" i="3"/>
  <c r="N91" i="3"/>
  <c r="N87" i="3"/>
  <c r="N83" i="3"/>
  <c r="N79" i="3"/>
  <c r="N75" i="3"/>
  <c r="N71" i="3"/>
  <c r="N67" i="3"/>
  <c r="N63" i="3"/>
  <c r="N59" i="3"/>
  <c r="N55" i="3"/>
  <c r="N51" i="3"/>
  <c r="N47" i="3"/>
  <c r="N43" i="3"/>
  <c r="N39" i="3"/>
  <c r="N35" i="3"/>
  <c r="N31" i="3"/>
  <c r="N27" i="3"/>
  <c r="N23" i="3"/>
  <c r="N19" i="3"/>
  <c r="N15" i="3"/>
  <c r="N11" i="3"/>
  <c r="K143" i="3"/>
  <c r="C143" i="2"/>
  <c r="J143" i="1" l="1"/>
  <c r="I9" i="2" l="1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8" i="2"/>
  <c r="K143" i="24"/>
  <c r="J143" i="24"/>
  <c r="I143" i="24"/>
  <c r="H143" i="24"/>
  <c r="G143" i="24"/>
  <c r="F143" i="24"/>
  <c r="E143" i="24"/>
  <c r="D143" i="24"/>
  <c r="B143" i="24"/>
  <c r="H143" i="2" l="1"/>
  <c r="N143" i="24"/>
  <c r="K143" i="23" l="1"/>
  <c r="J143" i="23"/>
  <c r="I143" i="23"/>
  <c r="H143" i="23"/>
  <c r="G143" i="23"/>
  <c r="F143" i="23"/>
  <c r="E143" i="23"/>
  <c r="D143" i="23"/>
  <c r="B143" i="23"/>
  <c r="N143" i="23" l="1"/>
  <c r="D143" i="2"/>
  <c r="K143" i="21" l="1"/>
  <c r="J143" i="21"/>
  <c r="I143" i="21"/>
  <c r="H143" i="21"/>
  <c r="G143" i="21"/>
  <c r="F143" i="21"/>
  <c r="E143" i="21"/>
  <c r="D143" i="21"/>
  <c r="B143" i="21"/>
  <c r="K143" i="20" l="1"/>
  <c r="J143" i="20"/>
  <c r="I143" i="20"/>
  <c r="H143" i="20"/>
  <c r="G143" i="20"/>
  <c r="F143" i="20"/>
  <c r="E143" i="20"/>
  <c r="D143" i="20"/>
  <c r="B143" i="20"/>
  <c r="K143" i="19" l="1"/>
  <c r="J143" i="19"/>
  <c r="I143" i="19"/>
  <c r="H143" i="19"/>
  <c r="G143" i="19"/>
  <c r="F143" i="19"/>
  <c r="E143" i="19"/>
  <c r="D143" i="19"/>
  <c r="B143" i="19"/>
  <c r="N143" i="19" l="1"/>
  <c r="L143" i="16" l="1"/>
  <c r="I143" i="16"/>
  <c r="H143" i="16"/>
  <c r="G143" i="16"/>
  <c r="F143" i="16"/>
  <c r="E143" i="16"/>
  <c r="D143" i="16"/>
  <c r="J143" i="16"/>
  <c r="B143" i="16"/>
  <c r="K143" i="7" l="1"/>
  <c r="H143" i="7"/>
  <c r="J143" i="6" l="1"/>
  <c r="F143" i="3" l="1"/>
  <c r="I143" i="3" l="1"/>
  <c r="H143" i="3"/>
  <c r="E143" i="3"/>
  <c r="J143" i="7" l="1"/>
  <c r="I143" i="7"/>
  <c r="G143" i="7"/>
  <c r="F143" i="7"/>
  <c r="E143" i="7"/>
  <c r="D143" i="7"/>
  <c r="B143" i="7"/>
  <c r="K143" i="6" l="1"/>
  <c r="I143" i="6"/>
  <c r="H143" i="6"/>
  <c r="G143" i="6"/>
  <c r="F143" i="6"/>
  <c r="E143" i="6"/>
  <c r="D143" i="6"/>
  <c r="B143" i="6"/>
  <c r="N143" i="6" l="1"/>
  <c r="B143" i="5"/>
  <c r="N143" i="5" l="1"/>
  <c r="G143" i="3" l="1"/>
  <c r="D143" i="3"/>
  <c r="B143" i="3"/>
  <c r="N143" i="3" l="1"/>
  <c r="I143" i="1"/>
  <c r="H143" i="1"/>
  <c r="G143" i="1"/>
  <c r="F143" i="1"/>
  <c r="E143" i="1"/>
  <c r="D143" i="1"/>
  <c r="B143" i="1"/>
  <c r="I143" i="2" l="1"/>
  <c r="G143" i="2"/>
  <c r="F143" i="2"/>
  <c r="E143" i="2"/>
  <c r="B143" i="2"/>
  <c r="N13" i="2" l="1"/>
  <c r="N13" i="21"/>
  <c r="N81" i="2"/>
  <c r="N81" i="21"/>
  <c r="N20" i="2"/>
  <c r="N20" i="21"/>
  <c r="N37" i="2"/>
  <c r="N37" i="21"/>
  <c r="N69" i="2"/>
  <c r="N69" i="21"/>
  <c r="N9" i="2"/>
  <c r="N9" i="21"/>
  <c r="N65" i="2"/>
  <c r="N65" i="21"/>
  <c r="N22" i="2"/>
  <c r="N22" i="21"/>
  <c r="N41" i="2"/>
  <c r="N41" i="21"/>
  <c r="N73" i="2"/>
  <c r="N73" i="21"/>
  <c r="N34" i="2"/>
  <c r="N34" i="21"/>
  <c r="M8" i="2"/>
  <c r="M143" i="21"/>
  <c r="N17" i="2"/>
  <c r="N17" i="21"/>
  <c r="N32" i="2"/>
  <c r="N32" i="21"/>
  <c r="N61" i="2"/>
  <c r="N61" i="21"/>
  <c r="N93" i="2"/>
  <c r="N93" i="21"/>
  <c r="N38" i="2"/>
  <c r="N38" i="21"/>
  <c r="N46" i="2"/>
  <c r="N46" i="21"/>
  <c r="N54" i="2"/>
  <c r="N54" i="21"/>
  <c r="N62" i="2"/>
  <c r="N62" i="21"/>
  <c r="N70" i="2"/>
  <c r="N70" i="21"/>
  <c r="N78" i="2"/>
  <c r="N78" i="21"/>
  <c r="N86" i="2"/>
  <c r="N86" i="21"/>
  <c r="N94" i="2"/>
  <c r="N94" i="21"/>
  <c r="N15" i="2"/>
  <c r="N15" i="21"/>
  <c r="N21" i="2"/>
  <c r="N21" i="21"/>
  <c r="N25" i="2"/>
  <c r="N25" i="21"/>
  <c r="N29" i="2"/>
  <c r="N29" i="21"/>
  <c r="N33" i="2"/>
  <c r="N33" i="21"/>
  <c r="N39" i="2"/>
  <c r="N39" i="21"/>
  <c r="N47" i="2"/>
  <c r="N47" i="21"/>
  <c r="N55" i="2"/>
  <c r="N55" i="21"/>
  <c r="N63" i="2"/>
  <c r="N63" i="21"/>
  <c r="N71" i="2"/>
  <c r="N71" i="21"/>
  <c r="N79" i="2"/>
  <c r="N79" i="21"/>
  <c r="N87" i="2"/>
  <c r="N87" i="21"/>
  <c r="N95" i="2"/>
  <c r="N95" i="21"/>
  <c r="N18" i="2"/>
  <c r="N18" i="21"/>
  <c r="N40" i="2"/>
  <c r="N40" i="21"/>
  <c r="N48" i="2"/>
  <c r="N48" i="21"/>
  <c r="N56" i="2"/>
  <c r="N56" i="21"/>
  <c r="N64" i="2"/>
  <c r="N64" i="21"/>
  <c r="N72" i="2"/>
  <c r="N72" i="21"/>
  <c r="N80" i="2"/>
  <c r="N80" i="21"/>
  <c r="N88" i="2"/>
  <c r="N88" i="21"/>
  <c r="N96" i="2"/>
  <c r="N96" i="21"/>
  <c r="N100" i="2"/>
  <c r="N100" i="21"/>
  <c r="N102" i="2"/>
  <c r="N102" i="21"/>
  <c r="N104" i="2"/>
  <c r="N104" i="21"/>
  <c r="N106" i="2"/>
  <c r="N106" i="21"/>
  <c r="N108" i="2"/>
  <c r="N108" i="21"/>
  <c r="N110" i="2"/>
  <c r="N110" i="21"/>
  <c r="N112" i="2"/>
  <c r="N112" i="21"/>
  <c r="N114" i="2"/>
  <c r="N114" i="21"/>
  <c r="N116" i="2"/>
  <c r="N116" i="21"/>
  <c r="N118" i="2"/>
  <c r="N118" i="21"/>
  <c r="N120" i="2"/>
  <c r="N120" i="21"/>
  <c r="N122" i="2"/>
  <c r="N122" i="21"/>
  <c r="N124" i="2"/>
  <c r="N124" i="21"/>
  <c r="N126" i="2"/>
  <c r="N126" i="21"/>
  <c r="N128" i="2"/>
  <c r="N128" i="21"/>
  <c r="N130" i="2"/>
  <c r="N130" i="21"/>
  <c r="N132" i="2"/>
  <c r="N132" i="21"/>
  <c r="N134" i="2"/>
  <c r="N134" i="21"/>
  <c r="N136" i="2"/>
  <c r="N136" i="21"/>
  <c r="N138" i="2"/>
  <c r="N138" i="21"/>
  <c r="N140" i="2"/>
  <c r="N140" i="21"/>
  <c r="N142" i="2"/>
  <c r="N142" i="21"/>
  <c r="N49" i="2"/>
  <c r="N49" i="21"/>
  <c r="N10" i="2"/>
  <c r="N10" i="21"/>
  <c r="N28" i="2"/>
  <c r="N28" i="21"/>
  <c r="N53" i="2"/>
  <c r="N53" i="21"/>
  <c r="N85" i="2"/>
  <c r="N85" i="21"/>
  <c r="N26" i="2"/>
  <c r="N26" i="21"/>
  <c r="N11" i="2"/>
  <c r="N11" i="21"/>
  <c r="N30" i="2"/>
  <c r="N30" i="21"/>
  <c r="N57" i="2"/>
  <c r="N57" i="21"/>
  <c r="N89" i="2"/>
  <c r="N89" i="21"/>
  <c r="N97" i="2"/>
  <c r="N97" i="21"/>
  <c r="N12" i="2"/>
  <c r="N12" i="21"/>
  <c r="N24" i="2"/>
  <c r="N24" i="21"/>
  <c r="N45" i="2"/>
  <c r="N45" i="21"/>
  <c r="N77" i="2"/>
  <c r="N77" i="21"/>
  <c r="N16" i="2"/>
  <c r="N16" i="21"/>
  <c r="N42" i="2"/>
  <c r="N42" i="21"/>
  <c r="N50" i="2"/>
  <c r="N50" i="21"/>
  <c r="N58" i="2"/>
  <c r="N58" i="21"/>
  <c r="N66" i="2"/>
  <c r="N66" i="21"/>
  <c r="N74" i="2"/>
  <c r="N74" i="21"/>
  <c r="N82" i="2"/>
  <c r="N82" i="21"/>
  <c r="N90" i="2"/>
  <c r="N90" i="21"/>
  <c r="N98" i="2"/>
  <c r="N98" i="21"/>
  <c r="N19" i="2"/>
  <c r="N19" i="21"/>
  <c r="N23" i="2"/>
  <c r="N23" i="21"/>
  <c r="N27" i="2"/>
  <c r="N27" i="21"/>
  <c r="N31" i="2"/>
  <c r="N31" i="21"/>
  <c r="N35" i="2"/>
  <c r="N35" i="21"/>
  <c r="N43" i="2"/>
  <c r="N43" i="21"/>
  <c r="N51" i="2"/>
  <c r="N51" i="21"/>
  <c r="N59" i="2"/>
  <c r="N59" i="21"/>
  <c r="N67" i="2"/>
  <c r="N67" i="21"/>
  <c r="N75" i="2"/>
  <c r="N75" i="21"/>
  <c r="N83" i="2"/>
  <c r="N83" i="21"/>
  <c r="N91" i="2"/>
  <c r="N91" i="21"/>
  <c r="N14" i="2"/>
  <c r="N14" i="21"/>
  <c r="N36" i="2"/>
  <c r="N36" i="21"/>
  <c r="N44" i="2"/>
  <c r="N44" i="21"/>
  <c r="N52" i="2"/>
  <c r="N52" i="21"/>
  <c r="N60" i="2"/>
  <c r="N60" i="21"/>
  <c r="N68" i="2"/>
  <c r="N68" i="21"/>
  <c r="N76" i="2"/>
  <c r="N76" i="21"/>
  <c r="N84" i="2"/>
  <c r="N84" i="21"/>
  <c r="N92" i="2"/>
  <c r="N92" i="21"/>
  <c r="N99" i="2"/>
  <c r="N99" i="21"/>
  <c r="N101" i="2"/>
  <c r="N101" i="21"/>
  <c r="N103" i="2"/>
  <c r="N103" i="21"/>
  <c r="N105" i="2"/>
  <c r="N105" i="21"/>
  <c r="N107" i="2"/>
  <c r="N107" i="21"/>
  <c r="N109" i="2"/>
  <c r="N109" i="21"/>
  <c r="N111" i="2"/>
  <c r="N111" i="21"/>
  <c r="N113" i="2"/>
  <c r="N113" i="21"/>
  <c r="N115" i="2"/>
  <c r="N115" i="21"/>
  <c r="N117" i="2"/>
  <c r="N117" i="21"/>
  <c r="N119" i="2"/>
  <c r="N119" i="21"/>
  <c r="N121" i="2"/>
  <c r="N121" i="21"/>
  <c r="N123" i="2"/>
  <c r="N123" i="21"/>
  <c r="N125" i="2"/>
  <c r="N125" i="21"/>
  <c r="N127" i="2"/>
  <c r="N127" i="21"/>
  <c r="N129" i="2"/>
  <c r="N129" i="21"/>
  <c r="N131" i="2"/>
  <c r="N131" i="21"/>
  <c r="N133" i="2"/>
  <c r="N133" i="21"/>
  <c r="N135" i="2"/>
  <c r="N135" i="21"/>
  <c r="N137" i="2"/>
  <c r="N137" i="21"/>
  <c r="N139" i="2"/>
  <c r="N139" i="21"/>
  <c r="N141" i="2"/>
  <c r="N141" i="21"/>
  <c r="N143" i="21" l="1"/>
  <c r="M143" i="2"/>
  <c r="N8" i="2"/>
  <c r="N143" i="2" l="1"/>
</calcChain>
</file>

<file path=xl/sharedStrings.xml><?xml version="1.0" encoding="utf-8"?>
<sst xmlns="http://schemas.openxmlformats.org/spreadsheetml/2006/main" count="2002" uniqueCount="178">
  <si>
    <t>TRANSFERENCIAS DE FONDOS</t>
  </si>
  <si>
    <t>(En pesos)</t>
  </si>
  <si>
    <t>Municipio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</si>
  <si>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</si>
  <si>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</si>
  <si>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</si>
  <si>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</si>
  <si>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</si>
  <si>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</si>
  <si>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</si>
  <si>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</si>
  <si>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</si>
  <si>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</si>
  <si>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</si>
  <si>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</si>
  <si>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</si>
  <si>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</si>
  <si>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</si>
  <si>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</si>
  <si>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</si>
  <si>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</si>
  <si>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</si>
  <si>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</si>
  <si>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</si>
  <si>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</si>
  <si>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</si>
  <si>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</si>
  <si>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</si>
  <si>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</si>
  <si>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</si>
  <si>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</si>
  <si>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DORREGO</t>
  </si>
  <si>
    <t>CORONEL PRINGLES</t>
  </si>
  <si>
    <t>CORONEL ROSALES</t>
  </si>
  <si>
    <t>CORONEL SUAREZ</t>
  </si>
  <si>
    <t>DAIREAUX</t>
  </si>
  <si>
    <t>DOLORES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</si>
  <si>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</si>
  <si>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</si>
  <si>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</si>
  <si>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</si>
  <si>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</si>
  <si>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</si>
  <si>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</si>
  <si>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</si>
  <si>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</si>
  <si>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</si>
  <si>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</si>
  <si>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</si>
  <si>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</si>
  <si>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</si>
  <si>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>GENERAL LAVALLE</t>
  </si>
  <si>
    <t>GENERAL MADARIAGA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</si>
  <si>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</si>
  <si>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</si>
  <si>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</si>
  <si>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</si>
  <si>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</si>
  <si>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</si>
  <si>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</si>
  <si>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</si>
  <si>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</si>
  <si>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</si>
  <si>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</si>
  <si>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</si>
  <si>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</si>
  <si>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</si>
  <si>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</si>
  <si>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</si>
  <si>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</si>
  <si>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</si>
  <si>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</si>
  <si>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</si>
  <si>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</si>
  <si>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</si>
  <si>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</si>
  <si>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</si>
  <si>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</si>
  <si>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</si>
  <si>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</si>
  <si>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</si>
  <si>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</si>
  <si>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</si>
  <si>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</si>
  <si>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</si>
  <si>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</si>
  <si>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</si>
  <si>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</si>
  <si>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</si>
  <si>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</si>
  <si>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</si>
  <si>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</si>
  <si>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NUEVE DE JULIO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</si>
  <si>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</si>
  <si>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</si>
  <si>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</si>
  <si>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</si>
  <si>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</si>
  <si>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</si>
  <si>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</si>
  <si>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</si>
  <si>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</si>
  <si>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</si>
  <si>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</si>
  <si>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</si>
  <si>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</si>
  <si>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</si>
  <si>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</si>
  <si>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</si>
  <si>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</si>
  <si>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</si>
  <si>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</si>
  <si>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</si>
  <si>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</si>
  <si>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</si>
  <si>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</si>
  <si>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</si>
  <si>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</si>
  <si>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</si>
  <si>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</si>
  <si>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</si>
  <si>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</si>
  <si>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</si>
  <si>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</si>
  <si>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</si>
  <si>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</si>
  <si>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</si>
  <si>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</si>
  <si>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</si>
  <si>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</si>
  <si>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</si>
  <si>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</si>
  <si>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</si>
  <si>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VEINTICINCO DE MAYO</t>
  </si>
  <si>
    <t>VICENTE LOPEZ</t>
  </si>
  <si>
    <t>VILLA GESELL</t>
  </si>
  <si>
    <t>VILLARINO</t>
  </si>
  <si>
    <t>ZARATE</t>
  </si>
  <si>
    <t>CONSOLIDADO 135 MUNICIPIOS</t>
  </si>
  <si>
    <t>Coparticipación
Bruta</t>
  </si>
  <si>
    <t>Total</t>
  </si>
  <si>
    <t>Juegos de Azar</t>
  </si>
  <si>
    <t>Fdo Ley 14890</t>
  </si>
  <si>
    <t>Descentralización</t>
  </si>
  <si>
    <t>F.S.A.
 (Tratamiento de Residuos)</t>
  </si>
  <si>
    <t>Fondo Inclusión
Social</t>
  </si>
  <si>
    <t>Fondo Fort. 
Recursos 
Municipales</t>
  </si>
  <si>
    <t>Fondo de 
Financ. Educativo</t>
  </si>
  <si>
    <t>Fdo. Para Infrestructura
 Municipal 2016</t>
  </si>
  <si>
    <t>Fdo. Para Infrestructura 
Municipal 2017</t>
  </si>
  <si>
    <t>F.F.P.S. 
(Programas Sociales)</t>
  </si>
  <si>
    <t>Omisión Coparticiación 2020</t>
  </si>
  <si>
    <t>MES DE DICIEMBRE 2021</t>
  </si>
  <si>
    <t>DICIEMBRE 2021</t>
  </si>
  <si>
    <t>MES DE NOVIEMBRE 2021</t>
  </si>
  <si>
    <t>NOVIEMBRE 2021</t>
  </si>
  <si>
    <t>MES DE OCTUBRE 2021</t>
  </si>
  <si>
    <t>OCTUBRE 2021</t>
  </si>
  <si>
    <t>MES DE SEPTIEMBRE 2021</t>
  </si>
  <si>
    <t>SEPTIEMBRE 2021</t>
  </si>
  <si>
    <t>MES DE AGOSTO 2021</t>
  </si>
  <si>
    <t>AGOSTO 2021</t>
  </si>
  <si>
    <t>MES DE JULIO 2021</t>
  </si>
  <si>
    <t>JULIO 2021</t>
  </si>
  <si>
    <t>MES DE JUNIO 2021</t>
  </si>
  <si>
    <t>JUNIO 2021</t>
  </si>
  <si>
    <t>MES DE MAYO 2021</t>
  </si>
  <si>
    <t>MAYO 2021</t>
  </si>
  <si>
    <t>MES DE ABRIL 2021</t>
  </si>
  <si>
    <t>ABRIL 2021</t>
  </si>
  <si>
    <t>MES DE MARZO 2021</t>
  </si>
  <si>
    <t>MARZO 2021</t>
  </si>
  <si>
    <t>MES DE FEBRERO 2021</t>
  </si>
  <si>
    <t>FEBRERO 2021</t>
  </si>
  <si>
    <t>MES DE ENERO 2021</t>
  </si>
  <si>
    <t>ENERO 2021</t>
  </si>
  <si>
    <t>ACUMULADO ENERO - DICIEMBRE 2021</t>
  </si>
  <si>
    <t>Acumulado ENERO - DICIEMBRE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</si>
</sst>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1" formatCode="_-* #,##0_-;\-* #,##0_-;_-* &quot;-&quot;_-;_-@_-"/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_(* #,##0.00_);_(* \(#,##0.00\);_(* &quot;-&quot;??_);_(@_)"/>
    <numFmt numFmtId="167" formatCode="#,"/>
    <numFmt numFmtId="168" formatCode="#,#00"/>
    <numFmt numFmtId="169" formatCode="#.##000"/>
    <numFmt numFmtId="170" formatCode="&quot;$&quot;#,#00"/>
    <numFmt numFmtId="171" formatCode="\$#,##0\ ;\(\$#,##0\)"/>
    <numFmt numFmtId="172" formatCode="#,##0.0"/>
    <numFmt numFmtId="173" formatCode="_(* #,##0_);_(* \(#,##0\);_(* &quot;-&quot;??_);_(@_)"/>
    <numFmt numFmtId="174" formatCode="0.00000"/>
    <numFmt numFmtId="175" formatCode="_-* #,##0.00\ _€_-;\-* #,##0.00\ _€_-;_-* &quot;-&quot;??\ _€_-;_-@_-"/>
  </numFmts>
  <fonts count="34" x14ac:knownFonts="1">
    <font>
      <sz val="10"/>
      <name val="Times New Roman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indexed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24"/>
      <name val="Arial"/>
      <family val="2"/>
    </font>
    <font>
      <sz val="8"/>
      <name val="Courier"/>
      <family val="3"/>
    </font>
    <font>
      <b/>
      <sz val="11"/>
      <color theme="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name val="Arial"/>
      <family val="2"/>
    </font>
    <font>
      <i/>
      <sz val="11"/>
      <name val="Arial"/>
      <family val="2"/>
    </font>
    <font>
      <b/>
      <sz val="12"/>
      <color rgb="FF44AEAC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/>
        <bgColor indexed="64"/>
      </patternFill>
    </fill>
    <fill>
      <patternFill patternType="solid">
        <fgColor rgb="FF44AEAC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84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>
      <protection locked="0"/>
    </xf>
    <xf numFmtId="167" fontId="9" fillId="0" borderId="0">
      <protection locked="0"/>
    </xf>
    <xf numFmtId="167" fontId="9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10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10" fillId="0" borderId="0">
      <protection locked="0"/>
    </xf>
    <xf numFmtId="0" fontId="11" fillId="0" borderId="0" applyFont="0" applyFill="0" applyBorder="0" applyAlignment="0" applyProtection="0"/>
    <xf numFmtId="168" fontId="8" fillId="0" borderId="0">
      <protection locked="0"/>
    </xf>
    <xf numFmtId="169" fontId="8" fillId="0" borderId="0">
      <protection locked="0"/>
    </xf>
    <xf numFmtId="166" fontId="5" fillId="0" borderId="0" applyFont="0" applyFill="0" applyBorder="0" applyAlignment="0" applyProtection="0"/>
    <xf numFmtId="170" fontId="8" fillId="0" borderId="0">
      <protection locked="0"/>
    </xf>
    <xf numFmtId="171" fontId="11" fillId="0" borderId="0" applyFont="0" applyFill="0" applyBorder="0" applyAlignment="0" applyProtection="0"/>
    <xf numFmtId="172" fontId="4" fillId="0" borderId="0" applyFill="0" applyBorder="0" applyAlignment="0" applyProtection="0"/>
    <xf numFmtId="3" fontId="11" fillId="0" borderId="0" applyFont="0" applyFill="0" applyBorder="0" applyAlignment="0" applyProtection="0"/>
    <xf numFmtId="0" fontId="5" fillId="0" borderId="0"/>
    <xf numFmtId="0" fontId="12" fillId="0" borderId="0"/>
    <xf numFmtId="0" fontId="14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7" fillId="4" borderId="0" applyNumberFormat="0" applyBorder="0" applyAlignment="0" applyProtection="0"/>
    <xf numFmtId="0" fontId="18" fillId="16" borderId="3" applyNumberFormat="0" applyAlignment="0" applyProtection="0"/>
    <xf numFmtId="0" fontId="19" fillId="17" borderId="4" applyNumberFormat="0" applyAlignment="0" applyProtection="0"/>
    <xf numFmtId="0" fontId="20" fillId="0" borderId="5" applyNumberFormat="0" applyFill="0" applyAlignment="0" applyProtection="0"/>
    <xf numFmtId="0" fontId="9" fillId="0" borderId="0">
      <protection locked="0"/>
    </xf>
    <xf numFmtId="0" fontId="9" fillId="0" borderId="0">
      <protection locked="0"/>
    </xf>
    <xf numFmtId="0" fontId="21" fillId="0" borderId="0" applyNumberFormat="0" applyFill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21" borderId="0" applyNumberFormat="0" applyBorder="0" applyAlignment="0" applyProtection="0"/>
    <xf numFmtId="0" fontId="22" fillId="7" borderId="3" applyNumberFormat="0" applyAlignment="0" applyProtection="0"/>
    <xf numFmtId="0" fontId="8" fillId="0" borderId="0">
      <protection locked="0"/>
    </xf>
    <xf numFmtId="0" fontId="8" fillId="0" borderId="0">
      <protection locked="0"/>
    </xf>
    <xf numFmtId="0" fontId="23" fillId="3" borderId="0" applyNumberFormat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24" fillId="22" borderId="0" applyNumberFormat="0" applyBorder="0" applyAlignment="0" applyProtection="0"/>
    <xf numFmtId="0" fontId="4" fillId="0" borderId="0"/>
    <xf numFmtId="0" fontId="4" fillId="23" borderId="2" applyNumberFormat="0" applyFont="0" applyAlignment="0" applyProtection="0"/>
    <xf numFmtId="9" fontId="4" fillId="0" borderId="0" applyFont="0" applyFill="0" applyBorder="0" applyAlignment="0" applyProtection="0"/>
    <xf numFmtId="0" fontId="25" fillId="16" borderId="6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21" fillId="0" borderId="9" applyNumberFormat="0" applyFill="0" applyAlignment="0" applyProtection="0"/>
    <xf numFmtId="0" fontId="8" fillId="0" borderId="10">
      <protection locked="0"/>
    </xf>
    <xf numFmtId="0" fontId="4" fillId="0" borderId="0"/>
    <xf numFmtId="17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Border="1"/>
    <xf numFmtId="0" fontId="3" fillId="0" borderId="0" xfId="0" applyFont="1" applyAlignment="1">
      <alignment horizontal="center"/>
    </xf>
    <xf numFmtId="173" fontId="2" fillId="0" borderId="0" xfId="0" applyNumberFormat="1" applyFont="1"/>
    <xf numFmtId="173" fontId="2" fillId="0" borderId="0" xfId="16" applyNumberFormat="1" applyFont="1"/>
    <xf numFmtId="166" fontId="2" fillId="0" borderId="0" xfId="0" applyNumberFormat="1" applyFont="1"/>
    <xf numFmtId="173" fontId="2" fillId="0" borderId="0" xfId="0" applyNumberFormat="1" applyFont="1" applyFill="1" applyBorder="1"/>
    <xf numFmtId="173" fontId="2" fillId="0" borderId="0" xfId="0" applyNumberFormat="1" applyFont="1" applyFill="1"/>
    <xf numFmtId="166" fontId="2" fillId="0" borderId="0" xfId="16" applyFont="1"/>
    <xf numFmtId="3" fontId="2" fillId="0" borderId="0" xfId="0" applyNumberFormat="1" applyFont="1"/>
    <xf numFmtId="0" fontId="2" fillId="0" borderId="0" xfId="0" applyFont="1" applyAlignment="1">
      <alignment horizontal="left" indent="1"/>
    </xf>
    <xf numFmtId="0" fontId="2" fillId="0" borderId="0" xfId="0" applyFont="1" applyBorder="1" applyAlignment="1">
      <alignment horizontal="left" indent="1"/>
    </xf>
    <xf numFmtId="0" fontId="3" fillId="0" borderId="0" xfId="0" applyFont="1" applyAlignment="1">
      <alignment horizontal="left" indent="1"/>
    </xf>
    <xf numFmtId="166" fontId="2" fillId="0" borderId="0" xfId="0" applyNumberFormat="1" applyFont="1" applyAlignment="1">
      <alignment horizontal="left" indent="1"/>
    </xf>
    <xf numFmtId="0" fontId="32" fillId="0" borderId="0" xfId="0" applyFont="1" applyAlignment="1">
      <alignment horizontal="right"/>
    </xf>
    <xf numFmtId="173" fontId="2" fillId="0" borderId="1" xfId="16" applyNumberFormat="1" applyFont="1" applyFill="1" applyBorder="1" applyAlignment="1" applyProtection="1">
      <alignment horizontal="right" vertical="center"/>
    </xf>
    <xf numFmtId="0" fontId="31" fillId="0" borderId="1" xfId="0" applyFont="1" applyFill="1" applyBorder="1" applyAlignment="1" applyProtection="1">
      <alignment horizontal="left" vertical="center"/>
    </xf>
    <xf numFmtId="173" fontId="31" fillId="0" borderId="1" xfId="16" applyNumberFormat="1" applyFont="1" applyFill="1" applyBorder="1" applyAlignment="1" applyProtection="1">
      <alignment horizontal="right" vertical="center"/>
    </xf>
    <xf numFmtId="0" fontId="13" fillId="24" borderId="1" xfId="0" applyFont="1" applyFill="1" applyBorder="1" applyAlignment="1" applyProtection="1">
      <alignment horizontal="left" vertical="center" indent="1"/>
    </xf>
    <xf numFmtId="173" fontId="13" fillId="24" borderId="1" xfId="16" applyNumberFormat="1" applyFont="1" applyFill="1" applyBorder="1" applyAlignment="1" applyProtection="1">
      <alignment horizontal="right" vertical="center" wrapText="1" indent="1"/>
    </xf>
    <xf numFmtId="49" fontId="13" fillId="25" borderId="1" xfId="0" applyNumberFormat="1" applyFont="1" applyFill="1" applyBorder="1" applyAlignment="1">
      <alignment horizontal="center" vertical="center" wrapText="1"/>
    </xf>
    <xf numFmtId="164" fontId="13" fillId="25" borderId="1" xfId="0" applyNumberFormat="1" applyFont="1" applyFill="1" applyBorder="1" applyAlignment="1">
      <alignment horizontal="center" vertical="center" wrapText="1"/>
    </xf>
    <xf numFmtId="0" fontId="33" fillId="0" borderId="0" xfId="0" applyFont="1" applyBorder="1" applyAlignment="1"/>
    <xf numFmtId="0" fontId="13" fillId="25" borderId="1" xfId="0" applyFont="1" applyFill="1" applyBorder="1" applyAlignment="1" applyProtection="1">
      <alignment horizontal="left" vertical="center" indent="1"/>
    </xf>
    <xf numFmtId="173" fontId="13" fillId="25" borderId="1" xfId="16" applyNumberFormat="1" applyFont="1" applyFill="1" applyBorder="1" applyAlignment="1" applyProtection="1">
      <alignment horizontal="right" vertical="center" wrapText="1" indent="1"/>
    </xf>
    <xf numFmtId="173" fontId="2" fillId="0" borderId="0" xfId="0" applyNumberFormat="1" applyFont="1" applyBorder="1"/>
    <xf numFmtId="49" fontId="13" fillId="25" borderId="1" xfId="0" applyNumberFormat="1" applyFont="1" applyFill="1" applyBorder="1" applyAlignment="1">
      <alignment horizontal="center" vertical="center" wrapText="1"/>
    </xf>
    <xf numFmtId="49" fontId="13" fillId="25" borderId="1" xfId="0" applyNumberFormat="1" applyFont="1" applyFill="1" applyBorder="1" applyAlignment="1">
      <alignment horizontal="left" vertical="center" wrapText="1" indent="2"/>
    </xf>
    <xf numFmtId="49" fontId="13" fillId="25" borderId="1" xfId="0" applyNumberFormat="1" applyFont="1" applyFill="1" applyBorder="1" applyAlignment="1">
      <alignment horizontal="center" vertical="center" wrapText="1"/>
    </xf>
  </cellXfs>
  <cellStyles count="84">
    <cellStyle name="20% - Énfasis1 2" xfId="24"/>
    <cellStyle name="20% - Énfasis2 2" xfId="25"/>
    <cellStyle name="20% - Énfasis3 2" xfId="26"/>
    <cellStyle name="20% - Énfasis4 2" xfId="27"/>
    <cellStyle name="20% - Énfasis5 2" xfId="28"/>
    <cellStyle name="20% - Énfasis6 2" xfId="29"/>
    <cellStyle name="40% - Énfasis1 2" xfId="30"/>
    <cellStyle name="40% - Énfasis2 2" xfId="31"/>
    <cellStyle name="40% - Énfasis3 2" xfId="32"/>
    <cellStyle name="40% - Énfasis4 2" xfId="33"/>
    <cellStyle name="40% - Énfasis5 2" xfId="34"/>
    <cellStyle name="40% - Énfasis6 2" xfId="35"/>
    <cellStyle name="60% - Énfasis1 2" xfId="36"/>
    <cellStyle name="60% - Énfasis2 2" xfId="37"/>
    <cellStyle name="60% - Énfasis3 2" xfId="38"/>
    <cellStyle name="60% - Énfasis4 2" xfId="39"/>
    <cellStyle name="60% - Énfasis5 2" xfId="40"/>
    <cellStyle name="60% - Énfasis6 2" xfId="41"/>
    <cellStyle name="Buena 2" xfId="42"/>
    <cellStyle name="Cabecera 1" xfId="1"/>
    <cellStyle name="Cabecera 2" xfId="2"/>
    <cellStyle name="Cálculo 2" xfId="43"/>
    <cellStyle name="Celda de comprobación 2" xfId="44"/>
    <cellStyle name="Celda vinculada 2" xfId="45"/>
    <cellStyle name="Dia" xfId="3"/>
    <cellStyle name="Encabez1" xfId="4"/>
    <cellStyle name="Encabez1 2" xfId="46"/>
    <cellStyle name="Encabez2" xfId="5"/>
    <cellStyle name="Encabez2 2" xfId="47"/>
    <cellStyle name="Encabezado 4 2" xfId="48"/>
    <cellStyle name="Énfasis1 2" xfId="49"/>
    <cellStyle name="Énfasis2 2" xfId="50"/>
    <cellStyle name="Énfasis3 2" xfId="51"/>
    <cellStyle name="Énfasis4 2" xfId="52"/>
    <cellStyle name="Énfasis5 2" xfId="53"/>
    <cellStyle name="Énfasis6 2" xfId="54"/>
    <cellStyle name="Entrada 2" xfId="55"/>
    <cellStyle name="F2" xfId="6"/>
    <cellStyle name="F3" xfId="7"/>
    <cellStyle name="F4" xfId="8"/>
    <cellStyle name="F4 2" xfId="56"/>
    <cellStyle name="F5" xfId="9"/>
    <cellStyle name="F6" xfId="10"/>
    <cellStyle name="F7" xfId="11"/>
    <cellStyle name="F8" xfId="12"/>
    <cellStyle name="F8 2" xfId="57"/>
    <cellStyle name="Fecha" xfId="13"/>
    <cellStyle name="Fijo" xfId="14"/>
    <cellStyle name="Financiero" xfId="15"/>
    <cellStyle name="Incorrecto 2" xfId="58"/>
    <cellStyle name="Millares" xfId="16" builtinId="3"/>
    <cellStyle name="Millares [0] 2" xfId="60"/>
    <cellStyle name="Millares 2" xfId="77"/>
    <cellStyle name="Millares 3" xfId="78"/>
    <cellStyle name="Millares 4" xfId="59"/>
    <cellStyle name="Millares 5" xfId="79"/>
    <cellStyle name="Moneda 2" xfId="74"/>
    <cellStyle name="Monetario" xfId="17"/>
    <cellStyle name="Monetario0" xfId="18"/>
    <cellStyle name="Neutral 2" xfId="61"/>
    <cellStyle name="Normal" xfId="0" builtinId="0"/>
    <cellStyle name="Normal 11" xfId="80"/>
    <cellStyle name="Normal 2" xfId="21"/>
    <cellStyle name="Normal 2 2" xfId="62"/>
    <cellStyle name="Normal 3" xfId="73"/>
    <cellStyle name="Normal 4" xfId="76"/>
    <cellStyle name="Normal 5" xfId="22"/>
    <cellStyle name="Normal 5 2" xfId="81"/>
    <cellStyle name="Normal 6" xfId="82"/>
    <cellStyle name="Normal 7" xfId="23"/>
    <cellStyle name="Notas 2" xfId="63"/>
    <cellStyle name="Porcentaje 2" xfId="83"/>
    <cellStyle name="Porcentaje 3" xfId="64"/>
    <cellStyle name="Porcentual 2" xfId="75"/>
    <cellStyle name="Punto" xfId="19"/>
    <cellStyle name="Punto0" xfId="20"/>
    <cellStyle name="Salida 2" xfId="65"/>
    <cellStyle name="Texto de advertencia 2" xfId="66"/>
    <cellStyle name="Texto explicativo 2" xfId="67"/>
    <cellStyle name="Título 1 2" xfId="69"/>
    <cellStyle name="Título 2 2" xfId="70"/>
    <cellStyle name="Título 3 2" xfId="71"/>
    <cellStyle name="Título 4" xfId="68"/>
    <cellStyle name="Total 2" xfId="72"/>
  </cellStyles>
  <dxfs count="0"/>
  <tableStyles count="0" defaultTableStyle="TableStyleMedium9" defaultPivotStyle="PivotStyleLight16"/>
  <colors>
    <mruColors>
      <color rgb="FF44AE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onco\mis%20document\Mis%20documentos\Tareas\varios%202004\Coparticipaci&#243;n\ANTICIP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turla\aa%20decentral\Mis%20documentos\SMIRANDA\TRANSFERENCIAS\DESC\TRANDES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iranda\mis%20document\Mis%20documentos\SMIRANDA\DESCENTRALIZACION%20LEY%2013010\IMPUESTO%20INMOBILIARIO%20RURAL\Cierres%202004\CUOTA%20CORRIENTE\CUOTA%201-04\Febrero%2004\DISTRIBUIDO%20FEBRERO%20CUOTA%20CTE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98 FLUJO DE FONDOS (2)"/>
      <sheetName val="1998 FLUJO DE FONDOS"/>
      <sheetName val="Hoja1"/>
      <sheetName val="1992-2000"/>
      <sheetName val="1992"/>
      <sheetName val="1993"/>
      <sheetName val="1994"/>
      <sheetName val="1995"/>
      <sheetName val="1996"/>
      <sheetName val="1997"/>
      <sheetName val="1998"/>
      <sheetName val="1999"/>
      <sheetName val="2000"/>
      <sheetName val="2001"/>
      <sheetName val="2002"/>
      <sheetName val="2003"/>
      <sheetName val="2003 TOTO"/>
      <sheetName val="2004"/>
      <sheetName val="2004 TOTO"/>
      <sheetName val="Ret. Ant. 2002"/>
      <sheetName val="Ret. Ant. 2003"/>
      <sheetName val="Depósitos y Gasto en Perso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P2" t="str">
            <v>DESCUENTOS</v>
          </cell>
          <cell r="Q2" t="str">
            <v>SALDO</v>
          </cell>
        </row>
        <row r="3">
          <cell r="P3">
            <v>0</v>
          </cell>
          <cell r="Q3">
            <v>190000</v>
          </cell>
        </row>
      </sheetData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cipal desde 1996"/>
      <sheetName val="Principal desde 1992"/>
      <sheetName val="IBT92"/>
      <sheetName val="IBT93"/>
      <sheetName val="IBT94"/>
      <sheetName val="IBT95"/>
      <sheetName val="IBT96"/>
      <sheetName val="IBT97"/>
      <sheetName val="IBT98"/>
      <sheetName val="IBT99"/>
      <sheetName val="IBT00"/>
      <sheetName val="IBT01"/>
      <sheetName val="IBT02"/>
      <sheetName val="IBT03"/>
      <sheetName val="INT92"/>
      <sheetName val="INT93"/>
      <sheetName val="INT94"/>
      <sheetName val="INT95"/>
      <sheetName val="INT96"/>
      <sheetName val="INT97"/>
      <sheetName val="INT98"/>
      <sheetName val="INT99"/>
      <sheetName val="INT00"/>
      <sheetName val="INT01"/>
      <sheetName val="INT02"/>
      <sheetName val="INT03"/>
      <sheetName val="FMOV03"/>
      <sheetName val="FET92"/>
      <sheetName val="FET93"/>
      <sheetName val="FET94"/>
      <sheetName val="FET95"/>
      <sheetName val="FET96"/>
      <sheetName val="FET97"/>
      <sheetName val="FET98"/>
      <sheetName val="FET99"/>
      <sheetName val="FET00"/>
      <sheetName val="REDE02"/>
      <sheetName val="REDE03"/>
      <sheetName val="Códig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UIDO IIR CC FEBRERO"/>
      <sheetName val="0302"/>
      <sheetName val="0402"/>
      <sheetName val="0502"/>
      <sheetName val="0602"/>
      <sheetName val="0902"/>
      <sheetName val="1002"/>
      <sheetName val="1102"/>
      <sheetName val="1202"/>
      <sheetName val="1302"/>
      <sheetName val="1602"/>
      <sheetName val="1702"/>
      <sheetName val="1802"/>
      <sheetName val="1902"/>
      <sheetName val="2002"/>
      <sheetName val="2302"/>
      <sheetName val="2402"/>
      <sheetName val="2502"/>
      <sheetName val="2602"/>
      <sheetName val="2702"/>
      <sheetName val="0103"/>
      <sheetName val="0202"/>
      <sheetName val="Rec. y Transf.ENERO-04"/>
      <sheetName val="Rec_ y Transf_ENERO_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44AEAC"/>
  </sheetPr>
  <dimension ref="A1:S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2.33203125" style="1" customWidth="1"/>
    <col min="3" max="3" width="22.33203125" style="1" hidden="1" customWidth="1"/>
    <col min="4" max="4" width="22.33203125" style="1" customWidth="1"/>
    <col min="5" max="5" width="22.33203125" style="1" hidden="1" customWidth="1"/>
    <col min="6" max="10" width="22.33203125" style="1" customWidth="1"/>
    <col min="11" max="12" width="22.33203125" style="1" hidden="1" customWidth="1"/>
    <col min="13" max="13" width="22.33203125" style="1" customWidth="1"/>
    <col min="14" max="14" width="23.83203125" style="1" customWidth="1"/>
    <col min="15" max="15" width="12" style="1" customWidth="1"/>
    <col min="16" max="16384" width="12" style="1"/>
  </cols>
  <sheetData>
    <row r="1" spans="1:19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9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9" ht="17.25" customHeight="1" x14ac:dyDescent="0.25">
      <c r="A3" s="2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9" ht="17.25" customHeight="1" x14ac:dyDescent="0.25">
      <c r="A4" s="23" t="s">
        <v>174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9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9" ht="18.75" customHeight="1" x14ac:dyDescent="0.2">
      <c r="A6" s="28" t="s">
        <v>2</v>
      </c>
      <c r="B6" s="29" t="s">
        <v>175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9" ht="60" customHeight="1" x14ac:dyDescent="0.2">
      <c r="A7" s="28"/>
      <c r="B7" s="21" t="s">
        <v>139</v>
      </c>
      <c r="C7" s="21" t="s">
        <v>151</v>
      </c>
      <c r="D7" s="21" t="s">
        <v>143</v>
      </c>
      <c r="E7" s="21" t="s">
        <v>141</v>
      </c>
      <c r="F7" s="21" t="s">
        <v>150</v>
      </c>
      <c r="G7" s="21" t="s">
        <v>144</v>
      </c>
      <c r="H7" s="21" t="s">
        <v>146</v>
      </c>
      <c r="I7" s="21" t="s">
        <v>145</v>
      </c>
      <c r="J7" s="21" t="s">
        <v>147</v>
      </c>
      <c r="K7" s="21" t="s">
        <v>148</v>
      </c>
      <c r="L7" s="21" t="s">
        <v>149</v>
      </c>
      <c r="M7" s="22" t="s">
        <v>142</v>
      </c>
      <c r="N7" s="21" t="s">
        <v>140</v>
      </c>
    </row>
    <row r="8" spans="1:19" ht="18" customHeight="1" x14ac:dyDescent="0.2">
      <c r="A8" s="17" t="s">
        <v>3</v>
      </c>
      <c r="B8" s="16">
        <v>55728656.480000004</v>
      </c>
      <c r="C8" s="16">
        <v>0</v>
      </c>
      <c r="D8" s="16">
        <v>1562456.1273715002</v>
      </c>
      <c r="E8" s="16">
        <v>0</v>
      </c>
      <c r="F8" s="16">
        <v>135767.53</v>
      </c>
      <c r="G8" s="16">
        <v>75829.11</v>
      </c>
      <c r="H8" s="16">
        <v>2574935.81</v>
      </c>
      <c r="I8" s="16">
        <v>401281.21</v>
      </c>
      <c r="J8" s="16">
        <v>5562179.21</v>
      </c>
      <c r="K8" s="16">
        <v>0</v>
      </c>
      <c r="L8" s="16">
        <v>0</v>
      </c>
      <c r="M8" s="16">
        <v>31.6</v>
      </c>
      <c r="N8" s="18">
        <f t="shared" ref="N8:N39" si="0">SUM(B8:M8)</f>
        <v>66041137.077371508</v>
      </c>
      <c r="O8" s="4"/>
      <c r="P8" s="10"/>
      <c r="Q8" s="10"/>
      <c r="R8" s="10"/>
      <c r="S8" s="10"/>
    </row>
    <row r="9" spans="1:19" ht="18" customHeight="1" x14ac:dyDescent="0.2">
      <c r="A9" s="17" t="s">
        <v>4</v>
      </c>
      <c r="B9" s="16">
        <v>34743303.109999999</v>
      </c>
      <c r="C9" s="16">
        <v>0</v>
      </c>
      <c r="D9" s="16">
        <v>1691682.9827660001</v>
      </c>
      <c r="E9" s="16">
        <v>0</v>
      </c>
      <c r="F9" s="16">
        <v>95121.600000000006</v>
      </c>
      <c r="G9" s="16">
        <v>53567.35</v>
      </c>
      <c r="H9" s="16">
        <v>1605310.11</v>
      </c>
      <c r="I9" s="16">
        <v>281146.09000000003</v>
      </c>
      <c r="J9" s="16">
        <v>4174638.2100000009</v>
      </c>
      <c r="K9" s="16">
        <v>0</v>
      </c>
      <c r="L9" s="16">
        <v>0</v>
      </c>
      <c r="M9" s="16">
        <v>22.130000000000003</v>
      </c>
      <c r="N9" s="18">
        <f t="shared" si="0"/>
        <v>42644791.582766011</v>
      </c>
      <c r="O9" s="4"/>
    </row>
    <row r="10" spans="1:19" ht="18" customHeight="1" x14ac:dyDescent="0.2">
      <c r="A10" s="17" t="s">
        <v>5</v>
      </c>
      <c r="B10" s="16">
        <v>25533412.34</v>
      </c>
      <c r="C10" s="16">
        <v>0</v>
      </c>
      <c r="D10" s="16">
        <v>720484.33323650016</v>
      </c>
      <c r="E10" s="16">
        <v>0</v>
      </c>
      <c r="F10" s="16">
        <v>66450.19</v>
      </c>
      <c r="G10" s="16">
        <v>47306.23</v>
      </c>
      <c r="H10" s="16">
        <v>1179768.22</v>
      </c>
      <c r="I10" s="16">
        <v>196403.47</v>
      </c>
      <c r="J10" s="16">
        <v>2467499.02</v>
      </c>
      <c r="K10" s="16">
        <v>0</v>
      </c>
      <c r="L10" s="16">
        <v>0</v>
      </c>
      <c r="M10" s="16">
        <v>15.459999999999999</v>
      </c>
      <c r="N10" s="18">
        <f t="shared" si="0"/>
        <v>30211339.2632365</v>
      </c>
      <c r="O10" s="4"/>
    </row>
    <row r="11" spans="1:19" ht="18" customHeight="1" x14ac:dyDescent="0.2">
      <c r="A11" s="17" t="s">
        <v>6</v>
      </c>
      <c r="B11" s="16">
        <v>295679305.19</v>
      </c>
      <c r="C11" s="16">
        <v>0</v>
      </c>
      <c r="D11" s="16">
        <v>1995189.6642830004</v>
      </c>
      <c r="E11" s="16">
        <v>0</v>
      </c>
      <c r="F11" s="16">
        <v>7132433.5800000001</v>
      </c>
      <c r="G11" s="16">
        <v>4406093.996989131</v>
      </c>
      <c r="H11" s="16">
        <v>13661826.42</v>
      </c>
      <c r="I11" s="16">
        <v>21080971.640000001</v>
      </c>
      <c r="J11" s="16">
        <v>46439925.019999996</v>
      </c>
      <c r="K11" s="16">
        <v>0</v>
      </c>
      <c r="L11" s="16">
        <v>0</v>
      </c>
      <c r="M11" s="16">
        <v>1660.3200000000002</v>
      </c>
      <c r="N11" s="18">
        <f t="shared" si="0"/>
        <v>390397405.83127207</v>
      </c>
      <c r="O11" s="4"/>
    </row>
    <row r="12" spans="1:19" ht="18" customHeight="1" x14ac:dyDescent="0.2">
      <c r="A12" s="17" t="s">
        <v>7</v>
      </c>
      <c r="B12" s="16">
        <v>44379841.090000004</v>
      </c>
      <c r="C12" s="16">
        <v>0</v>
      </c>
      <c r="D12" s="16">
        <v>2033966.8024850001</v>
      </c>
      <c r="E12" s="16">
        <v>0</v>
      </c>
      <c r="F12" s="16">
        <v>243875.59</v>
      </c>
      <c r="G12" s="16">
        <v>129396.46</v>
      </c>
      <c r="H12" s="16">
        <v>2050565.18</v>
      </c>
      <c r="I12" s="16">
        <v>720810.71</v>
      </c>
      <c r="J12" s="16">
        <v>5009705.2399999974</v>
      </c>
      <c r="K12" s="16">
        <v>0</v>
      </c>
      <c r="L12" s="16">
        <v>0</v>
      </c>
      <c r="M12" s="16">
        <v>56.76</v>
      </c>
      <c r="N12" s="18">
        <f t="shared" si="0"/>
        <v>54568217.832484998</v>
      </c>
      <c r="O12" s="4"/>
    </row>
    <row r="13" spans="1:19" ht="18" customHeight="1" x14ac:dyDescent="0.2">
      <c r="A13" s="17" t="s">
        <v>8</v>
      </c>
      <c r="B13" s="16">
        <v>179425055.45999998</v>
      </c>
      <c r="C13" s="16">
        <v>0</v>
      </c>
      <c r="D13" s="16">
        <v>1783827.0789765001</v>
      </c>
      <c r="E13" s="16">
        <v>0</v>
      </c>
      <c r="F13" s="16">
        <v>3468396.7</v>
      </c>
      <c r="G13" s="16">
        <v>965282.63028184325</v>
      </c>
      <c r="H13" s="16">
        <v>8290312.9199999999</v>
      </c>
      <c r="I13" s="16">
        <v>10251363.960000001</v>
      </c>
      <c r="J13" s="16">
        <v>35706453.830000006</v>
      </c>
      <c r="K13" s="16">
        <v>0</v>
      </c>
      <c r="L13" s="16">
        <v>0</v>
      </c>
      <c r="M13" s="16">
        <v>807.39</v>
      </c>
      <c r="N13" s="18">
        <f t="shared" si="0"/>
        <v>239891499.96925831</v>
      </c>
      <c r="O13" s="4"/>
    </row>
    <row r="14" spans="1:19" ht="18" customHeight="1" x14ac:dyDescent="0.2">
      <c r="A14" s="17" t="s">
        <v>9</v>
      </c>
      <c r="B14" s="16">
        <v>65025298.850000009</v>
      </c>
      <c r="C14" s="16">
        <v>0</v>
      </c>
      <c r="D14" s="16">
        <v>2672767.5661175</v>
      </c>
      <c r="E14" s="16">
        <v>0</v>
      </c>
      <c r="F14" s="16">
        <v>157861.38</v>
      </c>
      <c r="G14" s="16">
        <v>90438.38</v>
      </c>
      <c r="H14" s="16">
        <v>3004486.05</v>
      </c>
      <c r="I14" s="16">
        <v>466582.87</v>
      </c>
      <c r="J14" s="16">
        <v>7186502.200000002</v>
      </c>
      <c r="K14" s="16">
        <v>0</v>
      </c>
      <c r="L14" s="16">
        <v>0</v>
      </c>
      <c r="M14" s="16">
        <v>36.74</v>
      </c>
      <c r="N14" s="18">
        <f t="shared" si="0"/>
        <v>78603974.036117494</v>
      </c>
      <c r="O14" s="4"/>
    </row>
    <row r="15" spans="1:19" ht="18" customHeight="1" x14ac:dyDescent="0.2">
      <c r="A15" s="17" t="s">
        <v>10</v>
      </c>
      <c r="B15" s="16">
        <v>105972052.25</v>
      </c>
      <c r="C15" s="16">
        <v>0</v>
      </c>
      <c r="D15" s="16">
        <v>3155687.3054535007</v>
      </c>
      <c r="E15" s="16">
        <v>0</v>
      </c>
      <c r="F15" s="16">
        <v>588101.1</v>
      </c>
      <c r="G15" s="16">
        <v>290794.19</v>
      </c>
      <c r="H15" s="16">
        <v>4896425.82</v>
      </c>
      <c r="I15" s="16">
        <v>1738220.58</v>
      </c>
      <c r="J15" s="16">
        <v>11998767.209999999</v>
      </c>
      <c r="K15" s="16">
        <v>0</v>
      </c>
      <c r="L15" s="16">
        <v>0</v>
      </c>
      <c r="M15" s="16">
        <v>136.88999999999999</v>
      </c>
      <c r="N15" s="18">
        <f t="shared" si="0"/>
        <v>128640185.34545349</v>
      </c>
      <c r="O15" s="4"/>
    </row>
    <row r="16" spans="1:19" ht="18" customHeight="1" x14ac:dyDescent="0.2">
      <c r="A16" s="17" t="s">
        <v>11</v>
      </c>
      <c r="B16" s="16">
        <v>195879415.56999999</v>
      </c>
      <c r="C16" s="16">
        <v>0</v>
      </c>
      <c r="D16" s="16">
        <v>3922833.0258875</v>
      </c>
      <c r="E16" s="16">
        <v>0</v>
      </c>
      <c r="F16" s="16">
        <v>2193362.46</v>
      </c>
      <c r="G16" s="16">
        <v>1342662.15</v>
      </c>
      <c r="H16" s="16">
        <v>9050584.6300000008</v>
      </c>
      <c r="I16" s="16">
        <v>6482810.0300000003</v>
      </c>
      <c r="J16" s="16">
        <v>29744580.809999987</v>
      </c>
      <c r="K16" s="16">
        <v>0</v>
      </c>
      <c r="L16" s="16">
        <v>0</v>
      </c>
      <c r="M16" s="16">
        <v>510.58000000000004</v>
      </c>
      <c r="N16" s="18">
        <f t="shared" si="0"/>
        <v>248616759.25588748</v>
      </c>
      <c r="O16" s="4"/>
    </row>
    <row r="17" spans="1:15" ht="15" x14ac:dyDescent="0.2">
      <c r="A17" s="17" t="s">
        <v>12</v>
      </c>
      <c r="B17" s="16">
        <v>70382565.439999998</v>
      </c>
      <c r="C17" s="16">
        <v>0</v>
      </c>
      <c r="D17" s="16">
        <v>2555143.797851</v>
      </c>
      <c r="E17" s="16">
        <v>0</v>
      </c>
      <c r="F17" s="16">
        <v>450478.36</v>
      </c>
      <c r="G17" s="16">
        <v>194790.36</v>
      </c>
      <c r="H17" s="16">
        <v>3252017.9</v>
      </c>
      <c r="I17" s="16">
        <v>1331456.02</v>
      </c>
      <c r="J17" s="16">
        <v>8203245.1999999974</v>
      </c>
      <c r="K17" s="16">
        <v>0</v>
      </c>
      <c r="L17" s="16">
        <v>0</v>
      </c>
      <c r="M17" s="16">
        <v>104.86</v>
      </c>
      <c r="N17" s="18">
        <f t="shared" si="0"/>
        <v>86369801.937850997</v>
      </c>
      <c r="O17" s="4"/>
    </row>
    <row r="18" spans="1:15" ht="15" x14ac:dyDescent="0.2">
      <c r="A18" s="17" t="s">
        <v>13</v>
      </c>
      <c r="B18" s="16">
        <v>43151097.140000001</v>
      </c>
      <c r="C18" s="16">
        <v>0</v>
      </c>
      <c r="D18" s="16">
        <v>1587620.7138494998</v>
      </c>
      <c r="E18" s="16">
        <v>0</v>
      </c>
      <c r="F18" s="16">
        <v>303579.58</v>
      </c>
      <c r="G18" s="16">
        <v>146092.76999999999</v>
      </c>
      <c r="H18" s="16">
        <v>1993791.21</v>
      </c>
      <c r="I18" s="16">
        <v>897274.74</v>
      </c>
      <c r="J18" s="16">
        <v>6623722.0299999975</v>
      </c>
      <c r="K18" s="16">
        <v>0</v>
      </c>
      <c r="L18" s="16">
        <v>0</v>
      </c>
      <c r="M18" s="16">
        <v>70.66</v>
      </c>
      <c r="N18" s="18">
        <f t="shared" si="0"/>
        <v>54703248.843849495</v>
      </c>
      <c r="O18" s="4"/>
    </row>
    <row r="19" spans="1:15" ht="15" x14ac:dyDescent="0.2">
      <c r="A19" s="17" t="s">
        <v>14</v>
      </c>
      <c r="B19" s="16">
        <v>72187283.069999993</v>
      </c>
      <c r="C19" s="16">
        <v>0</v>
      </c>
      <c r="D19" s="16">
        <v>1785868.9386255003</v>
      </c>
      <c r="E19" s="16">
        <v>0</v>
      </c>
      <c r="F19" s="16">
        <v>122612.41</v>
      </c>
      <c r="G19" s="16">
        <v>90438.38</v>
      </c>
      <c r="H19" s="16">
        <v>3335404.66</v>
      </c>
      <c r="I19" s="16">
        <v>362399.3</v>
      </c>
      <c r="J19" s="16">
        <v>5627556.6300000008</v>
      </c>
      <c r="K19" s="16">
        <v>0</v>
      </c>
      <c r="L19" s="16">
        <v>0</v>
      </c>
      <c r="M19" s="16">
        <v>28.53</v>
      </c>
      <c r="N19" s="18">
        <f t="shared" si="0"/>
        <v>83511591.918625474</v>
      </c>
      <c r="O19" s="4"/>
    </row>
    <row r="20" spans="1:15" ht="15" x14ac:dyDescent="0.2">
      <c r="A20" s="17" t="s">
        <v>15</v>
      </c>
      <c r="B20" s="16">
        <v>239528267.91999999</v>
      </c>
      <c r="C20" s="16">
        <v>0</v>
      </c>
      <c r="D20" s="16">
        <v>1265404.6235084999</v>
      </c>
      <c r="E20" s="16">
        <v>0</v>
      </c>
      <c r="F20" s="16">
        <v>3913478.09</v>
      </c>
      <c r="G20" s="16">
        <v>2333142.2719709203</v>
      </c>
      <c r="H20" s="16">
        <v>11067374.560000001</v>
      </c>
      <c r="I20" s="16">
        <v>11566868.43</v>
      </c>
      <c r="J20" s="16">
        <v>32356925.240000013</v>
      </c>
      <c r="K20" s="16">
        <v>0</v>
      </c>
      <c r="L20" s="16">
        <v>0</v>
      </c>
      <c r="M20" s="16">
        <v>910.9899999999999</v>
      </c>
      <c r="N20" s="18">
        <f t="shared" si="0"/>
        <v>302032372.12547946</v>
      </c>
      <c r="O20" s="4"/>
    </row>
    <row r="21" spans="1:15" ht="15" x14ac:dyDescent="0.2">
      <c r="A21" s="17" t="s">
        <v>16</v>
      </c>
      <c r="B21" s="16">
        <v>104053562.05</v>
      </c>
      <c r="C21" s="16">
        <v>0</v>
      </c>
      <c r="D21" s="16">
        <v>1178240.5970125</v>
      </c>
      <c r="E21" s="16">
        <v>0</v>
      </c>
      <c r="F21" s="16">
        <v>1040603.33</v>
      </c>
      <c r="G21" s="16">
        <v>280426.66710699326</v>
      </c>
      <c r="H21" s="16">
        <v>4807782.21</v>
      </c>
      <c r="I21" s="16">
        <v>3075658.43</v>
      </c>
      <c r="J21" s="16">
        <v>10564124.41</v>
      </c>
      <c r="K21" s="16">
        <v>0</v>
      </c>
      <c r="L21" s="16">
        <v>0</v>
      </c>
      <c r="M21" s="16">
        <v>242.23</v>
      </c>
      <c r="N21" s="18">
        <f t="shared" si="0"/>
        <v>125000639.92411949</v>
      </c>
      <c r="O21" s="4"/>
    </row>
    <row r="22" spans="1:15" ht="15" x14ac:dyDescent="0.2">
      <c r="A22" s="17" t="s">
        <v>17</v>
      </c>
      <c r="B22" s="16">
        <v>80159896.980000004</v>
      </c>
      <c r="C22" s="16">
        <v>0</v>
      </c>
      <c r="D22" s="16">
        <v>1993352.0980725002</v>
      </c>
      <c r="E22" s="16">
        <v>0</v>
      </c>
      <c r="F22" s="16">
        <v>247754.66</v>
      </c>
      <c r="G22" s="16">
        <v>152353.89000000001</v>
      </c>
      <c r="H22" s="16">
        <v>3703778.32</v>
      </c>
      <c r="I22" s="16">
        <v>732275.89</v>
      </c>
      <c r="J22" s="16">
        <v>8105135.2399999974</v>
      </c>
      <c r="K22" s="16">
        <v>0</v>
      </c>
      <c r="L22" s="16">
        <v>0</v>
      </c>
      <c r="M22" s="16">
        <v>57.66</v>
      </c>
      <c r="N22" s="18">
        <f t="shared" si="0"/>
        <v>95094604.738072485</v>
      </c>
      <c r="O22" s="4"/>
    </row>
    <row r="23" spans="1:15" ht="15" x14ac:dyDescent="0.2">
      <c r="A23" s="17" t="s">
        <v>18</v>
      </c>
      <c r="B23" s="16">
        <v>81035945.900000006</v>
      </c>
      <c r="C23" s="16">
        <v>0</v>
      </c>
      <c r="D23" s="16">
        <v>1806643.5522865001</v>
      </c>
      <c r="E23" s="16">
        <v>0</v>
      </c>
      <c r="F23" s="16">
        <v>237466.69</v>
      </c>
      <c r="G23" s="16">
        <v>184355.17</v>
      </c>
      <c r="H23" s="16">
        <v>3744256.05</v>
      </c>
      <c r="I23" s="16">
        <v>701868.24</v>
      </c>
      <c r="J23" s="16">
        <v>6652408.6199999982</v>
      </c>
      <c r="K23" s="16">
        <v>0</v>
      </c>
      <c r="L23" s="16">
        <v>0</v>
      </c>
      <c r="M23" s="16">
        <v>55.27</v>
      </c>
      <c r="N23" s="18">
        <f t="shared" si="0"/>
        <v>94362999.492286503</v>
      </c>
      <c r="O23" s="4"/>
    </row>
    <row r="24" spans="1:15" ht="15" x14ac:dyDescent="0.2">
      <c r="A24" s="17" t="s">
        <v>19</v>
      </c>
      <c r="B24" s="16">
        <v>24792468.399999999</v>
      </c>
      <c r="C24" s="16">
        <v>0</v>
      </c>
      <c r="D24" s="16">
        <v>1461609.9387920001</v>
      </c>
      <c r="E24" s="16">
        <v>0</v>
      </c>
      <c r="F24" s="16">
        <v>246911.39</v>
      </c>
      <c r="G24" s="16">
        <v>40229.63990119104</v>
      </c>
      <c r="H24" s="16">
        <v>1145533</v>
      </c>
      <c r="I24" s="16">
        <v>729783.46</v>
      </c>
      <c r="J24" s="16">
        <v>5402772.4300000016</v>
      </c>
      <c r="K24" s="16">
        <v>0</v>
      </c>
      <c r="L24" s="16">
        <v>0</v>
      </c>
      <c r="M24" s="16">
        <v>57.47</v>
      </c>
      <c r="N24" s="18">
        <f t="shared" si="0"/>
        <v>33819365.728693195</v>
      </c>
      <c r="O24" s="4"/>
    </row>
    <row r="25" spans="1:15" ht="15" x14ac:dyDescent="0.2">
      <c r="A25" s="17" t="s">
        <v>20</v>
      </c>
      <c r="B25" s="16">
        <v>111019288.58000001</v>
      </c>
      <c r="C25" s="16">
        <v>0</v>
      </c>
      <c r="D25" s="16">
        <v>1053637.1923790001</v>
      </c>
      <c r="E25" s="16">
        <v>0</v>
      </c>
      <c r="F25" s="16">
        <v>1095079</v>
      </c>
      <c r="G25" s="16">
        <v>420886.32</v>
      </c>
      <c r="H25" s="16">
        <v>5129632.76</v>
      </c>
      <c r="I25" s="16">
        <v>3236669.4</v>
      </c>
      <c r="J25" s="16">
        <v>13164471.040000005</v>
      </c>
      <c r="K25" s="16">
        <v>0</v>
      </c>
      <c r="L25" s="16">
        <v>0</v>
      </c>
      <c r="M25" s="16">
        <v>254.91</v>
      </c>
      <c r="N25" s="18">
        <f t="shared" si="0"/>
        <v>135119919.20237902</v>
      </c>
      <c r="O25" s="4"/>
    </row>
    <row r="26" spans="1:15" ht="15" x14ac:dyDescent="0.2">
      <c r="A26" s="17" t="s">
        <v>21</v>
      </c>
      <c r="B26" s="16">
        <v>41073325.329999998</v>
      </c>
      <c r="C26" s="16">
        <v>0</v>
      </c>
      <c r="D26" s="16">
        <v>995320.92867199995</v>
      </c>
      <c r="E26" s="16">
        <v>0</v>
      </c>
      <c r="F26" s="16">
        <v>498039.16</v>
      </c>
      <c r="G26" s="16">
        <v>230965.72</v>
      </c>
      <c r="H26" s="16">
        <v>1897788.02</v>
      </c>
      <c r="I26" s="16">
        <v>1472029.07</v>
      </c>
      <c r="J26" s="16">
        <v>8810459.0000000019</v>
      </c>
      <c r="K26" s="16">
        <v>0</v>
      </c>
      <c r="L26" s="16">
        <v>0</v>
      </c>
      <c r="M26" s="16">
        <v>115.92</v>
      </c>
      <c r="N26" s="18">
        <f t="shared" si="0"/>
        <v>54978043.148672</v>
      </c>
      <c r="O26" s="4"/>
    </row>
    <row r="27" spans="1:15" ht="15" x14ac:dyDescent="0.2">
      <c r="A27" s="17" t="s">
        <v>22</v>
      </c>
      <c r="B27" s="16">
        <v>21192988.220000003</v>
      </c>
      <c r="C27" s="16">
        <v>0</v>
      </c>
      <c r="D27" s="16">
        <v>727128.83850150008</v>
      </c>
      <c r="E27" s="16">
        <v>0</v>
      </c>
      <c r="F27" s="16">
        <v>123793</v>
      </c>
      <c r="G27" s="16">
        <v>64698.23</v>
      </c>
      <c r="H27" s="16">
        <v>979219.45</v>
      </c>
      <c r="I27" s="16">
        <v>365888.7</v>
      </c>
      <c r="J27" s="16">
        <v>2576978.8299999991</v>
      </c>
      <c r="K27" s="16">
        <v>0</v>
      </c>
      <c r="L27" s="16">
        <v>0</v>
      </c>
      <c r="M27" s="16">
        <v>28.8</v>
      </c>
      <c r="N27" s="18">
        <f t="shared" si="0"/>
        <v>26030724.068501502</v>
      </c>
      <c r="O27" s="4"/>
    </row>
    <row r="28" spans="1:15" ht="15" x14ac:dyDescent="0.2">
      <c r="A28" s="17" t="s">
        <v>23</v>
      </c>
      <c r="B28" s="16">
        <v>69926052.959999993</v>
      </c>
      <c r="C28" s="16">
        <v>0</v>
      </c>
      <c r="D28" s="16">
        <v>1498576.2760855004</v>
      </c>
      <c r="E28" s="16">
        <v>0</v>
      </c>
      <c r="F28" s="16">
        <v>170510.53</v>
      </c>
      <c r="G28" s="16">
        <v>98786.54</v>
      </c>
      <c r="H28" s="16">
        <v>3230924.7999999998</v>
      </c>
      <c r="I28" s="16">
        <v>503969.31</v>
      </c>
      <c r="J28" s="16">
        <v>5166060.2299999977</v>
      </c>
      <c r="K28" s="16">
        <v>0</v>
      </c>
      <c r="L28" s="16">
        <v>0</v>
      </c>
      <c r="M28" s="16">
        <v>39.69</v>
      </c>
      <c r="N28" s="18">
        <f t="shared" si="0"/>
        <v>80594920.336085498</v>
      </c>
      <c r="O28" s="4"/>
    </row>
    <row r="29" spans="1:15" ht="15" x14ac:dyDescent="0.2">
      <c r="A29" s="17" t="s">
        <v>24</v>
      </c>
      <c r="B29" s="16">
        <v>41672053.530000001</v>
      </c>
      <c r="C29" s="16">
        <v>0</v>
      </c>
      <c r="D29" s="16">
        <v>1838454.3355460002</v>
      </c>
      <c r="E29" s="16">
        <v>0</v>
      </c>
      <c r="F29" s="16">
        <v>106421.5</v>
      </c>
      <c r="G29" s="16">
        <v>51480.31</v>
      </c>
      <c r="H29" s="16">
        <v>1925452.18</v>
      </c>
      <c r="I29" s="16">
        <v>314544.65000000002</v>
      </c>
      <c r="J29" s="16">
        <v>4628758.0199999996</v>
      </c>
      <c r="K29" s="16">
        <v>0</v>
      </c>
      <c r="L29" s="16">
        <v>0</v>
      </c>
      <c r="M29" s="16">
        <v>24.76</v>
      </c>
      <c r="N29" s="18">
        <f t="shared" si="0"/>
        <v>50537189.285545997</v>
      </c>
      <c r="O29" s="4"/>
    </row>
    <row r="30" spans="1:15" ht="15" x14ac:dyDescent="0.2">
      <c r="A30" s="17" t="s">
        <v>25</v>
      </c>
      <c r="B30" s="16">
        <v>14345300.73</v>
      </c>
      <c r="C30" s="16">
        <v>0</v>
      </c>
      <c r="D30" s="16">
        <v>1100098.7687549999</v>
      </c>
      <c r="E30" s="16">
        <v>0</v>
      </c>
      <c r="F30" s="16">
        <v>91917.15</v>
      </c>
      <c r="G30" s="16">
        <v>65393.91</v>
      </c>
      <c r="H30" s="16">
        <v>662822.88</v>
      </c>
      <c r="I30" s="16">
        <v>271674.84999999998</v>
      </c>
      <c r="J30" s="16">
        <v>3501977.1999999983</v>
      </c>
      <c r="K30" s="16">
        <v>0</v>
      </c>
      <c r="L30" s="16">
        <v>0</v>
      </c>
      <c r="M30" s="16">
        <v>21.39</v>
      </c>
      <c r="N30" s="18">
        <f t="shared" si="0"/>
        <v>20039206.878754999</v>
      </c>
      <c r="O30" s="4"/>
    </row>
    <row r="31" spans="1:15" ht="15" x14ac:dyDescent="0.2">
      <c r="A31" s="17" t="s">
        <v>26</v>
      </c>
      <c r="B31" s="16">
        <v>26260134.739999998</v>
      </c>
      <c r="C31" s="16">
        <v>0</v>
      </c>
      <c r="D31" s="16">
        <v>615802.30265550001</v>
      </c>
      <c r="E31" s="16">
        <v>0</v>
      </c>
      <c r="F31" s="16">
        <v>109794.61</v>
      </c>
      <c r="G31" s="16">
        <v>36871.03</v>
      </c>
      <c r="H31" s="16">
        <v>1213346.3400000001</v>
      </c>
      <c r="I31" s="16">
        <v>324514.37</v>
      </c>
      <c r="J31" s="16">
        <v>2480578.0199999991</v>
      </c>
      <c r="K31" s="16">
        <v>0</v>
      </c>
      <c r="L31" s="16">
        <v>0</v>
      </c>
      <c r="M31" s="16">
        <v>25.54</v>
      </c>
      <c r="N31" s="18">
        <f t="shared" si="0"/>
        <v>31041066.952655498</v>
      </c>
      <c r="O31" s="4"/>
    </row>
    <row r="32" spans="1:15" ht="15" x14ac:dyDescent="0.2">
      <c r="A32" s="17" t="s">
        <v>27</v>
      </c>
      <c r="B32" s="16">
        <v>120061364.78999999</v>
      </c>
      <c r="C32" s="16">
        <v>0</v>
      </c>
      <c r="D32" s="16">
        <v>2136195.1373349996</v>
      </c>
      <c r="E32" s="16">
        <v>0</v>
      </c>
      <c r="F32" s="16">
        <v>323818.21000000002</v>
      </c>
      <c r="G32" s="16">
        <v>217052.12</v>
      </c>
      <c r="H32" s="16">
        <v>5547420.7999999998</v>
      </c>
      <c r="I32" s="16">
        <v>957093.06</v>
      </c>
      <c r="J32" s="16">
        <v>8005456.0099999979</v>
      </c>
      <c r="K32" s="16">
        <v>0</v>
      </c>
      <c r="L32" s="16">
        <v>0</v>
      </c>
      <c r="M32" s="16">
        <v>75.37</v>
      </c>
      <c r="N32" s="18">
        <f t="shared" si="0"/>
        <v>137248475.49733499</v>
      </c>
      <c r="O32" s="4"/>
    </row>
    <row r="33" spans="1:15" ht="15" x14ac:dyDescent="0.2">
      <c r="A33" s="17" t="s">
        <v>28</v>
      </c>
      <c r="B33" s="16">
        <v>77634145.609999999</v>
      </c>
      <c r="C33" s="16">
        <v>0</v>
      </c>
      <c r="D33" s="16">
        <v>2052970.7313965005</v>
      </c>
      <c r="E33" s="16">
        <v>0</v>
      </c>
      <c r="F33" s="16">
        <v>237635.34</v>
      </c>
      <c r="G33" s="16">
        <v>162789.09</v>
      </c>
      <c r="H33" s="16">
        <v>3587076.28</v>
      </c>
      <c r="I33" s="16">
        <v>702366.73</v>
      </c>
      <c r="J33" s="16">
        <v>7508454.4399999967</v>
      </c>
      <c r="K33" s="16">
        <v>0</v>
      </c>
      <c r="L33" s="16">
        <v>0</v>
      </c>
      <c r="M33" s="16">
        <v>55.31</v>
      </c>
      <c r="N33" s="18">
        <f t="shared" si="0"/>
        <v>91885493.531396508</v>
      </c>
      <c r="O33" s="4"/>
    </row>
    <row r="34" spans="1:15" ht="15" x14ac:dyDescent="0.2">
      <c r="A34" s="17" t="s">
        <v>29</v>
      </c>
      <c r="B34" s="16">
        <v>108241815.34</v>
      </c>
      <c r="C34" s="16">
        <v>0</v>
      </c>
      <c r="D34" s="16">
        <v>2112177.0830150004</v>
      </c>
      <c r="E34" s="16">
        <v>0</v>
      </c>
      <c r="F34" s="16">
        <v>345574.75</v>
      </c>
      <c r="G34" s="16">
        <v>285924.43</v>
      </c>
      <c r="H34" s="16">
        <v>5001299.95</v>
      </c>
      <c r="I34" s="16">
        <v>1021397.75</v>
      </c>
      <c r="J34" s="16">
        <v>9688355.4199999962</v>
      </c>
      <c r="K34" s="16">
        <v>0</v>
      </c>
      <c r="L34" s="16">
        <v>0</v>
      </c>
      <c r="M34" s="16">
        <v>80.429999999999993</v>
      </c>
      <c r="N34" s="18">
        <f t="shared" si="0"/>
        <v>126696625.15301502</v>
      </c>
      <c r="O34" s="4"/>
    </row>
    <row r="35" spans="1:15" ht="15" x14ac:dyDescent="0.2">
      <c r="A35" s="17" t="s">
        <v>30</v>
      </c>
      <c r="B35" s="16">
        <v>52154775.140000001</v>
      </c>
      <c r="C35" s="16">
        <v>0</v>
      </c>
      <c r="D35" s="16">
        <v>852689.6624850001</v>
      </c>
      <c r="E35" s="16">
        <v>0</v>
      </c>
      <c r="F35" s="16">
        <v>216047.46</v>
      </c>
      <c r="G35" s="16">
        <v>110613.1</v>
      </c>
      <c r="H35" s="16">
        <v>2409805.06</v>
      </c>
      <c r="I35" s="16">
        <v>638560.53</v>
      </c>
      <c r="J35" s="16">
        <v>3542818.4299999992</v>
      </c>
      <c r="K35" s="16">
        <v>0</v>
      </c>
      <c r="L35" s="16">
        <v>0</v>
      </c>
      <c r="M35" s="16">
        <v>50.28</v>
      </c>
      <c r="N35" s="18">
        <f t="shared" si="0"/>
        <v>59925359.662485011</v>
      </c>
      <c r="O35" s="4"/>
    </row>
    <row r="36" spans="1:15" ht="15" x14ac:dyDescent="0.2">
      <c r="A36" s="17" t="s">
        <v>31</v>
      </c>
      <c r="B36" s="16">
        <v>56179480.349999994</v>
      </c>
      <c r="C36" s="16">
        <v>0</v>
      </c>
      <c r="D36" s="16">
        <v>1530046.3854445003</v>
      </c>
      <c r="E36" s="16">
        <v>0</v>
      </c>
      <c r="F36" s="16">
        <v>135936.18</v>
      </c>
      <c r="G36" s="16">
        <v>70263.67</v>
      </c>
      <c r="H36" s="16">
        <v>2595766.08</v>
      </c>
      <c r="I36" s="16">
        <v>401779.69</v>
      </c>
      <c r="J36" s="16">
        <v>4639134.0200000014</v>
      </c>
      <c r="K36" s="16">
        <v>0</v>
      </c>
      <c r="L36" s="16">
        <v>0</v>
      </c>
      <c r="M36" s="16">
        <v>31.63</v>
      </c>
      <c r="N36" s="18">
        <f t="shared" si="0"/>
        <v>65552438.005444497</v>
      </c>
      <c r="O36" s="4"/>
    </row>
    <row r="37" spans="1:15" ht="15" x14ac:dyDescent="0.2">
      <c r="A37" s="17" t="s">
        <v>32</v>
      </c>
      <c r="B37" s="16">
        <v>62395729.939999998</v>
      </c>
      <c r="C37" s="16">
        <v>0</v>
      </c>
      <c r="D37" s="16">
        <v>1368415.839686</v>
      </c>
      <c r="E37" s="16">
        <v>0</v>
      </c>
      <c r="F37" s="16">
        <v>252139.7</v>
      </c>
      <c r="G37" s="16">
        <v>102264.94</v>
      </c>
      <c r="H37" s="16">
        <v>2882987.14</v>
      </c>
      <c r="I37" s="16">
        <v>745236.52</v>
      </c>
      <c r="J37" s="16">
        <v>5989827.2100000009</v>
      </c>
      <c r="K37" s="16">
        <v>0</v>
      </c>
      <c r="L37" s="16">
        <v>0</v>
      </c>
      <c r="M37" s="16">
        <v>58.690000000000005</v>
      </c>
      <c r="N37" s="18">
        <f t="shared" si="0"/>
        <v>73736659.979685992</v>
      </c>
      <c r="O37" s="4"/>
    </row>
    <row r="38" spans="1:15" ht="15" x14ac:dyDescent="0.2">
      <c r="A38" s="17" t="s">
        <v>33</v>
      </c>
      <c r="B38" s="16">
        <v>57095349.659999996</v>
      </c>
      <c r="C38" s="16">
        <v>0</v>
      </c>
      <c r="D38" s="16">
        <v>470619.91177950002</v>
      </c>
      <c r="E38" s="16">
        <v>0</v>
      </c>
      <c r="F38" s="16">
        <v>225323.51</v>
      </c>
      <c r="G38" s="16">
        <v>276880.59000000003</v>
      </c>
      <c r="H38" s="16">
        <v>2638083.71</v>
      </c>
      <c r="I38" s="16">
        <v>665977.26</v>
      </c>
      <c r="J38" s="16">
        <v>9915302.0099999961</v>
      </c>
      <c r="K38" s="16">
        <v>0</v>
      </c>
      <c r="L38" s="16">
        <v>0</v>
      </c>
      <c r="M38" s="16">
        <v>52.44</v>
      </c>
      <c r="N38" s="18">
        <f t="shared" si="0"/>
        <v>71287589.091779485</v>
      </c>
      <c r="O38" s="4"/>
    </row>
    <row r="39" spans="1:15" ht="15" x14ac:dyDescent="0.2">
      <c r="A39" s="17" t="s">
        <v>34</v>
      </c>
      <c r="B39" s="16">
        <v>94505197.820000008</v>
      </c>
      <c r="C39" s="16">
        <v>0</v>
      </c>
      <c r="D39" s="16">
        <v>1966123.1473855004</v>
      </c>
      <c r="E39" s="16">
        <v>0</v>
      </c>
      <c r="F39" s="16">
        <v>287051.34999999998</v>
      </c>
      <c r="G39" s="16">
        <v>170441.57</v>
      </c>
      <c r="H39" s="16">
        <v>4366601.2</v>
      </c>
      <c r="I39" s="16">
        <v>848423.12</v>
      </c>
      <c r="J39" s="16">
        <v>8444822.8099999968</v>
      </c>
      <c r="K39" s="16">
        <v>0</v>
      </c>
      <c r="L39" s="16">
        <v>0</v>
      </c>
      <c r="M39" s="16">
        <v>66.820000000000007</v>
      </c>
      <c r="N39" s="18">
        <f t="shared" si="0"/>
        <v>110588727.83738549</v>
      </c>
      <c r="O39" s="4"/>
    </row>
    <row r="40" spans="1:15" ht="15" x14ac:dyDescent="0.2">
      <c r="A40" s="17" t="s">
        <v>35</v>
      </c>
      <c r="B40" s="16">
        <v>63313021.429999992</v>
      </c>
      <c r="C40" s="16">
        <v>0</v>
      </c>
      <c r="D40" s="16">
        <v>2128470.3844484999</v>
      </c>
      <c r="E40" s="16">
        <v>0</v>
      </c>
      <c r="F40" s="16">
        <v>153307.68</v>
      </c>
      <c r="G40" s="16">
        <v>75133.429999999993</v>
      </c>
      <c r="H40" s="16">
        <v>2925370.48</v>
      </c>
      <c r="I40" s="16">
        <v>453123.75</v>
      </c>
      <c r="J40" s="16">
        <v>4699663.6100000003</v>
      </c>
      <c r="K40" s="16">
        <v>0</v>
      </c>
      <c r="L40" s="16">
        <v>0</v>
      </c>
      <c r="M40" s="16">
        <v>35.67</v>
      </c>
      <c r="N40" s="18">
        <f t="shared" ref="N40:N71" si="1">SUM(B40:M40)</f>
        <v>73748126.434448496</v>
      </c>
      <c r="O40" s="4"/>
    </row>
    <row r="41" spans="1:15" ht="15" x14ac:dyDescent="0.2">
      <c r="A41" s="17" t="s">
        <v>36</v>
      </c>
      <c r="B41" s="16">
        <v>65599850.389999993</v>
      </c>
      <c r="C41" s="16">
        <v>0</v>
      </c>
      <c r="D41" s="16">
        <v>883309.69518200005</v>
      </c>
      <c r="E41" s="16">
        <v>0</v>
      </c>
      <c r="F41" s="16">
        <v>259560.54</v>
      </c>
      <c r="G41" s="16">
        <v>120352.62</v>
      </c>
      <c r="H41" s="16">
        <v>3031033.13</v>
      </c>
      <c r="I41" s="16">
        <v>767169.91</v>
      </c>
      <c r="J41" s="16">
        <v>4768511.4099999992</v>
      </c>
      <c r="K41" s="16">
        <v>0</v>
      </c>
      <c r="L41" s="16">
        <v>0</v>
      </c>
      <c r="M41" s="16">
        <v>60.410000000000004</v>
      </c>
      <c r="N41" s="18">
        <f t="shared" si="1"/>
        <v>75429848.105181977</v>
      </c>
      <c r="O41" s="4"/>
    </row>
    <row r="42" spans="1:15" ht="15" x14ac:dyDescent="0.2">
      <c r="A42" s="17" t="s">
        <v>37</v>
      </c>
      <c r="B42" s="16">
        <v>40413444.350000001</v>
      </c>
      <c r="C42" s="16">
        <v>0</v>
      </c>
      <c r="D42" s="16">
        <v>307147.85200100002</v>
      </c>
      <c r="E42" s="16">
        <v>0</v>
      </c>
      <c r="F42" s="16">
        <v>704979.24</v>
      </c>
      <c r="G42" s="16">
        <v>0</v>
      </c>
      <c r="H42" s="16">
        <v>1867298.3</v>
      </c>
      <c r="I42" s="16">
        <v>2083671.35</v>
      </c>
      <c r="J42" s="16">
        <v>7430887.4100000011</v>
      </c>
      <c r="K42" s="16">
        <v>0</v>
      </c>
      <c r="L42" s="16">
        <v>0</v>
      </c>
      <c r="M42" s="16">
        <v>164.1</v>
      </c>
      <c r="N42" s="18">
        <f t="shared" si="1"/>
        <v>52807592.602001004</v>
      </c>
      <c r="O42" s="4"/>
    </row>
    <row r="43" spans="1:15" ht="15" x14ac:dyDescent="0.2">
      <c r="A43" s="17" t="s">
        <v>38</v>
      </c>
      <c r="B43" s="16">
        <v>145682950.97</v>
      </c>
      <c r="C43" s="16">
        <v>0</v>
      </c>
      <c r="D43" s="16">
        <v>1295811.8941770003</v>
      </c>
      <c r="E43" s="16">
        <v>0</v>
      </c>
      <c r="F43" s="16">
        <v>2931566.81</v>
      </c>
      <c r="G43" s="16">
        <v>950994.38</v>
      </c>
      <c r="H43" s="16">
        <v>6731263.0800000001</v>
      </c>
      <c r="I43" s="16">
        <v>8664683.1199999992</v>
      </c>
      <c r="J43" s="16">
        <v>23002328.199999999</v>
      </c>
      <c r="K43" s="16">
        <v>0</v>
      </c>
      <c r="L43" s="16">
        <v>0</v>
      </c>
      <c r="M43" s="16">
        <v>682.42000000000007</v>
      </c>
      <c r="N43" s="18">
        <f t="shared" si="1"/>
        <v>189260280.87417698</v>
      </c>
      <c r="O43" s="4"/>
    </row>
    <row r="44" spans="1:15" ht="15" x14ac:dyDescent="0.2">
      <c r="A44" s="17" t="s">
        <v>39</v>
      </c>
      <c r="B44" s="16">
        <v>209559146.78</v>
      </c>
      <c r="C44" s="16">
        <v>0</v>
      </c>
      <c r="D44" s="16">
        <v>1197810.1329185001</v>
      </c>
      <c r="E44" s="16">
        <v>0</v>
      </c>
      <c r="F44" s="16">
        <v>3688660.55</v>
      </c>
      <c r="G44" s="16">
        <v>1787631.7868344202</v>
      </c>
      <c r="H44" s="16">
        <v>9682654.9499999993</v>
      </c>
      <c r="I44" s="16">
        <v>10902386.630000001</v>
      </c>
      <c r="J44" s="16">
        <v>29858769.02999999</v>
      </c>
      <c r="K44" s="16">
        <v>0</v>
      </c>
      <c r="L44" s="16">
        <v>0</v>
      </c>
      <c r="M44" s="16">
        <v>858.66</v>
      </c>
      <c r="N44" s="18">
        <f t="shared" si="1"/>
        <v>266677918.51975292</v>
      </c>
      <c r="O44" s="4"/>
    </row>
    <row r="45" spans="1:15" ht="15" x14ac:dyDescent="0.2">
      <c r="A45" s="17" t="s">
        <v>40</v>
      </c>
      <c r="B45" s="16">
        <v>59463241.600000001</v>
      </c>
      <c r="C45" s="16">
        <v>0</v>
      </c>
      <c r="D45" s="16">
        <v>907824.72530199995</v>
      </c>
      <c r="E45" s="16">
        <v>0</v>
      </c>
      <c r="F45" s="16">
        <v>274739.52</v>
      </c>
      <c r="G45" s="16">
        <v>132874.85</v>
      </c>
      <c r="H45" s="16">
        <v>2747491.87</v>
      </c>
      <c r="I45" s="16">
        <v>812033.64</v>
      </c>
      <c r="J45" s="16">
        <v>4473397.040000001</v>
      </c>
      <c r="K45" s="16">
        <v>0</v>
      </c>
      <c r="L45" s="16">
        <v>0</v>
      </c>
      <c r="M45" s="16">
        <v>63.949999999999996</v>
      </c>
      <c r="N45" s="18">
        <f t="shared" si="1"/>
        <v>68811667.19530201</v>
      </c>
      <c r="O45" s="4"/>
    </row>
    <row r="46" spans="1:15" ht="15" x14ac:dyDescent="0.2">
      <c r="A46" s="17" t="s">
        <v>41</v>
      </c>
      <c r="B46" s="16">
        <v>92657815.469999999</v>
      </c>
      <c r="C46" s="16">
        <v>0</v>
      </c>
      <c r="D46" s="16">
        <v>1374892.1329184999</v>
      </c>
      <c r="E46" s="16">
        <v>0</v>
      </c>
      <c r="F46" s="16">
        <v>2167052.23</v>
      </c>
      <c r="G46" s="16">
        <v>194332.68001581184</v>
      </c>
      <c r="H46" s="16">
        <v>4281243.12</v>
      </c>
      <c r="I46" s="16">
        <v>6405046.2199999997</v>
      </c>
      <c r="J46" s="16">
        <v>19952796.629999995</v>
      </c>
      <c r="K46" s="16">
        <v>0</v>
      </c>
      <c r="L46" s="16">
        <v>0</v>
      </c>
      <c r="M46" s="16">
        <v>504.45</v>
      </c>
      <c r="N46" s="18">
        <f t="shared" si="1"/>
        <v>127033682.93293433</v>
      </c>
      <c r="O46" s="4"/>
    </row>
    <row r="47" spans="1:15" ht="15" x14ac:dyDescent="0.2">
      <c r="A47" s="17" t="s">
        <v>42</v>
      </c>
      <c r="B47" s="16">
        <v>275662440.99000001</v>
      </c>
      <c r="C47" s="16">
        <v>0</v>
      </c>
      <c r="D47" s="16">
        <v>962677.63751949999</v>
      </c>
      <c r="E47" s="16">
        <v>0</v>
      </c>
      <c r="F47" s="16">
        <v>6755657.5899999999</v>
      </c>
      <c r="G47" s="16">
        <v>1963214.0916774718</v>
      </c>
      <c r="H47" s="16">
        <v>12736949.640000001</v>
      </c>
      <c r="I47" s="16">
        <v>19967353.989999998</v>
      </c>
      <c r="J47" s="16">
        <v>46101824.43999999</v>
      </c>
      <c r="K47" s="16">
        <v>0</v>
      </c>
      <c r="L47" s="16">
        <v>0</v>
      </c>
      <c r="M47" s="16">
        <v>1572.6100000000001</v>
      </c>
      <c r="N47" s="18">
        <f t="shared" si="1"/>
        <v>364151690.98919696</v>
      </c>
      <c r="O47" s="4"/>
    </row>
    <row r="48" spans="1:15" ht="15" x14ac:dyDescent="0.2">
      <c r="A48" s="17" t="s">
        <v>43</v>
      </c>
      <c r="B48" s="16">
        <v>30142624.209999993</v>
      </c>
      <c r="C48" s="16">
        <v>0</v>
      </c>
      <c r="D48" s="16">
        <v>572489.12994450005</v>
      </c>
      <c r="E48" s="16">
        <v>0</v>
      </c>
      <c r="F48" s="16">
        <v>58692.05</v>
      </c>
      <c r="G48" s="16">
        <v>39653.75</v>
      </c>
      <c r="H48" s="16">
        <v>1392736.3</v>
      </c>
      <c r="I48" s="16">
        <v>173473.12</v>
      </c>
      <c r="J48" s="16">
        <v>2516658.61</v>
      </c>
      <c r="K48" s="16">
        <v>0</v>
      </c>
      <c r="L48" s="16">
        <v>0</v>
      </c>
      <c r="M48" s="16">
        <v>13.65</v>
      </c>
      <c r="N48" s="18">
        <f t="shared" si="1"/>
        <v>34896340.819944493</v>
      </c>
      <c r="O48" s="4"/>
    </row>
    <row r="49" spans="1:15" ht="15" x14ac:dyDescent="0.2">
      <c r="A49" s="17" t="s">
        <v>44</v>
      </c>
      <c r="B49" s="16">
        <v>49057316.5</v>
      </c>
      <c r="C49" s="16">
        <v>0</v>
      </c>
      <c r="D49" s="16">
        <v>1015340.4298385001</v>
      </c>
      <c r="E49" s="16">
        <v>0</v>
      </c>
      <c r="F49" s="16">
        <v>346586.68</v>
      </c>
      <c r="G49" s="16">
        <v>176007.01</v>
      </c>
      <c r="H49" s="16">
        <v>2266687.36</v>
      </c>
      <c r="I49" s="16">
        <v>1024388.67</v>
      </c>
      <c r="J49" s="16">
        <v>5850893.4299999988</v>
      </c>
      <c r="K49" s="16">
        <v>0</v>
      </c>
      <c r="L49" s="16">
        <v>0</v>
      </c>
      <c r="M49" s="16">
        <v>80.67</v>
      </c>
      <c r="N49" s="18">
        <f t="shared" si="1"/>
        <v>59737300.749838501</v>
      </c>
      <c r="O49" s="4"/>
    </row>
    <row r="50" spans="1:15" ht="15" x14ac:dyDescent="0.2">
      <c r="A50" s="17" t="s">
        <v>45</v>
      </c>
      <c r="B50" s="16">
        <v>39046751.18</v>
      </c>
      <c r="C50" s="16">
        <v>0</v>
      </c>
      <c r="D50" s="16">
        <v>1099295.8068740002</v>
      </c>
      <c r="E50" s="16">
        <v>0</v>
      </c>
      <c r="F50" s="16">
        <v>97145.46</v>
      </c>
      <c r="G50" s="16">
        <v>49393.27</v>
      </c>
      <c r="H50" s="16">
        <v>1804150.4</v>
      </c>
      <c r="I50" s="16">
        <v>287127.92</v>
      </c>
      <c r="J50" s="16">
        <v>4214398.2400000012</v>
      </c>
      <c r="K50" s="16">
        <v>0</v>
      </c>
      <c r="L50" s="16">
        <v>0</v>
      </c>
      <c r="M50" s="16">
        <v>22.61</v>
      </c>
      <c r="N50" s="18">
        <f t="shared" si="1"/>
        <v>46598284.886874005</v>
      </c>
      <c r="O50" s="4"/>
    </row>
    <row r="51" spans="1:15" ht="15" x14ac:dyDescent="0.2">
      <c r="A51" s="17" t="s">
        <v>46</v>
      </c>
      <c r="B51" s="16">
        <v>38503487.049999997</v>
      </c>
      <c r="C51" s="16">
        <v>0</v>
      </c>
      <c r="D51" s="16">
        <v>1254480.8865835001</v>
      </c>
      <c r="E51" s="16">
        <v>0</v>
      </c>
      <c r="F51" s="16">
        <v>121094.52</v>
      </c>
      <c r="G51" s="16">
        <v>66089.59</v>
      </c>
      <c r="H51" s="16">
        <v>1779048.95</v>
      </c>
      <c r="I51" s="16">
        <v>357912.93</v>
      </c>
      <c r="J51" s="16">
        <v>2923397.629999999</v>
      </c>
      <c r="K51" s="16">
        <v>0</v>
      </c>
      <c r="L51" s="16">
        <v>0</v>
      </c>
      <c r="M51" s="16">
        <v>28.18</v>
      </c>
      <c r="N51" s="18">
        <f t="shared" si="1"/>
        <v>45005539.736583509</v>
      </c>
      <c r="O51" s="4"/>
    </row>
    <row r="52" spans="1:15" ht="15" x14ac:dyDescent="0.2">
      <c r="A52" s="17" t="s">
        <v>47</v>
      </c>
      <c r="B52" s="16">
        <v>41922353.229999997</v>
      </c>
      <c r="C52" s="16">
        <v>0</v>
      </c>
      <c r="D52" s="16">
        <v>891286.86825250008</v>
      </c>
      <c r="E52" s="16">
        <v>0</v>
      </c>
      <c r="F52" s="16">
        <v>111481.16</v>
      </c>
      <c r="G52" s="16">
        <v>77220.47</v>
      </c>
      <c r="H52" s="16">
        <v>1937017.25</v>
      </c>
      <c r="I52" s="16">
        <v>329499.23</v>
      </c>
      <c r="J52" s="16">
        <v>3923312.4000000013</v>
      </c>
      <c r="K52" s="16">
        <v>0</v>
      </c>
      <c r="L52" s="16">
        <v>0</v>
      </c>
      <c r="M52" s="16">
        <v>25.939999999999998</v>
      </c>
      <c r="N52" s="18">
        <f t="shared" si="1"/>
        <v>49192196.548252486</v>
      </c>
      <c r="O52" s="4"/>
    </row>
    <row r="53" spans="1:15" ht="15" x14ac:dyDescent="0.2">
      <c r="A53" s="17" t="s">
        <v>48</v>
      </c>
      <c r="B53" s="16">
        <v>15108999.219999999</v>
      </c>
      <c r="C53" s="16">
        <v>0</v>
      </c>
      <c r="D53" s="16">
        <v>685600.31394150015</v>
      </c>
      <c r="E53" s="16">
        <v>0</v>
      </c>
      <c r="F53" s="16">
        <v>19395.36</v>
      </c>
      <c r="G53" s="16">
        <v>12522.24</v>
      </c>
      <c r="H53" s="16">
        <v>698109.48</v>
      </c>
      <c r="I53" s="16">
        <v>57325.89</v>
      </c>
      <c r="J53" s="16">
        <v>1946554.2299999995</v>
      </c>
      <c r="K53" s="16">
        <v>0</v>
      </c>
      <c r="L53" s="16">
        <v>0</v>
      </c>
      <c r="M53" s="16">
        <v>4.5</v>
      </c>
      <c r="N53" s="18">
        <f t="shared" si="1"/>
        <v>18528511.233941499</v>
      </c>
      <c r="O53" s="4"/>
    </row>
    <row r="54" spans="1:15" ht="15" x14ac:dyDescent="0.2">
      <c r="A54" s="17" t="s">
        <v>49</v>
      </c>
      <c r="B54" s="16">
        <v>52338233.430000007</v>
      </c>
      <c r="C54" s="16">
        <v>0</v>
      </c>
      <c r="D54" s="16">
        <v>1338302.3685335002</v>
      </c>
      <c r="E54" s="16">
        <v>0</v>
      </c>
      <c r="F54" s="16">
        <v>66618.850000000006</v>
      </c>
      <c r="G54" s="16">
        <v>48001.91</v>
      </c>
      <c r="H54" s="16">
        <v>2418281.73</v>
      </c>
      <c r="I54" s="16">
        <v>196901.96</v>
      </c>
      <c r="J54" s="16">
        <v>4498508.8</v>
      </c>
      <c r="K54" s="16">
        <v>0</v>
      </c>
      <c r="L54" s="16">
        <v>0</v>
      </c>
      <c r="M54" s="16">
        <v>15.5</v>
      </c>
      <c r="N54" s="18">
        <f t="shared" si="1"/>
        <v>60904864.548533499</v>
      </c>
      <c r="O54" s="4"/>
    </row>
    <row r="55" spans="1:15" ht="15" x14ac:dyDescent="0.2">
      <c r="A55" s="17" t="s">
        <v>50</v>
      </c>
      <c r="B55" s="16">
        <v>19243210.52</v>
      </c>
      <c r="C55" s="16">
        <v>0</v>
      </c>
      <c r="D55" s="16">
        <v>477934.01754250005</v>
      </c>
      <c r="E55" s="16">
        <v>0</v>
      </c>
      <c r="F55" s="16">
        <v>122949.72</v>
      </c>
      <c r="G55" s="16">
        <v>66089.59</v>
      </c>
      <c r="H55" s="16">
        <v>889130.21</v>
      </c>
      <c r="I55" s="16">
        <v>363396.27</v>
      </c>
      <c r="J55" s="16">
        <v>3218215.43</v>
      </c>
      <c r="K55" s="16">
        <v>0</v>
      </c>
      <c r="L55" s="16">
        <v>0</v>
      </c>
      <c r="M55" s="16">
        <v>28.61</v>
      </c>
      <c r="N55" s="18">
        <f t="shared" si="1"/>
        <v>24380954.367542498</v>
      </c>
      <c r="O55" s="4"/>
    </row>
    <row r="56" spans="1:15" ht="15" x14ac:dyDescent="0.2">
      <c r="A56" s="17" t="s">
        <v>51</v>
      </c>
      <c r="B56" s="16">
        <v>18448224.599999998</v>
      </c>
      <c r="C56" s="16">
        <v>0</v>
      </c>
      <c r="D56" s="16">
        <v>440952.03293200006</v>
      </c>
      <c r="E56" s="16">
        <v>0</v>
      </c>
      <c r="F56" s="16">
        <v>34742.99</v>
      </c>
      <c r="G56" s="16">
        <v>16696.32</v>
      </c>
      <c r="H56" s="16">
        <v>852397.98</v>
      </c>
      <c r="I56" s="16">
        <v>102688.11</v>
      </c>
      <c r="J56" s="16">
        <v>2617558.62</v>
      </c>
      <c r="K56" s="16">
        <v>0</v>
      </c>
      <c r="L56" s="16">
        <v>0</v>
      </c>
      <c r="M56" s="16">
        <v>8.0799999999999983</v>
      </c>
      <c r="N56" s="18">
        <f t="shared" si="1"/>
        <v>22513268.732931994</v>
      </c>
      <c r="O56" s="4"/>
    </row>
    <row r="57" spans="1:15" ht="15" x14ac:dyDescent="0.2">
      <c r="A57" s="17" t="s">
        <v>52</v>
      </c>
      <c r="B57" s="16">
        <v>50893321.589999996</v>
      </c>
      <c r="C57" s="16">
        <v>0</v>
      </c>
      <c r="D57" s="16">
        <v>881846.17931750009</v>
      </c>
      <c r="E57" s="16">
        <v>0</v>
      </c>
      <c r="F57" s="16">
        <v>178437.33</v>
      </c>
      <c r="G57" s="16">
        <v>87655.66</v>
      </c>
      <c r="H57" s="16">
        <v>2351519.75</v>
      </c>
      <c r="I57" s="16">
        <v>527398.16</v>
      </c>
      <c r="J57" s="16">
        <v>5550687.0399999991</v>
      </c>
      <c r="K57" s="16">
        <v>0</v>
      </c>
      <c r="L57" s="16">
        <v>0</v>
      </c>
      <c r="M57" s="16">
        <v>41.53</v>
      </c>
      <c r="N57" s="18">
        <f t="shared" si="1"/>
        <v>60470907.239317484</v>
      </c>
      <c r="O57" s="4"/>
    </row>
    <row r="58" spans="1:15" ht="15" x14ac:dyDescent="0.2">
      <c r="A58" s="17" t="s">
        <v>53</v>
      </c>
      <c r="B58" s="16">
        <v>40712097.370000005</v>
      </c>
      <c r="C58" s="16">
        <v>0</v>
      </c>
      <c r="D58" s="16">
        <v>566592.99046100012</v>
      </c>
      <c r="E58" s="16">
        <v>0</v>
      </c>
      <c r="F58" s="16">
        <v>103891.67</v>
      </c>
      <c r="G58" s="16">
        <v>50088.95</v>
      </c>
      <c r="H58" s="16">
        <v>1881097.52</v>
      </c>
      <c r="I58" s="16">
        <v>307067.36</v>
      </c>
      <c r="J58" s="16">
        <v>3108212.4300000016</v>
      </c>
      <c r="K58" s="16">
        <v>0</v>
      </c>
      <c r="L58" s="16">
        <v>0</v>
      </c>
      <c r="M58" s="16">
        <v>24.18</v>
      </c>
      <c r="N58" s="18">
        <f t="shared" si="1"/>
        <v>46729072.470461011</v>
      </c>
      <c r="O58" s="4"/>
    </row>
    <row r="59" spans="1:15" ht="15" x14ac:dyDescent="0.2">
      <c r="A59" s="17" t="s">
        <v>54</v>
      </c>
      <c r="B59" s="16">
        <v>45285755.299999997</v>
      </c>
      <c r="C59" s="16">
        <v>0</v>
      </c>
      <c r="D59" s="16">
        <v>905742.00360050029</v>
      </c>
      <c r="E59" s="16">
        <v>0</v>
      </c>
      <c r="F59" s="16">
        <v>101193.19</v>
      </c>
      <c r="G59" s="16">
        <v>50088.95</v>
      </c>
      <c r="H59" s="16">
        <v>2092422.83</v>
      </c>
      <c r="I59" s="16">
        <v>299091.58</v>
      </c>
      <c r="J59" s="16">
        <v>3645392.6099999985</v>
      </c>
      <c r="K59" s="16">
        <v>0</v>
      </c>
      <c r="L59" s="16">
        <v>0</v>
      </c>
      <c r="M59" s="16">
        <v>23.54</v>
      </c>
      <c r="N59" s="18">
        <f t="shared" si="1"/>
        <v>52379710.003600493</v>
      </c>
      <c r="O59" s="4"/>
    </row>
    <row r="60" spans="1:15" ht="15" x14ac:dyDescent="0.2">
      <c r="A60" s="17" t="s">
        <v>55</v>
      </c>
      <c r="B60" s="16">
        <v>321077612.67999995</v>
      </c>
      <c r="C60" s="16">
        <v>0</v>
      </c>
      <c r="D60" s="16">
        <v>8789736.7842505015</v>
      </c>
      <c r="E60" s="16">
        <v>0</v>
      </c>
      <c r="F60" s="16">
        <v>5566468.9100000001</v>
      </c>
      <c r="G60" s="16">
        <v>2756283.65</v>
      </c>
      <c r="H60" s="16">
        <v>14835352.140000001</v>
      </c>
      <c r="I60" s="16">
        <v>16452529.42</v>
      </c>
      <c r="J60" s="16">
        <v>59622759.040000021</v>
      </c>
      <c r="K60" s="16">
        <v>0</v>
      </c>
      <c r="L60" s="16">
        <v>0</v>
      </c>
      <c r="M60" s="16">
        <v>1295.79</v>
      </c>
      <c r="N60" s="18">
        <f t="shared" si="1"/>
        <v>429102038.41425049</v>
      </c>
      <c r="O60" s="4"/>
    </row>
    <row r="61" spans="1:15" ht="15" x14ac:dyDescent="0.2">
      <c r="A61" s="17" t="s">
        <v>56</v>
      </c>
      <c r="B61" s="16">
        <v>50202153.140000001</v>
      </c>
      <c r="C61" s="16">
        <v>0</v>
      </c>
      <c r="D61" s="16">
        <v>521148.16779150011</v>
      </c>
      <c r="E61" s="16">
        <v>0</v>
      </c>
      <c r="F61" s="16">
        <v>993717.15</v>
      </c>
      <c r="G61" s="16">
        <v>264992.11451020482</v>
      </c>
      <c r="H61" s="16">
        <v>2319584.4</v>
      </c>
      <c r="I61" s="16">
        <v>2937079.33</v>
      </c>
      <c r="J61" s="16">
        <v>14010263.020000005</v>
      </c>
      <c r="K61" s="16">
        <v>0</v>
      </c>
      <c r="L61" s="16">
        <v>0</v>
      </c>
      <c r="M61" s="16">
        <v>231.32</v>
      </c>
      <c r="N61" s="18">
        <f t="shared" si="1"/>
        <v>71249168.642301708</v>
      </c>
      <c r="O61" s="4"/>
    </row>
    <row r="62" spans="1:15" ht="15" x14ac:dyDescent="0.2">
      <c r="A62" s="17" t="s">
        <v>57</v>
      </c>
      <c r="B62" s="16">
        <v>302983505.15999997</v>
      </c>
      <c r="C62" s="16">
        <v>0</v>
      </c>
      <c r="D62" s="16">
        <v>2389773.9400000004</v>
      </c>
      <c r="E62" s="16">
        <v>0</v>
      </c>
      <c r="F62" s="16">
        <v>4455704.96</v>
      </c>
      <c r="G62" s="16">
        <v>0</v>
      </c>
      <c r="H62" s="16">
        <v>13999316.1</v>
      </c>
      <c r="I62" s="16">
        <v>13169500.82</v>
      </c>
      <c r="J62" s="16">
        <v>29549477.209999993</v>
      </c>
      <c r="K62" s="16">
        <v>0</v>
      </c>
      <c r="L62" s="16">
        <v>0</v>
      </c>
      <c r="M62" s="16">
        <v>1037.22</v>
      </c>
      <c r="N62" s="18">
        <f t="shared" si="1"/>
        <v>366548315.40999997</v>
      </c>
      <c r="O62" s="4"/>
    </row>
    <row r="63" spans="1:15" ht="15" x14ac:dyDescent="0.2">
      <c r="A63" s="17" t="s">
        <v>58</v>
      </c>
      <c r="B63" s="16">
        <v>45686803.649999999</v>
      </c>
      <c r="C63" s="16">
        <v>0</v>
      </c>
      <c r="D63" s="16">
        <v>1311769.3596584999</v>
      </c>
      <c r="E63" s="16">
        <v>0</v>
      </c>
      <c r="F63" s="16">
        <v>157018.1</v>
      </c>
      <c r="G63" s="16">
        <v>80698.86</v>
      </c>
      <c r="H63" s="16">
        <v>2110953.2200000002</v>
      </c>
      <c r="I63" s="16">
        <v>464090.44</v>
      </c>
      <c r="J63" s="16">
        <v>4155525.42</v>
      </c>
      <c r="K63" s="16">
        <v>0</v>
      </c>
      <c r="L63" s="16">
        <v>0</v>
      </c>
      <c r="M63" s="16">
        <v>36.54</v>
      </c>
      <c r="N63" s="18">
        <f t="shared" si="1"/>
        <v>53966895.589658499</v>
      </c>
      <c r="O63" s="4"/>
    </row>
    <row r="64" spans="1:15" ht="15" x14ac:dyDescent="0.2">
      <c r="A64" s="17" t="s">
        <v>59</v>
      </c>
      <c r="B64" s="16">
        <v>96773538.75</v>
      </c>
      <c r="C64" s="16">
        <v>0</v>
      </c>
      <c r="D64" s="16">
        <v>3828977.4344345005</v>
      </c>
      <c r="E64" s="16">
        <v>0</v>
      </c>
      <c r="F64" s="16">
        <v>287388.65999999997</v>
      </c>
      <c r="G64" s="16">
        <v>137744.60999999999</v>
      </c>
      <c r="H64" s="16">
        <v>4471409.62</v>
      </c>
      <c r="I64" s="16">
        <v>849420.09</v>
      </c>
      <c r="J64" s="16">
        <v>8664026.6100000013</v>
      </c>
      <c r="K64" s="16">
        <v>0</v>
      </c>
      <c r="L64" s="16">
        <v>0</v>
      </c>
      <c r="M64" s="16">
        <v>66.89</v>
      </c>
      <c r="N64" s="18">
        <f t="shared" si="1"/>
        <v>115012572.66443451</v>
      </c>
      <c r="O64" s="4"/>
    </row>
    <row r="65" spans="1:15" ht="15" x14ac:dyDescent="0.2">
      <c r="A65" s="17" t="s">
        <v>60</v>
      </c>
      <c r="B65" s="16">
        <v>53040779.129999995</v>
      </c>
      <c r="C65" s="16">
        <v>0</v>
      </c>
      <c r="D65" s="16">
        <v>1388092.9884090002</v>
      </c>
      <c r="E65" s="16">
        <v>0</v>
      </c>
      <c r="F65" s="16">
        <v>62571.12</v>
      </c>
      <c r="G65" s="16">
        <v>52871.67</v>
      </c>
      <c r="H65" s="16">
        <v>2450742.77</v>
      </c>
      <c r="I65" s="16">
        <v>184938.29</v>
      </c>
      <c r="J65" s="16">
        <v>5004107.4400000013</v>
      </c>
      <c r="K65" s="16">
        <v>0</v>
      </c>
      <c r="L65" s="16">
        <v>0</v>
      </c>
      <c r="M65" s="16">
        <v>14.56</v>
      </c>
      <c r="N65" s="18">
        <f t="shared" si="1"/>
        <v>62184117.968409002</v>
      </c>
      <c r="O65" s="4"/>
    </row>
    <row r="66" spans="1:15" ht="15" x14ac:dyDescent="0.2">
      <c r="A66" s="17" t="s">
        <v>61</v>
      </c>
      <c r="B66" s="16">
        <v>29391725.130000003</v>
      </c>
      <c r="C66" s="16">
        <v>0</v>
      </c>
      <c r="D66" s="16">
        <v>758249.09956649994</v>
      </c>
      <c r="E66" s="16">
        <v>0</v>
      </c>
      <c r="F66" s="16">
        <v>61221.88</v>
      </c>
      <c r="G66" s="16">
        <v>42436.47</v>
      </c>
      <c r="H66" s="16">
        <v>1358041.1</v>
      </c>
      <c r="I66" s="16">
        <v>180950.41</v>
      </c>
      <c r="J66" s="16">
        <v>2254084.83</v>
      </c>
      <c r="K66" s="16">
        <v>0</v>
      </c>
      <c r="L66" s="16">
        <v>0</v>
      </c>
      <c r="M66" s="16">
        <v>14.24</v>
      </c>
      <c r="N66" s="18">
        <f t="shared" si="1"/>
        <v>34046723.159566507</v>
      </c>
      <c r="O66" s="4"/>
    </row>
    <row r="67" spans="1:15" ht="15" x14ac:dyDescent="0.2">
      <c r="A67" s="17" t="s">
        <v>62</v>
      </c>
      <c r="B67" s="16">
        <v>134474929.16999996</v>
      </c>
      <c r="C67" s="16">
        <v>0</v>
      </c>
      <c r="D67" s="16">
        <v>861377.35</v>
      </c>
      <c r="E67" s="16">
        <v>0</v>
      </c>
      <c r="F67" s="16">
        <v>1645064.01</v>
      </c>
      <c r="G67" s="16">
        <v>928258.08826269442</v>
      </c>
      <c r="H67" s="16">
        <v>6213397.79</v>
      </c>
      <c r="I67" s="16">
        <v>4862232.1399999997</v>
      </c>
      <c r="J67" s="16">
        <v>14413636.420000004</v>
      </c>
      <c r="K67" s="16">
        <v>0</v>
      </c>
      <c r="L67" s="16">
        <v>0</v>
      </c>
      <c r="M67" s="16">
        <v>382.94</v>
      </c>
      <c r="N67" s="18">
        <f t="shared" si="1"/>
        <v>163399277.90826264</v>
      </c>
      <c r="O67" s="4"/>
    </row>
    <row r="68" spans="1:15" ht="15" x14ac:dyDescent="0.2">
      <c r="A68" s="17" t="s">
        <v>63</v>
      </c>
      <c r="B68" s="16">
        <v>82864840.179999992</v>
      </c>
      <c r="C68" s="16">
        <v>0</v>
      </c>
      <c r="D68" s="16">
        <v>991303.7</v>
      </c>
      <c r="E68" s="16">
        <v>0</v>
      </c>
      <c r="F68" s="16">
        <v>1450773.08</v>
      </c>
      <c r="G68" s="16">
        <v>916257.07271495578</v>
      </c>
      <c r="H68" s="16">
        <v>3828759.89</v>
      </c>
      <c r="I68" s="16">
        <v>4287976.3099999996</v>
      </c>
      <c r="J68" s="16">
        <v>12529721.640000001</v>
      </c>
      <c r="K68" s="16">
        <v>0</v>
      </c>
      <c r="L68" s="16">
        <v>0</v>
      </c>
      <c r="M68" s="16">
        <v>337.71000000000004</v>
      </c>
      <c r="N68" s="18">
        <f t="shared" si="1"/>
        <v>106869969.58271495</v>
      </c>
      <c r="O68" s="4"/>
    </row>
    <row r="69" spans="1:15" ht="15" x14ac:dyDescent="0.2">
      <c r="A69" s="17" t="s">
        <v>64</v>
      </c>
      <c r="B69" s="16">
        <v>260254788.62</v>
      </c>
      <c r="C69" s="16">
        <v>0</v>
      </c>
      <c r="D69" s="16">
        <v>572963.80428300006</v>
      </c>
      <c r="E69" s="16">
        <v>0</v>
      </c>
      <c r="F69" s="16">
        <v>4281652.66</v>
      </c>
      <c r="G69" s="16">
        <v>848976.77334596077</v>
      </c>
      <c r="H69" s="16">
        <v>12025040.93</v>
      </c>
      <c r="I69" s="16">
        <v>12655063.300000001</v>
      </c>
      <c r="J69" s="16">
        <v>27424978.830000006</v>
      </c>
      <c r="K69" s="16">
        <v>0</v>
      </c>
      <c r="L69" s="16">
        <v>0</v>
      </c>
      <c r="M69" s="16">
        <v>996.69999999999993</v>
      </c>
      <c r="N69" s="18">
        <f t="shared" si="1"/>
        <v>318064461.61762893</v>
      </c>
      <c r="O69" s="4"/>
    </row>
    <row r="70" spans="1:15" ht="15" x14ac:dyDescent="0.2">
      <c r="A70" s="17" t="s">
        <v>65</v>
      </c>
      <c r="B70" s="16">
        <v>59121923.829999998</v>
      </c>
      <c r="C70" s="16">
        <v>0</v>
      </c>
      <c r="D70" s="16">
        <v>2432160.3802810004</v>
      </c>
      <c r="E70" s="16">
        <v>0</v>
      </c>
      <c r="F70" s="16">
        <v>950878.7</v>
      </c>
      <c r="G70" s="16">
        <v>402102.96</v>
      </c>
      <c r="H70" s="16">
        <v>2731721.32</v>
      </c>
      <c r="I70" s="16">
        <v>2810463.9</v>
      </c>
      <c r="J70" s="16">
        <v>12030662.429999996</v>
      </c>
      <c r="K70" s="16">
        <v>0</v>
      </c>
      <c r="L70" s="16">
        <v>0</v>
      </c>
      <c r="M70" s="16">
        <v>221.34</v>
      </c>
      <c r="N70" s="18">
        <f t="shared" si="1"/>
        <v>80480134.860281006</v>
      </c>
      <c r="O70" s="4"/>
    </row>
    <row r="71" spans="1:15" ht="15" x14ac:dyDescent="0.2">
      <c r="A71" s="17" t="s">
        <v>66</v>
      </c>
      <c r="B71" s="16">
        <v>195269310.06999999</v>
      </c>
      <c r="C71" s="16">
        <v>0</v>
      </c>
      <c r="D71" s="16">
        <v>470913.21</v>
      </c>
      <c r="E71" s="16">
        <v>0</v>
      </c>
      <c r="F71" s="16">
        <v>598726.39</v>
      </c>
      <c r="G71" s="16">
        <v>310273.21999999997</v>
      </c>
      <c r="H71" s="16">
        <v>9022394.7799999993</v>
      </c>
      <c r="I71" s="16">
        <v>1769625.19</v>
      </c>
      <c r="J71" s="16">
        <v>9640434.0099999998</v>
      </c>
      <c r="K71" s="16">
        <v>0</v>
      </c>
      <c r="L71" s="16">
        <v>0</v>
      </c>
      <c r="M71" s="16">
        <v>139.37</v>
      </c>
      <c r="N71" s="18">
        <f t="shared" si="1"/>
        <v>217081816.23999998</v>
      </c>
      <c r="O71" s="4"/>
    </row>
    <row r="72" spans="1:15" ht="15" x14ac:dyDescent="0.2">
      <c r="A72" s="17" t="s">
        <v>67</v>
      </c>
      <c r="B72" s="16">
        <v>1045632633.09</v>
      </c>
      <c r="C72" s="16">
        <v>0</v>
      </c>
      <c r="D72" s="16">
        <v>4131354.354237</v>
      </c>
      <c r="E72" s="16">
        <v>0</v>
      </c>
      <c r="F72" s="16">
        <v>17421252.190000001</v>
      </c>
      <c r="G72" s="16">
        <v>0</v>
      </c>
      <c r="H72" s="16">
        <v>48313328.939999998</v>
      </c>
      <c r="I72" s="16">
        <v>51491108.200000003</v>
      </c>
      <c r="J72" s="16">
        <v>144191610.63</v>
      </c>
      <c r="K72" s="16">
        <v>0</v>
      </c>
      <c r="L72" s="16">
        <v>0</v>
      </c>
      <c r="M72" s="16">
        <v>4055.42</v>
      </c>
      <c r="N72" s="18">
        <f t="shared" ref="N72:N103" si="2">SUM(B72:M72)</f>
        <v>1311185342.8242373</v>
      </c>
      <c r="O72" s="4"/>
    </row>
    <row r="73" spans="1:15" ht="15" x14ac:dyDescent="0.2">
      <c r="A73" s="17" t="s">
        <v>68</v>
      </c>
      <c r="B73" s="16">
        <v>415661029.25</v>
      </c>
      <c r="C73" s="16">
        <v>0</v>
      </c>
      <c r="D73" s="16">
        <v>8504495.6575839985</v>
      </c>
      <c r="E73" s="16">
        <v>0</v>
      </c>
      <c r="F73" s="16">
        <v>6466245.0499999998</v>
      </c>
      <c r="G73" s="16">
        <v>3571641.3066968606</v>
      </c>
      <c r="H73" s="16">
        <v>19205567.420000002</v>
      </c>
      <c r="I73" s="16">
        <v>19111952.059999999</v>
      </c>
      <c r="J73" s="16">
        <v>63070153.410000026</v>
      </c>
      <c r="K73" s="16">
        <v>0</v>
      </c>
      <c r="L73" s="16">
        <v>0</v>
      </c>
      <c r="M73" s="16">
        <v>1505.24</v>
      </c>
      <c r="N73" s="18">
        <f t="shared" si="2"/>
        <v>535592589.39428091</v>
      </c>
      <c r="O73" s="4"/>
    </row>
    <row r="74" spans="1:15" ht="15" x14ac:dyDescent="0.2">
      <c r="A74" s="17" t="s">
        <v>69</v>
      </c>
      <c r="B74" s="16">
        <v>257601043.06999999</v>
      </c>
      <c r="C74" s="16">
        <v>0</v>
      </c>
      <c r="D74" s="16">
        <v>2394719.6400000006</v>
      </c>
      <c r="E74" s="16">
        <v>0</v>
      </c>
      <c r="F74" s="16">
        <v>4694689.55</v>
      </c>
      <c r="G74" s="16">
        <v>6301906.8132388359</v>
      </c>
      <c r="H74" s="16">
        <v>11902424.939999999</v>
      </c>
      <c r="I74" s="16">
        <v>13875855.439999999</v>
      </c>
      <c r="J74" s="16">
        <v>34734039.839999989</v>
      </c>
      <c r="K74" s="16">
        <v>0</v>
      </c>
      <c r="L74" s="16">
        <v>0</v>
      </c>
      <c r="M74" s="16">
        <v>1092.8399999999999</v>
      </c>
      <c r="N74" s="18">
        <f t="shared" si="2"/>
        <v>331505772.13323879</v>
      </c>
      <c r="O74" s="4"/>
    </row>
    <row r="75" spans="1:15" ht="15" x14ac:dyDescent="0.2">
      <c r="A75" s="17" t="s">
        <v>70</v>
      </c>
      <c r="B75" s="16">
        <v>43422729.209999993</v>
      </c>
      <c r="C75" s="16">
        <v>0</v>
      </c>
      <c r="D75" s="16">
        <v>850186.86656500027</v>
      </c>
      <c r="E75" s="16">
        <v>0</v>
      </c>
      <c r="F75" s="16">
        <v>85339.59</v>
      </c>
      <c r="G75" s="16">
        <v>45219.19</v>
      </c>
      <c r="H75" s="16">
        <v>2006341.94</v>
      </c>
      <c r="I75" s="16">
        <v>252233.9</v>
      </c>
      <c r="J75" s="16">
        <v>4053579.0300000017</v>
      </c>
      <c r="K75" s="16">
        <v>0</v>
      </c>
      <c r="L75" s="16">
        <v>0</v>
      </c>
      <c r="M75" s="16">
        <v>19.849999999999998</v>
      </c>
      <c r="N75" s="18">
        <f t="shared" si="2"/>
        <v>50715649.576564997</v>
      </c>
      <c r="O75" s="4"/>
    </row>
    <row r="76" spans="1:15" ht="15" x14ac:dyDescent="0.2">
      <c r="A76" s="17" t="s">
        <v>71</v>
      </c>
      <c r="B76" s="16">
        <v>39231631.589999996</v>
      </c>
      <c r="C76" s="16">
        <v>0</v>
      </c>
      <c r="D76" s="16">
        <v>1187427.0379895004</v>
      </c>
      <c r="E76" s="16">
        <v>0</v>
      </c>
      <c r="F76" s="16">
        <v>153644.99</v>
      </c>
      <c r="G76" s="16">
        <v>106439.02</v>
      </c>
      <c r="H76" s="16">
        <v>1812692.78</v>
      </c>
      <c r="I76" s="16">
        <v>454120.72</v>
      </c>
      <c r="J76" s="16">
        <v>5849568.040000001</v>
      </c>
      <c r="K76" s="16">
        <v>0</v>
      </c>
      <c r="L76" s="16">
        <v>0</v>
      </c>
      <c r="M76" s="16">
        <v>35.75</v>
      </c>
      <c r="N76" s="18">
        <f t="shared" si="2"/>
        <v>48795559.927989498</v>
      </c>
      <c r="O76" s="4"/>
    </row>
    <row r="77" spans="1:15" ht="15" x14ac:dyDescent="0.2">
      <c r="A77" s="17" t="s">
        <v>72</v>
      </c>
      <c r="B77" s="16">
        <v>53255524.890000001</v>
      </c>
      <c r="C77" s="16">
        <v>0</v>
      </c>
      <c r="D77" s="16">
        <v>1596027.9920560005</v>
      </c>
      <c r="E77" s="16">
        <v>0</v>
      </c>
      <c r="F77" s="16">
        <v>180461.19</v>
      </c>
      <c r="G77" s="16">
        <v>75133.429999999993</v>
      </c>
      <c r="H77" s="16">
        <v>2460665.0699999998</v>
      </c>
      <c r="I77" s="16">
        <v>533379.99</v>
      </c>
      <c r="J77" s="16">
        <v>3672841.0199999986</v>
      </c>
      <c r="K77" s="16">
        <v>0</v>
      </c>
      <c r="L77" s="16">
        <v>0</v>
      </c>
      <c r="M77" s="16">
        <v>42</v>
      </c>
      <c r="N77" s="18">
        <f t="shared" si="2"/>
        <v>61774075.582055993</v>
      </c>
      <c r="O77" s="4"/>
    </row>
    <row r="78" spans="1:15" ht="15" x14ac:dyDescent="0.2">
      <c r="A78" s="17" t="s">
        <v>73</v>
      </c>
      <c r="B78" s="16">
        <v>20460577.199999999</v>
      </c>
      <c r="C78" s="16">
        <v>0</v>
      </c>
      <c r="D78" s="16">
        <v>427750.79729350004</v>
      </c>
      <c r="E78" s="16">
        <v>0</v>
      </c>
      <c r="F78" s="16">
        <v>64089.02</v>
      </c>
      <c r="G78" s="16">
        <v>25044.48</v>
      </c>
      <c r="H78" s="16">
        <v>945378.49</v>
      </c>
      <c r="I78" s="16">
        <v>189424.67</v>
      </c>
      <c r="J78" s="16">
        <v>1634611.6400000004</v>
      </c>
      <c r="K78" s="16">
        <v>0</v>
      </c>
      <c r="L78" s="16">
        <v>0</v>
      </c>
      <c r="M78" s="16">
        <v>14.91</v>
      </c>
      <c r="N78" s="18">
        <f t="shared" si="2"/>
        <v>23746891.207293499</v>
      </c>
      <c r="O78" s="4"/>
    </row>
    <row r="79" spans="1:15" ht="15" x14ac:dyDescent="0.2">
      <c r="A79" s="17" t="s">
        <v>74</v>
      </c>
      <c r="B79" s="16">
        <v>85157357.800000012</v>
      </c>
      <c r="C79" s="16">
        <v>0</v>
      </c>
      <c r="D79" s="16">
        <v>3289351.0942179998</v>
      </c>
      <c r="E79" s="16">
        <v>0</v>
      </c>
      <c r="F79" s="16">
        <v>322131.65999999997</v>
      </c>
      <c r="G79" s="16">
        <v>186442.2</v>
      </c>
      <c r="H79" s="16">
        <v>3934685.39</v>
      </c>
      <c r="I79" s="16">
        <v>952108.2</v>
      </c>
      <c r="J79" s="16">
        <v>8981183.2400000021</v>
      </c>
      <c r="K79" s="16">
        <v>0</v>
      </c>
      <c r="L79" s="16">
        <v>0</v>
      </c>
      <c r="M79" s="16">
        <v>74.98</v>
      </c>
      <c r="N79" s="18">
        <f t="shared" si="2"/>
        <v>102823334.56421803</v>
      </c>
      <c r="O79" s="4"/>
    </row>
    <row r="80" spans="1:15" ht="15" x14ac:dyDescent="0.2">
      <c r="A80" s="17" t="s">
        <v>75</v>
      </c>
      <c r="B80" s="16">
        <v>51984116.260000005</v>
      </c>
      <c r="C80" s="16">
        <v>0</v>
      </c>
      <c r="D80" s="16">
        <v>2341138.7954215002</v>
      </c>
      <c r="E80" s="16">
        <v>0</v>
      </c>
      <c r="F80" s="16">
        <v>104228.98</v>
      </c>
      <c r="G80" s="16">
        <v>77916.149999999994</v>
      </c>
      <c r="H80" s="16">
        <v>2401919.79</v>
      </c>
      <c r="I80" s="16">
        <v>308064.33</v>
      </c>
      <c r="J80" s="16">
        <v>5949352.0299999984</v>
      </c>
      <c r="K80" s="16">
        <v>0</v>
      </c>
      <c r="L80" s="16">
        <v>0</v>
      </c>
      <c r="M80" s="16">
        <v>24.26</v>
      </c>
      <c r="N80" s="18">
        <f t="shared" si="2"/>
        <v>63166760.595421501</v>
      </c>
      <c r="O80" s="4"/>
    </row>
    <row r="81" spans="1:15" ht="15" x14ac:dyDescent="0.2">
      <c r="A81" s="17" t="s">
        <v>76</v>
      </c>
      <c r="B81" s="16">
        <v>25157962.810000002</v>
      </c>
      <c r="C81" s="16">
        <v>0</v>
      </c>
      <c r="D81" s="16">
        <v>1517279.2294419999</v>
      </c>
      <c r="E81" s="16">
        <v>0</v>
      </c>
      <c r="F81" s="16">
        <v>270691.78999999998</v>
      </c>
      <c r="G81" s="16">
        <v>160702.04999999999</v>
      </c>
      <c r="H81" s="16">
        <v>1162420.6200000001</v>
      </c>
      <c r="I81" s="16">
        <v>800069.98</v>
      </c>
      <c r="J81" s="16">
        <v>6793243.2100000018</v>
      </c>
      <c r="K81" s="16">
        <v>0</v>
      </c>
      <c r="L81" s="16">
        <v>0</v>
      </c>
      <c r="M81" s="16">
        <v>63</v>
      </c>
      <c r="N81" s="18">
        <f t="shared" si="2"/>
        <v>35862432.689442009</v>
      </c>
      <c r="O81" s="4"/>
    </row>
    <row r="82" spans="1:15" ht="15" x14ac:dyDescent="0.2">
      <c r="A82" s="17" t="s">
        <v>77</v>
      </c>
      <c r="B82" s="16">
        <v>351085132.02000004</v>
      </c>
      <c r="C82" s="16">
        <v>0</v>
      </c>
      <c r="D82" s="16">
        <v>3053806.2199999997</v>
      </c>
      <c r="E82" s="16">
        <v>0</v>
      </c>
      <c r="F82" s="16">
        <v>7801489.2400000002</v>
      </c>
      <c r="G82" s="16">
        <v>6228272.4193958491</v>
      </c>
      <c r="H82" s="16">
        <v>16221845.93</v>
      </c>
      <c r="I82" s="16">
        <v>23058465.48</v>
      </c>
      <c r="J82" s="16">
        <v>56153723.440000027</v>
      </c>
      <c r="K82" s="16">
        <v>0</v>
      </c>
      <c r="L82" s="16">
        <v>0</v>
      </c>
      <c r="M82" s="16">
        <v>1816.07</v>
      </c>
      <c r="N82" s="18">
        <f t="shared" si="2"/>
        <v>463604550.81939596</v>
      </c>
      <c r="O82" s="4"/>
    </row>
    <row r="83" spans="1:15" ht="15" x14ac:dyDescent="0.2">
      <c r="A83" s="17" t="s">
        <v>78</v>
      </c>
      <c r="B83" s="16">
        <v>109243014.11</v>
      </c>
      <c r="C83" s="16">
        <v>0</v>
      </c>
      <c r="D83" s="16">
        <v>2823340.349041</v>
      </c>
      <c r="E83" s="16">
        <v>0</v>
      </c>
      <c r="F83" s="16">
        <v>863852.56</v>
      </c>
      <c r="G83" s="16">
        <v>473062.31</v>
      </c>
      <c r="H83" s="16">
        <v>5047560.21</v>
      </c>
      <c r="I83" s="16">
        <v>2553245.13</v>
      </c>
      <c r="J83" s="16">
        <v>12260625.839999996</v>
      </c>
      <c r="K83" s="16">
        <v>0</v>
      </c>
      <c r="L83" s="16">
        <v>0</v>
      </c>
      <c r="M83" s="16">
        <v>201.07999999999998</v>
      </c>
      <c r="N83" s="18">
        <f t="shared" si="2"/>
        <v>133264901.58904098</v>
      </c>
      <c r="O83" s="4"/>
    </row>
    <row r="84" spans="1:15" ht="15" x14ac:dyDescent="0.2">
      <c r="A84" s="17" t="s">
        <v>79</v>
      </c>
      <c r="B84" s="16">
        <v>40605435.57</v>
      </c>
      <c r="C84" s="16">
        <v>0</v>
      </c>
      <c r="D84" s="16">
        <v>929148.91187149996</v>
      </c>
      <c r="E84" s="16">
        <v>0</v>
      </c>
      <c r="F84" s="16">
        <v>173377.67</v>
      </c>
      <c r="G84" s="16">
        <v>42584.94303957044</v>
      </c>
      <c r="H84" s="16">
        <v>1876169.23</v>
      </c>
      <c r="I84" s="16">
        <v>512443.58</v>
      </c>
      <c r="J84" s="16">
        <v>4965045</v>
      </c>
      <c r="K84" s="16">
        <v>0</v>
      </c>
      <c r="L84" s="16">
        <v>0</v>
      </c>
      <c r="M84" s="16">
        <v>40.349999999999994</v>
      </c>
      <c r="N84" s="18">
        <f t="shared" si="2"/>
        <v>49104245.254911073</v>
      </c>
      <c r="O84" s="4"/>
    </row>
    <row r="85" spans="1:15" ht="15" x14ac:dyDescent="0.2">
      <c r="A85" s="17" t="s">
        <v>80</v>
      </c>
      <c r="B85" s="16">
        <v>39880135.340000004</v>
      </c>
      <c r="C85" s="16">
        <v>0</v>
      </c>
      <c r="D85" s="16">
        <v>765374.94525550026</v>
      </c>
      <c r="E85" s="16">
        <v>0</v>
      </c>
      <c r="F85" s="16">
        <v>81966.48</v>
      </c>
      <c r="G85" s="16">
        <v>45219.19</v>
      </c>
      <c r="H85" s="16">
        <v>1842656.82</v>
      </c>
      <c r="I85" s="16">
        <v>242264.18</v>
      </c>
      <c r="J85" s="16">
        <v>2905889.2199999997</v>
      </c>
      <c r="K85" s="16">
        <v>0</v>
      </c>
      <c r="L85" s="16">
        <v>0</v>
      </c>
      <c r="M85" s="16">
        <v>19.07</v>
      </c>
      <c r="N85" s="18">
        <f t="shared" si="2"/>
        <v>45763525.2452555</v>
      </c>
      <c r="O85" s="4"/>
    </row>
    <row r="86" spans="1:15" ht="15" x14ac:dyDescent="0.2">
      <c r="A86" s="17" t="s">
        <v>81</v>
      </c>
      <c r="B86" s="16">
        <v>476596203.73999995</v>
      </c>
      <c r="C86" s="16">
        <v>0</v>
      </c>
      <c r="D86" s="16">
        <v>1263952.5700000003</v>
      </c>
      <c r="E86" s="16">
        <v>0</v>
      </c>
      <c r="F86" s="16">
        <v>4894883.41</v>
      </c>
      <c r="G86" s="16">
        <v>1061263.2282053614</v>
      </c>
      <c r="H86" s="16">
        <v>22021069.77</v>
      </c>
      <c r="I86" s="16">
        <v>14467558.289999999</v>
      </c>
      <c r="J86" s="16">
        <v>25080875.620000005</v>
      </c>
      <c r="K86" s="16">
        <v>0</v>
      </c>
      <c r="L86" s="16">
        <v>0</v>
      </c>
      <c r="M86" s="16">
        <v>1139.45</v>
      </c>
      <c r="N86" s="18">
        <f t="shared" si="2"/>
        <v>545386946.07820535</v>
      </c>
      <c r="O86" s="4"/>
    </row>
    <row r="87" spans="1:15" ht="15" x14ac:dyDescent="0.2">
      <c r="A87" s="17" t="s">
        <v>82</v>
      </c>
      <c r="B87" s="16">
        <v>61411597.090000004</v>
      </c>
      <c r="C87" s="16">
        <v>0</v>
      </c>
      <c r="D87" s="16">
        <v>1253650.9348545005</v>
      </c>
      <c r="E87" s="16">
        <v>0</v>
      </c>
      <c r="F87" s="16">
        <v>138971.98000000001</v>
      </c>
      <c r="G87" s="16">
        <v>94612.46</v>
      </c>
      <c r="H87" s="16">
        <v>2837515.4</v>
      </c>
      <c r="I87" s="16">
        <v>410752.44</v>
      </c>
      <c r="J87" s="16">
        <v>5513124.2299999995</v>
      </c>
      <c r="K87" s="16">
        <v>0</v>
      </c>
      <c r="L87" s="16">
        <v>0</v>
      </c>
      <c r="M87" s="16">
        <v>32.339999999999996</v>
      </c>
      <c r="N87" s="18">
        <f t="shared" si="2"/>
        <v>71660256.874854505</v>
      </c>
      <c r="O87" s="4"/>
    </row>
    <row r="88" spans="1:15" ht="15" x14ac:dyDescent="0.2">
      <c r="A88" s="17" t="s">
        <v>83</v>
      </c>
      <c r="B88" s="16">
        <v>59589813.590000004</v>
      </c>
      <c r="C88" s="16">
        <v>0</v>
      </c>
      <c r="D88" s="16">
        <v>660526.99826650007</v>
      </c>
      <c r="E88" s="16">
        <v>0</v>
      </c>
      <c r="F88" s="16">
        <v>682042.12</v>
      </c>
      <c r="G88" s="16">
        <v>241400.91</v>
      </c>
      <c r="H88" s="16">
        <v>2753340.11</v>
      </c>
      <c r="I88" s="16">
        <v>2015877.26</v>
      </c>
      <c r="J88" s="16">
        <v>8165978.8100000033</v>
      </c>
      <c r="K88" s="16">
        <v>0</v>
      </c>
      <c r="L88" s="16">
        <v>0</v>
      </c>
      <c r="M88" s="16">
        <v>158.76</v>
      </c>
      <c r="N88" s="18">
        <f t="shared" si="2"/>
        <v>74109138.558266506</v>
      </c>
      <c r="O88" s="4"/>
    </row>
    <row r="89" spans="1:15" ht="15" x14ac:dyDescent="0.2">
      <c r="A89" s="17" t="s">
        <v>84</v>
      </c>
      <c r="B89" s="16">
        <v>91352275.069999993</v>
      </c>
      <c r="C89" s="16">
        <v>0</v>
      </c>
      <c r="D89" s="16">
        <v>1599131.5626185001</v>
      </c>
      <c r="E89" s="16">
        <v>0</v>
      </c>
      <c r="F89" s="16">
        <v>573596.75</v>
      </c>
      <c r="G89" s="16">
        <v>281750.34999999998</v>
      </c>
      <c r="H89" s="16">
        <v>4220920.79</v>
      </c>
      <c r="I89" s="16">
        <v>1695350.78</v>
      </c>
      <c r="J89" s="16">
        <v>8801007.2100000028</v>
      </c>
      <c r="K89" s="16">
        <v>0</v>
      </c>
      <c r="L89" s="16">
        <v>0</v>
      </c>
      <c r="M89" s="16">
        <v>133.51000000000002</v>
      </c>
      <c r="N89" s="18">
        <f t="shared" si="2"/>
        <v>108524166.0226185</v>
      </c>
      <c r="O89" s="4"/>
    </row>
    <row r="90" spans="1:15" ht="15" x14ac:dyDescent="0.2">
      <c r="A90" s="17" t="s">
        <v>85</v>
      </c>
      <c r="B90" s="16">
        <v>491590008.35000002</v>
      </c>
      <c r="C90" s="16">
        <v>0</v>
      </c>
      <c r="D90" s="16">
        <v>1348578.1537205002</v>
      </c>
      <c r="E90" s="16">
        <v>0</v>
      </c>
      <c r="F90" s="16">
        <v>7780744.6299999999</v>
      </c>
      <c r="G90" s="16">
        <v>2418899.4402528759</v>
      </c>
      <c r="H90" s="16">
        <v>22713856.690000001</v>
      </c>
      <c r="I90" s="16">
        <v>22997151.710000001</v>
      </c>
      <c r="J90" s="16">
        <v>52070324.230000012</v>
      </c>
      <c r="K90" s="16">
        <v>0</v>
      </c>
      <c r="L90" s="16">
        <v>0</v>
      </c>
      <c r="M90" s="16">
        <v>1811.24</v>
      </c>
      <c r="N90" s="18">
        <f t="shared" si="2"/>
        <v>600921374.44397342</v>
      </c>
      <c r="O90" s="4"/>
    </row>
    <row r="91" spans="1:15" ht="15" x14ac:dyDescent="0.2">
      <c r="A91" s="17" t="s">
        <v>86</v>
      </c>
      <c r="B91" s="16">
        <v>17896427.560000002</v>
      </c>
      <c r="C91" s="16">
        <v>0</v>
      </c>
      <c r="D91" s="16">
        <v>1409627.2828675001</v>
      </c>
      <c r="E91" s="16">
        <v>0</v>
      </c>
      <c r="F91" s="16">
        <v>180629.85</v>
      </c>
      <c r="G91" s="16">
        <v>93916.78</v>
      </c>
      <c r="H91" s="16">
        <v>826902.27</v>
      </c>
      <c r="I91" s="16">
        <v>533878.47</v>
      </c>
      <c r="J91" s="16">
        <v>3742055.02</v>
      </c>
      <c r="K91" s="16">
        <v>0</v>
      </c>
      <c r="L91" s="16">
        <v>0</v>
      </c>
      <c r="M91" s="16">
        <v>42.04</v>
      </c>
      <c r="N91" s="18">
        <f t="shared" si="2"/>
        <v>24683479.272867501</v>
      </c>
      <c r="O91" s="4"/>
    </row>
    <row r="92" spans="1:15" ht="15" x14ac:dyDescent="0.2">
      <c r="A92" s="17" t="s">
        <v>87</v>
      </c>
      <c r="B92" s="16">
        <v>26892994.759999998</v>
      </c>
      <c r="C92" s="16">
        <v>0</v>
      </c>
      <c r="D92" s="16">
        <v>55938.840000000004</v>
      </c>
      <c r="E92" s="16">
        <v>0</v>
      </c>
      <c r="F92" s="16">
        <v>38622.06</v>
      </c>
      <c r="G92" s="16">
        <v>29218.55</v>
      </c>
      <c r="H92" s="16">
        <v>1242587.56</v>
      </c>
      <c r="I92" s="16">
        <v>114153.29</v>
      </c>
      <c r="J92" s="16">
        <v>1619108.7999999993</v>
      </c>
      <c r="K92" s="16">
        <v>0</v>
      </c>
      <c r="L92" s="16">
        <v>0</v>
      </c>
      <c r="M92" s="16">
        <v>8.98</v>
      </c>
      <c r="N92" s="18">
        <f t="shared" si="2"/>
        <v>29992632.839999996</v>
      </c>
      <c r="O92" s="4"/>
    </row>
    <row r="93" spans="1:15" ht="15" x14ac:dyDescent="0.2">
      <c r="A93" s="17" t="s">
        <v>88</v>
      </c>
      <c r="B93" s="16">
        <v>258098798.12</v>
      </c>
      <c r="C93" s="16">
        <v>0</v>
      </c>
      <c r="D93" s="16">
        <v>1271940.4802949999</v>
      </c>
      <c r="E93" s="16">
        <v>0</v>
      </c>
      <c r="F93" s="16">
        <v>6306022.5</v>
      </c>
      <c r="G93" s="16">
        <v>1267789.6628424646</v>
      </c>
      <c r="H93" s="16">
        <v>11925423.65</v>
      </c>
      <c r="I93" s="16">
        <v>18638390.390000001</v>
      </c>
      <c r="J93" s="16">
        <v>49518509.24000001</v>
      </c>
      <c r="K93" s="16">
        <v>0</v>
      </c>
      <c r="L93" s="16">
        <v>0</v>
      </c>
      <c r="M93" s="16">
        <v>1467.94</v>
      </c>
      <c r="N93" s="18">
        <f t="shared" si="2"/>
        <v>347028341.98313743</v>
      </c>
      <c r="O93" s="4"/>
    </row>
    <row r="94" spans="1:15" ht="15" x14ac:dyDescent="0.2">
      <c r="A94" s="17" t="s">
        <v>89</v>
      </c>
      <c r="B94" s="16">
        <v>179534561.51999998</v>
      </c>
      <c r="C94" s="16">
        <v>0</v>
      </c>
      <c r="D94" s="16">
        <v>2472565.7000000002</v>
      </c>
      <c r="E94" s="16">
        <v>0</v>
      </c>
      <c r="F94" s="16">
        <v>2851455.53</v>
      </c>
      <c r="G94" s="16">
        <v>1613902.8302800236</v>
      </c>
      <c r="H94" s="16">
        <v>8295372.6399999997</v>
      </c>
      <c r="I94" s="16">
        <v>8427902.2799999993</v>
      </c>
      <c r="J94" s="16">
        <v>26459575.22000001</v>
      </c>
      <c r="K94" s="16">
        <v>0</v>
      </c>
      <c r="L94" s="16">
        <v>0</v>
      </c>
      <c r="M94" s="16">
        <v>663.77</v>
      </c>
      <c r="N94" s="18">
        <f t="shared" si="2"/>
        <v>229655999.49028</v>
      </c>
      <c r="O94" s="4"/>
    </row>
    <row r="95" spans="1:15" ht="15" x14ac:dyDescent="0.2">
      <c r="A95" s="17" t="s">
        <v>90</v>
      </c>
      <c r="B95" s="16">
        <v>31347191.469999999</v>
      </c>
      <c r="C95" s="16">
        <v>0</v>
      </c>
      <c r="D95" s="16">
        <v>799098.33061750012</v>
      </c>
      <c r="E95" s="16">
        <v>0</v>
      </c>
      <c r="F95" s="16">
        <v>139815.26</v>
      </c>
      <c r="G95" s="16">
        <v>75829.11</v>
      </c>
      <c r="H95" s="16">
        <v>1448393.18</v>
      </c>
      <c r="I95" s="16">
        <v>413244.87</v>
      </c>
      <c r="J95" s="16">
        <v>3897712.4200000013</v>
      </c>
      <c r="K95" s="16">
        <v>0</v>
      </c>
      <c r="L95" s="16">
        <v>0</v>
      </c>
      <c r="M95" s="16">
        <v>32.53</v>
      </c>
      <c r="N95" s="18">
        <f t="shared" si="2"/>
        <v>38121317.170617498</v>
      </c>
      <c r="O95" s="4"/>
    </row>
    <row r="96" spans="1:15" ht="15" x14ac:dyDescent="0.2">
      <c r="A96" s="17" t="s">
        <v>91</v>
      </c>
      <c r="B96" s="16">
        <v>112681790.47</v>
      </c>
      <c r="C96" s="16">
        <v>0</v>
      </c>
      <c r="D96" s="16">
        <v>2601235.5714150006</v>
      </c>
      <c r="E96" s="16">
        <v>0</v>
      </c>
      <c r="F96" s="16">
        <v>783572.62</v>
      </c>
      <c r="G96" s="16">
        <v>413929.52</v>
      </c>
      <c r="H96" s="16">
        <v>5206448.46</v>
      </c>
      <c r="I96" s="16">
        <v>2315965.81</v>
      </c>
      <c r="J96" s="16">
        <v>13964957.419999994</v>
      </c>
      <c r="K96" s="16">
        <v>0</v>
      </c>
      <c r="L96" s="16">
        <v>0</v>
      </c>
      <c r="M96" s="16">
        <v>182.39000000000001</v>
      </c>
      <c r="N96" s="18">
        <f t="shared" si="2"/>
        <v>137968082.26141497</v>
      </c>
      <c r="O96" s="4"/>
    </row>
    <row r="97" spans="1:15" ht="15" x14ac:dyDescent="0.2">
      <c r="A97" s="17" t="s">
        <v>92</v>
      </c>
      <c r="B97" s="16">
        <v>52773413.57</v>
      </c>
      <c r="C97" s="16">
        <v>0</v>
      </c>
      <c r="D97" s="16">
        <v>3333536.5040380005</v>
      </c>
      <c r="E97" s="16">
        <v>0</v>
      </c>
      <c r="F97" s="16">
        <v>361765.66</v>
      </c>
      <c r="G97" s="16">
        <v>212182.36</v>
      </c>
      <c r="H97" s="16">
        <v>2438389.17</v>
      </c>
      <c r="I97" s="16">
        <v>1069252.3999999999</v>
      </c>
      <c r="J97" s="16">
        <v>9324707.2300000004</v>
      </c>
      <c r="K97" s="16">
        <v>0</v>
      </c>
      <c r="L97" s="16">
        <v>0</v>
      </c>
      <c r="M97" s="16">
        <v>84.21</v>
      </c>
      <c r="N97" s="18">
        <f t="shared" si="2"/>
        <v>69513331.104037985</v>
      </c>
      <c r="O97" s="4"/>
    </row>
    <row r="98" spans="1:15" ht="15" x14ac:dyDescent="0.2">
      <c r="A98" s="17" t="s">
        <v>93</v>
      </c>
      <c r="B98" s="16">
        <v>146896051.16</v>
      </c>
      <c r="C98" s="16">
        <v>0</v>
      </c>
      <c r="D98" s="16">
        <v>2863204.6639320003</v>
      </c>
      <c r="E98" s="16">
        <v>0</v>
      </c>
      <c r="F98" s="16">
        <v>841252.74</v>
      </c>
      <c r="G98" s="16">
        <v>497411.11</v>
      </c>
      <c r="H98" s="16">
        <v>6787314.2199999997</v>
      </c>
      <c r="I98" s="16">
        <v>2486448.0099999998</v>
      </c>
      <c r="J98" s="16">
        <v>17989152.419999994</v>
      </c>
      <c r="K98" s="16">
        <v>0</v>
      </c>
      <c r="L98" s="16">
        <v>0</v>
      </c>
      <c r="M98" s="16">
        <v>195.82</v>
      </c>
      <c r="N98" s="18">
        <f t="shared" si="2"/>
        <v>178361030.14393198</v>
      </c>
      <c r="O98" s="4"/>
    </row>
    <row r="99" spans="1:15" ht="15" x14ac:dyDescent="0.2">
      <c r="A99" s="17" t="s">
        <v>94</v>
      </c>
      <c r="B99" s="16">
        <v>100523767.58999999</v>
      </c>
      <c r="C99" s="16">
        <v>0</v>
      </c>
      <c r="D99" s="16">
        <v>1598013.1489900006</v>
      </c>
      <c r="E99" s="16">
        <v>0</v>
      </c>
      <c r="F99" s="16">
        <v>311843.69</v>
      </c>
      <c r="G99" s="16">
        <v>134266.21</v>
      </c>
      <c r="H99" s="16">
        <v>4644688.49</v>
      </c>
      <c r="I99" s="16">
        <v>921700.56</v>
      </c>
      <c r="J99" s="16">
        <v>11749429.400000002</v>
      </c>
      <c r="K99" s="16">
        <v>0</v>
      </c>
      <c r="L99" s="16">
        <v>0</v>
      </c>
      <c r="M99" s="16">
        <v>72.58</v>
      </c>
      <c r="N99" s="18">
        <f t="shared" si="2"/>
        <v>119883781.66898999</v>
      </c>
      <c r="O99" s="4"/>
    </row>
    <row r="100" spans="1:15" ht="15" x14ac:dyDescent="0.2">
      <c r="A100" s="17" t="s">
        <v>95</v>
      </c>
      <c r="B100" s="16">
        <v>95529151.099999994</v>
      </c>
      <c r="C100" s="16">
        <v>0</v>
      </c>
      <c r="D100" s="16">
        <v>2573501.8272425001</v>
      </c>
      <c r="E100" s="16">
        <v>0</v>
      </c>
      <c r="F100" s="16">
        <v>350128.44</v>
      </c>
      <c r="G100" s="16">
        <v>177398.37</v>
      </c>
      <c r="H100" s="16">
        <v>4413912.84</v>
      </c>
      <c r="I100" s="16">
        <v>1034856.87</v>
      </c>
      <c r="J100" s="16">
        <v>9414097.8099999987</v>
      </c>
      <c r="K100" s="16">
        <v>0</v>
      </c>
      <c r="L100" s="16">
        <v>0</v>
      </c>
      <c r="M100" s="16">
        <v>81.489999999999995</v>
      </c>
      <c r="N100" s="18">
        <f t="shared" si="2"/>
        <v>113493128.7472425</v>
      </c>
      <c r="O100" s="4"/>
    </row>
    <row r="101" spans="1:15" ht="15" x14ac:dyDescent="0.2">
      <c r="A101" s="17" t="s">
        <v>96</v>
      </c>
      <c r="B101" s="16">
        <v>19307207.609999999</v>
      </c>
      <c r="C101" s="16">
        <v>0</v>
      </c>
      <c r="D101" s="16">
        <v>577502.13242500008</v>
      </c>
      <c r="E101" s="16">
        <v>0</v>
      </c>
      <c r="F101" s="16">
        <v>41826.51</v>
      </c>
      <c r="G101" s="16">
        <v>26435.84</v>
      </c>
      <c r="H101" s="16">
        <v>892087.19</v>
      </c>
      <c r="I101" s="16">
        <v>123624.52</v>
      </c>
      <c r="J101" s="16">
        <v>1982948.7999999993</v>
      </c>
      <c r="K101" s="16">
        <v>0</v>
      </c>
      <c r="L101" s="16">
        <v>0</v>
      </c>
      <c r="M101" s="16">
        <v>9.7200000000000006</v>
      </c>
      <c r="N101" s="18">
        <f t="shared" si="2"/>
        <v>22951642.322425</v>
      </c>
      <c r="O101" s="4"/>
    </row>
    <row r="102" spans="1:15" ht="15" x14ac:dyDescent="0.2">
      <c r="A102" s="17" t="s">
        <v>97</v>
      </c>
      <c r="B102" s="16">
        <v>63792288.439999998</v>
      </c>
      <c r="C102" s="16">
        <v>0</v>
      </c>
      <c r="D102" s="16">
        <v>4011417.4058364998</v>
      </c>
      <c r="E102" s="16">
        <v>0</v>
      </c>
      <c r="F102" s="16">
        <v>809882.85</v>
      </c>
      <c r="G102" s="16">
        <v>465409.83</v>
      </c>
      <c r="H102" s="16">
        <v>2947514.95</v>
      </c>
      <c r="I102" s="16">
        <v>2393729.62</v>
      </c>
      <c r="J102" s="16">
        <v>13343932.229999997</v>
      </c>
      <c r="K102" s="16">
        <v>0</v>
      </c>
      <c r="L102" s="16">
        <v>0</v>
      </c>
      <c r="M102" s="16">
        <v>188.51999999999998</v>
      </c>
      <c r="N102" s="18">
        <f t="shared" si="2"/>
        <v>87764363.845836475</v>
      </c>
      <c r="O102" s="4"/>
    </row>
    <row r="103" spans="1:15" ht="15" x14ac:dyDescent="0.2">
      <c r="A103" s="17" t="s">
        <v>98</v>
      </c>
      <c r="B103" s="16">
        <v>22108857.539999999</v>
      </c>
      <c r="C103" s="16">
        <v>0</v>
      </c>
      <c r="D103" s="16">
        <v>874197.61911900016</v>
      </c>
      <c r="E103" s="16">
        <v>0</v>
      </c>
      <c r="F103" s="16">
        <v>20069.98</v>
      </c>
      <c r="G103" s="16">
        <v>16000.64</v>
      </c>
      <c r="H103" s="16">
        <v>1021537.08</v>
      </c>
      <c r="I103" s="16">
        <v>59319.83</v>
      </c>
      <c r="J103" s="16">
        <v>2789189.8100000005</v>
      </c>
      <c r="K103" s="16">
        <v>0</v>
      </c>
      <c r="L103" s="16">
        <v>0</v>
      </c>
      <c r="M103" s="16">
        <v>4.6599999999999993</v>
      </c>
      <c r="N103" s="18">
        <f t="shared" si="2"/>
        <v>26889177.159118999</v>
      </c>
      <c r="O103" s="4"/>
    </row>
    <row r="104" spans="1:15" ht="15" x14ac:dyDescent="0.2">
      <c r="A104" s="17" t="s">
        <v>99</v>
      </c>
      <c r="B104" s="16">
        <v>295062088.92000002</v>
      </c>
      <c r="C104" s="16">
        <v>0</v>
      </c>
      <c r="D104" s="16">
        <v>2759014.3492254997</v>
      </c>
      <c r="E104" s="16">
        <v>0</v>
      </c>
      <c r="F104" s="16">
        <v>4112997.34</v>
      </c>
      <c r="G104" s="16">
        <v>911368.55667197052</v>
      </c>
      <c r="H104" s="16">
        <v>13633308.02</v>
      </c>
      <c r="I104" s="16">
        <v>12156577.33</v>
      </c>
      <c r="J104" s="16">
        <v>31140876.010000009</v>
      </c>
      <c r="K104" s="16">
        <v>0</v>
      </c>
      <c r="L104" s="16">
        <v>0</v>
      </c>
      <c r="M104" s="16">
        <v>957.43000000000006</v>
      </c>
      <c r="N104" s="18">
        <f t="shared" ref="N104:N135" si="3">SUM(B104:M104)</f>
        <v>359777187.95589745</v>
      </c>
      <c r="O104" s="4"/>
    </row>
    <row r="105" spans="1:15" ht="15" x14ac:dyDescent="0.2">
      <c r="A105" s="17" t="s">
        <v>100</v>
      </c>
      <c r="B105" s="16">
        <v>49809637.720000006</v>
      </c>
      <c r="C105" s="16">
        <v>0</v>
      </c>
      <c r="D105" s="16">
        <v>441358.93000000005</v>
      </c>
      <c r="E105" s="16">
        <v>0</v>
      </c>
      <c r="F105" s="16">
        <v>177256.74</v>
      </c>
      <c r="G105" s="16">
        <v>114787.18</v>
      </c>
      <c r="H105" s="16">
        <v>2301448.27</v>
      </c>
      <c r="I105" s="16">
        <v>523908.75</v>
      </c>
      <c r="J105" s="16">
        <v>4016992.8100000019</v>
      </c>
      <c r="K105" s="16">
        <v>0</v>
      </c>
      <c r="L105" s="16">
        <v>0</v>
      </c>
      <c r="M105" s="16">
        <v>41.260000000000005</v>
      </c>
      <c r="N105" s="18">
        <f t="shared" si="3"/>
        <v>57385431.660000011</v>
      </c>
      <c r="O105" s="4"/>
    </row>
    <row r="106" spans="1:15" ht="15" x14ac:dyDescent="0.2">
      <c r="A106" s="17" t="s">
        <v>101</v>
      </c>
      <c r="B106" s="16">
        <v>56904780.569999993</v>
      </c>
      <c r="C106" s="16">
        <v>0</v>
      </c>
      <c r="D106" s="16">
        <v>222309.52999999997</v>
      </c>
      <c r="E106" s="16">
        <v>0</v>
      </c>
      <c r="F106" s="16">
        <v>1255976.18</v>
      </c>
      <c r="G106" s="16">
        <v>383263.90189648885</v>
      </c>
      <c r="H106" s="16">
        <v>2629278.4900000002</v>
      </c>
      <c r="I106" s="16">
        <v>3712225.01</v>
      </c>
      <c r="J106" s="16">
        <v>10714218.819999995</v>
      </c>
      <c r="K106" s="16">
        <v>0</v>
      </c>
      <c r="L106" s="16">
        <v>0</v>
      </c>
      <c r="M106" s="16">
        <v>292.36</v>
      </c>
      <c r="N106" s="18">
        <f t="shared" si="3"/>
        <v>75822344.861896485</v>
      </c>
      <c r="O106" s="4"/>
    </row>
    <row r="107" spans="1:15" ht="15" x14ac:dyDescent="0.2">
      <c r="A107" s="17" t="s">
        <v>102</v>
      </c>
      <c r="B107" s="16">
        <v>77749340.330000013</v>
      </c>
      <c r="C107" s="16">
        <v>0</v>
      </c>
      <c r="D107" s="16">
        <v>1066396.8291880004</v>
      </c>
      <c r="E107" s="16">
        <v>0</v>
      </c>
      <c r="F107" s="16">
        <v>69823.3</v>
      </c>
      <c r="G107" s="16">
        <v>70263.67</v>
      </c>
      <c r="H107" s="16">
        <v>3592398.84</v>
      </c>
      <c r="I107" s="16">
        <v>206373.19</v>
      </c>
      <c r="J107" s="16">
        <v>5223782.21</v>
      </c>
      <c r="K107" s="16">
        <v>0</v>
      </c>
      <c r="L107" s="16">
        <v>0</v>
      </c>
      <c r="M107" s="16">
        <v>16.239999999999998</v>
      </c>
      <c r="N107" s="18">
        <f t="shared" si="3"/>
        <v>87978394.609188005</v>
      </c>
      <c r="O107" s="4"/>
    </row>
    <row r="108" spans="1:15" ht="15" x14ac:dyDescent="0.2">
      <c r="A108" s="17" t="s">
        <v>103</v>
      </c>
      <c r="B108" s="16">
        <v>27018144.57</v>
      </c>
      <c r="C108" s="16">
        <v>0</v>
      </c>
      <c r="D108" s="16">
        <v>587791.39943750005</v>
      </c>
      <c r="E108" s="16">
        <v>0</v>
      </c>
      <c r="F108" s="16">
        <v>70835.23</v>
      </c>
      <c r="G108" s="16">
        <v>43827.83</v>
      </c>
      <c r="H108" s="16">
        <v>1248370.1000000001</v>
      </c>
      <c r="I108" s="16">
        <v>209364.11</v>
      </c>
      <c r="J108" s="16">
        <v>2651145.4300000002</v>
      </c>
      <c r="K108" s="16">
        <v>0</v>
      </c>
      <c r="L108" s="16">
        <v>0</v>
      </c>
      <c r="M108" s="16">
        <v>16.48</v>
      </c>
      <c r="N108" s="18">
        <f t="shared" si="3"/>
        <v>31829495.149437498</v>
      </c>
      <c r="O108" s="4"/>
    </row>
    <row r="109" spans="1:15" ht="15" x14ac:dyDescent="0.2">
      <c r="A109" s="17" t="s">
        <v>104</v>
      </c>
      <c r="B109" s="16">
        <v>297117106.24000001</v>
      </c>
      <c r="C109" s="16">
        <v>0</v>
      </c>
      <c r="D109" s="16">
        <v>2887049.3362239995</v>
      </c>
      <c r="E109" s="16">
        <v>0</v>
      </c>
      <c r="F109" s="16">
        <v>7232277.5300000003</v>
      </c>
      <c r="G109" s="16">
        <v>4042483.6103914925</v>
      </c>
      <c r="H109" s="16">
        <v>13728259.84</v>
      </c>
      <c r="I109" s="16">
        <v>21376075.34</v>
      </c>
      <c r="J109" s="16">
        <v>49328393.199999988</v>
      </c>
      <c r="K109" s="16">
        <v>0</v>
      </c>
      <c r="L109" s="16">
        <v>0</v>
      </c>
      <c r="M109" s="16">
        <v>1683.56</v>
      </c>
      <c r="N109" s="18">
        <f t="shared" si="3"/>
        <v>395713328.65661544</v>
      </c>
      <c r="O109" s="4"/>
    </row>
    <row r="110" spans="1:15" ht="15" x14ac:dyDescent="0.2">
      <c r="A110" s="17" t="s">
        <v>105</v>
      </c>
      <c r="B110" s="16">
        <v>34666506.620000005</v>
      </c>
      <c r="C110" s="16">
        <v>0</v>
      </c>
      <c r="D110" s="16">
        <v>1104479.0756385</v>
      </c>
      <c r="E110" s="16">
        <v>0</v>
      </c>
      <c r="F110" s="16">
        <v>276426.07</v>
      </c>
      <c r="G110" s="16">
        <v>146788.45000000001</v>
      </c>
      <c r="H110" s="16">
        <v>1601761.74</v>
      </c>
      <c r="I110" s="16">
        <v>817018.5</v>
      </c>
      <c r="J110" s="16">
        <v>5813382.8399999989</v>
      </c>
      <c r="K110" s="16">
        <v>0</v>
      </c>
      <c r="L110" s="16">
        <v>0</v>
      </c>
      <c r="M110" s="16">
        <v>64.34</v>
      </c>
      <c r="N110" s="18">
        <f t="shared" si="3"/>
        <v>44426427.635638513</v>
      </c>
      <c r="O110" s="4"/>
    </row>
    <row r="111" spans="1:15" ht="15" x14ac:dyDescent="0.2">
      <c r="A111" s="17" t="s">
        <v>106</v>
      </c>
      <c r="B111" s="16">
        <v>42344733.959999993</v>
      </c>
      <c r="C111" s="16">
        <v>0</v>
      </c>
      <c r="D111" s="16">
        <v>1134244.1311430002</v>
      </c>
      <c r="E111" s="16">
        <v>0</v>
      </c>
      <c r="F111" s="16">
        <v>96302.18</v>
      </c>
      <c r="G111" s="16">
        <v>67480.95</v>
      </c>
      <c r="H111" s="16">
        <v>1956533.3</v>
      </c>
      <c r="I111" s="16">
        <v>284635.49</v>
      </c>
      <c r="J111" s="16">
        <v>4609488.2400000012</v>
      </c>
      <c r="K111" s="16">
        <v>0</v>
      </c>
      <c r="L111" s="16">
        <v>0</v>
      </c>
      <c r="M111" s="16">
        <v>22.41</v>
      </c>
      <c r="N111" s="18">
        <f t="shared" si="3"/>
        <v>50493440.661142997</v>
      </c>
      <c r="O111" s="4"/>
    </row>
    <row r="112" spans="1:15" ht="15" x14ac:dyDescent="0.2">
      <c r="A112" s="17" t="s">
        <v>107</v>
      </c>
      <c r="B112" s="16">
        <v>56695723.430000007</v>
      </c>
      <c r="C112" s="16">
        <v>0</v>
      </c>
      <c r="D112" s="16">
        <v>1637177.6059010003</v>
      </c>
      <c r="E112" s="16">
        <v>0</v>
      </c>
      <c r="F112" s="16">
        <v>117046.79</v>
      </c>
      <c r="G112" s="16">
        <v>76524.789999999994</v>
      </c>
      <c r="H112" s="16">
        <v>2619619.0299999998</v>
      </c>
      <c r="I112" s="16">
        <v>345949.26</v>
      </c>
      <c r="J112" s="16">
        <v>4823338.4299999988</v>
      </c>
      <c r="K112" s="16">
        <v>0</v>
      </c>
      <c r="L112" s="16">
        <v>0</v>
      </c>
      <c r="M112" s="16">
        <v>27.229999999999997</v>
      </c>
      <c r="N112" s="18">
        <f t="shared" si="3"/>
        <v>66315406.565901004</v>
      </c>
      <c r="O112" s="4"/>
    </row>
    <row r="113" spans="1:15" ht="15" x14ac:dyDescent="0.2">
      <c r="A113" s="17" t="s">
        <v>108</v>
      </c>
      <c r="B113" s="16">
        <v>45346908.049999997</v>
      </c>
      <c r="C113" s="16">
        <v>0</v>
      </c>
      <c r="D113" s="16">
        <v>1892488.9052095001</v>
      </c>
      <c r="E113" s="16">
        <v>0</v>
      </c>
      <c r="F113" s="16">
        <v>164944.9</v>
      </c>
      <c r="G113" s="16">
        <v>104351.98</v>
      </c>
      <c r="H113" s="16">
        <v>2095248.39</v>
      </c>
      <c r="I113" s="16">
        <v>487519.28</v>
      </c>
      <c r="J113" s="16">
        <v>4786194.2</v>
      </c>
      <c r="K113" s="16">
        <v>0</v>
      </c>
      <c r="L113" s="16">
        <v>0</v>
      </c>
      <c r="M113" s="16">
        <v>38.39</v>
      </c>
      <c r="N113" s="18">
        <f t="shared" si="3"/>
        <v>54877694.095209494</v>
      </c>
      <c r="O113" s="4"/>
    </row>
    <row r="114" spans="1:15" ht="15" x14ac:dyDescent="0.2">
      <c r="A114" s="17" t="s">
        <v>109</v>
      </c>
      <c r="B114" s="16">
        <v>30425633.5</v>
      </c>
      <c r="C114" s="16">
        <v>0</v>
      </c>
      <c r="D114" s="16">
        <v>783158.16740400018</v>
      </c>
      <c r="E114" s="16">
        <v>0</v>
      </c>
      <c r="F114" s="16">
        <v>99843.95</v>
      </c>
      <c r="G114" s="16">
        <v>55654.39</v>
      </c>
      <c r="H114" s="16">
        <v>1405812.71</v>
      </c>
      <c r="I114" s="16">
        <v>295103.69</v>
      </c>
      <c r="J114" s="16">
        <v>3624727.8100000019</v>
      </c>
      <c r="K114" s="16">
        <v>0</v>
      </c>
      <c r="L114" s="16">
        <v>0</v>
      </c>
      <c r="M114" s="16">
        <v>23.23</v>
      </c>
      <c r="N114" s="18">
        <f t="shared" si="3"/>
        <v>36689957.447403997</v>
      </c>
      <c r="O114" s="4"/>
    </row>
    <row r="115" spans="1:15" ht="15" x14ac:dyDescent="0.2">
      <c r="A115" s="17" t="s">
        <v>110</v>
      </c>
      <c r="B115" s="16">
        <v>81519479.409999996</v>
      </c>
      <c r="C115" s="16">
        <v>0</v>
      </c>
      <c r="D115" s="16">
        <v>1083541.8458090001</v>
      </c>
      <c r="E115" s="16">
        <v>0</v>
      </c>
      <c r="F115" s="16">
        <v>103385.71</v>
      </c>
      <c r="G115" s="16">
        <v>92525.42</v>
      </c>
      <c r="H115" s="16">
        <v>3766597.66</v>
      </c>
      <c r="I115" s="16">
        <v>305571.90000000002</v>
      </c>
      <c r="J115" s="16">
        <v>4803824.620000001</v>
      </c>
      <c r="K115" s="16">
        <v>0</v>
      </c>
      <c r="L115" s="16">
        <v>0</v>
      </c>
      <c r="M115" s="16">
        <v>24.060000000000002</v>
      </c>
      <c r="N115" s="18">
        <f t="shared" si="3"/>
        <v>91674950.625808999</v>
      </c>
      <c r="O115" s="4"/>
    </row>
    <row r="116" spans="1:15" ht="15" x14ac:dyDescent="0.2">
      <c r="A116" s="17" t="s">
        <v>111</v>
      </c>
      <c r="B116" s="16">
        <v>42956261.619999997</v>
      </c>
      <c r="C116" s="16">
        <v>0</v>
      </c>
      <c r="D116" s="16">
        <v>1597990.6793035001</v>
      </c>
      <c r="E116" s="16">
        <v>0</v>
      </c>
      <c r="F116" s="16">
        <v>285364.8</v>
      </c>
      <c r="G116" s="16">
        <v>142614.37</v>
      </c>
      <c r="H116" s="16">
        <v>1984788.86</v>
      </c>
      <c r="I116" s="16">
        <v>843438.26</v>
      </c>
      <c r="J116" s="16">
        <v>6498460.2299999977</v>
      </c>
      <c r="K116" s="16">
        <v>0</v>
      </c>
      <c r="L116" s="16">
        <v>0</v>
      </c>
      <c r="M116" s="16">
        <v>66.42</v>
      </c>
      <c r="N116" s="18">
        <f t="shared" si="3"/>
        <v>54308985.239303485</v>
      </c>
      <c r="O116" s="4"/>
    </row>
    <row r="117" spans="1:15" ht="15" x14ac:dyDescent="0.2">
      <c r="A117" s="17" t="s">
        <v>112</v>
      </c>
      <c r="B117" s="16">
        <v>24963127.270000003</v>
      </c>
      <c r="C117" s="16">
        <v>0</v>
      </c>
      <c r="D117" s="16">
        <v>348158.73553250008</v>
      </c>
      <c r="E117" s="16">
        <v>0</v>
      </c>
      <c r="F117" s="16">
        <v>60041.29</v>
      </c>
      <c r="G117" s="16">
        <v>38262.39</v>
      </c>
      <c r="H117" s="16">
        <v>1153418.27</v>
      </c>
      <c r="I117" s="16">
        <v>177461.01</v>
      </c>
      <c r="J117" s="16">
        <v>2008112.6399999992</v>
      </c>
      <c r="K117" s="16">
        <v>0</v>
      </c>
      <c r="L117" s="16">
        <v>0</v>
      </c>
      <c r="M117" s="16">
        <v>13.97</v>
      </c>
      <c r="N117" s="18">
        <f t="shared" si="3"/>
        <v>28748595.575532503</v>
      </c>
      <c r="O117" s="4"/>
    </row>
    <row r="118" spans="1:15" ht="15" x14ac:dyDescent="0.2">
      <c r="A118" s="17" t="s">
        <v>113</v>
      </c>
      <c r="B118" s="16">
        <v>37876315.679999992</v>
      </c>
      <c r="C118" s="16">
        <v>0</v>
      </c>
      <c r="D118" s="16">
        <v>2304249.6238494995</v>
      </c>
      <c r="E118" s="16">
        <v>0</v>
      </c>
      <c r="F118" s="16">
        <v>283172.28000000003</v>
      </c>
      <c r="G118" s="16">
        <v>145397.09</v>
      </c>
      <c r="H118" s="16">
        <v>1750070.57</v>
      </c>
      <c r="I118" s="16">
        <v>836957.94</v>
      </c>
      <c r="J118" s="16">
        <v>5191346.2399999993</v>
      </c>
      <c r="K118" s="16">
        <v>0</v>
      </c>
      <c r="L118" s="16">
        <v>0</v>
      </c>
      <c r="M118" s="16">
        <v>65.91</v>
      </c>
      <c r="N118" s="18">
        <f t="shared" si="3"/>
        <v>48387575.33384949</v>
      </c>
      <c r="O118" s="4"/>
    </row>
    <row r="119" spans="1:15" ht="15" x14ac:dyDescent="0.2">
      <c r="A119" s="17" t="s">
        <v>114</v>
      </c>
      <c r="B119" s="16">
        <v>55038910.160000004</v>
      </c>
      <c r="C119" s="16">
        <v>0</v>
      </c>
      <c r="D119" s="16">
        <v>999417.33071450004</v>
      </c>
      <c r="E119" s="16">
        <v>0</v>
      </c>
      <c r="F119" s="16">
        <v>227516.02</v>
      </c>
      <c r="G119" s="16">
        <v>102264.94</v>
      </c>
      <c r="H119" s="16">
        <v>2543066.17</v>
      </c>
      <c r="I119" s="16">
        <v>672457.57</v>
      </c>
      <c r="J119" s="16">
        <v>4791181.620000001</v>
      </c>
      <c r="K119" s="16">
        <v>0</v>
      </c>
      <c r="L119" s="16">
        <v>0</v>
      </c>
      <c r="M119" s="16">
        <v>52.949999999999996</v>
      </c>
      <c r="N119" s="18">
        <f t="shared" si="3"/>
        <v>64374866.760714516</v>
      </c>
      <c r="O119" s="4"/>
    </row>
    <row r="120" spans="1:15" ht="15" x14ac:dyDescent="0.2">
      <c r="A120" s="17" t="s">
        <v>115</v>
      </c>
      <c r="B120" s="16">
        <v>36387316.989999995</v>
      </c>
      <c r="C120" s="16">
        <v>0</v>
      </c>
      <c r="D120" s="16">
        <v>1018076.6559565002</v>
      </c>
      <c r="E120" s="16">
        <v>0</v>
      </c>
      <c r="F120" s="16">
        <v>153307.68</v>
      </c>
      <c r="G120" s="16">
        <v>102960.62</v>
      </c>
      <c r="H120" s="16">
        <v>1681271.57</v>
      </c>
      <c r="I120" s="16">
        <v>453123.75</v>
      </c>
      <c r="J120" s="16">
        <v>5138193.2400000012</v>
      </c>
      <c r="K120" s="16">
        <v>0</v>
      </c>
      <c r="L120" s="16">
        <v>0</v>
      </c>
      <c r="M120" s="16">
        <v>35.67</v>
      </c>
      <c r="N120" s="18">
        <f t="shared" si="3"/>
        <v>44934286.175956495</v>
      </c>
      <c r="O120" s="4"/>
    </row>
    <row r="121" spans="1:15" ht="15" x14ac:dyDescent="0.2">
      <c r="A121" s="17" t="s">
        <v>116</v>
      </c>
      <c r="B121" s="16">
        <v>39561572.100000001</v>
      </c>
      <c r="C121" s="16">
        <v>0</v>
      </c>
      <c r="D121" s="16">
        <v>1425543.1272750001</v>
      </c>
      <c r="E121" s="16">
        <v>0</v>
      </c>
      <c r="F121" s="16">
        <v>64426.33</v>
      </c>
      <c r="G121" s="16">
        <v>37566.71</v>
      </c>
      <c r="H121" s="16">
        <v>1827937.64</v>
      </c>
      <c r="I121" s="16">
        <v>190421.64</v>
      </c>
      <c r="J121" s="16">
        <v>2820335.2199999988</v>
      </c>
      <c r="K121" s="16">
        <v>0</v>
      </c>
      <c r="L121" s="16">
        <v>0</v>
      </c>
      <c r="M121" s="16">
        <v>14.99</v>
      </c>
      <c r="N121" s="18">
        <f t="shared" si="3"/>
        <v>45927817.757275</v>
      </c>
      <c r="O121" s="4"/>
    </row>
    <row r="122" spans="1:15" ht="15" x14ac:dyDescent="0.2">
      <c r="A122" s="17" t="s">
        <v>117</v>
      </c>
      <c r="B122" s="16">
        <v>110810231.45000002</v>
      </c>
      <c r="C122" s="16">
        <v>0</v>
      </c>
      <c r="D122" s="16">
        <v>1954590.3150000004</v>
      </c>
      <c r="E122" s="16">
        <v>0</v>
      </c>
      <c r="F122" s="16">
        <v>1939536.2</v>
      </c>
      <c r="G122" s="16">
        <v>986407.91658275947</v>
      </c>
      <c r="H122" s="16">
        <v>5119973.3</v>
      </c>
      <c r="I122" s="16">
        <v>5732588.6500000004</v>
      </c>
      <c r="J122" s="16">
        <v>13216420.829999994</v>
      </c>
      <c r="K122" s="16">
        <v>0</v>
      </c>
      <c r="L122" s="16">
        <v>0</v>
      </c>
      <c r="M122" s="16">
        <v>451.49</v>
      </c>
      <c r="N122" s="18">
        <f t="shared" si="3"/>
        <v>139760200.15158278</v>
      </c>
      <c r="O122" s="4"/>
    </row>
    <row r="123" spans="1:15" ht="15" x14ac:dyDescent="0.2">
      <c r="A123" s="17" t="s">
        <v>118</v>
      </c>
      <c r="B123" s="16">
        <v>296606551.75999999</v>
      </c>
      <c r="C123" s="16">
        <v>0</v>
      </c>
      <c r="D123" s="16">
        <v>3475827.0749999997</v>
      </c>
      <c r="E123" s="16">
        <v>0</v>
      </c>
      <c r="F123" s="16">
        <v>2696123.98</v>
      </c>
      <c r="G123" s="16">
        <v>2354154.510684202</v>
      </c>
      <c r="H123" s="16">
        <v>13704669.74</v>
      </c>
      <c r="I123" s="16">
        <v>7968796.71</v>
      </c>
      <c r="J123" s="16">
        <v>17726055.599999998</v>
      </c>
      <c r="K123" s="16">
        <v>0</v>
      </c>
      <c r="L123" s="16">
        <v>0</v>
      </c>
      <c r="M123" s="16">
        <v>627.61</v>
      </c>
      <c r="N123" s="18">
        <f t="shared" si="3"/>
        <v>344532806.98568422</v>
      </c>
      <c r="O123" s="4"/>
    </row>
    <row r="124" spans="1:15" ht="15" x14ac:dyDescent="0.2">
      <c r="A124" s="17" t="s">
        <v>119</v>
      </c>
      <c r="B124" s="16">
        <v>225800183.32999998</v>
      </c>
      <c r="C124" s="16">
        <v>0</v>
      </c>
      <c r="D124" s="16">
        <v>1275478.9000000001</v>
      </c>
      <c r="E124" s="16">
        <v>0</v>
      </c>
      <c r="F124" s="16">
        <v>3452543.1</v>
      </c>
      <c r="G124" s="16">
        <v>0</v>
      </c>
      <c r="H124" s="16">
        <v>10433070.08</v>
      </c>
      <c r="I124" s="16">
        <v>10204506.279999999</v>
      </c>
      <c r="J124" s="16">
        <v>24744222.440000013</v>
      </c>
      <c r="K124" s="16">
        <v>0</v>
      </c>
      <c r="L124" s="16">
        <v>0</v>
      </c>
      <c r="M124" s="16">
        <v>803.7</v>
      </c>
      <c r="N124" s="18">
        <f t="shared" si="3"/>
        <v>275910807.82999998</v>
      </c>
      <c r="O124" s="4"/>
    </row>
    <row r="125" spans="1:15" ht="15" x14ac:dyDescent="0.2">
      <c r="A125" s="17" t="s">
        <v>120</v>
      </c>
      <c r="B125" s="16">
        <v>80506903.359999999</v>
      </c>
      <c r="C125" s="16">
        <v>0</v>
      </c>
      <c r="D125" s="16">
        <v>10406803.947911499</v>
      </c>
      <c r="E125" s="16">
        <v>0</v>
      </c>
      <c r="F125" s="16">
        <v>1342496.36</v>
      </c>
      <c r="G125" s="16">
        <v>649069.31999999995</v>
      </c>
      <c r="H125" s="16">
        <v>3719811.71</v>
      </c>
      <c r="I125" s="16">
        <v>3967948.32</v>
      </c>
      <c r="J125" s="16">
        <v>15396234.610000007</v>
      </c>
      <c r="K125" s="16">
        <v>0</v>
      </c>
      <c r="L125" s="16">
        <v>0</v>
      </c>
      <c r="M125" s="16">
        <v>312.51</v>
      </c>
      <c r="N125" s="18">
        <f t="shared" si="3"/>
        <v>115989580.13791148</v>
      </c>
      <c r="O125" s="4"/>
    </row>
    <row r="126" spans="1:15" ht="15" x14ac:dyDescent="0.2">
      <c r="A126" s="17" t="s">
        <v>121</v>
      </c>
      <c r="B126" s="16">
        <v>101418304.56</v>
      </c>
      <c r="C126" s="16">
        <v>0</v>
      </c>
      <c r="D126" s="16">
        <v>1590878.3523005</v>
      </c>
      <c r="E126" s="16">
        <v>0</v>
      </c>
      <c r="F126" s="16">
        <v>672091.45</v>
      </c>
      <c r="G126" s="16">
        <v>262966.99</v>
      </c>
      <c r="H126" s="16">
        <v>4686020.46</v>
      </c>
      <c r="I126" s="16">
        <v>1986466.59</v>
      </c>
      <c r="J126" s="16">
        <v>10178869.800000003</v>
      </c>
      <c r="K126" s="16">
        <v>0</v>
      </c>
      <c r="L126" s="16">
        <v>0</v>
      </c>
      <c r="M126" s="16">
        <v>156.44999999999999</v>
      </c>
      <c r="N126" s="18">
        <f t="shared" si="3"/>
        <v>120795754.65230049</v>
      </c>
      <c r="O126" s="4"/>
    </row>
    <row r="127" spans="1:15" ht="15" x14ac:dyDescent="0.2">
      <c r="A127" s="17" t="s">
        <v>122</v>
      </c>
      <c r="B127" s="16">
        <v>47884036.719999999</v>
      </c>
      <c r="C127" s="16">
        <v>0</v>
      </c>
      <c r="D127" s="16">
        <v>602455.74397399998</v>
      </c>
      <c r="E127" s="16">
        <v>0</v>
      </c>
      <c r="F127" s="16">
        <v>713412.01</v>
      </c>
      <c r="G127" s="16">
        <v>265054.03000000003</v>
      </c>
      <c r="H127" s="16">
        <v>2212476.11</v>
      </c>
      <c r="I127" s="16">
        <v>2108595.65</v>
      </c>
      <c r="J127" s="16">
        <v>10457818.41</v>
      </c>
      <c r="K127" s="16">
        <v>0</v>
      </c>
      <c r="L127" s="16">
        <v>0</v>
      </c>
      <c r="M127" s="16">
        <v>166.06</v>
      </c>
      <c r="N127" s="18">
        <f t="shared" si="3"/>
        <v>64244014.733973995</v>
      </c>
      <c r="O127" s="4"/>
    </row>
    <row r="128" spans="1:15" ht="15" x14ac:dyDescent="0.2">
      <c r="A128" s="17" t="s">
        <v>123</v>
      </c>
      <c r="B128" s="16">
        <v>29192623.109999992</v>
      </c>
      <c r="C128" s="16">
        <v>0</v>
      </c>
      <c r="D128" s="16">
        <v>479457.43992150004</v>
      </c>
      <c r="E128" s="16">
        <v>0</v>
      </c>
      <c r="F128" s="16">
        <v>65269.599999999999</v>
      </c>
      <c r="G128" s="16">
        <v>45219.19</v>
      </c>
      <c r="H128" s="16">
        <v>1348841.61</v>
      </c>
      <c r="I128" s="16">
        <v>192914.07</v>
      </c>
      <c r="J128" s="16">
        <v>2459145.8400000003</v>
      </c>
      <c r="K128" s="16">
        <v>0</v>
      </c>
      <c r="L128" s="16">
        <v>0</v>
      </c>
      <c r="M128" s="16">
        <v>15.18</v>
      </c>
      <c r="N128" s="18">
        <f t="shared" si="3"/>
        <v>33783486.039921492</v>
      </c>
      <c r="O128" s="4"/>
    </row>
    <row r="129" spans="1:15" ht="15" x14ac:dyDescent="0.2">
      <c r="A129" s="17" t="s">
        <v>124</v>
      </c>
      <c r="B129" s="16">
        <v>150971954.05000001</v>
      </c>
      <c r="C129" s="16">
        <v>0</v>
      </c>
      <c r="D129" s="16">
        <v>5068711.7054625005</v>
      </c>
      <c r="E129" s="16">
        <v>0</v>
      </c>
      <c r="F129" s="16">
        <v>830121.49</v>
      </c>
      <c r="G129" s="16">
        <v>551674.14</v>
      </c>
      <c r="H129" s="16">
        <v>6975640.8200000003</v>
      </c>
      <c r="I129" s="16">
        <v>2453547.94</v>
      </c>
      <c r="J129" s="16">
        <v>15864880.819999993</v>
      </c>
      <c r="K129" s="16">
        <v>0</v>
      </c>
      <c r="L129" s="16">
        <v>0</v>
      </c>
      <c r="M129" s="16">
        <v>193.23000000000002</v>
      </c>
      <c r="N129" s="18">
        <f t="shared" si="3"/>
        <v>182716724.1954625</v>
      </c>
      <c r="O129" s="4"/>
    </row>
    <row r="130" spans="1:15" ht="15" x14ac:dyDescent="0.2">
      <c r="A130" s="17" t="s">
        <v>125</v>
      </c>
      <c r="B130" s="16">
        <v>47278197.68</v>
      </c>
      <c r="C130" s="16">
        <v>0</v>
      </c>
      <c r="D130" s="16">
        <v>1103837.1910645005</v>
      </c>
      <c r="E130" s="16">
        <v>0</v>
      </c>
      <c r="F130" s="16">
        <v>102711.09</v>
      </c>
      <c r="G130" s="16">
        <v>41045.11</v>
      </c>
      <c r="H130" s="16">
        <v>2184483.39</v>
      </c>
      <c r="I130" s="16">
        <v>303577.96000000002</v>
      </c>
      <c r="J130" s="16">
        <v>4169668.2000000011</v>
      </c>
      <c r="K130" s="16">
        <v>0</v>
      </c>
      <c r="L130" s="16">
        <v>0</v>
      </c>
      <c r="M130" s="16">
        <v>23.9</v>
      </c>
      <c r="N130" s="18">
        <f t="shared" si="3"/>
        <v>55183544.521064505</v>
      </c>
      <c r="O130" s="4"/>
    </row>
    <row r="131" spans="1:15" ht="15" x14ac:dyDescent="0.2">
      <c r="A131" s="17" t="s">
        <v>126</v>
      </c>
      <c r="B131" s="16">
        <v>222358562.63999999</v>
      </c>
      <c r="C131" s="16">
        <v>0</v>
      </c>
      <c r="D131" s="16">
        <v>3523232.4700000007</v>
      </c>
      <c r="E131" s="16">
        <v>0</v>
      </c>
      <c r="F131" s="16">
        <v>4535310.2699999996</v>
      </c>
      <c r="G131" s="16">
        <v>495500.63500316278</v>
      </c>
      <c r="H131" s="16">
        <v>10274050.41</v>
      </c>
      <c r="I131" s="16">
        <v>13404786.199999999</v>
      </c>
      <c r="J131" s="16">
        <v>33489862.020000011</v>
      </c>
      <c r="K131" s="16">
        <v>0</v>
      </c>
      <c r="L131" s="16">
        <v>0</v>
      </c>
      <c r="M131" s="16">
        <v>1055.75</v>
      </c>
      <c r="N131" s="18">
        <f t="shared" si="3"/>
        <v>288082360.39500314</v>
      </c>
      <c r="O131" s="4"/>
    </row>
    <row r="132" spans="1:15" ht="15" x14ac:dyDescent="0.2">
      <c r="A132" s="17" t="s">
        <v>127</v>
      </c>
      <c r="B132" s="16">
        <v>9878304.5999999996</v>
      </c>
      <c r="C132" s="16">
        <v>0</v>
      </c>
      <c r="D132" s="16">
        <v>139297.33350850001</v>
      </c>
      <c r="E132" s="16">
        <v>0</v>
      </c>
      <c r="F132" s="16">
        <v>19395.36</v>
      </c>
      <c r="G132" s="16">
        <v>7652.48</v>
      </c>
      <c r="H132" s="16">
        <v>456425.87</v>
      </c>
      <c r="I132" s="16">
        <v>57325.89</v>
      </c>
      <c r="J132" s="16">
        <v>1204993.2000000002</v>
      </c>
      <c r="K132" s="16">
        <v>0</v>
      </c>
      <c r="L132" s="16">
        <v>0</v>
      </c>
      <c r="M132" s="16">
        <v>4.5</v>
      </c>
      <c r="N132" s="18">
        <f t="shared" si="3"/>
        <v>11763399.233508501</v>
      </c>
      <c r="O132" s="4"/>
    </row>
    <row r="133" spans="1:15" ht="15" x14ac:dyDescent="0.2">
      <c r="A133" s="17" t="s">
        <v>128</v>
      </c>
      <c r="B133" s="16">
        <v>55240856.489999995</v>
      </c>
      <c r="C133" s="16">
        <v>0</v>
      </c>
      <c r="D133" s="16">
        <v>878886.72930350003</v>
      </c>
      <c r="E133" s="16">
        <v>0</v>
      </c>
      <c r="F133" s="16">
        <v>70160.61</v>
      </c>
      <c r="G133" s="16">
        <v>56350.07</v>
      </c>
      <c r="H133" s="16">
        <v>2552397.08</v>
      </c>
      <c r="I133" s="16">
        <v>207370.16</v>
      </c>
      <c r="J133" s="16">
        <v>4379385.4000000004</v>
      </c>
      <c r="K133" s="16">
        <v>0</v>
      </c>
      <c r="L133" s="16">
        <v>0</v>
      </c>
      <c r="M133" s="16">
        <v>16.32</v>
      </c>
      <c r="N133" s="18">
        <f t="shared" si="3"/>
        <v>63385422.859303489</v>
      </c>
      <c r="O133" s="4"/>
    </row>
    <row r="134" spans="1:15" ht="15" x14ac:dyDescent="0.2">
      <c r="A134" s="17" t="s">
        <v>129</v>
      </c>
      <c r="B134" s="16">
        <v>108285902.22999999</v>
      </c>
      <c r="C134" s="16">
        <v>0</v>
      </c>
      <c r="D134" s="16">
        <v>2248113.4235220002</v>
      </c>
      <c r="E134" s="16">
        <v>0</v>
      </c>
      <c r="F134" s="16">
        <v>327359.98</v>
      </c>
      <c r="G134" s="16">
        <v>191311.96</v>
      </c>
      <c r="H134" s="16">
        <v>5003336.9800000004</v>
      </c>
      <c r="I134" s="16">
        <v>967561.27</v>
      </c>
      <c r="J134" s="16">
        <v>10094187.630000003</v>
      </c>
      <c r="K134" s="16">
        <v>0</v>
      </c>
      <c r="L134" s="16">
        <v>0</v>
      </c>
      <c r="M134" s="16">
        <v>76.19</v>
      </c>
      <c r="N134" s="18">
        <f t="shared" si="3"/>
        <v>127117849.66352198</v>
      </c>
      <c r="O134" s="4"/>
    </row>
    <row r="135" spans="1:15" ht="15" x14ac:dyDescent="0.2">
      <c r="A135" s="17" t="s">
        <v>130</v>
      </c>
      <c r="B135" s="16">
        <v>90730792.300000012</v>
      </c>
      <c r="C135" s="16">
        <v>0</v>
      </c>
      <c r="D135" s="16">
        <v>3128514.1940980004</v>
      </c>
      <c r="E135" s="16">
        <v>0</v>
      </c>
      <c r="F135" s="16">
        <v>492810.85</v>
      </c>
      <c r="G135" s="16">
        <v>254618.83</v>
      </c>
      <c r="H135" s="16">
        <v>4192205.25</v>
      </c>
      <c r="I135" s="16">
        <v>1456576</v>
      </c>
      <c r="J135" s="16">
        <v>10300800.809999997</v>
      </c>
      <c r="K135" s="16">
        <v>0</v>
      </c>
      <c r="L135" s="16">
        <v>0</v>
      </c>
      <c r="M135" s="16">
        <v>114.7</v>
      </c>
      <c r="N135" s="18">
        <f t="shared" si="3"/>
        <v>110556432.93409801</v>
      </c>
      <c r="O135" s="4"/>
    </row>
    <row r="136" spans="1:15" ht="15" x14ac:dyDescent="0.2">
      <c r="A136" s="17" t="s">
        <v>131</v>
      </c>
      <c r="B136" s="16">
        <v>154412152.56</v>
      </c>
      <c r="C136" s="16">
        <v>0</v>
      </c>
      <c r="D136" s="16">
        <v>2170500.94</v>
      </c>
      <c r="E136" s="16">
        <v>0</v>
      </c>
      <c r="F136" s="16">
        <v>2932072.77</v>
      </c>
      <c r="G136" s="16">
        <v>1751893.0098438482</v>
      </c>
      <c r="H136" s="16">
        <v>7134594.7800000003</v>
      </c>
      <c r="I136" s="16">
        <v>8666178.5800000001</v>
      </c>
      <c r="J136" s="16">
        <v>23657986.430000003</v>
      </c>
      <c r="K136" s="16">
        <v>0</v>
      </c>
      <c r="L136" s="16">
        <v>0</v>
      </c>
      <c r="M136" s="16">
        <v>682.54</v>
      </c>
      <c r="N136" s="18">
        <f t="shared" ref="N136:N142" si="4">SUM(B136:M136)</f>
        <v>200726061.60984388</v>
      </c>
      <c r="O136" s="4"/>
    </row>
    <row r="137" spans="1:15" ht="15" x14ac:dyDescent="0.2">
      <c r="A137" s="17" t="s">
        <v>132</v>
      </c>
      <c r="B137" s="16">
        <v>26150628.630000003</v>
      </c>
      <c r="C137" s="16">
        <v>0</v>
      </c>
      <c r="D137" s="16">
        <v>418917.06804500008</v>
      </c>
      <c r="E137" s="16">
        <v>0</v>
      </c>
      <c r="F137" s="16">
        <v>35080.300000000003</v>
      </c>
      <c r="G137" s="16">
        <v>38958.07</v>
      </c>
      <c r="H137" s="16">
        <v>1208286.6299999999</v>
      </c>
      <c r="I137" s="16">
        <v>103685.08</v>
      </c>
      <c r="J137" s="16">
        <v>2263780.8000000003</v>
      </c>
      <c r="K137" s="16">
        <v>0</v>
      </c>
      <c r="L137" s="16">
        <v>0</v>
      </c>
      <c r="M137" s="16">
        <v>8.1499999999999986</v>
      </c>
      <c r="N137" s="18">
        <f t="shared" si="4"/>
        <v>30219344.728045002</v>
      </c>
      <c r="O137" s="4"/>
    </row>
    <row r="138" spans="1:15" ht="15" x14ac:dyDescent="0.2">
      <c r="A138" s="17" t="s">
        <v>133</v>
      </c>
      <c r="B138" s="16">
        <v>55994599.869999997</v>
      </c>
      <c r="C138" s="16">
        <v>0</v>
      </c>
      <c r="D138" s="16">
        <v>2734005.8006310002</v>
      </c>
      <c r="E138" s="16">
        <v>0</v>
      </c>
      <c r="F138" s="16">
        <v>305434.78000000003</v>
      </c>
      <c r="G138" s="16">
        <v>159310.69</v>
      </c>
      <c r="H138" s="16">
        <v>2587223.7000000002</v>
      </c>
      <c r="I138" s="16">
        <v>902758.09</v>
      </c>
      <c r="J138" s="16">
        <v>8425814.6200000048</v>
      </c>
      <c r="K138" s="16">
        <v>0</v>
      </c>
      <c r="L138" s="16">
        <v>0</v>
      </c>
      <c r="M138" s="16">
        <v>71.09</v>
      </c>
      <c r="N138" s="18">
        <f t="shared" si="4"/>
        <v>71109218.64063102</v>
      </c>
      <c r="O138" s="4"/>
    </row>
    <row r="139" spans="1:15" ht="15" x14ac:dyDescent="0.2">
      <c r="A139" s="17" t="s">
        <v>134</v>
      </c>
      <c r="B139" s="16">
        <v>262150524.32999998</v>
      </c>
      <c r="C139" s="16">
        <v>0</v>
      </c>
      <c r="D139" s="16">
        <v>2709972.6149999998</v>
      </c>
      <c r="E139" s="16">
        <v>0</v>
      </c>
      <c r="F139" s="16">
        <v>1570855.67</v>
      </c>
      <c r="G139" s="16">
        <v>1636254.5413626377</v>
      </c>
      <c r="H139" s="16">
        <v>12112633.140000001</v>
      </c>
      <c r="I139" s="16">
        <v>4642898.3100000005</v>
      </c>
      <c r="J139" s="16">
        <v>15263997.239999996</v>
      </c>
      <c r="K139" s="16">
        <v>0</v>
      </c>
      <c r="L139" s="16">
        <v>0</v>
      </c>
      <c r="M139" s="16">
        <v>365.65999999999997</v>
      </c>
      <c r="N139" s="18">
        <f t="shared" si="4"/>
        <v>300087501.50636268</v>
      </c>
      <c r="O139" s="4"/>
    </row>
    <row r="140" spans="1:15" ht="15" x14ac:dyDescent="0.2">
      <c r="A140" s="17" t="s">
        <v>135</v>
      </c>
      <c r="B140" s="16">
        <v>68213775.520000011</v>
      </c>
      <c r="C140" s="16">
        <v>0</v>
      </c>
      <c r="D140" s="16">
        <v>289222.96000000002</v>
      </c>
      <c r="E140" s="16">
        <v>0</v>
      </c>
      <c r="F140" s="16">
        <v>259054.57</v>
      </c>
      <c r="G140" s="16">
        <v>141223.01</v>
      </c>
      <c r="H140" s="16">
        <v>3151809.23</v>
      </c>
      <c r="I140" s="16">
        <v>765674.45</v>
      </c>
      <c r="J140" s="16">
        <v>3851813.8399999994</v>
      </c>
      <c r="K140" s="16">
        <v>0</v>
      </c>
      <c r="L140" s="16">
        <v>0</v>
      </c>
      <c r="M140" s="16">
        <v>60.300000000000004</v>
      </c>
      <c r="N140" s="18">
        <f t="shared" si="4"/>
        <v>76672633.88000001</v>
      </c>
      <c r="O140" s="4"/>
    </row>
    <row r="141" spans="1:15" ht="15" x14ac:dyDescent="0.2">
      <c r="A141" s="17" t="s">
        <v>136</v>
      </c>
      <c r="B141" s="16">
        <v>84382282.060000002</v>
      </c>
      <c r="C141" s="16">
        <v>0</v>
      </c>
      <c r="D141" s="16">
        <v>1022622.3107555003</v>
      </c>
      <c r="E141" s="16">
        <v>0</v>
      </c>
      <c r="F141" s="16">
        <v>373571.53</v>
      </c>
      <c r="G141" s="16">
        <v>137744.60999999999</v>
      </c>
      <c r="H141" s="16">
        <v>3898873.11</v>
      </c>
      <c r="I141" s="16">
        <v>1104146.42</v>
      </c>
      <c r="J141" s="16">
        <v>10490603.020000003</v>
      </c>
      <c r="K141" s="16">
        <v>0</v>
      </c>
      <c r="L141" s="16">
        <v>0</v>
      </c>
      <c r="M141" s="16">
        <v>86.95</v>
      </c>
      <c r="N141" s="18">
        <f t="shared" si="4"/>
        <v>101409930.01075552</v>
      </c>
      <c r="O141" s="4"/>
    </row>
    <row r="142" spans="1:15" ht="15" x14ac:dyDescent="0.2">
      <c r="A142" s="17" t="s">
        <v>137</v>
      </c>
      <c r="B142" s="16">
        <v>79950839.879999995</v>
      </c>
      <c r="C142" s="16">
        <v>0</v>
      </c>
      <c r="D142" s="16">
        <v>1500710.4662425001</v>
      </c>
      <c r="E142" s="16">
        <v>0</v>
      </c>
      <c r="F142" s="16">
        <v>1606104.63</v>
      </c>
      <c r="G142" s="16">
        <v>508541.98</v>
      </c>
      <c r="H142" s="16">
        <v>3694118.86</v>
      </c>
      <c r="I142" s="16">
        <v>4747081.8899999997</v>
      </c>
      <c r="J142" s="16">
        <v>14110988.629999997</v>
      </c>
      <c r="K142" s="16">
        <v>0</v>
      </c>
      <c r="L142" s="16">
        <v>0</v>
      </c>
      <c r="M142" s="16">
        <v>373.87</v>
      </c>
      <c r="N142" s="18">
        <f t="shared" si="4"/>
        <v>106118760.2062425</v>
      </c>
      <c r="O142" s="4"/>
    </row>
    <row r="143" spans="1:15" ht="24.75" customHeight="1" x14ac:dyDescent="0.2">
      <c r="A143" s="24" t="s">
        <v>138</v>
      </c>
      <c r="B143" s="25">
        <f t="shared" ref="B143:I143" si="5">SUM(B8:B142)</f>
        <v>14221573140.9</v>
      </c>
      <c r="C143" s="25">
        <f t="shared" si="5"/>
        <v>0</v>
      </c>
      <c r="D143" s="25">
        <f t="shared" si="5"/>
        <v>231388814.24542394</v>
      </c>
      <c r="E143" s="25">
        <f t="shared" si="5"/>
        <v>0</v>
      </c>
      <c r="F143" s="25">
        <f t="shared" si="5"/>
        <v>168655322.31</v>
      </c>
      <c r="G143" s="25">
        <f t="shared" si="5"/>
        <v>69567986.900000006</v>
      </c>
      <c r="H143" s="25">
        <f t="shared" si="5"/>
        <v>657106061.87000012</v>
      </c>
      <c r="I143" s="25">
        <f t="shared" si="5"/>
        <v>498485969.31999958</v>
      </c>
      <c r="J143" s="25">
        <f t="shared" ref="J143:L143" si="6">SUM(J8:J142)</f>
        <v>1743864912.8900003</v>
      </c>
      <c r="K143" s="25">
        <f t="shared" si="6"/>
        <v>0</v>
      </c>
      <c r="L143" s="25">
        <f t="shared" si="6"/>
        <v>0</v>
      </c>
      <c r="M143" s="25">
        <f t="shared" ref="M143" si="7">SUM(M8:M142)</f>
        <v>39259.22</v>
      </c>
      <c r="N143" s="25">
        <f>SUM(N8:N142)</f>
        <v>17590681467.655422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  <c r="N145" s="8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44AEAC"/>
  </sheetPr>
  <dimension ref="A1:O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2.33203125" style="1" customWidth="1"/>
    <col min="3" max="3" width="22.33203125" style="1" hidden="1" customWidth="1"/>
    <col min="4" max="10" width="22.33203125" style="1" customWidth="1"/>
    <col min="11" max="12" width="22.33203125" style="1" hidden="1" customWidth="1"/>
    <col min="13" max="13" width="22.33203125" style="1" customWidth="1"/>
    <col min="14" max="14" width="23.83203125" style="1" customWidth="1"/>
    <col min="15" max="15" width="12" style="1" customWidth="1"/>
    <col min="16" max="16384" width="12" style="1"/>
  </cols>
  <sheetData>
    <row r="1" spans="1:1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7.25" customHeight="1" x14ac:dyDescent="0.25">
      <c r="A3" s="2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7.25" customHeight="1" x14ac:dyDescent="0.25">
      <c r="A4" s="23" t="s">
        <v>172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5" ht="18.75" customHeight="1" x14ac:dyDescent="0.2">
      <c r="A6" s="28" t="s">
        <v>2</v>
      </c>
      <c r="B6" s="29" t="s">
        <v>173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5" ht="60" customHeight="1" x14ac:dyDescent="0.2">
      <c r="A7" s="28"/>
      <c r="B7" s="21" t="s">
        <v>139</v>
      </c>
      <c r="C7" s="21" t="s">
        <v>151</v>
      </c>
      <c r="D7" s="21" t="s">
        <v>143</v>
      </c>
      <c r="E7" s="21" t="s">
        <v>141</v>
      </c>
      <c r="F7" s="27" t="s">
        <v>150</v>
      </c>
      <c r="G7" s="21" t="s">
        <v>144</v>
      </c>
      <c r="H7" s="21" t="s">
        <v>146</v>
      </c>
      <c r="I7" s="21" t="s">
        <v>145</v>
      </c>
      <c r="J7" s="21" t="s">
        <v>147</v>
      </c>
      <c r="K7" s="21" t="s">
        <v>148</v>
      </c>
      <c r="L7" s="21" t="s">
        <v>149</v>
      </c>
      <c r="M7" s="21" t="s">
        <v>142</v>
      </c>
      <c r="N7" s="22" t="s">
        <v>140</v>
      </c>
    </row>
    <row r="8" spans="1:15" ht="18" customHeight="1" x14ac:dyDescent="0.2">
      <c r="A8" s="17" t="s">
        <v>3</v>
      </c>
      <c r="B8" s="16">
        <v>56023120.059999995</v>
      </c>
      <c r="C8" s="16"/>
      <c r="D8" s="16">
        <v>1574395.4272451061</v>
      </c>
      <c r="E8" s="16">
        <v>474630.95000000007</v>
      </c>
      <c r="F8" s="16">
        <v>141268.26</v>
      </c>
      <c r="G8" s="16">
        <v>73617.38</v>
      </c>
      <c r="H8" s="16">
        <v>3101061.23</v>
      </c>
      <c r="I8" s="16">
        <v>480938.81</v>
      </c>
      <c r="J8" s="16">
        <v>5005961.28</v>
      </c>
      <c r="K8" s="16">
        <v>0</v>
      </c>
      <c r="L8" s="16">
        <v>0</v>
      </c>
      <c r="M8" s="16">
        <v>0.3</v>
      </c>
      <c r="N8" s="18">
        <f t="shared" ref="N8:N39" si="0">SUM(B8:M8)</f>
        <v>66874993.697245099</v>
      </c>
      <c r="O8" s="4"/>
    </row>
    <row r="9" spans="1:15" ht="18" customHeight="1" x14ac:dyDescent="0.2">
      <c r="A9" s="17" t="s">
        <v>4</v>
      </c>
      <c r="B9" s="16">
        <v>34926882.590000004</v>
      </c>
      <c r="C9" s="16"/>
      <c r="D9" s="16">
        <v>1225022.5951039442</v>
      </c>
      <c r="E9" s="16">
        <v>293763.02999999997</v>
      </c>
      <c r="F9" s="16">
        <v>98975.52</v>
      </c>
      <c r="G9" s="16">
        <v>52004.94</v>
      </c>
      <c r="H9" s="16">
        <v>1933316.13</v>
      </c>
      <c r="I9" s="16">
        <v>336955.89</v>
      </c>
      <c r="J9" s="16">
        <v>3757174.3800000008</v>
      </c>
      <c r="K9" s="16">
        <v>0</v>
      </c>
      <c r="L9" s="16">
        <v>0</v>
      </c>
      <c r="M9" s="16">
        <v>0.21</v>
      </c>
      <c r="N9" s="18">
        <f t="shared" si="0"/>
        <v>42624095.285103954</v>
      </c>
      <c r="O9" s="4"/>
    </row>
    <row r="10" spans="1:15" ht="18" customHeight="1" x14ac:dyDescent="0.2">
      <c r="A10" s="17" t="s">
        <v>5</v>
      </c>
      <c r="B10" s="16">
        <v>25668327.840000004</v>
      </c>
      <c r="C10" s="16"/>
      <c r="D10" s="16">
        <v>673153.17774676601</v>
      </c>
      <c r="E10" s="16">
        <v>219370.07000000004</v>
      </c>
      <c r="F10" s="16">
        <v>69142.47</v>
      </c>
      <c r="G10" s="16">
        <v>45926.44</v>
      </c>
      <c r="H10" s="16">
        <v>1420825.13</v>
      </c>
      <c r="I10" s="16">
        <v>235391.17</v>
      </c>
      <c r="J10" s="16">
        <v>2220749.0999999996</v>
      </c>
      <c r="K10" s="16">
        <v>0</v>
      </c>
      <c r="L10" s="16">
        <v>0</v>
      </c>
      <c r="M10" s="16">
        <v>0.15</v>
      </c>
      <c r="N10" s="18">
        <f t="shared" si="0"/>
        <v>30552885.54774677</v>
      </c>
      <c r="O10" s="4"/>
    </row>
    <row r="11" spans="1:15" ht="18" customHeight="1" x14ac:dyDescent="0.2">
      <c r="A11" s="17" t="s">
        <v>6</v>
      </c>
      <c r="B11" s="16">
        <v>297241639.38999999</v>
      </c>
      <c r="C11" s="16"/>
      <c r="D11" s="16">
        <v>2552420.630375572</v>
      </c>
      <c r="E11" s="16">
        <v>3526341.91</v>
      </c>
      <c r="F11" s="16">
        <v>7421409.6299999999</v>
      </c>
      <c r="G11" s="16">
        <v>4288418.8577623088</v>
      </c>
      <c r="H11" s="16">
        <v>16453287.91</v>
      </c>
      <c r="I11" s="16">
        <v>25265717.260000002</v>
      </c>
      <c r="J11" s="16">
        <v>41795932.5</v>
      </c>
      <c r="K11" s="16">
        <v>0</v>
      </c>
      <c r="L11" s="16">
        <v>0</v>
      </c>
      <c r="M11" s="16">
        <v>16.2</v>
      </c>
      <c r="N11" s="18">
        <f t="shared" si="0"/>
        <v>398545184.28813791</v>
      </c>
      <c r="O11" s="4"/>
    </row>
    <row r="12" spans="1:15" ht="18" customHeight="1" x14ac:dyDescent="0.2">
      <c r="A12" s="17" t="s">
        <v>7</v>
      </c>
      <c r="B12" s="16">
        <v>44614338.890000001</v>
      </c>
      <c r="C12" s="16"/>
      <c r="D12" s="16">
        <v>1143533.03082974</v>
      </c>
      <c r="E12" s="16">
        <v>376394.91</v>
      </c>
      <c r="F12" s="16">
        <v>253756.4</v>
      </c>
      <c r="G12" s="16">
        <v>125622.32</v>
      </c>
      <c r="H12" s="16">
        <v>2469548.23</v>
      </c>
      <c r="I12" s="16">
        <v>863897.54</v>
      </c>
      <c r="J12" s="16">
        <v>4508734.6799999978</v>
      </c>
      <c r="K12" s="16">
        <v>0</v>
      </c>
      <c r="L12" s="16">
        <v>0</v>
      </c>
      <c r="M12" s="16">
        <v>0.55000000000000004</v>
      </c>
      <c r="N12" s="18">
        <f t="shared" si="0"/>
        <v>54355826.550829731</v>
      </c>
      <c r="O12" s="4"/>
    </row>
    <row r="13" spans="1:15" ht="18" customHeight="1" x14ac:dyDescent="0.2">
      <c r="A13" s="17" t="s">
        <v>8</v>
      </c>
      <c r="B13" s="16">
        <v>180373116.03</v>
      </c>
      <c r="C13" s="16"/>
      <c r="D13" s="16">
        <v>2079300.3399929262</v>
      </c>
      <c r="E13" s="16">
        <v>2151192.2599999998</v>
      </c>
      <c r="F13" s="16">
        <v>3608921.47</v>
      </c>
      <c r="G13" s="16">
        <v>964476.46418338618</v>
      </c>
      <c r="H13" s="16">
        <v>9984236.4499999993</v>
      </c>
      <c r="I13" s="16">
        <v>12286343.710000001</v>
      </c>
      <c r="J13" s="16">
        <v>32135808.420000009</v>
      </c>
      <c r="K13" s="16">
        <v>0</v>
      </c>
      <c r="L13" s="16">
        <v>0</v>
      </c>
      <c r="M13" s="16">
        <v>7.88</v>
      </c>
      <c r="N13" s="18">
        <f t="shared" si="0"/>
        <v>243583403.02417633</v>
      </c>
      <c r="O13" s="4"/>
    </row>
    <row r="14" spans="1:15" ht="18" customHeight="1" x14ac:dyDescent="0.2">
      <c r="A14" s="17" t="s">
        <v>9</v>
      </c>
      <c r="B14" s="16">
        <v>65368884.769999996</v>
      </c>
      <c r="C14" s="16"/>
      <c r="D14" s="16">
        <v>2164641.3816393698</v>
      </c>
      <c r="E14" s="16">
        <v>550592.61999999988</v>
      </c>
      <c r="F14" s="16">
        <v>164257.25</v>
      </c>
      <c r="G14" s="16">
        <v>87800.55</v>
      </c>
      <c r="H14" s="16">
        <v>3618379.59</v>
      </c>
      <c r="I14" s="16">
        <v>559203.39</v>
      </c>
      <c r="J14" s="16">
        <v>6467851.9800000014</v>
      </c>
      <c r="K14" s="16">
        <v>0</v>
      </c>
      <c r="L14" s="16">
        <v>0</v>
      </c>
      <c r="M14" s="16">
        <v>0.35</v>
      </c>
      <c r="N14" s="18">
        <f t="shared" si="0"/>
        <v>78981611.881639376</v>
      </c>
      <c r="O14" s="4"/>
    </row>
    <row r="15" spans="1:15" ht="18" customHeight="1" x14ac:dyDescent="0.2">
      <c r="A15" s="17" t="s">
        <v>10</v>
      </c>
      <c r="B15" s="16">
        <v>106531995.92000002</v>
      </c>
      <c r="C15" s="16"/>
      <c r="D15" s="16">
        <v>3054850.3296971936</v>
      </c>
      <c r="E15" s="16">
        <v>900825.55000000016</v>
      </c>
      <c r="F15" s="16">
        <v>611928.47</v>
      </c>
      <c r="G15" s="16">
        <v>282312.52</v>
      </c>
      <c r="H15" s="16">
        <v>5896891.1799999997</v>
      </c>
      <c r="I15" s="16">
        <v>2083271.6</v>
      </c>
      <c r="J15" s="16">
        <v>10798890.479999999</v>
      </c>
      <c r="K15" s="16">
        <v>0</v>
      </c>
      <c r="L15" s="16">
        <v>0</v>
      </c>
      <c r="M15" s="16">
        <v>1.33</v>
      </c>
      <c r="N15" s="18">
        <f t="shared" si="0"/>
        <v>130160967.3796972</v>
      </c>
      <c r="O15" s="4"/>
    </row>
    <row r="16" spans="1:15" ht="18" customHeight="1" x14ac:dyDescent="0.2">
      <c r="A16" s="17" t="s">
        <v>11</v>
      </c>
      <c r="B16" s="16">
        <v>196914419.06</v>
      </c>
      <c r="C16" s="16"/>
      <c r="D16" s="16">
        <v>4478672.679582051</v>
      </c>
      <c r="E16" s="16">
        <v>2339592.7699999996</v>
      </c>
      <c r="F16" s="16">
        <v>2282228.2400000002</v>
      </c>
      <c r="G16" s="16">
        <v>1303500.3999999999</v>
      </c>
      <c r="H16" s="16">
        <v>10899851.17</v>
      </c>
      <c r="I16" s="16">
        <v>7769700.9500000002</v>
      </c>
      <c r="J16" s="16">
        <v>26770122.719999991</v>
      </c>
      <c r="K16" s="16">
        <v>0</v>
      </c>
      <c r="L16" s="16">
        <v>0</v>
      </c>
      <c r="M16" s="16">
        <v>4.9800000000000004</v>
      </c>
      <c r="N16" s="18">
        <f t="shared" si="0"/>
        <v>252758092.96958205</v>
      </c>
      <c r="O16" s="4"/>
    </row>
    <row r="17" spans="1:15" ht="15" x14ac:dyDescent="0.2">
      <c r="A17" s="17" t="s">
        <v>12</v>
      </c>
      <c r="B17" s="16">
        <v>70754458.519999981</v>
      </c>
      <c r="C17" s="16"/>
      <c r="D17" s="16">
        <v>2958544.0288320845</v>
      </c>
      <c r="E17" s="16">
        <v>595271.57999999996</v>
      </c>
      <c r="F17" s="16">
        <v>468729.84</v>
      </c>
      <c r="G17" s="16">
        <v>189108.87</v>
      </c>
      <c r="H17" s="16">
        <v>3916488.55</v>
      </c>
      <c r="I17" s="16">
        <v>1595760.96</v>
      </c>
      <c r="J17" s="16">
        <v>7382920.6799999978</v>
      </c>
      <c r="K17" s="16">
        <v>0</v>
      </c>
      <c r="L17" s="16">
        <v>0</v>
      </c>
      <c r="M17" s="16">
        <v>1.02</v>
      </c>
      <c r="N17" s="18">
        <f t="shared" si="0"/>
        <v>87861284.048832044</v>
      </c>
      <c r="O17" s="4"/>
    </row>
    <row r="18" spans="1:15" ht="15" x14ac:dyDescent="0.2">
      <c r="A18" s="17" t="s">
        <v>13</v>
      </c>
      <c r="B18" s="16">
        <v>43379102.43</v>
      </c>
      <c r="C18" s="16"/>
      <c r="D18" s="16">
        <v>1313533.228512058</v>
      </c>
      <c r="E18" s="16">
        <v>370178.04999999993</v>
      </c>
      <c r="F18" s="16">
        <v>315879.34000000003</v>
      </c>
      <c r="G18" s="16">
        <v>141831.65</v>
      </c>
      <c r="H18" s="16">
        <v>2401173.89</v>
      </c>
      <c r="I18" s="16">
        <v>1075391.1299999999</v>
      </c>
      <c r="J18" s="16">
        <v>5961349.7999999989</v>
      </c>
      <c r="K18" s="16">
        <v>0</v>
      </c>
      <c r="L18" s="16">
        <v>0</v>
      </c>
      <c r="M18" s="16">
        <v>0.68</v>
      </c>
      <c r="N18" s="18">
        <f t="shared" si="0"/>
        <v>54958440.198512055</v>
      </c>
      <c r="O18" s="4"/>
    </row>
    <row r="19" spans="1:15" ht="15" x14ac:dyDescent="0.2">
      <c r="A19" s="17" t="s">
        <v>14</v>
      </c>
      <c r="B19" s="16">
        <v>72568712.079999998</v>
      </c>
      <c r="C19" s="16"/>
      <c r="D19" s="16">
        <v>1979927.822850842</v>
      </c>
      <c r="E19" s="16">
        <v>611621.96</v>
      </c>
      <c r="F19" s="16">
        <v>127580.15</v>
      </c>
      <c r="G19" s="16">
        <v>87800.55</v>
      </c>
      <c r="H19" s="16">
        <v>4016913.37</v>
      </c>
      <c r="I19" s="16">
        <v>434338.53</v>
      </c>
      <c r="J19" s="16">
        <v>5064800.9400000004</v>
      </c>
      <c r="K19" s="16">
        <v>0</v>
      </c>
      <c r="L19" s="16">
        <v>0</v>
      </c>
      <c r="M19" s="16">
        <v>0.27</v>
      </c>
      <c r="N19" s="18">
        <f t="shared" si="0"/>
        <v>84891695.672850832</v>
      </c>
      <c r="O19" s="4"/>
    </row>
    <row r="20" spans="1:15" ht="15" x14ac:dyDescent="0.2">
      <c r="A20" s="17" t="s">
        <v>15</v>
      </c>
      <c r="B20" s="16">
        <v>240793906.72000003</v>
      </c>
      <c r="C20" s="16"/>
      <c r="D20" s="16">
        <v>1647452.4385968139</v>
      </c>
      <c r="E20" s="16">
        <v>2858897.66</v>
      </c>
      <c r="F20" s="16">
        <v>4072035.68</v>
      </c>
      <c r="G20" s="16">
        <v>2230052.7416370437</v>
      </c>
      <c r="H20" s="16">
        <v>13328723</v>
      </c>
      <c r="I20" s="16">
        <v>13862986.6</v>
      </c>
      <c r="J20" s="16">
        <v>29121232.680000011</v>
      </c>
      <c r="K20" s="16">
        <v>0</v>
      </c>
      <c r="L20" s="16">
        <v>0</v>
      </c>
      <c r="M20" s="16">
        <v>8.89</v>
      </c>
      <c r="N20" s="18">
        <f t="shared" si="0"/>
        <v>307915296.41023391</v>
      </c>
      <c r="O20" s="4"/>
    </row>
    <row r="21" spans="1:15" ht="15" x14ac:dyDescent="0.2">
      <c r="A21" s="17" t="s">
        <v>16</v>
      </c>
      <c r="B21" s="16">
        <v>104603368.65000001</v>
      </c>
      <c r="C21" s="16"/>
      <c r="D21" s="16">
        <v>1174681.5127215502</v>
      </c>
      <c r="E21" s="16">
        <v>890141.71000000008</v>
      </c>
      <c r="F21" s="16">
        <v>1082764.18</v>
      </c>
      <c r="G21" s="16">
        <v>273602.97061036562</v>
      </c>
      <c r="H21" s="16">
        <v>5790135.4100000001</v>
      </c>
      <c r="I21" s="16">
        <v>3686201.83</v>
      </c>
      <c r="J21" s="16">
        <v>9507711.959999999</v>
      </c>
      <c r="K21" s="16">
        <v>0</v>
      </c>
      <c r="L21" s="16">
        <v>0</v>
      </c>
      <c r="M21" s="16">
        <v>2.36</v>
      </c>
      <c r="N21" s="18">
        <f t="shared" si="0"/>
        <v>127008610.58333191</v>
      </c>
      <c r="O21" s="4"/>
    </row>
    <row r="22" spans="1:15" ht="15" x14ac:dyDescent="0.2">
      <c r="A22" s="17" t="s">
        <v>17</v>
      </c>
      <c r="B22" s="16">
        <v>80583452.349999994</v>
      </c>
      <c r="C22" s="16"/>
      <c r="D22" s="16">
        <v>2278965.1454865905</v>
      </c>
      <c r="E22" s="16">
        <v>692028.78000000014</v>
      </c>
      <c r="F22" s="16">
        <v>257792.64000000001</v>
      </c>
      <c r="G22" s="16">
        <v>147910.15</v>
      </c>
      <c r="H22" s="16">
        <v>4460555.21</v>
      </c>
      <c r="I22" s="16">
        <v>877638.65</v>
      </c>
      <c r="J22" s="16">
        <v>7294621.6799999978</v>
      </c>
      <c r="K22" s="16">
        <v>0</v>
      </c>
      <c r="L22" s="16">
        <v>0</v>
      </c>
      <c r="M22" s="16">
        <v>0.56000000000000005</v>
      </c>
      <c r="N22" s="18">
        <f t="shared" si="0"/>
        <v>96592965.165486589</v>
      </c>
      <c r="O22" s="4"/>
    </row>
    <row r="23" spans="1:15" ht="15" x14ac:dyDescent="0.2">
      <c r="A23" s="17" t="s">
        <v>18</v>
      </c>
      <c r="B23" s="16">
        <v>81464130.159999996</v>
      </c>
      <c r="C23" s="16"/>
      <c r="D23" s="16">
        <v>1836351.099036966</v>
      </c>
      <c r="E23" s="16">
        <v>692299.15</v>
      </c>
      <c r="F23" s="16">
        <v>247087.84</v>
      </c>
      <c r="G23" s="16">
        <v>178978.03</v>
      </c>
      <c r="H23" s="16">
        <v>4509303.58</v>
      </c>
      <c r="I23" s="16">
        <v>841194.84</v>
      </c>
      <c r="J23" s="16">
        <v>5987167.7399999993</v>
      </c>
      <c r="K23" s="16">
        <v>0</v>
      </c>
      <c r="L23" s="16">
        <v>0</v>
      </c>
      <c r="M23" s="16">
        <v>0.53</v>
      </c>
      <c r="N23" s="18">
        <f t="shared" si="0"/>
        <v>95756512.969036967</v>
      </c>
      <c r="O23" s="4"/>
    </row>
    <row r="24" spans="1:15" ht="15" x14ac:dyDescent="0.2">
      <c r="A24" s="17" t="s">
        <v>19</v>
      </c>
      <c r="B24" s="16">
        <v>24923468.839999996</v>
      </c>
      <c r="C24" s="16"/>
      <c r="D24" s="16">
        <v>823684.30635772808</v>
      </c>
      <c r="E24" s="16">
        <v>212166.18</v>
      </c>
      <c r="F24" s="16">
        <v>256915.19</v>
      </c>
      <c r="G24" s="16">
        <v>40997.151445022937</v>
      </c>
      <c r="H24" s="16">
        <v>1379594.77</v>
      </c>
      <c r="I24" s="16">
        <v>874651.46</v>
      </c>
      <c r="J24" s="16">
        <v>4862495.1600000011</v>
      </c>
      <c r="K24" s="16">
        <v>0</v>
      </c>
      <c r="L24" s="16">
        <v>0</v>
      </c>
      <c r="M24" s="16">
        <v>0.56000000000000005</v>
      </c>
      <c r="N24" s="18">
        <f t="shared" si="0"/>
        <v>33373973.617802747</v>
      </c>
      <c r="O24" s="4"/>
    </row>
    <row r="25" spans="1:15" ht="15" x14ac:dyDescent="0.2">
      <c r="A25" s="17" t="s">
        <v>20</v>
      </c>
      <c r="B25" s="16">
        <v>111605901.25</v>
      </c>
      <c r="C25" s="16"/>
      <c r="D25" s="16">
        <v>941460.33098523598</v>
      </c>
      <c r="E25" s="16">
        <v>939282.69000000006</v>
      </c>
      <c r="F25" s="16">
        <v>1139446.97</v>
      </c>
      <c r="G25" s="16">
        <v>408610.23</v>
      </c>
      <c r="H25" s="16">
        <v>6177748.2800000003</v>
      </c>
      <c r="I25" s="16">
        <v>3879174.8</v>
      </c>
      <c r="J25" s="16">
        <v>11848023.900000002</v>
      </c>
      <c r="K25" s="16">
        <v>0</v>
      </c>
      <c r="L25" s="16">
        <v>0</v>
      </c>
      <c r="M25" s="16">
        <v>2.48</v>
      </c>
      <c r="N25" s="18">
        <f t="shared" si="0"/>
        <v>136939650.93098521</v>
      </c>
      <c r="O25" s="4"/>
    </row>
    <row r="26" spans="1:15" ht="15" x14ac:dyDescent="0.2">
      <c r="A26" s="17" t="s">
        <v>21</v>
      </c>
      <c r="B26" s="16">
        <v>41290351.890000001</v>
      </c>
      <c r="C26" s="16"/>
      <c r="D26" s="16">
        <v>993605.39059564786</v>
      </c>
      <c r="E26" s="16">
        <v>358846.50000000006</v>
      </c>
      <c r="F26" s="16">
        <v>518217.6</v>
      </c>
      <c r="G26" s="16">
        <v>224229.08</v>
      </c>
      <c r="H26" s="16">
        <v>2285554.7799999998</v>
      </c>
      <c r="I26" s="16">
        <v>1764238.9</v>
      </c>
      <c r="J26" s="16">
        <v>7929413.1000000024</v>
      </c>
      <c r="K26" s="16">
        <v>0</v>
      </c>
      <c r="L26" s="16">
        <v>0</v>
      </c>
      <c r="M26" s="16">
        <v>1.1299999999999999</v>
      </c>
      <c r="N26" s="18">
        <f t="shared" si="0"/>
        <v>55364458.370595649</v>
      </c>
      <c r="O26" s="4"/>
    </row>
    <row r="27" spans="1:15" ht="15" x14ac:dyDescent="0.2">
      <c r="A27" s="17" t="s">
        <v>22</v>
      </c>
      <c r="B27" s="16">
        <v>21304969.459999997</v>
      </c>
      <c r="C27" s="16"/>
      <c r="D27" s="16">
        <v>613697.43063802598</v>
      </c>
      <c r="E27" s="16">
        <v>189562.71</v>
      </c>
      <c r="F27" s="16">
        <v>128808.57</v>
      </c>
      <c r="G27" s="16">
        <v>62811.16</v>
      </c>
      <c r="H27" s="16">
        <v>1179299.1000000001</v>
      </c>
      <c r="I27" s="16">
        <v>438520.61</v>
      </c>
      <c r="J27" s="16">
        <v>2319280.9199999995</v>
      </c>
      <c r="K27" s="16">
        <v>0</v>
      </c>
      <c r="L27" s="16">
        <v>0</v>
      </c>
      <c r="M27" s="16">
        <v>0.28000000000000003</v>
      </c>
      <c r="N27" s="18">
        <f t="shared" si="0"/>
        <v>26236950.240638025</v>
      </c>
      <c r="O27" s="4"/>
    </row>
    <row r="28" spans="1:15" ht="15" x14ac:dyDescent="0.2">
      <c r="A28" s="17" t="s">
        <v>23</v>
      </c>
      <c r="B28" s="16">
        <v>70295533.879999995</v>
      </c>
      <c r="C28" s="16"/>
      <c r="D28" s="16">
        <v>1388346.7833534821</v>
      </c>
      <c r="E28" s="16">
        <v>594635.43000000005</v>
      </c>
      <c r="F28" s="16">
        <v>177418.89</v>
      </c>
      <c r="G28" s="16">
        <v>95905.21</v>
      </c>
      <c r="H28" s="16">
        <v>3891085.59</v>
      </c>
      <c r="I28" s="16">
        <v>604011.35</v>
      </c>
      <c r="J28" s="16">
        <v>4649454.1799999978</v>
      </c>
      <c r="K28" s="16">
        <v>0</v>
      </c>
      <c r="L28" s="16">
        <v>0</v>
      </c>
      <c r="M28" s="16">
        <v>0.38</v>
      </c>
      <c r="N28" s="18">
        <f t="shared" si="0"/>
        <v>81696391.693353459</v>
      </c>
      <c r="O28" s="4"/>
    </row>
    <row r="29" spans="1:15" ht="15" x14ac:dyDescent="0.2">
      <c r="A29" s="17" t="s">
        <v>24</v>
      </c>
      <c r="B29" s="16">
        <v>41892243.729999997</v>
      </c>
      <c r="C29" s="16"/>
      <c r="D29" s="16">
        <v>1344343.8116454643</v>
      </c>
      <c r="E29" s="16">
        <v>358965.74</v>
      </c>
      <c r="F29" s="16">
        <v>110733.25</v>
      </c>
      <c r="G29" s="16">
        <v>49978.77</v>
      </c>
      <c r="H29" s="16">
        <v>2318871.44</v>
      </c>
      <c r="I29" s="16">
        <v>376984.34</v>
      </c>
      <c r="J29" s="16">
        <v>4165882.1999999988</v>
      </c>
      <c r="K29" s="16">
        <v>0</v>
      </c>
      <c r="L29" s="16">
        <v>0</v>
      </c>
      <c r="M29" s="16">
        <v>0.24</v>
      </c>
      <c r="N29" s="18">
        <f t="shared" si="0"/>
        <v>50618003.521645464</v>
      </c>
      <c r="O29" s="4"/>
    </row>
    <row r="30" spans="1:15" ht="15" x14ac:dyDescent="0.2">
      <c r="A30" s="17" t="s">
        <v>25</v>
      </c>
      <c r="B30" s="16">
        <v>14421099.619999999</v>
      </c>
      <c r="C30" s="16"/>
      <c r="D30" s="16">
        <v>688846.06333842</v>
      </c>
      <c r="E30" s="16">
        <v>121346.67000000001</v>
      </c>
      <c r="F30" s="16">
        <v>95641.24</v>
      </c>
      <c r="G30" s="16">
        <v>63486.55</v>
      </c>
      <c r="H30" s="16">
        <v>798254.6</v>
      </c>
      <c r="I30" s="16">
        <v>325604.53999999998</v>
      </c>
      <c r="J30" s="16">
        <v>3151779.4799999986</v>
      </c>
      <c r="K30" s="16">
        <v>0</v>
      </c>
      <c r="L30" s="16">
        <v>0</v>
      </c>
      <c r="M30" s="16">
        <v>0.2</v>
      </c>
      <c r="N30" s="18">
        <f t="shared" si="0"/>
        <v>19666058.963338416</v>
      </c>
      <c r="O30" s="4"/>
    </row>
    <row r="31" spans="1:15" ht="15" x14ac:dyDescent="0.2">
      <c r="A31" s="17" t="s">
        <v>26</v>
      </c>
      <c r="B31" s="16">
        <v>26398890.16</v>
      </c>
      <c r="C31" s="16"/>
      <c r="D31" s="16">
        <v>485447.85078736208</v>
      </c>
      <c r="E31" s="16">
        <v>222049.97000000003</v>
      </c>
      <c r="F31" s="16">
        <v>114243.02</v>
      </c>
      <c r="G31" s="16">
        <v>35795.61</v>
      </c>
      <c r="H31" s="16">
        <v>1461264.12</v>
      </c>
      <c r="I31" s="16">
        <v>388933.13</v>
      </c>
      <c r="J31" s="16">
        <v>2232520.1999999993</v>
      </c>
      <c r="K31" s="16">
        <v>0</v>
      </c>
      <c r="L31" s="16">
        <v>0</v>
      </c>
      <c r="M31" s="16">
        <v>0.24</v>
      </c>
      <c r="N31" s="18">
        <f t="shared" si="0"/>
        <v>31339144.300787356</v>
      </c>
      <c r="O31" s="4"/>
    </row>
    <row r="32" spans="1:15" ht="15" x14ac:dyDescent="0.2">
      <c r="A32" s="17" t="s">
        <v>27</v>
      </c>
      <c r="B32" s="16">
        <v>120695754.71999998</v>
      </c>
      <c r="C32" s="16"/>
      <c r="D32" s="16">
        <v>2239016.9644871396</v>
      </c>
      <c r="E32" s="16">
        <v>1022604.4</v>
      </c>
      <c r="F32" s="16">
        <v>336937.96</v>
      </c>
      <c r="G32" s="16">
        <v>210721.31</v>
      </c>
      <c r="H32" s="16">
        <v>6680901.1200000001</v>
      </c>
      <c r="I32" s="16">
        <v>1147083.8799999999</v>
      </c>
      <c r="J32" s="16">
        <v>7204910.3999999976</v>
      </c>
      <c r="K32" s="16">
        <v>0</v>
      </c>
      <c r="L32" s="16">
        <v>0</v>
      </c>
      <c r="M32" s="16">
        <v>0.73</v>
      </c>
      <c r="N32" s="18">
        <f t="shared" si="0"/>
        <v>139537931.48448712</v>
      </c>
      <c r="O32" s="4"/>
    </row>
    <row r="33" spans="1:15" ht="15" x14ac:dyDescent="0.2">
      <c r="A33" s="17" t="s">
        <v>28</v>
      </c>
      <c r="B33" s="16">
        <v>78044355.160000011</v>
      </c>
      <c r="C33" s="16"/>
      <c r="D33" s="16">
        <v>1634812.0782082062</v>
      </c>
      <c r="E33" s="16">
        <v>666378.12000000011</v>
      </c>
      <c r="F33" s="16">
        <v>247263.32</v>
      </c>
      <c r="G33" s="16">
        <v>158040.98000000001</v>
      </c>
      <c r="H33" s="16">
        <v>4320007.95</v>
      </c>
      <c r="I33" s="16">
        <v>841792.28</v>
      </c>
      <c r="J33" s="16">
        <v>6757608.9599999972</v>
      </c>
      <c r="K33" s="16">
        <v>0</v>
      </c>
      <c r="L33" s="16">
        <v>0</v>
      </c>
      <c r="M33" s="16">
        <v>0.53</v>
      </c>
      <c r="N33" s="18">
        <f t="shared" si="0"/>
        <v>92670259.37820822</v>
      </c>
      <c r="O33" s="4"/>
    </row>
    <row r="34" spans="1:15" ht="15" x14ac:dyDescent="0.2">
      <c r="A34" s="17" t="s">
        <v>29</v>
      </c>
      <c r="B34" s="16">
        <v>108813752.16</v>
      </c>
      <c r="C34" s="16"/>
      <c r="D34" s="16">
        <v>2175795.2110922597</v>
      </c>
      <c r="E34" s="16">
        <v>1308045.44</v>
      </c>
      <c r="F34" s="16">
        <v>359575.98</v>
      </c>
      <c r="G34" s="16">
        <v>277584.8</v>
      </c>
      <c r="H34" s="16">
        <v>6023193.7800000003</v>
      </c>
      <c r="I34" s="16">
        <v>1224153.57</v>
      </c>
      <c r="J34" s="16">
        <v>8719519.8599999957</v>
      </c>
      <c r="K34" s="16">
        <v>0</v>
      </c>
      <c r="L34" s="16">
        <v>0</v>
      </c>
      <c r="M34" s="16">
        <v>0.78</v>
      </c>
      <c r="N34" s="18">
        <f t="shared" si="0"/>
        <v>128901621.58109225</v>
      </c>
      <c r="O34" s="4"/>
    </row>
    <row r="35" spans="1:15" ht="15" x14ac:dyDescent="0.2">
      <c r="A35" s="17" t="s">
        <v>30</v>
      </c>
      <c r="B35" s="16">
        <v>52430354.740000002</v>
      </c>
      <c r="C35" s="16"/>
      <c r="D35" s="16">
        <v>1129216.1608297401</v>
      </c>
      <c r="E35" s="16">
        <v>451345.71</v>
      </c>
      <c r="F35" s="16">
        <v>224800.79</v>
      </c>
      <c r="G35" s="16">
        <v>107386.82</v>
      </c>
      <c r="H35" s="16">
        <v>2902190.03</v>
      </c>
      <c r="I35" s="16">
        <v>765320.02</v>
      </c>
      <c r="J35" s="16">
        <v>3188536.5599999991</v>
      </c>
      <c r="K35" s="16">
        <v>0</v>
      </c>
      <c r="L35" s="16">
        <v>0</v>
      </c>
      <c r="M35" s="16">
        <v>0.49</v>
      </c>
      <c r="N35" s="18">
        <f t="shared" si="0"/>
        <v>61199151.320829749</v>
      </c>
      <c r="O35" s="4"/>
    </row>
    <row r="36" spans="1:15" ht="15" x14ac:dyDescent="0.2">
      <c r="A36" s="17" t="s">
        <v>31</v>
      </c>
      <c r="B36" s="16">
        <v>56476326.00999999</v>
      </c>
      <c r="C36" s="16"/>
      <c r="D36" s="16">
        <v>1119849.516273038</v>
      </c>
      <c r="E36" s="16">
        <v>478298.52</v>
      </c>
      <c r="F36" s="16">
        <v>141443.74</v>
      </c>
      <c r="G36" s="16">
        <v>68214.27</v>
      </c>
      <c r="H36" s="16">
        <v>3126147.65</v>
      </c>
      <c r="I36" s="16">
        <v>481536.25</v>
      </c>
      <c r="J36" s="16">
        <v>4175220.6000000015</v>
      </c>
      <c r="K36" s="16">
        <v>0</v>
      </c>
      <c r="L36" s="16">
        <v>0</v>
      </c>
      <c r="M36" s="16">
        <v>0.3</v>
      </c>
      <c r="N36" s="18">
        <f t="shared" si="0"/>
        <v>66067036.856273033</v>
      </c>
      <c r="O36" s="4"/>
    </row>
    <row r="37" spans="1:15" ht="15" x14ac:dyDescent="0.2">
      <c r="A37" s="17" t="s">
        <v>32</v>
      </c>
      <c r="B37" s="16">
        <v>62725421.560000002</v>
      </c>
      <c r="C37" s="16"/>
      <c r="D37" s="16">
        <v>1486077.1536372241</v>
      </c>
      <c r="E37" s="16">
        <v>527599.74</v>
      </c>
      <c r="F37" s="16">
        <v>262355.34000000003</v>
      </c>
      <c r="G37" s="16">
        <v>99282.15</v>
      </c>
      <c r="H37" s="16">
        <v>3472055.34</v>
      </c>
      <c r="I37" s="16">
        <v>893172.08</v>
      </c>
      <c r="J37" s="16">
        <v>5390844.4799999995</v>
      </c>
      <c r="K37" s="16">
        <v>0</v>
      </c>
      <c r="L37" s="16">
        <v>0</v>
      </c>
      <c r="M37" s="16">
        <v>0.56999999999999995</v>
      </c>
      <c r="N37" s="18">
        <f t="shared" si="0"/>
        <v>74856808.413637221</v>
      </c>
      <c r="O37" s="4"/>
    </row>
    <row r="38" spans="1:15" ht="15" x14ac:dyDescent="0.2">
      <c r="A38" s="17" t="s">
        <v>33</v>
      </c>
      <c r="B38" s="16">
        <v>57397034.640000001</v>
      </c>
      <c r="C38" s="16"/>
      <c r="D38" s="16">
        <v>440672.92139617802</v>
      </c>
      <c r="E38" s="16">
        <v>483877.63</v>
      </c>
      <c r="F38" s="16">
        <v>234452.66</v>
      </c>
      <c r="G38" s="16">
        <v>268804.75</v>
      </c>
      <c r="H38" s="16">
        <v>3177111.86</v>
      </c>
      <c r="I38" s="16">
        <v>798179.2</v>
      </c>
      <c r="J38" s="16">
        <v>8923771.799999997</v>
      </c>
      <c r="K38" s="16">
        <v>0</v>
      </c>
      <c r="L38" s="16">
        <v>0</v>
      </c>
      <c r="M38" s="16">
        <v>0.51</v>
      </c>
      <c r="N38" s="18">
        <f t="shared" si="0"/>
        <v>71723905.971396193</v>
      </c>
      <c r="O38" s="4"/>
    </row>
    <row r="39" spans="1:15" ht="15" x14ac:dyDescent="0.2">
      <c r="A39" s="17" t="s">
        <v>34</v>
      </c>
      <c r="B39" s="16">
        <v>95004552.00999999</v>
      </c>
      <c r="C39" s="16"/>
      <c r="D39" s="16">
        <v>2065543.6109226821</v>
      </c>
      <c r="E39" s="16">
        <v>801837.49</v>
      </c>
      <c r="F39" s="16">
        <v>298681.46000000002</v>
      </c>
      <c r="G39" s="16">
        <v>165470.26</v>
      </c>
      <c r="H39" s="16">
        <v>5258809.8099999996</v>
      </c>
      <c r="I39" s="16">
        <v>1016842.06</v>
      </c>
      <c r="J39" s="16">
        <v>7600340.5199999977</v>
      </c>
      <c r="K39" s="16">
        <v>0</v>
      </c>
      <c r="L39" s="16">
        <v>0</v>
      </c>
      <c r="M39" s="16">
        <v>0.65</v>
      </c>
      <c r="N39" s="18">
        <f t="shared" si="0"/>
        <v>112212077.87092267</v>
      </c>
      <c r="O39" s="4"/>
    </row>
    <row r="40" spans="1:15" ht="15" x14ac:dyDescent="0.2">
      <c r="A40" s="17" t="s">
        <v>35</v>
      </c>
      <c r="B40" s="16">
        <v>63647559.890000001</v>
      </c>
      <c r="C40" s="16"/>
      <c r="D40" s="16">
        <v>1777572.217839774</v>
      </c>
      <c r="E40" s="16">
        <v>544678.85</v>
      </c>
      <c r="F40" s="16">
        <v>159519.06</v>
      </c>
      <c r="G40" s="16">
        <v>72941.990000000005</v>
      </c>
      <c r="H40" s="16">
        <v>3523098.68</v>
      </c>
      <c r="I40" s="16">
        <v>543072.52</v>
      </c>
      <c r="J40" s="16">
        <v>4229697.2400000012</v>
      </c>
      <c r="K40" s="16">
        <v>0</v>
      </c>
      <c r="L40" s="16">
        <v>0</v>
      </c>
      <c r="M40" s="16">
        <v>0.34</v>
      </c>
      <c r="N40" s="18">
        <f t="shared" ref="N40:N71" si="1">SUM(B40:M40)</f>
        <v>74498140.787839785</v>
      </c>
      <c r="O40" s="4"/>
    </row>
    <row r="41" spans="1:15" ht="15" x14ac:dyDescent="0.2">
      <c r="A41" s="17" t="s">
        <v>36</v>
      </c>
      <c r="B41" s="16">
        <v>65946472.170000002</v>
      </c>
      <c r="C41" s="16"/>
      <c r="D41" s="16">
        <v>840646.71462848806</v>
      </c>
      <c r="E41" s="16">
        <v>554692.59000000008</v>
      </c>
      <c r="F41" s="16">
        <v>270076.83</v>
      </c>
      <c r="G41" s="16">
        <v>116842.26</v>
      </c>
      <c r="H41" s="16">
        <v>3650350.93</v>
      </c>
      <c r="I41" s="16">
        <v>919459.42</v>
      </c>
      <c r="J41" s="16">
        <v>4291660.2599999988</v>
      </c>
      <c r="K41" s="16">
        <v>0</v>
      </c>
      <c r="L41" s="16">
        <v>0</v>
      </c>
      <c r="M41" s="16">
        <v>0.57999999999999996</v>
      </c>
      <c r="N41" s="18">
        <f t="shared" si="1"/>
        <v>76590201.754628509</v>
      </c>
      <c r="O41" s="4"/>
    </row>
    <row r="42" spans="1:15" ht="15" x14ac:dyDescent="0.2">
      <c r="A42" s="17" t="s">
        <v>37</v>
      </c>
      <c r="B42" s="16">
        <v>40626984.149999999</v>
      </c>
      <c r="C42" s="16"/>
      <c r="D42" s="16">
        <v>386601.67029068398</v>
      </c>
      <c r="E42" s="16">
        <v>355953.39999999997</v>
      </c>
      <c r="F42" s="16">
        <v>733542.02</v>
      </c>
      <c r="G42" s="16">
        <v>0</v>
      </c>
      <c r="H42" s="16">
        <v>2248835.2200000002</v>
      </c>
      <c r="I42" s="16">
        <v>2497297.19</v>
      </c>
      <c r="J42" s="16">
        <v>6687798.6600000011</v>
      </c>
      <c r="K42" s="16">
        <v>0</v>
      </c>
      <c r="L42" s="16">
        <v>0</v>
      </c>
      <c r="M42" s="16">
        <v>1.6</v>
      </c>
      <c r="N42" s="18">
        <f t="shared" si="1"/>
        <v>53537013.910290688</v>
      </c>
      <c r="O42" s="4"/>
    </row>
    <row r="43" spans="1:15" ht="15" x14ac:dyDescent="0.2">
      <c r="A43" s="17" t="s">
        <v>38</v>
      </c>
      <c r="B43" s="16">
        <v>146452722.31999999</v>
      </c>
      <c r="C43" s="16"/>
      <c r="D43" s="16">
        <v>2266265.2727710679</v>
      </c>
      <c r="E43" s="16">
        <v>1238566.56</v>
      </c>
      <c r="F43" s="16">
        <v>3050341.5</v>
      </c>
      <c r="G43" s="16">
        <v>923256.5</v>
      </c>
      <c r="H43" s="16">
        <v>8106632.7400000002</v>
      </c>
      <c r="I43" s="16">
        <v>10384693.720000001</v>
      </c>
      <c r="J43" s="16">
        <v>20702095.379999999</v>
      </c>
      <c r="K43" s="16">
        <v>0</v>
      </c>
      <c r="L43" s="16">
        <v>0</v>
      </c>
      <c r="M43" s="16">
        <v>6.66</v>
      </c>
      <c r="N43" s="18">
        <f t="shared" si="1"/>
        <v>193124580.65277106</v>
      </c>
      <c r="O43" s="4"/>
    </row>
    <row r="44" spans="1:15" ht="15" x14ac:dyDescent="0.2">
      <c r="A44" s="17" t="s">
        <v>39</v>
      </c>
      <c r="B44" s="16">
        <v>210666432.32999998</v>
      </c>
      <c r="C44" s="16"/>
      <c r="D44" s="16">
        <v>1370013.472693254</v>
      </c>
      <c r="E44" s="16">
        <v>1791264.8099999998</v>
      </c>
      <c r="F44" s="16">
        <v>3838109.48</v>
      </c>
      <c r="G44" s="16">
        <v>1723310.4194686767</v>
      </c>
      <c r="H44" s="16">
        <v>11661069.67</v>
      </c>
      <c r="I44" s="16">
        <v>13066599.720000001</v>
      </c>
      <c r="J44" s="16">
        <v>26872892.09999999</v>
      </c>
      <c r="K44" s="16">
        <v>0</v>
      </c>
      <c r="L44" s="16">
        <v>0</v>
      </c>
      <c r="M44" s="16">
        <v>8.3800000000000008</v>
      </c>
      <c r="N44" s="18">
        <f t="shared" si="1"/>
        <v>270989700.38216186</v>
      </c>
      <c r="O44" s="4"/>
    </row>
    <row r="45" spans="1:15" ht="15" x14ac:dyDescent="0.2">
      <c r="A45" s="17" t="s">
        <v>40</v>
      </c>
      <c r="B45" s="16">
        <v>59777438.260000005</v>
      </c>
      <c r="C45" s="16"/>
      <c r="D45" s="16">
        <v>1163544.4681505682</v>
      </c>
      <c r="E45" s="16">
        <v>515296.92999999993</v>
      </c>
      <c r="F45" s="16">
        <v>285870.8</v>
      </c>
      <c r="G45" s="16">
        <v>128999.26</v>
      </c>
      <c r="H45" s="16">
        <v>3308874.91</v>
      </c>
      <c r="I45" s="16">
        <v>973228.98</v>
      </c>
      <c r="J45" s="16">
        <v>4026057.3000000012</v>
      </c>
      <c r="K45" s="16">
        <v>0</v>
      </c>
      <c r="L45" s="16">
        <v>0</v>
      </c>
      <c r="M45" s="16">
        <v>0.62</v>
      </c>
      <c r="N45" s="18">
        <f t="shared" si="1"/>
        <v>70179311.528150573</v>
      </c>
      <c r="O45" s="4"/>
    </row>
    <row r="46" spans="1:15" ht="15" x14ac:dyDescent="0.2">
      <c r="A46" s="17" t="s">
        <v>41</v>
      </c>
      <c r="B46" s="16">
        <v>93147408.319999993</v>
      </c>
      <c r="C46" s="16"/>
      <c r="D46" s="16">
        <v>744599.2326932539</v>
      </c>
      <c r="E46" s="16">
        <v>1102433.0900000001</v>
      </c>
      <c r="F46" s="16">
        <v>2254852.0299999998</v>
      </c>
      <c r="G46" s="16">
        <v>194170.38100251116</v>
      </c>
      <c r="H46" s="16">
        <v>5156010.88</v>
      </c>
      <c r="I46" s="16">
        <v>7676500.3799999999</v>
      </c>
      <c r="J46" s="16">
        <v>17957516.939999998</v>
      </c>
      <c r="K46" s="16">
        <v>0</v>
      </c>
      <c r="L46" s="16">
        <v>0</v>
      </c>
      <c r="M46" s="16">
        <v>4.92</v>
      </c>
      <c r="N46" s="18">
        <f t="shared" si="1"/>
        <v>128233496.17369576</v>
      </c>
      <c r="O46" s="4"/>
    </row>
    <row r="47" spans="1:15" ht="15" x14ac:dyDescent="0.2">
      <c r="A47" s="17" t="s">
        <v>42</v>
      </c>
      <c r="B47" s="16">
        <v>277119008.44</v>
      </c>
      <c r="C47" s="16"/>
      <c r="D47" s="16">
        <v>1351339.335882338</v>
      </c>
      <c r="E47" s="16">
        <v>3279747.48</v>
      </c>
      <c r="F47" s="16">
        <v>7029368.2699999996</v>
      </c>
      <c r="G47" s="16">
        <v>1914960.8786089895</v>
      </c>
      <c r="H47" s="16">
        <v>15339435.08</v>
      </c>
      <c r="I47" s="16">
        <v>23931037.379999999</v>
      </c>
      <c r="J47" s="16">
        <v>41491641.959999993</v>
      </c>
      <c r="K47" s="16">
        <v>0</v>
      </c>
      <c r="L47" s="16">
        <v>0</v>
      </c>
      <c r="M47" s="16">
        <v>15.35</v>
      </c>
      <c r="N47" s="18">
        <f t="shared" si="1"/>
        <v>371456554.17449135</v>
      </c>
      <c r="O47" s="4"/>
    </row>
    <row r="48" spans="1:15" ht="15" x14ac:dyDescent="0.2">
      <c r="A48" s="17" t="s">
        <v>43</v>
      </c>
      <c r="B48" s="16">
        <v>30301894.25</v>
      </c>
      <c r="C48" s="16"/>
      <c r="D48" s="16">
        <v>699932.15883103805</v>
      </c>
      <c r="E48" s="16">
        <v>259867.43999999997</v>
      </c>
      <c r="F48" s="16">
        <v>61070</v>
      </c>
      <c r="G48" s="16">
        <v>38497.160000000003</v>
      </c>
      <c r="H48" s="16">
        <v>1677308.04</v>
      </c>
      <c r="I48" s="16">
        <v>207908.95</v>
      </c>
      <c r="J48" s="16">
        <v>2264992.7399999993</v>
      </c>
      <c r="K48" s="16">
        <v>0</v>
      </c>
      <c r="L48" s="16">
        <v>0</v>
      </c>
      <c r="M48" s="16">
        <v>0.13</v>
      </c>
      <c r="N48" s="18">
        <f t="shared" si="1"/>
        <v>35511470.868831038</v>
      </c>
      <c r="O48" s="4"/>
    </row>
    <row r="49" spans="1:15" ht="15" x14ac:dyDescent="0.2">
      <c r="A49" s="17" t="s">
        <v>44</v>
      </c>
      <c r="B49" s="16">
        <v>49316529.510000005</v>
      </c>
      <c r="C49" s="16"/>
      <c r="D49" s="16">
        <v>1405251.6934665341</v>
      </c>
      <c r="E49" s="16">
        <v>415846.32</v>
      </c>
      <c r="F49" s="16">
        <v>360628.91</v>
      </c>
      <c r="G49" s="16">
        <v>170873.37</v>
      </c>
      <c r="H49" s="16">
        <v>2729829.72</v>
      </c>
      <c r="I49" s="16">
        <v>1227738.21</v>
      </c>
      <c r="J49" s="16">
        <v>5265804.0599999996</v>
      </c>
      <c r="K49" s="16">
        <v>0</v>
      </c>
      <c r="L49" s="16">
        <v>0</v>
      </c>
      <c r="M49" s="16">
        <v>0.78</v>
      </c>
      <c r="N49" s="18">
        <f t="shared" si="1"/>
        <v>60892502.573466539</v>
      </c>
      <c r="O49" s="4"/>
    </row>
    <row r="50" spans="1:15" ht="15" x14ac:dyDescent="0.2">
      <c r="A50" s="17" t="s">
        <v>45</v>
      </c>
      <c r="B50" s="16">
        <v>39253069.520000003</v>
      </c>
      <c r="C50" s="16"/>
      <c r="D50" s="16">
        <v>774461.47104981611</v>
      </c>
      <c r="E50" s="16">
        <v>336973.66000000003</v>
      </c>
      <c r="F50" s="16">
        <v>101081.38</v>
      </c>
      <c r="G50" s="16">
        <v>47952.61</v>
      </c>
      <c r="H50" s="16">
        <v>2172784.6</v>
      </c>
      <c r="I50" s="16">
        <v>344125.16</v>
      </c>
      <c r="J50" s="16">
        <v>3792958.3800000008</v>
      </c>
      <c r="K50" s="16">
        <v>0</v>
      </c>
      <c r="L50" s="16">
        <v>0</v>
      </c>
      <c r="M50" s="16">
        <v>0.22</v>
      </c>
      <c r="N50" s="18">
        <f t="shared" si="1"/>
        <v>46823407.001049817</v>
      </c>
      <c r="O50" s="4"/>
    </row>
    <row r="51" spans="1:15" ht="15" x14ac:dyDescent="0.2">
      <c r="A51" s="17" t="s">
        <v>46</v>
      </c>
      <c r="B51" s="16">
        <v>38706934.920000002</v>
      </c>
      <c r="C51" s="16"/>
      <c r="D51" s="16">
        <v>1420481.4053301141</v>
      </c>
      <c r="E51" s="16">
        <v>326184.56999999995</v>
      </c>
      <c r="F51" s="16">
        <v>126000.75</v>
      </c>
      <c r="G51" s="16">
        <v>64161.94</v>
      </c>
      <c r="H51" s="16">
        <v>2142554.2799999998</v>
      </c>
      <c r="I51" s="16">
        <v>428961.57</v>
      </c>
      <c r="J51" s="16">
        <v>2631057.8399999989</v>
      </c>
      <c r="K51" s="16">
        <v>0</v>
      </c>
      <c r="L51" s="16">
        <v>0</v>
      </c>
      <c r="M51" s="16">
        <v>0.27</v>
      </c>
      <c r="N51" s="18">
        <f t="shared" si="1"/>
        <v>45846337.545330115</v>
      </c>
      <c r="O51" s="4"/>
    </row>
    <row r="52" spans="1:15" ht="15" x14ac:dyDescent="0.2">
      <c r="A52" s="17" t="s">
        <v>47</v>
      </c>
      <c r="B52" s="16">
        <v>42143865.969999999</v>
      </c>
      <c r="C52" s="16"/>
      <c r="D52" s="16">
        <v>1067232.9846497101</v>
      </c>
      <c r="E52" s="16">
        <v>359900.39</v>
      </c>
      <c r="F52" s="16">
        <v>115997.91</v>
      </c>
      <c r="G52" s="16">
        <v>74968.160000000003</v>
      </c>
      <c r="H52" s="16">
        <v>2332799.5499999998</v>
      </c>
      <c r="I52" s="16">
        <v>394907.52</v>
      </c>
      <c r="J52" s="16">
        <v>3530981.1600000011</v>
      </c>
      <c r="K52" s="16">
        <v>0</v>
      </c>
      <c r="L52" s="16">
        <v>0</v>
      </c>
      <c r="M52" s="16">
        <v>0.25</v>
      </c>
      <c r="N52" s="18">
        <f t="shared" si="1"/>
        <v>50020653.894649707</v>
      </c>
      <c r="O52" s="4"/>
    </row>
    <row r="53" spans="1:15" ht="15" x14ac:dyDescent="0.2">
      <c r="A53" s="17" t="s">
        <v>48</v>
      </c>
      <c r="B53" s="16">
        <v>15188833.380000003</v>
      </c>
      <c r="C53" s="16"/>
      <c r="D53" s="16">
        <v>732312.05243898602</v>
      </c>
      <c r="E53" s="16">
        <v>127746.25</v>
      </c>
      <c r="F53" s="16">
        <v>20181.18</v>
      </c>
      <c r="G53" s="16">
        <v>12157</v>
      </c>
      <c r="H53" s="16">
        <v>840751.15</v>
      </c>
      <c r="I53" s="16">
        <v>68705.539999999994</v>
      </c>
      <c r="J53" s="16">
        <v>1751898.7799999996</v>
      </c>
      <c r="K53" s="16">
        <v>0</v>
      </c>
      <c r="L53" s="16">
        <v>0</v>
      </c>
      <c r="M53" s="16">
        <v>0.04</v>
      </c>
      <c r="N53" s="18">
        <f t="shared" si="1"/>
        <v>18742585.372438986</v>
      </c>
      <c r="O53" s="4"/>
    </row>
    <row r="54" spans="1:15" ht="15" x14ac:dyDescent="0.2">
      <c r="A54" s="17" t="s">
        <v>49</v>
      </c>
      <c r="B54" s="16">
        <v>52614782.440000005</v>
      </c>
      <c r="C54" s="16"/>
      <c r="D54" s="16">
        <v>1318128.748923914</v>
      </c>
      <c r="E54" s="16">
        <v>442516.66000000003</v>
      </c>
      <c r="F54" s="16">
        <v>69317.960000000006</v>
      </c>
      <c r="G54" s="16">
        <v>46601.83</v>
      </c>
      <c r="H54" s="16">
        <v>2912398.7</v>
      </c>
      <c r="I54" s="16">
        <v>235988.61</v>
      </c>
      <c r="J54" s="16">
        <v>4048657.9199999995</v>
      </c>
      <c r="K54" s="16">
        <v>0</v>
      </c>
      <c r="L54" s="16">
        <v>0</v>
      </c>
      <c r="M54" s="16">
        <v>0.15</v>
      </c>
      <c r="N54" s="18">
        <f t="shared" si="1"/>
        <v>61688393.018923916</v>
      </c>
      <c r="O54" s="4"/>
    </row>
    <row r="55" spans="1:15" ht="15" x14ac:dyDescent="0.2">
      <c r="A55" s="17" t="s">
        <v>50</v>
      </c>
      <c r="B55" s="16">
        <v>19344889.380000003</v>
      </c>
      <c r="C55" s="16"/>
      <c r="D55" s="16">
        <v>481945.02298407</v>
      </c>
      <c r="E55" s="16">
        <v>162777.21000000002</v>
      </c>
      <c r="F55" s="16">
        <v>127931.13</v>
      </c>
      <c r="G55" s="16">
        <v>64161.94</v>
      </c>
      <c r="H55" s="16">
        <v>1070802.32</v>
      </c>
      <c r="I55" s="16">
        <v>435533.41</v>
      </c>
      <c r="J55" s="16">
        <v>2896393.86</v>
      </c>
      <c r="K55" s="16">
        <v>0</v>
      </c>
      <c r="L55" s="16">
        <v>0</v>
      </c>
      <c r="M55" s="16">
        <v>0.27</v>
      </c>
      <c r="N55" s="18">
        <f t="shared" si="1"/>
        <v>24584434.542984072</v>
      </c>
      <c r="O55" s="4"/>
    </row>
    <row r="56" spans="1:15" ht="15" x14ac:dyDescent="0.2">
      <c r="A56" s="17" t="s">
        <v>51</v>
      </c>
      <c r="B56" s="16">
        <v>18545702.82</v>
      </c>
      <c r="C56" s="16"/>
      <c r="D56" s="16">
        <v>403062.37610948802</v>
      </c>
      <c r="E56" s="16">
        <v>155992.14000000001</v>
      </c>
      <c r="F56" s="16">
        <v>36150.629999999997</v>
      </c>
      <c r="G56" s="16">
        <v>16209.33</v>
      </c>
      <c r="H56" s="16">
        <v>1026564.75</v>
      </c>
      <c r="I56" s="16">
        <v>123072.54</v>
      </c>
      <c r="J56" s="16">
        <v>2355802.7399999993</v>
      </c>
      <c r="K56" s="16">
        <v>0</v>
      </c>
      <c r="L56" s="16">
        <v>0</v>
      </c>
      <c r="M56" s="16">
        <v>7.0000000000000007E-2</v>
      </c>
      <c r="N56" s="18">
        <f t="shared" si="1"/>
        <v>22662557.396109484</v>
      </c>
      <c r="O56" s="4"/>
    </row>
    <row r="57" spans="1:15" ht="15" x14ac:dyDescent="0.2">
      <c r="A57" s="17" t="s">
        <v>52</v>
      </c>
      <c r="B57" s="16">
        <v>51162235.859999999</v>
      </c>
      <c r="C57" s="16"/>
      <c r="D57" s="16">
        <v>1159310.75214817</v>
      </c>
      <c r="E57" s="16">
        <v>444271.91000000003</v>
      </c>
      <c r="F57" s="16">
        <v>185666.85</v>
      </c>
      <c r="G57" s="16">
        <v>85098.99</v>
      </c>
      <c r="H57" s="16">
        <v>2831995.54</v>
      </c>
      <c r="I57" s="16">
        <v>632091.01</v>
      </c>
      <c r="J57" s="16">
        <v>4995618.3</v>
      </c>
      <c r="K57" s="16">
        <v>0</v>
      </c>
      <c r="L57" s="16">
        <v>0</v>
      </c>
      <c r="M57" s="16">
        <v>0.4</v>
      </c>
      <c r="N57" s="18">
        <f t="shared" si="1"/>
        <v>61496289.612148158</v>
      </c>
      <c r="O57" s="4"/>
    </row>
    <row r="58" spans="1:15" ht="15" x14ac:dyDescent="0.2">
      <c r="A58" s="17" t="s">
        <v>53</v>
      </c>
      <c r="B58" s="16">
        <v>40927215.25</v>
      </c>
      <c r="C58" s="16"/>
      <c r="D58" s="16">
        <v>625172.50567732402</v>
      </c>
      <c r="E58" s="16">
        <v>346766.06</v>
      </c>
      <c r="F58" s="16">
        <v>108100.93</v>
      </c>
      <c r="G58" s="16">
        <v>48627.99</v>
      </c>
      <c r="H58" s="16">
        <v>2265453.9900000002</v>
      </c>
      <c r="I58" s="16">
        <v>368022.74</v>
      </c>
      <c r="J58" s="16">
        <v>2797391.1600000011</v>
      </c>
      <c r="K58" s="16">
        <v>0</v>
      </c>
      <c r="L58" s="16">
        <v>0</v>
      </c>
      <c r="M58" s="16">
        <v>0.23</v>
      </c>
      <c r="N58" s="18">
        <f t="shared" si="1"/>
        <v>47486750.855677336</v>
      </c>
      <c r="O58" s="4"/>
    </row>
    <row r="59" spans="1:15" ht="15" x14ac:dyDescent="0.2">
      <c r="A59" s="17" t="s">
        <v>54</v>
      </c>
      <c r="B59" s="16">
        <v>45525039.829999998</v>
      </c>
      <c r="C59" s="16"/>
      <c r="D59" s="16">
        <v>924355.29252374195</v>
      </c>
      <c r="E59" s="16">
        <v>388195.74999999994</v>
      </c>
      <c r="F59" s="16">
        <v>105293.11</v>
      </c>
      <c r="G59" s="16">
        <v>48627.99</v>
      </c>
      <c r="H59" s="16">
        <v>2519958.48</v>
      </c>
      <c r="I59" s="16">
        <v>358463.71</v>
      </c>
      <c r="J59" s="16">
        <v>3280853.3399999989</v>
      </c>
      <c r="K59" s="16">
        <v>0</v>
      </c>
      <c r="L59" s="16">
        <v>0</v>
      </c>
      <c r="M59" s="16">
        <v>0.22</v>
      </c>
      <c r="N59" s="18">
        <f t="shared" si="1"/>
        <v>53150787.722523734</v>
      </c>
      <c r="O59" s="4"/>
    </row>
    <row r="60" spans="1:15" ht="15" x14ac:dyDescent="0.2">
      <c r="A60" s="17" t="s">
        <v>55</v>
      </c>
      <c r="B60" s="16">
        <v>322774148.48000002</v>
      </c>
      <c r="C60" s="16"/>
      <c r="D60" s="16">
        <v>10446800.366308341</v>
      </c>
      <c r="E60" s="16">
        <v>3833196.25</v>
      </c>
      <c r="F60" s="16">
        <v>5791998.7000000002</v>
      </c>
      <c r="G60" s="16">
        <v>2675890.4899999998</v>
      </c>
      <c r="H60" s="16">
        <v>17866595.02</v>
      </c>
      <c r="I60" s="16">
        <v>19718491.329999998</v>
      </c>
      <c r="J60" s="16">
        <v>53660483.100000016</v>
      </c>
      <c r="K60" s="16">
        <v>0</v>
      </c>
      <c r="L60" s="16">
        <v>0</v>
      </c>
      <c r="M60" s="16">
        <v>12.64</v>
      </c>
      <c r="N60" s="18">
        <f t="shared" si="1"/>
        <v>436767616.37630832</v>
      </c>
      <c r="O60" s="4"/>
    </row>
    <row r="61" spans="1:15" ht="15" x14ac:dyDescent="0.2">
      <c r="A61" s="17" t="s">
        <v>56</v>
      </c>
      <c r="B61" s="16">
        <v>50467415.339999996</v>
      </c>
      <c r="C61" s="16"/>
      <c r="D61" s="16">
        <v>741502.95897238585</v>
      </c>
      <c r="E61" s="16">
        <v>431317.94999999995</v>
      </c>
      <c r="F61" s="16">
        <v>1033978.37</v>
      </c>
      <c r="G61" s="16">
        <v>258024.0614763287</v>
      </c>
      <c r="H61" s="16">
        <v>2793534.98</v>
      </c>
      <c r="I61" s="16">
        <v>3520113.65</v>
      </c>
      <c r="J61" s="16">
        <v>12609236.700000005</v>
      </c>
      <c r="K61" s="16">
        <v>0</v>
      </c>
      <c r="L61" s="16">
        <v>0</v>
      </c>
      <c r="M61" s="16">
        <v>2.25</v>
      </c>
      <c r="N61" s="18">
        <f t="shared" si="1"/>
        <v>71855126.260448709</v>
      </c>
      <c r="O61" s="4"/>
    </row>
    <row r="62" spans="1:15" ht="15" x14ac:dyDescent="0.2">
      <c r="A62" s="17" t="s">
        <v>57</v>
      </c>
      <c r="B62" s="16">
        <v>304584433.86000001</v>
      </c>
      <c r="C62" s="16"/>
      <c r="D62" s="16">
        <v>2954673.46</v>
      </c>
      <c r="E62" s="16">
        <v>3689020.45</v>
      </c>
      <c r="F62" s="16">
        <v>4636231.28</v>
      </c>
      <c r="G62" s="16">
        <v>0</v>
      </c>
      <c r="H62" s="16">
        <v>16859735.379999999</v>
      </c>
      <c r="I62" s="16">
        <v>15783754.66</v>
      </c>
      <c r="J62" s="16">
        <v>26594529.479999993</v>
      </c>
      <c r="K62" s="16">
        <v>0</v>
      </c>
      <c r="L62" s="16">
        <v>0</v>
      </c>
      <c r="M62" s="16">
        <v>10.119999999999999</v>
      </c>
      <c r="N62" s="18">
        <f t="shared" si="1"/>
        <v>375102388.69</v>
      </c>
      <c r="O62" s="4"/>
    </row>
    <row r="63" spans="1:15" ht="15" x14ac:dyDescent="0.2">
      <c r="A63" s="17" t="s">
        <v>58</v>
      </c>
      <c r="B63" s="16">
        <v>45928207.289999999</v>
      </c>
      <c r="C63" s="16"/>
      <c r="D63" s="16">
        <v>1582843.6620634142</v>
      </c>
      <c r="E63" s="16">
        <v>386302.57</v>
      </c>
      <c r="F63" s="16">
        <v>163379.81</v>
      </c>
      <c r="G63" s="16">
        <v>78345.100000000006</v>
      </c>
      <c r="H63" s="16">
        <v>2542275.1</v>
      </c>
      <c r="I63" s="16">
        <v>556216.18999999994</v>
      </c>
      <c r="J63" s="16">
        <v>3739972.86</v>
      </c>
      <c r="K63" s="16">
        <v>0</v>
      </c>
      <c r="L63" s="16">
        <v>0</v>
      </c>
      <c r="M63" s="16">
        <v>0.35</v>
      </c>
      <c r="N63" s="18">
        <f t="shared" si="1"/>
        <v>54977542.932063416</v>
      </c>
      <c r="O63" s="4"/>
    </row>
    <row r="64" spans="1:15" ht="15" x14ac:dyDescent="0.2">
      <c r="A64" s="17" t="s">
        <v>59</v>
      </c>
      <c r="B64" s="16">
        <v>97284878.590000004</v>
      </c>
      <c r="C64" s="16"/>
      <c r="D64" s="16">
        <v>3531556.2241621981</v>
      </c>
      <c r="E64" s="16">
        <v>828444.6</v>
      </c>
      <c r="F64" s="16">
        <v>299032.44</v>
      </c>
      <c r="G64" s="16">
        <v>133726.98000000001</v>
      </c>
      <c r="H64" s="16">
        <v>5385033.2699999996</v>
      </c>
      <c r="I64" s="16">
        <v>1018036.94</v>
      </c>
      <c r="J64" s="16">
        <v>7797623.9400000004</v>
      </c>
      <c r="K64" s="16">
        <v>0</v>
      </c>
      <c r="L64" s="16">
        <v>0</v>
      </c>
      <c r="M64" s="16">
        <v>0.65</v>
      </c>
      <c r="N64" s="18">
        <f t="shared" si="1"/>
        <v>116278333.63416219</v>
      </c>
      <c r="O64" s="4"/>
    </row>
    <row r="65" spans="1:15" ht="15" x14ac:dyDescent="0.2">
      <c r="A65" s="17" t="s">
        <v>60</v>
      </c>
      <c r="B65" s="16">
        <v>53321040.299999997</v>
      </c>
      <c r="C65" s="16"/>
      <c r="D65" s="16">
        <v>1086522.6486897562</v>
      </c>
      <c r="E65" s="16">
        <v>450638.08000000002</v>
      </c>
      <c r="F65" s="16">
        <v>65106.239999999998</v>
      </c>
      <c r="G65" s="16">
        <v>51329.55</v>
      </c>
      <c r="H65" s="16">
        <v>2951492.36</v>
      </c>
      <c r="I65" s="16">
        <v>221650.06</v>
      </c>
      <c r="J65" s="16">
        <v>4503696.6600000011</v>
      </c>
      <c r="K65" s="16">
        <v>0</v>
      </c>
      <c r="L65" s="16">
        <v>0</v>
      </c>
      <c r="M65" s="16">
        <v>0.14000000000000001</v>
      </c>
      <c r="N65" s="18">
        <f t="shared" si="1"/>
        <v>62651476.038689755</v>
      </c>
      <c r="O65" s="4"/>
    </row>
    <row r="66" spans="1:15" ht="15" x14ac:dyDescent="0.2">
      <c r="A66" s="17" t="s">
        <v>61</v>
      </c>
      <c r="B66" s="16">
        <v>29547027.520000003</v>
      </c>
      <c r="C66" s="16"/>
      <c r="D66" s="16">
        <v>867589.67813648609</v>
      </c>
      <c r="E66" s="16">
        <v>249255.82</v>
      </c>
      <c r="F66" s="16">
        <v>63702.33</v>
      </c>
      <c r="G66" s="16">
        <v>41198.720000000001</v>
      </c>
      <c r="H66" s="16">
        <v>1635523.72</v>
      </c>
      <c r="I66" s="16">
        <v>216870.55</v>
      </c>
      <c r="J66" s="16">
        <v>2028676.32</v>
      </c>
      <c r="K66" s="16">
        <v>0</v>
      </c>
      <c r="L66" s="16">
        <v>0</v>
      </c>
      <c r="M66" s="16">
        <v>0.13</v>
      </c>
      <c r="N66" s="18">
        <f t="shared" si="1"/>
        <v>34649844.78813649</v>
      </c>
      <c r="O66" s="4"/>
    </row>
    <row r="67" spans="1:15" ht="15" x14ac:dyDescent="0.2">
      <c r="A67" s="17" t="s">
        <v>62</v>
      </c>
      <c r="B67" s="16">
        <v>135185478.66000003</v>
      </c>
      <c r="C67" s="16"/>
      <c r="D67" s="16">
        <v>997833.62999999989</v>
      </c>
      <c r="E67" s="16">
        <v>1607850.7999999998</v>
      </c>
      <c r="F67" s="16">
        <v>1711715.05</v>
      </c>
      <c r="G67" s="16">
        <v>865679.53692532633</v>
      </c>
      <c r="H67" s="16">
        <v>7482954.2999999998</v>
      </c>
      <c r="I67" s="16">
        <v>5827425.0700000003</v>
      </c>
      <c r="J67" s="16">
        <v>12972272.760000004</v>
      </c>
      <c r="K67" s="16">
        <v>0</v>
      </c>
      <c r="L67" s="16">
        <v>0</v>
      </c>
      <c r="M67" s="16">
        <v>3.73</v>
      </c>
      <c r="N67" s="18">
        <f t="shared" si="1"/>
        <v>166651213.53692535</v>
      </c>
      <c r="O67" s="4"/>
    </row>
    <row r="68" spans="1:15" ht="15" x14ac:dyDescent="0.2">
      <c r="A68" s="17" t="s">
        <v>63</v>
      </c>
      <c r="B68" s="16">
        <v>83302688.129999995</v>
      </c>
      <c r="C68" s="16"/>
      <c r="D68" s="16">
        <v>1211527.1499999999</v>
      </c>
      <c r="E68" s="16">
        <v>701224.79</v>
      </c>
      <c r="F68" s="16">
        <v>1509552.27</v>
      </c>
      <c r="G68" s="16">
        <v>843978.29371664906</v>
      </c>
      <c r="H68" s="16">
        <v>4611073.72</v>
      </c>
      <c r="I68" s="16">
        <v>5139174.74</v>
      </c>
      <c r="J68" s="16">
        <v>11276749.439999999</v>
      </c>
      <c r="K68" s="16">
        <v>0</v>
      </c>
      <c r="L68" s="16">
        <v>0</v>
      </c>
      <c r="M68" s="16">
        <v>3.29</v>
      </c>
      <c r="N68" s="18">
        <f t="shared" si="1"/>
        <v>108595971.82371666</v>
      </c>
      <c r="O68" s="4"/>
    </row>
    <row r="69" spans="1:15" ht="15" x14ac:dyDescent="0.2">
      <c r="A69" s="17" t="s">
        <v>64</v>
      </c>
      <c r="B69" s="16">
        <v>261629943.90000001</v>
      </c>
      <c r="C69" s="16"/>
      <c r="D69" s="16">
        <v>694428.62037557189</v>
      </c>
      <c r="E69" s="16">
        <v>2202810.75</v>
      </c>
      <c r="F69" s="16">
        <v>4455127.13</v>
      </c>
      <c r="G69" s="16">
        <v>822506.34501978918</v>
      </c>
      <c r="H69" s="16">
        <v>14482065.17</v>
      </c>
      <c r="I69" s="16">
        <v>15167197.07</v>
      </c>
      <c r="J69" s="16">
        <v>24682480.920000002</v>
      </c>
      <c r="K69" s="16">
        <v>0</v>
      </c>
      <c r="L69" s="16">
        <v>0</v>
      </c>
      <c r="M69" s="16">
        <v>9.7200000000000006</v>
      </c>
      <c r="N69" s="18">
        <f t="shared" si="1"/>
        <v>324136569.62539548</v>
      </c>
      <c r="O69" s="4"/>
    </row>
    <row r="70" spans="1:15" ht="15" x14ac:dyDescent="0.2">
      <c r="A70" s="17" t="s">
        <v>65</v>
      </c>
      <c r="B70" s="16">
        <v>59434317.030000001</v>
      </c>
      <c r="C70" s="16"/>
      <c r="D70" s="16">
        <v>2803941.854274204</v>
      </c>
      <c r="E70" s="16">
        <v>530858.36</v>
      </c>
      <c r="F70" s="16">
        <v>989404.29</v>
      </c>
      <c r="G70" s="16">
        <v>390374.73</v>
      </c>
      <c r="H70" s="16">
        <v>3289882.04</v>
      </c>
      <c r="I70" s="16">
        <v>3368364.01</v>
      </c>
      <c r="J70" s="16">
        <v>10827596.159999996</v>
      </c>
      <c r="K70" s="16">
        <v>0</v>
      </c>
      <c r="L70" s="16">
        <v>0</v>
      </c>
      <c r="M70" s="16">
        <v>2.16</v>
      </c>
      <c r="N70" s="18">
        <f t="shared" si="1"/>
        <v>81634740.6342742</v>
      </c>
      <c r="O70" s="4"/>
    </row>
    <row r="71" spans="1:15" ht="15" x14ac:dyDescent="0.2">
      <c r="A71" s="17" t="s">
        <v>66</v>
      </c>
      <c r="B71" s="16">
        <v>196301089.83999997</v>
      </c>
      <c r="C71" s="16"/>
      <c r="D71" s="16">
        <v>825081.28</v>
      </c>
      <c r="E71" s="16">
        <v>2316803.7899999996</v>
      </c>
      <c r="F71" s="16">
        <v>622984.25</v>
      </c>
      <c r="G71" s="16">
        <v>301223.40999999997</v>
      </c>
      <c r="H71" s="16">
        <v>10865901.41</v>
      </c>
      <c r="I71" s="16">
        <v>2120910.29</v>
      </c>
      <c r="J71" s="16">
        <v>8676390.6000000015</v>
      </c>
      <c r="K71" s="16">
        <v>0</v>
      </c>
      <c r="L71" s="16">
        <v>0</v>
      </c>
      <c r="M71" s="16">
        <v>1.36</v>
      </c>
      <c r="N71" s="18">
        <f t="shared" si="1"/>
        <v>222030386.22999996</v>
      </c>
      <c r="O71" s="4"/>
    </row>
    <row r="72" spans="1:15" ht="15" x14ac:dyDescent="0.2">
      <c r="A72" s="17" t="s">
        <v>67</v>
      </c>
      <c r="B72" s="16">
        <v>1051157631.2200001</v>
      </c>
      <c r="C72" s="16"/>
      <c r="D72" s="16">
        <v>5359907.2606521063</v>
      </c>
      <c r="E72" s="16">
        <v>12407436.43</v>
      </c>
      <c r="F72" s="16">
        <v>18127087.690000001</v>
      </c>
      <c r="G72" s="16">
        <v>0</v>
      </c>
      <c r="H72" s="16">
        <v>58184981</v>
      </c>
      <c r="I72" s="16">
        <v>61712515.130000003</v>
      </c>
      <c r="J72" s="16">
        <v>129772449.54000001</v>
      </c>
      <c r="K72" s="16">
        <v>0</v>
      </c>
      <c r="L72" s="16">
        <v>0</v>
      </c>
      <c r="M72" s="16">
        <v>39.58</v>
      </c>
      <c r="N72" s="18">
        <f t="shared" ref="N72:N103" si="2">SUM(B72:M72)</f>
        <v>1336722047.8506522</v>
      </c>
      <c r="O72" s="4"/>
    </row>
    <row r="73" spans="1:15" ht="15" x14ac:dyDescent="0.2">
      <c r="A73" s="17" t="s">
        <v>68</v>
      </c>
      <c r="B73" s="16">
        <v>417857332.57999992</v>
      </c>
      <c r="C73" s="16"/>
      <c r="D73" s="16">
        <v>10492078.668235457</v>
      </c>
      <c r="E73" s="16">
        <v>5066629.7</v>
      </c>
      <c r="F73" s="16">
        <v>6728229.9699999997</v>
      </c>
      <c r="G73" s="16">
        <v>3434130.4080792633</v>
      </c>
      <c r="H73" s="16">
        <v>23129757.359999999</v>
      </c>
      <c r="I73" s="16">
        <v>22905831.16</v>
      </c>
      <c r="J73" s="16">
        <v>56763138.060000017</v>
      </c>
      <c r="K73" s="16">
        <v>0</v>
      </c>
      <c r="L73" s="16">
        <v>0</v>
      </c>
      <c r="M73" s="16">
        <v>14.69</v>
      </c>
      <c r="N73" s="18">
        <f t="shared" si="2"/>
        <v>546377142.59631479</v>
      </c>
      <c r="O73" s="4"/>
    </row>
    <row r="74" spans="1:15" ht="15" x14ac:dyDescent="0.2">
      <c r="A74" s="17" t="s">
        <v>69</v>
      </c>
      <c r="B74" s="16">
        <v>258962176.28</v>
      </c>
      <c r="C74" s="16"/>
      <c r="D74" s="16">
        <v>2863984.5500000007</v>
      </c>
      <c r="E74" s="16">
        <v>3069855.03</v>
      </c>
      <c r="F74" s="16">
        <v>4884898.5199999996</v>
      </c>
      <c r="G74" s="16">
        <v>6016348.0493377745</v>
      </c>
      <c r="H74" s="16">
        <v>14334395.59</v>
      </c>
      <c r="I74" s="16">
        <v>16630326.449999999</v>
      </c>
      <c r="J74" s="16">
        <v>31260635.819999985</v>
      </c>
      <c r="K74" s="16">
        <v>0</v>
      </c>
      <c r="L74" s="16">
        <v>0</v>
      </c>
      <c r="M74" s="16">
        <v>10.66</v>
      </c>
      <c r="N74" s="18">
        <f t="shared" si="2"/>
        <v>338022630.94933772</v>
      </c>
      <c r="O74" s="4"/>
    </row>
    <row r="75" spans="1:15" ht="15" x14ac:dyDescent="0.2">
      <c r="A75" s="17" t="s">
        <v>70</v>
      </c>
      <c r="B75" s="16">
        <v>43652169.759999998</v>
      </c>
      <c r="C75" s="16"/>
      <c r="D75" s="16">
        <v>861711.02718046017</v>
      </c>
      <c r="E75" s="16">
        <v>368499.04</v>
      </c>
      <c r="F75" s="16">
        <v>88797.19</v>
      </c>
      <c r="G75" s="16">
        <v>43900.27</v>
      </c>
      <c r="H75" s="16">
        <v>2416289.0499999998</v>
      </c>
      <c r="I75" s="16">
        <v>302304.40000000002</v>
      </c>
      <c r="J75" s="16">
        <v>3648221.100000001</v>
      </c>
      <c r="K75" s="16">
        <v>0</v>
      </c>
      <c r="L75" s="16">
        <v>0</v>
      </c>
      <c r="M75" s="16">
        <v>0.19</v>
      </c>
      <c r="N75" s="18">
        <f t="shared" si="2"/>
        <v>51381892.027180456</v>
      </c>
      <c r="O75" s="4"/>
    </row>
    <row r="76" spans="1:15" ht="15" x14ac:dyDescent="0.2">
      <c r="A76" s="17" t="s">
        <v>71</v>
      </c>
      <c r="B76" s="16">
        <v>39438926.869999997</v>
      </c>
      <c r="C76" s="16"/>
      <c r="D76" s="16">
        <v>1192879.5427438181</v>
      </c>
      <c r="E76" s="16">
        <v>338042.44999999995</v>
      </c>
      <c r="F76" s="16">
        <v>159870.04</v>
      </c>
      <c r="G76" s="16">
        <v>103334.49</v>
      </c>
      <c r="H76" s="16">
        <v>2183072.4</v>
      </c>
      <c r="I76" s="16">
        <v>544267.4</v>
      </c>
      <c r="J76" s="16">
        <v>5264611.2</v>
      </c>
      <c r="K76" s="16">
        <v>0</v>
      </c>
      <c r="L76" s="16">
        <v>0</v>
      </c>
      <c r="M76" s="16">
        <v>0.34</v>
      </c>
      <c r="N76" s="18">
        <f t="shared" si="2"/>
        <v>49225004.732743822</v>
      </c>
      <c r="O76" s="4"/>
    </row>
    <row r="77" spans="1:15" ht="15" x14ac:dyDescent="0.2">
      <c r="A77" s="17" t="s">
        <v>72</v>
      </c>
      <c r="B77" s="16">
        <v>53536920.739999995</v>
      </c>
      <c r="C77" s="16"/>
      <c r="D77" s="16">
        <v>1119591.671198304</v>
      </c>
      <c r="E77" s="16">
        <v>452513.74</v>
      </c>
      <c r="F77" s="16">
        <v>187772.71</v>
      </c>
      <c r="G77" s="16">
        <v>72941.990000000005</v>
      </c>
      <c r="H77" s="16">
        <v>2963442.05</v>
      </c>
      <c r="I77" s="16">
        <v>639260.29</v>
      </c>
      <c r="J77" s="16">
        <v>3305556.899999999</v>
      </c>
      <c r="K77" s="16">
        <v>0</v>
      </c>
      <c r="L77" s="16">
        <v>0</v>
      </c>
      <c r="M77" s="16">
        <v>0.41</v>
      </c>
      <c r="N77" s="18">
        <f t="shared" si="2"/>
        <v>62278000.501198292</v>
      </c>
      <c r="O77" s="4"/>
    </row>
    <row r="78" spans="1:15" ht="15" x14ac:dyDescent="0.2">
      <c r="A78" s="17" t="s">
        <v>73</v>
      </c>
      <c r="B78" s="16">
        <v>20568688.469999999</v>
      </c>
      <c r="C78" s="16"/>
      <c r="D78" s="16">
        <v>511122.21475575399</v>
      </c>
      <c r="E78" s="16">
        <v>172992.83000000002</v>
      </c>
      <c r="F78" s="16">
        <v>66685.63</v>
      </c>
      <c r="G78" s="16">
        <v>24314</v>
      </c>
      <c r="H78" s="16">
        <v>1138543.56</v>
      </c>
      <c r="I78" s="16">
        <v>227027.02</v>
      </c>
      <c r="J78" s="16">
        <v>1471150.4400000002</v>
      </c>
      <c r="K78" s="16">
        <v>0</v>
      </c>
      <c r="L78" s="16">
        <v>0</v>
      </c>
      <c r="M78" s="16">
        <v>0.14000000000000001</v>
      </c>
      <c r="N78" s="18">
        <f t="shared" si="2"/>
        <v>24180524.304755751</v>
      </c>
      <c r="O78" s="4"/>
    </row>
    <row r="79" spans="1:15" ht="15" x14ac:dyDescent="0.2">
      <c r="A79" s="17" t="s">
        <v>74</v>
      </c>
      <c r="B79" s="16">
        <v>85607319.140000001</v>
      </c>
      <c r="C79" s="16"/>
      <c r="D79" s="16">
        <v>2816038.8044811124</v>
      </c>
      <c r="E79" s="16">
        <v>726477.15</v>
      </c>
      <c r="F79" s="16">
        <v>335183.07</v>
      </c>
      <c r="G79" s="16">
        <v>181004.2</v>
      </c>
      <c r="H79" s="16">
        <v>4738642.51</v>
      </c>
      <c r="I79" s="16">
        <v>1141109.48</v>
      </c>
      <c r="J79" s="16">
        <v>8083064.8800000018</v>
      </c>
      <c r="K79" s="16">
        <v>0</v>
      </c>
      <c r="L79" s="16">
        <v>0</v>
      </c>
      <c r="M79" s="16">
        <v>0.73</v>
      </c>
      <c r="N79" s="18">
        <f t="shared" si="2"/>
        <v>103628839.96448113</v>
      </c>
      <c r="O79" s="4"/>
    </row>
    <row r="80" spans="1:15" ht="15" x14ac:dyDescent="0.2">
      <c r="A80" s="17" t="s">
        <v>75</v>
      </c>
      <c r="B80" s="16">
        <v>52258794.140000001</v>
      </c>
      <c r="C80" s="16"/>
      <c r="D80" s="16">
        <v>2232145.423651306</v>
      </c>
      <c r="E80" s="16">
        <v>439560.33999999997</v>
      </c>
      <c r="F80" s="16">
        <v>108451.9</v>
      </c>
      <c r="G80" s="16">
        <v>75643.55</v>
      </c>
      <c r="H80" s="16">
        <v>2892693.6</v>
      </c>
      <c r="I80" s="16">
        <v>369217.62</v>
      </c>
      <c r="J80" s="16">
        <v>5354416.8</v>
      </c>
      <c r="K80" s="16">
        <v>0</v>
      </c>
      <c r="L80" s="16">
        <v>0</v>
      </c>
      <c r="M80" s="16">
        <v>0.23</v>
      </c>
      <c r="N80" s="18">
        <f t="shared" si="2"/>
        <v>63730923.6036513</v>
      </c>
      <c r="O80" s="4"/>
    </row>
    <row r="81" spans="1:15" ht="15" x14ac:dyDescent="0.2">
      <c r="A81" s="17" t="s">
        <v>76</v>
      </c>
      <c r="B81" s="16">
        <v>25290894.5</v>
      </c>
      <c r="C81" s="16"/>
      <c r="D81" s="16">
        <v>1299285.1301423281</v>
      </c>
      <c r="E81" s="16">
        <v>217282.16999999998</v>
      </c>
      <c r="F81" s="16">
        <v>281659.07</v>
      </c>
      <c r="G81" s="16">
        <v>156014.81</v>
      </c>
      <c r="H81" s="16">
        <v>1399932.97</v>
      </c>
      <c r="I81" s="16">
        <v>958890.43</v>
      </c>
      <c r="J81" s="16">
        <v>6113918.8800000008</v>
      </c>
      <c r="K81" s="16">
        <v>0</v>
      </c>
      <c r="L81" s="16">
        <v>0</v>
      </c>
      <c r="M81" s="16">
        <v>0.61</v>
      </c>
      <c r="N81" s="18">
        <f t="shared" si="2"/>
        <v>35717878.570142329</v>
      </c>
      <c r="O81" s="4"/>
    </row>
    <row r="82" spans="1:15" ht="15" x14ac:dyDescent="0.2">
      <c r="A82" s="17" t="s">
        <v>77</v>
      </c>
      <c r="B82" s="16">
        <v>352940224.01999998</v>
      </c>
      <c r="C82" s="16"/>
      <c r="D82" s="16">
        <v>3607637.93</v>
      </c>
      <c r="E82" s="16">
        <v>4177209.67</v>
      </c>
      <c r="F82" s="16">
        <v>8117572.5999999996</v>
      </c>
      <c r="G82" s="16">
        <v>6251531.0741583966</v>
      </c>
      <c r="H82" s="16">
        <v>19536385.050000001</v>
      </c>
      <c r="I82" s="16">
        <v>27635759.84</v>
      </c>
      <c r="J82" s="16">
        <v>50538351.060000017</v>
      </c>
      <c r="K82" s="16">
        <v>0</v>
      </c>
      <c r="L82" s="16">
        <v>0</v>
      </c>
      <c r="M82" s="16">
        <v>17.72</v>
      </c>
      <c r="N82" s="18">
        <f t="shared" si="2"/>
        <v>472804688.96415842</v>
      </c>
      <c r="O82" s="4"/>
    </row>
    <row r="83" spans="1:15" ht="15" x14ac:dyDescent="0.2">
      <c r="A83" s="17" t="s">
        <v>78</v>
      </c>
      <c r="B83" s="16">
        <v>109820241.14000002</v>
      </c>
      <c r="C83" s="16"/>
      <c r="D83" s="16">
        <v>2087855.5023460437</v>
      </c>
      <c r="E83" s="16">
        <v>1312591.9000000001</v>
      </c>
      <c r="F83" s="16">
        <v>898852.21</v>
      </c>
      <c r="G83" s="16">
        <v>459264.39</v>
      </c>
      <c r="H83" s="16">
        <v>6078906.21</v>
      </c>
      <c r="I83" s="16">
        <v>3060085.22</v>
      </c>
      <c r="J83" s="16">
        <v>11034563.219999999</v>
      </c>
      <c r="K83" s="16">
        <v>0</v>
      </c>
      <c r="L83" s="16">
        <v>0</v>
      </c>
      <c r="M83" s="16">
        <v>1.96</v>
      </c>
      <c r="N83" s="18">
        <f t="shared" si="2"/>
        <v>134752361.75234607</v>
      </c>
      <c r="O83" s="4"/>
    </row>
    <row r="84" spans="1:15" ht="15" x14ac:dyDescent="0.2">
      <c r="A84" s="17" t="s">
        <v>79</v>
      </c>
      <c r="B84" s="16">
        <v>40819989.850000001</v>
      </c>
      <c r="C84" s="16"/>
      <c r="D84" s="16">
        <v>756453.16532310611</v>
      </c>
      <c r="E84" s="16">
        <v>344633.54</v>
      </c>
      <c r="F84" s="16">
        <v>180402.2</v>
      </c>
      <c r="G84" s="16">
        <v>42619.544399881444</v>
      </c>
      <c r="H84" s="16">
        <v>2259518.71</v>
      </c>
      <c r="I84" s="16">
        <v>614167.82999999996</v>
      </c>
      <c r="J84" s="16">
        <v>4468540.5</v>
      </c>
      <c r="K84" s="16">
        <v>0</v>
      </c>
      <c r="L84" s="16">
        <v>0</v>
      </c>
      <c r="M84" s="16">
        <v>0.39</v>
      </c>
      <c r="N84" s="18">
        <f t="shared" si="2"/>
        <v>49486325.729722992</v>
      </c>
      <c r="O84" s="4"/>
    </row>
    <row r="85" spans="1:15" ht="15" x14ac:dyDescent="0.2">
      <c r="A85" s="17" t="s">
        <v>80</v>
      </c>
      <c r="B85" s="16">
        <v>40090857.230000004</v>
      </c>
      <c r="C85" s="16"/>
      <c r="D85" s="16">
        <v>703566.7359257621</v>
      </c>
      <c r="E85" s="16">
        <v>342394.24</v>
      </c>
      <c r="F85" s="16">
        <v>85287.42</v>
      </c>
      <c r="G85" s="16">
        <v>43900.27</v>
      </c>
      <c r="H85" s="16">
        <v>2219158.86</v>
      </c>
      <c r="I85" s="16">
        <v>290355.61</v>
      </c>
      <c r="J85" s="16">
        <v>2615300.2799999998</v>
      </c>
      <c r="K85" s="16">
        <v>0</v>
      </c>
      <c r="L85" s="16">
        <v>0</v>
      </c>
      <c r="M85" s="16">
        <v>0.18</v>
      </c>
      <c r="N85" s="18">
        <f t="shared" si="2"/>
        <v>46390820.825925775</v>
      </c>
      <c r="O85" s="4"/>
    </row>
    <row r="86" spans="1:15" ht="15" x14ac:dyDescent="0.2">
      <c r="A86" s="17" t="s">
        <v>81</v>
      </c>
      <c r="B86" s="16">
        <v>479114481.25999999</v>
      </c>
      <c r="C86" s="16"/>
      <c r="D86" s="16">
        <v>1279399.6000000001</v>
      </c>
      <c r="E86" s="16">
        <v>5655803.5199999996</v>
      </c>
      <c r="F86" s="16">
        <v>5093203.4000000004</v>
      </c>
      <c r="G86" s="16">
        <v>1023091.9424380972</v>
      </c>
      <c r="H86" s="16">
        <v>26520539.039999999</v>
      </c>
      <c r="I86" s="16">
        <v>17339487.16</v>
      </c>
      <c r="J86" s="16">
        <v>22572788.040000003</v>
      </c>
      <c r="K86" s="16">
        <v>0</v>
      </c>
      <c r="L86" s="16">
        <v>0</v>
      </c>
      <c r="M86" s="16">
        <v>11.12</v>
      </c>
      <c r="N86" s="18">
        <f t="shared" si="2"/>
        <v>558598805.08243811</v>
      </c>
      <c r="O86" s="4"/>
    </row>
    <row r="87" spans="1:15" ht="15" x14ac:dyDescent="0.2">
      <c r="A87" s="17" t="s">
        <v>82</v>
      </c>
      <c r="B87" s="16">
        <v>61736088.650000006</v>
      </c>
      <c r="C87" s="16"/>
      <c r="D87" s="16">
        <v>1065640.4703694782</v>
      </c>
      <c r="E87" s="16">
        <v>519889.95999999996</v>
      </c>
      <c r="F87" s="16">
        <v>144602.54</v>
      </c>
      <c r="G87" s="16">
        <v>91852.88</v>
      </c>
      <c r="H87" s="16">
        <v>3417292.56</v>
      </c>
      <c r="I87" s="16">
        <v>492290.16</v>
      </c>
      <c r="J87" s="16">
        <v>4961811.78</v>
      </c>
      <c r="K87" s="16">
        <v>0</v>
      </c>
      <c r="L87" s="16">
        <v>0</v>
      </c>
      <c r="M87" s="16">
        <v>0.31</v>
      </c>
      <c r="N87" s="18">
        <f t="shared" si="2"/>
        <v>72429469.310369492</v>
      </c>
      <c r="O87" s="4"/>
    </row>
    <row r="88" spans="1:15" ht="15" x14ac:dyDescent="0.2">
      <c r="A88" s="17" t="s">
        <v>83</v>
      </c>
      <c r="B88" s="16">
        <v>59904679.050000004</v>
      </c>
      <c r="C88" s="16"/>
      <c r="D88" s="16">
        <v>677912.39056728594</v>
      </c>
      <c r="E88" s="16">
        <v>507756.31</v>
      </c>
      <c r="F88" s="16">
        <v>709675.58</v>
      </c>
      <c r="G88" s="16">
        <v>234359.92</v>
      </c>
      <c r="H88" s="16">
        <v>3315918.1</v>
      </c>
      <c r="I88" s="16">
        <v>2416045.42</v>
      </c>
      <c r="J88" s="16">
        <v>7349380.9200000027</v>
      </c>
      <c r="K88" s="16">
        <v>0</v>
      </c>
      <c r="L88" s="16">
        <v>0</v>
      </c>
      <c r="M88" s="16">
        <v>1.54</v>
      </c>
      <c r="N88" s="18">
        <f t="shared" si="2"/>
        <v>75115729.230567306</v>
      </c>
      <c r="O88" s="4"/>
    </row>
    <row r="89" spans="1:15" ht="15" x14ac:dyDescent="0.2">
      <c r="A89" s="17" t="s">
        <v>84</v>
      </c>
      <c r="B89" s="16">
        <v>91834969.609999999</v>
      </c>
      <c r="C89" s="16"/>
      <c r="D89" s="16">
        <v>1251767.9177680539</v>
      </c>
      <c r="E89" s="16">
        <v>789387.75</v>
      </c>
      <c r="F89" s="16">
        <v>596836.46</v>
      </c>
      <c r="G89" s="16">
        <v>273532.46999999997</v>
      </c>
      <c r="H89" s="16">
        <v>5083363.1500000004</v>
      </c>
      <c r="I89" s="16">
        <v>2031891.8</v>
      </c>
      <c r="J89" s="16">
        <v>7920906.4800000023</v>
      </c>
      <c r="K89" s="16">
        <v>0</v>
      </c>
      <c r="L89" s="16">
        <v>0</v>
      </c>
      <c r="M89" s="16">
        <v>1.3</v>
      </c>
      <c r="N89" s="18">
        <f t="shared" si="2"/>
        <v>109782656.93776806</v>
      </c>
      <c r="O89" s="4"/>
    </row>
    <row r="90" spans="1:15" ht="15" x14ac:dyDescent="0.2">
      <c r="A90" s="17" t="s">
        <v>85</v>
      </c>
      <c r="B90" s="16">
        <v>494187511.28999996</v>
      </c>
      <c r="C90" s="16"/>
      <c r="D90" s="16">
        <v>1530929.0638058221</v>
      </c>
      <c r="E90" s="16">
        <v>5857481.6400000006</v>
      </c>
      <c r="F90" s="16">
        <v>8095987.5199999996</v>
      </c>
      <c r="G90" s="16">
        <v>2266486.9563861517</v>
      </c>
      <c r="H90" s="16">
        <v>27354880.09</v>
      </c>
      <c r="I90" s="16">
        <v>27562274.77</v>
      </c>
      <c r="J90" s="16">
        <v>46863291.780000009</v>
      </c>
      <c r="K90" s="16">
        <v>0</v>
      </c>
      <c r="L90" s="16">
        <v>0</v>
      </c>
      <c r="M90" s="16">
        <v>17.670000000000002</v>
      </c>
      <c r="N90" s="18">
        <f t="shared" si="2"/>
        <v>613718860.78019178</v>
      </c>
      <c r="O90" s="4"/>
    </row>
    <row r="91" spans="1:15" ht="15" x14ac:dyDescent="0.2">
      <c r="A91" s="17" t="s">
        <v>86</v>
      </c>
      <c r="B91" s="16">
        <v>17990990.140000001</v>
      </c>
      <c r="C91" s="16"/>
      <c r="D91" s="16">
        <v>834915.4959963701</v>
      </c>
      <c r="E91" s="16">
        <v>151411.07</v>
      </c>
      <c r="F91" s="16">
        <v>187948.2</v>
      </c>
      <c r="G91" s="16">
        <v>91177.49</v>
      </c>
      <c r="H91" s="16">
        <v>995859.61</v>
      </c>
      <c r="I91" s="16">
        <v>639857.72</v>
      </c>
      <c r="J91" s="16">
        <v>3367849.5</v>
      </c>
      <c r="K91" s="16">
        <v>0</v>
      </c>
      <c r="L91" s="16">
        <v>0</v>
      </c>
      <c r="M91" s="16">
        <v>0.41</v>
      </c>
      <c r="N91" s="18">
        <f t="shared" si="2"/>
        <v>24260009.635996368</v>
      </c>
      <c r="O91" s="4"/>
    </row>
    <row r="92" spans="1:15" ht="15" x14ac:dyDescent="0.2">
      <c r="A92" s="17" t="s">
        <v>87</v>
      </c>
      <c r="B92" s="16">
        <v>27035094.119999997</v>
      </c>
      <c r="C92" s="16"/>
      <c r="D92" s="16">
        <v>64245.16</v>
      </c>
      <c r="E92" s="16">
        <v>227389.97999999998</v>
      </c>
      <c r="F92" s="16">
        <v>40186.870000000003</v>
      </c>
      <c r="G92" s="16">
        <v>28366.33</v>
      </c>
      <c r="H92" s="16">
        <v>1496480.07</v>
      </c>
      <c r="I92" s="16">
        <v>136813.65</v>
      </c>
      <c r="J92" s="16">
        <v>1457197.9199999995</v>
      </c>
      <c r="K92" s="16">
        <v>0</v>
      </c>
      <c r="L92" s="16">
        <v>0</v>
      </c>
      <c r="M92" s="16">
        <v>0.08</v>
      </c>
      <c r="N92" s="18">
        <f t="shared" si="2"/>
        <v>30485774.179999992</v>
      </c>
      <c r="O92" s="4"/>
    </row>
    <row r="93" spans="1:15" ht="15" x14ac:dyDescent="0.2">
      <c r="A93" s="17" t="s">
        <v>88</v>
      </c>
      <c r="B93" s="16">
        <v>259462561.39999998</v>
      </c>
      <c r="C93" s="16"/>
      <c r="D93" s="16">
        <v>1591735.6879517799</v>
      </c>
      <c r="E93" s="16">
        <v>3076437.83</v>
      </c>
      <c r="F93" s="16">
        <v>6561515.8700000001</v>
      </c>
      <c r="G93" s="16">
        <v>1243988.1488672032</v>
      </c>
      <c r="H93" s="16">
        <v>14362093.529999999</v>
      </c>
      <c r="I93" s="16">
        <v>22338263.620000001</v>
      </c>
      <c r="J93" s="16">
        <v>44566658.280000009</v>
      </c>
      <c r="K93" s="16">
        <v>0</v>
      </c>
      <c r="L93" s="16">
        <v>0</v>
      </c>
      <c r="M93" s="16">
        <v>14.32</v>
      </c>
      <c r="N93" s="18">
        <f t="shared" si="2"/>
        <v>353203268.68681896</v>
      </c>
      <c r="O93" s="4"/>
    </row>
    <row r="94" spans="1:15" ht="15" x14ac:dyDescent="0.2">
      <c r="A94" s="17" t="s">
        <v>89</v>
      </c>
      <c r="B94" s="16">
        <v>180483200.76999998</v>
      </c>
      <c r="C94" s="16"/>
      <c r="D94" s="16">
        <v>3062504.4200000004</v>
      </c>
      <c r="E94" s="16">
        <v>2171331.2499999995</v>
      </c>
      <c r="F94" s="16">
        <v>2966984.45</v>
      </c>
      <c r="G94" s="16">
        <v>1553158.1922712917</v>
      </c>
      <c r="H94" s="16">
        <v>9990329.9900000002</v>
      </c>
      <c r="I94" s="16">
        <v>10100909.949999999</v>
      </c>
      <c r="J94" s="16">
        <v>23813617.680000007</v>
      </c>
      <c r="K94" s="16">
        <v>0</v>
      </c>
      <c r="L94" s="16">
        <v>0</v>
      </c>
      <c r="M94" s="16">
        <v>6.47</v>
      </c>
      <c r="N94" s="18">
        <f t="shared" si="2"/>
        <v>234142043.17227125</v>
      </c>
      <c r="O94" s="4"/>
    </row>
    <row r="95" spans="1:15" ht="15" x14ac:dyDescent="0.2">
      <c r="A95" s="17" t="s">
        <v>90</v>
      </c>
      <c r="B95" s="16">
        <v>31512826.280000001</v>
      </c>
      <c r="C95" s="16"/>
      <c r="D95" s="16">
        <v>793883.17971737008</v>
      </c>
      <c r="E95" s="16">
        <v>268025.63</v>
      </c>
      <c r="F95" s="16">
        <v>145479.98000000001</v>
      </c>
      <c r="G95" s="16">
        <v>73617.38</v>
      </c>
      <c r="H95" s="16">
        <v>1744337.05</v>
      </c>
      <c r="I95" s="16">
        <v>495277.36</v>
      </c>
      <c r="J95" s="16">
        <v>3507941.1600000011</v>
      </c>
      <c r="K95" s="16">
        <v>0</v>
      </c>
      <c r="L95" s="16">
        <v>0</v>
      </c>
      <c r="M95" s="16">
        <v>0.31</v>
      </c>
      <c r="N95" s="18">
        <f t="shared" si="2"/>
        <v>38541388.329717375</v>
      </c>
      <c r="O95" s="4"/>
    </row>
    <row r="96" spans="1:15" ht="15" x14ac:dyDescent="0.2">
      <c r="A96" s="17" t="s">
        <v>91</v>
      </c>
      <c r="B96" s="16">
        <v>113277187.62</v>
      </c>
      <c r="C96" s="16"/>
      <c r="D96" s="16">
        <v>2989551.8585978607</v>
      </c>
      <c r="E96" s="16">
        <v>1334211.23</v>
      </c>
      <c r="F96" s="16">
        <v>815319.67</v>
      </c>
      <c r="G96" s="16">
        <v>401856.34</v>
      </c>
      <c r="H96" s="16">
        <v>6270259.4000000004</v>
      </c>
      <c r="I96" s="16">
        <v>2775704.01</v>
      </c>
      <c r="J96" s="16">
        <v>12568461.659999996</v>
      </c>
      <c r="K96" s="16">
        <v>0</v>
      </c>
      <c r="L96" s="16">
        <v>0</v>
      </c>
      <c r="M96" s="16">
        <v>1.78</v>
      </c>
      <c r="N96" s="18">
        <f t="shared" si="2"/>
        <v>140432553.56859788</v>
      </c>
      <c r="O96" s="4"/>
    </row>
    <row r="97" spans="1:15" ht="15" x14ac:dyDescent="0.2">
      <c r="A97" s="17" t="s">
        <v>92</v>
      </c>
      <c r="B97" s="16">
        <v>53052262</v>
      </c>
      <c r="C97" s="16"/>
      <c r="D97" s="16">
        <v>3030624.1830779924</v>
      </c>
      <c r="E97" s="16">
        <v>452605.86</v>
      </c>
      <c r="F97" s="16">
        <v>376422.88</v>
      </c>
      <c r="G97" s="16">
        <v>205993.59</v>
      </c>
      <c r="H97" s="16">
        <v>2936614.61</v>
      </c>
      <c r="I97" s="16">
        <v>1281507.77</v>
      </c>
      <c r="J97" s="16">
        <v>8392236.4800000023</v>
      </c>
      <c r="K97" s="16">
        <v>0</v>
      </c>
      <c r="L97" s="16">
        <v>0</v>
      </c>
      <c r="M97" s="16">
        <v>0.82</v>
      </c>
      <c r="N97" s="18">
        <f t="shared" si="2"/>
        <v>69728268.193077996</v>
      </c>
      <c r="O97" s="4"/>
    </row>
    <row r="98" spans="1:15" ht="15" x14ac:dyDescent="0.2">
      <c r="A98" s="17" t="s">
        <v>93</v>
      </c>
      <c r="B98" s="16">
        <v>147672232.38</v>
      </c>
      <c r="C98" s="16"/>
      <c r="D98" s="16">
        <v>2994791.4754734887</v>
      </c>
      <c r="E98" s="16">
        <v>1747776.99</v>
      </c>
      <c r="F98" s="16">
        <v>875336.75</v>
      </c>
      <c r="G98" s="16">
        <v>482903</v>
      </c>
      <c r="H98" s="16">
        <v>8174136.5800000001</v>
      </c>
      <c r="I98" s="16">
        <v>2980028.32</v>
      </c>
      <c r="J98" s="16">
        <v>16190237.159999993</v>
      </c>
      <c r="K98" s="16">
        <v>0</v>
      </c>
      <c r="L98" s="16">
        <v>0</v>
      </c>
      <c r="M98" s="16">
        <v>1.91</v>
      </c>
      <c r="N98" s="18">
        <f t="shared" si="2"/>
        <v>181117444.5654735</v>
      </c>
      <c r="O98" s="4"/>
    </row>
    <row r="99" spans="1:15" ht="15" x14ac:dyDescent="0.2">
      <c r="A99" s="17" t="s">
        <v>94</v>
      </c>
      <c r="B99" s="16">
        <v>101054923.19</v>
      </c>
      <c r="C99" s="16"/>
      <c r="D99" s="16">
        <v>1645874.0690891601</v>
      </c>
      <c r="E99" s="16">
        <v>850225.68</v>
      </c>
      <c r="F99" s="16">
        <v>324478.27</v>
      </c>
      <c r="G99" s="16">
        <v>130350.04</v>
      </c>
      <c r="H99" s="16">
        <v>5593717.46</v>
      </c>
      <c r="I99" s="16">
        <v>1104665.67</v>
      </c>
      <c r="J99" s="16">
        <v>10574486.459999999</v>
      </c>
      <c r="K99" s="16">
        <v>0</v>
      </c>
      <c r="L99" s="16">
        <v>0</v>
      </c>
      <c r="M99" s="16">
        <v>0.7</v>
      </c>
      <c r="N99" s="18">
        <f t="shared" si="2"/>
        <v>121278721.53908916</v>
      </c>
      <c r="O99" s="4"/>
    </row>
    <row r="100" spans="1:15" ht="15" x14ac:dyDescent="0.2">
      <c r="A100" s="17" t="s">
        <v>95</v>
      </c>
      <c r="B100" s="16">
        <v>96033915.730000019</v>
      </c>
      <c r="C100" s="16"/>
      <c r="D100" s="16">
        <v>2188058.8602988701</v>
      </c>
      <c r="E100" s="16">
        <v>823223.74999999988</v>
      </c>
      <c r="F100" s="16">
        <v>364314.17</v>
      </c>
      <c r="G100" s="16">
        <v>172224.15</v>
      </c>
      <c r="H100" s="16">
        <v>5315788.42</v>
      </c>
      <c r="I100" s="16">
        <v>1240284.44</v>
      </c>
      <c r="J100" s="16">
        <v>8472688.0199999977</v>
      </c>
      <c r="K100" s="16">
        <v>0</v>
      </c>
      <c r="L100" s="16">
        <v>0</v>
      </c>
      <c r="M100" s="16">
        <v>0.79</v>
      </c>
      <c r="N100" s="18">
        <f t="shared" si="2"/>
        <v>114610498.3302989</v>
      </c>
      <c r="O100" s="4"/>
    </row>
    <row r="101" spans="1:15" ht="15" x14ac:dyDescent="0.2">
      <c r="A101" s="17" t="s">
        <v>96</v>
      </c>
      <c r="B101" s="16">
        <v>19409224.629999999</v>
      </c>
      <c r="C101" s="16"/>
      <c r="D101" s="16">
        <v>706424.79294870002</v>
      </c>
      <c r="E101" s="16">
        <v>164782.50000000003</v>
      </c>
      <c r="F101" s="16">
        <v>43521.15</v>
      </c>
      <c r="G101" s="16">
        <v>25664.77</v>
      </c>
      <c r="H101" s="16">
        <v>1074363.48</v>
      </c>
      <c r="I101" s="16">
        <v>148165</v>
      </c>
      <c r="J101" s="16">
        <v>1784653.9199999995</v>
      </c>
      <c r="K101" s="16">
        <v>0</v>
      </c>
      <c r="L101" s="16">
        <v>0</v>
      </c>
      <c r="M101" s="16">
        <v>0.09</v>
      </c>
      <c r="N101" s="18">
        <f t="shared" si="2"/>
        <v>23356800.332948696</v>
      </c>
      <c r="O101" s="4"/>
    </row>
    <row r="102" spans="1:15" ht="15" x14ac:dyDescent="0.2">
      <c r="A102" s="17" t="s">
        <v>97</v>
      </c>
      <c r="B102" s="16">
        <v>64129359.310000002</v>
      </c>
      <c r="C102" s="16"/>
      <c r="D102" s="16">
        <v>4270893.5428851666</v>
      </c>
      <c r="E102" s="16">
        <v>773941.85000000009</v>
      </c>
      <c r="F102" s="16">
        <v>842695.88</v>
      </c>
      <c r="G102" s="16">
        <v>451835.11</v>
      </c>
      <c r="H102" s="16">
        <v>3549767.84</v>
      </c>
      <c r="I102" s="16">
        <v>2868904.57</v>
      </c>
      <c r="J102" s="16">
        <v>12009538.979999999</v>
      </c>
      <c r="K102" s="16">
        <v>0</v>
      </c>
      <c r="L102" s="16">
        <v>0</v>
      </c>
      <c r="M102" s="16">
        <v>1.84</v>
      </c>
      <c r="N102" s="18">
        <f t="shared" si="2"/>
        <v>88896938.922885165</v>
      </c>
      <c r="O102" s="4"/>
    </row>
    <row r="103" spans="1:15" ht="15" x14ac:dyDescent="0.2">
      <c r="A103" s="17" t="s">
        <v>98</v>
      </c>
      <c r="B103" s="16">
        <v>22225678.109999999</v>
      </c>
      <c r="C103" s="16"/>
      <c r="D103" s="16">
        <v>834154.10035539616</v>
      </c>
      <c r="E103" s="16">
        <v>188374.13999999998</v>
      </c>
      <c r="F103" s="16">
        <v>20883.13</v>
      </c>
      <c r="G103" s="16">
        <v>15533.94</v>
      </c>
      <c r="H103" s="16">
        <v>1230263.31</v>
      </c>
      <c r="I103" s="16">
        <v>71095.3</v>
      </c>
      <c r="J103" s="16">
        <v>2510270.8200000003</v>
      </c>
      <c r="K103" s="16">
        <v>0</v>
      </c>
      <c r="L103" s="16">
        <v>0</v>
      </c>
      <c r="M103" s="16">
        <v>0.04</v>
      </c>
      <c r="N103" s="18">
        <f t="shared" si="2"/>
        <v>27096252.890355397</v>
      </c>
      <c r="O103" s="4"/>
    </row>
    <row r="104" spans="1:15" ht="15" x14ac:dyDescent="0.2">
      <c r="A104" s="17" t="s">
        <v>99</v>
      </c>
      <c r="B104" s="16">
        <v>296621161.78999996</v>
      </c>
      <c r="C104" s="16"/>
      <c r="D104" s="16">
        <v>2840963.1982212425</v>
      </c>
      <c r="E104" s="16">
        <v>3503316.1</v>
      </c>
      <c r="F104" s="16">
        <v>4279638.6100000003</v>
      </c>
      <c r="G104" s="16">
        <v>878918.64208210283</v>
      </c>
      <c r="H104" s="16">
        <v>16418942.460000001</v>
      </c>
      <c r="I104" s="16">
        <v>14569757.550000001</v>
      </c>
      <c r="J104" s="16">
        <v>28026788.40000001</v>
      </c>
      <c r="K104" s="16">
        <v>0</v>
      </c>
      <c r="L104" s="16">
        <v>0</v>
      </c>
      <c r="M104" s="16">
        <v>9.34</v>
      </c>
      <c r="N104" s="18">
        <f t="shared" ref="N104:N135" si="3">SUM(B104:M104)</f>
        <v>367139496.09030336</v>
      </c>
      <c r="O104" s="4"/>
    </row>
    <row r="105" spans="1:15" ht="15" x14ac:dyDescent="0.2">
      <c r="A105" s="17" t="s">
        <v>100</v>
      </c>
      <c r="B105" s="16">
        <v>50072825.93</v>
      </c>
      <c r="C105" s="16"/>
      <c r="D105" s="16">
        <v>685487.74999999988</v>
      </c>
      <c r="E105" s="16">
        <v>596542.59</v>
      </c>
      <c r="F105" s="16">
        <v>184438.43</v>
      </c>
      <c r="G105" s="16">
        <v>111439.15</v>
      </c>
      <c r="H105" s="16">
        <v>2771693.17</v>
      </c>
      <c r="I105" s="16">
        <v>627908.93000000005</v>
      </c>
      <c r="J105" s="16">
        <v>3615293.5200000014</v>
      </c>
      <c r="K105" s="16">
        <v>0</v>
      </c>
      <c r="L105" s="16">
        <v>0</v>
      </c>
      <c r="M105" s="16">
        <v>0.4</v>
      </c>
      <c r="N105" s="18">
        <f t="shared" si="3"/>
        <v>58665629.870000005</v>
      </c>
      <c r="O105" s="4"/>
    </row>
    <row r="106" spans="1:15" ht="15" x14ac:dyDescent="0.2">
      <c r="A106" s="17" t="s">
        <v>101</v>
      </c>
      <c r="B106" s="16">
        <v>57205458.61999999</v>
      </c>
      <c r="C106" s="16"/>
      <c r="D106" s="16">
        <v>209049.68999999994</v>
      </c>
      <c r="E106" s="16">
        <v>484631.29</v>
      </c>
      <c r="F106" s="16">
        <v>1306863.03</v>
      </c>
      <c r="G106" s="16">
        <v>366553.8782093217</v>
      </c>
      <c r="H106" s="16">
        <v>3166507.51</v>
      </c>
      <c r="I106" s="16">
        <v>4449132.0999999996</v>
      </c>
      <c r="J106" s="16">
        <v>9642796.9199999943</v>
      </c>
      <c r="K106" s="16">
        <v>0</v>
      </c>
      <c r="L106" s="16">
        <v>0</v>
      </c>
      <c r="M106" s="16">
        <v>2.85</v>
      </c>
      <c r="N106" s="18">
        <f t="shared" si="3"/>
        <v>76830995.888209283</v>
      </c>
      <c r="O106" s="4"/>
    </row>
    <row r="107" spans="1:15" ht="15" x14ac:dyDescent="0.2">
      <c r="A107" s="17" t="s">
        <v>102</v>
      </c>
      <c r="B107" s="16">
        <v>78160158.569999993</v>
      </c>
      <c r="C107" s="16"/>
      <c r="D107" s="16">
        <v>1157290.689420592</v>
      </c>
      <c r="E107" s="16">
        <v>659349.42000000004</v>
      </c>
      <c r="F107" s="16">
        <v>72652.240000000005</v>
      </c>
      <c r="G107" s="16">
        <v>68214.27</v>
      </c>
      <c r="H107" s="16">
        <v>4326418.05</v>
      </c>
      <c r="I107" s="16">
        <v>247339.96</v>
      </c>
      <c r="J107" s="16">
        <v>4701403.9799999986</v>
      </c>
      <c r="K107" s="16">
        <v>0</v>
      </c>
      <c r="L107" s="16">
        <v>0</v>
      </c>
      <c r="M107" s="16">
        <v>0.15</v>
      </c>
      <c r="N107" s="18">
        <f t="shared" si="3"/>
        <v>89392827.329420581</v>
      </c>
      <c r="O107" s="4"/>
    </row>
    <row r="108" spans="1:15" ht="15" x14ac:dyDescent="0.2">
      <c r="A108" s="17" t="s">
        <v>103</v>
      </c>
      <c r="B108" s="16">
        <v>27160905.230000004</v>
      </c>
      <c r="C108" s="16"/>
      <c r="D108" s="16">
        <v>617441.14567024994</v>
      </c>
      <c r="E108" s="16">
        <v>228468.58</v>
      </c>
      <c r="F108" s="16">
        <v>73705.17</v>
      </c>
      <c r="G108" s="16">
        <v>42549.49</v>
      </c>
      <c r="H108" s="16">
        <v>1503444.12</v>
      </c>
      <c r="I108" s="16">
        <v>250924.6</v>
      </c>
      <c r="J108" s="16">
        <v>2386030.86</v>
      </c>
      <c r="K108" s="16">
        <v>0</v>
      </c>
      <c r="L108" s="16">
        <v>0</v>
      </c>
      <c r="M108" s="16">
        <v>0.16</v>
      </c>
      <c r="N108" s="18">
        <f t="shared" si="3"/>
        <v>32263469.355670255</v>
      </c>
      <c r="O108" s="4"/>
    </row>
    <row r="109" spans="1:15" ht="15" x14ac:dyDescent="0.2">
      <c r="A109" s="17" t="s">
        <v>104</v>
      </c>
      <c r="B109" s="16">
        <v>298687037.59000003</v>
      </c>
      <c r="C109" s="16"/>
      <c r="D109" s="16">
        <v>3379586.7627852163</v>
      </c>
      <c r="E109" s="16">
        <v>3535754.6399999997</v>
      </c>
      <c r="F109" s="16">
        <v>7525298.8399999999</v>
      </c>
      <c r="G109" s="16">
        <v>4039623.071578986</v>
      </c>
      <c r="H109" s="16">
        <v>16533295.380000001</v>
      </c>
      <c r="I109" s="16">
        <v>25619401.460000001</v>
      </c>
      <c r="J109" s="16">
        <v>44395553.879999995</v>
      </c>
      <c r="K109" s="16">
        <v>0</v>
      </c>
      <c r="L109" s="16">
        <v>0</v>
      </c>
      <c r="M109" s="16">
        <v>16.43</v>
      </c>
      <c r="N109" s="18">
        <f t="shared" si="3"/>
        <v>403715568.05436414</v>
      </c>
      <c r="O109" s="4"/>
    </row>
    <row r="110" spans="1:15" ht="15" x14ac:dyDescent="0.2">
      <c r="A110" s="17" t="s">
        <v>105</v>
      </c>
      <c r="B110" s="16">
        <v>34849680.299999997</v>
      </c>
      <c r="C110" s="16"/>
      <c r="D110" s="16">
        <v>933123.74359373399</v>
      </c>
      <c r="E110" s="16">
        <v>421228.31999999995</v>
      </c>
      <c r="F110" s="16">
        <v>287625.68</v>
      </c>
      <c r="G110" s="16">
        <v>142507.04</v>
      </c>
      <c r="H110" s="16">
        <v>1929042.74</v>
      </c>
      <c r="I110" s="16">
        <v>979203.37</v>
      </c>
      <c r="J110" s="16">
        <v>5232044.5200000005</v>
      </c>
      <c r="K110" s="16">
        <v>0</v>
      </c>
      <c r="L110" s="16">
        <v>0</v>
      </c>
      <c r="M110" s="16">
        <v>0.62</v>
      </c>
      <c r="N110" s="18">
        <f t="shared" si="3"/>
        <v>44774456.333593734</v>
      </c>
      <c r="O110" s="4"/>
    </row>
    <row r="111" spans="1:15" ht="15" x14ac:dyDescent="0.2">
      <c r="A111" s="17" t="s">
        <v>106</v>
      </c>
      <c r="B111" s="16">
        <v>42568478.499999993</v>
      </c>
      <c r="C111" s="16"/>
      <c r="D111" s="16">
        <v>1164857.365507812</v>
      </c>
      <c r="E111" s="16">
        <v>358036.95</v>
      </c>
      <c r="F111" s="16">
        <v>100203.94</v>
      </c>
      <c r="G111" s="16">
        <v>65512.71</v>
      </c>
      <c r="H111" s="16">
        <v>2356303.23</v>
      </c>
      <c r="I111" s="16">
        <v>341137.97</v>
      </c>
      <c r="J111" s="16">
        <v>4148539.3800000008</v>
      </c>
      <c r="K111" s="16">
        <v>0</v>
      </c>
      <c r="L111" s="16">
        <v>0</v>
      </c>
      <c r="M111" s="16">
        <v>0.21</v>
      </c>
      <c r="N111" s="18">
        <f t="shared" si="3"/>
        <v>51103070.255507804</v>
      </c>
      <c r="O111" s="4"/>
    </row>
    <row r="112" spans="1:15" ht="15" x14ac:dyDescent="0.2">
      <c r="A112" s="17" t="s">
        <v>107</v>
      </c>
      <c r="B112" s="16">
        <v>56995296.889999993</v>
      </c>
      <c r="C112" s="16"/>
      <c r="D112" s="16">
        <v>1670624.787478284</v>
      </c>
      <c r="E112" s="16">
        <v>483800.63999999996</v>
      </c>
      <c r="F112" s="16">
        <v>121789.03</v>
      </c>
      <c r="G112" s="16">
        <v>74292.77</v>
      </c>
      <c r="H112" s="16">
        <v>3154874.37</v>
      </c>
      <c r="I112" s="16">
        <v>414623.03</v>
      </c>
      <c r="J112" s="16">
        <v>4341004.5599999996</v>
      </c>
      <c r="K112" s="16">
        <v>0</v>
      </c>
      <c r="L112" s="16">
        <v>0</v>
      </c>
      <c r="M112" s="16">
        <v>0.26</v>
      </c>
      <c r="N112" s="18">
        <f t="shared" si="3"/>
        <v>67256306.33747828</v>
      </c>
      <c r="O112" s="4"/>
    </row>
    <row r="113" spans="1:15" ht="15" x14ac:dyDescent="0.2">
      <c r="A113" s="17" t="s">
        <v>108</v>
      </c>
      <c r="B113" s="16">
        <v>45586515.700000003</v>
      </c>
      <c r="C113" s="16"/>
      <c r="D113" s="16">
        <v>1963293.0339622982</v>
      </c>
      <c r="E113" s="16">
        <v>397743.53</v>
      </c>
      <c r="F113" s="16">
        <v>171627.77</v>
      </c>
      <c r="G113" s="16">
        <v>101308.32</v>
      </c>
      <c r="H113" s="16">
        <v>2523361.37</v>
      </c>
      <c r="I113" s="16">
        <v>584295.85</v>
      </c>
      <c r="J113" s="16">
        <v>4307574.78</v>
      </c>
      <c r="K113" s="16">
        <v>0</v>
      </c>
      <c r="L113" s="16">
        <v>0</v>
      </c>
      <c r="M113" s="16">
        <v>0.37</v>
      </c>
      <c r="N113" s="18">
        <f t="shared" si="3"/>
        <v>55635720.7239623</v>
      </c>
      <c r="O113" s="4"/>
    </row>
    <row r="114" spans="1:15" ht="15" x14ac:dyDescent="0.2">
      <c r="A114" s="17" t="s">
        <v>109</v>
      </c>
      <c r="B114" s="16">
        <v>30586398.939999998</v>
      </c>
      <c r="C114" s="16"/>
      <c r="D114" s="16">
        <v>754704.859072336</v>
      </c>
      <c r="E114" s="16">
        <v>258587.90000000002</v>
      </c>
      <c r="F114" s="16">
        <v>103889.2</v>
      </c>
      <c r="G114" s="16">
        <v>54031.1</v>
      </c>
      <c r="H114" s="16">
        <v>1693056.3</v>
      </c>
      <c r="I114" s="16">
        <v>353684.2</v>
      </c>
      <c r="J114" s="16">
        <v>3262255.0200000014</v>
      </c>
      <c r="K114" s="16">
        <v>0</v>
      </c>
      <c r="L114" s="16">
        <v>0</v>
      </c>
      <c r="M114" s="16">
        <v>0.22</v>
      </c>
      <c r="N114" s="18">
        <f t="shared" si="3"/>
        <v>37066607.739072338</v>
      </c>
      <c r="O114" s="4"/>
    </row>
    <row r="115" spans="1:15" ht="15" x14ac:dyDescent="0.2">
      <c r="A115" s="17" t="s">
        <v>110</v>
      </c>
      <c r="B115" s="16">
        <v>81950218.580000013</v>
      </c>
      <c r="C115" s="16"/>
      <c r="D115" s="16">
        <v>933669.98355135601</v>
      </c>
      <c r="E115" s="16">
        <v>690030.64000000013</v>
      </c>
      <c r="F115" s="16">
        <v>107574.46</v>
      </c>
      <c r="G115" s="16">
        <v>89826.71</v>
      </c>
      <c r="H115" s="16">
        <v>4536210.1500000004</v>
      </c>
      <c r="I115" s="16">
        <v>366230.43</v>
      </c>
      <c r="J115" s="16">
        <v>4323442.1400000006</v>
      </c>
      <c r="K115" s="16">
        <v>0</v>
      </c>
      <c r="L115" s="16">
        <v>0</v>
      </c>
      <c r="M115" s="16">
        <v>0.23</v>
      </c>
      <c r="N115" s="18">
        <f t="shared" si="3"/>
        <v>92997203.323551372</v>
      </c>
      <c r="O115" s="4"/>
    </row>
    <row r="116" spans="1:15" ht="15" x14ac:dyDescent="0.2">
      <c r="A116" s="17" t="s">
        <v>111</v>
      </c>
      <c r="B116" s="16">
        <v>43183237.359999999</v>
      </c>
      <c r="C116" s="16"/>
      <c r="D116" s="16">
        <v>1406327.4662305939</v>
      </c>
      <c r="E116" s="16">
        <v>371706.26</v>
      </c>
      <c r="F116" s="16">
        <v>296926.58</v>
      </c>
      <c r="G116" s="16">
        <v>138454.71</v>
      </c>
      <c r="H116" s="16">
        <v>2390332.12</v>
      </c>
      <c r="I116" s="16">
        <v>1010867.67</v>
      </c>
      <c r="J116" s="16">
        <v>5848614.1799999978</v>
      </c>
      <c r="K116" s="16">
        <v>0</v>
      </c>
      <c r="L116" s="16">
        <v>0</v>
      </c>
      <c r="M116" s="16">
        <v>0.64</v>
      </c>
      <c r="N116" s="18">
        <f t="shared" si="3"/>
        <v>54646466.986230589</v>
      </c>
      <c r="O116" s="4"/>
    </row>
    <row r="117" spans="1:15" ht="15" x14ac:dyDescent="0.2">
      <c r="A117" s="17" t="s">
        <v>112</v>
      </c>
      <c r="B117" s="16">
        <v>25095029.440000001</v>
      </c>
      <c r="C117" s="16"/>
      <c r="D117" s="16">
        <v>395210.27374923002</v>
      </c>
      <c r="E117" s="16">
        <v>215916.87999999998</v>
      </c>
      <c r="F117" s="16">
        <v>62473.91</v>
      </c>
      <c r="G117" s="16">
        <v>37146.379999999997</v>
      </c>
      <c r="H117" s="16">
        <v>1389091.2</v>
      </c>
      <c r="I117" s="16">
        <v>212688.47</v>
      </c>
      <c r="J117" s="16">
        <v>1807301.3399999994</v>
      </c>
      <c r="K117" s="16">
        <v>0</v>
      </c>
      <c r="L117" s="16">
        <v>0</v>
      </c>
      <c r="M117" s="16">
        <v>0.13</v>
      </c>
      <c r="N117" s="18">
        <f t="shared" si="3"/>
        <v>29214858.023749225</v>
      </c>
      <c r="O117" s="4"/>
    </row>
    <row r="118" spans="1:15" ht="15" x14ac:dyDescent="0.2">
      <c r="A118" s="17" t="s">
        <v>113</v>
      </c>
      <c r="B118" s="16">
        <v>38076449.609999999</v>
      </c>
      <c r="C118" s="16"/>
      <c r="D118" s="16">
        <v>1352190.968512058</v>
      </c>
      <c r="E118" s="16">
        <v>345260.93999999994</v>
      </c>
      <c r="F118" s="16">
        <v>294645.23</v>
      </c>
      <c r="G118" s="16">
        <v>141156.26</v>
      </c>
      <c r="H118" s="16">
        <v>2107654.87</v>
      </c>
      <c r="I118" s="16">
        <v>1003100.95</v>
      </c>
      <c r="J118" s="16">
        <v>4672211.58</v>
      </c>
      <c r="K118" s="16">
        <v>0</v>
      </c>
      <c r="L118" s="16">
        <v>0</v>
      </c>
      <c r="M118" s="16">
        <v>0.64</v>
      </c>
      <c r="N118" s="18">
        <f t="shared" si="3"/>
        <v>47992671.048512049</v>
      </c>
      <c r="O118" s="4"/>
    </row>
    <row r="119" spans="1:15" ht="15" x14ac:dyDescent="0.2">
      <c r="A119" s="17" t="s">
        <v>114</v>
      </c>
      <c r="B119" s="16">
        <v>55329729.189999998</v>
      </c>
      <c r="C119" s="16"/>
      <c r="D119" s="16">
        <v>1530711.9083777182</v>
      </c>
      <c r="E119" s="16">
        <v>470029.92000000004</v>
      </c>
      <c r="F119" s="16">
        <v>236734.01</v>
      </c>
      <c r="G119" s="16">
        <v>99282.15</v>
      </c>
      <c r="H119" s="16">
        <v>3062679.8</v>
      </c>
      <c r="I119" s="16">
        <v>805945.91</v>
      </c>
      <c r="J119" s="16">
        <v>4312063.4400000004</v>
      </c>
      <c r="K119" s="16">
        <v>0</v>
      </c>
      <c r="L119" s="16">
        <v>0</v>
      </c>
      <c r="M119" s="16">
        <v>0.51</v>
      </c>
      <c r="N119" s="18">
        <f t="shared" si="3"/>
        <v>65847176.838377707</v>
      </c>
      <c r="O119" s="4"/>
    </row>
    <row r="120" spans="1:15" ht="15" x14ac:dyDescent="0.2">
      <c r="A120" s="17" t="s">
        <v>115</v>
      </c>
      <c r="B120" s="16">
        <v>36579583.230000004</v>
      </c>
      <c r="C120" s="16"/>
      <c r="D120" s="16">
        <v>1364015.546407246</v>
      </c>
      <c r="E120" s="16">
        <v>315692.18000000005</v>
      </c>
      <c r="F120" s="16">
        <v>159519.06</v>
      </c>
      <c r="G120" s="16">
        <v>99957.54</v>
      </c>
      <c r="H120" s="16">
        <v>2024798.47</v>
      </c>
      <c r="I120" s="16">
        <v>543072.52</v>
      </c>
      <c r="J120" s="16">
        <v>4624373.8800000008</v>
      </c>
      <c r="K120" s="16">
        <v>0</v>
      </c>
      <c r="L120" s="16">
        <v>0</v>
      </c>
      <c r="M120" s="16">
        <v>0.34</v>
      </c>
      <c r="N120" s="18">
        <f t="shared" si="3"/>
        <v>45711012.766407259</v>
      </c>
      <c r="O120" s="4"/>
    </row>
    <row r="121" spans="1:15" ht="15" x14ac:dyDescent="0.2">
      <c r="A121" s="17" t="s">
        <v>116</v>
      </c>
      <c r="B121" s="16">
        <v>39770610.74000001</v>
      </c>
      <c r="C121" s="16"/>
      <c r="D121" s="16">
        <v>1278246.2166061001</v>
      </c>
      <c r="E121" s="16">
        <v>335717.8</v>
      </c>
      <c r="F121" s="16">
        <v>67036.61</v>
      </c>
      <c r="G121" s="16">
        <v>36471</v>
      </c>
      <c r="H121" s="16">
        <v>2201432.1800000002</v>
      </c>
      <c r="I121" s="16">
        <v>228221.9</v>
      </c>
      <c r="J121" s="16">
        <v>2538301.6799999997</v>
      </c>
      <c r="K121" s="16">
        <v>0</v>
      </c>
      <c r="L121" s="16">
        <v>0</v>
      </c>
      <c r="M121" s="16">
        <v>0.14000000000000001</v>
      </c>
      <c r="N121" s="18">
        <f t="shared" si="3"/>
        <v>46456038.266606107</v>
      </c>
      <c r="O121" s="4"/>
    </row>
    <row r="122" spans="1:15" ht="15" x14ac:dyDescent="0.2">
      <c r="A122" s="17" t="s">
        <v>117</v>
      </c>
      <c r="B122" s="16">
        <v>111395739.51000001</v>
      </c>
      <c r="C122" s="16"/>
      <c r="D122" s="16">
        <v>2390311.9500000002</v>
      </c>
      <c r="E122" s="16">
        <v>1330577.3599999999</v>
      </c>
      <c r="F122" s="16">
        <v>2018118.01</v>
      </c>
      <c r="G122" s="16">
        <v>917815.27558810019</v>
      </c>
      <c r="H122" s="16">
        <v>6166115.1500000004</v>
      </c>
      <c r="I122" s="16">
        <v>6870554.4699999997</v>
      </c>
      <c r="J122" s="16">
        <v>11894778.719999995</v>
      </c>
      <c r="K122" s="16">
        <v>0</v>
      </c>
      <c r="L122" s="16">
        <v>0</v>
      </c>
      <c r="M122" s="16">
        <v>4.4000000000000004</v>
      </c>
      <c r="N122" s="18">
        <f t="shared" si="3"/>
        <v>142984014.84558812</v>
      </c>
      <c r="O122" s="4"/>
    </row>
    <row r="123" spans="1:15" ht="15" x14ac:dyDescent="0.2">
      <c r="A123" s="17" t="s">
        <v>118</v>
      </c>
      <c r="B123" s="16">
        <v>298173785.39000005</v>
      </c>
      <c r="C123" s="16"/>
      <c r="D123" s="16">
        <v>4459526.75</v>
      </c>
      <c r="E123" s="16">
        <v>2555413.08</v>
      </c>
      <c r="F123" s="16">
        <v>2805359.52</v>
      </c>
      <c r="G123" s="16">
        <v>2322032.808947193</v>
      </c>
      <c r="H123" s="16">
        <v>16504885.210000001</v>
      </c>
      <c r="I123" s="16">
        <v>9550668.1500000004</v>
      </c>
      <c r="J123" s="16">
        <v>15953450.039999995</v>
      </c>
      <c r="K123" s="16">
        <v>0</v>
      </c>
      <c r="L123" s="16">
        <v>0</v>
      </c>
      <c r="M123" s="16">
        <v>6.12</v>
      </c>
      <c r="N123" s="18">
        <f t="shared" si="3"/>
        <v>352325127.0689472</v>
      </c>
      <c r="O123" s="4"/>
    </row>
    <row r="124" spans="1:15" ht="15" x14ac:dyDescent="0.2">
      <c r="A124" s="17" t="s">
        <v>119</v>
      </c>
      <c r="B124" s="16">
        <v>226993284.57000002</v>
      </c>
      <c r="C124" s="16"/>
      <c r="D124" s="16">
        <v>1550391.0799999998</v>
      </c>
      <c r="E124" s="16">
        <v>2692849.37</v>
      </c>
      <c r="F124" s="16">
        <v>3592425.55</v>
      </c>
      <c r="G124" s="16">
        <v>0</v>
      </c>
      <c r="H124" s="16">
        <v>12564813.84</v>
      </c>
      <c r="I124" s="16">
        <v>12230184.4</v>
      </c>
      <c r="J124" s="16">
        <v>22269800.160000011</v>
      </c>
      <c r="K124" s="16">
        <v>0</v>
      </c>
      <c r="L124" s="16">
        <v>0</v>
      </c>
      <c r="M124" s="16">
        <v>7.84</v>
      </c>
      <c r="N124" s="18">
        <f t="shared" si="3"/>
        <v>281893756.81000006</v>
      </c>
      <c r="O124" s="4"/>
    </row>
    <row r="125" spans="1:15" ht="15" x14ac:dyDescent="0.2">
      <c r="A125" s="17" t="s">
        <v>120</v>
      </c>
      <c r="B125" s="16">
        <v>80932292.269999996</v>
      </c>
      <c r="C125" s="16"/>
      <c r="D125" s="16">
        <v>5746974.6447344655</v>
      </c>
      <c r="E125" s="16">
        <v>684765.97000000009</v>
      </c>
      <c r="F125" s="16">
        <v>1396888.64</v>
      </c>
      <c r="G125" s="16">
        <v>630137.76</v>
      </c>
      <c r="H125" s="16">
        <v>4479864.63</v>
      </c>
      <c r="I125" s="16">
        <v>4755618.57</v>
      </c>
      <c r="J125" s="16">
        <v>13856611.140000004</v>
      </c>
      <c r="K125" s="16">
        <v>0</v>
      </c>
      <c r="L125" s="16">
        <v>0</v>
      </c>
      <c r="M125" s="16">
        <v>3.05</v>
      </c>
      <c r="N125" s="18">
        <f t="shared" si="3"/>
        <v>112483156.67473447</v>
      </c>
      <c r="O125" s="4"/>
    </row>
    <row r="126" spans="1:15" ht="15" x14ac:dyDescent="0.2">
      <c r="A126" s="17" t="s">
        <v>121</v>
      </c>
      <c r="B126" s="16">
        <v>101954186.77000001</v>
      </c>
      <c r="C126" s="16"/>
      <c r="D126" s="16">
        <v>1813141.4049545422</v>
      </c>
      <c r="E126" s="16">
        <v>863498.60999999987</v>
      </c>
      <c r="F126" s="16">
        <v>699321.76</v>
      </c>
      <c r="G126" s="16">
        <v>255296.97</v>
      </c>
      <c r="H126" s="16">
        <v>5643494.6100000003</v>
      </c>
      <c r="I126" s="16">
        <v>2380796.48</v>
      </c>
      <c r="J126" s="16">
        <v>9160982.8200000022</v>
      </c>
      <c r="K126" s="16">
        <v>0</v>
      </c>
      <c r="L126" s="16">
        <v>0</v>
      </c>
      <c r="M126" s="16">
        <v>1.52</v>
      </c>
      <c r="N126" s="18">
        <f t="shared" si="3"/>
        <v>122770720.94495456</v>
      </c>
      <c r="O126" s="4"/>
    </row>
    <row r="127" spans="1:15" ht="15" x14ac:dyDescent="0.2">
      <c r="A127" s="17" t="s">
        <v>122</v>
      </c>
      <c r="B127" s="16">
        <v>48137050.260000005</v>
      </c>
      <c r="C127" s="16"/>
      <c r="D127" s="16">
        <v>636608.93650621595</v>
      </c>
      <c r="E127" s="16">
        <v>409013.95</v>
      </c>
      <c r="F127" s="16">
        <v>742316.45</v>
      </c>
      <c r="G127" s="16">
        <v>257323.14</v>
      </c>
      <c r="H127" s="16">
        <v>2664541.7200000002</v>
      </c>
      <c r="I127" s="16">
        <v>2527169.17</v>
      </c>
      <c r="J127" s="16">
        <v>9412036.5600000005</v>
      </c>
      <c r="K127" s="16">
        <v>0</v>
      </c>
      <c r="L127" s="16">
        <v>0</v>
      </c>
      <c r="M127" s="16">
        <v>1.62</v>
      </c>
      <c r="N127" s="18">
        <f t="shared" si="3"/>
        <v>64786061.806506231</v>
      </c>
      <c r="O127" s="4"/>
    </row>
    <row r="128" spans="1:15" ht="15" x14ac:dyDescent="0.2">
      <c r="A128" s="17" t="s">
        <v>123</v>
      </c>
      <c r="B128" s="16">
        <v>29346873.449999996</v>
      </c>
      <c r="C128" s="16"/>
      <c r="D128" s="16">
        <v>485304.52396930603</v>
      </c>
      <c r="E128" s="16">
        <v>248385.91</v>
      </c>
      <c r="F128" s="16">
        <v>67914.05</v>
      </c>
      <c r="G128" s="16">
        <v>43900.27</v>
      </c>
      <c r="H128" s="16">
        <v>1624444.54</v>
      </c>
      <c r="I128" s="16">
        <v>231209.09</v>
      </c>
      <c r="J128" s="16">
        <v>2213231.2200000002</v>
      </c>
      <c r="K128" s="16">
        <v>0</v>
      </c>
      <c r="L128" s="16">
        <v>0</v>
      </c>
      <c r="M128" s="16">
        <v>0.14000000000000001</v>
      </c>
      <c r="N128" s="18">
        <f t="shared" si="3"/>
        <v>34261263.193969302</v>
      </c>
      <c r="O128" s="4"/>
    </row>
    <row r="129" spans="1:15" ht="15" x14ac:dyDescent="0.2">
      <c r="A129" s="17" t="s">
        <v>124</v>
      </c>
      <c r="B129" s="16">
        <v>151769671.83000001</v>
      </c>
      <c r="C129" s="16"/>
      <c r="D129" s="16">
        <v>5327954.6508813519</v>
      </c>
      <c r="E129" s="16">
        <v>1278133.51</v>
      </c>
      <c r="F129" s="16">
        <v>863754.51</v>
      </c>
      <c r="G129" s="16">
        <v>535583.32999999996</v>
      </c>
      <c r="H129" s="16">
        <v>8400943.1300000008</v>
      </c>
      <c r="I129" s="16">
        <v>2940597.31</v>
      </c>
      <c r="J129" s="16">
        <v>14278392.719999995</v>
      </c>
      <c r="K129" s="16">
        <v>0</v>
      </c>
      <c r="L129" s="16">
        <v>0</v>
      </c>
      <c r="M129" s="16">
        <v>1.88</v>
      </c>
      <c r="N129" s="18">
        <f t="shared" si="3"/>
        <v>185395032.87088135</v>
      </c>
      <c r="O129" s="4"/>
    </row>
    <row r="130" spans="1:15" ht="15" x14ac:dyDescent="0.2">
      <c r="A130" s="17" t="s">
        <v>125</v>
      </c>
      <c r="B130" s="16">
        <v>47528010.039999999</v>
      </c>
      <c r="C130" s="16"/>
      <c r="D130" s="16">
        <v>1067148.779477118</v>
      </c>
      <c r="E130" s="16">
        <v>400675.4</v>
      </c>
      <c r="F130" s="16">
        <v>106872.51</v>
      </c>
      <c r="G130" s="16">
        <v>39847.94</v>
      </c>
      <c r="H130" s="16">
        <v>2630829.37</v>
      </c>
      <c r="I130" s="16">
        <v>363840.67</v>
      </c>
      <c r="J130" s="16">
        <v>3752701.3800000008</v>
      </c>
      <c r="K130" s="16">
        <v>0</v>
      </c>
      <c r="L130" s="16">
        <v>0</v>
      </c>
      <c r="M130" s="16">
        <v>0.23</v>
      </c>
      <c r="N130" s="18">
        <f t="shared" si="3"/>
        <v>55889926.319477111</v>
      </c>
      <c r="O130" s="4"/>
    </row>
    <row r="131" spans="1:15" ht="15" x14ac:dyDescent="0.2">
      <c r="A131" s="17" t="s">
        <v>126</v>
      </c>
      <c r="B131" s="16">
        <v>223533478.78</v>
      </c>
      <c r="C131" s="16"/>
      <c r="D131" s="16">
        <v>4044343.4049999998</v>
      </c>
      <c r="E131" s="16">
        <v>1897831.25</v>
      </c>
      <c r="F131" s="16">
        <v>4719061.87</v>
      </c>
      <c r="G131" s="16">
        <v>482545.99944942107</v>
      </c>
      <c r="H131" s="16">
        <v>12373302.380000001</v>
      </c>
      <c r="I131" s="16">
        <v>16065746.109999999</v>
      </c>
      <c r="J131" s="16">
        <v>30140875.800000008</v>
      </c>
      <c r="K131" s="16">
        <v>0</v>
      </c>
      <c r="L131" s="16">
        <v>0</v>
      </c>
      <c r="M131" s="16">
        <v>10.3</v>
      </c>
      <c r="N131" s="18">
        <f t="shared" si="3"/>
        <v>293257195.89444947</v>
      </c>
      <c r="O131" s="4"/>
    </row>
    <row r="132" spans="1:15" ht="15" x14ac:dyDescent="0.2">
      <c r="A132" s="17" t="s">
        <v>127</v>
      </c>
      <c r="B132" s="16">
        <v>9930500.4000000004</v>
      </c>
      <c r="C132" s="16"/>
      <c r="D132" s="16">
        <v>90156.288596814018</v>
      </c>
      <c r="E132" s="16">
        <v>83526.48</v>
      </c>
      <c r="F132" s="16">
        <v>20181.18</v>
      </c>
      <c r="G132" s="16">
        <v>7429.28</v>
      </c>
      <c r="H132" s="16">
        <v>549685.38</v>
      </c>
      <c r="I132" s="16">
        <v>68705.539999999994</v>
      </c>
      <c r="J132" s="16">
        <v>1084493.8800000004</v>
      </c>
      <c r="K132" s="16">
        <v>0</v>
      </c>
      <c r="L132" s="16">
        <v>0</v>
      </c>
      <c r="M132" s="16">
        <v>0.04</v>
      </c>
      <c r="N132" s="18">
        <f t="shared" si="3"/>
        <v>11834678.468596814</v>
      </c>
      <c r="O132" s="4"/>
    </row>
    <row r="133" spans="1:15" ht="15" x14ac:dyDescent="0.2">
      <c r="A133" s="17" t="s">
        <v>128</v>
      </c>
      <c r="B133" s="16">
        <v>55532742.609999999</v>
      </c>
      <c r="C133" s="16"/>
      <c r="D133" s="16">
        <v>833748.376230594</v>
      </c>
      <c r="E133" s="16">
        <v>467059.75</v>
      </c>
      <c r="F133" s="16">
        <v>73003.22</v>
      </c>
      <c r="G133" s="16">
        <v>54706.49</v>
      </c>
      <c r="H133" s="16">
        <v>3073917.25</v>
      </c>
      <c r="I133" s="16">
        <v>248534.84</v>
      </c>
      <c r="J133" s="16">
        <v>3941446.86</v>
      </c>
      <c r="K133" s="16">
        <v>0</v>
      </c>
      <c r="L133" s="16">
        <v>0</v>
      </c>
      <c r="M133" s="16">
        <v>0.15</v>
      </c>
      <c r="N133" s="18">
        <f t="shared" si="3"/>
        <v>64225159.546230599</v>
      </c>
      <c r="O133" s="4"/>
    </row>
    <row r="134" spans="1:15" ht="15" x14ac:dyDescent="0.2">
      <c r="A134" s="17" t="s">
        <v>129</v>
      </c>
      <c r="B134" s="16">
        <v>108858072.03</v>
      </c>
      <c r="C134" s="16"/>
      <c r="D134" s="16">
        <v>2378533.5564930481</v>
      </c>
      <c r="E134" s="16">
        <v>926052.7</v>
      </c>
      <c r="F134" s="16">
        <v>340623.22</v>
      </c>
      <c r="G134" s="16">
        <v>185731.92</v>
      </c>
      <c r="H134" s="16">
        <v>6025647.0300000003</v>
      </c>
      <c r="I134" s="16">
        <v>1159630.1100000001</v>
      </c>
      <c r="J134" s="16">
        <v>9084768.8399999999</v>
      </c>
      <c r="K134" s="16">
        <v>0</v>
      </c>
      <c r="L134" s="16">
        <v>0</v>
      </c>
      <c r="M134" s="16">
        <v>0.74</v>
      </c>
      <c r="N134" s="18">
        <f t="shared" si="3"/>
        <v>128959060.14649305</v>
      </c>
      <c r="O134" s="4"/>
    </row>
    <row r="135" spans="1:15" ht="15" x14ac:dyDescent="0.2">
      <c r="A135" s="17" t="s">
        <v>130</v>
      </c>
      <c r="B135" s="16">
        <v>91210203</v>
      </c>
      <c r="C135" s="16"/>
      <c r="D135" s="16">
        <v>3329640.7487190319</v>
      </c>
      <c r="E135" s="16">
        <v>1074240</v>
      </c>
      <c r="F135" s="16">
        <v>512777.46</v>
      </c>
      <c r="G135" s="16">
        <v>247192.3</v>
      </c>
      <c r="H135" s="16">
        <v>5048780.29</v>
      </c>
      <c r="I135" s="16">
        <v>1745718.27</v>
      </c>
      <c r="J135" s="16">
        <v>9270720.7199999988</v>
      </c>
      <c r="K135" s="16">
        <v>0</v>
      </c>
      <c r="L135" s="16">
        <v>0</v>
      </c>
      <c r="M135" s="16">
        <v>1.1100000000000001</v>
      </c>
      <c r="N135" s="18">
        <f t="shared" si="3"/>
        <v>112439273.89871903</v>
      </c>
      <c r="O135" s="4"/>
    </row>
    <row r="136" spans="1:15" ht="15" x14ac:dyDescent="0.2">
      <c r="A136" s="17" t="s">
        <v>131</v>
      </c>
      <c r="B136" s="16">
        <v>155228047.97</v>
      </c>
      <c r="C136" s="16"/>
      <c r="D136" s="16">
        <v>2444051.42</v>
      </c>
      <c r="E136" s="16">
        <v>1903158.94</v>
      </c>
      <c r="F136" s="16">
        <v>3050867.97</v>
      </c>
      <c r="G136" s="16">
        <v>1705540.3770018772</v>
      </c>
      <c r="H136" s="16">
        <v>8592375.4499999993</v>
      </c>
      <c r="I136" s="16">
        <v>10386486.039999999</v>
      </c>
      <c r="J136" s="16">
        <v>21292187.760000002</v>
      </c>
      <c r="K136" s="16">
        <v>0</v>
      </c>
      <c r="L136" s="16">
        <v>0</v>
      </c>
      <c r="M136" s="16">
        <v>6.66</v>
      </c>
      <c r="N136" s="18">
        <f t="shared" ref="N136:N142" si="4">SUM(B136:M136)</f>
        <v>204602722.58700183</v>
      </c>
      <c r="O136" s="4"/>
    </row>
    <row r="137" spans="1:15" ht="15" x14ac:dyDescent="0.2">
      <c r="A137" s="17" t="s">
        <v>132</v>
      </c>
      <c r="B137" s="16">
        <v>26288805.419999998</v>
      </c>
      <c r="C137" s="16"/>
      <c r="D137" s="16">
        <v>491436.19167278003</v>
      </c>
      <c r="E137" s="16">
        <v>222704.46000000005</v>
      </c>
      <c r="F137" s="16">
        <v>36501.61</v>
      </c>
      <c r="G137" s="16">
        <v>37821.769999999997</v>
      </c>
      <c r="H137" s="16">
        <v>1455170.57</v>
      </c>
      <c r="I137" s="16">
        <v>124267.42</v>
      </c>
      <c r="J137" s="16">
        <v>2037402.7200000004</v>
      </c>
      <c r="K137" s="16">
        <v>0</v>
      </c>
      <c r="L137" s="16">
        <v>0</v>
      </c>
      <c r="M137" s="16">
        <v>7.0000000000000007E-2</v>
      </c>
      <c r="N137" s="18">
        <f t="shared" si="4"/>
        <v>30694110.231672779</v>
      </c>
      <c r="O137" s="4"/>
    </row>
    <row r="138" spans="1:15" ht="15" x14ac:dyDescent="0.2">
      <c r="A138" s="17" t="s">
        <v>133</v>
      </c>
      <c r="B138" s="16">
        <v>56290468.669999994</v>
      </c>
      <c r="C138" s="16"/>
      <c r="D138" s="16">
        <v>2470595.4076136043</v>
      </c>
      <c r="E138" s="16">
        <v>489669.55</v>
      </c>
      <c r="F138" s="16">
        <v>317809.71000000002</v>
      </c>
      <c r="G138" s="16">
        <v>154664.04</v>
      </c>
      <c r="H138" s="16">
        <v>3115859.85</v>
      </c>
      <c r="I138" s="16">
        <v>1081962.97</v>
      </c>
      <c r="J138" s="16">
        <v>7583233.1400000025</v>
      </c>
      <c r="K138" s="16">
        <v>0</v>
      </c>
      <c r="L138" s="16">
        <v>0</v>
      </c>
      <c r="M138" s="16">
        <v>0.69</v>
      </c>
      <c r="N138" s="18">
        <f t="shared" si="4"/>
        <v>71504264.027613595</v>
      </c>
      <c r="O138" s="4"/>
    </row>
    <row r="139" spans="1:15" ht="15" x14ac:dyDescent="0.2">
      <c r="A139" s="17" t="s">
        <v>134</v>
      </c>
      <c r="B139" s="16">
        <v>263535696.41999999</v>
      </c>
      <c r="C139" s="16"/>
      <c r="D139" s="16">
        <v>3224295.3200000003</v>
      </c>
      <c r="E139" s="16">
        <v>2364944.5</v>
      </c>
      <c r="F139" s="16">
        <v>1634500.1</v>
      </c>
      <c r="G139" s="16">
        <v>1573605.0593485432</v>
      </c>
      <c r="H139" s="16">
        <v>14587554.75</v>
      </c>
      <c r="I139" s="16">
        <v>5564551.7199999997</v>
      </c>
      <c r="J139" s="16">
        <v>13737597.479999997</v>
      </c>
      <c r="K139" s="16">
        <v>0</v>
      </c>
      <c r="L139" s="16">
        <v>0</v>
      </c>
      <c r="M139" s="16">
        <v>3.56</v>
      </c>
      <c r="N139" s="18">
        <f t="shared" si="4"/>
        <v>306222748.90934861</v>
      </c>
      <c r="O139" s="4"/>
    </row>
    <row r="140" spans="1:15" ht="15" x14ac:dyDescent="0.2">
      <c r="A140" s="17" t="s">
        <v>135</v>
      </c>
      <c r="B140" s="16">
        <v>68574209</v>
      </c>
      <c r="C140" s="16"/>
      <c r="D140" s="16">
        <v>483765.41000000003</v>
      </c>
      <c r="E140" s="16">
        <v>593342.15</v>
      </c>
      <c r="F140" s="16">
        <v>269550.37</v>
      </c>
      <c r="G140" s="16">
        <v>137103.93</v>
      </c>
      <c r="H140" s="16">
        <v>3795804.6100000003</v>
      </c>
      <c r="I140" s="16">
        <v>917667.1</v>
      </c>
      <c r="J140" s="16">
        <v>3466632.4199999995</v>
      </c>
      <c r="K140" s="16">
        <v>0</v>
      </c>
      <c r="L140" s="16">
        <v>0</v>
      </c>
      <c r="M140" s="16">
        <v>0.57999999999999996</v>
      </c>
      <c r="N140" s="18">
        <f t="shared" si="4"/>
        <v>78238075.570000008</v>
      </c>
      <c r="O140" s="4"/>
    </row>
    <row r="141" spans="1:15" ht="15" x14ac:dyDescent="0.2">
      <c r="A141" s="17" t="s">
        <v>136</v>
      </c>
      <c r="B141" s="16">
        <v>84828147.950000003</v>
      </c>
      <c r="C141" s="16"/>
      <c r="D141" s="16">
        <v>1098874.4556077621</v>
      </c>
      <c r="E141" s="16">
        <v>715070.84</v>
      </c>
      <c r="F141" s="16">
        <v>388707.07</v>
      </c>
      <c r="G141" s="16">
        <v>133726.98000000001</v>
      </c>
      <c r="H141" s="16">
        <v>4695512.87</v>
      </c>
      <c r="I141" s="16">
        <v>1323328.53</v>
      </c>
      <c r="J141" s="16">
        <v>9441542.700000003</v>
      </c>
      <c r="K141" s="16">
        <v>0</v>
      </c>
      <c r="L141" s="16">
        <v>0</v>
      </c>
      <c r="M141" s="16">
        <v>0.84</v>
      </c>
      <c r="N141" s="18">
        <f t="shared" si="4"/>
        <v>102624912.23560777</v>
      </c>
      <c r="O141" s="4"/>
    </row>
    <row r="142" spans="1:15" ht="15" x14ac:dyDescent="0.2">
      <c r="A142" s="17" t="s">
        <v>137</v>
      </c>
      <c r="B142" s="16">
        <v>80373290.569999993</v>
      </c>
      <c r="C142" s="16"/>
      <c r="D142" s="16">
        <v>1231932.9554148698</v>
      </c>
      <c r="E142" s="16">
        <v>953903.14999999991</v>
      </c>
      <c r="F142" s="16">
        <v>1671177.2</v>
      </c>
      <c r="G142" s="16">
        <v>493709.22</v>
      </c>
      <c r="H142" s="16">
        <v>4448922.07</v>
      </c>
      <c r="I142" s="16">
        <v>5689416.54</v>
      </c>
      <c r="J142" s="16">
        <v>12699889.739999996</v>
      </c>
      <c r="K142" s="16">
        <v>0</v>
      </c>
      <c r="L142" s="16">
        <v>0</v>
      </c>
      <c r="M142" s="16">
        <v>3.64</v>
      </c>
      <c r="N142" s="18">
        <f t="shared" si="4"/>
        <v>107562245.08541487</v>
      </c>
      <c r="O142" s="4"/>
    </row>
    <row r="143" spans="1:15" ht="24.75" customHeight="1" x14ac:dyDescent="0.2">
      <c r="A143" s="24" t="s">
        <v>138</v>
      </c>
      <c r="B143" s="25">
        <f>SUM(B8:B142)</f>
        <v>14296718237.840008</v>
      </c>
      <c r="C143" s="25">
        <f>SUM(C8:C142)</f>
        <v>0</v>
      </c>
      <c r="D143" s="25">
        <f t="shared" ref="D143:I143" si="5">SUM(D8:D142)</f>
        <v>236315486.37541798</v>
      </c>
      <c r="E143" s="25">
        <f t="shared" si="5"/>
        <v>147480188.86000001</v>
      </c>
      <c r="F143" s="25">
        <f>SUM(F8:F142)</f>
        <v>175488523.02000001</v>
      </c>
      <c r="G143" s="25">
        <f t="shared" si="5"/>
        <v>67538880.900000036</v>
      </c>
      <c r="H143" s="25">
        <f t="shared" si="5"/>
        <v>791369681.35000014</v>
      </c>
      <c r="I143" s="25">
        <f t="shared" si="5"/>
        <v>597439519.11000001</v>
      </c>
      <c r="J143" s="25">
        <f t="shared" ref="J143:N143" si="6">SUM(J8:J142)</f>
        <v>1569478419.000001</v>
      </c>
      <c r="K143" s="25">
        <f t="shared" si="6"/>
        <v>0</v>
      </c>
      <c r="L143" s="25">
        <f t="shared" si="6"/>
        <v>0</v>
      </c>
      <c r="M143" s="25">
        <f t="shared" si="6"/>
        <v>382.49999999999989</v>
      </c>
      <c r="N143" s="25">
        <f t="shared" si="6"/>
        <v>17881829318.955421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  <c r="N145" s="8"/>
    </row>
    <row r="146" spans="1:14" x14ac:dyDescent="0.2">
      <c r="B146" s="7"/>
      <c r="D146" s="7"/>
      <c r="E146" s="7"/>
      <c r="F146" s="7"/>
      <c r="G146" s="7"/>
      <c r="H146" s="7"/>
      <c r="I146" s="7"/>
      <c r="J146" s="7"/>
      <c r="K146" s="7"/>
      <c r="L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44AEAC"/>
  </sheetPr>
  <dimension ref="A1:O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2.33203125" style="1" customWidth="1"/>
    <col min="3" max="3" width="22.33203125" style="1" hidden="1" customWidth="1"/>
    <col min="4" max="4" width="22.33203125" style="1" customWidth="1"/>
    <col min="5" max="5" width="22.33203125" style="1" hidden="1" customWidth="1"/>
    <col min="6" max="10" width="22.33203125" style="1" customWidth="1"/>
    <col min="11" max="12" width="22.33203125" style="1" hidden="1" customWidth="1"/>
    <col min="13" max="13" width="22.33203125" style="1" customWidth="1"/>
    <col min="14" max="14" width="23.83203125" style="1" customWidth="1"/>
    <col min="15" max="15" width="12" style="1" customWidth="1"/>
    <col min="16" max="16384" width="12" style="1"/>
  </cols>
  <sheetData>
    <row r="1" spans="1:1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7.25" customHeight="1" x14ac:dyDescent="0.25">
      <c r="A3" s="2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7.25" customHeight="1" x14ac:dyDescent="0.25">
      <c r="A4" s="23" t="s">
        <v>170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5" ht="18.75" customHeight="1" x14ac:dyDescent="0.2">
      <c r="A6" s="28" t="s">
        <v>2</v>
      </c>
      <c r="B6" s="29" t="s">
        <v>171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5" ht="60" customHeight="1" x14ac:dyDescent="0.2">
      <c r="A7" s="28"/>
      <c r="B7" s="21" t="s">
        <v>139</v>
      </c>
      <c r="C7" s="21" t="s">
        <v>151</v>
      </c>
      <c r="D7" s="21" t="s">
        <v>143</v>
      </c>
      <c r="E7" s="21" t="s">
        <v>141</v>
      </c>
      <c r="F7" s="27" t="s">
        <v>150</v>
      </c>
      <c r="G7" s="21" t="s">
        <v>144</v>
      </c>
      <c r="H7" s="21" t="s">
        <v>146</v>
      </c>
      <c r="I7" s="21" t="s">
        <v>145</v>
      </c>
      <c r="J7" s="21" t="s">
        <v>147</v>
      </c>
      <c r="K7" s="21" t="s">
        <v>148</v>
      </c>
      <c r="L7" s="21" t="s">
        <v>149</v>
      </c>
      <c r="M7" s="21" t="s">
        <v>142</v>
      </c>
      <c r="N7" s="22" t="s">
        <v>140</v>
      </c>
    </row>
    <row r="8" spans="1:15" ht="18" customHeight="1" x14ac:dyDescent="0.2">
      <c r="A8" s="17" t="s">
        <v>3</v>
      </c>
      <c r="B8" s="16">
        <v>57548492.579999998</v>
      </c>
      <c r="C8" s="16">
        <v>0</v>
      </c>
      <c r="D8" s="16">
        <v>2333549.6654192382</v>
      </c>
      <c r="E8" s="16">
        <v>0</v>
      </c>
      <c r="F8" s="16">
        <v>285183.40999999997</v>
      </c>
      <c r="G8" s="16">
        <v>128679.56</v>
      </c>
      <c r="H8" s="16">
        <v>2911362.62</v>
      </c>
      <c r="I8" s="16">
        <v>450809.31</v>
      </c>
      <c r="J8" s="16">
        <v>6118397.1200000001</v>
      </c>
      <c r="K8" s="16">
        <v>0</v>
      </c>
      <c r="L8" s="16">
        <v>0</v>
      </c>
      <c r="M8" s="16">
        <v>27.31</v>
      </c>
      <c r="N8" s="18">
        <f t="shared" ref="N8:N39" si="0">SUM(B8:M8)</f>
        <v>69776501.575419232</v>
      </c>
      <c r="O8" s="4"/>
    </row>
    <row r="9" spans="1:15" ht="18" customHeight="1" x14ac:dyDescent="0.2">
      <c r="A9" s="17" t="s">
        <v>4</v>
      </c>
      <c r="B9" s="16">
        <v>35877856.169999994</v>
      </c>
      <c r="C9" s="16">
        <v>0</v>
      </c>
      <c r="D9" s="16">
        <v>1469444.1695739124</v>
      </c>
      <c r="E9" s="16">
        <v>0</v>
      </c>
      <c r="F9" s="16">
        <v>199805.52</v>
      </c>
      <c r="G9" s="16">
        <v>90902.07</v>
      </c>
      <c r="H9" s="16">
        <v>1815051.01</v>
      </c>
      <c r="I9" s="16">
        <v>315846.52</v>
      </c>
      <c r="J9" s="16">
        <v>4592102.0200000005</v>
      </c>
      <c r="K9" s="16">
        <v>0</v>
      </c>
      <c r="L9" s="16">
        <v>0</v>
      </c>
      <c r="M9" s="16">
        <v>19.14</v>
      </c>
      <c r="N9" s="18">
        <f t="shared" si="0"/>
        <v>44361026.619573914</v>
      </c>
      <c r="O9" s="4"/>
    </row>
    <row r="10" spans="1:15" ht="18" customHeight="1" x14ac:dyDescent="0.2">
      <c r="A10" s="17" t="s">
        <v>5</v>
      </c>
      <c r="B10" s="16">
        <v>26367213.630000006</v>
      </c>
      <c r="C10" s="16">
        <v>0</v>
      </c>
      <c r="D10" s="16">
        <v>957955.84495541814</v>
      </c>
      <c r="E10" s="16">
        <v>0</v>
      </c>
      <c r="F10" s="16">
        <v>139580.45000000001</v>
      </c>
      <c r="G10" s="16">
        <v>80277.16</v>
      </c>
      <c r="H10" s="16">
        <v>1333910.18</v>
      </c>
      <c r="I10" s="16">
        <v>220644.56</v>
      </c>
      <c r="J10" s="16">
        <v>2714248.9100000006</v>
      </c>
      <c r="K10" s="16">
        <v>0</v>
      </c>
      <c r="L10" s="16">
        <v>0</v>
      </c>
      <c r="M10" s="16">
        <v>13.370000000000001</v>
      </c>
      <c r="N10" s="18">
        <f t="shared" si="0"/>
        <v>31813844.104955424</v>
      </c>
      <c r="O10" s="4"/>
    </row>
    <row r="11" spans="1:15" ht="18" customHeight="1" x14ac:dyDescent="0.2">
      <c r="A11" s="17" t="s">
        <v>6</v>
      </c>
      <c r="B11" s="16">
        <v>305334802.25999999</v>
      </c>
      <c r="C11" s="16">
        <v>0</v>
      </c>
      <c r="D11" s="16">
        <v>2298253.6118097561</v>
      </c>
      <c r="E11" s="16">
        <v>0</v>
      </c>
      <c r="F11" s="16">
        <v>14981871.789999999</v>
      </c>
      <c r="G11" s="16">
        <v>7179828.3366928594</v>
      </c>
      <c r="H11" s="16">
        <v>15446804.75</v>
      </c>
      <c r="I11" s="16">
        <v>23682889.190000001</v>
      </c>
      <c r="J11" s="16">
        <v>51083917.509999998</v>
      </c>
      <c r="K11" s="16">
        <v>0</v>
      </c>
      <c r="L11" s="16">
        <v>0</v>
      </c>
      <c r="M11" s="16">
        <v>1435.86</v>
      </c>
      <c r="N11" s="18">
        <f t="shared" si="0"/>
        <v>420009803.30850261</v>
      </c>
      <c r="O11" s="4"/>
    </row>
    <row r="12" spans="1:15" ht="18" customHeight="1" x14ac:dyDescent="0.2">
      <c r="A12" s="17" t="s">
        <v>7</v>
      </c>
      <c r="B12" s="16">
        <v>45829078.210000001</v>
      </c>
      <c r="C12" s="16">
        <v>0</v>
      </c>
      <c r="D12" s="16">
        <v>1354851.5855060201</v>
      </c>
      <c r="E12" s="16">
        <v>0</v>
      </c>
      <c r="F12" s="16">
        <v>512267.35</v>
      </c>
      <c r="G12" s="16">
        <v>219581.63</v>
      </c>
      <c r="H12" s="16">
        <v>2318480.63</v>
      </c>
      <c r="I12" s="16">
        <v>809776.73</v>
      </c>
      <c r="J12" s="16">
        <v>5510675.7299999977</v>
      </c>
      <c r="K12" s="16">
        <v>0</v>
      </c>
      <c r="L12" s="16">
        <v>0</v>
      </c>
      <c r="M12" s="16">
        <v>49.08</v>
      </c>
      <c r="N12" s="18">
        <f t="shared" si="0"/>
        <v>56554760.945506021</v>
      </c>
      <c r="O12" s="4"/>
    </row>
    <row r="13" spans="1:15" ht="18" customHeight="1" x14ac:dyDescent="0.2">
      <c r="A13" s="17" t="s">
        <v>8</v>
      </c>
      <c r="B13" s="16">
        <v>185284234.85000002</v>
      </c>
      <c r="C13" s="16">
        <v>0</v>
      </c>
      <c r="D13" s="16">
        <v>1662370.5404650981</v>
      </c>
      <c r="E13" s="16">
        <v>0</v>
      </c>
      <c r="F13" s="16">
        <v>7285462.1200000001</v>
      </c>
      <c r="G13" s="16">
        <v>2212213.6617956772</v>
      </c>
      <c r="H13" s="16">
        <v>9373479.1400000006</v>
      </c>
      <c r="I13" s="16">
        <v>11516637.880000001</v>
      </c>
      <c r="J13" s="16">
        <v>39277099.189999998</v>
      </c>
      <c r="K13" s="16">
        <v>0</v>
      </c>
      <c r="L13" s="16">
        <v>0</v>
      </c>
      <c r="M13" s="16">
        <v>698.23</v>
      </c>
      <c r="N13" s="18">
        <f t="shared" si="0"/>
        <v>256612195.61226079</v>
      </c>
      <c r="O13" s="4"/>
    </row>
    <row r="14" spans="1:15" ht="18" customHeight="1" x14ac:dyDescent="0.2">
      <c r="A14" s="17" t="s">
        <v>9</v>
      </c>
      <c r="B14" s="16">
        <v>67148719.599999994</v>
      </c>
      <c r="C14" s="16">
        <v>0</v>
      </c>
      <c r="D14" s="16">
        <v>3008302.5957665108</v>
      </c>
      <c r="E14" s="16">
        <v>0</v>
      </c>
      <c r="F14" s="16">
        <v>331592.14</v>
      </c>
      <c r="G14" s="16">
        <v>153471.03</v>
      </c>
      <c r="H14" s="16">
        <v>3397035.5</v>
      </c>
      <c r="I14" s="16">
        <v>524170.83</v>
      </c>
      <c r="J14" s="16">
        <v>7905152.4200000027</v>
      </c>
      <c r="K14" s="16">
        <v>0</v>
      </c>
      <c r="L14" s="16">
        <v>0</v>
      </c>
      <c r="M14" s="16">
        <v>31.76</v>
      </c>
      <c r="N14" s="18">
        <f t="shared" si="0"/>
        <v>82468475.875766516</v>
      </c>
      <c r="O14" s="4"/>
    </row>
    <row r="15" spans="1:15" ht="18" customHeight="1" x14ac:dyDescent="0.2">
      <c r="A15" s="17" t="s">
        <v>10</v>
      </c>
      <c r="B15" s="16">
        <v>109432601.65000001</v>
      </c>
      <c r="C15" s="16">
        <v>0</v>
      </c>
      <c r="D15" s="16">
        <v>3363703.1744436626</v>
      </c>
      <c r="E15" s="16">
        <v>0</v>
      </c>
      <c r="F15" s="16">
        <v>1235322.46</v>
      </c>
      <c r="G15" s="16">
        <v>493468.4</v>
      </c>
      <c r="H15" s="16">
        <v>5536165.6100000003</v>
      </c>
      <c r="I15" s="16">
        <v>1952760.34</v>
      </c>
      <c r="J15" s="16">
        <v>13198643.919999996</v>
      </c>
      <c r="K15" s="16">
        <v>0</v>
      </c>
      <c r="L15" s="16">
        <v>0</v>
      </c>
      <c r="M15" s="16">
        <v>118.38</v>
      </c>
      <c r="N15" s="18">
        <f t="shared" si="0"/>
        <v>135212783.93444365</v>
      </c>
      <c r="O15" s="4"/>
    </row>
    <row r="16" spans="1:15" ht="18" customHeight="1" x14ac:dyDescent="0.2">
      <c r="A16" s="17" t="s">
        <v>11</v>
      </c>
      <c r="B16" s="16">
        <v>202275917.09999996</v>
      </c>
      <c r="C16" s="16">
        <v>0</v>
      </c>
      <c r="D16" s="16">
        <v>3660471.4162521502</v>
      </c>
      <c r="E16" s="16">
        <v>0</v>
      </c>
      <c r="F16" s="16">
        <v>4607217.84</v>
      </c>
      <c r="G16" s="16">
        <v>2278454.5699999998</v>
      </c>
      <c r="H16" s="16">
        <v>10233083.73</v>
      </c>
      <c r="I16" s="16">
        <v>7282950.4299999997</v>
      </c>
      <c r="J16" s="16">
        <v>32719038.879999988</v>
      </c>
      <c r="K16" s="16">
        <v>0</v>
      </c>
      <c r="L16" s="16">
        <v>0</v>
      </c>
      <c r="M16" s="16">
        <v>441.53999999999996</v>
      </c>
      <c r="N16" s="18">
        <f t="shared" si="0"/>
        <v>263057575.50625208</v>
      </c>
      <c r="O16" s="4"/>
    </row>
    <row r="17" spans="1:15" ht="15" x14ac:dyDescent="0.2">
      <c r="A17" s="17" t="s">
        <v>12</v>
      </c>
      <c r="B17" s="16">
        <v>72680929.359999999</v>
      </c>
      <c r="C17" s="16">
        <v>0</v>
      </c>
      <c r="D17" s="16">
        <v>3214149.4512631325</v>
      </c>
      <c r="E17" s="16">
        <v>0</v>
      </c>
      <c r="F17" s="16">
        <v>946242.12</v>
      </c>
      <c r="G17" s="16">
        <v>330552.99</v>
      </c>
      <c r="H17" s="16">
        <v>3676908.49</v>
      </c>
      <c r="I17" s="16">
        <v>1495790.9</v>
      </c>
      <c r="J17" s="16">
        <v>9023569.7199999969</v>
      </c>
      <c r="K17" s="16">
        <v>0</v>
      </c>
      <c r="L17" s="16">
        <v>0</v>
      </c>
      <c r="M17" s="16">
        <v>90.679999999999993</v>
      </c>
      <c r="N17" s="18">
        <f t="shared" si="0"/>
        <v>91368233.711263135</v>
      </c>
      <c r="O17" s="4"/>
    </row>
    <row r="18" spans="1:15" ht="15" x14ac:dyDescent="0.2">
      <c r="A18" s="17" t="s">
        <v>13</v>
      </c>
      <c r="B18" s="16">
        <v>44560209.269999996</v>
      </c>
      <c r="C18" s="16">
        <v>0</v>
      </c>
      <c r="D18" s="16">
        <v>1075059.8476447342</v>
      </c>
      <c r="E18" s="16">
        <v>0</v>
      </c>
      <c r="F18" s="16">
        <v>637677.21</v>
      </c>
      <c r="G18" s="16">
        <v>247914.75</v>
      </c>
      <c r="H18" s="16">
        <v>2254288.89</v>
      </c>
      <c r="I18" s="16">
        <v>1008020.82</v>
      </c>
      <c r="J18" s="16">
        <v>7286094.2099999972</v>
      </c>
      <c r="K18" s="16">
        <v>0</v>
      </c>
      <c r="L18" s="16">
        <v>0</v>
      </c>
      <c r="M18" s="16">
        <v>61.09</v>
      </c>
      <c r="N18" s="18">
        <f t="shared" si="0"/>
        <v>57069326.087644726</v>
      </c>
      <c r="O18" s="4"/>
    </row>
    <row r="19" spans="1:15" ht="15" x14ac:dyDescent="0.2">
      <c r="A19" s="17" t="s">
        <v>14</v>
      </c>
      <c r="B19" s="16">
        <v>74544580.639999986</v>
      </c>
      <c r="C19" s="16">
        <v>0</v>
      </c>
      <c r="D19" s="16">
        <v>2421948.1550719668</v>
      </c>
      <c r="E19" s="16">
        <v>0</v>
      </c>
      <c r="F19" s="16">
        <v>257550.73</v>
      </c>
      <c r="G19" s="16">
        <v>153471.03</v>
      </c>
      <c r="H19" s="16">
        <v>3771190.1</v>
      </c>
      <c r="I19" s="16">
        <v>407128.41</v>
      </c>
      <c r="J19" s="16">
        <v>6190312.2700000005</v>
      </c>
      <c r="K19" s="16">
        <v>0</v>
      </c>
      <c r="L19" s="16">
        <v>0</v>
      </c>
      <c r="M19" s="16">
        <v>24.659999999999997</v>
      </c>
      <c r="N19" s="18">
        <f t="shared" si="0"/>
        <v>87746205.995071948</v>
      </c>
      <c r="O19" s="4"/>
    </row>
    <row r="20" spans="1:15" ht="15" x14ac:dyDescent="0.2">
      <c r="A20" s="17" t="s">
        <v>15</v>
      </c>
      <c r="B20" s="16">
        <v>247350135.89000002</v>
      </c>
      <c r="C20" s="16">
        <v>0</v>
      </c>
      <c r="D20" s="16">
        <v>1372284.3315209222</v>
      </c>
      <c r="E20" s="16">
        <v>0</v>
      </c>
      <c r="F20" s="16">
        <v>8220367.7699999996</v>
      </c>
      <c r="G20" s="16">
        <v>3917654.5999056483</v>
      </c>
      <c r="H20" s="16">
        <v>12513376.220000001</v>
      </c>
      <c r="I20" s="16">
        <v>12994508.41</v>
      </c>
      <c r="J20" s="16">
        <v>35592617.730000012</v>
      </c>
      <c r="K20" s="16">
        <v>0</v>
      </c>
      <c r="L20" s="16">
        <v>0</v>
      </c>
      <c r="M20" s="16">
        <v>787.82999999999993</v>
      </c>
      <c r="N20" s="18">
        <f t="shared" si="0"/>
        <v>321961732.78142661</v>
      </c>
      <c r="O20" s="4"/>
    </row>
    <row r="21" spans="1:15" ht="15" x14ac:dyDescent="0.2">
      <c r="A21" s="17" t="s">
        <v>16</v>
      </c>
      <c r="B21" s="16">
        <v>107451462.55000001</v>
      </c>
      <c r="C21" s="16">
        <v>0</v>
      </c>
      <c r="D21" s="16">
        <v>481125.09781064995</v>
      </c>
      <c r="E21" s="16">
        <v>0</v>
      </c>
      <c r="F21" s="16">
        <v>2185815.77</v>
      </c>
      <c r="G21" s="16">
        <v>473440.27235484577</v>
      </c>
      <c r="H21" s="16">
        <v>5435940.3200000003</v>
      </c>
      <c r="I21" s="16">
        <v>3455271.37</v>
      </c>
      <c r="J21" s="16">
        <v>11620536.840000002</v>
      </c>
      <c r="K21" s="16">
        <v>0</v>
      </c>
      <c r="L21" s="16">
        <v>0</v>
      </c>
      <c r="M21" s="16">
        <v>209.46999999999997</v>
      </c>
      <c r="N21" s="18">
        <f t="shared" si="0"/>
        <v>131103801.69016552</v>
      </c>
      <c r="O21" s="4"/>
    </row>
    <row r="22" spans="1:15" ht="15" x14ac:dyDescent="0.2">
      <c r="A22" s="17" t="s">
        <v>17</v>
      </c>
      <c r="B22" s="16">
        <v>82777542.629999995</v>
      </c>
      <c r="C22" s="16">
        <v>0</v>
      </c>
      <c r="D22" s="16">
        <v>2474935.9609185704</v>
      </c>
      <c r="E22" s="16">
        <v>0</v>
      </c>
      <c r="F22" s="16">
        <v>520415.45</v>
      </c>
      <c r="G22" s="16">
        <v>258539.66</v>
      </c>
      <c r="H22" s="16">
        <v>4187693.41</v>
      </c>
      <c r="I22" s="16">
        <v>822656.99</v>
      </c>
      <c r="J22" s="16">
        <v>8915648.7299999986</v>
      </c>
      <c r="K22" s="16">
        <v>0</v>
      </c>
      <c r="L22" s="16">
        <v>0</v>
      </c>
      <c r="M22" s="16">
        <v>49.860000000000007</v>
      </c>
      <c r="N22" s="18">
        <f t="shared" si="0"/>
        <v>99957482.690918565</v>
      </c>
      <c r="O22" s="4"/>
    </row>
    <row r="23" spans="1:15" ht="15" x14ac:dyDescent="0.2">
      <c r="A23" s="17" t="s">
        <v>18</v>
      </c>
      <c r="B23" s="16">
        <v>83682199.190000013</v>
      </c>
      <c r="C23" s="16">
        <v>0</v>
      </c>
      <c r="D23" s="16">
        <v>1840374.6366900182</v>
      </c>
      <c r="E23" s="16">
        <v>0</v>
      </c>
      <c r="F23" s="16">
        <v>498805.28</v>
      </c>
      <c r="G23" s="16">
        <v>312844.79999999999</v>
      </c>
      <c r="H23" s="16">
        <v>4233459.74</v>
      </c>
      <c r="I23" s="16">
        <v>788496.29</v>
      </c>
      <c r="J23" s="16">
        <v>7317649.4699999979</v>
      </c>
      <c r="K23" s="16">
        <v>0</v>
      </c>
      <c r="L23" s="16">
        <v>0</v>
      </c>
      <c r="M23" s="16">
        <v>47.78</v>
      </c>
      <c r="N23" s="18">
        <f t="shared" si="0"/>
        <v>98673877.186690032</v>
      </c>
      <c r="O23" s="4"/>
    </row>
    <row r="24" spans="1:15" ht="15" x14ac:dyDescent="0.2">
      <c r="A24" s="17" t="s">
        <v>19</v>
      </c>
      <c r="B24" s="16">
        <v>25602073.939999998</v>
      </c>
      <c r="C24" s="16">
        <v>0</v>
      </c>
      <c r="D24" s="16">
        <v>930749.2655461441</v>
      </c>
      <c r="E24" s="16">
        <v>0</v>
      </c>
      <c r="F24" s="16">
        <v>518644.13</v>
      </c>
      <c r="G24" s="16">
        <v>54399.025078209124</v>
      </c>
      <c r="H24" s="16">
        <v>1295201.97</v>
      </c>
      <c r="I24" s="16">
        <v>819856.93</v>
      </c>
      <c r="J24" s="16">
        <v>5943049.6500000013</v>
      </c>
      <c r="K24" s="16">
        <v>0</v>
      </c>
      <c r="L24" s="16">
        <v>0</v>
      </c>
      <c r="M24" s="16">
        <v>49.7</v>
      </c>
      <c r="N24" s="18">
        <f t="shared" si="0"/>
        <v>35164024.610624351</v>
      </c>
      <c r="O24" s="4"/>
    </row>
    <row r="25" spans="1:15" ht="15" x14ac:dyDescent="0.2">
      <c r="A25" s="17" t="s">
        <v>20</v>
      </c>
      <c r="B25" s="16">
        <v>114644657</v>
      </c>
      <c r="C25" s="16">
        <v>0</v>
      </c>
      <c r="D25" s="16">
        <v>707701.68473122804</v>
      </c>
      <c r="E25" s="16">
        <v>0</v>
      </c>
      <c r="F25" s="16">
        <v>2300243.4</v>
      </c>
      <c r="G25" s="16">
        <v>714230.58</v>
      </c>
      <c r="H25" s="16">
        <v>5799842.0800000001</v>
      </c>
      <c r="I25" s="16">
        <v>3636155.11</v>
      </c>
      <c r="J25" s="16">
        <v>14480918.110000007</v>
      </c>
      <c r="K25" s="16">
        <v>0</v>
      </c>
      <c r="L25" s="16">
        <v>0</v>
      </c>
      <c r="M25" s="16">
        <v>220.44</v>
      </c>
      <c r="N25" s="18">
        <f t="shared" si="0"/>
        <v>142283968.40473124</v>
      </c>
      <c r="O25" s="4"/>
    </row>
    <row r="26" spans="1:15" ht="15" x14ac:dyDescent="0.2">
      <c r="A26" s="17" t="s">
        <v>21</v>
      </c>
      <c r="B26" s="16">
        <v>42414587.170000002</v>
      </c>
      <c r="C26" s="16">
        <v>0</v>
      </c>
      <c r="D26" s="16">
        <v>962421.74439430423</v>
      </c>
      <c r="E26" s="16">
        <v>0</v>
      </c>
      <c r="F26" s="16">
        <v>1046144.89</v>
      </c>
      <c r="G26" s="16">
        <v>391941.41</v>
      </c>
      <c r="H26" s="16">
        <v>2145742.4500000002</v>
      </c>
      <c r="I26" s="16">
        <v>1653714.16</v>
      </c>
      <c r="J26" s="16">
        <v>9691504.9000000004</v>
      </c>
      <c r="K26" s="16">
        <v>0</v>
      </c>
      <c r="L26" s="16">
        <v>0</v>
      </c>
      <c r="M26" s="16">
        <v>100.25</v>
      </c>
      <c r="N26" s="18">
        <f t="shared" si="0"/>
        <v>58306156.974394299</v>
      </c>
      <c r="O26" s="4"/>
    </row>
    <row r="27" spans="1:15" ht="15" x14ac:dyDescent="0.2">
      <c r="A27" s="17" t="s">
        <v>22</v>
      </c>
      <c r="B27" s="16">
        <v>21885051.640000001</v>
      </c>
      <c r="C27" s="16">
        <v>0</v>
      </c>
      <c r="D27" s="16">
        <v>600503.03633239807</v>
      </c>
      <c r="E27" s="16">
        <v>0</v>
      </c>
      <c r="F27" s="16">
        <v>260030.59</v>
      </c>
      <c r="G27" s="16">
        <v>109790.82</v>
      </c>
      <c r="H27" s="16">
        <v>1107158.83</v>
      </c>
      <c r="I27" s="16">
        <v>411048.49</v>
      </c>
      <c r="J27" s="16">
        <v>2834676.689999999</v>
      </c>
      <c r="K27" s="16">
        <v>0</v>
      </c>
      <c r="L27" s="16">
        <v>0</v>
      </c>
      <c r="M27" s="16">
        <v>24.910000000000004</v>
      </c>
      <c r="N27" s="18">
        <f t="shared" si="0"/>
        <v>27208285.006332397</v>
      </c>
      <c r="O27" s="4"/>
    </row>
    <row r="28" spans="1:15" ht="15" x14ac:dyDescent="0.2">
      <c r="A28" s="17" t="s">
        <v>23</v>
      </c>
      <c r="B28" s="16">
        <v>72209509.310000002</v>
      </c>
      <c r="C28" s="16">
        <v>0</v>
      </c>
      <c r="D28" s="16">
        <v>1835769.9874246863</v>
      </c>
      <c r="E28" s="16">
        <v>0</v>
      </c>
      <c r="F28" s="16">
        <v>358162.03</v>
      </c>
      <c r="G28" s="16">
        <v>167637.59</v>
      </c>
      <c r="H28" s="16">
        <v>3653059.48</v>
      </c>
      <c r="I28" s="16">
        <v>566171.68999999994</v>
      </c>
      <c r="J28" s="16">
        <v>5682666.2299999977</v>
      </c>
      <c r="K28" s="16">
        <v>0</v>
      </c>
      <c r="L28" s="16">
        <v>0</v>
      </c>
      <c r="M28" s="16">
        <v>34.32</v>
      </c>
      <c r="N28" s="18">
        <f t="shared" si="0"/>
        <v>84473010.637424693</v>
      </c>
      <c r="O28" s="4"/>
    </row>
    <row r="29" spans="1:15" ht="15" x14ac:dyDescent="0.2">
      <c r="A29" s="17" t="s">
        <v>24</v>
      </c>
      <c r="B29" s="16">
        <v>43032867.049999997</v>
      </c>
      <c r="C29" s="16">
        <v>0</v>
      </c>
      <c r="D29" s="16">
        <v>1812735.8924848724</v>
      </c>
      <c r="E29" s="16">
        <v>0</v>
      </c>
      <c r="F29" s="16">
        <v>223541.28</v>
      </c>
      <c r="G29" s="16">
        <v>87360.43</v>
      </c>
      <c r="H29" s="16">
        <v>2177021.0699999998</v>
      </c>
      <c r="I29" s="16">
        <v>353367.3</v>
      </c>
      <c r="J29" s="16">
        <v>5091633.8100000005</v>
      </c>
      <c r="K29" s="16">
        <v>0</v>
      </c>
      <c r="L29" s="16">
        <v>0</v>
      </c>
      <c r="M29" s="16">
        <v>21.41</v>
      </c>
      <c r="N29" s="18">
        <f t="shared" si="0"/>
        <v>52778548.242484868</v>
      </c>
      <c r="O29" s="4"/>
    </row>
    <row r="30" spans="1:15" ht="15" x14ac:dyDescent="0.2">
      <c r="A30" s="17" t="s">
        <v>25</v>
      </c>
      <c r="B30" s="16">
        <v>14813750.870000001</v>
      </c>
      <c r="C30" s="16">
        <v>0</v>
      </c>
      <c r="D30" s="16">
        <v>813005.76080966019</v>
      </c>
      <c r="E30" s="16">
        <v>0</v>
      </c>
      <c r="F30" s="16">
        <v>193074.48</v>
      </c>
      <c r="G30" s="16">
        <v>110971.36</v>
      </c>
      <c r="H30" s="16">
        <v>749423.64</v>
      </c>
      <c r="I30" s="16">
        <v>305206.3</v>
      </c>
      <c r="J30" s="16">
        <v>3852174.9199999981</v>
      </c>
      <c r="K30" s="16">
        <v>0</v>
      </c>
      <c r="L30" s="16">
        <v>0</v>
      </c>
      <c r="M30" s="16">
        <v>18.5</v>
      </c>
      <c r="N30" s="18">
        <f t="shared" si="0"/>
        <v>20837625.83080966</v>
      </c>
      <c r="O30" s="4"/>
    </row>
    <row r="31" spans="1:15" ht="15" x14ac:dyDescent="0.2">
      <c r="A31" s="17" t="s">
        <v>26</v>
      </c>
      <c r="B31" s="16">
        <v>27117667.379999999</v>
      </c>
      <c r="C31" s="16">
        <v>0</v>
      </c>
      <c r="D31" s="16">
        <v>778944.89356792625</v>
      </c>
      <c r="E31" s="16">
        <v>0</v>
      </c>
      <c r="F31" s="16">
        <v>230626.59</v>
      </c>
      <c r="G31" s="16">
        <v>62568.959999999999</v>
      </c>
      <c r="H31" s="16">
        <v>1371875.43</v>
      </c>
      <c r="I31" s="16">
        <v>364567.53</v>
      </c>
      <c r="J31" s="16">
        <v>2728635.7999999993</v>
      </c>
      <c r="K31" s="16">
        <v>0</v>
      </c>
      <c r="L31" s="16">
        <v>0</v>
      </c>
      <c r="M31" s="16">
        <v>22.09</v>
      </c>
      <c r="N31" s="18">
        <f t="shared" si="0"/>
        <v>32654908.673567928</v>
      </c>
      <c r="O31" s="4"/>
    </row>
    <row r="32" spans="1:15" ht="15" x14ac:dyDescent="0.2">
      <c r="A32" s="17" t="s">
        <v>27</v>
      </c>
      <c r="B32" s="16">
        <v>123982004.91</v>
      </c>
      <c r="C32" s="16">
        <v>0</v>
      </c>
      <c r="D32" s="16">
        <v>2296708.66184622</v>
      </c>
      <c r="E32" s="16">
        <v>0</v>
      </c>
      <c r="F32" s="16">
        <v>680189.02</v>
      </c>
      <c r="G32" s="16">
        <v>368330.48</v>
      </c>
      <c r="H32" s="16">
        <v>6272215.9699999997</v>
      </c>
      <c r="I32" s="16">
        <v>1075222.21</v>
      </c>
      <c r="J32" s="16">
        <v>8806001.5999999978</v>
      </c>
      <c r="K32" s="16">
        <v>0</v>
      </c>
      <c r="L32" s="16">
        <v>0</v>
      </c>
      <c r="M32" s="16">
        <v>65.169999999999987</v>
      </c>
      <c r="N32" s="18">
        <f t="shared" si="0"/>
        <v>143480738.0218462</v>
      </c>
      <c r="O32" s="4"/>
    </row>
    <row r="33" spans="1:15" ht="15" x14ac:dyDescent="0.2">
      <c r="A33" s="17" t="s">
        <v>28</v>
      </c>
      <c r="B33" s="16">
        <v>80169312.079999998</v>
      </c>
      <c r="C33" s="16">
        <v>0</v>
      </c>
      <c r="D33" s="16">
        <v>2091479.0540005383</v>
      </c>
      <c r="E33" s="16">
        <v>0</v>
      </c>
      <c r="F33" s="16">
        <v>499159.54</v>
      </c>
      <c r="G33" s="16">
        <v>276247.86</v>
      </c>
      <c r="H33" s="16">
        <v>4055743.74</v>
      </c>
      <c r="I33" s="16">
        <v>789056.3</v>
      </c>
      <c r="J33" s="16">
        <v>8259299.8499999968</v>
      </c>
      <c r="K33" s="16">
        <v>0</v>
      </c>
      <c r="L33" s="16">
        <v>0</v>
      </c>
      <c r="M33" s="16">
        <v>47.83</v>
      </c>
      <c r="N33" s="18">
        <f t="shared" si="0"/>
        <v>96140346.25400053</v>
      </c>
      <c r="O33" s="4"/>
    </row>
    <row r="34" spans="1:15" ht="15" x14ac:dyDescent="0.2">
      <c r="A34" s="17" t="s">
        <v>29</v>
      </c>
      <c r="B34" s="16">
        <v>111776484.50999999</v>
      </c>
      <c r="C34" s="16">
        <v>0</v>
      </c>
      <c r="D34" s="16">
        <v>2209041.2752999798</v>
      </c>
      <c r="E34" s="16">
        <v>0</v>
      </c>
      <c r="F34" s="16">
        <v>725889.22</v>
      </c>
      <c r="G34" s="16">
        <v>485204.57</v>
      </c>
      <c r="H34" s="16">
        <v>5654742.0099999998</v>
      </c>
      <c r="I34" s="16">
        <v>1147463.7</v>
      </c>
      <c r="J34" s="16">
        <v>10657190.939999996</v>
      </c>
      <c r="K34" s="16">
        <v>0</v>
      </c>
      <c r="L34" s="16">
        <v>0</v>
      </c>
      <c r="M34" s="16">
        <v>69.56</v>
      </c>
      <c r="N34" s="18">
        <f t="shared" si="0"/>
        <v>132656085.78529997</v>
      </c>
      <c r="O34" s="4"/>
    </row>
    <row r="35" spans="1:15" ht="15" x14ac:dyDescent="0.2">
      <c r="A35" s="17" t="s">
        <v>30</v>
      </c>
      <c r="B35" s="16">
        <v>53857905.059999995</v>
      </c>
      <c r="C35" s="16">
        <v>0</v>
      </c>
      <c r="D35" s="16">
        <v>1144037.75550602</v>
      </c>
      <c r="E35" s="16">
        <v>0</v>
      </c>
      <c r="F35" s="16">
        <v>453813.61</v>
      </c>
      <c r="G35" s="16">
        <v>187706.88</v>
      </c>
      <c r="H35" s="16">
        <v>2724656.8</v>
      </c>
      <c r="I35" s="16">
        <v>717374.82</v>
      </c>
      <c r="J35" s="16">
        <v>3897100.2499999991</v>
      </c>
      <c r="K35" s="16">
        <v>0</v>
      </c>
      <c r="L35" s="16">
        <v>0</v>
      </c>
      <c r="M35" s="16">
        <v>43.480000000000004</v>
      </c>
      <c r="N35" s="18">
        <f t="shared" si="0"/>
        <v>62982638.655506007</v>
      </c>
      <c r="O35" s="4"/>
    </row>
    <row r="36" spans="1:15" ht="15" x14ac:dyDescent="0.2">
      <c r="A36" s="17" t="s">
        <v>31</v>
      </c>
      <c r="B36" s="16">
        <v>58014038.24000001</v>
      </c>
      <c r="C36" s="16">
        <v>0</v>
      </c>
      <c r="D36" s="16">
        <v>1452407.2269412745</v>
      </c>
      <c r="E36" s="16">
        <v>0</v>
      </c>
      <c r="F36" s="16">
        <v>285537.68</v>
      </c>
      <c r="G36" s="16">
        <v>119235.19</v>
      </c>
      <c r="H36" s="16">
        <v>2934914.45</v>
      </c>
      <c r="I36" s="16">
        <v>451369.32</v>
      </c>
      <c r="J36" s="16">
        <v>5103047.410000002</v>
      </c>
      <c r="K36" s="16">
        <v>0</v>
      </c>
      <c r="L36" s="16">
        <v>0</v>
      </c>
      <c r="M36" s="16">
        <v>27.349999999999998</v>
      </c>
      <c r="N36" s="18">
        <f t="shared" si="0"/>
        <v>68360576.866941273</v>
      </c>
      <c r="O36" s="4"/>
    </row>
    <row r="37" spans="1:15" ht="15" x14ac:dyDescent="0.2">
      <c r="A37" s="17" t="s">
        <v>32</v>
      </c>
      <c r="B37" s="16">
        <v>64433281.36999999</v>
      </c>
      <c r="C37" s="16">
        <v>0</v>
      </c>
      <c r="D37" s="16">
        <v>1907045.1758233525</v>
      </c>
      <c r="E37" s="16">
        <v>0</v>
      </c>
      <c r="F37" s="16">
        <v>529626.34</v>
      </c>
      <c r="G37" s="16">
        <v>173540.32</v>
      </c>
      <c r="H37" s="16">
        <v>3259662.22</v>
      </c>
      <c r="I37" s="16">
        <v>837217.29</v>
      </c>
      <c r="J37" s="16">
        <v>6588809.9200000018</v>
      </c>
      <c r="K37" s="16">
        <v>0</v>
      </c>
      <c r="L37" s="16">
        <v>0</v>
      </c>
      <c r="M37" s="16">
        <v>50.74</v>
      </c>
      <c r="N37" s="18">
        <f t="shared" si="0"/>
        <v>77729233.375823349</v>
      </c>
      <c r="O37" s="4"/>
    </row>
    <row r="38" spans="1:15" ht="15" x14ac:dyDescent="0.2">
      <c r="A38" s="17" t="s">
        <v>33</v>
      </c>
      <c r="B38" s="16">
        <v>58959815.530000001</v>
      </c>
      <c r="C38" s="16">
        <v>0</v>
      </c>
      <c r="D38" s="16">
        <v>479422.0142154941</v>
      </c>
      <c r="E38" s="16">
        <v>0</v>
      </c>
      <c r="F38" s="16">
        <v>473298.19</v>
      </c>
      <c r="G38" s="16">
        <v>469857.47</v>
      </c>
      <c r="H38" s="16">
        <v>2982761.07</v>
      </c>
      <c r="I38" s="16">
        <v>748175.45</v>
      </c>
      <c r="J38" s="16">
        <v>10906832.199999997</v>
      </c>
      <c r="K38" s="16">
        <v>0</v>
      </c>
      <c r="L38" s="16">
        <v>0</v>
      </c>
      <c r="M38" s="16">
        <v>45.35</v>
      </c>
      <c r="N38" s="18">
        <f t="shared" si="0"/>
        <v>75020207.27421549</v>
      </c>
      <c r="O38" s="4"/>
    </row>
    <row r="39" spans="1:15" ht="15" x14ac:dyDescent="0.2">
      <c r="A39" s="17" t="s">
        <v>34</v>
      </c>
      <c r="B39" s="16">
        <v>97591293.640000001</v>
      </c>
      <c r="C39" s="16">
        <v>0</v>
      </c>
      <c r="D39" s="16">
        <v>2455020.6622762862</v>
      </c>
      <c r="E39" s="16">
        <v>0</v>
      </c>
      <c r="F39" s="16">
        <v>602959.22</v>
      </c>
      <c r="G39" s="16">
        <v>289233.87</v>
      </c>
      <c r="H39" s="16">
        <v>4937117.05</v>
      </c>
      <c r="I39" s="16">
        <v>953139.69</v>
      </c>
      <c r="J39" s="16">
        <v>9289305.0800000001</v>
      </c>
      <c r="K39" s="16">
        <v>0</v>
      </c>
      <c r="L39" s="16">
        <v>0</v>
      </c>
      <c r="M39" s="16">
        <v>57.769999999999996</v>
      </c>
      <c r="N39" s="18">
        <f t="shared" si="0"/>
        <v>116118126.98227628</v>
      </c>
      <c r="O39" s="4"/>
    </row>
    <row r="40" spans="1:15" ht="15" x14ac:dyDescent="0.2">
      <c r="A40" s="17" t="s">
        <v>35</v>
      </c>
      <c r="B40" s="16">
        <v>65380527.260000005</v>
      </c>
      <c r="C40" s="16">
        <v>0</v>
      </c>
      <c r="D40" s="16">
        <v>2161602.8569970024</v>
      </c>
      <c r="E40" s="16">
        <v>0</v>
      </c>
      <c r="F40" s="16">
        <v>322026.99</v>
      </c>
      <c r="G40" s="16">
        <v>127499.01</v>
      </c>
      <c r="H40" s="16">
        <v>3307583.13</v>
      </c>
      <c r="I40" s="16">
        <v>509050.51</v>
      </c>
      <c r="J40" s="16">
        <v>5169629.959999999</v>
      </c>
      <c r="K40" s="16">
        <v>0</v>
      </c>
      <c r="L40" s="16">
        <v>0</v>
      </c>
      <c r="M40" s="16">
        <v>30.85</v>
      </c>
      <c r="N40" s="18">
        <f t="shared" ref="N40:N71" si="1">SUM(B40:M40)</f>
        <v>76977950.566996992</v>
      </c>
      <c r="O40" s="4"/>
    </row>
    <row r="41" spans="1:15" ht="15" x14ac:dyDescent="0.2">
      <c r="A41" s="17" t="s">
        <v>36</v>
      </c>
      <c r="B41" s="16">
        <v>67742033.299999997</v>
      </c>
      <c r="C41" s="16">
        <v>0</v>
      </c>
      <c r="D41" s="16">
        <v>1083733.3720016242</v>
      </c>
      <c r="E41" s="16">
        <v>0</v>
      </c>
      <c r="F41" s="16">
        <v>545214.01</v>
      </c>
      <c r="G41" s="16">
        <v>204234.53</v>
      </c>
      <c r="H41" s="16">
        <v>3427051.08</v>
      </c>
      <c r="I41" s="16">
        <v>861857.8</v>
      </c>
      <c r="J41" s="16">
        <v>5245362.540000001</v>
      </c>
      <c r="K41" s="16">
        <v>0</v>
      </c>
      <c r="L41" s="16">
        <v>0</v>
      </c>
      <c r="M41" s="16">
        <v>52.24</v>
      </c>
      <c r="N41" s="18">
        <f t="shared" si="1"/>
        <v>79109538.872001618</v>
      </c>
      <c r="O41" s="4"/>
    </row>
    <row r="42" spans="1:15" ht="15" x14ac:dyDescent="0.2">
      <c r="A42" s="17" t="s">
        <v>37</v>
      </c>
      <c r="B42" s="16">
        <v>41733157.569999993</v>
      </c>
      <c r="C42" s="16">
        <v>0</v>
      </c>
      <c r="D42" s="16">
        <v>309887.067390932</v>
      </c>
      <c r="E42" s="16">
        <v>0</v>
      </c>
      <c r="F42" s="16">
        <v>1480828.18</v>
      </c>
      <c r="G42" s="16">
        <v>0</v>
      </c>
      <c r="H42" s="16">
        <v>2111269.12</v>
      </c>
      <c r="I42" s="16">
        <v>2340848.35</v>
      </c>
      <c r="J42" s="16">
        <v>8173976.1400000015</v>
      </c>
      <c r="K42" s="16">
        <v>0</v>
      </c>
      <c r="L42" s="16">
        <v>0</v>
      </c>
      <c r="M42" s="16">
        <v>141.9</v>
      </c>
      <c r="N42" s="18">
        <f t="shared" si="1"/>
        <v>56150108.327390924</v>
      </c>
      <c r="O42" s="4"/>
    </row>
    <row r="43" spans="1:15" ht="15" x14ac:dyDescent="0.2">
      <c r="A43" s="17" t="s">
        <v>38</v>
      </c>
      <c r="B43" s="16">
        <v>150440271.76999998</v>
      </c>
      <c r="C43" s="16">
        <v>0</v>
      </c>
      <c r="D43" s="16">
        <v>2262498.2445549639</v>
      </c>
      <c r="E43" s="16">
        <v>0</v>
      </c>
      <c r="F43" s="16">
        <v>6157836.2599999998</v>
      </c>
      <c r="G43" s="16">
        <v>1613806.94</v>
      </c>
      <c r="H43" s="16">
        <v>7610732.5099999998</v>
      </c>
      <c r="I43" s="16">
        <v>9734121.0700000003</v>
      </c>
      <c r="J43" s="16">
        <v>25302561.02</v>
      </c>
      <c r="K43" s="16">
        <v>0</v>
      </c>
      <c r="L43" s="16">
        <v>0</v>
      </c>
      <c r="M43" s="16">
        <v>590.16</v>
      </c>
      <c r="N43" s="18">
        <f t="shared" si="1"/>
        <v>203122417.97455493</v>
      </c>
      <c r="O43" s="4"/>
    </row>
    <row r="44" spans="1:15" ht="15" x14ac:dyDescent="0.2">
      <c r="A44" s="17" t="s">
        <v>39</v>
      </c>
      <c r="B44" s="16">
        <v>216402364.06999999</v>
      </c>
      <c r="C44" s="16">
        <v>0</v>
      </c>
      <c r="D44" s="16">
        <v>1136241.329671042</v>
      </c>
      <c r="E44" s="16">
        <v>0</v>
      </c>
      <c r="F44" s="16">
        <v>7748132.3700000001</v>
      </c>
      <c r="G44" s="16">
        <v>2900076.3978938358</v>
      </c>
      <c r="H44" s="16">
        <v>10947736.85</v>
      </c>
      <c r="I44" s="16">
        <v>12248012.99</v>
      </c>
      <c r="J44" s="16">
        <v>32844645.909999989</v>
      </c>
      <c r="K44" s="16">
        <v>0</v>
      </c>
      <c r="L44" s="16">
        <v>0</v>
      </c>
      <c r="M44" s="16">
        <v>742.57</v>
      </c>
      <c r="N44" s="18">
        <f t="shared" si="1"/>
        <v>284227952.48756486</v>
      </c>
      <c r="O44" s="4"/>
    </row>
    <row r="45" spans="1:15" ht="15" x14ac:dyDescent="0.2">
      <c r="A45" s="17" t="s">
        <v>40</v>
      </c>
      <c r="B45" s="16">
        <v>61405031.699999996</v>
      </c>
      <c r="C45" s="16">
        <v>0</v>
      </c>
      <c r="D45" s="16">
        <v>1012207.629633464</v>
      </c>
      <c r="E45" s="16">
        <v>0</v>
      </c>
      <c r="F45" s="16">
        <v>577097.87</v>
      </c>
      <c r="G45" s="16">
        <v>225484.36</v>
      </c>
      <c r="H45" s="16">
        <v>3106463.89</v>
      </c>
      <c r="I45" s="16">
        <v>912258.84</v>
      </c>
      <c r="J45" s="16">
        <v>4920736.71</v>
      </c>
      <c r="K45" s="16">
        <v>0</v>
      </c>
      <c r="L45" s="16">
        <v>0</v>
      </c>
      <c r="M45" s="16">
        <v>55.300000000000004</v>
      </c>
      <c r="N45" s="18">
        <f t="shared" si="1"/>
        <v>72159336.299633443</v>
      </c>
      <c r="O45" s="4"/>
    </row>
    <row r="46" spans="1:15" ht="15" x14ac:dyDescent="0.2">
      <c r="A46" s="17" t="s">
        <v>41</v>
      </c>
      <c r="B46" s="16">
        <v>95683584.450000003</v>
      </c>
      <c r="C46" s="16">
        <v>0</v>
      </c>
      <c r="D46" s="16">
        <v>716691.50967104197</v>
      </c>
      <c r="E46" s="16">
        <v>0</v>
      </c>
      <c r="F46" s="16">
        <v>4551952.4800000004</v>
      </c>
      <c r="G46" s="16">
        <v>445367.39414737315</v>
      </c>
      <c r="H46" s="16">
        <v>4840606.5599999996</v>
      </c>
      <c r="I46" s="16">
        <v>7195588.6299999999</v>
      </c>
      <c r="J46" s="16">
        <v>21948076.269999988</v>
      </c>
      <c r="K46" s="16">
        <v>0</v>
      </c>
      <c r="L46" s="16">
        <v>0</v>
      </c>
      <c r="M46" s="16">
        <v>436.24999999999994</v>
      </c>
      <c r="N46" s="18">
        <f t="shared" si="1"/>
        <v>135382303.54381841</v>
      </c>
      <c r="O46" s="4"/>
    </row>
    <row r="47" spans="1:15" ht="15" x14ac:dyDescent="0.2">
      <c r="A47" s="17" t="s">
        <v>42</v>
      </c>
      <c r="B47" s="16">
        <v>284664281.31999993</v>
      </c>
      <c r="C47" s="16">
        <v>0</v>
      </c>
      <c r="D47" s="16">
        <v>953756.21324517403</v>
      </c>
      <c r="E47" s="16">
        <v>0</v>
      </c>
      <c r="F47" s="16">
        <v>14190443.52</v>
      </c>
      <c r="G47" s="16">
        <v>3249883.1931505133</v>
      </c>
      <c r="H47" s="16">
        <v>14401088.710000001</v>
      </c>
      <c r="I47" s="16">
        <v>22431823.350000001</v>
      </c>
      <c r="J47" s="16">
        <v>50712006.849999987</v>
      </c>
      <c r="K47" s="16">
        <v>0</v>
      </c>
      <c r="L47" s="16">
        <v>0</v>
      </c>
      <c r="M47" s="16">
        <v>1360.01</v>
      </c>
      <c r="N47" s="18">
        <f t="shared" si="1"/>
        <v>390604643.16639555</v>
      </c>
      <c r="O47" s="4"/>
    </row>
    <row r="48" spans="1:15" ht="15" x14ac:dyDescent="0.2">
      <c r="A48" s="17" t="s">
        <v>43</v>
      </c>
      <c r="B48" s="16">
        <v>31126940.700000007</v>
      </c>
      <c r="C48" s="16">
        <v>0</v>
      </c>
      <c r="D48" s="16">
        <v>870139.54317527416</v>
      </c>
      <c r="E48" s="16">
        <v>0</v>
      </c>
      <c r="F48" s="16">
        <v>123284.26</v>
      </c>
      <c r="G48" s="16">
        <v>67291.149999999994</v>
      </c>
      <c r="H48" s="16">
        <v>1574703.48</v>
      </c>
      <c r="I48" s="16">
        <v>194884.03</v>
      </c>
      <c r="J48" s="16">
        <v>2768324.4600000004</v>
      </c>
      <c r="K48" s="16">
        <v>0</v>
      </c>
      <c r="L48" s="16">
        <v>0</v>
      </c>
      <c r="M48" s="16">
        <v>11.8</v>
      </c>
      <c r="N48" s="18">
        <f t="shared" si="1"/>
        <v>36725579.423175275</v>
      </c>
      <c r="O48" s="4"/>
    </row>
    <row r="49" spans="1:15" ht="15" x14ac:dyDescent="0.2">
      <c r="A49" s="17" t="s">
        <v>44</v>
      </c>
      <c r="B49" s="16">
        <v>50659297.99000001</v>
      </c>
      <c r="C49" s="16">
        <v>0</v>
      </c>
      <c r="D49" s="16">
        <v>1539788.5294404821</v>
      </c>
      <c r="E49" s="16">
        <v>0</v>
      </c>
      <c r="F49" s="16">
        <v>728014.81</v>
      </c>
      <c r="G49" s="16">
        <v>298678.24</v>
      </c>
      <c r="H49" s="16">
        <v>2562840.14</v>
      </c>
      <c r="I49" s="16">
        <v>1150823.77</v>
      </c>
      <c r="J49" s="16">
        <v>6435982.7499999991</v>
      </c>
      <c r="K49" s="16">
        <v>0</v>
      </c>
      <c r="L49" s="16">
        <v>0</v>
      </c>
      <c r="M49" s="16">
        <v>69.760000000000005</v>
      </c>
      <c r="N49" s="18">
        <f t="shared" si="1"/>
        <v>63375495.989440501</v>
      </c>
      <c r="O49" s="4"/>
    </row>
    <row r="50" spans="1:15" ht="15" x14ac:dyDescent="0.2">
      <c r="A50" s="17" t="s">
        <v>45</v>
      </c>
      <c r="B50" s="16">
        <v>40321834.599999994</v>
      </c>
      <c r="C50" s="16">
        <v>0</v>
      </c>
      <c r="D50" s="16">
        <v>1066399.4280905684</v>
      </c>
      <c r="E50" s="16">
        <v>0</v>
      </c>
      <c r="F50" s="16">
        <v>204056.7</v>
      </c>
      <c r="G50" s="16">
        <v>83818.789999999994</v>
      </c>
      <c r="H50" s="16">
        <v>2039870.67</v>
      </c>
      <c r="I50" s="16">
        <v>322566.65999999997</v>
      </c>
      <c r="J50" s="16">
        <v>4635838.0300000012</v>
      </c>
      <c r="K50" s="16">
        <v>0</v>
      </c>
      <c r="L50" s="16">
        <v>0</v>
      </c>
      <c r="M50" s="16">
        <v>19.54</v>
      </c>
      <c r="N50" s="18">
        <f t="shared" si="1"/>
        <v>48674404.41809056</v>
      </c>
      <c r="O50" s="4"/>
    </row>
    <row r="51" spans="1:15" ht="15" x14ac:dyDescent="0.2">
      <c r="A51" s="17" t="s">
        <v>46</v>
      </c>
      <c r="B51" s="16">
        <v>39760830.069999993</v>
      </c>
      <c r="C51" s="16">
        <v>0</v>
      </c>
      <c r="D51" s="16">
        <v>1328788.5188768222</v>
      </c>
      <c r="E51" s="16">
        <v>0</v>
      </c>
      <c r="F51" s="16">
        <v>254362.35</v>
      </c>
      <c r="G51" s="16">
        <v>112151.91</v>
      </c>
      <c r="H51" s="16">
        <v>2011489.6</v>
      </c>
      <c r="I51" s="16">
        <v>402088.31</v>
      </c>
      <c r="J51" s="16">
        <v>3215737.3699999987</v>
      </c>
      <c r="K51" s="16">
        <v>0</v>
      </c>
      <c r="L51" s="16">
        <v>0</v>
      </c>
      <c r="M51" s="16">
        <v>24.36</v>
      </c>
      <c r="N51" s="18">
        <f t="shared" si="1"/>
        <v>47085472.488876812</v>
      </c>
      <c r="O51" s="4"/>
    </row>
    <row r="52" spans="1:15" ht="15" x14ac:dyDescent="0.2">
      <c r="A52" s="17" t="s">
        <v>47</v>
      </c>
      <c r="B52" s="16">
        <v>43291340.359999999</v>
      </c>
      <c r="C52" s="16">
        <v>0</v>
      </c>
      <c r="D52" s="16">
        <v>1052658.6206063302</v>
      </c>
      <c r="E52" s="16">
        <v>0</v>
      </c>
      <c r="F52" s="16">
        <v>234169.24</v>
      </c>
      <c r="G52" s="16">
        <v>131040.65</v>
      </c>
      <c r="H52" s="16">
        <v>2190097.16</v>
      </c>
      <c r="I52" s="16">
        <v>370167.65</v>
      </c>
      <c r="J52" s="16">
        <v>4315643.6400000015</v>
      </c>
      <c r="K52" s="16">
        <v>0</v>
      </c>
      <c r="L52" s="16">
        <v>0</v>
      </c>
      <c r="M52" s="16">
        <v>22.43</v>
      </c>
      <c r="N52" s="18">
        <f t="shared" si="1"/>
        <v>51585139.750606328</v>
      </c>
      <c r="O52" s="4"/>
    </row>
    <row r="53" spans="1:15" ht="15" x14ac:dyDescent="0.2">
      <c r="A53" s="17" t="s">
        <v>48</v>
      </c>
      <c r="B53" s="16">
        <v>15602388.149999997</v>
      </c>
      <c r="C53" s="16">
        <v>0</v>
      </c>
      <c r="D53" s="16">
        <v>1209722.3680424783</v>
      </c>
      <c r="E53" s="16">
        <v>0</v>
      </c>
      <c r="F53" s="16">
        <v>40740.480000000003</v>
      </c>
      <c r="G53" s="16">
        <v>21249.84</v>
      </c>
      <c r="H53" s="16">
        <v>789320.59</v>
      </c>
      <c r="I53" s="16">
        <v>64401.33</v>
      </c>
      <c r="J53" s="16">
        <v>2141209.6299999994</v>
      </c>
      <c r="K53" s="16">
        <v>0</v>
      </c>
      <c r="L53" s="16">
        <v>0</v>
      </c>
      <c r="M53" s="16">
        <v>3.88</v>
      </c>
      <c r="N53" s="18">
        <f t="shared" si="1"/>
        <v>19869036.268042471</v>
      </c>
      <c r="O53" s="4"/>
    </row>
    <row r="54" spans="1:15" ht="15" x14ac:dyDescent="0.2">
      <c r="A54" s="17" t="s">
        <v>49</v>
      </c>
      <c r="B54" s="16">
        <v>54047354.250000007</v>
      </c>
      <c r="C54" s="16">
        <v>0</v>
      </c>
      <c r="D54" s="16">
        <v>1671414.0446742221</v>
      </c>
      <c r="E54" s="16">
        <v>0</v>
      </c>
      <c r="F54" s="16">
        <v>139934.72</v>
      </c>
      <c r="G54" s="16">
        <v>81457.7</v>
      </c>
      <c r="H54" s="16">
        <v>2734240.98</v>
      </c>
      <c r="I54" s="16">
        <v>221204.57</v>
      </c>
      <c r="J54" s="16">
        <v>4948359.6800000006</v>
      </c>
      <c r="K54" s="16">
        <v>0</v>
      </c>
      <c r="L54" s="16">
        <v>0</v>
      </c>
      <c r="M54" s="16">
        <v>13.4</v>
      </c>
      <c r="N54" s="18">
        <f t="shared" si="1"/>
        <v>63843979.34467423</v>
      </c>
      <c r="O54" s="4"/>
    </row>
    <row r="55" spans="1:15" ht="15" x14ac:dyDescent="0.2">
      <c r="A55" s="17" t="s">
        <v>50</v>
      </c>
      <c r="B55" s="16">
        <v>19871603.390000001</v>
      </c>
      <c r="C55" s="16">
        <v>0</v>
      </c>
      <c r="D55" s="16">
        <v>664463.00760461006</v>
      </c>
      <c r="E55" s="16">
        <v>0</v>
      </c>
      <c r="F55" s="16">
        <v>258259.27</v>
      </c>
      <c r="G55" s="16">
        <v>112151.91</v>
      </c>
      <c r="H55" s="16">
        <v>1005299.03</v>
      </c>
      <c r="I55" s="16">
        <v>408248.43</v>
      </c>
      <c r="J55" s="16">
        <v>3540036.95</v>
      </c>
      <c r="K55" s="16">
        <v>0</v>
      </c>
      <c r="L55" s="16">
        <v>0</v>
      </c>
      <c r="M55" s="16">
        <v>24.74</v>
      </c>
      <c r="N55" s="18">
        <f t="shared" si="1"/>
        <v>25860086.727604609</v>
      </c>
      <c r="O55" s="4"/>
    </row>
    <row r="56" spans="1:15" ht="15" x14ac:dyDescent="0.2">
      <c r="A56" s="17" t="s">
        <v>51</v>
      </c>
      <c r="B56" s="16">
        <v>19050656.91</v>
      </c>
      <c r="C56" s="16">
        <v>0</v>
      </c>
      <c r="D56" s="16">
        <v>571110.74536462408</v>
      </c>
      <c r="E56" s="16">
        <v>0</v>
      </c>
      <c r="F56" s="16">
        <v>72978.61</v>
      </c>
      <c r="G56" s="16">
        <v>28333.11</v>
      </c>
      <c r="H56" s="16">
        <v>963767.57</v>
      </c>
      <c r="I56" s="16">
        <v>115362.38</v>
      </c>
      <c r="J56" s="16">
        <v>2879314.4600000004</v>
      </c>
      <c r="K56" s="16">
        <v>0</v>
      </c>
      <c r="L56" s="16">
        <v>0</v>
      </c>
      <c r="M56" s="16">
        <v>6.9799999999999995</v>
      </c>
      <c r="N56" s="18">
        <f t="shared" si="1"/>
        <v>23681530.765364625</v>
      </c>
      <c r="O56" s="4"/>
    </row>
    <row r="57" spans="1:15" ht="15" x14ac:dyDescent="0.2">
      <c r="A57" s="17" t="s">
        <v>52</v>
      </c>
      <c r="B57" s="16">
        <v>52555258.380000003</v>
      </c>
      <c r="C57" s="16">
        <v>0</v>
      </c>
      <c r="D57" s="16">
        <v>1297204.2301089102</v>
      </c>
      <c r="E57" s="16">
        <v>0</v>
      </c>
      <c r="F57" s="16">
        <v>374812.49</v>
      </c>
      <c r="G57" s="16">
        <v>148748.85</v>
      </c>
      <c r="H57" s="16">
        <v>2658756.2599999998</v>
      </c>
      <c r="I57" s="16">
        <v>592492.24</v>
      </c>
      <c r="J57" s="16">
        <v>6105755.7099999981</v>
      </c>
      <c r="K57" s="16">
        <v>0</v>
      </c>
      <c r="L57" s="16">
        <v>0</v>
      </c>
      <c r="M57" s="16">
        <v>35.900000000000006</v>
      </c>
      <c r="N57" s="18">
        <f t="shared" si="1"/>
        <v>63733064.060108915</v>
      </c>
      <c r="O57" s="4"/>
    </row>
    <row r="58" spans="1:15" ht="15" x14ac:dyDescent="0.2">
      <c r="A58" s="17" t="s">
        <v>53</v>
      </c>
      <c r="B58" s="16">
        <v>42041563.219999999</v>
      </c>
      <c r="C58" s="16">
        <v>0</v>
      </c>
      <c r="D58" s="16">
        <v>614686.2172756521</v>
      </c>
      <c r="E58" s="16">
        <v>0</v>
      </c>
      <c r="F58" s="16">
        <v>218227.31</v>
      </c>
      <c r="G58" s="16">
        <v>84999.34</v>
      </c>
      <c r="H58" s="16">
        <v>2126871.27</v>
      </c>
      <c r="I58" s="16">
        <v>344967.13</v>
      </c>
      <c r="J58" s="16">
        <v>3419033.6500000013</v>
      </c>
      <c r="K58" s="16">
        <v>0</v>
      </c>
      <c r="L58" s="16">
        <v>0</v>
      </c>
      <c r="M58" s="16">
        <v>20.900000000000002</v>
      </c>
      <c r="N58" s="18">
        <f t="shared" si="1"/>
        <v>48850369.037275657</v>
      </c>
      <c r="O58" s="4"/>
    </row>
    <row r="59" spans="1:15" ht="15" x14ac:dyDescent="0.2">
      <c r="A59" s="17" t="s">
        <v>54</v>
      </c>
      <c r="B59" s="16">
        <v>46764575.340000004</v>
      </c>
      <c r="C59" s="16">
        <v>0</v>
      </c>
      <c r="D59" s="16">
        <v>1370637.0519186663</v>
      </c>
      <c r="E59" s="16">
        <v>0</v>
      </c>
      <c r="F59" s="16">
        <v>212559.07</v>
      </c>
      <c r="G59" s="16">
        <v>84999.34</v>
      </c>
      <c r="H59" s="16">
        <v>2365807.17</v>
      </c>
      <c r="I59" s="16">
        <v>336006.94</v>
      </c>
      <c r="J59" s="16">
        <v>4009931.8599999985</v>
      </c>
      <c r="K59" s="16">
        <v>0</v>
      </c>
      <c r="L59" s="16">
        <v>0</v>
      </c>
      <c r="M59" s="16">
        <v>20.349999999999998</v>
      </c>
      <c r="N59" s="18">
        <f t="shared" si="1"/>
        <v>55144537.121918671</v>
      </c>
      <c r="O59" s="4"/>
    </row>
    <row r="60" spans="1:15" ht="15" x14ac:dyDescent="0.2">
      <c r="A60" s="17" t="s">
        <v>55</v>
      </c>
      <c r="B60" s="16">
        <v>331562499.13999999</v>
      </c>
      <c r="C60" s="16">
        <v>0</v>
      </c>
      <c r="D60" s="16">
        <v>9343359.7693444677</v>
      </c>
      <c r="E60" s="16">
        <v>0</v>
      </c>
      <c r="F60" s="16">
        <v>11692520.18</v>
      </c>
      <c r="G60" s="16">
        <v>4677324.8900000006</v>
      </c>
      <c r="H60" s="16">
        <v>16773656.82</v>
      </c>
      <c r="I60" s="16">
        <v>18483181.780000001</v>
      </c>
      <c r="J60" s="16">
        <v>65585034.910000026</v>
      </c>
      <c r="K60" s="16">
        <v>0</v>
      </c>
      <c r="L60" s="16">
        <v>0</v>
      </c>
      <c r="M60" s="16">
        <v>1120.5899999999999</v>
      </c>
      <c r="N60" s="18">
        <f t="shared" si="1"/>
        <v>458118698.07934439</v>
      </c>
      <c r="O60" s="4"/>
    </row>
    <row r="61" spans="1:15" ht="15" x14ac:dyDescent="0.2">
      <c r="A61" s="17" t="s">
        <v>56</v>
      </c>
      <c r="B61" s="16">
        <v>51841519.609999999</v>
      </c>
      <c r="C61" s="16">
        <v>0</v>
      </c>
      <c r="D61" s="16">
        <v>496139.40333067806</v>
      </c>
      <c r="E61" s="16">
        <v>0</v>
      </c>
      <c r="F61" s="16">
        <v>2087330.06</v>
      </c>
      <c r="G61" s="16">
        <v>441463.48650553427</v>
      </c>
      <c r="H61" s="16">
        <v>2622648.41</v>
      </c>
      <c r="I61" s="16">
        <v>3299588.16</v>
      </c>
      <c r="J61" s="16">
        <v>15411289.310000006</v>
      </c>
      <c r="K61" s="16">
        <v>0</v>
      </c>
      <c r="L61" s="16">
        <v>0</v>
      </c>
      <c r="M61" s="16">
        <v>200.04</v>
      </c>
      <c r="N61" s="18">
        <f t="shared" si="1"/>
        <v>76200178.479836211</v>
      </c>
      <c r="O61" s="4"/>
    </row>
    <row r="62" spans="1:15" ht="15" x14ac:dyDescent="0.2">
      <c r="A62" s="17" t="s">
        <v>57</v>
      </c>
      <c r="B62" s="16">
        <v>312877523.09999996</v>
      </c>
      <c r="C62" s="16">
        <v>0</v>
      </c>
      <c r="D62" s="16">
        <v>2286109.3099999996</v>
      </c>
      <c r="E62" s="16">
        <v>0</v>
      </c>
      <c r="F62" s="16">
        <v>9359330.1199999992</v>
      </c>
      <c r="G62" s="16">
        <v>0</v>
      </c>
      <c r="H62" s="16">
        <v>15828388.949999999</v>
      </c>
      <c r="I62" s="16">
        <v>14794945.6</v>
      </c>
      <c r="J62" s="16">
        <v>32504424.919999991</v>
      </c>
      <c r="K62" s="16">
        <v>0</v>
      </c>
      <c r="L62" s="16">
        <v>0</v>
      </c>
      <c r="M62" s="16">
        <v>896.99</v>
      </c>
      <c r="N62" s="18">
        <f t="shared" si="1"/>
        <v>387651618.99000001</v>
      </c>
      <c r="O62" s="4"/>
    </row>
    <row r="63" spans="1:15" ht="15" x14ac:dyDescent="0.2">
      <c r="A63" s="17" t="s">
        <v>58</v>
      </c>
      <c r="B63" s="16">
        <v>47178720.030000001</v>
      </c>
      <c r="C63" s="16">
        <v>0</v>
      </c>
      <c r="D63" s="16">
        <v>1703695.9262327224</v>
      </c>
      <c r="E63" s="16">
        <v>0</v>
      </c>
      <c r="F63" s="16">
        <v>329820.82</v>
      </c>
      <c r="G63" s="16">
        <v>136943.38</v>
      </c>
      <c r="H63" s="16">
        <v>2386758.64</v>
      </c>
      <c r="I63" s="16">
        <v>521370.77</v>
      </c>
      <c r="J63" s="16">
        <v>4571077.9399999995</v>
      </c>
      <c r="K63" s="16">
        <v>0</v>
      </c>
      <c r="L63" s="16">
        <v>0</v>
      </c>
      <c r="M63" s="16">
        <v>31.599999999999998</v>
      </c>
      <c r="N63" s="18">
        <f t="shared" si="1"/>
        <v>56828419.106232733</v>
      </c>
      <c r="O63" s="4"/>
    </row>
    <row r="64" spans="1:15" ht="15" x14ac:dyDescent="0.2">
      <c r="A64" s="17" t="s">
        <v>59</v>
      </c>
      <c r="B64" s="16">
        <v>99933707.890000001</v>
      </c>
      <c r="C64" s="16">
        <v>0</v>
      </c>
      <c r="D64" s="16">
        <v>3685765.6601399546</v>
      </c>
      <c r="E64" s="16">
        <v>0</v>
      </c>
      <c r="F64" s="16">
        <v>603667.75</v>
      </c>
      <c r="G64" s="16">
        <v>233748.19</v>
      </c>
      <c r="H64" s="16">
        <v>5055619.1500000004</v>
      </c>
      <c r="I64" s="16">
        <v>954259.71</v>
      </c>
      <c r="J64" s="16">
        <v>9530429.2599999998</v>
      </c>
      <c r="K64" s="16">
        <v>0</v>
      </c>
      <c r="L64" s="16">
        <v>0</v>
      </c>
      <c r="M64" s="16">
        <v>57.839999999999996</v>
      </c>
      <c r="N64" s="18">
        <f t="shared" si="1"/>
        <v>119997255.45013995</v>
      </c>
      <c r="O64" s="4"/>
    </row>
    <row r="65" spans="1:15" ht="15" x14ac:dyDescent="0.2">
      <c r="A65" s="17" t="s">
        <v>60</v>
      </c>
      <c r="B65" s="16">
        <v>54772841.79999999</v>
      </c>
      <c r="C65" s="16">
        <v>0</v>
      </c>
      <c r="D65" s="16">
        <v>1425819.7482911884</v>
      </c>
      <c r="E65" s="16">
        <v>0</v>
      </c>
      <c r="F65" s="16">
        <v>131432.35</v>
      </c>
      <c r="G65" s="16">
        <v>89721.53</v>
      </c>
      <c r="H65" s="16">
        <v>2770943.2</v>
      </c>
      <c r="I65" s="16">
        <v>207764.29</v>
      </c>
      <c r="J65" s="16">
        <v>5504518.1500000013</v>
      </c>
      <c r="K65" s="16">
        <v>0</v>
      </c>
      <c r="L65" s="16">
        <v>0</v>
      </c>
      <c r="M65" s="16">
        <v>12.58</v>
      </c>
      <c r="N65" s="18">
        <f t="shared" si="1"/>
        <v>64903053.648291178</v>
      </c>
      <c r="O65" s="4"/>
    </row>
    <row r="66" spans="1:15" ht="15" x14ac:dyDescent="0.2">
      <c r="A66" s="17" t="s">
        <v>61</v>
      </c>
      <c r="B66" s="16">
        <v>30351520.780000005</v>
      </c>
      <c r="C66" s="16">
        <v>0</v>
      </c>
      <c r="D66" s="16">
        <v>964248.91583497811</v>
      </c>
      <c r="E66" s="16">
        <v>0</v>
      </c>
      <c r="F66" s="16">
        <v>128598.23</v>
      </c>
      <c r="G66" s="16">
        <v>72013.33</v>
      </c>
      <c r="H66" s="16">
        <v>1535475.2</v>
      </c>
      <c r="I66" s="16">
        <v>203284.2</v>
      </c>
      <c r="J66" s="16">
        <v>2479493.290000001</v>
      </c>
      <c r="K66" s="16">
        <v>0</v>
      </c>
      <c r="L66" s="16">
        <v>0</v>
      </c>
      <c r="M66" s="16">
        <v>12.31</v>
      </c>
      <c r="N66" s="18">
        <f t="shared" si="1"/>
        <v>35734646.255834982</v>
      </c>
      <c r="O66" s="4"/>
    </row>
    <row r="67" spans="1:15" ht="15" x14ac:dyDescent="0.2">
      <c r="A67" s="17" t="s">
        <v>62</v>
      </c>
      <c r="B67" s="16">
        <v>138866248.62</v>
      </c>
      <c r="C67" s="16">
        <v>0</v>
      </c>
      <c r="D67" s="16">
        <v>740192.09000000008</v>
      </c>
      <c r="E67" s="16">
        <v>0</v>
      </c>
      <c r="F67" s="16">
        <v>3455501.95</v>
      </c>
      <c r="G67" s="16">
        <v>1474360.7484489717</v>
      </c>
      <c r="H67" s="16">
        <v>7025205.8200000003</v>
      </c>
      <c r="I67" s="16">
        <v>5462352.8300000001</v>
      </c>
      <c r="J67" s="16">
        <v>15855000.050000004</v>
      </c>
      <c r="K67" s="16">
        <v>0</v>
      </c>
      <c r="L67" s="16">
        <v>0</v>
      </c>
      <c r="M67" s="16">
        <v>331.15</v>
      </c>
      <c r="N67" s="18">
        <f t="shared" si="1"/>
        <v>172879193.25844899</v>
      </c>
      <c r="O67" s="4"/>
    </row>
    <row r="68" spans="1:15" ht="15" x14ac:dyDescent="0.2">
      <c r="A68" s="17" t="s">
        <v>63</v>
      </c>
      <c r="B68" s="16">
        <v>85570816.609999999</v>
      </c>
      <c r="C68" s="16">
        <v>0</v>
      </c>
      <c r="D68" s="16">
        <v>952240.5</v>
      </c>
      <c r="E68" s="16">
        <v>0</v>
      </c>
      <c r="F68" s="16">
        <v>3047388.53</v>
      </c>
      <c r="G68" s="16">
        <v>1419838.6044753969</v>
      </c>
      <c r="H68" s="16">
        <v>4329004.38</v>
      </c>
      <c r="I68" s="16">
        <v>4817219.5</v>
      </c>
      <c r="J68" s="16">
        <v>13782693.77</v>
      </c>
      <c r="K68" s="16">
        <v>0</v>
      </c>
      <c r="L68" s="16">
        <v>0</v>
      </c>
      <c r="M68" s="16">
        <v>292.04000000000002</v>
      </c>
      <c r="N68" s="18">
        <f t="shared" si="1"/>
        <v>113919493.93447539</v>
      </c>
      <c r="O68" s="4"/>
    </row>
    <row r="69" spans="1:15" ht="15" x14ac:dyDescent="0.2">
      <c r="A69" s="17" t="s">
        <v>64</v>
      </c>
      <c r="B69" s="16">
        <v>268753487.39999998</v>
      </c>
      <c r="C69" s="16">
        <v>0</v>
      </c>
      <c r="D69" s="16">
        <v>635272.04180975608</v>
      </c>
      <c r="E69" s="16">
        <v>0</v>
      </c>
      <c r="F69" s="16">
        <v>8993728.5199999996</v>
      </c>
      <c r="G69" s="16">
        <v>1403037.5345105594</v>
      </c>
      <c r="H69" s="16">
        <v>13596165.960000001</v>
      </c>
      <c r="I69" s="16">
        <v>14217013.66</v>
      </c>
      <c r="J69" s="16">
        <v>30167476.690000009</v>
      </c>
      <c r="K69" s="16">
        <v>0</v>
      </c>
      <c r="L69" s="16">
        <v>0</v>
      </c>
      <c r="M69" s="16">
        <v>861.93999999999994</v>
      </c>
      <c r="N69" s="18">
        <f t="shared" si="1"/>
        <v>337767043.74632025</v>
      </c>
      <c r="O69" s="4"/>
    </row>
    <row r="70" spans="1:15" ht="15" x14ac:dyDescent="0.2">
      <c r="A70" s="17" t="s">
        <v>65</v>
      </c>
      <c r="B70" s="16">
        <v>61052568.110000007</v>
      </c>
      <c r="C70" s="16">
        <v>0</v>
      </c>
      <c r="D70" s="16">
        <v>2566770.2040678924</v>
      </c>
      <c r="E70" s="16">
        <v>0</v>
      </c>
      <c r="F70" s="16">
        <v>1997346.72</v>
      </c>
      <c r="G70" s="16">
        <v>682355.82</v>
      </c>
      <c r="H70" s="16">
        <v>3088632.85</v>
      </c>
      <c r="I70" s="16">
        <v>3157345.22</v>
      </c>
      <c r="J70" s="16">
        <v>13233728.649999993</v>
      </c>
      <c r="K70" s="16">
        <v>0</v>
      </c>
      <c r="L70" s="16">
        <v>0</v>
      </c>
      <c r="M70" s="16">
        <v>191.41</v>
      </c>
      <c r="N70" s="18">
        <f t="shared" si="1"/>
        <v>85778938.984067887</v>
      </c>
      <c r="O70" s="4"/>
    </row>
    <row r="71" spans="1:15" ht="15" x14ac:dyDescent="0.2">
      <c r="A71" s="17" t="s">
        <v>66</v>
      </c>
      <c r="B71" s="16">
        <v>201645888.43000001</v>
      </c>
      <c r="C71" s="16">
        <v>0</v>
      </c>
      <c r="D71" s="16">
        <v>1039248.29</v>
      </c>
      <c r="E71" s="16">
        <v>0</v>
      </c>
      <c r="F71" s="16">
        <v>1257641.1599999999</v>
      </c>
      <c r="G71" s="16">
        <v>526523.69999999995</v>
      </c>
      <c r="H71" s="16">
        <v>10201210.75</v>
      </c>
      <c r="I71" s="16">
        <v>1988041.06</v>
      </c>
      <c r="J71" s="16">
        <v>10604477.399999999</v>
      </c>
      <c r="K71" s="16">
        <v>0</v>
      </c>
      <c r="L71" s="16">
        <v>0</v>
      </c>
      <c r="M71" s="16">
        <v>120.52000000000001</v>
      </c>
      <c r="N71" s="18">
        <f t="shared" si="1"/>
        <v>227263151.31</v>
      </c>
      <c r="O71" s="4"/>
    </row>
    <row r="72" spans="1:15" ht="15" x14ac:dyDescent="0.2">
      <c r="A72" s="17" t="s">
        <v>67</v>
      </c>
      <c r="B72" s="16">
        <v>1079778082.78</v>
      </c>
      <c r="C72" s="16">
        <v>0</v>
      </c>
      <c r="D72" s="16">
        <v>4076637.5301308837</v>
      </c>
      <c r="E72" s="16">
        <v>0</v>
      </c>
      <c r="F72" s="16">
        <v>36593815.890000001</v>
      </c>
      <c r="G72" s="16">
        <v>0</v>
      </c>
      <c r="H72" s="16">
        <v>54625680.039999999</v>
      </c>
      <c r="I72" s="16">
        <v>57846394.859999999</v>
      </c>
      <c r="J72" s="16">
        <v>158610771.67000002</v>
      </c>
      <c r="K72" s="16">
        <v>0</v>
      </c>
      <c r="L72" s="16">
        <v>0</v>
      </c>
      <c r="M72" s="16">
        <v>3507.1500000000005</v>
      </c>
      <c r="N72" s="18">
        <f t="shared" ref="N72:N103" si="2">SUM(B72:M72)</f>
        <v>1391534889.920131</v>
      </c>
      <c r="O72" s="4"/>
    </row>
    <row r="73" spans="1:15" ht="15" x14ac:dyDescent="0.2">
      <c r="A73" s="17" t="s">
        <v>68</v>
      </c>
      <c r="B73" s="16">
        <v>429234565.79999995</v>
      </c>
      <c r="C73" s="16">
        <v>0</v>
      </c>
      <c r="D73" s="16">
        <v>7913546.0540522868</v>
      </c>
      <c r="E73" s="16">
        <v>0</v>
      </c>
      <c r="F73" s="16">
        <v>13582524.58</v>
      </c>
      <c r="G73" s="16">
        <v>6062981.1041548783</v>
      </c>
      <c r="H73" s="16">
        <v>21714860.149999999</v>
      </c>
      <c r="I73" s="16">
        <v>21470843.5</v>
      </c>
      <c r="J73" s="16">
        <v>69377168.740000024</v>
      </c>
      <c r="K73" s="16">
        <v>0</v>
      </c>
      <c r="L73" s="16">
        <v>0</v>
      </c>
      <c r="M73" s="16">
        <v>1301.74</v>
      </c>
      <c r="N73" s="18">
        <f t="shared" si="2"/>
        <v>569357791.66820717</v>
      </c>
      <c r="O73" s="4"/>
    </row>
    <row r="74" spans="1:15" ht="15" x14ac:dyDescent="0.2">
      <c r="A74" s="17" t="s">
        <v>69</v>
      </c>
      <c r="B74" s="16">
        <v>266013082.97999999</v>
      </c>
      <c r="C74" s="16">
        <v>0</v>
      </c>
      <c r="D74" s="16">
        <v>2332351.9500000002</v>
      </c>
      <c r="E74" s="16">
        <v>0</v>
      </c>
      <c r="F74" s="16">
        <v>9861323.7899999991</v>
      </c>
      <c r="G74" s="16">
        <v>10646078.412257392</v>
      </c>
      <c r="H74" s="16">
        <v>13457529.65</v>
      </c>
      <c r="I74" s="16">
        <v>15588481.99</v>
      </c>
      <c r="J74" s="16">
        <v>38207443.789999992</v>
      </c>
      <c r="K74" s="16">
        <v>0</v>
      </c>
      <c r="L74" s="16">
        <v>0</v>
      </c>
      <c r="M74" s="16">
        <v>945.1</v>
      </c>
      <c r="N74" s="18">
        <f t="shared" si="2"/>
        <v>356107237.66225731</v>
      </c>
      <c r="O74" s="4"/>
    </row>
    <row r="75" spans="1:15" ht="15" x14ac:dyDescent="0.2">
      <c r="A75" s="17" t="s">
        <v>70</v>
      </c>
      <c r="B75" s="16">
        <v>44840711.57</v>
      </c>
      <c r="C75" s="16">
        <v>0</v>
      </c>
      <c r="D75" s="16">
        <v>1352291.1367885801</v>
      </c>
      <c r="E75" s="16">
        <v>0</v>
      </c>
      <c r="F75" s="16">
        <v>179258.14</v>
      </c>
      <c r="G75" s="16">
        <v>76735.520000000004</v>
      </c>
      <c r="H75" s="16">
        <v>2268479.4300000002</v>
      </c>
      <c r="I75" s="16">
        <v>283365.84999999998</v>
      </c>
      <c r="J75" s="16">
        <v>4458936.9100000011</v>
      </c>
      <c r="K75" s="16">
        <v>0</v>
      </c>
      <c r="L75" s="16">
        <v>0</v>
      </c>
      <c r="M75" s="16">
        <v>17.169999999999998</v>
      </c>
      <c r="N75" s="18">
        <f t="shared" si="2"/>
        <v>53459795.726788588</v>
      </c>
      <c r="O75" s="4"/>
    </row>
    <row r="76" spans="1:15" ht="15" x14ac:dyDescent="0.2">
      <c r="A76" s="17" t="s">
        <v>71</v>
      </c>
      <c r="B76" s="16">
        <v>40512752.400000006</v>
      </c>
      <c r="C76" s="16">
        <v>0</v>
      </c>
      <c r="D76" s="16">
        <v>1614531.3145032141</v>
      </c>
      <c r="E76" s="16">
        <v>0</v>
      </c>
      <c r="F76" s="16">
        <v>322735.52</v>
      </c>
      <c r="G76" s="16">
        <v>180623.6</v>
      </c>
      <c r="H76" s="16">
        <v>2049529.15</v>
      </c>
      <c r="I76" s="16">
        <v>510170.54</v>
      </c>
      <c r="J76" s="16">
        <v>6434524.8100000024</v>
      </c>
      <c r="K76" s="16">
        <v>0</v>
      </c>
      <c r="L76" s="16">
        <v>0</v>
      </c>
      <c r="M76" s="16">
        <v>30.91</v>
      </c>
      <c r="N76" s="18">
        <f t="shared" si="2"/>
        <v>51624898.244503222</v>
      </c>
      <c r="O76" s="4"/>
    </row>
    <row r="77" spans="1:15" ht="15" x14ac:dyDescent="0.2">
      <c r="A77" s="17" t="s">
        <v>72</v>
      </c>
      <c r="B77" s="16">
        <v>54994600.139999993</v>
      </c>
      <c r="C77" s="16">
        <v>0</v>
      </c>
      <c r="D77" s="16">
        <v>1121551.4630521922</v>
      </c>
      <c r="E77" s="16">
        <v>0</v>
      </c>
      <c r="F77" s="16">
        <v>379063.67</v>
      </c>
      <c r="G77" s="16">
        <v>127499.01</v>
      </c>
      <c r="H77" s="16">
        <v>2782161.9</v>
      </c>
      <c r="I77" s="16">
        <v>599212.38</v>
      </c>
      <c r="J77" s="16">
        <v>4040125.1099999985</v>
      </c>
      <c r="K77" s="16">
        <v>0</v>
      </c>
      <c r="L77" s="16">
        <v>0</v>
      </c>
      <c r="M77" s="16">
        <v>36.310000000000009</v>
      </c>
      <c r="N77" s="18">
        <f t="shared" si="2"/>
        <v>64044249.983052187</v>
      </c>
      <c r="O77" s="4"/>
    </row>
    <row r="78" spans="1:15" ht="15" x14ac:dyDescent="0.2">
      <c r="A78" s="17" t="s">
        <v>73</v>
      </c>
      <c r="B78" s="16">
        <v>21128723.509999998</v>
      </c>
      <c r="C78" s="16">
        <v>0</v>
      </c>
      <c r="D78" s="16">
        <v>494672.52835854213</v>
      </c>
      <c r="E78" s="16">
        <v>0</v>
      </c>
      <c r="F78" s="16">
        <v>134620.74</v>
      </c>
      <c r="G78" s="16">
        <v>42499.67</v>
      </c>
      <c r="H78" s="16">
        <v>1068896.3899999999</v>
      </c>
      <c r="I78" s="16">
        <v>212804.4</v>
      </c>
      <c r="J78" s="16">
        <v>1798072.7700000007</v>
      </c>
      <c r="K78" s="16">
        <v>0</v>
      </c>
      <c r="L78" s="16">
        <v>0</v>
      </c>
      <c r="M78" s="16">
        <v>12.889999999999999</v>
      </c>
      <c r="N78" s="18">
        <f t="shared" si="2"/>
        <v>24880302.898358539</v>
      </c>
      <c r="O78" s="4"/>
    </row>
    <row r="79" spans="1:15" ht="15" x14ac:dyDescent="0.2">
      <c r="A79" s="17" t="s">
        <v>74</v>
      </c>
      <c r="B79" s="16">
        <v>87938197.040000021</v>
      </c>
      <c r="C79" s="16">
        <v>0</v>
      </c>
      <c r="D79" s="16">
        <v>3898384.2303991769</v>
      </c>
      <c r="E79" s="16">
        <v>0</v>
      </c>
      <c r="F79" s="16">
        <v>676646.37</v>
      </c>
      <c r="G79" s="16">
        <v>316386.44</v>
      </c>
      <c r="H79" s="16">
        <v>4448769.5199999996</v>
      </c>
      <c r="I79" s="16">
        <v>1069622.0900000001</v>
      </c>
      <c r="J79" s="16">
        <v>9879301.5300000012</v>
      </c>
      <c r="K79" s="16">
        <v>0</v>
      </c>
      <c r="L79" s="16">
        <v>0</v>
      </c>
      <c r="M79" s="16">
        <v>64.83</v>
      </c>
      <c r="N79" s="18">
        <f t="shared" si="2"/>
        <v>108227372.0503992</v>
      </c>
      <c r="O79" s="4"/>
    </row>
    <row r="80" spans="1:15" ht="15" x14ac:dyDescent="0.2">
      <c r="A80" s="17" t="s">
        <v>75</v>
      </c>
      <c r="B80" s="16">
        <v>53681673.290000007</v>
      </c>
      <c r="C80" s="16">
        <v>0</v>
      </c>
      <c r="D80" s="16">
        <v>2216239.4696218385</v>
      </c>
      <c r="E80" s="16">
        <v>0</v>
      </c>
      <c r="F80" s="16">
        <v>218935.84</v>
      </c>
      <c r="G80" s="16">
        <v>132221.20000000001</v>
      </c>
      <c r="H80" s="16">
        <v>2715741.28</v>
      </c>
      <c r="I80" s="16">
        <v>346087.15</v>
      </c>
      <c r="J80" s="16">
        <v>6544287.2099999981</v>
      </c>
      <c r="K80" s="16">
        <v>0</v>
      </c>
      <c r="L80" s="16">
        <v>0</v>
      </c>
      <c r="M80" s="16">
        <v>20.97</v>
      </c>
      <c r="N80" s="18">
        <f t="shared" si="2"/>
        <v>65855206.40962185</v>
      </c>
      <c r="O80" s="4"/>
    </row>
    <row r="81" spans="1:15" ht="15" x14ac:dyDescent="0.2">
      <c r="A81" s="17" t="s">
        <v>76</v>
      </c>
      <c r="B81" s="16">
        <v>25979503.68</v>
      </c>
      <c r="C81" s="16">
        <v>0</v>
      </c>
      <c r="D81" s="16">
        <v>1550123.8529719443</v>
      </c>
      <c r="E81" s="16">
        <v>0</v>
      </c>
      <c r="F81" s="16">
        <v>568595.51</v>
      </c>
      <c r="G81" s="16">
        <v>272706.21999999997</v>
      </c>
      <c r="H81" s="16">
        <v>1314296.04</v>
      </c>
      <c r="I81" s="16">
        <v>898818.57</v>
      </c>
      <c r="J81" s="16">
        <v>7472567.5200000014</v>
      </c>
      <c r="K81" s="16">
        <v>0</v>
      </c>
      <c r="L81" s="16">
        <v>0</v>
      </c>
      <c r="M81" s="16">
        <v>54.48</v>
      </c>
      <c r="N81" s="18">
        <f t="shared" si="2"/>
        <v>38056665.872971945</v>
      </c>
      <c r="O81" s="4"/>
    </row>
    <row r="82" spans="1:15" ht="15" x14ac:dyDescent="0.2">
      <c r="A82" s="17" t="s">
        <v>77</v>
      </c>
      <c r="B82" s="16">
        <v>362549923.15000004</v>
      </c>
      <c r="C82" s="16">
        <v>0</v>
      </c>
      <c r="D82" s="16">
        <v>2824405.8699999996</v>
      </c>
      <c r="E82" s="16">
        <v>0</v>
      </c>
      <c r="F82" s="16">
        <v>16387241.51</v>
      </c>
      <c r="G82" s="16">
        <v>10940894.096040284</v>
      </c>
      <c r="H82" s="16">
        <v>18341302.18</v>
      </c>
      <c r="I82" s="16">
        <v>25904455.079999998</v>
      </c>
      <c r="J82" s="16">
        <v>61769095.750000022</v>
      </c>
      <c r="K82" s="16">
        <v>0</v>
      </c>
      <c r="L82" s="16">
        <v>0</v>
      </c>
      <c r="M82" s="16">
        <v>1570.55</v>
      </c>
      <c r="N82" s="18">
        <f t="shared" si="2"/>
        <v>498718888.18604034</v>
      </c>
      <c r="O82" s="4"/>
    </row>
    <row r="83" spans="1:15" ht="15" x14ac:dyDescent="0.2">
      <c r="A83" s="17" t="s">
        <v>78</v>
      </c>
      <c r="B83" s="16">
        <v>112810377.72999999</v>
      </c>
      <c r="C83" s="16">
        <v>0</v>
      </c>
      <c r="D83" s="16">
        <v>1716277.001272212</v>
      </c>
      <c r="E83" s="16">
        <v>0</v>
      </c>
      <c r="F83" s="16">
        <v>1814545.92</v>
      </c>
      <c r="G83" s="16">
        <v>802771.56</v>
      </c>
      <c r="H83" s="16">
        <v>5707046.3899999997</v>
      </c>
      <c r="I83" s="16">
        <v>2868379.25</v>
      </c>
      <c r="J83" s="16">
        <v>13486688.389999993</v>
      </c>
      <c r="K83" s="16">
        <v>0</v>
      </c>
      <c r="L83" s="16">
        <v>0</v>
      </c>
      <c r="M83" s="16">
        <v>173.89000000000001</v>
      </c>
      <c r="N83" s="18">
        <f t="shared" si="2"/>
        <v>139206260.1312722</v>
      </c>
      <c r="O83" s="4"/>
    </row>
    <row r="84" spans="1:15" ht="15" x14ac:dyDescent="0.2">
      <c r="A84" s="17" t="s">
        <v>79</v>
      </c>
      <c r="B84" s="16">
        <v>41931418.349999994</v>
      </c>
      <c r="C84" s="16">
        <v>0</v>
      </c>
      <c r="D84" s="16">
        <v>973641.12461323827</v>
      </c>
      <c r="E84" s="16">
        <v>0</v>
      </c>
      <c r="F84" s="16">
        <v>364184.54</v>
      </c>
      <c r="G84" s="16">
        <v>71820.445064199186</v>
      </c>
      <c r="H84" s="16">
        <v>2121299.0699999998</v>
      </c>
      <c r="I84" s="16">
        <v>575691.89</v>
      </c>
      <c r="J84" s="16">
        <v>5461549.5</v>
      </c>
      <c r="K84" s="16">
        <v>0</v>
      </c>
      <c r="L84" s="16">
        <v>0</v>
      </c>
      <c r="M84" s="16">
        <v>34.879999999999995</v>
      </c>
      <c r="N84" s="18">
        <f t="shared" si="2"/>
        <v>51499639.799677439</v>
      </c>
      <c r="O84" s="4"/>
    </row>
    <row r="85" spans="1:15" ht="15" x14ac:dyDescent="0.2">
      <c r="A85" s="17" t="s">
        <v>80</v>
      </c>
      <c r="B85" s="16">
        <v>41182433.199999996</v>
      </c>
      <c r="C85" s="16">
        <v>0</v>
      </c>
      <c r="D85" s="16">
        <v>1224071.9232711263</v>
      </c>
      <c r="E85" s="16">
        <v>0</v>
      </c>
      <c r="F85" s="16">
        <v>172172.84</v>
      </c>
      <c r="G85" s="16">
        <v>76735.520000000004</v>
      </c>
      <c r="H85" s="16">
        <v>2083408.12</v>
      </c>
      <c r="I85" s="16">
        <v>272165.62</v>
      </c>
      <c r="J85" s="16">
        <v>3196478.1299999994</v>
      </c>
      <c r="K85" s="16">
        <v>0</v>
      </c>
      <c r="L85" s="16">
        <v>0</v>
      </c>
      <c r="M85" s="16">
        <v>16.489999999999998</v>
      </c>
      <c r="N85" s="18">
        <f t="shared" si="2"/>
        <v>48207481.843271129</v>
      </c>
      <c r="O85" s="4"/>
    </row>
    <row r="86" spans="1:15" ht="15" x14ac:dyDescent="0.2">
      <c r="A86" s="17" t="s">
        <v>81</v>
      </c>
      <c r="B86" s="16">
        <v>492159596.83999991</v>
      </c>
      <c r="C86" s="16">
        <v>0</v>
      </c>
      <c r="D86" s="16">
        <v>1105862.25</v>
      </c>
      <c r="E86" s="16">
        <v>0</v>
      </c>
      <c r="F86" s="16">
        <v>10281836.48</v>
      </c>
      <c r="G86" s="16">
        <v>1762044.3002048102</v>
      </c>
      <c r="H86" s="16">
        <v>24898220.379999999</v>
      </c>
      <c r="I86" s="16">
        <v>16253215.720000001</v>
      </c>
      <c r="J86" s="16">
        <v>27588963.160000008</v>
      </c>
      <c r="K86" s="16">
        <v>0</v>
      </c>
      <c r="L86" s="16">
        <v>0</v>
      </c>
      <c r="M86" s="16">
        <v>985.4</v>
      </c>
      <c r="N86" s="18">
        <f t="shared" si="2"/>
        <v>574050724.53020465</v>
      </c>
      <c r="O86" s="4"/>
    </row>
    <row r="87" spans="1:15" ht="15" x14ac:dyDescent="0.2">
      <c r="A87" s="17" t="s">
        <v>82</v>
      </c>
      <c r="B87" s="16">
        <v>63417011.359999999</v>
      </c>
      <c r="C87" s="16">
        <v>0</v>
      </c>
      <c r="D87" s="16">
        <v>1428355.9850913943</v>
      </c>
      <c r="E87" s="16">
        <v>0</v>
      </c>
      <c r="F87" s="16">
        <v>291914.45</v>
      </c>
      <c r="G87" s="16">
        <v>160554.31</v>
      </c>
      <c r="H87" s="16">
        <v>3208249.39</v>
      </c>
      <c r="I87" s="16">
        <v>461449.53</v>
      </c>
      <c r="J87" s="16">
        <v>6064436.6299999999</v>
      </c>
      <c r="K87" s="16">
        <v>0</v>
      </c>
      <c r="L87" s="16">
        <v>0</v>
      </c>
      <c r="M87" s="16">
        <v>27.96</v>
      </c>
      <c r="N87" s="18">
        <f t="shared" si="2"/>
        <v>75031999.615091383</v>
      </c>
      <c r="O87" s="4"/>
    </row>
    <row r="88" spans="1:15" ht="15" x14ac:dyDescent="0.2">
      <c r="A88" s="17" t="s">
        <v>83</v>
      </c>
      <c r="B88" s="16">
        <v>61535736.950000003</v>
      </c>
      <c r="C88" s="16">
        <v>0</v>
      </c>
      <c r="D88" s="16">
        <v>529685.39098337805</v>
      </c>
      <c r="E88" s="16">
        <v>0</v>
      </c>
      <c r="F88" s="16">
        <v>1432648.13</v>
      </c>
      <c r="G88" s="16">
        <v>409649.6</v>
      </c>
      <c r="H88" s="16">
        <v>3113076.23</v>
      </c>
      <c r="I88" s="16">
        <v>2264686.7799999998</v>
      </c>
      <c r="J88" s="16">
        <v>8982576.6800000034</v>
      </c>
      <c r="K88" s="16">
        <v>0</v>
      </c>
      <c r="L88" s="16">
        <v>0</v>
      </c>
      <c r="M88" s="16">
        <v>137.29000000000002</v>
      </c>
      <c r="N88" s="18">
        <f t="shared" si="2"/>
        <v>78268197.050983399</v>
      </c>
      <c r="O88" s="4"/>
    </row>
    <row r="89" spans="1:15" ht="15" x14ac:dyDescent="0.2">
      <c r="A89" s="17" t="s">
        <v>84</v>
      </c>
      <c r="B89" s="16">
        <v>94335411.199999988</v>
      </c>
      <c r="C89" s="16">
        <v>0</v>
      </c>
      <c r="D89" s="16">
        <v>1387640.4188314422</v>
      </c>
      <c r="E89" s="16">
        <v>0</v>
      </c>
      <c r="F89" s="16">
        <v>1204855.6599999999</v>
      </c>
      <c r="G89" s="16">
        <v>478121.29</v>
      </c>
      <c r="H89" s="16">
        <v>4772402.8499999996</v>
      </c>
      <c r="I89" s="16">
        <v>1904599.34</v>
      </c>
      <c r="J89" s="16">
        <v>9681107.9199999999</v>
      </c>
      <c r="K89" s="16">
        <v>0</v>
      </c>
      <c r="L89" s="16">
        <v>0</v>
      </c>
      <c r="M89" s="16">
        <v>115.46</v>
      </c>
      <c r="N89" s="18">
        <f t="shared" si="2"/>
        <v>113764254.13883142</v>
      </c>
      <c r="O89" s="4"/>
    </row>
    <row r="90" spans="1:15" ht="15" x14ac:dyDescent="0.2">
      <c r="A90" s="17" t="s">
        <v>85</v>
      </c>
      <c r="B90" s="16">
        <v>507643028.63000005</v>
      </c>
      <c r="C90" s="16">
        <v>0</v>
      </c>
      <c r="D90" s="16">
        <v>1283261.506030506</v>
      </c>
      <c r="E90" s="16">
        <v>0</v>
      </c>
      <c r="F90" s="16">
        <v>16343666.9</v>
      </c>
      <c r="G90" s="16">
        <v>4112316.6424579201</v>
      </c>
      <c r="H90" s="16">
        <v>25681522.989999998</v>
      </c>
      <c r="I90" s="16">
        <v>25835573.649999999</v>
      </c>
      <c r="J90" s="16">
        <v>57277356.63000001</v>
      </c>
      <c r="K90" s="16">
        <v>0</v>
      </c>
      <c r="L90" s="16">
        <v>0</v>
      </c>
      <c r="M90" s="16">
        <v>1566.37</v>
      </c>
      <c r="N90" s="18">
        <f t="shared" si="2"/>
        <v>638178293.31848836</v>
      </c>
      <c r="O90" s="4"/>
    </row>
    <row r="91" spans="1:15" ht="15" x14ac:dyDescent="0.2">
      <c r="A91" s="17" t="s">
        <v>86</v>
      </c>
      <c r="B91" s="16">
        <v>18480840.799999997</v>
      </c>
      <c r="C91" s="16">
        <v>0</v>
      </c>
      <c r="D91" s="16">
        <v>954400.5480775102</v>
      </c>
      <c r="E91" s="16">
        <v>0</v>
      </c>
      <c r="F91" s="16">
        <v>379417.94</v>
      </c>
      <c r="G91" s="16">
        <v>159373.76000000001</v>
      </c>
      <c r="H91" s="16">
        <v>934940.72</v>
      </c>
      <c r="I91" s="16">
        <v>599772.39</v>
      </c>
      <c r="J91" s="16">
        <v>4116260.51</v>
      </c>
      <c r="K91" s="16">
        <v>0</v>
      </c>
      <c r="L91" s="16">
        <v>0</v>
      </c>
      <c r="M91" s="16">
        <v>36.340000000000003</v>
      </c>
      <c r="N91" s="18">
        <f t="shared" si="2"/>
        <v>25625043.008077506</v>
      </c>
      <c r="O91" s="4"/>
    </row>
    <row r="92" spans="1:15" ht="15" x14ac:dyDescent="0.2">
      <c r="A92" s="17" t="s">
        <v>87</v>
      </c>
      <c r="B92" s="16">
        <v>27771193.600000001</v>
      </c>
      <c r="C92" s="16">
        <v>0</v>
      </c>
      <c r="D92" s="16">
        <v>121907.20999999999</v>
      </c>
      <c r="E92" s="16">
        <v>0</v>
      </c>
      <c r="F92" s="16">
        <v>81126.710000000006</v>
      </c>
      <c r="G92" s="16">
        <v>49582.95</v>
      </c>
      <c r="H92" s="16">
        <v>1404937.15</v>
      </c>
      <c r="I92" s="16">
        <v>128242.65</v>
      </c>
      <c r="J92" s="16">
        <v>1781019.6799999995</v>
      </c>
      <c r="K92" s="16">
        <v>0</v>
      </c>
      <c r="L92" s="16">
        <v>0</v>
      </c>
      <c r="M92" s="16">
        <v>7.76</v>
      </c>
      <c r="N92" s="18">
        <f t="shared" si="2"/>
        <v>31338017.710000001</v>
      </c>
      <c r="O92" s="4"/>
    </row>
    <row r="93" spans="1:15" ht="15" x14ac:dyDescent="0.2">
      <c r="A93" s="17" t="s">
        <v>88</v>
      </c>
      <c r="B93" s="16">
        <v>266527092.38</v>
      </c>
      <c r="C93" s="16">
        <v>0</v>
      </c>
      <c r="D93" s="16">
        <v>1248987.3909249399</v>
      </c>
      <c r="E93" s="16">
        <v>0</v>
      </c>
      <c r="F93" s="16">
        <v>13245972.720000001</v>
      </c>
      <c r="G93" s="16">
        <v>2045608.8355155368</v>
      </c>
      <c r="H93" s="16">
        <v>13483533.24</v>
      </c>
      <c r="I93" s="16">
        <v>20938832.510000002</v>
      </c>
      <c r="J93" s="16">
        <v>54470360.13000001</v>
      </c>
      <c r="K93" s="16">
        <v>0</v>
      </c>
      <c r="L93" s="16">
        <v>0</v>
      </c>
      <c r="M93" s="16">
        <v>1269.49</v>
      </c>
      <c r="N93" s="18">
        <f t="shared" si="2"/>
        <v>371961656.69644052</v>
      </c>
      <c r="O93" s="4"/>
    </row>
    <row r="94" spans="1:15" ht="15" x14ac:dyDescent="0.2">
      <c r="A94" s="17" t="s">
        <v>89</v>
      </c>
      <c r="B94" s="16">
        <v>185397316.90999997</v>
      </c>
      <c r="C94" s="16">
        <v>0</v>
      </c>
      <c r="D94" s="16">
        <v>2344115.17</v>
      </c>
      <c r="E94" s="16">
        <v>0</v>
      </c>
      <c r="F94" s="16">
        <v>5989560.3300000001</v>
      </c>
      <c r="G94" s="16">
        <v>2749582.7970501501</v>
      </c>
      <c r="H94" s="16">
        <v>9379199.9299999997</v>
      </c>
      <c r="I94" s="16">
        <v>9468115.5700000003</v>
      </c>
      <c r="J94" s="16">
        <v>29105532.730000015</v>
      </c>
      <c r="K94" s="16">
        <v>0</v>
      </c>
      <c r="L94" s="16">
        <v>0</v>
      </c>
      <c r="M94" s="16">
        <v>574.03000000000009</v>
      </c>
      <c r="N94" s="18">
        <f t="shared" si="2"/>
        <v>244433997.46705014</v>
      </c>
      <c r="O94" s="4"/>
    </row>
    <row r="95" spans="1:15" ht="15" x14ac:dyDescent="0.2">
      <c r="A95" s="17" t="s">
        <v>90</v>
      </c>
      <c r="B95" s="16">
        <v>32370843.450000003</v>
      </c>
      <c r="C95" s="16">
        <v>0</v>
      </c>
      <c r="D95" s="16">
        <v>1153718.7949605102</v>
      </c>
      <c r="E95" s="16">
        <v>0</v>
      </c>
      <c r="F95" s="16">
        <v>293685.78000000003</v>
      </c>
      <c r="G95" s="16">
        <v>128679.56</v>
      </c>
      <c r="H95" s="16">
        <v>1637632.19</v>
      </c>
      <c r="I95" s="16">
        <v>464249.59</v>
      </c>
      <c r="J95" s="16">
        <v>4287483.6400000015</v>
      </c>
      <c r="K95" s="16">
        <v>0</v>
      </c>
      <c r="L95" s="16">
        <v>0</v>
      </c>
      <c r="M95" s="16">
        <v>28.13</v>
      </c>
      <c r="N95" s="18">
        <f t="shared" si="2"/>
        <v>40336321.134960517</v>
      </c>
      <c r="O95" s="4"/>
    </row>
    <row r="96" spans="1:15" ht="15" x14ac:dyDescent="0.2">
      <c r="A96" s="17" t="s">
        <v>91</v>
      </c>
      <c r="B96" s="16">
        <v>116361448.37</v>
      </c>
      <c r="C96" s="16">
        <v>0</v>
      </c>
      <c r="D96" s="16">
        <v>2938028.4396087802</v>
      </c>
      <c r="E96" s="16">
        <v>0</v>
      </c>
      <c r="F96" s="16">
        <v>1645915.73</v>
      </c>
      <c r="G96" s="16">
        <v>702425.11</v>
      </c>
      <c r="H96" s="16">
        <v>5886694.0899999999</v>
      </c>
      <c r="I96" s="16">
        <v>2601813.7400000002</v>
      </c>
      <c r="J96" s="16">
        <v>15361453.149999993</v>
      </c>
      <c r="K96" s="16">
        <v>0</v>
      </c>
      <c r="L96" s="16">
        <v>0</v>
      </c>
      <c r="M96" s="16">
        <v>157.72</v>
      </c>
      <c r="N96" s="18">
        <f t="shared" si="2"/>
        <v>145497936.34960878</v>
      </c>
      <c r="O96" s="4"/>
    </row>
    <row r="97" spans="1:15" ht="15" x14ac:dyDescent="0.2">
      <c r="A97" s="17" t="s">
        <v>92</v>
      </c>
      <c r="B97" s="16">
        <v>54496745.310000002</v>
      </c>
      <c r="C97" s="16">
        <v>0</v>
      </c>
      <c r="D97" s="16">
        <v>3419136.5671914164</v>
      </c>
      <c r="E97" s="16">
        <v>0</v>
      </c>
      <c r="F97" s="16">
        <v>759898.67</v>
      </c>
      <c r="G97" s="16">
        <v>360066.65</v>
      </c>
      <c r="H97" s="16">
        <v>2756975.55</v>
      </c>
      <c r="I97" s="16">
        <v>1201224.81</v>
      </c>
      <c r="J97" s="16">
        <v>10257177.93</v>
      </c>
      <c r="K97" s="16">
        <v>0</v>
      </c>
      <c r="L97" s="16">
        <v>0</v>
      </c>
      <c r="M97" s="16">
        <v>72.809999999999988</v>
      </c>
      <c r="N97" s="18">
        <f t="shared" si="2"/>
        <v>73251298.297191411</v>
      </c>
      <c r="O97" s="4"/>
    </row>
    <row r="98" spans="1:15" ht="15" x14ac:dyDescent="0.2">
      <c r="A98" s="17" t="s">
        <v>93</v>
      </c>
      <c r="B98" s="16">
        <v>151692986.13</v>
      </c>
      <c r="C98" s="16">
        <v>0</v>
      </c>
      <c r="D98" s="16">
        <v>3856877.0299366247</v>
      </c>
      <c r="E98" s="16">
        <v>0</v>
      </c>
      <c r="F98" s="16">
        <v>1767074.4</v>
      </c>
      <c r="G98" s="16">
        <v>844090.68</v>
      </c>
      <c r="H98" s="16">
        <v>7674106.9900000002</v>
      </c>
      <c r="I98" s="16">
        <v>2793337.7</v>
      </c>
      <c r="J98" s="16">
        <v>19788067.649999999</v>
      </c>
      <c r="K98" s="16">
        <v>0</v>
      </c>
      <c r="L98" s="16">
        <v>0</v>
      </c>
      <c r="M98" s="16">
        <v>169.34</v>
      </c>
      <c r="N98" s="18">
        <f t="shared" si="2"/>
        <v>188416709.91993663</v>
      </c>
      <c r="O98" s="4"/>
    </row>
    <row r="99" spans="1:15" ht="15" x14ac:dyDescent="0.2">
      <c r="A99" s="17" t="s">
        <v>94</v>
      </c>
      <c r="B99" s="16">
        <v>103806401.60999998</v>
      </c>
      <c r="C99" s="16">
        <v>0</v>
      </c>
      <c r="D99" s="16">
        <v>3034161.3707986809</v>
      </c>
      <c r="E99" s="16">
        <v>0</v>
      </c>
      <c r="F99" s="16">
        <v>655036.19999999995</v>
      </c>
      <c r="G99" s="16">
        <v>227845.46</v>
      </c>
      <c r="H99" s="16">
        <v>5251537.68</v>
      </c>
      <c r="I99" s="16">
        <v>1035461.39</v>
      </c>
      <c r="J99" s="16">
        <v>12924372.340000004</v>
      </c>
      <c r="K99" s="16">
        <v>0</v>
      </c>
      <c r="L99" s="16">
        <v>0</v>
      </c>
      <c r="M99" s="16">
        <v>62.759999999999991</v>
      </c>
      <c r="N99" s="18">
        <f t="shared" si="2"/>
        <v>126934878.81079867</v>
      </c>
      <c r="O99" s="4"/>
    </row>
    <row r="100" spans="1:15" ht="15" x14ac:dyDescent="0.2">
      <c r="A100" s="17" t="s">
        <v>95</v>
      </c>
      <c r="B100" s="16">
        <v>98648684.400000006</v>
      </c>
      <c r="C100" s="16">
        <v>0</v>
      </c>
      <c r="D100" s="16">
        <v>2556763.1502850102</v>
      </c>
      <c r="E100" s="16">
        <v>0</v>
      </c>
      <c r="F100" s="16">
        <v>735454.38</v>
      </c>
      <c r="G100" s="16">
        <v>301039.33</v>
      </c>
      <c r="H100" s="16">
        <v>4990610.16</v>
      </c>
      <c r="I100" s="16">
        <v>1162584.01</v>
      </c>
      <c r="J100" s="16">
        <v>10355507.580000002</v>
      </c>
      <c r="K100" s="16">
        <v>0</v>
      </c>
      <c r="L100" s="16">
        <v>0</v>
      </c>
      <c r="M100" s="16">
        <v>70.48</v>
      </c>
      <c r="N100" s="18">
        <f t="shared" si="2"/>
        <v>118750713.49028501</v>
      </c>
      <c r="O100" s="4"/>
    </row>
    <row r="101" spans="1:15" ht="15" x14ac:dyDescent="0.2">
      <c r="A101" s="17" t="s">
        <v>96</v>
      </c>
      <c r="B101" s="16">
        <v>19937690.309999999</v>
      </c>
      <c r="C101" s="16">
        <v>0</v>
      </c>
      <c r="D101" s="16">
        <v>1075323.2899301001</v>
      </c>
      <c r="E101" s="16">
        <v>0</v>
      </c>
      <c r="F101" s="16">
        <v>87857.74</v>
      </c>
      <c r="G101" s="16">
        <v>44860.76</v>
      </c>
      <c r="H101" s="16">
        <v>1008642.34</v>
      </c>
      <c r="I101" s="16">
        <v>138882.87</v>
      </c>
      <c r="J101" s="16">
        <v>2181243.6799999992</v>
      </c>
      <c r="K101" s="16">
        <v>0</v>
      </c>
      <c r="L101" s="16">
        <v>0</v>
      </c>
      <c r="M101" s="16">
        <v>8.41</v>
      </c>
      <c r="N101" s="18">
        <f t="shared" si="2"/>
        <v>24474509.399930101</v>
      </c>
      <c r="O101" s="4"/>
    </row>
    <row r="102" spans="1:15" ht="15" x14ac:dyDescent="0.2">
      <c r="A102" s="17" t="s">
        <v>97</v>
      </c>
      <c r="B102" s="16">
        <v>65875444.909999996</v>
      </c>
      <c r="C102" s="16">
        <v>0</v>
      </c>
      <c r="D102" s="16">
        <v>3511747.8246586183</v>
      </c>
      <c r="E102" s="16">
        <v>0</v>
      </c>
      <c r="F102" s="16">
        <v>1701181.09</v>
      </c>
      <c r="G102" s="16">
        <v>789785.55</v>
      </c>
      <c r="H102" s="16">
        <v>3332620.88</v>
      </c>
      <c r="I102" s="16">
        <v>2689175.55</v>
      </c>
      <c r="J102" s="16">
        <v>14678325.429999994</v>
      </c>
      <c r="K102" s="16">
        <v>0</v>
      </c>
      <c r="L102" s="16">
        <v>0</v>
      </c>
      <c r="M102" s="16">
        <v>163.03000000000003</v>
      </c>
      <c r="N102" s="18">
        <f t="shared" si="2"/>
        <v>92578444.2646586</v>
      </c>
      <c r="O102" s="4"/>
    </row>
    <row r="103" spans="1:15" ht="15" x14ac:dyDescent="0.2">
      <c r="A103" s="17" t="s">
        <v>98</v>
      </c>
      <c r="B103" s="16">
        <v>22830828.979999997</v>
      </c>
      <c r="C103" s="16">
        <v>0</v>
      </c>
      <c r="D103" s="16">
        <v>1225498.8512929084</v>
      </c>
      <c r="E103" s="16">
        <v>0</v>
      </c>
      <c r="F103" s="16">
        <v>42157.54</v>
      </c>
      <c r="G103" s="16">
        <v>27152.57</v>
      </c>
      <c r="H103" s="16">
        <v>1155005.4399999999</v>
      </c>
      <c r="I103" s="16">
        <v>66641.38</v>
      </c>
      <c r="J103" s="16">
        <v>3068108.7800000012</v>
      </c>
      <c r="K103" s="16">
        <v>0</v>
      </c>
      <c r="L103" s="16">
        <v>0</v>
      </c>
      <c r="M103" s="16">
        <v>4.03</v>
      </c>
      <c r="N103" s="18">
        <f t="shared" si="2"/>
        <v>28415397.571292907</v>
      </c>
      <c r="O103" s="4"/>
    </row>
    <row r="104" spans="1:15" ht="15" x14ac:dyDescent="0.2">
      <c r="A104" s="17" t="s">
        <v>99</v>
      </c>
      <c r="B104" s="16">
        <v>304697430.60000002</v>
      </c>
      <c r="C104" s="16">
        <v>0</v>
      </c>
      <c r="D104" s="16">
        <v>2390515.7597111659</v>
      </c>
      <c r="E104" s="16">
        <v>0</v>
      </c>
      <c r="F104" s="16">
        <v>8639463.4000000004</v>
      </c>
      <c r="G104" s="16">
        <v>1460046.2785865332</v>
      </c>
      <c r="H104" s="16">
        <v>15414560.289999999</v>
      </c>
      <c r="I104" s="16">
        <v>13657002.1</v>
      </c>
      <c r="J104" s="16">
        <v>34254963.600000009</v>
      </c>
      <c r="K104" s="16">
        <v>0</v>
      </c>
      <c r="L104" s="16">
        <v>0</v>
      </c>
      <c r="M104" s="16">
        <v>827.99</v>
      </c>
      <c r="N104" s="18">
        <f t="shared" ref="N104:N135" si="3">SUM(B104:M104)</f>
        <v>380514810.01829773</v>
      </c>
      <c r="O104" s="4"/>
    </row>
    <row r="105" spans="1:15" ht="15" x14ac:dyDescent="0.2">
      <c r="A105" s="17" t="s">
        <v>100</v>
      </c>
      <c r="B105" s="16">
        <v>51436186.480000004</v>
      </c>
      <c r="C105" s="16">
        <v>0</v>
      </c>
      <c r="D105" s="16">
        <v>902619.25000000012</v>
      </c>
      <c r="E105" s="16">
        <v>0</v>
      </c>
      <c r="F105" s="16">
        <v>372332.63</v>
      </c>
      <c r="G105" s="16">
        <v>194790.16</v>
      </c>
      <c r="H105" s="16">
        <v>2602142.71</v>
      </c>
      <c r="I105" s="16">
        <v>588572.16000000003</v>
      </c>
      <c r="J105" s="16">
        <v>4418692.080000001</v>
      </c>
      <c r="K105" s="16">
        <v>0</v>
      </c>
      <c r="L105" s="16">
        <v>0</v>
      </c>
      <c r="M105" s="16">
        <v>35.670000000000009</v>
      </c>
      <c r="N105" s="18">
        <f t="shared" si="3"/>
        <v>60515371.140000001</v>
      </c>
      <c r="O105" s="4"/>
    </row>
    <row r="106" spans="1:15" ht="15" x14ac:dyDescent="0.2">
      <c r="A106" s="17" t="s">
        <v>101</v>
      </c>
      <c r="B106" s="16">
        <v>58763023.370000005</v>
      </c>
      <c r="C106" s="16">
        <v>0</v>
      </c>
      <c r="D106" s="16">
        <v>179283.91</v>
      </c>
      <c r="E106" s="16">
        <v>0</v>
      </c>
      <c r="F106" s="16">
        <v>2638212.3199999998</v>
      </c>
      <c r="G106" s="16">
        <v>621129.84466052707</v>
      </c>
      <c r="H106" s="16">
        <v>2972805.4</v>
      </c>
      <c r="I106" s="16">
        <v>4170406.14</v>
      </c>
      <c r="J106" s="16">
        <v>11785640.689999994</v>
      </c>
      <c r="K106" s="16">
        <v>0</v>
      </c>
      <c r="L106" s="16">
        <v>0</v>
      </c>
      <c r="M106" s="16">
        <v>252.83</v>
      </c>
      <c r="N106" s="18">
        <f t="shared" si="3"/>
        <v>81130754.504660517</v>
      </c>
      <c r="O106" s="4"/>
    </row>
    <row r="107" spans="1:15" ht="15" x14ac:dyDescent="0.2">
      <c r="A107" s="17" t="s">
        <v>102</v>
      </c>
      <c r="B107" s="16">
        <v>80288268.539999992</v>
      </c>
      <c r="C107" s="16">
        <v>0</v>
      </c>
      <c r="D107" s="16">
        <v>1961597.5508512165</v>
      </c>
      <c r="E107" s="16">
        <v>0</v>
      </c>
      <c r="F107" s="16">
        <v>146665.75</v>
      </c>
      <c r="G107" s="16">
        <v>119235.19</v>
      </c>
      <c r="H107" s="16">
        <v>4061761.71</v>
      </c>
      <c r="I107" s="16">
        <v>231844.79</v>
      </c>
      <c r="J107" s="16">
        <v>5746160.4200000009</v>
      </c>
      <c r="K107" s="16">
        <v>0</v>
      </c>
      <c r="L107" s="16">
        <v>0</v>
      </c>
      <c r="M107" s="16">
        <v>14.04</v>
      </c>
      <c r="N107" s="18">
        <f t="shared" si="3"/>
        <v>92555547.990851209</v>
      </c>
      <c r="O107" s="4"/>
    </row>
    <row r="108" spans="1:15" ht="15" x14ac:dyDescent="0.2">
      <c r="A108" s="17" t="s">
        <v>103</v>
      </c>
      <c r="B108" s="16">
        <v>27900430.270000007</v>
      </c>
      <c r="C108" s="16">
        <v>0</v>
      </c>
      <c r="D108" s="16">
        <v>634164.96774075006</v>
      </c>
      <c r="E108" s="16">
        <v>0</v>
      </c>
      <c r="F108" s="16">
        <v>148791.34</v>
      </c>
      <c r="G108" s="16">
        <v>74374.42</v>
      </c>
      <c r="H108" s="16">
        <v>1411475.2</v>
      </c>
      <c r="I108" s="16">
        <v>235204.86</v>
      </c>
      <c r="J108" s="16">
        <v>2916259.95</v>
      </c>
      <c r="K108" s="16">
        <v>0</v>
      </c>
      <c r="L108" s="16">
        <v>0</v>
      </c>
      <c r="M108" s="16">
        <v>14.239999999999998</v>
      </c>
      <c r="N108" s="18">
        <f t="shared" si="3"/>
        <v>33320715.247740757</v>
      </c>
      <c r="O108" s="4"/>
    </row>
    <row r="109" spans="1:15" ht="15" x14ac:dyDescent="0.2">
      <c r="A109" s="17" t="s">
        <v>104</v>
      </c>
      <c r="B109" s="16">
        <v>306819555.14999998</v>
      </c>
      <c r="C109" s="16">
        <v>0</v>
      </c>
      <c r="D109" s="16">
        <v>2763625.9236247679</v>
      </c>
      <c r="E109" s="16">
        <v>0</v>
      </c>
      <c r="F109" s="16">
        <v>15191596.74</v>
      </c>
      <c r="G109" s="16">
        <v>6877420.1603490943</v>
      </c>
      <c r="H109" s="16">
        <v>15521917.99</v>
      </c>
      <c r="I109" s="16">
        <v>24014416.030000001</v>
      </c>
      <c r="J109" s="16">
        <v>54261232.519999981</v>
      </c>
      <c r="K109" s="16">
        <v>0</v>
      </c>
      <c r="L109" s="16">
        <v>0</v>
      </c>
      <c r="M109" s="16">
        <v>1455.95</v>
      </c>
      <c r="N109" s="18">
        <f t="shared" si="3"/>
        <v>425451220.46397382</v>
      </c>
      <c r="O109" s="4"/>
    </row>
    <row r="110" spans="1:15" ht="15" x14ac:dyDescent="0.2">
      <c r="A110" s="17" t="s">
        <v>105</v>
      </c>
      <c r="B110" s="16">
        <v>35798551.880000003</v>
      </c>
      <c r="C110" s="16">
        <v>0</v>
      </c>
      <c r="D110" s="16">
        <v>1433470.1705260822</v>
      </c>
      <c r="E110" s="16">
        <v>0</v>
      </c>
      <c r="F110" s="16">
        <v>580640.52</v>
      </c>
      <c r="G110" s="16">
        <v>249095.29</v>
      </c>
      <c r="H110" s="16">
        <v>1811039.02</v>
      </c>
      <c r="I110" s="16">
        <v>917858.96</v>
      </c>
      <c r="J110" s="16">
        <v>6394721.0899999989</v>
      </c>
      <c r="K110" s="16">
        <v>0</v>
      </c>
      <c r="L110" s="16">
        <v>0</v>
      </c>
      <c r="M110" s="16">
        <v>55.63</v>
      </c>
      <c r="N110" s="18">
        <f t="shared" si="3"/>
        <v>47185432.560526088</v>
      </c>
      <c r="O110" s="4"/>
    </row>
    <row r="111" spans="1:15" ht="15" x14ac:dyDescent="0.2">
      <c r="A111" s="17" t="s">
        <v>106</v>
      </c>
      <c r="B111" s="16">
        <v>43727514.060000002</v>
      </c>
      <c r="C111" s="16">
        <v>0</v>
      </c>
      <c r="D111" s="16">
        <v>1553024.8495232761</v>
      </c>
      <c r="E111" s="16">
        <v>0</v>
      </c>
      <c r="F111" s="16">
        <v>202285.38</v>
      </c>
      <c r="G111" s="16">
        <v>114513</v>
      </c>
      <c r="H111" s="16">
        <v>2212163.0699999998</v>
      </c>
      <c r="I111" s="16">
        <v>319766.61</v>
      </c>
      <c r="J111" s="16">
        <v>5070437.0300000012</v>
      </c>
      <c r="K111" s="16">
        <v>0</v>
      </c>
      <c r="L111" s="16">
        <v>0</v>
      </c>
      <c r="M111" s="16">
        <v>19.369999999999997</v>
      </c>
      <c r="N111" s="18">
        <f t="shared" si="3"/>
        <v>53199723.369523279</v>
      </c>
      <c r="O111" s="4"/>
    </row>
    <row r="112" spans="1:15" ht="15" x14ac:dyDescent="0.2">
      <c r="A112" s="17" t="s">
        <v>107</v>
      </c>
      <c r="B112" s="16">
        <v>58547139.429999992</v>
      </c>
      <c r="C112" s="16">
        <v>0</v>
      </c>
      <c r="D112" s="16">
        <v>1958988.8789857323</v>
      </c>
      <c r="E112" s="16">
        <v>0</v>
      </c>
      <c r="F112" s="16">
        <v>245859.99</v>
      </c>
      <c r="G112" s="16">
        <v>129860.1</v>
      </c>
      <c r="H112" s="16">
        <v>2961883.89</v>
      </c>
      <c r="I112" s="16">
        <v>388648.03</v>
      </c>
      <c r="J112" s="16">
        <v>5305672.2499999991</v>
      </c>
      <c r="K112" s="16">
        <v>0</v>
      </c>
      <c r="L112" s="16">
        <v>0</v>
      </c>
      <c r="M112" s="16">
        <v>23.549999999999997</v>
      </c>
      <c r="N112" s="18">
        <f t="shared" si="3"/>
        <v>69538076.118985727</v>
      </c>
      <c r="O112" s="4"/>
    </row>
    <row r="113" spans="1:15" ht="15" x14ac:dyDescent="0.2">
      <c r="A113" s="17" t="s">
        <v>108</v>
      </c>
      <c r="B113" s="16">
        <v>46827725.030000001</v>
      </c>
      <c r="C113" s="16">
        <v>0</v>
      </c>
      <c r="D113" s="16">
        <v>1935857.7280722542</v>
      </c>
      <c r="E113" s="16">
        <v>0</v>
      </c>
      <c r="F113" s="16">
        <v>346471.28</v>
      </c>
      <c r="G113" s="16">
        <v>177081.96</v>
      </c>
      <c r="H113" s="16">
        <v>2369001.9</v>
      </c>
      <c r="I113" s="16">
        <v>547691.31000000006</v>
      </c>
      <c r="J113" s="16">
        <v>5264813.62</v>
      </c>
      <c r="K113" s="16">
        <v>0</v>
      </c>
      <c r="L113" s="16">
        <v>0</v>
      </c>
      <c r="M113" s="16">
        <v>33.19</v>
      </c>
      <c r="N113" s="18">
        <f t="shared" si="3"/>
        <v>57468676.018072255</v>
      </c>
      <c r="O113" s="4"/>
    </row>
    <row r="114" spans="1:15" ht="15" x14ac:dyDescent="0.2">
      <c r="A114" s="17" t="s">
        <v>109</v>
      </c>
      <c r="B114" s="16">
        <v>31419191.739999998</v>
      </c>
      <c r="C114" s="16">
        <v>0</v>
      </c>
      <c r="D114" s="16">
        <v>1095625.9343645284</v>
      </c>
      <c r="E114" s="16">
        <v>0</v>
      </c>
      <c r="F114" s="16">
        <v>209724.94</v>
      </c>
      <c r="G114" s="16">
        <v>94443.71</v>
      </c>
      <c r="H114" s="16">
        <v>1589488.39</v>
      </c>
      <c r="I114" s="16">
        <v>331526.84999999998</v>
      </c>
      <c r="J114" s="16">
        <v>3987200.5800000019</v>
      </c>
      <c r="K114" s="16">
        <v>0</v>
      </c>
      <c r="L114" s="16">
        <v>0</v>
      </c>
      <c r="M114" s="16">
        <v>20.079999999999998</v>
      </c>
      <c r="N114" s="18">
        <f t="shared" si="3"/>
        <v>38727222.224364534</v>
      </c>
      <c r="O114" s="4"/>
    </row>
    <row r="115" spans="1:15" ht="15" x14ac:dyDescent="0.2">
      <c r="A115" s="17" t="s">
        <v>110</v>
      </c>
      <c r="B115" s="16">
        <v>84181522.609999999</v>
      </c>
      <c r="C115" s="16">
        <v>0</v>
      </c>
      <c r="D115" s="16">
        <v>1079978.7785879881</v>
      </c>
      <c r="E115" s="16">
        <v>0</v>
      </c>
      <c r="F115" s="16">
        <v>217164.51</v>
      </c>
      <c r="G115" s="16">
        <v>157012.67000000001</v>
      </c>
      <c r="H115" s="16">
        <v>4258720.38</v>
      </c>
      <c r="I115" s="16">
        <v>343287.09</v>
      </c>
      <c r="J115" s="16">
        <v>5284207.0700000022</v>
      </c>
      <c r="K115" s="16">
        <v>0</v>
      </c>
      <c r="L115" s="16">
        <v>0</v>
      </c>
      <c r="M115" s="16">
        <v>20.8</v>
      </c>
      <c r="N115" s="18">
        <f t="shared" si="3"/>
        <v>95521913.908587992</v>
      </c>
      <c r="O115" s="4"/>
    </row>
    <row r="116" spans="1:15" ht="15" x14ac:dyDescent="0.2">
      <c r="A116" s="17" t="s">
        <v>111</v>
      </c>
      <c r="B116" s="16">
        <v>44359011.299999997</v>
      </c>
      <c r="C116" s="16">
        <v>0</v>
      </c>
      <c r="D116" s="16">
        <v>1700098.8397318621</v>
      </c>
      <c r="E116" s="16">
        <v>0</v>
      </c>
      <c r="F116" s="16">
        <v>599416.56999999995</v>
      </c>
      <c r="G116" s="16">
        <v>242012.01</v>
      </c>
      <c r="H116" s="16">
        <v>2244110.34</v>
      </c>
      <c r="I116" s="16">
        <v>947539.57</v>
      </c>
      <c r="J116" s="16">
        <v>7148306.2299999977</v>
      </c>
      <c r="K116" s="16">
        <v>0</v>
      </c>
      <c r="L116" s="16">
        <v>0</v>
      </c>
      <c r="M116" s="16">
        <v>57.44</v>
      </c>
      <c r="N116" s="18">
        <f t="shared" si="3"/>
        <v>57240552.299731851</v>
      </c>
      <c r="O116" s="4"/>
    </row>
    <row r="117" spans="1:15" ht="15" x14ac:dyDescent="0.2">
      <c r="A117" s="17" t="s">
        <v>112</v>
      </c>
      <c r="B117" s="16">
        <v>25778305.719999995</v>
      </c>
      <c r="C117" s="16">
        <v>0</v>
      </c>
      <c r="D117" s="16">
        <v>302013.19975129003</v>
      </c>
      <c r="E117" s="16">
        <v>0</v>
      </c>
      <c r="F117" s="16">
        <v>126118.38</v>
      </c>
      <c r="G117" s="16">
        <v>64930.05</v>
      </c>
      <c r="H117" s="16">
        <v>1304117.49</v>
      </c>
      <c r="I117" s="16">
        <v>199364.12</v>
      </c>
      <c r="J117" s="16">
        <v>2208923.8699999992</v>
      </c>
      <c r="K117" s="16">
        <v>0</v>
      </c>
      <c r="L117" s="16">
        <v>0</v>
      </c>
      <c r="M117" s="16">
        <v>12.08</v>
      </c>
      <c r="N117" s="18">
        <f t="shared" si="3"/>
        <v>29983784.909751281</v>
      </c>
      <c r="O117" s="4"/>
    </row>
    <row r="118" spans="1:15" ht="15" x14ac:dyDescent="0.2">
      <c r="A118" s="17" t="s">
        <v>113</v>
      </c>
      <c r="B118" s="16">
        <v>39113178.189999998</v>
      </c>
      <c r="C118" s="16">
        <v>0</v>
      </c>
      <c r="D118" s="16">
        <v>1081809.0376447341</v>
      </c>
      <c r="E118" s="16">
        <v>0</v>
      </c>
      <c r="F118" s="16">
        <v>594811.13</v>
      </c>
      <c r="G118" s="16">
        <v>246734.2</v>
      </c>
      <c r="H118" s="16">
        <v>1978725.07</v>
      </c>
      <c r="I118" s="16">
        <v>940259.42</v>
      </c>
      <c r="J118" s="16">
        <v>5710480.8299999982</v>
      </c>
      <c r="K118" s="16">
        <v>0</v>
      </c>
      <c r="L118" s="16">
        <v>0</v>
      </c>
      <c r="M118" s="16">
        <v>56.99</v>
      </c>
      <c r="N118" s="18">
        <f t="shared" si="3"/>
        <v>49666054.867644742</v>
      </c>
      <c r="O118" s="4"/>
    </row>
    <row r="119" spans="1:15" ht="15" x14ac:dyDescent="0.2">
      <c r="A119" s="17" t="s">
        <v>114</v>
      </c>
      <c r="B119" s="16">
        <v>56836222.430000007</v>
      </c>
      <c r="C119" s="16">
        <v>0</v>
      </c>
      <c r="D119" s="16">
        <v>1021105.7917529142</v>
      </c>
      <c r="E119" s="16">
        <v>0</v>
      </c>
      <c r="F119" s="16">
        <v>477903.64</v>
      </c>
      <c r="G119" s="16">
        <v>173540.32</v>
      </c>
      <c r="H119" s="16">
        <v>2875329.07</v>
      </c>
      <c r="I119" s="16">
        <v>755455.6</v>
      </c>
      <c r="J119" s="16">
        <v>5270299.7600000007</v>
      </c>
      <c r="K119" s="16">
        <v>0</v>
      </c>
      <c r="L119" s="16">
        <v>0</v>
      </c>
      <c r="M119" s="16">
        <v>45.790000000000006</v>
      </c>
      <c r="N119" s="18">
        <f t="shared" si="3"/>
        <v>67409902.401752934</v>
      </c>
      <c r="O119" s="4"/>
    </row>
    <row r="120" spans="1:15" ht="15" x14ac:dyDescent="0.2">
      <c r="A120" s="17" t="s">
        <v>115</v>
      </c>
      <c r="B120" s="16">
        <v>37575555.799999997</v>
      </c>
      <c r="C120" s="16">
        <v>0</v>
      </c>
      <c r="D120" s="16">
        <v>1327234.582290458</v>
      </c>
      <c r="E120" s="16">
        <v>0</v>
      </c>
      <c r="F120" s="16">
        <v>322026.99</v>
      </c>
      <c r="G120" s="16">
        <v>174720.87</v>
      </c>
      <c r="H120" s="16">
        <v>1900937.17</v>
      </c>
      <c r="I120" s="16">
        <v>509050.51</v>
      </c>
      <c r="J120" s="16">
        <v>5652012.5300000012</v>
      </c>
      <c r="K120" s="16">
        <v>0</v>
      </c>
      <c r="L120" s="16">
        <v>0</v>
      </c>
      <c r="M120" s="16">
        <v>30.85</v>
      </c>
      <c r="N120" s="18">
        <f t="shared" si="3"/>
        <v>47461569.302290455</v>
      </c>
      <c r="O120" s="4"/>
    </row>
    <row r="121" spans="1:15" ht="15" x14ac:dyDescent="0.2">
      <c r="A121" s="17" t="s">
        <v>116</v>
      </c>
      <c r="B121" s="16">
        <v>40853467.189999998</v>
      </c>
      <c r="C121" s="16">
        <v>0</v>
      </c>
      <c r="D121" s="16">
        <v>1438258.0862703004</v>
      </c>
      <c r="E121" s="16">
        <v>0</v>
      </c>
      <c r="F121" s="16">
        <v>135329.26999999999</v>
      </c>
      <c r="G121" s="16">
        <v>63749.51</v>
      </c>
      <c r="H121" s="16">
        <v>2066765.82</v>
      </c>
      <c r="I121" s="16">
        <v>213924.42</v>
      </c>
      <c r="J121" s="16">
        <v>3102368.7299999986</v>
      </c>
      <c r="K121" s="16">
        <v>0</v>
      </c>
      <c r="L121" s="16">
        <v>0</v>
      </c>
      <c r="M121" s="16">
        <v>12.95</v>
      </c>
      <c r="N121" s="18">
        <f t="shared" si="3"/>
        <v>47873875.976270303</v>
      </c>
      <c r="O121" s="4"/>
    </row>
    <row r="122" spans="1:15" ht="15" x14ac:dyDescent="0.2">
      <c r="A122" s="17" t="s">
        <v>117</v>
      </c>
      <c r="B122" s="16">
        <v>114428773.03999999</v>
      </c>
      <c r="C122" s="16">
        <v>0</v>
      </c>
      <c r="D122" s="16">
        <v>1426478.9549999998</v>
      </c>
      <c r="E122" s="16">
        <v>0</v>
      </c>
      <c r="F122" s="16">
        <v>4074048.84</v>
      </c>
      <c r="G122" s="16">
        <v>1617920.1820884172</v>
      </c>
      <c r="H122" s="16">
        <v>5788920.5599999996</v>
      </c>
      <c r="I122" s="16">
        <v>6440133.0300000003</v>
      </c>
      <c r="J122" s="16">
        <v>14538062.889999993</v>
      </c>
      <c r="K122" s="16">
        <v>0</v>
      </c>
      <c r="L122" s="16">
        <v>0</v>
      </c>
      <c r="M122" s="16">
        <v>390.45</v>
      </c>
      <c r="N122" s="18">
        <f t="shared" si="3"/>
        <v>148314727.94708839</v>
      </c>
      <c r="O122" s="4"/>
    </row>
    <row r="123" spans="1:15" ht="15" x14ac:dyDescent="0.2">
      <c r="A123" s="17" t="s">
        <v>118</v>
      </c>
      <c r="B123" s="16">
        <v>306292328.35000002</v>
      </c>
      <c r="C123" s="16">
        <v>0</v>
      </c>
      <c r="D123" s="16">
        <v>3328158.0050000004</v>
      </c>
      <c r="E123" s="16">
        <v>0</v>
      </c>
      <c r="F123" s="16">
        <v>5663282.1500000004</v>
      </c>
      <c r="G123" s="16">
        <v>4074917.825101221</v>
      </c>
      <c r="H123" s="16">
        <v>15495245.73</v>
      </c>
      <c r="I123" s="16">
        <v>8952344.9199999999</v>
      </c>
      <c r="J123" s="16">
        <v>19498661.16</v>
      </c>
      <c r="K123" s="16">
        <v>0</v>
      </c>
      <c r="L123" s="16">
        <v>0</v>
      </c>
      <c r="M123" s="16">
        <v>542.76</v>
      </c>
      <c r="N123" s="18">
        <f t="shared" si="3"/>
        <v>363305480.90010124</v>
      </c>
      <c r="O123" s="4"/>
    </row>
    <row r="124" spans="1:15" ht="15" x14ac:dyDescent="0.2">
      <c r="A124" s="17" t="s">
        <v>119</v>
      </c>
      <c r="B124" s="16">
        <v>233173756.56999996</v>
      </c>
      <c r="C124" s="16">
        <v>0</v>
      </c>
      <c r="D124" s="16">
        <v>1165081.6600000001</v>
      </c>
      <c r="E124" s="16">
        <v>0</v>
      </c>
      <c r="F124" s="16">
        <v>7252161.2000000002</v>
      </c>
      <c r="G124" s="16">
        <v>0</v>
      </c>
      <c r="H124" s="16">
        <v>11796197.039999999</v>
      </c>
      <c r="I124" s="16">
        <v>11463996.800000001</v>
      </c>
      <c r="J124" s="16">
        <v>27218644.650000013</v>
      </c>
      <c r="K124" s="16">
        <v>0</v>
      </c>
      <c r="L124" s="16">
        <v>0</v>
      </c>
      <c r="M124" s="16">
        <v>695.04</v>
      </c>
      <c r="N124" s="18">
        <f t="shared" si="3"/>
        <v>292070532.95999998</v>
      </c>
      <c r="O124" s="4"/>
    </row>
    <row r="125" spans="1:15" ht="15" x14ac:dyDescent="0.2">
      <c r="A125" s="17" t="s">
        <v>120</v>
      </c>
      <c r="B125" s="16">
        <v>83135880.629999995</v>
      </c>
      <c r="C125" s="16">
        <v>0</v>
      </c>
      <c r="D125" s="16">
        <v>1346059.1844825179</v>
      </c>
      <c r="E125" s="16">
        <v>0</v>
      </c>
      <c r="F125" s="16">
        <v>2819950.33</v>
      </c>
      <c r="G125" s="16">
        <v>1101449.8</v>
      </c>
      <c r="H125" s="16">
        <v>4205821.63</v>
      </c>
      <c r="I125" s="16">
        <v>4457692.08</v>
      </c>
      <c r="J125" s="16">
        <v>16935858.060000006</v>
      </c>
      <c r="K125" s="16">
        <v>0</v>
      </c>
      <c r="L125" s="16">
        <v>0</v>
      </c>
      <c r="M125" s="16">
        <v>270.25</v>
      </c>
      <c r="N125" s="18">
        <f t="shared" si="3"/>
        <v>114002981.9644825</v>
      </c>
      <c r="O125" s="4"/>
    </row>
    <row r="126" spans="1:15" ht="15" x14ac:dyDescent="0.2">
      <c r="A126" s="17" t="s">
        <v>121</v>
      </c>
      <c r="B126" s="16">
        <v>104730149.91999997</v>
      </c>
      <c r="C126" s="16">
        <v>0</v>
      </c>
      <c r="D126" s="16">
        <v>1660065.7170670661</v>
      </c>
      <c r="E126" s="16">
        <v>0</v>
      </c>
      <c r="F126" s="16">
        <v>1411746.49</v>
      </c>
      <c r="G126" s="16">
        <v>446246.54</v>
      </c>
      <c r="H126" s="16">
        <v>5298269.8499999996</v>
      </c>
      <c r="I126" s="16">
        <v>2231646.1</v>
      </c>
      <c r="J126" s="16">
        <v>11196756.780000003</v>
      </c>
      <c r="K126" s="16">
        <v>0</v>
      </c>
      <c r="L126" s="16">
        <v>0</v>
      </c>
      <c r="M126" s="16">
        <v>135.28</v>
      </c>
      <c r="N126" s="18">
        <f t="shared" si="3"/>
        <v>126975016.67706703</v>
      </c>
      <c r="O126" s="4"/>
    </row>
    <row r="127" spans="1:15" ht="15" x14ac:dyDescent="0.2">
      <c r="A127" s="17" t="s">
        <v>122</v>
      </c>
      <c r="B127" s="16">
        <v>49447704.380000003</v>
      </c>
      <c r="C127" s="16">
        <v>0</v>
      </c>
      <c r="D127" s="16">
        <v>620638.68050776806</v>
      </c>
      <c r="E127" s="16">
        <v>0</v>
      </c>
      <c r="F127" s="16">
        <v>1498541.44</v>
      </c>
      <c r="G127" s="16">
        <v>449788.18</v>
      </c>
      <c r="H127" s="16">
        <v>2501545.9500000002</v>
      </c>
      <c r="I127" s="16">
        <v>2368848.9300000002</v>
      </c>
      <c r="J127" s="16">
        <v>11503600.24</v>
      </c>
      <c r="K127" s="16">
        <v>0</v>
      </c>
      <c r="L127" s="16">
        <v>0</v>
      </c>
      <c r="M127" s="16">
        <v>143.61000000000001</v>
      </c>
      <c r="N127" s="18">
        <f t="shared" si="3"/>
        <v>68390811.410507768</v>
      </c>
      <c r="O127" s="4"/>
    </row>
    <row r="128" spans="1:15" ht="15" x14ac:dyDescent="0.2">
      <c r="A128" s="17" t="s">
        <v>123</v>
      </c>
      <c r="B128" s="16">
        <v>30145917.059999999</v>
      </c>
      <c r="C128" s="16">
        <v>0</v>
      </c>
      <c r="D128" s="16">
        <v>702354.85233583814</v>
      </c>
      <c r="E128" s="16">
        <v>0</v>
      </c>
      <c r="F128" s="16">
        <v>137100.6</v>
      </c>
      <c r="G128" s="16">
        <v>76735.520000000004</v>
      </c>
      <c r="H128" s="16">
        <v>1525073.76</v>
      </c>
      <c r="I128" s="16">
        <v>216724.48000000001</v>
      </c>
      <c r="J128" s="16">
        <v>2705060.4000000004</v>
      </c>
      <c r="K128" s="16">
        <v>0</v>
      </c>
      <c r="L128" s="16">
        <v>0</v>
      </c>
      <c r="M128" s="16">
        <v>13.13</v>
      </c>
      <c r="N128" s="18">
        <f t="shared" si="3"/>
        <v>35508979.802335843</v>
      </c>
      <c r="O128" s="4"/>
    </row>
    <row r="129" spans="1:15" ht="15" x14ac:dyDescent="0.2">
      <c r="A129" s="17" t="s">
        <v>124</v>
      </c>
      <c r="B129" s="16">
        <v>155901988.84000003</v>
      </c>
      <c r="C129" s="16">
        <v>0</v>
      </c>
      <c r="D129" s="16">
        <v>5664134.9584260508</v>
      </c>
      <c r="E129" s="16">
        <v>0</v>
      </c>
      <c r="F129" s="16">
        <v>1743692.9</v>
      </c>
      <c r="G129" s="16">
        <v>936173.3</v>
      </c>
      <c r="H129" s="16">
        <v>7887039.29</v>
      </c>
      <c r="I129" s="16">
        <v>2756376.93</v>
      </c>
      <c r="J129" s="16">
        <v>17451368.889999993</v>
      </c>
      <c r="K129" s="16">
        <v>0</v>
      </c>
      <c r="L129" s="16">
        <v>0</v>
      </c>
      <c r="M129" s="16">
        <v>167.1</v>
      </c>
      <c r="N129" s="18">
        <f t="shared" si="3"/>
        <v>192340942.20842609</v>
      </c>
      <c r="O129" s="4"/>
    </row>
    <row r="130" spans="1:15" ht="15" x14ac:dyDescent="0.2">
      <c r="A130" s="17" t="s">
        <v>125</v>
      </c>
      <c r="B130" s="16">
        <v>48822081.549999997</v>
      </c>
      <c r="C130" s="16">
        <v>0</v>
      </c>
      <c r="D130" s="16">
        <v>1886121.2118591142</v>
      </c>
      <c r="E130" s="16">
        <v>0</v>
      </c>
      <c r="F130" s="16">
        <v>215747.45</v>
      </c>
      <c r="G130" s="16">
        <v>69652.240000000005</v>
      </c>
      <c r="H130" s="16">
        <v>2469895.85</v>
      </c>
      <c r="I130" s="16">
        <v>341047.03999999998</v>
      </c>
      <c r="J130" s="16">
        <v>4586635.0200000005</v>
      </c>
      <c r="K130" s="16">
        <v>0</v>
      </c>
      <c r="L130" s="16">
        <v>0</v>
      </c>
      <c r="M130" s="16">
        <v>20.66</v>
      </c>
      <c r="N130" s="18">
        <f t="shared" si="3"/>
        <v>58391201.021859117</v>
      </c>
      <c r="O130" s="4"/>
    </row>
    <row r="131" spans="1:15" ht="15" x14ac:dyDescent="0.2">
      <c r="A131" s="17" t="s">
        <v>126</v>
      </c>
      <c r="B131" s="16">
        <v>229619748.72000003</v>
      </c>
      <c r="C131" s="16">
        <v>0</v>
      </c>
      <c r="D131" s="16">
        <v>3593530.9000000004</v>
      </c>
      <c r="E131" s="16">
        <v>0</v>
      </c>
      <c r="F131" s="16">
        <v>9526543.25</v>
      </c>
      <c r="G131" s="16">
        <v>814766.42967144097</v>
      </c>
      <c r="H131" s="16">
        <v>11616400.75</v>
      </c>
      <c r="I131" s="16">
        <v>15059271.060000001</v>
      </c>
      <c r="J131" s="16">
        <v>36838848.210000008</v>
      </c>
      <c r="K131" s="16">
        <v>0</v>
      </c>
      <c r="L131" s="16">
        <v>0</v>
      </c>
      <c r="M131" s="16">
        <v>913.01</v>
      </c>
      <c r="N131" s="18">
        <f t="shared" si="3"/>
        <v>307070022.3296715</v>
      </c>
      <c r="O131" s="4"/>
    </row>
    <row r="132" spans="1:15" ht="15" x14ac:dyDescent="0.2">
      <c r="A132" s="17" t="s">
        <v>127</v>
      </c>
      <c r="B132" s="16">
        <v>10200883.639999999</v>
      </c>
      <c r="C132" s="16">
        <v>0</v>
      </c>
      <c r="D132" s="16">
        <v>166074.41152092203</v>
      </c>
      <c r="E132" s="16">
        <v>0</v>
      </c>
      <c r="F132" s="16">
        <v>40740.480000000003</v>
      </c>
      <c r="G132" s="16">
        <v>12986.01</v>
      </c>
      <c r="H132" s="16">
        <v>516059.94</v>
      </c>
      <c r="I132" s="16">
        <v>64401.33</v>
      </c>
      <c r="J132" s="16">
        <v>1325492.52</v>
      </c>
      <c r="K132" s="16">
        <v>0</v>
      </c>
      <c r="L132" s="16">
        <v>0</v>
      </c>
      <c r="M132" s="16">
        <v>3.88</v>
      </c>
      <c r="N132" s="18">
        <f t="shared" si="3"/>
        <v>12326642.211520921</v>
      </c>
      <c r="O132" s="4"/>
    </row>
    <row r="133" spans="1:15" ht="15" x14ac:dyDescent="0.2">
      <c r="A133" s="17" t="s">
        <v>128</v>
      </c>
      <c r="B133" s="16">
        <v>57044763.38000001</v>
      </c>
      <c r="C133" s="16">
        <v>0</v>
      </c>
      <c r="D133" s="16">
        <v>1261297.6497318621</v>
      </c>
      <c r="E133" s="16">
        <v>0</v>
      </c>
      <c r="F133" s="16">
        <v>147374.28</v>
      </c>
      <c r="G133" s="16">
        <v>95624.26</v>
      </c>
      <c r="H133" s="16">
        <v>2885879.1</v>
      </c>
      <c r="I133" s="16">
        <v>232964.81</v>
      </c>
      <c r="J133" s="16">
        <v>4817323.9399999985</v>
      </c>
      <c r="K133" s="16">
        <v>0</v>
      </c>
      <c r="L133" s="16">
        <v>0</v>
      </c>
      <c r="M133" s="16">
        <v>14.1</v>
      </c>
      <c r="N133" s="18">
        <f t="shared" si="3"/>
        <v>66485241.519731872</v>
      </c>
      <c r="O133" s="4"/>
    </row>
    <row r="134" spans="1:15" ht="15" x14ac:dyDescent="0.2">
      <c r="A134" s="17" t="s">
        <v>129</v>
      </c>
      <c r="B134" s="16">
        <v>111822011.08999999</v>
      </c>
      <c r="C134" s="16">
        <v>0</v>
      </c>
      <c r="D134" s="16">
        <v>2369563.0642545042</v>
      </c>
      <c r="E134" s="16">
        <v>0</v>
      </c>
      <c r="F134" s="16">
        <v>687628.59</v>
      </c>
      <c r="G134" s="16">
        <v>324650.26</v>
      </c>
      <c r="H134" s="16">
        <v>5657045.1799999997</v>
      </c>
      <c r="I134" s="16">
        <v>1086982.45</v>
      </c>
      <c r="J134" s="16">
        <v>11103606.370000005</v>
      </c>
      <c r="K134" s="16">
        <v>0</v>
      </c>
      <c r="L134" s="16">
        <v>0</v>
      </c>
      <c r="M134" s="16">
        <v>65.88</v>
      </c>
      <c r="N134" s="18">
        <f t="shared" si="3"/>
        <v>133051552.8842545</v>
      </c>
      <c r="O134" s="4"/>
    </row>
    <row r="135" spans="1:15" ht="15" x14ac:dyDescent="0.2">
      <c r="A135" s="17" t="s">
        <v>130</v>
      </c>
      <c r="B135" s="16">
        <v>93693633.75999999</v>
      </c>
      <c r="C135" s="16">
        <v>0</v>
      </c>
      <c r="D135" s="16">
        <v>4390019.0992473364</v>
      </c>
      <c r="E135" s="16">
        <v>0</v>
      </c>
      <c r="F135" s="16">
        <v>1035162.67</v>
      </c>
      <c r="G135" s="16">
        <v>432079.98</v>
      </c>
      <c r="H135" s="16">
        <v>4739935.5</v>
      </c>
      <c r="I135" s="16">
        <v>1636353.8</v>
      </c>
      <c r="J135" s="16">
        <v>11330880.879999995</v>
      </c>
      <c r="K135" s="16">
        <v>0</v>
      </c>
      <c r="L135" s="16">
        <v>0</v>
      </c>
      <c r="M135" s="16">
        <v>99.200000000000017</v>
      </c>
      <c r="N135" s="18">
        <f t="shared" si="3"/>
        <v>117258164.88924733</v>
      </c>
      <c r="O135" s="4"/>
    </row>
    <row r="136" spans="1:15" ht="15" x14ac:dyDescent="0.2">
      <c r="A136" s="17" t="s">
        <v>131</v>
      </c>
      <c r="B136" s="16">
        <v>159454528.09</v>
      </c>
      <c r="C136" s="16">
        <v>0</v>
      </c>
      <c r="D136" s="16">
        <v>1929357.1999999997</v>
      </c>
      <c r="E136" s="16">
        <v>0</v>
      </c>
      <c r="F136" s="16">
        <v>6158899.0499999998</v>
      </c>
      <c r="G136" s="16">
        <v>3004047.8635087828</v>
      </c>
      <c r="H136" s="16">
        <v>8066761.29</v>
      </c>
      <c r="I136" s="16">
        <v>9735801.0999999996</v>
      </c>
      <c r="J136" s="16">
        <v>26023785.050000004</v>
      </c>
      <c r="K136" s="16">
        <v>0</v>
      </c>
      <c r="L136" s="16">
        <v>0</v>
      </c>
      <c r="M136" s="16">
        <v>590.26</v>
      </c>
      <c r="N136" s="18">
        <f t="shared" ref="N136:N142" si="4">SUM(B136:M136)</f>
        <v>214373769.90350878</v>
      </c>
      <c r="O136" s="4"/>
    </row>
    <row r="137" spans="1:15" ht="15" x14ac:dyDescent="0.2">
      <c r="A137" s="17" t="s">
        <v>132</v>
      </c>
      <c r="B137" s="16">
        <v>27004585.290000007</v>
      </c>
      <c r="C137" s="16">
        <v>0</v>
      </c>
      <c r="D137" s="16">
        <v>522254.98780794005</v>
      </c>
      <c r="E137" s="16">
        <v>0</v>
      </c>
      <c r="F137" s="16">
        <v>73687.14</v>
      </c>
      <c r="G137" s="16">
        <v>66110.600000000006</v>
      </c>
      <c r="H137" s="16">
        <v>1366154.64</v>
      </c>
      <c r="I137" s="16">
        <v>116482.41</v>
      </c>
      <c r="J137" s="16">
        <v>2490158.8800000004</v>
      </c>
      <c r="K137" s="16">
        <v>0</v>
      </c>
      <c r="L137" s="16">
        <v>0</v>
      </c>
      <c r="M137" s="16">
        <v>7.04</v>
      </c>
      <c r="N137" s="18">
        <f t="shared" si="4"/>
        <v>31639440.987807948</v>
      </c>
      <c r="O137" s="4"/>
    </row>
    <row r="138" spans="1:15" ht="15" x14ac:dyDescent="0.2">
      <c r="A138" s="17" t="s">
        <v>133</v>
      </c>
      <c r="B138" s="16">
        <v>57823120.459999993</v>
      </c>
      <c r="C138" s="16">
        <v>0</v>
      </c>
      <c r="D138" s="16">
        <v>3082423.3976940932</v>
      </c>
      <c r="E138" s="16">
        <v>0</v>
      </c>
      <c r="F138" s="16">
        <v>641574.12</v>
      </c>
      <c r="G138" s="16">
        <v>270345.13</v>
      </c>
      <c r="H138" s="16">
        <v>2925255.97</v>
      </c>
      <c r="I138" s="16">
        <v>1014180.95</v>
      </c>
      <c r="J138" s="16">
        <v>9268396.070000004</v>
      </c>
      <c r="K138" s="16">
        <v>0</v>
      </c>
      <c r="L138" s="16">
        <v>0</v>
      </c>
      <c r="M138" s="16">
        <v>61.47</v>
      </c>
      <c r="N138" s="18">
        <f t="shared" si="4"/>
        <v>75025357.567694098</v>
      </c>
      <c r="O138" s="4"/>
    </row>
    <row r="139" spans="1:15" ht="15" x14ac:dyDescent="0.2">
      <c r="A139" s="17" t="s">
        <v>134</v>
      </c>
      <c r="B139" s="16">
        <v>270711128.92000002</v>
      </c>
      <c r="C139" s="16">
        <v>0</v>
      </c>
      <c r="D139" s="16">
        <v>2592089.4599999995</v>
      </c>
      <c r="E139" s="16">
        <v>0</v>
      </c>
      <c r="F139" s="16">
        <v>3299625.29</v>
      </c>
      <c r="G139" s="16">
        <v>2809190.1583293877</v>
      </c>
      <c r="H139" s="16">
        <v>13695202.539999999</v>
      </c>
      <c r="I139" s="16">
        <v>5215947.7200000007</v>
      </c>
      <c r="J139" s="16">
        <v>16790396.929999996</v>
      </c>
      <c r="K139" s="16">
        <v>0</v>
      </c>
      <c r="L139" s="16">
        <v>0</v>
      </c>
      <c r="M139" s="16">
        <v>316.23</v>
      </c>
      <c r="N139" s="18">
        <f t="shared" si="4"/>
        <v>315113897.24832946</v>
      </c>
      <c r="O139" s="4"/>
    </row>
    <row r="140" spans="1:15" ht="15" x14ac:dyDescent="0.2">
      <c r="A140" s="17" t="s">
        <v>135</v>
      </c>
      <c r="B140" s="16">
        <v>70441317</v>
      </c>
      <c r="C140" s="16">
        <v>0</v>
      </c>
      <c r="D140" s="16">
        <v>550919.24</v>
      </c>
      <c r="E140" s="16">
        <v>0</v>
      </c>
      <c r="F140" s="16">
        <v>544151.21</v>
      </c>
      <c r="G140" s="16">
        <v>239650.92</v>
      </c>
      <c r="H140" s="16">
        <v>3563607.11</v>
      </c>
      <c r="I140" s="16">
        <v>860177.77</v>
      </c>
      <c r="J140" s="16">
        <v>4236995.1899999995</v>
      </c>
      <c r="K140" s="16">
        <v>0</v>
      </c>
      <c r="L140" s="16">
        <v>0</v>
      </c>
      <c r="M140" s="16">
        <v>52.129999999999995</v>
      </c>
      <c r="N140" s="18">
        <f t="shared" si="4"/>
        <v>80436870.569999978</v>
      </c>
      <c r="O140" s="4"/>
    </row>
    <row r="141" spans="1:15" ht="15" x14ac:dyDescent="0.2">
      <c r="A141" s="17" t="s">
        <v>136</v>
      </c>
      <c r="B141" s="16">
        <v>87137810.979999989</v>
      </c>
      <c r="C141" s="16">
        <v>0</v>
      </c>
      <c r="D141" s="16">
        <v>1968827.2405571265</v>
      </c>
      <c r="E141" s="16">
        <v>0</v>
      </c>
      <c r="F141" s="16">
        <v>784697.23</v>
      </c>
      <c r="G141" s="16">
        <v>233748.19</v>
      </c>
      <c r="H141" s="16">
        <v>4408278.2</v>
      </c>
      <c r="I141" s="16">
        <v>1240425.6200000001</v>
      </c>
      <c r="J141" s="16">
        <v>11539663.310000004</v>
      </c>
      <c r="K141" s="16">
        <v>0</v>
      </c>
      <c r="L141" s="16">
        <v>0</v>
      </c>
      <c r="M141" s="16">
        <v>75.19</v>
      </c>
      <c r="N141" s="18">
        <f t="shared" si="4"/>
        <v>107313525.96055712</v>
      </c>
      <c r="O141" s="4"/>
    </row>
    <row r="142" spans="1:15" ht="15" x14ac:dyDescent="0.2">
      <c r="A142" s="17" t="s">
        <v>137</v>
      </c>
      <c r="B142" s="16">
        <v>82561658.689999998</v>
      </c>
      <c r="C142" s="16">
        <v>0</v>
      </c>
      <c r="D142" s="16">
        <v>942074.29275301006</v>
      </c>
      <c r="E142" s="16">
        <v>0</v>
      </c>
      <c r="F142" s="16">
        <v>3373666.7</v>
      </c>
      <c r="G142" s="16">
        <v>862979.42</v>
      </c>
      <c r="H142" s="16">
        <v>4176771.9</v>
      </c>
      <c r="I142" s="16">
        <v>5332990.16</v>
      </c>
      <c r="J142" s="16">
        <v>15522087.469999995</v>
      </c>
      <c r="K142" s="16">
        <v>0</v>
      </c>
      <c r="L142" s="16">
        <v>0</v>
      </c>
      <c r="M142" s="16">
        <v>323.32000000000005</v>
      </c>
      <c r="N142" s="18">
        <f t="shared" si="4"/>
        <v>112772551.95275301</v>
      </c>
      <c r="O142" s="4"/>
    </row>
    <row r="143" spans="1:15" ht="24.75" customHeight="1" x14ac:dyDescent="0.2">
      <c r="A143" s="24" t="s">
        <v>138</v>
      </c>
      <c r="B143" s="25">
        <f t="shared" ref="B143:L143" si="5">SUM(B8:B142)</f>
        <v>14685982909.509995</v>
      </c>
      <c r="C143" s="25">
        <f t="shared" si="5"/>
        <v>0</v>
      </c>
      <c r="D143" s="25">
        <f t="shared" si="5"/>
        <v>236609260.60901922</v>
      </c>
      <c r="E143" s="25">
        <f t="shared" si="5"/>
        <v>0</v>
      </c>
      <c r="F143" s="25">
        <f t="shared" si="5"/>
        <v>354265116.89999968</v>
      </c>
      <c r="G143" s="25">
        <f t="shared" si="5"/>
        <v>118054640.71000002</v>
      </c>
      <c r="H143" s="25">
        <f t="shared" si="5"/>
        <v>742959888.69999993</v>
      </c>
      <c r="I143" s="25">
        <f t="shared" si="5"/>
        <v>560011567.43999982</v>
      </c>
      <c r="J143" s="25">
        <f t="shared" si="5"/>
        <v>1918251401.8000011</v>
      </c>
      <c r="K143" s="25">
        <f t="shared" si="5"/>
        <v>0</v>
      </c>
      <c r="L143" s="25">
        <f t="shared" si="5"/>
        <v>0</v>
      </c>
      <c r="M143" s="25">
        <f>SUM(M8:M142)</f>
        <v>33950.840000000011</v>
      </c>
      <c r="N143" s="25">
        <f>SUM(N8:N142)</f>
        <v>18616168736.509022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  <c r="N145" s="8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44AEAC"/>
  </sheetPr>
  <dimension ref="A1:Q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2.33203125" style="1" customWidth="1"/>
    <col min="3" max="3" width="22.33203125" style="1" hidden="1" customWidth="1"/>
    <col min="4" max="4" width="22.33203125" style="1" customWidth="1"/>
    <col min="5" max="5" width="22.33203125" style="1" hidden="1" customWidth="1"/>
    <col min="6" max="10" width="22.33203125" style="1" customWidth="1"/>
    <col min="11" max="12" width="22.33203125" style="1" hidden="1" customWidth="1"/>
    <col min="13" max="13" width="22.33203125" style="1" customWidth="1"/>
    <col min="14" max="14" width="23.83203125" style="1" customWidth="1"/>
    <col min="15" max="16384" width="12" style="1"/>
  </cols>
  <sheetData>
    <row r="1" spans="1:17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7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7" ht="17.25" customHeight="1" x14ac:dyDescent="0.25">
      <c r="A3" s="2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7" ht="17.25" customHeight="1" x14ac:dyDescent="0.25">
      <c r="A4" s="23" t="s">
        <v>168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7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7" ht="18.75" customHeight="1" x14ac:dyDescent="0.2">
      <c r="A6" s="28" t="s">
        <v>2</v>
      </c>
      <c r="B6" s="29" t="s">
        <v>169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7" ht="60" customHeight="1" x14ac:dyDescent="0.2">
      <c r="A7" s="28"/>
      <c r="B7" s="21" t="s">
        <v>139</v>
      </c>
      <c r="C7" s="21" t="s">
        <v>151</v>
      </c>
      <c r="D7" s="21" t="s">
        <v>143</v>
      </c>
      <c r="E7" s="21" t="s">
        <v>141</v>
      </c>
      <c r="F7" s="27" t="s">
        <v>150</v>
      </c>
      <c r="G7" s="21" t="s">
        <v>144</v>
      </c>
      <c r="H7" s="21" t="s">
        <v>146</v>
      </c>
      <c r="I7" s="21" t="s">
        <v>145</v>
      </c>
      <c r="J7" s="21" t="s">
        <v>147</v>
      </c>
      <c r="K7" s="21" t="s">
        <v>148</v>
      </c>
      <c r="L7" s="21" t="s">
        <v>149</v>
      </c>
      <c r="M7" s="21" t="s">
        <v>142</v>
      </c>
      <c r="N7" s="22" t="s">
        <v>140</v>
      </c>
    </row>
    <row r="8" spans="1:17" ht="18" customHeight="1" x14ac:dyDescent="0.2">
      <c r="A8" s="17" t="s">
        <v>3</v>
      </c>
      <c r="B8" s="16">
        <v>60472297.739999995</v>
      </c>
      <c r="C8" s="16">
        <v>0</v>
      </c>
      <c r="D8" s="16">
        <v>16967322.290826395</v>
      </c>
      <c r="E8" s="16">
        <v>0</v>
      </c>
      <c r="F8" s="16">
        <v>175243.5</v>
      </c>
      <c r="G8" s="16">
        <v>93699.18</v>
      </c>
      <c r="H8" s="16">
        <v>3097288.45</v>
      </c>
      <c r="I8" s="16">
        <v>479945.77</v>
      </c>
      <c r="J8" s="16">
        <v>5562179.2000000002</v>
      </c>
      <c r="K8" s="16">
        <v>0</v>
      </c>
      <c r="L8" s="16">
        <v>0</v>
      </c>
      <c r="M8" s="16">
        <v>920.74</v>
      </c>
      <c r="N8" s="18">
        <f t="shared" ref="N8:N39" si="0">SUM(B8:M8)</f>
        <v>86848896.870826393</v>
      </c>
      <c r="O8" s="10"/>
      <c r="P8" s="10"/>
      <c r="Q8" s="10"/>
    </row>
    <row r="9" spans="1:17" ht="18" customHeight="1" x14ac:dyDescent="0.2">
      <c r="A9" s="17" t="s">
        <v>4</v>
      </c>
      <c r="B9" s="16">
        <v>37700664.319999993</v>
      </c>
      <c r="C9" s="16">
        <v>0</v>
      </c>
      <c r="D9" s="16">
        <v>14384170.121227831</v>
      </c>
      <c r="E9" s="16">
        <v>0</v>
      </c>
      <c r="F9" s="16">
        <v>122779.29</v>
      </c>
      <c r="G9" s="16">
        <v>66191.16</v>
      </c>
      <c r="H9" s="16">
        <v>1930964.04</v>
      </c>
      <c r="I9" s="16">
        <v>336260.14</v>
      </c>
      <c r="J9" s="16">
        <v>4174638.2000000011</v>
      </c>
      <c r="K9" s="16">
        <v>0</v>
      </c>
      <c r="L9" s="16">
        <v>0</v>
      </c>
      <c r="M9" s="16">
        <v>645.09</v>
      </c>
      <c r="N9" s="18">
        <f t="shared" si="0"/>
        <v>58716312.361227825</v>
      </c>
    </row>
    <row r="10" spans="1:17" ht="18" customHeight="1" x14ac:dyDescent="0.2">
      <c r="A10" s="17" t="s">
        <v>5</v>
      </c>
      <c r="B10" s="16">
        <v>27706824.66</v>
      </c>
      <c r="C10" s="16">
        <v>0</v>
      </c>
      <c r="D10" s="16">
        <v>11697110.745460065</v>
      </c>
      <c r="E10" s="16">
        <v>0</v>
      </c>
      <c r="F10" s="16">
        <v>85771.35</v>
      </c>
      <c r="G10" s="16">
        <v>58454.53</v>
      </c>
      <c r="H10" s="16">
        <v>1419096.54</v>
      </c>
      <c r="I10" s="16">
        <v>234905.14</v>
      </c>
      <c r="J10" s="16">
        <v>2467499</v>
      </c>
      <c r="K10" s="16">
        <v>0</v>
      </c>
      <c r="L10" s="16">
        <v>0</v>
      </c>
      <c r="M10" s="16">
        <v>450.64</v>
      </c>
      <c r="N10" s="18">
        <f t="shared" si="0"/>
        <v>43670112.60546007</v>
      </c>
    </row>
    <row r="11" spans="1:17" ht="18" customHeight="1" x14ac:dyDescent="0.2">
      <c r="A11" s="17" t="s">
        <v>6</v>
      </c>
      <c r="B11" s="16">
        <v>320847623.24000001</v>
      </c>
      <c r="C11" s="16">
        <v>0</v>
      </c>
      <c r="D11" s="16">
        <v>5282537.1080721142</v>
      </c>
      <c r="E11" s="16">
        <v>0</v>
      </c>
      <c r="F11" s="16">
        <v>9206270.3800000008</v>
      </c>
      <c r="G11" s="16">
        <v>5345092.6660137391</v>
      </c>
      <c r="H11" s="16">
        <v>16433270.67</v>
      </c>
      <c r="I11" s="16">
        <v>25213548.800000001</v>
      </c>
      <c r="J11" s="16">
        <v>46439925</v>
      </c>
      <c r="K11" s="16">
        <v>0</v>
      </c>
      <c r="L11" s="16">
        <v>0</v>
      </c>
      <c r="M11" s="16">
        <v>48370.450000000004</v>
      </c>
      <c r="N11" s="18">
        <f t="shared" si="0"/>
        <v>428816638.31408584</v>
      </c>
    </row>
    <row r="12" spans="1:17" ht="18" customHeight="1" x14ac:dyDescent="0.2">
      <c r="A12" s="17" t="s">
        <v>7</v>
      </c>
      <c r="B12" s="16">
        <v>48157467.529999994</v>
      </c>
      <c r="C12" s="16">
        <v>0</v>
      </c>
      <c r="D12" s="16">
        <v>14601802.134955633</v>
      </c>
      <c r="E12" s="16">
        <v>0</v>
      </c>
      <c r="F12" s="16">
        <v>314785.21999999997</v>
      </c>
      <c r="G12" s="16">
        <v>159890.34</v>
      </c>
      <c r="H12" s="16">
        <v>2466543.75</v>
      </c>
      <c r="I12" s="16">
        <v>862113.78</v>
      </c>
      <c r="J12" s="16">
        <v>5009705.1999999974</v>
      </c>
      <c r="K12" s="16">
        <v>0</v>
      </c>
      <c r="L12" s="16">
        <v>0</v>
      </c>
      <c r="M12" s="16">
        <v>1653.9</v>
      </c>
      <c r="N12" s="18">
        <f t="shared" si="0"/>
        <v>71573961.854955643</v>
      </c>
    </row>
    <row r="13" spans="1:17" ht="18" customHeight="1" x14ac:dyDescent="0.2">
      <c r="A13" s="17" t="s">
        <v>8</v>
      </c>
      <c r="B13" s="16">
        <v>194697774.19</v>
      </c>
      <c r="C13" s="16">
        <v>0</v>
      </c>
      <c r="D13" s="16">
        <v>2666841.8345589871</v>
      </c>
      <c r="E13" s="16">
        <v>0</v>
      </c>
      <c r="F13" s="16">
        <v>4476872.79</v>
      </c>
      <c r="G13" s="16">
        <v>1367974.4059168119</v>
      </c>
      <c r="H13" s="16">
        <v>9972089.5199999996</v>
      </c>
      <c r="I13" s="16">
        <v>12260974.960000001</v>
      </c>
      <c r="J13" s="16">
        <v>35706453.800000004</v>
      </c>
      <c r="K13" s="16">
        <v>0</v>
      </c>
      <c r="L13" s="16">
        <v>0</v>
      </c>
      <c r="M13" s="16">
        <v>23521.83</v>
      </c>
      <c r="N13" s="18">
        <f t="shared" si="0"/>
        <v>261172503.33047584</v>
      </c>
    </row>
    <row r="14" spans="1:17" ht="18" customHeight="1" x14ac:dyDescent="0.2">
      <c r="A14" s="17" t="s">
        <v>9</v>
      </c>
      <c r="B14" s="16">
        <v>70560273.289999992</v>
      </c>
      <c r="C14" s="16">
        <v>0</v>
      </c>
      <c r="D14" s="16">
        <v>25714289.495703064</v>
      </c>
      <c r="E14" s="16">
        <v>0</v>
      </c>
      <c r="F14" s="16">
        <v>203761.38</v>
      </c>
      <c r="G14" s="16">
        <v>111751.31</v>
      </c>
      <c r="H14" s="16">
        <v>3613977.44</v>
      </c>
      <c r="I14" s="16">
        <v>558048.75</v>
      </c>
      <c r="J14" s="16">
        <v>7186502.200000002</v>
      </c>
      <c r="K14" s="16">
        <v>0</v>
      </c>
      <c r="L14" s="16">
        <v>0</v>
      </c>
      <c r="M14" s="16">
        <v>1070.57</v>
      </c>
      <c r="N14" s="18">
        <f t="shared" si="0"/>
        <v>107949674.43570305</v>
      </c>
    </row>
    <row r="15" spans="1:17" ht="18" customHeight="1" x14ac:dyDescent="0.2">
      <c r="A15" s="17" t="s">
        <v>10</v>
      </c>
      <c r="B15" s="16">
        <v>114992427.61</v>
      </c>
      <c r="C15" s="16">
        <v>0</v>
      </c>
      <c r="D15" s="16">
        <v>40257368.706674963</v>
      </c>
      <c r="E15" s="16">
        <v>0</v>
      </c>
      <c r="F15" s="16">
        <v>759098.24</v>
      </c>
      <c r="G15" s="16">
        <v>359323.44</v>
      </c>
      <c r="H15" s="16">
        <v>5889716.96</v>
      </c>
      <c r="I15" s="16">
        <v>2078970.08</v>
      </c>
      <c r="J15" s="16">
        <v>11998767.199999997</v>
      </c>
      <c r="K15" s="16">
        <v>0</v>
      </c>
      <c r="L15" s="16">
        <v>0</v>
      </c>
      <c r="M15" s="16">
        <v>3988.36</v>
      </c>
      <c r="N15" s="18">
        <f t="shared" si="0"/>
        <v>176339660.59667498</v>
      </c>
    </row>
    <row r="16" spans="1:17" ht="18" customHeight="1" x14ac:dyDescent="0.2">
      <c r="A16" s="17" t="s">
        <v>11</v>
      </c>
      <c r="B16" s="16">
        <v>212552734.75999999</v>
      </c>
      <c r="C16" s="16">
        <v>0</v>
      </c>
      <c r="D16" s="16">
        <v>11336623.213912725</v>
      </c>
      <c r="E16" s="16">
        <v>0</v>
      </c>
      <c r="F16" s="16">
        <v>2831107.74</v>
      </c>
      <c r="G16" s="16">
        <v>1659077.14</v>
      </c>
      <c r="H16" s="16">
        <v>10886590.300000001</v>
      </c>
      <c r="I16" s="16">
        <v>7753658.1299999999</v>
      </c>
      <c r="J16" s="16">
        <v>29744580.79999999</v>
      </c>
      <c r="K16" s="16">
        <v>0</v>
      </c>
      <c r="L16" s="16">
        <v>0</v>
      </c>
      <c r="M16" s="16">
        <v>14874.85</v>
      </c>
      <c r="N16" s="18">
        <f t="shared" si="0"/>
        <v>276779246.93391275</v>
      </c>
    </row>
    <row r="17" spans="1:14" ht="15" x14ac:dyDescent="0.2">
      <c r="A17" s="17" t="s">
        <v>12</v>
      </c>
      <c r="B17" s="16">
        <v>76373552.179999992</v>
      </c>
      <c r="C17" s="16">
        <v>0</v>
      </c>
      <c r="D17" s="16">
        <v>35732918.354514264</v>
      </c>
      <c r="E17" s="16">
        <v>0</v>
      </c>
      <c r="F17" s="16">
        <v>581460.11</v>
      </c>
      <c r="G17" s="16">
        <v>240695.13</v>
      </c>
      <c r="H17" s="16">
        <v>3911723.71</v>
      </c>
      <c r="I17" s="16">
        <v>1592466.04</v>
      </c>
      <c r="J17" s="16">
        <v>8203245.1999999974</v>
      </c>
      <c r="K17" s="16">
        <v>0</v>
      </c>
      <c r="L17" s="16">
        <v>0</v>
      </c>
      <c r="M17" s="16">
        <v>3055.03</v>
      </c>
      <c r="N17" s="18">
        <f t="shared" si="0"/>
        <v>126639115.75451425</v>
      </c>
    </row>
    <row r="18" spans="1:14" ht="15" x14ac:dyDescent="0.2">
      <c r="A18" s="17" t="s">
        <v>13</v>
      </c>
      <c r="B18" s="16">
        <v>46824132.520000003</v>
      </c>
      <c r="C18" s="16">
        <v>0</v>
      </c>
      <c r="D18" s="16">
        <v>12358471.83248632</v>
      </c>
      <c r="E18" s="16">
        <v>0</v>
      </c>
      <c r="F18" s="16">
        <v>391848.82</v>
      </c>
      <c r="G18" s="16">
        <v>180521.35</v>
      </c>
      <c r="H18" s="16">
        <v>2398252.59</v>
      </c>
      <c r="I18" s="16">
        <v>1073170.67</v>
      </c>
      <c r="J18" s="16">
        <v>6623721.9999999981</v>
      </c>
      <c r="K18" s="16">
        <v>0</v>
      </c>
      <c r="L18" s="16">
        <v>0</v>
      </c>
      <c r="M18" s="16">
        <v>2058.8000000000002</v>
      </c>
      <c r="N18" s="18">
        <f t="shared" si="0"/>
        <v>69852178.582486331</v>
      </c>
    </row>
    <row r="19" spans="1:14" ht="15" x14ac:dyDescent="0.2">
      <c r="A19" s="17" t="s">
        <v>14</v>
      </c>
      <c r="B19" s="16">
        <v>78331887.959999993</v>
      </c>
      <c r="C19" s="16">
        <v>0</v>
      </c>
      <c r="D19" s="16">
        <v>23036618.195949726</v>
      </c>
      <c r="E19" s="16">
        <v>0</v>
      </c>
      <c r="F19" s="16">
        <v>158263.38</v>
      </c>
      <c r="G19" s="16">
        <v>111751.31</v>
      </c>
      <c r="H19" s="16">
        <v>4012026.35</v>
      </c>
      <c r="I19" s="16">
        <v>433441.71</v>
      </c>
      <c r="J19" s="16">
        <v>5627556.6000000006</v>
      </c>
      <c r="K19" s="16">
        <v>0</v>
      </c>
      <c r="L19" s="16">
        <v>0</v>
      </c>
      <c r="M19" s="16">
        <v>831.52</v>
      </c>
      <c r="N19" s="18">
        <f t="shared" si="0"/>
        <v>111712377.02594969</v>
      </c>
    </row>
    <row r="20" spans="1:14" ht="15" x14ac:dyDescent="0.2">
      <c r="A20" s="17" t="s">
        <v>15</v>
      </c>
      <c r="B20" s="16">
        <v>259916991.5</v>
      </c>
      <c r="C20" s="16">
        <v>0</v>
      </c>
      <c r="D20" s="16">
        <v>2814589.4485166431</v>
      </c>
      <c r="E20" s="16">
        <v>0</v>
      </c>
      <c r="F20" s="16">
        <v>5051366.7</v>
      </c>
      <c r="G20" s="16">
        <v>2889878.4284819411</v>
      </c>
      <c r="H20" s="16">
        <v>13312507.140000001</v>
      </c>
      <c r="I20" s="16">
        <v>13834362.41</v>
      </c>
      <c r="J20" s="16">
        <v>32356925.200000014</v>
      </c>
      <c r="K20" s="16">
        <v>0</v>
      </c>
      <c r="L20" s="16">
        <v>0</v>
      </c>
      <c r="M20" s="16">
        <v>26540.26</v>
      </c>
      <c r="N20" s="18">
        <f t="shared" si="0"/>
        <v>330203161.08699858</v>
      </c>
    </row>
    <row r="21" spans="1:14" ht="15" x14ac:dyDescent="0.2">
      <c r="A21" s="17" t="s">
        <v>16</v>
      </c>
      <c r="B21" s="16">
        <v>112910634.88</v>
      </c>
      <c r="C21" s="16">
        <v>0</v>
      </c>
      <c r="D21" s="16">
        <v>1033729.2523054748</v>
      </c>
      <c r="E21" s="16">
        <v>0</v>
      </c>
      <c r="F21" s="16">
        <v>1343170.68</v>
      </c>
      <c r="G21" s="16">
        <v>346747.15128597326</v>
      </c>
      <c r="H21" s="16">
        <v>5783091.0700000003</v>
      </c>
      <c r="I21" s="16">
        <v>3678590.59</v>
      </c>
      <c r="J21" s="16">
        <v>10564124.4</v>
      </c>
      <c r="K21" s="16">
        <v>0</v>
      </c>
      <c r="L21" s="16">
        <v>0</v>
      </c>
      <c r="M21" s="16">
        <v>7057.12</v>
      </c>
      <c r="N21" s="18">
        <f t="shared" si="0"/>
        <v>135667145.14359146</v>
      </c>
    </row>
    <row r="22" spans="1:14" ht="15" x14ac:dyDescent="0.2">
      <c r="A22" s="17" t="s">
        <v>17</v>
      </c>
      <c r="B22" s="16">
        <v>86983133.340000004</v>
      </c>
      <c r="C22" s="16">
        <v>0</v>
      </c>
      <c r="D22" s="16">
        <v>19490478.934740957</v>
      </c>
      <c r="E22" s="16">
        <v>0</v>
      </c>
      <c r="F22" s="16">
        <v>319792.17</v>
      </c>
      <c r="G22" s="16">
        <v>188257.98</v>
      </c>
      <c r="H22" s="16">
        <v>4455128.45</v>
      </c>
      <c r="I22" s="16">
        <v>875826.51</v>
      </c>
      <c r="J22" s="16">
        <v>8105135.1999999974</v>
      </c>
      <c r="K22" s="16">
        <v>0</v>
      </c>
      <c r="L22" s="16">
        <v>0</v>
      </c>
      <c r="M22" s="16">
        <v>1680.21</v>
      </c>
      <c r="N22" s="18">
        <f t="shared" si="0"/>
        <v>120419432.79474097</v>
      </c>
    </row>
    <row r="23" spans="1:14" ht="15" x14ac:dyDescent="0.2">
      <c r="A23" s="17" t="s">
        <v>18</v>
      </c>
      <c r="B23" s="16">
        <v>87933751.819999993</v>
      </c>
      <c r="C23" s="16">
        <v>0</v>
      </c>
      <c r="D23" s="16">
        <v>16908545.123779967</v>
      </c>
      <c r="E23" s="16">
        <v>0</v>
      </c>
      <c r="F23" s="16">
        <v>306512.84999999998</v>
      </c>
      <c r="G23" s="16">
        <v>227800.75</v>
      </c>
      <c r="H23" s="16">
        <v>4503817.5199999996</v>
      </c>
      <c r="I23" s="16">
        <v>839457.95</v>
      </c>
      <c r="J23" s="16">
        <v>6652408.5999999987</v>
      </c>
      <c r="K23" s="16">
        <v>0</v>
      </c>
      <c r="L23" s="16">
        <v>0</v>
      </c>
      <c r="M23" s="16">
        <v>1610.44</v>
      </c>
      <c r="N23" s="18">
        <f t="shared" si="0"/>
        <v>117373905.05377994</v>
      </c>
    </row>
    <row r="24" spans="1:14" ht="15" x14ac:dyDescent="0.2">
      <c r="A24" s="17" t="s">
        <v>19</v>
      </c>
      <c r="B24" s="16">
        <v>26902811.300000001</v>
      </c>
      <c r="C24" s="16">
        <v>0</v>
      </c>
      <c r="D24" s="16">
        <v>7919690.8048587367</v>
      </c>
      <c r="E24" s="16">
        <v>0</v>
      </c>
      <c r="F24" s="16">
        <v>318703.7</v>
      </c>
      <c r="G24" s="16">
        <v>47539.960618338009</v>
      </c>
      <c r="H24" s="16">
        <v>1377916.34</v>
      </c>
      <c r="I24" s="16">
        <v>872845.48</v>
      </c>
      <c r="J24" s="16">
        <v>5402772.4000000013</v>
      </c>
      <c r="K24" s="16">
        <v>0</v>
      </c>
      <c r="L24" s="16">
        <v>0</v>
      </c>
      <c r="M24" s="16">
        <v>1674.49</v>
      </c>
      <c r="N24" s="18">
        <f t="shared" si="0"/>
        <v>42843954.475477085</v>
      </c>
    </row>
    <row r="25" spans="1:14" ht="15" x14ac:dyDescent="0.2">
      <c r="A25" s="17" t="s">
        <v>20</v>
      </c>
      <c r="B25" s="16">
        <v>120469286.33</v>
      </c>
      <c r="C25" s="16">
        <v>0</v>
      </c>
      <c r="D25" s="16">
        <v>5397771.4853960816</v>
      </c>
      <c r="E25" s="16">
        <v>0</v>
      </c>
      <c r="F25" s="16">
        <v>1413485.77</v>
      </c>
      <c r="G25" s="16">
        <v>520073.4</v>
      </c>
      <c r="H25" s="16">
        <v>6170232.3700000001</v>
      </c>
      <c r="I25" s="16">
        <v>3871165.11</v>
      </c>
      <c r="J25" s="16">
        <v>13164471.000000004</v>
      </c>
      <c r="K25" s="16">
        <v>0</v>
      </c>
      <c r="L25" s="16">
        <v>0</v>
      </c>
      <c r="M25" s="16">
        <v>7426.56</v>
      </c>
      <c r="N25" s="18">
        <f t="shared" si="0"/>
        <v>151013912.02539611</v>
      </c>
    </row>
    <row r="26" spans="1:14" ht="15" x14ac:dyDescent="0.2">
      <c r="A26" s="17" t="s">
        <v>21</v>
      </c>
      <c r="B26" s="16">
        <v>44569500.07</v>
      </c>
      <c r="C26" s="16">
        <v>0</v>
      </c>
      <c r="D26" s="16">
        <v>7713039.0357037764</v>
      </c>
      <c r="E26" s="16">
        <v>0</v>
      </c>
      <c r="F26" s="16">
        <v>642849.76</v>
      </c>
      <c r="G26" s="16">
        <v>285395.65000000002</v>
      </c>
      <c r="H26" s="16">
        <v>2282774.15</v>
      </c>
      <c r="I26" s="16">
        <v>1760596.11</v>
      </c>
      <c r="J26" s="16">
        <v>8810459.0000000019</v>
      </c>
      <c r="K26" s="16">
        <v>0</v>
      </c>
      <c r="L26" s="16">
        <v>0</v>
      </c>
      <c r="M26" s="16">
        <v>3377.58</v>
      </c>
      <c r="N26" s="18">
        <f t="shared" si="0"/>
        <v>66067991.355703771</v>
      </c>
    </row>
    <row r="27" spans="1:14" ht="15" x14ac:dyDescent="0.2">
      <c r="A27" s="17" t="s">
        <v>22</v>
      </c>
      <c r="B27" s="16">
        <v>22996942.220000003</v>
      </c>
      <c r="C27" s="16">
        <v>0</v>
      </c>
      <c r="D27" s="16">
        <v>6292706.6037189374</v>
      </c>
      <c r="E27" s="16">
        <v>0</v>
      </c>
      <c r="F27" s="16">
        <v>159787.24</v>
      </c>
      <c r="G27" s="16">
        <v>79945.17</v>
      </c>
      <c r="H27" s="16">
        <v>1177864.3500000001</v>
      </c>
      <c r="I27" s="16">
        <v>437615.15</v>
      </c>
      <c r="J27" s="16">
        <v>2576978.7999999993</v>
      </c>
      <c r="K27" s="16">
        <v>0</v>
      </c>
      <c r="L27" s="16">
        <v>0</v>
      </c>
      <c r="M27" s="16">
        <v>839.53</v>
      </c>
      <c r="N27" s="18">
        <f t="shared" si="0"/>
        <v>33722679.063718937</v>
      </c>
    </row>
    <row r="28" spans="1:14" ht="15" x14ac:dyDescent="0.2">
      <c r="A28" s="17" t="s">
        <v>23</v>
      </c>
      <c r="B28" s="16">
        <v>75878181.159999996</v>
      </c>
      <c r="C28" s="16">
        <v>0</v>
      </c>
      <c r="D28" s="16">
        <v>17407933.133436415</v>
      </c>
      <c r="E28" s="16">
        <v>0</v>
      </c>
      <c r="F28" s="16">
        <v>220088.42</v>
      </c>
      <c r="G28" s="16">
        <v>122066.82</v>
      </c>
      <c r="H28" s="16">
        <v>3886351.65</v>
      </c>
      <c r="I28" s="16">
        <v>602764.19999999995</v>
      </c>
      <c r="J28" s="16">
        <v>5166060.1999999974</v>
      </c>
      <c r="K28" s="16">
        <v>0</v>
      </c>
      <c r="L28" s="16">
        <v>0</v>
      </c>
      <c r="M28" s="16">
        <v>1156.3599999999999</v>
      </c>
      <c r="N28" s="18">
        <f t="shared" si="0"/>
        <v>103284601.94343641</v>
      </c>
    </row>
    <row r="29" spans="1:14" ht="15" x14ac:dyDescent="0.2">
      <c r="A29" s="17" t="s">
        <v>24</v>
      </c>
      <c r="B29" s="16">
        <v>45219192.229999997</v>
      </c>
      <c r="C29" s="16">
        <v>0</v>
      </c>
      <c r="D29" s="16">
        <v>17425506.478291072</v>
      </c>
      <c r="E29" s="16">
        <v>0</v>
      </c>
      <c r="F29" s="16">
        <v>137364.78</v>
      </c>
      <c r="G29" s="16">
        <v>63612.28</v>
      </c>
      <c r="H29" s="16">
        <v>2316050.2799999998</v>
      </c>
      <c r="I29" s="16">
        <v>376205.94</v>
      </c>
      <c r="J29" s="16">
        <v>4628757.9999999991</v>
      </c>
      <c r="K29" s="16">
        <v>0</v>
      </c>
      <c r="L29" s="16">
        <v>0</v>
      </c>
      <c r="M29" s="16">
        <v>721.72</v>
      </c>
      <c r="N29" s="18">
        <f t="shared" si="0"/>
        <v>70167411.708291069</v>
      </c>
    </row>
    <row r="30" spans="1:14" ht="15" x14ac:dyDescent="0.2">
      <c r="A30" s="17" t="s">
        <v>25</v>
      </c>
      <c r="B30" s="16">
        <v>15566377.370000001</v>
      </c>
      <c r="C30" s="16">
        <v>0</v>
      </c>
      <c r="D30" s="16">
        <v>10073458.094332291</v>
      </c>
      <c r="E30" s="16">
        <v>0</v>
      </c>
      <c r="F30" s="16">
        <v>118643.11</v>
      </c>
      <c r="G30" s="16">
        <v>80804.789999999994</v>
      </c>
      <c r="H30" s="16">
        <v>797283.43</v>
      </c>
      <c r="I30" s="16">
        <v>324932.23</v>
      </c>
      <c r="J30" s="16">
        <v>3501977.1999999983</v>
      </c>
      <c r="K30" s="16">
        <v>0</v>
      </c>
      <c r="L30" s="16">
        <v>0</v>
      </c>
      <c r="M30" s="16">
        <v>623.36</v>
      </c>
      <c r="N30" s="18">
        <f t="shared" si="0"/>
        <v>30464099.584332287</v>
      </c>
    </row>
    <row r="31" spans="1:14" ht="15" x14ac:dyDescent="0.2">
      <c r="A31" s="17" t="s">
        <v>26</v>
      </c>
      <c r="B31" s="16">
        <v>28495405.890000001</v>
      </c>
      <c r="C31" s="16">
        <v>0</v>
      </c>
      <c r="D31" s="16">
        <v>6076417.7469404694</v>
      </c>
      <c r="E31" s="16">
        <v>0</v>
      </c>
      <c r="F31" s="16">
        <v>141718.65</v>
      </c>
      <c r="G31" s="16">
        <v>45560.15</v>
      </c>
      <c r="H31" s="16">
        <v>1459486.33</v>
      </c>
      <c r="I31" s="16">
        <v>388130.06</v>
      </c>
      <c r="J31" s="16">
        <v>2480577.9999999991</v>
      </c>
      <c r="K31" s="16">
        <v>0</v>
      </c>
      <c r="L31" s="16">
        <v>0</v>
      </c>
      <c r="M31" s="16">
        <v>744.6</v>
      </c>
      <c r="N31" s="18">
        <f t="shared" si="0"/>
        <v>39088041.426940471</v>
      </c>
    </row>
    <row r="32" spans="1:14" ht="15" x14ac:dyDescent="0.2">
      <c r="A32" s="17" t="s">
        <v>27</v>
      </c>
      <c r="B32" s="16">
        <v>130281026.96000001</v>
      </c>
      <c r="C32" s="16">
        <v>0</v>
      </c>
      <c r="D32" s="16">
        <v>28216933.913831927</v>
      </c>
      <c r="E32" s="16">
        <v>0</v>
      </c>
      <c r="F32" s="16">
        <v>417972.07</v>
      </c>
      <c r="G32" s="16">
        <v>268203.14</v>
      </c>
      <c r="H32" s="16">
        <v>6672773.0700000003</v>
      </c>
      <c r="I32" s="16">
        <v>1144715.3899999999</v>
      </c>
      <c r="J32" s="16">
        <v>8005455.9999999972</v>
      </c>
      <c r="K32" s="16">
        <v>0</v>
      </c>
      <c r="L32" s="16">
        <v>0</v>
      </c>
      <c r="M32" s="16">
        <v>2196.0500000000002</v>
      </c>
      <c r="N32" s="18">
        <f t="shared" si="0"/>
        <v>175009276.5938319</v>
      </c>
    </row>
    <row r="33" spans="1:14" ht="15" x14ac:dyDescent="0.2">
      <c r="A33" s="17" t="s">
        <v>28</v>
      </c>
      <c r="B33" s="16">
        <v>84242389.179999992</v>
      </c>
      <c r="C33" s="16">
        <v>0</v>
      </c>
      <c r="D33" s="16">
        <v>16686196.941677349</v>
      </c>
      <c r="E33" s="16">
        <v>0</v>
      </c>
      <c r="F33" s="16">
        <v>306730.55</v>
      </c>
      <c r="G33" s="16">
        <v>201152.36</v>
      </c>
      <c r="H33" s="16">
        <v>4314752.1900000004</v>
      </c>
      <c r="I33" s="16">
        <v>840054.16</v>
      </c>
      <c r="J33" s="16">
        <v>7508454.3999999966</v>
      </c>
      <c r="K33" s="16">
        <v>0</v>
      </c>
      <c r="L33" s="16">
        <v>0</v>
      </c>
      <c r="M33" s="16">
        <v>1611.58</v>
      </c>
      <c r="N33" s="18">
        <f t="shared" si="0"/>
        <v>114101341.36167732</v>
      </c>
    </row>
    <row r="34" spans="1:14" ht="15" x14ac:dyDescent="0.2">
      <c r="A34" s="17" t="s">
        <v>29</v>
      </c>
      <c r="B34" s="16">
        <v>117455393.67000002</v>
      </c>
      <c r="C34" s="16">
        <v>0</v>
      </c>
      <c r="D34" s="16">
        <v>18005330.675233372</v>
      </c>
      <c r="E34" s="16">
        <v>0</v>
      </c>
      <c r="F34" s="16">
        <v>446054.57</v>
      </c>
      <c r="G34" s="16">
        <v>353306.07</v>
      </c>
      <c r="H34" s="16">
        <v>6015865.9000000004</v>
      </c>
      <c r="I34" s="16">
        <v>1221625.95</v>
      </c>
      <c r="J34" s="16">
        <v>9688355.3999999948</v>
      </c>
      <c r="K34" s="16">
        <v>0</v>
      </c>
      <c r="L34" s="16">
        <v>0</v>
      </c>
      <c r="M34" s="16">
        <v>2343.6</v>
      </c>
      <c r="N34" s="18">
        <f t="shared" si="0"/>
        <v>153188275.83523336</v>
      </c>
    </row>
    <row r="35" spans="1:14" ht="15" x14ac:dyDescent="0.2">
      <c r="A35" s="17" t="s">
        <v>30</v>
      </c>
      <c r="B35" s="16">
        <v>56594206.450000003</v>
      </c>
      <c r="C35" s="16">
        <v>0</v>
      </c>
      <c r="D35" s="16">
        <v>13137029.704955632</v>
      </c>
      <c r="E35" s="16">
        <v>0</v>
      </c>
      <c r="F35" s="16">
        <v>278865.74</v>
      </c>
      <c r="G35" s="16">
        <v>136680.45000000001</v>
      </c>
      <c r="H35" s="16">
        <v>2898659.2</v>
      </c>
      <c r="I35" s="16">
        <v>763739.8</v>
      </c>
      <c r="J35" s="16">
        <v>3542818.399999999</v>
      </c>
      <c r="K35" s="16">
        <v>0</v>
      </c>
      <c r="L35" s="16">
        <v>0</v>
      </c>
      <c r="M35" s="16">
        <v>1465.18</v>
      </c>
      <c r="N35" s="18">
        <f t="shared" si="0"/>
        <v>77353464.924955651</v>
      </c>
    </row>
    <row r="36" spans="1:14" ht="15" x14ac:dyDescent="0.2">
      <c r="A36" s="17" t="s">
        <v>31</v>
      </c>
      <c r="B36" s="16">
        <v>60961495.86999999</v>
      </c>
      <c r="C36" s="16">
        <v>0</v>
      </c>
      <c r="D36" s="16">
        <v>14823635.783459328</v>
      </c>
      <c r="E36" s="16">
        <v>0</v>
      </c>
      <c r="F36" s="16">
        <v>175461.19</v>
      </c>
      <c r="G36" s="16">
        <v>86822.17</v>
      </c>
      <c r="H36" s="16">
        <v>3122344.35</v>
      </c>
      <c r="I36" s="16">
        <v>480541.98</v>
      </c>
      <c r="J36" s="16">
        <v>4639134.0000000019</v>
      </c>
      <c r="K36" s="16">
        <v>0</v>
      </c>
      <c r="L36" s="16">
        <v>0</v>
      </c>
      <c r="M36" s="16">
        <v>921.88</v>
      </c>
      <c r="N36" s="18">
        <f t="shared" si="0"/>
        <v>84290357.223459303</v>
      </c>
    </row>
    <row r="37" spans="1:14" ht="15" x14ac:dyDescent="0.2">
      <c r="A37" s="17" t="s">
        <v>32</v>
      </c>
      <c r="B37" s="16">
        <v>67706874.669999987</v>
      </c>
      <c r="C37" s="16">
        <v>0</v>
      </c>
      <c r="D37" s="16">
        <v>15879123.130037189</v>
      </c>
      <c r="E37" s="16">
        <v>0</v>
      </c>
      <c r="F37" s="16">
        <v>325452.21000000002</v>
      </c>
      <c r="G37" s="16">
        <v>126364.94</v>
      </c>
      <c r="H37" s="16">
        <v>3467831.2</v>
      </c>
      <c r="I37" s="16">
        <v>891327.87</v>
      </c>
      <c r="J37" s="16">
        <v>5989827.2000000002</v>
      </c>
      <c r="K37" s="16">
        <v>0</v>
      </c>
      <c r="L37" s="16">
        <v>0</v>
      </c>
      <c r="M37" s="16">
        <v>1709.95</v>
      </c>
      <c r="N37" s="18">
        <f t="shared" si="0"/>
        <v>94388511.17003718</v>
      </c>
    </row>
    <row r="38" spans="1:14" ht="15" x14ac:dyDescent="0.2">
      <c r="A38" s="17" t="s">
        <v>33</v>
      </c>
      <c r="B38" s="16">
        <v>61955324.270000003</v>
      </c>
      <c r="C38" s="16">
        <v>0</v>
      </c>
      <c r="D38" s="16">
        <v>1843502.6606732612</v>
      </c>
      <c r="E38" s="16">
        <v>0</v>
      </c>
      <c r="F38" s="16">
        <v>290838.90000000002</v>
      </c>
      <c r="G38" s="16">
        <v>342130.93</v>
      </c>
      <c r="H38" s="16">
        <v>3173246.55</v>
      </c>
      <c r="I38" s="16">
        <v>796531.12</v>
      </c>
      <c r="J38" s="16">
        <v>9915301.9999999963</v>
      </c>
      <c r="K38" s="16">
        <v>0</v>
      </c>
      <c r="L38" s="16">
        <v>0</v>
      </c>
      <c r="M38" s="16">
        <v>1528.08</v>
      </c>
      <c r="N38" s="18">
        <f t="shared" si="0"/>
        <v>78318404.51067327</v>
      </c>
    </row>
    <row r="39" spans="1:14" ht="15" x14ac:dyDescent="0.2">
      <c r="A39" s="17" t="s">
        <v>34</v>
      </c>
      <c r="B39" s="16">
        <v>102549510.83000001</v>
      </c>
      <c r="C39" s="16">
        <v>0</v>
      </c>
      <c r="D39" s="16">
        <v>23068231.618541807</v>
      </c>
      <c r="E39" s="16">
        <v>0</v>
      </c>
      <c r="F39" s="16">
        <v>370514.83</v>
      </c>
      <c r="G39" s="16">
        <v>210608.24</v>
      </c>
      <c r="H39" s="16">
        <v>5252411.8899999997</v>
      </c>
      <c r="I39" s="16">
        <v>1014742.49</v>
      </c>
      <c r="J39" s="16">
        <v>8444822.799999997</v>
      </c>
      <c r="K39" s="16">
        <v>0</v>
      </c>
      <c r="L39" s="16">
        <v>0</v>
      </c>
      <c r="M39" s="16">
        <v>1946.71</v>
      </c>
      <c r="N39" s="18">
        <f t="shared" si="0"/>
        <v>140912789.40854183</v>
      </c>
    </row>
    <row r="40" spans="1:14" ht="15" x14ac:dyDescent="0.2">
      <c r="A40" s="17" t="s">
        <v>35</v>
      </c>
      <c r="B40" s="16">
        <v>68702246.280000001</v>
      </c>
      <c r="C40" s="16">
        <v>0</v>
      </c>
      <c r="D40" s="16">
        <v>19270101.693677161</v>
      </c>
      <c r="E40" s="16">
        <v>0</v>
      </c>
      <c r="F40" s="16">
        <v>197883.65</v>
      </c>
      <c r="G40" s="16">
        <v>92839.55</v>
      </c>
      <c r="H40" s="16">
        <v>3518812.45</v>
      </c>
      <c r="I40" s="16">
        <v>541951.18999999994</v>
      </c>
      <c r="J40" s="16">
        <v>4699663.6000000006</v>
      </c>
      <c r="K40" s="16">
        <v>0</v>
      </c>
      <c r="L40" s="16">
        <v>0</v>
      </c>
      <c r="M40" s="16">
        <v>1039.69</v>
      </c>
      <c r="N40" s="18">
        <f t="shared" ref="N40:N71" si="1">SUM(B40:M40)</f>
        <v>97024538.103677154</v>
      </c>
    </row>
    <row r="41" spans="1:14" ht="15" x14ac:dyDescent="0.2">
      <c r="A41" s="17" t="s">
        <v>36</v>
      </c>
      <c r="B41" s="16">
        <v>71183730.849999994</v>
      </c>
      <c r="C41" s="16">
        <v>0</v>
      </c>
      <c r="D41" s="16">
        <v>5930510.4433903554</v>
      </c>
      <c r="E41" s="16">
        <v>0</v>
      </c>
      <c r="F41" s="16">
        <v>335030.74</v>
      </c>
      <c r="G41" s="16">
        <v>148715.21</v>
      </c>
      <c r="H41" s="16">
        <v>3645909.88</v>
      </c>
      <c r="I41" s="16">
        <v>917560.93</v>
      </c>
      <c r="J41" s="16">
        <v>4768511.3999999994</v>
      </c>
      <c r="K41" s="16">
        <v>0</v>
      </c>
      <c r="L41" s="16">
        <v>0</v>
      </c>
      <c r="M41" s="16">
        <v>1760.27</v>
      </c>
      <c r="N41" s="18">
        <f t="shared" si="1"/>
        <v>86931729.723390341</v>
      </c>
    </row>
    <row r="42" spans="1:14" ht="15" x14ac:dyDescent="0.2">
      <c r="A42" s="17" t="s">
        <v>37</v>
      </c>
      <c r="B42" s="16">
        <v>43853449.780000001</v>
      </c>
      <c r="C42" s="16">
        <v>0</v>
      </c>
      <c r="D42" s="16">
        <v>616752.48277995794</v>
      </c>
      <c r="E42" s="16">
        <v>0</v>
      </c>
      <c r="F42" s="16">
        <v>909960.04</v>
      </c>
      <c r="G42" s="16">
        <v>0</v>
      </c>
      <c r="H42" s="16">
        <v>2246099.27</v>
      </c>
      <c r="I42" s="16">
        <v>2492140.79</v>
      </c>
      <c r="J42" s="16">
        <v>7430887.4000000013</v>
      </c>
      <c r="K42" s="16">
        <v>0</v>
      </c>
      <c r="L42" s="16">
        <v>0</v>
      </c>
      <c r="M42" s="16">
        <v>4780.99</v>
      </c>
      <c r="N42" s="18">
        <f t="shared" si="1"/>
        <v>57554070.752779961</v>
      </c>
    </row>
    <row r="43" spans="1:14" ht="15" x14ac:dyDescent="0.2">
      <c r="A43" s="17" t="s">
        <v>38</v>
      </c>
      <c r="B43" s="16">
        <v>158083530.86000001</v>
      </c>
      <c r="C43" s="16">
        <v>0</v>
      </c>
      <c r="D43" s="16">
        <v>6383619.4103925666</v>
      </c>
      <c r="E43" s="16">
        <v>0</v>
      </c>
      <c r="F43" s="16">
        <v>3783953.46</v>
      </c>
      <c r="G43" s="16">
        <v>1175108.01</v>
      </c>
      <c r="H43" s="16">
        <v>8096770.1299999999</v>
      </c>
      <c r="I43" s="16">
        <v>10363251.48</v>
      </c>
      <c r="J43" s="16">
        <v>23002328.199999999</v>
      </c>
      <c r="K43" s="16">
        <v>0</v>
      </c>
      <c r="L43" s="16">
        <v>0</v>
      </c>
      <c r="M43" s="16">
        <v>19881.18</v>
      </c>
      <c r="N43" s="18">
        <f t="shared" si="1"/>
        <v>210908442.73039255</v>
      </c>
    </row>
    <row r="44" spans="1:14" ht="15" x14ac:dyDescent="0.2">
      <c r="A44" s="17" t="s">
        <v>39</v>
      </c>
      <c r="B44" s="16">
        <v>227396889.11999997</v>
      </c>
      <c r="C44" s="16">
        <v>0</v>
      </c>
      <c r="D44" s="16">
        <v>2640034.1305414233</v>
      </c>
      <c r="E44" s="16">
        <v>0</v>
      </c>
      <c r="F44" s="16">
        <v>4761180.88</v>
      </c>
      <c r="G44" s="16">
        <v>2169265.4393401993</v>
      </c>
      <c r="H44" s="16">
        <v>11646882.689999999</v>
      </c>
      <c r="I44" s="16">
        <v>13039619.91</v>
      </c>
      <c r="J44" s="16">
        <v>29858768.999999989</v>
      </c>
      <c r="K44" s="16">
        <v>0</v>
      </c>
      <c r="L44" s="16">
        <v>0</v>
      </c>
      <c r="M44" s="16">
        <v>25015.599999999999</v>
      </c>
      <c r="N44" s="18">
        <f t="shared" si="1"/>
        <v>291537656.76988161</v>
      </c>
    </row>
    <row r="45" spans="1:14" ht="15" x14ac:dyDescent="0.2">
      <c r="A45" s="17" t="s">
        <v>40</v>
      </c>
      <c r="B45" s="16">
        <v>64524771.930000007</v>
      </c>
      <c r="C45" s="16">
        <v>0</v>
      </c>
      <c r="D45" s="16">
        <v>7605071.1606653156</v>
      </c>
      <c r="E45" s="16">
        <v>0</v>
      </c>
      <c r="F45" s="16">
        <v>354623.18</v>
      </c>
      <c r="G45" s="16">
        <v>164188.46</v>
      </c>
      <c r="H45" s="16">
        <v>3304849.3</v>
      </c>
      <c r="I45" s="16">
        <v>971219.46</v>
      </c>
      <c r="J45" s="16">
        <v>4473397.0000000009</v>
      </c>
      <c r="K45" s="16">
        <v>0</v>
      </c>
      <c r="L45" s="16">
        <v>0</v>
      </c>
      <c r="M45" s="16">
        <v>1863.21</v>
      </c>
      <c r="N45" s="18">
        <f t="shared" si="1"/>
        <v>81399983.70066531</v>
      </c>
    </row>
    <row r="46" spans="1:14" ht="15" x14ac:dyDescent="0.2">
      <c r="A46" s="17" t="s">
        <v>41</v>
      </c>
      <c r="B46" s="16">
        <v>100544878.69999999</v>
      </c>
      <c r="C46" s="16">
        <v>0</v>
      </c>
      <c r="D46" s="16">
        <v>4144343.9105414236</v>
      </c>
      <c r="E46" s="16">
        <v>0</v>
      </c>
      <c r="F46" s="16">
        <v>2797147.51</v>
      </c>
      <c r="G46" s="16">
        <v>275403.41466336296</v>
      </c>
      <c r="H46" s="16">
        <v>5149738.03</v>
      </c>
      <c r="I46" s="16">
        <v>7660650</v>
      </c>
      <c r="J46" s="16">
        <v>19952796.599999994</v>
      </c>
      <c r="K46" s="16">
        <v>0</v>
      </c>
      <c r="L46" s="16">
        <v>0</v>
      </c>
      <c r="M46" s="16">
        <v>14696.42</v>
      </c>
      <c r="N46" s="18">
        <f t="shared" si="1"/>
        <v>140539654.58520475</v>
      </c>
    </row>
    <row r="47" spans="1:14" ht="15" x14ac:dyDescent="0.2">
      <c r="A47" s="17" t="s">
        <v>42</v>
      </c>
      <c r="B47" s="16">
        <v>299126917.08999997</v>
      </c>
      <c r="C47" s="16">
        <v>0</v>
      </c>
      <c r="D47" s="16">
        <v>3238478.7616521814</v>
      </c>
      <c r="E47" s="16">
        <v>0</v>
      </c>
      <c r="F47" s="16">
        <v>8719942.4600000009</v>
      </c>
      <c r="G47" s="16">
        <v>2404140.9474991029</v>
      </c>
      <c r="H47" s="16">
        <v>15320772.970000001</v>
      </c>
      <c r="I47" s="16">
        <v>23881624.75</v>
      </c>
      <c r="J47" s="16">
        <v>46101824.399999991</v>
      </c>
      <c r="K47" s="16">
        <v>0</v>
      </c>
      <c r="L47" s="16">
        <v>0</v>
      </c>
      <c r="M47" s="16">
        <v>45815.25</v>
      </c>
      <c r="N47" s="18">
        <f t="shared" si="1"/>
        <v>398839516.62915123</v>
      </c>
    </row>
    <row r="48" spans="1:14" ht="15" x14ac:dyDescent="0.2">
      <c r="A48" s="17" t="s">
        <v>43</v>
      </c>
      <c r="B48" s="16">
        <v>32708374.130000003</v>
      </c>
      <c r="C48" s="16">
        <v>0</v>
      </c>
      <c r="D48" s="16">
        <v>8234020.9070303328</v>
      </c>
      <c r="E48" s="16">
        <v>0</v>
      </c>
      <c r="F48" s="16">
        <v>75757.429999999993</v>
      </c>
      <c r="G48" s="16">
        <v>48998.65</v>
      </c>
      <c r="H48" s="16">
        <v>1675267.41</v>
      </c>
      <c r="I48" s="16">
        <v>207479.66</v>
      </c>
      <c r="J48" s="16">
        <v>2516658.5999999996</v>
      </c>
      <c r="K48" s="16">
        <v>0</v>
      </c>
      <c r="L48" s="16">
        <v>0</v>
      </c>
      <c r="M48" s="16">
        <v>398.03</v>
      </c>
      <c r="N48" s="18">
        <f t="shared" si="1"/>
        <v>45466954.817030333</v>
      </c>
    </row>
    <row r="49" spans="1:14" ht="15" x14ac:dyDescent="0.2">
      <c r="A49" s="17" t="s">
        <v>44</v>
      </c>
      <c r="B49" s="16">
        <v>53233091.159999996</v>
      </c>
      <c r="C49" s="16">
        <v>0</v>
      </c>
      <c r="D49" s="16">
        <v>13526862.041230783</v>
      </c>
      <c r="E49" s="16">
        <v>0</v>
      </c>
      <c r="F49" s="16">
        <v>447360.73</v>
      </c>
      <c r="G49" s="16">
        <v>217485.24</v>
      </c>
      <c r="H49" s="16">
        <v>2726508.58</v>
      </c>
      <c r="I49" s="16">
        <v>1225203.19</v>
      </c>
      <c r="J49" s="16">
        <v>5850893.3999999994</v>
      </c>
      <c r="K49" s="16">
        <v>0</v>
      </c>
      <c r="L49" s="16">
        <v>0</v>
      </c>
      <c r="M49" s="16">
        <v>2350.46</v>
      </c>
      <c r="N49" s="18">
        <f t="shared" si="1"/>
        <v>77229754.801230773</v>
      </c>
    </row>
    <row r="50" spans="1:14" ht="15" x14ac:dyDescent="0.2">
      <c r="A50" s="17" t="s">
        <v>45</v>
      </c>
      <c r="B50" s="16">
        <v>42370423.25</v>
      </c>
      <c r="C50" s="16">
        <v>0</v>
      </c>
      <c r="D50" s="16">
        <v>10823941.292587293</v>
      </c>
      <c r="E50" s="16">
        <v>0</v>
      </c>
      <c r="F50" s="16">
        <v>125391.62</v>
      </c>
      <c r="G50" s="16">
        <v>61033.41</v>
      </c>
      <c r="H50" s="16">
        <v>2170141.17</v>
      </c>
      <c r="I50" s="16">
        <v>343414.62</v>
      </c>
      <c r="J50" s="16">
        <v>4214398.2000000011</v>
      </c>
      <c r="K50" s="16">
        <v>0</v>
      </c>
      <c r="L50" s="16">
        <v>0</v>
      </c>
      <c r="M50" s="16">
        <v>658.81</v>
      </c>
      <c r="N50" s="18">
        <f t="shared" si="1"/>
        <v>60109402.372587293</v>
      </c>
    </row>
    <row r="51" spans="1:14" ht="15" x14ac:dyDescent="0.2">
      <c r="A51" s="17" t="s">
        <v>46</v>
      </c>
      <c r="B51" s="16">
        <v>41780916.320000008</v>
      </c>
      <c r="C51" s="16">
        <v>0</v>
      </c>
      <c r="D51" s="16">
        <v>13861965.341447493</v>
      </c>
      <c r="E51" s="16">
        <v>0</v>
      </c>
      <c r="F51" s="16">
        <v>156304.14000000001</v>
      </c>
      <c r="G51" s="16">
        <v>81664.42</v>
      </c>
      <c r="H51" s="16">
        <v>2139947.62</v>
      </c>
      <c r="I51" s="16">
        <v>428075.86</v>
      </c>
      <c r="J51" s="16">
        <v>2923397.5999999987</v>
      </c>
      <c r="K51" s="16">
        <v>0</v>
      </c>
      <c r="L51" s="16">
        <v>0</v>
      </c>
      <c r="M51" s="16">
        <v>821.23</v>
      </c>
      <c r="N51" s="18">
        <f t="shared" si="1"/>
        <v>61373092.5314475</v>
      </c>
    </row>
    <row r="52" spans="1:14" ht="15" x14ac:dyDescent="0.2">
      <c r="A52" s="17" t="s">
        <v>47</v>
      </c>
      <c r="B52" s="16">
        <v>45490797.50999999</v>
      </c>
      <c r="C52" s="16">
        <v>0</v>
      </c>
      <c r="D52" s="16">
        <v>9936100.3397133965</v>
      </c>
      <c r="E52" s="16">
        <v>0</v>
      </c>
      <c r="F52" s="16">
        <v>143895.59</v>
      </c>
      <c r="G52" s="16">
        <v>95418.43</v>
      </c>
      <c r="H52" s="16">
        <v>2329961.44</v>
      </c>
      <c r="I52" s="16">
        <v>394092.12</v>
      </c>
      <c r="J52" s="16">
        <v>3923312.4000000013</v>
      </c>
      <c r="K52" s="16">
        <v>0</v>
      </c>
      <c r="L52" s="16">
        <v>0</v>
      </c>
      <c r="M52" s="16">
        <v>756.03</v>
      </c>
      <c r="N52" s="18">
        <f t="shared" si="1"/>
        <v>62314333.859713383</v>
      </c>
    </row>
    <row r="53" spans="1:14" ht="15" x14ac:dyDescent="0.2">
      <c r="A53" s="17" t="s">
        <v>48</v>
      </c>
      <c r="B53" s="16">
        <v>16395082.119999999</v>
      </c>
      <c r="C53" s="16">
        <v>0</v>
      </c>
      <c r="D53" s="16">
        <v>8615162.7424504571</v>
      </c>
      <c r="E53" s="16">
        <v>0</v>
      </c>
      <c r="F53" s="16">
        <v>25034.78</v>
      </c>
      <c r="G53" s="16">
        <v>15473.26</v>
      </c>
      <c r="H53" s="16">
        <v>839728.28</v>
      </c>
      <c r="I53" s="16">
        <v>68563.679999999993</v>
      </c>
      <c r="J53" s="16">
        <v>1946554.1999999995</v>
      </c>
      <c r="K53" s="16">
        <v>0</v>
      </c>
      <c r="L53" s="16">
        <v>0</v>
      </c>
      <c r="M53" s="16">
        <v>131.53</v>
      </c>
      <c r="N53" s="18">
        <f t="shared" si="1"/>
        <v>27905730.592450462</v>
      </c>
    </row>
    <row r="54" spans="1:14" ht="15" x14ac:dyDescent="0.2">
      <c r="A54" s="17" t="s">
        <v>49</v>
      </c>
      <c r="B54" s="16">
        <v>56793280.780000009</v>
      </c>
      <c r="C54" s="16">
        <v>0</v>
      </c>
      <c r="D54" s="16">
        <v>13797578.935985593</v>
      </c>
      <c r="E54" s="16">
        <v>0</v>
      </c>
      <c r="F54" s="16">
        <v>85989.04</v>
      </c>
      <c r="G54" s="16">
        <v>59314.16</v>
      </c>
      <c r="H54" s="16">
        <v>2908855.45</v>
      </c>
      <c r="I54" s="16">
        <v>235501.34</v>
      </c>
      <c r="J54" s="16">
        <v>4498508.8</v>
      </c>
      <c r="K54" s="16">
        <v>0</v>
      </c>
      <c r="L54" s="16">
        <v>0</v>
      </c>
      <c r="M54" s="16">
        <v>451.79</v>
      </c>
      <c r="N54" s="18">
        <f t="shared" si="1"/>
        <v>78379480.295985609</v>
      </c>
    </row>
    <row r="55" spans="1:14" ht="15" x14ac:dyDescent="0.2">
      <c r="A55" s="17" t="s">
        <v>50</v>
      </c>
      <c r="B55" s="16">
        <v>20881198.819999997</v>
      </c>
      <c r="C55" s="16">
        <v>0</v>
      </c>
      <c r="D55" s="16">
        <v>4390966.5125832148</v>
      </c>
      <c r="E55" s="16">
        <v>0</v>
      </c>
      <c r="F55" s="16">
        <v>158698.76999999999</v>
      </c>
      <c r="G55" s="16">
        <v>81664.42</v>
      </c>
      <c r="H55" s="16">
        <v>1069499.57</v>
      </c>
      <c r="I55" s="16">
        <v>434634.12</v>
      </c>
      <c r="J55" s="16">
        <v>3218215.4</v>
      </c>
      <c r="K55" s="16">
        <v>0</v>
      </c>
      <c r="L55" s="16">
        <v>0</v>
      </c>
      <c r="M55" s="16">
        <v>833.81</v>
      </c>
      <c r="N55" s="18">
        <f t="shared" si="1"/>
        <v>30235711.422583211</v>
      </c>
    </row>
    <row r="56" spans="1:14" ht="15" x14ac:dyDescent="0.2">
      <c r="A56" s="17" t="s">
        <v>51</v>
      </c>
      <c r="B56" s="16">
        <v>20018543.449999996</v>
      </c>
      <c r="C56" s="16">
        <v>0</v>
      </c>
      <c r="D56" s="16">
        <v>5039549.7647248562</v>
      </c>
      <c r="E56" s="16">
        <v>0</v>
      </c>
      <c r="F56" s="16">
        <v>44844.92</v>
      </c>
      <c r="G56" s="16">
        <v>20631.009999999998</v>
      </c>
      <c r="H56" s="16">
        <v>1025315.82</v>
      </c>
      <c r="I56" s="16">
        <v>122818.42</v>
      </c>
      <c r="J56" s="16">
        <v>2617558.5999999996</v>
      </c>
      <c r="K56" s="16">
        <v>0</v>
      </c>
      <c r="L56" s="16">
        <v>0</v>
      </c>
      <c r="M56" s="16">
        <v>235.61</v>
      </c>
      <c r="N56" s="18">
        <f t="shared" si="1"/>
        <v>28889497.594724856</v>
      </c>
    </row>
    <row r="57" spans="1:14" ht="15" x14ac:dyDescent="0.2">
      <c r="A57" s="17" t="s">
        <v>52</v>
      </c>
      <c r="B57" s="16">
        <v>55225377.550000004</v>
      </c>
      <c r="C57" s="16">
        <v>0</v>
      </c>
      <c r="D57" s="16">
        <v>9062813.8604086656</v>
      </c>
      <c r="E57" s="16">
        <v>0</v>
      </c>
      <c r="F57" s="16">
        <v>230320.03</v>
      </c>
      <c r="G57" s="16">
        <v>108312.81</v>
      </c>
      <c r="H57" s="16">
        <v>2828550.11</v>
      </c>
      <c r="I57" s="16">
        <v>630785.87</v>
      </c>
      <c r="J57" s="16">
        <v>5550686.9999999991</v>
      </c>
      <c r="K57" s="16">
        <v>0</v>
      </c>
      <c r="L57" s="16">
        <v>0</v>
      </c>
      <c r="M57" s="16">
        <v>1210.1099999999999</v>
      </c>
      <c r="N57" s="18">
        <f t="shared" si="1"/>
        <v>73638057.340408683</v>
      </c>
    </row>
    <row r="58" spans="1:14" ht="15" x14ac:dyDescent="0.2">
      <c r="A58" s="17" t="s">
        <v>53</v>
      </c>
      <c r="B58" s="16">
        <v>44177524.280000001</v>
      </c>
      <c r="C58" s="16">
        <v>0</v>
      </c>
      <c r="D58" s="16">
        <v>5968865.9731246373</v>
      </c>
      <c r="E58" s="16">
        <v>0</v>
      </c>
      <c r="F58" s="16">
        <v>134099.37</v>
      </c>
      <c r="G58" s="16">
        <v>61893.03</v>
      </c>
      <c r="H58" s="16">
        <v>2262697.81</v>
      </c>
      <c r="I58" s="16">
        <v>367262.85</v>
      </c>
      <c r="J58" s="16">
        <v>3108212.4000000013</v>
      </c>
      <c r="K58" s="16">
        <v>0</v>
      </c>
      <c r="L58" s="16">
        <v>0</v>
      </c>
      <c r="M58" s="16">
        <v>704.56</v>
      </c>
      <c r="N58" s="18">
        <f t="shared" si="1"/>
        <v>56081260.273124643</v>
      </c>
    </row>
    <row r="59" spans="1:14" ht="15" x14ac:dyDescent="0.2">
      <c r="A59" s="17" t="s">
        <v>54</v>
      </c>
      <c r="B59" s="16">
        <v>49140493.43</v>
      </c>
      <c r="C59" s="16">
        <v>0</v>
      </c>
      <c r="D59" s="16">
        <v>14687679.128480777</v>
      </c>
      <c r="E59" s="16">
        <v>0</v>
      </c>
      <c r="F59" s="16">
        <v>130616.27</v>
      </c>
      <c r="G59" s="16">
        <v>61893.03</v>
      </c>
      <c r="H59" s="16">
        <v>2516892.67</v>
      </c>
      <c r="I59" s="16">
        <v>357723.56</v>
      </c>
      <c r="J59" s="16">
        <v>3645392.5999999987</v>
      </c>
      <c r="K59" s="16">
        <v>0</v>
      </c>
      <c r="L59" s="16">
        <v>0</v>
      </c>
      <c r="M59" s="16">
        <v>686.26</v>
      </c>
      <c r="N59" s="18">
        <f t="shared" si="1"/>
        <v>70541376.948480785</v>
      </c>
    </row>
    <row r="60" spans="1:14" ht="15" x14ac:dyDescent="0.2">
      <c r="A60" s="17" t="s">
        <v>55</v>
      </c>
      <c r="B60" s="16">
        <v>348407842.88999999</v>
      </c>
      <c r="C60" s="16">
        <v>0</v>
      </c>
      <c r="D60" s="16">
        <v>27481739.586033478</v>
      </c>
      <c r="E60" s="16">
        <v>0</v>
      </c>
      <c r="F60" s="16">
        <v>7184983.54</v>
      </c>
      <c r="G60" s="16">
        <v>3405836.08</v>
      </c>
      <c r="H60" s="16">
        <v>17844858.34</v>
      </c>
      <c r="I60" s="16">
        <v>19677776.739999998</v>
      </c>
      <c r="J60" s="16">
        <v>59622759.000000022</v>
      </c>
      <c r="K60" s="16">
        <v>0</v>
      </c>
      <c r="L60" s="16">
        <v>0</v>
      </c>
      <c r="M60" s="16">
        <v>37750.449999999997</v>
      </c>
      <c r="N60" s="18">
        <f t="shared" si="1"/>
        <v>483663546.62603343</v>
      </c>
    </row>
    <row r="61" spans="1:14" ht="15" x14ac:dyDescent="0.2">
      <c r="A61" s="17" t="s">
        <v>56</v>
      </c>
      <c r="B61" s="16">
        <v>54475376.659999996</v>
      </c>
      <c r="C61" s="16">
        <v>0</v>
      </c>
      <c r="D61" s="16">
        <v>4035332.4065887569</v>
      </c>
      <c r="E61" s="16">
        <v>0</v>
      </c>
      <c r="F61" s="16">
        <v>1282651.81</v>
      </c>
      <c r="G61" s="16">
        <v>326483.88514175196</v>
      </c>
      <c r="H61" s="16">
        <v>2790136.33</v>
      </c>
      <c r="I61" s="16">
        <v>3512845.34</v>
      </c>
      <c r="J61" s="16">
        <v>14010263.000000006</v>
      </c>
      <c r="K61" s="16">
        <v>0</v>
      </c>
      <c r="L61" s="16">
        <v>0</v>
      </c>
      <c r="M61" s="16">
        <v>6739.15</v>
      </c>
      <c r="N61" s="18">
        <f t="shared" si="1"/>
        <v>80439828.581730515</v>
      </c>
    </row>
    <row r="62" spans="1:14" ht="15" x14ac:dyDescent="0.2">
      <c r="A62" s="17" t="s">
        <v>57</v>
      </c>
      <c r="B62" s="16">
        <v>328773559.10000002</v>
      </c>
      <c r="C62" s="16">
        <v>0</v>
      </c>
      <c r="D62" s="16">
        <v>3288436.5799999996</v>
      </c>
      <c r="E62" s="16">
        <v>0</v>
      </c>
      <c r="F62" s="16">
        <v>5751252.2400000002</v>
      </c>
      <c r="G62" s="16">
        <v>0</v>
      </c>
      <c r="H62" s="16">
        <v>16839223.649999999</v>
      </c>
      <c r="I62" s="16">
        <v>15751164.48</v>
      </c>
      <c r="J62" s="16">
        <v>29549477.199999992</v>
      </c>
      <c r="K62" s="16">
        <v>0</v>
      </c>
      <c r="L62" s="16">
        <v>0</v>
      </c>
      <c r="M62" s="16">
        <v>30217.51</v>
      </c>
      <c r="N62" s="18">
        <f t="shared" si="1"/>
        <v>399983330.75999999</v>
      </c>
    </row>
    <row r="63" spans="1:14" ht="15" x14ac:dyDescent="0.2">
      <c r="A63" s="17" t="s">
        <v>58</v>
      </c>
      <c r="B63" s="16">
        <v>49575679.140000001</v>
      </c>
      <c r="C63" s="16">
        <v>0</v>
      </c>
      <c r="D63" s="16">
        <v>14634341.484378343</v>
      </c>
      <c r="E63" s="16">
        <v>0</v>
      </c>
      <c r="F63" s="16">
        <v>202672.91</v>
      </c>
      <c r="G63" s="16">
        <v>99716.55</v>
      </c>
      <c r="H63" s="16">
        <v>2539182.14</v>
      </c>
      <c r="I63" s="16">
        <v>555067.72</v>
      </c>
      <c r="J63" s="16">
        <v>4155525.4</v>
      </c>
      <c r="K63" s="16">
        <v>0</v>
      </c>
      <c r="L63" s="16">
        <v>0</v>
      </c>
      <c r="M63" s="16">
        <v>1064.8499999999999</v>
      </c>
      <c r="N63" s="18">
        <f t="shared" si="1"/>
        <v>71763250.194378346</v>
      </c>
    </row>
    <row r="64" spans="1:14" ht="15" x14ac:dyDescent="0.2">
      <c r="A64" s="17" t="s">
        <v>59</v>
      </c>
      <c r="B64" s="16">
        <v>105010933.64</v>
      </c>
      <c r="C64" s="16">
        <v>0</v>
      </c>
      <c r="D64" s="16">
        <v>47445476.265961759</v>
      </c>
      <c r="E64" s="16">
        <v>0</v>
      </c>
      <c r="F64" s="16">
        <v>370950.21</v>
      </c>
      <c r="G64" s="16">
        <v>170205.84</v>
      </c>
      <c r="H64" s="16">
        <v>5378481.7800000003</v>
      </c>
      <c r="I64" s="16">
        <v>1015934.91</v>
      </c>
      <c r="J64" s="16">
        <v>8664026.5999999996</v>
      </c>
      <c r="K64" s="16">
        <v>0</v>
      </c>
      <c r="L64" s="16">
        <v>0</v>
      </c>
      <c r="M64" s="16">
        <v>1949</v>
      </c>
      <c r="N64" s="18">
        <f t="shared" si="1"/>
        <v>168057958.24596176</v>
      </c>
    </row>
    <row r="65" spans="1:14" ht="15" x14ac:dyDescent="0.2">
      <c r="A65" s="17" t="s">
        <v>60</v>
      </c>
      <c r="B65" s="16">
        <v>57555627.430000007</v>
      </c>
      <c r="C65" s="16">
        <v>0</v>
      </c>
      <c r="D65" s="16">
        <v>12093010.382102821</v>
      </c>
      <c r="E65" s="16">
        <v>0</v>
      </c>
      <c r="F65" s="16">
        <v>80764.39</v>
      </c>
      <c r="G65" s="16">
        <v>65331.54</v>
      </c>
      <c r="H65" s="16">
        <v>2947901.55</v>
      </c>
      <c r="I65" s="16">
        <v>221192.4</v>
      </c>
      <c r="J65" s="16">
        <v>5004107.4000000013</v>
      </c>
      <c r="K65" s="16">
        <v>0</v>
      </c>
      <c r="L65" s="16">
        <v>0</v>
      </c>
      <c r="M65" s="16">
        <v>424.34</v>
      </c>
      <c r="N65" s="18">
        <f t="shared" si="1"/>
        <v>77968359.432102844</v>
      </c>
    </row>
    <row r="66" spans="1:14" ht="15" x14ac:dyDescent="0.2">
      <c r="A66" s="17" t="s">
        <v>61</v>
      </c>
      <c r="B66" s="16">
        <v>31893558.310000002</v>
      </c>
      <c r="C66" s="16">
        <v>0</v>
      </c>
      <c r="D66" s="16">
        <v>9684966.5444142073</v>
      </c>
      <c r="E66" s="16">
        <v>0</v>
      </c>
      <c r="F66" s="16">
        <v>79022.84</v>
      </c>
      <c r="G66" s="16">
        <v>52437.15</v>
      </c>
      <c r="H66" s="16">
        <v>1633533.93</v>
      </c>
      <c r="I66" s="16">
        <v>216422.75</v>
      </c>
      <c r="J66" s="16">
        <v>2254084.8000000003</v>
      </c>
      <c r="K66" s="16">
        <v>0</v>
      </c>
      <c r="L66" s="16">
        <v>0</v>
      </c>
      <c r="M66" s="16">
        <v>415.19</v>
      </c>
      <c r="N66" s="18">
        <f t="shared" si="1"/>
        <v>45814441.514414206</v>
      </c>
    </row>
    <row r="67" spans="1:14" ht="15" x14ac:dyDescent="0.2">
      <c r="A67" s="17" t="s">
        <v>62</v>
      </c>
      <c r="B67" s="16">
        <v>145921478.63</v>
      </c>
      <c r="C67" s="16">
        <v>0</v>
      </c>
      <c r="D67" s="16">
        <v>1060876.4200000002</v>
      </c>
      <c r="E67" s="16">
        <v>0</v>
      </c>
      <c r="F67" s="16">
        <v>2123385.2200000002</v>
      </c>
      <c r="G67" s="16">
        <v>1064072.6010789378</v>
      </c>
      <c r="H67" s="16">
        <v>7473850.46</v>
      </c>
      <c r="I67" s="16">
        <v>5815392.6500000004</v>
      </c>
      <c r="J67" s="16">
        <v>14413636.400000004</v>
      </c>
      <c r="K67" s="16">
        <v>0</v>
      </c>
      <c r="L67" s="16">
        <v>0</v>
      </c>
      <c r="M67" s="16">
        <v>11156.42</v>
      </c>
      <c r="N67" s="18">
        <f t="shared" si="1"/>
        <v>177883848.80107892</v>
      </c>
    </row>
    <row r="68" spans="1:14" ht="15" x14ac:dyDescent="0.2">
      <c r="A68" s="17" t="s">
        <v>63</v>
      </c>
      <c r="B68" s="16">
        <v>89918322.189999998</v>
      </c>
      <c r="C68" s="16">
        <v>0</v>
      </c>
      <c r="D68" s="16">
        <v>1259653.32</v>
      </c>
      <c r="E68" s="16">
        <v>0</v>
      </c>
      <c r="F68" s="16">
        <v>1872601.98</v>
      </c>
      <c r="G68" s="16">
        <v>1042967.4674795545</v>
      </c>
      <c r="H68" s="16">
        <v>4605463.84</v>
      </c>
      <c r="I68" s="16">
        <v>5128563.41</v>
      </c>
      <c r="J68" s="16">
        <v>12529721.6</v>
      </c>
      <c r="K68" s="16">
        <v>0</v>
      </c>
      <c r="L68" s="16">
        <v>0</v>
      </c>
      <c r="M68" s="16">
        <v>9838.7900000000009</v>
      </c>
      <c r="N68" s="18">
        <f t="shared" si="1"/>
        <v>116367132.59747955</v>
      </c>
    </row>
    <row r="69" spans="1:14" ht="15" x14ac:dyDescent="0.2">
      <c r="A69" s="17" t="s">
        <v>64</v>
      </c>
      <c r="B69" s="16">
        <v>282407760.37</v>
      </c>
      <c r="C69" s="16">
        <v>0</v>
      </c>
      <c r="D69" s="16">
        <v>926481.60807211394</v>
      </c>
      <c r="E69" s="16">
        <v>0</v>
      </c>
      <c r="F69" s="16">
        <v>5526592.25</v>
      </c>
      <c r="G69" s="16">
        <v>1071513.9346306985</v>
      </c>
      <c r="H69" s="16">
        <v>14464446.140000001</v>
      </c>
      <c r="I69" s="16">
        <v>15135879.960000001</v>
      </c>
      <c r="J69" s="16">
        <v>27424978.800000004</v>
      </c>
      <c r="K69" s="16">
        <v>0</v>
      </c>
      <c r="L69" s="16">
        <v>0</v>
      </c>
      <c r="M69" s="16">
        <v>29037.13</v>
      </c>
      <c r="N69" s="18">
        <f t="shared" si="1"/>
        <v>346986690.19270277</v>
      </c>
    </row>
    <row r="70" spans="1:14" ht="15" x14ac:dyDescent="0.2">
      <c r="A70" s="17" t="s">
        <v>65</v>
      </c>
      <c r="B70" s="16">
        <v>64154401.100000001</v>
      </c>
      <c r="C70" s="16">
        <v>0</v>
      </c>
      <c r="D70" s="16">
        <v>19034809.136272196</v>
      </c>
      <c r="E70" s="16">
        <v>0</v>
      </c>
      <c r="F70" s="16">
        <v>1227357.58</v>
      </c>
      <c r="G70" s="16">
        <v>496863.52</v>
      </c>
      <c r="H70" s="16">
        <v>3285879.54</v>
      </c>
      <c r="I70" s="16">
        <v>3361409.04</v>
      </c>
      <c r="J70" s="16">
        <v>12030662.399999995</v>
      </c>
      <c r="K70" s="16">
        <v>0</v>
      </c>
      <c r="L70" s="16">
        <v>0</v>
      </c>
      <c r="M70" s="16">
        <v>6448.63</v>
      </c>
      <c r="N70" s="18">
        <f t="shared" si="1"/>
        <v>103597830.94627219</v>
      </c>
    </row>
    <row r="71" spans="1:14" ht="15" x14ac:dyDescent="0.2">
      <c r="A71" s="17" t="s">
        <v>66</v>
      </c>
      <c r="B71" s="16">
        <v>211890696.90000001</v>
      </c>
      <c r="C71" s="16">
        <v>0</v>
      </c>
      <c r="D71" s="16">
        <v>1722664.6200000003</v>
      </c>
      <c r="E71" s="16">
        <v>0</v>
      </c>
      <c r="F71" s="16">
        <v>772812.95</v>
      </c>
      <c r="G71" s="16">
        <v>383392.96</v>
      </c>
      <c r="H71" s="16">
        <v>10852681.84</v>
      </c>
      <c r="I71" s="16">
        <v>2116531.0499999998</v>
      </c>
      <c r="J71" s="16">
        <v>9640434</v>
      </c>
      <c r="K71" s="16">
        <v>0</v>
      </c>
      <c r="L71" s="16">
        <v>0</v>
      </c>
      <c r="M71" s="16">
        <v>4060.41</v>
      </c>
      <c r="N71" s="18">
        <f t="shared" si="1"/>
        <v>237383274.73000002</v>
      </c>
    </row>
    <row r="72" spans="1:14" ht="15" x14ac:dyDescent="0.2">
      <c r="A72" s="17" t="s">
        <v>67</v>
      </c>
      <c r="B72" s="16">
        <v>1134637220.9199998</v>
      </c>
      <c r="C72" s="16">
        <v>0</v>
      </c>
      <c r="D72" s="16">
        <v>7413827.4999700459</v>
      </c>
      <c r="E72" s="16">
        <v>0</v>
      </c>
      <c r="F72" s="16">
        <v>22486680.699999999</v>
      </c>
      <c r="G72" s="16">
        <v>0</v>
      </c>
      <c r="H72" s="16">
        <v>58114192.560000002</v>
      </c>
      <c r="I72" s="16">
        <v>61585091.590000004</v>
      </c>
      <c r="J72" s="16">
        <v>144191610.59999999</v>
      </c>
      <c r="K72" s="16">
        <v>0</v>
      </c>
      <c r="L72" s="16">
        <v>0</v>
      </c>
      <c r="M72" s="16">
        <v>118146.75</v>
      </c>
      <c r="N72" s="18">
        <f t="shared" ref="N72:N103" si="2">SUM(B72:M72)</f>
        <v>1428546770.6199696</v>
      </c>
    </row>
    <row r="73" spans="1:14" ht="15" x14ac:dyDescent="0.2">
      <c r="A73" s="17" t="s">
        <v>68</v>
      </c>
      <c r="B73" s="16">
        <v>451042230.49000001</v>
      </c>
      <c r="C73" s="16">
        <v>0</v>
      </c>
      <c r="D73" s="16">
        <v>17382219.485957474</v>
      </c>
      <c r="E73" s="16">
        <v>0</v>
      </c>
      <c r="F73" s="16">
        <v>8346379.9100000001</v>
      </c>
      <c r="G73" s="16">
        <v>4501041.9698277181</v>
      </c>
      <c r="H73" s="16">
        <v>23101617.469999999</v>
      </c>
      <c r="I73" s="16">
        <v>22858535.379999999</v>
      </c>
      <c r="J73" s="16">
        <v>63070153.400000021</v>
      </c>
      <c r="K73" s="16">
        <v>0</v>
      </c>
      <c r="L73" s="16">
        <v>0</v>
      </c>
      <c r="M73" s="16">
        <v>43852.51</v>
      </c>
      <c r="N73" s="18">
        <f t="shared" si="2"/>
        <v>590346030.61578524</v>
      </c>
    </row>
    <row r="74" spans="1:14" ht="15" x14ac:dyDescent="0.2">
      <c r="A74" s="17" t="s">
        <v>69</v>
      </c>
      <c r="B74" s="16">
        <v>279528127.14999998</v>
      </c>
      <c r="C74" s="16">
        <v>0</v>
      </c>
      <c r="D74" s="16">
        <v>3084223.38</v>
      </c>
      <c r="E74" s="16">
        <v>0</v>
      </c>
      <c r="F74" s="16">
        <v>6059724.3399999999</v>
      </c>
      <c r="G74" s="16">
        <v>7727647.8238179702</v>
      </c>
      <c r="H74" s="16">
        <v>14316956.220000001</v>
      </c>
      <c r="I74" s="16">
        <v>16595988.279999999</v>
      </c>
      <c r="J74" s="16">
        <v>34734039.799999982</v>
      </c>
      <c r="K74" s="16">
        <v>0</v>
      </c>
      <c r="L74" s="16">
        <v>0</v>
      </c>
      <c r="M74" s="16">
        <v>31838.25</v>
      </c>
      <c r="N74" s="18">
        <f t="shared" si="2"/>
        <v>362078545.24381793</v>
      </c>
    </row>
    <row r="75" spans="1:14" ht="15" x14ac:dyDescent="0.2">
      <c r="A75" s="17" t="s">
        <v>70</v>
      </c>
      <c r="B75" s="16">
        <v>47118885.960000008</v>
      </c>
      <c r="C75" s="16">
        <v>0</v>
      </c>
      <c r="D75" s="16">
        <v>10345298.319004271</v>
      </c>
      <c r="E75" s="16">
        <v>0</v>
      </c>
      <c r="F75" s="16">
        <v>110153.05</v>
      </c>
      <c r="G75" s="16">
        <v>55875.66</v>
      </c>
      <c r="H75" s="16">
        <v>2413349.37</v>
      </c>
      <c r="I75" s="16">
        <v>301680.2</v>
      </c>
      <c r="J75" s="16">
        <v>4053579.0000000014</v>
      </c>
      <c r="K75" s="16">
        <v>0</v>
      </c>
      <c r="L75" s="16">
        <v>0</v>
      </c>
      <c r="M75" s="16">
        <v>578.75</v>
      </c>
      <c r="N75" s="18">
        <f t="shared" si="2"/>
        <v>64399400.30900427</v>
      </c>
    </row>
    <row r="76" spans="1:14" ht="15" x14ac:dyDescent="0.2">
      <c r="A76" s="17" t="s">
        <v>71</v>
      </c>
      <c r="B76" s="16">
        <v>42571040.759999998</v>
      </c>
      <c r="C76" s="16">
        <v>0</v>
      </c>
      <c r="D76" s="16">
        <v>14581553.796112441</v>
      </c>
      <c r="E76" s="16">
        <v>0</v>
      </c>
      <c r="F76" s="16">
        <v>198319.04</v>
      </c>
      <c r="G76" s="16">
        <v>131522.70000000001</v>
      </c>
      <c r="H76" s="16">
        <v>2180416.46</v>
      </c>
      <c r="I76" s="16">
        <v>543143.6</v>
      </c>
      <c r="J76" s="16">
        <v>5849568.0000000009</v>
      </c>
      <c r="K76" s="16">
        <v>0</v>
      </c>
      <c r="L76" s="16">
        <v>0</v>
      </c>
      <c r="M76" s="16">
        <v>1041.98</v>
      </c>
      <c r="N76" s="18">
        <f t="shared" si="2"/>
        <v>66056606.33611244</v>
      </c>
    </row>
    <row r="77" spans="1:14" ht="15" x14ac:dyDescent="0.2">
      <c r="A77" s="17" t="s">
        <v>72</v>
      </c>
      <c r="B77" s="16">
        <v>57788652.409999996</v>
      </c>
      <c r="C77" s="16">
        <v>0</v>
      </c>
      <c r="D77" s="16">
        <v>12455957.852217648</v>
      </c>
      <c r="E77" s="16">
        <v>0</v>
      </c>
      <c r="F77" s="16">
        <v>232932.35</v>
      </c>
      <c r="G77" s="16">
        <v>92839.55</v>
      </c>
      <c r="H77" s="16">
        <v>2959836.69</v>
      </c>
      <c r="I77" s="16">
        <v>637940.35</v>
      </c>
      <c r="J77" s="16">
        <v>3672840.9999999986</v>
      </c>
      <c r="K77" s="16">
        <v>0</v>
      </c>
      <c r="L77" s="16">
        <v>0</v>
      </c>
      <c r="M77" s="16">
        <v>1223.8399999999999</v>
      </c>
      <c r="N77" s="18">
        <f t="shared" si="2"/>
        <v>77842224.042217627</v>
      </c>
    </row>
    <row r="78" spans="1:14" ht="15" x14ac:dyDescent="0.2">
      <c r="A78" s="17" t="s">
        <v>73</v>
      </c>
      <c r="B78" s="16">
        <v>22202188.149999999</v>
      </c>
      <c r="C78" s="16">
        <v>0</v>
      </c>
      <c r="D78" s="16">
        <v>5048973.0566976732</v>
      </c>
      <c r="E78" s="16">
        <v>0</v>
      </c>
      <c r="F78" s="16">
        <v>82723.64</v>
      </c>
      <c r="G78" s="16">
        <v>30946.52</v>
      </c>
      <c r="H78" s="16">
        <v>1137158.3999999999</v>
      </c>
      <c r="I78" s="16">
        <v>226558.25</v>
      </c>
      <c r="J78" s="16">
        <v>1634611.6000000003</v>
      </c>
      <c r="K78" s="16">
        <v>0</v>
      </c>
      <c r="L78" s="16">
        <v>0</v>
      </c>
      <c r="M78" s="16">
        <v>434.63</v>
      </c>
      <c r="N78" s="18">
        <f t="shared" si="2"/>
        <v>30363594.246697672</v>
      </c>
    </row>
    <row r="79" spans="1:14" ht="15" x14ac:dyDescent="0.2">
      <c r="A79" s="17" t="s">
        <v>74</v>
      </c>
      <c r="B79" s="16">
        <v>92405979.639999986</v>
      </c>
      <c r="C79" s="16">
        <v>0</v>
      </c>
      <c r="D79" s="16">
        <v>34584849.345874846</v>
      </c>
      <c r="E79" s="16">
        <v>0</v>
      </c>
      <c r="F79" s="16">
        <v>415795.13</v>
      </c>
      <c r="G79" s="16">
        <v>230379.62</v>
      </c>
      <c r="H79" s="16">
        <v>4732877.43</v>
      </c>
      <c r="I79" s="16">
        <v>1138753.33</v>
      </c>
      <c r="J79" s="16">
        <v>8981183.2000000011</v>
      </c>
      <c r="K79" s="16">
        <v>0</v>
      </c>
      <c r="L79" s="16">
        <v>0</v>
      </c>
      <c r="M79" s="16">
        <v>2184.61</v>
      </c>
      <c r="N79" s="18">
        <f t="shared" si="2"/>
        <v>142492002.30587485</v>
      </c>
    </row>
    <row r="80" spans="1:14" ht="15" x14ac:dyDescent="0.2">
      <c r="A80" s="17" t="s">
        <v>75</v>
      </c>
      <c r="B80" s="16">
        <v>56409021.049999997</v>
      </c>
      <c r="C80" s="16">
        <v>0</v>
      </c>
      <c r="D80" s="16">
        <v>35348460.606288292</v>
      </c>
      <c r="E80" s="16">
        <v>0</v>
      </c>
      <c r="F80" s="16">
        <v>134534.76</v>
      </c>
      <c r="G80" s="16">
        <v>96278.05</v>
      </c>
      <c r="H80" s="16">
        <v>2889174.32</v>
      </c>
      <c r="I80" s="16">
        <v>368455.27</v>
      </c>
      <c r="J80" s="16">
        <v>5949351.9999999991</v>
      </c>
      <c r="K80" s="16">
        <v>0</v>
      </c>
      <c r="L80" s="16">
        <v>0</v>
      </c>
      <c r="M80" s="16">
        <v>706.85</v>
      </c>
      <c r="N80" s="18">
        <f t="shared" si="2"/>
        <v>101195982.90628828</v>
      </c>
    </row>
    <row r="81" spans="1:14" ht="15" x14ac:dyDescent="0.2">
      <c r="A81" s="17" t="s">
        <v>76</v>
      </c>
      <c r="B81" s="16">
        <v>27299416.73</v>
      </c>
      <c r="C81" s="16">
        <v>0</v>
      </c>
      <c r="D81" s="16">
        <v>9922281.8324114364</v>
      </c>
      <c r="E81" s="16">
        <v>0</v>
      </c>
      <c r="F81" s="16">
        <v>349398.53</v>
      </c>
      <c r="G81" s="16">
        <v>198573.48</v>
      </c>
      <c r="H81" s="16">
        <v>1398229.79</v>
      </c>
      <c r="I81" s="16">
        <v>956910.52</v>
      </c>
      <c r="J81" s="16">
        <v>6793243.2000000011</v>
      </c>
      <c r="K81" s="16">
        <v>0</v>
      </c>
      <c r="L81" s="16">
        <v>0</v>
      </c>
      <c r="M81" s="16">
        <v>1835.76</v>
      </c>
      <c r="N81" s="18">
        <f t="shared" si="2"/>
        <v>46919889.842411436</v>
      </c>
    </row>
    <row r="82" spans="1:14" ht="15" x14ac:dyDescent="0.2">
      <c r="A82" s="17" t="s">
        <v>77</v>
      </c>
      <c r="B82" s="16">
        <v>380969612.00999999</v>
      </c>
      <c r="C82" s="16">
        <v>0</v>
      </c>
      <c r="D82" s="16">
        <v>3951558.2399999993</v>
      </c>
      <c r="E82" s="16">
        <v>0</v>
      </c>
      <c r="F82" s="16">
        <v>10069861.65</v>
      </c>
      <c r="G82" s="16">
        <v>7939427.1569913775</v>
      </c>
      <c r="H82" s="16">
        <v>19512616.890000001</v>
      </c>
      <c r="I82" s="16">
        <v>27578697.73</v>
      </c>
      <c r="J82" s="16">
        <v>56153723.400000021</v>
      </c>
      <c r="K82" s="16">
        <v>0</v>
      </c>
      <c r="L82" s="16">
        <v>0</v>
      </c>
      <c r="M82" s="16">
        <v>52907.83</v>
      </c>
      <c r="N82" s="18">
        <f t="shared" si="2"/>
        <v>506228404.90699136</v>
      </c>
    </row>
    <row r="83" spans="1:14" ht="15" x14ac:dyDescent="0.2">
      <c r="A83" s="17" t="s">
        <v>78</v>
      </c>
      <c r="B83" s="16">
        <v>118541814.75</v>
      </c>
      <c r="C83" s="16">
        <v>0</v>
      </c>
      <c r="D83" s="16">
        <v>9623327.5988642778</v>
      </c>
      <c r="E83" s="16">
        <v>0</v>
      </c>
      <c r="F83" s="16">
        <v>1115027.5900000001</v>
      </c>
      <c r="G83" s="16">
        <v>584545.31000000006</v>
      </c>
      <c r="H83" s="16">
        <v>6071510.5499999998</v>
      </c>
      <c r="I83" s="16">
        <v>3053766.78</v>
      </c>
      <c r="J83" s="16">
        <v>12260625.799999997</v>
      </c>
      <c r="K83" s="16">
        <v>0</v>
      </c>
      <c r="L83" s="16">
        <v>0</v>
      </c>
      <c r="M83" s="16">
        <v>5858.44</v>
      </c>
      <c r="N83" s="18">
        <f t="shared" si="2"/>
        <v>151256476.81886429</v>
      </c>
    </row>
    <row r="84" spans="1:14" ht="15" x14ac:dyDescent="0.2">
      <c r="A84" s="17" t="s">
        <v>79</v>
      </c>
      <c r="B84" s="16">
        <v>44061783.379999995</v>
      </c>
      <c r="C84" s="16">
        <v>0</v>
      </c>
      <c r="D84" s="16">
        <v>9050384.3606373966</v>
      </c>
      <c r="E84" s="16">
        <v>0</v>
      </c>
      <c r="F84" s="16">
        <v>223789.21</v>
      </c>
      <c r="G84" s="16">
        <v>54123.238777972685</v>
      </c>
      <c r="H84" s="16">
        <v>2256769.7599999998</v>
      </c>
      <c r="I84" s="16">
        <v>612899.69999999995</v>
      </c>
      <c r="J84" s="16">
        <v>4965045</v>
      </c>
      <c r="K84" s="16">
        <v>0</v>
      </c>
      <c r="L84" s="16">
        <v>0</v>
      </c>
      <c r="M84" s="16">
        <v>1175.8</v>
      </c>
      <c r="N84" s="18">
        <f t="shared" si="2"/>
        <v>61225970.449415363</v>
      </c>
    </row>
    <row r="85" spans="1:14" ht="15" x14ac:dyDescent="0.2">
      <c r="A85" s="17" t="s">
        <v>80</v>
      </c>
      <c r="B85" s="16">
        <v>43274745.350000009</v>
      </c>
      <c r="C85" s="16">
        <v>0</v>
      </c>
      <c r="D85" s="16">
        <v>8630135.8371512704</v>
      </c>
      <c r="E85" s="16">
        <v>0</v>
      </c>
      <c r="F85" s="16">
        <v>105799.18</v>
      </c>
      <c r="G85" s="16">
        <v>55875.66</v>
      </c>
      <c r="H85" s="16">
        <v>2216459.0099999998</v>
      </c>
      <c r="I85" s="16">
        <v>289756.08</v>
      </c>
      <c r="J85" s="16">
        <v>2905889.1999999997</v>
      </c>
      <c r="K85" s="16">
        <v>0</v>
      </c>
      <c r="L85" s="16">
        <v>0</v>
      </c>
      <c r="M85" s="16">
        <v>555.87</v>
      </c>
      <c r="N85" s="18">
        <f t="shared" si="2"/>
        <v>57479216.187151276</v>
      </c>
    </row>
    <row r="86" spans="1:14" ht="15" x14ac:dyDescent="0.2">
      <c r="A86" s="17" t="s">
        <v>81</v>
      </c>
      <c r="B86" s="16">
        <v>517164226.68000001</v>
      </c>
      <c r="C86" s="16">
        <v>0</v>
      </c>
      <c r="D86" s="16">
        <v>2661714.08</v>
      </c>
      <c r="E86" s="16">
        <v>0</v>
      </c>
      <c r="F86" s="16">
        <v>6318126.8700000001</v>
      </c>
      <c r="G86" s="16">
        <v>1271154.4951247415</v>
      </c>
      <c r="H86" s="16">
        <v>26488273.879999999</v>
      </c>
      <c r="I86" s="16">
        <v>17303684.719999999</v>
      </c>
      <c r="J86" s="16">
        <v>25080875.600000005</v>
      </c>
      <c r="K86" s="16">
        <v>0</v>
      </c>
      <c r="L86" s="16">
        <v>0</v>
      </c>
      <c r="M86" s="16">
        <v>33195.919999999998</v>
      </c>
      <c r="N86" s="18">
        <f t="shared" si="2"/>
        <v>596321252.24512482</v>
      </c>
    </row>
    <row r="87" spans="1:14" ht="15" x14ac:dyDescent="0.2">
      <c r="A87" s="17" t="s">
        <v>82</v>
      </c>
      <c r="B87" s="16">
        <v>66638972.100000001</v>
      </c>
      <c r="C87" s="16">
        <v>0</v>
      </c>
      <c r="D87" s="16">
        <v>10394941.775484113</v>
      </c>
      <c r="E87" s="16">
        <v>0</v>
      </c>
      <c r="F87" s="16">
        <v>179379.68</v>
      </c>
      <c r="G87" s="16">
        <v>116909.06</v>
      </c>
      <c r="H87" s="16">
        <v>3413135.05</v>
      </c>
      <c r="I87" s="16">
        <v>491273.69</v>
      </c>
      <c r="J87" s="16">
        <v>5513124.2000000002</v>
      </c>
      <c r="K87" s="16">
        <v>0</v>
      </c>
      <c r="L87" s="16">
        <v>0</v>
      </c>
      <c r="M87" s="16">
        <v>942.47</v>
      </c>
      <c r="N87" s="18">
        <f t="shared" si="2"/>
        <v>86748678.025484115</v>
      </c>
    </row>
    <row r="88" spans="1:14" ht="15" x14ac:dyDescent="0.2">
      <c r="A88" s="17" t="s">
        <v>83</v>
      </c>
      <c r="B88" s="16">
        <v>64662117.790000007</v>
      </c>
      <c r="C88" s="16">
        <v>0</v>
      </c>
      <c r="D88" s="16">
        <v>3328173.4993088068</v>
      </c>
      <c r="E88" s="16">
        <v>0</v>
      </c>
      <c r="F88" s="16">
        <v>880353.68</v>
      </c>
      <c r="G88" s="16">
        <v>298290.03999999998</v>
      </c>
      <c r="H88" s="16">
        <v>3311883.92</v>
      </c>
      <c r="I88" s="16">
        <v>2411056.7799999998</v>
      </c>
      <c r="J88" s="16">
        <v>8165978.8000000035</v>
      </c>
      <c r="K88" s="16">
        <v>0</v>
      </c>
      <c r="L88" s="16">
        <v>0</v>
      </c>
      <c r="M88" s="16">
        <v>4625.4399999999996</v>
      </c>
      <c r="N88" s="18">
        <f t="shared" si="2"/>
        <v>83062479.949308828</v>
      </c>
    </row>
    <row r="89" spans="1:14" ht="15" x14ac:dyDescent="0.2">
      <c r="A89" s="17" t="s">
        <v>84</v>
      </c>
      <c r="B89" s="16">
        <v>99128210.25</v>
      </c>
      <c r="C89" s="16">
        <v>0</v>
      </c>
      <c r="D89" s="16">
        <v>8969100.0264140237</v>
      </c>
      <c r="E89" s="16">
        <v>0</v>
      </c>
      <c r="F89" s="16">
        <v>740376.58</v>
      </c>
      <c r="G89" s="16">
        <v>348148.31</v>
      </c>
      <c r="H89" s="16">
        <v>5077178.68</v>
      </c>
      <c r="I89" s="16">
        <v>2027696.37</v>
      </c>
      <c r="J89" s="16">
        <v>8801007.200000003</v>
      </c>
      <c r="K89" s="16">
        <v>0</v>
      </c>
      <c r="L89" s="16">
        <v>0</v>
      </c>
      <c r="M89" s="16">
        <v>3889.99</v>
      </c>
      <c r="N89" s="18">
        <f t="shared" si="2"/>
        <v>125095607.40641403</v>
      </c>
    </row>
    <row r="90" spans="1:14" ht="15" x14ac:dyDescent="0.2">
      <c r="A90" s="17" t="s">
        <v>85</v>
      </c>
      <c r="B90" s="16">
        <v>533434308.7899999</v>
      </c>
      <c r="C90" s="16">
        <v>0</v>
      </c>
      <c r="D90" s="16">
        <v>2705514.8038757388</v>
      </c>
      <c r="E90" s="16">
        <v>0</v>
      </c>
      <c r="F90" s="16">
        <v>10043085.310000001</v>
      </c>
      <c r="G90" s="16">
        <v>2913648.4747660542</v>
      </c>
      <c r="H90" s="16">
        <v>27321599.870000001</v>
      </c>
      <c r="I90" s="16">
        <v>27505364.399999999</v>
      </c>
      <c r="J90" s="16">
        <v>52070324.20000001</v>
      </c>
      <c r="K90" s="16">
        <v>0</v>
      </c>
      <c r="L90" s="16">
        <v>0</v>
      </c>
      <c r="M90" s="16">
        <v>52767.14</v>
      </c>
      <c r="N90" s="18">
        <f t="shared" si="2"/>
        <v>656046612.98864162</v>
      </c>
    </row>
    <row r="91" spans="1:14" ht="15" x14ac:dyDescent="0.2">
      <c r="A91" s="17" t="s">
        <v>86</v>
      </c>
      <c r="B91" s="16">
        <v>19419777.270000003</v>
      </c>
      <c r="C91" s="16">
        <v>0</v>
      </c>
      <c r="D91" s="16">
        <v>11433842.682299566</v>
      </c>
      <c r="E91" s="16">
        <v>0</v>
      </c>
      <c r="F91" s="16">
        <v>233150.04</v>
      </c>
      <c r="G91" s="16">
        <v>116049.44</v>
      </c>
      <c r="H91" s="16">
        <v>994648.03</v>
      </c>
      <c r="I91" s="16">
        <v>638536.55000000005</v>
      </c>
      <c r="J91" s="16">
        <v>3742055</v>
      </c>
      <c r="K91" s="16">
        <v>0</v>
      </c>
      <c r="L91" s="16">
        <v>0</v>
      </c>
      <c r="M91" s="16">
        <v>1224.98</v>
      </c>
      <c r="N91" s="18">
        <f t="shared" si="2"/>
        <v>36579283.992299564</v>
      </c>
    </row>
    <row r="92" spans="1:14" ht="15" x14ac:dyDescent="0.2">
      <c r="A92" s="17" t="s">
        <v>87</v>
      </c>
      <c r="B92" s="16">
        <v>29182135.140000001</v>
      </c>
      <c r="C92" s="16">
        <v>0</v>
      </c>
      <c r="D92" s="16">
        <v>196467.51</v>
      </c>
      <c r="E92" s="16">
        <v>0</v>
      </c>
      <c r="F92" s="16">
        <v>49851.87</v>
      </c>
      <c r="G92" s="16">
        <v>36104.269999999997</v>
      </c>
      <c r="H92" s="16">
        <v>1494659.43</v>
      </c>
      <c r="I92" s="16">
        <v>136531.16</v>
      </c>
      <c r="J92" s="16">
        <v>1619108.7999999993</v>
      </c>
      <c r="K92" s="16">
        <v>0</v>
      </c>
      <c r="L92" s="16">
        <v>0</v>
      </c>
      <c r="M92" s="16">
        <v>261.92</v>
      </c>
      <c r="N92" s="18">
        <f t="shared" si="2"/>
        <v>32715120.100000005</v>
      </c>
    </row>
    <row r="93" spans="1:14" ht="15" x14ac:dyDescent="0.2">
      <c r="A93" s="17" t="s">
        <v>88</v>
      </c>
      <c r="B93" s="16">
        <v>280068251.28999996</v>
      </c>
      <c r="C93" s="16">
        <v>0</v>
      </c>
      <c r="D93" s="16">
        <v>2682712.8039876102</v>
      </c>
      <c r="E93" s="16">
        <v>0</v>
      </c>
      <c r="F93" s="16">
        <v>8139570.8099999996</v>
      </c>
      <c r="G93" s="16">
        <v>1516354.4991702228</v>
      </c>
      <c r="H93" s="16">
        <v>14344620.460000001</v>
      </c>
      <c r="I93" s="16">
        <v>22292139.739999998</v>
      </c>
      <c r="J93" s="16">
        <v>49518509.20000001</v>
      </c>
      <c r="K93" s="16">
        <v>0</v>
      </c>
      <c r="L93" s="16">
        <v>0</v>
      </c>
      <c r="M93" s="16">
        <v>42765.919999999998</v>
      </c>
      <c r="N93" s="18">
        <f t="shared" si="2"/>
        <v>378604924.72315782</v>
      </c>
    </row>
    <row r="94" spans="1:14" ht="15" x14ac:dyDescent="0.2">
      <c r="A94" s="17" t="s">
        <v>89</v>
      </c>
      <c r="B94" s="16">
        <v>194816601.48000002</v>
      </c>
      <c r="C94" s="16">
        <v>0</v>
      </c>
      <c r="D94" s="16">
        <v>3290817.9000000004</v>
      </c>
      <c r="E94" s="16">
        <v>0</v>
      </c>
      <c r="F94" s="16">
        <v>3680548.91</v>
      </c>
      <c r="G94" s="16">
        <v>1962567.2946191351</v>
      </c>
      <c r="H94" s="16">
        <v>9978175.6600000001</v>
      </c>
      <c r="I94" s="16">
        <v>10080053.67</v>
      </c>
      <c r="J94" s="16">
        <v>26459575.20000001</v>
      </c>
      <c r="K94" s="16">
        <v>0</v>
      </c>
      <c r="L94" s="16">
        <v>0</v>
      </c>
      <c r="M94" s="16">
        <v>19337.88</v>
      </c>
      <c r="N94" s="18">
        <f t="shared" si="2"/>
        <v>250287677.99461916</v>
      </c>
    </row>
    <row r="95" spans="1:14" ht="15" x14ac:dyDescent="0.2">
      <c r="A95" s="17" t="s">
        <v>90</v>
      </c>
      <c r="B95" s="16">
        <v>34015474.539999999</v>
      </c>
      <c r="C95" s="16">
        <v>0</v>
      </c>
      <c r="D95" s="16">
        <v>8928725.6055140644</v>
      </c>
      <c r="E95" s="16">
        <v>0</v>
      </c>
      <c r="F95" s="16">
        <v>180468.15</v>
      </c>
      <c r="G95" s="16">
        <v>93699.18</v>
      </c>
      <c r="H95" s="16">
        <v>1742214.87</v>
      </c>
      <c r="I95" s="16">
        <v>494254.72</v>
      </c>
      <c r="J95" s="16">
        <v>3897712.4000000013</v>
      </c>
      <c r="K95" s="16">
        <v>0</v>
      </c>
      <c r="L95" s="16">
        <v>0</v>
      </c>
      <c r="M95" s="16">
        <v>948.19</v>
      </c>
      <c r="N95" s="18">
        <f t="shared" si="2"/>
        <v>49353497.655514054</v>
      </c>
    </row>
    <row r="96" spans="1:14" ht="15" x14ac:dyDescent="0.2">
      <c r="A96" s="17" t="s">
        <v>91</v>
      </c>
      <c r="B96" s="16">
        <v>122273300.93000001</v>
      </c>
      <c r="C96" s="16">
        <v>0</v>
      </c>
      <c r="D96" s="16">
        <v>22390586.946000569</v>
      </c>
      <c r="E96" s="16">
        <v>0</v>
      </c>
      <c r="F96" s="16">
        <v>1011405.34</v>
      </c>
      <c r="G96" s="16">
        <v>511477.15</v>
      </c>
      <c r="H96" s="16">
        <v>6262630.9400000004</v>
      </c>
      <c r="I96" s="16">
        <v>2769972.75</v>
      </c>
      <c r="J96" s="16">
        <v>13964957.399999995</v>
      </c>
      <c r="K96" s="16">
        <v>0</v>
      </c>
      <c r="L96" s="16">
        <v>0</v>
      </c>
      <c r="M96" s="16">
        <v>5314</v>
      </c>
      <c r="N96" s="18">
        <f t="shared" si="2"/>
        <v>169189645.4560006</v>
      </c>
    </row>
    <row r="97" spans="1:14" ht="15" x14ac:dyDescent="0.2">
      <c r="A97" s="17" t="s">
        <v>92</v>
      </c>
      <c r="B97" s="16">
        <v>57265503.579999998</v>
      </c>
      <c r="C97" s="16">
        <v>0</v>
      </c>
      <c r="D97" s="16">
        <v>30180670.619022403</v>
      </c>
      <c r="E97" s="16">
        <v>0</v>
      </c>
      <c r="F97" s="16">
        <v>466953.17</v>
      </c>
      <c r="G97" s="16">
        <v>262185.77</v>
      </c>
      <c r="H97" s="16">
        <v>2933041.9</v>
      </c>
      <c r="I97" s="16">
        <v>1278861.72</v>
      </c>
      <c r="J97" s="16">
        <v>9324707.2000000011</v>
      </c>
      <c r="K97" s="16">
        <v>0</v>
      </c>
      <c r="L97" s="16">
        <v>0</v>
      </c>
      <c r="M97" s="16">
        <v>2453.4</v>
      </c>
      <c r="N97" s="18">
        <f t="shared" si="2"/>
        <v>101714377.35902241</v>
      </c>
    </row>
    <row r="98" spans="1:14" ht="15" x14ac:dyDescent="0.2">
      <c r="A98" s="17" t="s">
        <v>93</v>
      </c>
      <c r="B98" s="16">
        <v>159399890.55000001</v>
      </c>
      <c r="C98" s="16">
        <v>0</v>
      </c>
      <c r="D98" s="16">
        <v>30655718.391342856</v>
      </c>
      <c r="E98" s="16">
        <v>0</v>
      </c>
      <c r="F98" s="16">
        <v>1085856.6200000001</v>
      </c>
      <c r="G98" s="16">
        <v>614632.21</v>
      </c>
      <c r="H98" s="16">
        <v>8164191.8399999999</v>
      </c>
      <c r="I98" s="16">
        <v>2973875.18</v>
      </c>
      <c r="J98" s="16">
        <v>17989152.399999995</v>
      </c>
      <c r="K98" s="16">
        <v>0</v>
      </c>
      <c r="L98" s="16">
        <v>0</v>
      </c>
      <c r="M98" s="16">
        <v>5705.17</v>
      </c>
      <c r="N98" s="18">
        <f t="shared" si="2"/>
        <v>220889022.36134288</v>
      </c>
    </row>
    <row r="99" spans="1:14" ht="15" x14ac:dyDescent="0.2">
      <c r="A99" s="17" t="s">
        <v>94</v>
      </c>
      <c r="B99" s="16">
        <v>109080383.19</v>
      </c>
      <c r="C99" s="16">
        <v>0</v>
      </c>
      <c r="D99" s="16">
        <v>16788978.171902422</v>
      </c>
      <c r="E99" s="16">
        <v>0</v>
      </c>
      <c r="F99" s="16">
        <v>402515.81</v>
      </c>
      <c r="G99" s="16">
        <v>165907.71</v>
      </c>
      <c r="H99" s="16">
        <v>5586912.0800000001</v>
      </c>
      <c r="I99" s="16">
        <v>1102384.77</v>
      </c>
      <c r="J99" s="16">
        <v>11749429.4</v>
      </c>
      <c r="K99" s="16">
        <v>0</v>
      </c>
      <c r="L99" s="16">
        <v>0</v>
      </c>
      <c r="M99" s="16">
        <v>2114.84</v>
      </c>
      <c r="N99" s="18">
        <f t="shared" si="2"/>
        <v>144878625.9719024</v>
      </c>
    </row>
    <row r="100" spans="1:14" ht="15" x14ac:dyDescent="0.2">
      <c r="A100" s="17" t="s">
        <v>95</v>
      </c>
      <c r="B100" s="16">
        <v>103660623.34</v>
      </c>
      <c r="C100" s="16">
        <v>0</v>
      </c>
      <c r="D100" s="16">
        <v>26399124.470335819</v>
      </c>
      <c r="E100" s="16">
        <v>0</v>
      </c>
      <c r="F100" s="16">
        <v>451932.3</v>
      </c>
      <c r="G100" s="16">
        <v>219204.49</v>
      </c>
      <c r="H100" s="16">
        <v>5309321.18</v>
      </c>
      <c r="I100" s="16">
        <v>1237723.51</v>
      </c>
      <c r="J100" s="16">
        <v>9414097.7999999989</v>
      </c>
      <c r="K100" s="16">
        <v>0</v>
      </c>
      <c r="L100" s="16">
        <v>0</v>
      </c>
      <c r="M100" s="16">
        <v>2374.48</v>
      </c>
      <c r="N100" s="18">
        <f t="shared" si="2"/>
        <v>146694401.57033581</v>
      </c>
    </row>
    <row r="101" spans="1:14" ht="15" x14ac:dyDescent="0.2">
      <c r="A101" s="17" t="s">
        <v>96</v>
      </c>
      <c r="B101" s="16">
        <v>20950643.380000003</v>
      </c>
      <c r="C101" s="16">
        <v>0</v>
      </c>
      <c r="D101" s="16">
        <v>7534063.6153781498</v>
      </c>
      <c r="E101" s="16">
        <v>0</v>
      </c>
      <c r="F101" s="16">
        <v>53988.05</v>
      </c>
      <c r="G101" s="16">
        <v>32665.77</v>
      </c>
      <c r="H101" s="16">
        <v>1073056.3999999999</v>
      </c>
      <c r="I101" s="16">
        <v>147859.07</v>
      </c>
      <c r="J101" s="16">
        <v>1982948.7999999993</v>
      </c>
      <c r="K101" s="16">
        <v>0</v>
      </c>
      <c r="L101" s="16">
        <v>0</v>
      </c>
      <c r="M101" s="16">
        <v>283.64999999999998</v>
      </c>
      <c r="N101" s="18">
        <f t="shared" si="2"/>
        <v>31775508.73537815</v>
      </c>
    </row>
    <row r="102" spans="1:14" ht="15" x14ac:dyDescent="0.2">
      <c r="A102" s="17" t="s">
        <v>97</v>
      </c>
      <c r="B102" s="16">
        <v>69222308.640000015</v>
      </c>
      <c r="C102" s="16">
        <v>0</v>
      </c>
      <c r="D102" s="16">
        <v>36288676.735670872</v>
      </c>
      <c r="E102" s="16">
        <v>0</v>
      </c>
      <c r="F102" s="16">
        <v>1045365.58</v>
      </c>
      <c r="G102" s="16">
        <v>575089.43000000005</v>
      </c>
      <c r="H102" s="16">
        <v>3545449.16</v>
      </c>
      <c r="I102" s="16">
        <v>2862980.88</v>
      </c>
      <c r="J102" s="16">
        <v>13343932.199999997</v>
      </c>
      <c r="K102" s="16">
        <v>0</v>
      </c>
      <c r="L102" s="16">
        <v>0</v>
      </c>
      <c r="M102" s="16">
        <v>5492.43</v>
      </c>
      <c r="N102" s="18">
        <f t="shared" si="2"/>
        <v>126889295.05567089</v>
      </c>
    </row>
    <row r="103" spans="1:14" ht="15" x14ac:dyDescent="0.2">
      <c r="A103" s="17" t="s">
        <v>98</v>
      </c>
      <c r="B103" s="16">
        <v>23990770.659999996</v>
      </c>
      <c r="C103" s="16">
        <v>0</v>
      </c>
      <c r="D103" s="16">
        <v>9592926.159233002</v>
      </c>
      <c r="E103" s="16">
        <v>0</v>
      </c>
      <c r="F103" s="16">
        <v>25905.56</v>
      </c>
      <c r="G103" s="16">
        <v>19771.39</v>
      </c>
      <c r="H103" s="16">
        <v>1228766.56</v>
      </c>
      <c r="I103" s="16">
        <v>70948.509999999995</v>
      </c>
      <c r="J103" s="16">
        <v>2789189.8000000007</v>
      </c>
      <c r="K103" s="16">
        <v>0</v>
      </c>
      <c r="L103" s="16">
        <v>0</v>
      </c>
      <c r="M103" s="16">
        <v>136.1</v>
      </c>
      <c r="N103" s="18">
        <f t="shared" si="2"/>
        <v>37718414.73923301</v>
      </c>
    </row>
    <row r="104" spans="1:14" ht="15" x14ac:dyDescent="0.2">
      <c r="A104" s="17" t="s">
        <v>99</v>
      </c>
      <c r="B104" s="16">
        <v>320177869.34000003</v>
      </c>
      <c r="C104" s="16">
        <v>0</v>
      </c>
      <c r="D104" s="16">
        <v>7855269.1604445288</v>
      </c>
      <c r="E104" s="16">
        <v>0</v>
      </c>
      <c r="F104" s="16">
        <v>5308898.46</v>
      </c>
      <c r="G104" s="16">
        <v>1095663.5082465268</v>
      </c>
      <c r="H104" s="16">
        <v>16398967.01</v>
      </c>
      <c r="I104" s="16">
        <v>14539674.029999999</v>
      </c>
      <c r="J104" s="16">
        <v>31140876.000000011</v>
      </c>
      <c r="K104" s="16">
        <v>0</v>
      </c>
      <c r="L104" s="16">
        <v>0</v>
      </c>
      <c r="M104" s="16">
        <v>27893.35</v>
      </c>
      <c r="N104" s="18">
        <f t="shared" ref="N104:N135" si="3">SUM(B104:M104)</f>
        <v>396545110.8586911</v>
      </c>
    </row>
    <row r="105" spans="1:14" ht="15" x14ac:dyDescent="0.2">
      <c r="A105" s="17" t="s">
        <v>100</v>
      </c>
      <c r="B105" s="16">
        <v>54049450.169999994</v>
      </c>
      <c r="C105" s="16">
        <v>0</v>
      </c>
      <c r="D105" s="16">
        <v>1404491.1200000003</v>
      </c>
      <c r="E105" s="16">
        <v>0</v>
      </c>
      <c r="F105" s="16">
        <v>228796.17</v>
      </c>
      <c r="G105" s="16">
        <v>141838.20000000001</v>
      </c>
      <c r="H105" s="16">
        <v>2768321.1</v>
      </c>
      <c r="I105" s="16">
        <v>626612.43000000005</v>
      </c>
      <c r="J105" s="16">
        <v>4016992.8000000017</v>
      </c>
      <c r="K105" s="16">
        <v>0</v>
      </c>
      <c r="L105" s="16">
        <v>0</v>
      </c>
      <c r="M105" s="16">
        <v>1202.1099999999999</v>
      </c>
      <c r="N105" s="18">
        <f t="shared" si="3"/>
        <v>63237704.100000001</v>
      </c>
    </row>
    <row r="106" spans="1:14" ht="15" x14ac:dyDescent="0.2">
      <c r="A106" s="17" t="s">
        <v>101</v>
      </c>
      <c r="B106" s="16">
        <v>61748533.900000006</v>
      </c>
      <c r="C106" s="16">
        <v>0</v>
      </c>
      <c r="D106" s="16">
        <v>674665.54</v>
      </c>
      <c r="E106" s="16">
        <v>0</v>
      </c>
      <c r="F106" s="16">
        <v>1621165.65</v>
      </c>
      <c r="G106" s="16">
        <v>442796.16445821535</v>
      </c>
      <c r="H106" s="16">
        <v>3162655.1</v>
      </c>
      <c r="I106" s="16">
        <v>4439945.5599999996</v>
      </c>
      <c r="J106" s="16">
        <v>10714218.799999993</v>
      </c>
      <c r="K106" s="16">
        <v>0</v>
      </c>
      <c r="L106" s="16">
        <v>0</v>
      </c>
      <c r="M106" s="16">
        <v>8517.7199999999993</v>
      </c>
      <c r="N106" s="18">
        <f t="shared" si="3"/>
        <v>82812498.434458211</v>
      </c>
    </row>
    <row r="107" spans="1:14" ht="15" x14ac:dyDescent="0.2">
      <c r="A107" s="17" t="s">
        <v>102</v>
      </c>
      <c r="B107" s="16">
        <v>84367389.319999993</v>
      </c>
      <c r="C107" s="16">
        <v>0</v>
      </c>
      <c r="D107" s="16">
        <v>12344975.400146104</v>
      </c>
      <c r="E107" s="16">
        <v>0</v>
      </c>
      <c r="F107" s="16">
        <v>90125.22</v>
      </c>
      <c r="G107" s="16">
        <v>86822.17</v>
      </c>
      <c r="H107" s="16">
        <v>4321154.4800000004</v>
      </c>
      <c r="I107" s="16">
        <v>246829.26</v>
      </c>
      <c r="J107" s="16">
        <v>5223782.1999999993</v>
      </c>
      <c r="K107" s="16">
        <v>0</v>
      </c>
      <c r="L107" s="16">
        <v>0</v>
      </c>
      <c r="M107" s="16">
        <v>473.52</v>
      </c>
      <c r="N107" s="18">
        <f t="shared" si="3"/>
        <v>106681551.5701461</v>
      </c>
    </row>
    <row r="108" spans="1:14" ht="15" x14ac:dyDescent="0.2">
      <c r="A108" s="17" t="s">
        <v>103</v>
      </c>
      <c r="B108" s="16">
        <v>29317937.779999997</v>
      </c>
      <c r="C108" s="16">
        <v>0</v>
      </c>
      <c r="D108" s="16">
        <v>4842940.8476836262</v>
      </c>
      <c r="E108" s="16">
        <v>0</v>
      </c>
      <c r="F108" s="16">
        <v>91431.39</v>
      </c>
      <c r="G108" s="16">
        <v>54156.4</v>
      </c>
      <c r="H108" s="16">
        <v>1501615.02</v>
      </c>
      <c r="I108" s="16">
        <v>250406.49</v>
      </c>
      <c r="J108" s="16">
        <v>2651145.4</v>
      </c>
      <c r="K108" s="16">
        <v>0</v>
      </c>
      <c r="L108" s="16">
        <v>0</v>
      </c>
      <c r="M108" s="16">
        <v>480.38</v>
      </c>
      <c r="N108" s="18">
        <f t="shared" si="3"/>
        <v>38710113.70768363</v>
      </c>
    </row>
    <row r="109" spans="1:14" ht="15" x14ac:dyDescent="0.2">
      <c r="A109" s="17" t="s">
        <v>104</v>
      </c>
      <c r="B109" s="16">
        <v>322407810.37</v>
      </c>
      <c r="C109" s="16">
        <v>0</v>
      </c>
      <c r="D109" s="16">
        <v>3903116.6012745923</v>
      </c>
      <c r="E109" s="16">
        <v>0</v>
      </c>
      <c r="F109" s="16">
        <v>9335145.1099999994</v>
      </c>
      <c r="G109" s="16">
        <v>5045687.9225434102</v>
      </c>
      <c r="H109" s="16">
        <v>16513180.810000001</v>
      </c>
      <c r="I109" s="16">
        <v>25566502.710000001</v>
      </c>
      <c r="J109" s="16">
        <v>49328393.199999988</v>
      </c>
      <c r="K109" s="16">
        <v>0</v>
      </c>
      <c r="L109" s="16">
        <v>0</v>
      </c>
      <c r="M109" s="16">
        <v>49047.57</v>
      </c>
      <c r="N109" s="18">
        <f t="shared" si="3"/>
        <v>432148884.293818</v>
      </c>
    </row>
    <row r="110" spans="1:14" ht="15" x14ac:dyDescent="0.2">
      <c r="A110" s="17" t="s">
        <v>105</v>
      </c>
      <c r="B110" s="16">
        <v>37617330.890000001</v>
      </c>
      <c r="C110" s="16">
        <v>0</v>
      </c>
      <c r="D110" s="16">
        <v>12100336.519907182</v>
      </c>
      <c r="E110" s="16">
        <v>0</v>
      </c>
      <c r="F110" s="16">
        <v>356800.12</v>
      </c>
      <c r="G110" s="16">
        <v>181380.97</v>
      </c>
      <c r="H110" s="16">
        <v>1926695.84</v>
      </c>
      <c r="I110" s="16">
        <v>977181.52</v>
      </c>
      <c r="J110" s="16">
        <v>5813382.7999999998</v>
      </c>
      <c r="K110" s="16">
        <v>0</v>
      </c>
      <c r="L110" s="16">
        <v>0</v>
      </c>
      <c r="M110" s="16">
        <v>1874.65</v>
      </c>
      <c r="N110" s="18">
        <f t="shared" si="3"/>
        <v>58974983.309907183</v>
      </c>
    </row>
    <row r="111" spans="1:14" ht="15" x14ac:dyDescent="0.2">
      <c r="A111" s="17" t="s">
        <v>106</v>
      </c>
      <c r="B111" s="16">
        <v>45949131.439999998</v>
      </c>
      <c r="C111" s="16">
        <v>0</v>
      </c>
      <c r="D111" s="16">
        <v>12791271.411063995</v>
      </c>
      <c r="E111" s="16">
        <v>0</v>
      </c>
      <c r="F111" s="16">
        <v>124303.15</v>
      </c>
      <c r="G111" s="16">
        <v>83383.67</v>
      </c>
      <c r="H111" s="16">
        <v>2353436.52</v>
      </c>
      <c r="I111" s="16">
        <v>340433.59</v>
      </c>
      <c r="J111" s="16">
        <v>4609488.2000000011</v>
      </c>
      <c r="K111" s="16">
        <v>0</v>
      </c>
      <c r="L111" s="16">
        <v>0</v>
      </c>
      <c r="M111" s="16">
        <v>653.09</v>
      </c>
      <c r="N111" s="18">
        <f t="shared" si="3"/>
        <v>66252101.07106401</v>
      </c>
    </row>
    <row r="112" spans="1:14" ht="15" x14ac:dyDescent="0.2">
      <c r="A112" s="17" t="s">
        <v>107</v>
      </c>
      <c r="B112" s="16">
        <v>61521681.760000005</v>
      </c>
      <c r="C112" s="16">
        <v>0</v>
      </c>
      <c r="D112" s="16">
        <v>22923342.011856161</v>
      </c>
      <c r="E112" s="16">
        <v>0</v>
      </c>
      <c r="F112" s="16">
        <v>151079.49</v>
      </c>
      <c r="G112" s="16">
        <v>94558.8</v>
      </c>
      <c r="H112" s="16">
        <v>3151036.12</v>
      </c>
      <c r="I112" s="16">
        <v>413766.92</v>
      </c>
      <c r="J112" s="16">
        <v>4823338.3999999994</v>
      </c>
      <c r="K112" s="16">
        <v>0</v>
      </c>
      <c r="L112" s="16">
        <v>0</v>
      </c>
      <c r="M112" s="16">
        <v>793.78</v>
      </c>
      <c r="N112" s="18">
        <f t="shared" si="3"/>
        <v>93079597.281856164</v>
      </c>
    </row>
    <row r="113" spans="1:14" ht="15" x14ac:dyDescent="0.2">
      <c r="A113" s="17" t="s">
        <v>108</v>
      </c>
      <c r="B113" s="16">
        <v>49206851.560000002</v>
      </c>
      <c r="C113" s="16">
        <v>0</v>
      </c>
      <c r="D113" s="16">
        <v>30419927.387169205</v>
      </c>
      <c r="E113" s="16">
        <v>0</v>
      </c>
      <c r="F113" s="16">
        <v>212904.52</v>
      </c>
      <c r="G113" s="16">
        <v>128943.82</v>
      </c>
      <c r="H113" s="16">
        <v>2520291.42</v>
      </c>
      <c r="I113" s="16">
        <v>583089.4</v>
      </c>
      <c r="J113" s="16">
        <v>4786194.2</v>
      </c>
      <c r="K113" s="16">
        <v>0</v>
      </c>
      <c r="L113" s="16">
        <v>0</v>
      </c>
      <c r="M113" s="16">
        <v>1118.6099999999999</v>
      </c>
      <c r="N113" s="18">
        <f t="shared" si="3"/>
        <v>87859320.917169213</v>
      </c>
    </row>
    <row r="114" spans="1:14" ht="15" x14ac:dyDescent="0.2">
      <c r="A114" s="17" t="s">
        <v>109</v>
      </c>
      <c r="B114" s="16">
        <v>33015473.27</v>
      </c>
      <c r="C114" s="16">
        <v>0</v>
      </c>
      <c r="D114" s="16">
        <v>8918751.9809850324</v>
      </c>
      <c r="E114" s="16">
        <v>0</v>
      </c>
      <c r="F114" s="16">
        <v>128874.72</v>
      </c>
      <c r="G114" s="16">
        <v>68770.039999999994</v>
      </c>
      <c r="H114" s="16">
        <v>1690996.51</v>
      </c>
      <c r="I114" s="16">
        <v>352953.91</v>
      </c>
      <c r="J114" s="16">
        <v>3624727.8000000017</v>
      </c>
      <c r="K114" s="16">
        <v>0</v>
      </c>
      <c r="L114" s="16">
        <v>0</v>
      </c>
      <c r="M114" s="16">
        <v>677.11</v>
      </c>
      <c r="N114" s="18">
        <f t="shared" si="3"/>
        <v>47801225.34098503</v>
      </c>
    </row>
    <row r="115" spans="1:14" ht="15" x14ac:dyDescent="0.2">
      <c r="A115" s="17" t="s">
        <v>110</v>
      </c>
      <c r="B115" s="16">
        <v>88458443.780000001</v>
      </c>
      <c r="C115" s="16">
        <v>0</v>
      </c>
      <c r="D115" s="16">
        <v>8205458.0218920223</v>
      </c>
      <c r="E115" s="16">
        <v>0</v>
      </c>
      <c r="F115" s="16">
        <v>133446.29</v>
      </c>
      <c r="G115" s="16">
        <v>114330.19</v>
      </c>
      <c r="H115" s="16">
        <v>4530691.3499999996</v>
      </c>
      <c r="I115" s="16">
        <v>365474.24</v>
      </c>
      <c r="J115" s="16">
        <v>4803824.6000000015</v>
      </c>
      <c r="K115" s="16">
        <v>0</v>
      </c>
      <c r="L115" s="16">
        <v>0</v>
      </c>
      <c r="M115" s="16">
        <v>701.13</v>
      </c>
      <c r="N115" s="18">
        <f t="shared" si="3"/>
        <v>106612369.60189202</v>
      </c>
    </row>
    <row r="116" spans="1:14" ht="15" x14ac:dyDescent="0.2">
      <c r="A116" s="17" t="s">
        <v>111</v>
      </c>
      <c r="B116" s="16">
        <v>46612712.5</v>
      </c>
      <c r="C116" s="16">
        <v>0</v>
      </c>
      <c r="D116" s="16">
        <v>12741811.560813254</v>
      </c>
      <c r="E116" s="16">
        <v>0</v>
      </c>
      <c r="F116" s="16">
        <v>368337.89</v>
      </c>
      <c r="G116" s="16">
        <v>176223.22</v>
      </c>
      <c r="H116" s="16">
        <v>2387424.02</v>
      </c>
      <c r="I116" s="16">
        <v>1008780.43</v>
      </c>
      <c r="J116" s="16">
        <v>6498460.1999999974</v>
      </c>
      <c r="K116" s="16">
        <v>0</v>
      </c>
      <c r="L116" s="16">
        <v>0</v>
      </c>
      <c r="M116" s="16">
        <v>1935.27</v>
      </c>
      <c r="N116" s="18">
        <f t="shared" si="3"/>
        <v>69795685.090813249</v>
      </c>
    </row>
    <row r="117" spans="1:14" ht="15" x14ac:dyDescent="0.2">
      <c r="A117" s="17" t="s">
        <v>112</v>
      </c>
      <c r="B117" s="16">
        <v>27087996.730000004</v>
      </c>
      <c r="C117" s="16">
        <v>0</v>
      </c>
      <c r="D117" s="16">
        <v>2291322.3903476349</v>
      </c>
      <c r="E117" s="16">
        <v>0</v>
      </c>
      <c r="F117" s="16">
        <v>77498.98</v>
      </c>
      <c r="G117" s="16">
        <v>47279.4</v>
      </c>
      <c r="H117" s="16">
        <v>1387401.22</v>
      </c>
      <c r="I117" s="16">
        <v>212249.31</v>
      </c>
      <c r="J117" s="16">
        <v>2008112.5999999992</v>
      </c>
      <c r="K117" s="16">
        <v>0</v>
      </c>
      <c r="L117" s="16">
        <v>0</v>
      </c>
      <c r="M117" s="16">
        <v>407.18</v>
      </c>
      <c r="N117" s="18">
        <f t="shared" si="3"/>
        <v>33112267.810347632</v>
      </c>
    </row>
    <row r="118" spans="1:14" ht="15" x14ac:dyDescent="0.2">
      <c r="A118" s="17" t="s">
        <v>113</v>
      </c>
      <c r="B118" s="16">
        <v>41100359.93</v>
      </c>
      <c r="C118" s="16">
        <v>0</v>
      </c>
      <c r="D118" s="16">
        <v>23379790.952486325</v>
      </c>
      <c r="E118" s="16">
        <v>0</v>
      </c>
      <c r="F118" s="16">
        <v>365507.87</v>
      </c>
      <c r="G118" s="16">
        <v>179661.72</v>
      </c>
      <c r="H118" s="16">
        <v>2105090.6800000002</v>
      </c>
      <c r="I118" s="16">
        <v>1001029.76</v>
      </c>
      <c r="J118" s="16">
        <v>5191346.1999999993</v>
      </c>
      <c r="K118" s="16">
        <v>0</v>
      </c>
      <c r="L118" s="16">
        <v>0</v>
      </c>
      <c r="M118" s="16">
        <v>1920.4</v>
      </c>
      <c r="N118" s="18">
        <f t="shared" si="3"/>
        <v>73324707.512486339</v>
      </c>
    </row>
    <row r="119" spans="1:14" ht="15" x14ac:dyDescent="0.2">
      <c r="A119" s="17" t="s">
        <v>114</v>
      </c>
      <c r="B119" s="16">
        <v>59723839.99000001</v>
      </c>
      <c r="C119" s="16">
        <v>0</v>
      </c>
      <c r="D119" s="16">
        <v>11041478.963737991</v>
      </c>
      <c r="E119" s="16">
        <v>0</v>
      </c>
      <c r="F119" s="16">
        <v>293668.92</v>
      </c>
      <c r="G119" s="16">
        <v>126364.94</v>
      </c>
      <c r="H119" s="16">
        <v>3058953.72</v>
      </c>
      <c r="I119" s="16">
        <v>804281.8</v>
      </c>
      <c r="J119" s="16">
        <v>4791181.6000000006</v>
      </c>
      <c r="K119" s="16">
        <v>0</v>
      </c>
      <c r="L119" s="16">
        <v>0</v>
      </c>
      <c r="M119" s="16">
        <v>1542.95</v>
      </c>
      <c r="N119" s="18">
        <f t="shared" si="3"/>
        <v>79841312.883737996</v>
      </c>
    </row>
    <row r="120" spans="1:14" ht="15" x14ac:dyDescent="0.2">
      <c r="A120" s="17" t="s">
        <v>115</v>
      </c>
      <c r="B120" s="16">
        <v>39484617.159999996</v>
      </c>
      <c r="C120" s="16">
        <v>0</v>
      </c>
      <c r="D120" s="16">
        <v>10604003.752945825</v>
      </c>
      <c r="E120" s="16">
        <v>0</v>
      </c>
      <c r="F120" s="16">
        <v>197883.65</v>
      </c>
      <c r="G120" s="16">
        <v>127224.57</v>
      </c>
      <c r="H120" s="16">
        <v>2022335.08</v>
      </c>
      <c r="I120" s="16">
        <v>541951.18999999994</v>
      </c>
      <c r="J120" s="16">
        <v>5138193.2000000011</v>
      </c>
      <c r="K120" s="16">
        <v>0</v>
      </c>
      <c r="L120" s="16">
        <v>0</v>
      </c>
      <c r="M120" s="16">
        <v>1039.69</v>
      </c>
      <c r="N120" s="18">
        <f t="shared" si="3"/>
        <v>58117248.292945817</v>
      </c>
    </row>
    <row r="121" spans="1:14" ht="15" x14ac:dyDescent="0.2">
      <c r="A121" s="17" t="s">
        <v>116</v>
      </c>
      <c r="B121" s="16">
        <v>42929065.920000002</v>
      </c>
      <c r="C121" s="16">
        <v>0</v>
      </c>
      <c r="D121" s="16">
        <v>13683279.334254451</v>
      </c>
      <c r="E121" s="16">
        <v>0</v>
      </c>
      <c r="F121" s="16">
        <v>83159.02</v>
      </c>
      <c r="G121" s="16">
        <v>46419.77</v>
      </c>
      <c r="H121" s="16">
        <v>2198753.89</v>
      </c>
      <c r="I121" s="16">
        <v>227750.67</v>
      </c>
      <c r="J121" s="16">
        <v>2820335.1999999993</v>
      </c>
      <c r="K121" s="16">
        <v>0</v>
      </c>
      <c r="L121" s="16">
        <v>0</v>
      </c>
      <c r="M121" s="16">
        <v>436.92</v>
      </c>
      <c r="N121" s="18">
        <f t="shared" si="3"/>
        <v>61989200.724254459</v>
      </c>
    </row>
    <row r="122" spans="1:14" ht="15" x14ac:dyDescent="0.2">
      <c r="A122" s="17" t="s">
        <v>117</v>
      </c>
      <c r="B122" s="16">
        <v>120242434.19999999</v>
      </c>
      <c r="C122" s="16">
        <v>0</v>
      </c>
      <c r="D122" s="16">
        <v>23628281.004999995</v>
      </c>
      <c r="E122" s="16">
        <v>0</v>
      </c>
      <c r="F122" s="16">
        <v>2503478.58</v>
      </c>
      <c r="G122" s="16">
        <v>1182985.6745268519</v>
      </c>
      <c r="H122" s="16">
        <v>6158613.3899999997</v>
      </c>
      <c r="I122" s="16">
        <v>6856368.2000000002</v>
      </c>
      <c r="J122" s="16">
        <v>13216420.799999993</v>
      </c>
      <c r="K122" s="16">
        <v>0</v>
      </c>
      <c r="L122" s="16">
        <v>0</v>
      </c>
      <c r="M122" s="16">
        <v>13153.46</v>
      </c>
      <c r="N122" s="18">
        <f t="shared" si="3"/>
        <v>173801735.3095268</v>
      </c>
    </row>
    <row r="123" spans="1:14" ht="15" x14ac:dyDescent="0.2">
      <c r="A123" s="17" t="s">
        <v>118</v>
      </c>
      <c r="B123" s="16">
        <v>321853797.36000001</v>
      </c>
      <c r="C123" s="16">
        <v>0</v>
      </c>
      <c r="D123" s="16">
        <v>8572222.2949999999</v>
      </c>
      <c r="E123" s="16">
        <v>0</v>
      </c>
      <c r="F123" s="16">
        <v>3480052.93</v>
      </c>
      <c r="G123" s="16">
        <v>2956804.5096541937</v>
      </c>
      <c r="H123" s="16">
        <v>16484805.199999999</v>
      </c>
      <c r="I123" s="16">
        <v>9530948</v>
      </c>
      <c r="J123" s="16">
        <v>17726055.599999998</v>
      </c>
      <c r="K123" s="16">
        <v>0</v>
      </c>
      <c r="L123" s="16">
        <v>0</v>
      </c>
      <c r="M123" s="16">
        <v>18284.46</v>
      </c>
      <c r="N123" s="18">
        <f t="shared" si="3"/>
        <v>380622970.35465419</v>
      </c>
    </row>
    <row r="124" spans="1:14" ht="15" x14ac:dyDescent="0.2">
      <c r="A124" s="17" t="s">
        <v>119</v>
      </c>
      <c r="B124" s="16">
        <v>245020367.95999998</v>
      </c>
      <c r="C124" s="16">
        <v>0</v>
      </c>
      <c r="D124" s="16">
        <v>1801014.4999999998</v>
      </c>
      <c r="E124" s="16">
        <v>0</v>
      </c>
      <c r="F124" s="16">
        <v>4456409.57</v>
      </c>
      <c r="G124" s="16">
        <v>0</v>
      </c>
      <c r="H124" s="16">
        <v>12549527.359999999</v>
      </c>
      <c r="I124" s="16">
        <v>12204931.6</v>
      </c>
      <c r="J124" s="16">
        <v>24744222.400000013</v>
      </c>
      <c r="K124" s="16">
        <v>0</v>
      </c>
      <c r="L124" s="16">
        <v>0</v>
      </c>
      <c r="M124" s="16">
        <v>23414.31</v>
      </c>
      <c r="N124" s="18">
        <f t="shared" si="3"/>
        <v>300799887.70000005</v>
      </c>
    </row>
    <row r="125" spans="1:14" ht="15" x14ac:dyDescent="0.2">
      <c r="A125" s="17" t="s">
        <v>120</v>
      </c>
      <c r="B125" s="16">
        <v>87359677.049999997</v>
      </c>
      <c r="C125" s="16">
        <v>0</v>
      </c>
      <c r="D125" s="16">
        <v>13264350.035743717</v>
      </c>
      <c r="E125" s="16">
        <v>0</v>
      </c>
      <c r="F125" s="16">
        <v>1732842.56</v>
      </c>
      <c r="G125" s="16">
        <v>802030.56</v>
      </c>
      <c r="H125" s="16">
        <v>4474414.38</v>
      </c>
      <c r="I125" s="16">
        <v>4745799.21</v>
      </c>
      <c r="J125" s="16">
        <v>15396234.600000005</v>
      </c>
      <c r="K125" s="16">
        <v>0</v>
      </c>
      <c r="L125" s="16">
        <v>0</v>
      </c>
      <c r="M125" s="16">
        <v>9104.48</v>
      </c>
      <c r="N125" s="18">
        <f t="shared" si="3"/>
        <v>127784452.87574372</v>
      </c>
    </row>
    <row r="126" spans="1:14" ht="15" x14ac:dyDescent="0.2">
      <c r="A126" s="17" t="s">
        <v>121</v>
      </c>
      <c r="B126" s="16">
        <v>110051063.40000001</v>
      </c>
      <c r="C126" s="16">
        <v>0</v>
      </c>
      <c r="D126" s="16">
        <v>14452073.583375381</v>
      </c>
      <c r="E126" s="16">
        <v>0</v>
      </c>
      <c r="F126" s="16">
        <v>867509.75</v>
      </c>
      <c r="G126" s="16">
        <v>324938.42</v>
      </c>
      <c r="H126" s="16">
        <v>5636628.6799999997</v>
      </c>
      <c r="I126" s="16">
        <v>2375880.63</v>
      </c>
      <c r="J126" s="16">
        <v>10178869.800000003</v>
      </c>
      <c r="K126" s="16">
        <v>0</v>
      </c>
      <c r="L126" s="16">
        <v>0</v>
      </c>
      <c r="M126" s="16">
        <v>4557.96</v>
      </c>
      <c r="N126" s="18">
        <f t="shared" si="3"/>
        <v>143891522.22337541</v>
      </c>
    </row>
    <row r="127" spans="1:14" ht="15" x14ac:dyDescent="0.2">
      <c r="A127" s="17" t="s">
        <v>122</v>
      </c>
      <c r="B127" s="16">
        <v>51959941.420000009</v>
      </c>
      <c r="C127" s="16">
        <v>0</v>
      </c>
      <c r="D127" s="16">
        <v>5403188.4444890926</v>
      </c>
      <c r="E127" s="16">
        <v>0</v>
      </c>
      <c r="F127" s="16">
        <v>920844.73</v>
      </c>
      <c r="G127" s="16">
        <v>327517.3</v>
      </c>
      <c r="H127" s="16">
        <v>2661300.0099999998</v>
      </c>
      <c r="I127" s="16">
        <v>2521951.09</v>
      </c>
      <c r="J127" s="16">
        <v>10457818.4</v>
      </c>
      <c r="K127" s="16">
        <v>0</v>
      </c>
      <c r="L127" s="16">
        <v>0</v>
      </c>
      <c r="M127" s="16">
        <v>4838.18</v>
      </c>
      <c r="N127" s="18">
        <f t="shared" si="3"/>
        <v>74257399.574489102</v>
      </c>
    </row>
    <row r="128" spans="1:14" ht="15" x14ac:dyDescent="0.2">
      <c r="A128" s="17" t="s">
        <v>123</v>
      </c>
      <c r="B128" s="16">
        <v>31677508.630000003</v>
      </c>
      <c r="C128" s="16">
        <v>0</v>
      </c>
      <c r="D128" s="16">
        <v>5263453.677979297</v>
      </c>
      <c r="E128" s="16">
        <v>0</v>
      </c>
      <c r="F128" s="16">
        <v>84247.49</v>
      </c>
      <c r="G128" s="16">
        <v>55875.66</v>
      </c>
      <c r="H128" s="16">
        <v>1622468.23</v>
      </c>
      <c r="I128" s="16">
        <v>230731.7</v>
      </c>
      <c r="J128" s="16">
        <v>2459145.8000000003</v>
      </c>
      <c r="K128" s="16">
        <v>0</v>
      </c>
      <c r="L128" s="16">
        <v>0</v>
      </c>
      <c r="M128" s="16">
        <v>442.64</v>
      </c>
      <c r="N128" s="18">
        <f t="shared" si="3"/>
        <v>41393873.827979296</v>
      </c>
    </row>
    <row r="129" spans="1:14" ht="15" x14ac:dyDescent="0.2">
      <c r="A129" s="17" t="s">
        <v>124</v>
      </c>
      <c r="B129" s="16">
        <v>163822735.56999999</v>
      </c>
      <c r="C129" s="16">
        <v>0</v>
      </c>
      <c r="D129" s="16">
        <v>43602272.408010572</v>
      </c>
      <c r="E129" s="16">
        <v>0</v>
      </c>
      <c r="F129" s="16">
        <v>1071488.83</v>
      </c>
      <c r="G129" s="16">
        <v>681682.99</v>
      </c>
      <c r="H129" s="16">
        <v>8390722.4499999993</v>
      </c>
      <c r="I129" s="16">
        <v>2934525.59</v>
      </c>
      <c r="J129" s="16">
        <v>15864880.799999993</v>
      </c>
      <c r="K129" s="16">
        <v>0</v>
      </c>
      <c r="L129" s="16">
        <v>0</v>
      </c>
      <c r="M129" s="16">
        <v>5629.68</v>
      </c>
      <c r="N129" s="18">
        <f t="shared" si="3"/>
        <v>236373938.31801057</v>
      </c>
    </row>
    <row r="130" spans="1:14" ht="15" x14ac:dyDescent="0.2">
      <c r="A130" s="17" t="s">
        <v>125</v>
      </c>
      <c r="B130" s="16">
        <v>51302533.170000002</v>
      </c>
      <c r="C130" s="16">
        <v>0</v>
      </c>
      <c r="D130" s="16">
        <v>13931447.729043292</v>
      </c>
      <c r="E130" s="16">
        <v>0</v>
      </c>
      <c r="F130" s="16">
        <v>132575.51</v>
      </c>
      <c r="G130" s="16">
        <v>50717.9</v>
      </c>
      <c r="H130" s="16">
        <v>2627628.6800000002</v>
      </c>
      <c r="I130" s="16">
        <v>363089.41</v>
      </c>
      <c r="J130" s="16">
        <v>4169668.2000000011</v>
      </c>
      <c r="K130" s="16">
        <v>0</v>
      </c>
      <c r="L130" s="16">
        <v>0</v>
      </c>
      <c r="M130" s="16">
        <v>696.56</v>
      </c>
      <c r="N130" s="18">
        <f t="shared" si="3"/>
        <v>72578357.159043297</v>
      </c>
    </row>
    <row r="131" spans="1:14" ht="15" x14ac:dyDescent="0.2">
      <c r="A131" s="17" t="s">
        <v>126</v>
      </c>
      <c r="B131" s="16">
        <v>241285795.41000003</v>
      </c>
      <c r="C131" s="16">
        <v>0</v>
      </c>
      <c r="D131" s="16">
        <v>20918548.43</v>
      </c>
      <c r="E131" s="16">
        <v>0</v>
      </c>
      <c r="F131" s="16">
        <v>5854003.71</v>
      </c>
      <c r="G131" s="16">
        <v>597325.43693052931</v>
      </c>
      <c r="H131" s="16">
        <v>12358248.890000001</v>
      </c>
      <c r="I131" s="16">
        <v>16032573.68</v>
      </c>
      <c r="J131" s="16">
        <v>33489862.000000011</v>
      </c>
      <c r="K131" s="16">
        <v>0</v>
      </c>
      <c r="L131" s="16">
        <v>0</v>
      </c>
      <c r="M131" s="16">
        <v>30757.38</v>
      </c>
      <c r="N131" s="18">
        <f t="shared" si="3"/>
        <v>330567114.93693054</v>
      </c>
    </row>
    <row r="132" spans="1:14" ht="15" x14ac:dyDescent="0.2">
      <c r="A132" s="17" t="s">
        <v>127</v>
      </c>
      <c r="B132" s="16">
        <v>10719149.100000001</v>
      </c>
      <c r="C132" s="16">
        <v>0</v>
      </c>
      <c r="D132" s="16">
        <v>1453399.2285166434</v>
      </c>
      <c r="E132" s="16">
        <v>0</v>
      </c>
      <c r="F132" s="16">
        <v>25034.78</v>
      </c>
      <c r="G132" s="16">
        <v>9455.8799999999992</v>
      </c>
      <c r="H132" s="16">
        <v>549016.63</v>
      </c>
      <c r="I132" s="16">
        <v>68563.679999999993</v>
      </c>
      <c r="J132" s="16">
        <v>1204993.2000000002</v>
      </c>
      <c r="K132" s="16">
        <v>0</v>
      </c>
      <c r="L132" s="16">
        <v>0</v>
      </c>
      <c r="M132" s="16">
        <v>131.53</v>
      </c>
      <c r="N132" s="18">
        <f t="shared" si="3"/>
        <v>14029744.028516645</v>
      </c>
    </row>
    <row r="133" spans="1:14" ht="15" x14ac:dyDescent="0.2">
      <c r="A133" s="17" t="s">
        <v>128</v>
      </c>
      <c r="B133" s="16">
        <v>59942976.080000006</v>
      </c>
      <c r="C133" s="16">
        <v>0</v>
      </c>
      <c r="D133" s="16">
        <v>8323798.3508132538</v>
      </c>
      <c r="E133" s="16">
        <v>0</v>
      </c>
      <c r="F133" s="16">
        <v>90560.61</v>
      </c>
      <c r="G133" s="16">
        <v>69629.66</v>
      </c>
      <c r="H133" s="16">
        <v>3070177.49</v>
      </c>
      <c r="I133" s="16">
        <v>248021.67</v>
      </c>
      <c r="J133" s="16">
        <v>4379385.3999999994</v>
      </c>
      <c r="K133" s="16">
        <v>0</v>
      </c>
      <c r="L133" s="16">
        <v>0</v>
      </c>
      <c r="M133" s="16">
        <v>475.81</v>
      </c>
      <c r="N133" s="18">
        <f t="shared" si="3"/>
        <v>76125025.070813254</v>
      </c>
    </row>
    <row r="134" spans="1:14" ht="15" x14ac:dyDescent="0.2">
      <c r="A134" s="17" t="s">
        <v>129</v>
      </c>
      <c r="B134" s="16">
        <v>117503233.22</v>
      </c>
      <c r="C134" s="16">
        <v>0</v>
      </c>
      <c r="D134" s="16">
        <v>27464682.376460083</v>
      </c>
      <c r="E134" s="16">
        <v>0</v>
      </c>
      <c r="F134" s="16">
        <v>422543.64</v>
      </c>
      <c r="G134" s="16">
        <v>236397</v>
      </c>
      <c r="H134" s="16">
        <v>6018316.1600000001</v>
      </c>
      <c r="I134" s="16">
        <v>1157235.71</v>
      </c>
      <c r="J134" s="16">
        <v>10094187.600000001</v>
      </c>
      <c r="K134" s="16">
        <v>0</v>
      </c>
      <c r="L134" s="16">
        <v>0</v>
      </c>
      <c r="M134" s="16">
        <v>2220.0700000000002</v>
      </c>
      <c r="N134" s="18">
        <f t="shared" si="3"/>
        <v>162898815.77646005</v>
      </c>
    </row>
    <row r="135" spans="1:14" ht="15" x14ac:dyDescent="0.2">
      <c r="A135" s="17" t="s">
        <v>130</v>
      </c>
      <c r="B135" s="16">
        <v>98453826.679999992</v>
      </c>
      <c r="C135" s="16">
        <v>0</v>
      </c>
      <c r="D135" s="16">
        <v>34975942.256719887</v>
      </c>
      <c r="E135" s="16">
        <v>0</v>
      </c>
      <c r="F135" s="16">
        <v>636101.25</v>
      </c>
      <c r="G135" s="16">
        <v>314622.92</v>
      </c>
      <c r="H135" s="16">
        <v>5042637.9000000004</v>
      </c>
      <c r="I135" s="16">
        <v>1742113.73</v>
      </c>
      <c r="J135" s="16">
        <v>10300800.799999997</v>
      </c>
      <c r="K135" s="16">
        <v>0</v>
      </c>
      <c r="L135" s="16">
        <v>0</v>
      </c>
      <c r="M135" s="16">
        <v>3342.12</v>
      </c>
      <c r="N135" s="18">
        <f t="shared" si="3"/>
        <v>151469387.65671986</v>
      </c>
    </row>
    <row r="136" spans="1:14" ht="15" x14ac:dyDescent="0.2">
      <c r="A136" s="17" t="s">
        <v>131</v>
      </c>
      <c r="B136" s="16">
        <v>167555764.93000001</v>
      </c>
      <c r="C136" s="16">
        <v>0</v>
      </c>
      <c r="D136" s="16">
        <v>2650640.19</v>
      </c>
      <c r="E136" s="16">
        <v>0</v>
      </c>
      <c r="F136" s="16">
        <v>3784606.54</v>
      </c>
      <c r="G136" s="16">
        <v>2193935.4505028427</v>
      </c>
      <c r="H136" s="16">
        <v>8581921.8800000008</v>
      </c>
      <c r="I136" s="16">
        <v>10365040.1</v>
      </c>
      <c r="J136" s="16">
        <v>23657986.400000002</v>
      </c>
      <c r="K136" s="16">
        <v>0</v>
      </c>
      <c r="L136" s="16">
        <v>0</v>
      </c>
      <c r="M136" s="16">
        <v>19884.61</v>
      </c>
      <c r="N136" s="18">
        <f t="shared" ref="N136:N142" si="4">SUM(B136:M136)</f>
        <v>218809780.10050285</v>
      </c>
    </row>
    <row r="137" spans="1:14" ht="15" x14ac:dyDescent="0.2">
      <c r="A137" s="17" t="s">
        <v>132</v>
      </c>
      <c r="B137" s="16">
        <v>28376578.580000002</v>
      </c>
      <c r="C137" s="16">
        <v>0</v>
      </c>
      <c r="D137" s="16">
        <v>4396463.5272021107</v>
      </c>
      <c r="E137" s="16">
        <v>0</v>
      </c>
      <c r="F137" s="16">
        <v>45280.3</v>
      </c>
      <c r="G137" s="16">
        <v>48139.03</v>
      </c>
      <c r="H137" s="16">
        <v>1453400.19</v>
      </c>
      <c r="I137" s="16">
        <v>124010.83</v>
      </c>
      <c r="J137" s="16">
        <v>2263780.8000000003</v>
      </c>
      <c r="K137" s="16">
        <v>0</v>
      </c>
      <c r="L137" s="16">
        <v>0</v>
      </c>
      <c r="M137" s="16">
        <v>237.9</v>
      </c>
      <c r="N137" s="18">
        <f t="shared" si="4"/>
        <v>36707891.15720211</v>
      </c>
    </row>
    <row r="138" spans="1:14" ht="15" x14ac:dyDescent="0.2">
      <c r="A138" s="17" t="s">
        <v>133</v>
      </c>
      <c r="B138" s="16">
        <v>60760878.339999996</v>
      </c>
      <c r="C138" s="16">
        <v>0</v>
      </c>
      <c r="D138" s="16">
        <v>24724520.343457498</v>
      </c>
      <c r="E138" s="16">
        <v>0</v>
      </c>
      <c r="F138" s="16">
        <v>394243.45</v>
      </c>
      <c r="G138" s="16">
        <v>196854.23</v>
      </c>
      <c r="H138" s="16">
        <v>3112069.06</v>
      </c>
      <c r="I138" s="16">
        <v>1079728.94</v>
      </c>
      <c r="J138" s="16">
        <v>8425814.6000000034</v>
      </c>
      <c r="K138" s="16">
        <v>0</v>
      </c>
      <c r="L138" s="16">
        <v>0</v>
      </c>
      <c r="M138" s="16">
        <v>2071.38</v>
      </c>
      <c r="N138" s="18">
        <f t="shared" si="4"/>
        <v>98696180.343457505</v>
      </c>
    </row>
    <row r="139" spans="1:14" ht="15" x14ac:dyDescent="0.2">
      <c r="A139" s="17" t="s">
        <v>134</v>
      </c>
      <c r="B139" s="16">
        <v>284464861.74000001</v>
      </c>
      <c r="C139" s="16">
        <v>0</v>
      </c>
      <c r="D139" s="16">
        <v>4919053.59</v>
      </c>
      <c r="E139" s="16">
        <v>0</v>
      </c>
      <c r="F139" s="16">
        <v>2027599.96</v>
      </c>
      <c r="G139" s="16">
        <v>2026459.1878918204</v>
      </c>
      <c r="H139" s="16">
        <v>14569807.370000001</v>
      </c>
      <c r="I139" s="16">
        <v>5553062.0099999998</v>
      </c>
      <c r="J139" s="16">
        <v>15263997.199999996</v>
      </c>
      <c r="K139" s="16">
        <v>0</v>
      </c>
      <c r="L139" s="16">
        <v>0</v>
      </c>
      <c r="M139" s="16">
        <v>10653.16</v>
      </c>
      <c r="N139" s="18">
        <f t="shared" si="4"/>
        <v>328835494.21789181</v>
      </c>
    </row>
    <row r="140" spans="1:14" ht="15" x14ac:dyDescent="0.2">
      <c r="A140" s="17" t="s">
        <v>135</v>
      </c>
      <c r="B140" s="16">
        <v>74020154.170000002</v>
      </c>
      <c r="C140" s="16">
        <v>0</v>
      </c>
      <c r="D140" s="16">
        <v>803501.90999999992</v>
      </c>
      <c r="E140" s="16">
        <v>0</v>
      </c>
      <c r="F140" s="16">
        <v>334377.65999999997</v>
      </c>
      <c r="G140" s="16">
        <v>174503.97</v>
      </c>
      <c r="H140" s="16">
        <v>3791186.66</v>
      </c>
      <c r="I140" s="16">
        <v>915772.31</v>
      </c>
      <c r="J140" s="16">
        <v>3851813.7999999993</v>
      </c>
      <c r="K140" s="16">
        <v>0</v>
      </c>
      <c r="L140" s="16">
        <v>0</v>
      </c>
      <c r="M140" s="16">
        <v>1756.84</v>
      </c>
      <c r="N140" s="18">
        <f t="shared" si="4"/>
        <v>83893067.319999993</v>
      </c>
    </row>
    <row r="141" spans="1:14" ht="15" x14ac:dyDescent="0.2">
      <c r="A141" s="17" t="s">
        <v>136</v>
      </c>
      <c r="B141" s="16">
        <v>91564929.189999998</v>
      </c>
      <c r="C141" s="16">
        <v>0</v>
      </c>
      <c r="D141" s="16">
        <v>11394128.385460267</v>
      </c>
      <c r="E141" s="16">
        <v>0</v>
      </c>
      <c r="F141" s="16">
        <v>482191.74</v>
      </c>
      <c r="G141" s="16">
        <v>170205.84</v>
      </c>
      <c r="H141" s="16">
        <v>4689800.26</v>
      </c>
      <c r="I141" s="16">
        <v>1320596.1399999999</v>
      </c>
      <c r="J141" s="16">
        <v>10490603.000000004</v>
      </c>
      <c r="K141" s="16">
        <v>0</v>
      </c>
      <c r="L141" s="16">
        <v>0</v>
      </c>
      <c r="M141" s="16">
        <v>2533.4699999999998</v>
      </c>
      <c r="N141" s="18">
        <f t="shared" si="4"/>
        <v>120114988.02546027</v>
      </c>
    </row>
    <row r="142" spans="1:14" ht="15" x14ac:dyDescent="0.2">
      <c r="A142" s="17" t="s">
        <v>137</v>
      </c>
      <c r="B142" s="16">
        <v>86756281.229999989</v>
      </c>
      <c r="C142" s="16">
        <v>0</v>
      </c>
      <c r="D142" s="16">
        <v>9416551.1074778158</v>
      </c>
      <c r="E142" s="16">
        <v>0</v>
      </c>
      <c r="F142" s="16">
        <v>2073097.96</v>
      </c>
      <c r="G142" s="16">
        <v>628386.21</v>
      </c>
      <c r="H142" s="16">
        <v>4443509.47</v>
      </c>
      <c r="I142" s="16">
        <v>5677669.0800000001</v>
      </c>
      <c r="J142" s="16">
        <v>14110988.599999996</v>
      </c>
      <c r="K142" s="16">
        <v>0</v>
      </c>
      <c r="L142" s="16">
        <v>0</v>
      </c>
      <c r="M142" s="16">
        <v>10892.21</v>
      </c>
      <c r="N142" s="18">
        <f t="shared" si="4"/>
        <v>123117375.86747777</v>
      </c>
    </row>
    <row r="143" spans="1:14" ht="24.75" customHeight="1" x14ac:dyDescent="0.2">
      <c r="A143" s="24" t="s">
        <v>138</v>
      </c>
      <c r="B143" s="25">
        <f t="shared" ref="B143:I143" si="5">SUM(B8:B142)</f>
        <v>15432118045.369999</v>
      </c>
      <c r="C143" s="25"/>
      <c r="D143" s="25">
        <f t="shared" si="5"/>
        <v>1672023705.130718</v>
      </c>
      <c r="E143" s="25">
        <f t="shared" si="5"/>
        <v>0</v>
      </c>
      <c r="F143" s="25">
        <f t="shared" si="5"/>
        <v>217693790.20000014</v>
      </c>
      <c r="G143" s="25">
        <f t="shared" si="5"/>
        <v>85962546.249999985</v>
      </c>
      <c r="H143" s="25">
        <f t="shared" si="5"/>
        <v>790406892.99999976</v>
      </c>
      <c r="I143" s="25">
        <f t="shared" si="5"/>
        <v>596205930.50000012</v>
      </c>
      <c r="J143" s="25">
        <f t="shared" ref="J143:N143" si="6">SUM(J8:J142)</f>
        <v>1743864910</v>
      </c>
      <c r="K143" s="25">
        <f t="shared" si="6"/>
        <v>0</v>
      </c>
      <c r="L143" s="25">
        <f t="shared" si="6"/>
        <v>0</v>
      </c>
      <c r="M143" s="25">
        <f t="shared" si="6"/>
        <v>1143779.1799999997</v>
      </c>
      <c r="N143" s="25">
        <f t="shared" si="6"/>
        <v>20539419599.630718</v>
      </c>
    </row>
    <row r="144" spans="1:14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8"/>
      <c r="E145" s="8"/>
      <c r="I145" s="9"/>
      <c r="J145" s="8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44AEAC"/>
  </sheetPr>
  <dimension ref="A1:O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2.33203125" style="1" customWidth="1"/>
    <col min="3" max="3" width="22.33203125" style="1" hidden="1" customWidth="1"/>
    <col min="4" max="4" width="22.33203125" style="1" customWidth="1"/>
    <col min="5" max="5" width="22.33203125" style="1" hidden="1" customWidth="1"/>
    <col min="6" max="10" width="22.33203125" style="1" customWidth="1"/>
    <col min="11" max="12" width="22.33203125" style="1" hidden="1" customWidth="1"/>
    <col min="13" max="13" width="22.33203125" style="1" customWidth="1"/>
    <col min="14" max="14" width="23.83203125" style="1" customWidth="1"/>
    <col min="15" max="15" width="12" style="1" customWidth="1"/>
    <col min="16" max="16384" width="12" style="1"/>
  </cols>
  <sheetData>
    <row r="1" spans="1:1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7.25" customHeight="1" x14ac:dyDescent="0.25">
      <c r="A3" s="2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7.25" customHeight="1" x14ac:dyDescent="0.25">
      <c r="A4" s="23" t="s">
        <v>166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5" ht="18.75" customHeight="1" x14ac:dyDescent="0.2">
      <c r="A6" s="28" t="s">
        <v>2</v>
      </c>
      <c r="B6" s="29" t="s">
        <v>167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5" ht="60" customHeight="1" x14ac:dyDescent="0.2">
      <c r="A7" s="28"/>
      <c r="B7" s="21" t="s">
        <v>139</v>
      </c>
      <c r="C7" s="21" t="s">
        <v>151</v>
      </c>
      <c r="D7" s="21" t="s">
        <v>143</v>
      </c>
      <c r="E7" s="21" t="s">
        <v>141</v>
      </c>
      <c r="F7" s="27" t="s">
        <v>150</v>
      </c>
      <c r="G7" s="21" t="s">
        <v>144</v>
      </c>
      <c r="H7" s="21" t="s">
        <v>146</v>
      </c>
      <c r="I7" s="21" t="s">
        <v>145</v>
      </c>
      <c r="J7" s="21" t="s">
        <v>147</v>
      </c>
      <c r="K7" s="21" t="s">
        <v>148</v>
      </c>
      <c r="L7" s="21" t="s">
        <v>149</v>
      </c>
      <c r="M7" s="21" t="s">
        <v>142</v>
      </c>
      <c r="N7" s="22" t="s">
        <v>140</v>
      </c>
    </row>
    <row r="8" spans="1:15" ht="18" customHeight="1" x14ac:dyDescent="0.2">
      <c r="A8" s="17" t="s">
        <v>3</v>
      </c>
      <c r="B8" s="16">
        <v>64477403.719999999</v>
      </c>
      <c r="C8" s="16">
        <v>0</v>
      </c>
      <c r="D8" s="16">
        <v>2284744.6752593103</v>
      </c>
      <c r="E8" s="16">
        <v>0</v>
      </c>
      <c r="F8" s="16">
        <v>162729.19</v>
      </c>
      <c r="G8" s="16">
        <v>94210.1</v>
      </c>
      <c r="H8" s="16">
        <v>3529949.94</v>
      </c>
      <c r="I8" s="16">
        <v>546271.97</v>
      </c>
      <c r="J8" s="16">
        <v>5284070.24</v>
      </c>
      <c r="K8" s="16">
        <v>0</v>
      </c>
      <c r="L8" s="16">
        <v>0</v>
      </c>
      <c r="M8" s="16">
        <v>7482.5200000000013</v>
      </c>
      <c r="N8" s="18">
        <f t="shared" ref="N8:N39" si="0">SUM(B8:M8)</f>
        <v>76386862.355259299</v>
      </c>
      <c r="O8" s="4"/>
    </row>
    <row r="9" spans="1:15" ht="18" customHeight="1" x14ac:dyDescent="0.2">
      <c r="A9" s="17" t="s">
        <v>4</v>
      </c>
      <c r="B9" s="16">
        <v>40197595.340000004</v>
      </c>
      <c r="C9" s="16">
        <v>0</v>
      </c>
      <c r="D9" s="16">
        <v>1576562.7641124402</v>
      </c>
      <c r="E9" s="16">
        <v>0</v>
      </c>
      <c r="F9" s="16">
        <v>114011.51</v>
      </c>
      <c r="G9" s="16">
        <v>66552.09</v>
      </c>
      <c r="H9" s="16">
        <v>2200701.19</v>
      </c>
      <c r="I9" s="16">
        <v>382729.68</v>
      </c>
      <c r="J9" s="16">
        <v>3965906.290000001</v>
      </c>
      <c r="K9" s="16">
        <v>0</v>
      </c>
      <c r="L9" s="16">
        <v>0</v>
      </c>
      <c r="M9" s="16">
        <v>5242.3899999999994</v>
      </c>
      <c r="N9" s="18">
        <f t="shared" si="0"/>
        <v>48509301.254112445</v>
      </c>
      <c r="O9" s="4"/>
    </row>
    <row r="10" spans="1:15" ht="18" customHeight="1" x14ac:dyDescent="0.2">
      <c r="A10" s="17" t="s">
        <v>5</v>
      </c>
      <c r="B10" s="16">
        <v>29541859.41</v>
      </c>
      <c r="C10" s="16">
        <v>0</v>
      </c>
      <c r="D10" s="16">
        <v>844722.97168341</v>
      </c>
      <c r="E10" s="16">
        <v>0</v>
      </c>
      <c r="F10" s="16">
        <v>79646.33</v>
      </c>
      <c r="G10" s="16">
        <v>58773.27</v>
      </c>
      <c r="H10" s="16">
        <v>1617330.71</v>
      </c>
      <c r="I10" s="16">
        <v>267367.90000000002</v>
      </c>
      <c r="J10" s="16">
        <v>2344124.0499999998</v>
      </c>
      <c r="K10" s="16">
        <v>0</v>
      </c>
      <c r="L10" s="16">
        <v>0</v>
      </c>
      <c r="M10" s="16">
        <v>3662.23</v>
      </c>
      <c r="N10" s="18">
        <f t="shared" si="0"/>
        <v>34757486.871683404</v>
      </c>
      <c r="O10" s="4"/>
    </row>
    <row r="11" spans="1:15" ht="18" customHeight="1" x14ac:dyDescent="0.2">
      <c r="A11" s="17" t="s">
        <v>6</v>
      </c>
      <c r="B11" s="16">
        <v>342097497.77999997</v>
      </c>
      <c r="C11" s="16">
        <v>0</v>
      </c>
      <c r="D11" s="16">
        <v>3000225.3202422196</v>
      </c>
      <c r="E11" s="16">
        <v>0</v>
      </c>
      <c r="F11" s="16">
        <v>8548841.9000000004</v>
      </c>
      <c r="G11" s="16">
        <v>5541771.4138041344</v>
      </c>
      <c r="H11" s="16">
        <v>18728840.949999999</v>
      </c>
      <c r="I11" s="16">
        <v>28697939.899999999</v>
      </c>
      <c r="J11" s="16">
        <v>44117928.75</v>
      </c>
      <c r="K11" s="16">
        <v>0</v>
      </c>
      <c r="L11" s="16">
        <v>0</v>
      </c>
      <c r="M11" s="16">
        <v>393091.57000000007</v>
      </c>
      <c r="N11" s="18">
        <f t="shared" si="0"/>
        <v>451126137.58404624</v>
      </c>
      <c r="O11" s="4"/>
    </row>
    <row r="12" spans="1:15" ht="18" customHeight="1" x14ac:dyDescent="0.2">
      <c r="A12" s="17" t="s">
        <v>7</v>
      </c>
      <c r="B12" s="16">
        <v>51346957.069999993</v>
      </c>
      <c r="C12" s="16">
        <v>0</v>
      </c>
      <c r="D12" s="16">
        <v>1405671.0663149001</v>
      </c>
      <c r="E12" s="16">
        <v>0</v>
      </c>
      <c r="F12" s="16">
        <v>292306.11</v>
      </c>
      <c r="G12" s="16">
        <v>160762.19</v>
      </c>
      <c r="H12" s="16">
        <v>2811096.25</v>
      </c>
      <c r="I12" s="16">
        <v>981253.75</v>
      </c>
      <c r="J12" s="16">
        <v>4759219.9399999976</v>
      </c>
      <c r="K12" s="16">
        <v>0</v>
      </c>
      <c r="L12" s="16">
        <v>0</v>
      </c>
      <c r="M12" s="16">
        <v>13440.72</v>
      </c>
      <c r="N12" s="18">
        <f t="shared" si="0"/>
        <v>61770707.096314885</v>
      </c>
      <c r="O12" s="4"/>
    </row>
    <row r="13" spans="1:15" ht="18" customHeight="1" x14ac:dyDescent="0.2">
      <c r="A13" s="17" t="s">
        <v>8</v>
      </c>
      <c r="B13" s="16">
        <v>207592690.55000001</v>
      </c>
      <c r="C13" s="16">
        <v>0</v>
      </c>
      <c r="D13" s="16">
        <v>2507812.5361150103</v>
      </c>
      <c r="E13" s="16">
        <v>0</v>
      </c>
      <c r="F13" s="16">
        <v>4157175.07</v>
      </c>
      <c r="G13" s="16">
        <v>1186419.6368981975</v>
      </c>
      <c r="H13" s="16">
        <v>11365094.779999999</v>
      </c>
      <c r="I13" s="16">
        <v>13955382.689999999</v>
      </c>
      <c r="J13" s="16">
        <v>33921131.110000007</v>
      </c>
      <c r="K13" s="16">
        <v>0</v>
      </c>
      <c r="L13" s="16">
        <v>0</v>
      </c>
      <c r="M13" s="16">
        <v>191154.56</v>
      </c>
      <c r="N13" s="18">
        <f t="shared" si="0"/>
        <v>274876860.9330132</v>
      </c>
      <c r="O13" s="4"/>
    </row>
    <row r="14" spans="1:15" ht="18" customHeight="1" x14ac:dyDescent="0.2">
      <c r="A14" s="17" t="s">
        <v>9</v>
      </c>
      <c r="B14" s="16">
        <v>75233510.25</v>
      </c>
      <c r="C14" s="16">
        <v>0</v>
      </c>
      <c r="D14" s="16">
        <v>2916710.4759649504</v>
      </c>
      <c r="E14" s="16">
        <v>0</v>
      </c>
      <c r="F14" s="16">
        <v>189210.59</v>
      </c>
      <c r="G14" s="16">
        <v>112360.67</v>
      </c>
      <c r="H14" s="16">
        <v>4118815.42</v>
      </c>
      <c r="I14" s="16">
        <v>635168.4</v>
      </c>
      <c r="J14" s="16">
        <v>6827177.0900000017</v>
      </c>
      <c r="K14" s="16">
        <v>0</v>
      </c>
      <c r="L14" s="16">
        <v>0</v>
      </c>
      <c r="M14" s="16">
        <v>8700.18</v>
      </c>
      <c r="N14" s="18">
        <f t="shared" si="0"/>
        <v>90041653.075964972</v>
      </c>
      <c r="O14" s="4"/>
    </row>
    <row r="15" spans="1:15" ht="18" customHeight="1" x14ac:dyDescent="0.2">
      <c r="A15" s="17" t="s">
        <v>10</v>
      </c>
      <c r="B15" s="16">
        <v>122608425.01000001</v>
      </c>
      <c r="C15" s="16">
        <v>0</v>
      </c>
      <c r="D15" s="16">
        <v>3286052.265451191</v>
      </c>
      <c r="E15" s="16">
        <v>0</v>
      </c>
      <c r="F15" s="16">
        <v>704890.32</v>
      </c>
      <c r="G15" s="16">
        <v>361282.76</v>
      </c>
      <c r="H15" s="16">
        <v>6712453.9299999997</v>
      </c>
      <c r="I15" s="16">
        <v>2366273.7400000002</v>
      </c>
      <c r="J15" s="16">
        <v>11398828.839999998</v>
      </c>
      <c r="K15" s="16">
        <v>0</v>
      </c>
      <c r="L15" s="16">
        <v>0</v>
      </c>
      <c r="M15" s="16">
        <v>32412.120000000003</v>
      </c>
      <c r="N15" s="18">
        <f t="shared" si="0"/>
        <v>147470618.98545122</v>
      </c>
      <c r="O15" s="4"/>
    </row>
    <row r="16" spans="1:15" ht="18" customHeight="1" x14ac:dyDescent="0.2">
      <c r="A16" s="17" t="s">
        <v>11</v>
      </c>
      <c r="B16" s="16">
        <v>226630192.78999999</v>
      </c>
      <c r="C16" s="16">
        <v>0</v>
      </c>
      <c r="D16" s="16">
        <v>5382778.7208267497</v>
      </c>
      <c r="E16" s="16">
        <v>0</v>
      </c>
      <c r="F16" s="16">
        <v>2628935.65</v>
      </c>
      <c r="G16" s="16">
        <v>1668123.77</v>
      </c>
      <c r="H16" s="16">
        <v>12407342.539999999</v>
      </c>
      <c r="I16" s="16">
        <v>8825176.3599999994</v>
      </c>
      <c r="J16" s="16">
        <v>28257351.75999999</v>
      </c>
      <c r="K16" s="16">
        <v>0</v>
      </c>
      <c r="L16" s="16">
        <v>0</v>
      </c>
      <c r="M16" s="16">
        <v>120883.26999999999</v>
      </c>
      <c r="N16" s="18">
        <f t="shared" si="0"/>
        <v>285920784.86082673</v>
      </c>
      <c r="O16" s="4"/>
    </row>
    <row r="17" spans="1:15" ht="15" x14ac:dyDescent="0.2">
      <c r="A17" s="17" t="s">
        <v>12</v>
      </c>
      <c r="B17" s="16">
        <v>81431804.99000001</v>
      </c>
      <c r="C17" s="16">
        <v>0</v>
      </c>
      <c r="D17" s="16">
        <v>2934269.5897113401</v>
      </c>
      <c r="E17" s="16">
        <v>0</v>
      </c>
      <c r="F17" s="16">
        <v>539937.49</v>
      </c>
      <c r="G17" s="16">
        <v>242007.59</v>
      </c>
      <c r="H17" s="16">
        <v>4458153.99</v>
      </c>
      <c r="I17" s="16">
        <v>1812537.18</v>
      </c>
      <c r="J17" s="16">
        <v>7793082.9399999976</v>
      </c>
      <c r="K17" s="16">
        <v>0</v>
      </c>
      <c r="L17" s="16">
        <v>0</v>
      </c>
      <c r="M17" s="16">
        <v>24827.280000000002</v>
      </c>
      <c r="N17" s="18">
        <f t="shared" si="0"/>
        <v>99236621.049711347</v>
      </c>
      <c r="O17" s="4"/>
    </row>
    <row r="18" spans="1:15" ht="15" x14ac:dyDescent="0.2">
      <c r="A18" s="17" t="s">
        <v>13</v>
      </c>
      <c r="B18" s="16">
        <v>49925314.74000001</v>
      </c>
      <c r="C18" s="16">
        <v>0</v>
      </c>
      <c r="D18" s="16">
        <v>1236461.6599378302</v>
      </c>
      <c r="E18" s="16">
        <v>0</v>
      </c>
      <c r="F18" s="16">
        <v>363866.52</v>
      </c>
      <c r="G18" s="16">
        <v>181505.69</v>
      </c>
      <c r="H18" s="16">
        <v>2733265.48</v>
      </c>
      <c r="I18" s="16">
        <v>1221477.7</v>
      </c>
      <c r="J18" s="16">
        <v>6292535.8999999985</v>
      </c>
      <c r="K18" s="16">
        <v>0</v>
      </c>
      <c r="L18" s="16">
        <v>0</v>
      </c>
      <c r="M18" s="16">
        <v>16731.189999999999</v>
      </c>
      <c r="N18" s="18">
        <f t="shared" si="0"/>
        <v>61971158.879937835</v>
      </c>
      <c r="O18" s="4"/>
    </row>
    <row r="19" spans="1:15" ht="15" x14ac:dyDescent="0.2">
      <c r="A19" s="17" t="s">
        <v>14</v>
      </c>
      <c r="B19" s="16">
        <v>83519842.219999999</v>
      </c>
      <c r="C19" s="16">
        <v>0</v>
      </c>
      <c r="D19" s="16">
        <v>2304869.3745536702</v>
      </c>
      <c r="E19" s="16">
        <v>0</v>
      </c>
      <c r="F19" s="16">
        <v>146961.64000000001</v>
      </c>
      <c r="G19" s="16">
        <v>112360.67</v>
      </c>
      <c r="H19" s="16">
        <v>4572467.95</v>
      </c>
      <c r="I19" s="16">
        <v>493341.27</v>
      </c>
      <c r="J19" s="16">
        <v>5346178.7700000005</v>
      </c>
      <c r="K19" s="16">
        <v>0</v>
      </c>
      <c r="L19" s="16">
        <v>0</v>
      </c>
      <c r="M19" s="16">
        <v>6757.4900000000007</v>
      </c>
      <c r="N19" s="18">
        <f t="shared" si="0"/>
        <v>96502779.384553656</v>
      </c>
      <c r="O19" s="4"/>
    </row>
    <row r="20" spans="1:15" ht="15" x14ac:dyDescent="0.2">
      <c r="A20" s="17" t="s">
        <v>15</v>
      </c>
      <c r="B20" s="16">
        <v>277131404.42000002</v>
      </c>
      <c r="C20" s="16">
        <v>0</v>
      </c>
      <c r="D20" s="16">
        <v>1854588.4777998901</v>
      </c>
      <c r="E20" s="16">
        <v>0</v>
      </c>
      <c r="F20" s="16">
        <v>4690643.83</v>
      </c>
      <c r="G20" s="16">
        <v>2882715.7787305592</v>
      </c>
      <c r="H20" s="16">
        <v>15172136.689999999</v>
      </c>
      <c r="I20" s="16">
        <v>15746204.720000001</v>
      </c>
      <c r="J20" s="16">
        <v>30739078.940000013</v>
      </c>
      <c r="K20" s="16">
        <v>0</v>
      </c>
      <c r="L20" s="16">
        <v>0</v>
      </c>
      <c r="M20" s="16">
        <v>215684.47000000003</v>
      </c>
      <c r="N20" s="18">
        <f t="shared" si="0"/>
        <v>348432457.32653052</v>
      </c>
      <c r="O20" s="4"/>
    </row>
    <row r="21" spans="1:15" ht="15" x14ac:dyDescent="0.2">
      <c r="A21" s="17" t="s">
        <v>16</v>
      </c>
      <c r="B21" s="16">
        <v>120388754.23999999</v>
      </c>
      <c r="C21" s="16">
        <v>0</v>
      </c>
      <c r="D21" s="16">
        <v>945556.61215924984</v>
      </c>
      <c r="E21" s="16">
        <v>0</v>
      </c>
      <c r="F21" s="16">
        <v>1247253.5900000001</v>
      </c>
      <c r="G21" s="16">
        <v>342044.2903454284</v>
      </c>
      <c r="H21" s="16">
        <v>6590933.4199999999</v>
      </c>
      <c r="I21" s="16">
        <v>4186954.11</v>
      </c>
      <c r="J21" s="16">
        <v>10035918.18</v>
      </c>
      <c r="K21" s="16">
        <v>0</v>
      </c>
      <c r="L21" s="16">
        <v>0</v>
      </c>
      <c r="M21" s="16">
        <v>57350.96</v>
      </c>
      <c r="N21" s="18">
        <f t="shared" si="0"/>
        <v>143794765.40250468</v>
      </c>
      <c r="O21" s="4"/>
    </row>
    <row r="22" spans="1:15" ht="15" x14ac:dyDescent="0.2">
      <c r="A22" s="17" t="s">
        <v>17</v>
      </c>
      <c r="B22" s="16">
        <v>92744063.260000005</v>
      </c>
      <c r="C22" s="16">
        <v>0</v>
      </c>
      <c r="D22" s="16">
        <v>2288731.7882396504</v>
      </c>
      <c r="E22" s="16">
        <v>0</v>
      </c>
      <c r="F22" s="16">
        <v>296955.51</v>
      </c>
      <c r="G22" s="16">
        <v>189284.51</v>
      </c>
      <c r="H22" s="16">
        <v>5077467.16</v>
      </c>
      <c r="I22" s="16">
        <v>996861.52</v>
      </c>
      <c r="J22" s="16">
        <v>7699878.4399999976</v>
      </c>
      <c r="K22" s="16">
        <v>0</v>
      </c>
      <c r="L22" s="16">
        <v>0</v>
      </c>
      <c r="M22" s="16">
        <v>13654.499999999998</v>
      </c>
      <c r="N22" s="18">
        <f t="shared" si="0"/>
        <v>109306896.68823965</v>
      </c>
      <c r="O22" s="4"/>
    </row>
    <row r="23" spans="1:15" ht="15" x14ac:dyDescent="0.2">
      <c r="A23" s="17" t="s">
        <v>18</v>
      </c>
      <c r="B23" s="16">
        <v>93757641.599999994</v>
      </c>
      <c r="C23" s="16">
        <v>0</v>
      </c>
      <c r="D23" s="16">
        <v>1820420.5548604103</v>
      </c>
      <c r="E23" s="16">
        <v>0</v>
      </c>
      <c r="F23" s="16">
        <v>284624.48</v>
      </c>
      <c r="G23" s="16">
        <v>229042.9</v>
      </c>
      <c r="H23" s="16">
        <v>5132957.62</v>
      </c>
      <c r="I23" s="16">
        <v>955467</v>
      </c>
      <c r="J23" s="16">
        <v>6319788.169999999</v>
      </c>
      <c r="K23" s="16">
        <v>0</v>
      </c>
      <c r="L23" s="16">
        <v>0</v>
      </c>
      <c r="M23" s="16">
        <v>13087.489999999998</v>
      </c>
      <c r="N23" s="18">
        <f t="shared" si="0"/>
        <v>108513029.81486042</v>
      </c>
      <c r="O23" s="4"/>
    </row>
    <row r="24" spans="1:15" ht="15" x14ac:dyDescent="0.2">
      <c r="A24" s="17" t="s">
        <v>19</v>
      </c>
      <c r="B24" s="16">
        <v>28684595.939999998</v>
      </c>
      <c r="C24" s="16">
        <v>0</v>
      </c>
      <c r="D24" s="16">
        <v>974046.78725327994</v>
      </c>
      <c r="E24" s="16">
        <v>0</v>
      </c>
      <c r="F24" s="16">
        <v>295944.77</v>
      </c>
      <c r="G24" s="16">
        <v>27312.134398228751</v>
      </c>
      <c r="H24" s="16">
        <v>1570398.03</v>
      </c>
      <c r="I24" s="16">
        <v>993468.53</v>
      </c>
      <c r="J24" s="16">
        <v>5132633.7800000012</v>
      </c>
      <c r="K24" s="16">
        <v>0</v>
      </c>
      <c r="L24" s="16">
        <v>0</v>
      </c>
      <c r="M24" s="16">
        <v>13608.02</v>
      </c>
      <c r="N24" s="18">
        <f t="shared" si="0"/>
        <v>37692007.991651513</v>
      </c>
      <c r="O24" s="4"/>
    </row>
    <row r="25" spans="1:15" ht="15" x14ac:dyDescent="0.2">
      <c r="A25" s="17" t="s">
        <v>20</v>
      </c>
      <c r="B25" s="16">
        <v>128448018.39999999</v>
      </c>
      <c r="C25" s="16">
        <v>0</v>
      </c>
      <c r="D25" s="16">
        <v>874380.10302685993</v>
      </c>
      <c r="E25" s="16">
        <v>0</v>
      </c>
      <c r="F25" s="16">
        <v>1312547.42</v>
      </c>
      <c r="G25" s="16">
        <v>522909.26</v>
      </c>
      <c r="H25" s="16">
        <v>7032154.6500000004</v>
      </c>
      <c r="I25" s="16">
        <v>4406141.49</v>
      </c>
      <c r="J25" s="16">
        <v>12506247.450000003</v>
      </c>
      <c r="K25" s="16">
        <v>0</v>
      </c>
      <c r="L25" s="16">
        <v>0</v>
      </c>
      <c r="M25" s="16">
        <v>60353.31</v>
      </c>
      <c r="N25" s="18">
        <f t="shared" si="0"/>
        <v>155162752.08302689</v>
      </c>
      <c r="O25" s="4"/>
    </row>
    <row r="26" spans="1:15" ht="15" x14ac:dyDescent="0.2">
      <c r="A26" s="17" t="s">
        <v>21</v>
      </c>
      <c r="B26" s="16">
        <v>47521357.010000005</v>
      </c>
      <c r="C26" s="16">
        <v>0</v>
      </c>
      <c r="D26" s="16">
        <v>1349896.08377248</v>
      </c>
      <c r="E26" s="16">
        <v>0</v>
      </c>
      <c r="F26" s="16">
        <v>596943.25</v>
      </c>
      <c r="G26" s="16">
        <v>286951.86</v>
      </c>
      <c r="H26" s="16">
        <v>2601655.7999999998</v>
      </c>
      <c r="I26" s="16">
        <v>2003902.02</v>
      </c>
      <c r="J26" s="16">
        <v>8369936.0500000026</v>
      </c>
      <c r="K26" s="16">
        <v>0</v>
      </c>
      <c r="L26" s="16">
        <v>0</v>
      </c>
      <c r="M26" s="16">
        <v>27448.5</v>
      </c>
      <c r="N26" s="18">
        <f t="shared" si="0"/>
        <v>62758090.57377249</v>
      </c>
      <c r="O26" s="4"/>
    </row>
    <row r="27" spans="1:15" ht="15" x14ac:dyDescent="0.2">
      <c r="A27" s="17" t="s">
        <v>22</v>
      </c>
      <c r="B27" s="16">
        <v>24520039.5</v>
      </c>
      <c r="C27" s="16">
        <v>0</v>
      </c>
      <c r="D27" s="16">
        <v>542662.88270351</v>
      </c>
      <c r="E27" s="16">
        <v>0</v>
      </c>
      <c r="F27" s="16">
        <v>148376.68</v>
      </c>
      <c r="G27" s="16">
        <v>80381.09</v>
      </c>
      <c r="H27" s="16">
        <v>1342400.7</v>
      </c>
      <c r="I27" s="16">
        <v>498091.46</v>
      </c>
      <c r="J27" s="16">
        <v>2448129.8599999994</v>
      </c>
      <c r="K27" s="16">
        <v>0</v>
      </c>
      <c r="L27" s="16">
        <v>0</v>
      </c>
      <c r="M27" s="16">
        <v>6822.5500000000011</v>
      </c>
      <c r="N27" s="18">
        <f t="shared" si="0"/>
        <v>29586904.722703509</v>
      </c>
      <c r="O27" s="4"/>
    </row>
    <row r="28" spans="1:15" ht="15" x14ac:dyDescent="0.2">
      <c r="A28" s="17" t="s">
        <v>23</v>
      </c>
      <c r="B28" s="16">
        <v>80903625.400000006</v>
      </c>
      <c r="C28" s="16">
        <v>0</v>
      </c>
      <c r="D28" s="16">
        <v>1683732.4472100702</v>
      </c>
      <c r="E28" s="16">
        <v>0</v>
      </c>
      <c r="F28" s="16">
        <v>204371.69</v>
      </c>
      <c r="G28" s="16">
        <v>122732.42</v>
      </c>
      <c r="H28" s="16">
        <v>4429237.7</v>
      </c>
      <c r="I28" s="16">
        <v>686063.31</v>
      </c>
      <c r="J28" s="16">
        <v>4907757.1899999976</v>
      </c>
      <c r="K28" s="16">
        <v>0</v>
      </c>
      <c r="L28" s="16">
        <v>0</v>
      </c>
      <c r="M28" s="16">
        <v>9397.32</v>
      </c>
      <c r="N28" s="18">
        <f t="shared" si="0"/>
        <v>92946917.477210075</v>
      </c>
      <c r="O28" s="4"/>
    </row>
    <row r="29" spans="1:15" ht="15" x14ac:dyDescent="0.2">
      <c r="A29" s="17" t="s">
        <v>24</v>
      </c>
      <c r="B29" s="16">
        <v>48214078.589999989</v>
      </c>
      <c r="C29" s="16">
        <v>0</v>
      </c>
      <c r="D29" s="16">
        <v>1457276.2436176403</v>
      </c>
      <c r="E29" s="16">
        <v>0</v>
      </c>
      <c r="F29" s="16">
        <v>127555.43</v>
      </c>
      <c r="G29" s="16">
        <v>63959.15</v>
      </c>
      <c r="H29" s="16">
        <v>2639580.29</v>
      </c>
      <c r="I29" s="16">
        <v>428195.79</v>
      </c>
      <c r="J29" s="16">
        <v>4397320.0999999987</v>
      </c>
      <c r="K29" s="16">
        <v>0</v>
      </c>
      <c r="L29" s="16">
        <v>0</v>
      </c>
      <c r="M29" s="16">
        <v>5865.170000000001</v>
      </c>
      <c r="N29" s="18">
        <f t="shared" si="0"/>
        <v>57333830.763617627</v>
      </c>
      <c r="O29" s="4"/>
    </row>
    <row r="30" spans="1:15" ht="15" x14ac:dyDescent="0.2">
      <c r="A30" s="17" t="s">
        <v>25</v>
      </c>
      <c r="B30" s="16">
        <v>16597345.17</v>
      </c>
      <c r="C30" s="16">
        <v>0</v>
      </c>
      <c r="D30" s="16">
        <v>673434.12758670002</v>
      </c>
      <c r="E30" s="16">
        <v>0</v>
      </c>
      <c r="F30" s="16">
        <v>110170.69</v>
      </c>
      <c r="G30" s="16">
        <v>81245.41</v>
      </c>
      <c r="H30" s="16">
        <v>908656.28</v>
      </c>
      <c r="I30" s="16">
        <v>369836.3</v>
      </c>
      <c r="J30" s="16">
        <v>3326878.3399999985</v>
      </c>
      <c r="K30" s="16">
        <v>0</v>
      </c>
      <c r="L30" s="16">
        <v>0</v>
      </c>
      <c r="M30" s="16">
        <v>5065.79</v>
      </c>
      <c r="N30" s="18">
        <f t="shared" si="0"/>
        <v>22072632.107586704</v>
      </c>
      <c r="O30" s="4"/>
    </row>
    <row r="31" spans="1:15" ht="15" x14ac:dyDescent="0.2">
      <c r="A31" s="17" t="s">
        <v>26</v>
      </c>
      <c r="B31" s="16">
        <v>30382668.779999997</v>
      </c>
      <c r="C31" s="16">
        <v>0</v>
      </c>
      <c r="D31" s="16">
        <v>720577.07738387014</v>
      </c>
      <c r="E31" s="16">
        <v>0</v>
      </c>
      <c r="F31" s="16">
        <v>131598.39000000001</v>
      </c>
      <c r="G31" s="16">
        <v>45808.58</v>
      </c>
      <c r="H31" s="16">
        <v>1663362.57</v>
      </c>
      <c r="I31" s="16">
        <v>441767.77</v>
      </c>
      <c r="J31" s="16">
        <v>2356549.0999999992</v>
      </c>
      <c r="K31" s="16">
        <v>0</v>
      </c>
      <c r="L31" s="16">
        <v>0</v>
      </c>
      <c r="M31" s="16">
        <v>6051.09</v>
      </c>
      <c r="N31" s="18">
        <f t="shared" si="0"/>
        <v>35748383.35738387</v>
      </c>
      <c r="O31" s="4"/>
    </row>
    <row r="32" spans="1:15" ht="15" x14ac:dyDescent="0.2">
      <c r="A32" s="17" t="s">
        <v>27</v>
      </c>
      <c r="B32" s="16">
        <v>138909594.81999999</v>
      </c>
      <c r="C32" s="16">
        <v>0</v>
      </c>
      <c r="D32" s="16">
        <v>1811606.4730639004</v>
      </c>
      <c r="E32" s="16">
        <v>0</v>
      </c>
      <c r="F32" s="16">
        <v>388124.29</v>
      </c>
      <c r="G32" s="16">
        <v>269665.59999999998</v>
      </c>
      <c r="H32" s="16">
        <v>7604895.46</v>
      </c>
      <c r="I32" s="16">
        <v>1302909.54</v>
      </c>
      <c r="J32" s="16">
        <v>7605183.1999999974</v>
      </c>
      <c r="K32" s="16">
        <v>0</v>
      </c>
      <c r="L32" s="16">
        <v>0</v>
      </c>
      <c r="M32" s="16">
        <v>17846.59</v>
      </c>
      <c r="N32" s="18">
        <f t="shared" si="0"/>
        <v>157909825.97306386</v>
      </c>
      <c r="O32" s="4"/>
    </row>
    <row r="33" spans="1:15" ht="15" x14ac:dyDescent="0.2">
      <c r="A33" s="17" t="s">
        <v>28</v>
      </c>
      <c r="B33" s="16">
        <v>89821798.449999988</v>
      </c>
      <c r="C33" s="16">
        <v>0</v>
      </c>
      <c r="D33" s="16">
        <v>2117708.0047778101</v>
      </c>
      <c r="E33" s="16">
        <v>0</v>
      </c>
      <c r="F33" s="16">
        <v>284826.63</v>
      </c>
      <c r="G33" s="16">
        <v>202249.2</v>
      </c>
      <c r="H33" s="16">
        <v>4917481.68</v>
      </c>
      <c r="I33" s="16">
        <v>956145.6</v>
      </c>
      <c r="J33" s="16">
        <v>7133031.6799999969</v>
      </c>
      <c r="K33" s="16">
        <v>0</v>
      </c>
      <c r="L33" s="16">
        <v>0</v>
      </c>
      <c r="M33" s="16">
        <v>13096.789999999997</v>
      </c>
      <c r="N33" s="18">
        <f t="shared" si="0"/>
        <v>105446338.03477779</v>
      </c>
      <c r="O33" s="4"/>
    </row>
    <row r="34" spans="1:15" ht="15" x14ac:dyDescent="0.2">
      <c r="A34" s="17" t="s">
        <v>29</v>
      </c>
      <c r="B34" s="16">
        <v>125234514.35999998</v>
      </c>
      <c r="C34" s="16">
        <v>0</v>
      </c>
      <c r="D34" s="16">
        <v>2316714.1831550999</v>
      </c>
      <c r="E34" s="16">
        <v>0</v>
      </c>
      <c r="F34" s="16">
        <v>414201.39</v>
      </c>
      <c r="G34" s="16">
        <v>355232.57</v>
      </c>
      <c r="H34" s="16">
        <v>6856224.6699999999</v>
      </c>
      <c r="I34" s="16">
        <v>1390448.78</v>
      </c>
      <c r="J34" s="16">
        <v>9203937.6299999952</v>
      </c>
      <c r="K34" s="16">
        <v>0</v>
      </c>
      <c r="L34" s="16">
        <v>0</v>
      </c>
      <c r="M34" s="16">
        <v>19045.68</v>
      </c>
      <c r="N34" s="18">
        <f t="shared" si="0"/>
        <v>145790319.26315507</v>
      </c>
      <c r="O34" s="4"/>
    </row>
    <row r="35" spans="1:15" ht="15" x14ac:dyDescent="0.2">
      <c r="A35" s="17" t="s">
        <v>30</v>
      </c>
      <c r="B35" s="16">
        <v>60342464.82</v>
      </c>
      <c r="C35" s="16">
        <v>0</v>
      </c>
      <c r="D35" s="16">
        <v>965289.08631490008</v>
      </c>
      <c r="E35" s="16">
        <v>0</v>
      </c>
      <c r="F35" s="16">
        <v>258951.67</v>
      </c>
      <c r="G35" s="16">
        <v>137425.74</v>
      </c>
      <c r="H35" s="16">
        <v>3303574.08</v>
      </c>
      <c r="I35" s="16">
        <v>869284.96</v>
      </c>
      <c r="J35" s="16">
        <v>3365677.4799999991</v>
      </c>
      <c r="K35" s="16">
        <v>0</v>
      </c>
      <c r="L35" s="16">
        <v>0</v>
      </c>
      <c r="M35" s="16">
        <v>11906.989999999996</v>
      </c>
      <c r="N35" s="18">
        <f t="shared" si="0"/>
        <v>69254574.826314896</v>
      </c>
      <c r="O35" s="4"/>
    </row>
    <row r="36" spans="1:15" ht="15" x14ac:dyDescent="0.2">
      <c r="A36" s="17" t="s">
        <v>31</v>
      </c>
      <c r="B36" s="16">
        <v>64999001.699999996</v>
      </c>
      <c r="C36" s="16">
        <v>0</v>
      </c>
      <c r="D36" s="16">
        <v>1442608.7937701303</v>
      </c>
      <c r="E36" s="16">
        <v>0</v>
      </c>
      <c r="F36" s="16">
        <v>162931.34</v>
      </c>
      <c r="G36" s="16">
        <v>87295.6</v>
      </c>
      <c r="H36" s="16">
        <v>3558505.91</v>
      </c>
      <c r="I36" s="16">
        <v>546950.56999999995</v>
      </c>
      <c r="J36" s="16">
        <v>4407177.3000000017</v>
      </c>
      <c r="K36" s="16">
        <v>0</v>
      </c>
      <c r="L36" s="16">
        <v>0</v>
      </c>
      <c r="M36" s="16">
        <v>7491.83</v>
      </c>
      <c r="N36" s="18">
        <f t="shared" si="0"/>
        <v>75211963.04377012</v>
      </c>
      <c r="O36" s="4"/>
    </row>
    <row r="37" spans="1:15" ht="15" x14ac:dyDescent="0.2">
      <c r="A37" s="17" t="s">
        <v>32</v>
      </c>
      <c r="B37" s="16">
        <v>72191129.790000007</v>
      </c>
      <c r="C37" s="16">
        <v>0</v>
      </c>
      <c r="D37" s="16">
        <v>2217910.76570524</v>
      </c>
      <c r="E37" s="16">
        <v>0</v>
      </c>
      <c r="F37" s="16">
        <v>302211.36</v>
      </c>
      <c r="G37" s="16">
        <v>127053.99</v>
      </c>
      <c r="H37" s="16">
        <v>3952253.96</v>
      </c>
      <c r="I37" s="16">
        <v>1014505.09</v>
      </c>
      <c r="J37" s="16">
        <v>5690335.8399999999</v>
      </c>
      <c r="K37" s="16">
        <v>0</v>
      </c>
      <c r="L37" s="16">
        <v>0</v>
      </c>
      <c r="M37" s="16">
        <v>13896.170000000002</v>
      </c>
      <c r="N37" s="18">
        <f t="shared" si="0"/>
        <v>85509296.965705246</v>
      </c>
      <c r="O37" s="4"/>
    </row>
    <row r="38" spans="1:15" ht="15" x14ac:dyDescent="0.2">
      <c r="A38" s="17" t="s">
        <v>33</v>
      </c>
      <c r="B38" s="16">
        <v>66058651.74000001</v>
      </c>
      <c r="C38" s="16">
        <v>0</v>
      </c>
      <c r="D38" s="16">
        <v>596845.55269403011</v>
      </c>
      <c r="E38" s="16">
        <v>0</v>
      </c>
      <c r="F38" s="16">
        <v>270069.82</v>
      </c>
      <c r="G38" s="16">
        <v>343996.51</v>
      </c>
      <c r="H38" s="16">
        <v>3616518.66</v>
      </c>
      <c r="I38" s="16">
        <v>906607.89</v>
      </c>
      <c r="J38" s="16">
        <v>9419536.8999999966</v>
      </c>
      <c r="K38" s="16">
        <v>0</v>
      </c>
      <c r="L38" s="16">
        <v>0</v>
      </c>
      <c r="M38" s="16">
        <v>12418.25</v>
      </c>
      <c r="N38" s="18">
        <f t="shared" si="0"/>
        <v>81224645.322694033</v>
      </c>
      <c r="O38" s="4"/>
    </row>
    <row r="39" spans="1:15" ht="15" x14ac:dyDescent="0.2">
      <c r="A39" s="17" t="s">
        <v>34</v>
      </c>
      <c r="B39" s="16">
        <v>109341408.53000002</v>
      </c>
      <c r="C39" s="16">
        <v>0</v>
      </c>
      <c r="D39" s="16">
        <v>2701028.6530520702</v>
      </c>
      <c r="E39" s="16">
        <v>0</v>
      </c>
      <c r="F39" s="16">
        <v>344056.01</v>
      </c>
      <c r="G39" s="16">
        <v>211756.64</v>
      </c>
      <c r="H39" s="16">
        <v>5986123.4400000004</v>
      </c>
      <c r="I39" s="16">
        <v>1154975.02</v>
      </c>
      <c r="J39" s="16">
        <v>8022581.6599999974</v>
      </c>
      <c r="K39" s="16">
        <v>0</v>
      </c>
      <c r="L39" s="16">
        <v>0</v>
      </c>
      <c r="M39" s="16">
        <v>15820.269999999999</v>
      </c>
      <c r="N39" s="18">
        <f t="shared" si="0"/>
        <v>127777750.22305208</v>
      </c>
      <c r="O39" s="4"/>
    </row>
    <row r="40" spans="1:15" ht="15" x14ac:dyDescent="0.2">
      <c r="A40" s="17" t="s">
        <v>35</v>
      </c>
      <c r="B40" s="16">
        <v>73252425.280000001</v>
      </c>
      <c r="C40" s="16">
        <v>0</v>
      </c>
      <c r="D40" s="16">
        <v>1935732.0827994901</v>
      </c>
      <c r="E40" s="16">
        <v>0</v>
      </c>
      <c r="F40" s="16">
        <v>183752.59</v>
      </c>
      <c r="G40" s="16">
        <v>93345.79</v>
      </c>
      <c r="H40" s="16">
        <v>4010356.79</v>
      </c>
      <c r="I40" s="16">
        <v>616846.24</v>
      </c>
      <c r="J40" s="16">
        <v>4464680.4200000009</v>
      </c>
      <c r="K40" s="16">
        <v>0</v>
      </c>
      <c r="L40" s="16">
        <v>0</v>
      </c>
      <c r="M40" s="16">
        <v>8449.24</v>
      </c>
      <c r="N40" s="18">
        <f t="shared" ref="N40:N71" si="1">SUM(B40:M40)</f>
        <v>84565588.432799503</v>
      </c>
      <c r="O40" s="4"/>
    </row>
    <row r="41" spans="1:15" ht="15" x14ac:dyDescent="0.2">
      <c r="A41" s="17" t="s">
        <v>36</v>
      </c>
      <c r="B41" s="16">
        <v>75898259.680000007</v>
      </c>
      <c r="C41" s="16">
        <v>0</v>
      </c>
      <c r="D41" s="16">
        <v>858112.56200588006</v>
      </c>
      <c r="E41" s="16">
        <v>0</v>
      </c>
      <c r="F41" s="16">
        <v>311105.88</v>
      </c>
      <c r="G41" s="16">
        <v>149526.12</v>
      </c>
      <c r="H41" s="16">
        <v>4155208.51</v>
      </c>
      <c r="I41" s="16">
        <v>1044363.43</v>
      </c>
      <c r="J41" s="16">
        <v>4530085.8299999991</v>
      </c>
      <c r="K41" s="16">
        <v>0</v>
      </c>
      <c r="L41" s="16">
        <v>0</v>
      </c>
      <c r="M41" s="16">
        <v>14305.15</v>
      </c>
      <c r="N41" s="18">
        <f t="shared" si="1"/>
        <v>86960967.162005901</v>
      </c>
      <c r="O41" s="4"/>
    </row>
    <row r="42" spans="1:15" ht="15" x14ac:dyDescent="0.2">
      <c r="A42" s="17" t="s">
        <v>37</v>
      </c>
      <c r="B42" s="16">
        <v>46757882.409999996</v>
      </c>
      <c r="C42" s="16">
        <v>0</v>
      </c>
      <c r="D42" s="16">
        <v>455368.86362234002</v>
      </c>
      <c r="E42" s="16">
        <v>0</v>
      </c>
      <c r="F42" s="16">
        <v>844978.93</v>
      </c>
      <c r="G42" s="16">
        <v>0</v>
      </c>
      <c r="H42" s="16">
        <v>2559857.79</v>
      </c>
      <c r="I42" s="16">
        <v>2836542.65</v>
      </c>
      <c r="J42" s="16">
        <v>7059343.0300000012</v>
      </c>
      <c r="K42" s="16">
        <v>0</v>
      </c>
      <c r="L42" s="16">
        <v>0</v>
      </c>
      <c r="M42" s="16">
        <v>38853.64</v>
      </c>
      <c r="N42" s="18">
        <f t="shared" si="1"/>
        <v>60552827.313622333</v>
      </c>
      <c r="O42" s="4"/>
    </row>
    <row r="43" spans="1:15" ht="15" x14ac:dyDescent="0.2">
      <c r="A43" s="17" t="s">
        <v>38</v>
      </c>
      <c r="B43" s="16">
        <v>168553470.33999997</v>
      </c>
      <c r="C43" s="16">
        <v>0</v>
      </c>
      <c r="D43" s="16">
        <v>2064555.6493541799</v>
      </c>
      <c r="E43" s="16">
        <v>0</v>
      </c>
      <c r="F43" s="16">
        <v>3513737.76</v>
      </c>
      <c r="G43" s="16">
        <v>1181515.6399999999</v>
      </c>
      <c r="H43" s="16">
        <v>9227811.25</v>
      </c>
      <c r="I43" s="16">
        <v>11795402.960000001</v>
      </c>
      <c r="J43" s="16">
        <v>21852211.789999999</v>
      </c>
      <c r="K43" s="16">
        <v>0</v>
      </c>
      <c r="L43" s="16">
        <v>0</v>
      </c>
      <c r="M43" s="16">
        <v>161568.13999999998</v>
      </c>
      <c r="N43" s="18">
        <f t="shared" si="1"/>
        <v>218350273.52935413</v>
      </c>
      <c r="O43" s="4"/>
    </row>
    <row r="44" spans="1:15" ht="15" x14ac:dyDescent="0.2">
      <c r="A44" s="17" t="s">
        <v>39</v>
      </c>
      <c r="B44" s="16">
        <v>242457481.82000002</v>
      </c>
      <c r="C44" s="16">
        <v>0</v>
      </c>
      <c r="D44" s="16">
        <v>1510154.74661929</v>
      </c>
      <c r="E44" s="16">
        <v>0</v>
      </c>
      <c r="F44" s="16">
        <v>4421180.45</v>
      </c>
      <c r="G44" s="16">
        <v>2215419.3884213548</v>
      </c>
      <c r="H44" s="16">
        <v>13273840.48</v>
      </c>
      <c r="I44" s="16">
        <v>14841632.619999999</v>
      </c>
      <c r="J44" s="16">
        <v>28365830.54999999</v>
      </c>
      <c r="K44" s="16">
        <v>0</v>
      </c>
      <c r="L44" s="16">
        <v>0</v>
      </c>
      <c r="M44" s="16">
        <v>203294.02000000002</v>
      </c>
      <c r="N44" s="18">
        <f t="shared" si="1"/>
        <v>307288834.07504064</v>
      </c>
      <c r="O44" s="4"/>
    </row>
    <row r="45" spans="1:15" ht="15" x14ac:dyDescent="0.2">
      <c r="A45" s="17" t="s">
        <v>40</v>
      </c>
      <c r="B45" s="16">
        <v>68798275.019999996</v>
      </c>
      <c r="C45" s="16">
        <v>0</v>
      </c>
      <c r="D45" s="16">
        <v>1075921.94308668</v>
      </c>
      <c r="E45" s="16">
        <v>0</v>
      </c>
      <c r="F45" s="16">
        <v>329299.20000000001</v>
      </c>
      <c r="G45" s="16">
        <v>165083.75</v>
      </c>
      <c r="H45" s="16">
        <v>3766505.05</v>
      </c>
      <c r="I45" s="16">
        <v>1105437.32</v>
      </c>
      <c r="J45" s="16">
        <v>4249727.1500000013</v>
      </c>
      <c r="K45" s="16">
        <v>0</v>
      </c>
      <c r="L45" s="16">
        <v>0</v>
      </c>
      <c r="M45" s="16">
        <v>15141.730000000001</v>
      </c>
      <c r="N45" s="18">
        <f t="shared" si="1"/>
        <v>79505391.163086683</v>
      </c>
      <c r="O45" s="4"/>
    </row>
    <row r="46" spans="1:15" ht="15" x14ac:dyDescent="0.2">
      <c r="A46" s="17" t="s">
        <v>41</v>
      </c>
      <c r="B46" s="16">
        <v>107204008.78999999</v>
      </c>
      <c r="C46" s="16">
        <v>0</v>
      </c>
      <c r="D46" s="16">
        <v>851042.2966192899</v>
      </c>
      <c r="E46" s="16">
        <v>0</v>
      </c>
      <c r="F46" s="16">
        <v>2597400.5499999998</v>
      </c>
      <c r="G46" s="16">
        <v>238852.43599016606</v>
      </c>
      <c r="H46" s="16">
        <v>5869107.04</v>
      </c>
      <c r="I46" s="16">
        <v>8719314.9600000009</v>
      </c>
      <c r="J46" s="16">
        <v>18955156.769999996</v>
      </c>
      <c r="K46" s="16">
        <v>0</v>
      </c>
      <c r="L46" s="16">
        <v>0</v>
      </c>
      <c r="M46" s="16">
        <v>119433.23999999999</v>
      </c>
      <c r="N46" s="18">
        <f t="shared" si="1"/>
        <v>144554316.08260947</v>
      </c>
      <c r="O46" s="4"/>
    </row>
    <row r="47" spans="1:15" ht="15" x14ac:dyDescent="0.2">
      <c r="A47" s="17" t="s">
        <v>42</v>
      </c>
      <c r="B47" s="16">
        <v>318938220.03999996</v>
      </c>
      <c r="C47" s="16">
        <v>0</v>
      </c>
      <c r="D47" s="16">
        <v>1414608.6595256301</v>
      </c>
      <c r="E47" s="16">
        <v>0</v>
      </c>
      <c r="F47" s="16">
        <v>8097243.1100000003</v>
      </c>
      <c r="G47" s="16">
        <v>2437457.1754671154</v>
      </c>
      <c r="H47" s="16">
        <v>17460938</v>
      </c>
      <c r="I47" s="16">
        <v>27181950.359999999</v>
      </c>
      <c r="J47" s="16">
        <v>43796733.179999992</v>
      </c>
      <c r="K47" s="16">
        <v>0</v>
      </c>
      <c r="L47" s="16">
        <v>0</v>
      </c>
      <c r="M47" s="16">
        <v>372326.2099999999</v>
      </c>
      <c r="N47" s="18">
        <f t="shared" si="1"/>
        <v>419699476.73499274</v>
      </c>
      <c r="O47" s="4"/>
    </row>
    <row r="48" spans="1:15" ht="15" x14ac:dyDescent="0.2">
      <c r="A48" s="17" t="s">
        <v>43</v>
      </c>
      <c r="B48" s="16">
        <v>34874663.649999999</v>
      </c>
      <c r="C48" s="16">
        <v>0</v>
      </c>
      <c r="D48" s="16">
        <v>736903.67910012999</v>
      </c>
      <c r="E48" s="16">
        <v>0</v>
      </c>
      <c r="F48" s="16">
        <v>70347.520000000004</v>
      </c>
      <c r="G48" s="16">
        <v>49265.83</v>
      </c>
      <c r="H48" s="16">
        <v>1909286.2</v>
      </c>
      <c r="I48" s="16">
        <v>236152.35</v>
      </c>
      <c r="J48" s="16">
        <v>2390825.6699999995</v>
      </c>
      <c r="K48" s="16">
        <v>0</v>
      </c>
      <c r="L48" s="16">
        <v>0</v>
      </c>
      <c r="M48" s="16">
        <v>3234.67</v>
      </c>
      <c r="N48" s="18">
        <f t="shared" si="1"/>
        <v>40270679.569100142</v>
      </c>
      <c r="O48" s="4"/>
    </row>
    <row r="49" spans="1:15" ht="15" x14ac:dyDescent="0.2">
      <c r="A49" s="17" t="s">
        <v>44</v>
      </c>
      <c r="B49" s="16">
        <v>56758741.420000002</v>
      </c>
      <c r="C49" s="16">
        <v>0</v>
      </c>
      <c r="D49" s="16">
        <v>1388025.1306120902</v>
      </c>
      <c r="E49" s="16">
        <v>0</v>
      </c>
      <c r="F49" s="16">
        <v>415414.28</v>
      </c>
      <c r="G49" s="16">
        <v>218671.15</v>
      </c>
      <c r="H49" s="16">
        <v>3107375.67</v>
      </c>
      <c r="I49" s="16">
        <v>1394520.37</v>
      </c>
      <c r="J49" s="16">
        <v>5558348.7299999995</v>
      </c>
      <c r="K49" s="16">
        <v>0</v>
      </c>
      <c r="L49" s="16">
        <v>0</v>
      </c>
      <c r="M49" s="16">
        <v>19101.46</v>
      </c>
      <c r="N49" s="18">
        <f t="shared" si="1"/>
        <v>68860198.210612088</v>
      </c>
      <c r="O49" s="4"/>
    </row>
    <row r="50" spans="1:15" ht="15" x14ac:dyDescent="0.2">
      <c r="A50" s="17" t="s">
        <v>45</v>
      </c>
      <c r="B50" s="16">
        <v>45176634.410000004</v>
      </c>
      <c r="C50" s="16">
        <v>0</v>
      </c>
      <c r="D50" s="16">
        <v>1115259.1498451603</v>
      </c>
      <c r="E50" s="16">
        <v>0</v>
      </c>
      <c r="F50" s="16">
        <v>116437.28</v>
      </c>
      <c r="G50" s="16">
        <v>61366.21</v>
      </c>
      <c r="H50" s="16">
        <v>2473289.0699999998</v>
      </c>
      <c r="I50" s="16">
        <v>390872.86</v>
      </c>
      <c r="J50" s="16">
        <v>4003678.290000001</v>
      </c>
      <c r="K50" s="16">
        <v>0</v>
      </c>
      <c r="L50" s="16">
        <v>0</v>
      </c>
      <c r="M50" s="16">
        <v>5353.93</v>
      </c>
      <c r="N50" s="18">
        <f t="shared" si="1"/>
        <v>53342891.199845165</v>
      </c>
      <c r="O50" s="4"/>
    </row>
    <row r="51" spans="1:15" ht="15" x14ac:dyDescent="0.2">
      <c r="A51" s="17" t="s">
        <v>46</v>
      </c>
      <c r="B51" s="16">
        <v>44548084.210000001</v>
      </c>
      <c r="C51" s="16">
        <v>0</v>
      </c>
      <c r="D51" s="16">
        <v>1232949.52529539</v>
      </c>
      <c r="E51" s="16">
        <v>0</v>
      </c>
      <c r="F51" s="16">
        <v>145142.31</v>
      </c>
      <c r="G51" s="16">
        <v>82109.72</v>
      </c>
      <c r="H51" s="16">
        <v>2438877.7799999998</v>
      </c>
      <c r="I51" s="16">
        <v>487233.88</v>
      </c>
      <c r="J51" s="16">
        <v>2777227.7199999988</v>
      </c>
      <c r="K51" s="16">
        <v>0</v>
      </c>
      <c r="L51" s="16">
        <v>0</v>
      </c>
      <c r="M51" s="16">
        <v>6673.82</v>
      </c>
      <c r="N51" s="18">
        <f t="shared" si="1"/>
        <v>51718298.965295397</v>
      </c>
      <c r="O51" s="4"/>
    </row>
    <row r="52" spans="1:15" ht="15" x14ac:dyDescent="0.2">
      <c r="A52" s="17" t="s">
        <v>47</v>
      </c>
      <c r="B52" s="16">
        <v>48503672.399999999</v>
      </c>
      <c r="C52" s="16">
        <v>0</v>
      </c>
      <c r="D52" s="16">
        <v>1313485.8436608501</v>
      </c>
      <c r="E52" s="16">
        <v>0</v>
      </c>
      <c r="F52" s="16">
        <v>133619.87</v>
      </c>
      <c r="G52" s="16">
        <v>95938.72</v>
      </c>
      <c r="H52" s="16">
        <v>2655434.7000000002</v>
      </c>
      <c r="I52" s="16">
        <v>448553.75</v>
      </c>
      <c r="J52" s="16">
        <v>3727146.7800000012</v>
      </c>
      <c r="K52" s="16">
        <v>0</v>
      </c>
      <c r="L52" s="16">
        <v>0</v>
      </c>
      <c r="M52" s="16">
        <v>6144.01</v>
      </c>
      <c r="N52" s="18">
        <f t="shared" si="1"/>
        <v>56883996.073660851</v>
      </c>
      <c r="O52" s="4"/>
    </row>
    <row r="53" spans="1:15" ht="15" x14ac:dyDescent="0.2">
      <c r="A53" s="17" t="s">
        <v>48</v>
      </c>
      <c r="B53" s="16">
        <v>17480935.41</v>
      </c>
      <c r="C53" s="16">
        <v>0</v>
      </c>
      <c r="D53" s="16">
        <v>1054448.0330331102</v>
      </c>
      <c r="E53" s="16">
        <v>0</v>
      </c>
      <c r="F53" s="16">
        <v>23247.02</v>
      </c>
      <c r="G53" s="16">
        <v>15557.63</v>
      </c>
      <c r="H53" s="16">
        <v>957030.27</v>
      </c>
      <c r="I53" s="16">
        <v>78038.850000000006</v>
      </c>
      <c r="J53" s="16">
        <v>1849226.4899999995</v>
      </c>
      <c r="K53" s="16">
        <v>0</v>
      </c>
      <c r="L53" s="16">
        <v>0</v>
      </c>
      <c r="M53" s="16">
        <v>1068.8500000000001</v>
      </c>
      <c r="N53" s="18">
        <f t="shared" si="1"/>
        <v>21459552.55303311</v>
      </c>
      <c r="O53" s="4"/>
    </row>
    <row r="54" spans="1:15" ht="15" x14ac:dyDescent="0.2">
      <c r="A54" s="17" t="s">
        <v>49</v>
      </c>
      <c r="B54" s="16">
        <v>60554723.920000002</v>
      </c>
      <c r="C54" s="16">
        <v>0</v>
      </c>
      <c r="D54" s="16">
        <v>1527260.4614583901</v>
      </c>
      <c r="E54" s="16">
        <v>0</v>
      </c>
      <c r="F54" s="16">
        <v>79848.479999999996</v>
      </c>
      <c r="G54" s="16">
        <v>59637.59</v>
      </c>
      <c r="H54" s="16">
        <v>3315194.65</v>
      </c>
      <c r="I54" s="16">
        <v>268046.49</v>
      </c>
      <c r="J54" s="16">
        <v>4273583.3599999994</v>
      </c>
      <c r="K54" s="16">
        <v>0</v>
      </c>
      <c r="L54" s="16">
        <v>0</v>
      </c>
      <c r="M54" s="16">
        <v>3671.5100000000007</v>
      </c>
      <c r="N54" s="18">
        <f t="shared" si="1"/>
        <v>70081966.4614584</v>
      </c>
      <c r="O54" s="4"/>
    </row>
    <row r="55" spans="1:15" ht="15" x14ac:dyDescent="0.2">
      <c r="A55" s="17" t="s">
        <v>50</v>
      </c>
      <c r="B55" s="16">
        <v>22264169.549999997</v>
      </c>
      <c r="C55" s="16">
        <v>0</v>
      </c>
      <c r="D55" s="16">
        <v>671936.27899945003</v>
      </c>
      <c r="E55" s="16">
        <v>0</v>
      </c>
      <c r="F55" s="16">
        <v>147365.94</v>
      </c>
      <c r="G55" s="16">
        <v>82109.72</v>
      </c>
      <c r="H55" s="16">
        <v>1218898.3999999999</v>
      </c>
      <c r="I55" s="16">
        <v>494698.47</v>
      </c>
      <c r="J55" s="16">
        <v>3057304.63</v>
      </c>
      <c r="K55" s="16">
        <v>0</v>
      </c>
      <c r="L55" s="16">
        <v>0</v>
      </c>
      <c r="M55" s="16">
        <v>6776.1</v>
      </c>
      <c r="N55" s="18">
        <f t="shared" si="1"/>
        <v>27943259.088999446</v>
      </c>
      <c r="O55" s="4"/>
    </row>
    <row r="56" spans="1:15" ht="15" x14ac:dyDescent="0.2">
      <c r="A56" s="17" t="s">
        <v>51</v>
      </c>
      <c r="B56" s="16">
        <v>21344380.09</v>
      </c>
      <c r="C56" s="16">
        <v>0</v>
      </c>
      <c r="D56" s="16">
        <v>549191.1369408801</v>
      </c>
      <c r="E56" s="16">
        <v>0</v>
      </c>
      <c r="F56" s="16">
        <v>41642.5</v>
      </c>
      <c r="G56" s="16">
        <v>20743.509999999998</v>
      </c>
      <c r="H56" s="16">
        <v>1168542.6100000001</v>
      </c>
      <c r="I56" s="16">
        <v>139791.34</v>
      </c>
      <c r="J56" s="16">
        <v>2486680.6699999995</v>
      </c>
      <c r="K56" s="16">
        <v>0</v>
      </c>
      <c r="L56" s="16">
        <v>0</v>
      </c>
      <c r="M56" s="16">
        <v>1914.72</v>
      </c>
      <c r="N56" s="18">
        <f t="shared" si="1"/>
        <v>25752886.576940879</v>
      </c>
      <c r="O56" s="4"/>
    </row>
    <row r="57" spans="1:15" ht="15" x14ac:dyDescent="0.2">
      <c r="A57" s="17" t="s">
        <v>52</v>
      </c>
      <c r="B57" s="16">
        <v>58882977.82</v>
      </c>
      <c r="C57" s="16">
        <v>0</v>
      </c>
      <c r="D57" s="16">
        <v>1100945.4006529502</v>
      </c>
      <c r="E57" s="16">
        <v>0</v>
      </c>
      <c r="F57" s="16">
        <v>213872.65</v>
      </c>
      <c r="G57" s="16">
        <v>108903.42</v>
      </c>
      <c r="H57" s="16">
        <v>3223671.43</v>
      </c>
      <c r="I57" s="16">
        <v>717957.45</v>
      </c>
      <c r="J57" s="16">
        <v>5273152.6499999994</v>
      </c>
      <c r="K57" s="16">
        <v>0</v>
      </c>
      <c r="L57" s="16">
        <v>0</v>
      </c>
      <c r="M57" s="16">
        <v>9834.1999999999989</v>
      </c>
      <c r="N57" s="18">
        <f t="shared" si="1"/>
        <v>69531315.020652965</v>
      </c>
      <c r="O57" s="4"/>
    </row>
    <row r="58" spans="1:15" ht="15" x14ac:dyDescent="0.2">
      <c r="A58" s="17" t="s">
        <v>53</v>
      </c>
      <c r="B58" s="16">
        <v>47103420.5</v>
      </c>
      <c r="C58" s="16">
        <v>0</v>
      </c>
      <c r="D58" s="16">
        <v>610700.03561874002</v>
      </c>
      <c r="E58" s="16">
        <v>0</v>
      </c>
      <c r="F58" s="16">
        <v>124523.21</v>
      </c>
      <c r="G58" s="16">
        <v>62230.52</v>
      </c>
      <c r="H58" s="16">
        <v>2578774.9900000002</v>
      </c>
      <c r="I58" s="16">
        <v>418016.81</v>
      </c>
      <c r="J58" s="16">
        <v>2952801.7800000012</v>
      </c>
      <c r="K58" s="16">
        <v>0</v>
      </c>
      <c r="L58" s="16">
        <v>0</v>
      </c>
      <c r="M58" s="16">
        <v>5725.75</v>
      </c>
      <c r="N58" s="18">
        <f t="shared" si="1"/>
        <v>53856193.595618747</v>
      </c>
      <c r="O58" s="4"/>
    </row>
    <row r="59" spans="1:15" ht="15" x14ac:dyDescent="0.2">
      <c r="A59" s="17" t="s">
        <v>54</v>
      </c>
      <c r="B59" s="16">
        <v>52395089.190000005</v>
      </c>
      <c r="C59" s="16">
        <v>0</v>
      </c>
      <c r="D59" s="16">
        <v>1185397.2408951703</v>
      </c>
      <c r="E59" s="16">
        <v>0</v>
      </c>
      <c r="F59" s="16">
        <v>121288.84</v>
      </c>
      <c r="G59" s="16">
        <v>62230.52</v>
      </c>
      <c r="H59" s="16">
        <v>2868478.43</v>
      </c>
      <c r="I59" s="16">
        <v>407159.23</v>
      </c>
      <c r="J59" s="16">
        <v>3463122.9699999988</v>
      </c>
      <c r="K59" s="16">
        <v>0</v>
      </c>
      <c r="L59" s="16">
        <v>0</v>
      </c>
      <c r="M59" s="16">
        <v>5577.02</v>
      </c>
      <c r="N59" s="18">
        <f t="shared" si="1"/>
        <v>60508343.440895177</v>
      </c>
      <c r="O59" s="4"/>
    </row>
    <row r="60" spans="1:15" ht="15" x14ac:dyDescent="0.2">
      <c r="A60" s="17" t="s">
        <v>55</v>
      </c>
      <c r="B60" s="16">
        <v>371483042.50999999</v>
      </c>
      <c r="C60" s="16">
        <v>0</v>
      </c>
      <c r="D60" s="16">
        <v>12168447.888816169</v>
      </c>
      <c r="E60" s="16">
        <v>0</v>
      </c>
      <c r="F60" s="16">
        <v>6671897.0700000003</v>
      </c>
      <c r="G60" s="16">
        <v>3424407.42</v>
      </c>
      <c r="H60" s="16">
        <v>20337613.879999999</v>
      </c>
      <c r="I60" s="16">
        <v>22397150.780000001</v>
      </c>
      <c r="J60" s="16">
        <v>56641621.050000019</v>
      </c>
      <c r="K60" s="16">
        <v>0</v>
      </c>
      <c r="L60" s="16">
        <v>0</v>
      </c>
      <c r="M60" s="16">
        <v>306786.15999999997</v>
      </c>
      <c r="N60" s="18">
        <f t="shared" si="1"/>
        <v>493430966.75881624</v>
      </c>
      <c r="O60" s="4"/>
    </row>
    <row r="61" spans="1:15" ht="15" x14ac:dyDescent="0.2">
      <c r="A61" s="17" t="s">
        <v>56</v>
      </c>
      <c r="B61" s="16">
        <v>58083304.019999996</v>
      </c>
      <c r="C61" s="16">
        <v>0</v>
      </c>
      <c r="D61" s="16">
        <v>640127.07804210996</v>
      </c>
      <c r="E61" s="16">
        <v>0</v>
      </c>
      <c r="F61" s="16">
        <v>1191056.43</v>
      </c>
      <c r="G61" s="16">
        <v>332749.58311939752</v>
      </c>
      <c r="H61" s="16">
        <v>3179891.61</v>
      </c>
      <c r="I61" s="16">
        <v>3998303.66</v>
      </c>
      <c r="J61" s="16">
        <v>13309749.850000005</v>
      </c>
      <c r="K61" s="16">
        <v>0</v>
      </c>
      <c r="L61" s="16">
        <v>0</v>
      </c>
      <c r="M61" s="16">
        <v>54766.92</v>
      </c>
      <c r="N61" s="18">
        <f t="shared" si="1"/>
        <v>80789949.151161522</v>
      </c>
      <c r="O61" s="4"/>
    </row>
    <row r="62" spans="1:15" ht="15" x14ac:dyDescent="0.2">
      <c r="A62" s="17" t="s">
        <v>57</v>
      </c>
      <c r="B62" s="16">
        <v>350548371.73000002</v>
      </c>
      <c r="C62" s="16">
        <v>0</v>
      </c>
      <c r="D62" s="16">
        <v>3358266.3000000007</v>
      </c>
      <c r="E62" s="16">
        <v>0</v>
      </c>
      <c r="F62" s="16">
        <v>5340549.87</v>
      </c>
      <c r="G62" s="16">
        <v>0</v>
      </c>
      <c r="H62" s="16">
        <v>19191501.670000002</v>
      </c>
      <c r="I62" s="16">
        <v>17927899.600000001</v>
      </c>
      <c r="J62" s="16">
        <v>28072003.339999992</v>
      </c>
      <c r="K62" s="16">
        <v>0</v>
      </c>
      <c r="L62" s="16">
        <v>0</v>
      </c>
      <c r="M62" s="16">
        <v>245568.33</v>
      </c>
      <c r="N62" s="18">
        <f t="shared" si="1"/>
        <v>424684160.84000003</v>
      </c>
      <c r="O62" s="4"/>
    </row>
    <row r="63" spans="1:15" ht="15" x14ac:dyDescent="0.2">
      <c r="A63" s="17" t="s">
        <v>58</v>
      </c>
      <c r="B63" s="16">
        <v>52859097.480000004</v>
      </c>
      <c r="C63" s="16">
        <v>0</v>
      </c>
      <c r="D63" s="16">
        <v>1754836.2727908902</v>
      </c>
      <c r="E63" s="16">
        <v>0</v>
      </c>
      <c r="F63" s="16">
        <v>188199.85</v>
      </c>
      <c r="G63" s="16">
        <v>100260.29</v>
      </c>
      <c r="H63" s="16">
        <v>2893881.53</v>
      </c>
      <c r="I63" s="16">
        <v>631775.41</v>
      </c>
      <c r="J63" s="16">
        <v>3947749.13</v>
      </c>
      <c r="K63" s="16">
        <v>0</v>
      </c>
      <c r="L63" s="16">
        <v>0</v>
      </c>
      <c r="M63" s="16">
        <v>8653.7000000000007</v>
      </c>
      <c r="N63" s="18">
        <f t="shared" si="1"/>
        <v>62384453.662790902</v>
      </c>
      <c r="O63" s="4"/>
    </row>
    <row r="64" spans="1:15" ht="15" x14ac:dyDescent="0.2">
      <c r="A64" s="17" t="s">
        <v>59</v>
      </c>
      <c r="B64" s="16">
        <v>111965852.47999999</v>
      </c>
      <c r="C64" s="16">
        <v>0</v>
      </c>
      <c r="D64" s="16">
        <v>3716463.92500673</v>
      </c>
      <c r="E64" s="16">
        <v>0</v>
      </c>
      <c r="F64" s="16">
        <v>344460.31</v>
      </c>
      <c r="G64" s="16">
        <v>171133.94</v>
      </c>
      <c r="H64" s="16">
        <v>6129804.0999999996</v>
      </c>
      <c r="I64" s="16">
        <v>1156332.22</v>
      </c>
      <c r="J64" s="16">
        <v>8230825.2700000005</v>
      </c>
      <c r="K64" s="16">
        <v>0</v>
      </c>
      <c r="L64" s="16">
        <v>0</v>
      </c>
      <c r="M64" s="16">
        <v>15838.86</v>
      </c>
      <c r="N64" s="18">
        <f t="shared" si="1"/>
        <v>131730711.10500671</v>
      </c>
      <c r="O64" s="4"/>
    </row>
    <row r="65" spans="1:15" ht="15" x14ac:dyDescent="0.2">
      <c r="A65" s="17" t="s">
        <v>60</v>
      </c>
      <c r="B65" s="16">
        <v>61367561.100000001</v>
      </c>
      <c r="C65" s="16">
        <v>0</v>
      </c>
      <c r="D65" s="16">
        <v>1309038.4845370604</v>
      </c>
      <c r="E65" s="16">
        <v>0</v>
      </c>
      <c r="F65" s="16">
        <v>74996.929999999993</v>
      </c>
      <c r="G65" s="16">
        <v>65687.78</v>
      </c>
      <c r="H65" s="16">
        <v>3359695.12</v>
      </c>
      <c r="I65" s="16">
        <v>251760.13</v>
      </c>
      <c r="J65" s="16">
        <v>4753902.0300000012</v>
      </c>
      <c r="K65" s="16">
        <v>0</v>
      </c>
      <c r="L65" s="16">
        <v>0</v>
      </c>
      <c r="M65" s="16">
        <v>3448.44</v>
      </c>
      <c r="N65" s="18">
        <f t="shared" si="1"/>
        <v>71186090.014537066</v>
      </c>
      <c r="O65" s="4"/>
    </row>
    <row r="66" spans="1:15" ht="15" x14ac:dyDescent="0.2">
      <c r="A66" s="17" t="s">
        <v>61</v>
      </c>
      <c r="B66" s="16">
        <v>34005882.229999997</v>
      </c>
      <c r="C66" s="16">
        <v>0</v>
      </c>
      <c r="D66" s="16">
        <v>928030.50969561015</v>
      </c>
      <c r="E66" s="16">
        <v>0</v>
      </c>
      <c r="F66" s="16">
        <v>73379.740000000005</v>
      </c>
      <c r="G66" s="16">
        <v>52723.08</v>
      </c>
      <c r="H66" s="16">
        <v>1861722.95</v>
      </c>
      <c r="I66" s="16">
        <v>246331.34</v>
      </c>
      <c r="J66" s="16">
        <v>2141380.56</v>
      </c>
      <c r="K66" s="16">
        <v>0</v>
      </c>
      <c r="L66" s="16">
        <v>0</v>
      </c>
      <c r="M66" s="16">
        <v>3374.09</v>
      </c>
      <c r="N66" s="18">
        <f t="shared" si="1"/>
        <v>39312824.499695621</v>
      </c>
      <c r="O66" s="4"/>
    </row>
    <row r="67" spans="1:15" ht="15" x14ac:dyDescent="0.2">
      <c r="A67" s="17" t="s">
        <v>62</v>
      </c>
      <c r="B67" s="16">
        <v>155585920.22999999</v>
      </c>
      <c r="C67" s="16">
        <v>0</v>
      </c>
      <c r="D67" s="16">
        <v>1172218.33</v>
      </c>
      <c r="E67" s="16">
        <v>0</v>
      </c>
      <c r="F67" s="16">
        <v>1971752.28</v>
      </c>
      <c r="G67" s="16">
        <v>1075744.4356362121</v>
      </c>
      <c r="H67" s="16">
        <v>8517875.6799999997</v>
      </c>
      <c r="I67" s="16">
        <v>6619051.9199999999</v>
      </c>
      <c r="J67" s="16">
        <v>13692954.580000004</v>
      </c>
      <c r="K67" s="16">
        <v>0</v>
      </c>
      <c r="L67" s="16">
        <v>0</v>
      </c>
      <c r="M67" s="16">
        <v>90664.76</v>
      </c>
      <c r="N67" s="18">
        <f t="shared" si="1"/>
        <v>188726182.21563622</v>
      </c>
      <c r="O67" s="4"/>
    </row>
    <row r="68" spans="1:15" ht="15" x14ac:dyDescent="0.2">
      <c r="A68" s="17" t="s">
        <v>63</v>
      </c>
      <c r="B68" s="16">
        <v>95873650.900000006</v>
      </c>
      <c r="C68" s="16">
        <v>0</v>
      </c>
      <c r="D68" s="16">
        <v>1321995.2899999998</v>
      </c>
      <c r="E68" s="16">
        <v>0</v>
      </c>
      <c r="F68" s="16">
        <v>1738877.7</v>
      </c>
      <c r="G68" s="16">
        <v>1057088.7658938235</v>
      </c>
      <c r="H68" s="16">
        <v>5248802.97</v>
      </c>
      <c r="I68" s="16">
        <v>5837306.2000000002</v>
      </c>
      <c r="J68" s="16">
        <v>11903235.52</v>
      </c>
      <c r="K68" s="16">
        <v>0</v>
      </c>
      <c r="L68" s="16">
        <v>0</v>
      </c>
      <c r="M68" s="16">
        <v>79956.75</v>
      </c>
      <c r="N68" s="18">
        <f t="shared" si="1"/>
        <v>123060914.09589383</v>
      </c>
      <c r="O68" s="4"/>
    </row>
    <row r="69" spans="1:15" ht="15" x14ac:dyDescent="0.2">
      <c r="A69" s="17" t="s">
        <v>64</v>
      </c>
      <c r="B69" s="16">
        <v>301111746.48000002</v>
      </c>
      <c r="C69" s="16">
        <v>0</v>
      </c>
      <c r="D69" s="16">
        <v>873312.91024221992</v>
      </c>
      <c r="E69" s="16">
        <v>0</v>
      </c>
      <c r="F69" s="16">
        <v>5131933.0599999996</v>
      </c>
      <c r="G69" s="16">
        <v>1047394.8850848186</v>
      </c>
      <c r="H69" s="16">
        <v>16484990.52</v>
      </c>
      <c r="I69" s="16">
        <v>17227585.719999999</v>
      </c>
      <c r="J69" s="16">
        <v>26053729.860000003</v>
      </c>
      <c r="K69" s="16">
        <v>0</v>
      </c>
      <c r="L69" s="16">
        <v>0</v>
      </c>
      <c r="M69" s="16">
        <v>235975.75999999998</v>
      </c>
      <c r="N69" s="18">
        <f t="shared" si="1"/>
        <v>368166669.19532704</v>
      </c>
      <c r="O69" s="4"/>
    </row>
    <row r="70" spans="1:15" ht="15" x14ac:dyDescent="0.2">
      <c r="A70" s="17" t="s">
        <v>65</v>
      </c>
      <c r="B70" s="16">
        <v>68403374.379999995</v>
      </c>
      <c r="C70" s="16">
        <v>0</v>
      </c>
      <c r="D70" s="16">
        <v>3131689.7277975399</v>
      </c>
      <c r="E70" s="16">
        <v>0</v>
      </c>
      <c r="F70" s="16">
        <v>1139710.82</v>
      </c>
      <c r="G70" s="16">
        <v>499572.82</v>
      </c>
      <c r="H70" s="16">
        <v>3744885.39</v>
      </c>
      <c r="I70" s="16">
        <v>3825939.59</v>
      </c>
      <c r="J70" s="16">
        <v>11429129.279999996</v>
      </c>
      <c r="K70" s="16">
        <v>0</v>
      </c>
      <c r="L70" s="16">
        <v>0</v>
      </c>
      <c r="M70" s="16">
        <v>52405.96</v>
      </c>
      <c r="N70" s="18">
        <f t="shared" si="1"/>
        <v>92226707.967797518</v>
      </c>
      <c r="O70" s="4"/>
    </row>
    <row r="71" spans="1:15" ht="15" x14ac:dyDescent="0.2">
      <c r="A71" s="17" t="s">
        <v>66</v>
      </c>
      <c r="B71" s="16">
        <v>225924307.88</v>
      </c>
      <c r="C71" s="16">
        <v>0</v>
      </c>
      <c r="D71" s="16">
        <v>1252452.83</v>
      </c>
      <c r="E71" s="16">
        <v>0</v>
      </c>
      <c r="F71" s="16">
        <v>717625.65</v>
      </c>
      <c r="G71" s="16">
        <v>385483.52000000002</v>
      </c>
      <c r="H71" s="16">
        <v>12368697.4</v>
      </c>
      <c r="I71" s="16">
        <v>2409025.46</v>
      </c>
      <c r="J71" s="16">
        <v>9158412.3000000007</v>
      </c>
      <c r="K71" s="16">
        <v>0</v>
      </c>
      <c r="L71" s="16">
        <v>0</v>
      </c>
      <c r="M71" s="16">
        <v>32997.69</v>
      </c>
      <c r="N71" s="18">
        <f t="shared" si="1"/>
        <v>252249002.73000005</v>
      </c>
      <c r="O71" s="4"/>
    </row>
    <row r="72" spans="1:15" ht="15" x14ac:dyDescent="0.2">
      <c r="A72" s="17" t="s">
        <v>67</v>
      </c>
      <c r="B72" s="16">
        <v>1209784726.5699999</v>
      </c>
      <c r="C72" s="16">
        <v>0</v>
      </c>
      <c r="D72" s="16">
        <v>5821260.3060945794</v>
      </c>
      <c r="E72" s="16">
        <v>0</v>
      </c>
      <c r="F72" s="16">
        <v>20880885.620000001</v>
      </c>
      <c r="G72" s="16">
        <v>0</v>
      </c>
      <c r="H72" s="16">
        <v>66232187.829999998</v>
      </c>
      <c r="I72" s="16">
        <v>70095854.849999994</v>
      </c>
      <c r="J72" s="16">
        <v>136982030.06999999</v>
      </c>
      <c r="K72" s="16">
        <v>0</v>
      </c>
      <c r="L72" s="16">
        <v>0</v>
      </c>
      <c r="M72" s="16">
        <v>960141.81</v>
      </c>
      <c r="N72" s="18">
        <f t="shared" ref="N72:N103" si="2">SUM(B72:M72)</f>
        <v>1510757087.0560942</v>
      </c>
      <c r="O72" s="4"/>
    </row>
    <row r="73" spans="1:15" ht="15" x14ac:dyDescent="0.2">
      <c r="A73" s="17" t="s">
        <v>68</v>
      </c>
      <c r="B73" s="16">
        <v>480914949.19000006</v>
      </c>
      <c r="C73" s="16">
        <v>0</v>
      </c>
      <c r="D73" s="16">
        <v>11493540.379706562</v>
      </c>
      <c r="E73" s="16">
        <v>0</v>
      </c>
      <c r="F73" s="16">
        <v>7750357.0199999996</v>
      </c>
      <c r="G73" s="16">
        <v>4527509.4702833137</v>
      </c>
      <c r="H73" s="16">
        <v>26328691.829999998</v>
      </c>
      <c r="I73" s="16">
        <v>26017474.949999999</v>
      </c>
      <c r="J73" s="16">
        <v>59916645.730000019</v>
      </c>
      <c r="K73" s="16">
        <v>0</v>
      </c>
      <c r="L73" s="16">
        <v>0</v>
      </c>
      <c r="M73" s="16">
        <v>356375.7300000001</v>
      </c>
      <c r="N73" s="18">
        <f t="shared" si="2"/>
        <v>617305544.29998994</v>
      </c>
      <c r="O73" s="4"/>
    </row>
    <row r="74" spans="1:15" ht="15" x14ac:dyDescent="0.2">
      <c r="A74" s="17" t="s">
        <v>69</v>
      </c>
      <c r="B74" s="16">
        <v>298041393.88999999</v>
      </c>
      <c r="C74" s="16">
        <v>0</v>
      </c>
      <c r="D74" s="16">
        <v>3356429.89</v>
      </c>
      <c r="E74" s="16">
        <v>0</v>
      </c>
      <c r="F74" s="16">
        <v>5626993.6900000004</v>
      </c>
      <c r="G74" s="16">
        <v>7694239.8597423285</v>
      </c>
      <c r="H74" s="16">
        <v>16316897.67</v>
      </c>
      <c r="I74" s="16">
        <v>18889473.989999998</v>
      </c>
      <c r="J74" s="16">
        <v>32997337.809999984</v>
      </c>
      <c r="K74" s="16">
        <v>0</v>
      </c>
      <c r="L74" s="16">
        <v>0</v>
      </c>
      <c r="M74" s="16">
        <v>258739.56999999998</v>
      </c>
      <c r="N74" s="18">
        <f t="shared" si="2"/>
        <v>383181506.36974233</v>
      </c>
      <c r="O74" s="4"/>
    </row>
    <row r="75" spans="1:15" ht="15" x14ac:dyDescent="0.2">
      <c r="A75" s="17" t="s">
        <v>70</v>
      </c>
      <c r="B75" s="16">
        <v>50239589.830000013</v>
      </c>
      <c r="C75" s="16">
        <v>0</v>
      </c>
      <c r="D75" s="16">
        <v>1305242.0340621001</v>
      </c>
      <c r="E75" s="16">
        <v>0</v>
      </c>
      <c r="F75" s="16">
        <v>102286.92</v>
      </c>
      <c r="G75" s="16">
        <v>56180.33</v>
      </c>
      <c r="H75" s="16">
        <v>2750471.12</v>
      </c>
      <c r="I75" s="16">
        <v>343370.95</v>
      </c>
      <c r="J75" s="16">
        <v>3850900.0500000012</v>
      </c>
      <c r="K75" s="16">
        <v>0</v>
      </c>
      <c r="L75" s="16">
        <v>0</v>
      </c>
      <c r="M75" s="16">
        <v>4703.2500000000009</v>
      </c>
      <c r="N75" s="18">
        <f t="shared" si="2"/>
        <v>58652744.48406212</v>
      </c>
      <c r="O75" s="4"/>
    </row>
    <row r="76" spans="1:15" ht="15" x14ac:dyDescent="0.2">
      <c r="A76" s="17" t="s">
        <v>71</v>
      </c>
      <c r="B76" s="16">
        <v>45390538.920000002</v>
      </c>
      <c r="C76" s="16">
        <v>0</v>
      </c>
      <c r="D76" s="16">
        <v>1720435.8144254303</v>
      </c>
      <c r="E76" s="16">
        <v>0</v>
      </c>
      <c r="F76" s="16">
        <v>184156.89</v>
      </c>
      <c r="G76" s="16">
        <v>132239.85999999999</v>
      </c>
      <c r="H76" s="16">
        <v>2484999.7200000002</v>
      </c>
      <c r="I76" s="16">
        <v>618203.43000000005</v>
      </c>
      <c r="J76" s="16">
        <v>5557089.6000000006</v>
      </c>
      <c r="K76" s="16">
        <v>0</v>
      </c>
      <c r="L76" s="16">
        <v>0</v>
      </c>
      <c r="M76" s="16">
        <v>8467.81</v>
      </c>
      <c r="N76" s="18">
        <f t="shared" si="2"/>
        <v>56096132.044425435</v>
      </c>
      <c r="O76" s="4"/>
    </row>
    <row r="77" spans="1:15" ht="15" x14ac:dyDescent="0.2">
      <c r="A77" s="17" t="s">
        <v>72</v>
      </c>
      <c r="B77" s="16">
        <v>61616019.429999992</v>
      </c>
      <c r="C77" s="16">
        <v>0</v>
      </c>
      <c r="D77" s="16">
        <v>1140844.83705104</v>
      </c>
      <c r="E77" s="16">
        <v>0</v>
      </c>
      <c r="F77" s="16">
        <v>216298.43</v>
      </c>
      <c r="G77" s="16">
        <v>93345.79</v>
      </c>
      <c r="H77" s="16">
        <v>3373297.49</v>
      </c>
      <c r="I77" s="16">
        <v>726100.63</v>
      </c>
      <c r="J77" s="16">
        <v>3489198.9499999988</v>
      </c>
      <c r="K77" s="16">
        <v>0</v>
      </c>
      <c r="L77" s="16">
        <v>0</v>
      </c>
      <c r="M77" s="16">
        <v>9945.74</v>
      </c>
      <c r="N77" s="18">
        <f t="shared" si="2"/>
        <v>70665051.297051027</v>
      </c>
      <c r="O77" s="4"/>
    </row>
    <row r="78" spans="1:15" ht="15" x14ac:dyDescent="0.2">
      <c r="A78" s="17" t="s">
        <v>73</v>
      </c>
      <c r="B78" s="16">
        <v>23672648.520000003</v>
      </c>
      <c r="C78" s="16">
        <v>0</v>
      </c>
      <c r="D78" s="16">
        <v>394556.95755679009</v>
      </c>
      <c r="E78" s="16">
        <v>0</v>
      </c>
      <c r="F78" s="16">
        <v>76816.259999999995</v>
      </c>
      <c r="G78" s="16">
        <v>31115.26</v>
      </c>
      <c r="H78" s="16">
        <v>1296008.52</v>
      </c>
      <c r="I78" s="16">
        <v>257867.51</v>
      </c>
      <c r="J78" s="16">
        <v>1552881.0200000003</v>
      </c>
      <c r="K78" s="16">
        <v>0</v>
      </c>
      <c r="L78" s="16">
        <v>0</v>
      </c>
      <c r="M78" s="16">
        <v>3532.1</v>
      </c>
      <c r="N78" s="18">
        <f t="shared" si="2"/>
        <v>27285426.1475568</v>
      </c>
      <c r="O78" s="4"/>
    </row>
    <row r="79" spans="1:15" ht="15" x14ac:dyDescent="0.2">
      <c r="A79" s="17" t="s">
        <v>74</v>
      </c>
      <c r="B79" s="16">
        <v>98526066.979999989</v>
      </c>
      <c r="C79" s="16">
        <v>0</v>
      </c>
      <c r="D79" s="16">
        <v>4185101.0297901207</v>
      </c>
      <c r="E79" s="16">
        <v>0</v>
      </c>
      <c r="F79" s="16">
        <v>386102.81</v>
      </c>
      <c r="G79" s="16">
        <v>231635.84</v>
      </c>
      <c r="H79" s="16">
        <v>5394015.0099999998</v>
      </c>
      <c r="I79" s="16">
        <v>1296123.56</v>
      </c>
      <c r="J79" s="16">
        <v>8532124.040000001</v>
      </c>
      <c r="K79" s="16">
        <v>0</v>
      </c>
      <c r="L79" s="16">
        <v>0</v>
      </c>
      <c r="M79" s="16">
        <v>17753.66</v>
      </c>
      <c r="N79" s="18">
        <f t="shared" si="2"/>
        <v>118568922.92979012</v>
      </c>
      <c r="O79" s="4"/>
    </row>
    <row r="80" spans="1:15" ht="15" x14ac:dyDescent="0.2">
      <c r="A80" s="17" t="s">
        <v>75</v>
      </c>
      <c r="B80" s="16">
        <v>60145014.520000003</v>
      </c>
      <c r="C80" s="16">
        <v>0</v>
      </c>
      <c r="D80" s="16">
        <v>2185182.23909631</v>
      </c>
      <c r="E80" s="16">
        <v>0</v>
      </c>
      <c r="F80" s="16">
        <v>124927.5</v>
      </c>
      <c r="G80" s="16">
        <v>96803.04</v>
      </c>
      <c r="H80" s="16">
        <v>3292764.25</v>
      </c>
      <c r="I80" s="16">
        <v>419374.01</v>
      </c>
      <c r="J80" s="16">
        <v>5651884.3999999994</v>
      </c>
      <c r="K80" s="16">
        <v>0</v>
      </c>
      <c r="L80" s="16">
        <v>0</v>
      </c>
      <c r="M80" s="16">
        <v>5744.33</v>
      </c>
      <c r="N80" s="18">
        <f t="shared" si="2"/>
        <v>71921694.289096311</v>
      </c>
      <c r="O80" s="4"/>
    </row>
    <row r="81" spans="1:15" ht="15" x14ac:dyDescent="0.2">
      <c r="A81" s="17" t="s">
        <v>76</v>
      </c>
      <c r="B81" s="16">
        <v>29107468.719999999</v>
      </c>
      <c r="C81" s="16">
        <v>0</v>
      </c>
      <c r="D81" s="16">
        <v>1360304.1451742803</v>
      </c>
      <c r="E81" s="16">
        <v>0</v>
      </c>
      <c r="F81" s="16">
        <v>324447.65000000002</v>
      </c>
      <c r="G81" s="16">
        <v>199656.26</v>
      </c>
      <c r="H81" s="16">
        <v>1593549.08</v>
      </c>
      <c r="I81" s="16">
        <v>1089150.95</v>
      </c>
      <c r="J81" s="16">
        <v>6453581.040000001</v>
      </c>
      <c r="K81" s="16">
        <v>0</v>
      </c>
      <c r="L81" s="16">
        <v>0</v>
      </c>
      <c r="M81" s="16">
        <v>14918.64</v>
      </c>
      <c r="N81" s="18">
        <f t="shared" si="2"/>
        <v>40143076.485174283</v>
      </c>
      <c r="O81" s="4"/>
    </row>
    <row r="82" spans="1:15" ht="15" x14ac:dyDescent="0.2">
      <c r="A82" s="17" t="s">
        <v>77</v>
      </c>
      <c r="B82" s="16">
        <v>406201391.43000001</v>
      </c>
      <c r="C82" s="16">
        <v>0</v>
      </c>
      <c r="D82" s="16">
        <v>4429159.5299999993</v>
      </c>
      <c r="E82" s="16">
        <v>0</v>
      </c>
      <c r="F82" s="16">
        <v>9350763.3000000007</v>
      </c>
      <c r="G82" s="16">
        <v>8300066.415832716</v>
      </c>
      <c r="H82" s="16">
        <v>22238342.300000001</v>
      </c>
      <c r="I82" s="16">
        <v>31389941.02</v>
      </c>
      <c r="J82" s="16">
        <v>53346037.230000019</v>
      </c>
      <c r="K82" s="16">
        <v>0</v>
      </c>
      <c r="L82" s="16">
        <v>0</v>
      </c>
      <c r="M82" s="16">
        <v>429965.41000000003</v>
      </c>
      <c r="N82" s="18">
        <f t="shared" si="2"/>
        <v>535685666.63583273</v>
      </c>
      <c r="O82" s="4"/>
    </row>
    <row r="83" spans="1:15" ht="15" x14ac:dyDescent="0.2">
      <c r="A83" s="17" t="s">
        <v>78</v>
      </c>
      <c r="B83" s="16">
        <v>126392889.59999999</v>
      </c>
      <c r="C83" s="16">
        <v>0</v>
      </c>
      <c r="D83" s="16">
        <v>2213516.64629594</v>
      </c>
      <c r="E83" s="16">
        <v>0</v>
      </c>
      <c r="F83" s="16">
        <v>1035402.41</v>
      </c>
      <c r="G83" s="16">
        <v>587732.73</v>
      </c>
      <c r="H83" s="16">
        <v>6919642.3300000001</v>
      </c>
      <c r="I83" s="16">
        <v>3475782.65</v>
      </c>
      <c r="J83" s="16">
        <v>11647594.509999998</v>
      </c>
      <c r="K83" s="16">
        <v>0</v>
      </c>
      <c r="L83" s="16">
        <v>0</v>
      </c>
      <c r="M83" s="16">
        <v>47609.66</v>
      </c>
      <c r="N83" s="18">
        <f t="shared" si="2"/>
        <v>152320170.53629592</v>
      </c>
      <c r="O83" s="4"/>
    </row>
    <row r="84" spans="1:15" ht="15" x14ac:dyDescent="0.2">
      <c r="A84" s="17" t="s">
        <v>79</v>
      </c>
      <c r="B84" s="16">
        <v>46980014.050000012</v>
      </c>
      <c r="C84" s="16">
        <v>0</v>
      </c>
      <c r="D84" s="16">
        <v>1054176.0757893103</v>
      </c>
      <c r="E84" s="16">
        <v>0</v>
      </c>
      <c r="F84" s="16">
        <v>207808.21</v>
      </c>
      <c r="G84" s="16">
        <v>55068.742869546608</v>
      </c>
      <c r="H84" s="16">
        <v>2572018.85</v>
      </c>
      <c r="I84" s="16">
        <v>697599.48</v>
      </c>
      <c r="J84" s="16">
        <v>4716792.75</v>
      </c>
      <c r="K84" s="16">
        <v>0</v>
      </c>
      <c r="L84" s="16">
        <v>0</v>
      </c>
      <c r="M84" s="16">
        <v>9555.3299999999981</v>
      </c>
      <c r="N84" s="18">
        <f t="shared" si="2"/>
        <v>56293033.488658868</v>
      </c>
      <c r="O84" s="4"/>
    </row>
    <row r="85" spans="1:15" ht="15" x14ac:dyDescent="0.2">
      <c r="A85" s="17" t="s">
        <v>80</v>
      </c>
      <c r="B85" s="16">
        <v>46140850.130000003</v>
      </c>
      <c r="C85" s="16">
        <v>0</v>
      </c>
      <c r="D85" s="16">
        <v>1076267.2390678702</v>
      </c>
      <c r="E85" s="16">
        <v>0</v>
      </c>
      <c r="F85" s="16">
        <v>98243.96</v>
      </c>
      <c r="G85" s="16">
        <v>56180.33</v>
      </c>
      <c r="H85" s="16">
        <v>2526077.0699999998</v>
      </c>
      <c r="I85" s="16">
        <v>329798.98</v>
      </c>
      <c r="J85" s="16">
        <v>2760594.7399999998</v>
      </c>
      <c r="K85" s="16">
        <v>0</v>
      </c>
      <c r="L85" s="16">
        <v>0</v>
      </c>
      <c r="M85" s="16">
        <v>4517.369999999999</v>
      </c>
      <c r="N85" s="18">
        <f t="shared" si="2"/>
        <v>52992529.819067866</v>
      </c>
      <c r="O85" s="4"/>
    </row>
    <row r="86" spans="1:15" ht="15" x14ac:dyDescent="0.2">
      <c r="A86" s="17" t="s">
        <v>81</v>
      </c>
      <c r="B86" s="16">
        <v>551416233.38000011</v>
      </c>
      <c r="C86" s="16">
        <v>0</v>
      </c>
      <c r="D86" s="16">
        <v>2247142.8200000003</v>
      </c>
      <c r="E86" s="16">
        <v>0</v>
      </c>
      <c r="F86" s="16">
        <v>5866943.4500000002</v>
      </c>
      <c r="G86" s="16">
        <v>1271178.0912372372</v>
      </c>
      <c r="H86" s="16">
        <v>30188431.66</v>
      </c>
      <c r="I86" s="16">
        <v>19694970.670000002</v>
      </c>
      <c r="J86" s="16">
        <v>23826831.820000004</v>
      </c>
      <c r="K86" s="16">
        <v>0</v>
      </c>
      <c r="L86" s="16">
        <v>0</v>
      </c>
      <c r="M86" s="16">
        <v>269772.90000000002</v>
      </c>
      <c r="N86" s="18">
        <f t="shared" si="2"/>
        <v>634781504.79123735</v>
      </c>
      <c r="O86" s="4"/>
    </row>
    <row r="87" spans="1:15" ht="15" x14ac:dyDescent="0.2">
      <c r="A87" s="17" t="s">
        <v>82</v>
      </c>
      <c r="B87" s="16">
        <v>71052499.569999993</v>
      </c>
      <c r="C87" s="16">
        <v>0</v>
      </c>
      <c r="D87" s="16">
        <v>1258913.7425895301</v>
      </c>
      <c r="E87" s="16">
        <v>0</v>
      </c>
      <c r="F87" s="16">
        <v>166570.01</v>
      </c>
      <c r="G87" s="16">
        <v>117546.55</v>
      </c>
      <c r="H87" s="16">
        <v>3889917.27</v>
      </c>
      <c r="I87" s="16">
        <v>559165.35</v>
      </c>
      <c r="J87" s="16">
        <v>5237467.99</v>
      </c>
      <c r="K87" s="16">
        <v>0</v>
      </c>
      <c r="L87" s="16">
        <v>0</v>
      </c>
      <c r="M87" s="16">
        <v>7659.13</v>
      </c>
      <c r="N87" s="18">
        <f t="shared" si="2"/>
        <v>82289739.612589508</v>
      </c>
      <c r="O87" s="4"/>
    </row>
    <row r="88" spans="1:15" ht="15" x14ac:dyDescent="0.2">
      <c r="A88" s="17" t="s">
        <v>83</v>
      </c>
      <c r="B88" s="16">
        <v>68944717.329999998</v>
      </c>
      <c r="C88" s="16">
        <v>0</v>
      </c>
      <c r="D88" s="16">
        <v>601913.33385361009</v>
      </c>
      <c r="E88" s="16">
        <v>0</v>
      </c>
      <c r="F88" s="16">
        <v>817486.79</v>
      </c>
      <c r="G88" s="16">
        <v>299916.55</v>
      </c>
      <c r="H88" s="16">
        <v>3774522.34</v>
      </c>
      <c r="I88" s="16">
        <v>2744253.23</v>
      </c>
      <c r="J88" s="16">
        <v>7757679.8600000031</v>
      </c>
      <c r="K88" s="16">
        <v>0</v>
      </c>
      <c r="L88" s="16">
        <v>0</v>
      </c>
      <c r="M88" s="16">
        <v>37589.49</v>
      </c>
      <c r="N88" s="18">
        <f t="shared" si="2"/>
        <v>84978078.923853621</v>
      </c>
      <c r="O88" s="4"/>
    </row>
    <row r="89" spans="1:15" ht="15" x14ac:dyDescent="0.2">
      <c r="A89" s="17" t="s">
        <v>84</v>
      </c>
      <c r="B89" s="16">
        <v>105693513.78</v>
      </c>
      <c r="C89" s="16">
        <v>0</v>
      </c>
      <c r="D89" s="16">
        <v>1374165.0177172902</v>
      </c>
      <c r="E89" s="16">
        <v>0</v>
      </c>
      <c r="F89" s="16">
        <v>687505.58</v>
      </c>
      <c r="G89" s="16">
        <v>350046.7</v>
      </c>
      <c r="H89" s="16">
        <v>5786411.8399999999</v>
      </c>
      <c r="I89" s="16">
        <v>2307914.25</v>
      </c>
      <c r="J89" s="16">
        <v>8360956.8400000026</v>
      </c>
      <c r="K89" s="16">
        <v>0</v>
      </c>
      <c r="L89" s="16">
        <v>0</v>
      </c>
      <c r="M89" s="16">
        <v>31612.720000000005</v>
      </c>
      <c r="N89" s="18">
        <f t="shared" si="2"/>
        <v>124592126.7277173</v>
      </c>
      <c r="O89" s="4"/>
    </row>
    <row r="90" spans="1:15" ht="15" x14ac:dyDescent="0.2">
      <c r="A90" s="17" t="s">
        <v>85</v>
      </c>
      <c r="B90" s="16">
        <v>568763889.92999995</v>
      </c>
      <c r="C90" s="16">
        <v>0</v>
      </c>
      <c r="D90" s="16">
        <v>1793479.04957597</v>
      </c>
      <c r="E90" s="16">
        <v>0</v>
      </c>
      <c r="F90" s="16">
        <v>9325899.0899999999</v>
      </c>
      <c r="G90" s="16">
        <v>2781066.4582499564</v>
      </c>
      <c r="H90" s="16">
        <v>31138165.300000001</v>
      </c>
      <c r="I90" s="16">
        <v>31306473.379999999</v>
      </c>
      <c r="J90" s="16">
        <v>49466807.99000001</v>
      </c>
      <c r="K90" s="16">
        <v>0</v>
      </c>
      <c r="L90" s="16">
        <v>0</v>
      </c>
      <c r="M90" s="16">
        <v>428822.08999999997</v>
      </c>
      <c r="N90" s="18">
        <f t="shared" si="2"/>
        <v>695004603.28782582</v>
      </c>
      <c r="O90" s="4"/>
    </row>
    <row r="91" spans="1:15" ht="15" x14ac:dyDescent="0.2">
      <c r="A91" s="17" t="s">
        <v>86</v>
      </c>
      <c r="B91" s="16">
        <v>20705957.390000001</v>
      </c>
      <c r="C91" s="16">
        <v>0</v>
      </c>
      <c r="D91" s="16">
        <v>950086.49915995006</v>
      </c>
      <c r="E91" s="16">
        <v>0</v>
      </c>
      <c r="F91" s="16">
        <v>216500.58</v>
      </c>
      <c r="G91" s="16">
        <v>116682.23</v>
      </c>
      <c r="H91" s="16">
        <v>1133590.82</v>
      </c>
      <c r="I91" s="16">
        <v>726779.23</v>
      </c>
      <c r="J91" s="16">
        <v>3554952.25</v>
      </c>
      <c r="K91" s="16">
        <v>0</v>
      </c>
      <c r="L91" s="16">
        <v>0</v>
      </c>
      <c r="M91" s="16">
        <v>9955.0400000000009</v>
      </c>
      <c r="N91" s="18">
        <f t="shared" si="2"/>
        <v>27414504.03915995</v>
      </c>
      <c r="O91" s="4"/>
    </row>
    <row r="92" spans="1:15" ht="15" x14ac:dyDescent="0.2">
      <c r="A92" s="17" t="s">
        <v>87</v>
      </c>
      <c r="B92" s="16">
        <v>31114880.390000001</v>
      </c>
      <c r="C92" s="16">
        <v>0</v>
      </c>
      <c r="D92" s="16">
        <v>86799.359999999986</v>
      </c>
      <c r="E92" s="16">
        <v>0</v>
      </c>
      <c r="F92" s="16">
        <v>46291.9</v>
      </c>
      <c r="G92" s="16">
        <v>36301.14</v>
      </c>
      <c r="H92" s="16">
        <v>1703449.02</v>
      </c>
      <c r="I92" s="16">
        <v>155399.10999999999</v>
      </c>
      <c r="J92" s="16">
        <v>1538153.3599999994</v>
      </c>
      <c r="K92" s="16">
        <v>0</v>
      </c>
      <c r="L92" s="16">
        <v>0</v>
      </c>
      <c r="M92" s="16">
        <v>2128.5099999999998</v>
      </c>
      <c r="N92" s="18">
        <f t="shared" si="2"/>
        <v>34683402.789999999</v>
      </c>
      <c r="O92" s="4"/>
    </row>
    <row r="93" spans="1:15" ht="15" x14ac:dyDescent="0.2">
      <c r="A93" s="17" t="s">
        <v>88</v>
      </c>
      <c r="B93" s="16">
        <v>298617290.67999995</v>
      </c>
      <c r="C93" s="16">
        <v>0</v>
      </c>
      <c r="D93" s="16">
        <v>1685381.2355902998</v>
      </c>
      <c r="E93" s="16">
        <v>0</v>
      </c>
      <c r="F93" s="16">
        <v>7558316.3600000003</v>
      </c>
      <c r="G93" s="16">
        <v>1562809.9424114488</v>
      </c>
      <c r="H93" s="16">
        <v>16348426.34</v>
      </c>
      <c r="I93" s="16">
        <v>25372806.170000002</v>
      </c>
      <c r="J93" s="16">
        <v>47042583.74000001</v>
      </c>
      <c r="K93" s="16">
        <v>0</v>
      </c>
      <c r="L93" s="16">
        <v>0</v>
      </c>
      <c r="M93" s="16">
        <v>347545.37</v>
      </c>
      <c r="N93" s="18">
        <f t="shared" si="2"/>
        <v>398535159.83800167</v>
      </c>
      <c r="O93" s="4"/>
    </row>
    <row r="94" spans="1:15" ht="15" x14ac:dyDescent="0.2">
      <c r="A94" s="17" t="s">
        <v>89</v>
      </c>
      <c r="B94" s="16">
        <v>207719387.86000001</v>
      </c>
      <c r="C94" s="16">
        <v>0</v>
      </c>
      <c r="D94" s="16">
        <v>3598914.04</v>
      </c>
      <c r="E94" s="16">
        <v>0</v>
      </c>
      <c r="F94" s="16">
        <v>3417717.43</v>
      </c>
      <c r="G94" s="16">
        <v>1957636.2929503182</v>
      </c>
      <c r="H94" s="16">
        <v>11372031.09</v>
      </c>
      <c r="I94" s="16">
        <v>11473068.57</v>
      </c>
      <c r="J94" s="16">
        <v>25136596.440000009</v>
      </c>
      <c r="K94" s="16">
        <v>0</v>
      </c>
      <c r="L94" s="16">
        <v>0</v>
      </c>
      <c r="M94" s="16">
        <v>157152.94</v>
      </c>
      <c r="N94" s="18">
        <f t="shared" si="2"/>
        <v>264832504.66295034</v>
      </c>
      <c r="O94" s="4"/>
    </row>
    <row r="95" spans="1:15" ht="15" x14ac:dyDescent="0.2">
      <c r="A95" s="17" t="s">
        <v>90</v>
      </c>
      <c r="B95" s="16">
        <v>36268333.890000001</v>
      </c>
      <c r="C95" s="16">
        <v>0</v>
      </c>
      <c r="D95" s="16">
        <v>1115980.6264949499</v>
      </c>
      <c r="E95" s="16">
        <v>0</v>
      </c>
      <c r="F95" s="16">
        <v>167580.75</v>
      </c>
      <c r="G95" s="16">
        <v>94210.1</v>
      </c>
      <c r="H95" s="16">
        <v>1985585.58</v>
      </c>
      <c r="I95" s="16">
        <v>562558.34</v>
      </c>
      <c r="J95" s="16">
        <v>3702826.7800000012</v>
      </c>
      <c r="K95" s="16">
        <v>0</v>
      </c>
      <c r="L95" s="16">
        <v>0</v>
      </c>
      <c r="M95" s="16">
        <v>7705.61</v>
      </c>
      <c r="N95" s="18">
        <f t="shared" si="2"/>
        <v>43904781.676494956</v>
      </c>
      <c r="O95" s="4"/>
    </row>
    <row r="96" spans="1:15" ht="15" x14ac:dyDescent="0.2">
      <c r="A96" s="17" t="s">
        <v>91</v>
      </c>
      <c r="B96" s="16">
        <v>130371513.63</v>
      </c>
      <c r="C96" s="16">
        <v>0</v>
      </c>
      <c r="D96" s="16">
        <v>3369599.6684111003</v>
      </c>
      <c r="E96" s="16">
        <v>0</v>
      </c>
      <c r="F96" s="16">
        <v>939179.93</v>
      </c>
      <c r="G96" s="16">
        <v>514266.14</v>
      </c>
      <c r="H96" s="16">
        <v>7137460.4100000001</v>
      </c>
      <c r="I96" s="16">
        <v>3152769.66</v>
      </c>
      <c r="J96" s="16">
        <v>13266709.529999996</v>
      </c>
      <c r="K96" s="16">
        <v>0</v>
      </c>
      <c r="L96" s="16">
        <v>0</v>
      </c>
      <c r="M96" s="16">
        <v>43185.180000000008</v>
      </c>
      <c r="N96" s="18">
        <f t="shared" si="2"/>
        <v>158794684.1484111</v>
      </c>
      <c r="O96" s="4"/>
    </row>
    <row r="97" spans="1:15" ht="15" x14ac:dyDescent="0.2">
      <c r="A97" s="17" t="s">
        <v>92</v>
      </c>
      <c r="B97" s="16">
        <v>61058222.25</v>
      </c>
      <c r="C97" s="16">
        <v>0</v>
      </c>
      <c r="D97" s="16">
        <v>3242951.6719689206</v>
      </c>
      <c r="E97" s="16">
        <v>0</v>
      </c>
      <c r="F97" s="16">
        <v>433607.61</v>
      </c>
      <c r="G97" s="16">
        <v>263615.40999999997</v>
      </c>
      <c r="H97" s="16">
        <v>3342759.72</v>
      </c>
      <c r="I97" s="16">
        <v>1455594.26</v>
      </c>
      <c r="J97" s="16">
        <v>8858471.8400000017</v>
      </c>
      <c r="K97" s="16">
        <v>0</v>
      </c>
      <c r="L97" s="16">
        <v>0</v>
      </c>
      <c r="M97" s="16">
        <v>19938.009999999998</v>
      </c>
      <c r="N97" s="18">
        <f t="shared" si="2"/>
        <v>78675160.771968931</v>
      </c>
      <c r="O97" s="4"/>
    </row>
    <row r="98" spans="1:15" ht="15" x14ac:dyDescent="0.2">
      <c r="A98" s="17" t="s">
        <v>93</v>
      </c>
      <c r="B98" s="16">
        <v>169957013.10000002</v>
      </c>
      <c r="C98" s="16">
        <v>0</v>
      </c>
      <c r="D98" s="16">
        <v>3913091.1210808805</v>
      </c>
      <c r="E98" s="16">
        <v>0</v>
      </c>
      <c r="F98" s="16">
        <v>1008314.57</v>
      </c>
      <c r="G98" s="16">
        <v>617983.68000000005</v>
      </c>
      <c r="H98" s="16">
        <v>9304651.1300000008</v>
      </c>
      <c r="I98" s="16">
        <v>3384850.42</v>
      </c>
      <c r="J98" s="16">
        <v>17089694.779999994</v>
      </c>
      <c r="K98" s="16">
        <v>0</v>
      </c>
      <c r="L98" s="16">
        <v>0</v>
      </c>
      <c r="M98" s="16">
        <v>46364.12000000001</v>
      </c>
      <c r="N98" s="18">
        <f t="shared" si="2"/>
        <v>205321962.92108089</v>
      </c>
      <c r="O98" s="4"/>
    </row>
    <row r="99" spans="1:15" ht="15" x14ac:dyDescent="0.2">
      <c r="A99" s="17" t="s">
        <v>94</v>
      </c>
      <c r="B99" s="16">
        <v>116304823.37</v>
      </c>
      <c r="C99" s="16">
        <v>0</v>
      </c>
      <c r="D99" s="16">
        <v>2614780.3132366003</v>
      </c>
      <c r="E99" s="16">
        <v>0</v>
      </c>
      <c r="F99" s="16">
        <v>373771.78</v>
      </c>
      <c r="G99" s="16">
        <v>166812.38</v>
      </c>
      <c r="H99" s="16">
        <v>6367350.1100000003</v>
      </c>
      <c r="I99" s="16">
        <v>1254729.03</v>
      </c>
      <c r="J99" s="16">
        <v>11161957.93</v>
      </c>
      <c r="K99" s="16">
        <v>0</v>
      </c>
      <c r="L99" s="16">
        <v>0</v>
      </c>
      <c r="M99" s="16">
        <v>17186.64</v>
      </c>
      <c r="N99" s="18">
        <f t="shared" si="2"/>
        <v>138261411.55323657</v>
      </c>
      <c r="O99" s="4"/>
    </row>
    <row r="100" spans="1:15" ht="15" x14ac:dyDescent="0.2">
      <c r="A100" s="17" t="s">
        <v>95</v>
      </c>
      <c r="B100" s="16">
        <v>110526110.50999999</v>
      </c>
      <c r="C100" s="16">
        <v>0</v>
      </c>
      <c r="D100" s="16">
        <v>2368857.6124974503</v>
      </c>
      <c r="E100" s="16">
        <v>0</v>
      </c>
      <c r="F100" s="16">
        <v>419659.39</v>
      </c>
      <c r="G100" s="16">
        <v>220399.77</v>
      </c>
      <c r="H100" s="16">
        <v>6050982.4199999999</v>
      </c>
      <c r="I100" s="16">
        <v>1408770.94</v>
      </c>
      <c r="J100" s="16">
        <v>8943392.9099999983</v>
      </c>
      <c r="K100" s="16">
        <v>0</v>
      </c>
      <c r="L100" s="16">
        <v>0</v>
      </c>
      <c r="M100" s="16">
        <v>19296.660000000003</v>
      </c>
      <c r="N100" s="18">
        <f t="shared" si="2"/>
        <v>129957470.21249743</v>
      </c>
      <c r="O100" s="4"/>
    </row>
    <row r="101" spans="1:15" ht="15" x14ac:dyDescent="0.2">
      <c r="A101" s="17" t="s">
        <v>96</v>
      </c>
      <c r="B101" s="16">
        <v>22338213.41</v>
      </c>
      <c r="C101" s="16">
        <v>0</v>
      </c>
      <c r="D101" s="16">
        <v>605429.79957450007</v>
      </c>
      <c r="E101" s="16">
        <v>0</v>
      </c>
      <c r="F101" s="16">
        <v>50132.72</v>
      </c>
      <c r="G101" s="16">
        <v>32843.89</v>
      </c>
      <c r="H101" s="16">
        <v>1222952.08</v>
      </c>
      <c r="I101" s="16">
        <v>168292.48000000001</v>
      </c>
      <c r="J101" s="16">
        <v>1883801.3599999994</v>
      </c>
      <c r="K101" s="16">
        <v>0</v>
      </c>
      <c r="L101" s="16">
        <v>0</v>
      </c>
      <c r="M101" s="16">
        <v>2305.1299999999997</v>
      </c>
      <c r="N101" s="18">
        <f t="shared" si="2"/>
        <v>26303970.869574502</v>
      </c>
      <c r="O101" s="4"/>
    </row>
    <row r="102" spans="1:15" ht="15" x14ac:dyDescent="0.2">
      <c r="A102" s="17" t="s">
        <v>97</v>
      </c>
      <c r="B102" s="16">
        <v>73806931.609999999</v>
      </c>
      <c r="C102" s="16">
        <v>0</v>
      </c>
      <c r="D102" s="16">
        <v>3213915.1633674102</v>
      </c>
      <c r="E102" s="16">
        <v>0</v>
      </c>
      <c r="F102" s="16">
        <v>970715.03</v>
      </c>
      <c r="G102" s="16">
        <v>578225.29</v>
      </c>
      <c r="H102" s="16">
        <v>4040714.4</v>
      </c>
      <c r="I102" s="16">
        <v>3258631.06</v>
      </c>
      <c r="J102" s="16">
        <v>12676735.589999998</v>
      </c>
      <c r="K102" s="16">
        <v>0</v>
      </c>
      <c r="L102" s="16">
        <v>0</v>
      </c>
      <c r="M102" s="16">
        <v>44635.219999999994</v>
      </c>
      <c r="N102" s="18">
        <f t="shared" si="2"/>
        <v>98590503.363367423</v>
      </c>
      <c r="O102" s="4"/>
    </row>
    <row r="103" spans="1:15" ht="15" x14ac:dyDescent="0.2">
      <c r="A103" s="17" t="s">
        <v>98</v>
      </c>
      <c r="B103" s="16">
        <v>25579689.57</v>
      </c>
      <c r="C103" s="16">
        <v>0</v>
      </c>
      <c r="D103" s="16">
        <v>1108719.01919846</v>
      </c>
      <c r="E103" s="16">
        <v>0</v>
      </c>
      <c r="F103" s="16">
        <v>24055.62</v>
      </c>
      <c r="G103" s="16">
        <v>19879.2</v>
      </c>
      <c r="H103" s="16">
        <v>1400413.46</v>
      </c>
      <c r="I103" s="16">
        <v>80753.25</v>
      </c>
      <c r="J103" s="16">
        <v>2649730.3100000005</v>
      </c>
      <c r="K103" s="16">
        <v>0</v>
      </c>
      <c r="L103" s="16">
        <v>0</v>
      </c>
      <c r="M103" s="16">
        <v>1106.05</v>
      </c>
      <c r="N103" s="18">
        <f t="shared" si="2"/>
        <v>30864346.47919846</v>
      </c>
      <c r="O103" s="4"/>
    </row>
    <row r="104" spans="1:15" ht="15" x14ac:dyDescent="0.2">
      <c r="A104" s="17" t="s">
        <v>99</v>
      </c>
      <c r="B104" s="16">
        <v>341383385.80000007</v>
      </c>
      <c r="C104" s="16">
        <v>0</v>
      </c>
      <c r="D104" s="16">
        <v>3198032.59755767</v>
      </c>
      <c r="E104" s="16">
        <v>0</v>
      </c>
      <c r="F104" s="16">
        <v>4929784.99</v>
      </c>
      <c r="G104" s="16">
        <v>1124329.1410489501</v>
      </c>
      <c r="H104" s="16">
        <v>18689745.399999999</v>
      </c>
      <c r="I104" s="16">
        <v>16548987</v>
      </c>
      <c r="J104" s="16">
        <v>29583832.20000001</v>
      </c>
      <c r="K104" s="16">
        <v>0</v>
      </c>
      <c r="L104" s="16">
        <v>0</v>
      </c>
      <c r="M104" s="16">
        <v>226680.61</v>
      </c>
      <c r="N104" s="18">
        <f t="shared" ref="N104:N135" si="3">SUM(B104:M104)</f>
        <v>415684777.73860669</v>
      </c>
      <c r="O104" s="4"/>
    </row>
    <row r="105" spans="1:15" ht="15" x14ac:dyDescent="0.2">
      <c r="A105" s="17" t="s">
        <v>100</v>
      </c>
      <c r="B105" s="16">
        <v>57629168.269999996</v>
      </c>
      <c r="C105" s="16">
        <v>0</v>
      </c>
      <c r="D105" s="16">
        <v>1141145.3999999999</v>
      </c>
      <c r="E105" s="16">
        <v>0</v>
      </c>
      <c r="F105" s="16">
        <v>212457.62</v>
      </c>
      <c r="G105" s="16">
        <v>142611.62</v>
      </c>
      <c r="H105" s="16">
        <v>3155029.01</v>
      </c>
      <c r="I105" s="16">
        <v>713207.26</v>
      </c>
      <c r="J105" s="16">
        <v>3816143.1600000015</v>
      </c>
      <c r="K105" s="16">
        <v>0</v>
      </c>
      <c r="L105" s="16">
        <v>0</v>
      </c>
      <c r="M105" s="16">
        <v>9769.1400000000012</v>
      </c>
      <c r="N105" s="18">
        <f t="shared" si="3"/>
        <v>66819531.479999989</v>
      </c>
      <c r="O105" s="4"/>
    </row>
    <row r="106" spans="1:15" ht="15" x14ac:dyDescent="0.2">
      <c r="A106" s="17" t="s">
        <v>101</v>
      </c>
      <c r="B106" s="16">
        <v>65838165.520000003</v>
      </c>
      <c r="C106" s="16">
        <v>0</v>
      </c>
      <c r="D106" s="16">
        <v>382351.16999999993</v>
      </c>
      <c r="E106" s="16">
        <v>0</v>
      </c>
      <c r="F106" s="16">
        <v>1505396.68</v>
      </c>
      <c r="G106" s="16">
        <v>470189.84867518494</v>
      </c>
      <c r="H106" s="16">
        <v>3604447.68</v>
      </c>
      <c r="I106" s="16">
        <v>5053524.67</v>
      </c>
      <c r="J106" s="16">
        <v>10178507.859999994</v>
      </c>
      <c r="K106" s="16">
        <v>0</v>
      </c>
      <c r="L106" s="16">
        <v>0</v>
      </c>
      <c r="M106" s="16">
        <v>69220.88</v>
      </c>
      <c r="N106" s="18">
        <f t="shared" si="3"/>
        <v>87101804.3086752</v>
      </c>
      <c r="O106" s="4"/>
    </row>
    <row r="107" spans="1:15" ht="15" x14ac:dyDescent="0.2">
      <c r="A107" s="17" t="s">
        <v>102</v>
      </c>
      <c r="B107" s="16">
        <v>89955077.410000011</v>
      </c>
      <c r="C107" s="16">
        <v>0</v>
      </c>
      <c r="D107" s="16">
        <v>1813626.72521992</v>
      </c>
      <c r="E107" s="16">
        <v>0</v>
      </c>
      <c r="F107" s="16">
        <v>83689.3</v>
      </c>
      <c r="G107" s="16">
        <v>87295.6</v>
      </c>
      <c r="H107" s="16">
        <v>4924778.32</v>
      </c>
      <c r="I107" s="16">
        <v>280939.87</v>
      </c>
      <c r="J107" s="16">
        <v>4962593.0899999989</v>
      </c>
      <c r="K107" s="16">
        <v>0</v>
      </c>
      <c r="L107" s="16">
        <v>0</v>
      </c>
      <c r="M107" s="16">
        <v>3848.1199999999994</v>
      </c>
      <c r="N107" s="18">
        <f t="shared" si="3"/>
        <v>102111848.43521994</v>
      </c>
      <c r="O107" s="4"/>
    </row>
    <row r="108" spans="1:15" ht="15" x14ac:dyDescent="0.2">
      <c r="A108" s="17" t="s">
        <v>103</v>
      </c>
      <c r="B108" s="16">
        <v>31259677.280000001</v>
      </c>
      <c r="C108" s="16">
        <v>0</v>
      </c>
      <c r="D108" s="16">
        <v>634327.4917337501</v>
      </c>
      <c r="E108" s="16">
        <v>0</v>
      </c>
      <c r="F108" s="16">
        <v>84902.18</v>
      </c>
      <c r="G108" s="16">
        <v>54451.71</v>
      </c>
      <c r="H108" s="16">
        <v>1711376.23</v>
      </c>
      <c r="I108" s="16">
        <v>285011.46000000002</v>
      </c>
      <c r="J108" s="16">
        <v>2518588.13</v>
      </c>
      <c r="K108" s="16">
        <v>0</v>
      </c>
      <c r="L108" s="16">
        <v>0</v>
      </c>
      <c r="M108" s="16">
        <v>3903.9</v>
      </c>
      <c r="N108" s="18">
        <f t="shared" si="3"/>
        <v>36552238.381733753</v>
      </c>
      <c r="O108" s="4"/>
    </row>
    <row r="109" spans="1:15" ht="15" x14ac:dyDescent="0.2">
      <c r="A109" s="17" t="s">
        <v>104</v>
      </c>
      <c r="B109" s="16">
        <v>343761016.76999998</v>
      </c>
      <c r="C109" s="16">
        <v>0</v>
      </c>
      <c r="D109" s="16">
        <v>5064386.5971241593</v>
      </c>
      <c r="E109" s="16">
        <v>0</v>
      </c>
      <c r="F109" s="16">
        <v>8668513.5600000005</v>
      </c>
      <c r="G109" s="16">
        <v>5020581.6323668063</v>
      </c>
      <c r="H109" s="16">
        <v>18819913.77</v>
      </c>
      <c r="I109" s="16">
        <v>29099670.34</v>
      </c>
      <c r="J109" s="16">
        <v>46861973.539999992</v>
      </c>
      <c r="K109" s="16">
        <v>0</v>
      </c>
      <c r="L109" s="16">
        <v>0</v>
      </c>
      <c r="M109" s="16">
        <v>398594.31000000006</v>
      </c>
      <c r="N109" s="18">
        <f t="shared" si="3"/>
        <v>457694650.5194909</v>
      </c>
      <c r="O109" s="4"/>
    </row>
    <row r="110" spans="1:15" ht="15" x14ac:dyDescent="0.2">
      <c r="A110" s="17" t="s">
        <v>105</v>
      </c>
      <c r="B110" s="16">
        <v>40108742.729999997</v>
      </c>
      <c r="C110" s="16">
        <v>0</v>
      </c>
      <c r="D110" s="16">
        <v>1042966.9417840901</v>
      </c>
      <c r="E110" s="16">
        <v>0</v>
      </c>
      <c r="F110" s="16">
        <v>331320.68</v>
      </c>
      <c r="G110" s="16">
        <v>182370.01</v>
      </c>
      <c r="H110" s="16">
        <v>2195836.77</v>
      </c>
      <c r="I110" s="16">
        <v>1112223.3</v>
      </c>
      <c r="J110" s="16">
        <v>5522713.6600000001</v>
      </c>
      <c r="K110" s="16">
        <v>0</v>
      </c>
      <c r="L110" s="16">
        <v>0</v>
      </c>
      <c r="M110" s="16">
        <v>15234.669999999998</v>
      </c>
      <c r="N110" s="18">
        <f t="shared" si="3"/>
        <v>50511408.761784092</v>
      </c>
      <c r="O110" s="4"/>
    </row>
    <row r="111" spans="1:15" ht="15" x14ac:dyDescent="0.2">
      <c r="A111" s="17" t="s">
        <v>106</v>
      </c>
      <c r="B111" s="16">
        <v>48992361.939999998</v>
      </c>
      <c r="C111" s="16">
        <v>0</v>
      </c>
      <c r="D111" s="16">
        <v>1490997.2698946202</v>
      </c>
      <c r="E111" s="16">
        <v>0</v>
      </c>
      <c r="F111" s="16">
        <v>115426.54</v>
      </c>
      <c r="G111" s="16">
        <v>83838.34</v>
      </c>
      <c r="H111" s="16">
        <v>2682189.0299999998</v>
      </c>
      <c r="I111" s="16">
        <v>387479.87</v>
      </c>
      <c r="J111" s="16">
        <v>4379013.790000001</v>
      </c>
      <c r="K111" s="16">
        <v>0</v>
      </c>
      <c r="L111" s="16">
        <v>0</v>
      </c>
      <c r="M111" s="16">
        <v>5307.4699999999993</v>
      </c>
      <c r="N111" s="18">
        <f t="shared" si="3"/>
        <v>58136614.249894619</v>
      </c>
      <c r="O111" s="4"/>
    </row>
    <row r="112" spans="1:15" ht="15" x14ac:dyDescent="0.2">
      <c r="A112" s="17" t="s">
        <v>107</v>
      </c>
      <c r="B112" s="16">
        <v>65596288.909999996</v>
      </c>
      <c r="C112" s="16">
        <v>0</v>
      </c>
      <c r="D112" s="16">
        <v>1897826.4359483405</v>
      </c>
      <c r="E112" s="16">
        <v>0</v>
      </c>
      <c r="F112" s="16">
        <v>140290.76</v>
      </c>
      <c r="G112" s="16">
        <v>95074.41</v>
      </c>
      <c r="H112" s="16">
        <v>3591205.64</v>
      </c>
      <c r="I112" s="16">
        <v>470947.51</v>
      </c>
      <c r="J112" s="16">
        <v>4582171.4799999995</v>
      </c>
      <c r="K112" s="16">
        <v>0</v>
      </c>
      <c r="L112" s="16">
        <v>0</v>
      </c>
      <c r="M112" s="16">
        <v>6450.7600000000011</v>
      </c>
      <c r="N112" s="18">
        <f t="shared" si="3"/>
        <v>76380255.905948356</v>
      </c>
      <c r="O112" s="4"/>
    </row>
    <row r="113" spans="1:15" ht="15" x14ac:dyDescent="0.2">
      <c r="A113" s="17" t="s">
        <v>108</v>
      </c>
      <c r="B113" s="16">
        <v>52465842.230000004</v>
      </c>
      <c r="C113" s="16">
        <v>0</v>
      </c>
      <c r="D113" s="16">
        <v>2391792.8225202304</v>
      </c>
      <c r="E113" s="16">
        <v>0</v>
      </c>
      <c r="F113" s="16">
        <v>197700.81</v>
      </c>
      <c r="G113" s="16">
        <v>129646.92</v>
      </c>
      <c r="H113" s="16">
        <v>2872351.96</v>
      </c>
      <c r="I113" s="16">
        <v>663669.55000000005</v>
      </c>
      <c r="J113" s="16">
        <v>4546884.49</v>
      </c>
      <c r="K113" s="16">
        <v>0</v>
      </c>
      <c r="L113" s="16">
        <v>0</v>
      </c>
      <c r="M113" s="16">
        <v>9090.5899999999983</v>
      </c>
      <c r="N113" s="18">
        <f t="shared" si="3"/>
        <v>63276979.372520246</v>
      </c>
      <c r="O113" s="4"/>
    </row>
    <row r="114" spans="1:15" ht="15" x14ac:dyDescent="0.2">
      <c r="A114" s="17" t="s">
        <v>109</v>
      </c>
      <c r="B114" s="16">
        <v>35202102.109999999</v>
      </c>
      <c r="C114" s="16">
        <v>0</v>
      </c>
      <c r="D114" s="16">
        <v>1021631.8342853603</v>
      </c>
      <c r="E114" s="16">
        <v>0</v>
      </c>
      <c r="F114" s="16">
        <v>119671.65</v>
      </c>
      <c r="G114" s="16">
        <v>69145.03</v>
      </c>
      <c r="H114" s="16">
        <v>1927212.5</v>
      </c>
      <c r="I114" s="16">
        <v>401730.44</v>
      </c>
      <c r="J114" s="16">
        <v>3443491.4100000015</v>
      </c>
      <c r="K114" s="16">
        <v>0</v>
      </c>
      <c r="L114" s="16">
        <v>0</v>
      </c>
      <c r="M114" s="16">
        <v>5502.66</v>
      </c>
      <c r="N114" s="18">
        <f t="shared" si="3"/>
        <v>42190487.634285361</v>
      </c>
      <c r="O114" s="4"/>
    </row>
    <row r="115" spans="1:15" ht="15" x14ac:dyDescent="0.2">
      <c r="A115" s="17" t="s">
        <v>110</v>
      </c>
      <c r="B115" s="16">
        <v>94317084.210000008</v>
      </c>
      <c r="C115" s="16">
        <v>0</v>
      </c>
      <c r="D115" s="16">
        <v>1347420.4928530601</v>
      </c>
      <c r="E115" s="16">
        <v>0</v>
      </c>
      <c r="F115" s="16">
        <v>123916.76</v>
      </c>
      <c r="G115" s="16">
        <v>114953.61</v>
      </c>
      <c r="H115" s="16">
        <v>5163585.47</v>
      </c>
      <c r="I115" s="16">
        <v>415981.02</v>
      </c>
      <c r="J115" s="16">
        <v>4563633.370000001</v>
      </c>
      <c r="K115" s="16">
        <v>0</v>
      </c>
      <c r="L115" s="16">
        <v>0</v>
      </c>
      <c r="M115" s="16">
        <v>5697.86</v>
      </c>
      <c r="N115" s="18">
        <f t="shared" si="3"/>
        <v>106052272.79285307</v>
      </c>
      <c r="O115" s="4"/>
    </row>
    <row r="116" spans="1:15" ht="15" x14ac:dyDescent="0.2">
      <c r="A116" s="17" t="s">
        <v>111</v>
      </c>
      <c r="B116" s="16">
        <v>49699892.279999994</v>
      </c>
      <c r="C116" s="16">
        <v>0</v>
      </c>
      <c r="D116" s="16">
        <v>1619360.7804601903</v>
      </c>
      <c r="E116" s="16">
        <v>0</v>
      </c>
      <c r="F116" s="16">
        <v>342034.53</v>
      </c>
      <c r="G116" s="16">
        <v>177184.13</v>
      </c>
      <c r="H116" s="16">
        <v>2720924.26</v>
      </c>
      <c r="I116" s="16">
        <v>1148189.04</v>
      </c>
      <c r="J116" s="16">
        <v>6173537.1899999976</v>
      </c>
      <c r="K116" s="16">
        <v>0</v>
      </c>
      <c r="L116" s="16">
        <v>0</v>
      </c>
      <c r="M116" s="16">
        <v>15727.31</v>
      </c>
      <c r="N116" s="18">
        <f t="shared" si="3"/>
        <v>61896849.520460188</v>
      </c>
      <c r="O116" s="4"/>
    </row>
    <row r="117" spans="1:15" ht="15" x14ac:dyDescent="0.2">
      <c r="A117" s="17" t="s">
        <v>112</v>
      </c>
      <c r="B117" s="16">
        <v>28882046.289999999</v>
      </c>
      <c r="C117" s="16">
        <v>0</v>
      </c>
      <c r="D117" s="16">
        <v>475338.18849605002</v>
      </c>
      <c r="E117" s="16">
        <v>0</v>
      </c>
      <c r="F117" s="16">
        <v>71964.710000000006</v>
      </c>
      <c r="G117" s="16">
        <v>47537.21</v>
      </c>
      <c r="H117" s="16">
        <v>1581207.86</v>
      </c>
      <c r="I117" s="16">
        <v>241581.14</v>
      </c>
      <c r="J117" s="16">
        <v>1907706.9699999993</v>
      </c>
      <c r="K117" s="16">
        <v>0</v>
      </c>
      <c r="L117" s="16">
        <v>0</v>
      </c>
      <c r="M117" s="16">
        <v>3309.0099999999998</v>
      </c>
      <c r="N117" s="18">
        <f t="shared" si="3"/>
        <v>33210691.378496051</v>
      </c>
      <c r="O117" s="4"/>
    </row>
    <row r="118" spans="1:15" ht="15" x14ac:dyDescent="0.2">
      <c r="A118" s="17" t="s">
        <v>113</v>
      </c>
      <c r="B118" s="16">
        <v>43822454.240000002</v>
      </c>
      <c r="C118" s="16">
        <v>0</v>
      </c>
      <c r="D118" s="16">
        <v>1235114.1599378299</v>
      </c>
      <c r="E118" s="16">
        <v>0</v>
      </c>
      <c r="F118" s="16">
        <v>339406.61</v>
      </c>
      <c r="G118" s="16">
        <v>180641.38</v>
      </c>
      <c r="H118" s="16">
        <v>2399151.65</v>
      </c>
      <c r="I118" s="16">
        <v>1139367.25</v>
      </c>
      <c r="J118" s="16">
        <v>4931778.8899999997</v>
      </c>
      <c r="K118" s="16">
        <v>0</v>
      </c>
      <c r="L118" s="16">
        <v>0</v>
      </c>
      <c r="M118" s="16">
        <v>15606.48</v>
      </c>
      <c r="N118" s="18">
        <f t="shared" si="3"/>
        <v>54063520.659937829</v>
      </c>
      <c r="O118" s="4"/>
    </row>
    <row r="119" spans="1:15" ht="15" x14ac:dyDescent="0.2">
      <c r="A119" s="17" t="s">
        <v>114</v>
      </c>
      <c r="B119" s="16">
        <v>63679375.350000009</v>
      </c>
      <c r="C119" s="16">
        <v>0</v>
      </c>
      <c r="D119" s="16">
        <v>1153246.0205019303</v>
      </c>
      <c r="E119" s="16">
        <v>0</v>
      </c>
      <c r="F119" s="16">
        <v>272697.74</v>
      </c>
      <c r="G119" s="16">
        <v>127053.99</v>
      </c>
      <c r="H119" s="16">
        <v>3486260.21</v>
      </c>
      <c r="I119" s="16">
        <v>915429.67</v>
      </c>
      <c r="J119" s="16">
        <v>4551622.5200000005</v>
      </c>
      <c r="K119" s="16">
        <v>0</v>
      </c>
      <c r="L119" s="16">
        <v>0</v>
      </c>
      <c r="M119" s="16">
        <v>12539.08</v>
      </c>
      <c r="N119" s="18">
        <f t="shared" si="3"/>
        <v>74198224.580501929</v>
      </c>
      <c r="O119" s="4"/>
    </row>
    <row r="120" spans="1:15" ht="15" x14ac:dyDescent="0.2">
      <c r="A120" s="17" t="s">
        <v>115</v>
      </c>
      <c r="B120" s="16">
        <v>42099700.160000004</v>
      </c>
      <c r="C120" s="16">
        <v>0</v>
      </c>
      <c r="D120" s="16">
        <v>1324249.5244482099</v>
      </c>
      <c r="E120" s="16">
        <v>0</v>
      </c>
      <c r="F120" s="16">
        <v>183752.59</v>
      </c>
      <c r="G120" s="16">
        <v>127918.3</v>
      </c>
      <c r="H120" s="16">
        <v>2304835.89</v>
      </c>
      <c r="I120" s="16">
        <v>616846.24</v>
      </c>
      <c r="J120" s="16">
        <v>4881283.540000001</v>
      </c>
      <c r="K120" s="16">
        <v>0</v>
      </c>
      <c r="L120" s="16">
        <v>0</v>
      </c>
      <c r="M120" s="16">
        <v>8449.24</v>
      </c>
      <c r="N120" s="18">
        <f t="shared" si="3"/>
        <v>51547035.484448217</v>
      </c>
      <c r="O120" s="4"/>
    </row>
    <row r="121" spans="1:15" ht="15" x14ac:dyDescent="0.2">
      <c r="A121" s="17" t="s">
        <v>116</v>
      </c>
      <c r="B121" s="16">
        <v>45772276.219999999</v>
      </c>
      <c r="C121" s="16">
        <v>0</v>
      </c>
      <c r="D121" s="16">
        <v>1327053.9863235001</v>
      </c>
      <c r="E121" s="16">
        <v>0</v>
      </c>
      <c r="F121" s="16">
        <v>77220.56</v>
      </c>
      <c r="G121" s="16">
        <v>46672.89</v>
      </c>
      <c r="H121" s="16">
        <v>2505898.7200000002</v>
      </c>
      <c r="I121" s="16">
        <v>259224.71</v>
      </c>
      <c r="J121" s="16">
        <v>2679318.4399999995</v>
      </c>
      <c r="K121" s="16">
        <v>0</v>
      </c>
      <c r="L121" s="16">
        <v>0</v>
      </c>
      <c r="M121" s="16">
        <v>3550.6899999999996</v>
      </c>
      <c r="N121" s="18">
        <f t="shared" si="3"/>
        <v>52671216.216323495</v>
      </c>
      <c r="O121" s="4"/>
    </row>
    <row r="122" spans="1:15" ht="15" x14ac:dyDescent="0.2">
      <c r="A122" s="17" t="s">
        <v>117</v>
      </c>
      <c r="B122" s="16">
        <v>128206141.75000001</v>
      </c>
      <c r="C122" s="16">
        <v>0</v>
      </c>
      <c r="D122" s="16">
        <v>4533830.3000000007</v>
      </c>
      <c r="E122" s="16">
        <v>0</v>
      </c>
      <c r="F122" s="16">
        <v>2324702.81</v>
      </c>
      <c r="G122" s="16">
        <v>1178088.2949578853</v>
      </c>
      <c r="H122" s="16">
        <v>7018912.5999999996</v>
      </c>
      <c r="I122" s="16">
        <v>7803885.29</v>
      </c>
      <c r="J122" s="16">
        <v>12555599.759999994</v>
      </c>
      <c r="K122" s="16">
        <v>0</v>
      </c>
      <c r="L122" s="16">
        <v>0</v>
      </c>
      <c r="M122" s="16">
        <v>106894.08999999998</v>
      </c>
      <c r="N122" s="18">
        <f t="shared" si="3"/>
        <v>163728054.89495787</v>
      </c>
      <c r="O122" s="4"/>
    </row>
    <row r="123" spans="1:15" ht="15" x14ac:dyDescent="0.2">
      <c r="A123" s="17" t="s">
        <v>118</v>
      </c>
      <c r="B123" s="16">
        <v>343170311.24000001</v>
      </c>
      <c r="C123" s="16">
        <v>0</v>
      </c>
      <c r="D123" s="16">
        <v>5001271.3699999992</v>
      </c>
      <c r="E123" s="16">
        <v>0</v>
      </c>
      <c r="F123" s="16">
        <v>3231539.05</v>
      </c>
      <c r="G123" s="16">
        <v>2970432.8888827967</v>
      </c>
      <c r="H123" s="16">
        <v>18787574.359999999</v>
      </c>
      <c r="I123" s="16">
        <v>10848079.15</v>
      </c>
      <c r="J123" s="16">
        <v>16839752.819999997</v>
      </c>
      <c r="K123" s="16">
        <v>0</v>
      </c>
      <c r="L123" s="16">
        <v>0</v>
      </c>
      <c r="M123" s="16">
        <v>148592.09999999998</v>
      </c>
      <c r="N123" s="18">
        <f t="shared" si="3"/>
        <v>400997552.97888285</v>
      </c>
      <c r="O123" s="4"/>
    </row>
    <row r="124" spans="1:15" ht="15" x14ac:dyDescent="0.2">
      <c r="A124" s="17" t="s">
        <v>119</v>
      </c>
      <c r="B124" s="16">
        <v>261248171.13999999</v>
      </c>
      <c r="C124" s="16">
        <v>0</v>
      </c>
      <c r="D124" s="16">
        <v>1826157.36</v>
      </c>
      <c r="E124" s="16">
        <v>0</v>
      </c>
      <c r="F124" s="16">
        <v>4138173.15</v>
      </c>
      <c r="G124" s="16">
        <v>0</v>
      </c>
      <c r="H124" s="16">
        <v>14302575.960000001</v>
      </c>
      <c r="I124" s="16">
        <v>13891594.41</v>
      </c>
      <c r="J124" s="16">
        <v>23507011.280000012</v>
      </c>
      <c r="K124" s="16">
        <v>0</v>
      </c>
      <c r="L124" s="16">
        <v>0</v>
      </c>
      <c r="M124" s="16">
        <v>190280.81000000003</v>
      </c>
      <c r="N124" s="18">
        <f t="shared" si="3"/>
        <v>319103964.11000007</v>
      </c>
      <c r="O124" s="4"/>
    </row>
    <row r="125" spans="1:15" ht="15" x14ac:dyDescent="0.2">
      <c r="A125" s="17" t="s">
        <v>120</v>
      </c>
      <c r="B125" s="16">
        <v>93145545.590000004</v>
      </c>
      <c r="C125" s="16">
        <v>0</v>
      </c>
      <c r="D125" s="16">
        <v>3420535.89152291</v>
      </c>
      <c r="E125" s="16">
        <v>0</v>
      </c>
      <c r="F125" s="16">
        <v>1609098.64</v>
      </c>
      <c r="G125" s="16">
        <v>806403.87</v>
      </c>
      <c r="H125" s="16">
        <v>5099447.1500000004</v>
      </c>
      <c r="I125" s="16">
        <v>5401645.8200000003</v>
      </c>
      <c r="J125" s="16">
        <v>14626422.870000005</v>
      </c>
      <c r="K125" s="16">
        <v>0</v>
      </c>
      <c r="L125" s="16">
        <v>0</v>
      </c>
      <c r="M125" s="16">
        <v>73989.279999999984</v>
      </c>
      <c r="N125" s="18">
        <f t="shared" si="3"/>
        <v>124183089.11152294</v>
      </c>
      <c r="O125" s="4"/>
    </row>
    <row r="126" spans="1:15" ht="15" x14ac:dyDescent="0.2">
      <c r="A126" s="17" t="s">
        <v>121</v>
      </c>
      <c r="B126" s="16">
        <v>117339792.16</v>
      </c>
      <c r="C126" s="16">
        <v>0</v>
      </c>
      <c r="D126" s="16">
        <v>1549627.5050531703</v>
      </c>
      <c r="E126" s="16">
        <v>0</v>
      </c>
      <c r="F126" s="16">
        <v>805560.06</v>
      </c>
      <c r="G126" s="16">
        <v>326710.25</v>
      </c>
      <c r="H126" s="16">
        <v>6424011.6299999999</v>
      </c>
      <c r="I126" s="16">
        <v>2704215.9</v>
      </c>
      <c r="J126" s="16">
        <v>9669926.3100000024</v>
      </c>
      <c r="K126" s="16">
        <v>0</v>
      </c>
      <c r="L126" s="16">
        <v>0</v>
      </c>
      <c r="M126" s="16">
        <v>37041.089999999997</v>
      </c>
      <c r="N126" s="18">
        <f t="shared" si="3"/>
        <v>138856884.90505317</v>
      </c>
      <c r="O126" s="4"/>
    </row>
    <row r="127" spans="1:15" ht="15" x14ac:dyDescent="0.2">
      <c r="A127" s="17" t="s">
        <v>122</v>
      </c>
      <c r="B127" s="16">
        <v>55401270.450000003</v>
      </c>
      <c r="C127" s="16">
        <v>0</v>
      </c>
      <c r="D127" s="16">
        <v>895213.58445915999</v>
      </c>
      <c r="E127" s="16">
        <v>0</v>
      </c>
      <c r="F127" s="16">
        <v>855086.33</v>
      </c>
      <c r="G127" s="16">
        <v>329303.19</v>
      </c>
      <c r="H127" s="16">
        <v>3033058.09</v>
      </c>
      <c r="I127" s="16">
        <v>2870472.59</v>
      </c>
      <c r="J127" s="16">
        <v>9934927.4800000004</v>
      </c>
      <c r="K127" s="16">
        <v>0</v>
      </c>
      <c r="L127" s="16">
        <v>0</v>
      </c>
      <c r="M127" s="16">
        <v>39318.400000000001</v>
      </c>
      <c r="N127" s="18">
        <f t="shared" si="3"/>
        <v>73358650.114459172</v>
      </c>
      <c r="O127" s="4"/>
    </row>
    <row r="128" spans="1:15" ht="15" x14ac:dyDescent="0.2">
      <c r="A128" s="17" t="s">
        <v>123</v>
      </c>
      <c r="B128" s="16">
        <v>33775523.519999996</v>
      </c>
      <c r="C128" s="16">
        <v>0</v>
      </c>
      <c r="D128" s="16">
        <v>633208.94202631002</v>
      </c>
      <c r="E128" s="16">
        <v>0</v>
      </c>
      <c r="F128" s="16">
        <v>78231.3</v>
      </c>
      <c r="G128" s="16">
        <v>56180.33</v>
      </c>
      <c r="H128" s="16">
        <v>1849111.48</v>
      </c>
      <c r="I128" s="16">
        <v>262617.7</v>
      </c>
      <c r="J128" s="16">
        <v>2336188.5100000002</v>
      </c>
      <c r="K128" s="16">
        <v>0</v>
      </c>
      <c r="L128" s="16">
        <v>0</v>
      </c>
      <c r="M128" s="16">
        <v>3597.15</v>
      </c>
      <c r="N128" s="18">
        <f t="shared" si="3"/>
        <v>38994658.932026297</v>
      </c>
      <c r="O128" s="4"/>
    </row>
    <row r="129" spans="1:15" ht="15" x14ac:dyDescent="0.2">
      <c r="A129" s="17" t="s">
        <v>124</v>
      </c>
      <c r="B129" s="16">
        <v>174672785.00999999</v>
      </c>
      <c r="C129" s="16">
        <v>0</v>
      </c>
      <c r="D129" s="16">
        <v>6789008.4647322511</v>
      </c>
      <c r="E129" s="16">
        <v>0</v>
      </c>
      <c r="F129" s="16">
        <v>994972.8</v>
      </c>
      <c r="G129" s="16">
        <v>685400.08</v>
      </c>
      <c r="H129" s="16">
        <v>9562825.9000000004</v>
      </c>
      <c r="I129" s="16">
        <v>3340062.9</v>
      </c>
      <c r="J129" s="16">
        <v>15071636.759999994</v>
      </c>
      <c r="K129" s="16">
        <v>0</v>
      </c>
      <c r="L129" s="16">
        <v>0</v>
      </c>
      <c r="M129" s="16">
        <v>45750.619999999995</v>
      </c>
      <c r="N129" s="18">
        <f t="shared" si="3"/>
        <v>211162442.53473228</v>
      </c>
      <c r="O129" s="4"/>
    </row>
    <row r="130" spans="1:15" ht="15" x14ac:dyDescent="0.2">
      <c r="A130" s="17" t="s">
        <v>125</v>
      </c>
      <c r="B130" s="16">
        <v>54700321.780000001</v>
      </c>
      <c r="C130" s="16">
        <v>0</v>
      </c>
      <c r="D130" s="16">
        <v>1802941.6319209305</v>
      </c>
      <c r="E130" s="16">
        <v>0</v>
      </c>
      <c r="F130" s="16">
        <v>123108.17</v>
      </c>
      <c r="G130" s="16">
        <v>50994.46</v>
      </c>
      <c r="H130" s="16">
        <v>2994683.2</v>
      </c>
      <c r="I130" s="16">
        <v>413266.62</v>
      </c>
      <c r="J130" s="16">
        <v>3961184.790000001</v>
      </c>
      <c r="K130" s="16">
        <v>0</v>
      </c>
      <c r="L130" s="16">
        <v>0</v>
      </c>
      <c r="M130" s="16">
        <v>5660.6899999999987</v>
      </c>
      <c r="N130" s="18">
        <f t="shared" si="3"/>
        <v>64052161.341920935</v>
      </c>
      <c r="O130" s="4"/>
    </row>
    <row r="131" spans="1:15" ht="15" x14ac:dyDescent="0.2">
      <c r="A131" s="17" t="s">
        <v>126</v>
      </c>
      <c r="B131" s="16">
        <v>257266256.23000002</v>
      </c>
      <c r="C131" s="16">
        <v>0</v>
      </c>
      <c r="D131" s="16">
        <v>6128435.0950000007</v>
      </c>
      <c r="E131" s="16">
        <v>0</v>
      </c>
      <c r="F131" s="16">
        <v>5435963.7599999998</v>
      </c>
      <c r="G131" s="16">
        <v>610166.46727470704</v>
      </c>
      <c r="H131" s="16">
        <v>14084577.720000001</v>
      </c>
      <c r="I131" s="16">
        <v>18248198.199999999</v>
      </c>
      <c r="J131" s="16">
        <v>31815368.90000001</v>
      </c>
      <c r="K131" s="16">
        <v>0</v>
      </c>
      <c r="L131" s="16">
        <v>0</v>
      </c>
      <c r="M131" s="16">
        <v>249955.65000000002</v>
      </c>
      <c r="N131" s="18">
        <f t="shared" si="3"/>
        <v>333838922.02227479</v>
      </c>
      <c r="O131" s="4"/>
    </row>
    <row r="132" spans="1:15" ht="15" x14ac:dyDescent="0.2">
      <c r="A132" s="17" t="s">
        <v>127</v>
      </c>
      <c r="B132" s="16">
        <v>11429082.91</v>
      </c>
      <c r="C132" s="16">
        <v>0</v>
      </c>
      <c r="D132" s="16">
        <v>126127.72779989001</v>
      </c>
      <c r="E132" s="16">
        <v>0</v>
      </c>
      <c r="F132" s="16">
        <v>23247.02</v>
      </c>
      <c r="G132" s="16">
        <v>9507.44</v>
      </c>
      <c r="H132" s="16">
        <v>625708.98</v>
      </c>
      <c r="I132" s="16">
        <v>78038.850000000006</v>
      </c>
      <c r="J132" s="16">
        <v>1144743.5400000003</v>
      </c>
      <c r="K132" s="16">
        <v>0</v>
      </c>
      <c r="L132" s="16">
        <v>0</v>
      </c>
      <c r="M132" s="16">
        <v>1068.8500000000001</v>
      </c>
      <c r="N132" s="18">
        <f t="shared" si="3"/>
        <v>13437525.31779989</v>
      </c>
      <c r="O132" s="4"/>
    </row>
    <row r="133" spans="1:15" ht="15" x14ac:dyDescent="0.2">
      <c r="A133" s="17" t="s">
        <v>128</v>
      </c>
      <c r="B133" s="16">
        <v>63913024.909999996</v>
      </c>
      <c r="C133" s="16">
        <v>0</v>
      </c>
      <c r="D133" s="16">
        <v>1107063.5404601903</v>
      </c>
      <c r="E133" s="16">
        <v>0</v>
      </c>
      <c r="F133" s="16">
        <v>84093.59</v>
      </c>
      <c r="G133" s="16">
        <v>70009.34</v>
      </c>
      <c r="H133" s="16">
        <v>3499051.84</v>
      </c>
      <c r="I133" s="16">
        <v>282297.07</v>
      </c>
      <c r="J133" s="16">
        <v>4160416.13</v>
      </c>
      <c r="K133" s="16">
        <v>0</v>
      </c>
      <c r="L133" s="16">
        <v>0</v>
      </c>
      <c r="M133" s="16">
        <v>3866.73</v>
      </c>
      <c r="N133" s="18">
        <f t="shared" si="3"/>
        <v>73119823.150460184</v>
      </c>
      <c r="O133" s="4"/>
    </row>
    <row r="134" spans="1:15" ht="15" x14ac:dyDescent="0.2">
      <c r="A134" s="17" t="s">
        <v>129</v>
      </c>
      <c r="B134" s="16">
        <v>125285522.34</v>
      </c>
      <c r="C134" s="16">
        <v>0</v>
      </c>
      <c r="D134" s="16">
        <v>2574305.0829214798</v>
      </c>
      <c r="E134" s="16">
        <v>0</v>
      </c>
      <c r="F134" s="16">
        <v>392369.4</v>
      </c>
      <c r="G134" s="16">
        <v>237686.03</v>
      </c>
      <c r="H134" s="16">
        <v>6859017.2000000002</v>
      </c>
      <c r="I134" s="16">
        <v>1317160.1200000001</v>
      </c>
      <c r="J134" s="16">
        <v>9589478.2200000007</v>
      </c>
      <c r="K134" s="16">
        <v>0</v>
      </c>
      <c r="L134" s="16">
        <v>0</v>
      </c>
      <c r="M134" s="16">
        <v>18041.799999999996</v>
      </c>
      <c r="N134" s="18">
        <f t="shared" si="3"/>
        <v>146273580.19292149</v>
      </c>
      <c r="O134" s="4"/>
    </row>
    <row r="135" spans="1:15" ht="15" x14ac:dyDescent="0.2">
      <c r="A135" s="17" t="s">
        <v>130</v>
      </c>
      <c r="B135" s="16">
        <v>104974465.52</v>
      </c>
      <c r="C135" s="16">
        <v>0</v>
      </c>
      <c r="D135" s="16">
        <v>4293298.1263093203</v>
      </c>
      <c r="E135" s="16">
        <v>0</v>
      </c>
      <c r="F135" s="16">
        <v>590676.66</v>
      </c>
      <c r="G135" s="16">
        <v>316338.5</v>
      </c>
      <c r="H135" s="16">
        <v>5747046.04</v>
      </c>
      <c r="I135" s="16">
        <v>1982865.46</v>
      </c>
      <c r="J135" s="16">
        <v>9785760.7599999979</v>
      </c>
      <c r="K135" s="16">
        <v>0</v>
      </c>
      <c r="L135" s="16">
        <v>0</v>
      </c>
      <c r="M135" s="16">
        <v>27160.33</v>
      </c>
      <c r="N135" s="18">
        <f t="shared" si="3"/>
        <v>127717611.3963093</v>
      </c>
      <c r="O135" s="4"/>
    </row>
    <row r="136" spans="1:15" ht="15" x14ac:dyDescent="0.2">
      <c r="A136" s="17" t="s">
        <v>131</v>
      </c>
      <c r="B136" s="16">
        <v>178653054.51999998</v>
      </c>
      <c r="C136" s="16">
        <v>0</v>
      </c>
      <c r="D136" s="16">
        <v>2922952.18</v>
      </c>
      <c r="E136" s="16">
        <v>0</v>
      </c>
      <c r="F136" s="16">
        <v>3514344.2</v>
      </c>
      <c r="G136" s="16">
        <v>2199192.8760435614</v>
      </c>
      <c r="H136" s="16">
        <v>9780734.0500000007</v>
      </c>
      <c r="I136" s="16">
        <v>11797438.76</v>
      </c>
      <c r="J136" s="16">
        <v>22475087.080000002</v>
      </c>
      <c r="K136" s="16">
        <v>0</v>
      </c>
      <c r="L136" s="16">
        <v>0</v>
      </c>
      <c r="M136" s="16">
        <v>161596</v>
      </c>
      <c r="N136" s="18">
        <f t="shared" ref="N136:N142" si="4">SUM(B136:M136)</f>
        <v>231504399.66604355</v>
      </c>
      <c r="O136" s="4"/>
    </row>
    <row r="137" spans="1:15" ht="15" x14ac:dyDescent="0.2">
      <c r="A137" s="17" t="s">
        <v>132</v>
      </c>
      <c r="B137" s="16">
        <v>30255971.439999998</v>
      </c>
      <c r="C137" s="16">
        <v>0</v>
      </c>
      <c r="D137" s="16">
        <v>549081.54292530008</v>
      </c>
      <c r="E137" s="16">
        <v>0</v>
      </c>
      <c r="F137" s="16">
        <v>42046.79</v>
      </c>
      <c r="G137" s="16">
        <v>48401.52</v>
      </c>
      <c r="H137" s="16">
        <v>1656426.26</v>
      </c>
      <c r="I137" s="16">
        <v>141148.53</v>
      </c>
      <c r="J137" s="16">
        <v>2150591.7600000002</v>
      </c>
      <c r="K137" s="16">
        <v>0</v>
      </c>
      <c r="L137" s="16">
        <v>0</v>
      </c>
      <c r="M137" s="16">
        <v>1933.3300000000002</v>
      </c>
      <c r="N137" s="18">
        <f t="shared" si="4"/>
        <v>34845601.172925293</v>
      </c>
      <c r="O137" s="4"/>
    </row>
    <row r="138" spans="1:15" ht="15" x14ac:dyDescent="0.2">
      <c r="A138" s="17" t="s">
        <v>133</v>
      </c>
      <c r="B138" s="16">
        <v>64785097.159999996</v>
      </c>
      <c r="C138" s="16">
        <v>0</v>
      </c>
      <c r="D138" s="16">
        <v>2606818.1316165403</v>
      </c>
      <c r="E138" s="16">
        <v>0</v>
      </c>
      <c r="F138" s="16">
        <v>366090.15</v>
      </c>
      <c r="G138" s="16">
        <v>197927.64</v>
      </c>
      <c r="H138" s="16">
        <v>3546795.26</v>
      </c>
      <c r="I138" s="16">
        <v>1228942.28</v>
      </c>
      <c r="J138" s="16">
        <v>8004523.8700000029</v>
      </c>
      <c r="K138" s="16">
        <v>0</v>
      </c>
      <c r="L138" s="16">
        <v>0</v>
      </c>
      <c r="M138" s="16">
        <v>16833.43</v>
      </c>
      <c r="N138" s="18">
        <f t="shared" si="4"/>
        <v>80753027.921616554</v>
      </c>
      <c r="O138" s="4"/>
    </row>
    <row r="139" spans="1:15" ht="15" x14ac:dyDescent="0.2">
      <c r="A139" s="17" t="s">
        <v>134</v>
      </c>
      <c r="B139" s="16">
        <v>303305090.5</v>
      </c>
      <c r="C139" s="16">
        <v>0</v>
      </c>
      <c r="D139" s="16">
        <v>4360699.0200000005</v>
      </c>
      <c r="E139" s="16">
        <v>0</v>
      </c>
      <c r="F139" s="16">
        <v>1882807.13</v>
      </c>
      <c r="G139" s="16">
        <v>2008043.9933838095</v>
      </c>
      <c r="H139" s="16">
        <v>16605069.74</v>
      </c>
      <c r="I139" s="16">
        <v>6320468.5</v>
      </c>
      <c r="J139" s="16">
        <v>14500797.339999996</v>
      </c>
      <c r="K139" s="16">
        <v>0</v>
      </c>
      <c r="L139" s="16">
        <v>0</v>
      </c>
      <c r="M139" s="16">
        <v>86574.92</v>
      </c>
      <c r="N139" s="18">
        <f t="shared" si="4"/>
        <v>349069551.1433838</v>
      </c>
      <c r="O139" s="4"/>
    </row>
    <row r="140" spans="1:15" ht="15" x14ac:dyDescent="0.2">
      <c r="A140" s="17" t="s">
        <v>135</v>
      </c>
      <c r="B140" s="16">
        <v>78922540.480000004</v>
      </c>
      <c r="C140" s="16">
        <v>0</v>
      </c>
      <c r="D140" s="16">
        <v>502741.66999999993</v>
      </c>
      <c r="E140" s="16">
        <v>0</v>
      </c>
      <c r="F140" s="16">
        <v>310499.43</v>
      </c>
      <c r="G140" s="16">
        <v>175455.51</v>
      </c>
      <c r="H140" s="16">
        <v>4320779.07</v>
      </c>
      <c r="I140" s="16">
        <v>1042327.63</v>
      </c>
      <c r="J140" s="16">
        <v>3659223.1099999994</v>
      </c>
      <c r="K140" s="16">
        <v>0</v>
      </c>
      <c r="L140" s="16">
        <v>0</v>
      </c>
      <c r="M140" s="16">
        <v>14277.28</v>
      </c>
      <c r="N140" s="18">
        <f t="shared" si="4"/>
        <v>88947844.180000022</v>
      </c>
      <c r="O140" s="4"/>
    </row>
    <row r="141" spans="1:15" ht="15" x14ac:dyDescent="0.2">
      <c r="A141" s="17" t="s">
        <v>136</v>
      </c>
      <c r="B141" s="16">
        <v>97629313.409999996</v>
      </c>
      <c r="C141" s="16">
        <v>0</v>
      </c>
      <c r="D141" s="16">
        <v>1749218.1361378704</v>
      </c>
      <c r="E141" s="16">
        <v>0</v>
      </c>
      <c r="F141" s="16">
        <v>447757.97</v>
      </c>
      <c r="G141" s="16">
        <v>171133.94</v>
      </c>
      <c r="H141" s="16">
        <v>5344920.37</v>
      </c>
      <c r="I141" s="16">
        <v>1503096.17</v>
      </c>
      <c r="J141" s="16">
        <v>9966072.8500000034</v>
      </c>
      <c r="K141" s="16">
        <v>0</v>
      </c>
      <c r="L141" s="16">
        <v>0</v>
      </c>
      <c r="M141" s="16">
        <v>20588.68</v>
      </c>
      <c r="N141" s="18">
        <f t="shared" si="4"/>
        <v>116832101.52613789</v>
      </c>
      <c r="O141" s="4"/>
    </row>
    <row r="142" spans="1:15" ht="15" x14ac:dyDescent="0.2">
      <c r="A142" s="17" t="s">
        <v>137</v>
      </c>
      <c r="B142" s="16">
        <v>92502186.599999994</v>
      </c>
      <c r="C142" s="16">
        <v>0</v>
      </c>
      <c r="D142" s="16">
        <v>1226542.38315745</v>
      </c>
      <c r="E142" s="16">
        <v>0</v>
      </c>
      <c r="F142" s="16">
        <v>1925056.07</v>
      </c>
      <c r="G142" s="16">
        <v>631812.68000000005</v>
      </c>
      <c r="H142" s="16">
        <v>5064225.12</v>
      </c>
      <c r="I142" s="16">
        <v>6462295.6200000001</v>
      </c>
      <c r="J142" s="16">
        <v>13405439.169999996</v>
      </c>
      <c r="K142" s="16">
        <v>0</v>
      </c>
      <c r="L142" s="16">
        <v>0</v>
      </c>
      <c r="M142" s="16">
        <v>88517.59</v>
      </c>
      <c r="N142" s="18">
        <f t="shared" si="4"/>
        <v>121306075.23315746</v>
      </c>
      <c r="O142" s="4"/>
    </row>
    <row r="143" spans="1:15" ht="24.75" customHeight="1" x14ac:dyDescent="0.2">
      <c r="A143" s="24" t="s">
        <v>138</v>
      </c>
      <c r="B143" s="25">
        <f t="shared" ref="B143:I143" si="5">SUM(B8:B142)</f>
        <v>16454193787.570002</v>
      </c>
      <c r="C143" s="25">
        <f t="shared" si="5"/>
        <v>0</v>
      </c>
      <c r="D143" s="25">
        <f t="shared" si="5"/>
        <v>273360857.72855216</v>
      </c>
      <c r="E143" s="25">
        <f t="shared" si="5"/>
        <v>0</v>
      </c>
      <c r="F143" s="25">
        <f t="shared" si="5"/>
        <v>202148070.65000015</v>
      </c>
      <c r="G143" s="25">
        <f t="shared" si="5"/>
        <v>86431283.259999976</v>
      </c>
      <c r="H143" s="25">
        <f t="shared" si="5"/>
        <v>900819154.28000045</v>
      </c>
      <c r="I143" s="25">
        <f t="shared" si="5"/>
        <v>678598720.69999993</v>
      </c>
      <c r="J143" s="25">
        <f t="shared" ref="J143:N143" si="6">SUM(J8:J142)</f>
        <v>1656671664.4999993</v>
      </c>
      <c r="K143" s="25">
        <f t="shared" si="6"/>
        <v>0</v>
      </c>
      <c r="L143" s="25">
        <f t="shared" si="6"/>
        <v>0</v>
      </c>
      <c r="M143" s="25">
        <f t="shared" si="6"/>
        <v>9295134.9099999983</v>
      </c>
      <c r="N143" s="25">
        <f t="shared" si="6"/>
        <v>20261518673.598545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  <c r="N145" s="8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44AEAC"/>
  </sheetPr>
  <dimension ref="A1:O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2.33203125" style="1" customWidth="1"/>
    <col min="3" max="3" width="22.33203125" style="1" hidden="1" customWidth="1"/>
    <col min="4" max="4" width="22.33203125" style="1" customWidth="1"/>
    <col min="5" max="5" width="22.33203125" style="1" hidden="1" customWidth="1"/>
    <col min="6" max="10" width="22.33203125" style="1" customWidth="1"/>
    <col min="11" max="12" width="22.33203125" style="1" hidden="1" customWidth="1"/>
    <col min="13" max="13" width="22.33203125" style="1" customWidth="1"/>
    <col min="14" max="14" width="23.83203125" style="1" customWidth="1"/>
    <col min="15" max="15" width="12" style="1" customWidth="1"/>
    <col min="16" max="16384" width="12" style="1"/>
  </cols>
  <sheetData>
    <row r="1" spans="1:1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7.25" customHeight="1" x14ac:dyDescent="0.25">
      <c r="A3" s="2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7.25" customHeight="1" x14ac:dyDescent="0.25">
      <c r="A4" s="23" t="s">
        <v>164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5" ht="18.75" customHeight="1" x14ac:dyDescent="0.2">
      <c r="A6" s="28" t="s">
        <v>2</v>
      </c>
      <c r="B6" s="29" t="s">
        <v>165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5" ht="60" customHeight="1" x14ac:dyDescent="0.2">
      <c r="A7" s="28"/>
      <c r="B7" s="21" t="s">
        <v>139</v>
      </c>
      <c r="C7" s="21" t="s">
        <v>151</v>
      </c>
      <c r="D7" s="21" t="s">
        <v>143</v>
      </c>
      <c r="E7" s="21" t="s">
        <v>141</v>
      </c>
      <c r="F7" s="27" t="s">
        <v>150</v>
      </c>
      <c r="G7" s="21" t="s">
        <v>144</v>
      </c>
      <c r="H7" s="21" t="s">
        <v>146</v>
      </c>
      <c r="I7" s="21" t="s">
        <v>145</v>
      </c>
      <c r="J7" s="21" t="s">
        <v>147</v>
      </c>
      <c r="K7" s="21" t="s">
        <v>148</v>
      </c>
      <c r="L7" s="21" t="s">
        <v>149</v>
      </c>
      <c r="M7" s="21" t="s">
        <v>142</v>
      </c>
      <c r="N7" s="22" t="s">
        <v>140</v>
      </c>
    </row>
    <row r="8" spans="1:15" ht="18" customHeight="1" x14ac:dyDescent="0.2">
      <c r="A8" s="17" t="s">
        <v>3</v>
      </c>
      <c r="B8" s="16">
        <v>70006281.669999987</v>
      </c>
      <c r="C8" s="16">
        <v>0</v>
      </c>
      <c r="D8" s="16">
        <v>2610026.0529817073</v>
      </c>
      <c r="E8" s="16">
        <v>0</v>
      </c>
      <c r="F8" s="16">
        <v>290677.71999999997</v>
      </c>
      <c r="G8" s="16">
        <v>135385.46</v>
      </c>
      <c r="H8" s="16">
        <v>3480208.32</v>
      </c>
      <c r="I8" s="16">
        <v>538033.62</v>
      </c>
      <c r="J8" s="16">
        <v>5840288.1600000001</v>
      </c>
      <c r="K8" s="16">
        <v>0</v>
      </c>
      <c r="L8" s="16">
        <v>0</v>
      </c>
      <c r="M8" s="16">
        <v>11799.52</v>
      </c>
      <c r="N8" s="18">
        <f t="shared" ref="N8:N39" si="0">SUM(B8:M8)</f>
        <v>82912700.522981673</v>
      </c>
      <c r="O8" s="4"/>
    </row>
    <row r="9" spans="1:15" ht="18" customHeight="1" x14ac:dyDescent="0.2">
      <c r="A9" s="17" t="s">
        <v>4</v>
      </c>
      <c r="B9" s="16">
        <v>43644502.109999999</v>
      </c>
      <c r="C9" s="16">
        <v>0</v>
      </c>
      <c r="D9" s="16">
        <v>1894858.1032442683</v>
      </c>
      <c r="E9" s="16">
        <v>0</v>
      </c>
      <c r="F9" s="16">
        <v>203654.94</v>
      </c>
      <c r="G9" s="16">
        <v>95639.27</v>
      </c>
      <c r="H9" s="16">
        <v>2169690.4300000002</v>
      </c>
      <c r="I9" s="16">
        <v>376957.72</v>
      </c>
      <c r="J9" s="16">
        <v>4383370.1100000013</v>
      </c>
      <c r="K9" s="16">
        <v>0</v>
      </c>
      <c r="L9" s="16">
        <v>0</v>
      </c>
      <c r="M9" s="16">
        <v>8266.9700000000012</v>
      </c>
      <c r="N9" s="18">
        <f t="shared" si="0"/>
        <v>52776939.653244264</v>
      </c>
      <c r="O9" s="4"/>
    </row>
    <row r="10" spans="1:15" ht="18" customHeight="1" x14ac:dyDescent="0.2">
      <c r="A10" s="17" t="s">
        <v>5</v>
      </c>
      <c r="B10" s="16">
        <v>32075046.689999998</v>
      </c>
      <c r="C10" s="16">
        <v>0</v>
      </c>
      <c r="D10" s="16">
        <v>846484.2725994772</v>
      </c>
      <c r="E10" s="16">
        <v>0</v>
      </c>
      <c r="F10" s="16">
        <v>142269.59</v>
      </c>
      <c r="G10" s="16">
        <v>84460.65</v>
      </c>
      <c r="H10" s="16">
        <v>1594540.4</v>
      </c>
      <c r="I10" s="16">
        <v>263335.71000000002</v>
      </c>
      <c r="J10" s="16">
        <v>2590873.9600000004</v>
      </c>
      <c r="K10" s="16">
        <v>0</v>
      </c>
      <c r="L10" s="16">
        <v>0</v>
      </c>
      <c r="M10" s="16">
        <v>5775.12</v>
      </c>
      <c r="N10" s="18">
        <f t="shared" si="0"/>
        <v>37602786.392599471</v>
      </c>
      <c r="O10" s="4"/>
    </row>
    <row r="11" spans="1:15" ht="18" customHeight="1" x14ac:dyDescent="0.2">
      <c r="A11" s="17" t="s">
        <v>6</v>
      </c>
      <c r="B11" s="16">
        <v>371432042.82000005</v>
      </c>
      <c r="C11" s="16">
        <v>0</v>
      </c>
      <c r="D11" s="16">
        <v>2600276.7298663342</v>
      </c>
      <c r="E11" s="16">
        <v>0</v>
      </c>
      <c r="F11" s="16">
        <v>15270510.33</v>
      </c>
      <c r="G11" s="16">
        <v>7702095.1476570144</v>
      </c>
      <c r="H11" s="16">
        <v>18464927.030000001</v>
      </c>
      <c r="I11" s="16">
        <v>28265145.34</v>
      </c>
      <c r="J11" s="16">
        <v>48761921.259999998</v>
      </c>
      <c r="K11" s="16">
        <v>0</v>
      </c>
      <c r="L11" s="16">
        <v>0</v>
      </c>
      <c r="M11" s="16">
        <v>619881.19999999995</v>
      </c>
      <c r="N11" s="18">
        <f t="shared" si="0"/>
        <v>493116799.85752332</v>
      </c>
      <c r="O11" s="4"/>
    </row>
    <row r="12" spans="1:15" ht="18" customHeight="1" x14ac:dyDescent="0.2">
      <c r="A12" s="17" t="s">
        <v>7</v>
      </c>
      <c r="B12" s="16">
        <v>55749911.289999999</v>
      </c>
      <c r="C12" s="16">
        <v>0</v>
      </c>
      <c r="D12" s="16">
        <v>1386116.5051105302</v>
      </c>
      <c r="E12" s="16">
        <v>0</v>
      </c>
      <c r="F12" s="16">
        <v>522136.62</v>
      </c>
      <c r="G12" s="16">
        <v>231024.72</v>
      </c>
      <c r="H12" s="16">
        <v>2771484.22</v>
      </c>
      <c r="I12" s="16">
        <v>966455.43</v>
      </c>
      <c r="J12" s="16">
        <v>5260190.4699999979</v>
      </c>
      <c r="K12" s="16">
        <v>0</v>
      </c>
      <c r="L12" s="16">
        <v>0</v>
      </c>
      <c r="M12" s="16">
        <v>21195.199999999997</v>
      </c>
      <c r="N12" s="18">
        <f t="shared" si="0"/>
        <v>66908514.455110528</v>
      </c>
      <c r="O12" s="4"/>
    </row>
    <row r="13" spans="1:15" ht="18" customHeight="1" x14ac:dyDescent="0.2">
      <c r="A13" s="17" t="s">
        <v>8</v>
      </c>
      <c r="B13" s="16">
        <v>225393572.42000002</v>
      </c>
      <c r="C13" s="16">
        <v>0</v>
      </c>
      <c r="D13" s="16">
        <v>2436214.0266899974</v>
      </c>
      <c r="E13" s="16">
        <v>0</v>
      </c>
      <c r="F13" s="16">
        <v>7425822.7699999996</v>
      </c>
      <c r="G13" s="16">
        <v>2105497.5454629641</v>
      </c>
      <c r="H13" s="16">
        <v>11204945.689999999</v>
      </c>
      <c r="I13" s="16">
        <v>13744921.109999999</v>
      </c>
      <c r="J13" s="16">
        <v>37491776.5</v>
      </c>
      <c r="K13" s="16">
        <v>0</v>
      </c>
      <c r="L13" s="16">
        <v>0</v>
      </c>
      <c r="M13" s="16">
        <v>301438.99</v>
      </c>
      <c r="N13" s="18">
        <f t="shared" si="0"/>
        <v>300104189.05215299</v>
      </c>
      <c r="O13" s="4"/>
    </row>
    <row r="14" spans="1:15" ht="18" customHeight="1" x14ac:dyDescent="0.2">
      <c r="A14" s="17" t="s">
        <v>9</v>
      </c>
      <c r="B14" s="16">
        <v>81684714.370000005</v>
      </c>
      <c r="C14" s="16">
        <v>0</v>
      </c>
      <c r="D14" s="16">
        <v>3310345.5955880154</v>
      </c>
      <c r="E14" s="16">
        <v>0</v>
      </c>
      <c r="F14" s="16">
        <v>337980.55</v>
      </c>
      <c r="G14" s="16">
        <v>161468.89000000001</v>
      </c>
      <c r="H14" s="16">
        <v>4060775.91</v>
      </c>
      <c r="I14" s="16">
        <v>625589.41</v>
      </c>
      <c r="J14" s="16">
        <v>7545827.3100000024</v>
      </c>
      <c r="K14" s="16">
        <v>0</v>
      </c>
      <c r="L14" s="16">
        <v>0</v>
      </c>
      <c r="M14" s="16">
        <v>13719.689999999999</v>
      </c>
      <c r="N14" s="18">
        <f t="shared" si="0"/>
        <v>97740421.725588009</v>
      </c>
      <c r="O14" s="4"/>
    </row>
    <row r="15" spans="1:15" ht="18" customHeight="1" x14ac:dyDescent="0.2">
      <c r="A15" s="17" t="s">
        <v>10</v>
      </c>
      <c r="B15" s="16">
        <v>133121984.41</v>
      </c>
      <c r="C15" s="16">
        <v>0</v>
      </c>
      <c r="D15" s="16">
        <v>3920965.7320301435</v>
      </c>
      <c r="E15" s="16">
        <v>0</v>
      </c>
      <c r="F15" s="16">
        <v>1259122</v>
      </c>
      <c r="G15" s="16">
        <v>519184.59</v>
      </c>
      <c r="H15" s="16">
        <v>6617866.6500000004</v>
      </c>
      <c r="I15" s="16">
        <v>2330587.89</v>
      </c>
      <c r="J15" s="16">
        <v>12598705.559999997</v>
      </c>
      <c r="K15" s="16">
        <v>0</v>
      </c>
      <c r="L15" s="16">
        <v>0</v>
      </c>
      <c r="M15" s="16">
        <v>51111.89</v>
      </c>
      <c r="N15" s="18">
        <f t="shared" si="0"/>
        <v>160419528.72203013</v>
      </c>
      <c r="O15" s="4"/>
    </row>
    <row r="16" spans="1:15" ht="18" customHeight="1" x14ac:dyDescent="0.2">
      <c r="A16" s="17" t="s">
        <v>11</v>
      </c>
      <c r="B16" s="16">
        <v>246063522.89999998</v>
      </c>
      <c r="C16" s="16">
        <v>0</v>
      </c>
      <c r="D16" s="16">
        <v>5169966.4175394755</v>
      </c>
      <c r="E16" s="16">
        <v>0</v>
      </c>
      <c r="F16" s="16">
        <v>4695979.82</v>
      </c>
      <c r="G16" s="16">
        <v>2397192.02</v>
      </c>
      <c r="H16" s="16">
        <v>12232506.82</v>
      </c>
      <c r="I16" s="16">
        <v>8692083.5899999999</v>
      </c>
      <c r="J16" s="16">
        <v>31231809.839999989</v>
      </c>
      <c r="K16" s="16">
        <v>0</v>
      </c>
      <c r="L16" s="16">
        <v>0</v>
      </c>
      <c r="M16" s="16">
        <v>190625.49999999997</v>
      </c>
      <c r="N16" s="18">
        <f t="shared" si="0"/>
        <v>310673686.90753943</v>
      </c>
      <c r="O16" s="4"/>
    </row>
    <row r="17" spans="1:15" ht="15" x14ac:dyDescent="0.2">
      <c r="A17" s="17" t="s">
        <v>12</v>
      </c>
      <c r="B17" s="16">
        <v>88414507.219999999</v>
      </c>
      <c r="C17" s="16">
        <v>0</v>
      </c>
      <c r="D17" s="16">
        <v>3427096.4703695984</v>
      </c>
      <c r="E17" s="16">
        <v>0</v>
      </c>
      <c r="F17" s="16">
        <v>964472.28</v>
      </c>
      <c r="G17" s="16">
        <v>347779.15</v>
      </c>
      <c r="H17" s="16">
        <v>4395332.76</v>
      </c>
      <c r="I17" s="16">
        <v>1785202.25</v>
      </c>
      <c r="J17" s="16">
        <v>8613407.4599999972</v>
      </c>
      <c r="K17" s="16">
        <v>0</v>
      </c>
      <c r="L17" s="16">
        <v>0</v>
      </c>
      <c r="M17" s="16">
        <v>39151.1</v>
      </c>
      <c r="N17" s="18">
        <f t="shared" si="0"/>
        <v>107986948.69036959</v>
      </c>
      <c r="O17" s="4"/>
    </row>
    <row r="18" spans="1:15" ht="15" x14ac:dyDescent="0.2">
      <c r="A18" s="17" t="s">
        <v>13</v>
      </c>
      <c r="B18" s="16">
        <v>54206364.450000003</v>
      </c>
      <c r="C18" s="16">
        <v>0</v>
      </c>
      <c r="D18" s="16">
        <v>1186702.8189521511</v>
      </c>
      <c r="E18" s="16">
        <v>0</v>
      </c>
      <c r="F18" s="16">
        <v>649962.6</v>
      </c>
      <c r="G18" s="16">
        <v>260834.36</v>
      </c>
      <c r="H18" s="16">
        <v>2694750.18</v>
      </c>
      <c r="I18" s="16">
        <v>1203056.55</v>
      </c>
      <c r="J18" s="16">
        <v>6954908.1099999975</v>
      </c>
      <c r="K18" s="16">
        <v>0</v>
      </c>
      <c r="L18" s="16">
        <v>0</v>
      </c>
      <c r="M18" s="16">
        <v>26384.100000000006</v>
      </c>
      <c r="N18" s="18">
        <f t="shared" si="0"/>
        <v>67182963.168952137</v>
      </c>
      <c r="O18" s="4"/>
    </row>
    <row r="19" spans="1:15" ht="15" x14ac:dyDescent="0.2">
      <c r="A19" s="17" t="s">
        <v>14</v>
      </c>
      <c r="B19" s="16">
        <v>90681591.679999977</v>
      </c>
      <c r="C19" s="16">
        <v>0</v>
      </c>
      <c r="D19" s="16">
        <v>2765879.6103753997</v>
      </c>
      <c r="E19" s="16">
        <v>0</v>
      </c>
      <c r="F19" s="16">
        <v>262512.67</v>
      </c>
      <c r="G19" s="16">
        <v>161468.89000000001</v>
      </c>
      <c r="H19" s="16">
        <v>4508035.88</v>
      </c>
      <c r="I19" s="16">
        <v>485901.17</v>
      </c>
      <c r="J19" s="16">
        <v>5908934.4400000013</v>
      </c>
      <c r="K19" s="16">
        <v>0</v>
      </c>
      <c r="L19" s="16">
        <v>0</v>
      </c>
      <c r="M19" s="16">
        <v>10656.190000000002</v>
      </c>
      <c r="N19" s="18">
        <f t="shared" si="0"/>
        <v>104784980.53037538</v>
      </c>
      <c r="O19" s="4"/>
    </row>
    <row r="20" spans="1:15" ht="15" x14ac:dyDescent="0.2">
      <c r="A20" s="17" t="s">
        <v>15</v>
      </c>
      <c r="B20" s="16">
        <v>300895166.86000001</v>
      </c>
      <c r="C20" s="16">
        <v>0</v>
      </c>
      <c r="D20" s="16">
        <v>1885178.9041405329</v>
      </c>
      <c r="E20" s="16">
        <v>0</v>
      </c>
      <c r="F20" s="16">
        <v>8378740.1699999999</v>
      </c>
      <c r="G20" s="16">
        <v>4008801.6090633543</v>
      </c>
      <c r="H20" s="16">
        <v>14958341.390000001</v>
      </c>
      <c r="I20" s="16">
        <v>15508735.689999999</v>
      </c>
      <c r="J20" s="16">
        <v>33974771.470000014</v>
      </c>
      <c r="K20" s="16">
        <v>0</v>
      </c>
      <c r="L20" s="16">
        <v>0</v>
      </c>
      <c r="M20" s="16">
        <v>340121.10000000003</v>
      </c>
      <c r="N20" s="18">
        <f t="shared" si="0"/>
        <v>379949857.19320393</v>
      </c>
      <c r="O20" s="4"/>
    </row>
    <row r="21" spans="1:15" ht="15" x14ac:dyDescent="0.2">
      <c r="A21" s="17" t="s">
        <v>16</v>
      </c>
      <c r="B21" s="16">
        <v>130711978.95999998</v>
      </c>
      <c r="C21" s="16">
        <v>0</v>
      </c>
      <c r="D21" s="16">
        <v>1432845.3992647249</v>
      </c>
      <c r="E21" s="16">
        <v>0</v>
      </c>
      <c r="F21" s="16">
        <v>2227927.37</v>
      </c>
      <c r="G21" s="16">
        <v>491183.05112746946</v>
      </c>
      <c r="H21" s="16">
        <v>6498058.5300000003</v>
      </c>
      <c r="I21" s="16">
        <v>4123810.52</v>
      </c>
      <c r="J21" s="16">
        <v>11092330.620000001</v>
      </c>
      <c r="K21" s="16">
        <v>0</v>
      </c>
      <c r="L21" s="16">
        <v>0</v>
      </c>
      <c r="M21" s="16">
        <v>90438.98</v>
      </c>
      <c r="N21" s="18">
        <f t="shared" si="0"/>
        <v>156668573.43039218</v>
      </c>
      <c r="O21" s="4"/>
    </row>
    <row r="22" spans="1:15" ht="15" x14ac:dyDescent="0.2">
      <c r="A22" s="17" t="s">
        <v>17</v>
      </c>
      <c r="B22" s="16">
        <v>100696781.18000001</v>
      </c>
      <c r="C22" s="16">
        <v>0</v>
      </c>
      <c r="D22" s="16">
        <v>2668004.9064206053</v>
      </c>
      <c r="E22" s="16">
        <v>0</v>
      </c>
      <c r="F22" s="16">
        <v>530441.69999999995</v>
      </c>
      <c r="G22" s="16">
        <v>272012.98</v>
      </c>
      <c r="H22" s="16">
        <v>5005918.99</v>
      </c>
      <c r="I22" s="16">
        <v>981827.82</v>
      </c>
      <c r="J22" s="16">
        <v>8510391.9699999969</v>
      </c>
      <c r="K22" s="16">
        <v>0</v>
      </c>
      <c r="L22" s="16">
        <v>0</v>
      </c>
      <c r="M22" s="16">
        <v>21532.329999999994</v>
      </c>
      <c r="N22" s="18">
        <f t="shared" si="0"/>
        <v>118686911.8764206</v>
      </c>
      <c r="O22" s="4"/>
    </row>
    <row r="23" spans="1:15" ht="15" x14ac:dyDescent="0.2">
      <c r="A23" s="17" t="s">
        <v>18</v>
      </c>
      <c r="B23" s="16">
        <v>101797272.94</v>
      </c>
      <c r="C23" s="16">
        <v>0</v>
      </c>
      <c r="D23" s="16">
        <v>1761207.7672963771</v>
      </c>
      <c r="E23" s="16">
        <v>0</v>
      </c>
      <c r="F23" s="16">
        <v>508415.19</v>
      </c>
      <c r="G23" s="16">
        <v>329148.13</v>
      </c>
      <c r="H23" s="16">
        <v>5060627.5199999996</v>
      </c>
      <c r="I23" s="16">
        <v>941057.57</v>
      </c>
      <c r="J23" s="16">
        <v>6985029.0399999982</v>
      </c>
      <c r="K23" s="16">
        <v>0</v>
      </c>
      <c r="L23" s="16">
        <v>0</v>
      </c>
      <c r="M23" s="16">
        <v>20638.179999999993</v>
      </c>
      <c r="N23" s="18">
        <f t="shared" si="0"/>
        <v>117403396.33729635</v>
      </c>
      <c r="O23" s="4"/>
    </row>
    <row r="24" spans="1:15" ht="15" x14ac:dyDescent="0.2">
      <c r="A24" s="17" t="s">
        <v>19</v>
      </c>
      <c r="B24" s="16">
        <v>31144273.609999999</v>
      </c>
      <c r="C24" s="16">
        <v>0</v>
      </c>
      <c r="D24" s="16">
        <v>1027301.8533600161</v>
      </c>
      <c r="E24" s="16">
        <v>0</v>
      </c>
      <c r="F24" s="16">
        <v>528636.25</v>
      </c>
      <c r="G24" s="16">
        <v>48469.8922273145</v>
      </c>
      <c r="H24" s="16">
        <v>1548269.06</v>
      </c>
      <c r="I24" s="16">
        <v>978486</v>
      </c>
      <c r="J24" s="16">
        <v>5672911.0300000012</v>
      </c>
      <c r="K24" s="16">
        <v>0</v>
      </c>
      <c r="L24" s="16">
        <v>0</v>
      </c>
      <c r="M24" s="16">
        <v>21459.040000000005</v>
      </c>
      <c r="N24" s="18">
        <f t="shared" si="0"/>
        <v>40969806.735587329</v>
      </c>
      <c r="O24" s="4"/>
    </row>
    <row r="25" spans="1:15" ht="15" x14ac:dyDescent="0.2">
      <c r="A25" s="17" t="s">
        <v>20</v>
      </c>
      <c r="B25" s="16">
        <v>139462317.55000001</v>
      </c>
      <c r="C25" s="16">
        <v>0</v>
      </c>
      <c r="D25" s="16">
        <v>1274026.6133989419</v>
      </c>
      <c r="E25" s="16">
        <v>0</v>
      </c>
      <c r="F25" s="16">
        <v>2344559.5499999998</v>
      </c>
      <c r="G25" s="16">
        <v>751451.38</v>
      </c>
      <c r="H25" s="16">
        <v>6933062.3700000001</v>
      </c>
      <c r="I25" s="16">
        <v>4339692.33</v>
      </c>
      <c r="J25" s="16">
        <v>13822694.560000004</v>
      </c>
      <c r="K25" s="16">
        <v>0</v>
      </c>
      <c r="L25" s="16">
        <v>0</v>
      </c>
      <c r="M25" s="16">
        <v>95173.450000000012</v>
      </c>
      <c r="N25" s="18">
        <f t="shared" si="0"/>
        <v>169022977.80339897</v>
      </c>
      <c r="O25" s="4"/>
    </row>
    <row r="26" spans="1:15" ht="15" x14ac:dyDescent="0.2">
      <c r="A26" s="17" t="s">
        <v>21</v>
      </c>
      <c r="B26" s="16">
        <v>51596269.600000001</v>
      </c>
      <c r="C26" s="16">
        <v>0</v>
      </c>
      <c r="D26" s="16">
        <v>1171008.1514442561</v>
      </c>
      <c r="E26" s="16">
        <v>0</v>
      </c>
      <c r="F26" s="16">
        <v>1066299.76</v>
      </c>
      <c r="G26" s="16">
        <v>412366.71</v>
      </c>
      <c r="H26" s="16">
        <v>2564995.06</v>
      </c>
      <c r="I26" s="16">
        <v>1973681.11</v>
      </c>
      <c r="J26" s="16">
        <v>9250981.9500000011</v>
      </c>
      <c r="K26" s="16">
        <v>0</v>
      </c>
      <c r="L26" s="16">
        <v>0</v>
      </c>
      <c r="M26" s="16">
        <v>43284.619999999995</v>
      </c>
      <c r="N26" s="18">
        <f t="shared" si="0"/>
        <v>68078886.961444259</v>
      </c>
      <c r="O26" s="4"/>
    </row>
    <row r="27" spans="1:15" ht="15" x14ac:dyDescent="0.2">
      <c r="A27" s="17" t="s">
        <v>22</v>
      </c>
      <c r="B27" s="16">
        <v>26622610.290000003</v>
      </c>
      <c r="C27" s="16">
        <v>0</v>
      </c>
      <c r="D27" s="16">
        <v>731726.23403844703</v>
      </c>
      <c r="E27" s="16">
        <v>0</v>
      </c>
      <c r="F27" s="16">
        <v>265040.3</v>
      </c>
      <c r="G27" s="16">
        <v>115512.36</v>
      </c>
      <c r="H27" s="16">
        <v>1323484.52</v>
      </c>
      <c r="I27" s="16">
        <v>490579.73</v>
      </c>
      <c r="J27" s="16">
        <v>2705827.7499999991</v>
      </c>
      <c r="K27" s="16">
        <v>0</v>
      </c>
      <c r="L27" s="16">
        <v>0</v>
      </c>
      <c r="M27" s="16">
        <v>10758.8</v>
      </c>
      <c r="N27" s="18">
        <f t="shared" si="0"/>
        <v>32265539.98403845</v>
      </c>
      <c r="O27" s="4"/>
    </row>
    <row r="28" spans="1:15" ht="15" x14ac:dyDescent="0.2">
      <c r="A28" s="17" t="s">
        <v>23</v>
      </c>
      <c r="B28" s="16">
        <v>87841036.700000003</v>
      </c>
      <c r="C28" s="16">
        <v>0</v>
      </c>
      <c r="D28" s="16">
        <v>2113264.8407584792</v>
      </c>
      <c r="E28" s="16">
        <v>0</v>
      </c>
      <c r="F28" s="16">
        <v>365062.33</v>
      </c>
      <c r="G28" s="16">
        <v>176373.71</v>
      </c>
      <c r="H28" s="16">
        <v>4366823.93</v>
      </c>
      <c r="I28" s="16">
        <v>675716.76</v>
      </c>
      <c r="J28" s="16">
        <v>5424363.2199999979</v>
      </c>
      <c r="K28" s="16">
        <v>0</v>
      </c>
      <c r="L28" s="16">
        <v>0</v>
      </c>
      <c r="M28" s="16">
        <v>14819.029999999999</v>
      </c>
      <c r="N28" s="18">
        <f t="shared" si="0"/>
        <v>100977460.52075846</v>
      </c>
      <c r="O28" s="4"/>
    </row>
    <row r="29" spans="1:15" ht="15" x14ac:dyDescent="0.2">
      <c r="A29" s="17" t="s">
        <v>24</v>
      </c>
      <c r="B29" s="16">
        <v>52348391.370000005</v>
      </c>
      <c r="C29" s="16">
        <v>0</v>
      </c>
      <c r="D29" s="16">
        <v>1841050.3981327082</v>
      </c>
      <c r="E29" s="16">
        <v>0</v>
      </c>
      <c r="F29" s="16">
        <v>227848</v>
      </c>
      <c r="G29" s="16">
        <v>91913.06</v>
      </c>
      <c r="H29" s="16">
        <v>2602385.14</v>
      </c>
      <c r="I29" s="16">
        <v>421738.16</v>
      </c>
      <c r="J29" s="16">
        <v>4860195.91</v>
      </c>
      <c r="K29" s="16">
        <v>0</v>
      </c>
      <c r="L29" s="16">
        <v>0</v>
      </c>
      <c r="M29" s="16">
        <v>9249.0400000000009</v>
      </c>
      <c r="N29" s="18">
        <f t="shared" si="0"/>
        <v>62402771.078132711</v>
      </c>
      <c r="O29" s="4"/>
    </row>
    <row r="30" spans="1:15" ht="15" x14ac:dyDescent="0.2">
      <c r="A30" s="17" t="s">
        <v>25</v>
      </c>
      <c r="B30" s="16">
        <v>18020552.210000001</v>
      </c>
      <c r="C30" s="16">
        <v>0</v>
      </c>
      <c r="D30" s="16">
        <v>1208298.9106389901</v>
      </c>
      <c r="E30" s="16">
        <v>0</v>
      </c>
      <c r="F30" s="16">
        <v>196794.23</v>
      </c>
      <c r="G30" s="16">
        <v>116754.43</v>
      </c>
      <c r="H30" s="16">
        <v>895852.12</v>
      </c>
      <c r="I30" s="16">
        <v>364258.79</v>
      </c>
      <c r="J30" s="16">
        <v>3677076.0599999982</v>
      </c>
      <c r="K30" s="16">
        <v>0</v>
      </c>
      <c r="L30" s="16">
        <v>0</v>
      </c>
      <c r="M30" s="16">
        <v>7988.4600000000009</v>
      </c>
      <c r="N30" s="18">
        <f t="shared" si="0"/>
        <v>24487575.210638992</v>
      </c>
      <c r="O30" s="4"/>
    </row>
    <row r="31" spans="1:15" ht="15" x14ac:dyDescent="0.2">
      <c r="A31" s="17" t="s">
        <v>26</v>
      </c>
      <c r="B31" s="16">
        <v>32987954.609999999</v>
      </c>
      <c r="C31" s="16">
        <v>0</v>
      </c>
      <c r="D31" s="16">
        <v>916821.1625163391</v>
      </c>
      <c r="E31" s="16">
        <v>0</v>
      </c>
      <c r="F31" s="16">
        <v>235069.8</v>
      </c>
      <c r="G31" s="16">
        <v>65829.63</v>
      </c>
      <c r="H31" s="16">
        <v>1639923.61</v>
      </c>
      <c r="I31" s="16">
        <v>435105.45</v>
      </c>
      <c r="J31" s="16">
        <v>2604606.899999999</v>
      </c>
      <c r="K31" s="16">
        <v>0</v>
      </c>
      <c r="L31" s="16">
        <v>0</v>
      </c>
      <c r="M31" s="16">
        <v>9542.2000000000007</v>
      </c>
      <c r="N31" s="18">
        <f t="shared" si="0"/>
        <v>38894853.362516344</v>
      </c>
      <c r="O31" s="4"/>
    </row>
    <row r="32" spans="1:15" ht="15" x14ac:dyDescent="0.2">
      <c r="A32" s="17" t="s">
        <v>27</v>
      </c>
      <c r="B32" s="16">
        <v>150820964.48999998</v>
      </c>
      <c r="C32" s="16">
        <v>0</v>
      </c>
      <c r="D32" s="16">
        <v>2529349.2191358302</v>
      </c>
      <c r="E32" s="16">
        <v>0</v>
      </c>
      <c r="F32" s="16">
        <v>693293.44</v>
      </c>
      <c r="G32" s="16">
        <v>387525.34</v>
      </c>
      <c r="H32" s="16">
        <v>7497732.5199999996</v>
      </c>
      <c r="I32" s="16">
        <v>1283260.32</v>
      </c>
      <c r="J32" s="16">
        <v>8405728.799999997</v>
      </c>
      <c r="K32" s="16">
        <v>0</v>
      </c>
      <c r="L32" s="16">
        <v>0</v>
      </c>
      <c r="M32" s="16">
        <v>28143.040000000001</v>
      </c>
      <c r="N32" s="18">
        <f t="shared" si="0"/>
        <v>171645997.16913578</v>
      </c>
      <c r="O32" s="4"/>
    </row>
    <row r="33" spans="1:15" ht="15" x14ac:dyDescent="0.2">
      <c r="A33" s="17" t="s">
        <v>28</v>
      </c>
      <c r="B33" s="16">
        <v>97523934.839999974</v>
      </c>
      <c r="C33" s="16">
        <v>0</v>
      </c>
      <c r="D33" s="16">
        <v>2397445.8429511571</v>
      </c>
      <c r="E33" s="16">
        <v>0</v>
      </c>
      <c r="F33" s="16">
        <v>508776.28</v>
      </c>
      <c r="G33" s="16">
        <v>290644.01</v>
      </c>
      <c r="H33" s="16">
        <v>4848187.92</v>
      </c>
      <c r="I33" s="16">
        <v>941725.93</v>
      </c>
      <c r="J33" s="16">
        <v>7883877.1299999962</v>
      </c>
      <c r="K33" s="16">
        <v>0</v>
      </c>
      <c r="L33" s="16">
        <v>0</v>
      </c>
      <c r="M33" s="16">
        <v>20652.87</v>
      </c>
      <c r="N33" s="18">
        <f t="shared" si="0"/>
        <v>114415244.82295115</v>
      </c>
      <c r="O33" s="4"/>
    </row>
    <row r="34" spans="1:15" ht="15" x14ac:dyDescent="0.2">
      <c r="A34" s="17" t="s">
        <v>29</v>
      </c>
      <c r="B34" s="16">
        <v>135973258.47</v>
      </c>
      <c r="C34" s="16">
        <v>0</v>
      </c>
      <c r="D34" s="16">
        <v>2403756.4565484701</v>
      </c>
      <c r="E34" s="16">
        <v>0</v>
      </c>
      <c r="F34" s="16">
        <v>739874.09</v>
      </c>
      <c r="G34" s="16">
        <v>510490.11</v>
      </c>
      <c r="H34" s="16">
        <v>6759611.4699999997</v>
      </c>
      <c r="I34" s="16">
        <v>1369479.38</v>
      </c>
      <c r="J34" s="16">
        <v>10172773.169999994</v>
      </c>
      <c r="K34" s="16">
        <v>0</v>
      </c>
      <c r="L34" s="16">
        <v>0</v>
      </c>
      <c r="M34" s="16">
        <v>30033.890000000003</v>
      </c>
      <c r="N34" s="18">
        <f t="shared" si="0"/>
        <v>157959277.03654847</v>
      </c>
      <c r="O34" s="4"/>
    </row>
    <row r="35" spans="1:15" ht="15" x14ac:dyDescent="0.2">
      <c r="A35" s="17" t="s">
        <v>30</v>
      </c>
      <c r="B35" s="16">
        <v>65516775.560000002</v>
      </c>
      <c r="C35" s="16">
        <v>0</v>
      </c>
      <c r="D35" s="16">
        <v>1263342.56511053</v>
      </c>
      <c r="E35" s="16">
        <v>0</v>
      </c>
      <c r="F35" s="16">
        <v>462556.72</v>
      </c>
      <c r="G35" s="16">
        <v>197488.88</v>
      </c>
      <c r="H35" s="16">
        <v>3257022.39</v>
      </c>
      <c r="I35" s="16">
        <v>856175.25</v>
      </c>
      <c r="J35" s="16">
        <v>3719959.3299999991</v>
      </c>
      <c r="K35" s="16">
        <v>0</v>
      </c>
      <c r="L35" s="16">
        <v>0</v>
      </c>
      <c r="M35" s="16">
        <v>18776.630000000005</v>
      </c>
      <c r="N35" s="18">
        <f t="shared" si="0"/>
        <v>75292097.325110525</v>
      </c>
      <c r="O35" s="4"/>
    </row>
    <row r="36" spans="1:15" ht="15" x14ac:dyDescent="0.2">
      <c r="A36" s="17" t="s">
        <v>31</v>
      </c>
      <c r="B36" s="16">
        <v>70572606.140000001</v>
      </c>
      <c r="C36" s="16">
        <v>0</v>
      </c>
      <c r="D36" s="16">
        <v>1533021.3654374611</v>
      </c>
      <c r="E36" s="16">
        <v>0</v>
      </c>
      <c r="F36" s="16">
        <v>291038.81</v>
      </c>
      <c r="G36" s="16">
        <v>125448.91</v>
      </c>
      <c r="H36" s="16">
        <v>3508361.89</v>
      </c>
      <c r="I36" s="16">
        <v>538701.99</v>
      </c>
      <c r="J36" s="16">
        <v>4871090.7100000018</v>
      </c>
      <c r="K36" s="16">
        <v>0</v>
      </c>
      <c r="L36" s="16">
        <v>0</v>
      </c>
      <c r="M36" s="16">
        <v>11814.160000000002</v>
      </c>
      <c r="N36" s="18">
        <f t="shared" si="0"/>
        <v>81452083.975437462</v>
      </c>
      <c r="O36" s="4"/>
    </row>
    <row r="37" spans="1:15" ht="15" x14ac:dyDescent="0.2">
      <c r="A37" s="17" t="s">
        <v>32</v>
      </c>
      <c r="B37" s="16">
        <v>78381452.609999999</v>
      </c>
      <c r="C37" s="16">
        <v>0</v>
      </c>
      <c r="D37" s="16">
        <v>2354151.6621264284</v>
      </c>
      <c r="E37" s="16">
        <v>0</v>
      </c>
      <c r="F37" s="16">
        <v>539830.05000000005</v>
      </c>
      <c r="G37" s="16">
        <v>182584.06</v>
      </c>
      <c r="H37" s="16">
        <v>3896561.52</v>
      </c>
      <c r="I37" s="16">
        <v>999205.3</v>
      </c>
      <c r="J37" s="16">
        <v>6289318.5600000005</v>
      </c>
      <c r="K37" s="16">
        <v>0</v>
      </c>
      <c r="L37" s="16">
        <v>0</v>
      </c>
      <c r="M37" s="16">
        <v>21913.43</v>
      </c>
      <c r="N37" s="18">
        <f t="shared" si="0"/>
        <v>92665017.192126423</v>
      </c>
      <c r="O37" s="4"/>
    </row>
    <row r="38" spans="1:15" ht="15" x14ac:dyDescent="0.2">
      <c r="A38" s="17" t="s">
        <v>33</v>
      </c>
      <c r="B38" s="16">
        <v>71723120.260000005</v>
      </c>
      <c r="C38" s="16">
        <v>0</v>
      </c>
      <c r="D38" s="16">
        <v>487152.84981529112</v>
      </c>
      <c r="E38" s="16">
        <v>0</v>
      </c>
      <c r="F38" s="16">
        <v>482416.68</v>
      </c>
      <c r="G38" s="16">
        <v>494343.22</v>
      </c>
      <c r="H38" s="16">
        <v>3565557.17</v>
      </c>
      <c r="I38" s="16">
        <v>892935.31</v>
      </c>
      <c r="J38" s="16">
        <v>10411067.099999996</v>
      </c>
      <c r="K38" s="16">
        <v>0</v>
      </c>
      <c r="L38" s="16">
        <v>0</v>
      </c>
      <c r="M38" s="16">
        <v>19582.839999999997</v>
      </c>
      <c r="N38" s="18">
        <f t="shared" si="0"/>
        <v>88076175.429815307</v>
      </c>
      <c r="O38" s="4"/>
    </row>
    <row r="39" spans="1:15" ht="15" x14ac:dyDescent="0.2">
      <c r="A39" s="17" t="s">
        <v>34</v>
      </c>
      <c r="B39" s="16">
        <v>118717333.53</v>
      </c>
      <c r="C39" s="16">
        <v>0</v>
      </c>
      <c r="D39" s="16">
        <v>2811822.5589058795</v>
      </c>
      <c r="E39" s="16">
        <v>0</v>
      </c>
      <c r="F39" s="16">
        <v>614575.75</v>
      </c>
      <c r="G39" s="16">
        <v>304306.76</v>
      </c>
      <c r="H39" s="16">
        <v>5901771.1200000001</v>
      </c>
      <c r="I39" s="16">
        <v>1137556.81</v>
      </c>
      <c r="J39" s="16">
        <v>8867063.9399999976</v>
      </c>
      <c r="K39" s="16">
        <v>0</v>
      </c>
      <c r="L39" s="16">
        <v>0</v>
      </c>
      <c r="M39" s="16">
        <v>24947.62</v>
      </c>
      <c r="N39" s="18">
        <f t="shared" si="0"/>
        <v>138379378.0889059</v>
      </c>
      <c r="O39" s="4"/>
    </row>
    <row r="40" spans="1:15" ht="15" x14ac:dyDescent="0.2">
      <c r="A40" s="17" t="s">
        <v>35</v>
      </c>
      <c r="B40" s="16">
        <v>79533753.220000014</v>
      </c>
      <c r="C40" s="16">
        <v>0</v>
      </c>
      <c r="D40" s="16">
        <v>2254636.1836606534</v>
      </c>
      <c r="E40" s="16">
        <v>0</v>
      </c>
      <c r="F40" s="16">
        <v>328231.11</v>
      </c>
      <c r="G40" s="16">
        <v>134143.39000000001</v>
      </c>
      <c r="H40" s="16">
        <v>3953845.61</v>
      </c>
      <c r="I40" s="16">
        <v>607543.56000000006</v>
      </c>
      <c r="J40" s="16">
        <v>4934646.78</v>
      </c>
      <c r="K40" s="16">
        <v>0</v>
      </c>
      <c r="L40" s="16">
        <v>0</v>
      </c>
      <c r="M40" s="16">
        <v>13323.9</v>
      </c>
      <c r="N40" s="18">
        <f t="shared" ref="N40:N71" si="1">SUM(B40:M40)</f>
        <v>91760123.753660679</v>
      </c>
      <c r="O40" s="4"/>
    </row>
    <row r="41" spans="1:15" ht="15" x14ac:dyDescent="0.2">
      <c r="A41" s="17" t="s">
        <v>36</v>
      </c>
      <c r="B41" s="16">
        <v>82406465.460000008</v>
      </c>
      <c r="C41" s="16">
        <v>0</v>
      </c>
      <c r="D41" s="16">
        <v>1016679.4608042362</v>
      </c>
      <c r="E41" s="16">
        <v>0</v>
      </c>
      <c r="F41" s="16">
        <v>555718.02</v>
      </c>
      <c r="G41" s="16">
        <v>214877.83</v>
      </c>
      <c r="H41" s="16">
        <v>4096656.18</v>
      </c>
      <c r="I41" s="16">
        <v>1028613.35</v>
      </c>
      <c r="J41" s="16">
        <v>5006936.97</v>
      </c>
      <c r="K41" s="16">
        <v>0</v>
      </c>
      <c r="L41" s="16">
        <v>0</v>
      </c>
      <c r="M41" s="16">
        <v>22558.38</v>
      </c>
      <c r="N41" s="18">
        <f t="shared" si="1"/>
        <v>94348505.650804237</v>
      </c>
      <c r="O41" s="4"/>
    </row>
    <row r="42" spans="1:15" ht="15" x14ac:dyDescent="0.2">
      <c r="A42" s="17" t="s">
        <v>37</v>
      </c>
      <c r="B42" s="16">
        <v>50767327.75</v>
      </c>
      <c r="C42" s="16">
        <v>0</v>
      </c>
      <c r="D42" s="16">
        <v>397785.59014629794</v>
      </c>
      <c r="E42" s="16">
        <v>0</v>
      </c>
      <c r="F42" s="16">
        <v>1509357.6</v>
      </c>
      <c r="G42" s="16">
        <v>0</v>
      </c>
      <c r="H42" s="16">
        <v>2523786.04</v>
      </c>
      <c r="I42" s="16">
        <v>2793764.66</v>
      </c>
      <c r="J42" s="16">
        <v>7802431.7700000014</v>
      </c>
      <c r="K42" s="16">
        <v>0</v>
      </c>
      <c r="L42" s="16">
        <v>0</v>
      </c>
      <c r="M42" s="16">
        <v>61269.83</v>
      </c>
      <c r="N42" s="18">
        <f t="shared" si="1"/>
        <v>65855723.240146302</v>
      </c>
      <c r="O42" s="4"/>
    </row>
    <row r="43" spans="1:15" ht="15" x14ac:dyDescent="0.2">
      <c r="A43" s="17" t="s">
        <v>38</v>
      </c>
      <c r="B43" s="16">
        <v>183006775.06999999</v>
      </c>
      <c r="C43" s="16">
        <v>0</v>
      </c>
      <c r="D43" s="16">
        <v>1790748.412434746</v>
      </c>
      <c r="E43" s="16">
        <v>0</v>
      </c>
      <c r="F43" s="16">
        <v>6276472.2300000004</v>
      </c>
      <c r="G43" s="16">
        <v>1697907.51</v>
      </c>
      <c r="H43" s="16">
        <v>9097779.2899999991</v>
      </c>
      <c r="I43" s="16">
        <v>11617516.109999999</v>
      </c>
      <c r="J43" s="16">
        <v>24152444.609999999</v>
      </c>
      <c r="K43" s="16">
        <v>0</v>
      </c>
      <c r="L43" s="16">
        <v>0</v>
      </c>
      <c r="M43" s="16">
        <v>254782.96999999997</v>
      </c>
      <c r="N43" s="18">
        <f t="shared" si="1"/>
        <v>237894426.20243475</v>
      </c>
      <c r="O43" s="4"/>
    </row>
    <row r="44" spans="1:15" ht="15" x14ac:dyDescent="0.2">
      <c r="A44" s="17" t="s">
        <v>39</v>
      </c>
      <c r="B44" s="16">
        <v>263247987.34</v>
      </c>
      <c r="C44" s="16">
        <v>0</v>
      </c>
      <c r="D44" s="16">
        <v>1482014.9660247131</v>
      </c>
      <c r="E44" s="16">
        <v>0</v>
      </c>
      <c r="F44" s="16">
        <v>7897406.75</v>
      </c>
      <c r="G44" s="16">
        <v>3127926.4597049151</v>
      </c>
      <c r="H44" s="16">
        <v>13086794.67</v>
      </c>
      <c r="I44" s="16">
        <v>14617805.48</v>
      </c>
      <c r="J44" s="16">
        <v>31351707.45999999</v>
      </c>
      <c r="K44" s="16">
        <v>0</v>
      </c>
      <c r="L44" s="16">
        <v>0</v>
      </c>
      <c r="M44" s="16">
        <v>320582.2</v>
      </c>
      <c r="N44" s="18">
        <f t="shared" si="1"/>
        <v>335132225.32572967</v>
      </c>
      <c r="O44" s="4"/>
    </row>
    <row r="45" spans="1:15" ht="15" x14ac:dyDescent="0.2">
      <c r="A45" s="17" t="s">
        <v>40</v>
      </c>
      <c r="B45" s="16">
        <v>74697663.680000007</v>
      </c>
      <c r="C45" s="16">
        <v>0</v>
      </c>
      <c r="D45" s="16">
        <v>1205957.688439996</v>
      </c>
      <c r="E45" s="16">
        <v>0</v>
      </c>
      <c r="F45" s="16">
        <v>588216.15</v>
      </c>
      <c r="G45" s="16">
        <v>237235.07</v>
      </c>
      <c r="H45" s="16">
        <v>3713430.05</v>
      </c>
      <c r="I45" s="16">
        <v>1088766.18</v>
      </c>
      <c r="J45" s="16">
        <v>4697066.8600000003</v>
      </c>
      <c r="K45" s="16">
        <v>0</v>
      </c>
      <c r="L45" s="16">
        <v>0</v>
      </c>
      <c r="M45" s="16">
        <v>23877.590000000007</v>
      </c>
      <c r="N45" s="18">
        <f t="shared" si="1"/>
        <v>86252213.268440008</v>
      </c>
      <c r="O45" s="4"/>
    </row>
    <row r="46" spans="1:15" ht="15" x14ac:dyDescent="0.2">
      <c r="A46" s="17" t="s">
        <v>41</v>
      </c>
      <c r="B46" s="16">
        <v>116396653.71000001</v>
      </c>
      <c r="C46" s="16">
        <v>0</v>
      </c>
      <c r="D46" s="16">
        <v>883801.53602471296</v>
      </c>
      <c r="E46" s="16">
        <v>0</v>
      </c>
      <c r="F46" s="16">
        <v>4639649.7300000004</v>
      </c>
      <c r="G46" s="16">
        <v>423883.0866117035</v>
      </c>
      <c r="H46" s="16">
        <v>5786403.6200000001</v>
      </c>
      <c r="I46" s="16">
        <v>8587818.6899999995</v>
      </c>
      <c r="J46" s="16">
        <v>20950436.439999994</v>
      </c>
      <c r="K46" s="16">
        <v>0</v>
      </c>
      <c r="L46" s="16">
        <v>0</v>
      </c>
      <c r="M46" s="16">
        <v>188338.87999999998</v>
      </c>
      <c r="N46" s="18">
        <f t="shared" si="1"/>
        <v>157856985.69263643</v>
      </c>
      <c r="O46" s="4"/>
    </row>
    <row r="47" spans="1:15" ht="15" x14ac:dyDescent="0.2">
      <c r="A47" s="17" t="s">
        <v>42</v>
      </c>
      <c r="B47" s="16">
        <v>346286878.35000002</v>
      </c>
      <c r="C47" s="16">
        <v>0</v>
      </c>
      <c r="D47" s="16">
        <v>1259283.4781858113</v>
      </c>
      <c r="E47" s="16">
        <v>0</v>
      </c>
      <c r="F47" s="16">
        <v>14463834.52</v>
      </c>
      <c r="G47" s="16">
        <v>3459930.2472565365</v>
      </c>
      <c r="H47" s="16">
        <v>17214890.48</v>
      </c>
      <c r="I47" s="16">
        <v>26772018.48</v>
      </c>
      <c r="J47" s="16">
        <v>48406915.629999988</v>
      </c>
      <c r="K47" s="16">
        <v>0</v>
      </c>
      <c r="L47" s="16">
        <v>0</v>
      </c>
      <c r="M47" s="16">
        <v>587135.50000000012</v>
      </c>
      <c r="N47" s="18">
        <f t="shared" si="1"/>
        <v>458450886.68544239</v>
      </c>
      <c r="O47" s="4"/>
    </row>
    <row r="48" spans="1:15" ht="15" x14ac:dyDescent="0.2">
      <c r="A48" s="17" t="s">
        <v>43</v>
      </c>
      <c r="B48" s="16">
        <v>37865133.939999998</v>
      </c>
      <c r="C48" s="16">
        <v>0</v>
      </c>
      <c r="D48" s="16">
        <v>813919.57233846118</v>
      </c>
      <c r="E48" s="16">
        <v>0</v>
      </c>
      <c r="F48" s="16">
        <v>125659.43</v>
      </c>
      <c r="G48" s="16">
        <v>70797.899999999994</v>
      </c>
      <c r="H48" s="16">
        <v>1882381.85</v>
      </c>
      <c r="I48" s="16">
        <v>232590.93</v>
      </c>
      <c r="J48" s="16">
        <v>2642491.5299999998</v>
      </c>
      <c r="K48" s="16">
        <v>0</v>
      </c>
      <c r="L48" s="16">
        <v>0</v>
      </c>
      <c r="M48" s="16">
        <v>5100.87</v>
      </c>
      <c r="N48" s="18">
        <f t="shared" si="1"/>
        <v>43638076.022338457</v>
      </c>
      <c r="O48" s="4"/>
    </row>
    <row r="49" spans="1:15" ht="15" x14ac:dyDescent="0.2">
      <c r="A49" s="17" t="s">
        <v>44</v>
      </c>
      <c r="B49" s="16">
        <v>61625751.170000002</v>
      </c>
      <c r="C49" s="16">
        <v>0</v>
      </c>
      <c r="D49" s="16">
        <v>1550878.7391868732</v>
      </c>
      <c r="E49" s="16">
        <v>0</v>
      </c>
      <c r="F49" s="16">
        <v>742040.64</v>
      </c>
      <c r="G49" s="16">
        <v>314243.31</v>
      </c>
      <c r="H49" s="16">
        <v>3063588.68</v>
      </c>
      <c r="I49" s="16">
        <v>1373489.56</v>
      </c>
      <c r="J49" s="16">
        <v>6143438.0799999991</v>
      </c>
      <c r="K49" s="16">
        <v>0</v>
      </c>
      <c r="L49" s="16">
        <v>0</v>
      </c>
      <c r="M49" s="16">
        <v>30121.839999999993</v>
      </c>
      <c r="N49" s="18">
        <f t="shared" si="1"/>
        <v>74843552.019186884</v>
      </c>
      <c r="O49" s="4"/>
    </row>
    <row r="50" spans="1:15" ht="15" x14ac:dyDescent="0.2">
      <c r="A50" s="17" t="s">
        <v>45</v>
      </c>
      <c r="B50" s="16">
        <v>49050489.170000002</v>
      </c>
      <c r="C50" s="16">
        <v>0</v>
      </c>
      <c r="D50" s="16">
        <v>1254012.4466884523</v>
      </c>
      <c r="E50" s="16">
        <v>0</v>
      </c>
      <c r="F50" s="16">
        <v>207988.03</v>
      </c>
      <c r="G50" s="16">
        <v>88186.86</v>
      </c>
      <c r="H50" s="16">
        <v>2438437.1800000002</v>
      </c>
      <c r="I50" s="16">
        <v>384978.1</v>
      </c>
      <c r="J50" s="16">
        <v>4425118.120000001</v>
      </c>
      <c r="K50" s="16">
        <v>0</v>
      </c>
      <c r="L50" s="16">
        <v>0</v>
      </c>
      <c r="M50" s="16">
        <v>8442.8599999999988</v>
      </c>
      <c r="N50" s="18">
        <f t="shared" si="1"/>
        <v>57857652.766688451</v>
      </c>
      <c r="O50" s="4"/>
    </row>
    <row r="51" spans="1:15" ht="15" x14ac:dyDescent="0.2">
      <c r="A51" s="17" t="s">
        <v>46</v>
      </c>
      <c r="B51" s="16">
        <v>48368041.330000006</v>
      </c>
      <c r="C51" s="16">
        <v>0</v>
      </c>
      <c r="D51" s="16">
        <v>1484360.4173668833</v>
      </c>
      <c r="E51" s="16">
        <v>0</v>
      </c>
      <c r="F51" s="16">
        <v>259262.86</v>
      </c>
      <c r="G51" s="16">
        <v>117996.5</v>
      </c>
      <c r="H51" s="16">
        <v>2404510.79</v>
      </c>
      <c r="I51" s="16">
        <v>479885.89</v>
      </c>
      <c r="J51" s="16">
        <v>3069567.4899999988</v>
      </c>
      <c r="K51" s="16">
        <v>0</v>
      </c>
      <c r="L51" s="16">
        <v>0</v>
      </c>
      <c r="M51" s="16">
        <v>10524.27</v>
      </c>
      <c r="N51" s="18">
        <f t="shared" si="1"/>
        <v>56194149.547366895</v>
      </c>
      <c r="O51" s="4"/>
    </row>
    <row r="52" spans="1:15" ht="15" x14ac:dyDescent="0.2">
      <c r="A52" s="17" t="s">
        <v>47</v>
      </c>
      <c r="B52" s="16">
        <v>52662817.57</v>
      </c>
      <c r="C52" s="16">
        <v>0</v>
      </c>
      <c r="D52" s="16">
        <v>1176987.290734245</v>
      </c>
      <c r="E52" s="16">
        <v>0</v>
      </c>
      <c r="F52" s="16">
        <v>238680.71</v>
      </c>
      <c r="G52" s="16">
        <v>137869.59</v>
      </c>
      <c r="H52" s="16">
        <v>2618016.15</v>
      </c>
      <c r="I52" s="16">
        <v>441789.1</v>
      </c>
      <c r="J52" s="16">
        <v>4119478.0200000014</v>
      </c>
      <c r="K52" s="16">
        <v>0</v>
      </c>
      <c r="L52" s="16">
        <v>0</v>
      </c>
      <c r="M52" s="16">
        <v>9688.7800000000007</v>
      </c>
      <c r="N52" s="18">
        <f t="shared" si="1"/>
        <v>61405327.210734256</v>
      </c>
      <c r="O52" s="4"/>
    </row>
    <row r="53" spans="1:15" ht="15" x14ac:dyDescent="0.2">
      <c r="A53" s="17" t="s">
        <v>48</v>
      </c>
      <c r="B53" s="16">
        <v>18979909.490000002</v>
      </c>
      <c r="C53" s="16">
        <v>0</v>
      </c>
      <c r="D53" s="16">
        <v>1341896.8304595673</v>
      </c>
      <c r="E53" s="16">
        <v>0</v>
      </c>
      <c r="F53" s="16">
        <v>41525.379999999997</v>
      </c>
      <c r="G53" s="16">
        <v>22357.23</v>
      </c>
      <c r="H53" s="16">
        <v>943544.46</v>
      </c>
      <c r="I53" s="16">
        <v>76861.95</v>
      </c>
      <c r="J53" s="16">
        <v>2043881.9199999995</v>
      </c>
      <c r="K53" s="16">
        <v>0</v>
      </c>
      <c r="L53" s="16">
        <v>0</v>
      </c>
      <c r="M53" s="16">
        <v>1685.58</v>
      </c>
      <c r="N53" s="18">
        <f t="shared" si="1"/>
        <v>23451662.840459567</v>
      </c>
      <c r="O53" s="4"/>
    </row>
    <row r="54" spans="1:15" ht="15" x14ac:dyDescent="0.2">
      <c r="A54" s="17" t="s">
        <v>49</v>
      </c>
      <c r="B54" s="16">
        <v>65747235.670000002</v>
      </c>
      <c r="C54" s="16">
        <v>0</v>
      </c>
      <c r="D54" s="16">
        <v>1913971.1588679831</v>
      </c>
      <c r="E54" s="16">
        <v>0</v>
      </c>
      <c r="F54" s="16">
        <v>142630.68</v>
      </c>
      <c r="G54" s="16">
        <v>85702.720000000001</v>
      </c>
      <c r="H54" s="16">
        <v>3268479.21</v>
      </c>
      <c r="I54" s="16">
        <v>264004.08</v>
      </c>
      <c r="J54" s="16">
        <v>4723434.24</v>
      </c>
      <c r="K54" s="16">
        <v>0</v>
      </c>
      <c r="L54" s="16">
        <v>0</v>
      </c>
      <c r="M54" s="16">
        <v>5789.77</v>
      </c>
      <c r="N54" s="18">
        <f t="shared" si="1"/>
        <v>76151247.528867975</v>
      </c>
      <c r="O54" s="4"/>
    </row>
    <row r="55" spans="1:15" ht="15" x14ac:dyDescent="0.2">
      <c r="A55" s="17" t="s">
        <v>50</v>
      </c>
      <c r="B55" s="16">
        <v>24173301.559999999</v>
      </c>
      <c r="C55" s="16">
        <v>0</v>
      </c>
      <c r="D55" s="16">
        <v>757086.31070266513</v>
      </c>
      <c r="E55" s="16">
        <v>0</v>
      </c>
      <c r="F55" s="16">
        <v>263234.84999999998</v>
      </c>
      <c r="G55" s="16">
        <v>117996.5</v>
      </c>
      <c r="H55" s="16">
        <v>1201722.52</v>
      </c>
      <c r="I55" s="16">
        <v>487237.9</v>
      </c>
      <c r="J55" s="16">
        <v>3379126.18</v>
      </c>
      <c r="K55" s="16">
        <v>0</v>
      </c>
      <c r="L55" s="16">
        <v>0</v>
      </c>
      <c r="M55" s="16">
        <v>10685.5</v>
      </c>
      <c r="N55" s="18">
        <f t="shared" si="1"/>
        <v>30390391.320702665</v>
      </c>
      <c r="O55" s="4"/>
    </row>
    <row r="56" spans="1:15" ht="15" x14ac:dyDescent="0.2">
      <c r="A56" s="17" t="s">
        <v>51</v>
      </c>
      <c r="B56" s="16">
        <v>23174641.000000004</v>
      </c>
      <c r="C56" s="16">
        <v>0</v>
      </c>
      <c r="D56" s="16">
        <v>686549.0130737361</v>
      </c>
      <c r="E56" s="16">
        <v>0</v>
      </c>
      <c r="F56" s="16">
        <v>74384.600000000006</v>
      </c>
      <c r="G56" s="16">
        <v>29809.64</v>
      </c>
      <c r="H56" s="16">
        <v>1152076.31</v>
      </c>
      <c r="I56" s="16">
        <v>137683.14000000001</v>
      </c>
      <c r="J56" s="16">
        <v>2748436.53</v>
      </c>
      <c r="K56" s="16">
        <v>0</v>
      </c>
      <c r="L56" s="16">
        <v>0</v>
      </c>
      <c r="M56" s="16">
        <v>3019.44</v>
      </c>
      <c r="N56" s="18">
        <f t="shared" si="1"/>
        <v>28006599.673073743</v>
      </c>
      <c r="O56" s="4"/>
    </row>
    <row r="57" spans="1:15" ht="15" x14ac:dyDescent="0.2">
      <c r="A57" s="17" t="s">
        <v>52</v>
      </c>
      <c r="B57" s="16">
        <v>63932138.890000015</v>
      </c>
      <c r="C57" s="16">
        <v>0</v>
      </c>
      <c r="D57" s="16">
        <v>1436691.7957816152</v>
      </c>
      <c r="E57" s="16">
        <v>0</v>
      </c>
      <c r="F57" s="16">
        <v>382033.57</v>
      </c>
      <c r="G57" s="16">
        <v>156500.62</v>
      </c>
      <c r="H57" s="16">
        <v>3178245.67</v>
      </c>
      <c r="I57" s="16">
        <v>707129.91</v>
      </c>
      <c r="J57" s="16">
        <v>5828221.3599999985</v>
      </c>
      <c r="K57" s="16">
        <v>0</v>
      </c>
      <c r="L57" s="16">
        <v>0</v>
      </c>
      <c r="M57" s="16">
        <v>15507.949999999999</v>
      </c>
      <c r="N57" s="18">
        <f t="shared" si="1"/>
        <v>75636469.765781626</v>
      </c>
      <c r="O57" s="4"/>
    </row>
    <row r="58" spans="1:15" ht="15" x14ac:dyDescent="0.2">
      <c r="A58" s="17" t="s">
        <v>53</v>
      </c>
      <c r="B58" s="16">
        <v>51142495.370000005</v>
      </c>
      <c r="C58" s="16">
        <v>0</v>
      </c>
      <c r="D58" s="16">
        <v>744706.39672737813</v>
      </c>
      <c r="E58" s="16">
        <v>0</v>
      </c>
      <c r="F58" s="16">
        <v>222431.64</v>
      </c>
      <c r="G58" s="16">
        <v>89428.93</v>
      </c>
      <c r="H58" s="16">
        <v>2542436.67</v>
      </c>
      <c r="I58" s="16">
        <v>411712.69</v>
      </c>
      <c r="J58" s="16">
        <v>3263623.0300000017</v>
      </c>
      <c r="K58" s="16">
        <v>0</v>
      </c>
      <c r="L58" s="16">
        <v>0</v>
      </c>
      <c r="M58" s="16">
        <v>9029.1699999999983</v>
      </c>
      <c r="N58" s="18">
        <f t="shared" si="1"/>
        <v>58425863.896727383</v>
      </c>
      <c r="O58" s="4"/>
    </row>
    <row r="59" spans="1:15" ht="15" x14ac:dyDescent="0.2">
      <c r="A59" s="17" t="s">
        <v>54</v>
      </c>
      <c r="B59" s="16">
        <v>56887919.820000008</v>
      </c>
      <c r="C59" s="16">
        <v>0</v>
      </c>
      <c r="D59" s="16">
        <v>1538557.5056479494</v>
      </c>
      <c r="E59" s="16">
        <v>0</v>
      </c>
      <c r="F59" s="16">
        <v>216654.2</v>
      </c>
      <c r="G59" s="16">
        <v>89428.93</v>
      </c>
      <c r="H59" s="16">
        <v>2828057.81</v>
      </c>
      <c r="I59" s="16">
        <v>401018.85</v>
      </c>
      <c r="J59" s="16">
        <v>3827662.2299999986</v>
      </c>
      <c r="K59" s="16">
        <v>0</v>
      </c>
      <c r="L59" s="16">
        <v>0</v>
      </c>
      <c r="M59" s="16">
        <v>8794.65</v>
      </c>
      <c r="N59" s="18">
        <f t="shared" si="1"/>
        <v>65798093.995647959</v>
      </c>
      <c r="O59" s="4"/>
    </row>
    <row r="60" spans="1:15" ht="15" x14ac:dyDescent="0.2">
      <c r="A60" s="17" t="s">
        <v>55</v>
      </c>
      <c r="B60" s="16">
        <v>403337370.92999995</v>
      </c>
      <c r="C60" s="16">
        <v>0</v>
      </c>
      <c r="D60" s="16">
        <v>10991811.924721649</v>
      </c>
      <c r="E60" s="16">
        <v>0</v>
      </c>
      <c r="F60" s="16">
        <v>11917786.560000001</v>
      </c>
      <c r="G60" s="16">
        <v>4921075.05</v>
      </c>
      <c r="H60" s="16">
        <v>20051030.239999998</v>
      </c>
      <c r="I60" s="16">
        <v>22059378.620000001</v>
      </c>
      <c r="J60" s="16">
        <v>62603896.960000023</v>
      </c>
      <c r="K60" s="16">
        <v>0</v>
      </c>
      <c r="L60" s="16">
        <v>0</v>
      </c>
      <c r="M60" s="16">
        <v>483782.87999999995</v>
      </c>
      <c r="N60" s="18">
        <f t="shared" si="1"/>
        <v>536366133.16472167</v>
      </c>
      <c r="O60" s="4"/>
    </row>
    <row r="61" spans="1:15" ht="15" x14ac:dyDescent="0.2">
      <c r="A61" s="17" t="s">
        <v>56</v>
      </c>
      <c r="B61" s="16">
        <v>63063893.809999995</v>
      </c>
      <c r="C61" s="16">
        <v>0</v>
      </c>
      <c r="D61" s="16">
        <v>918088.01400686684</v>
      </c>
      <c r="E61" s="16">
        <v>0</v>
      </c>
      <c r="F61" s="16">
        <v>2127544.2599999998</v>
      </c>
      <c r="G61" s="16">
        <v>470692.02468606253</v>
      </c>
      <c r="H61" s="16">
        <v>3135082.77</v>
      </c>
      <c r="I61" s="16">
        <v>3938005.12</v>
      </c>
      <c r="J61" s="16">
        <v>14710776.160000006</v>
      </c>
      <c r="K61" s="16">
        <v>0</v>
      </c>
      <c r="L61" s="16">
        <v>0</v>
      </c>
      <c r="M61" s="16">
        <v>86364.08</v>
      </c>
      <c r="N61" s="18">
        <f t="shared" si="1"/>
        <v>88450446.238692939</v>
      </c>
      <c r="O61" s="4"/>
    </row>
    <row r="62" spans="1:15" ht="15" x14ac:dyDescent="0.2">
      <c r="A62" s="17" t="s">
        <v>57</v>
      </c>
      <c r="B62" s="16">
        <v>380607571.44999999</v>
      </c>
      <c r="C62" s="16">
        <v>0</v>
      </c>
      <c r="D62" s="16">
        <v>3300704.03</v>
      </c>
      <c r="E62" s="16">
        <v>0</v>
      </c>
      <c r="F62" s="16">
        <v>9539645.5999999996</v>
      </c>
      <c r="G62" s="16">
        <v>0</v>
      </c>
      <c r="H62" s="16">
        <v>18921068.25</v>
      </c>
      <c r="I62" s="16">
        <v>17657528.370000001</v>
      </c>
      <c r="J62" s="16">
        <v>31026951.059999991</v>
      </c>
      <c r="K62" s="16">
        <v>0</v>
      </c>
      <c r="L62" s="16">
        <v>0</v>
      </c>
      <c r="M62" s="16">
        <v>387246.16</v>
      </c>
      <c r="N62" s="18">
        <f t="shared" si="1"/>
        <v>461440714.92000002</v>
      </c>
      <c r="O62" s="4"/>
    </row>
    <row r="63" spans="1:15" ht="15" x14ac:dyDescent="0.2">
      <c r="A63" s="17" t="s">
        <v>58</v>
      </c>
      <c r="B63" s="16">
        <v>57391716.350000001</v>
      </c>
      <c r="C63" s="16">
        <v>0</v>
      </c>
      <c r="D63" s="16">
        <v>1913779.6705932333</v>
      </c>
      <c r="E63" s="16">
        <v>0</v>
      </c>
      <c r="F63" s="16">
        <v>336175.1</v>
      </c>
      <c r="G63" s="16">
        <v>144079.93</v>
      </c>
      <c r="H63" s="16">
        <v>2853102.95</v>
      </c>
      <c r="I63" s="16">
        <v>622247.57999999996</v>
      </c>
      <c r="J63" s="16">
        <v>4363301.67</v>
      </c>
      <c r="K63" s="16">
        <v>0</v>
      </c>
      <c r="L63" s="16">
        <v>0</v>
      </c>
      <c r="M63" s="16">
        <v>13646.400000000001</v>
      </c>
      <c r="N63" s="18">
        <f t="shared" si="1"/>
        <v>67638049.650593236</v>
      </c>
      <c r="O63" s="4"/>
    </row>
    <row r="64" spans="1:15" ht="15" x14ac:dyDescent="0.2">
      <c r="A64" s="17" t="s">
        <v>59</v>
      </c>
      <c r="B64" s="16">
        <v>121566821.10999998</v>
      </c>
      <c r="C64" s="16">
        <v>0</v>
      </c>
      <c r="D64" s="16">
        <v>4907681.9177364819</v>
      </c>
      <c r="E64" s="16">
        <v>0</v>
      </c>
      <c r="F64" s="16">
        <v>615297.93000000005</v>
      </c>
      <c r="G64" s="16">
        <v>245929.54</v>
      </c>
      <c r="H64" s="16">
        <v>6043427.1200000001</v>
      </c>
      <c r="I64" s="16">
        <v>1138893.54</v>
      </c>
      <c r="J64" s="16">
        <v>9097227.9299999997</v>
      </c>
      <c r="K64" s="16">
        <v>0</v>
      </c>
      <c r="L64" s="16">
        <v>0</v>
      </c>
      <c r="M64" s="16">
        <v>24976.940000000002</v>
      </c>
      <c r="N64" s="18">
        <f t="shared" si="1"/>
        <v>143640256.02773649</v>
      </c>
      <c r="O64" s="4"/>
    </row>
    <row r="65" spans="1:15" ht="15" x14ac:dyDescent="0.2">
      <c r="A65" s="17" t="s">
        <v>60</v>
      </c>
      <c r="B65" s="16">
        <v>66629772.869999997</v>
      </c>
      <c r="C65" s="16">
        <v>0</v>
      </c>
      <c r="D65" s="16">
        <v>1495872.1379358824</v>
      </c>
      <c r="E65" s="16">
        <v>0</v>
      </c>
      <c r="F65" s="16">
        <v>133964.51</v>
      </c>
      <c r="G65" s="16">
        <v>94397.2</v>
      </c>
      <c r="H65" s="16">
        <v>3312352.61</v>
      </c>
      <c r="I65" s="16">
        <v>247963.32</v>
      </c>
      <c r="J65" s="16">
        <v>5254312.7800000012</v>
      </c>
      <c r="K65" s="16">
        <v>0</v>
      </c>
      <c r="L65" s="16">
        <v>0</v>
      </c>
      <c r="M65" s="16">
        <v>5437.9900000000007</v>
      </c>
      <c r="N65" s="18">
        <f t="shared" si="1"/>
        <v>77174073.417935878</v>
      </c>
      <c r="O65" s="4"/>
    </row>
    <row r="66" spans="1:15" ht="15" x14ac:dyDescent="0.2">
      <c r="A66" s="17" t="s">
        <v>61</v>
      </c>
      <c r="B66" s="16">
        <v>36921855.280000001</v>
      </c>
      <c r="C66" s="16">
        <v>0</v>
      </c>
      <c r="D66" s="16">
        <v>1004002.1190858169</v>
      </c>
      <c r="E66" s="16">
        <v>0</v>
      </c>
      <c r="F66" s="16">
        <v>131075.79</v>
      </c>
      <c r="G66" s="16">
        <v>75766.17</v>
      </c>
      <c r="H66" s="16">
        <v>1835488.83</v>
      </c>
      <c r="I66" s="16">
        <v>242616.4</v>
      </c>
      <c r="J66" s="16">
        <v>2366789.0500000003</v>
      </c>
      <c r="K66" s="16">
        <v>0</v>
      </c>
      <c r="L66" s="16">
        <v>0</v>
      </c>
      <c r="M66" s="16">
        <v>5320.74</v>
      </c>
      <c r="N66" s="18">
        <f t="shared" si="1"/>
        <v>42582914.379085816</v>
      </c>
      <c r="O66" s="4"/>
    </row>
    <row r="67" spans="1:15" ht="15" x14ac:dyDescent="0.2">
      <c r="A67" s="17" t="s">
        <v>62</v>
      </c>
      <c r="B67" s="16">
        <v>168927269.44999999</v>
      </c>
      <c r="C67" s="16">
        <v>0</v>
      </c>
      <c r="D67" s="16">
        <v>1065218.74</v>
      </c>
      <c r="E67" s="16">
        <v>0</v>
      </c>
      <c r="F67" s="16">
        <v>3522075.14</v>
      </c>
      <c r="G67" s="16">
        <v>1560108.5038670567</v>
      </c>
      <c r="H67" s="16">
        <v>8397847.6400000006</v>
      </c>
      <c r="I67" s="16">
        <v>6519229.7800000003</v>
      </c>
      <c r="J67" s="16">
        <v>15134318.230000004</v>
      </c>
      <c r="K67" s="16">
        <v>0</v>
      </c>
      <c r="L67" s="16">
        <v>0</v>
      </c>
      <c r="M67" s="16">
        <v>142972.74999999994</v>
      </c>
      <c r="N67" s="18">
        <f t="shared" si="1"/>
        <v>205269040.23386705</v>
      </c>
      <c r="O67" s="4"/>
    </row>
    <row r="68" spans="1:15" ht="15" x14ac:dyDescent="0.2">
      <c r="A68" s="17" t="s">
        <v>63</v>
      </c>
      <c r="B68" s="16">
        <v>104094728.08</v>
      </c>
      <c r="C68" s="16">
        <v>0</v>
      </c>
      <c r="D68" s="16">
        <v>1346780.53</v>
      </c>
      <c r="E68" s="16">
        <v>0</v>
      </c>
      <c r="F68" s="16">
        <v>3106099.07</v>
      </c>
      <c r="G68" s="16">
        <v>1489319.2020718695</v>
      </c>
      <c r="H68" s="16">
        <v>5174840.45</v>
      </c>
      <c r="I68" s="16">
        <v>5749273.5899999999</v>
      </c>
      <c r="J68" s="16">
        <v>13156207.690000001</v>
      </c>
      <c r="K68" s="16">
        <v>0</v>
      </c>
      <c r="L68" s="16">
        <v>0</v>
      </c>
      <c r="M68" s="16">
        <v>126086.91</v>
      </c>
      <c r="N68" s="18">
        <f t="shared" si="1"/>
        <v>134243335.52207187</v>
      </c>
      <c r="O68" s="4"/>
    </row>
    <row r="69" spans="1:15" ht="15" x14ac:dyDescent="0.2">
      <c r="A69" s="17" t="s">
        <v>64</v>
      </c>
      <c r="B69" s="16">
        <v>326931801.10000002</v>
      </c>
      <c r="C69" s="16">
        <v>0</v>
      </c>
      <c r="D69" s="16">
        <v>864367.45986633399</v>
      </c>
      <c r="E69" s="16">
        <v>0</v>
      </c>
      <c r="F69" s="16">
        <v>9167000.3699999992</v>
      </c>
      <c r="G69" s="16">
        <v>1502022.1697725444</v>
      </c>
      <c r="H69" s="16">
        <v>16252695.390000001</v>
      </c>
      <c r="I69" s="16">
        <v>16967775.940000001</v>
      </c>
      <c r="J69" s="16">
        <v>28796227.750000007</v>
      </c>
      <c r="K69" s="16">
        <v>0</v>
      </c>
      <c r="L69" s="16">
        <v>0</v>
      </c>
      <c r="M69" s="16">
        <v>372119.23000000004</v>
      </c>
      <c r="N69" s="18">
        <f t="shared" si="1"/>
        <v>400854009.40963894</v>
      </c>
      <c r="O69" s="4"/>
    </row>
    <row r="70" spans="1:15" ht="15" x14ac:dyDescent="0.2">
      <c r="A70" s="17" t="s">
        <v>65</v>
      </c>
      <c r="B70" s="16">
        <v>74268900.670000002</v>
      </c>
      <c r="C70" s="16">
        <v>0</v>
      </c>
      <c r="D70" s="16">
        <v>2985424.0481337383</v>
      </c>
      <c r="E70" s="16">
        <v>0</v>
      </c>
      <c r="F70" s="16">
        <v>2035827.31</v>
      </c>
      <c r="G70" s="16">
        <v>717915.54</v>
      </c>
      <c r="H70" s="16">
        <v>3692115.04</v>
      </c>
      <c r="I70" s="16">
        <v>3768240.47</v>
      </c>
      <c r="J70" s="16">
        <v>12632195.529999996</v>
      </c>
      <c r="K70" s="16">
        <v>0</v>
      </c>
      <c r="L70" s="16">
        <v>0</v>
      </c>
      <c r="M70" s="16">
        <v>82640.98</v>
      </c>
      <c r="N70" s="18">
        <f t="shared" si="1"/>
        <v>100183259.58813377</v>
      </c>
      <c r="O70" s="4"/>
    </row>
    <row r="71" spans="1:15" ht="15" x14ac:dyDescent="0.2">
      <c r="A71" s="17" t="s">
        <v>66</v>
      </c>
      <c r="B71" s="16">
        <v>245297109.00999999</v>
      </c>
      <c r="C71" s="16">
        <v>0</v>
      </c>
      <c r="D71" s="16">
        <v>835722.13</v>
      </c>
      <c r="E71" s="16">
        <v>0</v>
      </c>
      <c r="F71" s="16">
        <v>1281870.69</v>
      </c>
      <c r="G71" s="16">
        <v>553962.51</v>
      </c>
      <c r="H71" s="16">
        <v>12194406.23</v>
      </c>
      <c r="I71" s="16">
        <v>2372694.87</v>
      </c>
      <c r="J71" s="16">
        <v>10122455.699999999</v>
      </c>
      <c r="K71" s="16">
        <v>0</v>
      </c>
      <c r="L71" s="16">
        <v>0</v>
      </c>
      <c r="M71" s="16">
        <v>52035.360000000001</v>
      </c>
      <c r="N71" s="18">
        <f t="shared" si="1"/>
        <v>272710256.5</v>
      </c>
      <c r="O71" s="4"/>
    </row>
    <row r="72" spans="1:15" ht="15" x14ac:dyDescent="0.2">
      <c r="A72" s="17" t="s">
        <v>67</v>
      </c>
      <c r="B72" s="16">
        <v>1313522651.5699999</v>
      </c>
      <c r="C72" s="16">
        <v>0</v>
      </c>
      <c r="D72" s="16">
        <v>5725023.1233926257</v>
      </c>
      <c r="E72" s="16">
        <v>0</v>
      </c>
      <c r="F72" s="16">
        <v>37298826.969999999</v>
      </c>
      <c r="G72" s="16">
        <v>0</v>
      </c>
      <c r="H72" s="16">
        <v>65298889.460000001</v>
      </c>
      <c r="I72" s="16">
        <v>69038736.989999995</v>
      </c>
      <c r="J72" s="16">
        <v>151401191.14000002</v>
      </c>
      <c r="K72" s="16">
        <v>0</v>
      </c>
      <c r="L72" s="16">
        <v>0</v>
      </c>
      <c r="M72" s="16">
        <v>1514084.47</v>
      </c>
      <c r="N72" s="18">
        <f t="shared" ref="N72:N103" si="2">SUM(B72:M72)</f>
        <v>1643799403.7233927</v>
      </c>
      <c r="O72" s="4"/>
    </row>
    <row r="73" spans="1:15" ht="15" x14ac:dyDescent="0.2">
      <c r="A73" s="17" t="s">
        <v>68</v>
      </c>
      <c r="B73" s="16">
        <v>522152962.75999999</v>
      </c>
      <c r="C73" s="16">
        <v>0</v>
      </c>
      <c r="D73" s="16">
        <v>11768199.358160032</v>
      </c>
      <c r="E73" s="16">
        <v>0</v>
      </c>
      <c r="F73" s="16">
        <v>13844203.5</v>
      </c>
      <c r="G73" s="16">
        <v>6553290.2579147322</v>
      </c>
      <c r="H73" s="16">
        <v>25957686.039999999</v>
      </c>
      <c r="I73" s="16">
        <v>25625104.57</v>
      </c>
      <c r="J73" s="16">
        <v>66223661.070000023</v>
      </c>
      <c r="K73" s="16">
        <v>0</v>
      </c>
      <c r="L73" s="16">
        <v>0</v>
      </c>
      <c r="M73" s="16">
        <v>561982.65</v>
      </c>
      <c r="N73" s="18">
        <f t="shared" si="2"/>
        <v>672687090.20607483</v>
      </c>
      <c r="O73" s="4"/>
    </row>
    <row r="74" spans="1:15" ht="15" x14ac:dyDescent="0.2">
      <c r="A74" s="17" t="s">
        <v>69</v>
      </c>
      <c r="B74" s="16">
        <v>323598168.65999997</v>
      </c>
      <c r="C74" s="16">
        <v>0</v>
      </c>
      <c r="D74" s="16">
        <v>3126299.5999999996</v>
      </c>
      <c r="E74" s="16">
        <v>0</v>
      </c>
      <c r="F74" s="16">
        <v>10051310.609999999</v>
      </c>
      <c r="G74" s="16">
        <v>11006840.963745613</v>
      </c>
      <c r="H74" s="16">
        <v>16086971.189999999</v>
      </c>
      <c r="I74" s="16">
        <v>18604601.219999999</v>
      </c>
      <c r="J74" s="16">
        <v>36470741.79999999</v>
      </c>
      <c r="K74" s="16">
        <v>0</v>
      </c>
      <c r="L74" s="16">
        <v>0</v>
      </c>
      <c r="M74" s="16">
        <v>408016.34</v>
      </c>
      <c r="N74" s="18">
        <f t="shared" si="2"/>
        <v>419352950.38374555</v>
      </c>
      <c r="O74" s="4"/>
    </row>
    <row r="75" spans="1:15" ht="15" x14ac:dyDescent="0.2">
      <c r="A75" s="17" t="s">
        <v>70</v>
      </c>
      <c r="B75" s="16">
        <v>54547588.349999994</v>
      </c>
      <c r="C75" s="16">
        <v>0</v>
      </c>
      <c r="D75" s="16">
        <v>1535396.2024263702</v>
      </c>
      <c r="E75" s="16">
        <v>0</v>
      </c>
      <c r="F75" s="16">
        <v>182711.71</v>
      </c>
      <c r="G75" s="16">
        <v>80734.45</v>
      </c>
      <c r="H75" s="16">
        <v>2711713.38</v>
      </c>
      <c r="I75" s="16">
        <v>338192.56</v>
      </c>
      <c r="J75" s="16">
        <v>4256257.9600000018</v>
      </c>
      <c r="K75" s="16">
        <v>0</v>
      </c>
      <c r="L75" s="16">
        <v>0</v>
      </c>
      <c r="M75" s="16">
        <v>7416.8</v>
      </c>
      <c r="N75" s="18">
        <f t="shared" si="2"/>
        <v>63660011.412426375</v>
      </c>
      <c r="O75" s="4"/>
    </row>
    <row r="76" spans="1:15" ht="15" x14ac:dyDescent="0.2">
      <c r="A76" s="17" t="s">
        <v>71</v>
      </c>
      <c r="B76" s="16">
        <v>49282735.780000001</v>
      </c>
      <c r="C76" s="16">
        <v>0</v>
      </c>
      <c r="D76" s="16">
        <v>1953152.5072258713</v>
      </c>
      <c r="E76" s="16">
        <v>0</v>
      </c>
      <c r="F76" s="16">
        <v>328953.28999999998</v>
      </c>
      <c r="G76" s="16">
        <v>190036.47</v>
      </c>
      <c r="H76" s="16">
        <v>2449982.81</v>
      </c>
      <c r="I76" s="16">
        <v>608880.29</v>
      </c>
      <c r="J76" s="16">
        <v>6142046.410000002</v>
      </c>
      <c r="K76" s="16">
        <v>0</v>
      </c>
      <c r="L76" s="16">
        <v>0</v>
      </c>
      <c r="M76" s="16">
        <v>13353.250000000002</v>
      </c>
      <c r="N76" s="18">
        <f t="shared" si="2"/>
        <v>60969140.807225876</v>
      </c>
      <c r="O76" s="4"/>
    </row>
    <row r="77" spans="1:15" ht="15" x14ac:dyDescent="0.2">
      <c r="A77" s="17" t="s">
        <v>72</v>
      </c>
      <c r="B77" s="16">
        <v>66899536.289999999</v>
      </c>
      <c r="C77" s="16">
        <v>0</v>
      </c>
      <c r="D77" s="16">
        <v>1243251.248932688</v>
      </c>
      <c r="E77" s="16">
        <v>0</v>
      </c>
      <c r="F77" s="16">
        <v>386366.66</v>
      </c>
      <c r="G77" s="16">
        <v>134143.39000000001</v>
      </c>
      <c r="H77" s="16">
        <v>3325763.3</v>
      </c>
      <c r="I77" s="16">
        <v>715150.28</v>
      </c>
      <c r="J77" s="16">
        <v>3856483.0599999987</v>
      </c>
      <c r="K77" s="16">
        <v>0</v>
      </c>
      <c r="L77" s="16">
        <v>0</v>
      </c>
      <c r="M77" s="16">
        <v>15683.820000000002</v>
      </c>
      <c r="N77" s="18">
        <f t="shared" si="2"/>
        <v>76576378.048932672</v>
      </c>
      <c r="O77" s="4"/>
    </row>
    <row r="78" spans="1:15" ht="15" x14ac:dyDescent="0.2">
      <c r="A78" s="17" t="s">
        <v>73</v>
      </c>
      <c r="B78" s="16">
        <v>25702556.330000002</v>
      </c>
      <c r="C78" s="16">
        <v>0</v>
      </c>
      <c r="D78" s="16">
        <v>562292.62311846309</v>
      </c>
      <c r="E78" s="16">
        <v>0</v>
      </c>
      <c r="F78" s="16">
        <v>137214.32</v>
      </c>
      <c r="G78" s="16">
        <v>44714.46</v>
      </c>
      <c r="H78" s="16">
        <v>1277746.06</v>
      </c>
      <c r="I78" s="16">
        <v>253978.61</v>
      </c>
      <c r="J78" s="16">
        <v>1716342.1900000004</v>
      </c>
      <c r="K78" s="16">
        <v>0</v>
      </c>
      <c r="L78" s="16">
        <v>0</v>
      </c>
      <c r="M78" s="16">
        <v>5569.92</v>
      </c>
      <c r="N78" s="18">
        <f t="shared" si="2"/>
        <v>29700414.513118468</v>
      </c>
      <c r="O78" s="4"/>
    </row>
    <row r="79" spans="1:15" ht="15" x14ac:dyDescent="0.2">
      <c r="A79" s="17" t="s">
        <v>74</v>
      </c>
      <c r="B79" s="16">
        <v>106974586.38000001</v>
      </c>
      <c r="C79" s="16">
        <v>0</v>
      </c>
      <c r="D79" s="16">
        <v>3747964.9838569649</v>
      </c>
      <c r="E79" s="16">
        <v>0</v>
      </c>
      <c r="F79" s="16">
        <v>689682.54</v>
      </c>
      <c r="G79" s="16">
        <v>332874.33</v>
      </c>
      <c r="H79" s="16">
        <v>5318006.2699999996</v>
      </c>
      <c r="I79" s="16">
        <v>1276576.68</v>
      </c>
      <c r="J79" s="16">
        <v>9430242.370000001</v>
      </c>
      <c r="K79" s="16">
        <v>0</v>
      </c>
      <c r="L79" s="16">
        <v>0</v>
      </c>
      <c r="M79" s="16">
        <v>27996.450000000004</v>
      </c>
      <c r="N79" s="18">
        <f t="shared" si="2"/>
        <v>127797930.00385699</v>
      </c>
      <c r="O79" s="4"/>
    </row>
    <row r="80" spans="1:15" ht="15" x14ac:dyDescent="0.2">
      <c r="A80" s="17" t="s">
        <v>75</v>
      </c>
      <c r="B80" s="16">
        <v>65302394.049999982</v>
      </c>
      <c r="C80" s="16">
        <v>0</v>
      </c>
      <c r="D80" s="16">
        <v>2415513.5214806073</v>
      </c>
      <c r="E80" s="16">
        <v>0</v>
      </c>
      <c r="F80" s="16">
        <v>223153.82</v>
      </c>
      <c r="G80" s="16">
        <v>139111.66</v>
      </c>
      <c r="H80" s="16">
        <v>3246364.89</v>
      </c>
      <c r="I80" s="16">
        <v>413049.42</v>
      </c>
      <c r="J80" s="16">
        <v>6246819.6099999985</v>
      </c>
      <c r="K80" s="16">
        <v>0</v>
      </c>
      <c r="L80" s="16">
        <v>0</v>
      </c>
      <c r="M80" s="16">
        <v>9058.48</v>
      </c>
      <c r="N80" s="18">
        <f t="shared" si="2"/>
        <v>77995465.451480582</v>
      </c>
      <c r="O80" s="4"/>
    </row>
    <row r="81" spans="1:15" ht="15" x14ac:dyDescent="0.2">
      <c r="A81" s="17" t="s">
        <v>76</v>
      </c>
      <c r="B81" s="16">
        <v>31603407.360000003</v>
      </c>
      <c r="C81" s="16">
        <v>0</v>
      </c>
      <c r="D81" s="16">
        <v>1442468.5924337162</v>
      </c>
      <c r="E81" s="16">
        <v>0</v>
      </c>
      <c r="F81" s="16">
        <v>579549.99</v>
      </c>
      <c r="G81" s="16">
        <v>286917.8</v>
      </c>
      <c r="H81" s="16">
        <v>1571093.89</v>
      </c>
      <c r="I81" s="16">
        <v>1072725.43</v>
      </c>
      <c r="J81" s="16">
        <v>7132905.3600000013</v>
      </c>
      <c r="K81" s="16">
        <v>0</v>
      </c>
      <c r="L81" s="16">
        <v>0</v>
      </c>
      <c r="M81" s="16">
        <v>23525.83</v>
      </c>
      <c r="N81" s="18">
        <f t="shared" si="2"/>
        <v>43712594.252433717</v>
      </c>
      <c r="O81" s="4"/>
    </row>
    <row r="82" spans="1:15" ht="15" x14ac:dyDescent="0.2">
      <c r="A82" s="17" t="s">
        <v>77</v>
      </c>
      <c r="B82" s="16">
        <v>441032786.26999998</v>
      </c>
      <c r="C82" s="16">
        <v>0</v>
      </c>
      <c r="D82" s="16">
        <v>4340357.62</v>
      </c>
      <c r="E82" s="16">
        <v>0</v>
      </c>
      <c r="F82" s="16">
        <v>16702955.699999999</v>
      </c>
      <c r="G82" s="16">
        <v>11674171.830945857</v>
      </c>
      <c r="H82" s="16">
        <v>21924974.899999999</v>
      </c>
      <c r="I82" s="16">
        <v>30916548.300000001</v>
      </c>
      <c r="J82" s="16">
        <v>58961409.580000028</v>
      </c>
      <c r="K82" s="16">
        <v>0</v>
      </c>
      <c r="L82" s="16">
        <v>0</v>
      </c>
      <c r="M82" s="16">
        <v>678028.96000000008</v>
      </c>
      <c r="N82" s="18">
        <f t="shared" si="2"/>
        <v>586231233.16094589</v>
      </c>
      <c r="O82" s="4"/>
    </row>
    <row r="83" spans="1:15" ht="15" x14ac:dyDescent="0.2">
      <c r="A83" s="17" t="s">
        <v>78</v>
      </c>
      <c r="B83" s="16">
        <v>137230963.35999998</v>
      </c>
      <c r="C83" s="16">
        <v>0</v>
      </c>
      <c r="D83" s="16">
        <v>2593366.7266642181</v>
      </c>
      <c r="E83" s="16">
        <v>0</v>
      </c>
      <c r="F83" s="16">
        <v>1849504.7</v>
      </c>
      <c r="G83" s="16">
        <v>844606.52</v>
      </c>
      <c r="H83" s="16">
        <v>6822135.5</v>
      </c>
      <c r="I83" s="16">
        <v>3423364.26</v>
      </c>
      <c r="J83" s="16">
        <v>12873657.099999994</v>
      </c>
      <c r="K83" s="16">
        <v>0</v>
      </c>
      <c r="L83" s="16">
        <v>0</v>
      </c>
      <c r="M83" s="16">
        <v>75077.52</v>
      </c>
      <c r="N83" s="18">
        <f t="shared" si="2"/>
        <v>165712675.68666419</v>
      </c>
      <c r="O83" s="4"/>
    </row>
    <row r="84" spans="1:15" ht="15" x14ac:dyDescent="0.2">
      <c r="A84" s="17" t="s">
        <v>79</v>
      </c>
      <c r="B84" s="16">
        <v>51008506.940000013</v>
      </c>
      <c r="C84" s="16">
        <v>0</v>
      </c>
      <c r="D84" s="16">
        <v>1183833.6413227073</v>
      </c>
      <c r="E84" s="16">
        <v>0</v>
      </c>
      <c r="F84" s="16">
        <v>371200.86</v>
      </c>
      <c r="G84" s="16">
        <v>75773.564255271631</v>
      </c>
      <c r="H84" s="16">
        <v>2535775.73</v>
      </c>
      <c r="I84" s="16">
        <v>687078.96</v>
      </c>
      <c r="J84" s="16">
        <v>5213297.25</v>
      </c>
      <c r="K84" s="16">
        <v>0</v>
      </c>
      <c r="L84" s="16">
        <v>0</v>
      </c>
      <c r="M84" s="16">
        <v>15068.21</v>
      </c>
      <c r="N84" s="18">
        <f t="shared" si="2"/>
        <v>61090535.155577995</v>
      </c>
      <c r="O84" s="4"/>
    </row>
    <row r="85" spans="1:15" ht="15" x14ac:dyDescent="0.2">
      <c r="A85" s="17" t="s">
        <v>80</v>
      </c>
      <c r="B85" s="16">
        <v>50097385.530000001</v>
      </c>
      <c r="C85" s="16">
        <v>0</v>
      </c>
      <c r="D85" s="16">
        <v>1344185.3688111391</v>
      </c>
      <c r="E85" s="16">
        <v>0</v>
      </c>
      <c r="F85" s="16">
        <v>175489.9</v>
      </c>
      <c r="G85" s="16">
        <v>80734.45</v>
      </c>
      <c r="H85" s="16">
        <v>2490481.33</v>
      </c>
      <c r="I85" s="16">
        <v>324825.27</v>
      </c>
      <c r="J85" s="16">
        <v>3051183.6699999995</v>
      </c>
      <c r="K85" s="16">
        <v>0</v>
      </c>
      <c r="L85" s="16">
        <v>0</v>
      </c>
      <c r="M85" s="16">
        <v>7123.6699999999992</v>
      </c>
      <c r="N85" s="18">
        <f t="shared" si="2"/>
        <v>57571409.188811146</v>
      </c>
      <c r="O85" s="4"/>
    </row>
    <row r="86" spans="1:15" ht="15" x14ac:dyDescent="0.2">
      <c r="A86" s="17" t="s">
        <v>81</v>
      </c>
      <c r="B86" s="16">
        <v>598699667.09000003</v>
      </c>
      <c r="C86" s="16">
        <v>0</v>
      </c>
      <c r="D86" s="16">
        <v>2663050.3600000003</v>
      </c>
      <c r="E86" s="16">
        <v>0</v>
      </c>
      <c r="F86" s="16">
        <v>10479924.84</v>
      </c>
      <c r="G86" s="16">
        <v>1831304.5279954555</v>
      </c>
      <c r="H86" s="16">
        <v>29763037.079999998</v>
      </c>
      <c r="I86" s="16">
        <v>19397950.18</v>
      </c>
      <c r="J86" s="16">
        <v>26334919.380000006</v>
      </c>
      <c r="K86" s="16">
        <v>0</v>
      </c>
      <c r="L86" s="16">
        <v>0</v>
      </c>
      <c r="M86" s="16">
        <v>425415.24000000005</v>
      </c>
      <c r="N86" s="18">
        <f t="shared" si="2"/>
        <v>689595268.69799554</v>
      </c>
      <c r="O86" s="4"/>
    </row>
    <row r="87" spans="1:15" ht="15" x14ac:dyDescent="0.2">
      <c r="A87" s="17" t="s">
        <v>82</v>
      </c>
      <c r="B87" s="16">
        <v>77145185.909999996</v>
      </c>
      <c r="C87" s="16">
        <v>0</v>
      </c>
      <c r="D87" s="16">
        <v>1554514.4573216413</v>
      </c>
      <c r="E87" s="16">
        <v>0</v>
      </c>
      <c r="F87" s="16">
        <v>297538.43</v>
      </c>
      <c r="G87" s="16">
        <v>168921.3</v>
      </c>
      <c r="H87" s="16">
        <v>3835103.24</v>
      </c>
      <c r="I87" s="16">
        <v>550732.56000000006</v>
      </c>
      <c r="J87" s="16">
        <v>5788780.4199999999</v>
      </c>
      <c r="K87" s="16">
        <v>0</v>
      </c>
      <c r="L87" s="16">
        <v>0</v>
      </c>
      <c r="M87" s="16">
        <v>12078.009999999997</v>
      </c>
      <c r="N87" s="18">
        <f t="shared" si="2"/>
        <v>89352854.327321649</v>
      </c>
      <c r="O87" s="4"/>
    </row>
    <row r="88" spans="1:15" ht="15" x14ac:dyDescent="0.2">
      <c r="A88" s="17" t="s">
        <v>83</v>
      </c>
      <c r="B88" s="16">
        <v>74856663.280000001</v>
      </c>
      <c r="C88" s="16">
        <v>0</v>
      </c>
      <c r="D88" s="16">
        <v>657076.82093841699</v>
      </c>
      <c r="E88" s="16">
        <v>0</v>
      </c>
      <c r="F88" s="16">
        <v>1460249.32</v>
      </c>
      <c r="G88" s="16">
        <v>430997.74</v>
      </c>
      <c r="H88" s="16">
        <v>3721334.37</v>
      </c>
      <c r="I88" s="16">
        <v>2702867.05</v>
      </c>
      <c r="J88" s="16">
        <v>8574277.7400000039</v>
      </c>
      <c r="K88" s="16">
        <v>0</v>
      </c>
      <c r="L88" s="16">
        <v>0</v>
      </c>
      <c r="M88" s="16">
        <v>59276.35000000002</v>
      </c>
      <c r="N88" s="18">
        <f t="shared" si="2"/>
        <v>92462742.670938417</v>
      </c>
      <c r="O88" s="4"/>
    </row>
    <row r="89" spans="1:15" ht="15" x14ac:dyDescent="0.2">
      <c r="A89" s="17" t="s">
        <v>84</v>
      </c>
      <c r="B89" s="16">
        <v>114756635.13999999</v>
      </c>
      <c r="C89" s="16">
        <v>0</v>
      </c>
      <c r="D89" s="16">
        <v>1596417.6297953129</v>
      </c>
      <c r="E89" s="16">
        <v>0</v>
      </c>
      <c r="F89" s="16">
        <v>1228068.23</v>
      </c>
      <c r="G89" s="16">
        <v>503037.7</v>
      </c>
      <c r="H89" s="16">
        <v>5704873.71</v>
      </c>
      <c r="I89" s="16">
        <v>2273108.52</v>
      </c>
      <c r="J89" s="16">
        <v>9241057.5600000024</v>
      </c>
      <c r="K89" s="16">
        <v>0</v>
      </c>
      <c r="L89" s="16">
        <v>0</v>
      </c>
      <c r="M89" s="16">
        <v>49851.32</v>
      </c>
      <c r="N89" s="18">
        <f t="shared" si="2"/>
        <v>135353049.80979529</v>
      </c>
      <c r="O89" s="4"/>
    </row>
    <row r="90" spans="1:15" ht="15" x14ac:dyDescent="0.2">
      <c r="A90" s="17" t="s">
        <v>85</v>
      </c>
      <c r="B90" s="16">
        <v>617534869.12</v>
      </c>
      <c r="C90" s="16">
        <v>0</v>
      </c>
      <c r="D90" s="16">
        <v>1691775.3590037089</v>
      </c>
      <c r="E90" s="16">
        <v>0</v>
      </c>
      <c r="F90" s="16">
        <v>16658541.59</v>
      </c>
      <c r="G90" s="16">
        <v>4248376.2950688805</v>
      </c>
      <c r="H90" s="16">
        <v>30699387.719999999</v>
      </c>
      <c r="I90" s="16">
        <v>30834339.440000001</v>
      </c>
      <c r="J90" s="16">
        <v>54673840.420000009</v>
      </c>
      <c r="K90" s="16">
        <v>0</v>
      </c>
      <c r="L90" s="16">
        <v>0</v>
      </c>
      <c r="M90" s="16">
        <v>676226.04</v>
      </c>
      <c r="N90" s="18">
        <f t="shared" si="2"/>
        <v>757017355.98407257</v>
      </c>
      <c r="O90" s="4"/>
    </row>
    <row r="91" spans="1:15" ht="15" x14ac:dyDescent="0.2">
      <c r="A91" s="17" t="s">
        <v>86</v>
      </c>
      <c r="B91" s="16">
        <v>22481474.120000001</v>
      </c>
      <c r="C91" s="16">
        <v>0</v>
      </c>
      <c r="D91" s="16">
        <v>1159132.1673795152</v>
      </c>
      <c r="E91" s="16">
        <v>0</v>
      </c>
      <c r="F91" s="16">
        <v>386727.75</v>
      </c>
      <c r="G91" s="16">
        <v>167679.23000000001</v>
      </c>
      <c r="H91" s="16">
        <v>1117617.04</v>
      </c>
      <c r="I91" s="16">
        <v>715818.65</v>
      </c>
      <c r="J91" s="16">
        <v>3929157.76</v>
      </c>
      <c r="K91" s="16">
        <v>0</v>
      </c>
      <c r="L91" s="16">
        <v>0</v>
      </c>
      <c r="M91" s="16">
        <v>15698.490000000002</v>
      </c>
      <c r="N91" s="18">
        <f t="shared" si="2"/>
        <v>29973305.207379516</v>
      </c>
      <c r="O91" s="4"/>
    </row>
    <row r="92" spans="1:15" ht="15" x14ac:dyDescent="0.2">
      <c r="A92" s="17" t="s">
        <v>87</v>
      </c>
      <c r="B92" s="16">
        <v>33782952.689999998</v>
      </c>
      <c r="C92" s="16">
        <v>0</v>
      </c>
      <c r="D92" s="16">
        <v>118904.8</v>
      </c>
      <c r="E92" s="16">
        <v>0</v>
      </c>
      <c r="F92" s="16">
        <v>82689.679999999993</v>
      </c>
      <c r="G92" s="16">
        <v>52166.87</v>
      </c>
      <c r="H92" s="16">
        <v>1679445.19</v>
      </c>
      <c r="I92" s="16">
        <v>153055.53</v>
      </c>
      <c r="J92" s="16">
        <v>1700064.2399999993</v>
      </c>
      <c r="K92" s="16">
        <v>0</v>
      </c>
      <c r="L92" s="16">
        <v>0</v>
      </c>
      <c r="M92" s="16">
        <v>3356.5900000000006</v>
      </c>
      <c r="N92" s="18">
        <f t="shared" si="2"/>
        <v>37572635.589999996</v>
      </c>
      <c r="O92" s="4"/>
    </row>
    <row r="93" spans="1:15" ht="15" x14ac:dyDescent="0.2">
      <c r="A93" s="17" t="s">
        <v>88</v>
      </c>
      <c r="B93" s="16">
        <v>324223448.06000006</v>
      </c>
      <c r="C93" s="16">
        <v>0</v>
      </c>
      <c r="D93" s="16">
        <v>1466763.7340579103</v>
      </c>
      <c r="E93" s="16">
        <v>0</v>
      </c>
      <c r="F93" s="16">
        <v>13501167.68</v>
      </c>
      <c r="G93" s="16">
        <v>2227870.3419791753</v>
      </c>
      <c r="H93" s="16">
        <v>16118055.58</v>
      </c>
      <c r="I93" s="16">
        <v>24990158.050000001</v>
      </c>
      <c r="J93" s="16">
        <v>51994434.670000009</v>
      </c>
      <c r="K93" s="16">
        <v>0</v>
      </c>
      <c r="L93" s="16">
        <v>0</v>
      </c>
      <c r="M93" s="16">
        <v>548057.64</v>
      </c>
      <c r="N93" s="18">
        <f t="shared" si="2"/>
        <v>435069955.75603712</v>
      </c>
      <c r="O93" s="4"/>
    </row>
    <row r="94" spans="1:15" ht="15" x14ac:dyDescent="0.2">
      <c r="A94" s="17" t="s">
        <v>89</v>
      </c>
      <c r="B94" s="16">
        <v>225531133.86999995</v>
      </c>
      <c r="C94" s="16">
        <v>0</v>
      </c>
      <c r="D94" s="16">
        <v>3367689.55</v>
      </c>
      <c r="E94" s="16">
        <v>0</v>
      </c>
      <c r="F94" s="16">
        <v>6104954.3200000003</v>
      </c>
      <c r="G94" s="16">
        <v>2863516.1934032291</v>
      </c>
      <c r="H94" s="16">
        <v>11211784.26</v>
      </c>
      <c r="I94" s="16">
        <v>11300042.85</v>
      </c>
      <c r="J94" s="16">
        <v>27782553.970000014</v>
      </c>
      <c r="K94" s="16">
        <v>0</v>
      </c>
      <c r="L94" s="16">
        <v>0</v>
      </c>
      <c r="M94" s="16">
        <v>247820.49000000002</v>
      </c>
      <c r="N94" s="18">
        <f t="shared" si="2"/>
        <v>288409495.50340319</v>
      </c>
      <c r="O94" s="4"/>
    </row>
    <row r="95" spans="1:15" ht="15" x14ac:dyDescent="0.2">
      <c r="A95" s="17" t="s">
        <v>90</v>
      </c>
      <c r="B95" s="16">
        <v>39378310.040000007</v>
      </c>
      <c r="C95" s="16">
        <v>0</v>
      </c>
      <c r="D95" s="16">
        <v>1315609.243929015</v>
      </c>
      <c r="E95" s="16">
        <v>0</v>
      </c>
      <c r="F95" s="16">
        <v>299343.88</v>
      </c>
      <c r="G95" s="16">
        <v>135385.46</v>
      </c>
      <c r="H95" s="16">
        <v>1957606.08</v>
      </c>
      <c r="I95" s="16">
        <v>554074.38</v>
      </c>
      <c r="J95" s="16">
        <v>4092598.0200000014</v>
      </c>
      <c r="K95" s="16">
        <v>0</v>
      </c>
      <c r="L95" s="16">
        <v>0</v>
      </c>
      <c r="M95" s="16">
        <v>12151.300000000001</v>
      </c>
      <c r="N95" s="18">
        <f t="shared" si="2"/>
        <v>47745078.403929025</v>
      </c>
      <c r="O95" s="4"/>
    </row>
    <row r="96" spans="1:15" ht="15" x14ac:dyDescent="0.2">
      <c r="A96" s="17" t="s">
        <v>91</v>
      </c>
      <c r="B96" s="16">
        <v>141550750.73999998</v>
      </c>
      <c r="C96" s="16">
        <v>0</v>
      </c>
      <c r="D96" s="16">
        <v>3339523.6421716702</v>
      </c>
      <c r="E96" s="16">
        <v>0</v>
      </c>
      <c r="F96" s="16">
        <v>1677625.7</v>
      </c>
      <c r="G96" s="16">
        <v>739030.7</v>
      </c>
      <c r="H96" s="16">
        <v>7036884.2300000004</v>
      </c>
      <c r="I96" s="16">
        <v>3105222.63</v>
      </c>
      <c r="J96" s="16">
        <v>14663205.279999994</v>
      </c>
      <c r="K96" s="16">
        <v>0</v>
      </c>
      <c r="L96" s="16">
        <v>0</v>
      </c>
      <c r="M96" s="16">
        <v>68100.39</v>
      </c>
      <c r="N96" s="18">
        <f t="shared" si="2"/>
        <v>172180343.31217161</v>
      </c>
      <c r="O96" s="4"/>
    </row>
    <row r="97" spans="1:15" ht="15" x14ac:dyDescent="0.2">
      <c r="A97" s="17" t="s">
        <v>92</v>
      </c>
      <c r="B97" s="16">
        <v>66293908.539999992</v>
      </c>
      <c r="C97" s="16">
        <v>0</v>
      </c>
      <c r="D97" s="16">
        <v>3832384.1952633252</v>
      </c>
      <c r="E97" s="16">
        <v>0</v>
      </c>
      <c r="F97" s="16">
        <v>774538.77</v>
      </c>
      <c r="G97" s="16">
        <v>378830.86</v>
      </c>
      <c r="H97" s="16">
        <v>3295655.85</v>
      </c>
      <c r="I97" s="16">
        <v>1433642.39</v>
      </c>
      <c r="J97" s="16">
        <v>9790942.5700000003</v>
      </c>
      <c r="K97" s="16">
        <v>0</v>
      </c>
      <c r="L97" s="16">
        <v>0</v>
      </c>
      <c r="M97" s="16">
        <v>31441.050000000007</v>
      </c>
      <c r="N97" s="18">
        <f t="shared" si="2"/>
        <v>85831344.225263312</v>
      </c>
      <c r="O97" s="4"/>
    </row>
    <row r="98" spans="1:15" ht="15" x14ac:dyDescent="0.2">
      <c r="A98" s="17" t="s">
        <v>93</v>
      </c>
      <c r="B98" s="16">
        <v>184530670.30000001</v>
      </c>
      <c r="C98" s="16">
        <v>0</v>
      </c>
      <c r="D98" s="16">
        <v>4213078.3878317364</v>
      </c>
      <c r="E98" s="16">
        <v>0</v>
      </c>
      <c r="F98" s="16">
        <v>1801118.59</v>
      </c>
      <c r="G98" s="16">
        <v>888078.91</v>
      </c>
      <c r="H98" s="16">
        <v>9173536.3900000006</v>
      </c>
      <c r="I98" s="16">
        <v>3333803.38</v>
      </c>
      <c r="J98" s="16">
        <v>18888610.029999997</v>
      </c>
      <c r="K98" s="16">
        <v>0</v>
      </c>
      <c r="L98" s="16">
        <v>0</v>
      </c>
      <c r="M98" s="16">
        <v>73113.37000000001</v>
      </c>
      <c r="N98" s="18">
        <f t="shared" si="2"/>
        <v>222902009.35783175</v>
      </c>
      <c r="O98" s="4"/>
    </row>
    <row r="99" spans="1:15" ht="15" x14ac:dyDescent="0.2">
      <c r="A99" s="17" t="s">
        <v>94</v>
      </c>
      <c r="B99" s="16">
        <v>126277854.74999997</v>
      </c>
      <c r="C99" s="16">
        <v>0</v>
      </c>
      <c r="D99" s="16">
        <v>3356060.543699021</v>
      </c>
      <c r="E99" s="16">
        <v>0</v>
      </c>
      <c r="F99" s="16">
        <v>667656.03</v>
      </c>
      <c r="G99" s="16">
        <v>239719.2</v>
      </c>
      <c r="H99" s="16">
        <v>6277625.7999999998</v>
      </c>
      <c r="I99" s="16">
        <v>1235806.43</v>
      </c>
      <c r="J99" s="16">
        <v>12336900.870000001</v>
      </c>
      <c r="K99" s="16">
        <v>0</v>
      </c>
      <c r="L99" s="16">
        <v>0</v>
      </c>
      <c r="M99" s="16">
        <v>27102.31</v>
      </c>
      <c r="N99" s="18">
        <f t="shared" si="2"/>
        <v>150418725.93369901</v>
      </c>
      <c r="O99" s="4"/>
    </row>
    <row r="100" spans="1:15" ht="15" x14ac:dyDescent="0.2">
      <c r="A100" s="17" t="s">
        <v>95</v>
      </c>
      <c r="B100" s="16">
        <v>120003622.58999997</v>
      </c>
      <c r="C100" s="16">
        <v>0</v>
      </c>
      <c r="D100" s="16">
        <v>2865627.0787532656</v>
      </c>
      <c r="E100" s="16">
        <v>0</v>
      </c>
      <c r="F100" s="16">
        <v>749623.53</v>
      </c>
      <c r="G100" s="16">
        <v>316727.44</v>
      </c>
      <c r="H100" s="16">
        <v>5965716.1500000004</v>
      </c>
      <c r="I100" s="16">
        <v>1387525.22</v>
      </c>
      <c r="J100" s="16">
        <v>9884802.6899999995</v>
      </c>
      <c r="K100" s="16">
        <v>0</v>
      </c>
      <c r="L100" s="16">
        <v>0</v>
      </c>
      <c r="M100" s="16">
        <v>30429.67</v>
      </c>
      <c r="N100" s="18">
        <f t="shared" si="2"/>
        <v>141204074.36875322</v>
      </c>
      <c r="O100" s="4"/>
    </row>
    <row r="101" spans="1:15" ht="15" x14ac:dyDescent="0.2">
      <c r="A101" s="17" t="s">
        <v>96</v>
      </c>
      <c r="B101" s="16">
        <v>24253694.600000001</v>
      </c>
      <c r="C101" s="16">
        <v>0</v>
      </c>
      <c r="D101" s="16">
        <v>1700796.4741526498</v>
      </c>
      <c r="E101" s="16">
        <v>0</v>
      </c>
      <c r="F101" s="16">
        <v>89550.399999999994</v>
      </c>
      <c r="G101" s="16">
        <v>47198.6</v>
      </c>
      <c r="H101" s="16">
        <v>1205719.0900000001</v>
      </c>
      <c r="I101" s="16">
        <v>165754.46</v>
      </c>
      <c r="J101" s="16">
        <v>2082096.2399999993</v>
      </c>
      <c r="K101" s="16">
        <v>0</v>
      </c>
      <c r="L101" s="16">
        <v>0</v>
      </c>
      <c r="M101" s="16">
        <v>3635.0599999999995</v>
      </c>
      <c r="N101" s="18">
        <f t="shared" si="2"/>
        <v>29548444.92415265</v>
      </c>
      <c r="O101" s="4"/>
    </row>
    <row r="102" spans="1:15" ht="15" x14ac:dyDescent="0.2">
      <c r="A102" s="17" t="s">
        <v>97</v>
      </c>
      <c r="B102" s="16">
        <v>80135807.980000004</v>
      </c>
      <c r="C102" s="16">
        <v>0</v>
      </c>
      <c r="D102" s="16">
        <v>3729412.418894277</v>
      </c>
      <c r="E102" s="16">
        <v>0</v>
      </c>
      <c r="F102" s="16">
        <v>1733955.79</v>
      </c>
      <c r="G102" s="16">
        <v>830943.76</v>
      </c>
      <c r="H102" s="16">
        <v>3983775.43</v>
      </c>
      <c r="I102" s="16">
        <v>3209487.54</v>
      </c>
      <c r="J102" s="16">
        <v>14011128.819999997</v>
      </c>
      <c r="K102" s="16">
        <v>0</v>
      </c>
      <c r="L102" s="16">
        <v>0</v>
      </c>
      <c r="M102" s="16">
        <v>70387.029999999984</v>
      </c>
      <c r="N102" s="18">
        <f t="shared" si="2"/>
        <v>107704898.7688943</v>
      </c>
      <c r="O102" s="4"/>
    </row>
    <row r="103" spans="1:15" ht="15" x14ac:dyDescent="0.2">
      <c r="A103" s="17" t="s">
        <v>98</v>
      </c>
      <c r="B103" s="16">
        <v>27773124.380000003</v>
      </c>
      <c r="C103" s="16">
        <v>0</v>
      </c>
      <c r="D103" s="16">
        <v>1376365.0779674621</v>
      </c>
      <c r="E103" s="16">
        <v>0</v>
      </c>
      <c r="F103" s="16">
        <v>42969.75</v>
      </c>
      <c r="G103" s="16">
        <v>28567.57</v>
      </c>
      <c r="H103" s="16">
        <v>1380679.8</v>
      </c>
      <c r="I103" s="16">
        <v>79535.41</v>
      </c>
      <c r="J103" s="16">
        <v>2928649.290000001</v>
      </c>
      <c r="K103" s="16">
        <v>0</v>
      </c>
      <c r="L103" s="16">
        <v>0</v>
      </c>
      <c r="M103" s="16">
        <v>1744.21</v>
      </c>
      <c r="N103" s="18">
        <f t="shared" si="2"/>
        <v>33611635.487967469</v>
      </c>
      <c r="O103" s="4"/>
    </row>
    <row r="104" spans="1:15" ht="15" x14ac:dyDescent="0.2">
      <c r="A104" s="17" t="s">
        <v>99</v>
      </c>
      <c r="B104" s="16">
        <v>370656696.38999999</v>
      </c>
      <c r="C104" s="16">
        <v>0</v>
      </c>
      <c r="D104" s="16">
        <v>3253777.704274199</v>
      </c>
      <c r="E104" s="16">
        <v>0</v>
      </c>
      <c r="F104" s="16">
        <v>8805910.0299999993</v>
      </c>
      <c r="G104" s="16">
        <v>1572262.1738885096</v>
      </c>
      <c r="H104" s="16">
        <v>18426382.390000001</v>
      </c>
      <c r="I104" s="16">
        <v>16299411.189999999</v>
      </c>
      <c r="J104" s="16">
        <v>32697919.800000012</v>
      </c>
      <c r="K104" s="16">
        <v>0</v>
      </c>
      <c r="L104" s="16">
        <v>0</v>
      </c>
      <c r="M104" s="16">
        <v>357461.36000000004</v>
      </c>
      <c r="N104" s="18">
        <f t="shared" ref="N104:N135" si="3">SUM(B104:M104)</f>
        <v>452069821.03816265</v>
      </c>
      <c r="O104" s="4"/>
    </row>
    <row r="105" spans="1:15" ht="15" x14ac:dyDescent="0.2">
      <c r="A105" s="17" t="s">
        <v>100</v>
      </c>
      <c r="B105" s="16">
        <v>62570816.329999998</v>
      </c>
      <c r="C105" s="16">
        <v>0</v>
      </c>
      <c r="D105" s="16">
        <v>688050.71</v>
      </c>
      <c r="E105" s="16">
        <v>0</v>
      </c>
      <c r="F105" s="16">
        <v>379505.94</v>
      </c>
      <c r="G105" s="16">
        <v>204941.29</v>
      </c>
      <c r="H105" s="16">
        <v>3110570.51</v>
      </c>
      <c r="I105" s="16">
        <v>702451.35</v>
      </c>
      <c r="J105" s="16">
        <v>4217842.4400000013</v>
      </c>
      <c r="K105" s="16">
        <v>0</v>
      </c>
      <c r="L105" s="16">
        <v>0</v>
      </c>
      <c r="M105" s="16">
        <v>15405.350000000002</v>
      </c>
      <c r="N105" s="18">
        <f t="shared" si="3"/>
        <v>71889583.919999987</v>
      </c>
      <c r="O105" s="4"/>
    </row>
    <row r="106" spans="1:15" ht="15" x14ac:dyDescent="0.2">
      <c r="A106" s="17" t="s">
        <v>101</v>
      </c>
      <c r="B106" s="16">
        <v>71483727.570000008</v>
      </c>
      <c r="C106" s="16">
        <v>0</v>
      </c>
      <c r="D106" s="16">
        <v>252827.02000000002</v>
      </c>
      <c r="E106" s="16">
        <v>0</v>
      </c>
      <c r="F106" s="16">
        <v>2689039.73</v>
      </c>
      <c r="G106" s="16">
        <v>675087.91570896946</v>
      </c>
      <c r="H106" s="16">
        <v>3553656.29</v>
      </c>
      <c r="I106" s="16">
        <v>4977312.3</v>
      </c>
      <c r="J106" s="16">
        <v>11249929.749999993</v>
      </c>
      <c r="K106" s="16">
        <v>0</v>
      </c>
      <c r="L106" s="16">
        <v>0</v>
      </c>
      <c r="M106" s="16">
        <v>109157.06</v>
      </c>
      <c r="N106" s="18">
        <f t="shared" si="3"/>
        <v>94990737.635708988</v>
      </c>
      <c r="O106" s="4"/>
    </row>
    <row r="107" spans="1:15" ht="15" x14ac:dyDescent="0.2">
      <c r="A107" s="17" t="s">
        <v>102</v>
      </c>
      <c r="B107" s="16">
        <v>97668642.37999998</v>
      </c>
      <c r="C107" s="16">
        <v>0</v>
      </c>
      <c r="D107" s="16">
        <v>2261627.9612380243</v>
      </c>
      <c r="E107" s="16">
        <v>0</v>
      </c>
      <c r="F107" s="16">
        <v>149491.39000000001</v>
      </c>
      <c r="G107" s="16">
        <v>125448.91</v>
      </c>
      <c r="H107" s="16">
        <v>4855381.7300000004</v>
      </c>
      <c r="I107" s="16">
        <v>276703.01</v>
      </c>
      <c r="J107" s="16">
        <v>5484971.3099999996</v>
      </c>
      <c r="K107" s="16">
        <v>0</v>
      </c>
      <c r="L107" s="16">
        <v>0</v>
      </c>
      <c r="M107" s="16">
        <v>6068.2599999999993</v>
      </c>
      <c r="N107" s="18">
        <f t="shared" si="3"/>
        <v>110828334.95123802</v>
      </c>
      <c r="O107" s="4"/>
    </row>
    <row r="108" spans="1:15" ht="15" x14ac:dyDescent="0.2">
      <c r="A108" s="17" t="s">
        <v>103</v>
      </c>
      <c r="B108" s="16">
        <v>33940165.789999999</v>
      </c>
      <c r="C108" s="16">
        <v>0</v>
      </c>
      <c r="D108" s="16">
        <v>684834.70341737522</v>
      </c>
      <c r="E108" s="16">
        <v>0</v>
      </c>
      <c r="F108" s="16">
        <v>151657.94</v>
      </c>
      <c r="G108" s="16">
        <v>78250.31</v>
      </c>
      <c r="H108" s="16">
        <v>1687260.69</v>
      </c>
      <c r="I108" s="16">
        <v>280713.2</v>
      </c>
      <c r="J108" s="16">
        <v>2783702.68</v>
      </c>
      <c r="K108" s="16">
        <v>0</v>
      </c>
      <c r="L108" s="16">
        <v>0</v>
      </c>
      <c r="M108" s="16">
        <v>6156.2299999999987</v>
      </c>
      <c r="N108" s="18">
        <f t="shared" si="3"/>
        <v>39612741.543417372</v>
      </c>
      <c r="O108" s="4"/>
    </row>
    <row r="109" spans="1:15" ht="15" x14ac:dyDescent="0.2">
      <c r="A109" s="17" t="s">
        <v>104</v>
      </c>
      <c r="B109" s="16">
        <v>373238207.06999999</v>
      </c>
      <c r="C109" s="16">
        <v>0</v>
      </c>
      <c r="D109" s="16">
        <v>4354371.0890547521</v>
      </c>
      <c r="E109" s="16">
        <v>0</v>
      </c>
      <c r="F109" s="16">
        <v>15484275.810000001</v>
      </c>
      <c r="G109" s="16">
        <v>7172557.0895625334</v>
      </c>
      <c r="H109" s="16">
        <v>18554716.510000002</v>
      </c>
      <c r="I109" s="16">
        <v>28660817.27</v>
      </c>
      <c r="J109" s="16">
        <v>51794812.859999985</v>
      </c>
      <c r="K109" s="16">
        <v>0</v>
      </c>
      <c r="L109" s="16">
        <v>0</v>
      </c>
      <c r="M109" s="16">
        <v>628558.66000000015</v>
      </c>
      <c r="N109" s="18">
        <f t="shared" si="3"/>
        <v>499888316.35861725</v>
      </c>
      <c r="O109" s="4"/>
    </row>
    <row r="110" spans="1:15" ht="15" x14ac:dyDescent="0.2">
      <c r="A110" s="17" t="s">
        <v>105</v>
      </c>
      <c r="B110" s="16">
        <v>43548030.419999994</v>
      </c>
      <c r="C110" s="16">
        <v>0</v>
      </c>
      <c r="D110" s="16">
        <v>1306472.8742352731</v>
      </c>
      <c r="E110" s="16">
        <v>0</v>
      </c>
      <c r="F110" s="16">
        <v>591827.06000000006</v>
      </c>
      <c r="G110" s="16">
        <v>262076.43</v>
      </c>
      <c r="H110" s="16">
        <v>2164894.5499999998</v>
      </c>
      <c r="I110" s="16">
        <v>1095449.83</v>
      </c>
      <c r="J110" s="16">
        <v>6104051.9499999993</v>
      </c>
      <c r="K110" s="16">
        <v>0</v>
      </c>
      <c r="L110" s="16">
        <v>0</v>
      </c>
      <c r="M110" s="16">
        <v>24024.2</v>
      </c>
      <c r="N110" s="18">
        <f t="shared" si="3"/>
        <v>55096827.31423527</v>
      </c>
      <c r="O110" s="4"/>
    </row>
    <row r="111" spans="1:15" ht="15" x14ac:dyDescent="0.2">
      <c r="A111" s="17" t="s">
        <v>106</v>
      </c>
      <c r="B111" s="16">
        <v>53193411.800000004</v>
      </c>
      <c r="C111" s="16">
        <v>0</v>
      </c>
      <c r="D111" s="16">
        <v>1750511.0263506146</v>
      </c>
      <c r="E111" s="16">
        <v>0</v>
      </c>
      <c r="F111" s="16">
        <v>206182.58</v>
      </c>
      <c r="G111" s="16">
        <v>120480.64</v>
      </c>
      <c r="H111" s="16">
        <v>2644393.4700000002</v>
      </c>
      <c r="I111" s="16">
        <v>381636.27</v>
      </c>
      <c r="J111" s="16">
        <v>4839962.620000001</v>
      </c>
      <c r="K111" s="16">
        <v>0</v>
      </c>
      <c r="L111" s="16">
        <v>0</v>
      </c>
      <c r="M111" s="16">
        <v>8369.5499999999993</v>
      </c>
      <c r="N111" s="18">
        <f t="shared" si="3"/>
        <v>63144947.956350625</v>
      </c>
      <c r="O111" s="4"/>
    </row>
    <row r="112" spans="1:15" ht="15" x14ac:dyDescent="0.2">
      <c r="A112" s="17" t="s">
        <v>107</v>
      </c>
      <c r="B112" s="16">
        <v>71221110.199999988</v>
      </c>
      <c r="C112" s="16">
        <v>0</v>
      </c>
      <c r="D112" s="16">
        <v>2453363.1231484981</v>
      </c>
      <c r="E112" s="16">
        <v>0</v>
      </c>
      <c r="F112" s="16">
        <v>250596.69</v>
      </c>
      <c r="G112" s="16">
        <v>136627.51999999999</v>
      </c>
      <c r="H112" s="16">
        <v>3540600.84</v>
      </c>
      <c r="I112" s="16">
        <v>463845.14</v>
      </c>
      <c r="J112" s="16">
        <v>5064505.3299999991</v>
      </c>
      <c r="K112" s="16">
        <v>0</v>
      </c>
      <c r="L112" s="16">
        <v>0</v>
      </c>
      <c r="M112" s="16">
        <v>10172.469999999996</v>
      </c>
      <c r="N112" s="18">
        <f t="shared" si="3"/>
        <v>83140821.313148484</v>
      </c>
      <c r="O112" s="4"/>
    </row>
    <row r="113" spans="1:15" ht="15" x14ac:dyDescent="0.2">
      <c r="A113" s="17" t="s">
        <v>108</v>
      </c>
      <c r="B113" s="16">
        <v>56964739.859999992</v>
      </c>
      <c r="C113" s="16">
        <v>0</v>
      </c>
      <c r="D113" s="16">
        <v>2393897.8180574309</v>
      </c>
      <c r="E113" s="16">
        <v>0</v>
      </c>
      <c r="F113" s="16">
        <v>353146.34</v>
      </c>
      <c r="G113" s="16">
        <v>186310.26</v>
      </c>
      <c r="H113" s="16">
        <v>2831876.75</v>
      </c>
      <c r="I113" s="16">
        <v>653660.73</v>
      </c>
      <c r="J113" s="16">
        <v>5025503.91</v>
      </c>
      <c r="K113" s="16">
        <v>0</v>
      </c>
      <c r="L113" s="16">
        <v>0</v>
      </c>
      <c r="M113" s="16">
        <v>14335.309999999998</v>
      </c>
      <c r="N113" s="18">
        <f t="shared" si="3"/>
        <v>68423470.978057429</v>
      </c>
      <c r="O113" s="4"/>
    </row>
    <row r="114" spans="1:15" ht="15" x14ac:dyDescent="0.2">
      <c r="A114" s="17" t="s">
        <v>109</v>
      </c>
      <c r="B114" s="16">
        <v>38220649.940000005</v>
      </c>
      <c r="C114" s="16">
        <v>0</v>
      </c>
      <c r="D114" s="16">
        <v>1360121.2038463922</v>
      </c>
      <c r="E114" s="16">
        <v>0</v>
      </c>
      <c r="F114" s="16">
        <v>213765.47</v>
      </c>
      <c r="G114" s="16">
        <v>99365.47</v>
      </c>
      <c r="H114" s="16">
        <v>1900055.55</v>
      </c>
      <c r="I114" s="16">
        <v>395671.93</v>
      </c>
      <c r="J114" s="16">
        <v>3805964.1900000018</v>
      </c>
      <c r="K114" s="16">
        <v>0</v>
      </c>
      <c r="L114" s="16">
        <v>0</v>
      </c>
      <c r="M114" s="16">
        <v>8677.39</v>
      </c>
      <c r="N114" s="18">
        <f t="shared" si="3"/>
        <v>46004271.1438464</v>
      </c>
      <c r="O114" s="4"/>
    </row>
    <row r="115" spans="1:15" ht="15" x14ac:dyDescent="0.2">
      <c r="A115" s="17" t="s">
        <v>110</v>
      </c>
      <c r="B115" s="16">
        <v>102404687.20999999</v>
      </c>
      <c r="C115" s="16">
        <v>0</v>
      </c>
      <c r="D115" s="16">
        <v>1310185.2316410821</v>
      </c>
      <c r="E115" s="16">
        <v>0</v>
      </c>
      <c r="F115" s="16">
        <v>221348.37</v>
      </c>
      <c r="G115" s="16">
        <v>165195.1</v>
      </c>
      <c r="H115" s="16">
        <v>5090823.78</v>
      </c>
      <c r="I115" s="16">
        <v>409707.59</v>
      </c>
      <c r="J115" s="16">
        <v>5044015.8400000017</v>
      </c>
      <c r="K115" s="16">
        <v>0</v>
      </c>
      <c r="L115" s="16">
        <v>0</v>
      </c>
      <c r="M115" s="16">
        <v>8985.2300000000014</v>
      </c>
      <c r="N115" s="18">
        <f t="shared" si="3"/>
        <v>114654948.35164109</v>
      </c>
      <c r="O115" s="4"/>
    </row>
    <row r="116" spans="1:15" ht="15" x14ac:dyDescent="0.2">
      <c r="A116" s="17" t="s">
        <v>111</v>
      </c>
      <c r="B116" s="16">
        <v>53961612.219999999</v>
      </c>
      <c r="C116" s="16">
        <v>0</v>
      </c>
      <c r="D116" s="16">
        <v>1918285.565577443</v>
      </c>
      <c r="E116" s="16">
        <v>0</v>
      </c>
      <c r="F116" s="16">
        <v>610964.84</v>
      </c>
      <c r="G116" s="16">
        <v>254624.02</v>
      </c>
      <c r="H116" s="16">
        <v>2682582.87</v>
      </c>
      <c r="I116" s="16">
        <v>1130873.1599999999</v>
      </c>
      <c r="J116" s="16">
        <v>6823383.2199999969</v>
      </c>
      <c r="K116" s="16">
        <v>0</v>
      </c>
      <c r="L116" s="16">
        <v>0</v>
      </c>
      <c r="M116" s="16">
        <v>24801.040000000001</v>
      </c>
      <c r="N116" s="18">
        <f t="shared" si="3"/>
        <v>67407126.935577437</v>
      </c>
      <c r="O116" s="4"/>
    </row>
    <row r="117" spans="1:15" ht="15" x14ac:dyDescent="0.2">
      <c r="A117" s="17" t="s">
        <v>112</v>
      </c>
      <c r="B117" s="16">
        <v>31358655.120000001</v>
      </c>
      <c r="C117" s="16">
        <v>0</v>
      </c>
      <c r="D117" s="16">
        <v>371534.80252368504</v>
      </c>
      <c r="E117" s="16">
        <v>0</v>
      </c>
      <c r="F117" s="16">
        <v>128548.15</v>
      </c>
      <c r="G117" s="16">
        <v>68313.759999999995</v>
      </c>
      <c r="H117" s="16">
        <v>1558926.57</v>
      </c>
      <c r="I117" s="16">
        <v>237937.85</v>
      </c>
      <c r="J117" s="16">
        <v>2108518.2399999988</v>
      </c>
      <c r="K117" s="16">
        <v>0</v>
      </c>
      <c r="L117" s="16">
        <v>0</v>
      </c>
      <c r="M117" s="16">
        <v>5218.1300000000019</v>
      </c>
      <c r="N117" s="18">
        <f t="shared" si="3"/>
        <v>35837652.622523688</v>
      </c>
      <c r="O117" s="4"/>
    </row>
    <row r="118" spans="1:15" ht="15" x14ac:dyDescent="0.2">
      <c r="A118" s="17" t="s">
        <v>113</v>
      </c>
      <c r="B118" s="16">
        <v>47580189.319999993</v>
      </c>
      <c r="C118" s="16">
        <v>0</v>
      </c>
      <c r="D118" s="16">
        <v>1681406.5989521509</v>
      </c>
      <c r="E118" s="16">
        <v>0</v>
      </c>
      <c r="F118" s="16">
        <v>606270.67000000004</v>
      </c>
      <c r="G118" s="16">
        <v>259592.3</v>
      </c>
      <c r="H118" s="16">
        <v>2365344.46</v>
      </c>
      <c r="I118" s="16">
        <v>1122184.42</v>
      </c>
      <c r="J118" s="16">
        <v>5450913.5199999986</v>
      </c>
      <c r="K118" s="16">
        <v>0</v>
      </c>
      <c r="L118" s="16">
        <v>0</v>
      </c>
      <c r="M118" s="16">
        <v>24610.500000000004</v>
      </c>
      <c r="N118" s="18">
        <f t="shared" si="3"/>
        <v>59090511.788952142</v>
      </c>
      <c r="O118" s="4"/>
    </row>
    <row r="119" spans="1:15" ht="15" x14ac:dyDescent="0.2">
      <c r="A119" s="17" t="s">
        <v>114</v>
      </c>
      <c r="B119" s="16">
        <v>69139823.060000002</v>
      </c>
      <c r="C119" s="16">
        <v>0</v>
      </c>
      <c r="D119" s="16">
        <v>1299720.8633279214</v>
      </c>
      <c r="E119" s="16">
        <v>0</v>
      </c>
      <c r="F119" s="16">
        <v>487110.86</v>
      </c>
      <c r="G119" s="16">
        <v>182584.06</v>
      </c>
      <c r="H119" s="16">
        <v>3437134.23</v>
      </c>
      <c r="I119" s="16">
        <v>901624.05</v>
      </c>
      <c r="J119" s="16">
        <v>5030740.6800000006</v>
      </c>
      <c r="K119" s="16">
        <v>0</v>
      </c>
      <c r="L119" s="16">
        <v>0</v>
      </c>
      <c r="M119" s="16">
        <v>19773.379999999997</v>
      </c>
      <c r="N119" s="18">
        <f t="shared" si="3"/>
        <v>80498511.183327928</v>
      </c>
      <c r="O119" s="4"/>
    </row>
    <row r="120" spans="1:15" ht="15" x14ac:dyDescent="0.2">
      <c r="A120" s="17" t="s">
        <v>115</v>
      </c>
      <c r="B120" s="16">
        <v>45709710.650000006</v>
      </c>
      <c r="C120" s="16">
        <v>0</v>
      </c>
      <c r="D120" s="16">
        <v>1557919.636530037</v>
      </c>
      <c r="E120" s="16">
        <v>0</v>
      </c>
      <c r="F120" s="16">
        <v>328231.11</v>
      </c>
      <c r="G120" s="16">
        <v>183826.12</v>
      </c>
      <c r="H120" s="16">
        <v>2272357.73</v>
      </c>
      <c r="I120" s="16">
        <v>607543.56000000006</v>
      </c>
      <c r="J120" s="16">
        <v>5395102.870000001</v>
      </c>
      <c r="K120" s="16">
        <v>0</v>
      </c>
      <c r="L120" s="16">
        <v>0</v>
      </c>
      <c r="M120" s="16">
        <v>13323.9</v>
      </c>
      <c r="N120" s="18">
        <f t="shared" si="3"/>
        <v>56068015.576530032</v>
      </c>
      <c r="O120" s="4"/>
    </row>
    <row r="121" spans="1:15" ht="15" x14ac:dyDescent="0.2">
      <c r="A121" s="17" t="s">
        <v>116</v>
      </c>
      <c r="B121" s="16">
        <v>49697206.70000001</v>
      </c>
      <c r="C121" s="16">
        <v>0</v>
      </c>
      <c r="D121" s="16">
        <v>1312076.6081779501</v>
      </c>
      <c r="E121" s="16">
        <v>0</v>
      </c>
      <c r="F121" s="16">
        <v>137936.5</v>
      </c>
      <c r="G121" s="16">
        <v>67071.69</v>
      </c>
      <c r="H121" s="16">
        <v>2470587.3199999998</v>
      </c>
      <c r="I121" s="16">
        <v>255315.34</v>
      </c>
      <c r="J121" s="16">
        <v>2961351.9699999988</v>
      </c>
      <c r="K121" s="16">
        <v>0</v>
      </c>
      <c r="L121" s="16">
        <v>0</v>
      </c>
      <c r="M121" s="16">
        <v>5599.2300000000005</v>
      </c>
      <c r="N121" s="18">
        <f t="shared" si="3"/>
        <v>56907145.35817796</v>
      </c>
      <c r="O121" s="4"/>
    </row>
    <row r="122" spans="1:15" ht="15" x14ac:dyDescent="0.2">
      <c r="A122" s="17" t="s">
        <v>117</v>
      </c>
      <c r="B122" s="16">
        <v>139199700.20999998</v>
      </c>
      <c r="C122" s="16">
        <v>0</v>
      </c>
      <c r="D122" s="16">
        <v>4580259.2750000004</v>
      </c>
      <c r="E122" s="16">
        <v>0</v>
      </c>
      <c r="F122" s="16">
        <v>4152538.87</v>
      </c>
      <c r="G122" s="16">
        <v>1668258.0570642066</v>
      </c>
      <c r="H122" s="16">
        <v>6920006.9199999999</v>
      </c>
      <c r="I122" s="16">
        <v>7686194.6399999997</v>
      </c>
      <c r="J122" s="16">
        <v>13877241.849999994</v>
      </c>
      <c r="K122" s="16">
        <v>0</v>
      </c>
      <c r="L122" s="16">
        <v>0</v>
      </c>
      <c r="M122" s="16">
        <v>168565.42</v>
      </c>
      <c r="N122" s="18">
        <f t="shared" si="3"/>
        <v>178252765.24206415</v>
      </c>
      <c r="O122" s="4"/>
    </row>
    <row r="123" spans="1:15" ht="15" x14ac:dyDescent="0.2">
      <c r="A123" s="17" t="s">
        <v>118</v>
      </c>
      <c r="B123" s="16">
        <v>372596849.02999997</v>
      </c>
      <c r="C123" s="16">
        <v>0</v>
      </c>
      <c r="D123" s="16">
        <v>5153297.4800000004</v>
      </c>
      <c r="E123" s="16">
        <v>0</v>
      </c>
      <c r="F123" s="16">
        <v>5772390.1200000001</v>
      </c>
      <c r="G123" s="16">
        <v>4330184.4795129169</v>
      </c>
      <c r="H123" s="16">
        <v>18522832.809999999</v>
      </c>
      <c r="I123" s="16">
        <v>10684478.92</v>
      </c>
      <c r="J123" s="16">
        <v>18612358.379999999</v>
      </c>
      <c r="K123" s="16">
        <v>0</v>
      </c>
      <c r="L123" s="16">
        <v>0</v>
      </c>
      <c r="M123" s="16">
        <v>234320.63</v>
      </c>
      <c r="N123" s="18">
        <f t="shared" si="3"/>
        <v>435906711.84951293</v>
      </c>
      <c r="O123" s="4"/>
    </row>
    <row r="124" spans="1:15" ht="15" x14ac:dyDescent="0.2">
      <c r="A124" s="17" t="s">
        <v>119</v>
      </c>
      <c r="B124" s="16">
        <v>283649960.95999998</v>
      </c>
      <c r="C124" s="16">
        <v>0</v>
      </c>
      <c r="D124" s="16">
        <v>1834314.4500000002</v>
      </c>
      <c r="E124" s="16">
        <v>0</v>
      </c>
      <c r="F124" s="16">
        <v>7391880.2800000003</v>
      </c>
      <c r="G124" s="16">
        <v>0</v>
      </c>
      <c r="H124" s="16">
        <v>14101033.91</v>
      </c>
      <c r="I124" s="16">
        <v>13682094.83</v>
      </c>
      <c r="J124" s="16">
        <v>25981433.530000016</v>
      </c>
      <c r="K124" s="16">
        <v>0</v>
      </c>
      <c r="L124" s="16">
        <v>0</v>
      </c>
      <c r="M124" s="16">
        <v>300061.16000000003</v>
      </c>
      <c r="N124" s="18">
        <f t="shared" si="3"/>
        <v>346940779.12</v>
      </c>
      <c r="O124" s="4"/>
    </row>
    <row r="125" spans="1:15" ht="15" x14ac:dyDescent="0.2">
      <c r="A125" s="17" t="s">
        <v>120</v>
      </c>
      <c r="B125" s="16">
        <v>101132690.25</v>
      </c>
      <c r="C125" s="16">
        <v>0</v>
      </c>
      <c r="D125" s="16">
        <v>1804244.5059226272</v>
      </c>
      <c r="E125" s="16">
        <v>0</v>
      </c>
      <c r="F125" s="16">
        <v>2874279.07</v>
      </c>
      <c r="G125" s="16">
        <v>1158849.82</v>
      </c>
      <c r="H125" s="16">
        <v>5027589.25</v>
      </c>
      <c r="I125" s="16">
        <v>5320183.42</v>
      </c>
      <c r="J125" s="16">
        <v>16166046.330000006</v>
      </c>
      <c r="K125" s="16">
        <v>0</v>
      </c>
      <c r="L125" s="16">
        <v>0</v>
      </c>
      <c r="M125" s="16">
        <v>116676.55000000002</v>
      </c>
      <c r="N125" s="18">
        <f t="shared" si="3"/>
        <v>133600559.19592263</v>
      </c>
      <c r="O125" s="4"/>
    </row>
    <row r="126" spans="1:15" ht="15" x14ac:dyDescent="0.2">
      <c r="A126" s="17" t="s">
        <v>121</v>
      </c>
      <c r="B126" s="16">
        <v>127401571.18000001</v>
      </c>
      <c r="C126" s="16">
        <v>0</v>
      </c>
      <c r="D126" s="16">
        <v>1626231.2975005493</v>
      </c>
      <c r="E126" s="16">
        <v>0</v>
      </c>
      <c r="F126" s="16">
        <v>1438944.99</v>
      </c>
      <c r="G126" s="16">
        <v>469501.86</v>
      </c>
      <c r="H126" s="16">
        <v>6333488.8899999997</v>
      </c>
      <c r="I126" s="16">
        <v>2663433.5299999998</v>
      </c>
      <c r="J126" s="16">
        <v>10687813.290000003</v>
      </c>
      <c r="K126" s="16">
        <v>0</v>
      </c>
      <c r="L126" s="16">
        <v>0</v>
      </c>
      <c r="M126" s="16">
        <v>58411.549999999996</v>
      </c>
      <c r="N126" s="18">
        <f t="shared" si="3"/>
        <v>150679396.58750054</v>
      </c>
      <c r="O126" s="4"/>
    </row>
    <row r="127" spans="1:15" ht="15" x14ac:dyDescent="0.2">
      <c r="A127" s="17" t="s">
        <v>122</v>
      </c>
      <c r="B127" s="16">
        <v>60151878.309999995</v>
      </c>
      <c r="C127" s="16">
        <v>0</v>
      </c>
      <c r="D127" s="16">
        <v>788182.47560425219</v>
      </c>
      <c r="E127" s="16">
        <v>0</v>
      </c>
      <c r="F127" s="16">
        <v>1527412.12</v>
      </c>
      <c r="G127" s="16">
        <v>473228.06</v>
      </c>
      <c r="H127" s="16">
        <v>2990318.33</v>
      </c>
      <c r="I127" s="16">
        <v>2827182.9</v>
      </c>
      <c r="J127" s="16">
        <v>10980709.32</v>
      </c>
      <c r="K127" s="16">
        <v>0</v>
      </c>
      <c r="L127" s="16">
        <v>0</v>
      </c>
      <c r="M127" s="16">
        <v>62002.71</v>
      </c>
      <c r="N127" s="18">
        <f t="shared" si="3"/>
        <v>79800914.225604251</v>
      </c>
      <c r="O127" s="4"/>
    </row>
    <row r="128" spans="1:15" ht="15" x14ac:dyDescent="0.2">
      <c r="A128" s="17" t="s">
        <v>123</v>
      </c>
      <c r="B128" s="16">
        <v>36671743.519999996</v>
      </c>
      <c r="C128" s="16">
        <v>0</v>
      </c>
      <c r="D128" s="16">
        <v>720144.8441016071</v>
      </c>
      <c r="E128" s="16">
        <v>0</v>
      </c>
      <c r="F128" s="16">
        <v>139741.96</v>
      </c>
      <c r="G128" s="16">
        <v>80734.45</v>
      </c>
      <c r="H128" s="16">
        <v>1823055.07</v>
      </c>
      <c r="I128" s="16">
        <v>258657.16</v>
      </c>
      <c r="J128" s="16">
        <v>2582103.1100000003</v>
      </c>
      <c r="K128" s="16">
        <v>0</v>
      </c>
      <c r="L128" s="16">
        <v>0</v>
      </c>
      <c r="M128" s="16">
        <v>5672.52</v>
      </c>
      <c r="N128" s="18">
        <f t="shared" si="3"/>
        <v>42281852.634101607</v>
      </c>
      <c r="O128" s="4"/>
    </row>
    <row r="129" spans="1:15" ht="15" x14ac:dyDescent="0.2">
      <c r="A129" s="17" t="s">
        <v>124</v>
      </c>
      <c r="B129" s="16">
        <v>189650815.31</v>
      </c>
      <c r="C129" s="16">
        <v>0</v>
      </c>
      <c r="D129" s="16">
        <v>7191719.2543428261</v>
      </c>
      <c r="E129" s="16">
        <v>0</v>
      </c>
      <c r="F129" s="16">
        <v>1777286.63</v>
      </c>
      <c r="G129" s="16">
        <v>984960.24</v>
      </c>
      <c r="H129" s="16">
        <v>9428073.1400000006</v>
      </c>
      <c r="I129" s="16">
        <v>3289691.31</v>
      </c>
      <c r="J129" s="16">
        <v>16658124.84999999</v>
      </c>
      <c r="K129" s="16">
        <v>0</v>
      </c>
      <c r="L129" s="16">
        <v>0</v>
      </c>
      <c r="M129" s="16">
        <v>72145.95</v>
      </c>
      <c r="N129" s="18">
        <f t="shared" si="3"/>
        <v>229052816.68434283</v>
      </c>
      <c r="O129" s="4"/>
    </row>
    <row r="130" spans="1:15" ht="15" x14ac:dyDescent="0.2">
      <c r="A130" s="17" t="s">
        <v>125</v>
      </c>
      <c r="B130" s="16">
        <v>59390823.950000003</v>
      </c>
      <c r="C130" s="16">
        <v>0</v>
      </c>
      <c r="D130" s="16">
        <v>2048539.7004522213</v>
      </c>
      <c r="E130" s="16">
        <v>0</v>
      </c>
      <c r="F130" s="16">
        <v>219904.01</v>
      </c>
      <c r="G130" s="16">
        <v>73282.039999999994</v>
      </c>
      <c r="H130" s="16">
        <v>2952484.18</v>
      </c>
      <c r="I130" s="16">
        <v>407034.13</v>
      </c>
      <c r="J130" s="16">
        <v>4378151.6100000013</v>
      </c>
      <c r="K130" s="16">
        <v>0</v>
      </c>
      <c r="L130" s="16">
        <v>0</v>
      </c>
      <c r="M130" s="16">
        <v>8926.57</v>
      </c>
      <c r="N130" s="18">
        <f t="shared" si="3"/>
        <v>69479146.190452218</v>
      </c>
      <c r="O130" s="4"/>
    </row>
    <row r="131" spans="1:15" ht="15" x14ac:dyDescent="0.2">
      <c r="A131" s="17" t="s">
        <v>126</v>
      </c>
      <c r="B131" s="16">
        <v>279326600.51999998</v>
      </c>
      <c r="C131" s="16">
        <v>0</v>
      </c>
      <c r="D131" s="16">
        <v>6837859.5399999991</v>
      </c>
      <c r="E131" s="16">
        <v>0</v>
      </c>
      <c r="F131" s="16">
        <v>9710080.2400000002</v>
      </c>
      <c r="G131" s="16">
        <v>867183.13416229188</v>
      </c>
      <c r="H131" s="16">
        <v>13886107.560000001</v>
      </c>
      <c r="I131" s="16">
        <v>17972996.530000001</v>
      </c>
      <c r="J131" s="16">
        <v>35164355.110000014</v>
      </c>
      <c r="K131" s="16">
        <v>0</v>
      </c>
      <c r="L131" s="16">
        <v>0</v>
      </c>
      <c r="M131" s="16">
        <v>394164.67</v>
      </c>
      <c r="N131" s="18">
        <f t="shared" si="3"/>
        <v>364159347.30416232</v>
      </c>
      <c r="O131" s="4"/>
    </row>
    <row r="132" spans="1:15" ht="15" x14ac:dyDescent="0.2">
      <c r="A132" s="17" t="s">
        <v>127</v>
      </c>
      <c r="B132" s="16">
        <v>12409116.229999999</v>
      </c>
      <c r="C132" s="16">
        <v>0</v>
      </c>
      <c r="D132" s="16">
        <v>108594.24414053302</v>
      </c>
      <c r="E132" s="16">
        <v>0</v>
      </c>
      <c r="F132" s="16">
        <v>41525.379999999997</v>
      </c>
      <c r="G132" s="16">
        <v>13662.75</v>
      </c>
      <c r="H132" s="16">
        <v>616891.92000000004</v>
      </c>
      <c r="I132" s="16">
        <v>76861.95</v>
      </c>
      <c r="J132" s="16">
        <v>1265242.8600000001</v>
      </c>
      <c r="K132" s="16">
        <v>0</v>
      </c>
      <c r="L132" s="16">
        <v>0</v>
      </c>
      <c r="M132" s="16">
        <v>1685.58</v>
      </c>
      <c r="N132" s="18">
        <f t="shared" si="3"/>
        <v>14533580.914140532</v>
      </c>
      <c r="O132" s="4"/>
    </row>
    <row r="133" spans="1:15" ht="15" x14ac:dyDescent="0.2">
      <c r="A133" s="17" t="s">
        <v>128</v>
      </c>
      <c r="B133" s="16">
        <v>69393507.829999998</v>
      </c>
      <c r="C133" s="16">
        <v>0</v>
      </c>
      <c r="D133" s="16">
        <v>1336165.4155774433</v>
      </c>
      <c r="E133" s="16">
        <v>0</v>
      </c>
      <c r="F133" s="16">
        <v>150213.57999999999</v>
      </c>
      <c r="G133" s="16">
        <v>100607.54</v>
      </c>
      <c r="H133" s="16">
        <v>3449745.61</v>
      </c>
      <c r="I133" s="16">
        <v>278039.74</v>
      </c>
      <c r="J133" s="16">
        <v>4598354.669999999</v>
      </c>
      <c r="K133" s="16">
        <v>0</v>
      </c>
      <c r="L133" s="16">
        <v>0</v>
      </c>
      <c r="M133" s="16">
        <v>6097.6000000000013</v>
      </c>
      <c r="N133" s="18">
        <f t="shared" si="3"/>
        <v>79312731.985577434</v>
      </c>
      <c r="O133" s="4"/>
    </row>
    <row r="134" spans="1:15" ht="15" x14ac:dyDescent="0.2">
      <c r="A134" s="17" t="s">
        <v>129</v>
      </c>
      <c r="B134" s="16">
        <v>136028640.38</v>
      </c>
      <c r="C134" s="16">
        <v>0</v>
      </c>
      <c r="D134" s="16">
        <v>3091079.759749556</v>
      </c>
      <c r="E134" s="16">
        <v>0</v>
      </c>
      <c r="F134" s="16">
        <v>700876.34</v>
      </c>
      <c r="G134" s="16">
        <v>341568.81</v>
      </c>
      <c r="H134" s="16">
        <v>6762364.6600000001</v>
      </c>
      <c r="I134" s="16">
        <v>1297295.98</v>
      </c>
      <c r="J134" s="16">
        <v>10598896.990000002</v>
      </c>
      <c r="K134" s="16">
        <v>0</v>
      </c>
      <c r="L134" s="16">
        <v>0</v>
      </c>
      <c r="M134" s="16">
        <v>28450.820000000003</v>
      </c>
      <c r="N134" s="18">
        <f t="shared" si="3"/>
        <v>158849173.73974955</v>
      </c>
      <c r="O134" s="4"/>
    </row>
    <row r="135" spans="1:15" ht="15" x14ac:dyDescent="0.2">
      <c r="A135" s="17" t="s">
        <v>130</v>
      </c>
      <c r="B135" s="16">
        <v>113975929.13999999</v>
      </c>
      <c r="C135" s="16">
        <v>0</v>
      </c>
      <c r="D135" s="16">
        <v>4452220.8819412049</v>
      </c>
      <c r="E135" s="16">
        <v>0</v>
      </c>
      <c r="F135" s="16">
        <v>1055105.96</v>
      </c>
      <c r="G135" s="16">
        <v>454597.04</v>
      </c>
      <c r="H135" s="16">
        <v>5666062.6299999999</v>
      </c>
      <c r="I135" s="16">
        <v>1952961.8</v>
      </c>
      <c r="J135" s="16">
        <v>10815840.839999996</v>
      </c>
      <c r="K135" s="16">
        <v>0</v>
      </c>
      <c r="L135" s="16">
        <v>0</v>
      </c>
      <c r="M135" s="16">
        <v>42830.22</v>
      </c>
      <c r="N135" s="18">
        <f t="shared" si="3"/>
        <v>138415548.51194116</v>
      </c>
      <c r="O135" s="4"/>
    </row>
    <row r="136" spans="1:15" ht="15" x14ac:dyDescent="0.2">
      <c r="A136" s="17" t="s">
        <v>131</v>
      </c>
      <c r="B136" s="16">
        <v>193972389.26000002</v>
      </c>
      <c r="C136" s="16">
        <v>0</v>
      </c>
      <c r="D136" s="16">
        <v>2701577.36</v>
      </c>
      <c r="E136" s="16">
        <v>0</v>
      </c>
      <c r="F136" s="16">
        <v>6277555.5</v>
      </c>
      <c r="G136" s="16">
        <v>3174775.6734398445</v>
      </c>
      <c r="H136" s="16">
        <v>9642910.6799999997</v>
      </c>
      <c r="I136" s="16">
        <v>11619521.199999999</v>
      </c>
      <c r="J136" s="16">
        <v>24840885.730000004</v>
      </c>
      <c r="K136" s="16">
        <v>0</v>
      </c>
      <c r="L136" s="16">
        <v>0</v>
      </c>
      <c r="M136" s="16">
        <v>254826.97000000003</v>
      </c>
      <c r="N136" s="18">
        <f t="shared" ref="N136:N142" si="4">SUM(B136:M136)</f>
        <v>252484442.37343988</v>
      </c>
      <c r="O136" s="4"/>
    </row>
    <row r="137" spans="1:15" ht="15" x14ac:dyDescent="0.2">
      <c r="A137" s="17" t="s">
        <v>132</v>
      </c>
      <c r="B137" s="16">
        <v>32850393.109999999</v>
      </c>
      <c r="C137" s="16">
        <v>0</v>
      </c>
      <c r="D137" s="16">
        <v>541970.74060741009</v>
      </c>
      <c r="E137" s="16">
        <v>0</v>
      </c>
      <c r="F137" s="16">
        <v>75106.789999999994</v>
      </c>
      <c r="G137" s="16">
        <v>69555.83</v>
      </c>
      <c r="H137" s="16">
        <v>1633085.04</v>
      </c>
      <c r="I137" s="16">
        <v>139019.87</v>
      </c>
      <c r="J137" s="16">
        <v>2376969.8400000003</v>
      </c>
      <c r="K137" s="16">
        <v>0</v>
      </c>
      <c r="L137" s="16">
        <v>0</v>
      </c>
      <c r="M137" s="16">
        <v>3048.76</v>
      </c>
      <c r="N137" s="18">
        <f t="shared" si="4"/>
        <v>37689149.980607405</v>
      </c>
      <c r="O137" s="4"/>
    </row>
    <row r="138" spans="1:15" ht="15" x14ac:dyDescent="0.2">
      <c r="A138" s="17" t="s">
        <v>133</v>
      </c>
      <c r="B138" s="16">
        <v>70340359.520000011</v>
      </c>
      <c r="C138" s="16">
        <v>0</v>
      </c>
      <c r="D138" s="16">
        <v>3378039.6795380386</v>
      </c>
      <c r="E138" s="16">
        <v>0</v>
      </c>
      <c r="F138" s="16">
        <v>653934.59</v>
      </c>
      <c r="G138" s="16">
        <v>284433.65999999997</v>
      </c>
      <c r="H138" s="16">
        <v>3496816.26</v>
      </c>
      <c r="I138" s="16">
        <v>1210408.56</v>
      </c>
      <c r="J138" s="16">
        <v>8847105.3400000054</v>
      </c>
      <c r="K138" s="16">
        <v>0</v>
      </c>
      <c r="L138" s="16">
        <v>0</v>
      </c>
      <c r="M138" s="16">
        <v>26545.339999999997</v>
      </c>
      <c r="N138" s="18">
        <f t="shared" si="4"/>
        <v>88237642.949538067</v>
      </c>
      <c r="O138" s="4"/>
    </row>
    <row r="139" spans="1:15" ht="15" x14ac:dyDescent="0.2">
      <c r="A139" s="17" t="s">
        <v>134</v>
      </c>
      <c r="B139" s="16">
        <v>329313222.38</v>
      </c>
      <c r="C139" s="16">
        <v>0</v>
      </c>
      <c r="D139" s="16">
        <v>3880306.0049999994</v>
      </c>
      <c r="E139" s="16">
        <v>0</v>
      </c>
      <c r="F139" s="16">
        <v>3363195.39</v>
      </c>
      <c r="G139" s="16">
        <v>2932348.5818437012</v>
      </c>
      <c r="H139" s="16">
        <v>16371082.52</v>
      </c>
      <c r="I139" s="16">
        <v>6225149.2800000003</v>
      </c>
      <c r="J139" s="16">
        <v>16027197.069999995</v>
      </c>
      <c r="K139" s="16">
        <v>0</v>
      </c>
      <c r="L139" s="16">
        <v>0</v>
      </c>
      <c r="M139" s="16">
        <v>136523.32</v>
      </c>
      <c r="N139" s="18">
        <f t="shared" si="4"/>
        <v>378249024.54684359</v>
      </c>
      <c r="O139" s="4"/>
    </row>
    <row r="140" spans="1:15" ht="15" x14ac:dyDescent="0.2">
      <c r="A140" s="17" t="s">
        <v>135</v>
      </c>
      <c r="B140" s="16">
        <v>85690075.550000012</v>
      </c>
      <c r="C140" s="16">
        <v>0</v>
      </c>
      <c r="D140" s="16">
        <v>383796.05</v>
      </c>
      <c r="E140" s="16">
        <v>0</v>
      </c>
      <c r="F140" s="16">
        <v>554634.75</v>
      </c>
      <c r="G140" s="16">
        <v>252139.89</v>
      </c>
      <c r="H140" s="16">
        <v>4259893.63</v>
      </c>
      <c r="I140" s="16">
        <v>1026608.26</v>
      </c>
      <c r="J140" s="16">
        <v>4044404.4999999991</v>
      </c>
      <c r="K140" s="16">
        <v>0</v>
      </c>
      <c r="L140" s="16">
        <v>0</v>
      </c>
      <c r="M140" s="16">
        <v>22514.409999999996</v>
      </c>
      <c r="N140" s="18">
        <f t="shared" si="4"/>
        <v>96234067.040000007</v>
      </c>
      <c r="O140" s="4"/>
    </row>
    <row r="141" spans="1:15" ht="15" x14ac:dyDescent="0.2">
      <c r="A141" s="17" t="s">
        <v>136</v>
      </c>
      <c r="B141" s="16">
        <v>106000937.01000002</v>
      </c>
      <c r="C141" s="16">
        <v>0</v>
      </c>
      <c r="D141" s="16">
        <v>2265237.8761901394</v>
      </c>
      <c r="E141" s="16">
        <v>0</v>
      </c>
      <c r="F141" s="16">
        <v>799815.09</v>
      </c>
      <c r="G141" s="16">
        <v>245929.54</v>
      </c>
      <c r="H141" s="16">
        <v>5269603.43</v>
      </c>
      <c r="I141" s="16">
        <v>1480427.92</v>
      </c>
      <c r="J141" s="16">
        <v>11015133.160000004</v>
      </c>
      <c r="K141" s="16">
        <v>0</v>
      </c>
      <c r="L141" s="16">
        <v>0</v>
      </c>
      <c r="M141" s="16">
        <v>32467.109999999997</v>
      </c>
      <c r="N141" s="18">
        <f t="shared" si="4"/>
        <v>127109551.13619019</v>
      </c>
      <c r="O141" s="4"/>
    </row>
    <row r="142" spans="1:15" ht="15" x14ac:dyDescent="0.2">
      <c r="A142" s="17" t="s">
        <v>137</v>
      </c>
      <c r="B142" s="16">
        <v>100434163.84</v>
      </c>
      <c r="C142" s="16">
        <v>0</v>
      </c>
      <c r="D142" s="16">
        <v>4275193.8125552656</v>
      </c>
      <c r="E142" s="16">
        <v>0</v>
      </c>
      <c r="F142" s="16">
        <v>3438663.27</v>
      </c>
      <c r="G142" s="16">
        <v>907952</v>
      </c>
      <c r="H142" s="16">
        <v>4992863.55</v>
      </c>
      <c r="I142" s="16">
        <v>6364837.5300000003</v>
      </c>
      <c r="J142" s="16">
        <v>14816538.039999997</v>
      </c>
      <c r="K142" s="16">
        <v>0</v>
      </c>
      <c r="L142" s="16">
        <v>0</v>
      </c>
      <c r="M142" s="16">
        <v>139586.81000000003</v>
      </c>
      <c r="N142" s="18">
        <f t="shared" si="4"/>
        <v>135369798.85255527</v>
      </c>
      <c r="O142" s="4"/>
    </row>
    <row r="143" spans="1:15" ht="24.75" customHeight="1" x14ac:dyDescent="0.2">
      <c r="A143" s="24" t="s">
        <v>138</v>
      </c>
      <c r="B143" s="25">
        <f t="shared" ref="B143:I143" si="5">SUM(B8:B142)</f>
        <v>17865125735.830002</v>
      </c>
      <c r="C143" s="25"/>
      <c r="D143" s="25">
        <f t="shared" si="5"/>
        <v>294181133.75972641</v>
      </c>
      <c r="E143" s="25">
        <f t="shared" si="5"/>
        <v>0</v>
      </c>
      <c r="F143" s="25">
        <f t="shared" si="5"/>
        <v>361090336.64999962</v>
      </c>
      <c r="G143" s="25">
        <f t="shared" si="5"/>
        <v>124206840.44999997</v>
      </c>
      <c r="H143" s="25">
        <f t="shared" si="5"/>
        <v>888125431.27999961</v>
      </c>
      <c r="I143" s="25">
        <f t="shared" si="5"/>
        <v>668364751.37999964</v>
      </c>
      <c r="J143" s="25">
        <f t="shared" ref="J143:N143" si="6">SUM(J8:J142)</f>
        <v>1831058156.299999</v>
      </c>
      <c r="K143" s="25">
        <f t="shared" si="6"/>
        <v>0</v>
      </c>
      <c r="L143" s="25">
        <f t="shared" si="6"/>
        <v>0</v>
      </c>
      <c r="M143" s="25">
        <f t="shared" si="6"/>
        <v>14657858.380000014</v>
      </c>
      <c r="N143" s="25">
        <f t="shared" si="6"/>
        <v>22046810244.029728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  <c r="N145" s="8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44AEAC"/>
  </sheetPr>
  <dimension ref="A1:P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3.6640625" style="1" bestFit="1" customWidth="1"/>
    <col min="3" max="3" width="22.33203125" style="1" hidden="1" customWidth="1"/>
    <col min="4" max="4" width="22.33203125" style="1" customWidth="1"/>
    <col min="5" max="5" width="22.33203125" style="1" hidden="1" customWidth="1"/>
    <col min="6" max="10" width="22.33203125" style="1" customWidth="1"/>
    <col min="11" max="12" width="22.33203125" style="1" hidden="1" customWidth="1"/>
    <col min="13" max="13" width="22.33203125" style="1" customWidth="1"/>
    <col min="14" max="14" width="23.83203125" style="1" customWidth="1"/>
    <col min="15" max="15" width="12" style="1" customWidth="1"/>
    <col min="16" max="16384" width="12" style="1"/>
  </cols>
  <sheetData>
    <row r="1" spans="1:16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ht="17.25" customHeight="1" x14ac:dyDescent="0.25">
      <c r="A3" s="2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6" ht="17.25" customHeight="1" x14ac:dyDescent="0.25">
      <c r="A4" s="23" t="s">
        <v>162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6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6" ht="18.75" customHeight="1" x14ac:dyDescent="0.2">
      <c r="A6" s="28" t="s">
        <v>2</v>
      </c>
      <c r="B6" s="29" t="s">
        <v>163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6" ht="60" customHeight="1" x14ac:dyDescent="0.2">
      <c r="A7" s="28"/>
      <c r="B7" s="21" t="s">
        <v>139</v>
      </c>
      <c r="C7" s="21" t="s">
        <v>151</v>
      </c>
      <c r="D7" s="21" t="s">
        <v>143</v>
      </c>
      <c r="E7" s="21" t="s">
        <v>141</v>
      </c>
      <c r="F7" s="27" t="s">
        <v>150</v>
      </c>
      <c r="G7" s="21" t="s">
        <v>144</v>
      </c>
      <c r="H7" s="21" t="s">
        <v>146</v>
      </c>
      <c r="I7" s="21" t="s">
        <v>145</v>
      </c>
      <c r="J7" s="21" t="s">
        <v>147</v>
      </c>
      <c r="K7" s="21" t="s">
        <v>148</v>
      </c>
      <c r="L7" s="21" t="s">
        <v>149</v>
      </c>
      <c r="M7" s="21" t="s">
        <v>142</v>
      </c>
      <c r="N7" s="22" t="s">
        <v>140</v>
      </c>
    </row>
    <row r="8" spans="1:16" ht="18" customHeight="1" x14ac:dyDescent="0.2">
      <c r="A8" s="17" t="s">
        <v>3</v>
      </c>
      <c r="B8" s="16">
        <v>68435581.930000007</v>
      </c>
      <c r="C8" s="16">
        <v>0</v>
      </c>
      <c r="D8" s="16">
        <v>16723770.617730454</v>
      </c>
      <c r="E8" s="16">
        <v>0</v>
      </c>
      <c r="F8" s="16">
        <v>228809.92</v>
      </c>
      <c r="G8" s="16">
        <v>119143.39</v>
      </c>
      <c r="H8" s="16">
        <v>3783262.67</v>
      </c>
      <c r="I8" s="16">
        <v>585523.09</v>
      </c>
      <c r="J8" s="16">
        <v>5840288.1600000001</v>
      </c>
      <c r="K8" s="16">
        <v>0</v>
      </c>
      <c r="L8" s="16">
        <v>0</v>
      </c>
      <c r="M8" s="16">
        <v>743.11999999999989</v>
      </c>
      <c r="N8" s="18">
        <f t="shared" ref="N8:N39" si="0">SUM(B8:M8)</f>
        <v>95717122.89773047</v>
      </c>
      <c r="O8" s="4"/>
      <c r="P8" s="10"/>
    </row>
    <row r="9" spans="1:16" ht="18" customHeight="1" x14ac:dyDescent="0.2">
      <c r="A9" s="17" t="s">
        <v>4</v>
      </c>
      <c r="B9" s="16">
        <v>42665269.839999989</v>
      </c>
      <c r="C9" s="16">
        <v>0</v>
      </c>
      <c r="D9" s="16">
        <v>15445975.41199542</v>
      </c>
      <c r="E9" s="16">
        <v>0</v>
      </c>
      <c r="F9" s="16">
        <v>160309.06</v>
      </c>
      <c r="G9" s="16">
        <v>84165.51</v>
      </c>
      <c r="H9" s="16">
        <v>2358625.71</v>
      </c>
      <c r="I9" s="16">
        <v>410229.84</v>
      </c>
      <c r="J9" s="16">
        <v>4383370.1100000013</v>
      </c>
      <c r="K9" s="16">
        <v>0</v>
      </c>
      <c r="L9" s="16">
        <v>0</v>
      </c>
      <c r="M9" s="16">
        <v>520.64</v>
      </c>
      <c r="N9" s="18">
        <f t="shared" si="0"/>
        <v>65508466.121995412</v>
      </c>
      <c r="O9" s="4"/>
    </row>
    <row r="10" spans="1:16" ht="18" customHeight="1" x14ac:dyDescent="0.2">
      <c r="A10" s="17" t="s">
        <v>5</v>
      </c>
      <c r="B10" s="16">
        <v>31355393.140000001</v>
      </c>
      <c r="C10" s="16">
        <v>0</v>
      </c>
      <c r="D10" s="16">
        <v>11632051.8690305</v>
      </c>
      <c r="E10" s="16">
        <v>0</v>
      </c>
      <c r="F10" s="16">
        <v>111988.95</v>
      </c>
      <c r="G10" s="16">
        <v>74327.990000000005</v>
      </c>
      <c r="H10" s="16">
        <v>1733391.97</v>
      </c>
      <c r="I10" s="16">
        <v>286579</v>
      </c>
      <c r="J10" s="16">
        <v>2590873.9500000002</v>
      </c>
      <c r="K10" s="16">
        <v>0</v>
      </c>
      <c r="L10" s="16">
        <v>0</v>
      </c>
      <c r="M10" s="16">
        <v>363.68999999999994</v>
      </c>
      <c r="N10" s="18">
        <f t="shared" si="0"/>
        <v>47784970.559030503</v>
      </c>
      <c r="O10" s="4"/>
    </row>
    <row r="11" spans="1:16" ht="18" customHeight="1" x14ac:dyDescent="0.2">
      <c r="A11" s="17" t="s">
        <v>6</v>
      </c>
      <c r="B11" s="16">
        <v>363098387.74000001</v>
      </c>
      <c r="C11" s="16">
        <v>0</v>
      </c>
      <c r="D11" s="16">
        <v>4296680.8335707104</v>
      </c>
      <c r="E11" s="16">
        <v>0</v>
      </c>
      <c r="F11" s="16">
        <v>12020337.300000001</v>
      </c>
      <c r="G11" s="16">
        <v>6776705.9337143749</v>
      </c>
      <c r="H11" s="16">
        <v>20072841.260000002</v>
      </c>
      <c r="I11" s="16">
        <v>30759964.57</v>
      </c>
      <c r="J11" s="16">
        <v>48761921.25</v>
      </c>
      <c r="K11" s="16">
        <v>0</v>
      </c>
      <c r="L11" s="16">
        <v>0</v>
      </c>
      <c r="M11" s="16">
        <v>39040.950000000004</v>
      </c>
      <c r="N11" s="18">
        <f t="shared" si="0"/>
        <v>485825879.8372851</v>
      </c>
      <c r="O11" s="4"/>
    </row>
    <row r="12" spans="1:16" ht="18" customHeight="1" x14ac:dyDescent="0.2">
      <c r="A12" s="17" t="s">
        <v>7</v>
      </c>
      <c r="B12" s="16">
        <v>54499075.409999996</v>
      </c>
      <c r="C12" s="16">
        <v>0</v>
      </c>
      <c r="D12" s="16">
        <v>14452446.66558945</v>
      </c>
      <c r="E12" s="16">
        <v>0</v>
      </c>
      <c r="F12" s="16">
        <v>411005.14</v>
      </c>
      <c r="G12" s="16">
        <v>203308.9</v>
      </c>
      <c r="H12" s="16">
        <v>3012823.32</v>
      </c>
      <c r="I12" s="16">
        <v>1051759.49</v>
      </c>
      <c r="J12" s="16">
        <v>5260190.4599999972</v>
      </c>
      <c r="K12" s="16">
        <v>0</v>
      </c>
      <c r="L12" s="16">
        <v>0</v>
      </c>
      <c r="M12" s="16">
        <v>1334.8600000000001</v>
      </c>
      <c r="N12" s="18">
        <f t="shared" si="0"/>
        <v>78891944.245589435</v>
      </c>
      <c r="O12" s="4"/>
    </row>
    <row r="13" spans="1:16" ht="18" customHeight="1" x14ac:dyDescent="0.2">
      <c r="A13" s="17" t="s">
        <v>8</v>
      </c>
      <c r="B13" s="16">
        <v>220336517.31</v>
      </c>
      <c r="C13" s="16">
        <v>0</v>
      </c>
      <c r="D13" s="16">
        <v>5153270.0519343046</v>
      </c>
      <c r="E13" s="16">
        <v>0</v>
      </c>
      <c r="F13" s="16">
        <v>5845311.8099999996</v>
      </c>
      <c r="G13" s="16">
        <v>1778656.168608699</v>
      </c>
      <c r="H13" s="16">
        <v>12180665.310000001</v>
      </c>
      <c r="I13" s="16">
        <v>14958114.720000001</v>
      </c>
      <c r="J13" s="16">
        <v>37491776.490000002</v>
      </c>
      <c r="K13" s="16">
        <v>0</v>
      </c>
      <c r="L13" s="16">
        <v>0</v>
      </c>
      <c r="M13" s="16">
        <v>18985.019999999997</v>
      </c>
      <c r="N13" s="18">
        <f t="shared" si="0"/>
        <v>297763296.88054299</v>
      </c>
      <c r="O13" s="4"/>
    </row>
    <row r="14" spans="1:16" ht="18" customHeight="1" x14ac:dyDescent="0.2">
      <c r="A14" s="17" t="s">
        <v>9</v>
      </c>
      <c r="B14" s="16">
        <v>79851990.850000009</v>
      </c>
      <c r="C14" s="16">
        <v>0</v>
      </c>
      <c r="D14" s="16">
        <v>25749902.830798481</v>
      </c>
      <c r="E14" s="16">
        <v>0</v>
      </c>
      <c r="F14" s="16">
        <v>266044.82</v>
      </c>
      <c r="G14" s="16">
        <v>142097.62</v>
      </c>
      <c r="H14" s="16">
        <v>4414385.72</v>
      </c>
      <c r="I14" s="16">
        <v>680806.97</v>
      </c>
      <c r="J14" s="16">
        <v>7545827.3100000024</v>
      </c>
      <c r="K14" s="16">
        <v>0</v>
      </c>
      <c r="L14" s="16">
        <v>0</v>
      </c>
      <c r="M14" s="16">
        <v>864.02999999999986</v>
      </c>
      <c r="N14" s="18">
        <f t="shared" si="0"/>
        <v>118651920.15079848</v>
      </c>
      <c r="O14" s="4"/>
    </row>
    <row r="15" spans="1:16" ht="18" customHeight="1" x14ac:dyDescent="0.2">
      <c r="A15" s="17" t="s">
        <v>10</v>
      </c>
      <c r="B15" s="16">
        <v>130135185.81000002</v>
      </c>
      <c r="C15" s="16">
        <v>0</v>
      </c>
      <c r="D15" s="16">
        <v>37575681.204264805</v>
      </c>
      <c r="E15" s="16">
        <v>0</v>
      </c>
      <c r="F15" s="16">
        <v>991130.67</v>
      </c>
      <c r="G15" s="16">
        <v>456898.5</v>
      </c>
      <c r="H15" s="16">
        <v>7194146.3200000003</v>
      </c>
      <c r="I15" s="16">
        <v>2536296.91</v>
      </c>
      <c r="J15" s="16">
        <v>12598705.559999997</v>
      </c>
      <c r="K15" s="16">
        <v>0</v>
      </c>
      <c r="L15" s="16">
        <v>0</v>
      </c>
      <c r="M15" s="16">
        <v>3219.0699999999997</v>
      </c>
      <c r="N15" s="18">
        <f t="shared" si="0"/>
        <v>191491264.04426479</v>
      </c>
      <c r="O15" s="4"/>
    </row>
    <row r="16" spans="1:16" ht="18" customHeight="1" x14ac:dyDescent="0.2">
      <c r="A16" s="17" t="s">
        <v>11</v>
      </c>
      <c r="B16" s="16">
        <v>240542705.33000001</v>
      </c>
      <c r="C16" s="16">
        <v>0</v>
      </c>
      <c r="D16" s="16">
        <v>9204387.8748533744</v>
      </c>
      <c r="E16" s="16">
        <v>0</v>
      </c>
      <c r="F16" s="16">
        <v>3696488.21</v>
      </c>
      <c r="G16" s="16">
        <v>2109603.13</v>
      </c>
      <c r="H16" s="16">
        <v>13297705.810000001</v>
      </c>
      <c r="I16" s="16">
        <v>9459289.1799999997</v>
      </c>
      <c r="J16" s="16">
        <v>31231809.839999989</v>
      </c>
      <c r="K16" s="16">
        <v>0</v>
      </c>
      <c r="L16" s="16">
        <v>0</v>
      </c>
      <c r="M16" s="16">
        <v>12005.83</v>
      </c>
      <c r="N16" s="18">
        <f t="shared" si="0"/>
        <v>309553995.20485336</v>
      </c>
      <c r="O16" s="4"/>
    </row>
    <row r="17" spans="1:15" ht="15" x14ac:dyDescent="0.2">
      <c r="A17" s="17" t="s">
        <v>12</v>
      </c>
      <c r="B17" s="16">
        <v>86430790.349999994</v>
      </c>
      <c r="C17" s="16">
        <v>0</v>
      </c>
      <c r="D17" s="16">
        <v>34968298.92834688</v>
      </c>
      <c r="E17" s="16">
        <v>0</v>
      </c>
      <c r="F17" s="16">
        <v>759194.15</v>
      </c>
      <c r="G17" s="16">
        <v>306056.40999999997</v>
      </c>
      <c r="H17" s="16">
        <v>4778075.57</v>
      </c>
      <c r="I17" s="16">
        <v>1942772.89</v>
      </c>
      <c r="J17" s="16">
        <v>8613407.4599999972</v>
      </c>
      <c r="K17" s="16">
        <v>0</v>
      </c>
      <c r="L17" s="16">
        <v>0</v>
      </c>
      <c r="M17" s="16">
        <v>2465.7500000000005</v>
      </c>
      <c r="N17" s="18">
        <f t="shared" si="0"/>
        <v>137801061.50834686</v>
      </c>
      <c r="O17" s="4"/>
    </row>
    <row r="18" spans="1:15" ht="15" x14ac:dyDescent="0.2">
      <c r="A18" s="17" t="s">
        <v>13</v>
      </c>
      <c r="B18" s="16">
        <v>52990160.410000004</v>
      </c>
      <c r="C18" s="16">
        <v>0</v>
      </c>
      <c r="D18" s="16">
        <v>11256896.392303316</v>
      </c>
      <c r="E18" s="16">
        <v>0</v>
      </c>
      <c r="F18" s="16">
        <v>511624.66</v>
      </c>
      <c r="G18" s="16">
        <v>229542.31</v>
      </c>
      <c r="H18" s="16">
        <v>2929407.33</v>
      </c>
      <c r="I18" s="16">
        <v>1309244.18</v>
      </c>
      <c r="J18" s="16">
        <v>6954908.0999999978</v>
      </c>
      <c r="K18" s="16">
        <v>0</v>
      </c>
      <c r="L18" s="16">
        <v>0</v>
      </c>
      <c r="M18" s="16">
        <v>1661.66</v>
      </c>
      <c r="N18" s="18">
        <f t="shared" si="0"/>
        <v>76183445.042303324</v>
      </c>
      <c r="O18" s="4"/>
    </row>
    <row r="19" spans="1:15" ht="15" x14ac:dyDescent="0.2">
      <c r="A19" s="17" t="s">
        <v>14</v>
      </c>
      <c r="B19" s="16">
        <v>88647009.25</v>
      </c>
      <c r="C19" s="16">
        <v>0</v>
      </c>
      <c r="D19" s="16">
        <v>22181617.484662436</v>
      </c>
      <c r="E19" s="16">
        <v>0</v>
      </c>
      <c r="F19" s="16">
        <v>206639.51</v>
      </c>
      <c r="G19" s="16">
        <v>142097.62</v>
      </c>
      <c r="H19" s="16">
        <v>4900592.8</v>
      </c>
      <c r="I19" s="16">
        <v>528789.18000000005</v>
      </c>
      <c r="J19" s="16">
        <v>5908934.4300000006</v>
      </c>
      <c r="K19" s="16">
        <v>0</v>
      </c>
      <c r="L19" s="16">
        <v>0</v>
      </c>
      <c r="M19" s="16">
        <v>671.11</v>
      </c>
      <c r="N19" s="18">
        <f t="shared" si="0"/>
        <v>122516351.38466246</v>
      </c>
      <c r="O19" s="4"/>
    </row>
    <row r="20" spans="1:15" ht="15" x14ac:dyDescent="0.2">
      <c r="A20" s="17" t="s">
        <v>15</v>
      </c>
      <c r="B20" s="16">
        <v>294144116.15000004</v>
      </c>
      <c r="C20" s="16">
        <v>0</v>
      </c>
      <c r="D20" s="16">
        <v>2590631.8154551452</v>
      </c>
      <c r="E20" s="16">
        <v>0</v>
      </c>
      <c r="F20" s="16">
        <v>6595410.4199999999</v>
      </c>
      <c r="G20" s="16">
        <v>3526300.9362006215</v>
      </c>
      <c r="H20" s="16">
        <v>16260904.35</v>
      </c>
      <c r="I20" s="16">
        <v>16877612.149999999</v>
      </c>
      <c r="J20" s="16">
        <v>33974771.460000016</v>
      </c>
      <c r="K20" s="16">
        <v>0</v>
      </c>
      <c r="L20" s="16">
        <v>0</v>
      </c>
      <c r="M20" s="16">
        <v>21421.27</v>
      </c>
      <c r="N20" s="18">
        <f t="shared" si="0"/>
        <v>373991168.55165583</v>
      </c>
      <c r="O20" s="4"/>
    </row>
    <row r="21" spans="1:15" ht="15" x14ac:dyDescent="0.2">
      <c r="A21" s="17" t="s">
        <v>16</v>
      </c>
      <c r="B21" s="16">
        <v>127779252.57000001</v>
      </c>
      <c r="C21" s="16">
        <v>0</v>
      </c>
      <c r="D21" s="16">
        <v>2694147.3591196248</v>
      </c>
      <c r="E21" s="16">
        <v>0</v>
      </c>
      <c r="F21" s="16">
        <v>1753735.66</v>
      </c>
      <c r="G21" s="16">
        <v>424267.12052932335</v>
      </c>
      <c r="H21" s="16">
        <v>7063905.3799999999</v>
      </c>
      <c r="I21" s="16">
        <v>4487798.09</v>
      </c>
      <c r="J21" s="16">
        <v>11092330.620000001</v>
      </c>
      <c r="K21" s="16">
        <v>0</v>
      </c>
      <c r="L21" s="16">
        <v>0</v>
      </c>
      <c r="M21" s="16">
        <v>5695.94</v>
      </c>
      <c r="N21" s="18">
        <f t="shared" si="0"/>
        <v>155301132.73964897</v>
      </c>
      <c r="O21" s="4"/>
    </row>
    <row r="22" spans="1:15" ht="15" x14ac:dyDescent="0.2">
      <c r="A22" s="17" t="s">
        <v>17</v>
      </c>
      <c r="B22" s="16">
        <v>98437492.370000005</v>
      </c>
      <c r="C22" s="16">
        <v>0</v>
      </c>
      <c r="D22" s="16">
        <v>18639142.773631826</v>
      </c>
      <c r="E22" s="16">
        <v>0</v>
      </c>
      <c r="F22" s="16">
        <v>417542.57</v>
      </c>
      <c r="G22" s="16">
        <v>239379.84</v>
      </c>
      <c r="H22" s="16">
        <v>5441831.2699999996</v>
      </c>
      <c r="I22" s="16">
        <v>1068488.72</v>
      </c>
      <c r="J22" s="16">
        <v>8510391.9599999972</v>
      </c>
      <c r="K22" s="16">
        <v>0</v>
      </c>
      <c r="L22" s="16">
        <v>0</v>
      </c>
      <c r="M22" s="16">
        <v>1356.1</v>
      </c>
      <c r="N22" s="18">
        <f t="shared" si="0"/>
        <v>132755625.60363181</v>
      </c>
      <c r="O22" s="4"/>
    </row>
    <row r="23" spans="1:15" ht="15" x14ac:dyDescent="0.2">
      <c r="A23" s="17" t="s">
        <v>18</v>
      </c>
      <c r="B23" s="16">
        <v>99513292.929999992</v>
      </c>
      <c r="C23" s="16">
        <v>0</v>
      </c>
      <c r="D23" s="16">
        <v>15642985.314979004</v>
      </c>
      <c r="E23" s="16">
        <v>0</v>
      </c>
      <c r="F23" s="16">
        <v>400204.18</v>
      </c>
      <c r="G23" s="16">
        <v>289660.53000000003</v>
      </c>
      <c r="H23" s="16">
        <v>5501303.7800000003</v>
      </c>
      <c r="I23" s="16">
        <v>1024119.89</v>
      </c>
      <c r="J23" s="16">
        <v>6985029.0299999984</v>
      </c>
      <c r="K23" s="16">
        <v>0</v>
      </c>
      <c r="L23" s="16">
        <v>0</v>
      </c>
      <c r="M23" s="16">
        <v>1299.7800000000004</v>
      </c>
      <c r="N23" s="18">
        <f t="shared" si="0"/>
        <v>129357895.43497901</v>
      </c>
      <c r="O23" s="4"/>
    </row>
    <row r="24" spans="1:15" ht="15" x14ac:dyDescent="0.2">
      <c r="A24" s="17" t="s">
        <v>19</v>
      </c>
      <c r="B24" s="16">
        <v>30445503.409999996</v>
      </c>
      <c r="C24" s="16">
        <v>0</v>
      </c>
      <c r="D24" s="16">
        <v>8092189.9406170407</v>
      </c>
      <c r="E24" s="16">
        <v>0</v>
      </c>
      <c r="F24" s="16">
        <v>416121.39</v>
      </c>
      <c r="G24" s="16">
        <v>129957.7951177793</v>
      </c>
      <c r="H24" s="16">
        <v>1683091.36</v>
      </c>
      <c r="I24" s="16">
        <v>1064851.93</v>
      </c>
      <c r="J24" s="16">
        <v>5672911.0200000014</v>
      </c>
      <c r="K24" s="16">
        <v>0</v>
      </c>
      <c r="L24" s="16">
        <v>0</v>
      </c>
      <c r="M24" s="16">
        <v>1351.49</v>
      </c>
      <c r="N24" s="18">
        <f t="shared" si="0"/>
        <v>47505978.335734822</v>
      </c>
      <c r="O24" s="4"/>
    </row>
    <row r="25" spans="1:15" ht="15" x14ac:dyDescent="0.2">
      <c r="A25" s="17" t="s">
        <v>20</v>
      </c>
      <c r="B25" s="16">
        <v>136333263.72000003</v>
      </c>
      <c r="C25" s="16">
        <v>0</v>
      </c>
      <c r="D25" s="16">
        <v>4451320.3393982295</v>
      </c>
      <c r="E25" s="16">
        <v>0</v>
      </c>
      <c r="F25" s="16">
        <v>1845543.86</v>
      </c>
      <c r="G25" s="16">
        <v>661300.46</v>
      </c>
      <c r="H25" s="16">
        <v>7536789.0800000001</v>
      </c>
      <c r="I25" s="16">
        <v>4722734.6900000004</v>
      </c>
      <c r="J25" s="16">
        <v>13822694.550000004</v>
      </c>
      <c r="K25" s="16">
        <v>0</v>
      </c>
      <c r="L25" s="16">
        <v>0</v>
      </c>
      <c r="M25" s="16">
        <v>5994.14</v>
      </c>
      <c r="N25" s="18">
        <f t="shared" si="0"/>
        <v>169379640.83939829</v>
      </c>
      <c r="O25" s="4"/>
    </row>
    <row r="26" spans="1:15" ht="15" x14ac:dyDescent="0.2">
      <c r="A26" s="17" t="s">
        <v>21</v>
      </c>
      <c r="B26" s="16">
        <v>50438627.069999993</v>
      </c>
      <c r="C26" s="16">
        <v>0</v>
      </c>
      <c r="D26" s="16">
        <v>7560428.7733326387</v>
      </c>
      <c r="E26" s="16">
        <v>0</v>
      </c>
      <c r="F26" s="16">
        <v>839348.68</v>
      </c>
      <c r="G26" s="16">
        <v>362895.46</v>
      </c>
      <c r="H26" s="16">
        <v>2788353.21</v>
      </c>
      <c r="I26" s="16">
        <v>2147887.81</v>
      </c>
      <c r="J26" s="16">
        <v>9250981.9500000011</v>
      </c>
      <c r="K26" s="16">
        <v>0</v>
      </c>
      <c r="L26" s="16">
        <v>0</v>
      </c>
      <c r="M26" s="16">
        <v>2726.1</v>
      </c>
      <c r="N26" s="18">
        <f t="shared" si="0"/>
        <v>73391249.053332627</v>
      </c>
      <c r="O26" s="4"/>
    </row>
    <row r="27" spans="1:15" ht="15" x14ac:dyDescent="0.2">
      <c r="A27" s="17" t="s">
        <v>22</v>
      </c>
      <c r="B27" s="16">
        <v>26025290.649999999</v>
      </c>
      <c r="C27" s="16">
        <v>0</v>
      </c>
      <c r="D27" s="16">
        <v>6264777.7349085556</v>
      </c>
      <c r="E27" s="16">
        <v>0</v>
      </c>
      <c r="F27" s="16">
        <v>208629.16</v>
      </c>
      <c r="G27" s="16">
        <v>101654.45</v>
      </c>
      <c r="H27" s="16">
        <v>1438732.72</v>
      </c>
      <c r="I27" s="16">
        <v>533880.68000000005</v>
      </c>
      <c r="J27" s="16">
        <v>2705827.7399999993</v>
      </c>
      <c r="K27" s="16">
        <v>0</v>
      </c>
      <c r="L27" s="16">
        <v>0</v>
      </c>
      <c r="M27" s="16">
        <v>677.58</v>
      </c>
      <c r="N27" s="18">
        <f t="shared" si="0"/>
        <v>37279470.714908555</v>
      </c>
      <c r="O27" s="4"/>
    </row>
    <row r="28" spans="1:15" ht="15" x14ac:dyDescent="0.2">
      <c r="A28" s="17" t="s">
        <v>23</v>
      </c>
      <c r="B28" s="16">
        <v>85870186.519999996</v>
      </c>
      <c r="C28" s="16">
        <v>0</v>
      </c>
      <c r="D28" s="16">
        <v>16929008.946142633</v>
      </c>
      <c r="E28" s="16">
        <v>0</v>
      </c>
      <c r="F28" s="16">
        <v>287362.52</v>
      </c>
      <c r="G28" s="16">
        <v>155214.32</v>
      </c>
      <c r="H28" s="16">
        <v>4747084.21</v>
      </c>
      <c r="I28" s="16">
        <v>735358.81</v>
      </c>
      <c r="J28" s="16">
        <v>5424363.2099999972</v>
      </c>
      <c r="K28" s="16">
        <v>0</v>
      </c>
      <c r="L28" s="16">
        <v>0</v>
      </c>
      <c r="M28" s="16">
        <v>933.29000000000008</v>
      </c>
      <c r="N28" s="18">
        <f t="shared" si="0"/>
        <v>114149511.82614261</v>
      </c>
      <c r="O28" s="4"/>
    </row>
    <row r="29" spans="1:15" ht="15" x14ac:dyDescent="0.2">
      <c r="A29" s="17" t="s">
        <v>24</v>
      </c>
      <c r="B29" s="16">
        <v>51173873.849999994</v>
      </c>
      <c r="C29" s="16">
        <v>0</v>
      </c>
      <c r="D29" s="16">
        <v>15912884.068684023</v>
      </c>
      <c r="E29" s="16">
        <v>0</v>
      </c>
      <c r="F29" s="16">
        <v>179352.86</v>
      </c>
      <c r="G29" s="16">
        <v>80886.34</v>
      </c>
      <c r="H29" s="16">
        <v>2828999.2</v>
      </c>
      <c r="I29" s="16">
        <v>458962.82</v>
      </c>
      <c r="J29" s="16">
        <v>4860195.8999999994</v>
      </c>
      <c r="K29" s="16">
        <v>0</v>
      </c>
      <c r="L29" s="16">
        <v>0</v>
      </c>
      <c r="M29" s="16">
        <v>582.46</v>
      </c>
      <c r="N29" s="18">
        <f t="shared" si="0"/>
        <v>75495737.498684019</v>
      </c>
      <c r="O29" s="4"/>
    </row>
    <row r="30" spans="1:15" ht="15" x14ac:dyDescent="0.2">
      <c r="A30" s="17" t="s">
        <v>25</v>
      </c>
      <c r="B30" s="16">
        <v>17616233.150000006</v>
      </c>
      <c r="C30" s="16">
        <v>0</v>
      </c>
      <c r="D30" s="16">
        <v>10219084.646649348</v>
      </c>
      <c r="E30" s="16">
        <v>0</v>
      </c>
      <c r="F30" s="16">
        <v>154908.57</v>
      </c>
      <c r="G30" s="16">
        <v>102747.51</v>
      </c>
      <c r="H30" s="16">
        <v>973862.36</v>
      </c>
      <c r="I30" s="16">
        <v>396410.04</v>
      </c>
      <c r="J30" s="16">
        <v>3677076.0599999982</v>
      </c>
      <c r="K30" s="16">
        <v>0</v>
      </c>
      <c r="L30" s="16">
        <v>0</v>
      </c>
      <c r="M30" s="16">
        <v>503.1</v>
      </c>
      <c r="N30" s="18">
        <f t="shared" si="0"/>
        <v>33140825.436649352</v>
      </c>
      <c r="O30" s="4"/>
    </row>
    <row r="31" spans="1:15" ht="15" x14ac:dyDescent="0.2">
      <c r="A31" s="17" t="s">
        <v>26</v>
      </c>
      <c r="B31" s="16">
        <v>32247818.580000006</v>
      </c>
      <c r="C31" s="16">
        <v>0</v>
      </c>
      <c r="D31" s="16">
        <v>5487202.0440135356</v>
      </c>
      <c r="E31" s="16">
        <v>0</v>
      </c>
      <c r="F31" s="16">
        <v>185037.58</v>
      </c>
      <c r="G31" s="16">
        <v>57932.11</v>
      </c>
      <c r="H31" s="16">
        <v>1782727.13</v>
      </c>
      <c r="I31" s="16">
        <v>473509.98</v>
      </c>
      <c r="J31" s="16">
        <v>2604606.899999999</v>
      </c>
      <c r="K31" s="16">
        <v>0</v>
      </c>
      <c r="L31" s="16">
        <v>0</v>
      </c>
      <c r="M31" s="16">
        <v>600.95000000000005</v>
      </c>
      <c r="N31" s="18">
        <f t="shared" si="0"/>
        <v>42839435.274013542</v>
      </c>
      <c r="O31" s="4"/>
    </row>
    <row r="32" spans="1:15" ht="15" x14ac:dyDescent="0.2">
      <c r="A32" s="17" t="s">
        <v>27</v>
      </c>
      <c r="B32" s="16">
        <v>147437061.75999999</v>
      </c>
      <c r="C32" s="16">
        <v>0</v>
      </c>
      <c r="D32" s="16">
        <v>27728127.161283948</v>
      </c>
      <c r="E32" s="16">
        <v>0</v>
      </c>
      <c r="F32" s="16">
        <v>545732.97</v>
      </c>
      <c r="G32" s="16">
        <v>341034.29</v>
      </c>
      <c r="H32" s="16">
        <v>8150630.3499999996</v>
      </c>
      <c r="I32" s="16">
        <v>1396527.12</v>
      </c>
      <c r="J32" s="16">
        <v>8405728.799999997</v>
      </c>
      <c r="K32" s="16">
        <v>0</v>
      </c>
      <c r="L32" s="16">
        <v>0</v>
      </c>
      <c r="M32" s="16">
        <v>1772.4600000000003</v>
      </c>
      <c r="N32" s="18">
        <f t="shared" si="0"/>
        <v>194006614.91128394</v>
      </c>
      <c r="O32" s="4"/>
    </row>
    <row r="33" spans="1:15" ht="15" x14ac:dyDescent="0.2">
      <c r="A33" s="17" t="s">
        <v>28</v>
      </c>
      <c r="B33" s="16">
        <v>95335833.800000012</v>
      </c>
      <c r="C33" s="16">
        <v>0</v>
      </c>
      <c r="D33" s="16">
        <v>16526402.509569708</v>
      </c>
      <c r="E33" s="16">
        <v>0</v>
      </c>
      <c r="F33" s="16">
        <v>400488.41</v>
      </c>
      <c r="G33" s="16">
        <v>255775.72</v>
      </c>
      <c r="H33" s="16">
        <v>5270365.07</v>
      </c>
      <c r="I33" s="16">
        <v>1024847.25</v>
      </c>
      <c r="J33" s="16">
        <v>7883877.1199999964</v>
      </c>
      <c r="K33" s="16">
        <v>0</v>
      </c>
      <c r="L33" s="16">
        <v>0</v>
      </c>
      <c r="M33" s="16">
        <v>1300.7100000000003</v>
      </c>
      <c r="N33" s="18">
        <f t="shared" si="0"/>
        <v>126698890.58956969</v>
      </c>
      <c r="O33" s="4"/>
    </row>
    <row r="34" spans="1:15" ht="15" x14ac:dyDescent="0.2">
      <c r="A34" s="17" t="s">
        <v>29</v>
      </c>
      <c r="B34" s="16">
        <v>132922487.12</v>
      </c>
      <c r="C34" s="16">
        <v>0</v>
      </c>
      <c r="D34" s="16">
        <v>17352855.443745553</v>
      </c>
      <c r="E34" s="16">
        <v>0</v>
      </c>
      <c r="F34" s="16">
        <v>582399.41</v>
      </c>
      <c r="G34" s="16">
        <v>449247.09</v>
      </c>
      <c r="H34" s="16">
        <v>7348234.1799999997</v>
      </c>
      <c r="I34" s="16">
        <v>1490356.29</v>
      </c>
      <c r="J34" s="16">
        <v>10172773.169999994</v>
      </c>
      <c r="K34" s="16">
        <v>0</v>
      </c>
      <c r="L34" s="16">
        <v>0</v>
      </c>
      <c r="M34" s="16">
        <v>1891.57</v>
      </c>
      <c r="N34" s="18">
        <f t="shared" si="0"/>
        <v>170320244.27374554</v>
      </c>
      <c r="O34" s="4"/>
    </row>
    <row r="35" spans="1:15" ht="15" x14ac:dyDescent="0.2">
      <c r="A35" s="17" t="s">
        <v>30</v>
      </c>
      <c r="B35" s="16">
        <v>64046804.880000003</v>
      </c>
      <c r="C35" s="16">
        <v>0</v>
      </c>
      <c r="D35" s="16">
        <v>13678197.635589452</v>
      </c>
      <c r="E35" s="16">
        <v>0</v>
      </c>
      <c r="F35" s="16">
        <v>364106.22</v>
      </c>
      <c r="G35" s="16">
        <v>173796.32</v>
      </c>
      <c r="H35" s="16">
        <v>3540641.86</v>
      </c>
      <c r="I35" s="16">
        <v>931745.44</v>
      </c>
      <c r="J35" s="16">
        <v>3719959.3199999989</v>
      </c>
      <c r="K35" s="16">
        <v>0</v>
      </c>
      <c r="L35" s="16">
        <v>0</v>
      </c>
      <c r="M35" s="16">
        <v>1182.54</v>
      </c>
      <c r="N35" s="18">
        <f t="shared" si="0"/>
        <v>86456434.215589449</v>
      </c>
      <c r="O35" s="4"/>
    </row>
    <row r="36" spans="1:15" ht="15" x14ac:dyDescent="0.2">
      <c r="A36" s="17" t="s">
        <v>31</v>
      </c>
      <c r="B36" s="16">
        <v>68989200.069999993</v>
      </c>
      <c r="C36" s="16">
        <v>0</v>
      </c>
      <c r="D36" s="16">
        <v>13754192.244283468</v>
      </c>
      <c r="E36" s="16">
        <v>0</v>
      </c>
      <c r="F36" s="16">
        <v>229094.15</v>
      </c>
      <c r="G36" s="16">
        <v>110398.92</v>
      </c>
      <c r="H36" s="16">
        <v>3813867.84</v>
      </c>
      <c r="I36" s="16">
        <v>586250.44999999995</v>
      </c>
      <c r="J36" s="16">
        <v>4871090.700000002</v>
      </c>
      <c r="K36" s="16">
        <v>0</v>
      </c>
      <c r="L36" s="16">
        <v>0</v>
      </c>
      <c r="M36" s="16">
        <v>744.05</v>
      </c>
      <c r="N36" s="18">
        <f t="shared" si="0"/>
        <v>92354838.424283475</v>
      </c>
      <c r="O36" s="4"/>
    </row>
    <row r="37" spans="1:15" ht="15" x14ac:dyDescent="0.2">
      <c r="A37" s="17" t="s">
        <v>32</v>
      </c>
      <c r="B37" s="16">
        <v>76622842.879999995</v>
      </c>
      <c r="C37" s="16">
        <v>0</v>
      </c>
      <c r="D37" s="16">
        <v>15101025.36849582</v>
      </c>
      <c r="E37" s="16">
        <v>0</v>
      </c>
      <c r="F37" s="16">
        <v>424932.7</v>
      </c>
      <c r="G37" s="16">
        <v>160679.62</v>
      </c>
      <c r="H37" s="16">
        <v>4235871.6399999997</v>
      </c>
      <c r="I37" s="16">
        <v>1087400.02</v>
      </c>
      <c r="J37" s="16">
        <v>6289318.5600000005</v>
      </c>
      <c r="K37" s="16">
        <v>0</v>
      </c>
      <c r="L37" s="16">
        <v>0</v>
      </c>
      <c r="M37" s="16">
        <v>1380.1000000000001</v>
      </c>
      <c r="N37" s="18">
        <f t="shared" si="0"/>
        <v>103923450.88849582</v>
      </c>
      <c r="O37" s="4"/>
    </row>
    <row r="38" spans="1:15" ht="15" x14ac:dyDescent="0.2">
      <c r="A38" s="17" t="s">
        <v>33</v>
      </c>
      <c r="B38" s="16">
        <v>70113900.599999994</v>
      </c>
      <c r="C38" s="16">
        <v>0</v>
      </c>
      <c r="D38" s="16">
        <v>1573468.613297415</v>
      </c>
      <c r="E38" s="16">
        <v>0</v>
      </c>
      <c r="F38" s="16">
        <v>379739.19</v>
      </c>
      <c r="G38" s="16">
        <v>435037.33</v>
      </c>
      <c r="H38" s="16">
        <v>3876043.64</v>
      </c>
      <c r="I38" s="16">
        <v>971750.12</v>
      </c>
      <c r="J38" s="16">
        <v>10411067.099999996</v>
      </c>
      <c r="K38" s="16">
        <v>0</v>
      </c>
      <c r="L38" s="16">
        <v>0</v>
      </c>
      <c r="M38" s="16">
        <v>1233.33</v>
      </c>
      <c r="N38" s="18">
        <f t="shared" si="0"/>
        <v>87762239.923297405</v>
      </c>
      <c r="O38" s="4"/>
    </row>
    <row r="39" spans="1:15" ht="15" x14ac:dyDescent="0.2">
      <c r="A39" s="17" t="s">
        <v>34</v>
      </c>
      <c r="B39" s="16">
        <v>116053725.64999999</v>
      </c>
      <c r="C39" s="16">
        <v>0</v>
      </c>
      <c r="D39" s="16">
        <v>24138376.900623638</v>
      </c>
      <c r="E39" s="16">
        <v>0</v>
      </c>
      <c r="F39" s="16">
        <v>483769.54</v>
      </c>
      <c r="G39" s="16">
        <v>267799.36</v>
      </c>
      <c r="H39" s="16">
        <v>6415693.6299999999</v>
      </c>
      <c r="I39" s="16">
        <v>1237963.1000000001</v>
      </c>
      <c r="J39" s="16">
        <v>8867063.9399999976</v>
      </c>
      <c r="K39" s="16">
        <v>0</v>
      </c>
      <c r="L39" s="16">
        <v>0</v>
      </c>
      <c r="M39" s="16">
        <v>1571.21</v>
      </c>
      <c r="N39" s="18">
        <f t="shared" si="0"/>
        <v>157465963.33062363</v>
      </c>
      <c r="O39" s="4"/>
    </row>
    <row r="40" spans="1:15" ht="15" x14ac:dyDescent="0.2">
      <c r="A40" s="17" t="s">
        <v>35</v>
      </c>
      <c r="B40" s="16">
        <v>77749289.849999994</v>
      </c>
      <c r="C40" s="16">
        <v>0</v>
      </c>
      <c r="D40" s="16">
        <v>18776078.000882946</v>
      </c>
      <c r="E40" s="16">
        <v>0</v>
      </c>
      <c r="F40" s="16">
        <v>258370.45</v>
      </c>
      <c r="G40" s="16">
        <v>118050.33</v>
      </c>
      <c r="H40" s="16">
        <v>4298144</v>
      </c>
      <c r="I40" s="16">
        <v>661168.31000000006</v>
      </c>
      <c r="J40" s="16">
        <v>4934646.78</v>
      </c>
      <c r="K40" s="16">
        <v>0</v>
      </c>
      <c r="L40" s="16">
        <v>0</v>
      </c>
      <c r="M40" s="16">
        <v>839.11999999999989</v>
      </c>
      <c r="N40" s="18">
        <f t="shared" ref="N40:N71" si="1">SUM(B40:M40)</f>
        <v>106796586.84088296</v>
      </c>
      <c r="O40" s="4"/>
    </row>
    <row r="41" spans="1:15" ht="15" x14ac:dyDescent="0.2">
      <c r="A41" s="17" t="s">
        <v>36</v>
      </c>
      <c r="B41" s="16">
        <v>80557548.310000002</v>
      </c>
      <c r="C41" s="16">
        <v>0</v>
      </c>
      <c r="D41" s="16">
        <v>5451191.0789613398</v>
      </c>
      <c r="E41" s="16">
        <v>0</v>
      </c>
      <c r="F41" s="16">
        <v>437439.09</v>
      </c>
      <c r="G41" s="16">
        <v>189099.14</v>
      </c>
      <c r="H41" s="16">
        <v>4453390.42</v>
      </c>
      <c r="I41" s="16">
        <v>1119403.77</v>
      </c>
      <c r="J41" s="16">
        <v>5006936.97</v>
      </c>
      <c r="K41" s="16">
        <v>0</v>
      </c>
      <c r="L41" s="16">
        <v>0</v>
      </c>
      <c r="M41" s="16">
        <v>1420.72</v>
      </c>
      <c r="N41" s="18">
        <f t="shared" si="1"/>
        <v>97216429.498961344</v>
      </c>
      <c r="O41" s="4"/>
    </row>
    <row r="42" spans="1:15" ht="15" x14ac:dyDescent="0.2">
      <c r="A42" s="17" t="s">
        <v>37</v>
      </c>
      <c r="B42" s="16">
        <v>49628283.829999998</v>
      </c>
      <c r="C42" s="16">
        <v>0</v>
      </c>
      <c r="D42" s="16">
        <v>661116.40678236994</v>
      </c>
      <c r="E42" s="16">
        <v>0</v>
      </c>
      <c r="F42" s="16">
        <v>1188106.17</v>
      </c>
      <c r="G42" s="16">
        <v>0</v>
      </c>
      <c r="H42" s="16">
        <v>2743555.74</v>
      </c>
      <c r="I42" s="16">
        <v>3040355.92</v>
      </c>
      <c r="J42" s="16">
        <v>7802431.7700000014</v>
      </c>
      <c r="K42" s="16">
        <v>0</v>
      </c>
      <c r="L42" s="16">
        <v>0</v>
      </c>
      <c r="M42" s="16">
        <v>3858.81</v>
      </c>
      <c r="N42" s="18">
        <f t="shared" si="1"/>
        <v>65067708.646782376</v>
      </c>
      <c r="O42" s="4"/>
    </row>
    <row r="43" spans="1:15" ht="15" x14ac:dyDescent="0.2">
      <c r="A43" s="17" t="s">
        <v>38</v>
      </c>
      <c r="B43" s="16">
        <v>178900733.63999999</v>
      </c>
      <c r="C43" s="16">
        <v>0</v>
      </c>
      <c r="D43" s="16">
        <v>5991260.4855794888</v>
      </c>
      <c r="E43" s="16">
        <v>0</v>
      </c>
      <c r="F43" s="16">
        <v>4940588.8600000003</v>
      </c>
      <c r="G43" s="16">
        <v>1494211.13</v>
      </c>
      <c r="H43" s="16">
        <v>9890008.1899999995</v>
      </c>
      <c r="I43" s="16">
        <v>12642934.6</v>
      </c>
      <c r="J43" s="16">
        <v>24152444.609999999</v>
      </c>
      <c r="K43" s="16">
        <v>0</v>
      </c>
      <c r="L43" s="16">
        <v>0</v>
      </c>
      <c r="M43" s="16">
        <v>16046.57</v>
      </c>
      <c r="N43" s="18">
        <f t="shared" si="1"/>
        <v>238028228.08557945</v>
      </c>
      <c r="O43" s="4"/>
    </row>
    <row r="44" spans="1:15" ht="15" x14ac:dyDescent="0.2">
      <c r="A44" s="17" t="s">
        <v>39</v>
      </c>
      <c r="B44" s="16">
        <v>257341609.65999997</v>
      </c>
      <c r="C44" s="16">
        <v>0</v>
      </c>
      <c r="D44" s="16">
        <v>2887012.726856845</v>
      </c>
      <c r="E44" s="16">
        <v>0</v>
      </c>
      <c r="F44" s="16">
        <v>6216523.9299999997</v>
      </c>
      <c r="G44" s="16">
        <v>2745645.309213277</v>
      </c>
      <c r="H44" s="16">
        <v>14226384.51</v>
      </c>
      <c r="I44" s="16">
        <v>15908044.1</v>
      </c>
      <c r="J44" s="16">
        <v>31351707.449999988</v>
      </c>
      <c r="K44" s="16">
        <v>0</v>
      </c>
      <c r="L44" s="16">
        <v>0</v>
      </c>
      <c r="M44" s="16">
        <v>20190.680000000004</v>
      </c>
      <c r="N44" s="18">
        <f t="shared" si="1"/>
        <v>330697118.36607009</v>
      </c>
      <c r="O44" s="4"/>
    </row>
    <row r="45" spans="1:15" ht="15" x14ac:dyDescent="0.2">
      <c r="A45" s="17" t="s">
        <v>40</v>
      </c>
      <c r="B45" s="16">
        <v>73021705.5</v>
      </c>
      <c r="C45" s="16">
        <v>0</v>
      </c>
      <c r="D45" s="16">
        <v>6622932.5980457403</v>
      </c>
      <c r="E45" s="16">
        <v>0</v>
      </c>
      <c r="F45" s="16">
        <v>463020.32</v>
      </c>
      <c r="G45" s="16">
        <v>208774.2</v>
      </c>
      <c r="H45" s="16">
        <v>4036793.21</v>
      </c>
      <c r="I45" s="16">
        <v>1184865.98</v>
      </c>
      <c r="J45" s="16">
        <v>4697066.8500000006</v>
      </c>
      <c r="K45" s="16">
        <v>0</v>
      </c>
      <c r="L45" s="16">
        <v>0</v>
      </c>
      <c r="M45" s="16">
        <v>1503.81</v>
      </c>
      <c r="N45" s="18">
        <f t="shared" si="1"/>
        <v>90236662.468045726</v>
      </c>
      <c r="O45" s="4"/>
    </row>
    <row r="46" spans="1:15" ht="15" x14ac:dyDescent="0.2">
      <c r="A46" s="17" t="s">
        <v>41</v>
      </c>
      <c r="B46" s="16">
        <v>113785113.88999999</v>
      </c>
      <c r="C46" s="16">
        <v>0</v>
      </c>
      <c r="D46" s="16">
        <v>4166962.3968568449</v>
      </c>
      <c r="E46" s="16">
        <v>0</v>
      </c>
      <c r="F46" s="16">
        <v>3652147.41</v>
      </c>
      <c r="G46" s="16">
        <v>358082.70990172174</v>
      </c>
      <c r="H46" s="16">
        <v>6290280.0099999998</v>
      </c>
      <c r="I46" s="16">
        <v>9345821.3499999996</v>
      </c>
      <c r="J46" s="16">
        <v>20950436.429999992</v>
      </c>
      <c r="K46" s="16">
        <v>0</v>
      </c>
      <c r="L46" s="16">
        <v>0</v>
      </c>
      <c r="M46" s="16">
        <v>11861.81</v>
      </c>
      <c r="N46" s="18">
        <f t="shared" si="1"/>
        <v>158560706.00675857</v>
      </c>
      <c r="O46" s="4"/>
    </row>
    <row r="47" spans="1:15" ht="15" x14ac:dyDescent="0.2">
      <c r="A47" s="17" t="s">
        <v>42</v>
      </c>
      <c r="B47" s="16">
        <v>338517394.04999995</v>
      </c>
      <c r="C47" s="16">
        <v>0</v>
      </c>
      <c r="D47" s="16">
        <v>2627547.0844012145</v>
      </c>
      <c r="E47" s="16">
        <v>0</v>
      </c>
      <c r="F47" s="16">
        <v>11385354.25</v>
      </c>
      <c r="G47" s="16">
        <v>3015480.3996424479</v>
      </c>
      <c r="H47" s="16">
        <v>18713952.32</v>
      </c>
      <c r="I47" s="16">
        <v>29135047.079999998</v>
      </c>
      <c r="J47" s="16">
        <v>48406915.61999999</v>
      </c>
      <c r="K47" s="16">
        <v>0</v>
      </c>
      <c r="L47" s="16">
        <v>0</v>
      </c>
      <c r="M47" s="16">
        <v>36978.589999999997</v>
      </c>
      <c r="N47" s="18">
        <f t="shared" si="1"/>
        <v>451838669.39404356</v>
      </c>
      <c r="O47" s="4"/>
    </row>
    <row r="48" spans="1:15" ht="15" x14ac:dyDescent="0.2">
      <c r="A48" s="17" t="s">
        <v>43</v>
      </c>
      <c r="B48" s="16">
        <v>37015570.789999999</v>
      </c>
      <c r="C48" s="16">
        <v>0</v>
      </c>
      <c r="D48" s="16">
        <v>8409251.4013484661</v>
      </c>
      <c r="E48" s="16">
        <v>0</v>
      </c>
      <c r="F48" s="16">
        <v>98914.1</v>
      </c>
      <c r="G48" s="16">
        <v>62304.34</v>
      </c>
      <c r="H48" s="16">
        <v>2046298.48</v>
      </c>
      <c r="I48" s="16">
        <v>253120.54</v>
      </c>
      <c r="J48" s="16">
        <v>2642491.5299999998</v>
      </c>
      <c r="K48" s="16">
        <v>0</v>
      </c>
      <c r="L48" s="16">
        <v>0</v>
      </c>
      <c r="M48" s="16">
        <v>321.20999999999998</v>
      </c>
      <c r="N48" s="18">
        <f t="shared" si="1"/>
        <v>50528272.391348466</v>
      </c>
      <c r="O48" s="4"/>
    </row>
    <row r="49" spans="1:15" ht="15" x14ac:dyDescent="0.2">
      <c r="A49" s="17" t="s">
        <v>44</v>
      </c>
      <c r="B49" s="16">
        <v>60243081.659999996</v>
      </c>
      <c r="C49" s="16">
        <v>0</v>
      </c>
      <c r="D49" s="16">
        <v>12466831.171557244</v>
      </c>
      <c r="E49" s="16">
        <v>0</v>
      </c>
      <c r="F49" s="16">
        <v>584104.81999999995</v>
      </c>
      <c r="G49" s="16">
        <v>276543.83</v>
      </c>
      <c r="H49" s="16">
        <v>3330364.05</v>
      </c>
      <c r="I49" s="16">
        <v>1494720.44</v>
      </c>
      <c r="J49" s="16">
        <v>6143438.0699999994</v>
      </c>
      <c r="K49" s="16">
        <v>0</v>
      </c>
      <c r="L49" s="16">
        <v>0</v>
      </c>
      <c r="M49" s="16">
        <v>1897.0899999999997</v>
      </c>
      <c r="N49" s="18">
        <f t="shared" si="1"/>
        <v>84540981.131557226</v>
      </c>
      <c r="O49" s="4"/>
    </row>
    <row r="50" spans="1:15" ht="15" x14ac:dyDescent="0.2">
      <c r="A50" s="17" t="s">
        <v>45</v>
      </c>
      <c r="B50" s="16">
        <v>47949965.199999996</v>
      </c>
      <c r="C50" s="16">
        <v>0</v>
      </c>
      <c r="D50" s="16">
        <v>9768338.3053513803</v>
      </c>
      <c r="E50" s="16">
        <v>0</v>
      </c>
      <c r="F50" s="16">
        <v>163719.89000000001</v>
      </c>
      <c r="G50" s="16">
        <v>77607.16</v>
      </c>
      <c r="H50" s="16">
        <v>2650774.7599999998</v>
      </c>
      <c r="I50" s="16">
        <v>418958.14</v>
      </c>
      <c r="J50" s="16">
        <v>4425118.1100000013</v>
      </c>
      <c r="K50" s="16">
        <v>0</v>
      </c>
      <c r="L50" s="16">
        <v>0</v>
      </c>
      <c r="M50" s="16">
        <v>531.70999999999992</v>
      </c>
      <c r="N50" s="18">
        <f t="shared" si="1"/>
        <v>65455013.275351375</v>
      </c>
      <c r="O50" s="4"/>
    </row>
    <row r="51" spans="1:15" ht="15" x14ac:dyDescent="0.2">
      <c r="A51" s="17" t="s">
        <v>46</v>
      </c>
      <c r="B51" s="16">
        <v>47282829.159999989</v>
      </c>
      <c r="C51" s="16">
        <v>0</v>
      </c>
      <c r="D51" s="16">
        <v>13628563.559642894</v>
      </c>
      <c r="E51" s="16">
        <v>0</v>
      </c>
      <c r="F51" s="16">
        <v>204081.39</v>
      </c>
      <c r="G51" s="16">
        <v>103840.57</v>
      </c>
      <c r="H51" s="16">
        <v>2613894.08</v>
      </c>
      <c r="I51" s="16">
        <v>522242.95</v>
      </c>
      <c r="J51" s="16">
        <v>3069567.4799999986</v>
      </c>
      <c r="K51" s="16">
        <v>0</v>
      </c>
      <c r="L51" s="16">
        <v>0</v>
      </c>
      <c r="M51" s="16">
        <v>662.81</v>
      </c>
      <c r="N51" s="18">
        <f t="shared" si="1"/>
        <v>67425681.999642894</v>
      </c>
      <c r="O51" s="4"/>
    </row>
    <row r="52" spans="1:15" ht="15" x14ac:dyDescent="0.2">
      <c r="A52" s="17" t="s">
        <v>47</v>
      </c>
      <c r="B52" s="16">
        <v>51481245.420000002</v>
      </c>
      <c r="C52" s="16">
        <v>0</v>
      </c>
      <c r="D52" s="16">
        <v>10210614.743158426</v>
      </c>
      <c r="E52" s="16">
        <v>0</v>
      </c>
      <c r="F52" s="16">
        <v>187879.94</v>
      </c>
      <c r="G52" s="16">
        <v>121329.51</v>
      </c>
      <c r="H52" s="16">
        <v>2845991.35</v>
      </c>
      <c r="I52" s="16">
        <v>480783.56</v>
      </c>
      <c r="J52" s="16">
        <v>4119478.0200000014</v>
      </c>
      <c r="K52" s="16">
        <v>0</v>
      </c>
      <c r="L52" s="16">
        <v>0</v>
      </c>
      <c r="M52" s="16">
        <v>610.18000000000006</v>
      </c>
      <c r="N52" s="18">
        <f t="shared" si="1"/>
        <v>69447932.723158434</v>
      </c>
      <c r="O52" s="4"/>
    </row>
    <row r="53" spans="1:15" ht="15" x14ac:dyDescent="0.2">
      <c r="A53" s="17" t="s">
        <v>48</v>
      </c>
      <c r="B53" s="16">
        <v>18554065.710000001</v>
      </c>
      <c r="C53" s="16">
        <v>0</v>
      </c>
      <c r="D53" s="16">
        <v>7998908.2574013555</v>
      </c>
      <c r="E53" s="16">
        <v>0</v>
      </c>
      <c r="F53" s="16">
        <v>32687.13</v>
      </c>
      <c r="G53" s="16">
        <v>19675.060000000001</v>
      </c>
      <c r="H53" s="16">
        <v>1025707.72</v>
      </c>
      <c r="I53" s="16">
        <v>83646.16</v>
      </c>
      <c r="J53" s="16">
        <v>2043881.9099999995</v>
      </c>
      <c r="K53" s="16">
        <v>0</v>
      </c>
      <c r="L53" s="16">
        <v>0</v>
      </c>
      <c r="M53" s="16">
        <v>106.12</v>
      </c>
      <c r="N53" s="18">
        <f t="shared" si="1"/>
        <v>29758678.067401353</v>
      </c>
      <c r="O53" s="4"/>
    </row>
    <row r="54" spans="1:15" ht="15" x14ac:dyDescent="0.2">
      <c r="A54" s="17" t="s">
        <v>49</v>
      </c>
      <c r="B54" s="16">
        <v>64272094.250000007</v>
      </c>
      <c r="C54" s="16">
        <v>0</v>
      </c>
      <c r="D54" s="16">
        <v>12808485.809564395</v>
      </c>
      <c r="E54" s="16">
        <v>0</v>
      </c>
      <c r="F54" s="16">
        <v>112273.19</v>
      </c>
      <c r="G54" s="16">
        <v>75421.039999999994</v>
      </c>
      <c r="H54" s="16">
        <v>3553096.33</v>
      </c>
      <c r="I54" s="16">
        <v>287306.36</v>
      </c>
      <c r="J54" s="16">
        <v>4723434.24</v>
      </c>
      <c r="K54" s="16">
        <v>0</v>
      </c>
      <c r="L54" s="16">
        <v>0</v>
      </c>
      <c r="M54" s="16">
        <v>364.63</v>
      </c>
      <c r="N54" s="18">
        <f t="shared" si="1"/>
        <v>85832475.849564388</v>
      </c>
      <c r="O54" s="4"/>
    </row>
    <row r="55" spans="1:15" ht="15" x14ac:dyDescent="0.2">
      <c r="A55" s="17" t="s">
        <v>50</v>
      </c>
      <c r="B55" s="16">
        <v>23630935.960000001</v>
      </c>
      <c r="C55" s="16">
        <v>0</v>
      </c>
      <c r="D55" s="16">
        <v>4219999.1772757247</v>
      </c>
      <c r="E55" s="16">
        <v>0</v>
      </c>
      <c r="F55" s="16">
        <v>207207.99</v>
      </c>
      <c r="G55" s="16">
        <v>103840.57</v>
      </c>
      <c r="H55" s="16">
        <v>1306367.76</v>
      </c>
      <c r="I55" s="16">
        <v>530243.89</v>
      </c>
      <c r="J55" s="16">
        <v>3379126.17</v>
      </c>
      <c r="K55" s="16">
        <v>0</v>
      </c>
      <c r="L55" s="16">
        <v>0</v>
      </c>
      <c r="M55" s="16">
        <v>672.95</v>
      </c>
      <c r="N55" s="18">
        <f t="shared" si="1"/>
        <v>33378394.467275728</v>
      </c>
      <c r="O55" s="4"/>
    </row>
    <row r="56" spans="1:15" ht="15" x14ac:dyDescent="0.2">
      <c r="A56" s="17" t="s">
        <v>51</v>
      </c>
      <c r="B56" s="16">
        <v>22654681.949999999</v>
      </c>
      <c r="C56" s="16">
        <v>0</v>
      </c>
      <c r="D56" s="16">
        <v>4518092.9622288402</v>
      </c>
      <c r="E56" s="16">
        <v>0</v>
      </c>
      <c r="F56" s="16">
        <v>58552.6</v>
      </c>
      <c r="G56" s="16">
        <v>26233.41</v>
      </c>
      <c r="H56" s="16">
        <v>1252398.3899999999</v>
      </c>
      <c r="I56" s="16">
        <v>149835.72</v>
      </c>
      <c r="J56" s="16">
        <v>2748436.53</v>
      </c>
      <c r="K56" s="16">
        <v>0</v>
      </c>
      <c r="L56" s="16">
        <v>0</v>
      </c>
      <c r="M56" s="16">
        <v>190.12</v>
      </c>
      <c r="N56" s="18">
        <f t="shared" si="1"/>
        <v>31408421.682228841</v>
      </c>
      <c r="O56" s="4"/>
    </row>
    <row r="57" spans="1:15" ht="15" x14ac:dyDescent="0.2">
      <c r="A57" s="17" t="s">
        <v>52</v>
      </c>
      <c r="B57" s="16">
        <v>62497722.009999998</v>
      </c>
      <c r="C57" s="16">
        <v>0</v>
      </c>
      <c r="D57" s="16">
        <v>9251335.2269824743</v>
      </c>
      <c r="E57" s="16">
        <v>0</v>
      </c>
      <c r="F57" s="16">
        <v>300721.59999999998</v>
      </c>
      <c r="G57" s="16">
        <v>137725.39000000001</v>
      </c>
      <c r="H57" s="16">
        <v>3455005.3</v>
      </c>
      <c r="I57" s="16">
        <v>769544.63</v>
      </c>
      <c r="J57" s="16">
        <v>5828221.3499999987</v>
      </c>
      <c r="K57" s="16">
        <v>0</v>
      </c>
      <c r="L57" s="16">
        <v>0</v>
      </c>
      <c r="M57" s="16">
        <v>976.67</v>
      </c>
      <c r="N57" s="18">
        <f t="shared" si="1"/>
        <v>82241252.176982448</v>
      </c>
      <c r="O57" s="4"/>
    </row>
    <row r="58" spans="1:15" ht="15" x14ac:dyDescent="0.2">
      <c r="A58" s="17" t="s">
        <v>53</v>
      </c>
      <c r="B58" s="16">
        <v>49995033.989999995</v>
      </c>
      <c r="C58" s="16">
        <v>0</v>
      </c>
      <c r="D58" s="16">
        <v>5747893.3941325704</v>
      </c>
      <c r="E58" s="16">
        <v>0</v>
      </c>
      <c r="F58" s="16">
        <v>175089.33</v>
      </c>
      <c r="G58" s="16">
        <v>78700.22</v>
      </c>
      <c r="H58" s="16">
        <v>2763830.46</v>
      </c>
      <c r="I58" s="16">
        <v>448052.45</v>
      </c>
      <c r="J58" s="16">
        <v>3263623.0200000014</v>
      </c>
      <c r="K58" s="16">
        <v>0</v>
      </c>
      <c r="L58" s="16">
        <v>0</v>
      </c>
      <c r="M58" s="16">
        <v>568.63</v>
      </c>
      <c r="N58" s="18">
        <f t="shared" si="1"/>
        <v>62472791.494132571</v>
      </c>
      <c r="O58" s="4"/>
    </row>
    <row r="59" spans="1:15" ht="15" x14ac:dyDescent="0.2">
      <c r="A59" s="17" t="s">
        <v>54</v>
      </c>
      <c r="B59" s="16">
        <v>55611550.920000017</v>
      </c>
      <c r="C59" s="16">
        <v>0</v>
      </c>
      <c r="D59" s="16">
        <v>14803612.640553186</v>
      </c>
      <c r="E59" s="16">
        <v>0</v>
      </c>
      <c r="F59" s="16">
        <v>170541.55</v>
      </c>
      <c r="G59" s="16">
        <v>78700.22</v>
      </c>
      <c r="H59" s="16">
        <v>3074323.31</v>
      </c>
      <c r="I59" s="16">
        <v>436414.73</v>
      </c>
      <c r="J59" s="16">
        <v>3827662.2299999986</v>
      </c>
      <c r="K59" s="16">
        <v>0</v>
      </c>
      <c r="L59" s="16">
        <v>0</v>
      </c>
      <c r="M59" s="16">
        <v>553.86</v>
      </c>
      <c r="N59" s="18">
        <f t="shared" si="1"/>
        <v>78003359.460553214</v>
      </c>
      <c r="O59" s="4"/>
    </row>
    <row r="60" spans="1:15" ht="15" x14ac:dyDescent="0.2">
      <c r="A60" s="17" t="s">
        <v>55</v>
      </c>
      <c r="B60" s="16">
        <v>394287870.16000009</v>
      </c>
      <c r="C60" s="16">
        <v>0</v>
      </c>
      <c r="D60" s="16">
        <v>24611719.987793688</v>
      </c>
      <c r="E60" s="16">
        <v>0</v>
      </c>
      <c r="F60" s="16">
        <v>9381206.7300000004</v>
      </c>
      <c r="G60" s="16">
        <v>4330698.24</v>
      </c>
      <c r="H60" s="16">
        <v>21797061.34</v>
      </c>
      <c r="I60" s="16">
        <v>24006446.699999999</v>
      </c>
      <c r="J60" s="16">
        <v>62603896.950000025</v>
      </c>
      <c r="K60" s="16">
        <v>0</v>
      </c>
      <c r="L60" s="16">
        <v>0</v>
      </c>
      <c r="M60" s="16">
        <v>30469.300000000003</v>
      </c>
      <c r="N60" s="18">
        <f t="shared" si="1"/>
        <v>541049369.40779376</v>
      </c>
      <c r="O60" s="4"/>
    </row>
    <row r="61" spans="1:15" ht="15" x14ac:dyDescent="0.2">
      <c r="A61" s="17" t="s">
        <v>56</v>
      </c>
      <c r="B61" s="16">
        <v>61648957.320000015</v>
      </c>
      <c r="C61" s="16">
        <v>0</v>
      </c>
      <c r="D61" s="16">
        <v>4737322.4290258558</v>
      </c>
      <c r="E61" s="16">
        <v>0</v>
      </c>
      <c r="F61" s="16">
        <v>1674718.07</v>
      </c>
      <c r="G61" s="16">
        <v>435116.23958619847</v>
      </c>
      <c r="H61" s="16">
        <v>3408083.81</v>
      </c>
      <c r="I61" s="16">
        <v>4285592.6100000003</v>
      </c>
      <c r="J61" s="16">
        <v>14710776.150000006</v>
      </c>
      <c r="K61" s="16">
        <v>0</v>
      </c>
      <c r="L61" s="16">
        <v>0</v>
      </c>
      <c r="M61" s="16">
        <v>5439.29</v>
      </c>
      <c r="N61" s="18">
        <f t="shared" si="1"/>
        <v>90906005.918612093</v>
      </c>
      <c r="O61" s="4"/>
    </row>
    <row r="62" spans="1:15" ht="15" x14ac:dyDescent="0.2">
      <c r="A62" s="17" t="s">
        <v>57</v>
      </c>
      <c r="B62" s="16">
        <v>372068049.06999999</v>
      </c>
      <c r="C62" s="16">
        <v>0</v>
      </c>
      <c r="D62" s="16">
        <v>3862023.4</v>
      </c>
      <c r="E62" s="16">
        <v>0</v>
      </c>
      <c r="F62" s="16">
        <v>7509228.9199999999</v>
      </c>
      <c r="G62" s="16">
        <v>0</v>
      </c>
      <c r="H62" s="16">
        <v>20568702.969999999</v>
      </c>
      <c r="I62" s="16">
        <v>19216067.719999999</v>
      </c>
      <c r="J62" s="16">
        <v>31026951.059999991</v>
      </c>
      <c r="K62" s="16">
        <v>0</v>
      </c>
      <c r="L62" s="16">
        <v>0</v>
      </c>
      <c r="M62" s="16">
        <v>24389.27</v>
      </c>
      <c r="N62" s="18">
        <f t="shared" si="1"/>
        <v>454275412.41000003</v>
      </c>
      <c r="O62" s="4"/>
    </row>
    <row r="63" spans="1:15" ht="15" x14ac:dyDescent="0.2">
      <c r="A63" s="17" t="s">
        <v>58</v>
      </c>
      <c r="B63" s="16">
        <v>56104044.030000001</v>
      </c>
      <c r="C63" s="16">
        <v>0</v>
      </c>
      <c r="D63" s="16">
        <v>13596280.643830648</v>
      </c>
      <c r="E63" s="16">
        <v>0</v>
      </c>
      <c r="F63" s="16">
        <v>264623.64</v>
      </c>
      <c r="G63" s="16">
        <v>126794.8</v>
      </c>
      <c r="H63" s="16">
        <v>3101549.36</v>
      </c>
      <c r="I63" s="16">
        <v>677170.18</v>
      </c>
      <c r="J63" s="16">
        <v>4363301.67</v>
      </c>
      <c r="K63" s="16">
        <v>0</v>
      </c>
      <c r="L63" s="16">
        <v>0</v>
      </c>
      <c r="M63" s="16">
        <v>859.43</v>
      </c>
      <c r="N63" s="18">
        <f t="shared" si="1"/>
        <v>78234623.753830656</v>
      </c>
      <c r="O63" s="4"/>
    </row>
    <row r="64" spans="1:15" ht="15" x14ac:dyDescent="0.2">
      <c r="A64" s="17" t="s">
        <v>59</v>
      </c>
      <c r="B64" s="16">
        <v>118839280.53</v>
      </c>
      <c r="C64" s="16">
        <v>0</v>
      </c>
      <c r="D64" s="16">
        <v>49698458.427989759</v>
      </c>
      <c r="E64" s="16">
        <v>0</v>
      </c>
      <c r="F64" s="16">
        <v>484338.01</v>
      </c>
      <c r="G64" s="16">
        <v>216425.61</v>
      </c>
      <c r="H64" s="16">
        <v>6569684.9500000002</v>
      </c>
      <c r="I64" s="16">
        <v>1239417.82</v>
      </c>
      <c r="J64" s="16">
        <v>9097227.9299999997</v>
      </c>
      <c r="K64" s="16">
        <v>0</v>
      </c>
      <c r="L64" s="16">
        <v>0</v>
      </c>
      <c r="M64" s="16">
        <v>1573.05</v>
      </c>
      <c r="N64" s="18">
        <f t="shared" si="1"/>
        <v>186146406.32798976</v>
      </c>
      <c r="O64" s="4"/>
    </row>
    <row r="65" spans="1:15" ht="15" x14ac:dyDescent="0.2">
      <c r="A65" s="17" t="s">
        <v>60</v>
      </c>
      <c r="B65" s="16">
        <v>65134830.379999995</v>
      </c>
      <c r="C65" s="16">
        <v>0</v>
      </c>
      <c r="D65" s="16">
        <v>12567548.290489331</v>
      </c>
      <c r="E65" s="16">
        <v>0</v>
      </c>
      <c r="F65" s="16">
        <v>105451.52</v>
      </c>
      <c r="G65" s="16">
        <v>83072.45</v>
      </c>
      <c r="H65" s="16">
        <v>3600790.19</v>
      </c>
      <c r="I65" s="16">
        <v>269849.77</v>
      </c>
      <c r="J65" s="16">
        <v>5254312.7700000014</v>
      </c>
      <c r="K65" s="16">
        <v>0</v>
      </c>
      <c r="L65" s="16">
        <v>0</v>
      </c>
      <c r="M65" s="16">
        <v>342.47</v>
      </c>
      <c r="N65" s="18">
        <f t="shared" si="1"/>
        <v>87016197.840489313</v>
      </c>
      <c r="O65" s="4"/>
    </row>
    <row r="66" spans="1:15" ht="15" x14ac:dyDescent="0.2">
      <c r="A66" s="17" t="s">
        <v>61</v>
      </c>
      <c r="B66" s="16">
        <v>36093456.070000008</v>
      </c>
      <c r="C66" s="16">
        <v>0</v>
      </c>
      <c r="D66" s="16">
        <v>8632744.8387326077</v>
      </c>
      <c r="E66" s="16">
        <v>0</v>
      </c>
      <c r="F66" s="16">
        <v>103177.64</v>
      </c>
      <c r="G66" s="16">
        <v>66676.58</v>
      </c>
      <c r="H66" s="16">
        <v>1995322.04</v>
      </c>
      <c r="I66" s="16">
        <v>264030.90999999997</v>
      </c>
      <c r="J66" s="16">
        <v>2366789.0400000005</v>
      </c>
      <c r="K66" s="16">
        <v>0</v>
      </c>
      <c r="L66" s="16">
        <v>0</v>
      </c>
      <c r="M66" s="16">
        <v>335.09000000000003</v>
      </c>
      <c r="N66" s="18">
        <f t="shared" si="1"/>
        <v>49522532.208732612</v>
      </c>
      <c r="O66" s="4"/>
    </row>
    <row r="67" spans="1:15" ht="15" x14ac:dyDescent="0.2">
      <c r="A67" s="17" t="s">
        <v>62</v>
      </c>
      <c r="B67" s="16">
        <v>165137123.62</v>
      </c>
      <c r="C67" s="16">
        <v>0</v>
      </c>
      <c r="D67" s="16">
        <v>1239912.8</v>
      </c>
      <c r="E67" s="16">
        <v>0</v>
      </c>
      <c r="F67" s="16">
        <v>2772437.22</v>
      </c>
      <c r="G67" s="16">
        <v>1359718.2980645057</v>
      </c>
      <c r="H67" s="16">
        <v>9129126.9299999997</v>
      </c>
      <c r="I67" s="16">
        <v>7094648.7199999997</v>
      </c>
      <c r="J67" s="16">
        <v>15134318.220000004</v>
      </c>
      <c r="K67" s="16">
        <v>0</v>
      </c>
      <c r="L67" s="16">
        <v>0</v>
      </c>
      <c r="M67" s="16">
        <v>9004.59</v>
      </c>
      <c r="N67" s="18">
        <f t="shared" si="1"/>
        <v>201876290.39806452</v>
      </c>
      <c r="O67" s="4"/>
    </row>
    <row r="68" spans="1:15" ht="15" x14ac:dyDescent="0.2">
      <c r="A68" s="17" t="s">
        <v>63</v>
      </c>
      <c r="B68" s="16">
        <v>101759201.11000001</v>
      </c>
      <c r="C68" s="16">
        <v>0</v>
      </c>
      <c r="D68" s="16">
        <v>1415342.6799999997</v>
      </c>
      <c r="E68" s="16">
        <v>0</v>
      </c>
      <c r="F68" s="16">
        <v>2444997.4300000002</v>
      </c>
      <c r="G68" s="16">
        <v>1291477.777751744</v>
      </c>
      <c r="H68" s="16">
        <v>5625462.2999999998</v>
      </c>
      <c r="I68" s="16">
        <v>6256732.4500000002</v>
      </c>
      <c r="J68" s="16">
        <v>13156207.68</v>
      </c>
      <c r="K68" s="16">
        <v>0</v>
      </c>
      <c r="L68" s="16">
        <v>0</v>
      </c>
      <c r="M68" s="16">
        <v>7941.0899999999992</v>
      </c>
      <c r="N68" s="18">
        <f t="shared" si="1"/>
        <v>131957362.51775178</v>
      </c>
      <c r="O68" s="4"/>
    </row>
    <row r="69" spans="1:15" ht="15" x14ac:dyDescent="0.2">
      <c r="A69" s="17" t="s">
        <v>64</v>
      </c>
      <c r="B69" s="16">
        <v>319596578.08000004</v>
      </c>
      <c r="C69" s="16">
        <v>0</v>
      </c>
      <c r="D69" s="16">
        <v>930375.78357070999</v>
      </c>
      <c r="E69" s="16">
        <v>0</v>
      </c>
      <c r="F69" s="16">
        <v>7215897.4500000002</v>
      </c>
      <c r="G69" s="16">
        <v>1320236.3500317531</v>
      </c>
      <c r="H69" s="16">
        <v>17667969.879999999</v>
      </c>
      <c r="I69" s="16">
        <v>18465434.399999999</v>
      </c>
      <c r="J69" s="16">
        <v>28796227.740000006</v>
      </c>
      <c r="K69" s="16">
        <v>0</v>
      </c>
      <c r="L69" s="16">
        <v>0</v>
      </c>
      <c r="M69" s="16">
        <v>23436.549999999996</v>
      </c>
      <c r="N69" s="18">
        <f t="shared" si="1"/>
        <v>394016156.23360246</v>
      </c>
      <c r="O69" s="4"/>
    </row>
    <row r="70" spans="1:15" ht="15" x14ac:dyDescent="0.2">
      <c r="A70" s="17" t="s">
        <v>65</v>
      </c>
      <c r="B70" s="16">
        <v>72602562.469999999</v>
      </c>
      <c r="C70" s="16">
        <v>0</v>
      </c>
      <c r="D70" s="16">
        <v>17812551.186405972</v>
      </c>
      <c r="E70" s="16">
        <v>0</v>
      </c>
      <c r="F70" s="16">
        <v>1602522.15</v>
      </c>
      <c r="G70" s="16">
        <v>631787.88</v>
      </c>
      <c r="H70" s="16">
        <v>4013622.1</v>
      </c>
      <c r="I70" s="16">
        <v>4100843.7</v>
      </c>
      <c r="J70" s="16">
        <v>12632195.519999994</v>
      </c>
      <c r="K70" s="16">
        <v>0</v>
      </c>
      <c r="L70" s="16">
        <v>0</v>
      </c>
      <c r="M70" s="16">
        <v>5204.82</v>
      </c>
      <c r="N70" s="18">
        <f t="shared" si="1"/>
        <v>113401289.82640596</v>
      </c>
      <c r="O70" s="4"/>
    </row>
    <row r="71" spans="1:15" ht="15" x14ac:dyDescent="0.2">
      <c r="A71" s="17" t="s">
        <v>66</v>
      </c>
      <c r="B71" s="16">
        <v>239793487.13</v>
      </c>
      <c r="C71" s="16">
        <v>0</v>
      </c>
      <c r="D71" s="16">
        <v>987143.6100000001</v>
      </c>
      <c r="E71" s="16">
        <v>0</v>
      </c>
      <c r="F71" s="16">
        <v>1009037.53</v>
      </c>
      <c r="G71" s="16">
        <v>487504.14</v>
      </c>
      <c r="H71" s="16">
        <v>13256287.460000001</v>
      </c>
      <c r="I71" s="16">
        <v>2582120.46</v>
      </c>
      <c r="J71" s="16">
        <v>10122455.699999999</v>
      </c>
      <c r="K71" s="16">
        <v>0</v>
      </c>
      <c r="L71" s="16">
        <v>0</v>
      </c>
      <c r="M71" s="16">
        <v>3277.2400000000002</v>
      </c>
      <c r="N71" s="18">
        <f t="shared" si="1"/>
        <v>268241313.27000001</v>
      </c>
      <c r="O71" s="4"/>
    </row>
    <row r="72" spans="1:15" ht="15" x14ac:dyDescent="0.2">
      <c r="A72" s="17" t="s">
        <v>67</v>
      </c>
      <c r="B72" s="16">
        <v>1284051729.53</v>
      </c>
      <c r="C72" s="16">
        <v>0</v>
      </c>
      <c r="D72" s="16">
        <v>7965784.2042216901</v>
      </c>
      <c r="E72" s="16">
        <v>0</v>
      </c>
      <c r="F72" s="16">
        <v>29360150.649999999</v>
      </c>
      <c r="G72" s="16">
        <v>0</v>
      </c>
      <c r="H72" s="16">
        <v>70985075.680000007</v>
      </c>
      <c r="I72" s="16">
        <v>75132431.799999997</v>
      </c>
      <c r="J72" s="16">
        <v>151401191.13</v>
      </c>
      <c r="K72" s="16">
        <v>0</v>
      </c>
      <c r="L72" s="16">
        <v>0</v>
      </c>
      <c r="M72" s="16">
        <v>95359.12000000001</v>
      </c>
      <c r="N72" s="18">
        <f t="shared" ref="N72:N103" si="2">SUM(B72:M72)</f>
        <v>1618991722.1142216</v>
      </c>
      <c r="O72" s="4"/>
    </row>
    <row r="73" spans="1:15" ht="15" x14ac:dyDescent="0.2">
      <c r="A73" s="17" t="s">
        <v>68</v>
      </c>
      <c r="B73" s="16">
        <v>510437649.54999995</v>
      </c>
      <c r="C73" s="16">
        <v>0</v>
      </c>
      <c r="D73" s="16">
        <v>16802457.754834082</v>
      </c>
      <c r="E73" s="16">
        <v>0</v>
      </c>
      <c r="F73" s="16">
        <v>10897605.4</v>
      </c>
      <c r="G73" s="16">
        <v>5788061.7438984355</v>
      </c>
      <c r="H73" s="16">
        <v>28218065.010000002</v>
      </c>
      <c r="I73" s="16">
        <v>27886900.960000001</v>
      </c>
      <c r="J73" s="16">
        <v>66223661.070000023</v>
      </c>
      <c r="K73" s="16">
        <v>0</v>
      </c>
      <c r="L73" s="16">
        <v>0</v>
      </c>
      <c r="M73" s="16">
        <v>35394.409999999996</v>
      </c>
      <c r="N73" s="18">
        <f t="shared" si="2"/>
        <v>666289795.89873242</v>
      </c>
      <c r="O73" s="4"/>
    </row>
    <row r="74" spans="1:15" ht="15" x14ac:dyDescent="0.2">
      <c r="A74" s="17" t="s">
        <v>69</v>
      </c>
      <c r="B74" s="16">
        <v>316337740.82999992</v>
      </c>
      <c r="C74" s="16">
        <v>0</v>
      </c>
      <c r="D74" s="16">
        <v>3505921.8899999997</v>
      </c>
      <c r="E74" s="16">
        <v>0</v>
      </c>
      <c r="F74" s="16">
        <v>7911991.2300000004</v>
      </c>
      <c r="G74" s="16">
        <v>9661309.850812098</v>
      </c>
      <c r="H74" s="16">
        <v>17487814.52</v>
      </c>
      <c r="I74" s="16">
        <v>20246733.829999998</v>
      </c>
      <c r="J74" s="16">
        <v>36470741.789999984</v>
      </c>
      <c r="K74" s="16">
        <v>0</v>
      </c>
      <c r="L74" s="16">
        <v>0</v>
      </c>
      <c r="M74" s="16">
        <v>25697.400000000005</v>
      </c>
      <c r="N74" s="18">
        <f t="shared" si="2"/>
        <v>411647951.34081191</v>
      </c>
      <c r="O74" s="4"/>
    </row>
    <row r="75" spans="1:15" ht="15" x14ac:dyDescent="0.2">
      <c r="A75" s="17" t="s">
        <v>70</v>
      </c>
      <c r="B75" s="16">
        <v>53323728.429999992</v>
      </c>
      <c r="C75" s="16">
        <v>0</v>
      </c>
      <c r="D75" s="16">
        <v>10417331.114959052</v>
      </c>
      <c r="E75" s="16">
        <v>0</v>
      </c>
      <c r="F75" s="16">
        <v>143823.37</v>
      </c>
      <c r="G75" s="16">
        <v>71048.81</v>
      </c>
      <c r="H75" s="16">
        <v>2947847.67</v>
      </c>
      <c r="I75" s="16">
        <v>368043.09</v>
      </c>
      <c r="J75" s="16">
        <v>4256257.9500000011</v>
      </c>
      <c r="K75" s="16">
        <v>0</v>
      </c>
      <c r="L75" s="16">
        <v>0</v>
      </c>
      <c r="M75" s="16">
        <v>467.08</v>
      </c>
      <c r="N75" s="18">
        <f t="shared" si="2"/>
        <v>71528547.514959052</v>
      </c>
      <c r="O75" s="4"/>
    </row>
    <row r="76" spans="1:15" ht="15" x14ac:dyDescent="0.2">
      <c r="A76" s="17" t="s">
        <v>71</v>
      </c>
      <c r="B76" s="16">
        <v>48177001.009999998</v>
      </c>
      <c r="C76" s="16">
        <v>0</v>
      </c>
      <c r="D76" s="16">
        <v>14327314.830315115</v>
      </c>
      <c r="E76" s="16">
        <v>0</v>
      </c>
      <c r="F76" s="16">
        <v>258938.92</v>
      </c>
      <c r="G76" s="16">
        <v>167237.97</v>
      </c>
      <c r="H76" s="16">
        <v>2663325.7799999998</v>
      </c>
      <c r="I76" s="16">
        <v>662623.02</v>
      </c>
      <c r="J76" s="16">
        <v>6142046.4000000013</v>
      </c>
      <c r="K76" s="16">
        <v>0</v>
      </c>
      <c r="L76" s="16">
        <v>0</v>
      </c>
      <c r="M76" s="16">
        <v>840.97</v>
      </c>
      <c r="N76" s="18">
        <f t="shared" si="2"/>
        <v>72399328.900315121</v>
      </c>
      <c r="O76" s="4"/>
    </row>
    <row r="77" spans="1:15" ht="15" x14ac:dyDescent="0.2">
      <c r="A77" s="17" t="s">
        <v>72</v>
      </c>
      <c r="B77" s="16">
        <v>65398541.20000001</v>
      </c>
      <c r="C77" s="16">
        <v>0</v>
      </c>
      <c r="D77" s="16">
        <v>12923641.627912721</v>
      </c>
      <c r="E77" s="16">
        <v>0</v>
      </c>
      <c r="F77" s="16">
        <v>304132.44</v>
      </c>
      <c r="G77" s="16">
        <v>118050.33</v>
      </c>
      <c r="H77" s="16">
        <v>3615368.68</v>
      </c>
      <c r="I77" s="16">
        <v>778272.93</v>
      </c>
      <c r="J77" s="16">
        <v>3856483.0499999984</v>
      </c>
      <c r="K77" s="16">
        <v>0</v>
      </c>
      <c r="L77" s="16">
        <v>0</v>
      </c>
      <c r="M77" s="16">
        <v>987.75000000000011</v>
      </c>
      <c r="N77" s="18">
        <f t="shared" si="2"/>
        <v>86995478.00791274</v>
      </c>
      <c r="O77" s="4"/>
    </row>
    <row r="78" spans="1:15" ht="15" x14ac:dyDescent="0.2">
      <c r="A78" s="17" t="s">
        <v>73</v>
      </c>
      <c r="B78" s="16">
        <v>25125879.519999996</v>
      </c>
      <c r="C78" s="16">
        <v>0</v>
      </c>
      <c r="D78" s="16">
        <v>5009252.0073255952</v>
      </c>
      <c r="E78" s="16">
        <v>0</v>
      </c>
      <c r="F78" s="16">
        <v>108009.65</v>
      </c>
      <c r="G78" s="16">
        <v>39350.11</v>
      </c>
      <c r="H78" s="16">
        <v>1389011.38</v>
      </c>
      <c r="I78" s="16">
        <v>276395.99</v>
      </c>
      <c r="J78" s="16">
        <v>1716342.1800000004</v>
      </c>
      <c r="K78" s="16">
        <v>0</v>
      </c>
      <c r="L78" s="16">
        <v>0</v>
      </c>
      <c r="M78" s="16">
        <v>350.76</v>
      </c>
      <c r="N78" s="18">
        <f t="shared" si="2"/>
        <v>33664591.597325586</v>
      </c>
      <c r="O78" s="4"/>
    </row>
    <row r="79" spans="1:15" ht="15" x14ac:dyDescent="0.2">
      <c r="A79" s="17" t="s">
        <v>74</v>
      </c>
      <c r="B79" s="16">
        <v>104574445.31</v>
      </c>
      <c r="C79" s="16">
        <v>0</v>
      </c>
      <c r="D79" s="16">
        <v>31851106.950216662</v>
      </c>
      <c r="E79" s="16">
        <v>0</v>
      </c>
      <c r="F79" s="16">
        <v>542890.61</v>
      </c>
      <c r="G79" s="16">
        <v>292939.71000000002</v>
      </c>
      <c r="H79" s="16">
        <v>5781094.9100000001</v>
      </c>
      <c r="I79" s="16">
        <v>1389253.54</v>
      </c>
      <c r="J79" s="16">
        <v>9430242.3600000013</v>
      </c>
      <c r="K79" s="16">
        <v>0</v>
      </c>
      <c r="L79" s="16">
        <v>0</v>
      </c>
      <c r="M79" s="16">
        <v>1763.2199999999998</v>
      </c>
      <c r="N79" s="18">
        <f t="shared" si="2"/>
        <v>153863736.61021668</v>
      </c>
      <c r="O79" s="4"/>
    </row>
    <row r="80" spans="1:15" ht="15" x14ac:dyDescent="0.2">
      <c r="A80" s="17" t="s">
        <v>75</v>
      </c>
      <c r="B80" s="16">
        <v>63837233.359999999</v>
      </c>
      <c r="C80" s="16">
        <v>0</v>
      </c>
      <c r="D80" s="16">
        <v>35217844.097808965</v>
      </c>
      <c r="E80" s="16">
        <v>0</v>
      </c>
      <c r="F80" s="16">
        <v>175657.8</v>
      </c>
      <c r="G80" s="16">
        <v>122422.57</v>
      </c>
      <c r="H80" s="16">
        <v>3529056.3</v>
      </c>
      <c r="I80" s="16">
        <v>449507.17</v>
      </c>
      <c r="J80" s="16">
        <v>6246819.5999999987</v>
      </c>
      <c r="K80" s="16">
        <v>0</v>
      </c>
      <c r="L80" s="16">
        <v>0</v>
      </c>
      <c r="M80" s="16">
        <v>570.48</v>
      </c>
      <c r="N80" s="18">
        <f t="shared" si="2"/>
        <v>109579111.37780896</v>
      </c>
      <c r="O80" s="4"/>
    </row>
    <row r="81" spans="1:15" ht="15" x14ac:dyDescent="0.2">
      <c r="A81" s="17" t="s">
        <v>76</v>
      </c>
      <c r="B81" s="16">
        <v>30894335.789999995</v>
      </c>
      <c r="C81" s="16">
        <v>0</v>
      </c>
      <c r="D81" s="16">
        <v>9381124.0678575393</v>
      </c>
      <c r="E81" s="16">
        <v>0</v>
      </c>
      <c r="F81" s="16">
        <v>456198.66</v>
      </c>
      <c r="G81" s="16">
        <v>252496.54</v>
      </c>
      <c r="H81" s="16">
        <v>1707903.76</v>
      </c>
      <c r="I81" s="16">
        <v>1167409.3899999999</v>
      </c>
      <c r="J81" s="16">
        <v>7132905.3600000013</v>
      </c>
      <c r="K81" s="16">
        <v>0</v>
      </c>
      <c r="L81" s="16">
        <v>0</v>
      </c>
      <c r="M81" s="16">
        <v>1481.66</v>
      </c>
      <c r="N81" s="18">
        <f t="shared" si="2"/>
        <v>50993855.227857523</v>
      </c>
      <c r="O81" s="4"/>
    </row>
    <row r="82" spans="1:15" ht="15" x14ac:dyDescent="0.2">
      <c r="A82" s="17" t="s">
        <v>77</v>
      </c>
      <c r="B82" s="16">
        <v>431137530.28000003</v>
      </c>
      <c r="C82" s="16">
        <v>0</v>
      </c>
      <c r="D82" s="16">
        <v>4713047.3999999994</v>
      </c>
      <c r="E82" s="16">
        <v>0</v>
      </c>
      <c r="F82" s="16">
        <v>13147901.220000001</v>
      </c>
      <c r="G82" s="16">
        <v>10377943.457902241</v>
      </c>
      <c r="H82" s="16">
        <v>23834187.920000002</v>
      </c>
      <c r="I82" s="16">
        <v>33645393.270000003</v>
      </c>
      <c r="J82" s="16">
        <v>58961409.570000023</v>
      </c>
      <c r="K82" s="16">
        <v>0</v>
      </c>
      <c r="L82" s="16">
        <v>0</v>
      </c>
      <c r="M82" s="16">
        <v>42703.179999999986</v>
      </c>
      <c r="N82" s="18">
        <f t="shared" si="2"/>
        <v>575860116.29790223</v>
      </c>
      <c r="O82" s="4"/>
    </row>
    <row r="83" spans="1:15" ht="15" x14ac:dyDescent="0.2">
      <c r="A83" s="17" t="s">
        <v>78</v>
      </c>
      <c r="B83" s="16">
        <v>134151973.40000001</v>
      </c>
      <c r="C83" s="16">
        <v>0</v>
      </c>
      <c r="D83" s="16">
        <v>9949954.1023671702</v>
      </c>
      <c r="E83" s="16">
        <v>0</v>
      </c>
      <c r="F83" s="16">
        <v>1455856.41</v>
      </c>
      <c r="G83" s="16">
        <v>743279.86</v>
      </c>
      <c r="H83" s="16">
        <v>7416202.7699999996</v>
      </c>
      <c r="I83" s="16">
        <v>3725527.04</v>
      </c>
      <c r="J83" s="16">
        <v>12873657.089999996</v>
      </c>
      <c r="K83" s="16">
        <v>0</v>
      </c>
      <c r="L83" s="16">
        <v>0</v>
      </c>
      <c r="M83" s="16">
        <v>4728.4599999999991</v>
      </c>
      <c r="N83" s="18">
        <f t="shared" si="2"/>
        <v>170321179.13236719</v>
      </c>
      <c r="O83" s="4"/>
    </row>
    <row r="84" spans="1:15" ht="15" x14ac:dyDescent="0.2">
      <c r="A84" s="17" t="s">
        <v>79</v>
      </c>
      <c r="B84" s="16">
        <v>49864051.799999997</v>
      </c>
      <c r="C84" s="16">
        <v>0</v>
      </c>
      <c r="D84" s="16">
        <v>8259913.8683954552</v>
      </c>
      <c r="E84" s="16">
        <v>0</v>
      </c>
      <c r="F84" s="16">
        <v>292194.53000000003</v>
      </c>
      <c r="G84" s="16">
        <v>69815.160240488229</v>
      </c>
      <c r="H84" s="16">
        <v>2756589.49</v>
      </c>
      <c r="I84" s="16">
        <v>747723.9</v>
      </c>
      <c r="J84" s="16">
        <v>5213297.25</v>
      </c>
      <c r="K84" s="16">
        <v>0</v>
      </c>
      <c r="L84" s="16">
        <v>0</v>
      </c>
      <c r="M84" s="16">
        <v>948.96999999999991</v>
      </c>
      <c r="N84" s="18">
        <f t="shared" si="2"/>
        <v>67204534.968635947</v>
      </c>
      <c r="O84" s="4"/>
    </row>
    <row r="85" spans="1:15" ht="15" x14ac:dyDescent="0.2">
      <c r="A85" s="17" t="s">
        <v>80</v>
      </c>
      <c r="B85" s="16">
        <v>48973372.829999998</v>
      </c>
      <c r="C85" s="16">
        <v>0</v>
      </c>
      <c r="D85" s="16">
        <v>7613259.6129755359</v>
      </c>
      <c r="E85" s="16">
        <v>0</v>
      </c>
      <c r="F85" s="16">
        <v>138138.66</v>
      </c>
      <c r="G85" s="16">
        <v>71048.81</v>
      </c>
      <c r="H85" s="16">
        <v>2707350.88</v>
      </c>
      <c r="I85" s="16">
        <v>353495.93</v>
      </c>
      <c r="J85" s="16">
        <v>3051183.6599999997</v>
      </c>
      <c r="K85" s="16">
        <v>0</v>
      </c>
      <c r="L85" s="16">
        <v>0</v>
      </c>
      <c r="M85" s="16">
        <v>448.63</v>
      </c>
      <c r="N85" s="18">
        <f t="shared" si="2"/>
        <v>62908299.012975536</v>
      </c>
      <c r="O85" s="4"/>
    </row>
    <row r="86" spans="1:15" ht="15" x14ac:dyDescent="0.2">
      <c r="A86" s="17" t="s">
        <v>81</v>
      </c>
      <c r="B86" s="16">
        <v>585266909.57000017</v>
      </c>
      <c r="C86" s="16">
        <v>0</v>
      </c>
      <c r="D86" s="16">
        <v>3540443.1999999997</v>
      </c>
      <c r="E86" s="16">
        <v>0</v>
      </c>
      <c r="F86" s="16">
        <v>8249379.2699999996</v>
      </c>
      <c r="G86" s="16">
        <v>1601684.6760792623</v>
      </c>
      <c r="H86" s="16">
        <v>32354783.620000001</v>
      </c>
      <c r="I86" s="16">
        <v>21110107.629999999</v>
      </c>
      <c r="J86" s="16">
        <v>26334919.380000006</v>
      </c>
      <c r="K86" s="16">
        <v>0</v>
      </c>
      <c r="L86" s="16">
        <v>0</v>
      </c>
      <c r="M86" s="16">
        <v>26793.210000000003</v>
      </c>
      <c r="N86" s="18">
        <f t="shared" si="2"/>
        <v>678485020.55607951</v>
      </c>
      <c r="O86" s="4"/>
    </row>
    <row r="87" spans="1:15" ht="15" x14ac:dyDescent="0.2">
      <c r="A87" s="17" t="s">
        <v>82</v>
      </c>
      <c r="B87" s="16">
        <v>75414313.75999999</v>
      </c>
      <c r="C87" s="16">
        <v>0</v>
      </c>
      <c r="D87" s="16">
        <v>9785878.355685167</v>
      </c>
      <c r="E87" s="16">
        <v>0</v>
      </c>
      <c r="F87" s="16">
        <v>234210.4</v>
      </c>
      <c r="G87" s="16">
        <v>148655.97</v>
      </c>
      <c r="H87" s="16">
        <v>4169061.61</v>
      </c>
      <c r="I87" s="16">
        <v>599342.89</v>
      </c>
      <c r="J87" s="16">
        <v>5788780.4100000001</v>
      </c>
      <c r="K87" s="16">
        <v>0</v>
      </c>
      <c r="L87" s="16">
        <v>0</v>
      </c>
      <c r="M87" s="16">
        <v>760.65000000000009</v>
      </c>
      <c r="N87" s="18">
        <f t="shared" si="2"/>
        <v>96141004.045685172</v>
      </c>
      <c r="O87" s="4"/>
    </row>
    <row r="88" spans="1:15" ht="15" x14ac:dyDescent="0.2">
      <c r="A88" s="17" t="s">
        <v>83</v>
      </c>
      <c r="B88" s="16">
        <v>73177137.709999979</v>
      </c>
      <c r="C88" s="16">
        <v>0</v>
      </c>
      <c r="D88" s="16">
        <v>3146813.5342516052</v>
      </c>
      <c r="E88" s="16">
        <v>0</v>
      </c>
      <c r="F88" s="16">
        <v>1149450.08</v>
      </c>
      <c r="G88" s="16">
        <v>379291.34</v>
      </c>
      <c r="H88" s="16">
        <v>4045385.83</v>
      </c>
      <c r="I88" s="16">
        <v>2941435.25</v>
      </c>
      <c r="J88" s="16">
        <v>8574277.7400000039</v>
      </c>
      <c r="K88" s="16">
        <v>0</v>
      </c>
      <c r="L88" s="16">
        <v>0</v>
      </c>
      <c r="M88" s="16">
        <v>3733.27</v>
      </c>
      <c r="N88" s="18">
        <f t="shared" si="2"/>
        <v>93417524.754251584</v>
      </c>
      <c r="O88" s="4"/>
    </row>
    <row r="89" spans="1:15" ht="15" x14ac:dyDescent="0.2">
      <c r="A89" s="17" t="s">
        <v>84</v>
      </c>
      <c r="B89" s="16">
        <v>112181891.69999999</v>
      </c>
      <c r="C89" s="16">
        <v>0</v>
      </c>
      <c r="D89" s="16">
        <v>8571663.6300458442</v>
      </c>
      <c r="E89" s="16">
        <v>0</v>
      </c>
      <c r="F89" s="16">
        <v>966686.38</v>
      </c>
      <c r="G89" s="16">
        <v>442688.74</v>
      </c>
      <c r="H89" s="16">
        <v>6201650.5199999996</v>
      </c>
      <c r="I89" s="16">
        <v>2473744.14</v>
      </c>
      <c r="J89" s="16">
        <v>9241057.5600000024</v>
      </c>
      <c r="K89" s="16">
        <v>0</v>
      </c>
      <c r="L89" s="16">
        <v>0</v>
      </c>
      <c r="M89" s="16">
        <v>3139.67</v>
      </c>
      <c r="N89" s="18">
        <f t="shared" si="2"/>
        <v>140082522.34004581</v>
      </c>
      <c r="O89" s="4"/>
    </row>
    <row r="90" spans="1:15" ht="15" x14ac:dyDescent="0.2">
      <c r="A90" s="17" t="s">
        <v>85</v>
      </c>
      <c r="B90" s="16">
        <v>603679514.6099999</v>
      </c>
      <c r="C90" s="16">
        <v>0</v>
      </c>
      <c r="D90" s="16">
        <v>2598124.7714375849</v>
      </c>
      <c r="E90" s="16">
        <v>0</v>
      </c>
      <c r="F90" s="16">
        <v>13112940.199999999</v>
      </c>
      <c r="G90" s="16">
        <v>3684398.5968737076</v>
      </c>
      <c r="H90" s="16">
        <v>33372671.09</v>
      </c>
      <c r="I90" s="16">
        <v>33555928.25</v>
      </c>
      <c r="J90" s="16">
        <v>54673840.410000011</v>
      </c>
      <c r="K90" s="16">
        <v>0</v>
      </c>
      <c r="L90" s="16">
        <v>0</v>
      </c>
      <c r="M90" s="16">
        <v>42589.61</v>
      </c>
      <c r="N90" s="18">
        <f t="shared" si="2"/>
        <v>744720007.53831124</v>
      </c>
      <c r="O90" s="4"/>
    </row>
    <row r="91" spans="1:15" ht="15" x14ac:dyDescent="0.2">
      <c r="A91" s="17" t="s">
        <v>86</v>
      </c>
      <c r="B91" s="16">
        <v>21977067.310000002</v>
      </c>
      <c r="C91" s="16">
        <v>0</v>
      </c>
      <c r="D91" s="16">
        <v>11340753.449995976</v>
      </c>
      <c r="E91" s="16">
        <v>0</v>
      </c>
      <c r="F91" s="16">
        <v>304416.67</v>
      </c>
      <c r="G91" s="16">
        <v>147562.91</v>
      </c>
      <c r="H91" s="16">
        <v>1214938.43</v>
      </c>
      <c r="I91" s="16">
        <v>779000.29</v>
      </c>
      <c r="J91" s="16">
        <v>3929157.75</v>
      </c>
      <c r="K91" s="16">
        <v>0</v>
      </c>
      <c r="L91" s="16">
        <v>0</v>
      </c>
      <c r="M91" s="16">
        <v>988.69</v>
      </c>
      <c r="N91" s="18">
        <f t="shared" si="2"/>
        <v>39693885.499995969</v>
      </c>
      <c r="O91" s="4"/>
    </row>
    <row r="92" spans="1:15" ht="15" x14ac:dyDescent="0.2">
      <c r="A92" s="17" t="s">
        <v>87</v>
      </c>
      <c r="B92" s="16">
        <v>33024979.640000001</v>
      </c>
      <c r="C92" s="16">
        <v>0</v>
      </c>
      <c r="D92" s="16">
        <v>169694.51</v>
      </c>
      <c r="E92" s="16">
        <v>0</v>
      </c>
      <c r="F92" s="16">
        <v>65090.02</v>
      </c>
      <c r="G92" s="16">
        <v>45908.46</v>
      </c>
      <c r="H92" s="16">
        <v>1825690.22</v>
      </c>
      <c r="I92" s="16">
        <v>166564.95000000001</v>
      </c>
      <c r="J92" s="16">
        <v>1700064.2399999993</v>
      </c>
      <c r="K92" s="16">
        <v>0</v>
      </c>
      <c r="L92" s="16">
        <v>0</v>
      </c>
      <c r="M92" s="16">
        <v>211.37999999999997</v>
      </c>
      <c r="N92" s="18">
        <f t="shared" si="2"/>
        <v>36998203.420000009</v>
      </c>
      <c r="O92" s="4"/>
    </row>
    <row r="93" spans="1:15" ht="15" x14ac:dyDescent="0.2">
      <c r="A93" s="17" t="s">
        <v>88</v>
      </c>
      <c r="B93" s="16">
        <v>316948991.11000001</v>
      </c>
      <c r="C93" s="16">
        <v>0</v>
      </c>
      <c r="D93" s="16">
        <v>2632005.3692991501</v>
      </c>
      <c r="E93" s="16">
        <v>0</v>
      </c>
      <c r="F93" s="16">
        <v>10627581.27</v>
      </c>
      <c r="G93" s="16">
        <v>1968015.5140157524</v>
      </c>
      <c r="H93" s="16">
        <v>17521605.719999999</v>
      </c>
      <c r="I93" s="16">
        <v>27195910.98</v>
      </c>
      <c r="J93" s="16">
        <v>51994434.660000011</v>
      </c>
      <c r="K93" s="16">
        <v>0</v>
      </c>
      <c r="L93" s="16">
        <v>0</v>
      </c>
      <c r="M93" s="16">
        <v>34517.4</v>
      </c>
      <c r="N93" s="18">
        <f t="shared" si="2"/>
        <v>428923062.02331489</v>
      </c>
      <c r="O93" s="4"/>
    </row>
    <row r="94" spans="1:15" ht="15" x14ac:dyDescent="0.2">
      <c r="A94" s="17" t="s">
        <v>89</v>
      </c>
      <c r="B94" s="16">
        <v>220470992.39999998</v>
      </c>
      <c r="C94" s="16">
        <v>0</v>
      </c>
      <c r="D94" s="16">
        <v>3715575.7500000005</v>
      </c>
      <c r="E94" s="16">
        <v>0</v>
      </c>
      <c r="F94" s="16">
        <v>4805576.8</v>
      </c>
      <c r="G94" s="16">
        <v>2501984.6042134888</v>
      </c>
      <c r="H94" s="16">
        <v>12188099.380000001</v>
      </c>
      <c r="I94" s="16">
        <v>12297439.609999999</v>
      </c>
      <c r="J94" s="16">
        <v>27782553.960000012</v>
      </c>
      <c r="K94" s="16">
        <v>0</v>
      </c>
      <c r="L94" s="16">
        <v>0</v>
      </c>
      <c r="M94" s="16">
        <v>15608.05</v>
      </c>
      <c r="N94" s="18">
        <f t="shared" si="2"/>
        <v>283777830.55421352</v>
      </c>
      <c r="O94" s="4"/>
    </row>
    <row r="95" spans="1:15" ht="15" x14ac:dyDescent="0.2">
      <c r="A95" s="17" t="s">
        <v>90</v>
      </c>
      <c r="B95" s="16">
        <v>38494796.460000001</v>
      </c>
      <c r="C95" s="16">
        <v>0</v>
      </c>
      <c r="D95" s="16">
        <v>7792980.941463476</v>
      </c>
      <c r="E95" s="16">
        <v>0</v>
      </c>
      <c r="F95" s="16">
        <v>235631.58</v>
      </c>
      <c r="G95" s="16">
        <v>119143.39</v>
      </c>
      <c r="H95" s="16">
        <v>2128073.1800000002</v>
      </c>
      <c r="I95" s="16">
        <v>602979.68000000005</v>
      </c>
      <c r="J95" s="16">
        <v>4092598.0200000014</v>
      </c>
      <c r="K95" s="16">
        <v>0</v>
      </c>
      <c r="L95" s="16">
        <v>0</v>
      </c>
      <c r="M95" s="16">
        <v>765.2700000000001</v>
      </c>
      <c r="N95" s="18">
        <f t="shared" si="2"/>
        <v>53466968.521463484</v>
      </c>
      <c r="O95" s="4"/>
    </row>
    <row r="96" spans="1:15" ht="15" x14ac:dyDescent="0.2">
      <c r="A96" s="17" t="s">
        <v>91</v>
      </c>
      <c r="B96" s="16">
        <v>138374839.66</v>
      </c>
      <c r="C96" s="16">
        <v>0</v>
      </c>
      <c r="D96" s="16">
        <v>19949272.812453546</v>
      </c>
      <c r="E96" s="16">
        <v>0</v>
      </c>
      <c r="F96" s="16">
        <v>1320560.1100000001</v>
      </c>
      <c r="G96" s="16">
        <v>650369.88</v>
      </c>
      <c r="H96" s="16">
        <v>7649651.6799999997</v>
      </c>
      <c r="I96" s="16">
        <v>3379304.69</v>
      </c>
      <c r="J96" s="16">
        <v>14663205.269999994</v>
      </c>
      <c r="K96" s="16">
        <v>0</v>
      </c>
      <c r="L96" s="16">
        <v>0</v>
      </c>
      <c r="M96" s="16">
        <v>4289.0199999999995</v>
      </c>
      <c r="N96" s="18">
        <f t="shared" si="2"/>
        <v>185991493.12245354</v>
      </c>
      <c r="O96" s="4"/>
    </row>
    <row r="97" spans="1:15" ht="15" x14ac:dyDescent="0.2">
      <c r="A97" s="17" t="s">
        <v>92</v>
      </c>
      <c r="B97" s="16">
        <v>64806501.649999999</v>
      </c>
      <c r="C97" s="16">
        <v>0</v>
      </c>
      <c r="D97" s="16">
        <v>28464734.902490065</v>
      </c>
      <c r="E97" s="16">
        <v>0</v>
      </c>
      <c r="F97" s="16">
        <v>609686.06000000006</v>
      </c>
      <c r="G97" s="16">
        <v>333382.88</v>
      </c>
      <c r="H97" s="16">
        <v>3582639.49</v>
      </c>
      <c r="I97" s="16">
        <v>1560182.64</v>
      </c>
      <c r="J97" s="16">
        <v>9790942.5600000005</v>
      </c>
      <c r="K97" s="16">
        <v>0</v>
      </c>
      <c r="L97" s="16">
        <v>0</v>
      </c>
      <c r="M97" s="16">
        <v>1980.16</v>
      </c>
      <c r="N97" s="18">
        <f t="shared" si="2"/>
        <v>109150050.34249005</v>
      </c>
      <c r="O97" s="4"/>
    </row>
    <row r="98" spans="1:15" ht="15" x14ac:dyDescent="0.2">
      <c r="A98" s="17" t="s">
        <v>93</v>
      </c>
      <c r="B98" s="16">
        <v>180390437.91000003</v>
      </c>
      <c r="C98" s="16">
        <v>0</v>
      </c>
      <c r="D98" s="16">
        <v>27911401.564498842</v>
      </c>
      <c r="E98" s="16">
        <v>0</v>
      </c>
      <c r="F98" s="16">
        <v>1417768.79</v>
      </c>
      <c r="G98" s="16">
        <v>781536.91</v>
      </c>
      <c r="H98" s="16">
        <v>9972362.1699999999</v>
      </c>
      <c r="I98" s="16">
        <v>3628061.09</v>
      </c>
      <c r="J98" s="16">
        <v>18888610.019999996</v>
      </c>
      <c r="K98" s="16">
        <v>0</v>
      </c>
      <c r="L98" s="16">
        <v>0</v>
      </c>
      <c r="M98" s="16">
        <v>4604.7500000000009</v>
      </c>
      <c r="N98" s="18">
        <f t="shared" si="2"/>
        <v>242994783.20449883</v>
      </c>
      <c r="O98" s="4"/>
    </row>
    <row r="99" spans="1:15" ht="15" x14ac:dyDescent="0.2">
      <c r="A99" s="17" t="s">
        <v>94</v>
      </c>
      <c r="B99" s="16">
        <v>123444614.82999998</v>
      </c>
      <c r="C99" s="16">
        <v>0</v>
      </c>
      <c r="D99" s="16">
        <v>15155868.154706301</v>
      </c>
      <c r="E99" s="16">
        <v>0</v>
      </c>
      <c r="F99" s="16">
        <v>525552.22</v>
      </c>
      <c r="G99" s="16">
        <v>210960.31</v>
      </c>
      <c r="H99" s="16">
        <v>6824277.5</v>
      </c>
      <c r="I99" s="16">
        <v>1344884.71</v>
      </c>
      <c r="J99" s="16">
        <v>12336900.870000001</v>
      </c>
      <c r="K99" s="16">
        <v>0</v>
      </c>
      <c r="L99" s="16">
        <v>0</v>
      </c>
      <c r="M99" s="16">
        <v>1706.9099999999999</v>
      </c>
      <c r="N99" s="18">
        <f t="shared" si="2"/>
        <v>159844765.50470629</v>
      </c>
      <c r="O99" s="4"/>
    </row>
    <row r="100" spans="1:15" ht="15" x14ac:dyDescent="0.2">
      <c r="A100" s="17" t="s">
        <v>95</v>
      </c>
      <c r="B100" s="16">
        <v>117311154.81</v>
      </c>
      <c r="C100" s="16">
        <v>0</v>
      </c>
      <c r="D100" s="16">
        <v>25289934.298664726</v>
      </c>
      <c r="E100" s="16">
        <v>0</v>
      </c>
      <c r="F100" s="16">
        <v>590073.78</v>
      </c>
      <c r="G100" s="16">
        <v>278729.95</v>
      </c>
      <c r="H100" s="16">
        <v>6485206.96</v>
      </c>
      <c r="I100" s="16">
        <v>1509994.95</v>
      </c>
      <c r="J100" s="16">
        <v>9884802.6899999995</v>
      </c>
      <c r="K100" s="16">
        <v>0</v>
      </c>
      <c r="L100" s="16">
        <v>0</v>
      </c>
      <c r="M100" s="16">
        <v>1916.47</v>
      </c>
      <c r="N100" s="18">
        <f t="shared" si="2"/>
        <v>161351813.9086647</v>
      </c>
      <c r="O100" s="4"/>
    </row>
    <row r="101" spans="1:15" ht="15" x14ac:dyDescent="0.2">
      <c r="A101" s="17" t="s">
        <v>96</v>
      </c>
      <c r="B101" s="16">
        <v>23709525.299999997</v>
      </c>
      <c r="C101" s="16">
        <v>0</v>
      </c>
      <c r="D101" s="16">
        <v>8319947.8969472507</v>
      </c>
      <c r="E101" s="16">
        <v>0</v>
      </c>
      <c r="F101" s="16">
        <v>70490.5</v>
      </c>
      <c r="G101" s="16">
        <v>41536.230000000003</v>
      </c>
      <c r="H101" s="16">
        <v>1310712.3400000001</v>
      </c>
      <c r="I101" s="16">
        <v>180384.75</v>
      </c>
      <c r="J101" s="16">
        <v>2082096.2399999993</v>
      </c>
      <c r="K101" s="16">
        <v>0</v>
      </c>
      <c r="L101" s="16">
        <v>0</v>
      </c>
      <c r="M101" s="16">
        <v>228.92999999999998</v>
      </c>
      <c r="N101" s="18">
        <f t="shared" si="2"/>
        <v>35714922.186947249</v>
      </c>
      <c r="O101" s="4"/>
    </row>
    <row r="102" spans="1:15" ht="15" x14ac:dyDescent="0.2">
      <c r="A102" s="17" t="s">
        <v>97</v>
      </c>
      <c r="B102" s="16">
        <v>78337836.560000002</v>
      </c>
      <c r="C102" s="16">
        <v>0</v>
      </c>
      <c r="D102" s="16">
        <v>37499156.077992514</v>
      </c>
      <c r="E102" s="16">
        <v>0</v>
      </c>
      <c r="F102" s="16">
        <v>1364900.91</v>
      </c>
      <c r="G102" s="16">
        <v>731256.22</v>
      </c>
      <c r="H102" s="16">
        <v>4330680.09</v>
      </c>
      <c r="I102" s="16">
        <v>3492772.52</v>
      </c>
      <c r="J102" s="16">
        <v>14011128.809999997</v>
      </c>
      <c r="K102" s="16">
        <v>0</v>
      </c>
      <c r="L102" s="16">
        <v>0</v>
      </c>
      <c r="M102" s="16">
        <v>4433.0300000000007</v>
      </c>
      <c r="N102" s="18">
        <f t="shared" si="2"/>
        <v>139772164.21799251</v>
      </c>
      <c r="O102" s="4"/>
    </row>
    <row r="103" spans="1:15" ht="15" x14ac:dyDescent="0.2">
      <c r="A103" s="17" t="s">
        <v>98</v>
      </c>
      <c r="B103" s="16">
        <v>27149991.18</v>
      </c>
      <c r="C103" s="16">
        <v>0</v>
      </c>
      <c r="D103" s="16">
        <v>9254687.1363720298</v>
      </c>
      <c r="E103" s="16">
        <v>0</v>
      </c>
      <c r="F103" s="16">
        <v>33824.07</v>
      </c>
      <c r="G103" s="16">
        <v>25140.35</v>
      </c>
      <c r="H103" s="16">
        <v>1500908.52</v>
      </c>
      <c r="I103" s="16">
        <v>86555.59</v>
      </c>
      <c r="J103" s="16">
        <v>2928649.290000001</v>
      </c>
      <c r="K103" s="16">
        <v>0</v>
      </c>
      <c r="L103" s="16">
        <v>0</v>
      </c>
      <c r="M103" s="16">
        <v>109.83</v>
      </c>
      <c r="N103" s="18">
        <f t="shared" si="2"/>
        <v>40979865.966372035</v>
      </c>
      <c r="O103" s="4"/>
    </row>
    <row r="104" spans="1:15" ht="15" x14ac:dyDescent="0.2">
      <c r="A104" s="17" t="s">
        <v>99</v>
      </c>
      <c r="B104" s="16">
        <v>362340437.37</v>
      </c>
      <c r="C104" s="16">
        <v>0</v>
      </c>
      <c r="D104" s="16">
        <v>8383426.721884435</v>
      </c>
      <c r="E104" s="16">
        <v>0</v>
      </c>
      <c r="F104" s="16">
        <v>6931661.5199999996</v>
      </c>
      <c r="G104" s="16">
        <v>1408059.9625597815</v>
      </c>
      <c r="H104" s="16">
        <v>20030940.170000002</v>
      </c>
      <c r="I104" s="16">
        <v>17738076.52</v>
      </c>
      <c r="J104" s="16">
        <v>32697919.800000012</v>
      </c>
      <c r="K104" s="16">
        <v>0</v>
      </c>
      <c r="L104" s="16">
        <v>0</v>
      </c>
      <c r="M104" s="16">
        <v>22513.37</v>
      </c>
      <c r="N104" s="18">
        <f t="shared" ref="N104:N135" si="3">SUM(B104:M104)</f>
        <v>449553035.43444419</v>
      </c>
      <c r="O104" s="4"/>
    </row>
    <row r="105" spans="1:15" ht="15" x14ac:dyDescent="0.2">
      <c r="A105" s="17" t="s">
        <v>100</v>
      </c>
      <c r="B105" s="16">
        <v>61166942.829999998</v>
      </c>
      <c r="C105" s="16">
        <v>0</v>
      </c>
      <c r="D105" s="16">
        <v>549902.76</v>
      </c>
      <c r="E105" s="16">
        <v>0</v>
      </c>
      <c r="F105" s="16">
        <v>298731.95</v>
      </c>
      <c r="G105" s="16">
        <v>180354.67</v>
      </c>
      <c r="H105" s="16">
        <v>3381437.03</v>
      </c>
      <c r="I105" s="16">
        <v>764453.13</v>
      </c>
      <c r="J105" s="16">
        <v>4217842.4400000013</v>
      </c>
      <c r="K105" s="16">
        <v>0</v>
      </c>
      <c r="L105" s="16">
        <v>0</v>
      </c>
      <c r="M105" s="16">
        <v>970.21</v>
      </c>
      <c r="N105" s="18">
        <f t="shared" si="3"/>
        <v>70560635.019999996</v>
      </c>
      <c r="O105" s="4"/>
    </row>
    <row r="106" spans="1:15" ht="15" x14ac:dyDescent="0.2">
      <c r="A106" s="17" t="s">
        <v>101</v>
      </c>
      <c r="B106" s="16">
        <v>69879879.030000001</v>
      </c>
      <c r="C106" s="16">
        <v>0</v>
      </c>
      <c r="D106" s="16">
        <v>616186.04</v>
      </c>
      <c r="E106" s="16">
        <v>0</v>
      </c>
      <c r="F106" s="16">
        <v>2116704.94</v>
      </c>
      <c r="G106" s="16">
        <v>601442.89898895693</v>
      </c>
      <c r="H106" s="16">
        <v>3863106.44</v>
      </c>
      <c r="I106" s="16">
        <v>5416634.0999999996</v>
      </c>
      <c r="J106" s="16">
        <v>11249929.739999993</v>
      </c>
      <c r="K106" s="16">
        <v>0</v>
      </c>
      <c r="L106" s="16">
        <v>0</v>
      </c>
      <c r="M106" s="16">
        <v>6874.82</v>
      </c>
      <c r="N106" s="18">
        <f t="shared" si="3"/>
        <v>93750758.008988947</v>
      </c>
      <c r="O106" s="4"/>
    </row>
    <row r="107" spans="1:15" ht="15" x14ac:dyDescent="0.2">
      <c r="A107" s="17" t="s">
        <v>102</v>
      </c>
      <c r="B107" s="16">
        <v>95477294.590000004</v>
      </c>
      <c r="C107" s="16">
        <v>0</v>
      </c>
      <c r="D107" s="16">
        <v>11070256.316795561</v>
      </c>
      <c r="E107" s="16">
        <v>0</v>
      </c>
      <c r="F107" s="16">
        <v>117673.67</v>
      </c>
      <c r="G107" s="16">
        <v>110398.92</v>
      </c>
      <c r="H107" s="16">
        <v>5278185.32</v>
      </c>
      <c r="I107" s="16">
        <v>301126.15999999997</v>
      </c>
      <c r="J107" s="16">
        <v>5484971.3099999996</v>
      </c>
      <c r="K107" s="16">
        <v>0</v>
      </c>
      <c r="L107" s="16">
        <v>0</v>
      </c>
      <c r="M107" s="16">
        <v>382.16</v>
      </c>
      <c r="N107" s="18">
        <f t="shared" si="3"/>
        <v>117840288.44679555</v>
      </c>
      <c r="O107" s="4"/>
    </row>
    <row r="108" spans="1:15" ht="15" x14ac:dyDescent="0.2">
      <c r="A108" s="17" t="s">
        <v>103</v>
      </c>
      <c r="B108" s="16">
        <v>33178665.450000003</v>
      </c>
      <c r="C108" s="16">
        <v>0</v>
      </c>
      <c r="D108" s="16">
        <v>5448474.7460668748</v>
      </c>
      <c r="E108" s="16">
        <v>0</v>
      </c>
      <c r="F108" s="16">
        <v>119379.08</v>
      </c>
      <c r="G108" s="16">
        <v>68862.69</v>
      </c>
      <c r="H108" s="16">
        <v>1834186.29</v>
      </c>
      <c r="I108" s="16">
        <v>305490.31</v>
      </c>
      <c r="J108" s="16">
        <v>2783702.67</v>
      </c>
      <c r="K108" s="16">
        <v>0</v>
      </c>
      <c r="L108" s="16">
        <v>0</v>
      </c>
      <c r="M108" s="16">
        <v>387.68</v>
      </c>
      <c r="N108" s="18">
        <f t="shared" si="3"/>
        <v>43739148.916066878</v>
      </c>
      <c r="O108" s="4"/>
    </row>
    <row r="109" spans="1:15" ht="15" x14ac:dyDescent="0.2">
      <c r="A109" s="17" t="s">
        <v>104</v>
      </c>
      <c r="B109" s="16">
        <v>364864027.81</v>
      </c>
      <c r="C109" s="16">
        <v>0</v>
      </c>
      <c r="D109" s="16">
        <v>4523154.3117108801</v>
      </c>
      <c r="E109" s="16">
        <v>0</v>
      </c>
      <c r="F109" s="16">
        <v>12188604.970000001</v>
      </c>
      <c r="G109" s="16">
        <v>6248662.3064301303</v>
      </c>
      <c r="H109" s="16">
        <v>20170449.550000001</v>
      </c>
      <c r="I109" s="16">
        <v>31190560.440000001</v>
      </c>
      <c r="J109" s="16">
        <v>51794812.859999985</v>
      </c>
      <c r="K109" s="16">
        <v>0</v>
      </c>
      <c r="L109" s="16">
        <v>0</v>
      </c>
      <c r="M109" s="16">
        <v>39587.480000000003</v>
      </c>
      <c r="N109" s="18">
        <f t="shared" si="3"/>
        <v>491019859.72814107</v>
      </c>
      <c r="O109" s="4"/>
    </row>
    <row r="110" spans="1:15" ht="15" x14ac:dyDescent="0.2">
      <c r="A110" s="17" t="s">
        <v>105</v>
      </c>
      <c r="B110" s="16">
        <v>42570962.669999994</v>
      </c>
      <c r="C110" s="16">
        <v>0</v>
      </c>
      <c r="D110" s="16">
        <v>11409215.833103247</v>
      </c>
      <c r="E110" s="16">
        <v>0</v>
      </c>
      <c r="F110" s="16">
        <v>465862.68</v>
      </c>
      <c r="G110" s="16">
        <v>230635.37</v>
      </c>
      <c r="H110" s="16">
        <v>2353412.21</v>
      </c>
      <c r="I110" s="16">
        <v>1192139.56</v>
      </c>
      <c r="J110" s="16">
        <v>6104051.9399999995</v>
      </c>
      <c r="K110" s="16">
        <v>0</v>
      </c>
      <c r="L110" s="16">
        <v>0</v>
      </c>
      <c r="M110" s="16">
        <v>1513.04</v>
      </c>
      <c r="N110" s="18">
        <f t="shared" si="3"/>
        <v>64327793.303103238</v>
      </c>
      <c r="O110" s="4"/>
    </row>
    <row r="111" spans="1:15" ht="15" x14ac:dyDescent="0.2">
      <c r="A111" s="17" t="s">
        <v>106</v>
      </c>
      <c r="B111" s="16">
        <v>51999934.969999999</v>
      </c>
      <c r="C111" s="16">
        <v>0</v>
      </c>
      <c r="D111" s="16">
        <v>11875258.007828914</v>
      </c>
      <c r="E111" s="16">
        <v>0</v>
      </c>
      <c r="F111" s="16">
        <v>162298.71</v>
      </c>
      <c r="G111" s="16">
        <v>106026.69</v>
      </c>
      <c r="H111" s="16">
        <v>2874665.59</v>
      </c>
      <c r="I111" s="16">
        <v>415321.35</v>
      </c>
      <c r="J111" s="16">
        <v>4839962.6100000013</v>
      </c>
      <c r="K111" s="16">
        <v>0</v>
      </c>
      <c r="L111" s="16">
        <v>0</v>
      </c>
      <c r="M111" s="16">
        <v>527.1</v>
      </c>
      <c r="N111" s="18">
        <f t="shared" si="3"/>
        <v>72273995.027828902</v>
      </c>
      <c r="O111" s="4"/>
    </row>
    <row r="112" spans="1:15" ht="15" x14ac:dyDescent="0.2">
      <c r="A112" s="17" t="s">
        <v>107</v>
      </c>
      <c r="B112" s="16">
        <v>69623153.890000015</v>
      </c>
      <c r="C112" s="16">
        <v>0</v>
      </c>
      <c r="D112" s="16">
        <v>22877652.406625371</v>
      </c>
      <c r="E112" s="16">
        <v>0</v>
      </c>
      <c r="F112" s="16">
        <v>197259.73</v>
      </c>
      <c r="G112" s="16">
        <v>120236.45</v>
      </c>
      <c r="H112" s="16">
        <v>3848914.14</v>
      </c>
      <c r="I112" s="16">
        <v>504786.37</v>
      </c>
      <c r="J112" s="16">
        <v>5064505.3199999994</v>
      </c>
      <c r="K112" s="16">
        <v>0</v>
      </c>
      <c r="L112" s="16">
        <v>0</v>
      </c>
      <c r="M112" s="16">
        <v>640.63</v>
      </c>
      <c r="N112" s="18">
        <f t="shared" si="3"/>
        <v>102237148.93662539</v>
      </c>
      <c r="O112" s="4"/>
    </row>
    <row r="113" spans="1:15" ht="15" x14ac:dyDescent="0.2">
      <c r="A113" s="17" t="s">
        <v>108</v>
      </c>
      <c r="B113" s="16">
        <v>55686647.390000001</v>
      </c>
      <c r="C113" s="16">
        <v>0</v>
      </c>
      <c r="D113" s="16">
        <v>29109822.725426514</v>
      </c>
      <c r="E113" s="16">
        <v>0</v>
      </c>
      <c r="F113" s="16">
        <v>277982.73</v>
      </c>
      <c r="G113" s="16">
        <v>163958.79</v>
      </c>
      <c r="H113" s="16">
        <v>3078474.8</v>
      </c>
      <c r="I113" s="16">
        <v>711356</v>
      </c>
      <c r="J113" s="16">
        <v>5025503.91</v>
      </c>
      <c r="K113" s="16">
        <v>0</v>
      </c>
      <c r="L113" s="16">
        <v>0</v>
      </c>
      <c r="M113" s="16">
        <v>902.81000000000006</v>
      </c>
      <c r="N113" s="18">
        <f t="shared" si="3"/>
        <v>94054649.155426517</v>
      </c>
      <c r="O113" s="4"/>
    </row>
    <row r="114" spans="1:15" ht="15" x14ac:dyDescent="0.2">
      <c r="A114" s="17" t="s">
        <v>109</v>
      </c>
      <c r="B114" s="16">
        <v>37363110.259999998</v>
      </c>
      <c r="C114" s="16">
        <v>0</v>
      </c>
      <c r="D114" s="16">
        <v>9586624.115307482</v>
      </c>
      <c r="E114" s="16">
        <v>0</v>
      </c>
      <c r="F114" s="16">
        <v>168267.66</v>
      </c>
      <c r="G114" s="16">
        <v>87444.69</v>
      </c>
      <c r="H114" s="16">
        <v>2065511.19</v>
      </c>
      <c r="I114" s="16">
        <v>430595.86</v>
      </c>
      <c r="J114" s="16">
        <v>3805964.1900000018</v>
      </c>
      <c r="K114" s="16">
        <v>0</v>
      </c>
      <c r="L114" s="16">
        <v>0</v>
      </c>
      <c r="M114" s="16">
        <v>546.47</v>
      </c>
      <c r="N114" s="18">
        <f t="shared" si="3"/>
        <v>53508064.435307473</v>
      </c>
      <c r="O114" s="4"/>
    </row>
    <row r="115" spans="1:15" ht="15" x14ac:dyDescent="0.2">
      <c r="A115" s="17" t="s">
        <v>110</v>
      </c>
      <c r="B115" s="16">
        <v>100107078.89000002</v>
      </c>
      <c r="C115" s="16">
        <v>0</v>
      </c>
      <c r="D115" s="16">
        <v>7599198.9315273315</v>
      </c>
      <c r="E115" s="16">
        <v>0</v>
      </c>
      <c r="F115" s="16">
        <v>174236.62</v>
      </c>
      <c r="G115" s="16">
        <v>145376.79999999999</v>
      </c>
      <c r="H115" s="16">
        <v>5534129.5199999996</v>
      </c>
      <c r="I115" s="16">
        <v>445870.38</v>
      </c>
      <c r="J115" s="16">
        <v>5044015.8300000019</v>
      </c>
      <c r="K115" s="16">
        <v>0</v>
      </c>
      <c r="L115" s="16">
        <v>0</v>
      </c>
      <c r="M115" s="16">
        <v>565.87</v>
      </c>
      <c r="N115" s="18">
        <f t="shared" si="3"/>
        <v>119050472.84152734</v>
      </c>
      <c r="O115" s="4"/>
    </row>
    <row r="116" spans="1:15" ht="15" x14ac:dyDescent="0.2">
      <c r="A116" s="17" t="s">
        <v>111</v>
      </c>
      <c r="B116" s="16">
        <v>52750899.57</v>
      </c>
      <c r="C116" s="16">
        <v>0</v>
      </c>
      <c r="D116" s="16">
        <v>13072169.905889295</v>
      </c>
      <c r="E116" s="16">
        <v>0</v>
      </c>
      <c r="F116" s="16">
        <v>480927.18</v>
      </c>
      <c r="G116" s="16">
        <v>224077.02</v>
      </c>
      <c r="H116" s="16">
        <v>2916180.49</v>
      </c>
      <c r="I116" s="16">
        <v>1230689.53</v>
      </c>
      <c r="J116" s="16">
        <v>6823383.2099999972</v>
      </c>
      <c r="K116" s="16">
        <v>0</v>
      </c>
      <c r="L116" s="16">
        <v>0</v>
      </c>
      <c r="M116" s="16">
        <v>1561.9699999999998</v>
      </c>
      <c r="N116" s="18">
        <f t="shared" si="3"/>
        <v>77499888.875889286</v>
      </c>
      <c r="O116" s="4"/>
    </row>
    <row r="117" spans="1:15" ht="15" x14ac:dyDescent="0.2">
      <c r="A117" s="17" t="s">
        <v>112</v>
      </c>
      <c r="B117" s="16">
        <v>30655074.950000003</v>
      </c>
      <c r="C117" s="16">
        <v>0</v>
      </c>
      <c r="D117" s="16">
        <v>2667454.1169120255</v>
      </c>
      <c r="E117" s="16">
        <v>0</v>
      </c>
      <c r="F117" s="16">
        <v>101187.98</v>
      </c>
      <c r="G117" s="16">
        <v>60118.22</v>
      </c>
      <c r="H117" s="16">
        <v>1694676.91</v>
      </c>
      <c r="I117" s="16">
        <v>258939.4</v>
      </c>
      <c r="J117" s="16">
        <v>2108518.2299999991</v>
      </c>
      <c r="K117" s="16">
        <v>0</v>
      </c>
      <c r="L117" s="16">
        <v>0</v>
      </c>
      <c r="M117" s="16">
        <v>328.6</v>
      </c>
      <c r="N117" s="18">
        <f t="shared" si="3"/>
        <v>37546298.406912021</v>
      </c>
      <c r="O117" s="4"/>
    </row>
    <row r="118" spans="1:15" ht="15" x14ac:dyDescent="0.2">
      <c r="A118" s="17" t="s">
        <v>113</v>
      </c>
      <c r="B118" s="16">
        <v>46512653.82</v>
      </c>
      <c r="C118" s="16">
        <v>0</v>
      </c>
      <c r="D118" s="16">
        <v>23058253.812303316</v>
      </c>
      <c r="E118" s="16">
        <v>0</v>
      </c>
      <c r="F118" s="16">
        <v>477232.11</v>
      </c>
      <c r="G118" s="16">
        <v>228449.25</v>
      </c>
      <c r="H118" s="16">
        <v>2571317.17</v>
      </c>
      <c r="I118" s="16">
        <v>1221233.8700000001</v>
      </c>
      <c r="J118" s="16">
        <v>5450913.5099999988</v>
      </c>
      <c r="K118" s="16">
        <v>0</v>
      </c>
      <c r="L118" s="16">
        <v>0</v>
      </c>
      <c r="M118" s="16">
        <v>1549.9600000000003</v>
      </c>
      <c r="N118" s="18">
        <f t="shared" si="3"/>
        <v>79521603.502303317</v>
      </c>
      <c r="O118" s="4"/>
    </row>
    <row r="119" spans="1:15" ht="15" x14ac:dyDescent="0.2">
      <c r="A119" s="17" t="s">
        <v>114</v>
      </c>
      <c r="B119" s="16">
        <v>67588563.660000011</v>
      </c>
      <c r="C119" s="16">
        <v>0</v>
      </c>
      <c r="D119" s="16">
        <v>10970808.895873368</v>
      </c>
      <c r="E119" s="16">
        <v>0</v>
      </c>
      <c r="F119" s="16">
        <v>383434.26</v>
      </c>
      <c r="G119" s="16">
        <v>160679.62</v>
      </c>
      <c r="H119" s="16">
        <v>3736437.72</v>
      </c>
      <c r="I119" s="16">
        <v>981205.77</v>
      </c>
      <c r="J119" s="16">
        <v>5030740.6800000006</v>
      </c>
      <c r="K119" s="16">
        <v>0</v>
      </c>
      <c r="L119" s="16">
        <v>0</v>
      </c>
      <c r="M119" s="16">
        <v>1245.31</v>
      </c>
      <c r="N119" s="18">
        <f t="shared" si="3"/>
        <v>88853115.915873393</v>
      </c>
      <c r="O119" s="4"/>
    </row>
    <row r="120" spans="1:15" ht="15" x14ac:dyDescent="0.2">
      <c r="A120" s="17" t="s">
        <v>115</v>
      </c>
      <c r="B120" s="16">
        <v>44684142.230000004</v>
      </c>
      <c r="C120" s="16">
        <v>0</v>
      </c>
      <c r="D120" s="16">
        <v>11238273.407076906</v>
      </c>
      <c r="E120" s="16">
        <v>0</v>
      </c>
      <c r="F120" s="16">
        <v>258370.45</v>
      </c>
      <c r="G120" s="16">
        <v>161772.68</v>
      </c>
      <c r="H120" s="16">
        <v>2470233.21</v>
      </c>
      <c r="I120" s="16">
        <v>661168.31000000006</v>
      </c>
      <c r="J120" s="16">
        <v>5395102.8600000013</v>
      </c>
      <c r="K120" s="16">
        <v>0</v>
      </c>
      <c r="L120" s="16">
        <v>0</v>
      </c>
      <c r="M120" s="16">
        <v>839.11999999999989</v>
      </c>
      <c r="N120" s="18">
        <f t="shared" si="3"/>
        <v>64869902.267076917</v>
      </c>
      <c r="O120" s="4"/>
    </row>
    <row r="121" spans="1:15" ht="15" x14ac:dyDescent="0.2">
      <c r="A121" s="17" t="s">
        <v>116</v>
      </c>
      <c r="B121" s="16">
        <v>48582172.629999995</v>
      </c>
      <c r="C121" s="16">
        <v>0</v>
      </c>
      <c r="D121" s="16">
        <v>13082216.532641748</v>
      </c>
      <c r="E121" s="16">
        <v>0</v>
      </c>
      <c r="F121" s="16">
        <v>108578.12</v>
      </c>
      <c r="G121" s="16">
        <v>59025.17</v>
      </c>
      <c r="H121" s="16">
        <v>2685724.51</v>
      </c>
      <c r="I121" s="16">
        <v>277850.71000000002</v>
      </c>
      <c r="J121" s="16">
        <v>2961351.959999999</v>
      </c>
      <c r="K121" s="16">
        <v>0</v>
      </c>
      <c r="L121" s="16">
        <v>0</v>
      </c>
      <c r="M121" s="16">
        <v>352.60999999999996</v>
      </c>
      <c r="N121" s="18">
        <f t="shared" si="3"/>
        <v>67757272.242641732</v>
      </c>
      <c r="O121" s="4"/>
    </row>
    <row r="122" spans="1:15" ht="15" x14ac:dyDescent="0.2">
      <c r="A122" s="17" t="s">
        <v>117</v>
      </c>
      <c r="B122" s="16">
        <v>136076538.60000002</v>
      </c>
      <c r="C122" s="16">
        <v>0</v>
      </c>
      <c r="D122" s="16">
        <v>3724577.1149999993</v>
      </c>
      <c r="E122" s="16">
        <v>0</v>
      </c>
      <c r="F122" s="16">
        <v>3268713.14</v>
      </c>
      <c r="G122" s="16">
        <v>1451255.5385814346</v>
      </c>
      <c r="H122" s="16">
        <v>7522596.7699999996</v>
      </c>
      <c r="I122" s="16">
        <v>8364615.5700000003</v>
      </c>
      <c r="J122" s="16">
        <v>13877241.839999992</v>
      </c>
      <c r="K122" s="16">
        <v>0</v>
      </c>
      <c r="L122" s="16">
        <v>0</v>
      </c>
      <c r="M122" s="16">
        <v>10616.45</v>
      </c>
      <c r="N122" s="18">
        <f t="shared" si="3"/>
        <v>174296155.02358145</v>
      </c>
      <c r="O122" s="4"/>
    </row>
    <row r="123" spans="1:15" ht="15" x14ac:dyDescent="0.2">
      <c r="A123" s="17" t="s">
        <v>118</v>
      </c>
      <c r="B123" s="16">
        <v>364237059.67999995</v>
      </c>
      <c r="C123" s="16">
        <v>0</v>
      </c>
      <c r="D123" s="16">
        <v>4823207.54</v>
      </c>
      <c r="E123" s="16">
        <v>0</v>
      </c>
      <c r="F123" s="16">
        <v>4543795.51</v>
      </c>
      <c r="G123" s="16">
        <v>3847237.7062365701</v>
      </c>
      <c r="H123" s="16">
        <v>20135789.440000001</v>
      </c>
      <c r="I123" s="16">
        <v>11627543</v>
      </c>
      <c r="J123" s="16">
        <v>18612358.379999999</v>
      </c>
      <c r="K123" s="16">
        <v>0</v>
      </c>
      <c r="L123" s="16">
        <v>0</v>
      </c>
      <c r="M123" s="16">
        <v>14757.81</v>
      </c>
      <c r="N123" s="18">
        <f t="shared" si="3"/>
        <v>427841749.0662365</v>
      </c>
      <c r="O123" s="4"/>
    </row>
    <row r="124" spans="1:15" ht="15" x14ac:dyDescent="0.2">
      <c r="A124" s="17" t="s">
        <v>119</v>
      </c>
      <c r="B124" s="16">
        <v>277285833.25</v>
      </c>
      <c r="C124" s="16">
        <v>0</v>
      </c>
      <c r="D124" s="16">
        <v>2025650.7100000004</v>
      </c>
      <c r="E124" s="16">
        <v>0</v>
      </c>
      <c r="F124" s="16">
        <v>5818593.6399999997</v>
      </c>
      <c r="G124" s="16">
        <v>0</v>
      </c>
      <c r="H124" s="16">
        <v>15328943.07</v>
      </c>
      <c r="I124" s="16">
        <v>14889743.08</v>
      </c>
      <c r="J124" s="16">
        <v>25981433.520000014</v>
      </c>
      <c r="K124" s="16">
        <v>0</v>
      </c>
      <c r="L124" s="16">
        <v>0</v>
      </c>
      <c r="M124" s="16">
        <v>18898.230000000003</v>
      </c>
      <c r="N124" s="18">
        <f t="shared" si="3"/>
        <v>341349095.5</v>
      </c>
      <c r="O124" s="4"/>
    </row>
    <row r="125" spans="1:15" ht="15" x14ac:dyDescent="0.2">
      <c r="A125" s="17" t="s">
        <v>120</v>
      </c>
      <c r="B125" s="16">
        <v>98863621.170000002</v>
      </c>
      <c r="C125" s="16">
        <v>0</v>
      </c>
      <c r="D125" s="16">
        <v>20769625.296310253</v>
      </c>
      <c r="E125" s="16">
        <v>0</v>
      </c>
      <c r="F125" s="16">
        <v>2262517.9700000002</v>
      </c>
      <c r="G125" s="16">
        <v>1019823.69</v>
      </c>
      <c r="H125" s="16">
        <v>5465388.5599999996</v>
      </c>
      <c r="I125" s="16">
        <v>5789768.6900000004</v>
      </c>
      <c r="J125" s="16">
        <v>16166046.330000006</v>
      </c>
      <c r="K125" s="16">
        <v>0</v>
      </c>
      <c r="L125" s="16">
        <v>0</v>
      </c>
      <c r="M125" s="16">
        <v>7348.4100000000008</v>
      </c>
      <c r="N125" s="18">
        <f t="shared" si="3"/>
        <v>150344140.11631027</v>
      </c>
      <c r="O125" s="4"/>
    </row>
    <row r="126" spans="1:15" ht="15" x14ac:dyDescent="0.2">
      <c r="A126" s="17" t="s">
        <v>121</v>
      </c>
      <c r="B126" s="16">
        <v>124543118.90000001</v>
      </c>
      <c r="C126" s="16">
        <v>0</v>
      </c>
      <c r="D126" s="16">
        <v>13330597.216072185</v>
      </c>
      <c r="E126" s="16">
        <v>0</v>
      </c>
      <c r="F126" s="16">
        <v>1132680.1599999999</v>
      </c>
      <c r="G126" s="16">
        <v>413176.16</v>
      </c>
      <c r="H126" s="16">
        <v>6885005.1200000001</v>
      </c>
      <c r="I126" s="16">
        <v>2898521.14</v>
      </c>
      <c r="J126" s="16">
        <v>10687813.290000003</v>
      </c>
      <c r="K126" s="16">
        <v>0</v>
      </c>
      <c r="L126" s="16">
        <v>0</v>
      </c>
      <c r="M126" s="16">
        <v>3678.7999999999997</v>
      </c>
      <c r="N126" s="18">
        <f t="shared" si="3"/>
        <v>159894590.78607216</v>
      </c>
      <c r="O126" s="4"/>
    </row>
    <row r="127" spans="1:15" ht="15" x14ac:dyDescent="0.2">
      <c r="A127" s="17" t="s">
        <v>122</v>
      </c>
      <c r="B127" s="16">
        <v>58802277.420000002</v>
      </c>
      <c r="C127" s="16">
        <v>0</v>
      </c>
      <c r="D127" s="16">
        <v>5193611.3731783805</v>
      </c>
      <c r="E127" s="16">
        <v>0</v>
      </c>
      <c r="F127" s="16">
        <v>1202317.96</v>
      </c>
      <c r="G127" s="16">
        <v>416455.33</v>
      </c>
      <c r="H127" s="16">
        <v>3250713.37</v>
      </c>
      <c r="I127" s="16">
        <v>3076723.82</v>
      </c>
      <c r="J127" s="16">
        <v>10980709.32</v>
      </c>
      <c r="K127" s="16">
        <v>0</v>
      </c>
      <c r="L127" s="16">
        <v>0</v>
      </c>
      <c r="M127" s="16">
        <v>3904.98</v>
      </c>
      <c r="N127" s="18">
        <f t="shared" si="3"/>
        <v>82926713.573178366</v>
      </c>
      <c r="O127" s="4"/>
    </row>
    <row r="128" spans="1:15" ht="15" x14ac:dyDescent="0.2">
      <c r="A128" s="17" t="s">
        <v>123</v>
      </c>
      <c r="B128" s="16">
        <v>35848955.959999993</v>
      </c>
      <c r="C128" s="16">
        <v>0</v>
      </c>
      <c r="D128" s="16">
        <v>5043006.6366739552</v>
      </c>
      <c r="E128" s="16">
        <v>0</v>
      </c>
      <c r="F128" s="16">
        <v>109999.3</v>
      </c>
      <c r="G128" s="16">
        <v>71048.81</v>
      </c>
      <c r="H128" s="16">
        <v>1981805.56</v>
      </c>
      <c r="I128" s="16">
        <v>281487.5</v>
      </c>
      <c r="J128" s="16">
        <v>2582103.0900000003</v>
      </c>
      <c r="K128" s="16">
        <v>0</v>
      </c>
      <c r="L128" s="16">
        <v>0</v>
      </c>
      <c r="M128" s="16">
        <v>357.24</v>
      </c>
      <c r="N128" s="18">
        <f t="shared" si="3"/>
        <v>45918764.096673958</v>
      </c>
      <c r="O128" s="4"/>
    </row>
    <row r="129" spans="1:15" ht="15" x14ac:dyDescent="0.2">
      <c r="A129" s="17" t="s">
        <v>124</v>
      </c>
      <c r="B129" s="16">
        <v>185395704.55000001</v>
      </c>
      <c r="C129" s="16">
        <v>0</v>
      </c>
      <c r="D129" s="16">
        <v>41868283.706046127</v>
      </c>
      <c r="E129" s="16">
        <v>0</v>
      </c>
      <c r="F129" s="16">
        <v>1399009.22</v>
      </c>
      <c r="G129" s="16">
        <v>866795.48</v>
      </c>
      <c r="H129" s="16">
        <v>10249063.82</v>
      </c>
      <c r="I129" s="16">
        <v>3580055.47</v>
      </c>
      <c r="J129" s="16">
        <v>16658124.839999992</v>
      </c>
      <c r="K129" s="16">
        <v>0</v>
      </c>
      <c r="L129" s="16">
        <v>0</v>
      </c>
      <c r="M129" s="16">
        <v>4543.8100000000004</v>
      </c>
      <c r="N129" s="18">
        <f t="shared" si="3"/>
        <v>260021580.89604613</v>
      </c>
      <c r="O129" s="4"/>
    </row>
    <row r="130" spans="1:15" ht="15" x14ac:dyDescent="0.2">
      <c r="A130" s="17" t="s">
        <v>125</v>
      </c>
      <c r="B130" s="16">
        <v>58058298.489999987</v>
      </c>
      <c r="C130" s="16">
        <v>0</v>
      </c>
      <c r="D130" s="16">
        <v>12867436.664502865</v>
      </c>
      <c r="E130" s="16">
        <v>0</v>
      </c>
      <c r="F130" s="16">
        <v>173099.67</v>
      </c>
      <c r="G130" s="16">
        <v>64490.46</v>
      </c>
      <c r="H130" s="16">
        <v>3209584.65</v>
      </c>
      <c r="I130" s="16">
        <v>442960.95</v>
      </c>
      <c r="J130" s="16">
        <v>4378151.6100000013</v>
      </c>
      <c r="K130" s="16">
        <v>0</v>
      </c>
      <c r="L130" s="16">
        <v>0</v>
      </c>
      <c r="M130" s="16">
        <v>562.17999999999995</v>
      </c>
      <c r="N130" s="18">
        <f t="shared" si="3"/>
        <v>79194584.674502864</v>
      </c>
      <c r="O130" s="4"/>
    </row>
    <row r="131" spans="1:15" ht="15" x14ac:dyDescent="0.2">
      <c r="A131" s="17" t="s">
        <v>126</v>
      </c>
      <c r="B131" s="16">
        <v>273059474.14999998</v>
      </c>
      <c r="C131" s="16">
        <v>0</v>
      </c>
      <c r="D131" s="16">
        <v>9174483.8449999988</v>
      </c>
      <c r="E131" s="16">
        <v>0</v>
      </c>
      <c r="F131" s="16">
        <v>7643388.2800000003</v>
      </c>
      <c r="G131" s="16">
        <v>771353.82161274145</v>
      </c>
      <c r="H131" s="16">
        <v>15095301.07</v>
      </c>
      <c r="I131" s="16">
        <v>19559380.640000001</v>
      </c>
      <c r="J131" s="16">
        <v>35164355.100000009</v>
      </c>
      <c r="K131" s="16">
        <v>0</v>
      </c>
      <c r="L131" s="16">
        <v>0</v>
      </c>
      <c r="M131" s="16">
        <v>24825.020000000004</v>
      </c>
      <c r="N131" s="18">
        <f t="shared" si="3"/>
        <v>360492561.92661268</v>
      </c>
      <c r="O131" s="4"/>
    </row>
    <row r="132" spans="1:15" ht="15" x14ac:dyDescent="0.2">
      <c r="A132" s="17" t="s">
        <v>127</v>
      </c>
      <c r="B132" s="16">
        <v>12130698.439999999</v>
      </c>
      <c r="C132" s="16">
        <v>0</v>
      </c>
      <c r="D132" s="16">
        <v>1407348.4754551451</v>
      </c>
      <c r="E132" s="16">
        <v>0</v>
      </c>
      <c r="F132" s="16">
        <v>32687.13</v>
      </c>
      <c r="G132" s="16">
        <v>12023.64</v>
      </c>
      <c r="H132" s="16">
        <v>670610.49</v>
      </c>
      <c r="I132" s="16">
        <v>83646.16</v>
      </c>
      <c r="J132" s="16">
        <v>1265242.8600000001</v>
      </c>
      <c r="K132" s="16">
        <v>0</v>
      </c>
      <c r="L132" s="16">
        <v>0</v>
      </c>
      <c r="M132" s="16">
        <v>106.12</v>
      </c>
      <c r="N132" s="18">
        <f t="shared" si="3"/>
        <v>15602363.315455144</v>
      </c>
      <c r="O132" s="4"/>
    </row>
    <row r="133" spans="1:15" ht="15" x14ac:dyDescent="0.2">
      <c r="A133" s="17" t="s">
        <v>128</v>
      </c>
      <c r="B133" s="16">
        <v>67836556.650000006</v>
      </c>
      <c r="C133" s="16">
        <v>0</v>
      </c>
      <c r="D133" s="16">
        <v>8376568.8858892955</v>
      </c>
      <c r="E133" s="16">
        <v>0</v>
      </c>
      <c r="F133" s="16">
        <v>118242.14</v>
      </c>
      <c r="G133" s="16">
        <v>88537.75</v>
      </c>
      <c r="H133" s="16">
        <v>3750147.29</v>
      </c>
      <c r="I133" s="16">
        <v>302580.88</v>
      </c>
      <c r="J133" s="16">
        <v>4598354.669999999</v>
      </c>
      <c r="K133" s="16">
        <v>0</v>
      </c>
      <c r="L133" s="16">
        <v>0</v>
      </c>
      <c r="M133" s="16">
        <v>384</v>
      </c>
      <c r="N133" s="18">
        <f t="shared" si="3"/>
        <v>85071372.265889302</v>
      </c>
      <c r="O133" s="4"/>
    </row>
    <row r="134" spans="1:15" ht="15" x14ac:dyDescent="0.2">
      <c r="A134" s="17" t="s">
        <v>129</v>
      </c>
      <c r="B134" s="16">
        <v>132976626.44999999</v>
      </c>
      <c r="C134" s="16">
        <v>0</v>
      </c>
      <c r="D134" s="16">
        <v>26890522.927227132</v>
      </c>
      <c r="E134" s="16">
        <v>0</v>
      </c>
      <c r="F134" s="16">
        <v>551701.93000000005</v>
      </c>
      <c r="G134" s="16">
        <v>300591.12</v>
      </c>
      <c r="H134" s="16">
        <v>7351227.1200000001</v>
      </c>
      <c r="I134" s="16">
        <v>1411801.64</v>
      </c>
      <c r="J134" s="16">
        <v>10598896.980000002</v>
      </c>
      <c r="K134" s="16">
        <v>0</v>
      </c>
      <c r="L134" s="16">
        <v>0</v>
      </c>
      <c r="M134" s="16">
        <v>1791.8400000000001</v>
      </c>
      <c r="N134" s="18">
        <f t="shared" si="3"/>
        <v>180083160.00722712</v>
      </c>
      <c r="O134" s="4"/>
    </row>
    <row r="135" spans="1:15" ht="15" x14ac:dyDescent="0.2">
      <c r="A135" s="17" t="s">
        <v>130</v>
      </c>
      <c r="B135" s="16">
        <v>111418702.03999999</v>
      </c>
      <c r="C135" s="16">
        <v>0</v>
      </c>
      <c r="D135" s="16">
        <v>35315671.192932263</v>
      </c>
      <c r="E135" s="16">
        <v>0</v>
      </c>
      <c r="F135" s="16">
        <v>830537.37</v>
      </c>
      <c r="G135" s="16">
        <v>400059.45</v>
      </c>
      <c r="H135" s="16">
        <v>6159459.7999999998</v>
      </c>
      <c r="I135" s="16">
        <v>2125339.71</v>
      </c>
      <c r="J135" s="16">
        <v>10815840.839999996</v>
      </c>
      <c r="K135" s="16">
        <v>0</v>
      </c>
      <c r="L135" s="16">
        <v>0</v>
      </c>
      <c r="M135" s="16">
        <v>2697.46</v>
      </c>
      <c r="N135" s="18">
        <f t="shared" si="3"/>
        <v>167068307.86293229</v>
      </c>
      <c r="O135" s="4"/>
    </row>
    <row r="136" spans="1:15" ht="15" x14ac:dyDescent="0.2">
      <c r="A136" s="17" t="s">
        <v>131</v>
      </c>
      <c r="B136" s="16">
        <v>189620317.22000003</v>
      </c>
      <c r="C136" s="16">
        <v>0</v>
      </c>
      <c r="D136" s="16">
        <v>2983461.98</v>
      </c>
      <c r="E136" s="16">
        <v>0</v>
      </c>
      <c r="F136" s="16">
        <v>4941441.57</v>
      </c>
      <c r="G136" s="16">
        <v>2832358.6085516196</v>
      </c>
      <c r="H136" s="16">
        <v>10482609.279999999</v>
      </c>
      <c r="I136" s="16">
        <v>12645116.67</v>
      </c>
      <c r="J136" s="16">
        <v>24840885.720000003</v>
      </c>
      <c r="K136" s="16">
        <v>0</v>
      </c>
      <c r="L136" s="16">
        <v>0</v>
      </c>
      <c r="M136" s="16">
        <v>16049.319999999998</v>
      </c>
      <c r="N136" s="18">
        <f t="shared" ref="N136:N142" si="4">SUM(B136:M136)</f>
        <v>248362240.36855161</v>
      </c>
      <c r="O136" s="4"/>
    </row>
    <row r="137" spans="1:15" ht="15" x14ac:dyDescent="0.2">
      <c r="A137" s="17" t="s">
        <v>132</v>
      </c>
      <c r="B137" s="16">
        <v>32113343.509999998</v>
      </c>
      <c r="C137" s="16">
        <v>0</v>
      </c>
      <c r="D137" s="16">
        <v>4702822.8807666507</v>
      </c>
      <c r="E137" s="16">
        <v>0</v>
      </c>
      <c r="F137" s="16">
        <v>59121.07</v>
      </c>
      <c r="G137" s="16">
        <v>61211.28</v>
      </c>
      <c r="H137" s="16">
        <v>1775293.06</v>
      </c>
      <c r="I137" s="16">
        <v>151290.44</v>
      </c>
      <c r="J137" s="16">
        <v>2376969.8400000003</v>
      </c>
      <c r="K137" s="16">
        <v>0</v>
      </c>
      <c r="L137" s="16">
        <v>0</v>
      </c>
      <c r="M137" s="16">
        <v>191.97999999999996</v>
      </c>
      <c r="N137" s="18">
        <f t="shared" si="4"/>
        <v>41240244.060766652</v>
      </c>
      <c r="O137" s="4"/>
    </row>
    <row r="138" spans="1:15" ht="15" x14ac:dyDescent="0.2">
      <c r="A138" s="17" t="s">
        <v>133</v>
      </c>
      <c r="B138" s="16">
        <v>68762164.199999988</v>
      </c>
      <c r="C138" s="16">
        <v>0</v>
      </c>
      <c r="D138" s="16">
        <v>24265131.463235475</v>
      </c>
      <c r="E138" s="16">
        <v>0</v>
      </c>
      <c r="F138" s="16">
        <v>514751.26</v>
      </c>
      <c r="G138" s="16">
        <v>250310.42</v>
      </c>
      <c r="H138" s="16">
        <v>3801316.82</v>
      </c>
      <c r="I138" s="16">
        <v>1317245.1100000001</v>
      </c>
      <c r="J138" s="16">
        <v>8847105.3300000038</v>
      </c>
      <c r="K138" s="16">
        <v>0</v>
      </c>
      <c r="L138" s="16">
        <v>0</v>
      </c>
      <c r="M138" s="16">
        <v>1671.8300000000002</v>
      </c>
      <c r="N138" s="18">
        <f t="shared" si="4"/>
        <v>107759696.43323545</v>
      </c>
      <c r="O138" s="4"/>
    </row>
    <row r="139" spans="1:15" ht="15" x14ac:dyDescent="0.2">
      <c r="A139" s="17" t="s">
        <v>134</v>
      </c>
      <c r="B139" s="16">
        <v>321924568.43999994</v>
      </c>
      <c r="C139" s="16">
        <v>0</v>
      </c>
      <c r="D139" s="16">
        <v>3892459.855</v>
      </c>
      <c r="E139" s="16">
        <v>0</v>
      </c>
      <c r="F139" s="16">
        <v>2647373.41</v>
      </c>
      <c r="G139" s="16">
        <v>2579614.1846408462</v>
      </c>
      <c r="H139" s="16">
        <v>17796666.069999997</v>
      </c>
      <c r="I139" s="16">
        <v>6774611.2400000002</v>
      </c>
      <c r="J139" s="16">
        <v>16027197.059999995</v>
      </c>
      <c r="K139" s="16">
        <v>0</v>
      </c>
      <c r="L139" s="16">
        <v>0</v>
      </c>
      <c r="M139" s="16">
        <v>8598.4</v>
      </c>
      <c r="N139" s="18">
        <f t="shared" si="4"/>
        <v>371651088.65964079</v>
      </c>
      <c r="O139" s="4"/>
    </row>
    <row r="140" spans="1:15" ht="15" x14ac:dyDescent="0.2">
      <c r="A140" s="17" t="s">
        <v>135</v>
      </c>
      <c r="B140" s="16">
        <v>83767485.519999996</v>
      </c>
      <c r="C140" s="16">
        <v>0</v>
      </c>
      <c r="D140" s="16">
        <v>327003.44999999995</v>
      </c>
      <c r="E140" s="16">
        <v>0</v>
      </c>
      <c r="F140" s="16">
        <v>436586.38</v>
      </c>
      <c r="G140" s="16">
        <v>221890.9</v>
      </c>
      <c r="H140" s="16">
        <v>4630842.49</v>
      </c>
      <c r="I140" s="16">
        <v>1117221.7</v>
      </c>
      <c r="J140" s="16">
        <v>4044404.4899999993</v>
      </c>
      <c r="K140" s="16">
        <v>0</v>
      </c>
      <c r="L140" s="16">
        <v>0</v>
      </c>
      <c r="M140" s="16">
        <v>1417.96</v>
      </c>
      <c r="N140" s="18">
        <f t="shared" si="4"/>
        <v>94546852.889999986</v>
      </c>
      <c r="O140" s="4"/>
    </row>
    <row r="141" spans="1:15" ht="15" x14ac:dyDescent="0.2">
      <c r="A141" s="17" t="s">
        <v>136</v>
      </c>
      <c r="B141" s="16">
        <v>103622641.25000003</v>
      </c>
      <c r="C141" s="16">
        <v>0</v>
      </c>
      <c r="D141" s="16">
        <v>10338822.344110535</v>
      </c>
      <c r="E141" s="16">
        <v>0</v>
      </c>
      <c r="F141" s="16">
        <v>629582.56999999995</v>
      </c>
      <c r="G141" s="16">
        <v>216425.61</v>
      </c>
      <c r="H141" s="16">
        <v>5728477.1900000004</v>
      </c>
      <c r="I141" s="16">
        <v>1611097.7</v>
      </c>
      <c r="J141" s="16">
        <v>11015133.150000004</v>
      </c>
      <c r="K141" s="16">
        <v>0</v>
      </c>
      <c r="L141" s="16">
        <v>0</v>
      </c>
      <c r="M141" s="16">
        <v>2044.7899999999997</v>
      </c>
      <c r="N141" s="18">
        <f t="shared" si="4"/>
        <v>133164224.60411057</v>
      </c>
      <c r="O141" s="4"/>
    </row>
    <row r="142" spans="1:15" ht="15" x14ac:dyDescent="0.2">
      <c r="A142" s="17" t="s">
        <v>137</v>
      </c>
      <c r="B142" s="16">
        <v>98180767.310000002</v>
      </c>
      <c r="C142" s="16">
        <v>0</v>
      </c>
      <c r="D142" s="16">
        <v>12764856.182794726</v>
      </c>
      <c r="E142" s="16">
        <v>0</v>
      </c>
      <c r="F142" s="16">
        <v>2706778.72</v>
      </c>
      <c r="G142" s="16">
        <v>799025.85</v>
      </c>
      <c r="H142" s="16">
        <v>5427638.9699999997</v>
      </c>
      <c r="I142" s="16">
        <v>6926629.0499999998</v>
      </c>
      <c r="J142" s="16">
        <v>14816538.029999996</v>
      </c>
      <c r="K142" s="16">
        <v>0</v>
      </c>
      <c r="L142" s="16">
        <v>0</v>
      </c>
      <c r="M142" s="16">
        <v>8791.33</v>
      </c>
      <c r="N142" s="18">
        <f t="shared" si="4"/>
        <v>141631025.44279471</v>
      </c>
      <c r="O142" s="4"/>
    </row>
    <row r="143" spans="1:15" ht="24.75" customHeight="1" x14ac:dyDescent="0.2">
      <c r="A143" s="24" t="s">
        <v>138</v>
      </c>
      <c r="B143" s="25">
        <f t="shared" ref="B143:I143" si="5">SUM(B8:B142)</f>
        <v>17464293875.039997</v>
      </c>
      <c r="C143" s="25">
        <f t="shared" si="5"/>
        <v>0</v>
      </c>
      <c r="D143" s="25">
        <f t="shared" si="5"/>
        <v>1604385270.5169644</v>
      </c>
      <c r="E143" s="25">
        <f t="shared" si="5"/>
        <v>0</v>
      </c>
      <c r="F143" s="25">
        <f t="shared" si="5"/>
        <v>284235925.97999996</v>
      </c>
      <c r="G143" s="25">
        <f t="shared" si="5"/>
        <v>109305861.76999998</v>
      </c>
      <c r="H143" s="25">
        <f t="shared" si="5"/>
        <v>965462835.13999999</v>
      </c>
      <c r="I143" s="25">
        <f t="shared" si="5"/>
        <v>727357875.94000018</v>
      </c>
      <c r="J143" s="25">
        <f t="shared" ref="J143:N143" si="6">SUM(J8:J142)</f>
        <v>1831058155.499999</v>
      </c>
      <c r="K143" s="25">
        <f t="shared" si="6"/>
        <v>0</v>
      </c>
      <c r="L143" s="25">
        <f t="shared" si="6"/>
        <v>0</v>
      </c>
      <c r="M143" s="25">
        <f t="shared" si="6"/>
        <v>923167.73999999987</v>
      </c>
      <c r="N143" s="25">
        <f t="shared" si="6"/>
        <v>22987022967.626976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5" x14ac:dyDescent="0.2">
      <c r="B145" s="7"/>
      <c r="C145" s="7"/>
      <c r="D145" s="7"/>
      <c r="E145" s="8"/>
      <c r="F145" s="8"/>
      <c r="G145" s="8"/>
      <c r="H145" s="8"/>
      <c r="I145" s="8"/>
      <c r="M145" s="9"/>
    </row>
    <row r="146" spans="1:15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5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5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5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5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5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5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5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5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5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5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5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5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5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5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44AEAC"/>
  </sheetPr>
  <dimension ref="A1:O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2.33203125" style="1" customWidth="1"/>
    <col min="3" max="3" width="22.33203125" style="1" hidden="1" customWidth="1"/>
    <col min="4" max="4" width="22.33203125" style="1" customWidth="1"/>
    <col min="5" max="5" width="22.33203125" style="1" hidden="1" customWidth="1"/>
    <col min="6" max="10" width="22.33203125" style="1" customWidth="1"/>
    <col min="11" max="12" width="22.33203125" style="1" hidden="1" customWidth="1"/>
    <col min="13" max="13" width="22.33203125" style="1" customWidth="1"/>
    <col min="14" max="14" width="23.83203125" style="1" customWidth="1"/>
    <col min="15" max="15" width="12" style="1" customWidth="1"/>
    <col min="16" max="16384" width="12" style="1"/>
  </cols>
  <sheetData>
    <row r="1" spans="1:1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7.25" customHeight="1" x14ac:dyDescent="0.25">
      <c r="A3" s="2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7.25" customHeight="1" x14ac:dyDescent="0.25">
      <c r="A4" s="23" t="s">
        <v>160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5" ht="18.75" customHeight="1" x14ac:dyDescent="0.2">
      <c r="A6" s="28" t="s">
        <v>2</v>
      </c>
      <c r="B6" s="29" t="s">
        <v>161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5" ht="60" customHeight="1" x14ac:dyDescent="0.2">
      <c r="A7" s="28"/>
      <c r="B7" s="21" t="s">
        <v>139</v>
      </c>
      <c r="C7" s="21" t="s">
        <v>151</v>
      </c>
      <c r="D7" s="21" t="s">
        <v>143</v>
      </c>
      <c r="E7" s="21" t="s">
        <v>141</v>
      </c>
      <c r="F7" s="27" t="s">
        <v>150</v>
      </c>
      <c r="G7" s="21" t="s">
        <v>144</v>
      </c>
      <c r="H7" s="21" t="s">
        <v>146</v>
      </c>
      <c r="I7" s="21" t="s">
        <v>145</v>
      </c>
      <c r="J7" s="21" t="s">
        <v>147</v>
      </c>
      <c r="K7" s="21" t="s">
        <v>148</v>
      </c>
      <c r="L7" s="21" t="s">
        <v>149</v>
      </c>
      <c r="M7" s="21" t="s">
        <v>142</v>
      </c>
      <c r="N7" s="22" t="s">
        <v>140</v>
      </c>
    </row>
    <row r="8" spans="1:15" ht="18" customHeight="1" x14ac:dyDescent="0.2">
      <c r="A8" s="17" t="s">
        <v>3</v>
      </c>
      <c r="B8" s="16">
        <v>69540033.209999993</v>
      </c>
      <c r="C8" s="16">
        <v>0</v>
      </c>
      <c r="D8" s="16">
        <v>2947089.9893070278</v>
      </c>
      <c r="E8" s="16">
        <v>0</v>
      </c>
      <c r="F8" s="16">
        <v>216473.78</v>
      </c>
      <c r="G8" s="16">
        <v>118024.76</v>
      </c>
      <c r="H8" s="16">
        <v>3930622.72</v>
      </c>
      <c r="I8" s="16">
        <v>608099.18999999994</v>
      </c>
      <c r="J8" s="16">
        <v>5840288.1600000001</v>
      </c>
      <c r="K8" s="16">
        <v>0</v>
      </c>
      <c r="L8" s="16">
        <v>0</v>
      </c>
      <c r="M8" s="16">
        <v>432.54999999999995</v>
      </c>
      <c r="N8" s="18">
        <f t="shared" ref="N8:N39" si="0">SUM(B8:M8)</f>
        <v>83201064.359307021</v>
      </c>
      <c r="O8" s="4"/>
    </row>
    <row r="9" spans="1:15" ht="18" customHeight="1" x14ac:dyDescent="0.2">
      <c r="A9" s="17" t="s">
        <v>4</v>
      </c>
      <c r="B9" s="16">
        <v>43353825.640000001</v>
      </c>
      <c r="C9" s="16">
        <v>0</v>
      </c>
      <c r="D9" s="16">
        <v>1812314.1054037954</v>
      </c>
      <c r="E9" s="16">
        <v>0</v>
      </c>
      <c r="F9" s="16">
        <v>151666.1</v>
      </c>
      <c r="G9" s="16">
        <v>83375.289999999994</v>
      </c>
      <c r="H9" s="16">
        <v>2450495.41</v>
      </c>
      <c r="I9" s="16">
        <v>426047.14</v>
      </c>
      <c r="J9" s="16">
        <v>4383370.1100000013</v>
      </c>
      <c r="K9" s="16">
        <v>0</v>
      </c>
      <c r="L9" s="16">
        <v>0</v>
      </c>
      <c r="M9" s="16">
        <v>303.04000000000002</v>
      </c>
      <c r="N9" s="18">
        <f t="shared" si="0"/>
        <v>52661396.835403793</v>
      </c>
      <c r="O9" s="4"/>
    </row>
    <row r="10" spans="1:15" ht="18" customHeight="1" x14ac:dyDescent="0.2">
      <c r="A10" s="17" t="s">
        <v>5</v>
      </c>
      <c r="B10" s="16">
        <v>31861423.840000004</v>
      </c>
      <c r="C10" s="16">
        <v>0</v>
      </c>
      <c r="D10" s="16">
        <v>1044150.4816902188</v>
      </c>
      <c r="E10" s="16">
        <v>0</v>
      </c>
      <c r="F10" s="16">
        <v>105951.14</v>
      </c>
      <c r="G10" s="16">
        <v>73630.13</v>
      </c>
      <c r="H10" s="16">
        <v>1800908.49</v>
      </c>
      <c r="I10" s="16">
        <v>297628.67</v>
      </c>
      <c r="J10" s="16">
        <v>2590873.9500000002</v>
      </c>
      <c r="K10" s="16">
        <v>0</v>
      </c>
      <c r="L10" s="16">
        <v>0</v>
      </c>
      <c r="M10" s="16">
        <v>211.69</v>
      </c>
      <c r="N10" s="18">
        <f t="shared" si="0"/>
        <v>37774778.391690224</v>
      </c>
      <c r="O10" s="4"/>
    </row>
    <row r="11" spans="1:15" ht="18" customHeight="1" x14ac:dyDescent="0.2">
      <c r="A11" s="17" t="s">
        <v>6</v>
      </c>
      <c r="B11" s="16">
        <v>368958270.49000001</v>
      </c>
      <c r="C11" s="16">
        <v>0</v>
      </c>
      <c r="D11" s="16">
        <v>3138036.5882592979</v>
      </c>
      <c r="E11" s="16">
        <v>0</v>
      </c>
      <c r="F11" s="16">
        <v>11372269.02</v>
      </c>
      <c r="G11" s="16">
        <v>6687063.0982273854</v>
      </c>
      <c r="H11" s="16">
        <v>20854688.879999999</v>
      </c>
      <c r="I11" s="16">
        <v>31945981.149999999</v>
      </c>
      <c r="J11" s="16">
        <v>48761921.25</v>
      </c>
      <c r="K11" s="16">
        <v>0</v>
      </c>
      <c r="L11" s="16">
        <v>0</v>
      </c>
      <c r="M11" s="16">
        <v>22726.010000000002</v>
      </c>
      <c r="N11" s="18">
        <f t="shared" si="0"/>
        <v>491740956.48648661</v>
      </c>
      <c r="O11" s="4"/>
    </row>
    <row r="12" spans="1:15" ht="18" customHeight="1" x14ac:dyDescent="0.2">
      <c r="A12" s="17" t="s">
        <v>7</v>
      </c>
      <c r="B12" s="16">
        <v>55378611.640000001</v>
      </c>
      <c r="C12" s="16">
        <v>0</v>
      </c>
      <c r="D12" s="16">
        <v>1959057.2407669099</v>
      </c>
      <c r="E12" s="16">
        <v>0</v>
      </c>
      <c r="F12" s="16">
        <v>388846.08000000002</v>
      </c>
      <c r="G12" s="16">
        <v>201400.05</v>
      </c>
      <c r="H12" s="16">
        <v>3130174.36</v>
      </c>
      <c r="I12" s="16">
        <v>1092312.3400000001</v>
      </c>
      <c r="J12" s="16">
        <v>5260190.4599999972</v>
      </c>
      <c r="K12" s="16">
        <v>0</v>
      </c>
      <c r="L12" s="16">
        <v>0</v>
      </c>
      <c r="M12" s="16">
        <v>777.0200000000001</v>
      </c>
      <c r="N12" s="18">
        <f t="shared" si="0"/>
        <v>67411369.190766901</v>
      </c>
      <c r="O12" s="4"/>
    </row>
    <row r="13" spans="1:15" ht="18" customHeight="1" x14ac:dyDescent="0.2">
      <c r="A13" s="17" t="s">
        <v>8</v>
      </c>
      <c r="B13" s="16">
        <v>223892430.03</v>
      </c>
      <c r="C13" s="16">
        <v>0</v>
      </c>
      <c r="D13" s="16">
        <v>2817900.306392659</v>
      </c>
      <c r="E13" s="16">
        <v>0</v>
      </c>
      <c r="F13" s="16">
        <v>5530165.8200000003</v>
      </c>
      <c r="G13" s="16">
        <v>1694514.1613384676</v>
      </c>
      <c r="H13" s="16">
        <v>12655108.57</v>
      </c>
      <c r="I13" s="16">
        <v>15534857</v>
      </c>
      <c r="J13" s="16">
        <v>37491776.490000002</v>
      </c>
      <c r="K13" s="16">
        <v>0</v>
      </c>
      <c r="L13" s="16">
        <v>0</v>
      </c>
      <c r="M13" s="16">
        <v>11051.289999999999</v>
      </c>
      <c r="N13" s="18">
        <f t="shared" si="0"/>
        <v>299627803.66773117</v>
      </c>
      <c r="O13" s="4"/>
    </row>
    <row r="14" spans="1:15" ht="18" customHeight="1" x14ac:dyDescent="0.2">
      <c r="A14" s="17" t="s">
        <v>9</v>
      </c>
      <c r="B14" s="16">
        <v>81140686.479999989</v>
      </c>
      <c r="C14" s="16">
        <v>0</v>
      </c>
      <c r="D14" s="16">
        <v>3634381.9040227034</v>
      </c>
      <c r="E14" s="16">
        <v>0</v>
      </c>
      <c r="F14" s="16">
        <v>251701.2</v>
      </c>
      <c r="G14" s="16">
        <v>140763.48000000001</v>
      </c>
      <c r="H14" s="16">
        <v>4586328.34</v>
      </c>
      <c r="I14" s="16">
        <v>707056.95</v>
      </c>
      <c r="J14" s="16">
        <v>7545827.3100000024</v>
      </c>
      <c r="K14" s="16">
        <v>0</v>
      </c>
      <c r="L14" s="16">
        <v>0</v>
      </c>
      <c r="M14" s="16">
        <v>502.95</v>
      </c>
      <c r="N14" s="18">
        <f t="shared" si="0"/>
        <v>98007248.614022717</v>
      </c>
      <c r="O14" s="4"/>
    </row>
    <row r="15" spans="1:15" ht="18" customHeight="1" x14ac:dyDescent="0.2">
      <c r="A15" s="17" t="s">
        <v>10</v>
      </c>
      <c r="B15" s="16">
        <v>132235379.48</v>
      </c>
      <c r="C15" s="16">
        <v>0</v>
      </c>
      <c r="D15" s="16">
        <v>4309232.1731899194</v>
      </c>
      <c r="E15" s="16">
        <v>0</v>
      </c>
      <c r="F15" s="16">
        <v>937694.54</v>
      </c>
      <c r="G15" s="16">
        <v>452608.72</v>
      </c>
      <c r="H15" s="16">
        <v>7474362.0599999996</v>
      </c>
      <c r="I15" s="16">
        <v>2634089.29</v>
      </c>
      <c r="J15" s="16">
        <v>12598705.559999997</v>
      </c>
      <c r="K15" s="16">
        <v>0</v>
      </c>
      <c r="L15" s="16">
        <v>0</v>
      </c>
      <c r="M15" s="16">
        <v>1873.8200000000002</v>
      </c>
      <c r="N15" s="18">
        <f t="shared" si="0"/>
        <v>160643945.64318991</v>
      </c>
      <c r="O15" s="4"/>
    </row>
    <row r="16" spans="1:15" ht="18" customHeight="1" x14ac:dyDescent="0.2">
      <c r="A16" s="17" t="s">
        <v>11</v>
      </c>
      <c r="B16" s="16">
        <v>244424716.66999999</v>
      </c>
      <c r="C16" s="16">
        <v>0</v>
      </c>
      <c r="D16" s="16">
        <v>6394940.5538453255</v>
      </c>
      <c r="E16" s="16">
        <v>0</v>
      </c>
      <c r="F16" s="16">
        <v>3497194.57</v>
      </c>
      <c r="G16" s="16">
        <v>2089796.24</v>
      </c>
      <c r="H16" s="16">
        <v>13815658.380000001</v>
      </c>
      <c r="I16" s="16">
        <v>9824012.4100000001</v>
      </c>
      <c r="J16" s="16">
        <v>31231809.839999989</v>
      </c>
      <c r="K16" s="16">
        <v>0</v>
      </c>
      <c r="L16" s="16">
        <v>0</v>
      </c>
      <c r="M16" s="16">
        <v>6988.6500000000005</v>
      </c>
      <c r="N16" s="18">
        <f t="shared" si="0"/>
        <v>311285117.31384528</v>
      </c>
      <c r="O16" s="4"/>
    </row>
    <row r="17" spans="1:15" ht="15" x14ac:dyDescent="0.2">
      <c r="A17" s="17" t="s">
        <v>12</v>
      </c>
      <c r="B17" s="16">
        <v>87825658.310000002</v>
      </c>
      <c r="C17" s="16">
        <v>0</v>
      </c>
      <c r="D17" s="16">
        <v>4574170.2243863055</v>
      </c>
      <c r="E17" s="16">
        <v>0</v>
      </c>
      <c r="F17" s="16">
        <v>718262.72</v>
      </c>
      <c r="G17" s="16">
        <v>303182.87</v>
      </c>
      <c r="H17" s="16">
        <v>4964184.0999999996</v>
      </c>
      <c r="I17" s="16">
        <v>2017680.67</v>
      </c>
      <c r="J17" s="16">
        <v>8613407.4599999972</v>
      </c>
      <c r="K17" s="16">
        <v>0</v>
      </c>
      <c r="L17" s="16">
        <v>0</v>
      </c>
      <c r="M17" s="16">
        <v>1435.31</v>
      </c>
      <c r="N17" s="18">
        <f t="shared" si="0"/>
        <v>109017981.6643863</v>
      </c>
      <c r="O17" s="4"/>
    </row>
    <row r="18" spans="1:15" ht="15" x14ac:dyDescent="0.2">
      <c r="A18" s="17" t="s">
        <v>13</v>
      </c>
      <c r="B18" s="16">
        <v>53845344.950000003</v>
      </c>
      <c r="C18" s="16">
        <v>0</v>
      </c>
      <c r="D18" s="16">
        <v>1519998.1354234968</v>
      </c>
      <c r="E18" s="16">
        <v>0</v>
      </c>
      <c r="F18" s="16">
        <v>484040.77</v>
      </c>
      <c r="G18" s="16">
        <v>227387.16</v>
      </c>
      <c r="H18" s="16">
        <v>3043509.28</v>
      </c>
      <c r="I18" s="16">
        <v>1359724.9</v>
      </c>
      <c r="J18" s="16">
        <v>6954908.0999999978</v>
      </c>
      <c r="K18" s="16">
        <v>0</v>
      </c>
      <c r="L18" s="16">
        <v>0</v>
      </c>
      <c r="M18" s="16">
        <v>967.25000000000011</v>
      </c>
      <c r="N18" s="18">
        <f t="shared" si="0"/>
        <v>67435880.545423493</v>
      </c>
      <c r="O18" s="4"/>
    </row>
    <row r="19" spans="1:15" ht="15" x14ac:dyDescent="0.2">
      <c r="A19" s="17" t="s">
        <v>14</v>
      </c>
      <c r="B19" s="16">
        <v>90077643.75</v>
      </c>
      <c r="C19" s="16">
        <v>0</v>
      </c>
      <c r="D19" s="16">
        <v>2865773.1945913518</v>
      </c>
      <c r="E19" s="16">
        <v>0</v>
      </c>
      <c r="F19" s="16">
        <v>195498.68</v>
      </c>
      <c r="G19" s="16">
        <v>140763.48000000001</v>
      </c>
      <c r="H19" s="16">
        <v>5091473.45</v>
      </c>
      <c r="I19" s="16">
        <v>549177.78</v>
      </c>
      <c r="J19" s="16">
        <v>5908934.4300000006</v>
      </c>
      <c r="K19" s="16">
        <v>0</v>
      </c>
      <c r="L19" s="16">
        <v>0</v>
      </c>
      <c r="M19" s="16">
        <v>390.63</v>
      </c>
      <c r="N19" s="18">
        <f t="shared" si="0"/>
        <v>104829655.39459138</v>
      </c>
      <c r="O19" s="4"/>
    </row>
    <row r="20" spans="1:15" ht="15" x14ac:dyDescent="0.2">
      <c r="A20" s="17" t="s">
        <v>15</v>
      </c>
      <c r="B20" s="16">
        <v>298891176.73999995</v>
      </c>
      <c r="C20" s="16">
        <v>0</v>
      </c>
      <c r="D20" s="16">
        <v>2199174.1312142508</v>
      </c>
      <c r="E20" s="16">
        <v>0</v>
      </c>
      <c r="F20" s="16">
        <v>6239823.3700000001</v>
      </c>
      <c r="G20" s="16">
        <v>3618389.2142807911</v>
      </c>
      <c r="H20" s="16">
        <v>16894275.039999999</v>
      </c>
      <c r="I20" s="16">
        <v>17528364.780000001</v>
      </c>
      <c r="J20" s="16">
        <v>33974771.460000016</v>
      </c>
      <c r="K20" s="16">
        <v>0</v>
      </c>
      <c r="L20" s="16">
        <v>0</v>
      </c>
      <c r="M20" s="16">
        <v>12469.460000000003</v>
      </c>
      <c r="N20" s="18">
        <f t="shared" si="0"/>
        <v>379358444.19549507</v>
      </c>
      <c r="O20" s="4"/>
    </row>
    <row r="21" spans="1:15" ht="15" x14ac:dyDescent="0.2">
      <c r="A21" s="17" t="s">
        <v>16</v>
      </c>
      <c r="B21" s="16">
        <v>129841424.90000001</v>
      </c>
      <c r="C21" s="16">
        <v>0</v>
      </c>
      <c r="D21" s="16">
        <v>2568730.3980320748</v>
      </c>
      <c r="E21" s="16">
        <v>0</v>
      </c>
      <c r="F21" s="16">
        <v>1659184.2</v>
      </c>
      <c r="G21" s="16">
        <v>423721.4925137118</v>
      </c>
      <c r="H21" s="16">
        <v>7339048.1699999999</v>
      </c>
      <c r="I21" s="16">
        <v>4660834.8</v>
      </c>
      <c r="J21" s="16">
        <v>11092330.620000001</v>
      </c>
      <c r="K21" s="16">
        <v>0</v>
      </c>
      <c r="L21" s="16">
        <v>0</v>
      </c>
      <c r="M21" s="16">
        <v>3315.62</v>
      </c>
      <c r="N21" s="18">
        <f t="shared" si="0"/>
        <v>157588590.20054579</v>
      </c>
      <c r="O21" s="4"/>
    </row>
    <row r="22" spans="1:15" ht="15" x14ac:dyDescent="0.2">
      <c r="A22" s="17" t="s">
        <v>17</v>
      </c>
      <c r="B22" s="16">
        <v>100026131.15000001</v>
      </c>
      <c r="C22" s="16">
        <v>0</v>
      </c>
      <c r="D22" s="16">
        <v>3089717.0772704342</v>
      </c>
      <c r="E22" s="16">
        <v>0</v>
      </c>
      <c r="F22" s="16">
        <v>395031.05</v>
      </c>
      <c r="G22" s="16">
        <v>237132.32</v>
      </c>
      <c r="H22" s="16">
        <v>5653793.4299999997</v>
      </c>
      <c r="I22" s="16">
        <v>1109686.6000000001</v>
      </c>
      <c r="J22" s="16">
        <v>8510391.9599999972</v>
      </c>
      <c r="K22" s="16">
        <v>0</v>
      </c>
      <c r="L22" s="16">
        <v>0</v>
      </c>
      <c r="M22" s="16">
        <v>789.37</v>
      </c>
      <c r="N22" s="18">
        <f t="shared" si="0"/>
        <v>119022672.95727043</v>
      </c>
      <c r="O22" s="4"/>
    </row>
    <row r="23" spans="1:15" ht="15" x14ac:dyDescent="0.2">
      <c r="A23" s="17" t="s">
        <v>18</v>
      </c>
      <c r="B23" s="16">
        <v>101119293.52</v>
      </c>
      <c r="C23" s="16">
        <v>0</v>
      </c>
      <c r="D23" s="16">
        <v>2789361.1440045182</v>
      </c>
      <c r="E23" s="16">
        <v>0</v>
      </c>
      <c r="F23" s="16">
        <v>378627.44</v>
      </c>
      <c r="G23" s="16">
        <v>286940.93</v>
      </c>
      <c r="H23" s="16">
        <v>5715582.4299999997</v>
      </c>
      <c r="I23" s="16">
        <v>1063607.03</v>
      </c>
      <c r="J23" s="16">
        <v>6985029.0299999984</v>
      </c>
      <c r="K23" s="16">
        <v>0</v>
      </c>
      <c r="L23" s="16">
        <v>0</v>
      </c>
      <c r="M23" s="16">
        <v>756.58000000000015</v>
      </c>
      <c r="N23" s="18">
        <f t="shared" si="0"/>
        <v>118339198.10400452</v>
      </c>
      <c r="O23" s="4"/>
    </row>
    <row r="24" spans="1:15" ht="15" x14ac:dyDescent="0.2">
      <c r="A24" s="17" t="s">
        <v>19</v>
      </c>
      <c r="B24" s="16">
        <v>30936849.829999998</v>
      </c>
      <c r="C24" s="16">
        <v>0</v>
      </c>
      <c r="D24" s="16">
        <v>1373137.1401191517</v>
      </c>
      <c r="E24" s="16">
        <v>0</v>
      </c>
      <c r="F24" s="16">
        <v>393686.49</v>
      </c>
      <c r="G24" s="16">
        <v>76223.743410715688</v>
      </c>
      <c r="H24" s="16">
        <v>1748648.65</v>
      </c>
      <c r="I24" s="16">
        <v>1105909.5900000001</v>
      </c>
      <c r="J24" s="16">
        <v>5672911.0200000014</v>
      </c>
      <c r="K24" s="16">
        <v>0</v>
      </c>
      <c r="L24" s="16">
        <v>0</v>
      </c>
      <c r="M24" s="16">
        <v>786.68999999999994</v>
      </c>
      <c r="N24" s="18">
        <f t="shared" si="0"/>
        <v>41308153.153529868</v>
      </c>
      <c r="O24" s="4"/>
    </row>
    <row r="25" spans="1:15" ht="15" x14ac:dyDescent="0.2">
      <c r="A25" s="17" t="s">
        <v>20</v>
      </c>
      <c r="B25" s="16">
        <v>138533485.38999999</v>
      </c>
      <c r="C25" s="16">
        <v>0</v>
      </c>
      <c r="D25" s="16">
        <v>1260576.0326310741</v>
      </c>
      <c r="E25" s="16">
        <v>0</v>
      </c>
      <c r="F25" s="16">
        <v>1746042.62</v>
      </c>
      <c r="G25" s="16">
        <v>655091.56999999995</v>
      </c>
      <c r="H25" s="16">
        <v>7830350.9400000004</v>
      </c>
      <c r="I25" s="16">
        <v>4904829.88</v>
      </c>
      <c r="J25" s="16">
        <v>13822694.550000004</v>
      </c>
      <c r="K25" s="16">
        <v>0</v>
      </c>
      <c r="L25" s="16">
        <v>0</v>
      </c>
      <c r="M25" s="16">
        <v>3489.2</v>
      </c>
      <c r="N25" s="18">
        <f t="shared" si="0"/>
        <v>168756560.18263105</v>
      </c>
      <c r="O25" s="4"/>
    </row>
    <row r="26" spans="1:15" ht="15" x14ac:dyDescent="0.2">
      <c r="A26" s="17" t="s">
        <v>21</v>
      </c>
      <c r="B26" s="16">
        <v>51252633.560000002</v>
      </c>
      <c r="C26" s="16">
        <v>0</v>
      </c>
      <c r="D26" s="16">
        <v>1550034.0946544316</v>
      </c>
      <c r="E26" s="16">
        <v>0</v>
      </c>
      <c r="F26" s="16">
        <v>794095.77</v>
      </c>
      <c r="G26" s="16">
        <v>359488.27</v>
      </c>
      <c r="H26" s="16">
        <v>2896961.02</v>
      </c>
      <c r="I26" s="16">
        <v>2230704.2400000002</v>
      </c>
      <c r="J26" s="16">
        <v>9250981.9500000011</v>
      </c>
      <c r="K26" s="16">
        <v>0</v>
      </c>
      <c r="L26" s="16">
        <v>0</v>
      </c>
      <c r="M26" s="16">
        <v>1586.84</v>
      </c>
      <c r="N26" s="18">
        <f t="shared" si="0"/>
        <v>68336485.744654447</v>
      </c>
      <c r="O26" s="4"/>
    </row>
    <row r="27" spans="1:15" ht="15" x14ac:dyDescent="0.2">
      <c r="A27" s="17" t="s">
        <v>22</v>
      </c>
      <c r="B27" s="16">
        <v>26445301.190000005</v>
      </c>
      <c r="C27" s="16">
        <v>0</v>
      </c>
      <c r="D27" s="16">
        <v>984554.69254980888</v>
      </c>
      <c r="E27" s="16">
        <v>0</v>
      </c>
      <c r="F27" s="16">
        <v>197381.07</v>
      </c>
      <c r="G27" s="16">
        <v>100700.03</v>
      </c>
      <c r="H27" s="16">
        <v>1494772.11</v>
      </c>
      <c r="I27" s="16">
        <v>554465.6</v>
      </c>
      <c r="J27" s="16">
        <v>2705827.7399999993</v>
      </c>
      <c r="K27" s="16">
        <v>0</v>
      </c>
      <c r="L27" s="16">
        <v>0</v>
      </c>
      <c r="M27" s="16">
        <v>394.4</v>
      </c>
      <c r="N27" s="18">
        <f t="shared" si="0"/>
        <v>32483396.832549814</v>
      </c>
      <c r="O27" s="4"/>
    </row>
    <row r="28" spans="1:15" ht="15" x14ac:dyDescent="0.2">
      <c r="A28" s="17" t="s">
        <v>23</v>
      </c>
      <c r="B28" s="16">
        <v>87256007.120000005</v>
      </c>
      <c r="C28" s="16">
        <v>0</v>
      </c>
      <c r="D28" s="16">
        <v>2622109.5427881125</v>
      </c>
      <c r="E28" s="16">
        <v>0</v>
      </c>
      <c r="F28" s="16">
        <v>271869.56</v>
      </c>
      <c r="G28" s="16">
        <v>153757.03</v>
      </c>
      <c r="H28" s="16">
        <v>4931985.62</v>
      </c>
      <c r="I28" s="16">
        <v>763712.15</v>
      </c>
      <c r="J28" s="16">
        <v>5424363.2099999972</v>
      </c>
      <c r="K28" s="16">
        <v>0</v>
      </c>
      <c r="L28" s="16">
        <v>0</v>
      </c>
      <c r="M28" s="16">
        <v>543.25</v>
      </c>
      <c r="N28" s="18">
        <f t="shared" si="0"/>
        <v>101424347.48278813</v>
      </c>
      <c r="O28" s="4"/>
    </row>
    <row r="29" spans="1:15" ht="15" x14ac:dyDescent="0.2">
      <c r="A29" s="17" t="s">
        <v>24</v>
      </c>
      <c r="B29" s="16">
        <v>51999746.139999993</v>
      </c>
      <c r="C29" s="16">
        <v>0</v>
      </c>
      <c r="D29" s="16">
        <v>2152955.4318164755</v>
      </c>
      <c r="E29" s="16">
        <v>0</v>
      </c>
      <c r="F29" s="16">
        <v>169683.18</v>
      </c>
      <c r="G29" s="16">
        <v>80126.899999999994</v>
      </c>
      <c r="H29" s="16">
        <v>2939190.19</v>
      </c>
      <c r="I29" s="16">
        <v>476659.12</v>
      </c>
      <c r="J29" s="16">
        <v>4860195.8999999994</v>
      </c>
      <c r="K29" s="16">
        <v>0</v>
      </c>
      <c r="L29" s="16">
        <v>0</v>
      </c>
      <c r="M29" s="16">
        <v>339.02</v>
      </c>
      <c r="N29" s="18">
        <f t="shared" si="0"/>
        <v>62678895.881816462</v>
      </c>
      <c r="O29" s="4"/>
    </row>
    <row r="30" spans="1:15" ht="15" x14ac:dyDescent="0.2">
      <c r="A30" s="17" t="s">
        <v>25</v>
      </c>
      <c r="B30" s="16">
        <v>17900533.660000004</v>
      </c>
      <c r="C30" s="16">
        <v>0</v>
      </c>
      <c r="D30" s="16">
        <v>1000034.2035085298</v>
      </c>
      <c r="E30" s="16">
        <v>0</v>
      </c>
      <c r="F30" s="16">
        <v>146556.78</v>
      </c>
      <c r="G30" s="16">
        <v>101782.82</v>
      </c>
      <c r="H30" s="16">
        <v>1011794.81</v>
      </c>
      <c r="I30" s="16">
        <v>411694.48</v>
      </c>
      <c r="J30" s="16">
        <v>3677076.0599999982</v>
      </c>
      <c r="K30" s="16">
        <v>0</v>
      </c>
      <c r="L30" s="16">
        <v>0</v>
      </c>
      <c r="M30" s="16">
        <v>292.81</v>
      </c>
      <c r="N30" s="18">
        <f t="shared" si="0"/>
        <v>24249765.623508532</v>
      </c>
      <c r="O30" s="4"/>
    </row>
    <row r="31" spans="1:15" ht="15" x14ac:dyDescent="0.2">
      <c r="A31" s="17" t="s">
        <v>26</v>
      </c>
      <c r="B31" s="16">
        <v>32768251.719999999</v>
      </c>
      <c r="C31" s="16">
        <v>0</v>
      </c>
      <c r="D31" s="16">
        <v>942664.52287153259</v>
      </c>
      <c r="E31" s="16">
        <v>0</v>
      </c>
      <c r="F31" s="16">
        <v>175061.41</v>
      </c>
      <c r="G31" s="16">
        <v>57388.19</v>
      </c>
      <c r="H31" s="16">
        <v>1852165.28</v>
      </c>
      <c r="I31" s="16">
        <v>491767.17</v>
      </c>
      <c r="J31" s="16">
        <v>2604606.899999999</v>
      </c>
      <c r="K31" s="16">
        <v>0</v>
      </c>
      <c r="L31" s="16">
        <v>0</v>
      </c>
      <c r="M31" s="16">
        <v>349.79999999999995</v>
      </c>
      <c r="N31" s="18">
        <f t="shared" si="0"/>
        <v>38892254.992871523</v>
      </c>
      <c r="O31" s="4"/>
    </row>
    <row r="32" spans="1:15" ht="15" x14ac:dyDescent="0.2">
      <c r="A32" s="17" t="s">
        <v>27</v>
      </c>
      <c r="B32" s="16">
        <v>149816482.69</v>
      </c>
      <c r="C32" s="16">
        <v>0</v>
      </c>
      <c r="D32" s="16">
        <v>3419797.7936760094</v>
      </c>
      <c r="E32" s="16">
        <v>0</v>
      </c>
      <c r="F32" s="16">
        <v>516310.15</v>
      </c>
      <c r="G32" s="16">
        <v>337832.35</v>
      </c>
      <c r="H32" s="16">
        <v>8468101.6400000006</v>
      </c>
      <c r="I32" s="16">
        <v>1450373.23</v>
      </c>
      <c r="J32" s="16">
        <v>8405728.799999997</v>
      </c>
      <c r="K32" s="16">
        <v>0</v>
      </c>
      <c r="L32" s="16">
        <v>0</v>
      </c>
      <c r="M32" s="16">
        <v>1031.74</v>
      </c>
      <c r="N32" s="18">
        <f t="shared" si="0"/>
        <v>172415658.39367598</v>
      </c>
      <c r="O32" s="4"/>
    </row>
    <row r="33" spans="1:15" ht="15" x14ac:dyDescent="0.2">
      <c r="A33" s="17" t="s">
        <v>28</v>
      </c>
      <c r="B33" s="16">
        <v>96874416.269999981</v>
      </c>
      <c r="C33" s="16">
        <v>0</v>
      </c>
      <c r="D33" s="16">
        <v>2479542.6390511785</v>
      </c>
      <c r="E33" s="16">
        <v>0</v>
      </c>
      <c r="F33" s="16">
        <v>378896.35</v>
      </c>
      <c r="G33" s="16">
        <v>253374.26</v>
      </c>
      <c r="H33" s="16">
        <v>5475648.54</v>
      </c>
      <c r="I33" s="16">
        <v>1064362.44</v>
      </c>
      <c r="J33" s="16">
        <v>7883877.1199999964</v>
      </c>
      <c r="K33" s="16">
        <v>0</v>
      </c>
      <c r="L33" s="16">
        <v>0</v>
      </c>
      <c r="M33" s="16">
        <v>757.12</v>
      </c>
      <c r="N33" s="18">
        <f t="shared" si="0"/>
        <v>114410874.73905116</v>
      </c>
      <c r="O33" s="4"/>
    </row>
    <row r="34" spans="1:15" ht="15" x14ac:dyDescent="0.2">
      <c r="A34" s="17" t="s">
        <v>29</v>
      </c>
      <c r="B34" s="16">
        <v>135067663.80000001</v>
      </c>
      <c r="C34" s="16">
        <v>0</v>
      </c>
      <c r="D34" s="16">
        <v>3160600.1788060898</v>
      </c>
      <c r="E34" s="16">
        <v>0</v>
      </c>
      <c r="F34" s="16">
        <v>550999.74</v>
      </c>
      <c r="G34" s="16">
        <v>445029.15</v>
      </c>
      <c r="H34" s="16">
        <v>7634451.7300000004</v>
      </c>
      <c r="I34" s="16">
        <v>1547820.18</v>
      </c>
      <c r="J34" s="16">
        <v>10172773.169999994</v>
      </c>
      <c r="K34" s="16">
        <v>0</v>
      </c>
      <c r="L34" s="16">
        <v>0</v>
      </c>
      <c r="M34" s="16">
        <v>1101.07</v>
      </c>
      <c r="N34" s="18">
        <f t="shared" si="0"/>
        <v>158580439.0188061</v>
      </c>
      <c r="O34" s="4"/>
    </row>
    <row r="35" spans="1:15" ht="15" x14ac:dyDescent="0.2">
      <c r="A35" s="17" t="s">
        <v>30</v>
      </c>
      <c r="B35" s="16">
        <v>65080427.659999996</v>
      </c>
      <c r="C35" s="16">
        <v>0</v>
      </c>
      <c r="D35" s="16">
        <v>1381541.9807669097</v>
      </c>
      <c r="E35" s="16">
        <v>0</v>
      </c>
      <c r="F35" s="16">
        <v>344475.68</v>
      </c>
      <c r="G35" s="16">
        <v>172164.56</v>
      </c>
      <c r="H35" s="16">
        <v>3678551.7</v>
      </c>
      <c r="I35" s="16">
        <v>967670.89</v>
      </c>
      <c r="J35" s="16">
        <v>3719959.3199999989</v>
      </c>
      <c r="K35" s="16">
        <v>0</v>
      </c>
      <c r="L35" s="16">
        <v>0</v>
      </c>
      <c r="M35" s="16">
        <v>688.34</v>
      </c>
      <c r="N35" s="18">
        <f t="shared" si="0"/>
        <v>75345480.130766898</v>
      </c>
      <c r="O35" s="4"/>
    </row>
    <row r="36" spans="1:15" ht="15" x14ac:dyDescent="0.2">
      <c r="A36" s="17" t="s">
        <v>31</v>
      </c>
      <c r="B36" s="16">
        <v>70102585.960000008</v>
      </c>
      <c r="C36" s="16">
        <v>0</v>
      </c>
      <c r="D36" s="16">
        <v>1776755.3080770662</v>
      </c>
      <c r="E36" s="16">
        <v>0</v>
      </c>
      <c r="F36" s="16">
        <v>216742.7</v>
      </c>
      <c r="G36" s="16">
        <v>109362.39</v>
      </c>
      <c r="H36" s="16">
        <v>3962419.98</v>
      </c>
      <c r="I36" s="16">
        <v>608854.59</v>
      </c>
      <c r="J36" s="16">
        <v>4871090.700000002</v>
      </c>
      <c r="K36" s="16">
        <v>0</v>
      </c>
      <c r="L36" s="16">
        <v>0</v>
      </c>
      <c r="M36" s="16">
        <v>433.09000000000003</v>
      </c>
      <c r="N36" s="18">
        <f t="shared" si="0"/>
        <v>81648244.718077093</v>
      </c>
      <c r="O36" s="4"/>
    </row>
    <row r="37" spans="1:15" ht="15" x14ac:dyDescent="0.2">
      <c r="A37" s="17" t="s">
        <v>32</v>
      </c>
      <c r="B37" s="16">
        <v>77859424.75</v>
      </c>
      <c r="C37" s="16">
        <v>0</v>
      </c>
      <c r="D37" s="16">
        <v>2615304.1716493145</v>
      </c>
      <c r="E37" s="16">
        <v>0</v>
      </c>
      <c r="F37" s="16">
        <v>402022.75</v>
      </c>
      <c r="G37" s="16">
        <v>159171.01</v>
      </c>
      <c r="H37" s="16">
        <v>4400861.05</v>
      </c>
      <c r="I37" s="16">
        <v>1129327.07</v>
      </c>
      <c r="J37" s="16">
        <v>6289318.5600000005</v>
      </c>
      <c r="K37" s="16">
        <v>0</v>
      </c>
      <c r="L37" s="16">
        <v>0</v>
      </c>
      <c r="M37" s="16">
        <v>803.33999999999992</v>
      </c>
      <c r="N37" s="18">
        <f t="shared" si="0"/>
        <v>92856232.701649308</v>
      </c>
      <c r="O37" s="4"/>
    </row>
    <row r="38" spans="1:15" ht="15" x14ac:dyDescent="0.2">
      <c r="A38" s="17" t="s">
        <v>33</v>
      </c>
      <c r="B38" s="16">
        <v>71245437.530000001</v>
      </c>
      <c r="C38" s="16">
        <v>0</v>
      </c>
      <c r="D38" s="16">
        <v>637306.4689270769</v>
      </c>
      <c r="E38" s="16">
        <v>0</v>
      </c>
      <c r="F38" s="16">
        <v>359265.81</v>
      </c>
      <c r="G38" s="16">
        <v>430952.8</v>
      </c>
      <c r="H38" s="16">
        <v>4027017.56</v>
      </c>
      <c r="I38" s="16">
        <v>1009218.04</v>
      </c>
      <c r="J38" s="16">
        <v>10411067.099999996</v>
      </c>
      <c r="K38" s="16">
        <v>0</v>
      </c>
      <c r="L38" s="16">
        <v>0</v>
      </c>
      <c r="M38" s="16">
        <v>717.91</v>
      </c>
      <c r="N38" s="18">
        <f t="shared" si="0"/>
        <v>88120983.21892707</v>
      </c>
      <c r="O38" s="4"/>
    </row>
    <row r="39" spans="1:15" ht="15" x14ac:dyDescent="0.2">
      <c r="A39" s="17" t="s">
        <v>34</v>
      </c>
      <c r="B39" s="16">
        <v>117926664.93000001</v>
      </c>
      <c r="C39" s="16">
        <v>0</v>
      </c>
      <c r="D39" s="16">
        <v>3126688.123475912</v>
      </c>
      <c r="E39" s="16">
        <v>0</v>
      </c>
      <c r="F39" s="16">
        <v>457687.44</v>
      </c>
      <c r="G39" s="16">
        <v>265285.02</v>
      </c>
      <c r="H39" s="16">
        <v>6665588.2400000002</v>
      </c>
      <c r="I39" s="16">
        <v>1285695.43</v>
      </c>
      <c r="J39" s="16">
        <v>8867063.9399999976</v>
      </c>
      <c r="K39" s="16">
        <v>0</v>
      </c>
      <c r="L39" s="16">
        <v>0</v>
      </c>
      <c r="M39" s="16">
        <v>914.59</v>
      </c>
      <c r="N39" s="18">
        <f t="shared" si="0"/>
        <v>138595587.71347591</v>
      </c>
      <c r="O39" s="4"/>
    </row>
    <row r="40" spans="1:15" ht="15" x14ac:dyDescent="0.2">
      <c r="A40" s="17" t="s">
        <v>35</v>
      </c>
      <c r="B40" s="16">
        <v>79004050.929999992</v>
      </c>
      <c r="C40" s="16">
        <v>0</v>
      </c>
      <c r="D40" s="16">
        <v>2464844.8881478901</v>
      </c>
      <c r="E40" s="16">
        <v>0</v>
      </c>
      <c r="F40" s="16">
        <v>244440.58</v>
      </c>
      <c r="G40" s="16">
        <v>116941.97</v>
      </c>
      <c r="H40" s="16">
        <v>4465558.9400000004</v>
      </c>
      <c r="I40" s="16">
        <v>686661.08</v>
      </c>
      <c r="J40" s="16">
        <v>4934646.78</v>
      </c>
      <c r="K40" s="16">
        <v>0</v>
      </c>
      <c r="L40" s="16">
        <v>0</v>
      </c>
      <c r="M40" s="16">
        <v>488.45</v>
      </c>
      <c r="N40" s="18">
        <f t="shared" ref="N40:N71" si="1">SUM(B40:M40)</f>
        <v>91917633.61814788</v>
      </c>
      <c r="O40" s="4"/>
    </row>
    <row r="41" spans="1:15" ht="15" x14ac:dyDescent="0.2">
      <c r="A41" s="17" t="s">
        <v>36</v>
      </c>
      <c r="B41" s="16">
        <v>81857630.629999995</v>
      </c>
      <c r="C41" s="16">
        <v>0</v>
      </c>
      <c r="D41" s="16">
        <v>1040389.0883254916</v>
      </c>
      <c r="E41" s="16">
        <v>0</v>
      </c>
      <c r="F41" s="16">
        <v>413854.86</v>
      </c>
      <c r="G41" s="16">
        <v>187323.7</v>
      </c>
      <c r="H41" s="16">
        <v>4626852.3</v>
      </c>
      <c r="I41" s="16">
        <v>1162564.79</v>
      </c>
      <c r="J41" s="16">
        <v>5006936.97</v>
      </c>
      <c r="K41" s="16">
        <v>0</v>
      </c>
      <c r="L41" s="16">
        <v>0</v>
      </c>
      <c r="M41" s="16">
        <v>826.99</v>
      </c>
      <c r="N41" s="18">
        <f t="shared" si="1"/>
        <v>94296379.32832548</v>
      </c>
      <c r="O41" s="4"/>
    </row>
    <row r="42" spans="1:15" ht="15" x14ac:dyDescent="0.2">
      <c r="A42" s="17" t="s">
        <v>37</v>
      </c>
      <c r="B42" s="16">
        <v>50429212.56000001</v>
      </c>
      <c r="C42" s="16">
        <v>0</v>
      </c>
      <c r="D42" s="16">
        <v>512016.32497120596</v>
      </c>
      <c r="E42" s="16">
        <v>0</v>
      </c>
      <c r="F42" s="16">
        <v>1124050.23</v>
      </c>
      <c r="G42" s="16">
        <v>0</v>
      </c>
      <c r="H42" s="16">
        <v>2850418.66</v>
      </c>
      <c r="I42" s="16">
        <v>3157583.38</v>
      </c>
      <c r="J42" s="16">
        <v>7802431.7700000014</v>
      </c>
      <c r="K42" s="16">
        <v>0</v>
      </c>
      <c r="L42" s="16">
        <v>0</v>
      </c>
      <c r="M42" s="16">
        <v>2246.21</v>
      </c>
      <c r="N42" s="18">
        <f t="shared" si="1"/>
        <v>65877959.134971224</v>
      </c>
      <c r="O42" s="4"/>
    </row>
    <row r="43" spans="1:15" ht="15" x14ac:dyDescent="0.2">
      <c r="A43" s="17" t="s">
        <v>38</v>
      </c>
      <c r="B43" s="16">
        <v>181787932.72</v>
      </c>
      <c r="C43" s="16">
        <v>0</v>
      </c>
      <c r="D43" s="16">
        <v>2159165.0132834623</v>
      </c>
      <c r="E43" s="16">
        <v>0</v>
      </c>
      <c r="F43" s="16">
        <v>4674220.38</v>
      </c>
      <c r="G43" s="16">
        <v>1480182.1</v>
      </c>
      <c r="H43" s="16">
        <v>10275229.16</v>
      </c>
      <c r="I43" s="16">
        <v>13130410.130000001</v>
      </c>
      <c r="J43" s="16">
        <v>24152444.609999999</v>
      </c>
      <c r="K43" s="16">
        <v>0</v>
      </c>
      <c r="L43" s="16">
        <v>0</v>
      </c>
      <c r="M43" s="16">
        <v>9340.81</v>
      </c>
      <c r="N43" s="18">
        <f t="shared" si="1"/>
        <v>237668924.92328346</v>
      </c>
      <c r="O43" s="4"/>
    </row>
    <row r="44" spans="1:15" ht="15" x14ac:dyDescent="0.2">
      <c r="A44" s="17" t="s">
        <v>39</v>
      </c>
      <c r="B44" s="16">
        <v>261494731</v>
      </c>
      <c r="C44" s="16">
        <v>0</v>
      </c>
      <c r="D44" s="16">
        <v>1834794.1736027109</v>
      </c>
      <c r="E44" s="16">
        <v>0</v>
      </c>
      <c r="F44" s="16">
        <v>5881364.29</v>
      </c>
      <c r="G44" s="16">
        <v>2703430.0462898584</v>
      </c>
      <c r="H44" s="16">
        <v>14780509.6</v>
      </c>
      <c r="I44" s="16">
        <v>16521412.949999999</v>
      </c>
      <c r="J44" s="16">
        <v>31351707.449999988</v>
      </c>
      <c r="K44" s="16">
        <v>0</v>
      </c>
      <c r="L44" s="16">
        <v>0</v>
      </c>
      <c r="M44" s="16">
        <v>11753.11</v>
      </c>
      <c r="N44" s="18">
        <f t="shared" si="1"/>
        <v>334579702.6198926</v>
      </c>
      <c r="O44" s="4"/>
    </row>
    <row r="45" spans="1:15" ht="15" x14ac:dyDescent="0.2">
      <c r="A45" s="17" t="s">
        <v>40</v>
      </c>
      <c r="B45" s="16">
        <v>74200170.200000018</v>
      </c>
      <c r="C45" s="16">
        <v>0</v>
      </c>
      <c r="D45" s="16">
        <v>1066129.4006302119</v>
      </c>
      <c r="E45" s="16">
        <v>0</v>
      </c>
      <c r="F45" s="16">
        <v>438056.89</v>
      </c>
      <c r="G45" s="16">
        <v>206814.03</v>
      </c>
      <c r="H45" s="16">
        <v>4194028.4</v>
      </c>
      <c r="I45" s="16">
        <v>1230551.04</v>
      </c>
      <c r="J45" s="16">
        <v>4697066.8500000006</v>
      </c>
      <c r="K45" s="16">
        <v>0</v>
      </c>
      <c r="L45" s="16">
        <v>0</v>
      </c>
      <c r="M45" s="16">
        <v>875.36</v>
      </c>
      <c r="N45" s="18">
        <f t="shared" si="1"/>
        <v>86033692.170630231</v>
      </c>
      <c r="O45" s="4"/>
    </row>
    <row r="46" spans="1:15" ht="15" x14ac:dyDescent="0.2">
      <c r="A46" s="17" t="s">
        <v>41</v>
      </c>
      <c r="B46" s="16">
        <v>115621441.01999998</v>
      </c>
      <c r="C46" s="16">
        <v>0</v>
      </c>
      <c r="D46" s="16">
        <v>964904.24360271101</v>
      </c>
      <c r="E46" s="16">
        <v>0</v>
      </c>
      <c r="F46" s="16">
        <v>3455244.37</v>
      </c>
      <c r="G46" s="16">
        <v>341143.06832756469</v>
      </c>
      <c r="H46" s="16">
        <v>6535289.6900000004</v>
      </c>
      <c r="I46" s="16">
        <v>9706169.5899999999</v>
      </c>
      <c r="J46" s="16">
        <v>20950436.429999992</v>
      </c>
      <c r="K46" s="16">
        <v>0</v>
      </c>
      <c r="L46" s="16">
        <v>0</v>
      </c>
      <c r="M46" s="16">
        <v>6904.83</v>
      </c>
      <c r="N46" s="18">
        <f t="shared" si="1"/>
        <v>157581533.24193028</v>
      </c>
      <c r="O46" s="4"/>
    </row>
    <row r="47" spans="1:15" ht="15" x14ac:dyDescent="0.2">
      <c r="A47" s="17" t="s">
        <v>42</v>
      </c>
      <c r="B47" s="16">
        <v>343980575.18000001</v>
      </c>
      <c r="C47" s="16">
        <v>0</v>
      </c>
      <c r="D47" s="16">
        <v>1761473.636789517</v>
      </c>
      <c r="E47" s="16">
        <v>0</v>
      </c>
      <c r="F47" s="16">
        <v>10771520.640000001</v>
      </c>
      <c r="G47" s="16">
        <v>2982079.6558685037</v>
      </c>
      <c r="H47" s="16">
        <v>19442870.510000002</v>
      </c>
      <c r="I47" s="16">
        <v>30258411.469999999</v>
      </c>
      <c r="J47" s="16">
        <v>48406915.61999999</v>
      </c>
      <c r="K47" s="16">
        <v>0</v>
      </c>
      <c r="L47" s="16">
        <v>0</v>
      </c>
      <c r="M47" s="16">
        <v>21525.49</v>
      </c>
      <c r="N47" s="18">
        <f t="shared" si="1"/>
        <v>457625372.20265806</v>
      </c>
      <c r="O47" s="4"/>
    </row>
    <row r="48" spans="1:15" ht="15" x14ac:dyDescent="0.2">
      <c r="A48" s="17" t="s">
        <v>43</v>
      </c>
      <c r="B48" s="16">
        <v>37612948.539999999</v>
      </c>
      <c r="C48" s="16">
        <v>0</v>
      </c>
      <c r="D48" s="16">
        <v>1118933.3548240666</v>
      </c>
      <c r="E48" s="16">
        <v>0</v>
      </c>
      <c r="F48" s="16">
        <v>93581.21</v>
      </c>
      <c r="G48" s="16">
        <v>61719.37</v>
      </c>
      <c r="H48" s="16">
        <v>2126002.87</v>
      </c>
      <c r="I48" s="16">
        <v>262880.15000000002</v>
      </c>
      <c r="J48" s="16">
        <v>2642491.5299999998</v>
      </c>
      <c r="K48" s="16">
        <v>0</v>
      </c>
      <c r="L48" s="16">
        <v>0</v>
      </c>
      <c r="M48" s="16">
        <v>186.98</v>
      </c>
      <c r="N48" s="18">
        <f t="shared" si="1"/>
        <v>43918744.004824057</v>
      </c>
      <c r="O48" s="4"/>
    </row>
    <row r="49" spans="1:15" ht="15" x14ac:dyDescent="0.2">
      <c r="A49" s="17" t="s">
        <v>44</v>
      </c>
      <c r="B49" s="16">
        <v>61215317.899999991</v>
      </c>
      <c r="C49" s="16">
        <v>0</v>
      </c>
      <c r="D49" s="16">
        <v>1615964.2130082303</v>
      </c>
      <c r="E49" s="16">
        <v>0</v>
      </c>
      <c r="F49" s="16">
        <v>552613.21</v>
      </c>
      <c r="G49" s="16">
        <v>273947.38</v>
      </c>
      <c r="H49" s="16">
        <v>3460083.46</v>
      </c>
      <c r="I49" s="16">
        <v>1552352.6</v>
      </c>
      <c r="J49" s="16">
        <v>6143438.0699999994</v>
      </c>
      <c r="K49" s="16">
        <v>0</v>
      </c>
      <c r="L49" s="16">
        <v>0</v>
      </c>
      <c r="M49" s="16">
        <v>1104.29</v>
      </c>
      <c r="N49" s="18">
        <f t="shared" si="1"/>
        <v>74814821.123008221</v>
      </c>
      <c r="O49" s="4"/>
    </row>
    <row r="50" spans="1:15" ht="15" x14ac:dyDescent="0.2">
      <c r="A50" s="17" t="s">
        <v>45</v>
      </c>
      <c r="B50" s="16">
        <v>48723808.299999997</v>
      </c>
      <c r="C50" s="16">
        <v>0</v>
      </c>
      <c r="D50" s="16">
        <v>1286774.6271620435</v>
      </c>
      <c r="E50" s="16">
        <v>0</v>
      </c>
      <c r="F50" s="16">
        <v>154893.04</v>
      </c>
      <c r="G50" s="16">
        <v>76878.509999999995</v>
      </c>
      <c r="H50" s="16">
        <v>2754023.82</v>
      </c>
      <c r="I50" s="16">
        <v>435111.97</v>
      </c>
      <c r="J50" s="16">
        <v>4425118.1100000013</v>
      </c>
      <c r="K50" s="16">
        <v>0</v>
      </c>
      <c r="L50" s="16">
        <v>0</v>
      </c>
      <c r="M50" s="16">
        <v>309.46999999999997</v>
      </c>
      <c r="N50" s="18">
        <f t="shared" si="1"/>
        <v>57856917.847162038</v>
      </c>
      <c r="O50" s="4"/>
    </row>
    <row r="51" spans="1:15" ht="15" x14ac:dyDescent="0.2">
      <c r="A51" s="17" t="s">
        <v>46</v>
      </c>
      <c r="B51" s="16">
        <v>48045905.640000008</v>
      </c>
      <c r="C51" s="16">
        <v>0</v>
      </c>
      <c r="D51" s="16">
        <v>1949381.5195927008</v>
      </c>
      <c r="E51" s="16">
        <v>0</v>
      </c>
      <c r="F51" s="16">
        <v>193078.48</v>
      </c>
      <c r="G51" s="16">
        <v>102865.62</v>
      </c>
      <c r="H51" s="16">
        <v>2715706.62</v>
      </c>
      <c r="I51" s="16">
        <v>542379.15</v>
      </c>
      <c r="J51" s="16">
        <v>3069567.4799999986</v>
      </c>
      <c r="K51" s="16">
        <v>0</v>
      </c>
      <c r="L51" s="16">
        <v>0</v>
      </c>
      <c r="M51" s="16">
        <v>385.79</v>
      </c>
      <c r="N51" s="18">
        <f t="shared" si="1"/>
        <v>56619270.299592696</v>
      </c>
      <c r="O51" s="4"/>
    </row>
    <row r="52" spans="1:15" ht="15" x14ac:dyDescent="0.2">
      <c r="A52" s="17" t="s">
        <v>47</v>
      </c>
      <c r="B52" s="16">
        <v>52312078.25999999</v>
      </c>
      <c r="C52" s="16">
        <v>0</v>
      </c>
      <c r="D52" s="16">
        <v>1586535.7091475145</v>
      </c>
      <c r="E52" s="16">
        <v>0</v>
      </c>
      <c r="F52" s="16">
        <v>177750.52</v>
      </c>
      <c r="G52" s="16">
        <v>120190.35</v>
      </c>
      <c r="H52" s="16">
        <v>2956844.19</v>
      </c>
      <c r="I52" s="16">
        <v>499321.2</v>
      </c>
      <c r="J52" s="16">
        <v>4119478.0200000014</v>
      </c>
      <c r="K52" s="16">
        <v>0</v>
      </c>
      <c r="L52" s="16">
        <v>0</v>
      </c>
      <c r="M52" s="16">
        <v>355.15999999999997</v>
      </c>
      <c r="N52" s="18">
        <f t="shared" si="1"/>
        <v>61772553.409147508</v>
      </c>
      <c r="O52" s="4"/>
    </row>
    <row r="53" spans="1:15" ht="15" x14ac:dyDescent="0.2">
      <c r="A53" s="17" t="s">
        <v>48</v>
      </c>
      <c r="B53" s="16">
        <v>18853501.490000002</v>
      </c>
      <c r="C53" s="16">
        <v>0</v>
      </c>
      <c r="D53" s="16">
        <v>1371115.8862304483</v>
      </c>
      <c r="E53" s="16">
        <v>0</v>
      </c>
      <c r="F53" s="16">
        <v>30924.82</v>
      </c>
      <c r="G53" s="16">
        <v>19490.330000000002</v>
      </c>
      <c r="H53" s="16">
        <v>1065659.57</v>
      </c>
      <c r="I53" s="16">
        <v>86871.31</v>
      </c>
      <c r="J53" s="16">
        <v>2043881.9099999995</v>
      </c>
      <c r="K53" s="16">
        <v>0</v>
      </c>
      <c r="L53" s="16">
        <v>0</v>
      </c>
      <c r="M53" s="16">
        <v>61.76</v>
      </c>
      <c r="N53" s="18">
        <f t="shared" si="1"/>
        <v>23471507.076230448</v>
      </c>
      <c r="O53" s="4"/>
    </row>
    <row r="54" spans="1:15" ht="15" x14ac:dyDescent="0.2">
      <c r="A54" s="17" t="s">
        <v>49</v>
      </c>
      <c r="B54" s="16">
        <v>65309352.899999999</v>
      </c>
      <c r="C54" s="16">
        <v>0</v>
      </c>
      <c r="D54" s="16">
        <v>1962127.0437844002</v>
      </c>
      <c r="E54" s="16">
        <v>0</v>
      </c>
      <c r="F54" s="16">
        <v>106220.05</v>
      </c>
      <c r="G54" s="16">
        <v>74712.92</v>
      </c>
      <c r="H54" s="16">
        <v>3691491.28</v>
      </c>
      <c r="I54" s="16">
        <v>298384.08</v>
      </c>
      <c r="J54" s="16">
        <v>4723434.24</v>
      </c>
      <c r="K54" s="16">
        <v>0</v>
      </c>
      <c r="L54" s="16">
        <v>0</v>
      </c>
      <c r="M54" s="16">
        <v>212.22</v>
      </c>
      <c r="N54" s="18">
        <f t="shared" si="1"/>
        <v>76165934.733784392</v>
      </c>
      <c r="O54" s="4"/>
    </row>
    <row r="55" spans="1:15" ht="15" x14ac:dyDescent="0.2">
      <c r="A55" s="17" t="s">
        <v>50</v>
      </c>
      <c r="B55" s="16">
        <v>24012305.07</v>
      </c>
      <c r="C55" s="16">
        <v>0</v>
      </c>
      <c r="D55" s="16">
        <v>746803.53607125476</v>
      </c>
      <c r="E55" s="16">
        <v>0</v>
      </c>
      <c r="F55" s="16">
        <v>196036.51</v>
      </c>
      <c r="G55" s="16">
        <v>102865.62</v>
      </c>
      <c r="H55" s="16">
        <v>1357251.47</v>
      </c>
      <c r="I55" s="16">
        <v>550688.57999999996</v>
      </c>
      <c r="J55" s="16">
        <v>3379126.17</v>
      </c>
      <c r="K55" s="16">
        <v>0</v>
      </c>
      <c r="L55" s="16">
        <v>0</v>
      </c>
      <c r="M55" s="16">
        <v>391.7</v>
      </c>
      <c r="N55" s="18">
        <f t="shared" si="1"/>
        <v>30345468.656071257</v>
      </c>
      <c r="O55" s="4"/>
    </row>
    <row r="56" spans="1:15" ht="15" x14ac:dyDescent="0.2">
      <c r="A56" s="17" t="s">
        <v>51</v>
      </c>
      <c r="B56" s="16">
        <v>23020295.73</v>
      </c>
      <c r="C56" s="16">
        <v>0</v>
      </c>
      <c r="D56" s="16">
        <v>766259.15679199179</v>
      </c>
      <c r="E56" s="16">
        <v>0</v>
      </c>
      <c r="F56" s="16">
        <v>55395.77</v>
      </c>
      <c r="G56" s="16">
        <v>25987.1</v>
      </c>
      <c r="H56" s="16">
        <v>1301179.96</v>
      </c>
      <c r="I56" s="16">
        <v>155612.96</v>
      </c>
      <c r="J56" s="16">
        <v>2748436.53</v>
      </c>
      <c r="K56" s="16">
        <v>0</v>
      </c>
      <c r="L56" s="16">
        <v>0</v>
      </c>
      <c r="M56" s="16">
        <v>110.64</v>
      </c>
      <c r="N56" s="18">
        <f t="shared" si="1"/>
        <v>28073277.846791998</v>
      </c>
      <c r="O56" s="4"/>
    </row>
    <row r="57" spans="1:15" ht="15" x14ac:dyDescent="0.2">
      <c r="A57" s="17" t="s">
        <v>52</v>
      </c>
      <c r="B57" s="16">
        <v>63506344.859999999</v>
      </c>
      <c r="C57" s="16">
        <v>0</v>
      </c>
      <c r="D57" s="16">
        <v>1478672.9937619045</v>
      </c>
      <c r="E57" s="16">
        <v>0</v>
      </c>
      <c r="F57" s="16">
        <v>284508.40000000002</v>
      </c>
      <c r="G57" s="16">
        <v>136432.29</v>
      </c>
      <c r="H57" s="16">
        <v>3589579.56</v>
      </c>
      <c r="I57" s="16">
        <v>799216.08</v>
      </c>
      <c r="J57" s="16">
        <v>5828221.3499999987</v>
      </c>
      <c r="K57" s="16">
        <v>0</v>
      </c>
      <c r="L57" s="16">
        <v>0</v>
      </c>
      <c r="M57" s="16">
        <v>568.49999999999989</v>
      </c>
      <c r="N57" s="18">
        <f t="shared" si="1"/>
        <v>75623544.033761889</v>
      </c>
      <c r="O57" s="4"/>
    </row>
    <row r="58" spans="1:15" ht="15" x14ac:dyDescent="0.2">
      <c r="A58" s="17" t="s">
        <v>53</v>
      </c>
      <c r="B58" s="16">
        <v>50801881.529999994</v>
      </c>
      <c r="C58" s="16">
        <v>0</v>
      </c>
      <c r="D58" s="16">
        <v>745565.90967396577</v>
      </c>
      <c r="E58" s="16">
        <v>0</v>
      </c>
      <c r="F58" s="16">
        <v>165649.5</v>
      </c>
      <c r="G58" s="16">
        <v>77961.31</v>
      </c>
      <c r="H58" s="16">
        <v>2871483.09</v>
      </c>
      <c r="I58" s="16">
        <v>465328.08</v>
      </c>
      <c r="J58" s="16">
        <v>3263623.0200000014</v>
      </c>
      <c r="K58" s="16">
        <v>0</v>
      </c>
      <c r="L58" s="16">
        <v>0</v>
      </c>
      <c r="M58" s="16">
        <v>330.96000000000004</v>
      </c>
      <c r="N58" s="18">
        <f t="shared" si="1"/>
        <v>58391823.399673969</v>
      </c>
      <c r="O58" s="4"/>
    </row>
    <row r="59" spans="1:15" ht="15" x14ac:dyDescent="0.2">
      <c r="A59" s="17" t="s">
        <v>54</v>
      </c>
      <c r="B59" s="16">
        <v>56509040.940000005</v>
      </c>
      <c r="C59" s="16">
        <v>0</v>
      </c>
      <c r="D59" s="16">
        <v>1845899.6720212027</v>
      </c>
      <c r="E59" s="16">
        <v>0</v>
      </c>
      <c r="F59" s="16">
        <v>161346.92000000001</v>
      </c>
      <c r="G59" s="16">
        <v>77961.31</v>
      </c>
      <c r="H59" s="16">
        <v>3194069.8</v>
      </c>
      <c r="I59" s="16">
        <v>453241.63</v>
      </c>
      <c r="J59" s="16">
        <v>3827662.2299999986</v>
      </c>
      <c r="K59" s="16">
        <v>0</v>
      </c>
      <c r="L59" s="16">
        <v>0</v>
      </c>
      <c r="M59" s="16">
        <v>322.39</v>
      </c>
      <c r="N59" s="18">
        <f t="shared" si="1"/>
        <v>66069544.892021209</v>
      </c>
      <c r="O59" s="4"/>
    </row>
    <row r="60" spans="1:15" ht="15" x14ac:dyDescent="0.2">
      <c r="A60" s="17" t="s">
        <v>55</v>
      </c>
      <c r="B60" s="16">
        <v>400651106.06999999</v>
      </c>
      <c r="C60" s="16">
        <v>0</v>
      </c>
      <c r="D60" s="16">
        <v>14266313.672365099</v>
      </c>
      <c r="E60" s="16">
        <v>0</v>
      </c>
      <c r="F60" s="16">
        <v>8875425.3699999992</v>
      </c>
      <c r="G60" s="16">
        <v>4290037.6899999995</v>
      </c>
      <c r="H60" s="16">
        <v>22646068.23</v>
      </c>
      <c r="I60" s="16">
        <v>24932066.870000001</v>
      </c>
      <c r="J60" s="16">
        <v>62603896.950000025</v>
      </c>
      <c r="K60" s="16">
        <v>0</v>
      </c>
      <c r="L60" s="16">
        <v>0</v>
      </c>
      <c r="M60" s="16">
        <v>17736.39</v>
      </c>
      <c r="N60" s="18">
        <f t="shared" si="1"/>
        <v>538282651.24236512</v>
      </c>
      <c r="O60" s="4"/>
    </row>
    <row r="61" spans="1:15" ht="15" x14ac:dyDescent="0.2">
      <c r="A61" s="17" t="s">
        <v>56</v>
      </c>
      <c r="B61" s="16">
        <v>62643882.329999983</v>
      </c>
      <c r="C61" s="16">
        <v>0</v>
      </c>
      <c r="D61" s="16">
        <v>983244.89947354898</v>
      </c>
      <c r="E61" s="16">
        <v>0</v>
      </c>
      <c r="F61" s="16">
        <v>1584426.79</v>
      </c>
      <c r="G61" s="16">
        <v>450006.9562513986</v>
      </c>
      <c r="H61" s="16">
        <v>3540830.45</v>
      </c>
      <c r="I61" s="16">
        <v>4450832.84</v>
      </c>
      <c r="J61" s="16">
        <v>14710776.150000006</v>
      </c>
      <c r="K61" s="16">
        <v>0</v>
      </c>
      <c r="L61" s="16">
        <v>0</v>
      </c>
      <c r="M61" s="16">
        <v>3166.2400000000002</v>
      </c>
      <c r="N61" s="18">
        <f t="shared" si="1"/>
        <v>88367166.655724928</v>
      </c>
      <c r="O61" s="4"/>
    </row>
    <row r="62" spans="1:15" ht="15" x14ac:dyDescent="0.2">
      <c r="A62" s="17" t="s">
        <v>57</v>
      </c>
      <c r="B62" s="16">
        <v>378072689.21000004</v>
      </c>
      <c r="C62" s="16">
        <v>0</v>
      </c>
      <c r="D62" s="16">
        <v>3738203.52</v>
      </c>
      <c r="E62" s="16">
        <v>0</v>
      </c>
      <c r="F62" s="16">
        <v>7104373.9699999997</v>
      </c>
      <c r="G62" s="16">
        <v>0</v>
      </c>
      <c r="H62" s="16">
        <v>21369864.670000002</v>
      </c>
      <c r="I62" s="16">
        <v>19956984.530000001</v>
      </c>
      <c r="J62" s="16">
        <v>31026951.059999991</v>
      </c>
      <c r="K62" s="16">
        <v>0</v>
      </c>
      <c r="L62" s="16">
        <v>0</v>
      </c>
      <c r="M62" s="16">
        <v>14197.160000000002</v>
      </c>
      <c r="N62" s="18">
        <f t="shared" si="1"/>
        <v>461283264.12000012</v>
      </c>
      <c r="O62" s="4"/>
    </row>
    <row r="63" spans="1:15" ht="15" x14ac:dyDescent="0.2">
      <c r="A63" s="17" t="s">
        <v>58</v>
      </c>
      <c r="B63" s="16">
        <v>57009482.100000016</v>
      </c>
      <c r="C63" s="16">
        <v>0</v>
      </c>
      <c r="D63" s="16">
        <v>1859034.7879711506</v>
      </c>
      <c r="E63" s="16">
        <v>0</v>
      </c>
      <c r="F63" s="16">
        <v>250356.64</v>
      </c>
      <c r="G63" s="16">
        <v>125604.33</v>
      </c>
      <c r="H63" s="16">
        <v>3222356.32</v>
      </c>
      <c r="I63" s="16">
        <v>703279.93</v>
      </c>
      <c r="J63" s="16">
        <v>4363301.67</v>
      </c>
      <c r="K63" s="16">
        <v>0</v>
      </c>
      <c r="L63" s="16">
        <v>0</v>
      </c>
      <c r="M63" s="16">
        <v>500.25000000000006</v>
      </c>
      <c r="N63" s="18">
        <f t="shared" si="1"/>
        <v>67533916.027971163</v>
      </c>
      <c r="O63" s="4"/>
    </row>
    <row r="64" spans="1:15" ht="15" x14ac:dyDescent="0.2">
      <c r="A64" s="17" t="s">
        <v>59</v>
      </c>
      <c r="B64" s="16">
        <v>120757174.63</v>
      </c>
      <c r="C64" s="16">
        <v>0</v>
      </c>
      <c r="D64" s="16">
        <v>4418415.123979006</v>
      </c>
      <c r="E64" s="16">
        <v>0</v>
      </c>
      <c r="F64" s="16">
        <v>458225.26</v>
      </c>
      <c r="G64" s="16">
        <v>214393.60000000001</v>
      </c>
      <c r="H64" s="16">
        <v>6825577.6100000003</v>
      </c>
      <c r="I64" s="16">
        <v>1287206.24</v>
      </c>
      <c r="J64" s="16">
        <v>9097227.9299999997</v>
      </c>
      <c r="K64" s="16">
        <v>0</v>
      </c>
      <c r="L64" s="16">
        <v>0</v>
      </c>
      <c r="M64" s="16">
        <v>915.67</v>
      </c>
      <c r="N64" s="18">
        <f t="shared" si="1"/>
        <v>143059136.06397897</v>
      </c>
      <c r="O64" s="4"/>
    </row>
    <row r="65" spans="1:15" ht="15" x14ac:dyDescent="0.2">
      <c r="A65" s="17" t="s">
        <v>60</v>
      </c>
      <c r="B65" s="16">
        <v>66186012.340000004</v>
      </c>
      <c r="C65" s="16">
        <v>0</v>
      </c>
      <c r="D65" s="16">
        <v>1730235.9739232534</v>
      </c>
      <c r="E65" s="16">
        <v>0</v>
      </c>
      <c r="F65" s="16">
        <v>99766.18</v>
      </c>
      <c r="G65" s="16">
        <v>82292.490000000005</v>
      </c>
      <c r="H65" s="16">
        <v>3741042.84</v>
      </c>
      <c r="I65" s="16">
        <v>280254.40999999997</v>
      </c>
      <c r="J65" s="16">
        <v>5254312.7700000014</v>
      </c>
      <c r="K65" s="16">
        <v>0</v>
      </c>
      <c r="L65" s="16">
        <v>0</v>
      </c>
      <c r="M65" s="16">
        <v>199.32</v>
      </c>
      <c r="N65" s="18">
        <f t="shared" si="1"/>
        <v>77374116.323923245</v>
      </c>
      <c r="O65" s="4"/>
    </row>
    <row r="66" spans="1:15" ht="15" x14ac:dyDescent="0.2">
      <c r="A66" s="17" t="s">
        <v>61</v>
      </c>
      <c r="B66" s="16">
        <v>36675952.269999996</v>
      </c>
      <c r="C66" s="16">
        <v>0</v>
      </c>
      <c r="D66" s="16">
        <v>1261911.7771641987</v>
      </c>
      <c r="E66" s="16">
        <v>0</v>
      </c>
      <c r="F66" s="16">
        <v>97614.88</v>
      </c>
      <c r="G66" s="16">
        <v>66050.55</v>
      </c>
      <c r="H66" s="16">
        <v>2073040.87</v>
      </c>
      <c r="I66" s="16">
        <v>274211.19</v>
      </c>
      <c r="J66" s="16">
        <v>2366789.0400000005</v>
      </c>
      <c r="K66" s="16">
        <v>0</v>
      </c>
      <c r="L66" s="16">
        <v>0</v>
      </c>
      <c r="M66" s="16">
        <v>195.01</v>
      </c>
      <c r="N66" s="18">
        <f t="shared" si="1"/>
        <v>42815765.587164186</v>
      </c>
      <c r="O66" s="4"/>
    </row>
    <row r="67" spans="1:15" ht="15" x14ac:dyDescent="0.2">
      <c r="A67" s="17" t="s">
        <v>62</v>
      </c>
      <c r="B67" s="16">
        <v>167802197.94999999</v>
      </c>
      <c r="C67" s="16">
        <v>0</v>
      </c>
      <c r="D67" s="16">
        <v>1256544.3500000001</v>
      </c>
      <c r="E67" s="16">
        <v>0</v>
      </c>
      <c r="F67" s="16">
        <v>2622963.16</v>
      </c>
      <c r="G67" s="16">
        <v>1345152.6689889329</v>
      </c>
      <c r="H67" s="16">
        <v>9484711.1799999997</v>
      </c>
      <c r="I67" s="16">
        <v>7368198.1600000001</v>
      </c>
      <c r="J67" s="16">
        <v>15134318.220000004</v>
      </c>
      <c r="K67" s="16">
        <v>0</v>
      </c>
      <c r="L67" s="16">
        <v>0</v>
      </c>
      <c r="M67" s="16">
        <v>5241.6000000000004</v>
      </c>
      <c r="N67" s="18">
        <f t="shared" si="1"/>
        <v>205019327.28898892</v>
      </c>
      <c r="O67" s="4"/>
    </row>
    <row r="68" spans="1:15" ht="15" x14ac:dyDescent="0.2">
      <c r="A68" s="17" t="s">
        <v>63</v>
      </c>
      <c r="B68" s="16">
        <v>103401447.42</v>
      </c>
      <c r="C68" s="16">
        <v>0</v>
      </c>
      <c r="D68" s="16">
        <v>1641256.15</v>
      </c>
      <c r="E68" s="16">
        <v>0</v>
      </c>
      <c r="F68" s="16">
        <v>2313177.06</v>
      </c>
      <c r="G68" s="16">
        <v>1290125.8657623571</v>
      </c>
      <c r="H68" s="16">
        <v>5844576.9900000002</v>
      </c>
      <c r="I68" s="16">
        <v>6497974.2199999997</v>
      </c>
      <c r="J68" s="16">
        <v>13156207.68</v>
      </c>
      <c r="K68" s="16">
        <v>0</v>
      </c>
      <c r="L68" s="16">
        <v>0</v>
      </c>
      <c r="M68" s="16">
        <v>4622.57</v>
      </c>
      <c r="N68" s="18">
        <f t="shared" si="1"/>
        <v>134149387.95576236</v>
      </c>
      <c r="O68" s="4"/>
    </row>
    <row r="69" spans="1:15" ht="15" x14ac:dyDescent="0.2">
      <c r="A69" s="17" t="s">
        <v>64</v>
      </c>
      <c r="B69" s="16">
        <v>324754404.54999995</v>
      </c>
      <c r="C69" s="16">
        <v>0</v>
      </c>
      <c r="D69" s="16">
        <v>1070207.938259298</v>
      </c>
      <c r="E69" s="16">
        <v>0</v>
      </c>
      <c r="F69" s="16">
        <v>6826857.2599999998</v>
      </c>
      <c r="G69" s="16">
        <v>1286394.9011129267</v>
      </c>
      <c r="H69" s="16">
        <v>18356146.510000002</v>
      </c>
      <c r="I69" s="16">
        <v>19177408.920000002</v>
      </c>
      <c r="J69" s="16">
        <v>28796227.740000006</v>
      </c>
      <c r="K69" s="16">
        <v>0</v>
      </c>
      <c r="L69" s="16">
        <v>0</v>
      </c>
      <c r="M69" s="16">
        <v>13642.57</v>
      </c>
      <c r="N69" s="18">
        <f t="shared" si="1"/>
        <v>400281290.38937217</v>
      </c>
      <c r="O69" s="4"/>
    </row>
    <row r="70" spans="1:15" ht="15" x14ac:dyDescent="0.2">
      <c r="A70" s="17" t="s">
        <v>65</v>
      </c>
      <c r="B70" s="16">
        <v>73774262.799999982</v>
      </c>
      <c r="C70" s="16">
        <v>0</v>
      </c>
      <c r="D70" s="16">
        <v>5070752.7546368856</v>
      </c>
      <c r="E70" s="16">
        <v>0</v>
      </c>
      <c r="F70" s="16">
        <v>1516123.26</v>
      </c>
      <c r="G70" s="16">
        <v>625856.07999999996</v>
      </c>
      <c r="H70" s="16">
        <v>4169954.77</v>
      </c>
      <c r="I70" s="16">
        <v>4258960.55</v>
      </c>
      <c r="J70" s="16">
        <v>12632195.519999994</v>
      </c>
      <c r="K70" s="16">
        <v>0</v>
      </c>
      <c r="L70" s="16">
        <v>0</v>
      </c>
      <c r="M70" s="16">
        <v>3029.75</v>
      </c>
      <c r="N70" s="18">
        <f t="shared" si="1"/>
        <v>102051135.48463686</v>
      </c>
      <c r="O70" s="4"/>
    </row>
    <row r="71" spans="1:15" ht="15" x14ac:dyDescent="0.2">
      <c r="A71" s="17" t="s">
        <v>66</v>
      </c>
      <c r="B71" s="16">
        <v>243663407.17999995</v>
      </c>
      <c r="C71" s="16">
        <v>0</v>
      </c>
      <c r="D71" s="16">
        <v>829136.33</v>
      </c>
      <c r="E71" s="16">
        <v>0</v>
      </c>
      <c r="F71" s="16">
        <v>954635.96</v>
      </c>
      <c r="G71" s="16">
        <v>482927.01</v>
      </c>
      <c r="H71" s="16">
        <v>13772626.76</v>
      </c>
      <c r="I71" s="16">
        <v>2681679.67</v>
      </c>
      <c r="J71" s="16">
        <v>10122455.699999999</v>
      </c>
      <c r="K71" s="16">
        <v>0</v>
      </c>
      <c r="L71" s="16">
        <v>0</v>
      </c>
      <c r="M71" s="16">
        <v>1907.69</v>
      </c>
      <c r="N71" s="18">
        <f t="shared" si="1"/>
        <v>272508776.29999995</v>
      </c>
      <c r="O71" s="4"/>
    </row>
    <row r="72" spans="1:15" ht="15" x14ac:dyDescent="0.2">
      <c r="A72" s="17" t="s">
        <v>67</v>
      </c>
      <c r="B72" s="16">
        <v>1304774467.1300001</v>
      </c>
      <c r="C72" s="16">
        <v>0</v>
      </c>
      <c r="D72" s="16">
        <v>7158054.9660158223</v>
      </c>
      <c r="E72" s="16">
        <v>0</v>
      </c>
      <c r="F72" s="16">
        <v>27777218.280000001</v>
      </c>
      <c r="G72" s="16">
        <v>0</v>
      </c>
      <c r="H72" s="16">
        <v>73749981.349999994</v>
      </c>
      <c r="I72" s="16">
        <v>78029324.260000005</v>
      </c>
      <c r="J72" s="16">
        <v>151401191.13</v>
      </c>
      <c r="K72" s="16">
        <v>0</v>
      </c>
      <c r="L72" s="16">
        <v>0</v>
      </c>
      <c r="M72" s="16">
        <v>55509.24</v>
      </c>
      <c r="N72" s="18">
        <f t="shared" ref="N72:N103" si="2">SUM(B72:M72)</f>
        <v>1642945746.3560159</v>
      </c>
      <c r="O72" s="4"/>
    </row>
    <row r="73" spans="1:15" ht="15" x14ac:dyDescent="0.2">
      <c r="A73" s="17" t="s">
        <v>68</v>
      </c>
      <c r="B73" s="16">
        <v>518675374.91999996</v>
      </c>
      <c r="C73" s="16">
        <v>0</v>
      </c>
      <c r="D73" s="16">
        <v>14498948.203918304</v>
      </c>
      <c r="E73" s="16">
        <v>0</v>
      </c>
      <c r="F73" s="16">
        <v>10310068.439999999</v>
      </c>
      <c r="G73" s="16">
        <v>5590000.6179253981</v>
      </c>
      <c r="H73" s="16">
        <v>29317173.350000001</v>
      </c>
      <c r="I73" s="16">
        <v>28962140.390000001</v>
      </c>
      <c r="J73" s="16">
        <v>66223661.070000023</v>
      </c>
      <c r="K73" s="16">
        <v>0</v>
      </c>
      <c r="L73" s="16">
        <v>0</v>
      </c>
      <c r="M73" s="16">
        <v>20603.330000000002</v>
      </c>
      <c r="N73" s="18">
        <f t="shared" si="2"/>
        <v>673597970.32184374</v>
      </c>
      <c r="O73" s="4"/>
    </row>
    <row r="74" spans="1:15" ht="15" x14ac:dyDescent="0.2">
      <c r="A74" s="17" t="s">
        <v>69</v>
      </c>
      <c r="B74" s="16">
        <v>321442974.42000008</v>
      </c>
      <c r="C74" s="16">
        <v>0</v>
      </c>
      <c r="D74" s="16">
        <v>3708342.9700000007</v>
      </c>
      <c r="E74" s="16">
        <v>0</v>
      </c>
      <c r="F74" s="16">
        <v>7485421.6200000001</v>
      </c>
      <c r="G74" s="16">
        <v>9545109.4424849451</v>
      </c>
      <c r="H74" s="16">
        <v>18168974</v>
      </c>
      <c r="I74" s="16">
        <v>21027390.190000001</v>
      </c>
      <c r="J74" s="16">
        <v>36470741.789999984</v>
      </c>
      <c r="K74" s="16">
        <v>0</v>
      </c>
      <c r="L74" s="16">
        <v>0</v>
      </c>
      <c r="M74" s="16">
        <v>14958.63</v>
      </c>
      <c r="N74" s="18">
        <f t="shared" si="2"/>
        <v>417863913.06248504</v>
      </c>
      <c r="O74" s="4"/>
    </row>
    <row r="75" spans="1:15" ht="15" x14ac:dyDescent="0.2">
      <c r="A75" s="17" t="s">
        <v>70</v>
      </c>
      <c r="B75" s="16">
        <v>54184296.279999994</v>
      </c>
      <c r="C75" s="16">
        <v>0</v>
      </c>
      <c r="D75" s="16">
        <v>1705240.5510273892</v>
      </c>
      <c r="E75" s="16">
        <v>0</v>
      </c>
      <c r="F75" s="16">
        <v>136069.23000000001</v>
      </c>
      <c r="G75" s="16">
        <v>70381.740000000005</v>
      </c>
      <c r="H75" s="16">
        <v>3062667.88</v>
      </c>
      <c r="I75" s="16">
        <v>382233.78</v>
      </c>
      <c r="J75" s="16">
        <v>4256257.9500000011</v>
      </c>
      <c r="K75" s="16">
        <v>0</v>
      </c>
      <c r="L75" s="16">
        <v>0</v>
      </c>
      <c r="M75" s="16">
        <v>271.87</v>
      </c>
      <c r="N75" s="18">
        <f t="shared" si="2"/>
        <v>63797419.281027384</v>
      </c>
      <c r="O75" s="4"/>
    </row>
    <row r="76" spans="1:15" ht="15" x14ac:dyDescent="0.2">
      <c r="A76" s="17" t="s">
        <v>71</v>
      </c>
      <c r="B76" s="16">
        <v>48954508.140000001</v>
      </c>
      <c r="C76" s="16">
        <v>0</v>
      </c>
      <c r="D76" s="16">
        <v>2101607.4584163367</v>
      </c>
      <c r="E76" s="16">
        <v>0</v>
      </c>
      <c r="F76" s="16">
        <v>244978.41</v>
      </c>
      <c r="G76" s="16">
        <v>165667.78</v>
      </c>
      <c r="H76" s="16">
        <v>2767063.7</v>
      </c>
      <c r="I76" s="16">
        <v>688171.88</v>
      </c>
      <c r="J76" s="16">
        <v>6142046.4000000013</v>
      </c>
      <c r="K76" s="16">
        <v>0</v>
      </c>
      <c r="L76" s="16">
        <v>0</v>
      </c>
      <c r="M76" s="16">
        <v>489.51</v>
      </c>
      <c r="N76" s="18">
        <f t="shared" si="2"/>
        <v>61064533.278416336</v>
      </c>
      <c r="O76" s="4"/>
    </row>
    <row r="77" spans="1:15" ht="15" x14ac:dyDescent="0.2">
      <c r="A77" s="17" t="s">
        <v>72</v>
      </c>
      <c r="B77" s="16">
        <v>66453979.069999993</v>
      </c>
      <c r="C77" s="16">
        <v>0</v>
      </c>
      <c r="D77" s="16">
        <v>1602687.2991675357</v>
      </c>
      <c r="E77" s="16">
        <v>0</v>
      </c>
      <c r="F77" s="16">
        <v>287735.34000000003</v>
      </c>
      <c r="G77" s="16">
        <v>116941.97</v>
      </c>
      <c r="H77" s="16">
        <v>3756189.17</v>
      </c>
      <c r="I77" s="16">
        <v>808280.91</v>
      </c>
      <c r="J77" s="16">
        <v>3856483.0499999984</v>
      </c>
      <c r="K77" s="16">
        <v>0</v>
      </c>
      <c r="L77" s="16">
        <v>0</v>
      </c>
      <c r="M77" s="16">
        <v>574.94000000000005</v>
      </c>
      <c r="N77" s="18">
        <f t="shared" si="2"/>
        <v>76882871.749167517</v>
      </c>
      <c r="O77" s="4"/>
    </row>
    <row r="78" spans="1:15" ht="15" x14ac:dyDescent="0.2">
      <c r="A78" s="17" t="s">
        <v>73</v>
      </c>
      <c r="B78" s="16">
        <v>25531374.879999999</v>
      </c>
      <c r="C78" s="16">
        <v>0</v>
      </c>
      <c r="D78" s="16">
        <v>566312.50950896076</v>
      </c>
      <c r="E78" s="16">
        <v>0</v>
      </c>
      <c r="F78" s="16">
        <v>102186.38</v>
      </c>
      <c r="G78" s="16">
        <v>38980.660000000003</v>
      </c>
      <c r="H78" s="16">
        <v>1443114.1</v>
      </c>
      <c r="I78" s="16">
        <v>287053.03000000003</v>
      </c>
      <c r="J78" s="16">
        <v>1716342.1800000004</v>
      </c>
      <c r="K78" s="16">
        <v>0</v>
      </c>
      <c r="L78" s="16">
        <v>0</v>
      </c>
      <c r="M78" s="16">
        <v>204.18</v>
      </c>
      <c r="N78" s="18">
        <f t="shared" si="2"/>
        <v>29685567.91950896</v>
      </c>
      <c r="O78" s="4"/>
    </row>
    <row r="79" spans="1:15" ht="15" x14ac:dyDescent="0.2">
      <c r="A79" s="17" t="s">
        <v>74</v>
      </c>
      <c r="B79" s="16">
        <v>106262125.56999999</v>
      </c>
      <c r="C79" s="16">
        <v>0</v>
      </c>
      <c r="D79" s="16">
        <v>4216644.7596309064</v>
      </c>
      <c r="E79" s="16">
        <v>0</v>
      </c>
      <c r="F79" s="16">
        <v>513621.04</v>
      </c>
      <c r="G79" s="16">
        <v>290189.32</v>
      </c>
      <c r="H79" s="16">
        <v>6006271.5700000003</v>
      </c>
      <c r="I79" s="16">
        <v>1442819.2</v>
      </c>
      <c r="J79" s="16">
        <v>9430242.3600000013</v>
      </c>
      <c r="K79" s="16">
        <v>0</v>
      </c>
      <c r="L79" s="16">
        <v>0</v>
      </c>
      <c r="M79" s="16">
        <v>1026.3499999999999</v>
      </c>
      <c r="N79" s="18">
        <f t="shared" si="2"/>
        <v>128162940.16963089</v>
      </c>
      <c r="O79" s="4"/>
    </row>
    <row r="80" spans="1:15" ht="15" x14ac:dyDescent="0.2">
      <c r="A80" s="17" t="s">
        <v>75</v>
      </c>
      <c r="B80" s="16">
        <v>64867473.970000006</v>
      </c>
      <c r="C80" s="16">
        <v>0</v>
      </c>
      <c r="D80" s="16">
        <v>2683749.7351153279</v>
      </c>
      <c r="E80" s="16">
        <v>0</v>
      </c>
      <c r="F80" s="16">
        <v>166187.32999999999</v>
      </c>
      <c r="G80" s="16">
        <v>121273.15</v>
      </c>
      <c r="H80" s="16">
        <v>3666514.88</v>
      </c>
      <c r="I80" s="16">
        <v>466838.88</v>
      </c>
      <c r="J80" s="16">
        <v>6246819.5999999987</v>
      </c>
      <c r="K80" s="16">
        <v>0</v>
      </c>
      <c r="L80" s="16">
        <v>0</v>
      </c>
      <c r="M80" s="16">
        <v>332.06999999999994</v>
      </c>
      <c r="N80" s="18">
        <f t="shared" si="2"/>
        <v>78219189.615115315</v>
      </c>
      <c r="O80" s="4"/>
    </row>
    <row r="81" spans="1:15" ht="15" x14ac:dyDescent="0.2">
      <c r="A81" s="17" t="s">
        <v>76</v>
      </c>
      <c r="B81" s="16">
        <v>31392925.689999998</v>
      </c>
      <c r="C81" s="16">
        <v>0</v>
      </c>
      <c r="D81" s="16">
        <v>2085399.3104630518</v>
      </c>
      <c r="E81" s="16">
        <v>0</v>
      </c>
      <c r="F81" s="16">
        <v>431603.02</v>
      </c>
      <c r="G81" s="16">
        <v>250125.87</v>
      </c>
      <c r="H81" s="16">
        <v>1774427.5</v>
      </c>
      <c r="I81" s="16">
        <v>1212421.3700000001</v>
      </c>
      <c r="J81" s="16">
        <v>7132905.3600000013</v>
      </c>
      <c r="K81" s="16">
        <v>0</v>
      </c>
      <c r="L81" s="16">
        <v>0</v>
      </c>
      <c r="M81" s="16">
        <v>862.44999999999993</v>
      </c>
      <c r="N81" s="18">
        <f t="shared" si="2"/>
        <v>44280670.570463046</v>
      </c>
      <c r="O81" s="4"/>
    </row>
    <row r="82" spans="1:15" ht="15" x14ac:dyDescent="0.2">
      <c r="A82" s="17" t="s">
        <v>77</v>
      </c>
      <c r="B82" s="16">
        <v>438095466.39999998</v>
      </c>
      <c r="C82" s="16">
        <v>0</v>
      </c>
      <c r="D82" s="16">
        <v>4966918.1199999992</v>
      </c>
      <c r="E82" s="16">
        <v>0</v>
      </c>
      <c r="F82" s="16">
        <v>12439041.1</v>
      </c>
      <c r="G82" s="16">
        <v>10311916.030795123</v>
      </c>
      <c r="H82" s="16">
        <v>24762541.949999999</v>
      </c>
      <c r="I82" s="16">
        <v>34942663.75</v>
      </c>
      <c r="J82" s="16">
        <v>58961409.570000023</v>
      </c>
      <c r="K82" s="16">
        <v>0</v>
      </c>
      <c r="L82" s="16">
        <v>0</v>
      </c>
      <c r="M82" s="16">
        <v>24857.81</v>
      </c>
      <c r="N82" s="18">
        <f t="shared" si="2"/>
        <v>584504814.73079503</v>
      </c>
      <c r="O82" s="4"/>
    </row>
    <row r="83" spans="1:15" ht="15" x14ac:dyDescent="0.2">
      <c r="A83" s="17" t="s">
        <v>78</v>
      </c>
      <c r="B83" s="16">
        <v>136316992.20999998</v>
      </c>
      <c r="C83" s="16">
        <v>0</v>
      </c>
      <c r="D83" s="16">
        <v>2633018.9535214459</v>
      </c>
      <c r="E83" s="16">
        <v>0</v>
      </c>
      <c r="F83" s="16">
        <v>1377364.9</v>
      </c>
      <c r="G83" s="16">
        <v>736301.27</v>
      </c>
      <c r="H83" s="16">
        <v>7705067.7300000004</v>
      </c>
      <c r="I83" s="16">
        <v>3869172.75</v>
      </c>
      <c r="J83" s="16">
        <v>12873657.089999996</v>
      </c>
      <c r="K83" s="16">
        <v>0</v>
      </c>
      <c r="L83" s="16">
        <v>0</v>
      </c>
      <c r="M83" s="16">
        <v>2752.44</v>
      </c>
      <c r="N83" s="18">
        <f t="shared" si="2"/>
        <v>165514327.34352145</v>
      </c>
      <c r="O83" s="4"/>
    </row>
    <row r="84" spans="1:15" ht="15" x14ac:dyDescent="0.2">
      <c r="A84" s="17" t="s">
        <v>79</v>
      </c>
      <c r="B84" s="16">
        <v>50668785.469999999</v>
      </c>
      <c r="C84" s="16">
        <v>0</v>
      </c>
      <c r="D84" s="16">
        <v>1299532.7697340287</v>
      </c>
      <c r="E84" s="16">
        <v>0</v>
      </c>
      <c r="F84" s="16">
        <v>276441.06</v>
      </c>
      <c r="G84" s="16">
        <v>63921.305945404252</v>
      </c>
      <c r="H84" s="16">
        <v>2863960.08</v>
      </c>
      <c r="I84" s="16">
        <v>776554</v>
      </c>
      <c r="J84" s="16">
        <v>5213297.25</v>
      </c>
      <c r="K84" s="16">
        <v>0</v>
      </c>
      <c r="L84" s="16">
        <v>0</v>
      </c>
      <c r="M84" s="16">
        <v>552.39</v>
      </c>
      <c r="N84" s="18">
        <f t="shared" si="2"/>
        <v>61163044.325679429</v>
      </c>
      <c r="O84" s="4"/>
    </row>
    <row r="85" spans="1:15" ht="15" x14ac:dyDescent="0.2">
      <c r="A85" s="17" t="s">
        <v>80</v>
      </c>
      <c r="B85" s="16">
        <v>49763732.220000006</v>
      </c>
      <c r="C85" s="16">
        <v>0</v>
      </c>
      <c r="D85" s="16">
        <v>1495994.7842471323</v>
      </c>
      <c r="E85" s="16">
        <v>0</v>
      </c>
      <c r="F85" s="16">
        <v>130691</v>
      </c>
      <c r="G85" s="16">
        <v>70381.740000000005</v>
      </c>
      <c r="H85" s="16">
        <v>2812803.61</v>
      </c>
      <c r="I85" s="16">
        <v>367125.72</v>
      </c>
      <c r="J85" s="16">
        <v>3051183.6599999997</v>
      </c>
      <c r="K85" s="16">
        <v>0</v>
      </c>
      <c r="L85" s="16">
        <v>0</v>
      </c>
      <c r="M85" s="16">
        <v>261.10999999999996</v>
      </c>
      <c r="N85" s="18">
        <f t="shared" si="2"/>
        <v>57692173.844247133</v>
      </c>
      <c r="O85" s="4"/>
    </row>
    <row r="86" spans="1:15" ht="15" x14ac:dyDescent="0.2">
      <c r="A86" s="17" t="s">
        <v>81</v>
      </c>
      <c r="B86" s="16">
        <v>594712270.95999992</v>
      </c>
      <c r="C86" s="16">
        <v>0</v>
      </c>
      <c r="D86" s="16">
        <v>2048534.3000000003</v>
      </c>
      <c r="E86" s="16">
        <v>0</v>
      </c>
      <c r="F86" s="16">
        <v>7804619.6200000001</v>
      </c>
      <c r="G86" s="16">
        <v>2043892.0994174238</v>
      </c>
      <c r="H86" s="16">
        <v>33615019.299999997</v>
      </c>
      <c r="I86" s="16">
        <v>21924053.219999999</v>
      </c>
      <c r="J86" s="16">
        <v>26334919.380000006</v>
      </c>
      <c r="K86" s="16">
        <v>0</v>
      </c>
      <c r="L86" s="16">
        <v>0</v>
      </c>
      <c r="M86" s="16">
        <v>15596.520000000002</v>
      </c>
      <c r="N86" s="18">
        <f t="shared" si="2"/>
        <v>688498905.39941728</v>
      </c>
      <c r="O86" s="4"/>
    </row>
    <row r="87" spans="1:15" ht="15" x14ac:dyDescent="0.2">
      <c r="A87" s="17" t="s">
        <v>82</v>
      </c>
      <c r="B87" s="16">
        <v>76631391.719999999</v>
      </c>
      <c r="C87" s="16">
        <v>0</v>
      </c>
      <c r="D87" s="16">
        <v>1560224.5404655263</v>
      </c>
      <c r="E87" s="16">
        <v>0</v>
      </c>
      <c r="F87" s="16">
        <v>221583.1</v>
      </c>
      <c r="G87" s="16">
        <v>147260.25</v>
      </c>
      <c r="H87" s="16">
        <v>4331448.74</v>
      </c>
      <c r="I87" s="16">
        <v>622451.84</v>
      </c>
      <c r="J87" s="16">
        <v>5788780.4100000001</v>
      </c>
      <c r="K87" s="16">
        <v>0</v>
      </c>
      <c r="L87" s="16">
        <v>0</v>
      </c>
      <c r="M87" s="16">
        <v>442.75999999999993</v>
      </c>
      <c r="N87" s="18">
        <f t="shared" si="2"/>
        <v>89303583.360465527</v>
      </c>
      <c r="O87" s="4"/>
    </row>
    <row r="88" spans="1:15" ht="15" x14ac:dyDescent="0.2">
      <c r="A88" s="17" t="s">
        <v>83</v>
      </c>
      <c r="B88" s="16">
        <v>74358110.850000024</v>
      </c>
      <c r="C88" s="16">
        <v>0</v>
      </c>
      <c r="D88" s="16">
        <v>724477.0164763988</v>
      </c>
      <c r="E88" s="16">
        <v>0</v>
      </c>
      <c r="F88" s="16">
        <v>1087478.26</v>
      </c>
      <c r="G88" s="16">
        <v>375730.2</v>
      </c>
      <c r="H88" s="16">
        <v>4202955.71</v>
      </c>
      <c r="I88" s="16">
        <v>3054848.61</v>
      </c>
      <c r="J88" s="16">
        <v>8574277.7400000039</v>
      </c>
      <c r="K88" s="16">
        <v>0</v>
      </c>
      <c r="L88" s="16">
        <v>0</v>
      </c>
      <c r="M88" s="16">
        <v>2173.12</v>
      </c>
      <c r="N88" s="18">
        <f t="shared" si="2"/>
        <v>92380051.506476432</v>
      </c>
      <c r="O88" s="4"/>
    </row>
    <row r="89" spans="1:15" ht="15" x14ac:dyDescent="0.2">
      <c r="A89" s="17" t="s">
        <v>84</v>
      </c>
      <c r="B89" s="16">
        <v>113992345.16</v>
      </c>
      <c r="C89" s="16">
        <v>0</v>
      </c>
      <c r="D89" s="16">
        <v>1852812.8362609106</v>
      </c>
      <c r="E89" s="16">
        <v>0</v>
      </c>
      <c r="F89" s="16">
        <v>914568.14</v>
      </c>
      <c r="G89" s="16">
        <v>438532.37</v>
      </c>
      <c r="H89" s="16">
        <v>6443208.04</v>
      </c>
      <c r="I89" s="16">
        <v>2569124.66</v>
      </c>
      <c r="J89" s="16">
        <v>9241057.5600000024</v>
      </c>
      <c r="K89" s="16">
        <v>0</v>
      </c>
      <c r="L89" s="16">
        <v>0</v>
      </c>
      <c r="M89" s="16">
        <v>1827.61</v>
      </c>
      <c r="N89" s="18">
        <f t="shared" si="2"/>
        <v>135453476.37626094</v>
      </c>
      <c r="O89" s="4"/>
    </row>
    <row r="90" spans="1:15" ht="15" x14ac:dyDescent="0.2">
      <c r="A90" s="17" t="s">
        <v>85</v>
      </c>
      <c r="B90" s="16">
        <v>613422028.77999997</v>
      </c>
      <c r="C90" s="16">
        <v>0</v>
      </c>
      <c r="D90" s="16">
        <v>2068092.9711659232</v>
      </c>
      <c r="E90" s="16">
        <v>0</v>
      </c>
      <c r="F90" s="16">
        <v>12405964.98</v>
      </c>
      <c r="G90" s="16">
        <v>3640267.9416133538</v>
      </c>
      <c r="H90" s="16">
        <v>34672554.009999998</v>
      </c>
      <c r="I90" s="16">
        <v>34849749.219999999</v>
      </c>
      <c r="J90" s="16">
        <v>54673840.410000011</v>
      </c>
      <c r="K90" s="16">
        <v>0</v>
      </c>
      <c r="L90" s="16">
        <v>0</v>
      </c>
      <c r="M90" s="16">
        <v>24791.719999999998</v>
      </c>
      <c r="N90" s="18">
        <f t="shared" si="2"/>
        <v>755757290.03277922</v>
      </c>
      <c r="O90" s="4"/>
    </row>
    <row r="91" spans="1:15" ht="15" x14ac:dyDescent="0.2">
      <c r="A91" s="17" t="s">
        <v>86</v>
      </c>
      <c r="B91" s="16">
        <v>22331745.420000002</v>
      </c>
      <c r="C91" s="16">
        <v>0</v>
      </c>
      <c r="D91" s="16">
        <v>1224322.4328232044</v>
      </c>
      <c r="E91" s="16">
        <v>0</v>
      </c>
      <c r="F91" s="16">
        <v>288004.25</v>
      </c>
      <c r="G91" s="16">
        <v>146177.46</v>
      </c>
      <c r="H91" s="16">
        <v>1262260.92</v>
      </c>
      <c r="I91" s="16">
        <v>809036.32</v>
      </c>
      <c r="J91" s="16">
        <v>3929157.75</v>
      </c>
      <c r="K91" s="16">
        <v>0</v>
      </c>
      <c r="L91" s="16">
        <v>0</v>
      </c>
      <c r="M91" s="16">
        <v>575.49</v>
      </c>
      <c r="N91" s="18">
        <f t="shared" si="2"/>
        <v>29991280.042823207</v>
      </c>
      <c r="O91" s="4"/>
    </row>
    <row r="92" spans="1:15" ht="15" x14ac:dyDescent="0.2">
      <c r="A92" s="17" t="s">
        <v>87</v>
      </c>
      <c r="B92" s="16">
        <v>33557955.07</v>
      </c>
      <c r="C92" s="16">
        <v>0</v>
      </c>
      <c r="D92" s="16">
        <v>112833.3</v>
      </c>
      <c r="E92" s="16">
        <v>0</v>
      </c>
      <c r="F92" s="16">
        <v>61580.74</v>
      </c>
      <c r="G92" s="16">
        <v>45477.43</v>
      </c>
      <c r="H92" s="16">
        <v>1896801.81</v>
      </c>
      <c r="I92" s="16">
        <v>172987.22</v>
      </c>
      <c r="J92" s="16">
        <v>1700064.2399999993</v>
      </c>
      <c r="K92" s="16">
        <v>0</v>
      </c>
      <c r="L92" s="16">
        <v>0</v>
      </c>
      <c r="M92" s="16">
        <v>123.03</v>
      </c>
      <c r="N92" s="18">
        <f t="shared" si="2"/>
        <v>37547822.840000004</v>
      </c>
      <c r="O92" s="4"/>
    </row>
    <row r="93" spans="1:15" ht="15" x14ac:dyDescent="0.2">
      <c r="A93" s="17" t="s">
        <v>88</v>
      </c>
      <c r="B93" s="16">
        <v>322064089.38</v>
      </c>
      <c r="C93" s="16">
        <v>0</v>
      </c>
      <c r="D93" s="16">
        <v>2115708.5088057704</v>
      </c>
      <c r="E93" s="16">
        <v>0</v>
      </c>
      <c r="F93" s="16">
        <v>10054602.48</v>
      </c>
      <c r="G93" s="16">
        <v>1959963.7038412758</v>
      </c>
      <c r="H93" s="16">
        <v>18204081.390000001</v>
      </c>
      <c r="I93" s="16">
        <v>28244507.809999999</v>
      </c>
      <c r="J93" s="16">
        <v>51994434.660000011</v>
      </c>
      <c r="K93" s="16">
        <v>0</v>
      </c>
      <c r="L93" s="16">
        <v>0</v>
      </c>
      <c r="M93" s="16">
        <v>20092.82</v>
      </c>
      <c r="N93" s="18">
        <f t="shared" si="2"/>
        <v>434657480.75264704</v>
      </c>
      <c r="O93" s="4"/>
    </row>
    <row r="94" spans="1:15" ht="15" x14ac:dyDescent="0.2">
      <c r="A94" s="17" t="s">
        <v>89</v>
      </c>
      <c r="B94" s="16">
        <v>224029075.31999999</v>
      </c>
      <c r="C94" s="16">
        <v>0</v>
      </c>
      <c r="D94" s="16">
        <v>4147198.1900000004</v>
      </c>
      <c r="E94" s="16">
        <v>0</v>
      </c>
      <c r="F94" s="16">
        <v>4546487.4000000004</v>
      </c>
      <c r="G94" s="16">
        <v>2461746.5198494513</v>
      </c>
      <c r="H94" s="16">
        <v>12662832.199999999</v>
      </c>
      <c r="I94" s="16">
        <v>12771593.84</v>
      </c>
      <c r="J94" s="16">
        <v>27782553.960000012</v>
      </c>
      <c r="K94" s="16">
        <v>0</v>
      </c>
      <c r="L94" s="16">
        <v>0</v>
      </c>
      <c r="M94" s="16">
        <v>9085.5299999999988</v>
      </c>
      <c r="N94" s="18">
        <f t="shared" si="2"/>
        <v>288410572.95984942</v>
      </c>
      <c r="O94" s="4"/>
    </row>
    <row r="95" spans="1:15" ht="15" x14ac:dyDescent="0.2">
      <c r="A95" s="17" t="s">
        <v>90</v>
      </c>
      <c r="B95" s="16">
        <v>39116046.819999993</v>
      </c>
      <c r="C95" s="16">
        <v>0</v>
      </c>
      <c r="D95" s="16">
        <v>1485131.8944497046</v>
      </c>
      <c r="E95" s="16">
        <v>0</v>
      </c>
      <c r="F95" s="16">
        <v>222927.66</v>
      </c>
      <c r="G95" s="16">
        <v>118024.76</v>
      </c>
      <c r="H95" s="16">
        <v>2210962.7400000002</v>
      </c>
      <c r="I95" s="16">
        <v>626228.86</v>
      </c>
      <c r="J95" s="16">
        <v>4092598.0200000014</v>
      </c>
      <c r="K95" s="16">
        <v>0</v>
      </c>
      <c r="L95" s="16">
        <v>0</v>
      </c>
      <c r="M95" s="16">
        <v>445.44</v>
      </c>
      <c r="N95" s="18">
        <f t="shared" si="2"/>
        <v>47872366.194449693</v>
      </c>
      <c r="O95" s="4"/>
    </row>
    <row r="96" spans="1:15" ht="15" x14ac:dyDescent="0.2">
      <c r="A96" s="17" t="s">
        <v>91</v>
      </c>
      <c r="B96" s="16">
        <v>140608009.42000002</v>
      </c>
      <c r="C96" s="16">
        <v>0</v>
      </c>
      <c r="D96" s="16">
        <v>4060834.4407764892</v>
      </c>
      <c r="E96" s="16">
        <v>0</v>
      </c>
      <c r="F96" s="16">
        <v>1249363.01</v>
      </c>
      <c r="G96" s="16">
        <v>644263.61</v>
      </c>
      <c r="H96" s="16">
        <v>7947609.5999999996</v>
      </c>
      <c r="I96" s="16">
        <v>3509601.05</v>
      </c>
      <c r="J96" s="16">
        <v>14663205.269999994</v>
      </c>
      <c r="K96" s="16">
        <v>0</v>
      </c>
      <c r="L96" s="16">
        <v>0</v>
      </c>
      <c r="M96" s="16">
        <v>2496.6400000000003</v>
      </c>
      <c r="N96" s="18">
        <f t="shared" si="2"/>
        <v>172685383.04077649</v>
      </c>
      <c r="O96" s="4"/>
    </row>
    <row r="97" spans="1:15" ht="15" x14ac:dyDescent="0.2">
      <c r="A97" s="17" t="s">
        <v>92</v>
      </c>
      <c r="B97" s="16">
        <v>65852384.849999994</v>
      </c>
      <c r="C97" s="16">
        <v>0</v>
      </c>
      <c r="D97" s="16">
        <v>4472787.1945938263</v>
      </c>
      <c r="E97" s="16">
        <v>0</v>
      </c>
      <c r="F97" s="16">
        <v>576815.25</v>
      </c>
      <c r="G97" s="16">
        <v>330252.77</v>
      </c>
      <c r="H97" s="16">
        <v>3722185.16</v>
      </c>
      <c r="I97" s="16">
        <v>1620338.84</v>
      </c>
      <c r="J97" s="16">
        <v>9790942.5600000005</v>
      </c>
      <c r="K97" s="16">
        <v>0</v>
      </c>
      <c r="L97" s="16">
        <v>0</v>
      </c>
      <c r="M97" s="16">
        <v>1152.6300000000001</v>
      </c>
      <c r="N97" s="18">
        <f t="shared" si="2"/>
        <v>86366859.254593819</v>
      </c>
      <c r="O97" s="4"/>
    </row>
    <row r="98" spans="1:15" ht="15" x14ac:dyDescent="0.2">
      <c r="A98" s="17" t="s">
        <v>93</v>
      </c>
      <c r="B98" s="16">
        <v>183301678.66000003</v>
      </c>
      <c r="C98" s="16">
        <v>0</v>
      </c>
      <c r="D98" s="16">
        <v>5145384.6496179905</v>
      </c>
      <c r="E98" s="16">
        <v>0</v>
      </c>
      <c r="F98" s="16">
        <v>1341330.76</v>
      </c>
      <c r="G98" s="16">
        <v>774199.13</v>
      </c>
      <c r="H98" s="16">
        <v>10360790.869999999</v>
      </c>
      <c r="I98" s="16">
        <v>3767948.78</v>
      </c>
      <c r="J98" s="16">
        <v>18888610.019999996</v>
      </c>
      <c r="K98" s="16">
        <v>0</v>
      </c>
      <c r="L98" s="16">
        <v>0</v>
      </c>
      <c r="M98" s="16">
        <v>2680.4500000000003</v>
      </c>
      <c r="N98" s="18">
        <f t="shared" si="2"/>
        <v>223582623.31961799</v>
      </c>
      <c r="O98" s="4"/>
    </row>
    <row r="99" spans="1:15" ht="15" x14ac:dyDescent="0.2">
      <c r="A99" s="17" t="s">
        <v>94</v>
      </c>
      <c r="B99" s="16">
        <v>125436832.35000001</v>
      </c>
      <c r="C99" s="16">
        <v>0</v>
      </c>
      <c r="D99" s="16">
        <v>3424104.9517019377</v>
      </c>
      <c r="E99" s="16">
        <v>0</v>
      </c>
      <c r="F99" s="16">
        <v>497217.43</v>
      </c>
      <c r="G99" s="16">
        <v>208979.62</v>
      </c>
      <c r="H99" s="16">
        <v>7090086.6699999999</v>
      </c>
      <c r="I99" s="16">
        <v>1396739.63</v>
      </c>
      <c r="J99" s="16">
        <v>12336900.870000001</v>
      </c>
      <c r="K99" s="16">
        <v>0</v>
      </c>
      <c r="L99" s="16">
        <v>0</v>
      </c>
      <c r="M99" s="16">
        <v>993.57999999999993</v>
      </c>
      <c r="N99" s="18">
        <f t="shared" si="2"/>
        <v>150391855.10170197</v>
      </c>
      <c r="O99" s="4"/>
    </row>
    <row r="100" spans="1:15" ht="15" x14ac:dyDescent="0.2">
      <c r="A100" s="17" t="s">
        <v>95</v>
      </c>
      <c r="B100" s="16">
        <v>119204387.17</v>
      </c>
      <c r="C100" s="16">
        <v>0</v>
      </c>
      <c r="D100" s="16">
        <v>3253520.2018894544</v>
      </c>
      <c r="E100" s="16">
        <v>0</v>
      </c>
      <c r="F100" s="16">
        <v>558260.35</v>
      </c>
      <c r="G100" s="16">
        <v>276112.96999999997</v>
      </c>
      <c r="H100" s="16">
        <v>6737809.1500000004</v>
      </c>
      <c r="I100" s="16">
        <v>1568216.05</v>
      </c>
      <c r="J100" s="16">
        <v>9884802.6899999995</v>
      </c>
      <c r="K100" s="16">
        <v>0</v>
      </c>
      <c r="L100" s="16">
        <v>0</v>
      </c>
      <c r="M100" s="16">
        <v>1115.56</v>
      </c>
      <c r="N100" s="18">
        <f t="shared" si="2"/>
        <v>141484224.14188945</v>
      </c>
      <c r="O100" s="4"/>
    </row>
    <row r="101" spans="1:15" ht="15" x14ac:dyDescent="0.2">
      <c r="A101" s="17" t="s">
        <v>96</v>
      </c>
      <c r="B101" s="16">
        <v>24092162.760000002</v>
      </c>
      <c r="C101" s="16">
        <v>0</v>
      </c>
      <c r="D101" s="16">
        <v>925434.67803454958</v>
      </c>
      <c r="E101" s="16">
        <v>0</v>
      </c>
      <c r="F101" s="16">
        <v>66690.06</v>
      </c>
      <c r="G101" s="16">
        <v>41146.25</v>
      </c>
      <c r="H101" s="16">
        <v>1361765.27</v>
      </c>
      <c r="I101" s="16">
        <v>187339.88</v>
      </c>
      <c r="J101" s="16">
        <v>2082096.2399999993</v>
      </c>
      <c r="K101" s="16">
        <v>0</v>
      </c>
      <c r="L101" s="16">
        <v>0</v>
      </c>
      <c r="M101" s="16">
        <v>133.22999999999999</v>
      </c>
      <c r="N101" s="18">
        <f t="shared" si="2"/>
        <v>28756768.368034545</v>
      </c>
      <c r="O101" s="4"/>
    </row>
    <row r="102" spans="1:15" ht="15" x14ac:dyDescent="0.2">
      <c r="A102" s="17" t="s">
        <v>97</v>
      </c>
      <c r="B102" s="16">
        <v>79602095.930000007</v>
      </c>
      <c r="C102" s="16">
        <v>0</v>
      </c>
      <c r="D102" s="16">
        <v>5170983.7730658185</v>
      </c>
      <c r="E102" s="16">
        <v>0</v>
      </c>
      <c r="F102" s="16">
        <v>1291313.21</v>
      </c>
      <c r="G102" s="16">
        <v>724390.51</v>
      </c>
      <c r="H102" s="16">
        <v>4499362.34</v>
      </c>
      <c r="I102" s="16">
        <v>3627443.88</v>
      </c>
      <c r="J102" s="16">
        <v>14011128.809999997</v>
      </c>
      <c r="K102" s="16">
        <v>0</v>
      </c>
      <c r="L102" s="16">
        <v>0</v>
      </c>
      <c r="M102" s="16">
        <v>2580.4699999999998</v>
      </c>
      <c r="N102" s="18">
        <f t="shared" si="2"/>
        <v>108929298.92306583</v>
      </c>
      <c r="O102" s="4"/>
    </row>
    <row r="103" spans="1:15" ht="15" x14ac:dyDescent="0.2">
      <c r="A103" s="17" t="s">
        <v>98</v>
      </c>
      <c r="B103" s="16">
        <v>27588152.779999997</v>
      </c>
      <c r="C103" s="16">
        <v>0</v>
      </c>
      <c r="D103" s="16">
        <v>1467866.9769995136</v>
      </c>
      <c r="E103" s="16">
        <v>0</v>
      </c>
      <c r="F103" s="16">
        <v>32000.47</v>
      </c>
      <c r="G103" s="16">
        <v>24904.31</v>
      </c>
      <c r="H103" s="16">
        <v>1559369.69</v>
      </c>
      <c r="I103" s="16">
        <v>89892.92</v>
      </c>
      <c r="J103" s="16">
        <v>2928649.290000001</v>
      </c>
      <c r="K103" s="16">
        <v>0</v>
      </c>
      <c r="L103" s="16">
        <v>0</v>
      </c>
      <c r="M103" s="16">
        <v>63.910000000000004</v>
      </c>
      <c r="N103" s="18">
        <f t="shared" si="2"/>
        <v>33690900.346999511</v>
      </c>
      <c r="O103" s="4"/>
    </row>
    <row r="104" spans="1:15" ht="15" x14ac:dyDescent="0.2">
      <c r="A104" s="17" t="s">
        <v>99</v>
      </c>
      <c r="B104" s="16">
        <v>368188087.89999998</v>
      </c>
      <c r="C104" s="16">
        <v>0</v>
      </c>
      <c r="D104" s="16">
        <v>3727144.7529549524</v>
      </c>
      <c r="E104" s="16">
        <v>0</v>
      </c>
      <c r="F104" s="16">
        <v>6557945.7199999997</v>
      </c>
      <c r="G104" s="16">
        <v>1406431.4093798539</v>
      </c>
      <c r="H104" s="16">
        <v>20811155.73</v>
      </c>
      <c r="I104" s="16">
        <v>18422006.199999999</v>
      </c>
      <c r="J104" s="16">
        <v>32697919.800000012</v>
      </c>
      <c r="K104" s="16">
        <v>0</v>
      </c>
      <c r="L104" s="16">
        <v>0</v>
      </c>
      <c r="M104" s="16">
        <v>13105.19</v>
      </c>
      <c r="N104" s="18">
        <f t="shared" ref="N104:N135" si="3">SUM(B104:M104)</f>
        <v>451823796.70233482</v>
      </c>
      <c r="O104" s="4"/>
    </row>
    <row r="105" spans="1:15" ht="15" x14ac:dyDescent="0.2">
      <c r="A105" s="17" t="s">
        <v>100</v>
      </c>
      <c r="B105" s="16">
        <v>62154088.799999997</v>
      </c>
      <c r="C105" s="16">
        <v>0</v>
      </c>
      <c r="D105" s="16">
        <v>890897.16</v>
      </c>
      <c r="E105" s="16">
        <v>0</v>
      </c>
      <c r="F105" s="16">
        <v>282626.02</v>
      </c>
      <c r="G105" s="16">
        <v>178661.34</v>
      </c>
      <c r="H105" s="16">
        <v>3513145.77</v>
      </c>
      <c r="I105" s="16">
        <v>793928.26</v>
      </c>
      <c r="J105" s="16">
        <v>4217842.4400000013</v>
      </c>
      <c r="K105" s="16">
        <v>0</v>
      </c>
      <c r="L105" s="16">
        <v>0</v>
      </c>
      <c r="M105" s="16">
        <v>564.7399999999999</v>
      </c>
      <c r="N105" s="18">
        <f t="shared" si="3"/>
        <v>72031754.530000001</v>
      </c>
      <c r="O105" s="4"/>
    </row>
    <row r="106" spans="1:15" ht="15" x14ac:dyDescent="0.2">
      <c r="A106" s="17" t="s">
        <v>101</v>
      </c>
      <c r="B106" s="16">
        <v>71007639.189999998</v>
      </c>
      <c r="C106" s="16">
        <v>0</v>
      </c>
      <c r="D106" s="16">
        <v>395957.74000000005</v>
      </c>
      <c r="E106" s="16">
        <v>0</v>
      </c>
      <c r="F106" s="16">
        <v>2002584.23</v>
      </c>
      <c r="G106" s="16">
        <v>597070.61444386549</v>
      </c>
      <c r="H106" s="16">
        <v>4013576.45</v>
      </c>
      <c r="I106" s="16">
        <v>5625484.0800000001</v>
      </c>
      <c r="J106" s="16">
        <v>11249929.739999993</v>
      </c>
      <c r="K106" s="16">
        <v>0</v>
      </c>
      <c r="L106" s="16">
        <v>0</v>
      </c>
      <c r="M106" s="16">
        <v>4001.85</v>
      </c>
      <c r="N106" s="18">
        <f t="shared" si="3"/>
        <v>94896243.894443855</v>
      </c>
      <c r="O106" s="4"/>
    </row>
    <row r="107" spans="1:15" ht="15" x14ac:dyDescent="0.2">
      <c r="A107" s="17" t="s">
        <v>102</v>
      </c>
      <c r="B107" s="16">
        <v>97018160.029999986</v>
      </c>
      <c r="C107" s="16">
        <v>0</v>
      </c>
      <c r="D107" s="16">
        <v>2268907.7216847269</v>
      </c>
      <c r="E107" s="16">
        <v>0</v>
      </c>
      <c r="F107" s="16">
        <v>111329.37</v>
      </c>
      <c r="G107" s="16">
        <v>109362.39</v>
      </c>
      <c r="H107" s="16">
        <v>5483773.3899999997</v>
      </c>
      <c r="I107" s="16">
        <v>312736.73</v>
      </c>
      <c r="J107" s="16">
        <v>5484971.3099999996</v>
      </c>
      <c r="K107" s="16">
        <v>0</v>
      </c>
      <c r="L107" s="16">
        <v>0</v>
      </c>
      <c r="M107" s="16">
        <v>222.41</v>
      </c>
      <c r="N107" s="18">
        <f t="shared" si="3"/>
        <v>110789463.35168472</v>
      </c>
      <c r="O107" s="4"/>
    </row>
    <row r="108" spans="1:15" ht="15" x14ac:dyDescent="0.2">
      <c r="A108" s="17" t="s">
        <v>103</v>
      </c>
      <c r="B108" s="16">
        <v>33714121.079999998</v>
      </c>
      <c r="C108" s="16">
        <v>0</v>
      </c>
      <c r="D108" s="16">
        <v>986043.93606662459</v>
      </c>
      <c r="E108" s="16">
        <v>0</v>
      </c>
      <c r="F108" s="16">
        <v>112942.84</v>
      </c>
      <c r="G108" s="16">
        <v>68216.149999999994</v>
      </c>
      <c r="H108" s="16">
        <v>1905628.81</v>
      </c>
      <c r="I108" s="16">
        <v>317269.14</v>
      </c>
      <c r="J108" s="16">
        <v>2783702.67</v>
      </c>
      <c r="K108" s="16">
        <v>0</v>
      </c>
      <c r="L108" s="16">
        <v>0</v>
      </c>
      <c r="M108" s="16">
        <v>225.65000000000003</v>
      </c>
      <c r="N108" s="18">
        <f t="shared" si="3"/>
        <v>39888150.276066631</v>
      </c>
      <c r="O108" s="4"/>
    </row>
    <row r="109" spans="1:15" ht="15" x14ac:dyDescent="0.2">
      <c r="A109" s="17" t="s">
        <v>104</v>
      </c>
      <c r="B109" s="16">
        <v>370752405.5</v>
      </c>
      <c r="C109" s="16">
        <v>0</v>
      </c>
      <c r="D109" s="16">
        <v>4923239.1104981434</v>
      </c>
      <c r="E109" s="16">
        <v>0</v>
      </c>
      <c r="F109" s="16">
        <v>11531464.65</v>
      </c>
      <c r="G109" s="16">
        <v>6121637.6182067515</v>
      </c>
      <c r="H109" s="16">
        <v>20956099.07</v>
      </c>
      <c r="I109" s="16">
        <v>32393179.559999999</v>
      </c>
      <c r="J109" s="16">
        <v>51794812.859999985</v>
      </c>
      <c r="K109" s="16">
        <v>0</v>
      </c>
      <c r="L109" s="16">
        <v>0</v>
      </c>
      <c r="M109" s="16">
        <v>23044.14</v>
      </c>
      <c r="N109" s="18">
        <f t="shared" si="3"/>
        <v>498495882.50870478</v>
      </c>
      <c r="O109" s="4"/>
    </row>
    <row r="110" spans="1:15" ht="15" x14ac:dyDescent="0.2">
      <c r="A110" s="17" t="s">
        <v>105</v>
      </c>
      <c r="B110" s="16">
        <v>43257996.460000001</v>
      </c>
      <c r="C110" s="16">
        <v>0</v>
      </c>
      <c r="D110" s="16">
        <v>1769053.9104430308</v>
      </c>
      <c r="E110" s="16">
        <v>0</v>
      </c>
      <c r="F110" s="16">
        <v>440746.01</v>
      </c>
      <c r="G110" s="16">
        <v>228469.95</v>
      </c>
      <c r="H110" s="16">
        <v>2445078.84</v>
      </c>
      <c r="I110" s="16">
        <v>1238105.06</v>
      </c>
      <c r="J110" s="16">
        <v>6104051.9399999995</v>
      </c>
      <c r="K110" s="16">
        <v>0</v>
      </c>
      <c r="L110" s="16">
        <v>0</v>
      </c>
      <c r="M110" s="16">
        <v>880.7299999999999</v>
      </c>
      <c r="N110" s="18">
        <f t="shared" si="3"/>
        <v>55484382.900443025</v>
      </c>
      <c r="O110" s="4"/>
    </row>
    <row r="111" spans="1:15" ht="15" x14ac:dyDescent="0.2">
      <c r="A111" s="17" t="s">
        <v>106</v>
      </c>
      <c r="B111" s="16">
        <v>52839138.670000002</v>
      </c>
      <c r="C111" s="16">
        <v>0</v>
      </c>
      <c r="D111" s="16">
        <v>1910860.9780924574</v>
      </c>
      <c r="E111" s="16">
        <v>0</v>
      </c>
      <c r="F111" s="16">
        <v>153548.48000000001</v>
      </c>
      <c r="G111" s="16">
        <v>105031.21</v>
      </c>
      <c r="H111" s="16">
        <v>2986635.31</v>
      </c>
      <c r="I111" s="16">
        <v>431334.95</v>
      </c>
      <c r="J111" s="16">
        <v>4839962.6100000013</v>
      </c>
      <c r="K111" s="16">
        <v>0</v>
      </c>
      <c r="L111" s="16">
        <v>0</v>
      </c>
      <c r="M111" s="16">
        <v>306.8</v>
      </c>
      <c r="N111" s="18">
        <f t="shared" si="3"/>
        <v>63266819.008092456</v>
      </c>
      <c r="O111" s="4"/>
    </row>
    <row r="112" spans="1:15" ht="15" x14ac:dyDescent="0.2">
      <c r="A112" s="17" t="s">
        <v>107</v>
      </c>
      <c r="B112" s="16">
        <v>70746770.920000002</v>
      </c>
      <c r="C112" s="16">
        <v>0</v>
      </c>
      <c r="D112" s="16">
        <v>2526499.5533546051</v>
      </c>
      <c r="E112" s="16">
        <v>0</v>
      </c>
      <c r="F112" s="16">
        <v>186624.6</v>
      </c>
      <c r="G112" s="16">
        <v>119107.56</v>
      </c>
      <c r="H112" s="16">
        <v>3998831.35</v>
      </c>
      <c r="I112" s="16">
        <v>524249.49</v>
      </c>
      <c r="J112" s="16">
        <v>5064505.3199999994</v>
      </c>
      <c r="K112" s="16">
        <v>0</v>
      </c>
      <c r="L112" s="16">
        <v>0</v>
      </c>
      <c r="M112" s="16">
        <v>372.87</v>
      </c>
      <c r="N112" s="18">
        <f t="shared" si="3"/>
        <v>83166961.663354591</v>
      </c>
      <c r="O112" s="4"/>
    </row>
    <row r="113" spans="1:15" ht="15" x14ac:dyDescent="0.2">
      <c r="A113" s="17" t="s">
        <v>108</v>
      </c>
      <c r="B113" s="16">
        <v>56585349.329999998</v>
      </c>
      <c r="C113" s="16">
        <v>0</v>
      </c>
      <c r="D113" s="16">
        <v>2886209.0588436564</v>
      </c>
      <c r="E113" s="16">
        <v>0</v>
      </c>
      <c r="F113" s="16">
        <v>262995.48</v>
      </c>
      <c r="G113" s="16">
        <v>162419.4</v>
      </c>
      <c r="H113" s="16">
        <v>3198382.99</v>
      </c>
      <c r="I113" s="16">
        <v>738783.86</v>
      </c>
      <c r="J113" s="16">
        <v>5025503.91</v>
      </c>
      <c r="K113" s="16">
        <v>0</v>
      </c>
      <c r="L113" s="16">
        <v>0</v>
      </c>
      <c r="M113" s="16">
        <v>525.52</v>
      </c>
      <c r="N113" s="18">
        <f t="shared" si="3"/>
        <v>68860169.548843652</v>
      </c>
      <c r="O113" s="4"/>
    </row>
    <row r="114" spans="1:15" ht="15" x14ac:dyDescent="0.2">
      <c r="A114" s="17" t="s">
        <v>109</v>
      </c>
      <c r="B114" s="16">
        <v>37966096.789999999</v>
      </c>
      <c r="C114" s="16">
        <v>0</v>
      </c>
      <c r="D114" s="16">
        <v>1551484.9720412237</v>
      </c>
      <c r="E114" s="16">
        <v>0</v>
      </c>
      <c r="F114" s="16">
        <v>159195.63</v>
      </c>
      <c r="G114" s="16">
        <v>86623.679999999993</v>
      </c>
      <c r="H114" s="16">
        <v>2145963.9300000002</v>
      </c>
      <c r="I114" s="16">
        <v>447198.41</v>
      </c>
      <c r="J114" s="16">
        <v>3805964.1900000018</v>
      </c>
      <c r="K114" s="16">
        <v>0</v>
      </c>
      <c r="L114" s="16">
        <v>0</v>
      </c>
      <c r="M114" s="16">
        <v>318.08</v>
      </c>
      <c r="N114" s="18">
        <f t="shared" si="3"/>
        <v>46162845.682041228</v>
      </c>
      <c r="O114" s="4"/>
    </row>
    <row r="115" spans="1:15" ht="15" x14ac:dyDescent="0.2">
      <c r="A115" s="17" t="s">
        <v>110</v>
      </c>
      <c r="B115" s="16">
        <v>101722662.36</v>
      </c>
      <c r="C115" s="16">
        <v>0</v>
      </c>
      <c r="D115" s="16">
        <v>1490010.5625476534</v>
      </c>
      <c r="E115" s="16">
        <v>0</v>
      </c>
      <c r="F115" s="16">
        <v>164842.76999999999</v>
      </c>
      <c r="G115" s="16">
        <v>144011.87</v>
      </c>
      <c r="H115" s="16">
        <v>5749686.7400000002</v>
      </c>
      <c r="I115" s="16">
        <v>463061.87</v>
      </c>
      <c r="J115" s="16">
        <v>5044015.8300000019</v>
      </c>
      <c r="K115" s="16">
        <v>0</v>
      </c>
      <c r="L115" s="16">
        <v>0</v>
      </c>
      <c r="M115" s="16">
        <v>329.37</v>
      </c>
      <c r="N115" s="18">
        <f t="shared" si="3"/>
        <v>114778621.37254766</v>
      </c>
      <c r="O115" s="4"/>
    </row>
    <row r="116" spans="1:15" ht="15" x14ac:dyDescent="0.2">
      <c r="A116" s="17" t="s">
        <v>111</v>
      </c>
      <c r="B116" s="16">
        <v>53602222.799999997</v>
      </c>
      <c r="C116" s="16">
        <v>0</v>
      </c>
      <c r="D116" s="16">
        <v>1994708.6064330202</v>
      </c>
      <c r="E116" s="16">
        <v>0</v>
      </c>
      <c r="F116" s="16">
        <v>454998.32</v>
      </c>
      <c r="G116" s="16">
        <v>221973.18</v>
      </c>
      <c r="H116" s="16">
        <v>3029767.24</v>
      </c>
      <c r="I116" s="16">
        <v>1278141.4099999999</v>
      </c>
      <c r="J116" s="16">
        <v>6823383.2099999972</v>
      </c>
      <c r="K116" s="16">
        <v>0</v>
      </c>
      <c r="L116" s="16">
        <v>0</v>
      </c>
      <c r="M116" s="16">
        <v>909.20999999999992</v>
      </c>
      <c r="N116" s="18">
        <f t="shared" si="3"/>
        <v>67406103.976433009</v>
      </c>
      <c r="O116" s="4"/>
    </row>
    <row r="117" spans="1:15" ht="15" x14ac:dyDescent="0.2">
      <c r="A117" s="17" t="s">
        <v>112</v>
      </c>
      <c r="B117" s="16">
        <v>31149803.509999998</v>
      </c>
      <c r="C117" s="16">
        <v>0</v>
      </c>
      <c r="D117" s="16">
        <v>462922.24230719497</v>
      </c>
      <c r="E117" s="16">
        <v>0</v>
      </c>
      <c r="F117" s="16">
        <v>95732.5</v>
      </c>
      <c r="G117" s="16">
        <v>59553.78</v>
      </c>
      <c r="H117" s="16">
        <v>1760685.46</v>
      </c>
      <c r="I117" s="16">
        <v>268923.37</v>
      </c>
      <c r="J117" s="16">
        <v>2108518.2299999991</v>
      </c>
      <c r="K117" s="16">
        <v>0</v>
      </c>
      <c r="L117" s="16">
        <v>0</v>
      </c>
      <c r="M117" s="16">
        <v>191.26</v>
      </c>
      <c r="N117" s="18">
        <f t="shared" si="3"/>
        <v>35906330.352307186</v>
      </c>
      <c r="O117" s="4"/>
    </row>
    <row r="118" spans="1:15" ht="15" x14ac:dyDescent="0.2">
      <c r="A118" s="17" t="s">
        <v>113</v>
      </c>
      <c r="B118" s="16">
        <v>47263300.75</v>
      </c>
      <c r="C118" s="16">
        <v>0</v>
      </c>
      <c r="D118" s="16">
        <v>1864377.8254234968</v>
      </c>
      <c r="E118" s="16">
        <v>0</v>
      </c>
      <c r="F118" s="16">
        <v>451502.47</v>
      </c>
      <c r="G118" s="16">
        <v>226304.36</v>
      </c>
      <c r="H118" s="16">
        <v>2671471.31</v>
      </c>
      <c r="I118" s="16">
        <v>1268321.17</v>
      </c>
      <c r="J118" s="16">
        <v>5450913.5099999988</v>
      </c>
      <c r="K118" s="16">
        <v>0</v>
      </c>
      <c r="L118" s="16">
        <v>0</v>
      </c>
      <c r="M118" s="16">
        <v>902.22</v>
      </c>
      <c r="N118" s="18">
        <f t="shared" si="3"/>
        <v>59197093.615423493</v>
      </c>
      <c r="O118" s="4"/>
    </row>
    <row r="119" spans="1:15" ht="15" x14ac:dyDescent="0.2">
      <c r="A119" s="17" t="s">
        <v>114</v>
      </c>
      <c r="B119" s="16">
        <v>68679345.320000008</v>
      </c>
      <c r="C119" s="16">
        <v>0</v>
      </c>
      <c r="D119" s="16">
        <v>1450914.440632687</v>
      </c>
      <c r="E119" s="16">
        <v>0</v>
      </c>
      <c r="F119" s="16">
        <v>362761.66</v>
      </c>
      <c r="G119" s="16">
        <v>159171.01</v>
      </c>
      <c r="H119" s="16">
        <v>3881973.91</v>
      </c>
      <c r="I119" s="16">
        <v>1019038.27</v>
      </c>
      <c r="J119" s="16">
        <v>5030740.6800000006</v>
      </c>
      <c r="K119" s="16">
        <v>0</v>
      </c>
      <c r="L119" s="16">
        <v>0</v>
      </c>
      <c r="M119" s="16">
        <v>724.87999999999988</v>
      </c>
      <c r="N119" s="18">
        <f t="shared" si="3"/>
        <v>80584670.17063269</v>
      </c>
      <c r="O119" s="4"/>
    </row>
    <row r="120" spans="1:15" ht="15" x14ac:dyDescent="0.2">
      <c r="A120" s="17" t="s">
        <v>115</v>
      </c>
      <c r="B120" s="16">
        <v>45405279.650000006</v>
      </c>
      <c r="C120" s="16">
        <v>0</v>
      </c>
      <c r="D120" s="16">
        <v>1702148.0153705387</v>
      </c>
      <c r="E120" s="16">
        <v>0</v>
      </c>
      <c r="F120" s="16">
        <v>244440.58</v>
      </c>
      <c r="G120" s="16">
        <v>160253.81</v>
      </c>
      <c r="H120" s="16">
        <v>2566450.08</v>
      </c>
      <c r="I120" s="16">
        <v>686661.08</v>
      </c>
      <c r="J120" s="16">
        <v>5395102.8600000013</v>
      </c>
      <c r="K120" s="16">
        <v>0</v>
      </c>
      <c r="L120" s="16">
        <v>0</v>
      </c>
      <c r="M120" s="16">
        <v>488.45</v>
      </c>
      <c r="N120" s="18">
        <f t="shared" si="3"/>
        <v>56160824.525370546</v>
      </c>
      <c r="O120" s="4"/>
    </row>
    <row r="121" spans="1:15" ht="15" x14ac:dyDescent="0.2">
      <c r="A121" s="17" t="s">
        <v>116</v>
      </c>
      <c r="B121" s="16">
        <v>49366218.629999995</v>
      </c>
      <c r="C121" s="16">
        <v>0</v>
      </c>
      <c r="D121" s="16">
        <v>1460812.3509436494</v>
      </c>
      <c r="E121" s="16">
        <v>0</v>
      </c>
      <c r="F121" s="16">
        <v>102724.2</v>
      </c>
      <c r="G121" s="16">
        <v>58470.98</v>
      </c>
      <c r="H121" s="16">
        <v>2790334.88</v>
      </c>
      <c r="I121" s="16">
        <v>288563.84000000003</v>
      </c>
      <c r="J121" s="16">
        <v>2961351.959999999</v>
      </c>
      <c r="K121" s="16">
        <v>0</v>
      </c>
      <c r="L121" s="16">
        <v>0</v>
      </c>
      <c r="M121" s="16">
        <v>205.23</v>
      </c>
      <c r="N121" s="18">
        <f t="shared" si="3"/>
        <v>57028682.070943646</v>
      </c>
      <c r="O121" s="4"/>
    </row>
    <row r="122" spans="1:15" ht="15" x14ac:dyDescent="0.2">
      <c r="A122" s="17" t="s">
        <v>117</v>
      </c>
      <c r="B122" s="16">
        <v>138272617.09999999</v>
      </c>
      <c r="C122" s="16">
        <v>0</v>
      </c>
      <c r="D122" s="16">
        <v>2511136.8049999997</v>
      </c>
      <c r="E122" s="16">
        <v>0</v>
      </c>
      <c r="F122" s="16">
        <v>3092482.71</v>
      </c>
      <c r="G122" s="16">
        <v>1494380.2750773295</v>
      </c>
      <c r="H122" s="16">
        <v>7815605.8399999999</v>
      </c>
      <c r="I122" s="16">
        <v>8687131.3100000005</v>
      </c>
      <c r="J122" s="16">
        <v>13877241.839999992</v>
      </c>
      <c r="K122" s="16">
        <v>0</v>
      </c>
      <c r="L122" s="16">
        <v>0</v>
      </c>
      <c r="M122" s="16">
        <v>6179.89</v>
      </c>
      <c r="N122" s="18">
        <f t="shared" si="3"/>
        <v>175756775.77007735</v>
      </c>
      <c r="O122" s="4"/>
    </row>
    <row r="123" spans="1:15" ht="15" x14ac:dyDescent="0.2">
      <c r="A123" s="17" t="s">
        <v>118</v>
      </c>
      <c r="B123" s="16">
        <v>370115318.99000001</v>
      </c>
      <c r="C123" s="16">
        <v>0</v>
      </c>
      <c r="D123" s="16">
        <v>5288178.1049999995</v>
      </c>
      <c r="E123" s="16">
        <v>0</v>
      </c>
      <c r="F123" s="16">
        <v>4298819.87</v>
      </c>
      <c r="G123" s="16">
        <v>3693015.0616939152</v>
      </c>
      <c r="H123" s="16">
        <v>20920088.920000002</v>
      </c>
      <c r="I123" s="16">
        <v>12075867.93</v>
      </c>
      <c r="J123" s="16">
        <v>18612358.379999999</v>
      </c>
      <c r="K123" s="16">
        <v>0</v>
      </c>
      <c r="L123" s="16">
        <v>0</v>
      </c>
      <c r="M123" s="16">
        <v>8590.59</v>
      </c>
      <c r="N123" s="18">
        <f t="shared" si="3"/>
        <v>435012237.84669393</v>
      </c>
      <c r="O123" s="4"/>
    </row>
    <row r="124" spans="1:15" ht="15" x14ac:dyDescent="0.2">
      <c r="A124" s="17" t="s">
        <v>119</v>
      </c>
      <c r="B124" s="16">
        <v>281760825.55000001</v>
      </c>
      <c r="C124" s="16">
        <v>0</v>
      </c>
      <c r="D124" s="16">
        <v>2164263.6800000002</v>
      </c>
      <c r="E124" s="16">
        <v>0</v>
      </c>
      <c r="F124" s="16">
        <v>5504888.1299999999</v>
      </c>
      <c r="G124" s="16">
        <v>0</v>
      </c>
      <c r="H124" s="16">
        <v>15926013.390000001</v>
      </c>
      <c r="I124" s="16">
        <v>15463849.140000001</v>
      </c>
      <c r="J124" s="16">
        <v>25981433.520000014</v>
      </c>
      <c r="K124" s="16">
        <v>0</v>
      </c>
      <c r="L124" s="16">
        <v>0</v>
      </c>
      <c r="M124" s="16">
        <v>11000.779999999999</v>
      </c>
      <c r="N124" s="18">
        <f t="shared" si="3"/>
        <v>346812274.19</v>
      </c>
      <c r="O124" s="4"/>
    </row>
    <row r="125" spans="1:15" ht="15" x14ac:dyDescent="0.2">
      <c r="A125" s="17" t="s">
        <v>120</v>
      </c>
      <c r="B125" s="16">
        <v>100459137.02000001</v>
      </c>
      <c r="C125" s="16">
        <v>0</v>
      </c>
      <c r="D125" s="16">
        <v>8867723.6849382687</v>
      </c>
      <c r="E125" s="16">
        <v>0</v>
      </c>
      <c r="F125" s="16">
        <v>2140535.85</v>
      </c>
      <c r="G125" s="16">
        <v>1010248.65</v>
      </c>
      <c r="H125" s="16">
        <v>5678268.29</v>
      </c>
      <c r="I125" s="16">
        <v>6013005.6699999999</v>
      </c>
      <c r="J125" s="16">
        <v>16166046.330000006</v>
      </c>
      <c r="K125" s="16">
        <v>0</v>
      </c>
      <c r="L125" s="16">
        <v>0</v>
      </c>
      <c r="M125" s="16">
        <v>4277.55</v>
      </c>
      <c r="N125" s="18">
        <f t="shared" si="3"/>
        <v>140339243.0449383</v>
      </c>
      <c r="O125" s="4"/>
    </row>
    <row r="126" spans="1:15" ht="15" x14ac:dyDescent="0.2">
      <c r="A126" s="17" t="s">
        <v>121</v>
      </c>
      <c r="B126" s="16">
        <v>126553064.68999998</v>
      </c>
      <c r="C126" s="16">
        <v>0</v>
      </c>
      <c r="D126" s="16">
        <v>2016700.1413334028</v>
      </c>
      <c r="E126" s="16">
        <v>0</v>
      </c>
      <c r="F126" s="16">
        <v>1071612.48</v>
      </c>
      <c r="G126" s="16">
        <v>409296.88</v>
      </c>
      <c r="H126" s="16">
        <v>7153179.6500000004</v>
      </c>
      <c r="I126" s="16">
        <v>3010279.85</v>
      </c>
      <c r="J126" s="16">
        <v>10687813.290000003</v>
      </c>
      <c r="K126" s="16">
        <v>0</v>
      </c>
      <c r="L126" s="16">
        <v>0</v>
      </c>
      <c r="M126" s="16">
        <v>2141.4299999999998</v>
      </c>
      <c r="N126" s="18">
        <f t="shared" si="3"/>
        <v>150904088.41133338</v>
      </c>
      <c r="O126" s="4"/>
    </row>
    <row r="127" spans="1:15" ht="15" x14ac:dyDescent="0.2">
      <c r="A127" s="17" t="s">
        <v>122</v>
      </c>
      <c r="B127" s="16">
        <v>59751261.120000005</v>
      </c>
      <c r="C127" s="16">
        <v>0</v>
      </c>
      <c r="D127" s="16">
        <v>920376.25212464388</v>
      </c>
      <c r="E127" s="16">
        <v>0</v>
      </c>
      <c r="F127" s="16">
        <v>1137495.81</v>
      </c>
      <c r="G127" s="16">
        <v>412545.27</v>
      </c>
      <c r="H127" s="16">
        <v>3377330.34</v>
      </c>
      <c r="I127" s="16">
        <v>3195353.52</v>
      </c>
      <c r="J127" s="16">
        <v>10980709.32</v>
      </c>
      <c r="K127" s="16">
        <v>0</v>
      </c>
      <c r="L127" s="16">
        <v>0</v>
      </c>
      <c r="M127" s="16">
        <v>2273.11</v>
      </c>
      <c r="N127" s="18">
        <f t="shared" si="3"/>
        <v>79777344.742124662</v>
      </c>
      <c r="O127" s="4"/>
    </row>
    <row r="128" spans="1:15" ht="15" x14ac:dyDescent="0.2">
      <c r="A128" s="17" t="s">
        <v>123</v>
      </c>
      <c r="B128" s="16">
        <v>36427506.280000001</v>
      </c>
      <c r="C128" s="16">
        <v>0</v>
      </c>
      <c r="D128" s="16">
        <v>871613.47870232863</v>
      </c>
      <c r="E128" s="16">
        <v>0</v>
      </c>
      <c r="F128" s="16">
        <v>104068.76</v>
      </c>
      <c r="G128" s="16">
        <v>70381.740000000005</v>
      </c>
      <c r="H128" s="16">
        <v>2058997.92</v>
      </c>
      <c r="I128" s="16">
        <v>292340.84999999998</v>
      </c>
      <c r="J128" s="16">
        <v>2582103.0900000003</v>
      </c>
      <c r="K128" s="16">
        <v>0</v>
      </c>
      <c r="L128" s="16">
        <v>0</v>
      </c>
      <c r="M128" s="16">
        <v>207.91999999999996</v>
      </c>
      <c r="N128" s="18">
        <f t="shared" si="3"/>
        <v>42407220.038702339</v>
      </c>
      <c r="O128" s="4"/>
    </row>
    <row r="129" spans="1:15" ht="15" x14ac:dyDescent="0.2">
      <c r="A129" s="17" t="s">
        <v>124</v>
      </c>
      <c r="B129" s="16">
        <v>188387723.02999997</v>
      </c>
      <c r="C129" s="16">
        <v>0</v>
      </c>
      <c r="D129" s="16">
        <v>8385044.5151427723</v>
      </c>
      <c r="E129" s="16">
        <v>0</v>
      </c>
      <c r="F129" s="16">
        <v>1323582.5900000001</v>
      </c>
      <c r="G129" s="16">
        <v>858657.21</v>
      </c>
      <c r="H129" s="16">
        <v>10648270.189999999</v>
      </c>
      <c r="I129" s="16">
        <v>3718092.2</v>
      </c>
      <c r="J129" s="16">
        <v>16658124.839999992</v>
      </c>
      <c r="K129" s="16">
        <v>0</v>
      </c>
      <c r="L129" s="16">
        <v>0</v>
      </c>
      <c r="M129" s="16">
        <v>2644.9500000000003</v>
      </c>
      <c r="N129" s="18">
        <f t="shared" si="3"/>
        <v>229982139.52514273</v>
      </c>
      <c r="O129" s="4"/>
    </row>
    <row r="130" spans="1:15" ht="15" x14ac:dyDescent="0.2">
      <c r="A130" s="17" t="s">
        <v>125</v>
      </c>
      <c r="B130" s="16">
        <v>58995275.479999997</v>
      </c>
      <c r="C130" s="16">
        <v>0</v>
      </c>
      <c r="D130" s="16">
        <v>2124601.656794786</v>
      </c>
      <c r="E130" s="16">
        <v>0</v>
      </c>
      <c r="F130" s="16">
        <v>163767.12</v>
      </c>
      <c r="G130" s="16">
        <v>63884.959999999999</v>
      </c>
      <c r="H130" s="16">
        <v>3334599.64</v>
      </c>
      <c r="I130" s="16">
        <v>460040.26</v>
      </c>
      <c r="J130" s="16">
        <v>4378151.6100000013</v>
      </c>
      <c r="K130" s="16">
        <v>0</v>
      </c>
      <c r="L130" s="16">
        <v>0</v>
      </c>
      <c r="M130" s="16">
        <v>327.21999999999997</v>
      </c>
      <c r="N130" s="18">
        <f t="shared" si="3"/>
        <v>69520647.946794778</v>
      </c>
      <c r="O130" s="4"/>
    </row>
    <row r="131" spans="1:15" ht="15" x14ac:dyDescent="0.2">
      <c r="A131" s="17" t="s">
        <v>126</v>
      </c>
      <c r="B131" s="16">
        <v>277466259.10000002</v>
      </c>
      <c r="C131" s="16">
        <v>0</v>
      </c>
      <c r="D131" s="16">
        <v>5121931.0149999997</v>
      </c>
      <c r="E131" s="16">
        <v>0</v>
      </c>
      <c r="F131" s="16">
        <v>7231300.2199999997</v>
      </c>
      <c r="G131" s="16">
        <v>743139.52452349791</v>
      </c>
      <c r="H131" s="16">
        <v>15683270.91</v>
      </c>
      <c r="I131" s="16">
        <v>20313534.620000001</v>
      </c>
      <c r="J131" s="16">
        <v>35164355.100000009</v>
      </c>
      <c r="K131" s="16">
        <v>0</v>
      </c>
      <c r="L131" s="16">
        <v>0</v>
      </c>
      <c r="M131" s="16">
        <v>14450.81</v>
      </c>
      <c r="N131" s="18">
        <f t="shared" si="3"/>
        <v>361738241.29952359</v>
      </c>
      <c r="O131" s="4"/>
    </row>
    <row r="132" spans="1:15" ht="15" x14ac:dyDescent="0.2">
      <c r="A132" s="17" t="s">
        <v>127</v>
      </c>
      <c r="B132" s="16">
        <v>12326470.380000001</v>
      </c>
      <c r="C132" s="16">
        <v>0</v>
      </c>
      <c r="D132" s="16">
        <v>368733.45121425099</v>
      </c>
      <c r="E132" s="16">
        <v>0</v>
      </c>
      <c r="F132" s="16">
        <v>30924.82</v>
      </c>
      <c r="G132" s="16">
        <v>11910.76</v>
      </c>
      <c r="H132" s="16">
        <v>696731.11</v>
      </c>
      <c r="I132" s="16">
        <v>86871.31</v>
      </c>
      <c r="J132" s="16">
        <v>1265242.8600000001</v>
      </c>
      <c r="K132" s="16">
        <v>0</v>
      </c>
      <c r="L132" s="16">
        <v>0</v>
      </c>
      <c r="M132" s="16">
        <v>61.76</v>
      </c>
      <c r="N132" s="18">
        <f t="shared" si="3"/>
        <v>14786946.45121425</v>
      </c>
      <c r="O132" s="4"/>
    </row>
    <row r="133" spans="1:15" ht="15" x14ac:dyDescent="0.2">
      <c r="A133" s="17" t="s">
        <v>128</v>
      </c>
      <c r="B133" s="16">
        <v>68931340.560000002</v>
      </c>
      <c r="C133" s="16">
        <v>0</v>
      </c>
      <c r="D133" s="16">
        <v>1409140.6564330203</v>
      </c>
      <c r="E133" s="16">
        <v>0</v>
      </c>
      <c r="F133" s="16">
        <v>111867.2</v>
      </c>
      <c r="G133" s="16">
        <v>87706.47</v>
      </c>
      <c r="H133" s="16">
        <v>3896217.48</v>
      </c>
      <c r="I133" s="16">
        <v>314247.53000000003</v>
      </c>
      <c r="J133" s="16">
        <v>4598354.669999999</v>
      </c>
      <c r="K133" s="16">
        <v>0</v>
      </c>
      <c r="L133" s="16">
        <v>0</v>
      </c>
      <c r="M133" s="16">
        <v>223.50999999999996</v>
      </c>
      <c r="N133" s="18">
        <f t="shared" si="3"/>
        <v>79349098.076433033</v>
      </c>
      <c r="O133" s="4"/>
    </row>
    <row r="134" spans="1:15" ht="15" x14ac:dyDescent="0.2">
      <c r="A134" s="17" t="s">
        <v>129</v>
      </c>
      <c r="B134" s="16">
        <v>135122676.84999999</v>
      </c>
      <c r="C134" s="16">
        <v>0</v>
      </c>
      <c r="D134" s="16">
        <v>3317015.3207235313</v>
      </c>
      <c r="E134" s="16">
        <v>0</v>
      </c>
      <c r="F134" s="16">
        <v>521957.29</v>
      </c>
      <c r="G134" s="16">
        <v>297768.89</v>
      </c>
      <c r="H134" s="16">
        <v>7637561.2400000002</v>
      </c>
      <c r="I134" s="16">
        <v>1466236.69</v>
      </c>
      <c r="J134" s="16">
        <v>10598896.980000002</v>
      </c>
      <c r="K134" s="16">
        <v>0</v>
      </c>
      <c r="L134" s="16">
        <v>0</v>
      </c>
      <c r="M134" s="16">
        <v>1043.02</v>
      </c>
      <c r="N134" s="18">
        <f t="shared" si="3"/>
        <v>158963156.28072351</v>
      </c>
      <c r="O134" s="4"/>
    </row>
    <row r="135" spans="1:15" ht="15" x14ac:dyDescent="0.2">
      <c r="A135" s="17" t="s">
        <v>130</v>
      </c>
      <c r="B135" s="16">
        <v>113216838.75</v>
      </c>
      <c r="C135" s="16">
        <v>0</v>
      </c>
      <c r="D135" s="16">
        <v>5053518.0541661866</v>
      </c>
      <c r="E135" s="16">
        <v>0</v>
      </c>
      <c r="F135" s="16">
        <v>785759.51</v>
      </c>
      <c r="G135" s="16">
        <v>396303.33</v>
      </c>
      <c r="H135" s="16">
        <v>6399373.96</v>
      </c>
      <c r="I135" s="16">
        <v>2207286.7599999998</v>
      </c>
      <c r="J135" s="16">
        <v>10815840.839999996</v>
      </c>
      <c r="K135" s="16">
        <v>0</v>
      </c>
      <c r="L135" s="16">
        <v>0</v>
      </c>
      <c r="M135" s="16">
        <v>1570.19</v>
      </c>
      <c r="N135" s="18">
        <f t="shared" si="3"/>
        <v>138876491.39416617</v>
      </c>
      <c r="O135" s="4"/>
    </row>
    <row r="136" spans="1:15" ht="15" x14ac:dyDescent="0.2">
      <c r="A136" s="17" t="s">
        <v>131</v>
      </c>
      <c r="B136" s="16">
        <v>192680514.87</v>
      </c>
      <c r="C136" s="16">
        <v>0</v>
      </c>
      <c r="D136" s="16">
        <v>3413159.08</v>
      </c>
      <c r="E136" s="16">
        <v>0</v>
      </c>
      <c r="F136" s="16">
        <v>4675027.12</v>
      </c>
      <c r="G136" s="16">
        <v>2754335.6042531193</v>
      </c>
      <c r="H136" s="16">
        <v>10890912.369999999</v>
      </c>
      <c r="I136" s="16">
        <v>13132676.34</v>
      </c>
      <c r="J136" s="16">
        <v>24840885.720000003</v>
      </c>
      <c r="K136" s="16">
        <v>0</v>
      </c>
      <c r="L136" s="16">
        <v>0</v>
      </c>
      <c r="M136" s="16">
        <v>9342.409999999998</v>
      </c>
      <c r="N136" s="18">
        <f t="shared" ref="N136:N142" si="4">SUM(B136:M136)</f>
        <v>252396853.51425314</v>
      </c>
      <c r="O136" s="4"/>
    </row>
    <row r="137" spans="1:15" ht="15" x14ac:dyDescent="0.2">
      <c r="A137" s="17" t="s">
        <v>132</v>
      </c>
      <c r="B137" s="16">
        <v>32631606.390000001</v>
      </c>
      <c r="C137" s="16">
        <v>0</v>
      </c>
      <c r="D137" s="16">
        <v>913933.25043226988</v>
      </c>
      <c r="E137" s="16">
        <v>0</v>
      </c>
      <c r="F137" s="16">
        <v>55933.599999999999</v>
      </c>
      <c r="G137" s="16">
        <v>60636.57</v>
      </c>
      <c r="H137" s="16">
        <v>1844441.65</v>
      </c>
      <c r="I137" s="16">
        <v>157123.76999999999</v>
      </c>
      <c r="J137" s="16">
        <v>2376969.8400000003</v>
      </c>
      <c r="K137" s="16">
        <v>0</v>
      </c>
      <c r="L137" s="16">
        <v>0</v>
      </c>
      <c r="M137" s="16">
        <v>111.72000000000001</v>
      </c>
      <c r="N137" s="18">
        <f t="shared" si="4"/>
        <v>38040756.790432274</v>
      </c>
      <c r="O137" s="4"/>
    </row>
    <row r="138" spans="1:15" ht="15" x14ac:dyDescent="0.2">
      <c r="A138" s="17" t="s">
        <v>133</v>
      </c>
      <c r="B138" s="16">
        <v>69871886.069999993</v>
      </c>
      <c r="C138" s="16">
        <v>0</v>
      </c>
      <c r="D138" s="16">
        <v>3686327.5939589851</v>
      </c>
      <c r="E138" s="16">
        <v>0</v>
      </c>
      <c r="F138" s="16">
        <v>486998.79</v>
      </c>
      <c r="G138" s="16">
        <v>247960.28</v>
      </c>
      <c r="H138" s="16">
        <v>3949380.09</v>
      </c>
      <c r="I138" s="16">
        <v>1368034.33</v>
      </c>
      <c r="J138" s="16">
        <v>8847105.3300000038</v>
      </c>
      <c r="K138" s="16">
        <v>0</v>
      </c>
      <c r="L138" s="16">
        <v>0</v>
      </c>
      <c r="M138" s="16">
        <v>973.16999999999985</v>
      </c>
      <c r="N138" s="18">
        <f t="shared" si="4"/>
        <v>88458665.653958991</v>
      </c>
      <c r="O138" s="4"/>
    </row>
    <row r="139" spans="1:15" ht="15" x14ac:dyDescent="0.2">
      <c r="A139" s="17" t="s">
        <v>134</v>
      </c>
      <c r="B139" s="16">
        <v>327119965.36000001</v>
      </c>
      <c r="C139" s="16">
        <v>0</v>
      </c>
      <c r="D139" s="16">
        <v>4161989.6600000006</v>
      </c>
      <c r="E139" s="16">
        <v>0</v>
      </c>
      <c r="F139" s="16">
        <v>2504642.08</v>
      </c>
      <c r="G139" s="16">
        <v>2492226.0381766846</v>
      </c>
      <c r="H139" s="16">
        <v>18489855.529999997</v>
      </c>
      <c r="I139" s="16">
        <v>7035820.9799999995</v>
      </c>
      <c r="J139" s="16">
        <v>16027197.059999995</v>
      </c>
      <c r="K139" s="16">
        <v>0</v>
      </c>
      <c r="L139" s="16">
        <v>0</v>
      </c>
      <c r="M139" s="16">
        <v>5005.1899999999996</v>
      </c>
      <c r="N139" s="18">
        <f t="shared" si="4"/>
        <v>377836701.89817667</v>
      </c>
      <c r="O139" s="4"/>
    </row>
    <row r="140" spans="1:15" ht="15" x14ac:dyDescent="0.2">
      <c r="A140" s="17" t="s">
        <v>135</v>
      </c>
      <c r="B140" s="16">
        <v>85119371.579999983</v>
      </c>
      <c r="C140" s="16">
        <v>0</v>
      </c>
      <c r="D140" s="16">
        <v>389736.54999999993</v>
      </c>
      <c r="E140" s="16">
        <v>0</v>
      </c>
      <c r="F140" s="16">
        <v>413048.12</v>
      </c>
      <c r="G140" s="16">
        <v>219807.58</v>
      </c>
      <c r="H140" s="16">
        <v>4811216.22</v>
      </c>
      <c r="I140" s="16">
        <v>1160298.58</v>
      </c>
      <c r="J140" s="16">
        <v>4044404.4899999993</v>
      </c>
      <c r="K140" s="16">
        <v>0</v>
      </c>
      <c r="L140" s="16">
        <v>0</v>
      </c>
      <c r="M140" s="16">
        <v>825.37999999999988</v>
      </c>
      <c r="N140" s="18">
        <f t="shared" si="4"/>
        <v>96158708.49999997</v>
      </c>
      <c r="O140" s="4"/>
    </row>
    <row r="141" spans="1:15" ht="15" x14ac:dyDescent="0.2">
      <c r="A141" s="17" t="s">
        <v>136</v>
      </c>
      <c r="B141" s="16">
        <v>105294960.80999999</v>
      </c>
      <c r="C141" s="16">
        <v>0</v>
      </c>
      <c r="D141" s="16">
        <v>2332305.2306601317</v>
      </c>
      <c r="E141" s="16">
        <v>0</v>
      </c>
      <c r="F141" s="16">
        <v>595639.06000000006</v>
      </c>
      <c r="G141" s="16">
        <v>214393.60000000001</v>
      </c>
      <c r="H141" s="16">
        <v>5951604.3600000003</v>
      </c>
      <c r="I141" s="16">
        <v>1673217.03</v>
      </c>
      <c r="J141" s="16">
        <v>11015133.150000004</v>
      </c>
      <c r="K141" s="16">
        <v>0</v>
      </c>
      <c r="L141" s="16">
        <v>0</v>
      </c>
      <c r="M141" s="16">
        <v>1190.26</v>
      </c>
      <c r="N141" s="18">
        <f t="shared" si="4"/>
        <v>127078443.50066012</v>
      </c>
      <c r="O141" s="4"/>
    </row>
    <row r="142" spans="1:15" ht="15" x14ac:dyDescent="0.2">
      <c r="A142" s="17" t="s">
        <v>137</v>
      </c>
      <c r="B142" s="16">
        <v>99765262.840000004</v>
      </c>
      <c r="C142" s="16">
        <v>0</v>
      </c>
      <c r="D142" s="16">
        <v>1594441.085383455</v>
      </c>
      <c r="E142" s="16">
        <v>0</v>
      </c>
      <c r="F142" s="16">
        <v>2560844.59</v>
      </c>
      <c r="G142" s="16">
        <v>791523.86</v>
      </c>
      <c r="H142" s="16">
        <v>5639048.3300000001</v>
      </c>
      <c r="I142" s="16">
        <v>7193700.1299999999</v>
      </c>
      <c r="J142" s="16">
        <v>14816538.029999996</v>
      </c>
      <c r="K142" s="16">
        <v>0</v>
      </c>
      <c r="L142" s="16">
        <v>0</v>
      </c>
      <c r="M142" s="16">
        <v>5117.4799999999996</v>
      </c>
      <c r="N142" s="18">
        <f t="shared" si="4"/>
        <v>132366476.34538347</v>
      </c>
      <c r="O142" s="4"/>
    </row>
    <row r="143" spans="1:15" ht="24.75" customHeight="1" x14ac:dyDescent="0.2">
      <c r="A143" s="24" t="s">
        <v>138</v>
      </c>
      <c r="B143" s="25">
        <f t="shared" ref="B143:I143" si="5">SUM(B8:B142)</f>
        <v>17746142317.529995</v>
      </c>
      <c r="C143" s="25">
        <f t="shared" si="5"/>
        <v>0</v>
      </c>
      <c r="D143" s="25">
        <f t="shared" si="5"/>
        <v>339707405.09490341</v>
      </c>
      <c r="E143" s="25">
        <f t="shared" si="5"/>
        <v>0</v>
      </c>
      <c r="F143" s="25">
        <f t="shared" si="5"/>
        <v>268911540.00999993</v>
      </c>
      <c r="G143" s="25">
        <f t="shared" si="5"/>
        <v>108279597.98000002</v>
      </c>
      <c r="H143" s="25">
        <f t="shared" si="5"/>
        <v>1003068115.4900001</v>
      </c>
      <c r="I143" s="25">
        <f t="shared" si="5"/>
        <v>755402722.84000003</v>
      </c>
      <c r="J143" s="25">
        <f t="shared" ref="J143:N143" si="6">SUM(J8:J142)</f>
        <v>1831058155.499999</v>
      </c>
      <c r="K143" s="25">
        <f t="shared" si="6"/>
        <v>0</v>
      </c>
      <c r="L143" s="25">
        <f t="shared" si="6"/>
        <v>0</v>
      </c>
      <c r="M143" s="25">
        <f t="shared" si="6"/>
        <v>537379.54999999993</v>
      </c>
      <c r="N143" s="25">
        <f t="shared" si="6"/>
        <v>22053107233.9949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tabColor rgb="FF44AEAC"/>
  </sheetPr>
  <dimension ref="A1:O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2.33203125" style="1" customWidth="1"/>
    <col min="3" max="3" width="22.33203125" style="1" hidden="1" customWidth="1"/>
    <col min="4" max="4" width="22.33203125" style="1" customWidth="1"/>
    <col min="5" max="5" width="22.33203125" style="1" hidden="1" customWidth="1"/>
    <col min="6" max="10" width="22.33203125" style="1" customWidth="1"/>
    <col min="11" max="12" width="22.33203125" style="1" hidden="1" customWidth="1"/>
    <col min="13" max="13" width="22.33203125" style="1" customWidth="1"/>
    <col min="14" max="14" width="24.83203125" style="1" bestFit="1" customWidth="1"/>
    <col min="15" max="15" width="12" style="1" customWidth="1"/>
    <col min="16" max="16384" width="12" style="1"/>
  </cols>
  <sheetData>
    <row r="1" spans="1:1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7.25" customHeight="1" x14ac:dyDescent="0.25">
      <c r="A3" s="2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7.25" customHeight="1" x14ac:dyDescent="0.25">
      <c r="A4" s="23" t="s">
        <v>158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5" ht="18.75" customHeight="1" x14ac:dyDescent="0.2">
      <c r="A6" s="28" t="s">
        <v>2</v>
      </c>
      <c r="B6" s="29" t="s">
        <v>159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5" ht="60" customHeight="1" x14ac:dyDescent="0.2">
      <c r="A7" s="28"/>
      <c r="B7" s="21" t="s">
        <v>139</v>
      </c>
      <c r="C7" s="21" t="s">
        <v>151</v>
      </c>
      <c r="D7" s="21" t="s">
        <v>143</v>
      </c>
      <c r="E7" s="21" t="s">
        <v>141</v>
      </c>
      <c r="F7" s="27" t="s">
        <v>150</v>
      </c>
      <c r="G7" s="21" t="s">
        <v>144</v>
      </c>
      <c r="H7" s="21" t="s">
        <v>146</v>
      </c>
      <c r="I7" s="21" t="s">
        <v>145</v>
      </c>
      <c r="J7" s="21" t="s">
        <v>147</v>
      </c>
      <c r="K7" s="21" t="s">
        <v>148</v>
      </c>
      <c r="L7" s="21" t="s">
        <v>149</v>
      </c>
      <c r="M7" s="21" t="s">
        <v>142</v>
      </c>
      <c r="N7" s="22" t="s">
        <v>140</v>
      </c>
    </row>
    <row r="8" spans="1:15" ht="18" customHeight="1" x14ac:dyDescent="0.2">
      <c r="A8" s="17" t="s">
        <v>3</v>
      </c>
      <c r="B8" s="16">
        <v>71093911.150000006</v>
      </c>
      <c r="C8" s="16">
        <v>0</v>
      </c>
      <c r="D8" s="16">
        <v>3121703.1071940954</v>
      </c>
      <c r="E8" s="16">
        <v>0</v>
      </c>
      <c r="F8" s="16">
        <v>353505.34</v>
      </c>
      <c r="G8" s="16">
        <v>173745.56</v>
      </c>
      <c r="H8" s="16">
        <v>3629286.37</v>
      </c>
      <c r="I8" s="16">
        <v>561908.23</v>
      </c>
      <c r="J8" s="16">
        <v>6118397.1200000001</v>
      </c>
      <c r="K8" s="16">
        <v>0</v>
      </c>
      <c r="L8" s="16">
        <v>0</v>
      </c>
      <c r="M8" s="16">
        <v>163.29</v>
      </c>
      <c r="N8" s="18">
        <f t="shared" ref="N8:N39" si="0">SUM(B8:M8)</f>
        <v>85052620.167194128</v>
      </c>
      <c r="O8" s="4"/>
    </row>
    <row r="9" spans="1:15" ht="18" customHeight="1" x14ac:dyDescent="0.2">
      <c r="A9" s="17" t="s">
        <v>4</v>
      </c>
      <c r="B9" s="16">
        <v>44322570.49000001</v>
      </c>
      <c r="C9" s="16">
        <v>0</v>
      </c>
      <c r="D9" s="16">
        <v>2027129.1699168566</v>
      </c>
      <c r="E9" s="16">
        <v>0</v>
      </c>
      <c r="F9" s="16">
        <v>247673.31</v>
      </c>
      <c r="G9" s="16">
        <v>122737.69</v>
      </c>
      <c r="H9" s="16">
        <v>2262631.2000000002</v>
      </c>
      <c r="I9" s="16">
        <v>393684.77</v>
      </c>
      <c r="J9" s="16">
        <v>4592102.0200000005</v>
      </c>
      <c r="K9" s="16">
        <v>0</v>
      </c>
      <c r="L9" s="16">
        <v>0</v>
      </c>
      <c r="M9" s="16">
        <v>114.4</v>
      </c>
      <c r="N9" s="18">
        <f t="shared" si="0"/>
        <v>53968643.049916871</v>
      </c>
      <c r="O9" s="4"/>
    </row>
    <row r="10" spans="1:15" ht="18" customHeight="1" x14ac:dyDescent="0.2">
      <c r="A10" s="17" t="s">
        <v>5</v>
      </c>
      <c r="B10" s="16">
        <v>32573370.020000003</v>
      </c>
      <c r="C10" s="16">
        <v>0</v>
      </c>
      <c r="D10" s="16">
        <v>1454683.8030044343</v>
      </c>
      <c r="E10" s="16">
        <v>0</v>
      </c>
      <c r="F10" s="16">
        <v>173020</v>
      </c>
      <c r="G10" s="16">
        <v>108391.72</v>
      </c>
      <c r="H10" s="16">
        <v>1662844.07</v>
      </c>
      <c r="I10" s="16">
        <v>275020.92</v>
      </c>
      <c r="J10" s="16">
        <v>2714248.91</v>
      </c>
      <c r="K10" s="16">
        <v>0</v>
      </c>
      <c r="L10" s="16">
        <v>0</v>
      </c>
      <c r="M10" s="16">
        <v>79.91</v>
      </c>
      <c r="N10" s="18">
        <f t="shared" si="0"/>
        <v>38961659.353004441</v>
      </c>
      <c r="O10" s="4"/>
    </row>
    <row r="11" spans="1:15" ht="18" customHeight="1" x14ac:dyDescent="0.2">
      <c r="A11" s="17" t="s">
        <v>6</v>
      </c>
      <c r="B11" s="16">
        <v>377202674.10000002</v>
      </c>
      <c r="C11" s="16">
        <v>0</v>
      </c>
      <c r="D11" s="16">
        <v>3591660.9576548282</v>
      </c>
      <c r="E11" s="16">
        <v>0</v>
      </c>
      <c r="F11" s="16">
        <v>18571106.989999998</v>
      </c>
      <c r="G11" s="16">
        <v>9632484.2659434378</v>
      </c>
      <c r="H11" s="16">
        <v>19255889.870000001</v>
      </c>
      <c r="I11" s="16">
        <v>29519377.739999998</v>
      </c>
      <c r="J11" s="16">
        <v>51083917.509999998</v>
      </c>
      <c r="K11" s="16">
        <v>0</v>
      </c>
      <c r="L11" s="16">
        <v>0</v>
      </c>
      <c r="M11" s="16">
        <v>8579.7199999999993</v>
      </c>
      <c r="N11" s="18">
        <f t="shared" si="0"/>
        <v>508865691.15359831</v>
      </c>
      <c r="O11" s="4"/>
    </row>
    <row r="12" spans="1:15" ht="18" customHeight="1" x14ac:dyDescent="0.2">
      <c r="A12" s="17" t="s">
        <v>7</v>
      </c>
      <c r="B12" s="16">
        <v>56616051.390000001</v>
      </c>
      <c r="C12" s="16">
        <v>0</v>
      </c>
      <c r="D12" s="16">
        <v>1562347.0833382602</v>
      </c>
      <c r="E12" s="16">
        <v>0</v>
      </c>
      <c r="F12" s="16">
        <v>634992.21</v>
      </c>
      <c r="G12" s="16">
        <v>296483.24</v>
      </c>
      <c r="H12" s="16">
        <v>2890203.4</v>
      </c>
      <c r="I12" s="16">
        <v>1009340.75</v>
      </c>
      <c r="J12" s="16">
        <v>5510675.7299999977</v>
      </c>
      <c r="K12" s="16">
        <v>0</v>
      </c>
      <c r="L12" s="16">
        <v>0</v>
      </c>
      <c r="M12" s="16">
        <v>293.33000000000004</v>
      </c>
      <c r="N12" s="18">
        <f t="shared" si="0"/>
        <v>68520387.133338258</v>
      </c>
      <c r="O12" s="4"/>
    </row>
    <row r="13" spans="1:15" ht="18" customHeight="1" x14ac:dyDescent="0.2">
      <c r="A13" s="17" t="s">
        <v>8</v>
      </c>
      <c r="B13" s="16">
        <v>228895325.19</v>
      </c>
      <c r="C13" s="16">
        <v>0</v>
      </c>
      <c r="D13" s="16">
        <v>3378802.7244702731</v>
      </c>
      <c r="E13" s="16">
        <v>0</v>
      </c>
      <c r="F13" s="16">
        <v>9030853.9900000002</v>
      </c>
      <c r="G13" s="16">
        <v>2862564.4242549995</v>
      </c>
      <c r="H13" s="16">
        <v>11684920.279999999</v>
      </c>
      <c r="I13" s="16">
        <v>14354835.73</v>
      </c>
      <c r="J13" s="16">
        <v>39277099.190000005</v>
      </c>
      <c r="K13" s="16">
        <v>0</v>
      </c>
      <c r="L13" s="16">
        <v>0</v>
      </c>
      <c r="M13" s="16">
        <v>4172.18</v>
      </c>
      <c r="N13" s="18">
        <f t="shared" si="0"/>
        <v>309488573.70872533</v>
      </c>
      <c r="O13" s="4"/>
    </row>
    <row r="14" spans="1:15" ht="18" customHeight="1" x14ac:dyDescent="0.2">
      <c r="A14" s="17" t="s">
        <v>9</v>
      </c>
      <c r="B14" s="16">
        <v>82953781.930000007</v>
      </c>
      <c r="C14" s="16">
        <v>0</v>
      </c>
      <c r="D14" s="16">
        <v>3904152.5388446311</v>
      </c>
      <c r="E14" s="16">
        <v>0</v>
      </c>
      <c r="F14" s="16">
        <v>411032.3</v>
      </c>
      <c r="G14" s="16">
        <v>207219.47</v>
      </c>
      <c r="H14" s="16">
        <v>4234723.1399999997</v>
      </c>
      <c r="I14" s="16">
        <v>653349.19999999995</v>
      </c>
      <c r="J14" s="16">
        <v>7905152.4200000018</v>
      </c>
      <c r="K14" s="16">
        <v>0</v>
      </c>
      <c r="L14" s="16">
        <v>0</v>
      </c>
      <c r="M14" s="16">
        <v>189.87</v>
      </c>
      <c r="N14" s="18">
        <f t="shared" si="0"/>
        <v>100269600.86884464</v>
      </c>
      <c r="O14" s="4"/>
    </row>
    <row r="15" spans="1:15" ht="18" customHeight="1" x14ac:dyDescent="0.2">
      <c r="A15" s="17" t="s">
        <v>10</v>
      </c>
      <c r="B15" s="16">
        <v>135190190.16</v>
      </c>
      <c r="C15" s="16">
        <v>0</v>
      </c>
      <c r="D15" s="16">
        <v>4602161.0062236069</v>
      </c>
      <c r="E15" s="16">
        <v>0</v>
      </c>
      <c r="F15" s="16">
        <v>1531270.98</v>
      </c>
      <c r="G15" s="16">
        <v>666290.30000000005</v>
      </c>
      <c r="H15" s="16">
        <v>6901349.3099999996</v>
      </c>
      <c r="I15" s="16">
        <v>2434004.9700000002</v>
      </c>
      <c r="J15" s="16">
        <v>13198643.919999998</v>
      </c>
      <c r="K15" s="16">
        <v>0</v>
      </c>
      <c r="L15" s="16">
        <v>0</v>
      </c>
      <c r="M15" s="16">
        <v>707.42</v>
      </c>
      <c r="N15" s="18">
        <f t="shared" si="0"/>
        <v>164524618.06622359</v>
      </c>
      <c r="O15" s="4"/>
    </row>
    <row r="16" spans="1:15" ht="18" customHeight="1" x14ac:dyDescent="0.2">
      <c r="A16" s="17" t="s">
        <v>11</v>
      </c>
      <c r="B16" s="16">
        <v>249886407.53999996</v>
      </c>
      <c r="C16" s="16">
        <v>0</v>
      </c>
      <c r="D16" s="16">
        <v>6883906.5654779514</v>
      </c>
      <c r="E16" s="16">
        <v>0</v>
      </c>
      <c r="F16" s="16">
        <v>5710977.6799999997</v>
      </c>
      <c r="G16" s="16">
        <v>3076412.16</v>
      </c>
      <c r="H16" s="16">
        <v>12756497.970000001</v>
      </c>
      <c r="I16" s="16">
        <v>9077784.5199999996</v>
      </c>
      <c r="J16" s="16">
        <v>32719038.879999988</v>
      </c>
      <c r="K16" s="16">
        <v>0</v>
      </c>
      <c r="L16" s="16">
        <v>0</v>
      </c>
      <c r="M16" s="16">
        <v>2638.41</v>
      </c>
      <c r="N16" s="18">
        <f t="shared" si="0"/>
        <v>320113663.72547793</v>
      </c>
      <c r="O16" s="4"/>
    </row>
    <row r="17" spans="1:15" ht="15" x14ac:dyDescent="0.2">
      <c r="A17" s="17" t="s">
        <v>12</v>
      </c>
      <c r="B17" s="16">
        <v>89788130</v>
      </c>
      <c r="C17" s="16">
        <v>0</v>
      </c>
      <c r="D17" s="16">
        <v>4881985.0252367165</v>
      </c>
      <c r="E17" s="16">
        <v>0</v>
      </c>
      <c r="F17" s="16">
        <v>1172935.1299999999</v>
      </c>
      <c r="G17" s="16">
        <v>446318.86</v>
      </c>
      <c r="H17" s="16">
        <v>4583611.05</v>
      </c>
      <c r="I17" s="16">
        <v>1864418.49</v>
      </c>
      <c r="J17" s="16">
        <v>9023569.7199999969</v>
      </c>
      <c r="K17" s="16">
        <v>0</v>
      </c>
      <c r="L17" s="16">
        <v>0</v>
      </c>
      <c r="M17" s="16">
        <v>541.86</v>
      </c>
      <c r="N17" s="18">
        <f t="shared" si="0"/>
        <v>111761510.1352367</v>
      </c>
      <c r="O17" s="4"/>
    </row>
    <row r="18" spans="1:15" ht="15" x14ac:dyDescent="0.2">
      <c r="A18" s="17" t="s">
        <v>13</v>
      </c>
      <c r="B18" s="16">
        <v>55048523.720000006</v>
      </c>
      <c r="C18" s="16">
        <v>0</v>
      </c>
      <c r="D18" s="16">
        <v>1521813.8093735422</v>
      </c>
      <c r="E18" s="16">
        <v>0</v>
      </c>
      <c r="F18" s="16">
        <v>790446.73</v>
      </c>
      <c r="G18" s="16">
        <v>334739.15000000002</v>
      </c>
      <c r="H18" s="16">
        <v>2810182.39</v>
      </c>
      <c r="I18" s="16">
        <v>1256440.76</v>
      </c>
      <c r="J18" s="16">
        <v>7286094.2099999981</v>
      </c>
      <c r="K18" s="16">
        <v>0</v>
      </c>
      <c r="L18" s="16">
        <v>0</v>
      </c>
      <c r="M18" s="16">
        <v>365.15</v>
      </c>
      <c r="N18" s="18">
        <f t="shared" si="0"/>
        <v>69048605.919373542</v>
      </c>
      <c r="O18" s="4"/>
    </row>
    <row r="19" spans="1:15" ht="15" x14ac:dyDescent="0.2">
      <c r="A19" s="17" t="s">
        <v>14</v>
      </c>
      <c r="B19" s="16">
        <v>92090436.260000005</v>
      </c>
      <c r="C19" s="16">
        <v>0</v>
      </c>
      <c r="D19" s="16">
        <v>3053461.9455435588</v>
      </c>
      <c r="E19" s="16">
        <v>0</v>
      </c>
      <c r="F19" s="16">
        <v>319252.65000000002</v>
      </c>
      <c r="G19" s="16">
        <v>207219.47</v>
      </c>
      <c r="H19" s="16">
        <v>4701141.91</v>
      </c>
      <c r="I19" s="16">
        <v>507462.46</v>
      </c>
      <c r="J19" s="16">
        <v>6190312.2700000005</v>
      </c>
      <c r="K19" s="16">
        <v>0</v>
      </c>
      <c r="L19" s="16">
        <v>0</v>
      </c>
      <c r="M19" s="16">
        <v>147.47</v>
      </c>
      <c r="N19" s="18">
        <f t="shared" si="0"/>
        <v>107069434.43554355</v>
      </c>
      <c r="O19" s="4"/>
    </row>
    <row r="20" spans="1:15" ht="15" x14ac:dyDescent="0.2">
      <c r="A20" s="17" t="s">
        <v>15</v>
      </c>
      <c r="B20" s="16">
        <v>305569925.23000002</v>
      </c>
      <c r="C20" s="16">
        <v>0</v>
      </c>
      <c r="D20" s="16">
        <v>2364511.0531079862</v>
      </c>
      <c r="E20" s="16">
        <v>0</v>
      </c>
      <c r="F20" s="16">
        <v>10189736.74</v>
      </c>
      <c r="G20" s="16">
        <v>5205789.6296563633</v>
      </c>
      <c r="H20" s="16">
        <v>15599096.279999999</v>
      </c>
      <c r="I20" s="16">
        <v>16196917.5</v>
      </c>
      <c r="J20" s="16">
        <v>35592617.730000012</v>
      </c>
      <c r="K20" s="16">
        <v>0</v>
      </c>
      <c r="L20" s="16">
        <v>0</v>
      </c>
      <c r="M20" s="16">
        <v>4707.58</v>
      </c>
      <c r="N20" s="18">
        <f t="shared" si="0"/>
        <v>390723301.74276435</v>
      </c>
      <c r="O20" s="4"/>
    </row>
    <row r="21" spans="1:15" ht="15" x14ac:dyDescent="0.2">
      <c r="A21" s="17" t="s">
        <v>16</v>
      </c>
      <c r="B21" s="16">
        <v>132742742.42999999</v>
      </c>
      <c r="C21" s="16">
        <v>0</v>
      </c>
      <c r="D21" s="16">
        <v>3020716.9637384498</v>
      </c>
      <c r="E21" s="16">
        <v>0</v>
      </c>
      <c r="F21" s="16">
        <v>2709475.76</v>
      </c>
      <c r="G21" s="16">
        <v>625025.76816426404</v>
      </c>
      <c r="H21" s="16">
        <v>6776409.0899999999</v>
      </c>
      <c r="I21" s="16">
        <v>4306799.7300000004</v>
      </c>
      <c r="J21" s="16">
        <v>11620536.84</v>
      </c>
      <c r="K21" s="16">
        <v>0</v>
      </c>
      <c r="L21" s="16">
        <v>0</v>
      </c>
      <c r="M21" s="16">
        <v>1251.7399999999998</v>
      </c>
      <c r="N21" s="18">
        <f t="shared" si="0"/>
        <v>161802958.32190272</v>
      </c>
      <c r="O21" s="4"/>
    </row>
    <row r="22" spans="1:15" ht="15" x14ac:dyDescent="0.2">
      <c r="A22" s="17" t="s">
        <v>17</v>
      </c>
      <c r="B22" s="16">
        <v>102261223.47</v>
      </c>
      <c r="C22" s="16">
        <v>0</v>
      </c>
      <c r="D22" s="16">
        <v>3219210.0931014107</v>
      </c>
      <c r="E22" s="16">
        <v>0</v>
      </c>
      <c r="F22" s="16">
        <v>645092.36</v>
      </c>
      <c r="G22" s="16">
        <v>349085.11</v>
      </c>
      <c r="H22" s="16">
        <v>5220352.33</v>
      </c>
      <c r="I22" s="16">
        <v>1025395.27</v>
      </c>
      <c r="J22" s="16">
        <v>8915648.7299999986</v>
      </c>
      <c r="K22" s="16">
        <v>0</v>
      </c>
      <c r="L22" s="16">
        <v>0</v>
      </c>
      <c r="M22" s="16">
        <v>298.01</v>
      </c>
      <c r="N22" s="18">
        <f t="shared" si="0"/>
        <v>121636305.37310141</v>
      </c>
      <c r="O22" s="4"/>
    </row>
    <row r="23" spans="1:15" ht="15" x14ac:dyDescent="0.2">
      <c r="A23" s="17" t="s">
        <v>18</v>
      </c>
      <c r="B23" s="16">
        <v>103378812.65000001</v>
      </c>
      <c r="C23" s="16">
        <v>0</v>
      </c>
      <c r="D23" s="16">
        <v>2871904.6603542343</v>
      </c>
      <c r="E23" s="16">
        <v>0</v>
      </c>
      <c r="F23" s="16">
        <v>618305</v>
      </c>
      <c r="G23" s="16">
        <v>422408.92</v>
      </c>
      <c r="H23" s="16">
        <v>5277404.3499999996</v>
      </c>
      <c r="I23" s="16">
        <v>982815.89</v>
      </c>
      <c r="J23" s="16">
        <v>7317649.4699999988</v>
      </c>
      <c r="K23" s="16">
        <v>0</v>
      </c>
      <c r="L23" s="16">
        <v>0</v>
      </c>
      <c r="M23" s="16">
        <v>285.63</v>
      </c>
      <c r="N23" s="18">
        <f t="shared" si="0"/>
        <v>120869586.57035422</v>
      </c>
      <c r="O23" s="4"/>
    </row>
    <row r="24" spans="1:15" ht="15" x14ac:dyDescent="0.2">
      <c r="A24" s="17" t="s">
        <v>19</v>
      </c>
      <c r="B24" s="16">
        <v>31628136.329999998</v>
      </c>
      <c r="C24" s="16">
        <v>0</v>
      </c>
      <c r="D24" s="16">
        <v>1459325.907171872</v>
      </c>
      <c r="E24" s="16">
        <v>0</v>
      </c>
      <c r="F24" s="16">
        <v>642896.68000000005</v>
      </c>
      <c r="G24" s="16">
        <v>121479.38314015503</v>
      </c>
      <c r="H24" s="16">
        <v>1614590.65</v>
      </c>
      <c r="I24" s="16">
        <v>1021905.16</v>
      </c>
      <c r="J24" s="16">
        <v>5943049.6500000013</v>
      </c>
      <c r="K24" s="16">
        <v>0</v>
      </c>
      <c r="L24" s="16">
        <v>0</v>
      </c>
      <c r="M24" s="16">
        <v>296.99</v>
      </c>
      <c r="N24" s="18">
        <f t="shared" si="0"/>
        <v>42431680.750312023</v>
      </c>
      <c r="O24" s="4"/>
    </row>
    <row r="25" spans="1:15" ht="15" x14ac:dyDescent="0.2">
      <c r="A25" s="17" t="s">
        <v>20</v>
      </c>
      <c r="B25" s="16">
        <v>141629027.78</v>
      </c>
      <c r="C25" s="16">
        <v>0</v>
      </c>
      <c r="D25" s="16">
        <v>1291320.7523699643</v>
      </c>
      <c r="E25" s="16">
        <v>0</v>
      </c>
      <c r="F25" s="16">
        <v>2851317.04</v>
      </c>
      <c r="G25" s="16">
        <v>964367.54</v>
      </c>
      <c r="H25" s="16">
        <v>7230046.7400000002</v>
      </c>
      <c r="I25" s="16">
        <v>4532261.05</v>
      </c>
      <c r="J25" s="16">
        <v>14480918.110000003</v>
      </c>
      <c r="K25" s="16">
        <v>0</v>
      </c>
      <c r="L25" s="16">
        <v>0</v>
      </c>
      <c r="M25" s="16">
        <v>1317.27</v>
      </c>
      <c r="N25" s="18">
        <f t="shared" si="0"/>
        <v>172980576.28237</v>
      </c>
      <c r="O25" s="4"/>
    </row>
    <row r="26" spans="1:15" ht="15" x14ac:dyDescent="0.2">
      <c r="A26" s="17" t="s">
        <v>21</v>
      </c>
      <c r="B26" s="16">
        <v>52397877.969999999</v>
      </c>
      <c r="C26" s="16">
        <v>0</v>
      </c>
      <c r="D26" s="16">
        <v>1819329.3162779524</v>
      </c>
      <c r="E26" s="16">
        <v>0</v>
      </c>
      <c r="F26" s="16">
        <v>1296771.78</v>
      </c>
      <c r="G26" s="16">
        <v>529206.65</v>
      </c>
      <c r="H26" s="16">
        <v>2674869.08</v>
      </c>
      <c r="I26" s="16">
        <v>2061260.88</v>
      </c>
      <c r="J26" s="16">
        <v>9691504.9000000004</v>
      </c>
      <c r="K26" s="16">
        <v>0</v>
      </c>
      <c r="L26" s="16">
        <v>0</v>
      </c>
      <c r="M26" s="16">
        <v>599.06999999999994</v>
      </c>
      <c r="N26" s="18">
        <f t="shared" si="0"/>
        <v>70471419.646277949</v>
      </c>
      <c r="O26" s="4"/>
    </row>
    <row r="27" spans="1:15" ht="15" x14ac:dyDescent="0.2">
      <c r="A27" s="17" t="s">
        <v>22</v>
      </c>
      <c r="B27" s="16">
        <v>27036223.660000004</v>
      </c>
      <c r="C27" s="16">
        <v>0</v>
      </c>
      <c r="D27" s="16">
        <v>804970.44314517407</v>
      </c>
      <c r="E27" s="16">
        <v>0</v>
      </c>
      <c r="F27" s="16">
        <v>322326.61</v>
      </c>
      <c r="G27" s="16">
        <v>148241.62</v>
      </c>
      <c r="H27" s="16">
        <v>1380177.25</v>
      </c>
      <c r="I27" s="16">
        <v>512348.62</v>
      </c>
      <c r="J27" s="16">
        <v>2834676.6899999995</v>
      </c>
      <c r="K27" s="16">
        <v>0</v>
      </c>
      <c r="L27" s="16">
        <v>0</v>
      </c>
      <c r="M27" s="16">
        <v>148.88999999999999</v>
      </c>
      <c r="N27" s="18">
        <f t="shared" si="0"/>
        <v>33039113.783145182</v>
      </c>
      <c r="O27" s="4"/>
    </row>
    <row r="28" spans="1:15" ht="15" x14ac:dyDescent="0.2">
      <c r="A28" s="17" t="s">
        <v>23</v>
      </c>
      <c r="B28" s="16">
        <v>89205749.939999998</v>
      </c>
      <c r="C28" s="16">
        <v>0</v>
      </c>
      <c r="D28" s="16">
        <v>2434920.2974889185</v>
      </c>
      <c r="E28" s="16">
        <v>0</v>
      </c>
      <c r="F28" s="16">
        <v>443967.58</v>
      </c>
      <c r="G28" s="16">
        <v>226347.42</v>
      </c>
      <c r="H28" s="16">
        <v>4553881.0199999996</v>
      </c>
      <c r="I28" s="16">
        <v>705700.9</v>
      </c>
      <c r="J28" s="16">
        <v>5682666.2299999977</v>
      </c>
      <c r="K28" s="16">
        <v>0</v>
      </c>
      <c r="L28" s="16">
        <v>0</v>
      </c>
      <c r="M28" s="16">
        <v>205.07999999999998</v>
      </c>
      <c r="N28" s="18">
        <f t="shared" si="0"/>
        <v>103253438.46748891</v>
      </c>
      <c r="O28" s="4"/>
    </row>
    <row r="29" spans="1:15" ht="15" x14ac:dyDescent="0.2">
      <c r="A29" s="17" t="s">
        <v>24</v>
      </c>
      <c r="B29" s="16">
        <v>53161684.849999994</v>
      </c>
      <c r="C29" s="16">
        <v>0</v>
      </c>
      <c r="D29" s="16">
        <v>2227424.2482393365</v>
      </c>
      <c r="E29" s="16">
        <v>0</v>
      </c>
      <c r="F29" s="16">
        <v>277095.49</v>
      </c>
      <c r="G29" s="16">
        <v>117955.7</v>
      </c>
      <c r="H29" s="16">
        <v>2713860.8</v>
      </c>
      <c r="I29" s="16">
        <v>440452.29</v>
      </c>
      <c r="J29" s="16">
        <v>5091633.8099999996</v>
      </c>
      <c r="K29" s="16">
        <v>0</v>
      </c>
      <c r="L29" s="16">
        <v>0</v>
      </c>
      <c r="M29" s="16">
        <v>128</v>
      </c>
      <c r="N29" s="18">
        <f t="shared" si="0"/>
        <v>64030235.188239336</v>
      </c>
      <c r="O29" s="4"/>
    </row>
    <row r="30" spans="1:15" ht="15" x14ac:dyDescent="0.2">
      <c r="A30" s="17" t="s">
        <v>25</v>
      </c>
      <c r="B30" s="16">
        <v>18300522.59</v>
      </c>
      <c r="C30" s="16">
        <v>0</v>
      </c>
      <c r="D30" s="16">
        <v>1338255.9566055802</v>
      </c>
      <c r="E30" s="16">
        <v>0</v>
      </c>
      <c r="F30" s="16">
        <v>239329.7</v>
      </c>
      <c r="G30" s="16">
        <v>149835.62</v>
      </c>
      <c r="H30" s="16">
        <v>934226.81</v>
      </c>
      <c r="I30" s="16">
        <v>380422.34</v>
      </c>
      <c r="J30" s="16">
        <v>3852174.9199999981</v>
      </c>
      <c r="K30" s="16">
        <v>0</v>
      </c>
      <c r="L30" s="16">
        <v>0</v>
      </c>
      <c r="M30" s="16">
        <v>110.53999999999999</v>
      </c>
      <c r="N30" s="18">
        <f t="shared" si="0"/>
        <v>25194878.476605576</v>
      </c>
      <c r="O30" s="4"/>
    </row>
    <row r="31" spans="1:15" ht="15" x14ac:dyDescent="0.2">
      <c r="A31" s="17" t="s">
        <v>26</v>
      </c>
      <c r="B31" s="16">
        <v>33500461.030000001</v>
      </c>
      <c r="C31" s="16">
        <v>0</v>
      </c>
      <c r="D31" s="16">
        <v>1010202.5764710382</v>
      </c>
      <c r="E31" s="16">
        <v>0</v>
      </c>
      <c r="F31" s="16">
        <v>285878.23</v>
      </c>
      <c r="G31" s="16">
        <v>84481.78</v>
      </c>
      <c r="H31" s="16">
        <v>1710171.31</v>
      </c>
      <c r="I31" s="16">
        <v>454412.74</v>
      </c>
      <c r="J31" s="16">
        <v>2728635.7999999989</v>
      </c>
      <c r="K31" s="16">
        <v>0</v>
      </c>
      <c r="L31" s="16">
        <v>0</v>
      </c>
      <c r="M31" s="16">
        <v>132.06</v>
      </c>
      <c r="N31" s="18">
        <f t="shared" si="0"/>
        <v>39774375.526471041</v>
      </c>
      <c r="O31" s="4"/>
    </row>
    <row r="32" spans="1:15" ht="15" x14ac:dyDescent="0.2">
      <c r="A32" s="17" t="s">
        <v>27</v>
      </c>
      <c r="B32" s="16">
        <v>153164144.61000001</v>
      </c>
      <c r="C32" s="16">
        <v>0</v>
      </c>
      <c r="D32" s="16">
        <v>2927417.8533608606</v>
      </c>
      <c r="E32" s="16">
        <v>0</v>
      </c>
      <c r="F32" s="16">
        <v>843143.18</v>
      </c>
      <c r="G32" s="16">
        <v>497326.73</v>
      </c>
      <c r="H32" s="16">
        <v>7818905.0700000003</v>
      </c>
      <c r="I32" s="16">
        <v>1340203.48</v>
      </c>
      <c r="J32" s="16">
        <v>8806001.5999999978</v>
      </c>
      <c r="K32" s="16">
        <v>0</v>
      </c>
      <c r="L32" s="16">
        <v>0</v>
      </c>
      <c r="M32" s="16">
        <v>389.5</v>
      </c>
      <c r="N32" s="18">
        <f t="shared" si="0"/>
        <v>175397532.02336085</v>
      </c>
      <c r="O32" s="4"/>
    </row>
    <row r="33" spans="1:15" ht="15" x14ac:dyDescent="0.2">
      <c r="A33" s="17" t="s">
        <v>28</v>
      </c>
      <c r="B33" s="16">
        <v>99039083.25</v>
      </c>
      <c r="C33" s="16">
        <v>0</v>
      </c>
      <c r="D33" s="16">
        <v>2897554.8631509948</v>
      </c>
      <c r="E33" s="16">
        <v>0</v>
      </c>
      <c r="F33" s="16">
        <v>618744.14</v>
      </c>
      <c r="G33" s="16">
        <v>372995.05</v>
      </c>
      <c r="H33" s="16">
        <v>5055864.6900000004</v>
      </c>
      <c r="I33" s="16">
        <v>983513.91</v>
      </c>
      <c r="J33" s="16">
        <v>8259299.8499999968</v>
      </c>
      <c r="K33" s="16">
        <v>0</v>
      </c>
      <c r="L33" s="16">
        <v>0</v>
      </c>
      <c r="M33" s="16">
        <v>285.84000000000003</v>
      </c>
      <c r="N33" s="18">
        <f t="shared" si="0"/>
        <v>117227341.59315099</v>
      </c>
      <c r="O33" s="4"/>
    </row>
    <row r="34" spans="1:15" ht="15" x14ac:dyDescent="0.2">
      <c r="A34" s="17" t="s">
        <v>29</v>
      </c>
      <c r="B34" s="16">
        <v>138085762.07999998</v>
      </c>
      <c r="C34" s="16">
        <v>0</v>
      </c>
      <c r="D34" s="16">
        <v>3034771.9651397401</v>
      </c>
      <c r="E34" s="16">
        <v>0</v>
      </c>
      <c r="F34" s="16">
        <v>899791.87</v>
      </c>
      <c r="G34" s="16">
        <v>655132.32999999996</v>
      </c>
      <c r="H34" s="16">
        <v>7049165.9000000004</v>
      </c>
      <c r="I34" s="16">
        <v>1430248.4</v>
      </c>
      <c r="J34" s="16">
        <v>10657190.939999994</v>
      </c>
      <c r="K34" s="16">
        <v>0</v>
      </c>
      <c r="L34" s="16">
        <v>0</v>
      </c>
      <c r="M34" s="16">
        <v>415.66999999999996</v>
      </c>
      <c r="N34" s="18">
        <f t="shared" si="0"/>
        <v>161812479.15513974</v>
      </c>
      <c r="O34" s="4"/>
    </row>
    <row r="35" spans="1:15" ht="15" x14ac:dyDescent="0.2">
      <c r="A35" s="17" t="s">
        <v>30</v>
      </c>
      <c r="B35" s="16">
        <v>66534655.299999997</v>
      </c>
      <c r="C35" s="16">
        <v>0</v>
      </c>
      <c r="D35" s="16">
        <v>1357276.3233382604</v>
      </c>
      <c r="E35" s="16">
        <v>0</v>
      </c>
      <c r="F35" s="16">
        <v>562534.59</v>
      </c>
      <c r="G35" s="16">
        <v>253445.35</v>
      </c>
      <c r="H35" s="16">
        <v>3396540.07</v>
      </c>
      <c r="I35" s="16">
        <v>894167.01</v>
      </c>
      <c r="J35" s="16">
        <v>3897100.2499999991</v>
      </c>
      <c r="K35" s="16">
        <v>0</v>
      </c>
      <c r="L35" s="16">
        <v>0</v>
      </c>
      <c r="M35" s="16">
        <v>259.86</v>
      </c>
      <c r="N35" s="18">
        <f t="shared" si="0"/>
        <v>76895978.753338248</v>
      </c>
      <c r="O35" s="4"/>
    </row>
    <row r="36" spans="1:15" ht="15" x14ac:dyDescent="0.2">
      <c r="A36" s="17" t="s">
        <v>31</v>
      </c>
      <c r="B36" s="16">
        <v>71669034.129999995</v>
      </c>
      <c r="C36" s="16">
        <v>0</v>
      </c>
      <c r="D36" s="16">
        <v>1766691.6797485626</v>
      </c>
      <c r="E36" s="16">
        <v>0</v>
      </c>
      <c r="F36" s="16">
        <v>353944.48</v>
      </c>
      <c r="G36" s="16">
        <v>160993.59</v>
      </c>
      <c r="H36" s="16">
        <v>3658645.93</v>
      </c>
      <c r="I36" s="16">
        <v>562606.25</v>
      </c>
      <c r="J36" s="16">
        <v>5103047.410000002</v>
      </c>
      <c r="K36" s="16">
        <v>0</v>
      </c>
      <c r="L36" s="16">
        <v>0</v>
      </c>
      <c r="M36" s="16">
        <v>163.5</v>
      </c>
      <c r="N36" s="18">
        <f t="shared" si="0"/>
        <v>83275126.969748572</v>
      </c>
      <c r="O36" s="4"/>
    </row>
    <row r="37" spans="1:15" ht="15" x14ac:dyDescent="0.2">
      <c r="A37" s="17" t="s">
        <v>32</v>
      </c>
      <c r="B37" s="16">
        <v>79599200.159999996</v>
      </c>
      <c r="C37" s="16">
        <v>0</v>
      </c>
      <c r="D37" s="16">
        <v>2752331.3058795761</v>
      </c>
      <c r="E37" s="16">
        <v>0</v>
      </c>
      <c r="F37" s="16">
        <v>656509.93000000005</v>
      </c>
      <c r="G37" s="16">
        <v>234317.4</v>
      </c>
      <c r="H37" s="16">
        <v>4063474.46</v>
      </c>
      <c r="I37" s="16">
        <v>1043543.86</v>
      </c>
      <c r="J37" s="16">
        <v>6588809.9199999999</v>
      </c>
      <c r="K37" s="16">
        <v>0</v>
      </c>
      <c r="L37" s="16">
        <v>0</v>
      </c>
      <c r="M37" s="16">
        <v>303.27999999999997</v>
      </c>
      <c r="N37" s="18">
        <f t="shared" si="0"/>
        <v>94938490.315879583</v>
      </c>
      <c r="O37" s="4"/>
    </row>
    <row r="38" spans="1:15" ht="15" x14ac:dyDescent="0.2">
      <c r="A38" s="17" t="s">
        <v>33</v>
      </c>
      <c r="B38" s="16">
        <v>72837422.800000012</v>
      </c>
      <c r="C38" s="16">
        <v>0</v>
      </c>
      <c r="D38" s="16">
        <v>672407.89767342201</v>
      </c>
      <c r="E38" s="16">
        <v>0</v>
      </c>
      <c r="F38" s="16">
        <v>586687.13</v>
      </c>
      <c r="G38" s="16">
        <v>634410.38</v>
      </c>
      <c r="H38" s="16">
        <v>3718291.23</v>
      </c>
      <c r="I38" s="16">
        <v>932558.26</v>
      </c>
      <c r="J38" s="16">
        <v>10906832.199999996</v>
      </c>
      <c r="K38" s="16">
        <v>0</v>
      </c>
      <c r="L38" s="16">
        <v>0</v>
      </c>
      <c r="M38" s="16">
        <v>271.02</v>
      </c>
      <c r="N38" s="18">
        <f t="shared" si="0"/>
        <v>90288880.917673424</v>
      </c>
      <c r="O38" s="4"/>
    </row>
    <row r="39" spans="1:15" ht="15" x14ac:dyDescent="0.2">
      <c r="A39" s="17" t="s">
        <v>34</v>
      </c>
      <c r="B39" s="16">
        <v>120561746.18000001</v>
      </c>
      <c r="C39" s="16">
        <v>0</v>
      </c>
      <c r="D39" s="16">
        <v>3252532.6913597183</v>
      </c>
      <c r="E39" s="16">
        <v>0</v>
      </c>
      <c r="F39" s="16">
        <v>747411.3</v>
      </c>
      <c r="G39" s="16">
        <v>390529</v>
      </c>
      <c r="H39" s="16">
        <v>6154579.1399999997</v>
      </c>
      <c r="I39" s="16">
        <v>1188034.55</v>
      </c>
      <c r="J39" s="16">
        <v>9289305.0799999982</v>
      </c>
      <c r="K39" s="16">
        <v>0</v>
      </c>
      <c r="L39" s="16">
        <v>0</v>
      </c>
      <c r="M39" s="16">
        <v>345.28</v>
      </c>
      <c r="N39" s="18">
        <f t="shared" si="0"/>
        <v>141584483.2213597</v>
      </c>
      <c r="O39" s="4"/>
    </row>
    <row r="40" spans="1:15" ht="15" x14ac:dyDescent="0.2">
      <c r="A40" s="17" t="s">
        <v>35</v>
      </c>
      <c r="B40" s="16">
        <v>80769403.120000005</v>
      </c>
      <c r="C40" s="16">
        <v>0</v>
      </c>
      <c r="D40" s="16">
        <v>2830416.4073370267</v>
      </c>
      <c r="E40" s="16">
        <v>0</v>
      </c>
      <c r="F40" s="16">
        <v>399175.6</v>
      </c>
      <c r="G40" s="16">
        <v>172151.56</v>
      </c>
      <c r="H40" s="16">
        <v>4123212.37</v>
      </c>
      <c r="I40" s="16">
        <v>634502.59</v>
      </c>
      <c r="J40" s="16">
        <v>5169629.9600000009</v>
      </c>
      <c r="K40" s="16">
        <v>0</v>
      </c>
      <c r="L40" s="16">
        <v>0</v>
      </c>
      <c r="M40" s="16">
        <v>184.4</v>
      </c>
      <c r="N40" s="18">
        <f t="shared" ref="N40:N71" si="1">SUM(B40:M40)</f>
        <v>94098676.007337034</v>
      </c>
      <c r="O40" s="4"/>
    </row>
    <row r="41" spans="1:15" ht="15" x14ac:dyDescent="0.2">
      <c r="A41" s="17" t="s">
        <v>36</v>
      </c>
      <c r="B41" s="16">
        <v>83686746.270000011</v>
      </c>
      <c r="C41" s="16">
        <v>0</v>
      </c>
      <c r="D41" s="16">
        <v>1188646.8913331125</v>
      </c>
      <c r="E41" s="16">
        <v>0</v>
      </c>
      <c r="F41" s="16">
        <v>675831.96</v>
      </c>
      <c r="G41" s="16">
        <v>275761.3</v>
      </c>
      <c r="H41" s="16">
        <v>4272140.37</v>
      </c>
      <c r="I41" s="16">
        <v>1074256.8500000001</v>
      </c>
      <c r="J41" s="16">
        <v>5245362.5399999991</v>
      </c>
      <c r="K41" s="16">
        <v>0</v>
      </c>
      <c r="L41" s="16">
        <v>0</v>
      </c>
      <c r="M41" s="16">
        <v>312.21000000000004</v>
      </c>
      <c r="N41" s="18">
        <f t="shared" si="1"/>
        <v>96419058.391333118</v>
      </c>
      <c r="O41" s="4"/>
    </row>
    <row r="42" spans="1:15" ht="15" x14ac:dyDescent="0.2">
      <c r="A42" s="17" t="s">
        <v>37</v>
      </c>
      <c r="B42" s="16">
        <v>51556057.549999997</v>
      </c>
      <c r="C42" s="16">
        <v>0</v>
      </c>
      <c r="D42" s="16">
        <v>592706.691298116</v>
      </c>
      <c r="E42" s="16">
        <v>0</v>
      </c>
      <c r="F42" s="16">
        <v>1835592.98</v>
      </c>
      <c r="G42" s="16">
        <v>0</v>
      </c>
      <c r="H42" s="16">
        <v>2631894.83</v>
      </c>
      <c r="I42" s="16">
        <v>2917734.66</v>
      </c>
      <c r="J42" s="16">
        <v>8173976.1400000015</v>
      </c>
      <c r="K42" s="16">
        <v>0</v>
      </c>
      <c r="L42" s="16">
        <v>0</v>
      </c>
      <c r="M42" s="16">
        <v>848.01</v>
      </c>
      <c r="N42" s="18">
        <f t="shared" si="1"/>
        <v>67708810.861298114</v>
      </c>
      <c r="O42" s="4"/>
    </row>
    <row r="43" spans="1:15" ht="15" x14ac:dyDescent="0.2">
      <c r="A43" s="17" t="s">
        <v>38</v>
      </c>
      <c r="B43" s="16">
        <v>185849999.34999999</v>
      </c>
      <c r="C43" s="16">
        <v>0</v>
      </c>
      <c r="D43" s="16">
        <v>2287564.1424465314</v>
      </c>
      <c r="E43" s="16">
        <v>0</v>
      </c>
      <c r="F43" s="16">
        <v>7633080.6699999999</v>
      </c>
      <c r="G43" s="16">
        <v>2178992.44</v>
      </c>
      <c r="H43" s="16">
        <v>9487491.3900000006</v>
      </c>
      <c r="I43" s="16">
        <v>12133029.65</v>
      </c>
      <c r="J43" s="16">
        <v>25302561.02</v>
      </c>
      <c r="K43" s="16">
        <v>0</v>
      </c>
      <c r="L43" s="16">
        <v>0</v>
      </c>
      <c r="M43" s="16">
        <v>3526.41</v>
      </c>
      <c r="N43" s="18">
        <f t="shared" si="1"/>
        <v>244876245.0724465</v>
      </c>
      <c r="O43" s="4"/>
    </row>
    <row r="44" spans="1:15" ht="15" x14ac:dyDescent="0.2">
      <c r="A44" s="17" t="s">
        <v>39</v>
      </c>
      <c r="B44" s="16">
        <v>267337852.76999998</v>
      </c>
      <c r="C44" s="16">
        <v>0</v>
      </c>
      <c r="D44" s="16">
        <v>2103290.0616195458</v>
      </c>
      <c r="E44" s="16">
        <v>0</v>
      </c>
      <c r="F44" s="16">
        <v>9604367.0099999998</v>
      </c>
      <c r="G44" s="16">
        <v>3895736.1615817938</v>
      </c>
      <c r="H44" s="16">
        <v>13647380.060000001</v>
      </c>
      <c r="I44" s="16">
        <v>15266453.310000001</v>
      </c>
      <c r="J44" s="16">
        <v>32844645.909999989</v>
      </c>
      <c r="K44" s="16">
        <v>0</v>
      </c>
      <c r="L44" s="16">
        <v>0</v>
      </c>
      <c r="M44" s="16">
        <v>4437.1399999999994</v>
      </c>
      <c r="N44" s="18">
        <f t="shared" si="1"/>
        <v>344704162.42320126</v>
      </c>
      <c r="O44" s="4"/>
    </row>
    <row r="45" spans="1:15" ht="15" x14ac:dyDescent="0.2">
      <c r="A45" s="17" t="s">
        <v>40</v>
      </c>
      <c r="B45" s="16">
        <v>75858179.239999995</v>
      </c>
      <c r="C45" s="16">
        <v>0</v>
      </c>
      <c r="D45" s="16">
        <v>1044711.6464670321</v>
      </c>
      <c r="E45" s="16">
        <v>0</v>
      </c>
      <c r="F45" s="16">
        <v>715354.29</v>
      </c>
      <c r="G45" s="16">
        <v>304453.21999999997</v>
      </c>
      <c r="H45" s="16">
        <v>3872498.39</v>
      </c>
      <c r="I45" s="16">
        <v>1137078.8899999999</v>
      </c>
      <c r="J45" s="16">
        <v>4920736.7100000009</v>
      </c>
      <c r="K45" s="16">
        <v>0</v>
      </c>
      <c r="L45" s="16">
        <v>0</v>
      </c>
      <c r="M45" s="16">
        <v>330.47</v>
      </c>
      <c r="N45" s="18">
        <f t="shared" si="1"/>
        <v>87853342.856467038</v>
      </c>
      <c r="O45" s="4"/>
    </row>
    <row r="46" spans="1:15" ht="15" x14ac:dyDescent="0.2">
      <c r="A46" s="17" t="s">
        <v>41</v>
      </c>
      <c r="B46" s="16">
        <v>118205011.86000001</v>
      </c>
      <c r="C46" s="16">
        <v>0</v>
      </c>
      <c r="D46" s="16">
        <v>1008518.621619546</v>
      </c>
      <c r="E46" s="16">
        <v>0</v>
      </c>
      <c r="F46" s="16">
        <v>5642472.2999999998</v>
      </c>
      <c r="G46" s="16">
        <v>576297.34425135981</v>
      </c>
      <c r="H46" s="16">
        <v>6034269.7699999996</v>
      </c>
      <c r="I46" s="16">
        <v>8968892.9900000002</v>
      </c>
      <c r="J46" s="16">
        <v>21948076.269999996</v>
      </c>
      <c r="K46" s="16">
        <v>0</v>
      </c>
      <c r="L46" s="16">
        <v>0</v>
      </c>
      <c r="M46" s="16">
        <v>2606.7600000000002</v>
      </c>
      <c r="N46" s="18">
        <f t="shared" si="1"/>
        <v>162386145.9158709</v>
      </c>
      <c r="O46" s="4"/>
    </row>
    <row r="47" spans="1:15" ht="15" x14ac:dyDescent="0.2">
      <c r="A47" s="17" t="s">
        <v>42</v>
      </c>
      <c r="B47" s="16">
        <v>351666850.05000001</v>
      </c>
      <c r="C47" s="16">
        <v>0</v>
      </c>
      <c r="D47" s="16">
        <v>1842675.7148992617</v>
      </c>
      <c r="E47" s="16">
        <v>0</v>
      </c>
      <c r="F47" s="16">
        <v>17590074.760000002</v>
      </c>
      <c r="G47" s="16">
        <v>4375174.1585225537</v>
      </c>
      <c r="H47" s="16">
        <v>17952306.809999999</v>
      </c>
      <c r="I47" s="16">
        <v>27959995.149999999</v>
      </c>
      <c r="J47" s="16">
        <v>50712006.849999994</v>
      </c>
      <c r="K47" s="16">
        <v>0</v>
      </c>
      <c r="L47" s="16">
        <v>0</v>
      </c>
      <c r="M47" s="16">
        <v>8126.49</v>
      </c>
      <c r="N47" s="18">
        <f t="shared" si="1"/>
        <v>472107209.9834218</v>
      </c>
      <c r="O47" s="4"/>
    </row>
    <row r="48" spans="1:15" ht="15" x14ac:dyDescent="0.2">
      <c r="A48" s="17" t="s">
        <v>43</v>
      </c>
      <c r="B48" s="16">
        <v>38453413.050000004</v>
      </c>
      <c r="C48" s="16">
        <v>0</v>
      </c>
      <c r="D48" s="16">
        <v>878069.9527905623</v>
      </c>
      <c r="E48" s="16">
        <v>0</v>
      </c>
      <c r="F48" s="16">
        <v>152819.70000000001</v>
      </c>
      <c r="G48" s="16">
        <v>90857.77</v>
      </c>
      <c r="H48" s="16">
        <v>1963015.48</v>
      </c>
      <c r="I48" s="16">
        <v>242911.88</v>
      </c>
      <c r="J48" s="16">
        <v>2768324.4599999995</v>
      </c>
      <c r="K48" s="16">
        <v>0</v>
      </c>
      <c r="L48" s="16">
        <v>0</v>
      </c>
      <c r="M48" s="16">
        <v>70.59</v>
      </c>
      <c r="N48" s="18">
        <f t="shared" si="1"/>
        <v>44549482.88279058</v>
      </c>
      <c r="O48" s="4"/>
    </row>
    <row r="49" spans="1:15" ht="15" x14ac:dyDescent="0.2">
      <c r="A49" s="17" t="s">
        <v>44</v>
      </c>
      <c r="B49" s="16">
        <v>62583179.279999994</v>
      </c>
      <c r="C49" s="16">
        <v>0</v>
      </c>
      <c r="D49" s="16">
        <v>1796366.3233422663</v>
      </c>
      <c r="E49" s="16">
        <v>0</v>
      </c>
      <c r="F49" s="16">
        <v>902426.69</v>
      </c>
      <c r="G49" s="16">
        <v>403280.97</v>
      </c>
      <c r="H49" s="16">
        <v>3194820.43</v>
      </c>
      <c r="I49" s="16">
        <v>1434436.54</v>
      </c>
      <c r="J49" s="16">
        <v>6435982.7499999991</v>
      </c>
      <c r="K49" s="16">
        <v>0</v>
      </c>
      <c r="L49" s="16">
        <v>0</v>
      </c>
      <c r="M49" s="16">
        <v>416.9</v>
      </c>
      <c r="N49" s="18">
        <f t="shared" si="1"/>
        <v>76750909.883342266</v>
      </c>
      <c r="O49" s="4"/>
    </row>
    <row r="50" spans="1:15" ht="15" x14ac:dyDescent="0.2">
      <c r="A50" s="17" t="s">
        <v>45</v>
      </c>
      <c r="B50" s="16">
        <v>49812545.86999999</v>
      </c>
      <c r="C50" s="16">
        <v>0</v>
      </c>
      <c r="D50" s="16">
        <v>1696835.3219613843</v>
      </c>
      <c r="E50" s="16">
        <v>0</v>
      </c>
      <c r="F50" s="16">
        <v>252942.95</v>
      </c>
      <c r="G50" s="16">
        <v>113173.71</v>
      </c>
      <c r="H50" s="16">
        <v>2542889.98</v>
      </c>
      <c r="I50" s="16">
        <v>402061.04</v>
      </c>
      <c r="J50" s="16">
        <v>4635838.0300000012</v>
      </c>
      <c r="K50" s="16">
        <v>0</v>
      </c>
      <c r="L50" s="16">
        <v>0</v>
      </c>
      <c r="M50" s="16">
        <v>116.84</v>
      </c>
      <c r="N50" s="18">
        <f t="shared" si="1"/>
        <v>59456403.741961382</v>
      </c>
      <c r="O50" s="4"/>
    </row>
    <row r="51" spans="1:15" ht="15" x14ac:dyDescent="0.2">
      <c r="A51" s="17" t="s">
        <v>46</v>
      </c>
      <c r="B51" s="16">
        <v>49119495.45000001</v>
      </c>
      <c r="C51" s="16">
        <v>0</v>
      </c>
      <c r="D51" s="16">
        <v>2013433.4579346864</v>
      </c>
      <c r="E51" s="16">
        <v>0</v>
      </c>
      <c r="F51" s="16">
        <v>315300.42</v>
      </c>
      <c r="G51" s="16">
        <v>151429.60999999999</v>
      </c>
      <c r="H51" s="16">
        <v>2507510.3199999998</v>
      </c>
      <c r="I51" s="16">
        <v>501180.26</v>
      </c>
      <c r="J51" s="16">
        <v>3215737.3699999987</v>
      </c>
      <c r="K51" s="16">
        <v>0</v>
      </c>
      <c r="L51" s="16">
        <v>0</v>
      </c>
      <c r="M51" s="16">
        <v>145.64000000000001</v>
      </c>
      <c r="N51" s="18">
        <f t="shared" si="1"/>
        <v>57824232.527934693</v>
      </c>
      <c r="O51" s="4"/>
    </row>
    <row r="52" spans="1:15" ht="15" x14ac:dyDescent="0.2">
      <c r="A52" s="17" t="s">
        <v>47</v>
      </c>
      <c r="B52" s="16">
        <v>53480996.079999998</v>
      </c>
      <c r="C52" s="16">
        <v>0</v>
      </c>
      <c r="D52" s="16">
        <v>1368238.2879222904</v>
      </c>
      <c r="E52" s="16">
        <v>0</v>
      </c>
      <c r="F52" s="16">
        <v>290269.59999999998</v>
      </c>
      <c r="G52" s="16">
        <v>176933.55</v>
      </c>
      <c r="H52" s="16">
        <v>2730161.38</v>
      </c>
      <c r="I52" s="16">
        <v>461392.97</v>
      </c>
      <c r="J52" s="16">
        <v>4315643.6400000015</v>
      </c>
      <c r="K52" s="16">
        <v>0</v>
      </c>
      <c r="L52" s="16">
        <v>0</v>
      </c>
      <c r="M52" s="16">
        <v>134.09</v>
      </c>
      <c r="N52" s="18">
        <f t="shared" si="1"/>
        <v>62823769.597922295</v>
      </c>
      <c r="O52" s="4"/>
    </row>
    <row r="53" spans="1:15" ht="15" x14ac:dyDescent="0.2">
      <c r="A53" s="17" t="s">
        <v>48</v>
      </c>
      <c r="B53" s="16">
        <v>19274784.57</v>
      </c>
      <c r="C53" s="16">
        <v>0</v>
      </c>
      <c r="D53" s="16">
        <v>1482443.6704162147</v>
      </c>
      <c r="E53" s="16">
        <v>0</v>
      </c>
      <c r="F53" s="16">
        <v>50500.76</v>
      </c>
      <c r="G53" s="16">
        <v>28691.93</v>
      </c>
      <c r="H53" s="16">
        <v>983962.09</v>
      </c>
      <c r="I53" s="16">
        <v>80272.600000000006</v>
      </c>
      <c r="J53" s="16">
        <v>2141209.6299999994</v>
      </c>
      <c r="K53" s="16">
        <v>0</v>
      </c>
      <c r="L53" s="16">
        <v>0</v>
      </c>
      <c r="M53" s="16">
        <v>23.310000000000002</v>
      </c>
      <c r="N53" s="18">
        <f t="shared" si="1"/>
        <v>24041888.560416214</v>
      </c>
      <c r="O53" s="4"/>
    </row>
    <row r="54" spans="1:15" ht="15" x14ac:dyDescent="0.2">
      <c r="A54" s="17" t="s">
        <v>49</v>
      </c>
      <c r="B54" s="16">
        <v>66768695.859999999</v>
      </c>
      <c r="C54" s="16">
        <v>0</v>
      </c>
      <c r="D54" s="16">
        <v>1931740.3345008865</v>
      </c>
      <c r="E54" s="16">
        <v>0</v>
      </c>
      <c r="F54" s="16">
        <v>173459.14</v>
      </c>
      <c r="G54" s="16">
        <v>109985.72</v>
      </c>
      <c r="H54" s="16">
        <v>3408487.65</v>
      </c>
      <c r="I54" s="16">
        <v>275718.95</v>
      </c>
      <c r="J54" s="16">
        <v>4948359.6800000006</v>
      </c>
      <c r="K54" s="16">
        <v>0</v>
      </c>
      <c r="L54" s="16">
        <v>0</v>
      </c>
      <c r="M54" s="16">
        <v>80.109999999999985</v>
      </c>
      <c r="N54" s="18">
        <f t="shared" si="1"/>
        <v>77616527.444500908</v>
      </c>
      <c r="O54" s="4"/>
    </row>
    <row r="55" spans="1:15" ht="15" x14ac:dyDescent="0.2">
      <c r="A55" s="17" t="s">
        <v>50</v>
      </c>
      <c r="B55" s="16">
        <v>24548862.039999999</v>
      </c>
      <c r="C55" s="16">
        <v>0</v>
      </c>
      <c r="D55" s="16">
        <v>808043.9055399301</v>
      </c>
      <c r="E55" s="16">
        <v>0</v>
      </c>
      <c r="F55" s="16">
        <v>320130.92</v>
      </c>
      <c r="G55" s="16">
        <v>151429.60999999999</v>
      </c>
      <c r="H55" s="16">
        <v>1253199.46</v>
      </c>
      <c r="I55" s="16">
        <v>508858.51</v>
      </c>
      <c r="J55" s="16">
        <v>3540036.9499999997</v>
      </c>
      <c r="K55" s="16">
        <v>0</v>
      </c>
      <c r="L55" s="16">
        <v>0</v>
      </c>
      <c r="M55" s="16">
        <v>147.88</v>
      </c>
      <c r="N55" s="18">
        <f t="shared" si="1"/>
        <v>31130709.275539931</v>
      </c>
      <c r="O55" s="4"/>
    </row>
    <row r="56" spans="1:15" ht="15" x14ac:dyDescent="0.2">
      <c r="A56" s="17" t="s">
        <v>51</v>
      </c>
      <c r="B56" s="16">
        <v>23534686.18</v>
      </c>
      <c r="C56" s="16">
        <v>0</v>
      </c>
      <c r="D56" s="16">
        <v>826595.30905211205</v>
      </c>
      <c r="E56" s="16">
        <v>0</v>
      </c>
      <c r="F56" s="16">
        <v>90462.23</v>
      </c>
      <c r="G56" s="16">
        <v>38255.9</v>
      </c>
      <c r="H56" s="16">
        <v>1201426.6000000001</v>
      </c>
      <c r="I56" s="16">
        <v>143792.67000000001</v>
      </c>
      <c r="J56" s="16">
        <v>2879314.4599999995</v>
      </c>
      <c r="K56" s="16">
        <v>0</v>
      </c>
      <c r="L56" s="16">
        <v>0</v>
      </c>
      <c r="M56" s="16">
        <v>41.760000000000005</v>
      </c>
      <c r="N56" s="18">
        <f t="shared" si="1"/>
        <v>28714575.109052118</v>
      </c>
      <c r="O56" s="4"/>
    </row>
    <row r="57" spans="1:15" ht="15" x14ac:dyDescent="0.2">
      <c r="A57" s="17" t="s">
        <v>52</v>
      </c>
      <c r="B57" s="16">
        <v>64925399.449999988</v>
      </c>
      <c r="C57" s="16">
        <v>0</v>
      </c>
      <c r="D57" s="16">
        <v>1549004.3564958305</v>
      </c>
      <c r="E57" s="16">
        <v>0</v>
      </c>
      <c r="F57" s="16">
        <v>464607.02</v>
      </c>
      <c r="G57" s="16">
        <v>200843.49</v>
      </c>
      <c r="H57" s="16">
        <v>3314388.87</v>
      </c>
      <c r="I57" s="16">
        <v>738507.96</v>
      </c>
      <c r="J57" s="16">
        <v>6105755.709999999</v>
      </c>
      <c r="K57" s="16">
        <v>0</v>
      </c>
      <c r="L57" s="16">
        <v>0</v>
      </c>
      <c r="M57" s="16">
        <v>214.63</v>
      </c>
      <c r="N57" s="18">
        <f t="shared" si="1"/>
        <v>77298721.486495808</v>
      </c>
      <c r="O57" s="4"/>
    </row>
    <row r="58" spans="1:15" ht="15" x14ac:dyDescent="0.2">
      <c r="A58" s="17" t="s">
        <v>53</v>
      </c>
      <c r="B58" s="16">
        <v>51937053.850000001</v>
      </c>
      <c r="C58" s="16">
        <v>0</v>
      </c>
      <c r="D58" s="16">
        <v>898204.08715947624</v>
      </c>
      <c r="E58" s="16">
        <v>0</v>
      </c>
      <c r="F58" s="16">
        <v>270508.43</v>
      </c>
      <c r="G58" s="16">
        <v>114767.71</v>
      </c>
      <c r="H58" s="16">
        <v>2651344.38</v>
      </c>
      <c r="I58" s="16">
        <v>429981.95</v>
      </c>
      <c r="J58" s="16">
        <v>3419033.6500000013</v>
      </c>
      <c r="K58" s="16">
        <v>0</v>
      </c>
      <c r="L58" s="16">
        <v>0</v>
      </c>
      <c r="M58" s="16">
        <v>124.95000000000002</v>
      </c>
      <c r="N58" s="18">
        <f t="shared" si="1"/>
        <v>59721019.007159486</v>
      </c>
      <c r="O58" s="4"/>
    </row>
    <row r="59" spans="1:15" ht="15" x14ac:dyDescent="0.2">
      <c r="A59" s="17" t="s">
        <v>54</v>
      </c>
      <c r="B59" s="16">
        <v>57771740.159999996</v>
      </c>
      <c r="C59" s="16">
        <v>0</v>
      </c>
      <c r="D59" s="16">
        <v>1509795.6441506585</v>
      </c>
      <c r="E59" s="16">
        <v>0</v>
      </c>
      <c r="F59" s="16">
        <v>263482.23999999999</v>
      </c>
      <c r="G59" s="16">
        <v>114767.71</v>
      </c>
      <c r="H59" s="16">
        <v>2949200.38</v>
      </c>
      <c r="I59" s="16">
        <v>418813.59</v>
      </c>
      <c r="J59" s="16">
        <v>4009931.8599999985</v>
      </c>
      <c r="K59" s="16">
        <v>0</v>
      </c>
      <c r="L59" s="16">
        <v>0</v>
      </c>
      <c r="M59" s="16">
        <v>121.69999999999999</v>
      </c>
      <c r="N59" s="18">
        <f t="shared" si="1"/>
        <v>67037853.284150667</v>
      </c>
      <c r="O59" s="4"/>
    </row>
    <row r="60" spans="1:15" ht="15" x14ac:dyDescent="0.2">
      <c r="A60" s="17" t="s">
        <v>55</v>
      </c>
      <c r="B60" s="16">
        <v>409603688.73000002</v>
      </c>
      <c r="C60" s="16">
        <v>0</v>
      </c>
      <c r="D60" s="16">
        <v>16422631.621086059</v>
      </c>
      <c r="E60" s="16">
        <v>0</v>
      </c>
      <c r="F60" s="16">
        <v>14493719.23</v>
      </c>
      <c r="G60" s="16">
        <v>6315411.9199999999</v>
      </c>
      <c r="H60" s="16">
        <v>20909935.329999998</v>
      </c>
      <c r="I60" s="16">
        <v>23038237.460000001</v>
      </c>
      <c r="J60" s="16">
        <v>65585034.910000026</v>
      </c>
      <c r="K60" s="16">
        <v>0</v>
      </c>
      <c r="L60" s="16">
        <v>0</v>
      </c>
      <c r="M60" s="16">
        <v>6695.99</v>
      </c>
      <c r="N60" s="18">
        <f t="shared" si="1"/>
        <v>556375355.19108605</v>
      </c>
      <c r="O60" s="4"/>
    </row>
    <row r="61" spans="1:15" ht="15" x14ac:dyDescent="0.2">
      <c r="A61" s="17" t="s">
        <v>56</v>
      </c>
      <c r="B61" s="16">
        <v>64043665.149999991</v>
      </c>
      <c r="C61" s="16">
        <v>0</v>
      </c>
      <c r="D61" s="16">
        <v>1037758.1407628141</v>
      </c>
      <c r="E61" s="16">
        <v>0</v>
      </c>
      <c r="F61" s="16">
        <v>2587395.65</v>
      </c>
      <c r="G61" s="16">
        <v>622400.32299090689</v>
      </c>
      <c r="H61" s="16">
        <v>3269377.05</v>
      </c>
      <c r="I61" s="16">
        <v>4112749.44</v>
      </c>
      <c r="J61" s="16">
        <v>15411289.310000006</v>
      </c>
      <c r="K61" s="16">
        <v>0</v>
      </c>
      <c r="L61" s="16">
        <v>0</v>
      </c>
      <c r="M61" s="16">
        <v>1195.3399999999999</v>
      </c>
      <c r="N61" s="18">
        <f t="shared" si="1"/>
        <v>91085830.403753713</v>
      </c>
      <c r="O61" s="4"/>
    </row>
    <row r="62" spans="1:15" ht="15" x14ac:dyDescent="0.2">
      <c r="A62" s="17" t="s">
        <v>57</v>
      </c>
      <c r="B62" s="16">
        <v>386520755.25</v>
      </c>
      <c r="C62" s="16">
        <v>0</v>
      </c>
      <c r="D62" s="16">
        <v>4095256.0200000005</v>
      </c>
      <c r="E62" s="16">
        <v>0</v>
      </c>
      <c r="F62" s="16">
        <v>11601562.439999999</v>
      </c>
      <c r="G62" s="16">
        <v>0</v>
      </c>
      <c r="H62" s="16">
        <v>19731570.34</v>
      </c>
      <c r="I62" s="16">
        <v>18441060.309999999</v>
      </c>
      <c r="J62" s="16">
        <v>32504424.919999991</v>
      </c>
      <c r="K62" s="16">
        <v>0</v>
      </c>
      <c r="L62" s="16">
        <v>0</v>
      </c>
      <c r="M62" s="16">
        <v>5359.83</v>
      </c>
      <c r="N62" s="18">
        <f t="shared" si="1"/>
        <v>472899989.10999995</v>
      </c>
      <c r="O62" s="4"/>
    </row>
    <row r="63" spans="1:15" ht="15" x14ac:dyDescent="0.2">
      <c r="A63" s="17" t="s">
        <v>58</v>
      </c>
      <c r="B63" s="16">
        <v>58283363.839999989</v>
      </c>
      <c r="C63" s="16">
        <v>0</v>
      </c>
      <c r="D63" s="16">
        <v>2210817.1527613867</v>
      </c>
      <c r="E63" s="16">
        <v>0</v>
      </c>
      <c r="F63" s="16">
        <v>408836.61</v>
      </c>
      <c r="G63" s="16">
        <v>184903.53</v>
      </c>
      <c r="H63" s="16">
        <v>2975318.35</v>
      </c>
      <c r="I63" s="16">
        <v>649859.07999999996</v>
      </c>
      <c r="J63" s="16">
        <v>4571077.9399999995</v>
      </c>
      <c r="K63" s="16">
        <v>0</v>
      </c>
      <c r="L63" s="16">
        <v>0</v>
      </c>
      <c r="M63" s="16">
        <v>188.85000000000002</v>
      </c>
      <c r="N63" s="18">
        <f t="shared" si="1"/>
        <v>69284365.352761373</v>
      </c>
      <c r="O63" s="4"/>
    </row>
    <row r="64" spans="1:15" ht="15" x14ac:dyDescent="0.2">
      <c r="A64" s="17" t="s">
        <v>59</v>
      </c>
      <c r="B64" s="16">
        <v>123455503.85999998</v>
      </c>
      <c r="C64" s="16">
        <v>0</v>
      </c>
      <c r="D64" s="16">
        <v>5501229.083171403</v>
      </c>
      <c r="E64" s="16">
        <v>0</v>
      </c>
      <c r="F64" s="16">
        <v>748289.57</v>
      </c>
      <c r="G64" s="16">
        <v>315611.2</v>
      </c>
      <c r="H64" s="16">
        <v>6302303.1100000003</v>
      </c>
      <c r="I64" s="16">
        <v>1189430.5900000001</v>
      </c>
      <c r="J64" s="16">
        <v>9530429.2599999998</v>
      </c>
      <c r="K64" s="16">
        <v>0</v>
      </c>
      <c r="L64" s="16">
        <v>0</v>
      </c>
      <c r="M64" s="16">
        <v>345.66999999999996</v>
      </c>
      <c r="N64" s="18">
        <f t="shared" si="1"/>
        <v>147043142.34317136</v>
      </c>
      <c r="O64" s="4"/>
    </row>
    <row r="65" spans="1:15" ht="15" x14ac:dyDescent="0.2">
      <c r="A65" s="17" t="s">
        <v>60</v>
      </c>
      <c r="B65" s="16">
        <v>67664944.339999989</v>
      </c>
      <c r="C65" s="16">
        <v>0</v>
      </c>
      <c r="D65" s="16">
        <v>1829652.4511294446</v>
      </c>
      <c r="E65" s="16">
        <v>0</v>
      </c>
      <c r="F65" s="16">
        <v>162919.85</v>
      </c>
      <c r="G65" s="16">
        <v>121143.69</v>
      </c>
      <c r="H65" s="16">
        <v>3454240.41</v>
      </c>
      <c r="I65" s="16">
        <v>258966.39999999999</v>
      </c>
      <c r="J65" s="16">
        <v>5504518.1500000013</v>
      </c>
      <c r="K65" s="16">
        <v>0</v>
      </c>
      <c r="L65" s="16">
        <v>0</v>
      </c>
      <c r="M65" s="16">
        <v>75.25</v>
      </c>
      <c r="N65" s="18">
        <f t="shared" si="1"/>
        <v>78996460.54112944</v>
      </c>
      <c r="O65" s="4"/>
    </row>
    <row r="66" spans="1:15" ht="15" x14ac:dyDescent="0.2">
      <c r="A66" s="17" t="s">
        <v>61</v>
      </c>
      <c r="B66" s="16">
        <v>37495479.5</v>
      </c>
      <c r="C66" s="16">
        <v>0</v>
      </c>
      <c r="D66" s="16">
        <v>1265438.5517187142</v>
      </c>
      <c r="E66" s="16">
        <v>0</v>
      </c>
      <c r="F66" s="16">
        <v>159406.75</v>
      </c>
      <c r="G66" s="16">
        <v>97233.75</v>
      </c>
      <c r="H66" s="16">
        <v>1914113.75</v>
      </c>
      <c r="I66" s="16">
        <v>253382.22</v>
      </c>
      <c r="J66" s="16">
        <v>2479493.2900000005</v>
      </c>
      <c r="K66" s="16">
        <v>0</v>
      </c>
      <c r="L66" s="16">
        <v>0</v>
      </c>
      <c r="M66" s="16">
        <v>73.62</v>
      </c>
      <c r="N66" s="18">
        <f t="shared" si="1"/>
        <v>43664621.431718707</v>
      </c>
      <c r="O66" s="4"/>
    </row>
    <row r="67" spans="1:15" ht="15" x14ac:dyDescent="0.2">
      <c r="A67" s="17" t="s">
        <v>62</v>
      </c>
      <c r="B67" s="16">
        <v>171551752.16000003</v>
      </c>
      <c r="C67" s="16">
        <v>0</v>
      </c>
      <c r="D67" s="16">
        <v>1417315.1</v>
      </c>
      <c r="E67" s="16">
        <v>0</v>
      </c>
      <c r="F67" s="16">
        <v>4283343.05</v>
      </c>
      <c r="G67" s="16">
        <v>1979706.4478261464</v>
      </c>
      <c r="H67" s="16">
        <v>8757577.4900000002</v>
      </c>
      <c r="I67" s="16">
        <v>6808512.9000000004</v>
      </c>
      <c r="J67" s="16">
        <v>15855000.050000004</v>
      </c>
      <c r="K67" s="16">
        <v>0</v>
      </c>
      <c r="L67" s="16">
        <v>0</v>
      </c>
      <c r="M67" s="16">
        <v>1978.8600000000001</v>
      </c>
      <c r="N67" s="18">
        <f t="shared" si="1"/>
        <v>210655186.05782622</v>
      </c>
      <c r="O67" s="4"/>
    </row>
    <row r="68" spans="1:15" ht="15" x14ac:dyDescent="0.2">
      <c r="A68" s="17" t="s">
        <v>63</v>
      </c>
      <c r="B68" s="16">
        <v>105711961.47</v>
      </c>
      <c r="C68" s="16">
        <v>0</v>
      </c>
      <c r="D68" s="16">
        <v>1727586.8699999999</v>
      </c>
      <c r="E68" s="16">
        <v>0</v>
      </c>
      <c r="F68" s="16">
        <v>3777457.13</v>
      </c>
      <c r="G68" s="16">
        <v>1868960.3686020018</v>
      </c>
      <c r="H68" s="16">
        <v>5396509.7000000002</v>
      </c>
      <c r="I68" s="16">
        <v>6004390.8099999996</v>
      </c>
      <c r="J68" s="16">
        <v>13782693.77</v>
      </c>
      <c r="K68" s="16">
        <v>0</v>
      </c>
      <c r="L68" s="16">
        <v>0</v>
      </c>
      <c r="M68" s="16">
        <v>1745.1299999999999</v>
      </c>
      <c r="N68" s="18">
        <f t="shared" si="1"/>
        <v>138271305.248602</v>
      </c>
      <c r="O68" s="4"/>
    </row>
    <row r="69" spans="1:15" ht="15" x14ac:dyDescent="0.2">
      <c r="A69" s="17" t="s">
        <v>64</v>
      </c>
      <c r="B69" s="16">
        <v>332011069.03000003</v>
      </c>
      <c r="C69" s="16">
        <v>0</v>
      </c>
      <c r="D69" s="16">
        <v>1294281.6476548281</v>
      </c>
      <c r="E69" s="16">
        <v>0</v>
      </c>
      <c r="F69" s="16">
        <v>11148372.98</v>
      </c>
      <c r="G69" s="16">
        <v>1911213.1031713495</v>
      </c>
      <c r="H69" s="16">
        <v>16948895.170000002</v>
      </c>
      <c r="I69" s="16">
        <v>17720700.940000001</v>
      </c>
      <c r="J69" s="16">
        <v>30167476.690000005</v>
      </c>
      <c r="K69" s="16">
        <v>0</v>
      </c>
      <c r="L69" s="16">
        <v>0</v>
      </c>
      <c r="M69" s="16">
        <v>5150.46</v>
      </c>
      <c r="N69" s="18">
        <f t="shared" si="1"/>
        <v>411207160.02082622</v>
      </c>
      <c r="O69" s="4"/>
    </row>
    <row r="70" spans="1:15" ht="15" x14ac:dyDescent="0.2">
      <c r="A70" s="17" t="s">
        <v>65</v>
      </c>
      <c r="B70" s="16">
        <v>75422754.909999996</v>
      </c>
      <c r="C70" s="16">
        <v>0</v>
      </c>
      <c r="D70" s="16">
        <v>4310667.936578596</v>
      </c>
      <c r="E70" s="16">
        <v>0</v>
      </c>
      <c r="F70" s="16">
        <v>2475854.84</v>
      </c>
      <c r="G70" s="16">
        <v>921329.65</v>
      </c>
      <c r="H70" s="16">
        <v>3850270.33</v>
      </c>
      <c r="I70" s="16">
        <v>3935451.68</v>
      </c>
      <c r="J70" s="16">
        <v>13233728.649999995</v>
      </c>
      <c r="K70" s="16">
        <v>0</v>
      </c>
      <c r="L70" s="16">
        <v>0</v>
      </c>
      <c r="M70" s="16">
        <v>1143.79</v>
      </c>
      <c r="N70" s="18">
        <f t="shared" si="1"/>
        <v>104151201.78657861</v>
      </c>
      <c r="O70" s="4"/>
    </row>
    <row r="71" spans="1:15" ht="15" x14ac:dyDescent="0.2">
      <c r="A71" s="17" t="s">
        <v>66</v>
      </c>
      <c r="B71" s="16">
        <v>249108086.51999998</v>
      </c>
      <c r="C71" s="16">
        <v>0</v>
      </c>
      <c r="D71" s="16">
        <v>997126.62</v>
      </c>
      <c r="E71" s="16">
        <v>0</v>
      </c>
      <c r="F71" s="16">
        <v>1558936.62</v>
      </c>
      <c r="G71" s="16">
        <v>710922.19</v>
      </c>
      <c r="H71" s="16">
        <v>12716765.310000001</v>
      </c>
      <c r="I71" s="16">
        <v>2477980.4</v>
      </c>
      <c r="J71" s="16">
        <v>10604477.4</v>
      </c>
      <c r="K71" s="16">
        <v>0</v>
      </c>
      <c r="L71" s="16">
        <v>0</v>
      </c>
      <c r="M71" s="16">
        <v>720.19</v>
      </c>
      <c r="N71" s="18">
        <f t="shared" si="1"/>
        <v>278175015.25</v>
      </c>
      <c r="O71" s="4"/>
    </row>
    <row r="72" spans="1:15" ht="15" x14ac:dyDescent="0.2">
      <c r="A72" s="17" t="s">
        <v>67</v>
      </c>
      <c r="B72" s="16">
        <v>1333929762.3700004</v>
      </c>
      <c r="C72" s="16">
        <v>0</v>
      </c>
      <c r="D72" s="16">
        <v>7773123.6478934912</v>
      </c>
      <c r="E72" s="16">
        <v>0</v>
      </c>
      <c r="F72" s="16">
        <v>45360665.109999999</v>
      </c>
      <c r="G72" s="16">
        <v>0</v>
      </c>
      <c r="H72" s="16">
        <v>68096029.959999993</v>
      </c>
      <c r="I72" s="16">
        <v>72102249.310000002</v>
      </c>
      <c r="J72" s="16">
        <v>158610771.67000002</v>
      </c>
      <c r="K72" s="16">
        <v>0</v>
      </c>
      <c r="L72" s="16">
        <v>0</v>
      </c>
      <c r="M72" s="16">
        <v>20956.34</v>
      </c>
      <c r="N72" s="18">
        <f t="shared" ref="N72:N103" si="2">SUM(B72:M72)</f>
        <v>1685893558.4078937</v>
      </c>
      <c r="O72" s="4"/>
    </row>
    <row r="73" spans="1:15" ht="15" x14ac:dyDescent="0.2">
      <c r="A73" s="17" t="s">
        <v>68</v>
      </c>
      <c r="B73" s="16">
        <v>530265219.77999997</v>
      </c>
      <c r="C73" s="16">
        <v>0</v>
      </c>
      <c r="D73" s="16">
        <v>16284681.222823745</v>
      </c>
      <c r="E73" s="16">
        <v>0</v>
      </c>
      <c r="F73" s="16">
        <v>16836515.539999999</v>
      </c>
      <c r="G73" s="16">
        <v>8059457.4747350253</v>
      </c>
      <c r="H73" s="16">
        <v>27069608.399999999</v>
      </c>
      <c r="I73" s="16">
        <v>26762188.280000001</v>
      </c>
      <c r="J73" s="16">
        <v>69377168.740000024</v>
      </c>
      <c r="K73" s="16">
        <v>0</v>
      </c>
      <c r="L73" s="16">
        <v>0</v>
      </c>
      <c r="M73" s="16">
        <v>7778.34</v>
      </c>
      <c r="N73" s="18">
        <f t="shared" si="2"/>
        <v>694662617.77755868</v>
      </c>
      <c r="O73" s="4"/>
    </row>
    <row r="74" spans="1:15" ht="15" x14ac:dyDescent="0.2">
      <c r="A74" s="17" t="s">
        <v>69</v>
      </c>
      <c r="B74" s="16">
        <v>328625644.71999997</v>
      </c>
      <c r="C74" s="16">
        <v>0</v>
      </c>
      <c r="D74" s="16">
        <v>4221927.96</v>
      </c>
      <c r="E74" s="16">
        <v>0</v>
      </c>
      <c r="F74" s="16">
        <v>12223819.68</v>
      </c>
      <c r="G74" s="16">
        <v>14027933.499149358</v>
      </c>
      <c r="H74" s="16">
        <v>16776072.01</v>
      </c>
      <c r="I74" s="16">
        <v>19430158.399999999</v>
      </c>
      <c r="J74" s="16">
        <v>38207443.789999992</v>
      </c>
      <c r="K74" s="16">
        <v>0</v>
      </c>
      <c r="L74" s="16">
        <v>0</v>
      </c>
      <c r="M74" s="16">
        <v>5647.31</v>
      </c>
      <c r="N74" s="18">
        <f t="shared" si="2"/>
        <v>433518647.36914927</v>
      </c>
      <c r="O74" s="4"/>
    </row>
    <row r="75" spans="1:15" ht="15" x14ac:dyDescent="0.2">
      <c r="A75" s="17" t="s">
        <v>70</v>
      </c>
      <c r="B75" s="16">
        <v>55395048.940000013</v>
      </c>
      <c r="C75" s="16">
        <v>0</v>
      </c>
      <c r="D75" s="16">
        <v>1752007.3912915403</v>
      </c>
      <c r="E75" s="16">
        <v>0</v>
      </c>
      <c r="F75" s="16">
        <v>222203.36</v>
      </c>
      <c r="G75" s="16">
        <v>103609.74</v>
      </c>
      <c r="H75" s="16">
        <v>2827872.22</v>
      </c>
      <c r="I75" s="16">
        <v>353199.46</v>
      </c>
      <c r="J75" s="16">
        <v>4458936.9100000011</v>
      </c>
      <c r="K75" s="16">
        <v>0</v>
      </c>
      <c r="L75" s="16">
        <v>0</v>
      </c>
      <c r="M75" s="16">
        <v>102.64000000000001</v>
      </c>
      <c r="N75" s="18">
        <f t="shared" si="2"/>
        <v>65112980.661291562</v>
      </c>
      <c r="O75" s="4"/>
    </row>
    <row r="76" spans="1:15" ht="15" x14ac:dyDescent="0.2">
      <c r="A76" s="17" t="s">
        <v>71</v>
      </c>
      <c r="B76" s="16">
        <v>50048400.729999997</v>
      </c>
      <c r="C76" s="16">
        <v>0</v>
      </c>
      <c r="D76" s="16">
        <v>2093761.1427737824</v>
      </c>
      <c r="E76" s="16">
        <v>0</v>
      </c>
      <c r="F76" s="16">
        <v>400053.87</v>
      </c>
      <c r="G76" s="16">
        <v>243881.38</v>
      </c>
      <c r="H76" s="16">
        <v>2554930.1800000002</v>
      </c>
      <c r="I76" s="16">
        <v>635898.63</v>
      </c>
      <c r="J76" s="16">
        <v>6434524.8100000005</v>
      </c>
      <c r="K76" s="16">
        <v>0</v>
      </c>
      <c r="L76" s="16">
        <v>0</v>
      </c>
      <c r="M76" s="16">
        <v>184.8</v>
      </c>
      <c r="N76" s="18">
        <f t="shared" si="2"/>
        <v>62411635.542773783</v>
      </c>
      <c r="O76" s="4"/>
    </row>
    <row r="77" spans="1:15" ht="15" x14ac:dyDescent="0.2">
      <c r="A77" s="17" t="s">
        <v>72</v>
      </c>
      <c r="B77" s="16">
        <v>67938898.860000014</v>
      </c>
      <c r="C77" s="16">
        <v>0</v>
      </c>
      <c r="D77" s="16">
        <v>1760116.7517744964</v>
      </c>
      <c r="E77" s="16">
        <v>0</v>
      </c>
      <c r="F77" s="16">
        <v>469876.67</v>
      </c>
      <c r="G77" s="16">
        <v>172151.56</v>
      </c>
      <c r="H77" s="16">
        <v>3468225.56</v>
      </c>
      <c r="I77" s="16">
        <v>746884.23</v>
      </c>
      <c r="J77" s="16">
        <v>4040125.1099999985</v>
      </c>
      <c r="K77" s="16">
        <v>0</v>
      </c>
      <c r="L77" s="16">
        <v>0</v>
      </c>
      <c r="M77" s="16">
        <v>217.07</v>
      </c>
      <c r="N77" s="18">
        <f t="shared" si="2"/>
        <v>78596495.811774507</v>
      </c>
      <c r="O77" s="4"/>
    </row>
    <row r="78" spans="1:15" ht="15" x14ac:dyDescent="0.2">
      <c r="A78" s="17" t="s">
        <v>73</v>
      </c>
      <c r="B78" s="16">
        <v>26101875.590000004</v>
      </c>
      <c r="C78" s="16">
        <v>0</v>
      </c>
      <c r="D78" s="16">
        <v>635214.48455704621</v>
      </c>
      <c r="E78" s="16">
        <v>0</v>
      </c>
      <c r="F78" s="16">
        <v>166872.07999999999</v>
      </c>
      <c r="G78" s="16">
        <v>57383.85</v>
      </c>
      <c r="H78" s="16">
        <v>1332479.53</v>
      </c>
      <c r="I78" s="16">
        <v>265248.61</v>
      </c>
      <c r="J78" s="16">
        <v>1798072.7700000003</v>
      </c>
      <c r="K78" s="16">
        <v>0</v>
      </c>
      <c r="L78" s="16">
        <v>0</v>
      </c>
      <c r="M78" s="16">
        <v>77.069999999999993</v>
      </c>
      <c r="N78" s="18">
        <f t="shared" si="2"/>
        <v>30357223.984557051</v>
      </c>
      <c r="O78" s="4"/>
    </row>
    <row r="79" spans="1:15" ht="15" x14ac:dyDescent="0.2">
      <c r="A79" s="17" t="s">
        <v>74</v>
      </c>
      <c r="B79" s="16">
        <v>108636561.69000003</v>
      </c>
      <c r="C79" s="16">
        <v>0</v>
      </c>
      <c r="D79" s="16">
        <v>4906283.6502772896</v>
      </c>
      <c r="E79" s="16">
        <v>0</v>
      </c>
      <c r="F79" s="16">
        <v>838751.81</v>
      </c>
      <c r="G79" s="16">
        <v>427190.91</v>
      </c>
      <c r="H79" s="16">
        <v>5545808.1600000001</v>
      </c>
      <c r="I79" s="16">
        <v>1333223.26</v>
      </c>
      <c r="J79" s="16">
        <v>9879301.5300000012</v>
      </c>
      <c r="K79" s="16">
        <v>0</v>
      </c>
      <c r="L79" s="16">
        <v>0</v>
      </c>
      <c r="M79" s="16">
        <v>387.48</v>
      </c>
      <c r="N79" s="18">
        <f t="shared" si="2"/>
        <v>131567508.49027732</v>
      </c>
      <c r="O79" s="4"/>
    </row>
    <row r="80" spans="1:15" ht="15" x14ac:dyDescent="0.2">
      <c r="A80" s="17" t="s">
        <v>75</v>
      </c>
      <c r="B80" s="16">
        <v>66316943.129999995</v>
      </c>
      <c r="C80" s="16">
        <v>0</v>
      </c>
      <c r="D80" s="16">
        <v>2870294.7606278947</v>
      </c>
      <c r="E80" s="16">
        <v>0</v>
      </c>
      <c r="F80" s="16">
        <v>271386.71000000002</v>
      </c>
      <c r="G80" s="16">
        <v>178527.54</v>
      </c>
      <c r="H80" s="16">
        <v>3385426.04</v>
      </c>
      <c r="I80" s="16">
        <v>431378</v>
      </c>
      <c r="J80" s="16">
        <v>6544287.209999999</v>
      </c>
      <c r="K80" s="16">
        <v>0</v>
      </c>
      <c r="L80" s="16">
        <v>0</v>
      </c>
      <c r="M80" s="16">
        <v>125.35000000000001</v>
      </c>
      <c r="N80" s="18">
        <f t="shared" si="2"/>
        <v>79998368.740627885</v>
      </c>
      <c r="O80" s="4"/>
    </row>
    <row r="81" spans="1:15" ht="15" x14ac:dyDescent="0.2">
      <c r="A81" s="17" t="s">
        <v>76</v>
      </c>
      <c r="B81" s="16">
        <v>32094403.25</v>
      </c>
      <c r="C81" s="16">
        <v>0</v>
      </c>
      <c r="D81" s="16">
        <v>1730800.7641072723</v>
      </c>
      <c r="E81" s="16">
        <v>0</v>
      </c>
      <c r="F81" s="16">
        <v>704815</v>
      </c>
      <c r="G81" s="16">
        <v>368213.06</v>
      </c>
      <c r="H81" s="16">
        <v>1638393.2</v>
      </c>
      <c r="I81" s="16">
        <v>1120326.3500000001</v>
      </c>
      <c r="J81" s="16">
        <v>7472567.5200000014</v>
      </c>
      <c r="K81" s="16">
        <v>0</v>
      </c>
      <c r="L81" s="16">
        <v>0</v>
      </c>
      <c r="M81" s="16">
        <v>325.60000000000002</v>
      </c>
      <c r="N81" s="18">
        <f t="shared" si="2"/>
        <v>45129844.744107284</v>
      </c>
      <c r="O81" s="4"/>
    </row>
    <row r="82" spans="1:15" ht="15" x14ac:dyDescent="0.2">
      <c r="A82" s="17" t="s">
        <v>77</v>
      </c>
      <c r="B82" s="16">
        <v>447884746.47000003</v>
      </c>
      <c r="C82" s="16">
        <v>0</v>
      </c>
      <c r="D82" s="16">
        <v>5435855.7299999995</v>
      </c>
      <c r="E82" s="16">
        <v>0</v>
      </c>
      <c r="F82" s="16">
        <v>20313163.780000001</v>
      </c>
      <c r="G82" s="16">
        <v>15059596.838543475</v>
      </c>
      <c r="H82" s="16">
        <v>22864152.210000001</v>
      </c>
      <c r="I82" s="16">
        <v>32288433.579999998</v>
      </c>
      <c r="J82" s="16">
        <v>61769095.750000022</v>
      </c>
      <c r="K82" s="16">
        <v>0</v>
      </c>
      <c r="L82" s="16">
        <v>0</v>
      </c>
      <c r="M82" s="16">
        <v>9384.5400000000009</v>
      </c>
      <c r="N82" s="18">
        <f t="shared" si="2"/>
        <v>605624428.89854348</v>
      </c>
      <c r="O82" s="4"/>
    </row>
    <row r="83" spans="1:15" ht="15" x14ac:dyDescent="0.2">
      <c r="A83" s="17" t="s">
        <v>78</v>
      </c>
      <c r="B83" s="16">
        <v>139363006.86000001</v>
      </c>
      <c r="C83" s="16">
        <v>0</v>
      </c>
      <c r="D83" s="16">
        <v>2641708.3423947557</v>
      </c>
      <c r="E83" s="16">
        <v>0</v>
      </c>
      <c r="F83" s="16">
        <v>2249260.1</v>
      </c>
      <c r="G83" s="16">
        <v>1083917.24</v>
      </c>
      <c r="H83" s="16">
        <v>7114368.21</v>
      </c>
      <c r="I83" s="16">
        <v>3575272</v>
      </c>
      <c r="J83" s="16">
        <v>13486688.389999997</v>
      </c>
      <c r="K83" s="16">
        <v>0</v>
      </c>
      <c r="L83" s="16">
        <v>0</v>
      </c>
      <c r="M83" s="16">
        <v>1039.1300000000001</v>
      </c>
      <c r="N83" s="18">
        <f t="shared" si="2"/>
        <v>169515260.27239478</v>
      </c>
      <c r="O83" s="4"/>
    </row>
    <row r="84" spans="1:15" ht="15" x14ac:dyDescent="0.2">
      <c r="A84" s="17" t="s">
        <v>79</v>
      </c>
      <c r="B84" s="16">
        <v>51800983.759999998</v>
      </c>
      <c r="C84" s="16">
        <v>0</v>
      </c>
      <c r="D84" s="16">
        <v>1350930.3587160944</v>
      </c>
      <c r="E84" s="16">
        <v>0</v>
      </c>
      <c r="F84" s="16">
        <v>451432.91</v>
      </c>
      <c r="G84" s="16">
        <v>94175.661892637567</v>
      </c>
      <c r="H84" s="16">
        <v>2644398.11</v>
      </c>
      <c r="I84" s="16">
        <v>717567.28</v>
      </c>
      <c r="J84" s="16">
        <v>5461549.5</v>
      </c>
      <c r="K84" s="16">
        <v>0</v>
      </c>
      <c r="L84" s="16">
        <v>0</v>
      </c>
      <c r="M84" s="16">
        <v>208.51999999999998</v>
      </c>
      <c r="N84" s="18">
        <f t="shared" si="2"/>
        <v>62521246.100608729</v>
      </c>
      <c r="O84" s="4"/>
    </row>
    <row r="85" spans="1:15" ht="15" x14ac:dyDescent="0.2">
      <c r="A85" s="17" t="s">
        <v>80</v>
      </c>
      <c r="B85" s="16">
        <v>50875707.029999994</v>
      </c>
      <c r="C85" s="16">
        <v>0</v>
      </c>
      <c r="D85" s="16">
        <v>1595381.4242126385</v>
      </c>
      <c r="E85" s="16">
        <v>0</v>
      </c>
      <c r="F85" s="16">
        <v>213420.61</v>
      </c>
      <c r="G85" s="16">
        <v>103609.74</v>
      </c>
      <c r="H85" s="16">
        <v>2597163.4900000002</v>
      </c>
      <c r="I85" s="16">
        <v>339239.01</v>
      </c>
      <c r="J85" s="16">
        <v>3196478.13</v>
      </c>
      <c r="K85" s="16">
        <v>0</v>
      </c>
      <c r="L85" s="16">
        <v>0</v>
      </c>
      <c r="M85" s="16">
        <v>98.57</v>
      </c>
      <c r="N85" s="18">
        <f t="shared" si="2"/>
        <v>58921098.00421264</v>
      </c>
      <c r="O85" s="4"/>
    </row>
    <row r="86" spans="1:15" ht="15" x14ac:dyDescent="0.2">
      <c r="A86" s="17" t="s">
        <v>81</v>
      </c>
      <c r="B86" s="16">
        <v>608001166.64999986</v>
      </c>
      <c r="C86" s="16">
        <v>0</v>
      </c>
      <c r="D86" s="16">
        <v>1970305.3399999999</v>
      </c>
      <c r="E86" s="16">
        <v>0</v>
      </c>
      <c r="F86" s="16">
        <v>12745075.390000001</v>
      </c>
      <c r="G86" s="16">
        <v>3010124.4646034902</v>
      </c>
      <c r="H86" s="16">
        <v>31037965.289999999</v>
      </c>
      <c r="I86" s="16">
        <v>20258711.280000001</v>
      </c>
      <c r="J86" s="16">
        <v>27588963.160000004</v>
      </c>
      <c r="K86" s="16">
        <v>0</v>
      </c>
      <c r="L86" s="16">
        <v>0</v>
      </c>
      <c r="M86" s="16">
        <v>5888.1200000000008</v>
      </c>
      <c r="N86" s="18">
        <f t="shared" si="2"/>
        <v>704618199.69460332</v>
      </c>
      <c r="O86" s="4"/>
    </row>
    <row r="87" spans="1:15" ht="15" x14ac:dyDescent="0.2">
      <c r="A87" s="17" t="s">
        <v>82</v>
      </c>
      <c r="B87" s="16">
        <v>78343726.599999994</v>
      </c>
      <c r="C87" s="16">
        <v>0</v>
      </c>
      <c r="D87" s="16">
        <v>1808094.7882601223</v>
      </c>
      <c r="E87" s="16">
        <v>0</v>
      </c>
      <c r="F87" s="16">
        <v>361848.95</v>
      </c>
      <c r="G87" s="16">
        <v>216783.45</v>
      </c>
      <c r="H87" s="16">
        <v>3999383.56</v>
      </c>
      <c r="I87" s="16">
        <v>575170.66</v>
      </c>
      <c r="J87" s="16">
        <v>6064436.6299999999</v>
      </c>
      <c r="K87" s="16">
        <v>0</v>
      </c>
      <c r="L87" s="16">
        <v>0</v>
      </c>
      <c r="M87" s="16">
        <v>167.14</v>
      </c>
      <c r="N87" s="18">
        <f t="shared" si="2"/>
        <v>91369611.778260112</v>
      </c>
      <c r="O87" s="4"/>
    </row>
    <row r="88" spans="1:15" ht="15" x14ac:dyDescent="0.2">
      <c r="A88" s="17" t="s">
        <v>83</v>
      </c>
      <c r="B88" s="16">
        <v>76019649.149999991</v>
      </c>
      <c r="C88" s="16">
        <v>0</v>
      </c>
      <c r="D88" s="16">
        <v>807202.32784791407</v>
      </c>
      <c r="E88" s="16">
        <v>0</v>
      </c>
      <c r="F88" s="16">
        <v>1775870.34</v>
      </c>
      <c r="G88" s="16">
        <v>553116.59</v>
      </c>
      <c r="H88" s="16">
        <v>3880741.29</v>
      </c>
      <c r="I88" s="16">
        <v>2822803.58</v>
      </c>
      <c r="J88" s="16">
        <v>8982576.6800000016</v>
      </c>
      <c r="K88" s="16">
        <v>0</v>
      </c>
      <c r="L88" s="16">
        <v>0</v>
      </c>
      <c r="M88" s="16">
        <v>820.42000000000007</v>
      </c>
      <c r="N88" s="18">
        <f t="shared" si="2"/>
        <v>94842780.377847925</v>
      </c>
      <c r="O88" s="4"/>
    </row>
    <row r="89" spans="1:15" ht="15" x14ac:dyDescent="0.2">
      <c r="A89" s="17" t="s">
        <v>84</v>
      </c>
      <c r="B89" s="16">
        <v>116539513.72000001</v>
      </c>
      <c r="C89" s="16">
        <v>0</v>
      </c>
      <c r="D89" s="16">
        <v>1924081.535904746</v>
      </c>
      <c r="E89" s="16">
        <v>0</v>
      </c>
      <c r="F89" s="16">
        <v>1493505.19</v>
      </c>
      <c r="G89" s="16">
        <v>645568.35</v>
      </c>
      <c r="H89" s="16">
        <v>5949247.4400000004</v>
      </c>
      <c r="I89" s="16">
        <v>2373975.02</v>
      </c>
      <c r="J89" s="16">
        <v>9681107.9200000018</v>
      </c>
      <c r="K89" s="16">
        <v>0</v>
      </c>
      <c r="L89" s="16">
        <v>0</v>
      </c>
      <c r="M89" s="16">
        <v>689.96</v>
      </c>
      <c r="N89" s="18">
        <f t="shared" si="2"/>
        <v>138607689.13590476</v>
      </c>
      <c r="O89" s="4"/>
    </row>
    <row r="90" spans="1:15" ht="15" x14ac:dyDescent="0.2">
      <c r="A90" s="17" t="s">
        <v>85</v>
      </c>
      <c r="B90" s="16">
        <v>627128995.63</v>
      </c>
      <c r="C90" s="16">
        <v>0</v>
      </c>
      <c r="D90" s="16">
        <v>2337601.263524578</v>
      </c>
      <c r="E90" s="16">
        <v>0</v>
      </c>
      <c r="F90" s="16">
        <v>20259149.920000002</v>
      </c>
      <c r="G90" s="16">
        <v>5554597.1198483128</v>
      </c>
      <c r="H90" s="16">
        <v>32014425.41</v>
      </c>
      <c r="I90" s="16">
        <v>32202576.789999999</v>
      </c>
      <c r="J90" s="16">
        <v>57277356.63000001</v>
      </c>
      <c r="K90" s="16">
        <v>0</v>
      </c>
      <c r="L90" s="16">
        <v>0</v>
      </c>
      <c r="M90" s="16">
        <v>9359.58</v>
      </c>
      <c r="N90" s="18">
        <f t="shared" si="2"/>
        <v>776784062.34337282</v>
      </c>
      <c r="O90" s="4"/>
    </row>
    <row r="91" spans="1:15" ht="15" x14ac:dyDescent="0.2">
      <c r="A91" s="17" t="s">
        <v>86</v>
      </c>
      <c r="B91" s="16">
        <v>22830750.16</v>
      </c>
      <c r="C91" s="16">
        <v>0</v>
      </c>
      <c r="D91" s="16">
        <v>1326599.7968876304</v>
      </c>
      <c r="E91" s="16">
        <v>0</v>
      </c>
      <c r="F91" s="16">
        <v>470315.8</v>
      </c>
      <c r="G91" s="16">
        <v>215189.45</v>
      </c>
      <c r="H91" s="16">
        <v>1165491.24</v>
      </c>
      <c r="I91" s="16">
        <v>747582.25</v>
      </c>
      <c r="J91" s="16">
        <v>4116260.51</v>
      </c>
      <c r="K91" s="16">
        <v>0</v>
      </c>
      <c r="L91" s="16">
        <v>0</v>
      </c>
      <c r="M91" s="16">
        <v>217.26</v>
      </c>
      <c r="N91" s="18">
        <f t="shared" si="2"/>
        <v>30872406.466887627</v>
      </c>
      <c r="O91" s="4"/>
    </row>
    <row r="92" spans="1:15" ht="15" x14ac:dyDescent="0.2">
      <c r="A92" s="17" t="s">
        <v>87</v>
      </c>
      <c r="B92" s="16">
        <v>34307810.380000003</v>
      </c>
      <c r="C92" s="16">
        <v>0</v>
      </c>
      <c r="D92" s="16">
        <v>116886.62000000001</v>
      </c>
      <c r="E92" s="16">
        <v>0</v>
      </c>
      <c r="F92" s="16">
        <v>100562.39</v>
      </c>
      <c r="G92" s="16">
        <v>66947.83</v>
      </c>
      <c r="H92" s="16">
        <v>1751385.83</v>
      </c>
      <c r="I92" s="16">
        <v>159847.19</v>
      </c>
      <c r="J92" s="16">
        <v>1781019.6799999992</v>
      </c>
      <c r="K92" s="16">
        <v>0</v>
      </c>
      <c r="L92" s="16">
        <v>0</v>
      </c>
      <c r="M92" s="16">
        <v>46.43</v>
      </c>
      <c r="N92" s="18">
        <f t="shared" si="2"/>
        <v>38284506.349999994</v>
      </c>
      <c r="O92" s="4"/>
    </row>
    <row r="93" spans="1:15" ht="15" x14ac:dyDescent="0.2">
      <c r="A93" s="17" t="s">
        <v>88</v>
      </c>
      <c r="B93" s="16">
        <v>329260638.55999994</v>
      </c>
      <c r="C93" s="16">
        <v>0</v>
      </c>
      <c r="D93" s="16">
        <v>2591828.7907442199</v>
      </c>
      <c r="E93" s="16">
        <v>0</v>
      </c>
      <c r="F93" s="16">
        <v>16419335.310000001</v>
      </c>
      <c r="G93" s="16">
        <v>2833112.1014089147</v>
      </c>
      <c r="H93" s="16">
        <v>16808487.93</v>
      </c>
      <c r="I93" s="16">
        <v>26099066.77</v>
      </c>
      <c r="J93" s="16">
        <v>54470360.13000001</v>
      </c>
      <c r="K93" s="16">
        <v>0</v>
      </c>
      <c r="L93" s="16">
        <v>0</v>
      </c>
      <c r="M93" s="16">
        <v>7585.6100000000006</v>
      </c>
      <c r="N93" s="18">
        <f t="shared" si="2"/>
        <v>448490415.20215309</v>
      </c>
      <c r="O93" s="4"/>
    </row>
    <row r="94" spans="1:15" ht="15" x14ac:dyDescent="0.2">
      <c r="A94" s="17" t="s">
        <v>89</v>
      </c>
      <c r="B94" s="16">
        <v>229035023.82999998</v>
      </c>
      <c r="C94" s="16">
        <v>0</v>
      </c>
      <c r="D94" s="16">
        <v>4416977.21</v>
      </c>
      <c r="E94" s="16">
        <v>0</v>
      </c>
      <c r="F94" s="16">
        <v>7424490.5599999996</v>
      </c>
      <c r="G94" s="16">
        <v>3657181.1810323475</v>
      </c>
      <c r="H94" s="16">
        <v>11692051.779999999</v>
      </c>
      <c r="I94" s="16">
        <v>11801468.890000001</v>
      </c>
      <c r="J94" s="16">
        <v>29105532.72000001</v>
      </c>
      <c r="K94" s="16">
        <v>0</v>
      </c>
      <c r="L94" s="16">
        <v>0</v>
      </c>
      <c r="M94" s="16">
        <v>3430.04</v>
      </c>
      <c r="N94" s="18">
        <f t="shared" si="2"/>
        <v>297136156.21103239</v>
      </c>
      <c r="O94" s="4"/>
    </row>
    <row r="95" spans="1:15" ht="15" x14ac:dyDescent="0.2">
      <c r="A95" s="17" t="s">
        <v>90</v>
      </c>
      <c r="B95" s="16">
        <v>39990098.189999998</v>
      </c>
      <c r="C95" s="16">
        <v>0</v>
      </c>
      <c r="D95" s="16">
        <v>1505538.2503666305</v>
      </c>
      <c r="E95" s="16">
        <v>0</v>
      </c>
      <c r="F95" s="16">
        <v>364044.63</v>
      </c>
      <c r="G95" s="16">
        <v>173745.56</v>
      </c>
      <c r="H95" s="16">
        <v>2041462.01</v>
      </c>
      <c r="I95" s="16">
        <v>578660.77</v>
      </c>
      <c r="J95" s="16">
        <v>4287483.6400000015</v>
      </c>
      <c r="K95" s="16">
        <v>0</v>
      </c>
      <c r="L95" s="16">
        <v>0</v>
      </c>
      <c r="M95" s="16">
        <v>168.15</v>
      </c>
      <c r="N95" s="18">
        <f t="shared" si="2"/>
        <v>48941201.200366631</v>
      </c>
      <c r="O95" s="4"/>
    </row>
    <row r="96" spans="1:15" ht="15" x14ac:dyDescent="0.2">
      <c r="A96" s="17" t="s">
        <v>91</v>
      </c>
      <c r="B96" s="16">
        <v>143749907.22</v>
      </c>
      <c r="C96" s="16">
        <v>0</v>
      </c>
      <c r="D96" s="16">
        <v>4066815.1755541405</v>
      </c>
      <c r="E96" s="16">
        <v>0</v>
      </c>
      <c r="F96" s="16">
        <v>2040230.86</v>
      </c>
      <c r="G96" s="16">
        <v>948427.58</v>
      </c>
      <c r="H96" s="16">
        <v>7338315.9100000001</v>
      </c>
      <c r="I96" s="16">
        <v>3243013.22</v>
      </c>
      <c r="J96" s="16">
        <v>15361453.149999995</v>
      </c>
      <c r="K96" s="16">
        <v>0</v>
      </c>
      <c r="L96" s="16">
        <v>0</v>
      </c>
      <c r="M96" s="16">
        <v>942.55</v>
      </c>
      <c r="N96" s="18">
        <f t="shared" si="2"/>
        <v>176749105.66555417</v>
      </c>
      <c r="O96" s="4"/>
    </row>
    <row r="97" spans="1:15" ht="15" x14ac:dyDescent="0.2">
      <c r="A97" s="17" t="s">
        <v>92</v>
      </c>
      <c r="B97" s="16">
        <v>67323861.930000007</v>
      </c>
      <c r="C97" s="16">
        <v>0</v>
      </c>
      <c r="D97" s="16">
        <v>4896320.929696409</v>
      </c>
      <c r="E97" s="16">
        <v>0</v>
      </c>
      <c r="F97" s="16">
        <v>941949.03</v>
      </c>
      <c r="G97" s="16">
        <v>486168.76</v>
      </c>
      <c r="H97" s="16">
        <v>3436828.43</v>
      </c>
      <c r="I97" s="16">
        <v>1497258.58</v>
      </c>
      <c r="J97" s="16">
        <v>10257177.930000002</v>
      </c>
      <c r="K97" s="16">
        <v>0</v>
      </c>
      <c r="L97" s="16">
        <v>0</v>
      </c>
      <c r="M97" s="16">
        <v>435.15000000000003</v>
      </c>
      <c r="N97" s="18">
        <f t="shared" si="2"/>
        <v>88840000.739696443</v>
      </c>
      <c r="O97" s="4"/>
    </row>
    <row r="98" spans="1:15" ht="15" x14ac:dyDescent="0.2">
      <c r="A98" s="17" t="s">
        <v>93</v>
      </c>
      <c r="B98" s="16">
        <v>187397570.06999999</v>
      </c>
      <c r="C98" s="16">
        <v>0</v>
      </c>
      <c r="D98" s="16">
        <v>5571371.0644881129</v>
      </c>
      <c r="E98" s="16">
        <v>0</v>
      </c>
      <c r="F98" s="16">
        <v>2190415.7400000002</v>
      </c>
      <c r="G98" s="16">
        <v>1139707.0900000001</v>
      </c>
      <c r="H98" s="16">
        <v>9566493.6099999994</v>
      </c>
      <c r="I98" s="16">
        <v>3481736.96</v>
      </c>
      <c r="J98" s="16">
        <v>19788067.649999995</v>
      </c>
      <c r="K98" s="16">
        <v>0</v>
      </c>
      <c r="L98" s="16">
        <v>0</v>
      </c>
      <c r="M98" s="16">
        <v>1011.9300000000001</v>
      </c>
      <c r="N98" s="18">
        <f t="shared" si="2"/>
        <v>229136374.11448812</v>
      </c>
      <c r="O98" s="4"/>
    </row>
    <row r="99" spans="1:15" ht="15" x14ac:dyDescent="0.2">
      <c r="A99" s="17" t="s">
        <v>94</v>
      </c>
      <c r="B99" s="16">
        <v>128239728.91000001</v>
      </c>
      <c r="C99" s="16">
        <v>0</v>
      </c>
      <c r="D99" s="16">
        <v>3729897.6822228413</v>
      </c>
      <c r="E99" s="16">
        <v>0</v>
      </c>
      <c r="F99" s="16">
        <v>811964.45</v>
      </c>
      <c r="G99" s="16">
        <v>307641.21999999997</v>
      </c>
      <c r="H99" s="16">
        <v>6546533.9100000001</v>
      </c>
      <c r="I99" s="16">
        <v>1290643.8700000001</v>
      </c>
      <c r="J99" s="16">
        <v>12924372.34</v>
      </c>
      <c r="K99" s="16">
        <v>0</v>
      </c>
      <c r="L99" s="16">
        <v>0</v>
      </c>
      <c r="M99" s="16">
        <v>375.1</v>
      </c>
      <c r="N99" s="18">
        <f t="shared" si="2"/>
        <v>153851157.48222286</v>
      </c>
      <c r="O99" s="4"/>
    </row>
    <row r="100" spans="1:15" ht="15" x14ac:dyDescent="0.2">
      <c r="A100" s="17" t="s">
        <v>95</v>
      </c>
      <c r="B100" s="16">
        <v>121868019.2</v>
      </c>
      <c r="C100" s="16">
        <v>0</v>
      </c>
      <c r="D100" s="16">
        <v>3453656.7055851305</v>
      </c>
      <c r="E100" s="16">
        <v>0</v>
      </c>
      <c r="F100" s="16">
        <v>911648.57</v>
      </c>
      <c r="G100" s="16">
        <v>406468.96</v>
      </c>
      <c r="H100" s="16">
        <v>6221263.3099999996</v>
      </c>
      <c r="I100" s="16">
        <v>1449095.02</v>
      </c>
      <c r="J100" s="16">
        <v>10355507.579999998</v>
      </c>
      <c r="K100" s="16">
        <v>0</v>
      </c>
      <c r="L100" s="16">
        <v>0</v>
      </c>
      <c r="M100" s="16">
        <v>421.15</v>
      </c>
      <c r="N100" s="18">
        <f t="shared" si="2"/>
        <v>144666080.49558511</v>
      </c>
      <c r="O100" s="4"/>
    </row>
    <row r="101" spans="1:15" ht="15" x14ac:dyDescent="0.2">
      <c r="A101" s="17" t="s">
        <v>96</v>
      </c>
      <c r="B101" s="16">
        <v>24630504.140000004</v>
      </c>
      <c r="C101" s="16">
        <v>0</v>
      </c>
      <c r="D101" s="16">
        <v>883257.27789130015</v>
      </c>
      <c r="E101" s="16">
        <v>0</v>
      </c>
      <c r="F101" s="16">
        <v>108905.99</v>
      </c>
      <c r="G101" s="16">
        <v>60571.85</v>
      </c>
      <c r="H101" s="16">
        <v>1257367.22</v>
      </c>
      <c r="I101" s="16">
        <v>173109.62</v>
      </c>
      <c r="J101" s="16">
        <v>2181243.6799999992</v>
      </c>
      <c r="K101" s="16">
        <v>0</v>
      </c>
      <c r="L101" s="16">
        <v>0</v>
      </c>
      <c r="M101" s="16">
        <v>50.29</v>
      </c>
      <c r="N101" s="18">
        <f t="shared" si="2"/>
        <v>29295010.067891303</v>
      </c>
      <c r="O101" s="4"/>
    </row>
    <row r="102" spans="1:15" ht="15" x14ac:dyDescent="0.2">
      <c r="A102" s="17" t="s">
        <v>97</v>
      </c>
      <c r="B102" s="16">
        <v>81380811.460000008</v>
      </c>
      <c r="C102" s="16">
        <v>0</v>
      </c>
      <c r="D102" s="16">
        <v>5044284.5807460351</v>
      </c>
      <c r="E102" s="16">
        <v>0</v>
      </c>
      <c r="F102" s="16">
        <v>2108736.2400000002</v>
      </c>
      <c r="G102" s="16">
        <v>1066383.28</v>
      </c>
      <c r="H102" s="16">
        <v>4154424.27</v>
      </c>
      <c r="I102" s="16">
        <v>3351904.75</v>
      </c>
      <c r="J102" s="16">
        <v>14678325.429999998</v>
      </c>
      <c r="K102" s="16">
        <v>0</v>
      </c>
      <c r="L102" s="16">
        <v>0</v>
      </c>
      <c r="M102" s="16">
        <v>974.18999999999994</v>
      </c>
      <c r="N102" s="18">
        <f t="shared" si="2"/>
        <v>111785844.20074603</v>
      </c>
      <c r="O102" s="4"/>
    </row>
    <row r="103" spans="1:15" ht="15" x14ac:dyDescent="0.2">
      <c r="A103" s="17" t="s">
        <v>98</v>
      </c>
      <c r="B103" s="16">
        <v>28204612.359999999</v>
      </c>
      <c r="C103" s="16">
        <v>0</v>
      </c>
      <c r="D103" s="16">
        <v>1549687.7135118044</v>
      </c>
      <c r="E103" s="16">
        <v>0</v>
      </c>
      <c r="F103" s="16">
        <v>52257.31</v>
      </c>
      <c r="G103" s="16">
        <v>36661.910000000003</v>
      </c>
      <c r="H103" s="16">
        <v>1439822.54</v>
      </c>
      <c r="I103" s="16">
        <v>83064.69</v>
      </c>
      <c r="J103" s="16">
        <v>3068108.7800000003</v>
      </c>
      <c r="K103" s="16">
        <v>0</v>
      </c>
      <c r="L103" s="16">
        <v>0</v>
      </c>
      <c r="M103" s="16">
        <v>24.119999999999997</v>
      </c>
      <c r="N103" s="18">
        <f t="shared" si="2"/>
        <v>34434239.423511803</v>
      </c>
      <c r="O103" s="4"/>
    </row>
    <row r="104" spans="1:15" ht="15" x14ac:dyDescent="0.2">
      <c r="A104" s="17" t="s">
        <v>99</v>
      </c>
      <c r="B104" s="16">
        <v>376415281.72000003</v>
      </c>
      <c r="C104" s="16">
        <v>0</v>
      </c>
      <c r="D104" s="16">
        <v>3999849.4854531582</v>
      </c>
      <c r="E104" s="16">
        <v>0</v>
      </c>
      <c r="F104" s="16">
        <v>10709235.9</v>
      </c>
      <c r="G104" s="16">
        <v>2016749.6781243607</v>
      </c>
      <c r="H104" s="16">
        <v>19215694.129999999</v>
      </c>
      <c r="I104" s="16">
        <v>17022678.289999999</v>
      </c>
      <c r="J104" s="16">
        <v>34254963.600000009</v>
      </c>
      <c r="K104" s="16">
        <v>0</v>
      </c>
      <c r="L104" s="16">
        <v>0</v>
      </c>
      <c r="M104" s="16">
        <v>4947.58</v>
      </c>
      <c r="N104" s="18">
        <f t="shared" ref="N104:N135" si="3">SUM(B104:M104)</f>
        <v>463639400.38357753</v>
      </c>
      <c r="O104" s="4"/>
    </row>
    <row r="105" spans="1:15" ht="15" x14ac:dyDescent="0.2">
      <c r="A105" s="17" t="s">
        <v>100</v>
      </c>
      <c r="B105" s="16">
        <v>63542927.13000001</v>
      </c>
      <c r="C105" s="16">
        <v>0</v>
      </c>
      <c r="D105" s="16">
        <v>675849.54999999993</v>
      </c>
      <c r="E105" s="16">
        <v>0</v>
      </c>
      <c r="F105" s="16">
        <v>461533.06</v>
      </c>
      <c r="G105" s="16">
        <v>263009.33</v>
      </c>
      <c r="H105" s="16">
        <v>3243814.78</v>
      </c>
      <c r="I105" s="16">
        <v>733621.8</v>
      </c>
      <c r="J105" s="16">
        <v>4418692.080000001</v>
      </c>
      <c r="K105" s="16">
        <v>0</v>
      </c>
      <c r="L105" s="16">
        <v>0</v>
      </c>
      <c r="M105" s="16">
        <v>213.2</v>
      </c>
      <c r="N105" s="18">
        <f t="shared" si="3"/>
        <v>73339660.930000007</v>
      </c>
      <c r="O105" s="4"/>
    </row>
    <row r="106" spans="1:15" ht="15" x14ac:dyDescent="0.2">
      <c r="A106" s="17" t="s">
        <v>101</v>
      </c>
      <c r="B106" s="16">
        <v>72594310.870000005</v>
      </c>
      <c r="C106" s="16">
        <v>0</v>
      </c>
      <c r="D106" s="16">
        <v>747611.1</v>
      </c>
      <c r="E106" s="16">
        <v>0</v>
      </c>
      <c r="F106" s="16">
        <v>3270253.81</v>
      </c>
      <c r="G106" s="16">
        <v>852968.57652856293</v>
      </c>
      <c r="H106" s="16">
        <v>3705880.56</v>
      </c>
      <c r="I106" s="16">
        <v>5198174.6500000004</v>
      </c>
      <c r="J106" s="16">
        <v>11785640.679999992</v>
      </c>
      <c r="K106" s="16">
        <v>0</v>
      </c>
      <c r="L106" s="16">
        <v>0</v>
      </c>
      <c r="M106" s="16">
        <v>1510.7999999999997</v>
      </c>
      <c r="N106" s="18">
        <f t="shared" si="3"/>
        <v>98156351.046528563</v>
      </c>
      <c r="O106" s="4"/>
    </row>
    <row r="107" spans="1:15" ht="15" x14ac:dyDescent="0.2">
      <c r="A107" s="17" t="s">
        <v>102</v>
      </c>
      <c r="B107" s="16">
        <v>99186038.960000008</v>
      </c>
      <c r="C107" s="16">
        <v>0</v>
      </c>
      <c r="D107" s="16">
        <v>2452220.4296738086</v>
      </c>
      <c r="E107" s="16">
        <v>0</v>
      </c>
      <c r="F107" s="16">
        <v>181802.74</v>
      </c>
      <c r="G107" s="16">
        <v>160993.59</v>
      </c>
      <c r="H107" s="16">
        <v>5063366.66</v>
      </c>
      <c r="I107" s="16">
        <v>288981.38</v>
      </c>
      <c r="J107" s="16">
        <v>5746160.419999999</v>
      </c>
      <c r="K107" s="16">
        <v>0</v>
      </c>
      <c r="L107" s="16">
        <v>0</v>
      </c>
      <c r="M107" s="16">
        <v>83.97</v>
      </c>
      <c r="N107" s="18">
        <f t="shared" si="3"/>
        <v>113079648.1496738</v>
      </c>
      <c r="O107" s="4"/>
    </row>
    <row r="108" spans="1:15" ht="15" x14ac:dyDescent="0.2">
      <c r="A108" s="17" t="s">
        <v>103</v>
      </c>
      <c r="B108" s="16">
        <v>34467465.990000002</v>
      </c>
      <c r="C108" s="16">
        <v>0</v>
      </c>
      <c r="D108" s="16">
        <v>1216249.7116297502</v>
      </c>
      <c r="E108" s="16">
        <v>0</v>
      </c>
      <c r="F108" s="16">
        <v>184437.57</v>
      </c>
      <c r="G108" s="16">
        <v>100421.74</v>
      </c>
      <c r="H108" s="16">
        <v>1759536.12</v>
      </c>
      <c r="I108" s="16">
        <v>293169.51</v>
      </c>
      <c r="J108" s="16">
        <v>2916259.9499999997</v>
      </c>
      <c r="K108" s="16">
        <v>0</v>
      </c>
      <c r="L108" s="16">
        <v>0</v>
      </c>
      <c r="M108" s="16">
        <v>85.19</v>
      </c>
      <c r="N108" s="18">
        <f t="shared" si="3"/>
        <v>40937625.781629749</v>
      </c>
      <c r="O108" s="4"/>
    </row>
    <row r="109" spans="1:15" ht="15" x14ac:dyDescent="0.2">
      <c r="A109" s="17" t="s">
        <v>104</v>
      </c>
      <c r="B109" s="16">
        <v>379036899.18000001</v>
      </c>
      <c r="C109" s="16">
        <v>0</v>
      </c>
      <c r="D109" s="16">
        <v>6137357.9135059845</v>
      </c>
      <c r="E109" s="16">
        <v>0</v>
      </c>
      <c r="F109" s="16">
        <v>18831076.140000001</v>
      </c>
      <c r="G109" s="16">
        <v>9184044.7942070924</v>
      </c>
      <c r="H109" s="16">
        <v>19349525.57</v>
      </c>
      <c r="I109" s="16">
        <v>29932607.149999999</v>
      </c>
      <c r="J109" s="16">
        <v>54261232.519999996</v>
      </c>
      <c r="K109" s="16">
        <v>0</v>
      </c>
      <c r="L109" s="16">
        <v>0</v>
      </c>
      <c r="M109" s="16">
        <v>8699.83</v>
      </c>
      <c r="N109" s="18">
        <f t="shared" si="3"/>
        <v>516741443.09771299</v>
      </c>
      <c r="O109" s="4"/>
    </row>
    <row r="110" spans="1:15" ht="15" x14ac:dyDescent="0.2">
      <c r="A110" s="17" t="s">
        <v>105</v>
      </c>
      <c r="B110" s="16">
        <v>44224600.020000003</v>
      </c>
      <c r="C110" s="16">
        <v>0</v>
      </c>
      <c r="D110" s="16">
        <v>1402142.0402550662</v>
      </c>
      <c r="E110" s="16">
        <v>0</v>
      </c>
      <c r="F110" s="16">
        <v>719745.66</v>
      </c>
      <c r="G110" s="16">
        <v>336333.14</v>
      </c>
      <c r="H110" s="16">
        <v>2257629.88</v>
      </c>
      <c r="I110" s="16">
        <v>1144059.1200000001</v>
      </c>
      <c r="J110" s="16">
        <v>6394721.0899999999</v>
      </c>
      <c r="K110" s="16">
        <v>0</v>
      </c>
      <c r="L110" s="16">
        <v>0</v>
      </c>
      <c r="M110" s="16">
        <v>332.5</v>
      </c>
      <c r="N110" s="18">
        <f t="shared" si="3"/>
        <v>56479563.450255066</v>
      </c>
      <c r="O110" s="4"/>
    </row>
    <row r="111" spans="1:15" ht="15" x14ac:dyDescent="0.2">
      <c r="A111" s="17" t="s">
        <v>106</v>
      </c>
      <c r="B111" s="16">
        <v>54019833.689999998</v>
      </c>
      <c r="C111" s="16">
        <v>0</v>
      </c>
      <c r="D111" s="16">
        <v>2023009.0696905889</v>
      </c>
      <c r="E111" s="16">
        <v>0</v>
      </c>
      <c r="F111" s="16">
        <v>250747.27</v>
      </c>
      <c r="G111" s="16">
        <v>154617.60999999999</v>
      </c>
      <c r="H111" s="16">
        <v>2757668.6</v>
      </c>
      <c r="I111" s="16">
        <v>398570.93</v>
      </c>
      <c r="J111" s="16">
        <v>5070437.0300000012</v>
      </c>
      <c r="K111" s="16">
        <v>0</v>
      </c>
      <c r="L111" s="16">
        <v>0</v>
      </c>
      <c r="M111" s="16">
        <v>115.82</v>
      </c>
      <c r="N111" s="18">
        <f t="shared" si="3"/>
        <v>64675000.019690588</v>
      </c>
      <c r="O111" s="4"/>
    </row>
    <row r="112" spans="1:15" ht="15" x14ac:dyDescent="0.2">
      <c r="A112" s="17" t="s">
        <v>107</v>
      </c>
      <c r="B112" s="16">
        <v>72327613.469999999</v>
      </c>
      <c r="C112" s="16">
        <v>0</v>
      </c>
      <c r="D112" s="16">
        <v>2454648.0744305165</v>
      </c>
      <c r="E112" s="16">
        <v>0</v>
      </c>
      <c r="F112" s="16">
        <v>304761.13</v>
      </c>
      <c r="G112" s="16">
        <v>175339.55</v>
      </c>
      <c r="H112" s="16">
        <v>3692265.87</v>
      </c>
      <c r="I112" s="16">
        <v>484427.72</v>
      </c>
      <c r="J112" s="16">
        <v>5305672.2499999991</v>
      </c>
      <c r="K112" s="16">
        <v>0</v>
      </c>
      <c r="L112" s="16">
        <v>0</v>
      </c>
      <c r="M112" s="16">
        <v>140.76999999999998</v>
      </c>
      <c r="N112" s="18">
        <f t="shared" si="3"/>
        <v>84744868.834430501</v>
      </c>
      <c r="O112" s="4"/>
    </row>
    <row r="113" spans="1:15" ht="15" x14ac:dyDescent="0.2">
      <c r="A113" s="17" t="s">
        <v>108</v>
      </c>
      <c r="B113" s="16">
        <v>57849753.700000003</v>
      </c>
      <c r="C113" s="16">
        <v>0</v>
      </c>
      <c r="D113" s="16">
        <v>2623638.678691302</v>
      </c>
      <c r="E113" s="16">
        <v>0</v>
      </c>
      <c r="F113" s="16">
        <v>429476.06</v>
      </c>
      <c r="G113" s="16">
        <v>239099.39</v>
      </c>
      <c r="H113" s="16">
        <v>2953182.9</v>
      </c>
      <c r="I113" s="16">
        <v>682666.15</v>
      </c>
      <c r="J113" s="16">
        <v>5264813.62</v>
      </c>
      <c r="K113" s="16">
        <v>0</v>
      </c>
      <c r="L113" s="16">
        <v>0</v>
      </c>
      <c r="M113" s="16">
        <v>198.4</v>
      </c>
      <c r="N113" s="18">
        <f t="shared" si="3"/>
        <v>70042828.898691311</v>
      </c>
      <c r="O113" s="4"/>
    </row>
    <row r="114" spans="1:15" ht="15" x14ac:dyDescent="0.2">
      <c r="A114" s="17" t="s">
        <v>109</v>
      </c>
      <c r="B114" s="16">
        <v>38814452.420000002</v>
      </c>
      <c r="C114" s="16">
        <v>0</v>
      </c>
      <c r="D114" s="16">
        <v>1559700.3780028643</v>
      </c>
      <c r="E114" s="16">
        <v>0</v>
      </c>
      <c r="F114" s="16">
        <v>259969.14</v>
      </c>
      <c r="G114" s="16">
        <v>127519.67</v>
      </c>
      <c r="H114" s="16">
        <v>1981446.25</v>
      </c>
      <c r="I114" s="16">
        <v>413229.41</v>
      </c>
      <c r="J114" s="16">
        <v>3987200.5800000019</v>
      </c>
      <c r="K114" s="16">
        <v>0</v>
      </c>
      <c r="L114" s="16">
        <v>0</v>
      </c>
      <c r="M114" s="16">
        <v>120.08000000000001</v>
      </c>
      <c r="N114" s="18">
        <f t="shared" si="3"/>
        <v>47143637.928002864</v>
      </c>
      <c r="O114" s="4"/>
    </row>
    <row r="115" spans="1:15" ht="15" x14ac:dyDescent="0.2">
      <c r="A115" s="17" t="s">
        <v>110</v>
      </c>
      <c r="B115" s="16">
        <v>103995663.80999999</v>
      </c>
      <c r="C115" s="16">
        <v>0</v>
      </c>
      <c r="D115" s="16">
        <v>1542977.1433878443</v>
      </c>
      <c r="E115" s="16">
        <v>0</v>
      </c>
      <c r="F115" s="16">
        <v>269191.02</v>
      </c>
      <c r="G115" s="16">
        <v>212001.46</v>
      </c>
      <c r="H115" s="16">
        <v>5308894.0999999996</v>
      </c>
      <c r="I115" s="16">
        <v>427887.88</v>
      </c>
      <c r="J115" s="16">
        <v>5284207.0700000012</v>
      </c>
      <c r="K115" s="16">
        <v>0</v>
      </c>
      <c r="L115" s="16">
        <v>0</v>
      </c>
      <c r="M115" s="16">
        <v>124.34</v>
      </c>
      <c r="N115" s="18">
        <f t="shared" si="3"/>
        <v>117040946.82338782</v>
      </c>
      <c r="O115" s="4"/>
    </row>
    <row r="116" spans="1:15" ht="15" x14ac:dyDescent="0.2">
      <c r="A116" s="17" t="s">
        <v>111</v>
      </c>
      <c r="B116" s="16">
        <v>54799968.989999995</v>
      </c>
      <c r="C116" s="16">
        <v>0</v>
      </c>
      <c r="D116" s="16">
        <v>2385693.6465702062</v>
      </c>
      <c r="E116" s="16">
        <v>0</v>
      </c>
      <c r="F116" s="16">
        <v>743019.93</v>
      </c>
      <c r="G116" s="16">
        <v>326769.17</v>
      </c>
      <c r="H116" s="16">
        <v>2797493.87</v>
      </c>
      <c r="I116" s="16">
        <v>1181054.32</v>
      </c>
      <c r="J116" s="16">
        <v>7148306.2299999977</v>
      </c>
      <c r="K116" s="16">
        <v>0</v>
      </c>
      <c r="L116" s="16">
        <v>0</v>
      </c>
      <c r="M116" s="16">
        <v>343.25</v>
      </c>
      <c r="N116" s="18">
        <f t="shared" si="3"/>
        <v>69382649.406570196</v>
      </c>
      <c r="O116" s="4"/>
    </row>
    <row r="117" spans="1:15" ht="15" x14ac:dyDescent="0.2">
      <c r="A117" s="17" t="s">
        <v>112</v>
      </c>
      <c r="B117" s="16">
        <v>31845848.5</v>
      </c>
      <c r="C117" s="16">
        <v>0</v>
      </c>
      <c r="D117" s="16">
        <v>632815.08928677009</v>
      </c>
      <c r="E117" s="16">
        <v>0</v>
      </c>
      <c r="F117" s="16">
        <v>156332.79</v>
      </c>
      <c r="G117" s="16">
        <v>87669.78</v>
      </c>
      <c r="H117" s="16">
        <v>1625704.68</v>
      </c>
      <c r="I117" s="16">
        <v>248496.06</v>
      </c>
      <c r="J117" s="16">
        <v>2208923.8699999992</v>
      </c>
      <c r="K117" s="16">
        <v>0</v>
      </c>
      <c r="L117" s="16">
        <v>0</v>
      </c>
      <c r="M117" s="16">
        <v>72.199999999999989</v>
      </c>
      <c r="N117" s="18">
        <f t="shared" si="3"/>
        <v>36805862.969286777</v>
      </c>
      <c r="O117" s="4"/>
    </row>
    <row r="118" spans="1:15" ht="15" x14ac:dyDescent="0.2">
      <c r="A118" s="17" t="s">
        <v>113</v>
      </c>
      <c r="B118" s="16">
        <v>48319403.189999998</v>
      </c>
      <c r="C118" s="16">
        <v>0</v>
      </c>
      <c r="D118" s="16">
        <v>1765112.7493735424</v>
      </c>
      <c r="E118" s="16">
        <v>0</v>
      </c>
      <c r="F118" s="16">
        <v>737311.15</v>
      </c>
      <c r="G118" s="16">
        <v>333145.15000000002</v>
      </c>
      <c r="H118" s="16">
        <v>2466666.2599999998</v>
      </c>
      <c r="I118" s="16">
        <v>1171980.02</v>
      </c>
      <c r="J118" s="16">
        <v>5710480.8299999991</v>
      </c>
      <c r="K118" s="16">
        <v>0</v>
      </c>
      <c r="L118" s="16">
        <v>0</v>
      </c>
      <c r="M118" s="16">
        <v>340.61</v>
      </c>
      <c r="N118" s="18">
        <f t="shared" si="3"/>
        <v>60504439.959373534</v>
      </c>
      <c r="O118" s="4"/>
    </row>
    <row r="119" spans="1:15" ht="15" x14ac:dyDescent="0.2">
      <c r="A119" s="17" t="s">
        <v>114</v>
      </c>
      <c r="B119" s="16">
        <v>70213991.100000009</v>
      </c>
      <c r="C119" s="16">
        <v>0</v>
      </c>
      <c r="D119" s="16">
        <v>1516053.5106198825</v>
      </c>
      <c r="E119" s="16">
        <v>0</v>
      </c>
      <c r="F119" s="16">
        <v>592395.91</v>
      </c>
      <c r="G119" s="16">
        <v>234317.4</v>
      </c>
      <c r="H119" s="16">
        <v>3584367.17</v>
      </c>
      <c r="I119" s="16">
        <v>941632.55</v>
      </c>
      <c r="J119" s="16">
        <v>5270299.7600000007</v>
      </c>
      <c r="K119" s="16">
        <v>0</v>
      </c>
      <c r="L119" s="16">
        <v>0</v>
      </c>
      <c r="M119" s="16">
        <v>273.65999999999997</v>
      </c>
      <c r="N119" s="18">
        <f t="shared" si="3"/>
        <v>82353331.060619891</v>
      </c>
      <c r="O119" s="4"/>
    </row>
    <row r="120" spans="1:15" ht="15" x14ac:dyDescent="0.2">
      <c r="A120" s="17" t="s">
        <v>115</v>
      </c>
      <c r="B120" s="16">
        <v>46419864.460000008</v>
      </c>
      <c r="C120" s="16">
        <v>0</v>
      </c>
      <c r="D120" s="16">
        <v>1741424.1858799541</v>
      </c>
      <c r="E120" s="16">
        <v>0</v>
      </c>
      <c r="F120" s="16">
        <v>399175.6</v>
      </c>
      <c r="G120" s="16">
        <v>235911.4</v>
      </c>
      <c r="H120" s="16">
        <v>2369696.35</v>
      </c>
      <c r="I120" s="16">
        <v>634502.59</v>
      </c>
      <c r="J120" s="16">
        <v>5652012.5300000012</v>
      </c>
      <c r="K120" s="16">
        <v>0</v>
      </c>
      <c r="L120" s="16">
        <v>0</v>
      </c>
      <c r="M120" s="16">
        <v>184.4</v>
      </c>
      <c r="N120" s="18">
        <f t="shared" si="3"/>
        <v>57452771.515879966</v>
      </c>
      <c r="O120" s="4"/>
    </row>
    <row r="121" spans="1:15" ht="15" x14ac:dyDescent="0.2">
      <c r="A121" s="17" t="s">
        <v>116</v>
      </c>
      <c r="B121" s="16">
        <v>50469310.950000003</v>
      </c>
      <c r="C121" s="16">
        <v>0</v>
      </c>
      <c r="D121" s="16">
        <v>1524153.7379139005</v>
      </c>
      <c r="E121" s="16">
        <v>0</v>
      </c>
      <c r="F121" s="16">
        <v>167750.35999999999</v>
      </c>
      <c r="G121" s="16">
        <v>86075.78</v>
      </c>
      <c r="H121" s="16">
        <v>2576417.2999999998</v>
      </c>
      <c r="I121" s="16">
        <v>266644.65000000002</v>
      </c>
      <c r="J121" s="16">
        <v>3102368.7299999995</v>
      </c>
      <c r="K121" s="16">
        <v>0</v>
      </c>
      <c r="L121" s="16">
        <v>0</v>
      </c>
      <c r="M121" s="16">
        <v>77.47</v>
      </c>
      <c r="N121" s="18">
        <f t="shared" si="3"/>
        <v>58192798.977913894</v>
      </c>
      <c r="O121" s="4"/>
    </row>
    <row r="122" spans="1:15" ht="15" x14ac:dyDescent="0.2">
      <c r="A122" s="17" t="s">
        <v>117</v>
      </c>
      <c r="B122" s="16">
        <v>141362330.34999999</v>
      </c>
      <c r="C122" s="16">
        <v>0</v>
      </c>
      <c r="D122" s="16">
        <v>2599649.0099999998</v>
      </c>
      <c r="E122" s="16">
        <v>0</v>
      </c>
      <c r="F122" s="16">
        <v>5050076.38</v>
      </c>
      <c r="G122" s="16">
        <v>2159573.0995290936</v>
      </c>
      <c r="H122" s="16">
        <v>7216432.0499999998</v>
      </c>
      <c r="I122" s="16">
        <v>8027260.4400000004</v>
      </c>
      <c r="J122" s="16">
        <v>14538062.889999993</v>
      </c>
      <c r="K122" s="16">
        <v>0</v>
      </c>
      <c r="L122" s="16">
        <v>0</v>
      </c>
      <c r="M122" s="16">
        <v>2333.08</v>
      </c>
      <c r="N122" s="18">
        <f t="shared" si="3"/>
        <v>180955717.29952908</v>
      </c>
      <c r="O122" s="4"/>
    </row>
    <row r="123" spans="1:15" ht="15" x14ac:dyDescent="0.2">
      <c r="A123" s="17" t="s">
        <v>118</v>
      </c>
      <c r="B123" s="16">
        <v>378385576.88999999</v>
      </c>
      <c r="C123" s="16">
        <v>0</v>
      </c>
      <c r="D123" s="16">
        <v>5802365.71</v>
      </c>
      <c r="E123" s="16">
        <v>0</v>
      </c>
      <c r="F123" s="16">
        <v>7020045.3099999996</v>
      </c>
      <c r="G123" s="16">
        <v>5498551.3179623066</v>
      </c>
      <c r="H123" s="16">
        <v>19316276.100000001</v>
      </c>
      <c r="I123" s="16">
        <v>11158590.029999999</v>
      </c>
      <c r="J123" s="16">
        <v>19498661.159999996</v>
      </c>
      <c r="K123" s="16">
        <v>0</v>
      </c>
      <c r="L123" s="16">
        <v>0</v>
      </c>
      <c r="M123" s="16">
        <v>3243.19</v>
      </c>
      <c r="N123" s="18">
        <f t="shared" si="3"/>
        <v>446683309.70796221</v>
      </c>
      <c r="O123" s="4"/>
    </row>
    <row r="124" spans="1:15" ht="15" x14ac:dyDescent="0.2">
      <c r="A124" s="17" t="s">
        <v>119</v>
      </c>
      <c r="B124" s="16">
        <v>288056794.87</v>
      </c>
      <c r="C124" s="16">
        <v>0</v>
      </c>
      <c r="D124" s="16">
        <v>2423334.7800000003</v>
      </c>
      <c r="E124" s="16">
        <v>0</v>
      </c>
      <c r="F124" s="16">
        <v>8989575.0999999996</v>
      </c>
      <c r="G124" s="16">
        <v>0</v>
      </c>
      <c r="H124" s="16">
        <v>14705065.210000001</v>
      </c>
      <c r="I124" s="16">
        <v>14289221.609999999</v>
      </c>
      <c r="J124" s="16">
        <v>27218644.650000013</v>
      </c>
      <c r="K124" s="16">
        <v>0</v>
      </c>
      <c r="L124" s="16">
        <v>0</v>
      </c>
      <c r="M124" s="16">
        <v>4153.1100000000006</v>
      </c>
      <c r="N124" s="18">
        <f t="shared" si="3"/>
        <v>355686789.33000004</v>
      </c>
      <c r="O124" s="4"/>
    </row>
    <row r="125" spans="1:15" ht="15" x14ac:dyDescent="0.2">
      <c r="A125" s="17" t="s">
        <v>120</v>
      </c>
      <c r="B125" s="16">
        <v>102703904.88</v>
      </c>
      <c r="C125" s="16">
        <v>0</v>
      </c>
      <c r="D125" s="16">
        <v>10147188.931656737</v>
      </c>
      <c r="E125" s="16">
        <v>0</v>
      </c>
      <c r="F125" s="16">
        <v>3495531.13</v>
      </c>
      <c r="G125" s="16">
        <v>1487198.21</v>
      </c>
      <c r="H125" s="16">
        <v>5242950.8600000003</v>
      </c>
      <c r="I125" s="16">
        <v>5556260.2699999996</v>
      </c>
      <c r="J125" s="16">
        <v>16935858.060000006</v>
      </c>
      <c r="K125" s="16">
        <v>0</v>
      </c>
      <c r="L125" s="16">
        <v>0</v>
      </c>
      <c r="M125" s="16">
        <v>1614.8899999999999</v>
      </c>
      <c r="N125" s="18">
        <f t="shared" si="3"/>
        <v>145570507.2316567</v>
      </c>
      <c r="O125" s="4"/>
    </row>
    <row r="126" spans="1:15" ht="15" x14ac:dyDescent="0.2">
      <c r="A126" s="17" t="s">
        <v>121</v>
      </c>
      <c r="B126" s="16">
        <v>129380903.56999998</v>
      </c>
      <c r="C126" s="16">
        <v>0</v>
      </c>
      <c r="D126" s="16">
        <v>2218639.0602798583</v>
      </c>
      <c r="E126" s="16">
        <v>0</v>
      </c>
      <c r="F126" s="16">
        <v>1749961.25</v>
      </c>
      <c r="G126" s="16">
        <v>602530.46</v>
      </c>
      <c r="H126" s="16">
        <v>6604789.9500000002</v>
      </c>
      <c r="I126" s="16">
        <v>2781620.25</v>
      </c>
      <c r="J126" s="16">
        <v>11196756.780000003</v>
      </c>
      <c r="K126" s="16">
        <v>0</v>
      </c>
      <c r="L126" s="16">
        <v>0</v>
      </c>
      <c r="M126" s="16">
        <v>808.45</v>
      </c>
      <c r="N126" s="18">
        <f t="shared" si="3"/>
        <v>154536009.77027982</v>
      </c>
      <c r="O126" s="4"/>
    </row>
    <row r="127" spans="1:15" ht="15" x14ac:dyDescent="0.2">
      <c r="A127" s="17" t="s">
        <v>122</v>
      </c>
      <c r="B127" s="16">
        <v>61086408.060000002</v>
      </c>
      <c r="C127" s="16">
        <v>0</v>
      </c>
      <c r="D127" s="16">
        <v>1282062.6569849842</v>
      </c>
      <c r="E127" s="16">
        <v>0</v>
      </c>
      <c r="F127" s="16">
        <v>1857549.83</v>
      </c>
      <c r="G127" s="16">
        <v>607312.44999999995</v>
      </c>
      <c r="H127" s="16">
        <v>3118411.48</v>
      </c>
      <c r="I127" s="16">
        <v>2952635.8</v>
      </c>
      <c r="J127" s="16">
        <v>11503600.24</v>
      </c>
      <c r="K127" s="16">
        <v>0</v>
      </c>
      <c r="L127" s="16">
        <v>0</v>
      </c>
      <c r="M127" s="16">
        <v>858.1400000000001</v>
      </c>
      <c r="N127" s="18">
        <f t="shared" si="3"/>
        <v>82408838.656984985</v>
      </c>
      <c r="O127" s="4"/>
    </row>
    <row r="128" spans="1:15" ht="15" x14ac:dyDescent="0.2">
      <c r="A128" s="17" t="s">
        <v>123</v>
      </c>
      <c r="B128" s="16">
        <v>37241481.95000001</v>
      </c>
      <c r="C128" s="16">
        <v>0</v>
      </c>
      <c r="D128" s="16">
        <v>889641.32790989429</v>
      </c>
      <c r="E128" s="16">
        <v>0</v>
      </c>
      <c r="F128" s="16">
        <v>169946.04</v>
      </c>
      <c r="G128" s="16">
        <v>103609.74</v>
      </c>
      <c r="H128" s="16">
        <v>1901147.38</v>
      </c>
      <c r="I128" s="16">
        <v>270134.76</v>
      </c>
      <c r="J128" s="16">
        <v>2705060.39</v>
      </c>
      <c r="K128" s="16">
        <v>0</v>
      </c>
      <c r="L128" s="16">
        <v>0</v>
      </c>
      <c r="M128" s="16">
        <v>78.490000000000009</v>
      </c>
      <c r="N128" s="18">
        <f t="shared" si="3"/>
        <v>43281100.077909909</v>
      </c>
      <c r="O128" s="4"/>
    </row>
    <row r="129" spans="1:15" ht="15" x14ac:dyDescent="0.2">
      <c r="A129" s="17" t="s">
        <v>124</v>
      </c>
      <c r="B129" s="16">
        <v>192597262.56999999</v>
      </c>
      <c r="C129" s="16">
        <v>0</v>
      </c>
      <c r="D129" s="16">
        <v>8542178.8069386519</v>
      </c>
      <c r="E129" s="16">
        <v>0</v>
      </c>
      <c r="F129" s="16">
        <v>2161432.69</v>
      </c>
      <c r="G129" s="16">
        <v>1264038.78</v>
      </c>
      <c r="H129" s="16">
        <v>9831933.6899999995</v>
      </c>
      <c r="I129" s="16">
        <v>3435667.47</v>
      </c>
      <c r="J129" s="16">
        <v>17451368.889999993</v>
      </c>
      <c r="K129" s="16">
        <v>0</v>
      </c>
      <c r="L129" s="16">
        <v>0</v>
      </c>
      <c r="M129" s="16">
        <v>998.54</v>
      </c>
      <c r="N129" s="18">
        <f t="shared" si="3"/>
        <v>235284881.43693861</v>
      </c>
      <c r="O129" s="4"/>
    </row>
    <row r="130" spans="1:15" ht="15" x14ac:dyDescent="0.2">
      <c r="A130" s="17" t="s">
        <v>125</v>
      </c>
      <c r="B130" s="16">
        <v>60313529.850000001</v>
      </c>
      <c r="C130" s="16">
        <v>0</v>
      </c>
      <c r="D130" s="16">
        <v>2404608.777600483</v>
      </c>
      <c r="E130" s="16">
        <v>0</v>
      </c>
      <c r="F130" s="16">
        <v>267434.48</v>
      </c>
      <c r="G130" s="16">
        <v>94045.759999999995</v>
      </c>
      <c r="H130" s="16">
        <v>3078956.67</v>
      </c>
      <c r="I130" s="16">
        <v>425095.79</v>
      </c>
      <c r="J130" s="16">
        <v>4586635.0200000005</v>
      </c>
      <c r="K130" s="16">
        <v>0</v>
      </c>
      <c r="L130" s="16">
        <v>0</v>
      </c>
      <c r="M130" s="16">
        <v>123.52</v>
      </c>
      <c r="N130" s="18">
        <f t="shared" si="3"/>
        <v>71170429.867600471</v>
      </c>
      <c r="O130" s="4"/>
    </row>
    <row r="131" spans="1:15" ht="15" x14ac:dyDescent="0.2">
      <c r="A131" s="17" t="s">
        <v>126</v>
      </c>
      <c r="B131" s="16">
        <v>283666265.99000001</v>
      </c>
      <c r="C131" s="16">
        <v>0</v>
      </c>
      <c r="D131" s="16">
        <v>5684828.8800000008</v>
      </c>
      <c r="E131" s="16">
        <v>0</v>
      </c>
      <c r="F131" s="16">
        <v>11808835.140000001</v>
      </c>
      <c r="G131" s="16">
        <v>1077521.4492290332</v>
      </c>
      <c r="H131" s="16">
        <v>14480932.279999999</v>
      </c>
      <c r="I131" s="16">
        <v>18770527</v>
      </c>
      <c r="J131" s="16">
        <v>36838848.210000008</v>
      </c>
      <c r="K131" s="16">
        <v>0</v>
      </c>
      <c r="L131" s="16">
        <v>0</v>
      </c>
      <c r="M131" s="16">
        <v>5455.59</v>
      </c>
      <c r="N131" s="18">
        <f t="shared" si="3"/>
        <v>372333214.53922898</v>
      </c>
      <c r="O131" s="4"/>
    </row>
    <row r="132" spans="1:15" ht="15" x14ac:dyDescent="0.2">
      <c r="A132" s="17" t="s">
        <v>127</v>
      </c>
      <c r="B132" s="16">
        <v>12601906.359999999</v>
      </c>
      <c r="C132" s="16">
        <v>0</v>
      </c>
      <c r="D132" s="16">
        <v>157295.94310798607</v>
      </c>
      <c r="E132" s="16">
        <v>0</v>
      </c>
      <c r="F132" s="16">
        <v>50500.76</v>
      </c>
      <c r="G132" s="16">
        <v>17533.96</v>
      </c>
      <c r="H132" s="16">
        <v>643317.07999999996</v>
      </c>
      <c r="I132" s="16">
        <v>80272.600000000006</v>
      </c>
      <c r="J132" s="16">
        <v>1325492.5200000003</v>
      </c>
      <c r="K132" s="16">
        <v>0</v>
      </c>
      <c r="L132" s="16">
        <v>0</v>
      </c>
      <c r="M132" s="16">
        <v>23.310000000000002</v>
      </c>
      <c r="N132" s="18">
        <f t="shared" si="3"/>
        <v>14876342.533107987</v>
      </c>
      <c r="O132" s="4"/>
    </row>
    <row r="133" spans="1:15" ht="15" x14ac:dyDescent="0.2">
      <c r="A133" s="17" t="s">
        <v>128</v>
      </c>
      <c r="B133" s="16">
        <v>70471617.170000002</v>
      </c>
      <c r="C133" s="16">
        <v>0</v>
      </c>
      <c r="D133" s="16">
        <v>1750309.2965702063</v>
      </c>
      <c r="E133" s="16">
        <v>0</v>
      </c>
      <c r="F133" s="16">
        <v>182681.02</v>
      </c>
      <c r="G133" s="16">
        <v>129113.67</v>
      </c>
      <c r="H133" s="16">
        <v>3597518.77</v>
      </c>
      <c r="I133" s="16">
        <v>290377.42</v>
      </c>
      <c r="J133" s="16">
        <v>4817323.9399999985</v>
      </c>
      <c r="K133" s="16">
        <v>0</v>
      </c>
      <c r="L133" s="16">
        <v>0</v>
      </c>
      <c r="M133" s="16">
        <v>84.37</v>
      </c>
      <c r="N133" s="18">
        <f t="shared" si="3"/>
        <v>81239025.656570211</v>
      </c>
      <c r="O133" s="4"/>
    </row>
    <row r="134" spans="1:15" ht="15" x14ac:dyDescent="0.2">
      <c r="A134" s="17" t="s">
        <v>129</v>
      </c>
      <c r="B134" s="16">
        <v>138142004.41999999</v>
      </c>
      <c r="C134" s="16">
        <v>0</v>
      </c>
      <c r="D134" s="16">
        <v>3753385.7620605528</v>
      </c>
      <c r="E134" s="16">
        <v>0</v>
      </c>
      <c r="F134" s="16">
        <v>852365.06</v>
      </c>
      <c r="G134" s="16">
        <v>438348.88</v>
      </c>
      <c r="H134" s="16">
        <v>7052037.0300000003</v>
      </c>
      <c r="I134" s="16">
        <v>1354861.96</v>
      </c>
      <c r="J134" s="16">
        <v>11103606.370000001</v>
      </c>
      <c r="K134" s="16">
        <v>0</v>
      </c>
      <c r="L134" s="16">
        <v>0</v>
      </c>
      <c r="M134" s="16">
        <v>393.76</v>
      </c>
      <c r="N134" s="18">
        <f t="shared" si="3"/>
        <v>162697003.24206054</v>
      </c>
      <c r="O134" s="4"/>
    </row>
    <row r="135" spans="1:15" ht="15" x14ac:dyDescent="0.2">
      <c r="A135" s="17" t="s">
        <v>130</v>
      </c>
      <c r="B135" s="16">
        <v>115746678.52000001</v>
      </c>
      <c r="C135" s="16">
        <v>0</v>
      </c>
      <c r="D135" s="16">
        <v>5469983.9593833685</v>
      </c>
      <c r="E135" s="16">
        <v>0</v>
      </c>
      <c r="F135" s="16">
        <v>1283158.53</v>
      </c>
      <c r="G135" s="16">
        <v>583402.51</v>
      </c>
      <c r="H135" s="16">
        <v>5908773.8499999996</v>
      </c>
      <c r="I135" s="16">
        <v>2039622.17</v>
      </c>
      <c r="J135" s="16">
        <v>11330880.879999997</v>
      </c>
      <c r="K135" s="16">
        <v>0</v>
      </c>
      <c r="L135" s="16">
        <v>0</v>
      </c>
      <c r="M135" s="16">
        <v>592.78</v>
      </c>
      <c r="N135" s="18">
        <f t="shared" si="3"/>
        <v>142363093.19938338</v>
      </c>
      <c r="O135" s="4"/>
    </row>
    <row r="136" spans="1:15" ht="15" x14ac:dyDescent="0.2">
      <c r="A136" s="17" t="s">
        <v>131</v>
      </c>
      <c r="B136" s="16">
        <v>196985977.17000002</v>
      </c>
      <c r="C136" s="16">
        <v>0</v>
      </c>
      <c r="D136" s="16">
        <v>3670081.8299999996</v>
      </c>
      <c r="E136" s="16">
        <v>0</v>
      </c>
      <c r="F136" s="16">
        <v>7634398.0800000001</v>
      </c>
      <c r="G136" s="16">
        <v>4053191.8268100233</v>
      </c>
      <c r="H136" s="16">
        <v>10055974</v>
      </c>
      <c r="I136" s="16">
        <v>12135123.720000001</v>
      </c>
      <c r="J136" s="16">
        <v>26023785.050000001</v>
      </c>
      <c r="K136" s="16">
        <v>0</v>
      </c>
      <c r="L136" s="16">
        <v>0</v>
      </c>
      <c r="M136" s="16">
        <v>3527.0200000000004</v>
      </c>
      <c r="N136" s="18">
        <f t="shared" ref="N136:N142" si="4">SUM(B136:M136)</f>
        <v>260562058.6968101</v>
      </c>
      <c r="O136" s="4"/>
    </row>
    <row r="137" spans="1:15" ht="15" x14ac:dyDescent="0.2">
      <c r="A137" s="17" t="s">
        <v>132</v>
      </c>
      <c r="B137" s="16">
        <v>33360762.409999996</v>
      </c>
      <c r="C137" s="16">
        <v>0</v>
      </c>
      <c r="D137" s="16">
        <v>1030758.3742232202</v>
      </c>
      <c r="E137" s="16">
        <v>0</v>
      </c>
      <c r="F137" s="16">
        <v>91340.51</v>
      </c>
      <c r="G137" s="16">
        <v>89263.77</v>
      </c>
      <c r="H137" s="16">
        <v>1703039.81</v>
      </c>
      <c r="I137" s="16">
        <v>145188.71</v>
      </c>
      <c r="J137" s="16">
        <v>2490158.8800000004</v>
      </c>
      <c r="K137" s="16">
        <v>0</v>
      </c>
      <c r="L137" s="16">
        <v>0</v>
      </c>
      <c r="M137" s="16">
        <v>42.18</v>
      </c>
      <c r="N137" s="18">
        <f t="shared" si="4"/>
        <v>38910554.644223221</v>
      </c>
      <c r="O137" s="4"/>
    </row>
    <row r="138" spans="1:15" ht="15" x14ac:dyDescent="0.2">
      <c r="A138" s="17" t="s">
        <v>133</v>
      </c>
      <c r="B138" s="16">
        <v>71433179.280000001</v>
      </c>
      <c r="C138" s="16">
        <v>0</v>
      </c>
      <c r="D138" s="16">
        <v>3874820.2393191978</v>
      </c>
      <c r="E138" s="16">
        <v>0</v>
      </c>
      <c r="F138" s="16">
        <v>795277.24</v>
      </c>
      <c r="G138" s="16">
        <v>365025.07</v>
      </c>
      <c r="H138" s="16">
        <v>3646605.74</v>
      </c>
      <c r="I138" s="16">
        <v>1264119.01</v>
      </c>
      <c r="J138" s="16">
        <v>9268396.070000004</v>
      </c>
      <c r="K138" s="16">
        <v>0</v>
      </c>
      <c r="L138" s="16">
        <v>0</v>
      </c>
      <c r="M138" s="16">
        <v>367.4</v>
      </c>
      <c r="N138" s="18">
        <f t="shared" si="4"/>
        <v>90647790.049319208</v>
      </c>
      <c r="O138" s="4"/>
    </row>
    <row r="139" spans="1:15" ht="15" x14ac:dyDescent="0.2">
      <c r="A139" s="17" t="s">
        <v>134</v>
      </c>
      <c r="B139" s="16">
        <v>334429488.47000003</v>
      </c>
      <c r="C139" s="16">
        <v>0</v>
      </c>
      <c r="D139" s="16">
        <v>4655591.5449999999</v>
      </c>
      <c r="E139" s="16">
        <v>0</v>
      </c>
      <c r="F139" s="16">
        <v>4090122.73</v>
      </c>
      <c r="G139" s="16">
        <v>3740095.4382906547</v>
      </c>
      <c r="H139" s="16">
        <v>17072353.530000001</v>
      </c>
      <c r="I139" s="16">
        <v>6501382.9399999995</v>
      </c>
      <c r="J139" s="16">
        <v>16790396.929999996</v>
      </c>
      <c r="K139" s="16">
        <v>0</v>
      </c>
      <c r="L139" s="16">
        <v>0</v>
      </c>
      <c r="M139" s="16">
        <v>1889.5900000000001</v>
      </c>
      <c r="N139" s="18">
        <f t="shared" si="4"/>
        <v>387281321.17329067</v>
      </c>
      <c r="O139" s="4"/>
    </row>
    <row r="140" spans="1:15" ht="15" x14ac:dyDescent="0.2">
      <c r="A140" s="17" t="s">
        <v>135</v>
      </c>
      <c r="B140" s="16">
        <v>87021371.109999999</v>
      </c>
      <c r="C140" s="16">
        <v>0</v>
      </c>
      <c r="D140" s="16">
        <v>719338.87999999989</v>
      </c>
      <c r="E140" s="16">
        <v>0</v>
      </c>
      <c r="F140" s="16">
        <v>674514.55</v>
      </c>
      <c r="G140" s="16">
        <v>323581.17</v>
      </c>
      <c r="H140" s="16">
        <v>4442370.26</v>
      </c>
      <c r="I140" s="16">
        <v>1072162.79</v>
      </c>
      <c r="J140" s="16">
        <v>4236995.1899999995</v>
      </c>
      <c r="K140" s="16">
        <v>0</v>
      </c>
      <c r="L140" s="16">
        <v>0</v>
      </c>
      <c r="M140" s="16">
        <v>311.61</v>
      </c>
      <c r="N140" s="18">
        <f t="shared" si="4"/>
        <v>98490645.560000002</v>
      </c>
      <c r="O140" s="4"/>
    </row>
    <row r="141" spans="1:15" ht="15" x14ac:dyDescent="0.2">
      <c r="A141" s="17" t="s">
        <v>136</v>
      </c>
      <c r="B141" s="16">
        <v>107647785.55999999</v>
      </c>
      <c r="C141" s="16">
        <v>0</v>
      </c>
      <c r="D141" s="16">
        <v>2468550.8669306389</v>
      </c>
      <c r="E141" s="16">
        <v>0</v>
      </c>
      <c r="F141" s="16">
        <v>972688.62</v>
      </c>
      <c r="G141" s="16">
        <v>315611.2</v>
      </c>
      <c r="H141" s="16">
        <v>5495331.9500000002</v>
      </c>
      <c r="I141" s="16">
        <v>1546120.16</v>
      </c>
      <c r="J141" s="16">
        <v>11539663.310000004</v>
      </c>
      <c r="K141" s="16">
        <v>0</v>
      </c>
      <c r="L141" s="16">
        <v>0</v>
      </c>
      <c r="M141" s="16">
        <v>449.35</v>
      </c>
      <c r="N141" s="18">
        <f t="shared" si="4"/>
        <v>129986201.01693062</v>
      </c>
      <c r="O141" s="4"/>
    </row>
    <row r="142" spans="1:15" ht="15" x14ac:dyDescent="0.2">
      <c r="A142" s="17" t="s">
        <v>137</v>
      </c>
      <c r="B142" s="16">
        <v>101994526.06</v>
      </c>
      <c r="C142" s="16">
        <v>0</v>
      </c>
      <c r="D142" s="16">
        <v>2030147.4016691302</v>
      </c>
      <c r="E142" s="16">
        <v>0</v>
      </c>
      <c r="F142" s="16">
        <v>4181902.38</v>
      </c>
      <c r="G142" s="16">
        <v>1165211.03</v>
      </c>
      <c r="H142" s="16">
        <v>5206737.6399999997</v>
      </c>
      <c r="I142" s="16">
        <v>6647269.6699999999</v>
      </c>
      <c r="J142" s="16">
        <v>15522087.469999995</v>
      </c>
      <c r="K142" s="16">
        <v>0</v>
      </c>
      <c r="L142" s="16">
        <v>0</v>
      </c>
      <c r="M142" s="16">
        <v>1931.9900000000002</v>
      </c>
      <c r="N142" s="18">
        <f t="shared" si="4"/>
        <v>136749813.64166912</v>
      </c>
      <c r="O142" s="4"/>
    </row>
    <row r="143" spans="1:15" ht="24.75" customHeight="1" x14ac:dyDescent="0.2">
      <c r="A143" s="24" t="s">
        <v>138</v>
      </c>
      <c r="B143" s="25">
        <f t="shared" ref="B143:I143" si="5">SUM(B8:B142)</f>
        <v>18142681360.199997</v>
      </c>
      <c r="C143" s="25">
        <f t="shared" si="5"/>
        <v>0</v>
      </c>
      <c r="D143" s="25">
        <f t="shared" si="5"/>
        <v>365301709.82583326</v>
      </c>
      <c r="E143" s="25">
        <f t="shared" si="5"/>
        <v>0</v>
      </c>
      <c r="F143" s="25">
        <f t="shared" si="5"/>
        <v>439137077.26000005</v>
      </c>
      <c r="G143" s="25">
        <f t="shared" si="5"/>
        <v>159399593.55999997</v>
      </c>
      <c r="H143" s="25">
        <f t="shared" si="5"/>
        <v>926169135.1499995</v>
      </c>
      <c r="I143" s="25">
        <f t="shared" si="5"/>
        <v>698022646.92999947</v>
      </c>
      <c r="J143" s="25">
        <f t="shared" ref="J143:N143" si="6">SUM(J8:J142)</f>
        <v>1918251401.7700012</v>
      </c>
      <c r="K143" s="25">
        <f t="shared" si="6"/>
        <v>0</v>
      </c>
      <c r="L143" s="25">
        <f t="shared" si="6"/>
        <v>0</v>
      </c>
      <c r="M143" s="25">
        <f t="shared" si="6"/>
        <v>202875.46999999991</v>
      </c>
      <c r="N143" s="25">
        <f t="shared" si="6"/>
        <v>22649165800.165848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5" x14ac:dyDescent="0.2">
      <c r="B145" s="7"/>
      <c r="C145" s="7"/>
      <c r="D145" s="7"/>
      <c r="E145" s="8"/>
      <c r="F145" s="8"/>
      <c r="G145" s="8"/>
      <c r="H145" s="8"/>
      <c r="I145" s="8"/>
      <c r="M145" s="9"/>
    </row>
    <row r="146" spans="1:15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5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5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5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5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5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5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5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5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5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5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5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5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5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>
    <tabColor rgb="FF44AEAC"/>
  </sheetPr>
  <dimension ref="A1:T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2.33203125" style="1" customWidth="1"/>
    <col min="3" max="3" width="22.33203125" style="1" hidden="1" customWidth="1"/>
    <col min="4" max="4" width="22.33203125" style="1" customWidth="1"/>
    <col min="5" max="5" width="22.33203125" style="1" hidden="1" customWidth="1"/>
    <col min="6" max="10" width="22.33203125" style="1" customWidth="1"/>
    <col min="11" max="12" width="22.33203125" style="1" hidden="1" customWidth="1"/>
    <col min="13" max="13" width="22.33203125" style="1" customWidth="1"/>
    <col min="14" max="14" width="23.83203125" style="1" customWidth="1"/>
    <col min="15" max="15" width="12" style="1" customWidth="1"/>
    <col min="16" max="16384" width="12" style="1"/>
  </cols>
  <sheetData>
    <row r="1" spans="1:20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0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0" ht="17.25" customHeight="1" x14ac:dyDescent="0.25">
      <c r="A3" s="2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0" ht="17.25" customHeight="1" x14ac:dyDescent="0.25">
      <c r="A4" s="23" t="s">
        <v>156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0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20" ht="18.75" customHeight="1" x14ac:dyDescent="0.2">
      <c r="A6" s="28" t="s">
        <v>2</v>
      </c>
      <c r="B6" s="29" t="s">
        <v>157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20" ht="60" customHeight="1" x14ac:dyDescent="0.2">
      <c r="A7" s="28"/>
      <c r="B7" s="21" t="s">
        <v>139</v>
      </c>
      <c r="C7" s="21" t="s">
        <v>151</v>
      </c>
      <c r="D7" s="21" t="s">
        <v>143</v>
      </c>
      <c r="E7" s="21" t="s">
        <v>141</v>
      </c>
      <c r="F7" s="27" t="s">
        <v>150</v>
      </c>
      <c r="G7" s="21" t="s">
        <v>144</v>
      </c>
      <c r="H7" s="21" t="s">
        <v>146</v>
      </c>
      <c r="I7" s="21" t="s">
        <v>145</v>
      </c>
      <c r="J7" s="21" t="s">
        <v>147</v>
      </c>
      <c r="K7" s="21" t="s">
        <v>148</v>
      </c>
      <c r="L7" s="21" t="s">
        <v>149</v>
      </c>
      <c r="M7" s="21" t="s">
        <v>142</v>
      </c>
      <c r="N7" s="22" t="s">
        <v>140</v>
      </c>
    </row>
    <row r="8" spans="1:20" ht="18" customHeight="1" x14ac:dyDescent="0.2">
      <c r="A8" s="17" t="s">
        <v>3</v>
      </c>
      <c r="B8" s="16">
        <v>74991444.5</v>
      </c>
      <c r="C8" s="16"/>
      <c r="D8" s="16">
        <v>16203922.608105091</v>
      </c>
      <c r="E8" s="16"/>
      <c r="F8" s="16">
        <v>284165.49</v>
      </c>
      <c r="G8" s="16">
        <v>154609.76999999999</v>
      </c>
      <c r="H8" s="16">
        <v>3720159.56</v>
      </c>
      <c r="I8" s="16">
        <v>576033.34</v>
      </c>
      <c r="J8" s="16">
        <v>5284070.24</v>
      </c>
      <c r="K8" s="16"/>
      <c r="L8" s="16"/>
      <c r="M8" s="16">
        <v>176.29</v>
      </c>
      <c r="N8" s="18">
        <f t="shared" ref="N8:N39" si="0">SUM(B8:M8)</f>
        <v>101214581.79810509</v>
      </c>
      <c r="O8" s="4"/>
      <c r="P8" s="10"/>
      <c r="Q8" s="10"/>
      <c r="R8" s="10"/>
      <c r="S8" s="10"/>
      <c r="T8" s="10"/>
    </row>
    <row r="9" spans="1:20" ht="18" customHeight="1" x14ac:dyDescent="0.2">
      <c r="A9" s="17" t="s">
        <v>4</v>
      </c>
      <c r="B9" s="16">
        <v>46752436.770000003</v>
      </c>
      <c r="C9" s="16"/>
      <c r="D9" s="16">
        <v>14265951.55699316</v>
      </c>
      <c r="E9" s="16"/>
      <c r="F9" s="16">
        <v>199092.34</v>
      </c>
      <c r="G9" s="16">
        <v>109219.75</v>
      </c>
      <c r="H9" s="16">
        <v>2319284.9</v>
      </c>
      <c r="I9" s="16">
        <v>403581.12</v>
      </c>
      <c r="J9" s="16">
        <v>3965906.290000001</v>
      </c>
      <c r="K9" s="16"/>
      <c r="L9" s="16"/>
      <c r="M9" s="16">
        <v>123.51999999999998</v>
      </c>
      <c r="N9" s="18">
        <f t="shared" si="0"/>
        <v>68015596.246993169</v>
      </c>
      <c r="O9" s="4"/>
    </row>
    <row r="10" spans="1:20" ht="18" customHeight="1" x14ac:dyDescent="0.2">
      <c r="A10" s="17" t="s">
        <v>5</v>
      </c>
      <c r="B10" s="16">
        <v>34359117.870000005</v>
      </c>
      <c r="C10" s="16"/>
      <c r="D10" s="16">
        <v>11923663.097764991</v>
      </c>
      <c r="E10" s="16"/>
      <c r="F10" s="16">
        <v>139082.23999999999</v>
      </c>
      <c r="G10" s="16">
        <v>96453.8</v>
      </c>
      <c r="H10" s="16">
        <v>1704479.78</v>
      </c>
      <c r="I10" s="16">
        <v>281934.33</v>
      </c>
      <c r="J10" s="16">
        <v>2344124.0499999998</v>
      </c>
      <c r="K10" s="16"/>
      <c r="L10" s="16"/>
      <c r="M10" s="16">
        <v>86.289999999999992</v>
      </c>
      <c r="N10" s="18">
        <f t="shared" si="0"/>
        <v>50848941.457764991</v>
      </c>
      <c r="O10" s="4"/>
    </row>
    <row r="11" spans="1:20" ht="18" customHeight="1" x14ac:dyDescent="0.2">
      <c r="A11" s="17" t="s">
        <v>6</v>
      </c>
      <c r="B11" s="16">
        <v>397881800.92000002</v>
      </c>
      <c r="C11" s="16"/>
      <c r="D11" s="16">
        <v>5486819.1129505793</v>
      </c>
      <c r="E11" s="16"/>
      <c r="F11" s="16">
        <v>14928396.039999999</v>
      </c>
      <c r="G11" s="16">
        <v>8506983.7801359072</v>
      </c>
      <c r="H11" s="16">
        <v>19738035.390000001</v>
      </c>
      <c r="I11" s="16">
        <v>30261428.260000002</v>
      </c>
      <c r="J11" s="16">
        <v>44117928.75</v>
      </c>
      <c r="K11" s="16"/>
      <c r="L11" s="16"/>
      <c r="M11" s="16">
        <v>9262.59</v>
      </c>
      <c r="N11" s="18">
        <f t="shared" si="0"/>
        <v>520930654.84308648</v>
      </c>
      <c r="O11" s="4"/>
    </row>
    <row r="12" spans="1:20" ht="18" customHeight="1" x14ac:dyDescent="0.2">
      <c r="A12" s="17" t="s">
        <v>7</v>
      </c>
      <c r="B12" s="16">
        <v>59719874.880000003</v>
      </c>
      <c r="C12" s="16"/>
      <c r="D12" s="16">
        <v>14988578.0419611</v>
      </c>
      <c r="E12" s="16"/>
      <c r="F12" s="16">
        <v>510438.89</v>
      </c>
      <c r="G12" s="16">
        <v>263829.52</v>
      </c>
      <c r="H12" s="16">
        <v>2962570.8</v>
      </c>
      <c r="I12" s="16">
        <v>1034713.3</v>
      </c>
      <c r="J12" s="16">
        <v>4759219.9399999976</v>
      </c>
      <c r="K12" s="16"/>
      <c r="L12" s="16"/>
      <c r="M12" s="16">
        <v>316.69000000000005</v>
      </c>
      <c r="N12" s="18">
        <f t="shared" si="0"/>
        <v>84239542.061961085</v>
      </c>
      <c r="O12" s="4"/>
    </row>
    <row r="13" spans="1:20" ht="18" customHeight="1" x14ac:dyDescent="0.2">
      <c r="A13" s="17" t="s">
        <v>8</v>
      </c>
      <c r="B13" s="16">
        <v>241443898.65000001</v>
      </c>
      <c r="C13" s="16"/>
      <c r="D13" s="16">
        <v>4013585.58371739</v>
      </c>
      <c r="E13" s="16"/>
      <c r="F13" s="16">
        <v>7259457.6600000001</v>
      </c>
      <c r="G13" s="16">
        <v>2428568.8595654601</v>
      </c>
      <c r="H13" s="16">
        <v>11977497.35</v>
      </c>
      <c r="I13" s="16">
        <v>14715683.9</v>
      </c>
      <c r="J13" s="16">
        <v>33921131.110000007</v>
      </c>
      <c r="K13" s="16"/>
      <c r="L13" s="16"/>
      <c r="M13" s="16">
        <v>4504.25</v>
      </c>
      <c r="N13" s="18">
        <f t="shared" si="0"/>
        <v>315764327.36328286</v>
      </c>
      <c r="O13" s="4"/>
    </row>
    <row r="14" spans="1:20" ht="18" customHeight="1" x14ac:dyDescent="0.2">
      <c r="A14" s="17" t="s">
        <v>9</v>
      </c>
      <c r="B14" s="16">
        <v>87501500.999999985</v>
      </c>
      <c r="C14" s="16"/>
      <c r="D14" s="16">
        <v>23736017.794473048</v>
      </c>
      <c r="E14" s="16"/>
      <c r="F14" s="16">
        <v>330408.57</v>
      </c>
      <c r="G14" s="16">
        <v>184396.98</v>
      </c>
      <c r="H14" s="16">
        <v>4340755.7699999996</v>
      </c>
      <c r="I14" s="16">
        <v>669772.92000000004</v>
      </c>
      <c r="J14" s="16">
        <v>6827177.0900000017</v>
      </c>
      <c r="K14" s="16"/>
      <c r="L14" s="16"/>
      <c r="M14" s="16">
        <v>204.98</v>
      </c>
      <c r="N14" s="18">
        <f t="shared" si="0"/>
        <v>123590235.10447304</v>
      </c>
      <c r="O14" s="4"/>
    </row>
    <row r="15" spans="1:20" ht="18" customHeight="1" x14ac:dyDescent="0.2">
      <c r="A15" s="17" t="s">
        <v>10</v>
      </c>
      <c r="B15" s="16">
        <v>142601630.46000001</v>
      </c>
      <c r="C15" s="16"/>
      <c r="D15" s="16">
        <v>38374405.953204408</v>
      </c>
      <c r="E15" s="16"/>
      <c r="F15" s="16">
        <v>1230913.1399999999</v>
      </c>
      <c r="G15" s="16">
        <v>592907.19999999995</v>
      </c>
      <c r="H15" s="16">
        <v>7074151.2199999997</v>
      </c>
      <c r="I15" s="16">
        <v>2495190.36</v>
      </c>
      <c r="J15" s="16">
        <v>11398828.839999998</v>
      </c>
      <c r="K15" s="16"/>
      <c r="L15" s="16"/>
      <c r="M15" s="16">
        <v>763.7299999999999</v>
      </c>
      <c r="N15" s="18">
        <f t="shared" si="0"/>
        <v>203768790.90320441</v>
      </c>
      <c r="O15" s="4"/>
    </row>
    <row r="16" spans="1:20" ht="18" customHeight="1" x14ac:dyDescent="0.2">
      <c r="A16" s="17" t="s">
        <v>11</v>
      </c>
      <c r="B16" s="16">
        <v>263585760.92000002</v>
      </c>
      <c r="C16" s="16"/>
      <c r="D16" s="16">
        <v>11794941.567843251</v>
      </c>
      <c r="E16" s="16"/>
      <c r="F16" s="16">
        <v>4590773</v>
      </c>
      <c r="G16" s="16">
        <v>2737585.9</v>
      </c>
      <c r="H16" s="16">
        <v>13075906.119999999</v>
      </c>
      <c r="I16" s="16">
        <v>9305979.5399999991</v>
      </c>
      <c r="J16" s="16">
        <v>28257351.75999999</v>
      </c>
      <c r="K16" s="16"/>
      <c r="L16" s="16"/>
      <c r="M16" s="16">
        <v>2848.42</v>
      </c>
      <c r="N16" s="18">
        <f t="shared" si="0"/>
        <v>333351147.22784328</v>
      </c>
      <c r="O16" s="4"/>
    </row>
    <row r="17" spans="1:15" ht="15" x14ac:dyDescent="0.2">
      <c r="A17" s="17" t="s">
        <v>12</v>
      </c>
      <c r="B17" s="16">
        <v>94710523.899999991</v>
      </c>
      <c r="C17" s="16"/>
      <c r="D17" s="16">
        <v>34984180.829830267</v>
      </c>
      <c r="E17" s="16"/>
      <c r="F17" s="16">
        <v>942864.64</v>
      </c>
      <c r="G17" s="16">
        <v>397162.72</v>
      </c>
      <c r="H17" s="16">
        <v>4698379.4400000004</v>
      </c>
      <c r="I17" s="16">
        <v>1911285.76</v>
      </c>
      <c r="J17" s="16">
        <v>7793082.9399999976</v>
      </c>
      <c r="K17" s="16"/>
      <c r="L17" s="16"/>
      <c r="M17" s="16">
        <v>585.01</v>
      </c>
      <c r="N17" s="18">
        <f t="shared" si="0"/>
        <v>145438065.23983026</v>
      </c>
      <c r="O17" s="4"/>
    </row>
    <row r="18" spans="1:15" ht="15" x14ac:dyDescent="0.2">
      <c r="A18" s="17" t="s">
        <v>13</v>
      </c>
      <c r="B18" s="16">
        <v>58066411.690000013</v>
      </c>
      <c r="C18" s="16"/>
      <c r="D18" s="16">
        <v>12180965.46623137</v>
      </c>
      <c r="E18" s="16"/>
      <c r="F18" s="16">
        <v>635401.1</v>
      </c>
      <c r="G18" s="16">
        <v>297872.03999999998</v>
      </c>
      <c r="H18" s="16">
        <v>2880546.15</v>
      </c>
      <c r="I18" s="16">
        <v>1288024.8500000001</v>
      </c>
      <c r="J18" s="16">
        <v>6292535.8999999985</v>
      </c>
      <c r="K18" s="16"/>
      <c r="L18" s="16"/>
      <c r="M18" s="16">
        <v>394.23</v>
      </c>
      <c r="N18" s="18">
        <f t="shared" si="0"/>
        <v>81642151.426231399</v>
      </c>
      <c r="O18" s="4"/>
    </row>
    <row r="19" spans="1:15" ht="15" x14ac:dyDescent="0.2">
      <c r="A19" s="17" t="s">
        <v>14</v>
      </c>
      <c r="B19" s="16">
        <v>97139047.929999992</v>
      </c>
      <c r="C19" s="16"/>
      <c r="D19" s="16">
        <v>22528679.941737127</v>
      </c>
      <c r="E19" s="16"/>
      <c r="F19" s="16">
        <v>256631.44</v>
      </c>
      <c r="G19" s="16">
        <v>184396.98</v>
      </c>
      <c r="H19" s="16">
        <v>4818853.1399999997</v>
      </c>
      <c r="I19" s="16">
        <v>520218.93</v>
      </c>
      <c r="J19" s="16">
        <v>5346178.7700000005</v>
      </c>
      <c r="K19" s="16"/>
      <c r="L19" s="16"/>
      <c r="M19" s="16">
        <v>159.21</v>
      </c>
      <c r="N19" s="18">
        <f t="shared" si="0"/>
        <v>130794166.34173712</v>
      </c>
      <c r="O19" s="4"/>
    </row>
    <row r="20" spans="1:15" ht="15" x14ac:dyDescent="0.2">
      <c r="A20" s="17" t="s">
        <v>15</v>
      </c>
      <c r="B20" s="16">
        <v>322321978.35000002</v>
      </c>
      <c r="C20" s="16"/>
      <c r="D20" s="16">
        <v>3529816.37464371</v>
      </c>
      <c r="E20" s="16"/>
      <c r="F20" s="16">
        <v>8191026.29</v>
      </c>
      <c r="G20" s="16">
        <v>4636913.6307091191</v>
      </c>
      <c r="H20" s="16">
        <v>15989679.85</v>
      </c>
      <c r="I20" s="16">
        <v>16604071.439999999</v>
      </c>
      <c r="J20" s="16">
        <v>30739078.940000013</v>
      </c>
      <c r="K20" s="16"/>
      <c r="L20" s="16"/>
      <c r="M20" s="16">
        <v>5082.26</v>
      </c>
      <c r="N20" s="18">
        <f t="shared" si="0"/>
        <v>402017647.13535285</v>
      </c>
      <c r="O20" s="4"/>
    </row>
    <row r="21" spans="1:15" ht="15" x14ac:dyDescent="0.2">
      <c r="A21" s="17" t="s">
        <v>16</v>
      </c>
      <c r="B21" s="16">
        <v>140020007.98000002</v>
      </c>
      <c r="C21" s="16"/>
      <c r="D21" s="16">
        <v>3391871.2138107503</v>
      </c>
      <c r="E21" s="16"/>
      <c r="F21" s="16">
        <v>2178013.79</v>
      </c>
      <c r="G21" s="16">
        <v>540321.74854270811</v>
      </c>
      <c r="H21" s="16">
        <v>6946082.6500000004</v>
      </c>
      <c r="I21" s="16">
        <v>4415062.96</v>
      </c>
      <c r="J21" s="16">
        <v>10035918.18</v>
      </c>
      <c r="K21" s="16"/>
      <c r="L21" s="16"/>
      <c r="M21" s="16">
        <v>1351.3700000000001</v>
      </c>
      <c r="N21" s="18">
        <f t="shared" si="0"/>
        <v>167528629.89235348</v>
      </c>
      <c r="O21" s="4"/>
    </row>
    <row r="22" spans="1:15" ht="15" x14ac:dyDescent="0.2">
      <c r="A22" s="17" t="s">
        <v>17</v>
      </c>
      <c r="B22" s="16">
        <v>107867421.29999998</v>
      </c>
      <c r="C22" s="16"/>
      <c r="D22" s="16">
        <v>19309806.926226351</v>
      </c>
      <c r="E22" s="16"/>
      <c r="F22" s="16">
        <v>518557.9</v>
      </c>
      <c r="G22" s="16">
        <v>310637.99</v>
      </c>
      <c r="H22" s="16">
        <v>5351064</v>
      </c>
      <c r="I22" s="16">
        <v>1051171.3899999999</v>
      </c>
      <c r="J22" s="16">
        <v>7699878.4399999976</v>
      </c>
      <c r="K22" s="16"/>
      <c r="L22" s="16"/>
      <c r="M22" s="16">
        <v>321.73</v>
      </c>
      <c r="N22" s="18">
        <f t="shared" si="0"/>
        <v>142108859.67622632</v>
      </c>
      <c r="O22" s="4"/>
    </row>
    <row r="23" spans="1:15" ht="15" x14ac:dyDescent="0.2">
      <c r="A23" s="17" t="s">
        <v>18</v>
      </c>
      <c r="B23" s="16">
        <v>109046279.3</v>
      </c>
      <c r="C23" s="16"/>
      <c r="D23" s="16">
        <v>15626941.438067993</v>
      </c>
      <c r="E23" s="16"/>
      <c r="F23" s="16">
        <v>497024.86</v>
      </c>
      <c r="G23" s="16">
        <v>375886.15</v>
      </c>
      <c r="H23" s="16">
        <v>5409544.5300000003</v>
      </c>
      <c r="I23" s="16">
        <v>1007521.66</v>
      </c>
      <c r="J23" s="16">
        <v>6319788.169999999</v>
      </c>
      <c r="K23" s="16"/>
      <c r="L23" s="16"/>
      <c r="M23" s="16">
        <v>308.37</v>
      </c>
      <c r="N23" s="18">
        <f t="shared" si="0"/>
        <v>138283294.47806799</v>
      </c>
      <c r="O23" s="4"/>
    </row>
    <row r="24" spans="1:15" ht="15" x14ac:dyDescent="0.2">
      <c r="A24" s="17" t="s">
        <v>19</v>
      </c>
      <c r="B24" s="16">
        <v>33362064.25</v>
      </c>
      <c r="C24" s="16"/>
      <c r="D24" s="16">
        <v>9173172.4649739191</v>
      </c>
      <c r="E24" s="16"/>
      <c r="F24" s="16">
        <v>516792.9</v>
      </c>
      <c r="G24" s="16">
        <v>111267.02929519885</v>
      </c>
      <c r="H24" s="16">
        <v>1655018.16</v>
      </c>
      <c r="I24" s="16">
        <v>1047593.54</v>
      </c>
      <c r="J24" s="16">
        <v>5132633.7800000012</v>
      </c>
      <c r="K24" s="16"/>
      <c r="L24" s="16"/>
      <c r="M24" s="16">
        <v>320.64</v>
      </c>
      <c r="N24" s="18">
        <f t="shared" si="0"/>
        <v>50998862.764269114</v>
      </c>
      <c r="O24" s="4"/>
    </row>
    <row r="25" spans="1:15" ht="15" x14ac:dyDescent="0.2">
      <c r="A25" s="17" t="s">
        <v>20</v>
      </c>
      <c r="B25" s="16">
        <v>149393460.08000001</v>
      </c>
      <c r="C25" s="16"/>
      <c r="D25" s="16">
        <v>4847597.2631995399</v>
      </c>
      <c r="E25" s="16"/>
      <c r="F25" s="16">
        <v>2292032.9900000002</v>
      </c>
      <c r="G25" s="16">
        <v>858155.16</v>
      </c>
      <c r="H25" s="16">
        <v>7411078.8600000003</v>
      </c>
      <c r="I25" s="16">
        <v>4646191.8600000003</v>
      </c>
      <c r="J25" s="16">
        <v>12506247.450000003</v>
      </c>
      <c r="K25" s="16"/>
      <c r="L25" s="16"/>
      <c r="M25" s="16">
        <v>1422.12</v>
      </c>
      <c r="N25" s="18">
        <f t="shared" si="0"/>
        <v>181956185.78319961</v>
      </c>
      <c r="O25" s="4"/>
    </row>
    <row r="26" spans="1:15" ht="15" x14ac:dyDescent="0.2">
      <c r="A26" s="17" t="s">
        <v>21</v>
      </c>
      <c r="B26" s="16">
        <v>55270451.390000001</v>
      </c>
      <c r="C26" s="16"/>
      <c r="D26" s="16">
        <v>6661098.1946627209</v>
      </c>
      <c r="E26" s="16"/>
      <c r="F26" s="16">
        <v>1042410.81</v>
      </c>
      <c r="G26" s="16">
        <v>470921.51</v>
      </c>
      <c r="H26" s="16">
        <v>2741844.75</v>
      </c>
      <c r="I26" s="16">
        <v>2113076.3199999998</v>
      </c>
      <c r="J26" s="16">
        <v>8369936.0500000026</v>
      </c>
      <c r="K26" s="16"/>
      <c r="L26" s="16"/>
      <c r="M26" s="16">
        <v>646.7700000000001</v>
      </c>
      <c r="N26" s="18">
        <f t="shared" si="0"/>
        <v>76670385.794662714</v>
      </c>
      <c r="O26" s="4"/>
    </row>
    <row r="27" spans="1:15" ht="15" x14ac:dyDescent="0.2">
      <c r="A27" s="17" t="s">
        <v>22</v>
      </c>
      <c r="B27" s="16">
        <v>28518412.290000003</v>
      </c>
      <c r="C27" s="16"/>
      <c r="D27" s="16">
        <v>6335888.46386889</v>
      </c>
      <c r="E27" s="16"/>
      <c r="F27" s="16">
        <v>259102.45</v>
      </c>
      <c r="G27" s="16">
        <v>131914.76</v>
      </c>
      <c r="H27" s="16">
        <v>1414735.31</v>
      </c>
      <c r="I27" s="16">
        <v>525227.91</v>
      </c>
      <c r="J27" s="16">
        <v>2448129.8599999994</v>
      </c>
      <c r="K27" s="16"/>
      <c r="L27" s="16"/>
      <c r="M27" s="16">
        <v>160.76</v>
      </c>
      <c r="N27" s="18">
        <f t="shared" si="0"/>
        <v>39633571.80386889</v>
      </c>
      <c r="O27" s="4"/>
    </row>
    <row r="28" spans="1:15" ht="15" x14ac:dyDescent="0.2">
      <c r="A28" s="17" t="s">
        <v>23</v>
      </c>
      <c r="B28" s="16">
        <v>94096216.390000015</v>
      </c>
      <c r="C28" s="16"/>
      <c r="D28" s="16">
        <v>16295829.623816729</v>
      </c>
      <c r="E28" s="16"/>
      <c r="F28" s="16">
        <v>356883.62</v>
      </c>
      <c r="G28" s="16">
        <v>201418.23999999999</v>
      </c>
      <c r="H28" s="16">
        <v>4667905.01</v>
      </c>
      <c r="I28" s="16">
        <v>723440.62</v>
      </c>
      <c r="J28" s="16">
        <v>4907757.1899999976</v>
      </c>
      <c r="K28" s="16"/>
      <c r="L28" s="16"/>
      <c r="M28" s="16">
        <v>221.42000000000002</v>
      </c>
      <c r="N28" s="18">
        <f t="shared" si="0"/>
        <v>121249672.11381675</v>
      </c>
      <c r="O28" s="4"/>
    </row>
    <row r="29" spans="1:15" ht="15" x14ac:dyDescent="0.2">
      <c r="A29" s="17" t="s">
        <v>24</v>
      </c>
      <c r="B29" s="16">
        <v>56076131.930000007</v>
      </c>
      <c r="C29" s="16"/>
      <c r="D29" s="16">
        <v>15791270.05833596</v>
      </c>
      <c r="E29" s="16"/>
      <c r="F29" s="16">
        <v>222743.38</v>
      </c>
      <c r="G29" s="16">
        <v>104964.43</v>
      </c>
      <c r="H29" s="16">
        <v>2781812.78</v>
      </c>
      <c r="I29" s="16">
        <v>451524.27</v>
      </c>
      <c r="J29" s="16">
        <v>4397320.0999999987</v>
      </c>
      <c r="K29" s="16"/>
      <c r="L29" s="16"/>
      <c r="M29" s="16">
        <v>138.17999999999998</v>
      </c>
      <c r="N29" s="18">
        <f t="shared" si="0"/>
        <v>79825905.128335968</v>
      </c>
      <c r="O29" s="4"/>
    </row>
    <row r="30" spans="1:15" ht="15" x14ac:dyDescent="0.2">
      <c r="A30" s="17" t="s">
        <v>25</v>
      </c>
      <c r="B30" s="16">
        <v>19303799.75</v>
      </c>
      <c r="C30" s="16"/>
      <c r="D30" s="16">
        <v>10762592.937321302</v>
      </c>
      <c r="E30" s="16"/>
      <c r="F30" s="16">
        <v>192385.33</v>
      </c>
      <c r="G30" s="16">
        <v>133333.20000000001</v>
      </c>
      <c r="H30" s="16">
        <v>957618.78</v>
      </c>
      <c r="I30" s="16">
        <v>389985.3</v>
      </c>
      <c r="J30" s="16">
        <v>3326878.3399999985</v>
      </c>
      <c r="K30" s="16"/>
      <c r="L30" s="16"/>
      <c r="M30" s="16">
        <v>119.35000000000001</v>
      </c>
      <c r="N30" s="18">
        <f t="shared" si="0"/>
        <v>35066712.987321302</v>
      </c>
      <c r="O30" s="4"/>
    </row>
    <row r="31" spans="1:15" ht="15" x14ac:dyDescent="0.2">
      <c r="A31" s="17" t="s">
        <v>26</v>
      </c>
      <c r="B31" s="16">
        <v>35337034.189999998</v>
      </c>
      <c r="C31" s="16"/>
      <c r="D31" s="16">
        <v>5266645.8227549298</v>
      </c>
      <c r="E31" s="16"/>
      <c r="F31" s="16">
        <v>229803.4</v>
      </c>
      <c r="G31" s="16">
        <v>75177.23</v>
      </c>
      <c r="H31" s="16">
        <v>1752992.05</v>
      </c>
      <c r="I31" s="16">
        <v>465835.65</v>
      </c>
      <c r="J31" s="16">
        <v>2356549.0999999992</v>
      </c>
      <c r="K31" s="16"/>
      <c r="L31" s="16"/>
      <c r="M31" s="16">
        <v>142.57000000000002</v>
      </c>
      <c r="N31" s="18">
        <f t="shared" si="0"/>
        <v>45484180.012754917</v>
      </c>
      <c r="O31" s="4"/>
    </row>
    <row r="32" spans="1:15" ht="15" x14ac:dyDescent="0.2">
      <c r="A32" s="17" t="s">
        <v>27</v>
      </c>
      <c r="B32" s="16">
        <v>161560958.81</v>
      </c>
      <c r="C32" s="16"/>
      <c r="D32" s="16">
        <v>29732425.171972107</v>
      </c>
      <c r="E32" s="16"/>
      <c r="F32" s="16">
        <v>677761.18</v>
      </c>
      <c r="G32" s="16">
        <v>442552.75</v>
      </c>
      <c r="H32" s="16">
        <v>8014681.54</v>
      </c>
      <c r="I32" s="16">
        <v>1373893.17</v>
      </c>
      <c r="J32" s="16">
        <v>7605183.1999999974</v>
      </c>
      <c r="K32" s="16"/>
      <c r="L32" s="16"/>
      <c r="M32" s="16">
        <v>420.52</v>
      </c>
      <c r="N32" s="18">
        <f t="shared" si="0"/>
        <v>209407876.34197208</v>
      </c>
      <c r="O32" s="4"/>
    </row>
    <row r="33" spans="1:15" ht="15" x14ac:dyDescent="0.2">
      <c r="A33" s="17" t="s">
        <v>28</v>
      </c>
      <c r="B33" s="16">
        <v>104468635.87000002</v>
      </c>
      <c r="C33" s="16"/>
      <c r="D33" s="16">
        <v>16473964.268526591</v>
      </c>
      <c r="E33" s="16"/>
      <c r="F33" s="16">
        <v>497377.86</v>
      </c>
      <c r="G33" s="16">
        <v>331914.56</v>
      </c>
      <c r="H33" s="16">
        <v>5182457.78</v>
      </c>
      <c r="I33" s="16">
        <v>1008237.23</v>
      </c>
      <c r="J33" s="16">
        <v>7133031.6799999969</v>
      </c>
      <c r="K33" s="16"/>
      <c r="L33" s="16"/>
      <c r="M33" s="16">
        <v>308.58999999999997</v>
      </c>
      <c r="N33" s="18">
        <f t="shared" si="0"/>
        <v>135095927.83852664</v>
      </c>
      <c r="O33" s="4"/>
    </row>
    <row r="34" spans="1:15" ht="15" x14ac:dyDescent="0.2">
      <c r="A34" s="17" t="s">
        <v>29</v>
      </c>
      <c r="B34" s="16">
        <v>145655944.37</v>
      </c>
      <c r="C34" s="16"/>
      <c r="D34" s="16">
        <v>17439223.751368903</v>
      </c>
      <c r="E34" s="16"/>
      <c r="F34" s="16">
        <v>723298.26</v>
      </c>
      <c r="G34" s="16">
        <v>582978.14</v>
      </c>
      <c r="H34" s="16">
        <v>7225668.9800000004</v>
      </c>
      <c r="I34" s="16">
        <v>1466201.62</v>
      </c>
      <c r="J34" s="16">
        <v>9203937.6299999952</v>
      </c>
      <c r="K34" s="16"/>
      <c r="L34" s="16"/>
      <c r="M34" s="16">
        <v>448.76000000000005</v>
      </c>
      <c r="N34" s="18">
        <f t="shared" si="0"/>
        <v>182297701.51136887</v>
      </c>
      <c r="O34" s="4"/>
    </row>
    <row r="35" spans="1:15" ht="15" x14ac:dyDescent="0.2">
      <c r="A35" s="17" t="s">
        <v>30</v>
      </c>
      <c r="B35" s="16">
        <v>70182239.689999998</v>
      </c>
      <c r="C35" s="16"/>
      <c r="D35" s="16">
        <v>13431966.511961102</v>
      </c>
      <c r="E35" s="16"/>
      <c r="F35" s="16">
        <v>452193.78</v>
      </c>
      <c r="G35" s="16">
        <v>225531.69</v>
      </c>
      <c r="H35" s="16">
        <v>3481585.56</v>
      </c>
      <c r="I35" s="16">
        <v>916644.35</v>
      </c>
      <c r="J35" s="16">
        <v>3365677.4799999991</v>
      </c>
      <c r="K35" s="16"/>
      <c r="L35" s="16"/>
      <c r="M35" s="16">
        <v>280.55</v>
      </c>
      <c r="N35" s="18">
        <f t="shared" si="0"/>
        <v>92056119.611961097</v>
      </c>
      <c r="O35" s="4"/>
    </row>
    <row r="36" spans="1:15" ht="15" x14ac:dyDescent="0.2">
      <c r="A36" s="17" t="s">
        <v>31</v>
      </c>
      <c r="B36" s="16">
        <v>75598097.069999993</v>
      </c>
      <c r="C36" s="16"/>
      <c r="D36" s="16">
        <v>13549892.875051074</v>
      </c>
      <c r="E36" s="16"/>
      <c r="F36" s="16">
        <v>284518.49</v>
      </c>
      <c r="G36" s="16">
        <v>143262.26999999999</v>
      </c>
      <c r="H36" s="16">
        <v>3750254.25</v>
      </c>
      <c r="I36" s="16">
        <v>576748.9</v>
      </c>
      <c r="J36" s="16">
        <v>4407177.3000000017</v>
      </c>
      <c r="K36" s="16"/>
      <c r="L36" s="16"/>
      <c r="M36" s="16">
        <v>176.52</v>
      </c>
      <c r="N36" s="18">
        <f t="shared" si="0"/>
        <v>98310127.675051063</v>
      </c>
      <c r="O36" s="4"/>
    </row>
    <row r="37" spans="1:15" ht="15" x14ac:dyDescent="0.2">
      <c r="A37" s="17" t="s">
        <v>32</v>
      </c>
      <c r="B37" s="16">
        <v>83963013.229999989</v>
      </c>
      <c r="C37" s="16"/>
      <c r="D37" s="16">
        <v>14798928.212072363</v>
      </c>
      <c r="E37" s="16"/>
      <c r="F37" s="16">
        <v>527735.92000000004</v>
      </c>
      <c r="G37" s="16">
        <v>208510.43</v>
      </c>
      <c r="H37" s="16">
        <v>4165219.23</v>
      </c>
      <c r="I37" s="16">
        <v>1069776.19</v>
      </c>
      <c r="J37" s="16">
        <v>5690335.8399999999</v>
      </c>
      <c r="K37" s="16"/>
      <c r="L37" s="16"/>
      <c r="M37" s="16">
        <v>327.41000000000003</v>
      </c>
      <c r="N37" s="18">
        <f t="shared" si="0"/>
        <v>110423846.46207236</v>
      </c>
      <c r="O37" s="4"/>
    </row>
    <row r="38" spans="1:15" ht="15" x14ac:dyDescent="0.2">
      <c r="A38" s="17" t="s">
        <v>33</v>
      </c>
      <c r="B38" s="16">
        <v>76830539.549999997</v>
      </c>
      <c r="C38" s="16"/>
      <c r="D38" s="16">
        <v>1625022.4175631697</v>
      </c>
      <c r="E38" s="16"/>
      <c r="F38" s="16">
        <v>471608.82</v>
      </c>
      <c r="G38" s="16">
        <v>564538.43999999994</v>
      </c>
      <c r="H38" s="16">
        <v>3811393</v>
      </c>
      <c r="I38" s="16">
        <v>956000.67</v>
      </c>
      <c r="J38" s="16">
        <v>9419536.8999999966</v>
      </c>
      <c r="K38" s="16"/>
      <c r="L38" s="16"/>
      <c r="M38" s="16">
        <v>292.59999999999997</v>
      </c>
      <c r="N38" s="18">
        <f t="shared" si="0"/>
        <v>93678932.397563145</v>
      </c>
      <c r="O38" s="4"/>
    </row>
    <row r="39" spans="1:15" ht="15" x14ac:dyDescent="0.2">
      <c r="A39" s="17" t="s">
        <v>34</v>
      </c>
      <c r="B39" s="16">
        <v>127171221.17000002</v>
      </c>
      <c r="C39" s="16"/>
      <c r="D39" s="16">
        <v>22460622.536054727</v>
      </c>
      <c r="E39" s="16"/>
      <c r="F39" s="16">
        <v>600807.04</v>
      </c>
      <c r="G39" s="16">
        <v>347517.38</v>
      </c>
      <c r="H39" s="16">
        <v>6308682.7800000003</v>
      </c>
      <c r="I39" s="16">
        <v>1217899.05</v>
      </c>
      <c r="J39" s="16">
        <v>8022581.6599999974</v>
      </c>
      <c r="K39" s="16"/>
      <c r="L39" s="16"/>
      <c r="M39" s="16">
        <v>372.77</v>
      </c>
      <c r="N39" s="18">
        <f t="shared" si="0"/>
        <v>166129704.38605475</v>
      </c>
      <c r="O39" s="4"/>
    </row>
    <row r="40" spans="1:15" ht="15" x14ac:dyDescent="0.2">
      <c r="A40" s="17" t="s">
        <v>35</v>
      </c>
      <c r="B40" s="16">
        <v>85197369.429999977</v>
      </c>
      <c r="C40" s="16"/>
      <c r="D40" s="16">
        <v>18185666.980348114</v>
      </c>
      <c r="E40" s="16"/>
      <c r="F40" s="16">
        <v>320877.55</v>
      </c>
      <c r="G40" s="16">
        <v>153191.34</v>
      </c>
      <c r="H40" s="16">
        <v>4226452.91</v>
      </c>
      <c r="I40" s="16">
        <v>650452.55000000005</v>
      </c>
      <c r="J40" s="16">
        <v>4464680.4200000009</v>
      </c>
      <c r="K40" s="16"/>
      <c r="L40" s="16"/>
      <c r="M40" s="16">
        <v>199.07999999999998</v>
      </c>
      <c r="N40" s="18">
        <f t="shared" ref="N40:N71" si="1">SUM(B40:M40)</f>
        <v>113198890.26034808</v>
      </c>
      <c r="O40" s="4"/>
    </row>
    <row r="41" spans="1:15" ht="15" x14ac:dyDescent="0.2">
      <c r="A41" s="17" t="s">
        <v>36</v>
      </c>
      <c r="B41" s="16">
        <v>88274648.11999999</v>
      </c>
      <c r="C41" s="16"/>
      <c r="D41" s="16">
        <v>5340738.7406453202</v>
      </c>
      <c r="E41" s="16"/>
      <c r="F41" s="16">
        <v>543267.93999999994</v>
      </c>
      <c r="G41" s="16">
        <v>245389.82</v>
      </c>
      <c r="H41" s="16">
        <v>4379109.8899999997</v>
      </c>
      <c r="I41" s="16">
        <v>1101261.25</v>
      </c>
      <c r="J41" s="16">
        <v>4530085.8299999991</v>
      </c>
      <c r="K41" s="16"/>
      <c r="L41" s="16"/>
      <c r="M41" s="16">
        <v>337.05</v>
      </c>
      <c r="N41" s="18">
        <f t="shared" si="1"/>
        <v>104414838.6406453</v>
      </c>
      <c r="O41" s="4"/>
    </row>
    <row r="42" spans="1:15" ht="15" x14ac:dyDescent="0.2">
      <c r="A42" s="17" t="s">
        <v>37</v>
      </c>
      <c r="B42" s="16">
        <v>54382480.419999994</v>
      </c>
      <c r="C42" s="16"/>
      <c r="D42" s="16">
        <v>893469.92755926005</v>
      </c>
      <c r="E42" s="16"/>
      <c r="F42" s="16">
        <v>1475542.57</v>
      </c>
      <c r="G42" s="16">
        <v>0</v>
      </c>
      <c r="H42" s="16">
        <v>2697794.48</v>
      </c>
      <c r="I42" s="16">
        <v>2991079.93</v>
      </c>
      <c r="J42" s="16">
        <v>7059343.0300000012</v>
      </c>
      <c r="K42" s="16"/>
      <c r="L42" s="16"/>
      <c r="M42" s="16">
        <v>915.51</v>
      </c>
      <c r="N42" s="18">
        <f t="shared" si="1"/>
        <v>69500625.867559254</v>
      </c>
      <c r="O42" s="4"/>
    </row>
    <row r="43" spans="1:15" ht="15" x14ac:dyDescent="0.2">
      <c r="A43" s="17" t="s">
        <v>38</v>
      </c>
      <c r="B43" s="16">
        <v>196038728.05000001</v>
      </c>
      <c r="C43" s="16"/>
      <c r="D43" s="16">
        <v>7074131.3677890208</v>
      </c>
      <c r="E43" s="16"/>
      <c r="F43" s="16">
        <v>6135856.7000000002</v>
      </c>
      <c r="G43" s="16">
        <v>1939005.14</v>
      </c>
      <c r="H43" s="16">
        <v>9725047.3499999996</v>
      </c>
      <c r="I43" s="16">
        <v>12438026.630000001</v>
      </c>
      <c r="J43" s="16">
        <v>21852211.789999999</v>
      </c>
      <c r="K43" s="16"/>
      <c r="L43" s="16"/>
      <c r="M43" s="16">
        <v>3807.1000000000004</v>
      </c>
      <c r="N43" s="18">
        <f t="shared" si="1"/>
        <v>255206814.12778899</v>
      </c>
      <c r="O43" s="4"/>
    </row>
    <row r="44" spans="1:15" ht="15" x14ac:dyDescent="0.2">
      <c r="A44" s="17" t="s">
        <v>39</v>
      </c>
      <c r="B44" s="16">
        <v>281993934.87</v>
      </c>
      <c r="C44" s="16"/>
      <c r="D44" s="16">
        <v>3608691.4586803103</v>
      </c>
      <c r="E44" s="16"/>
      <c r="F44" s="16">
        <v>7720476.46</v>
      </c>
      <c r="G44" s="16">
        <v>3451090.1433651978</v>
      </c>
      <c r="H44" s="16">
        <v>13989094.880000001</v>
      </c>
      <c r="I44" s="16">
        <v>15650217.49</v>
      </c>
      <c r="J44" s="16">
        <v>28365830.54999999</v>
      </c>
      <c r="K44" s="16"/>
      <c r="L44" s="16"/>
      <c r="M44" s="16">
        <v>4790.3</v>
      </c>
      <c r="N44" s="18">
        <f t="shared" si="1"/>
        <v>354784126.15204555</v>
      </c>
      <c r="O44" s="4"/>
    </row>
    <row r="45" spans="1:15" ht="15" x14ac:dyDescent="0.2">
      <c r="A45" s="17" t="s">
        <v>40</v>
      </c>
      <c r="B45" s="16">
        <v>80016900.859999999</v>
      </c>
      <c r="C45" s="16"/>
      <c r="D45" s="16">
        <v>7802052.2273565196</v>
      </c>
      <c r="E45" s="16"/>
      <c r="F45" s="16">
        <v>575038</v>
      </c>
      <c r="G45" s="16">
        <v>270921.71000000002</v>
      </c>
      <c r="H45" s="16">
        <v>3969461.33</v>
      </c>
      <c r="I45" s="16">
        <v>1165662.49</v>
      </c>
      <c r="J45" s="16">
        <v>4249727.1500000013</v>
      </c>
      <c r="K45" s="16"/>
      <c r="L45" s="16"/>
      <c r="M45" s="16">
        <v>356.77</v>
      </c>
      <c r="N45" s="18">
        <f t="shared" si="1"/>
        <v>98050120.537356511</v>
      </c>
      <c r="O45" s="4"/>
    </row>
    <row r="46" spans="1:15" ht="15" x14ac:dyDescent="0.2">
      <c r="A46" s="17" t="s">
        <v>41</v>
      </c>
      <c r="B46" s="16">
        <v>124685285.20000002</v>
      </c>
      <c r="C46" s="16"/>
      <c r="D46" s="16">
        <v>4273268.8986803107</v>
      </c>
      <c r="E46" s="16"/>
      <c r="F46" s="16">
        <v>4535704.91</v>
      </c>
      <c r="G46" s="16">
        <v>488924.46655183221</v>
      </c>
      <c r="H46" s="16">
        <v>6185361</v>
      </c>
      <c r="I46" s="16">
        <v>9194350.7100000009</v>
      </c>
      <c r="J46" s="16">
        <v>18955156.769999996</v>
      </c>
      <c r="K46" s="16"/>
      <c r="L46" s="16"/>
      <c r="M46" s="16">
        <v>2814.24</v>
      </c>
      <c r="N46" s="18">
        <f t="shared" si="1"/>
        <v>168320866.19523215</v>
      </c>
      <c r="O46" s="4"/>
    </row>
    <row r="47" spans="1:15" ht="15" x14ac:dyDescent="0.2">
      <c r="A47" s="17" t="s">
        <v>42</v>
      </c>
      <c r="B47" s="16">
        <v>370946043.68000001</v>
      </c>
      <c r="C47" s="16"/>
      <c r="D47" s="16">
        <v>3262093.0571155697</v>
      </c>
      <c r="E47" s="16"/>
      <c r="F47" s="16">
        <v>14139792.66</v>
      </c>
      <c r="G47" s="16">
        <v>3917931.7816809597</v>
      </c>
      <c r="H47" s="16">
        <v>18401812.100000001</v>
      </c>
      <c r="I47" s="16">
        <v>28662846.309999999</v>
      </c>
      <c r="J47" s="16">
        <v>43796733.179999992</v>
      </c>
      <c r="K47" s="16"/>
      <c r="L47" s="16"/>
      <c r="M47" s="16">
        <v>8773.2999999999993</v>
      </c>
      <c r="N47" s="18">
        <f t="shared" si="1"/>
        <v>483136026.06879658</v>
      </c>
      <c r="O47" s="4"/>
    </row>
    <row r="48" spans="1:15" ht="15" x14ac:dyDescent="0.2">
      <c r="A48" s="17" t="s">
        <v>43</v>
      </c>
      <c r="B48" s="16">
        <v>40561518.519999996</v>
      </c>
      <c r="C48" s="16"/>
      <c r="D48" s="16">
        <v>8734024.8289210685</v>
      </c>
      <c r="E48" s="16"/>
      <c r="F48" s="16">
        <v>122844.21</v>
      </c>
      <c r="G48" s="16">
        <v>80850.98</v>
      </c>
      <c r="H48" s="16">
        <v>2012167.15</v>
      </c>
      <c r="I48" s="16">
        <v>249018.14</v>
      </c>
      <c r="J48" s="16">
        <v>2390825.6699999995</v>
      </c>
      <c r="K48" s="16"/>
      <c r="L48" s="16"/>
      <c r="M48" s="16">
        <v>76.19</v>
      </c>
      <c r="N48" s="18">
        <f t="shared" si="1"/>
        <v>54151325.688921057</v>
      </c>
      <c r="O48" s="4"/>
    </row>
    <row r="49" spans="1:15" ht="15" x14ac:dyDescent="0.2">
      <c r="A49" s="17" t="s">
        <v>44</v>
      </c>
      <c r="B49" s="16">
        <v>66014134.560000002</v>
      </c>
      <c r="C49" s="16"/>
      <c r="D49" s="16">
        <v>13278427.897359509</v>
      </c>
      <c r="E49" s="16"/>
      <c r="F49" s="16">
        <v>725416.26</v>
      </c>
      <c r="G49" s="16">
        <v>358864.89</v>
      </c>
      <c r="H49" s="16">
        <v>3274815.09</v>
      </c>
      <c r="I49" s="16">
        <v>1470495.04</v>
      </c>
      <c r="J49" s="16">
        <v>5558348.7299999995</v>
      </c>
      <c r="K49" s="16"/>
      <c r="L49" s="16"/>
      <c r="M49" s="16">
        <v>450.08</v>
      </c>
      <c r="N49" s="18">
        <f t="shared" si="1"/>
        <v>90680952.547359526</v>
      </c>
      <c r="O49" s="4"/>
    </row>
    <row r="50" spans="1:15" ht="15" x14ac:dyDescent="0.2">
      <c r="A50" s="17" t="s">
        <v>45</v>
      </c>
      <c r="B50" s="16">
        <v>52543385.359999999</v>
      </c>
      <c r="C50" s="16"/>
      <c r="D50" s="16">
        <v>10720703.51367324</v>
      </c>
      <c r="E50" s="16"/>
      <c r="F50" s="16">
        <v>203328.35</v>
      </c>
      <c r="G50" s="16">
        <v>100709.12</v>
      </c>
      <c r="H50" s="16">
        <v>2606561.04</v>
      </c>
      <c r="I50" s="16">
        <v>412167.95</v>
      </c>
      <c r="J50" s="16">
        <v>4003678.290000001</v>
      </c>
      <c r="K50" s="16"/>
      <c r="L50" s="16"/>
      <c r="M50" s="16">
        <v>126.13000000000001</v>
      </c>
      <c r="N50" s="18">
        <f t="shared" si="1"/>
        <v>70590659.753673241</v>
      </c>
      <c r="O50" s="4"/>
    </row>
    <row r="51" spans="1:15" ht="15" x14ac:dyDescent="0.2">
      <c r="A51" s="17" t="s">
        <v>46</v>
      </c>
      <c r="B51" s="16">
        <v>51812340.330000006</v>
      </c>
      <c r="C51" s="16"/>
      <c r="D51" s="16">
        <v>13475719.242568206</v>
      </c>
      <c r="E51" s="16"/>
      <c r="F51" s="16">
        <v>253454.44</v>
      </c>
      <c r="G51" s="16">
        <v>134751.64000000001</v>
      </c>
      <c r="H51" s="16">
        <v>2570295.5099999998</v>
      </c>
      <c r="I51" s="16">
        <v>513778.8</v>
      </c>
      <c r="J51" s="16">
        <v>2777227.7199999988</v>
      </c>
      <c r="K51" s="16"/>
      <c r="L51" s="16"/>
      <c r="M51" s="16">
        <v>157.23999999999998</v>
      </c>
      <c r="N51" s="18">
        <f t="shared" si="1"/>
        <v>71537724.922568202</v>
      </c>
      <c r="O51" s="4"/>
    </row>
    <row r="52" spans="1:15" ht="15" x14ac:dyDescent="0.2">
      <c r="A52" s="17" t="s">
        <v>47</v>
      </c>
      <c r="B52" s="16">
        <v>56412948.510000005</v>
      </c>
      <c r="C52" s="16"/>
      <c r="D52" s="16">
        <v>10369874.459493151</v>
      </c>
      <c r="E52" s="16"/>
      <c r="F52" s="16">
        <v>233333.4</v>
      </c>
      <c r="G52" s="16">
        <v>157446.65</v>
      </c>
      <c r="H52" s="16">
        <v>2798521.5</v>
      </c>
      <c r="I52" s="16">
        <v>472991.35</v>
      </c>
      <c r="J52" s="16">
        <v>3727146.7800000012</v>
      </c>
      <c r="K52" s="16"/>
      <c r="L52" s="16"/>
      <c r="M52" s="16">
        <v>144.76000000000002</v>
      </c>
      <c r="N52" s="18">
        <f t="shared" si="1"/>
        <v>74172407.409493163</v>
      </c>
      <c r="O52" s="4"/>
    </row>
    <row r="53" spans="1:15" ht="15" x14ac:dyDescent="0.2">
      <c r="A53" s="17" t="s">
        <v>48</v>
      </c>
      <c r="B53" s="16">
        <v>20331473.07</v>
      </c>
      <c r="C53" s="16"/>
      <c r="D53" s="16">
        <v>8180838.1134432899</v>
      </c>
      <c r="E53" s="16"/>
      <c r="F53" s="16">
        <v>40595.07</v>
      </c>
      <c r="G53" s="16">
        <v>25531.89</v>
      </c>
      <c r="H53" s="16">
        <v>1008599.38</v>
      </c>
      <c r="I53" s="16">
        <v>82290.48</v>
      </c>
      <c r="J53" s="16">
        <v>1849226.4899999995</v>
      </c>
      <c r="K53" s="16"/>
      <c r="L53" s="16"/>
      <c r="M53" s="16">
        <v>25.169999999999998</v>
      </c>
      <c r="N53" s="18">
        <f t="shared" si="1"/>
        <v>31518579.66344329</v>
      </c>
      <c r="O53" s="4"/>
    </row>
    <row r="54" spans="1:15" ht="15" x14ac:dyDescent="0.2">
      <c r="A54" s="17" t="s">
        <v>49</v>
      </c>
      <c r="B54" s="16">
        <v>70429110.909999996</v>
      </c>
      <c r="C54" s="16"/>
      <c r="D54" s="16">
        <v>13671215.03452521</v>
      </c>
      <c r="E54" s="16"/>
      <c r="F54" s="16">
        <v>139435.24</v>
      </c>
      <c r="G54" s="16">
        <v>97872.24</v>
      </c>
      <c r="H54" s="16">
        <v>3493832.29</v>
      </c>
      <c r="I54" s="16">
        <v>282649.90000000002</v>
      </c>
      <c r="J54" s="16">
        <v>4273583.3599999994</v>
      </c>
      <c r="K54" s="16"/>
      <c r="L54" s="16"/>
      <c r="M54" s="16">
        <v>86.5</v>
      </c>
      <c r="N54" s="18">
        <f t="shared" si="1"/>
        <v>92387785.474525213</v>
      </c>
      <c r="O54" s="4"/>
    </row>
    <row r="55" spans="1:15" ht="15" x14ac:dyDescent="0.2">
      <c r="A55" s="17" t="s">
        <v>50</v>
      </c>
      <c r="B55" s="16">
        <v>25894687.719999999</v>
      </c>
      <c r="C55" s="16"/>
      <c r="D55" s="16">
        <v>4017604.2832185505</v>
      </c>
      <c r="E55" s="16"/>
      <c r="F55" s="16">
        <v>257337.44</v>
      </c>
      <c r="G55" s="16">
        <v>134751.64000000001</v>
      </c>
      <c r="H55" s="16">
        <v>1284578.1399999999</v>
      </c>
      <c r="I55" s="16">
        <v>521650.06</v>
      </c>
      <c r="J55" s="16">
        <v>3057304.63</v>
      </c>
      <c r="K55" s="16"/>
      <c r="L55" s="16"/>
      <c r="M55" s="16">
        <v>159.66</v>
      </c>
      <c r="N55" s="18">
        <f t="shared" si="1"/>
        <v>35168073.573218547</v>
      </c>
      <c r="O55" s="4"/>
    </row>
    <row r="56" spans="1:15" ht="15" x14ac:dyDescent="0.2">
      <c r="A56" s="17" t="s">
        <v>51</v>
      </c>
      <c r="B56" s="16">
        <v>24824912.350000001</v>
      </c>
      <c r="C56" s="16"/>
      <c r="D56" s="16">
        <v>4433234.7651103195</v>
      </c>
      <c r="E56" s="16"/>
      <c r="F56" s="16">
        <v>72718.12</v>
      </c>
      <c r="G56" s="16">
        <v>34042.519999999997</v>
      </c>
      <c r="H56" s="16">
        <v>1231508.95</v>
      </c>
      <c r="I56" s="16">
        <v>147407.29</v>
      </c>
      <c r="J56" s="16">
        <v>2486680.6699999995</v>
      </c>
      <c r="K56" s="16"/>
      <c r="L56" s="16"/>
      <c r="M56" s="16">
        <v>45.1</v>
      </c>
      <c r="N56" s="18">
        <f t="shared" si="1"/>
        <v>33230549.765110321</v>
      </c>
      <c r="O56" s="4"/>
    </row>
    <row r="57" spans="1:15" ht="15" x14ac:dyDescent="0.2">
      <c r="A57" s="17" t="s">
        <v>52</v>
      </c>
      <c r="B57" s="16">
        <v>68484760.699999988</v>
      </c>
      <c r="C57" s="16"/>
      <c r="D57" s="16">
        <v>8573900.5489050504</v>
      </c>
      <c r="E57" s="16"/>
      <c r="F57" s="16">
        <v>373474.65</v>
      </c>
      <c r="G57" s="16">
        <v>178723.22</v>
      </c>
      <c r="H57" s="16">
        <v>3397377.38</v>
      </c>
      <c r="I57" s="16">
        <v>757072.38</v>
      </c>
      <c r="J57" s="16">
        <v>5273152.6499999994</v>
      </c>
      <c r="K57" s="16"/>
      <c r="L57" s="16"/>
      <c r="M57" s="16">
        <v>231.70999999999998</v>
      </c>
      <c r="N57" s="18">
        <f t="shared" si="1"/>
        <v>87038693.238905028</v>
      </c>
      <c r="O57" s="4"/>
    </row>
    <row r="58" spans="1:15" ht="15" x14ac:dyDescent="0.2">
      <c r="A58" s="17" t="s">
        <v>53</v>
      </c>
      <c r="B58" s="16">
        <v>54784363.829999998</v>
      </c>
      <c r="C58" s="16"/>
      <c r="D58" s="16">
        <v>6090757.2918988597</v>
      </c>
      <c r="E58" s="16"/>
      <c r="F58" s="16">
        <v>217448.37</v>
      </c>
      <c r="G58" s="16">
        <v>102127.56</v>
      </c>
      <c r="H58" s="16">
        <v>2717731.02</v>
      </c>
      <c r="I58" s="16">
        <v>440790.73</v>
      </c>
      <c r="J58" s="16">
        <v>2952801.7800000012</v>
      </c>
      <c r="K58" s="16"/>
      <c r="L58" s="16"/>
      <c r="M58" s="16">
        <v>134.89999999999998</v>
      </c>
      <c r="N58" s="18">
        <f t="shared" si="1"/>
        <v>67306155.481898874</v>
      </c>
      <c r="O58" s="4"/>
    </row>
    <row r="59" spans="1:15" ht="15" x14ac:dyDescent="0.2">
      <c r="A59" s="17" t="s">
        <v>54</v>
      </c>
      <c r="B59" s="16">
        <v>60938921.209999993</v>
      </c>
      <c r="C59" s="16"/>
      <c r="D59" s="16">
        <v>14433503.601855628</v>
      </c>
      <c r="E59" s="16"/>
      <c r="F59" s="16">
        <v>211800.36</v>
      </c>
      <c r="G59" s="16">
        <v>102127.56</v>
      </c>
      <c r="H59" s="16">
        <v>3023044.99</v>
      </c>
      <c r="I59" s="16">
        <v>429341.62</v>
      </c>
      <c r="J59" s="16">
        <v>3463122.9699999988</v>
      </c>
      <c r="K59" s="16"/>
      <c r="L59" s="16"/>
      <c r="M59" s="16">
        <v>131.4</v>
      </c>
      <c r="N59" s="18">
        <f t="shared" si="1"/>
        <v>82601993.71185562</v>
      </c>
      <c r="O59" s="4"/>
    </row>
    <row r="60" spans="1:15" ht="15" x14ac:dyDescent="0.2">
      <c r="A60" s="17" t="s">
        <v>55</v>
      </c>
      <c r="B60" s="16">
        <v>432059114.48000002</v>
      </c>
      <c r="C60" s="16"/>
      <c r="D60" s="16">
        <v>30569327.967974633</v>
      </c>
      <c r="E60" s="16"/>
      <c r="F60" s="16">
        <v>11650785.32</v>
      </c>
      <c r="G60" s="16">
        <v>5619852.4800000004</v>
      </c>
      <c r="H60" s="16">
        <v>21433496.260000002</v>
      </c>
      <c r="I60" s="16">
        <v>23617366.75</v>
      </c>
      <c r="J60" s="16">
        <v>56641621.050000019</v>
      </c>
      <c r="K60" s="16"/>
      <c r="L60" s="16"/>
      <c r="M60" s="16">
        <v>7228.94</v>
      </c>
      <c r="N60" s="18">
        <f t="shared" si="1"/>
        <v>581598793.24797475</v>
      </c>
      <c r="O60" s="4"/>
    </row>
    <row r="61" spans="1:15" ht="15" x14ac:dyDescent="0.2">
      <c r="A61" s="17" t="s">
        <v>56</v>
      </c>
      <c r="B61" s="16">
        <v>67554687.670000002</v>
      </c>
      <c r="C61" s="16"/>
      <c r="D61" s="16">
        <v>3738738.1475942908</v>
      </c>
      <c r="E61" s="16"/>
      <c r="F61" s="16">
        <v>2079879.62</v>
      </c>
      <c r="G61" s="16">
        <v>559592.66635548929</v>
      </c>
      <c r="H61" s="16">
        <v>3351238.52</v>
      </c>
      <c r="I61" s="16">
        <v>4216134.67</v>
      </c>
      <c r="J61" s="16">
        <v>13309749.850000005</v>
      </c>
      <c r="K61" s="16"/>
      <c r="L61" s="16"/>
      <c r="M61" s="16">
        <v>1290.48</v>
      </c>
      <c r="N61" s="18">
        <f t="shared" si="1"/>
        <v>94811311.623949796</v>
      </c>
      <c r="O61" s="4"/>
    </row>
    <row r="62" spans="1:15" ht="15" x14ac:dyDescent="0.2">
      <c r="A62" s="17" t="s">
        <v>57</v>
      </c>
      <c r="B62" s="16">
        <v>407710720.93000007</v>
      </c>
      <c r="C62" s="16"/>
      <c r="D62" s="16">
        <v>5116368.13</v>
      </c>
      <c r="E62" s="16"/>
      <c r="F62" s="16">
        <v>9325923.2699999996</v>
      </c>
      <c r="G62" s="16">
        <v>0</v>
      </c>
      <c r="H62" s="16">
        <v>20225626.350000001</v>
      </c>
      <c r="I62" s="16">
        <v>18904626.940000001</v>
      </c>
      <c r="J62" s="16">
        <v>28072003.339999992</v>
      </c>
      <c r="K62" s="16"/>
      <c r="L62" s="16"/>
      <c r="M62" s="16">
        <v>5786.4400000000005</v>
      </c>
      <c r="N62" s="18">
        <f t="shared" si="1"/>
        <v>489361055.40000004</v>
      </c>
      <c r="O62" s="4"/>
    </row>
    <row r="63" spans="1:15" ht="15" x14ac:dyDescent="0.2">
      <c r="A63" s="17" t="s">
        <v>58</v>
      </c>
      <c r="B63" s="16">
        <v>61478593.229999997</v>
      </c>
      <c r="C63" s="16"/>
      <c r="D63" s="16">
        <v>13679629.93049271</v>
      </c>
      <c r="E63" s="16"/>
      <c r="F63" s="16">
        <v>328643.57</v>
      </c>
      <c r="G63" s="16">
        <v>164538.84</v>
      </c>
      <c r="H63" s="16">
        <v>3049816.92</v>
      </c>
      <c r="I63" s="16">
        <v>666195.06999999995</v>
      </c>
      <c r="J63" s="16">
        <v>3947749.13</v>
      </c>
      <c r="K63" s="16"/>
      <c r="L63" s="16"/>
      <c r="M63" s="16">
        <v>203.89000000000001</v>
      </c>
      <c r="N63" s="18">
        <f t="shared" si="1"/>
        <v>83315370.58049269</v>
      </c>
      <c r="O63" s="4"/>
    </row>
    <row r="64" spans="1:15" ht="15" x14ac:dyDescent="0.2">
      <c r="A64" s="17" t="s">
        <v>59</v>
      </c>
      <c r="B64" s="16">
        <v>130223621.36999999</v>
      </c>
      <c r="C64" s="16"/>
      <c r="D64" s="16">
        <v>44745991.972398467</v>
      </c>
      <c r="E64" s="16"/>
      <c r="F64" s="16">
        <v>601513.04</v>
      </c>
      <c r="G64" s="16">
        <v>280850.78000000003</v>
      </c>
      <c r="H64" s="16">
        <v>6460105.5899999999</v>
      </c>
      <c r="I64" s="16">
        <v>1219330.19</v>
      </c>
      <c r="J64" s="16">
        <v>8230825.2700000005</v>
      </c>
      <c r="K64" s="16"/>
      <c r="L64" s="16"/>
      <c r="M64" s="16">
        <v>373.2</v>
      </c>
      <c r="N64" s="18">
        <f t="shared" si="1"/>
        <v>191762611.41239846</v>
      </c>
      <c r="O64" s="4"/>
    </row>
    <row r="65" spans="1:15" ht="15" x14ac:dyDescent="0.2">
      <c r="A65" s="17" t="s">
        <v>60</v>
      </c>
      <c r="B65" s="16">
        <v>71374493.799999997</v>
      </c>
      <c r="C65" s="16"/>
      <c r="D65" s="16">
        <v>11794026.328737339</v>
      </c>
      <c r="E65" s="16"/>
      <c r="F65" s="16">
        <v>130963.22</v>
      </c>
      <c r="G65" s="16">
        <v>107801.31</v>
      </c>
      <c r="H65" s="16">
        <v>3540730.65</v>
      </c>
      <c r="I65" s="16">
        <v>265476.23</v>
      </c>
      <c r="J65" s="16">
        <v>4753902.0300000012</v>
      </c>
      <c r="K65" s="16"/>
      <c r="L65" s="16"/>
      <c r="M65" s="16">
        <v>81.239999999999995</v>
      </c>
      <c r="N65" s="18">
        <f t="shared" si="1"/>
        <v>91967474.808737338</v>
      </c>
      <c r="O65" s="4"/>
    </row>
    <row r="66" spans="1:15" ht="15" x14ac:dyDescent="0.2">
      <c r="A66" s="17" t="s">
        <v>61</v>
      </c>
      <c r="B66" s="16">
        <v>39551068.800000004</v>
      </c>
      <c r="C66" s="16"/>
      <c r="D66" s="16">
        <v>9893145.2532807905</v>
      </c>
      <c r="E66" s="16"/>
      <c r="F66" s="16">
        <v>128139.22</v>
      </c>
      <c r="G66" s="16">
        <v>86524.74</v>
      </c>
      <c r="H66" s="16">
        <v>1962040.98</v>
      </c>
      <c r="I66" s="16">
        <v>259751.67999999999</v>
      </c>
      <c r="J66" s="16">
        <v>2141380.56</v>
      </c>
      <c r="K66" s="16"/>
      <c r="L66" s="16"/>
      <c r="M66" s="16">
        <v>79.47999999999999</v>
      </c>
      <c r="N66" s="18">
        <f t="shared" si="1"/>
        <v>54022130.71328079</v>
      </c>
      <c r="O66" s="4"/>
    </row>
    <row r="67" spans="1:15" ht="15" x14ac:dyDescent="0.2">
      <c r="A67" s="17" t="s">
        <v>62</v>
      </c>
      <c r="B67" s="16">
        <v>180956617.74000001</v>
      </c>
      <c r="C67" s="16"/>
      <c r="D67" s="16">
        <v>1684121.68</v>
      </c>
      <c r="E67" s="16"/>
      <c r="F67" s="16">
        <v>3443168</v>
      </c>
      <c r="G67" s="16">
        <v>1799823.5340640896</v>
      </c>
      <c r="H67" s="16">
        <v>8976857.2400000002</v>
      </c>
      <c r="I67" s="16">
        <v>6979663.54</v>
      </c>
      <c r="J67" s="16">
        <v>13692954.580000004</v>
      </c>
      <c r="K67" s="16"/>
      <c r="L67" s="16"/>
      <c r="M67" s="16">
        <v>2136.3599999999997</v>
      </c>
      <c r="N67" s="18">
        <f t="shared" si="1"/>
        <v>217535342.67406413</v>
      </c>
      <c r="O67" s="4"/>
    </row>
    <row r="68" spans="1:15" ht="15" x14ac:dyDescent="0.2">
      <c r="A68" s="17" t="s">
        <v>63</v>
      </c>
      <c r="B68" s="16">
        <v>111507336.78000002</v>
      </c>
      <c r="C68" s="16"/>
      <c r="D68" s="16">
        <v>1968656.23</v>
      </c>
      <c r="E68" s="16"/>
      <c r="F68" s="16">
        <v>3036511.29</v>
      </c>
      <c r="G68" s="16">
        <v>1673787.7798129474</v>
      </c>
      <c r="H68" s="16">
        <v>5531632.1500000004</v>
      </c>
      <c r="I68" s="16">
        <v>6155327.6399999997</v>
      </c>
      <c r="J68" s="16">
        <v>11903235.52</v>
      </c>
      <c r="K68" s="16"/>
      <c r="L68" s="16"/>
      <c r="M68" s="16">
        <v>1884.04</v>
      </c>
      <c r="N68" s="18">
        <f t="shared" si="1"/>
        <v>141778371.42981297</v>
      </c>
      <c r="O68" s="4"/>
    </row>
    <row r="69" spans="1:15" ht="15" x14ac:dyDescent="0.2">
      <c r="A69" s="17" t="s">
        <v>64</v>
      </c>
      <c r="B69" s="16">
        <v>350212687.09000003</v>
      </c>
      <c r="C69" s="16"/>
      <c r="D69" s="16">
        <v>1387346.9829505801</v>
      </c>
      <c r="E69" s="16"/>
      <c r="F69" s="16">
        <v>8961626.6300000008</v>
      </c>
      <c r="G69" s="16">
        <v>1693777.095449517</v>
      </c>
      <c r="H69" s="16">
        <v>17373276.170000002</v>
      </c>
      <c r="I69" s="16">
        <v>18166159.359999999</v>
      </c>
      <c r="J69" s="16">
        <v>26053729.860000003</v>
      </c>
      <c r="K69" s="16"/>
      <c r="L69" s="16"/>
      <c r="M69" s="16">
        <v>5560.39</v>
      </c>
      <c r="N69" s="18">
        <f t="shared" si="1"/>
        <v>423854163.57840014</v>
      </c>
      <c r="O69" s="4"/>
    </row>
    <row r="70" spans="1:15" ht="15" x14ac:dyDescent="0.2">
      <c r="A70" s="17" t="s">
        <v>65</v>
      </c>
      <c r="B70" s="16">
        <v>79557605.549999997</v>
      </c>
      <c r="C70" s="16"/>
      <c r="D70" s="16">
        <v>19749326.915032059</v>
      </c>
      <c r="E70" s="16"/>
      <c r="F70" s="16">
        <v>1990217.47</v>
      </c>
      <c r="G70" s="16">
        <v>819857.33</v>
      </c>
      <c r="H70" s="16">
        <v>3946676.7</v>
      </c>
      <c r="I70" s="16">
        <v>4034380.06</v>
      </c>
      <c r="J70" s="16">
        <v>11429129.279999996</v>
      </c>
      <c r="K70" s="16"/>
      <c r="L70" s="16"/>
      <c r="M70" s="16">
        <v>1234.8499999999999</v>
      </c>
      <c r="N70" s="18">
        <f t="shared" si="1"/>
        <v>121528428.15503205</v>
      </c>
      <c r="O70" s="4"/>
    </row>
    <row r="71" spans="1:15" ht="15" x14ac:dyDescent="0.2">
      <c r="A71" s="17" t="s">
        <v>66</v>
      </c>
      <c r="B71" s="16">
        <v>262764770.50999999</v>
      </c>
      <c r="C71" s="16"/>
      <c r="D71" s="16">
        <v>1087920.55</v>
      </c>
      <c r="E71" s="16"/>
      <c r="F71" s="16">
        <v>1253152.18</v>
      </c>
      <c r="G71" s="16">
        <v>632623.48</v>
      </c>
      <c r="H71" s="16">
        <v>13035178.609999999</v>
      </c>
      <c r="I71" s="16">
        <v>2540271.23</v>
      </c>
      <c r="J71" s="16">
        <v>9158412.3000000007</v>
      </c>
      <c r="K71" s="16"/>
      <c r="L71" s="16"/>
      <c r="M71" s="16">
        <v>777.52</v>
      </c>
      <c r="N71" s="18">
        <f t="shared" si="1"/>
        <v>290473106.38</v>
      </c>
      <c r="O71" s="4"/>
    </row>
    <row r="72" spans="1:15" ht="15" x14ac:dyDescent="0.2">
      <c r="A72" s="17" t="s">
        <v>67</v>
      </c>
      <c r="B72" s="16">
        <v>1407058890.6100001</v>
      </c>
      <c r="C72" s="16"/>
      <c r="D72" s="16">
        <v>10105948.45794462</v>
      </c>
      <c r="E72" s="16"/>
      <c r="F72" s="16">
        <v>36463199.310000002</v>
      </c>
      <c r="G72" s="16">
        <v>0</v>
      </c>
      <c r="H72" s="16">
        <v>69801076.859999999</v>
      </c>
      <c r="I72" s="16">
        <v>73914737.109999999</v>
      </c>
      <c r="J72" s="16">
        <v>136982030.06999999</v>
      </c>
      <c r="K72" s="16"/>
      <c r="L72" s="16"/>
      <c r="M72" s="16">
        <v>22624.280000000002</v>
      </c>
      <c r="N72" s="18">
        <f t="shared" ref="N72:N103" si="2">SUM(B72:M72)</f>
        <v>1734348506.6979444</v>
      </c>
      <c r="O72" s="4"/>
    </row>
    <row r="73" spans="1:15" ht="15" x14ac:dyDescent="0.2">
      <c r="A73" s="17" t="s">
        <v>68</v>
      </c>
      <c r="B73" s="16">
        <v>559335590.91999996</v>
      </c>
      <c r="C73" s="16"/>
      <c r="D73" s="16">
        <v>22531966.802747838</v>
      </c>
      <c r="E73" s="16"/>
      <c r="F73" s="16">
        <v>13534043.609999999</v>
      </c>
      <c r="G73" s="16">
        <v>7077369.108135459</v>
      </c>
      <c r="H73" s="16">
        <v>27747400.510000002</v>
      </c>
      <c r="I73" s="16">
        <v>27434929.289999999</v>
      </c>
      <c r="J73" s="16">
        <v>59916645.730000019</v>
      </c>
      <c r="K73" s="16"/>
      <c r="L73" s="16"/>
      <c r="M73" s="16">
        <v>8397.4399999999987</v>
      </c>
      <c r="N73" s="18">
        <f t="shared" si="2"/>
        <v>717586343.41088331</v>
      </c>
      <c r="O73" s="4"/>
    </row>
    <row r="74" spans="1:15" ht="15" x14ac:dyDescent="0.2">
      <c r="A74" s="17" t="s">
        <v>69</v>
      </c>
      <c r="B74" s="16">
        <v>346641665.94</v>
      </c>
      <c r="C74" s="16"/>
      <c r="D74" s="16">
        <v>4710037.0999999987</v>
      </c>
      <c r="E74" s="16"/>
      <c r="F74" s="16">
        <v>9826125.1400000006</v>
      </c>
      <c r="G74" s="16">
        <v>12489466.174261082</v>
      </c>
      <c r="H74" s="16">
        <v>17196125.719999999</v>
      </c>
      <c r="I74" s="16">
        <v>19918588.719999999</v>
      </c>
      <c r="J74" s="16">
        <v>32997337.809999984</v>
      </c>
      <c r="K74" s="16"/>
      <c r="L74" s="16"/>
      <c r="M74" s="16">
        <v>6096.8</v>
      </c>
      <c r="N74" s="18">
        <f t="shared" si="2"/>
        <v>443785443.40426111</v>
      </c>
      <c r="O74" s="4"/>
    </row>
    <row r="75" spans="1:15" ht="15" x14ac:dyDescent="0.2">
      <c r="A75" s="17" t="s">
        <v>70</v>
      </c>
      <c r="B75" s="16">
        <v>58431934.220000006</v>
      </c>
      <c r="C75" s="16"/>
      <c r="D75" s="16">
        <v>9267425.9691419005</v>
      </c>
      <c r="E75" s="16"/>
      <c r="F75" s="16">
        <v>178618.31</v>
      </c>
      <c r="G75" s="16">
        <v>92198.49</v>
      </c>
      <c r="H75" s="16">
        <v>2898678.91</v>
      </c>
      <c r="I75" s="16">
        <v>362078.1</v>
      </c>
      <c r="J75" s="16">
        <v>3850900.0500000012</v>
      </c>
      <c r="K75" s="16"/>
      <c r="L75" s="16"/>
      <c r="M75" s="16">
        <v>110.81000000000002</v>
      </c>
      <c r="N75" s="18">
        <f t="shared" si="2"/>
        <v>75081944.859141886</v>
      </c>
      <c r="O75" s="4"/>
    </row>
    <row r="76" spans="1:15" ht="15" x14ac:dyDescent="0.2">
      <c r="A76" s="17" t="s">
        <v>71</v>
      </c>
      <c r="B76" s="16">
        <v>52792170.319999993</v>
      </c>
      <c r="C76" s="16"/>
      <c r="D76" s="16">
        <v>13689928.753567772</v>
      </c>
      <c r="E76" s="16"/>
      <c r="F76" s="16">
        <v>321583.56</v>
      </c>
      <c r="G76" s="16">
        <v>217021.06</v>
      </c>
      <c r="H76" s="16">
        <v>2618902.71</v>
      </c>
      <c r="I76" s="16">
        <v>651883.68999999994</v>
      </c>
      <c r="J76" s="16">
        <v>5557089.6000000006</v>
      </c>
      <c r="K76" s="16"/>
      <c r="L76" s="16"/>
      <c r="M76" s="16">
        <v>199.5</v>
      </c>
      <c r="N76" s="18">
        <f t="shared" si="2"/>
        <v>75848779.193567753</v>
      </c>
      <c r="O76" s="4"/>
    </row>
    <row r="77" spans="1:15" ht="15" x14ac:dyDescent="0.2">
      <c r="A77" s="17" t="s">
        <v>72</v>
      </c>
      <c r="B77" s="16">
        <v>71663467.120000005</v>
      </c>
      <c r="C77" s="16"/>
      <c r="D77" s="16">
        <v>12556166.297118559</v>
      </c>
      <c r="E77" s="16"/>
      <c r="F77" s="16">
        <v>377710.65</v>
      </c>
      <c r="G77" s="16">
        <v>153191.34</v>
      </c>
      <c r="H77" s="16">
        <v>3555065.97</v>
      </c>
      <c r="I77" s="16">
        <v>765659.22</v>
      </c>
      <c r="J77" s="16">
        <v>3489198.9499999988</v>
      </c>
      <c r="K77" s="16"/>
      <c r="L77" s="16"/>
      <c r="M77" s="16">
        <v>234.33999999999997</v>
      </c>
      <c r="N77" s="18">
        <f t="shared" si="2"/>
        <v>92560693.887118578</v>
      </c>
      <c r="O77" s="4"/>
    </row>
    <row r="78" spans="1:15" ht="15" x14ac:dyDescent="0.2">
      <c r="A78" s="17" t="s">
        <v>73</v>
      </c>
      <c r="B78" s="16">
        <v>27532841.059999999</v>
      </c>
      <c r="C78" s="16"/>
      <c r="D78" s="16">
        <v>4423762.4752428113</v>
      </c>
      <c r="E78" s="16"/>
      <c r="F78" s="16">
        <v>134140.23000000001</v>
      </c>
      <c r="G78" s="16">
        <v>51063.78</v>
      </c>
      <c r="H78" s="16">
        <v>1365843.3</v>
      </c>
      <c r="I78" s="16">
        <v>271916.36</v>
      </c>
      <c r="J78" s="16">
        <v>1552881.0200000003</v>
      </c>
      <c r="K78" s="16"/>
      <c r="L78" s="16"/>
      <c r="M78" s="16">
        <v>83.22</v>
      </c>
      <c r="N78" s="18">
        <f t="shared" si="2"/>
        <v>35332531.445242815</v>
      </c>
      <c r="O78" s="4"/>
    </row>
    <row r="79" spans="1:15" ht="15" x14ac:dyDescent="0.2">
      <c r="A79" s="17" t="s">
        <v>74</v>
      </c>
      <c r="B79" s="16">
        <v>114592270.38999999</v>
      </c>
      <c r="C79" s="16"/>
      <c r="D79" s="16">
        <v>32984419.706598688</v>
      </c>
      <c r="E79" s="16"/>
      <c r="F79" s="16">
        <v>674231.17</v>
      </c>
      <c r="G79" s="16">
        <v>380141.46</v>
      </c>
      <c r="H79" s="16">
        <v>5684668.8700000001</v>
      </c>
      <c r="I79" s="16">
        <v>1366737.48</v>
      </c>
      <c r="J79" s="16">
        <v>8532124.040000001</v>
      </c>
      <c r="K79" s="16"/>
      <c r="L79" s="16"/>
      <c r="M79" s="16">
        <v>418.33000000000004</v>
      </c>
      <c r="N79" s="18">
        <f t="shared" si="2"/>
        <v>164215011.44659868</v>
      </c>
      <c r="O79" s="4"/>
    </row>
    <row r="80" spans="1:15" ht="15" x14ac:dyDescent="0.2">
      <c r="A80" s="17" t="s">
        <v>75</v>
      </c>
      <c r="B80" s="16">
        <v>69952592.019999996</v>
      </c>
      <c r="C80" s="16"/>
      <c r="D80" s="16">
        <v>35145868.986148097</v>
      </c>
      <c r="E80" s="16"/>
      <c r="F80" s="16">
        <v>218154.38</v>
      </c>
      <c r="G80" s="16">
        <v>158865.09</v>
      </c>
      <c r="H80" s="16">
        <v>3470193.25</v>
      </c>
      <c r="I80" s="16">
        <v>442221.86</v>
      </c>
      <c r="J80" s="16">
        <v>5651884.3999999994</v>
      </c>
      <c r="K80" s="16"/>
      <c r="L80" s="16"/>
      <c r="M80" s="16">
        <v>135.34</v>
      </c>
      <c r="N80" s="18">
        <f t="shared" si="2"/>
        <v>115039915.32614811</v>
      </c>
      <c r="O80" s="4"/>
    </row>
    <row r="81" spans="1:15" ht="15" x14ac:dyDescent="0.2">
      <c r="A81" s="17" t="s">
        <v>76</v>
      </c>
      <c r="B81" s="16">
        <v>33853893</v>
      </c>
      <c r="C81" s="16"/>
      <c r="D81" s="16">
        <v>9419188.8110929187</v>
      </c>
      <c r="E81" s="16"/>
      <c r="F81" s="16">
        <v>566565.98</v>
      </c>
      <c r="G81" s="16">
        <v>327659.24</v>
      </c>
      <c r="H81" s="16">
        <v>1679416.7</v>
      </c>
      <c r="I81" s="16">
        <v>1148488.82</v>
      </c>
      <c r="J81" s="16">
        <v>6453581.040000001</v>
      </c>
      <c r="K81" s="16"/>
      <c r="L81" s="16"/>
      <c r="M81" s="16">
        <v>351.51000000000005</v>
      </c>
      <c r="N81" s="18">
        <f t="shared" si="2"/>
        <v>53449145.10109292</v>
      </c>
      <c r="O81" s="4"/>
    </row>
    <row r="82" spans="1:15" ht="15" x14ac:dyDescent="0.2">
      <c r="A82" s="17" t="s">
        <v>77</v>
      </c>
      <c r="B82" s="16">
        <v>472438828.70999998</v>
      </c>
      <c r="C82" s="16"/>
      <c r="D82" s="16">
        <v>6241528.3299999991</v>
      </c>
      <c r="E82" s="16"/>
      <c r="F82" s="16">
        <v>16328749.48</v>
      </c>
      <c r="G82" s="16">
        <v>13027233.594476685</v>
      </c>
      <c r="H82" s="16">
        <v>23436644.489999998</v>
      </c>
      <c r="I82" s="16">
        <v>33100091.920000002</v>
      </c>
      <c r="J82" s="16">
        <v>53346037.230000019</v>
      </c>
      <c r="K82" s="16"/>
      <c r="L82" s="16"/>
      <c r="M82" s="16">
        <v>10131.480000000001</v>
      </c>
      <c r="N82" s="18">
        <f t="shared" si="2"/>
        <v>617929245.23447669</v>
      </c>
      <c r="O82" s="4"/>
    </row>
    <row r="83" spans="1:15" ht="15" x14ac:dyDescent="0.2">
      <c r="A83" s="17" t="s">
        <v>78</v>
      </c>
      <c r="B83" s="16">
        <v>147003210.63999999</v>
      </c>
      <c r="C83" s="16"/>
      <c r="D83" s="16">
        <v>10307801.279349661</v>
      </c>
      <c r="E83" s="16"/>
      <c r="F83" s="16">
        <v>1808069.15</v>
      </c>
      <c r="G83" s="16">
        <v>964538.04</v>
      </c>
      <c r="H83" s="16">
        <v>7292503.8700000001</v>
      </c>
      <c r="I83" s="16">
        <v>3665146.27</v>
      </c>
      <c r="J83" s="16">
        <v>11647594.509999998</v>
      </c>
      <c r="K83" s="16"/>
      <c r="L83" s="16"/>
      <c r="M83" s="16">
        <v>1121.83</v>
      </c>
      <c r="N83" s="18">
        <f t="shared" si="2"/>
        <v>182689985.58934966</v>
      </c>
      <c r="O83" s="4"/>
    </row>
    <row r="84" spans="1:15" ht="15" x14ac:dyDescent="0.2">
      <c r="A84" s="17" t="s">
        <v>79</v>
      </c>
      <c r="B84" s="16">
        <v>54640834.049999997</v>
      </c>
      <c r="C84" s="16"/>
      <c r="D84" s="16">
        <v>8136705.5647750897</v>
      </c>
      <c r="E84" s="16"/>
      <c r="F84" s="16">
        <v>362884.63</v>
      </c>
      <c r="G84" s="16">
        <v>85050.142546077608</v>
      </c>
      <c r="H84" s="16">
        <v>2710610.83</v>
      </c>
      <c r="I84" s="16">
        <v>735605.3</v>
      </c>
      <c r="J84" s="16">
        <v>4716792.75</v>
      </c>
      <c r="K84" s="16"/>
      <c r="L84" s="16"/>
      <c r="M84" s="16">
        <v>225.14</v>
      </c>
      <c r="N84" s="18">
        <f t="shared" si="2"/>
        <v>71388708.40732117</v>
      </c>
      <c r="O84" s="4"/>
    </row>
    <row r="85" spans="1:15" ht="15" x14ac:dyDescent="0.2">
      <c r="A85" s="17" t="s">
        <v>80</v>
      </c>
      <c r="B85" s="16">
        <v>53664831.470000006</v>
      </c>
      <c r="C85" s="16"/>
      <c r="D85" s="16">
        <v>7631222.2772309305</v>
      </c>
      <c r="E85" s="16"/>
      <c r="F85" s="16">
        <v>171558.29</v>
      </c>
      <c r="G85" s="16">
        <v>92198.49</v>
      </c>
      <c r="H85" s="16">
        <v>2662193.5</v>
      </c>
      <c r="I85" s="16">
        <v>347766.71</v>
      </c>
      <c r="J85" s="16">
        <v>2760594.7399999998</v>
      </c>
      <c r="K85" s="16"/>
      <c r="L85" s="16"/>
      <c r="M85" s="16">
        <v>106.43</v>
      </c>
      <c r="N85" s="18">
        <f t="shared" si="2"/>
        <v>67330471.907230943</v>
      </c>
      <c r="O85" s="4"/>
    </row>
    <row r="86" spans="1:15" ht="15" x14ac:dyDescent="0.2">
      <c r="A86" s="17" t="s">
        <v>81</v>
      </c>
      <c r="B86" s="16">
        <v>641333202.98000002</v>
      </c>
      <c r="C86" s="16"/>
      <c r="D86" s="16">
        <v>4054765.2399999998</v>
      </c>
      <c r="E86" s="16"/>
      <c r="F86" s="16">
        <v>10245136.869999999</v>
      </c>
      <c r="G86" s="16">
        <v>2933575.371802371</v>
      </c>
      <c r="H86" s="16">
        <v>31815120.530000001</v>
      </c>
      <c r="I86" s="16">
        <v>20767969.550000001</v>
      </c>
      <c r="J86" s="16">
        <v>23826831.820000004</v>
      </c>
      <c r="K86" s="16"/>
      <c r="L86" s="16"/>
      <c r="M86" s="16">
        <v>6356.77</v>
      </c>
      <c r="N86" s="18">
        <f t="shared" si="2"/>
        <v>734982959.13180232</v>
      </c>
      <c r="O86" s="4"/>
    </row>
    <row r="87" spans="1:15" ht="15" x14ac:dyDescent="0.2">
      <c r="A87" s="17" t="s">
        <v>82</v>
      </c>
      <c r="B87" s="16">
        <v>82638711.689999998</v>
      </c>
      <c r="C87" s="16"/>
      <c r="D87" s="16">
        <v>9331356.3190876693</v>
      </c>
      <c r="E87" s="16"/>
      <c r="F87" s="16">
        <v>290872.5</v>
      </c>
      <c r="G87" s="16">
        <v>192907.61</v>
      </c>
      <c r="H87" s="16">
        <v>4099523.56</v>
      </c>
      <c r="I87" s="16">
        <v>589629.15</v>
      </c>
      <c r="J87" s="16">
        <v>5237467.99</v>
      </c>
      <c r="K87" s="16"/>
      <c r="L87" s="16"/>
      <c r="M87" s="16">
        <v>180.46</v>
      </c>
      <c r="N87" s="18">
        <f t="shared" si="2"/>
        <v>102380649.27908766</v>
      </c>
      <c r="O87" s="4"/>
    </row>
    <row r="88" spans="1:15" ht="15" x14ac:dyDescent="0.2">
      <c r="A88" s="17" t="s">
        <v>83</v>
      </c>
      <c r="B88" s="16">
        <v>80187222.900000006</v>
      </c>
      <c r="C88" s="16"/>
      <c r="D88" s="16">
        <v>3265961.781042791</v>
      </c>
      <c r="E88" s="16"/>
      <c r="F88" s="16">
        <v>1427534.49</v>
      </c>
      <c r="G88" s="16">
        <v>492198.09</v>
      </c>
      <c r="H88" s="16">
        <v>3977910.63</v>
      </c>
      <c r="I88" s="16">
        <v>2893762.49</v>
      </c>
      <c r="J88" s="16">
        <v>7757679.8600000031</v>
      </c>
      <c r="K88" s="16"/>
      <c r="L88" s="16"/>
      <c r="M88" s="16">
        <v>885.72000000000014</v>
      </c>
      <c r="N88" s="18">
        <f t="shared" si="2"/>
        <v>100003155.96104278</v>
      </c>
      <c r="O88" s="4"/>
    </row>
    <row r="89" spans="1:15" ht="15" x14ac:dyDescent="0.2">
      <c r="A89" s="17" t="s">
        <v>84</v>
      </c>
      <c r="B89" s="16">
        <v>122928480.59000002</v>
      </c>
      <c r="C89" s="16"/>
      <c r="D89" s="16">
        <v>8553739.8951023091</v>
      </c>
      <c r="E89" s="16"/>
      <c r="F89" s="16">
        <v>1200555.0900000001</v>
      </c>
      <c r="G89" s="16">
        <v>574467.51</v>
      </c>
      <c r="H89" s="16">
        <v>6098209.8099999996</v>
      </c>
      <c r="I89" s="16">
        <v>2433651.4</v>
      </c>
      <c r="J89" s="16">
        <v>8360956.8400000026</v>
      </c>
      <c r="K89" s="16"/>
      <c r="L89" s="16"/>
      <c r="M89" s="16">
        <v>744.9</v>
      </c>
      <c r="N89" s="18">
        <f t="shared" si="2"/>
        <v>150150806.03510234</v>
      </c>
      <c r="O89" s="4"/>
    </row>
    <row r="90" spans="1:15" ht="15" x14ac:dyDescent="0.2">
      <c r="A90" s="17" t="s">
        <v>85</v>
      </c>
      <c r="B90" s="16">
        <v>661509663.98000002</v>
      </c>
      <c r="C90" s="16"/>
      <c r="D90" s="16">
        <v>3578681.1849668305</v>
      </c>
      <c r="E90" s="16"/>
      <c r="F90" s="16">
        <v>16285330.41</v>
      </c>
      <c r="G90" s="16">
        <v>5097389.9758296013</v>
      </c>
      <c r="H90" s="16">
        <v>32816030.100000001</v>
      </c>
      <c r="I90" s="16">
        <v>33012076.879999999</v>
      </c>
      <c r="J90" s="16">
        <v>49466807.99000001</v>
      </c>
      <c r="K90" s="16"/>
      <c r="L90" s="16"/>
      <c r="M90" s="16">
        <v>10104.530000000001</v>
      </c>
      <c r="N90" s="18">
        <f t="shared" si="2"/>
        <v>801776085.05079639</v>
      </c>
      <c r="O90" s="4"/>
    </row>
    <row r="91" spans="1:15" ht="15" x14ac:dyDescent="0.2">
      <c r="A91" s="17" t="s">
        <v>86</v>
      </c>
      <c r="B91" s="16">
        <v>24082384.900000002</v>
      </c>
      <c r="C91" s="16"/>
      <c r="D91" s="16">
        <v>11750339.643078052</v>
      </c>
      <c r="E91" s="16"/>
      <c r="F91" s="16">
        <v>378063.65</v>
      </c>
      <c r="G91" s="16">
        <v>191489.17</v>
      </c>
      <c r="H91" s="16">
        <v>1194673.81</v>
      </c>
      <c r="I91" s="16">
        <v>766374.79</v>
      </c>
      <c r="J91" s="16">
        <v>3554952.25</v>
      </c>
      <c r="K91" s="16"/>
      <c r="L91" s="16"/>
      <c r="M91" s="16">
        <v>234.55999999999997</v>
      </c>
      <c r="N91" s="18">
        <f t="shared" si="2"/>
        <v>41918512.773078054</v>
      </c>
      <c r="O91" s="4"/>
    </row>
    <row r="92" spans="1:15" ht="15" x14ac:dyDescent="0.2">
      <c r="A92" s="17" t="s">
        <v>87</v>
      </c>
      <c r="B92" s="16">
        <v>36188644.259999998</v>
      </c>
      <c r="C92" s="16"/>
      <c r="D92" s="16">
        <v>257783.31000000003</v>
      </c>
      <c r="E92" s="16"/>
      <c r="F92" s="16">
        <v>80837.14</v>
      </c>
      <c r="G92" s="16">
        <v>59574.41</v>
      </c>
      <c r="H92" s="16">
        <v>1795238.54</v>
      </c>
      <c r="I92" s="16">
        <v>163865.38</v>
      </c>
      <c r="J92" s="16">
        <v>1538153.3599999994</v>
      </c>
      <c r="K92" s="16"/>
      <c r="L92" s="16"/>
      <c r="M92" s="16">
        <v>50.129999999999995</v>
      </c>
      <c r="N92" s="18">
        <f t="shared" si="2"/>
        <v>40084146.530000001</v>
      </c>
      <c r="O92" s="4"/>
    </row>
    <row r="93" spans="1:15" ht="15" x14ac:dyDescent="0.2">
      <c r="A93" s="17" t="s">
        <v>88</v>
      </c>
      <c r="B93" s="16">
        <v>347311471.62</v>
      </c>
      <c r="C93" s="16"/>
      <c r="D93" s="16">
        <v>3141544.4029816999</v>
      </c>
      <c r="E93" s="16"/>
      <c r="F93" s="16">
        <v>13198693.02</v>
      </c>
      <c r="G93" s="16">
        <v>2573368.071164785</v>
      </c>
      <c r="H93" s="16">
        <v>17229353.289999999</v>
      </c>
      <c r="I93" s="16">
        <v>26755138.390000001</v>
      </c>
      <c r="J93" s="16">
        <v>47042583.74000001</v>
      </c>
      <c r="K93" s="16"/>
      <c r="L93" s="16"/>
      <c r="M93" s="16">
        <v>8189.36</v>
      </c>
      <c r="N93" s="18">
        <f t="shared" si="2"/>
        <v>457260341.8941465</v>
      </c>
      <c r="O93" s="4"/>
    </row>
    <row r="94" spans="1:15" ht="15" x14ac:dyDescent="0.2">
      <c r="A94" s="17" t="s">
        <v>89</v>
      </c>
      <c r="B94" s="16">
        <v>241591255.87</v>
      </c>
      <c r="C94" s="16"/>
      <c r="D94" s="16">
        <v>5656741.6500000004</v>
      </c>
      <c r="E94" s="16"/>
      <c r="F94" s="16">
        <v>5968181.4100000001</v>
      </c>
      <c r="G94" s="16">
        <v>3219681.1742031826</v>
      </c>
      <c r="H94" s="16">
        <v>11984807.42</v>
      </c>
      <c r="I94" s="16">
        <v>12098131.18</v>
      </c>
      <c r="J94" s="16">
        <v>25136596.440000009</v>
      </c>
      <c r="K94" s="16"/>
      <c r="L94" s="16"/>
      <c r="M94" s="16">
        <v>3703.05</v>
      </c>
      <c r="N94" s="18">
        <f t="shared" si="2"/>
        <v>305659098.1942032</v>
      </c>
      <c r="O94" s="4"/>
    </row>
    <row r="95" spans="1:15" ht="15" x14ac:dyDescent="0.2">
      <c r="A95" s="17" t="s">
        <v>90</v>
      </c>
      <c r="B95" s="16">
        <v>42182448.280000001</v>
      </c>
      <c r="C95" s="16"/>
      <c r="D95" s="16">
        <v>7376148.81114305</v>
      </c>
      <c r="E95" s="16"/>
      <c r="F95" s="16">
        <v>292637.51</v>
      </c>
      <c r="G95" s="16">
        <v>154609.76999999999</v>
      </c>
      <c r="H95" s="16">
        <v>2092577.89</v>
      </c>
      <c r="I95" s="16">
        <v>593207</v>
      </c>
      <c r="J95" s="16">
        <v>3702826.7800000012</v>
      </c>
      <c r="K95" s="16"/>
      <c r="L95" s="16"/>
      <c r="M95" s="16">
        <v>181.54999999999998</v>
      </c>
      <c r="N95" s="18">
        <f t="shared" si="2"/>
        <v>56394637.591143049</v>
      </c>
      <c r="O95" s="4"/>
    </row>
    <row r="96" spans="1:15" ht="15" x14ac:dyDescent="0.2">
      <c r="A96" s="17" t="s">
        <v>91</v>
      </c>
      <c r="B96" s="16">
        <v>151630611.09</v>
      </c>
      <c r="C96" s="16"/>
      <c r="D96" s="16">
        <v>19797787.345552899</v>
      </c>
      <c r="E96" s="16"/>
      <c r="F96" s="16">
        <v>1640040.86</v>
      </c>
      <c r="G96" s="16">
        <v>843970.78</v>
      </c>
      <c r="H96" s="16">
        <v>7522058.9699999997</v>
      </c>
      <c r="I96" s="16">
        <v>3324535.25</v>
      </c>
      <c r="J96" s="16">
        <v>13266709.529999996</v>
      </c>
      <c r="K96" s="16"/>
      <c r="L96" s="16"/>
      <c r="M96" s="16">
        <v>1017.5699999999999</v>
      </c>
      <c r="N96" s="18">
        <f t="shared" si="2"/>
        <v>198026731.3955529</v>
      </c>
      <c r="O96" s="4"/>
    </row>
    <row r="97" spans="1:15" ht="15" x14ac:dyDescent="0.2">
      <c r="A97" s="17" t="s">
        <v>92</v>
      </c>
      <c r="B97" s="16">
        <v>71014712.449999988</v>
      </c>
      <c r="C97" s="16"/>
      <c r="D97" s="16">
        <v>27850055.629731882</v>
      </c>
      <c r="E97" s="16"/>
      <c r="F97" s="16">
        <v>757186.32</v>
      </c>
      <c r="G97" s="16">
        <v>432623.68</v>
      </c>
      <c r="H97" s="16">
        <v>3522882.69</v>
      </c>
      <c r="I97" s="16">
        <v>1534896.28</v>
      </c>
      <c r="J97" s="16">
        <v>8858471.8400000017</v>
      </c>
      <c r="K97" s="16"/>
      <c r="L97" s="16"/>
      <c r="M97" s="16">
        <v>469.79000000000008</v>
      </c>
      <c r="N97" s="18">
        <f t="shared" si="2"/>
        <v>113971298.67973188</v>
      </c>
      <c r="O97" s="4"/>
    </row>
    <row r="98" spans="1:15" ht="15" x14ac:dyDescent="0.2">
      <c r="A98" s="17" t="s">
        <v>93</v>
      </c>
      <c r="B98" s="16">
        <v>197671140.19</v>
      </c>
      <c r="C98" s="16"/>
      <c r="D98" s="16">
        <v>28320279.994570322</v>
      </c>
      <c r="E98" s="16"/>
      <c r="F98" s="16">
        <v>1760767.07</v>
      </c>
      <c r="G98" s="16">
        <v>1014183.38</v>
      </c>
      <c r="H98" s="16">
        <v>9806027.6999999993</v>
      </c>
      <c r="I98" s="16">
        <v>3569259.97</v>
      </c>
      <c r="J98" s="16">
        <v>17089694.779999994</v>
      </c>
      <c r="K98" s="16"/>
      <c r="L98" s="16"/>
      <c r="M98" s="16">
        <v>1092.49</v>
      </c>
      <c r="N98" s="18">
        <f t="shared" si="2"/>
        <v>259232445.5745703</v>
      </c>
      <c r="O98" s="4"/>
    </row>
    <row r="99" spans="1:15" ht="15" x14ac:dyDescent="0.2">
      <c r="A99" s="17" t="s">
        <v>94</v>
      </c>
      <c r="B99" s="16">
        <v>135270128.78</v>
      </c>
      <c r="C99" s="16"/>
      <c r="D99" s="16">
        <v>13951580.245347403</v>
      </c>
      <c r="E99" s="16"/>
      <c r="F99" s="16">
        <v>652698.13</v>
      </c>
      <c r="G99" s="16">
        <v>273758.59000000003</v>
      </c>
      <c r="H99" s="16">
        <v>6710451.6600000001</v>
      </c>
      <c r="I99" s="16">
        <v>1323087.75</v>
      </c>
      <c r="J99" s="16">
        <v>11161957.93</v>
      </c>
      <c r="K99" s="16"/>
      <c r="L99" s="16"/>
      <c r="M99" s="16">
        <v>404.95</v>
      </c>
      <c r="N99" s="18">
        <f t="shared" si="2"/>
        <v>169344068.0353474</v>
      </c>
      <c r="O99" s="4"/>
    </row>
    <row r="100" spans="1:15" ht="15" x14ac:dyDescent="0.2">
      <c r="A100" s="17" t="s">
        <v>95</v>
      </c>
      <c r="B100" s="16">
        <v>128549107.16</v>
      </c>
      <c r="C100" s="16"/>
      <c r="D100" s="16">
        <v>25317851.293240562</v>
      </c>
      <c r="E100" s="16"/>
      <c r="F100" s="16">
        <v>732829.27</v>
      </c>
      <c r="G100" s="16">
        <v>361701.76</v>
      </c>
      <c r="H100" s="16">
        <v>6377036.6500000004</v>
      </c>
      <c r="I100" s="16">
        <v>1485521.99</v>
      </c>
      <c r="J100" s="16">
        <v>8943392.9099999983</v>
      </c>
      <c r="K100" s="16"/>
      <c r="L100" s="16"/>
      <c r="M100" s="16">
        <v>454.68</v>
      </c>
      <c r="N100" s="18">
        <f t="shared" si="2"/>
        <v>171767895.71324059</v>
      </c>
      <c r="O100" s="4"/>
    </row>
    <row r="101" spans="1:15" ht="15" x14ac:dyDescent="0.2">
      <c r="A101" s="17" t="s">
        <v>96</v>
      </c>
      <c r="B101" s="16">
        <v>25980805.600000001</v>
      </c>
      <c r="C101" s="16"/>
      <c r="D101" s="16">
        <v>7997709.3918054998</v>
      </c>
      <c r="E101" s="16"/>
      <c r="F101" s="16">
        <v>87544.15</v>
      </c>
      <c r="G101" s="16">
        <v>53900.65</v>
      </c>
      <c r="H101" s="16">
        <v>1288850.26</v>
      </c>
      <c r="I101" s="16">
        <v>177461.2</v>
      </c>
      <c r="J101" s="16">
        <v>1883801.3599999994</v>
      </c>
      <c r="K101" s="16"/>
      <c r="L101" s="16"/>
      <c r="M101" s="16">
        <v>54.3</v>
      </c>
      <c r="N101" s="18">
        <f t="shared" si="2"/>
        <v>37470126.911805496</v>
      </c>
      <c r="O101" s="4"/>
    </row>
    <row r="102" spans="1:15" ht="15" x14ac:dyDescent="0.2">
      <c r="A102" s="17" t="s">
        <v>97</v>
      </c>
      <c r="B102" s="16">
        <v>85842296.590000004</v>
      </c>
      <c r="C102" s="16"/>
      <c r="D102" s="16">
        <v>36144538.992240988</v>
      </c>
      <c r="E102" s="16"/>
      <c r="F102" s="16">
        <v>1695108.95</v>
      </c>
      <c r="G102" s="16">
        <v>948935.22</v>
      </c>
      <c r="H102" s="16">
        <v>4258446.32</v>
      </c>
      <c r="I102" s="16">
        <v>3436164.07</v>
      </c>
      <c r="J102" s="16">
        <v>12676735.589999998</v>
      </c>
      <c r="K102" s="16"/>
      <c r="L102" s="16"/>
      <c r="M102" s="16">
        <v>1051.75</v>
      </c>
      <c r="N102" s="18">
        <f t="shared" si="2"/>
        <v>145003277.482241</v>
      </c>
      <c r="O102" s="4"/>
    </row>
    <row r="103" spans="1:15" ht="15" x14ac:dyDescent="0.2">
      <c r="A103" s="17" t="s">
        <v>98</v>
      </c>
      <c r="B103" s="16">
        <v>29750854.739999998</v>
      </c>
      <c r="C103" s="16"/>
      <c r="D103" s="16">
        <v>8758168.1850119401</v>
      </c>
      <c r="E103" s="16"/>
      <c r="F103" s="16">
        <v>42007.07</v>
      </c>
      <c r="G103" s="16">
        <v>32624.080000000002</v>
      </c>
      <c r="H103" s="16">
        <v>1475874.05</v>
      </c>
      <c r="I103" s="16">
        <v>85152.75</v>
      </c>
      <c r="J103" s="16">
        <v>2649730.3100000005</v>
      </c>
      <c r="K103" s="16"/>
      <c r="L103" s="16"/>
      <c r="M103" s="16">
        <v>26.04</v>
      </c>
      <c r="N103" s="18">
        <f t="shared" si="2"/>
        <v>42794437.225011937</v>
      </c>
      <c r="O103" s="4"/>
    </row>
    <row r="104" spans="1:15" ht="15" x14ac:dyDescent="0.2">
      <c r="A104" s="17" t="s">
        <v>99</v>
      </c>
      <c r="B104" s="16">
        <v>397051241.87</v>
      </c>
      <c r="C104" s="16"/>
      <c r="D104" s="16">
        <v>10601457.931693131</v>
      </c>
      <c r="E104" s="16"/>
      <c r="F104" s="16">
        <v>8608626.0099999998</v>
      </c>
      <c r="G104" s="16">
        <v>1793683.1580805001</v>
      </c>
      <c r="H104" s="16">
        <v>19696833.190000001</v>
      </c>
      <c r="I104" s="16">
        <v>17450590</v>
      </c>
      <c r="J104" s="16">
        <v>29583832.20000001</v>
      </c>
      <c r="K104" s="16"/>
      <c r="L104" s="16"/>
      <c r="M104" s="16">
        <v>5341.37</v>
      </c>
      <c r="N104" s="18">
        <f t="shared" ref="N104:N135" si="3">SUM(B104:M104)</f>
        <v>484791605.72977364</v>
      </c>
      <c r="O104" s="4"/>
    </row>
    <row r="105" spans="1:15" ht="15" x14ac:dyDescent="0.2">
      <c r="A105" s="17" t="s">
        <v>100</v>
      </c>
      <c r="B105" s="16">
        <v>67026498.060000002</v>
      </c>
      <c r="C105" s="16"/>
      <c r="D105" s="16">
        <v>823276.21</v>
      </c>
      <c r="E105" s="16"/>
      <c r="F105" s="16">
        <v>371003.64</v>
      </c>
      <c r="G105" s="16">
        <v>234042.32</v>
      </c>
      <c r="H105" s="16">
        <v>3325036.2</v>
      </c>
      <c r="I105" s="16">
        <v>752063.4</v>
      </c>
      <c r="J105" s="16">
        <v>3816143.1600000015</v>
      </c>
      <c r="K105" s="16"/>
      <c r="L105" s="16"/>
      <c r="M105" s="16">
        <v>230.17</v>
      </c>
      <c r="N105" s="18">
        <f t="shared" si="3"/>
        <v>76348293.159999996</v>
      </c>
      <c r="O105" s="4"/>
    </row>
    <row r="106" spans="1:15" ht="15" x14ac:dyDescent="0.2">
      <c r="A106" s="17" t="s">
        <v>101</v>
      </c>
      <c r="B106" s="16">
        <v>76574099.650000006</v>
      </c>
      <c r="C106" s="16"/>
      <c r="D106" s="16">
        <v>1220147.3299999998</v>
      </c>
      <c r="E106" s="16"/>
      <c r="F106" s="16">
        <v>2628795.58</v>
      </c>
      <c r="G106" s="16">
        <v>758800.9734313651</v>
      </c>
      <c r="H106" s="16">
        <v>3798671.58</v>
      </c>
      <c r="I106" s="16">
        <v>5328845.03</v>
      </c>
      <c r="J106" s="16">
        <v>10178507.859999994</v>
      </c>
      <c r="K106" s="16"/>
      <c r="L106" s="16"/>
      <c r="M106" s="16">
        <v>1631.06</v>
      </c>
      <c r="N106" s="18">
        <f t="shared" si="3"/>
        <v>100489499.06343137</v>
      </c>
      <c r="O106" s="4"/>
    </row>
    <row r="107" spans="1:15" ht="15" x14ac:dyDescent="0.2">
      <c r="A107" s="17" t="s">
        <v>102</v>
      </c>
      <c r="B107" s="16">
        <v>104623648.03000002</v>
      </c>
      <c r="C107" s="16"/>
      <c r="D107" s="16">
        <v>10354472.449720882</v>
      </c>
      <c r="E107" s="16"/>
      <c r="F107" s="16">
        <v>146142.25</v>
      </c>
      <c r="G107" s="16">
        <v>143262.26999999999</v>
      </c>
      <c r="H107" s="16">
        <v>5190147.59</v>
      </c>
      <c r="I107" s="16">
        <v>296245.71999999997</v>
      </c>
      <c r="J107" s="16">
        <v>4962593.0899999989</v>
      </c>
      <c r="K107" s="16"/>
      <c r="L107" s="16"/>
      <c r="M107" s="16">
        <v>90.66</v>
      </c>
      <c r="N107" s="18">
        <f t="shared" si="3"/>
        <v>125716602.05972089</v>
      </c>
      <c r="O107" s="4"/>
    </row>
    <row r="108" spans="1:15" ht="15" x14ac:dyDescent="0.2">
      <c r="A108" s="17" t="s">
        <v>103</v>
      </c>
      <c r="B108" s="16">
        <v>36357052.539999992</v>
      </c>
      <c r="C108" s="16"/>
      <c r="D108" s="16">
        <v>4705174.3856162503</v>
      </c>
      <c r="E108" s="16"/>
      <c r="F108" s="16">
        <v>148260.25</v>
      </c>
      <c r="G108" s="16">
        <v>89361.61</v>
      </c>
      <c r="H108" s="16">
        <v>1803592.9</v>
      </c>
      <c r="I108" s="16">
        <v>300539.13</v>
      </c>
      <c r="J108" s="16">
        <v>2518588.13</v>
      </c>
      <c r="K108" s="16"/>
      <c r="L108" s="16"/>
      <c r="M108" s="16">
        <v>91.970000000000013</v>
      </c>
      <c r="N108" s="18">
        <f t="shared" si="3"/>
        <v>45922660.915616244</v>
      </c>
      <c r="O108" s="4"/>
    </row>
    <row r="109" spans="1:15" ht="15" x14ac:dyDescent="0.2">
      <c r="A109" s="17" t="s">
        <v>104</v>
      </c>
      <c r="B109" s="16">
        <v>399816582.47999996</v>
      </c>
      <c r="C109" s="16"/>
      <c r="D109" s="16">
        <v>7336725.4303542404</v>
      </c>
      <c r="E109" s="16"/>
      <c r="F109" s="16">
        <v>15137372.4</v>
      </c>
      <c r="G109" s="16">
        <v>8324297.7325328235</v>
      </c>
      <c r="H109" s="16">
        <v>19834015.620000001</v>
      </c>
      <c r="I109" s="16">
        <v>30685045.32</v>
      </c>
      <c r="J109" s="16">
        <v>46861973.539999992</v>
      </c>
      <c r="K109" s="16"/>
      <c r="L109" s="16"/>
      <c r="M109" s="16">
        <v>9392.2599999999984</v>
      </c>
      <c r="N109" s="18">
        <f t="shared" si="3"/>
        <v>528005404.78288698</v>
      </c>
      <c r="O109" s="4"/>
    </row>
    <row r="110" spans="1:15" ht="15" x14ac:dyDescent="0.2">
      <c r="A110" s="17" t="s">
        <v>105</v>
      </c>
      <c r="B110" s="16">
        <v>46649095.319999993</v>
      </c>
      <c r="C110" s="16"/>
      <c r="D110" s="16">
        <v>11990412.923467511</v>
      </c>
      <c r="E110" s="16"/>
      <c r="F110" s="16">
        <v>578568</v>
      </c>
      <c r="G110" s="16">
        <v>299290.48</v>
      </c>
      <c r="H110" s="16">
        <v>2314158.36</v>
      </c>
      <c r="I110" s="16">
        <v>1172818.18</v>
      </c>
      <c r="J110" s="16">
        <v>5522713.6600000001</v>
      </c>
      <c r="K110" s="16"/>
      <c r="L110" s="16"/>
      <c r="M110" s="16">
        <v>358.96000000000004</v>
      </c>
      <c r="N110" s="18">
        <f t="shared" si="3"/>
        <v>68527415.883467495</v>
      </c>
      <c r="O110" s="4"/>
    </row>
    <row r="111" spans="1:15" ht="15" x14ac:dyDescent="0.2">
      <c r="A111" s="17" t="s">
        <v>106</v>
      </c>
      <c r="B111" s="16">
        <v>56981326.479999989</v>
      </c>
      <c r="C111" s="16"/>
      <c r="D111" s="16">
        <v>11670828.655074181</v>
      </c>
      <c r="E111" s="16"/>
      <c r="F111" s="16">
        <v>201563.35</v>
      </c>
      <c r="G111" s="16">
        <v>137588.51</v>
      </c>
      <c r="H111" s="16">
        <v>2826717.48</v>
      </c>
      <c r="I111" s="16">
        <v>408590.1</v>
      </c>
      <c r="J111" s="16">
        <v>4379013.790000001</v>
      </c>
      <c r="K111" s="16"/>
      <c r="L111" s="16"/>
      <c r="M111" s="16">
        <v>125.04</v>
      </c>
      <c r="N111" s="18">
        <f t="shared" si="3"/>
        <v>76605753.405074179</v>
      </c>
      <c r="O111" s="4"/>
    </row>
    <row r="112" spans="1:15" ht="15" x14ac:dyDescent="0.2">
      <c r="A112" s="17" t="s">
        <v>107</v>
      </c>
      <c r="B112" s="16">
        <v>76292781.25</v>
      </c>
      <c r="C112" s="16"/>
      <c r="D112" s="16">
        <v>21727577.741473265</v>
      </c>
      <c r="E112" s="16"/>
      <c r="F112" s="16">
        <v>244982.42</v>
      </c>
      <c r="G112" s="16">
        <v>156028.21</v>
      </c>
      <c r="H112" s="16">
        <v>3784716</v>
      </c>
      <c r="I112" s="16">
        <v>496605.14</v>
      </c>
      <c r="J112" s="16">
        <v>4582171.4799999995</v>
      </c>
      <c r="K112" s="16"/>
      <c r="L112" s="16"/>
      <c r="M112" s="16">
        <v>151.97999999999999</v>
      </c>
      <c r="N112" s="18">
        <f t="shared" si="3"/>
        <v>107285014.22147326</v>
      </c>
      <c r="O112" s="4"/>
    </row>
    <row r="113" spans="1:15" ht="15" x14ac:dyDescent="0.2">
      <c r="A113" s="17" t="s">
        <v>108</v>
      </c>
      <c r="B113" s="16">
        <v>61021211.61999999</v>
      </c>
      <c r="C113" s="16"/>
      <c r="D113" s="16">
        <v>28423814.848624967</v>
      </c>
      <c r="E113" s="16"/>
      <c r="F113" s="16">
        <v>345234.6</v>
      </c>
      <c r="G113" s="16">
        <v>212765.74</v>
      </c>
      <c r="H113" s="16">
        <v>3027127.24</v>
      </c>
      <c r="I113" s="16">
        <v>699826.83</v>
      </c>
      <c r="J113" s="16">
        <v>4546884.49</v>
      </c>
      <c r="K113" s="16"/>
      <c r="L113" s="16"/>
      <c r="M113" s="16">
        <v>214.19</v>
      </c>
      <c r="N113" s="18">
        <f t="shared" si="3"/>
        <v>98277079.558624923</v>
      </c>
      <c r="O113" s="4"/>
    </row>
    <row r="114" spans="1:15" ht="15" x14ac:dyDescent="0.2">
      <c r="A114" s="17" t="s">
        <v>109</v>
      </c>
      <c r="B114" s="16">
        <v>40942350.870000005</v>
      </c>
      <c r="C114" s="16"/>
      <c r="D114" s="16">
        <v>8732611.6394810416</v>
      </c>
      <c r="E114" s="16"/>
      <c r="F114" s="16">
        <v>208976.36</v>
      </c>
      <c r="G114" s="16">
        <v>113475.06</v>
      </c>
      <c r="H114" s="16">
        <v>2031059.4</v>
      </c>
      <c r="I114" s="16">
        <v>423617.06</v>
      </c>
      <c r="J114" s="16">
        <v>3443491.4100000015</v>
      </c>
      <c r="K114" s="16"/>
      <c r="L114" s="16"/>
      <c r="M114" s="16">
        <v>129.64000000000001</v>
      </c>
      <c r="N114" s="18">
        <f t="shared" si="3"/>
        <v>55895711.43948105</v>
      </c>
      <c r="O114" s="4"/>
    </row>
    <row r="115" spans="1:15" ht="15" x14ac:dyDescent="0.2">
      <c r="A115" s="17" t="s">
        <v>110</v>
      </c>
      <c r="B115" s="16">
        <v>109696947.67999999</v>
      </c>
      <c r="C115" s="16"/>
      <c r="D115" s="16">
        <v>8054464.2942613391</v>
      </c>
      <c r="E115" s="16"/>
      <c r="F115" s="16">
        <v>216389.37</v>
      </c>
      <c r="G115" s="16">
        <v>188652.29</v>
      </c>
      <c r="H115" s="16">
        <v>5441822.75</v>
      </c>
      <c r="I115" s="16">
        <v>438644.02</v>
      </c>
      <c r="J115" s="16">
        <v>4563633.370000001</v>
      </c>
      <c r="K115" s="16"/>
      <c r="L115" s="16"/>
      <c r="M115" s="16">
        <v>134.23999999999998</v>
      </c>
      <c r="N115" s="18">
        <f t="shared" si="3"/>
        <v>128600688.01426134</v>
      </c>
      <c r="O115" s="4"/>
    </row>
    <row r="116" spans="1:15" ht="15" x14ac:dyDescent="0.2">
      <c r="A116" s="17" t="s">
        <v>111</v>
      </c>
      <c r="B116" s="16">
        <v>57804230.600000001</v>
      </c>
      <c r="C116" s="16"/>
      <c r="D116" s="16">
        <v>12225081.287355408</v>
      </c>
      <c r="E116" s="16"/>
      <c r="F116" s="16">
        <v>597277.04</v>
      </c>
      <c r="G116" s="16">
        <v>290779.84999999998</v>
      </c>
      <c r="H116" s="16">
        <v>2867539.93</v>
      </c>
      <c r="I116" s="16">
        <v>1210743.3600000001</v>
      </c>
      <c r="J116" s="16">
        <v>6173537.1899999976</v>
      </c>
      <c r="K116" s="16"/>
      <c r="L116" s="16"/>
      <c r="M116" s="16">
        <v>370.58000000000004</v>
      </c>
      <c r="N116" s="18">
        <f t="shared" si="3"/>
        <v>81169559.83735542</v>
      </c>
      <c r="O116" s="4"/>
    </row>
    <row r="117" spans="1:15" ht="15" x14ac:dyDescent="0.2">
      <c r="A117" s="17" t="s">
        <v>112</v>
      </c>
      <c r="B117" s="16">
        <v>33591711.93</v>
      </c>
      <c r="C117" s="16"/>
      <c r="D117" s="16">
        <v>2527135.9147059498</v>
      </c>
      <c r="E117" s="16"/>
      <c r="F117" s="16">
        <v>125668.21</v>
      </c>
      <c r="G117" s="16">
        <v>78014.11</v>
      </c>
      <c r="H117" s="16">
        <v>1666410.47</v>
      </c>
      <c r="I117" s="16">
        <v>254742.69</v>
      </c>
      <c r="J117" s="16">
        <v>1907706.9699999993</v>
      </c>
      <c r="K117" s="16"/>
      <c r="L117" s="16"/>
      <c r="M117" s="16">
        <v>77.95</v>
      </c>
      <c r="N117" s="18">
        <f t="shared" si="3"/>
        <v>40151468.244705945</v>
      </c>
      <c r="O117" s="4"/>
    </row>
    <row r="118" spans="1:15" ht="15" x14ac:dyDescent="0.2">
      <c r="A118" s="17" t="s">
        <v>113</v>
      </c>
      <c r="B118" s="16">
        <v>50968385.150000006</v>
      </c>
      <c r="C118" s="16"/>
      <c r="D118" s="16">
        <v>22738807.396231368</v>
      </c>
      <c r="E118" s="16"/>
      <c r="F118" s="16">
        <v>592688.03</v>
      </c>
      <c r="G118" s="16">
        <v>296453.59999999998</v>
      </c>
      <c r="H118" s="16">
        <v>2528428.77</v>
      </c>
      <c r="I118" s="16">
        <v>1201440.96</v>
      </c>
      <c r="J118" s="16">
        <v>4931778.8899999997</v>
      </c>
      <c r="K118" s="16"/>
      <c r="L118" s="16"/>
      <c r="M118" s="16">
        <v>367.71999999999997</v>
      </c>
      <c r="N118" s="18">
        <f t="shared" si="3"/>
        <v>83258350.516231358</v>
      </c>
      <c r="O118" s="4"/>
    </row>
    <row r="119" spans="1:15" ht="15" x14ac:dyDescent="0.2">
      <c r="A119" s="17" t="s">
        <v>114</v>
      </c>
      <c r="B119" s="16">
        <v>74063285.199999988</v>
      </c>
      <c r="C119" s="16"/>
      <c r="D119" s="16">
        <v>10823012.035351269</v>
      </c>
      <c r="E119" s="16"/>
      <c r="F119" s="16">
        <v>476197.83</v>
      </c>
      <c r="G119" s="16">
        <v>208510.43</v>
      </c>
      <c r="H119" s="16">
        <v>3674115.63</v>
      </c>
      <c r="I119" s="16">
        <v>965303.07</v>
      </c>
      <c r="J119" s="16">
        <v>4551622.5200000005</v>
      </c>
      <c r="K119" s="16"/>
      <c r="L119" s="16"/>
      <c r="M119" s="16">
        <v>295.43999999999994</v>
      </c>
      <c r="N119" s="18">
        <f t="shared" si="3"/>
        <v>94762342.155351251</v>
      </c>
      <c r="O119" s="4"/>
    </row>
    <row r="120" spans="1:15" ht="15" x14ac:dyDescent="0.2">
      <c r="A120" s="17" t="s">
        <v>115</v>
      </c>
      <c r="B120" s="16">
        <v>48964709.260000005</v>
      </c>
      <c r="C120" s="16"/>
      <c r="D120" s="16">
        <v>11025275.57895219</v>
      </c>
      <c r="E120" s="16"/>
      <c r="F120" s="16">
        <v>320877.55</v>
      </c>
      <c r="G120" s="16">
        <v>209928.87</v>
      </c>
      <c r="H120" s="16">
        <v>2429030.84</v>
      </c>
      <c r="I120" s="16">
        <v>650452.55000000005</v>
      </c>
      <c r="J120" s="16">
        <v>4881283.540000001</v>
      </c>
      <c r="K120" s="16"/>
      <c r="L120" s="16"/>
      <c r="M120" s="16">
        <v>199.07999999999998</v>
      </c>
      <c r="N120" s="18">
        <f t="shared" si="3"/>
        <v>68481757.268952191</v>
      </c>
      <c r="O120" s="4"/>
    </row>
    <row r="121" spans="1:15" ht="15" x14ac:dyDescent="0.2">
      <c r="A121" s="17" t="s">
        <v>116</v>
      </c>
      <c r="B121" s="16">
        <v>53236155.820000008</v>
      </c>
      <c r="C121" s="16"/>
      <c r="D121" s="16">
        <v>12750599.271816498</v>
      </c>
      <c r="E121" s="16"/>
      <c r="F121" s="16">
        <v>134846.23000000001</v>
      </c>
      <c r="G121" s="16">
        <v>76595.67</v>
      </c>
      <c r="H121" s="16">
        <v>2640927.85</v>
      </c>
      <c r="I121" s="16">
        <v>273347.5</v>
      </c>
      <c r="J121" s="16">
        <v>2679318.4399999995</v>
      </c>
      <c r="K121" s="16"/>
      <c r="L121" s="16"/>
      <c r="M121" s="16">
        <v>83.65</v>
      </c>
      <c r="N121" s="18">
        <f t="shared" si="3"/>
        <v>71791874.431816503</v>
      </c>
      <c r="O121" s="4"/>
    </row>
    <row r="122" spans="1:15" ht="15" x14ac:dyDescent="0.2">
      <c r="A122" s="17" t="s">
        <v>117</v>
      </c>
      <c r="B122" s="16">
        <v>149112141.70000002</v>
      </c>
      <c r="C122" s="16"/>
      <c r="D122" s="16">
        <v>2910657.55</v>
      </c>
      <c r="E122" s="16"/>
      <c r="F122" s="16">
        <v>4059507.08</v>
      </c>
      <c r="G122" s="16">
        <v>1931212.9436747464</v>
      </c>
      <c r="H122" s="16">
        <v>7397123.2800000003</v>
      </c>
      <c r="I122" s="16">
        <v>8229047.6500000004</v>
      </c>
      <c r="J122" s="16">
        <v>12555599.759999994</v>
      </c>
      <c r="K122" s="16"/>
      <c r="L122" s="16"/>
      <c r="M122" s="16">
        <v>2518.7799999999997</v>
      </c>
      <c r="N122" s="18">
        <f t="shared" si="3"/>
        <v>186197808.74367478</v>
      </c>
      <c r="O122" s="4"/>
    </row>
    <row r="123" spans="1:15" ht="15" x14ac:dyDescent="0.2">
      <c r="A123" s="17" t="s">
        <v>118</v>
      </c>
      <c r="B123" s="16">
        <v>399129553.20999998</v>
      </c>
      <c r="C123" s="16"/>
      <c r="D123" s="16">
        <v>6431916.7300000004</v>
      </c>
      <c r="E123" s="16"/>
      <c r="F123" s="16">
        <v>5643067.8399999999</v>
      </c>
      <c r="G123" s="16">
        <v>4972347.1765412837</v>
      </c>
      <c r="H123" s="16">
        <v>19799933.620000001</v>
      </c>
      <c r="I123" s="16">
        <v>11439091.800000001</v>
      </c>
      <c r="J123" s="16">
        <v>16839752.819999997</v>
      </c>
      <c r="K123" s="16"/>
      <c r="L123" s="16"/>
      <c r="M123" s="16">
        <v>3501.33</v>
      </c>
      <c r="N123" s="18">
        <f t="shared" si="3"/>
        <v>464259164.52654123</v>
      </c>
      <c r="O123" s="4"/>
    </row>
    <row r="124" spans="1:15" ht="15" x14ac:dyDescent="0.2">
      <c r="A124" s="17" t="s">
        <v>119</v>
      </c>
      <c r="B124" s="16">
        <v>303848737.52999997</v>
      </c>
      <c r="C124" s="16"/>
      <c r="D124" s="16">
        <v>2816249.2600000002</v>
      </c>
      <c r="E124" s="16"/>
      <c r="F124" s="16">
        <v>7226275.5999999996</v>
      </c>
      <c r="G124" s="16">
        <v>0</v>
      </c>
      <c r="H124" s="16">
        <v>15073263.27</v>
      </c>
      <c r="I124" s="16">
        <v>14648420.380000001</v>
      </c>
      <c r="J124" s="16">
        <v>23507011.280000012</v>
      </c>
      <c r="K124" s="16"/>
      <c r="L124" s="16"/>
      <c r="M124" s="16">
        <v>4483.66</v>
      </c>
      <c r="N124" s="18">
        <f t="shared" si="3"/>
        <v>367124440.98000002</v>
      </c>
      <c r="O124" s="4"/>
    </row>
    <row r="125" spans="1:15" ht="15" x14ac:dyDescent="0.2">
      <c r="A125" s="17" t="s">
        <v>120</v>
      </c>
      <c r="B125" s="16">
        <v>108334371.56000002</v>
      </c>
      <c r="C125" s="16"/>
      <c r="D125" s="16">
        <v>18152302.93790549</v>
      </c>
      <c r="E125" s="16"/>
      <c r="F125" s="16">
        <v>2809884.9</v>
      </c>
      <c r="G125" s="16">
        <v>1323402.92</v>
      </c>
      <c r="H125" s="16">
        <v>5374228.3700000001</v>
      </c>
      <c r="I125" s="16">
        <v>5695932.1100000003</v>
      </c>
      <c r="J125" s="16">
        <v>14626422.870000005</v>
      </c>
      <c r="K125" s="16"/>
      <c r="L125" s="16"/>
      <c r="M125" s="16">
        <v>1743.4200000000003</v>
      </c>
      <c r="N125" s="18">
        <f t="shared" si="3"/>
        <v>156318289.08790553</v>
      </c>
      <c r="O125" s="4"/>
    </row>
    <row r="126" spans="1:15" ht="15" x14ac:dyDescent="0.2">
      <c r="A126" s="17" t="s">
        <v>121</v>
      </c>
      <c r="B126" s="16">
        <v>136473865.28999999</v>
      </c>
      <c r="C126" s="16"/>
      <c r="D126" s="16">
        <v>13054118.339617632</v>
      </c>
      <c r="E126" s="16"/>
      <c r="F126" s="16">
        <v>1406707.45</v>
      </c>
      <c r="G126" s="16">
        <v>536169.67000000004</v>
      </c>
      <c r="H126" s="16">
        <v>6770166.3600000003</v>
      </c>
      <c r="I126" s="16">
        <v>2851543.9</v>
      </c>
      <c r="J126" s="16">
        <v>9669926.3100000024</v>
      </c>
      <c r="K126" s="16"/>
      <c r="L126" s="16"/>
      <c r="M126" s="16">
        <v>872.80000000000007</v>
      </c>
      <c r="N126" s="18">
        <f t="shared" si="3"/>
        <v>170763370.11961764</v>
      </c>
      <c r="O126" s="4"/>
    </row>
    <row r="127" spans="1:15" ht="15" x14ac:dyDescent="0.2">
      <c r="A127" s="17" t="s">
        <v>122</v>
      </c>
      <c r="B127" s="16">
        <v>64435306.88000001</v>
      </c>
      <c r="C127" s="16"/>
      <c r="D127" s="16">
        <v>4812759.37841924</v>
      </c>
      <c r="E127" s="16"/>
      <c r="F127" s="16">
        <v>1493192.6</v>
      </c>
      <c r="G127" s="16">
        <v>540424.99</v>
      </c>
      <c r="H127" s="16">
        <v>3196492.94</v>
      </c>
      <c r="I127" s="16">
        <v>3026858.4</v>
      </c>
      <c r="J127" s="16">
        <v>9934927.4800000004</v>
      </c>
      <c r="K127" s="16"/>
      <c r="L127" s="16"/>
      <c r="M127" s="16">
        <v>926.46</v>
      </c>
      <c r="N127" s="18">
        <f t="shared" si="3"/>
        <v>87440889.128419235</v>
      </c>
      <c r="O127" s="4"/>
    </row>
    <row r="128" spans="1:15" ht="15" x14ac:dyDescent="0.2">
      <c r="A128" s="17" t="s">
        <v>123</v>
      </c>
      <c r="B128" s="16">
        <v>39283146.510000005</v>
      </c>
      <c r="C128" s="16"/>
      <c r="D128" s="16">
        <v>5134558.0564180892</v>
      </c>
      <c r="E128" s="16"/>
      <c r="F128" s="16">
        <v>136611.23000000001</v>
      </c>
      <c r="G128" s="16">
        <v>92198.49</v>
      </c>
      <c r="H128" s="16">
        <v>1948749.95</v>
      </c>
      <c r="I128" s="16">
        <v>276925.34000000003</v>
      </c>
      <c r="J128" s="16">
        <v>2336188.5100000002</v>
      </c>
      <c r="K128" s="16"/>
      <c r="L128" s="16"/>
      <c r="M128" s="16">
        <v>84.740000000000009</v>
      </c>
      <c r="N128" s="18">
        <f t="shared" si="3"/>
        <v>49208462.826418102</v>
      </c>
      <c r="O128" s="4"/>
    </row>
    <row r="129" spans="1:15" ht="15" x14ac:dyDescent="0.2">
      <c r="A129" s="17" t="s">
        <v>124</v>
      </c>
      <c r="B129" s="16">
        <v>203155891.91999999</v>
      </c>
      <c r="C129" s="16"/>
      <c r="D129" s="16">
        <v>42814698.98775775</v>
      </c>
      <c r="E129" s="16"/>
      <c r="F129" s="16">
        <v>1737469.03</v>
      </c>
      <c r="G129" s="16">
        <v>1124821.56</v>
      </c>
      <c r="H129" s="16">
        <v>10078114.09</v>
      </c>
      <c r="I129" s="16">
        <v>3522032.39</v>
      </c>
      <c r="J129" s="16">
        <v>15071636.759999994</v>
      </c>
      <c r="K129" s="16"/>
      <c r="L129" s="16"/>
      <c r="M129" s="16">
        <v>1078.0300000000002</v>
      </c>
      <c r="N129" s="18">
        <f t="shared" si="3"/>
        <v>277505742.76775771</v>
      </c>
      <c r="O129" s="4"/>
    </row>
    <row r="130" spans="1:15" ht="15" x14ac:dyDescent="0.2">
      <c r="A130" s="17" t="s">
        <v>125</v>
      </c>
      <c r="B130" s="16">
        <v>63620057.679999992</v>
      </c>
      <c r="C130" s="16"/>
      <c r="D130" s="16">
        <v>12461082.921492271</v>
      </c>
      <c r="E130" s="16"/>
      <c r="F130" s="16">
        <v>214977.37</v>
      </c>
      <c r="G130" s="16">
        <v>83687.86</v>
      </c>
      <c r="H130" s="16">
        <v>3156050.24</v>
      </c>
      <c r="I130" s="16">
        <v>435781.74</v>
      </c>
      <c r="J130" s="16">
        <v>3961184.790000001</v>
      </c>
      <c r="K130" s="16"/>
      <c r="L130" s="16"/>
      <c r="M130" s="16">
        <v>133.37</v>
      </c>
      <c r="N130" s="18">
        <f t="shared" si="3"/>
        <v>83932955.971492261</v>
      </c>
      <c r="O130" s="4"/>
    </row>
    <row r="131" spans="1:15" ht="15" x14ac:dyDescent="0.2">
      <c r="A131" s="17" t="s">
        <v>126</v>
      </c>
      <c r="B131" s="16">
        <v>299217509.64999998</v>
      </c>
      <c r="C131" s="16"/>
      <c r="D131" s="16">
        <v>9816411.625</v>
      </c>
      <c r="E131" s="16"/>
      <c r="F131" s="16">
        <v>9492539.5600000005</v>
      </c>
      <c r="G131" s="16">
        <v>973065.08643705957</v>
      </c>
      <c r="H131" s="16">
        <v>14843518.300000001</v>
      </c>
      <c r="I131" s="16">
        <v>19242375.68</v>
      </c>
      <c r="J131" s="16">
        <v>31815368.90000001</v>
      </c>
      <c r="K131" s="16"/>
      <c r="L131" s="16"/>
      <c r="M131" s="16">
        <v>5889.81</v>
      </c>
      <c r="N131" s="18">
        <f t="shared" si="3"/>
        <v>385406678.61143708</v>
      </c>
      <c r="O131" s="4"/>
    </row>
    <row r="132" spans="1:15" ht="15" x14ac:dyDescent="0.2">
      <c r="A132" s="17" t="s">
        <v>127</v>
      </c>
      <c r="B132" s="16">
        <v>13292772.16</v>
      </c>
      <c r="C132" s="16"/>
      <c r="D132" s="16">
        <v>1423686.6246437102</v>
      </c>
      <c r="E132" s="16"/>
      <c r="F132" s="16">
        <v>40595.07</v>
      </c>
      <c r="G132" s="16">
        <v>15602.82</v>
      </c>
      <c r="H132" s="16">
        <v>659425.01</v>
      </c>
      <c r="I132" s="16">
        <v>82290.48</v>
      </c>
      <c r="J132" s="16">
        <v>1144743.5400000003</v>
      </c>
      <c r="K132" s="16"/>
      <c r="L132" s="16"/>
      <c r="M132" s="16">
        <v>25.169999999999998</v>
      </c>
      <c r="N132" s="18">
        <f t="shared" si="3"/>
        <v>16659140.874643711</v>
      </c>
      <c r="O132" s="4"/>
    </row>
    <row r="133" spans="1:15" ht="15" x14ac:dyDescent="0.2">
      <c r="A133" s="17" t="s">
        <v>128</v>
      </c>
      <c r="B133" s="16">
        <v>74335034.949999988</v>
      </c>
      <c r="C133" s="16"/>
      <c r="D133" s="16">
        <v>7803114.1273554089</v>
      </c>
      <c r="E133" s="16"/>
      <c r="F133" s="16">
        <v>146848.25</v>
      </c>
      <c r="G133" s="16">
        <v>114893.5</v>
      </c>
      <c r="H133" s="16">
        <v>3687596.54</v>
      </c>
      <c r="I133" s="16">
        <v>297676.84999999998</v>
      </c>
      <c r="J133" s="16">
        <v>4160416.13</v>
      </c>
      <c r="K133" s="16"/>
      <c r="L133" s="16"/>
      <c r="M133" s="16">
        <v>91.089999999999989</v>
      </c>
      <c r="N133" s="18">
        <f t="shared" si="3"/>
        <v>90545671.437355399</v>
      </c>
      <c r="O133" s="4"/>
    </row>
    <row r="134" spans="1:15" ht="15" x14ac:dyDescent="0.2">
      <c r="A134" s="17" t="s">
        <v>129</v>
      </c>
      <c r="B134" s="16">
        <v>145715270.01000002</v>
      </c>
      <c r="C134" s="16"/>
      <c r="D134" s="16">
        <v>28206388.948273726</v>
      </c>
      <c r="E134" s="16"/>
      <c r="F134" s="16">
        <v>685174.19</v>
      </c>
      <c r="G134" s="16">
        <v>390070.53</v>
      </c>
      <c r="H134" s="16">
        <v>7228611.9900000002</v>
      </c>
      <c r="I134" s="16">
        <v>1388920.13</v>
      </c>
      <c r="J134" s="16">
        <v>9589478.2200000007</v>
      </c>
      <c r="K134" s="16"/>
      <c r="L134" s="16"/>
      <c r="M134" s="16">
        <v>425.11</v>
      </c>
      <c r="N134" s="18">
        <f t="shared" si="3"/>
        <v>193204339.12827376</v>
      </c>
      <c r="O134" s="4"/>
    </row>
    <row r="135" spans="1:15" ht="15" x14ac:dyDescent="0.2">
      <c r="A135" s="17" t="s">
        <v>130</v>
      </c>
      <c r="B135" s="16">
        <v>122092180.36999997</v>
      </c>
      <c r="C135" s="16"/>
      <c r="D135" s="16">
        <v>34308782.826287486</v>
      </c>
      <c r="E135" s="16"/>
      <c r="F135" s="16">
        <v>1031467.79</v>
      </c>
      <c r="G135" s="16">
        <v>519148.41</v>
      </c>
      <c r="H135" s="16">
        <v>6056722.7999999998</v>
      </c>
      <c r="I135" s="16">
        <v>2090893.67</v>
      </c>
      <c r="J135" s="16">
        <v>9785760.7599999979</v>
      </c>
      <c r="K135" s="16"/>
      <c r="L135" s="16"/>
      <c r="M135" s="16">
        <v>639.97</v>
      </c>
      <c r="N135" s="18">
        <f t="shared" si="3"/>
        <v>175885596.59628743</v>
      </c>
      <c r="O135" s="4"/>
    </row>
    <row r="136" spans="1:15" ht="15" x14ac:dyDescent="0.2">
      <c r="A136" s="17" t="s">
        <v>131</v>
      </c>
      <c r="B136" s="16">
        <v>207785206.05999997</v>
      </c>
      <c r="C136" s="16"/>
      <c r="D136" s="16">
        <v>4102065.0700000008</v>
      </c>
      <c r="E136" s="16"/>
      <c r="F136" s="16">
        <v>6136915.7000000002</v>
      </c>
      <c r="G136" s="16">
        <v>3583924.9886580072</v>
      </c>
      <c r="H136" s="16">
        <v>10307764.119999999</v>
      </c>
      <c r="I136" s="16">
        <v>12440173.33</v>
      </c>
      <c r="J136" s="16">
        <v>22475087.080000002</v>
      </c>
      <c r="K136" s="16"/>
      <c r="L136" s="16"/>
      <c r="M136" s="16">
        <v>3807.75</v>
      </c>
      <c r="N136" s="18">
        <f t="shared" ref="N136:N142" si="4">SUM(B136:M136)</f>
        <v>266834944.098658</v>
      </c>
      <c r="O136" s="4"/>
    </row>
    <row r="137" spans="1:15" ht="15" x14ac:dyDescent="0.2">
      <c r="A137" s="17" t="s">
        <v>132</v>
      </c>
      <c r="B137" s="16">
        <v>35189676.929999992</v>
      </c>
      <c r="C137" s="16"/>
      <c r="D137" s="16">
        <v>4734566.3110466991</v>
      </c>
      <c r="E137" s="16"/>
      <c r="F137" s="16">
        <v>73424.12</v>
      </c>
      <c r="G137" s="16">
        <v>79432.539999999994</v>
      </c>
      <c r="H137" s="16">
        <v>1745681.98</v>
      </c>
      <c r="I137" s="16">
        <v>148838.43</v>
      </c>
      <c r="J137" s="16">
        <v>2150591.7600000002</v>
      </c>
      <c r="K137" s="16"/>
      <c r="L137" s="16"/>
      <c r="M137" s="16">
        <v>45.53</v>
      </c>
      <c r="N137" s="18">
        <f t="shared" si="4"/>
        <v>44122257.601046681</v>
      </c>
      <c r="O137" s="4"/>
    </row>
    <row r="138" spans="1:15" ht="15" x14ac:dyDescent="0.2">
      <c r="A138" s="17" t="s">
        <v>133</v>
      </c>
      <c r="B138" s="16">
        <v>75349312.120000005</v>
      </c>
      <c r="C138" s="16"/>
      <c r="D138" s="16">
        <v>23102940.81477306</v>
      </c>
      <c r="E138" s="16"/>
      <c r="F138" s="16">
        <v>639284.11</v>
      </c>
      <c r="G138" s="16">
        <v>324822.37</v>
      </c>
      <c r="H138" s="16">
        <v>3737912.58</v>
      </c>
      <c r="I138" s="16">
        <v>1295896.1100000001</v>
      </c>
      <c r="J138" s="16">
        <v>8004523.8700000029</v>
      </c>
      <c r="K138" s="16"/>
      <c r="L138" s="16"/>
      <c r="M138" s="16">
        <v>396.64000000000004</v>
      </c>
      <c r="N138" s="18">
        <f t="shared" si="4"/>
        <v>112455088.61477306</v>
      </c>
      <c r="O138" s="4"/>
    </row>
    <row r="139" spans="1:15" ht="15" x14ac:dyDescent="0.2">
      <c r="A139" s="17" t="s">
        <v>134</v>
      </c>
      <c r="B139" s="16">
        <v>352763689.93000001</v>
      </c>
      <c r="C139" s="16"/>
      <c r="D139" s="16">
        <v>4986539.0299999993</v>
      </c>
      <c r="E139" s="16"/>
      <c r="F139" s="16">
        <v>3287847.73</v>
      </c>
      <c r="G139" s="16">
        <v>3289456.3126965365</v>
      </c>
      <c r="H139" s="16">
        <v>17499825.699999999</v>
      </c>
      <c r="I139" s="16">
        <v>6664813.0099999998</v>
      </c>
      <c r="J139" s="16">
        <v>14500797.339999996</v>
      </c>
      <c r="K139" s="16"/>
      <c r="L139" s="16"/>
      <c r="M139" s="16">
        <v>2040.0000000000002</v>
      </c>
      <c r="N139" s="18">
        <f t="shared" si="4"/>
        <v>402995009.05269647</v>
      </c>
      <c r="O139" s="4"/>
    </row>
    <row r="140" spans="1:15" ht="15" x14ac:dyDescent="0.2">
      <c r="A140" s="17" t="s">
        <v>135</v>
      </c>
      <c r="B140" s="16">
        <v>91792084.840000004</v>
      </c>
      <c r="C140" s="16"/>
      <c r="D140" s="16">
        <v>594112.1399999999</v>
      </c>
      <c r="E140" s="16"/>
      <c r="F140" s="16">
        <v>542208.93999999994</v>
      </c>
      <c r="G140" s="16">
        <v>287942.96999999997</v>
      </c>
      <c r="H140" s="16">
        <v>4553602.1399999997</v>
      </c>
      <c r="I140" s="16">
        <v>1099114.54</v>
      </c>
      <c r="J140" s="16">
        <v>3659223.1099999994</v>
      </c>
      <c r="K140" s="16"/>
      <c r="L140" s="16"/>
      <c r="M140" s="16">
        <v>336.41</v>
      </c>
      <c r="N140" s="18">
        <f t="shared" si="4"/>
        <v>102528625.09</v>
      </c>
      <c r="O140" s="4"/>
    </row>
    <row r="141" spans="1:15" ht="15" x14ac:dyDescent="0.2">
      <c r="A141" s="17" t="s">
        <v>136</v>
      </c>
      <c r="B141" s="16">
        <v>113549287.25</v>
      </c>
      <c r="C141" s="16"/>
      <c r="D141" s="16">
        <v>9699932.2069609296</v>
      </c>
      <c r="E141" s="16"/>
      <c r="F141" s="16">
        <v>781896.36</v>
      </c>
      <c r="G141" s="16">
        <v>280850.78000000003</v>
      </c>
      <c r="H141" s="16">
        <v>5632928.79</v>
      </c>
      <c r="I141" s="16">
        <v>1584986.13</v>
      </c>
      <c r="J141" s="16">
        <v>9966072.8500000034</v>
      </c>
      <c r="K141" s="16"/>
      <c r="L141" s="16"/>
      <c r="M141" s="16">
        <v>485.13</v>
      </c>
      <c r="N141" s="18">
        <f t="shared" si="4"/>
        <v>141496439.49696094</v>
      </c>
      <c r="O141" s="4"/>
    </row>
    <row r="142" spans="1:15" ht="15" x14ac:dyDescent="0.2">
      <c r="A142" s="17" t="s">
        <v>137</v>
      </c>
      <c r="B142" s="16">
        <v>107586102.91</v>
      </c>
      <c r="C142" s="16"/>
      <c r="D142" s="16">
        <v>10638112.610980552</v>
      </c>
      <c r="E142" s="16"/>
      <c r="F142" s="16">
        <v>3361624.86</v>
      </c>
      <c r="G142" s="16">
        <v>1036878.39</v>
      </c>
      <c r="H142" s="16">
        <v>5337108.41</v>
      </c>
      <c r="I142" s="16">
        <v>6814367.0199999996</v>
      </c>
      <c r="J142" s="16">
        <v>13405439.169999996</v>
      </c>
      <c r="K142" s="16"/>
      <c r="L142" s="16"/>
      <c r="M142" s="16">
        <v>2085.7599999999998</v>
      </c>
      <c r="N142" s="18">
        <f t="shared" si="4"/>
        <v>148181719.13098052</v>
      </c>
      <c r="O142" s="4"/>
    </row>
    <row r="143" spans="1:15" ht="24.75" customHeight="1" x14ac:dyDescent="0.2">
      <c r="A143" s="19" t="s">
        <v>138</v>
      </c>
      <c r="B143" s="20">
        <f t="shared" ref="B143:I143" si="5">SUM(B8:B142)</f>
        <v>19137305299.510002</v>
      </c>
      <c r="C143" s="20"/>
      <c r="D143" s="20">
        <f t="shared" si="5"/>
        <v>1626813680.3556461</v>
      </c>
      <c r="E143" s="20">
        <f t="shared" si="5"/>
        <v>0</v>
      </c>
      <c r="F143" s="20">
        <f t="shared" si="5"/>
        <v>353000615.8499999</v>
      </c>
      <c r="G143" s="20">
        <f t="shared" si="5"/>
        <v>141843828.88</v>
      </c>
      <c r="H143" s="20">
        <f t="shared" si="5"/>
        <v>949359353.63999999</v>
      </c>
      <c r="I143" s="20">
        <f t="shared" si="5"/>
        <v>715569360.63999999</v>
      </c>
      <c r="J143" s="20">
        <f t="shared" ref="J143:N143" si="6">SUM(J8:J142)</f>
        <v>1656671664.4999993</v>
      </c>
      <c r="K143" s="20">
        <f t="shared" si="6"/>
        <v>0</v>
      </c>
      <c r="L143" s="20">
        <f t="shared" si="6"/>
        <v>0</v>
      </c>
      <c r="M143" s="20">
        <f t="shared" si="6"/>
        <v>219023.45999999996</v>
      </c>
      <c r="N143" s="20">
        <f t="shared" si="6"/>
        <v>24580782826.835651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  <c r="N145" s="8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rgb="FF44AEAC"/>
  </sheetPr>
  <dimension ref="A1:O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2.33203125" style="1" customWidth="1"/>
    <col min="3" max="3" width="22.33203125" style="1" hidden="1" customWidth="1"/>
    <col min="4" max="4" width="22.33203125" style="1" customWidth="1"/>
    <col min="5" max="5" width="22.33203125" style="1" hidden="1" customWidth="1"/>
    <col min="6" max="10" width="22.33203125" style="1" customWidth="1"/>
    <col min="11" max="12" width="22.33203125" style="1" hidden="1" customWidth="1"/>
    <col min="13" max="13" width="22.33203125" style="1" customWidth="1"/>
    <col min="14" max="14" width="23.83203125" style="1" customWidth="1"/>
    <col min="15" max="15" width="12" style="1" customWidth="1"/>
    <col min="16" max="16384" width="12" style="1"/>
  </cols>
  <sheetData>
    <row r="1" spans="1:1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7.25" customHeight="1" x14ac:dyDescent="0.25">
      <c r="A3" s="2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7.25" customHeight="1" x14ac:dyDescent="0.25">
      <c r="A4" s="23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5" ht="18.75" customHeight="1" x14ac:dyDescent="0.2">
      <c r="A6" s="28" t="s">
        <v>2</v>
      </c>
      <c r="B6" s="29" t="s">
        <v>155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5" ht="60" customHeight="1" x14ac:dyDescent="0.2">
      <c r="A7" s="28"/>
      <c r="B7" s="21" t="s">
        <v>139</v>
      </c>
      <c r="C7" s="21" t="s">
        <v>151</v>
      </c>
      <c r="D7" s="21" t="s">
        <v>143</v>
      </c>
      <c r="E7" s="21" t="s">
        <v>141</v>
      </c>
      <c r="F7" s="27" t="s">
        <v>150</v>
      </c>
      <c r="G7" s="21" t="s">
        <v>144</v>
      </c>
      <c r="H7" s="21" t="s">
        <v>146</v>
      </c>
      <c r="I7" s="21" t="s">
        <v>145</v>
      </c>
      <c r="J7" s="21" t="s">
        <v>147</v>
      </c>
      <c r="K7" s="21" t="s">
        <v>148</v>
      </c>
      <c r="L7" s="21" t="s">
        <v>149</v>
      </c>
      <c r="M7" s="21" t="s">
        <v>142</v>
      </c>
      <c r="N7" s="22" t="s">
        <v>140</v>
      </c>
    </row>
    <row r="8" spans="1:15" ht="18" customHeight="1" x14ac:dyDescent="0.2">
      <c r="A8" s="17" t="s">
        <v>3</v>
      </c>
      <c r="B8" s="16">
        <v>77578866.25</v>
      </c>
      <c r="C8" s="16">
        <v>0</v>
      </c>
      <c r="D8" s="16">
        <v>2621730.4310398907</v>
      </c>
      <c r="E8" s="16">
        <v>0</v>
      </c>
      <c r="F8" s="16">
        <v>349493.86</v>
      </c>
      <c r="G8" s="16">
        <v>170532.88</v>
      </c>
      <c r="H8" s="16">
        <v>4274785.67</v>
      </c>
      <c r="I8" s="16">
        <v>661618.76</v>
      </c>
      <c r="J8" s="16">
        <v>5840288.1600000001</v>
      </c>
      <c r="K8" s="16">
        <v>0</v>
      </c>
      <c r="L8" s="16">
        <v>0</v>
      </c>
      <c r="M8" s="16">
        <v>201.15000000000003</v>
      </c>
      <c r="N8" s="18">
        <f t="shared" ref="N8:N39" si="0">SUM(B8:M8)</f>
        <v>91497517.161039889</v>
      </c>
      <c r="O8" s="4"/>
    </row>
    <row r="9" spans="1:15" ht="18" customHeight="1" x14ac:dyDescent="0.2">
      <c r="A9" s="17" t="s">
        <v>4</v>
      </c>
      <c r="B9" s="16">
        <v>48365531.079999998</v>
      </c>
      <c r="C9" s="16">
        <v>0</v>
      </c>
      <c r="D9" s="16">
        <v>1802993.7184702842</v>
      </c>
      <c r="E9" s="16">
        <v>0</v>
      </c>
      <c r="F9" s="16">
        <v>244862.78</v>
      </c>
      <c r="G9" s="16">
        <v>120468.18</v>
      </c>
      <c r="H9" s="16">
        <v>2665059.31</v>
      </c>
      <c r="I9" s="16">
        <v>463544.08</v>
      </c>
      <c r="J9" s="16">
        <v>4383370.1100000013</v>
      </c>
      <c r="K9" s="16">
        <v>0</v>
      </c>
      <c r="L9" s="16">
        <v>0</v>
      </c>
      <c r="M9" s="16">
        <v>140.94</v>
      </c>
      <c r="N9" s="18">
        <f t="shared" si="0"/>
        <v>58045970.19847028</v>
      </c>
      <c r="O9" s="4"/>
    </row>
    <row r="10" spans="1:15" ht="18" customHeight="1" x14ac:dyDescent="0.2">
      <c r="A10" s="17" t="s">
        <v>5</v>
      </c>
      <c r="B10" s="16">
        <v>35544606.789999999</v>
      </c>
      <c r="C10" s="16">
        <v>0</v>
      </c>
      <c r="D10" s="16">
        <v>1017230.1596179008</v>
      </c>
      <c r="E10" s="16">
        <v>0</v>
      </c>
      <c r="F10" s="16">
        <v>171056.62</v>
      </c>
      <c r="G10" s="16">
        <v>106387.48</v>
      </c>
      <c r="H10" s="16">
        <v>1958594.96</v>
      </c>
      <c r="I10" s="16">
        <v>323823.34000000003</v>
      </c>
      <c r="J10" s="16">
        <v>2590873.9500000002</v>
      </c>
      <c r="K10" s="16">
        <v>0</v>
      </c>
      <c r="L10" s="16">
        <v>0</v>
      </c>
      <c r="M10" s="16">
        <v>98.44</v>
      </c>
      <c r="N10" s="18">
        <f t="shared" si="0"/>
        <v>41712671.739617899</v>
      </c>
      <c r="O10" s="4"/>
    </row>
    <row r="11" spans="1:15" ht="18" customHeight="1" x14ac:dyDescent="0.2">
      <c r="A11" s="17" t="s">
        <v>6</v>
      </c>
      <c r="B11" s="16">
        <v>411609873.84000003</v>
      </c>
      <c r="C11" s="16">
        <v>0</v>
      </c>
      <c r="D11" s="16">
        <v>3932527.8000297421</v>
      </c>
      <c r="E11" s="16">
        <v>0</v>
      </c>
      <c r="F11" s="16">
        <v>18360367.109999999</v>
      </c>
      <c r="G11" s="16">
        <v>9395195.0562460423</v>
      </c>
      <c r="H11" s="16">
        <v>22680712.879999999</v>
      </c>
      <c r="I11" s="16">
        <v>34757586.890000001</v>
      </c>
      <c r="J11" s="16">
        <v>48761921.25</v>
      </c>
      <c r="K11" s="16">
        <v>0</v>
      </c>
      <c r="L11" s="16">
        <v>0</v>
      </c>
      <c r="M11" s="16">
        <v>10569.02</v>
      </c>
      <c r="N11" s="18">
        <f t="shared" si="0"/>
        <v>549508753.84627581</v>
      </c>
      <c r="O11" s="4"/>
    </row>
    <row r="12" spans="1:15" ht="18" customHeight="1" x14ac:dyDescent="0.2">
      <c r="A12" s="17" t="s">
        <v>7</v>
      </c>
      <c r="B12" s="16">
        <v>61780383.269999996</v>
      </c>
      <c r="C12" s="16">
        <v>0</v>
      </c>
      <c r="D12" s="16">
        <v>1746629.8440198896</v>
      </c>
      <c r="E12" s="16">
        <v>0</v>
      </c>
      <c r="F12" s="16">
        <v>627786.49</v>
      </c>
      <c r="G12" s="16">
        <v>291001.06</v>
      </c>
      <c r="H12" s="16">
        <v>3404250.54</v>
      </c>
      <c r="I12" s="16">
        <v>1188448.1100000001</v>
      </c>
      <c r="J12" s="16">
        <v>5260190.4599999972</v>
      </c>
      <c r="K12" s="16">
        <v>0</v>
      </c>
      <c r="L12" s="16">
        <v>0</v>
      </c>
      <c r="M12" s="16">
        <v>361.36</v>
      </c>
      <c r="N12" s="18">
        <f t="shared" si="0"/>
        <v>74299051.134019881</v>
      </c>
      <c r="O12" s="4"/>
    </row>
    <row r="13" spans="1:15" ht="18" customHeight="1" x14ac:dyDescent="0.2">
      <c r="A13" s="17" t="s">
        <v>8</v>
      </c>
      <c r="B13" s="16">
        <v>249774411.46999997</v>
      </c>
      <c r="C13" s="16">
        <v>0</v>
      </c>
      <c r="D13" s="16">
        <v>3376433.1663666614</v>
      </c>
      <c r="E13" s="16">
        <v>0</v>
      </c>
      <c r="F13" s="16">
        <v>8928374.3100000005</v>
      </c>
      <c r="G13" s="16">
        <v>2792259.7520182785</v>
      </c>
      <c r="H13" s="16">
        <v>13763182.25</v>
      </c>
      <c r="I13" s="16">
        <v>16902099.18</v>
      </c>
      <c r="J13" s="16">
        <v>37491776.490000002</v>
      </c>
      <c r="K13" s="16">
        <v>0</v>
      </c>
      <c r="L13" s="16">
        <v>0</v>
      </c>
      <c r="M13" s="16">
        <v>5139.54</v>
      </c>
      <c r="N13" s="18">
        <f t="shared" si="0"/>
        <v>333033676.15838492</v>
      </c>
      <c r="O13" s="4"/>
    </row>
    <row r="14" spans="1:15" ht="18" customHeight="1" x14ac:dyDescent="0.2">
      <c r="A14" s="17" t="s">
        <v>9</v>
      </c>
      <c r="B14" s="16">
        <v>90520555.849999994</v>
      </c>
      <c r="C14" s="16">
        <v>0</v>
      </c>
      <c r="D14" s="16">
        <v>3124213.1974606942</v>
      </c>
      <c r="E14" s="16">
        <v>0</v>
      </c>
      <c r="F14" s="16">
        <v>406368.02</v>
      </c>
      <c r="G14" s="16">
        <v>203387.84</v>
      </c>
      <c r="H14" s="16">
        <v>4987904.49</v>
      </c>
      <c r="I14" s="16">
        <v>769285.91</v>
      </c>
      <c r="J14" s="16">
        <v>7545827.3100000024</v>
      </c>
      <c r="K14" s="16">
        <v>0</v>
      </c>
      <c r="L14" s="16">
        <v>0</v>
      </c>
      <c r="M14" s="16">
        <v>233.90000000000003</v>
      </c>
      <c r="N14" s="18">
        <f t="shared" si="0"/>
        <v>107557776.51746069</v>
      </c>
      <c r="O14" s="4"/>
    </row>
    <row r="15" spans="1:15" ht="18" customHeight="1" x14ac:dyDescent="0.2">
      <c r="A15" s="17" t="s">
        <v>10</v>
      </c>
      <c r="B15" s="16">
        <v>147521799.15000001</v>
      </c>
      <c r="C15" s="16">
        <v>0</v>
      </c>
      <c r="D15" s="16">
        <v>4240248.4971491592</v>
      </c>
      <c r="E15" s="16">
        <v>0</v>
      </c>
      <c r="F15" s="16">
        <v>1513894.54</v>
      </c>
      <c r="G15" s="16">
        <v>653970.12</v>
      </c>
      <c r="H15" s="16">
        <v>8128812.7000000002</v>
      </c>
      <c r="I15" s="16">
        <v>2865918.79</v>
      </c>
      <c r="J15" s="16">
        <v>12598705.559999997</v>
      </c>
      <c r="K15" s="16">
        <v>0</v>
      </c>
      <c r="L15" s="16">
        <v>0</v>
      </c>
      <c r="M15" s="16">
        <v>871.43000000000006</v>
      </c>
      <c r="N15" s="18">
        <f t="shared" si="0"/>
        <v>177524220.78714916</v>
      </c>
      <c r="O15" s="4"/>
    </row>
    <row r="16" spans="1:15" ht="18" customHeight="1" x14ac:dyDescent="0.2">
      <c r="A16" s="17" t="s">
        <v>11</v>
      </c>
      <c r="B16" s="16">
        <v>272680232.01999998</v>
      </c>
      <c r="C16" s="16">
        <v>0</v>
      </c>
      <c r="D16" s="16">
        <v>7877693.4614356747</v>
      </c>
      <c r="E16" s="16">
        <v>0</v>
      </c>
      <c r="F16" s="16">
        <v>5646171.0599999996</v>
      </c>
      <c r="G16" s="16">
        <v>3019527.12</v>
      </c>
      <c r="H16" s="16">
        <v>15025349.109999999</v>
      </c>
      <c r="I16" s="16">
        <v>10688636.02</v>
      </c>
      <c r="J16" s="16">
        <v>31231809.839999989</v>
      </c>
      <c r="K16" s="16">
        <v>0</v>
      </c>
      <c r="L16" s="16">
        <v>0</v>
      </c>
      <c r="M16" s="16">
        <v>3250.16</v>
      </c>
      <c r="N16" s="18">
        <f t="shared" si="0"/>
        <v>346172668.79143566</v>
      </c>
      <c r="O16" s="4"/>
    </row>
    <row r="17" spans="1:15" ht="15" x14ac:dyDescent="0.2">
      <c r="A17" s="17" t="s">
        <v>12</v>
      </c>
      <c r="B17" s="16">
        <v>97978310.919999987</v>
      </c>
      <c r="C17" s="16">
        <v>0</v>
      </c>
      <c r="D17" s="16">
        <v>4017979.5549625736</v>
      </c>
      <c r="E17" s="16">
        <v>0</v>
      </c>
      <c r="F17" s="16">
        <v>1159624.98</v>
      </c>
      <c r="G17" s="16">
        <v>438066.11</v>
      </c>
      <c r="H17" s="16">
        <v>5398845.0700000003</v>
      </c>
      <c r="I17" s="16">
        <v>2195259.27</v>
      </c>
      <c r="J17" s="16">
        <v>8613407.4599999972</v>
      </c>
      <c r="K17" s="16">
        <v>0</v>
      </c>
      <c r="L17" s="16">
        <v>0</v>
      </c>
      <c r="M17" s="16">
        <v>667.5</v>
      </c>
      <c r="N17" s="18">
        <f t="shared" si="0"/>
        <v>119802160.86496255</v>
      </c>
      <c r="O17" s="4"/>
    </row>
    <row r="18" spans="1:15" ht="15" x14ac:dyDescent="0.2">
      <c r="A18" s="17" t="s">
        <v>13</v>
      </c>
      <c r="B18" s="16">
        <v>60069870.82</v>
      </c>
      <c r="C18" s="16">
        <v>0</v>
      </c>
      <c r="D18" s="16">
        <v>1744395.9669440628</v>
      </c>
      <c r="E18" s="16">
        <v>0</v>
      </c>
      <c r="F18" s="16">
        <v>781476.96</v>
      </c>
      <c r="G18" s="16">
        <v>328549.58</v>
      </c>
      <c r="H18" s="16">
        <v>3309997.11</v>
      </c>
      <c r="I18" s="16">
        <v>1479395.99</v>
      </c>
      <c r="J18" s="16">
        <v>6954908.0999999978</v>
      </c>
      <c r="K18" s="16">
        <v>0</v>
      </c>
      <c r="L18" s="16">
        <v>0</v>
      </c>
      <c r="M18" s="16">
        <v>449.84</v>
      </c>
      <c r="N18" s="18">
        <f t="shared" si="0"/>
        <v>74669044.36694406</v>
      </c>
      <c r="O18" s="4"/>
    </row>
    <row r="19" spans="1:15" ht="15" x14ac:dyDescent="0.2">
      <c r="A19" s="17" t="s">
        <v>14</v>
      </c>
      <c r="B19" s="16">
        <v>100490626.03</v>
      </c>
      <c r="C19" s="16">
        <v>0</v>
      </c>
      <c r="D19" s="16">
        <v>2662032.3346190867</v>
      </c>
      <c r="E19" s="16">
        <v>0</v>
      </c>
      <c r="F19" s="16">
        <v>315629.86</v>
      </c>
      <c r="G19" s="16">
        <v>203387.84</v>
      </c>
      <c r="H19" s="16">
        <v>5537279.79</v>
      </c>
      <c r="I19" s="16">
        <v>597511.6</v>
      </c>
      <c r="J19" s="16">
        <v>5908934.4300000006</v>
      </c>
      <c r="K19" s="16">
        <v>0</v>
      </c>
      <c r="L19" s="16">
        <v>0</v>
      </c>
      <c r="M19" s="16">
        <v>181.67000000000002</v>
      </c>
      <c r="N19" s="18">
        <f t="shared" si="0"/>
        <v>115715583.5546191</v>
      </c>
      <c r="O19" s="4"/>
    </row>
    <row r="20" spans="1:15" ht="15" x14ac:dyDescent="0.2">
      <c r="A20" s="17" t="s">
        <v>15</v>
      </c>
      <c r="B20" s="16">
        <v>333443018.85999995</v>
      </c>
      <c r="C20" s="16">
        <v>0</v>
      </c>
      <c r="D20" s="16">
        <v>2819290.9140132293</v>
      </c>
      <c r="E20" s="16">
        <v>0</v>
      </c>
      <c r="F20" s="16">
        <v>10074106.369999999</v>
      </c>
      <c r="G20" s="16">
        <v>5119669.2320058905</v>
      </c>
      <c r="H20" s="16">
        <v>18373527.59</v>
      </c>
      <c r="I20" s="16">
        <v>19071058.079999998</v>
      </c>
      <c r="J20" s="16">
        <v>33974771.460000016</v>
      </c>
      <c r="K20" s="16">
        <v>0</v>
      </c>
      <c r="L20" s="16">
        <v>0</v>
      </c>
      <c r="M20" s="16">
        <v>5799.08</v>
      </c>
      <c r="N20" s="18">
        <f t="shared" si="0"/>
        <v>422881241.58601904</v>
      </c>
      <c r="O20" s="4"/>
    </row>
    <row r="21" spans="1:15" ht="15" x14ac:dyDescent="0.2">
      <c r="A21" s="17" t="s">
        <v>16</v>
      </c>
      <c r="B21" s="16">
        <v>144851103.21999997</v>
      </c>
      <c r="C21" s="16">
        <v>0</v>
      </c>
      <c r="D21" s="16">
        <v>2685685.4016389251</v>
      </c>
      <c r="E21" s="16">
        <v>0</v>
      </c>
      <c r="F21" s="16">
        <v>2678729.37</v>
      </c>
      <c r="G21" s="16">
        <v>606958.40727763111</v>
      </c>
      <c r="H21" s="16">
        <v>7981650.8099999996</v>
      </c>
      <c r="I21" s="16">
        <v>5071040.7</v>
      </c>
      <c r="J21" s="16">
        <v>11092330.620000001</v>
      </c>
      <c r="K21" s="16">
        <v>0</v>
      </c>
      <c r="L21" s="16">
        <v>0</v>
      </c>
      <c r="M21" s="16">
        <v>1541.9699999999998</v>
      </c>
      <c r="N21" s="18">
        <f t="shared" si="0"/>
        <v>174969040.49891654</v>
      </c>
      <c r="O21" s="4"/>
    </row>
    <row r="22" spans="1:15" ht="15" x14ac:dyDescent="0.2">
      <c r="A22" s="17" t="s">
        <v>17</v>
      </c>
      <c r="B22" s="16">
        <v>111589159.31</v>
      </c>
      <c r="C22" s="16">
        <v>0</v>
      </c>
      <c r="D22" s="16">
        <v>2735423.682133365</v>
      </c>
      <c r="E22" s="16">
        <v>0</v>
      </c>
      <c r="F22" s="16">
        <v>637772.03</v>
      </c>
      <c r="G22" s="16">
        <v>342630.28</v>
      </c>
      <c r="H22" s="16">
        <v>6148836.1799999997</v>
      </c>
      <c r="I22" s="16">
        <v>1207351.5</v>
      </c>
      <c r="J22" s="16">
        <v>8510391.9599999972</v>
      </c>
      <c r="K22" s="16">
        <v>0</v>
      </c>
      <c r="L22" s="16">
        <v>0</v>
      </c>
      <c r="M22" s="16">
        <v>367.11</v>
      </c>
      <c r="N22" s="18">
        <f t="shared" si="0"/>
        <v>131171932.05213335</v>
      </c>
      <c r="O22" s="4"/>
    </row>
    <row r="23" spans="1:15" ht="15" x14ac:dyDescent="0.2">
      <c r="A23" s="17" t="s">
        <v>18</v>
      </c>
      <c r="B23" s="16">
        <v>112808691.34</v>
      </c>
      <c r="C23" s="16">
        <v>0</v>
      </c>
      <c r="D23" s="16">
        <v>2696444.667267601</v>
      </c>
      <c r="E23" s="16">
        <v>0</v>
      </c>
      <c r="F23" s="16">
        <v>611288.64</v>
      </c>
      <c r="G23" s="16">
        <v>414598.28</v>
      </c>
      <c r="H23" s="16">
        <v>6216035.3799999999</v>
      </c>
      <c r="I23" s="16">
        <v>1157216.42</v>
      </c>
      <c r="J23" s="16">
        <v>6985029.0299999984</v>
      </c>
      <c r="K23" s="16">
        <v>0</v>
      </c>
      <c r="L23" s="16">
        <v>0</v>
      </c>
      <c r="M23" s="16">
        <v>351.85</v>
      </c>
      <c r="N23" s="18">
        <f t="shared" si="0"/>
        <v>130889655.6072676</v>
      </c>
      <c r="O23" s="4"/>
    </row>
    <row r="24" spans="1:15" ht="15" x14ac:dyDescent="0.2">
      <c r="A24" s="17" t="s">
        <v>19</v>
      </c>
      <c r="B24" s="16">
        <v>34513151.950000003</v>
      </c>
      <c r="C24" s="16">
        <v>0</v>
      </c>
      <c r="D24" s="16">
        <v>1311671.8408978079</v>
      </c>
      <c r="E24" s="16">
        <v>0</v>
      </c>
      <c r="F24" s="16">
        <v>635601.26</v>
      </c>
      <c r="G24" s="16">
        <v>122196.46488370466</v>
      </c>
      <c r="H24" s="16">
        <v>1901759.27</v>
      </c>
      <c r="I24" s="16">
        <v>1203242.07</v>
      </c>
      <c r="J24" s="16">
        <v>5672911.0200000014</v>
      </c>
      <c r="K24" s="16">
        <v>0</v>
      </c>
      <c r="L24" s="16">
        <v>0</v>
      </c>
      <c r="M24" s="16">
        <v>365.85999999999996</v>
      </c>
      <c r="N24" s="18">
        <f t="shared" si="0"/>
        <v>45360899.735781521</v>
      </c>
      <c r="O24" s="4"/>
    </row>
    <row r="25" spans="1:15" ht="15" x14ac:dyDescent="0.2">
      <c r="A25" s="17" t="s">
        <v>20</v>
      </c>
      <c r="B25" s="16">
        <v>154547966.56</v>
      </c>
      <c r="C25" s="16">
        <v>0</v>
      </c>
      <c r="D25" s="16">
        <v>1406062.1974224458</v>
      </c>
      <c r="E25" s="16">
        <v>0</v>
      </c>
      <c r="F25" s="16">
        <v>2818961.07</v>
      </c>
      <c r="G25" s="16">
        <v>946535.7</v>
      </c>
      <c r="H25" s="16">
        <v>8515971.75</v>
      </c>
      <c r="I25" s="16">
        <v>5336510.09</v>
      </c>
      <c r="J25" s="16">
        <v>13822694.550000004</v>
      </c>
      <c r="K25" s="16">
        <v>0</v>
      </c>
      <c r="L25" s="16">
        <v>0</v>
      </c>
      <c r="M25" s="16">
        <v>1622.68</v>
      </c>
      <c r="N25" s="18">
        <f t="shared" si="0"/>
        <v>187396324.59742245</v>
      </c>
      <c r="O25" s="4"/>
    </row>
    <row r="26" spans="1:15" ht="15" x14ac:dyDescent="0.2">
      <c r="A26" s="17" t="s">
        <v>21</v>
      </c>
      <c r="B26" s="16">
        <v>57177441.800000004</v>
      </c>
      <c r="C26" s="16">
        <v>0</v>
      </c>
      <c r="D26" s="16">
        <v>1228006.6966569279</v>
      </c>
      <c r="E26" s="16">
        <v>0</v>
      </c>
      <c r="F26" s="16">
        <v>1282056.3700000001</v>
      </c>
      <c r="G26" s="16">
        <v>519421.25</v>
      </c>
      <c r="H26" s="16">
        <v>3150617.19</v>
      </c>
      <c r="I26" s="16">
        <v>2427031.31</v>
      </c>
      <c r="J26" s="16">
        <v>9250981.9500000011</v>
      </c>
      <c r="K26" s="16">
        <v>0</v>
      </c>
      <c r="L26" s="16">
        <v>0</v>
      </c>
      <c r="M26" s="16">
        <v>737.97</v>
      </c>
      <c r="N26" s="18">
        <f t="shared" si="0"/>
        <v>75036294.536656931</v>
      </c>
      <c r="O26" s="4"/>
    </row>
    <row r="27" spans="1:15" ht="15" x14ac:dyDescent="0.2">
      <c r="A27" s="17" t="s">
        <v>22</v>
      </c>
      <c r="B27" s="16">
        <v>29502379.989999998</v>
      </c>
      <c r="C27" s="16">
        <v>0</v>
      </c>
      <c r="D27" s="16">
        <v>636538.01519151102</v>
      </c>
      <c r="E27" s="16">
        <v>0</v>
      </c>
      <c r="F27" s="16">
        <v>318668.93</v>
      </c>
      <c r="G27" s="16">
        <v>145500.53</v>
      </c>
      <c r="H27" s="16">
        <v>1625653.45</v>
      </c>
      <c r="I27" s="16">
        <v>603264.81000000006</v>
      </c>
      <c r="J27" s="16">
        <v>2705827.7399999993</v>
      </c>
      <c r="K27" s="16">
        <v>0</v>
      </c>
      <c r="L27" s="16">
        <v>0</v>
      </c>
      <c r="M27" s="16">
        <v>183.41</v>
      </c>
      <c r="N27" s="18">
        <f t="shared" si="0"/>
        <v>35538016.875191502</v>
      </c>
      <c r="O27" s="4"/>
    </row>
    <row r="28" spans="1:15" ht="15" x14ac:dyDescent="0.2">
      <c r="A28" s="17" t="s">
        <v>23</v>
      </c>
      <c r="B28" s="16">
        <v>97342808.020000011</v>
      </c>
      <c r="C28" s="16">
        <v>0</v>
      </c>
      <c r="D28" s="16">
        <v>2113630.0569871268</v>
      </c>
      <c r="E28" s="16">
        <v>0</v>
      </c>
      <c r="F28" s="16">
        <v>438929.56</v>
      </c>
      <c r="G28" s="16">
        <v>222162.1</v>
      </c>
      <c r="H28" s="16">
        <v>5363827.3099999996</v>
      </c>
      <c r="I28" s="16">
        <v>830927.41</v>
      </c>
      <c r="J28" s="16">
        <v>5424363.2099999972</v>
      </c>
      <c r="K28" s="16">
        <v>0</v>
      </c>
      <c r="L28" s="16">
        <v>0</v>
      </c>
      <c r="M28" s="16">
        <v>252.64</v>
      </c>
      <c r="N28" s="18">
        <f t="shared" si="0"/>
        <v>111736900.30698712</v>
      </c>
      <c r="O28" s="4"/>
    </row>
    <row r="29" spans="1:15" ht="15" x14ac:dyDescent="0.2">
      <c r="A29" s="17" t="s">
        <v>24</v>
      </c>
      <c r="B29" s="16">
        <v>58010920.659999989</v>
      </c>
      <c r="C29" s="16">
        <v>0</v>
      </c>
      <c r="D29" s="16">
        <v>2042473.4973040039</v>
      </c>
      <c r="E29" s="16">
        <v>0</v>
      </c>
      <c r="F29" s="16">
        <v>273951.09000000003</v>
      </c>
      <c r="G29" s="16">
        <v>115774.61</v>
      </c>
      <c r="H29" s="16">
        <v>3196543.91</v>
      </c>
      <c r="I29" s="16">
        <v>518610.48</v>
      </c>
      <c r="J29" s="16">
        <v>4860195.8999999994</v>
      </c>
      <c r="K29" s="16">
        <v>0</v>
      </c>
      <c r="L29" s="16">
        <v>0</v>
      </c>
      <c r="M29" s="16">
        <v>157.68</v>
      </c>
      <c r="N29" s="18">
        <f t="shared" si="0"/>
        <v>69018627.827304006</v>
      </c>
      <c r="O29" s="4"/>
    </row>
    <row r="30" spans="1:15" ht="15" x14ac:dyDescent="0.2">
      <c r="A30" s="17" t="s">
        <v>25</v>
      </c>
      <c r="B30" s="16">
        <v>19969836.699999999</v>
      </c>
      <c r="C30" s="16">
        <v>0</v>
      </c>
      <c r="D30" s="16">
        <v>956329.2691958698</v>
      </c>
      <c r="E30" s="16">
        <v>0</v>
      </c>
      <c r="F30" s="16">
        <v>236613.85</v>
      </c>
      <c r="G30" s="16">
        <v>147065.04999999999</v>
      </c>
      <c r="H30" s="16">
        <v>1100386.95</v>
      </c>
      <c r="I30" s="16">
        <v>447928.23</v>
      </c>
      <c r="J30" s="16">
        <v>3677076.0599999982</v>
      </c>
      <c r="K30" s="16">
        <v>0</v>
      </c>
      <c r="L30" s="16">
        <v>0</v>
      </c>
      <c r="M30" s="16">
        <v>136.18</v>
      </c>
      <c r="N30" s="18">
        <f t="shared" si="0"/>
        <v>26535372.289195869</v>
      </c>
      <c r="O30" s="4"/>
    </row>
    <row r="31" spans="1:15" ht="15" x14ac:dyDescent="0.2">
      <c r="A31" s="17" t="s">
        <v>26</v>
      </c>
      <c r="B31" s="16">
        <v>36556264.040000007</v>
      </c>
      <c r="C31" s="16">
        <v>0</v>
      </c>
      <c r="D31" s="16">
        <v>881097.58548530703</v>
      </c>
      <c r="E31" s="16">
        <v>0</v>
      </c>
      <c r="F31" s="16">
        <v>282634.15999999997</v>
      </c>
      <c r="G31" s="16">
        <v>82919.66</v>
      </c>
      <c r="H31" s="16">
        <v>2014339.75</v>
      </c>
      <c r="I31" s="16">
        <v>535048.22</v>
      </c>
      <c r="J31" s="16">
        <v>2604606.899999999</v>
      </c>
      <c r="K31" s="16">
        <v>0</v>
      </c>
      <c r="L31" s="16">
        <v>0</v>
      </c>
      <c r="M31" s="16">
        <v>162.68</v>
      </c>
      <c r="N31" s="18">
        <f t="shared" si="0"/>
        <v>42957072.995485306</v>
      </c>
      <c r="O31" s="4"/>
    </row>
    <row r="32" spans="1:15" ht="15" x14ac:dyDescent="0.2">
      <c r="A32" s="17" t="s">
        <v>27</v>
      </c>
      <c r="B32" s="16">
        <v>167135279.15999997</v>
      </c>
      <c r="C32" s="16">
        <v>0</v>
      </c>
      <c r="D32" s="16">
        <v>3636725.2741787904</v>
      </c>
      <c r="E32" s="16">
        <v>0</v>
      </c>
      <c r="F32" s="16">
        <v>833575.42</v>
      </c>
      <c r="G32" s="16">
        <v>488130.81</v>
      </c>
      <c r="H32" s="16">
        <v>9209563.5199999996</v>
      </c>
      <c r="I32" s="16">
        <v>1578022.39</v>
      </c>
      <c r="J32" s="16">
        <v>8405728.799999997</v>
      </c>
      <c r="K32" s="16">
        <v>0</v>
      </c>
      <c r="L32" s="16">
        <v>0</v>
      </c>
      <c r="M32" s="16">
        <v>479.83000000000004</v>
      </c>
      <c r="N32" s="18">
        <f t="shared" si="0"/>
        <v>191287505.20417878</v>
      </c>
      <c r="O32" s="4"/>
    </row>
    <row r="33" spans="1:15" ht="15" x14ac:dyDescent="0.2">
      <c r="A33" s="17" t="s">
        <v>28</v>
      </c>
      <c r="B33" s="16">
        <v>108073105.95999998</v>
      </c>
      <c r="C33" s="16">
        <v>0</v>
      </c>
      <c r="D33" s="16">
        <v>2568199.9670377411</v>
      </c>
      <c r="E33" s="16">
        <v>0</v>
      </c>
      <c r="F33" s="16">
        <v>611722.80000000005</v>
      </c>
      <c r="G33" s="16">
        <v>366098.11</v>
      </c>
      <c r="H33" s="16">
        <v>5955093.0199999996</v>
      </c>
      <c r="I33" s="16">
        <v>1158038.31</v>
      </c>
      <c r="J33" s="16">
        <v>7883877.1199999964</v>
      </c>
      <c r="K33" s="16">
        <v>0</v>
      </c>
      <c r="L33" s="16">
        <v>0</v>
      </c>
      <c r="M33" s="16">
        <v>352.12</v>
      </c>
      <c r="N33" s="18">
        <f t="shared" si="0"/>
        <v>126616487.40703771</v>
      </c>
      <c r="O33" s="4"/>
    </row>
    <row r="34" spans="1:15" ht="15" x14ac:dyDescent="0.2">
      <c r="A34" s="17" t="s">
        <v>29</v>
      </c>
      <c r="B34" s="16">
        <v>150681495.70000002</v>
      </c>
      <c r="C34" s="16">
        <v>0</v>
      </c>
      <c r="D34" s="16">
        <v>2814552.5624471102</v>
      </c>
      <c r="E34" s="16">
        <v>0</v>
      </c>
      <c r="F34" s="16">
        <v>889581.27</v>
      </c>
      <c r="G34" s="16">
        <v>643018.47</v>
      </c>
      <c r="H34" s="16">
        <v>8302919.7300000004</v>
      </c>
      <c r="I34" s="16">
        <v>1684045.77</v>
      </c>
      <c r="J34" s="16">
        <v>10172773.169999994</v>
      </c>
      <c r="K34" s="16">
        <v>0</v>
      </c>
      <c r="L34" s="16">
        <v>0</v>
      </c>
      <c r="M34" s="16">
        <v>512.05999999999995</v>
      </c>
      <c r="N34" s="18">
        <f t="shared" si="0"/>
        <v>175188898.73244712</v>
      </c>
      <c r="O34" s="4"/>
    </row>
    <row r="35" spans="1:15" ht="15" x14ac:dyDescent="0.2">
      <c r="A35" s="17" t="s">
        <v>30</v>
      </c>
      <c r="B35" s="16">
        <v>72603729.950000003</v>
      </c>
      <c r="C35" s="16">
        <v>0</v>
      </c>
      <c r="D35" s="16">
        <v>1168437.5740198898</v>
      </c>
      <c r="E35" s="16">
        <v>0</v>
      </c>
      <c r="F35" s="16">
        <v>556151.1</v>
      </c>
      <c r="G35" s="16">
        <v>248758.97</v>
      </c>
      <c r="H35" s="16">
        <v>4000643.47</v>
      </c>
      <c r="I35" s="16">
        <v>1052836.81</v>
      </c>
      <c r="J35" s="16">
        <v>3719959.3199999989</v>
      </c>
      <c r="K35" s="16">
        <v>0</v>
      </c>
      <c r="L35" s="16">
        <v>0</v>
      </c>
      <c r="M35" s="16">
        <v>320.12</v>
      </c>
      <c r="N35" s="18">
        <f t="shared" si="0"/>
        <v>83350837.314019889</v>
      </c>
      <c r="O35" s="4"/>
    </row>
    <row r="36" spans="1:15" ht="15" x14ac:dyDescent="0.2">
      <c r="A36" s="17" t="s">
        <v>31</v>
      </c>
      <c r="B36" s="16">
        <v>78206450.060000002</v>
      </c>
      <c r="C36" s="16">
        <v>0</v>
      </c>
      <c r="D36" s="16">
        <v>1648628.8970940928</v>
      </c>
      <c r="E36" s="16">
        <v>0</v>
      </c>
      <c r="F36" s="16">
        <v>349928.01</v>
      </c>
      <c r="G36" s="16">
        <v>158016.70000000001</v>
      </c>
      <c r="H36" s="16">
        <v>4309367.08</v>
      </c>
      <c r="I36" s="16">
        <v>662440.65</v>
      </c>
      <c r="J36" s="16">
        <v>4871090.700000002</v>
      </c>
      <c r="K36" s="16">
        <v>0</v>
      </c>
      <c r="L36" s="16">
        <v>0</v>
      </c>
      <c r="M36" s="16">
        <v>201.41</v>
      </c>
      <c r="N36" s="18">
        <f t="shared" si="0"/>
        <v>90206123.5070941</v>
      </c>
      <c r="O36" s="4"/>
    </row>
    <row r="37" spans="1:15" ht="15" x14ac:dyDescent="0.2">
      <c r="A37" s="17" t="s">
        <v>32</v>
      </c>
      <c r="B37" s="16">
        <v>86859980.030000001</v>
      </c>
      <c r="C37" s="16">
        <v>0</v>
      </c>
      <c r="D37" s="16">
        <v>2317650.246314364</v>
      </c>
      <c r="E37" s="16">
        <v>0</v>
      </c>
      <c r="F37" s="16">
        <v>649060.03</v>
      </c>
      <c r="G37" s="16">
        <v>229984.71</v>
      </c>
      <c r="H37" s="16">
        <v>4786197.79</v>
      </c>
      <c r="I37" s="16">
        <v>1228720.56</v>
      </c>
      <c r="J37" s="16">
        <v>6289318.5600000005</v>
      </c>
      <c r="K37" s="16">
        <v>0</v>
      </c>
      <c r="L37" s="16">
        <v>0</v>
      </c>
      <c r="M37" s="16">
        <v>373.61</v>
      </c>
      <c r="N37" s="18">
        <f t="shared" si="0"/>
        <v>102361285.53631437</v>
      </c>
      <c r="O37" s="4"/>
    </row>
    <row r="38" spans="1:15" ht="15" x14ac:dyDescent="0.2">
      <c r="A38" s="17" t="s">
        <v>33</v>
      </c>
      <c r="B38" s="16">
        <v>79481415.379999995</v>
      </c>
      <c r="C38" s="16">
        <v>0</v>
      </c>
      <c r="D38" s="16">
        <v>736488.18561888288</v>
      </c>
      <c r="E38" s="16">
        <v>0</v>
      </c>
      <c r="F38" s="16">
        <v>580029.56000000006</v>
      </c>
      <c r="G38" s="16">
        <v>622679.68999999994</v>
      </c>
      <c r="H38" s="16">
        <v>4379620.79</v>
      </c>
      <c r="I38" s="16">
        <v>1098040.58</v>
      </c>
      <c r="J38" s="16">
        <v>10411067.099999996</v>
      </c>
      <c r="K38" s="16">
        <v>0</v>
      </c>
      <c r="L38" s="16">
        <v>0</v>
      </c>
      <c r="M38" s="16">
        <v>333.84999999999997</v>
      </c>
      <c r="N38" s="18">
        <f t="shared" si="0"/>
        <v>97309675.135618865</v>
      </c>
      <c r="O38" s="4"/>
    </row>
    <row r="39" spans="1:15" ht="15" x14ac:dyDescent="0.2">
      <c r="A39" s="17" t="s">
        <v>34</v>
      </c>
      <c r="B39" s="16">
        <v>131558996.09999998</v>
      </c>
      <c r="C39" s="16">
        <v>0</v>
      </c>
      <c r="D39" s="16">
        <v>3128675.2450433271</v>
      </c>
      <c r="E39" s="16">
        <v>0</v>
      </c>
      <c r="F39" s="16">
        <v>738929.88</v>
      </c>
      <c r="G39" s="16">
        <v>383307.85</v>
      </c>
      <c r="H39" s="16">
        <v>7249223.1299999999</v>
      </c>
      <c r="I39" s="16">
        <v>1398851.1</v>
      </c>
      <c r="J39" s="16">
        <v>8867063.9399999976</v>
      </c>
      <c r="K39" s="16">
        <v>0</v>
      </c>
      <c r="L39" s="16">
        <v>0</v>
      </c>
      <c r="M39" s="16">
        <v>425.33000000000004</v>
      </c>
      <c r="N39" s="18">
        <f t="shared" si="0"/>
        <v>153325472.57504329</v>
      </c>
      <c r="O39" s="4"/>
    </row>
    <row r="40" spans="1:15" ht="15" x14ac:dyDescent="0.2">
      <c r="A40" s="17" t="s">
        <v>35</v>
      </c>
      <c r="B40" s="16">
        <v>88136925.070000008</v>
      </c>
      <c r="C40" s="16">
        <v>0</v>
      </c>
      <c r="D40" s="16">
        <v>2348194.0439067888</v>
      </c>
      <c r="E40" s="16">
        <v>0</v>
      </c>
      <c r="F40" s="16">
        <v>394645.86</v>
      </c>
      <c r="G40" s="16">
        <v>168968.36</v>
      </c>
      <c r="H40" s="16">
        <v>4856560.59</v>
      </c>
      <c r="I40" s="16">
        <v>747094.97</v>
      </c>
      <c r="J40" s="16">
        <v>4934646.78</v>
      </c>
      <c r="K40" s="16">
        <v>0</v>
      </c>
      <c r="L40" s="16">
        <v>0</v>
      </c>
      <c r="M40" s="16">
        <v>227.14000000000001</v>
      </c>
      <c r="N40" s="18">
        <f t="shared" ref="N40:N71" si="1">SUM(B40:M40)</f>
        <v>101587262.8139068</v>
      </c>
      <c r="O40" s="4"/>
    </row>
    <row r="41" spans="1:15" ht="15" x14ac:dyDescent="0.2">
      <c r="A41" s="17" t="s">
        <v>36</v>
      </c>
      <c r="B41" s="16">
        <v>91320378.769999981</v>
      </c>
      <c r="C41" s="16">
        <v>0</v>
      </c>
      <c r="D41" s="16">
        <v>1216176.930314668</v>
      </c>
      <c r="E41" s="16">
        <v>0</v>
      </c>
      <c r="F41" s="16">
        <v>668162.80000000005</v>
      </c>
      <c r="G41" s="16">
        <v>270662.28000000003</v>
      </c>
      <c r="H41" s="16">
        <v>5031976.7</v>
      </c>
      <c r="I41" s="16">
        <v>1264883.57</v>
      </c>
      <c r="J41" s="16">
        <v>5006936.97</v>
      </c>
      <c r="K41" s="16">
        <v>0</v>
      </c>
      <c r="L41" s="16">
        <v>0</v>
      </c>
      <c r="M41" s="16">
        <v>384.6</v>
      </c>
      <c r="N41" s="18">
        <f t="shared" si="1"/>
        <v>104779562.62031464</v>
      </c>
      <c r="O41" s="4"/>
    </row>
    <row r="42" spans="1:15" ht="15" x14ac:dyDescent="0.2">
      <c r="A42" s="17" t="s">
        <v>37</v>
      </c>
      <c r="B42" s="16">
        <v>56258833.260000005</v>
      </c>
      <c r="C42" s="16">
        <v>0</v>
      </c>
      <c r="D42" s="16">
        <v>629017.15642967389</v>
      </c>
      <c r="E42" s="16">
        <v>0</v>
      </c>
      <c r="F42" s="16">
        <v>1814763.17</v>
      </c>
      <c r="G42" s="16">
        <v>0</v>
      </c>
      <c r="H42" s="16">
        <v>3099999.6</v>
      </c>
      <c r="I42" s="16">
        <v>3435486.24</v>
      </c>
      <c r="J42" s="16">
        <v>7802431.7700000014</v>
      </c>
      <c r="K42" s="16">
        <v>0</v>
      </c>
      <c r="L42" s="16">
        <v>0</v>
      </c>
      <c r="M42" s="16">
        <v>1044.6400000000001</v>
      </c>
      <c r="N42" s="18">
        <f t="shared" si="1"/>
        <v>73041575.836429685</v>
      </c>
      <c r="O42" s="4"/>
    </row>
    <row r="43" spans="1:15" ht="15" x14ac:dyDescent="0.2">
      <c r="A43" s="17" t="s">
        <v>38</v>
      </c>
      <c r="B43" s="16">
        <v>202802631.17000002</v>
      </c>
      <c r="C43" s="16">
        <v>0</v>
      </c>
      <c r="D43" s="16">
        <v>2476570.4270722978</v>
      </c>
      <c r="E43" s="16">
        <v>0</v>
      </c>
      <c r="F43" s="16">
        <v>7546462.5499999998</v>
      </c>
      <c r="G43" s="16">
        <v>2138701.33</v>
      </c>
      <c r="H43" s="16">
        <v>11174922.039999999</v>
      </c>
      <c r="I43" s="16">
        <v>14286033.939999999</v>
      </c>
      <c r="J43" s="16">
        <v>24152444.609999999</v>
      </c>
      <c r="K43" s="16">
        <v>0</v>
      </c>
      <c r="L43" s="16">
        <v>0</v>
      </c>
      <c r="M43" s="16">
        <v>4344.0599999999995</v>
      </c>
      <c r="N43" s="18">
        <f t="shared" si="1"/>
        <v>264582110.12707233</v>
      </c>
      <c r="O43" s="4"/>
    </row>
    <row r="44" spans="1:15" ht="15" x14ac:dyDescent="0.2">
      <c r="A44" s="17" t="s">
        <v>39</v>
      </c>
      <c r="B44" s="16">
        <v>291723541.19</v>
      </c>
      <c r="C44" s="16">
        <v>0</v>
      </c>
      <c r="D44" s="16">
        <v>2385026.3171055689</v>
      </c>
      <c r="E44" s="16">
        <v>0</v>
      </c>
      <c r="F44" s="16">
        <v>9495379.2599999998</v>
      </c>
      <c r="G44" s="16">
        <v>3801408.9132355591</v>
      </c>
      <c r="H44" s="16">
        <v>16074682.119999999</v>
      </c>
      <c r="I44" s="16">
        <v>17975483.16</v>
      </c>
      <c r="J44" s="16">
        <v>31351707.449999988</v>
      </c>
      <c r="K44" s="16">
        <v>0</v>
      </c>
      <c r="L44" s="16">
        <v>0</v>
      </c>
      <c r="M44" s="16">
        <v>5465.93</v>
      </c>
      <c r="N44" s="18">
        <f t="shared" si="1"/>
        <v>372812694.34034115</v>
      </c>
      <c r="O44" s="4"/>
    </row>
    <row r="45" spans="1:15" ht="15" x14ac:dyDescent="0.2">
      <c r="A45" s="17" t="s">
        <v>40</v>
      </c>
      <c r="B45" s="16">
        <v>82777715.379999995</v>
      </c>
      <c r="C45" s="16">
        <v>0</v>
      </c>
      <c r="D45" s="16">
        <v>1775704.1709155478</v>
      </c>
      <c r="E45" s="16">
        <v>0</v>
      </c>
      <c r="F45" s="16">
        <v>707236.65</v>
      </c>
      <c r="G45" s="16">
        <v>298823.67</v>
      </c>
      <c r="H45" s="16">
        <v>4561255</v>
      </c>
      <c r="I45" s="16">
        <v>1338853.3700000001</v>
      </c>
      <c r="J45" s="16">
        <v>4697066.8500000006</v>
      </c>
      <c r="K45" s="16">
        <v>0</v>
      </c>
      <c r="L45" s="16">
        <v>0</v>
      </c>
      <c r="M45" s="16">
        <v>407.08000000000004</v>
      </c>
      <c r="N45" s="18">
        <f t="shared" si="1"/>
        <v>96157062.170915544</v>
      </c>
      <c r="O45" s="4"/>
    </row>
    <row r="46" spans="1:15" ht="15" x14ac:dyDescent="0.2">
      <c r="A46" s="17" t="s">
        <v>41</v>
      </c>
      <c r="B46" s="16">
        <v>128987288.16</v>
      </c>
      <c r="C46" s="16">
        <v>0</v>
      </c>
      <c r="D46" s="16">
        <v>1252799.6671055688</v>
      </c>
      <c r="E46" s="16">
        <v>0</v>
      </c>
      <c r="F46" s="16">
        <v>5578443.0599999996</v>
      </c>
      <c r="G46" s="16">
        <v>562143.46336218843</v>
      </c>
      <c r="H46" s="16">
        <v>7107515.7199999997</v>
      </c>
      <c r="I46" s="16">
        <v>10560421.699999999</v>
      </c>
      <c r="J46" s="16">
        <v>20950436.429999992</v>
      </c>
      <c r="K46" s="16">
        <v>0</v>
      </c>
      <c r="L46" s="16">
        <v>0</v>
      </c>
      <c r="M46" s="16">
        <v>3211.1800000000003</v>
      </c>
      <c r="N46" s="18">
        <f t="shared" si="1"/>
        <v>175002259.38046771</v>
      </c>
      <c r="O46" s="4"/>
    </row>
    <row r="47" spans="1:15" ht="15" x14ac:dyDescent="0.2">
      <c r="A47" s="17" t="s">
        <v>42</v>
      </c>
      <c r="B47" s="16">
        <v>383744755.09999996</v>
      </c>
      <c r="C47" s="16">
        <v>0</v>
      </c>
      <c r="D47" s="16">
        <v>2105978.106007643</v>
      </c>
      <c r="E47" s="16">
        <v>0</v>
      </c>
      <c r="F47" s="16">
        <v>17390467.370000001</v>
      </c>
      <c r="G47" s="16">
        <v>4242012.8758308329</v>
      </c>
      <c r="H47" s="16">
        <v>21145276.539999999</v>
      </c>
      <c r="I47" s="16">
        <v>32921492.09</v>
      </c>
      <c r="J47" s="16">
        <v>48406915.61999999</v>
      </c>
      <c r="K47" s="16">
        <v>0</v>
      </c>
      <c r="L47" s="16">
        <v>0</v>
      </c>
      <c r="M47" s="16">
        <v>10010.700000000001</v>
      </c>
      <c r="N47" s="18">
        <f t="shared" si="1"/>
        <v>509966908.40183842</v>
      </c>
      <c r="O47" s="4"/>
    </row>
    <row r="48" spans="1:15" ht="15" x14ac:dyDescent="0.2">
      <c r="A48" s="17" t="s">
        <v>43</v>
      </c>
      <c r="B48" s="16">
        <v>41961008.210000001</v>
      </c>
      <c r="C48" s="16">
        <v>0</v>
      </c>
      <c r="D48" s="16">
        <v>834731.7579070928</v>
      </c>
      <c r="E48" s="16">
        <v>0</v>
      </c>
      <c r="F48" s="16">
        <v>151085.54</v>
      </c>
      <c r="G48" s="16">
        <v>89177.74</v>
      </c>
      <c r="H48" s="16">
        <v>2312154.4</v>
      </c>
      <c r="I48" s="16">
        <v>286016.56</v>
      </c>
      <c r="J48" s="16">
        <v>2642491.5299999998</v>
      </c>
      <c r="K48" s="16">
        <v>0</v>
      </c>
      <c r="L48" s="16">
        <v>0</v>
      </c>
      <c r="M48" s="16">
        <v>86.95</v>
      </c>
      <c r="N48" s="18">
        <f t="shared" si="1"/>
        <v>48276752.6879071</v>
      </c>
      <c r="O48" s="4"/>
    </row>
    <row r="49" spans="1:15" ht="15" x14ac:dyDescent="0.2">
      <c r="A49" s="17" t="s">
        <v>44</v>
      </c>
      <c r="B49" s="16">
        <v>68291813.11999999</v>
      </c>
      <c r="C49" s="16">
        <v>0</v>
      </c>
      <c r="D49" s="16">
        <v>1682281.7885896489</v>
      </c>
      <c r="E49" s="16">
        <v>0</v>
      </c>
      <c r="F49" s="16">
        <v>892186.2</v>
      </c>
      <c r="G49" s="16">
        <v>395824.02</v>
      </c>
      <c r="H49" s="16">
        <v>3763046.29</v>
      </c>
      <c r="I49" s="16">
        <v>1688977.09</v>
      </c>
      <c r="J49" s="16">
        <v>6143438.0699999994</v>
      </c>
      <c r="K49" s="16">
        <v>0</v>
      </c>
      <c r="L49" s="16">
        <v>0</v>
      </c>
      <c r="M49" s="16">
        <v>513.55999999999995</v>
      </c>
      <c r="N49" s="18">
        <f t="shared" si="1"/>
        <v>82858080.138589635</v>
      </c>
      <c r="O49" s="4"/>
    </row>
    <row r="50" spans="1:15" ht="15" x14ac:dyDescent="0.2">
      <c r="A50" s="17" t="s">
        <v>45</v>
      </c>
      <c r="B50" s="16">
        <v>54356284.140000001</v>
      </c>
      <c r="C50" s="16">
        <v>0</v>
      </c>
      <c r="D50" s="16">
        <v>1341177.7206470757</v>
      </c>
      <c r="E50" s="16">
        <v>0</v>
      </c>
      <c r="F50" s="16">
        <v>250072.62</v>
      </c>
      <c r="G50" s="16">
        <v>111081.05</v>
      </c>
      <c r="H50" s="16">
        <v>2995164.48</v>
      </c>
      <c r="I50" s="16">
        <v>473406.71999999997</v>
      </c>
      <c r="J50" s="16">
        <v>4425118.1100000013</v>
      </c>
      <c r="K50" s="16">
        <v>0</v>
      </c>
      <c r="L50" s="16">
        <v>0</v>
      </c>
      <c r="M50" s="16">
        <v>143.93</v>
      </c>
      <c r="N50" s="18">
        <f t="shared" si="1"/>
        <v>63952448.770647064</v>
      </c>
      <c r="O50" s="4"/>
    </row>
    <row r="51" spans="1:15" ht="15" x14ac:dyDescent="0.2">
      <c r="A51" s="17" t="s">
        <v>46</v>
      </c>
      <c r="B51" s="16">
        <v>53600015.900000006</v>
      </c>
      <c r="C51" s="16">
        <v>0</v>
      </c>
      <c r="D51" s="16">
        <v>1831429.3749407788</v>
      </c>
      <c r="E51" s="16">
        <v>0</v>
      </c>
      <c r="F51" s="16">
        <v>311722.46999999997</v>
      </c>
      <c r="G51" s="16">
        <v>148629.57</v>
      </c>
      <c r="H51" s="16">
        <v>2953492.25</v>
      </c>
      <c r="I51" s="16">
        <v>590114.62</v>
      </c>
      <c r="J51" s="16">
        <v>3069567.4799999986</v>
      </c>
      <c r="K51" s="16">
        <v>0</v>
      </c>
      <c r="L51" s="16">
        <v>0</v>
      </c>
      <c r="M51" s="16">
        <v>179.41000000000003</v>
      </c>
      <c r="N51" s="18">
        <f t="shared" si="1"/>
        <v>62505151.074940771</v>
      </c>
      <c r="O51" s="4"/>
    </row>
    <row r="52" spans="1:15" ht="15" x14ac:dyDescent="0.2">
      <c r="A52" s="17" t="s">
        <v>47</v>
      </c>
      <c r="B52" s="16">
        <v>58359358.379999995</v>
      </c>
      <c r="C52" s="16">
        <v>0</v>
      </c>
      <c r="D52" s="16">
        <v>1410884.7612146847</v>
      </c>
      <c r="E52" s="16">
        <v>0</v>
      </c>
      <c r="F52" s="16">
        <v>286975.7</v>
      </c>
      <c r="G52" s="16">
        <v>173661.92</v>
      </c>
      <c r="H52" s="16">
        <v>3215743.69</v>
      </c>
      <c r="I52" s="16">
        <v>543267.07999999996</v>
      </c>
      <c r="J52" s="16">
        <v>4119478.0200000014</v>
      </c>
      <c r="K52" s="16">
        <v>0</v>
      </c>
      <c r="L52" s="16">
        <v>0</v>
      </c>
      <c r="M52" s="16">
        <v>165.17000000000002</v>
      </c>
      <c r="N52" s="18">
        <f t="shared" si="1"/>
        <v>68109534.721214682</v>
      </c>
      <c r="O52" s="4"/>
    </row>
    <row r="53" spans="1:15" ht="15" x14ac:dyDescent="0.2">
      <c r="A53" s="17" t="s">
        <v>48</v>
      </c>
      <c r="B53" s="16">
        <v>21032967.710000005</v>
      </c>
      <c r="C53" s="16">
        <v>0</v>
      </c>
      <c r="D53" s="16">
        <v>1197899.4058980709</v>
      </c>
      <c r="E53" s="16">
        <v>0</v>
      </c>
      <c r="F53" s="16">
        <v>49927.69</v>
      </c>
      <c r="G53" s="16">
        <v>28161.39</v>
      </c>
      <c r="H53" s="16">
        <v>1158968.08</v>
      </c>
      <c r="I53" s="16">
        <v>94516.97</v>
      </c>
      <c r="J53" s="16">
        <v>2043881.9099999995</v>
      </c>
      <c r="K53" s="16">
        <v>0</v>
      </c>
      <c r="L53" s="16">
        <v>0</v>
      </c>
      <c r="M53" s="16">
        <v>28.71</v>
      </c>
      <c r="N53" s="18">
        <f t="shared" si="1"/>
        <v>25606351.865898076</v>
      </c>
      <c r="O53" s="4"/>
    </row>
    <row r="54" spans="1:15" ht="15" x14ac:dyDescent="0.2">
      <c r="A54" s="17" t="s">
        <v>49</v>
      </c>
      <c r="B54" s="16">
        <v>72859118.950000003</v>
      </c>
      <c r="C54" s="16">
        <v>0</v>
      </c>
      <c r="D54" s="16">
        <v>1672950.4656650787</v>
      </c>
      <c r="E54" s="16">
        <v>0</v>
      </c>
      <c r="F54" s="16">
        <v>171490.77</v>
      </c>
      <c r="G54" s="16">
        <v>107952.01</v>
      </c>
      <c r="H54" s="16">
        <v>4014716.03</v>
      </c>
      <c r="I54" s="16">
        <v>324645.23</v>
      </c>
      <c r="J54" s="16">
        <v>4723434.24</v>
      </c>
      <c r="K54" s="16">
        <v>0</v>
      </c>
      <c r="L54" s="16">
        <v>0</v>
      </c>
      <c r="M54" s="16">
        <v>98.69</v>
      </c>
      <c r="N54" s="18">
        <f t="shared" si="1"/>
        <v>83874406.385665074</v>
      </c>
      <c r="O54" s="4"/>
    </row>
    <row r="55" spans="1:15" ht="15" x14ac:dyDescent="0.2">
      <c r="A55" s="17" t="s">
        <v>50</v>
      </c>
      <c r="B55" s="16">
        <v>26788129.340000004</v>
      </c>
      <c r="C55" s="16">
        <v>0</v>
      </c>
      <c r="D55" s="16">
        <v>732134.14006614487</v>
      </c>
      <c r="E55" s="16">
        <v>0</v>
      </c>
      <c r="F55" s="16">
        <v>316498.17</v>
      </c>
      <c r="G55" s="16">
        <v>148629.57</v>
      </c>
      <c r="H55" s="16">
        <v>1476091.59</v>
      </c>
      <c r="I55" s="16">
        <v>599155.38</v>
      </c>
      <c r="J55" s="16">
        <v>3379126.17</v>
      </c>
      <c r="K55" s="16">
        <v>0</v>
      </c>
      <c r="L55" s="16">
        <v>0</v>
      </c>
      <c r="M55" s="16">
        <v>182.17</v>
      </c>
      <c r="N55" s="18">
        <f t="shared" si="1"/>
        <v>33439946.530066147</v>
      </c>
      <c r="O55" s="4"/>
    </row>
    <row r="56" spans="1:15" ht="15" x14ac:dyDescent="0.2">
      <c r="A56" s="17" t="s">
        <v>51</v>
      </c>
      <c r="B56" s="16">
        <v>25681443.609999999</v>
      </c>
      <c r="C56" s="16">
        <v>0</v>
      </c>
      <c r="D56" s="16">
        <v>610271.396268168</v>
      </c>
      <c r="E56" s="16">
        <v>0</v>
      </c>
      <c r="F56" s="16">
        <v>89435.69</v>
      </c>
      <c r="G56" s="16">
        <v>37548.519999999997</v>
      </c>
      <c r="H56" s="16">
        <v>1415110.49</v>
      </c>
      <c r="I56" s="16">
        <v>169308.65</v>
      </c>
      <c r="J56" s="16">
        <v>2748436.53</v>
      </c>
      <c r="K56" s="16">
        <v>0</v>
      </c>
      <c r="L56" s="16">
        <v>0</v>
      </c>
      <c r="M56" s="16">
        <v>51.45</v>
      </c>
      <c r="N56" s="18">
        <f t="shared" si="1"/>
        <v>30751606.336268164</v>
      </c>
      <c r="O56" s="4"/>
    </row>
    <row r="57" spans="1:15" ht="15" x14ac:dyDescent="0.2">
      <c r="A57" s="17" t="s">
        <v>52</v>
      </c>
      <c r="B57" s="16">
        <v>70847683.010000005</v>
      </c>
      <c r="C57" s="16">
        <v>0</v>
      </c>
      <c r="D57" s="16">
        <v>1599518.0329374948</v>
      </c>
      <c r="E57" s="16">
        <v>0</v>
      </c>
      <c r="F57" s="16">
        <v>459334.79</v>
      </c>
      <c r="G57" s="16">
        <v>197129.75</v>
      </c>
      <c r="H57" s="16">
        <v>3903880.98</v>
      </c>
      <c r="I57" s="16">
        <v>869556.09</v>
      </c>
      <c r="J57" s="16">
        <v>5828221.3499999987</v>
      </c>
      <c r="K57" s="16">
        <v>0</v>
      </c>
      <c r="L57" s="16">
        <v>0</v>
      </c>
      <c r="M57" s="16">
        <v>264.39</v>
      </c>
      <c r="N57" s="18">
        <f t="shared" si="1"/>
        <v>83705588.392937511</v>
      </c>
      <c r="O57" s="4"/>
    </row>
    <row r="58" spans="1:15" ht="15" x14ac:dyDescent="0.2">
      <c r="A58" s="17" t="s">
        <v>53</v>
      </c>
      <c r="B58" s="16">
        <v>56674582.810000002</v>
      </c>
      <c r="C58" s="16">
        <v>0</v>
      </c>
      <c r="D58" s="16">
        <v>727062.55717171391</v>
      </c>
      <c r="E58" s="16">
        <v>0</v>
      </c>
      <c r="F58" s="16">
        <v>267438.78000000003</v>
      </c>
      <c r="G58" s="16">
        <v>112645.57</v>
      </c>
      <c r="H58" s="16">
        <v>3122908.42</v>
      </c>
      <c r="I58" s="16">
        <v>506282.18</v>
      </c>
      <c r="J58" s="16">
        <v>3263623.0200000014</v>
      </c>
      <c r="K58" s="16">
        <v>0</v>
      </c>
      <c r="L58" s="16">
        <v>0</v>
      </c>
      <c r="M58" s="16">
        <v>153.93</v>
      </c>
      <c r="N58" s="18">
        <f t="shared" si="1"/>
        <v>64674697.267171726</v>
      </c>
      <c r="O58" s="4"/>
    </row>
    <row r="59" spans="1:15" ht="15" x14ac:dyDescent="0.2">
      <c r="A59" s="17" t="s">
        <v>54</v>
      </c>
      <c r="B59" s="16">
        <v>63041490.230000004</v>
      </c>
      <c r="C59" s="16">
        <v>0</v>
      </c>
      <c r="D59" s="16">
        <v>1426646.3729672369</v>
      </c>
      <c r="E59" s="16">
        <v>0</v>
      </c>
      <c r="F59" s="16">
        <v>260492.32</v>
      </c>
      <c r="G59" s="16">
        <v>112645.57</v>
      </c>
      <c r="H59" s="16">
        <v>3473740.63</v>
      </c>
      <c r="I59" s="16">
        <v>493132</v>
      </c>
      <c r="J59" s="16">
        <v>3827662.2299999986</v>
      </c>
      <c r="K59" s="16">
        <v>0</v>
      </c>
      <c r="L59" s="16">
        <v>0</v>
      </c>
      <c r="M59" s="16">
        <v>149.93</v>
      </c>
      <c r="N59" s="18">
        <f t="shared" si="1"/>
        <v>72635959.282967255</v>
      </c>
      <c r="O59" s="4"/>
    </row>
    <row r="60" spans="1:15" ht="15" x14ac:dyDescent="0.2">
      <c r="A60" s="17" t="s">
        <v>55</v>
      </c>
      <c r="B60" s="16">
        <v>446966403.56999993</v>
      </c>
      <c r="C60" s="16">
        <v>0</v>
      </c>
      <c r="D60" s="16">
        <v>17201062.691995338</v>
      </c>
      <c r="E60" s="16">
        <v>0</v>
      </c>
      <c r="F60" s="16">
        <v>14329248.439999999</v>
      </c>
      <c r="G60" s="16">
        <v>6198635.4900000002</v>
      </c>
      <c r="H60" s="16">
        <v>24628944.32</v>
      </c>
      <c r="I60" s="16">
        <v>27126369.239999998</v>
      </c>
      <c r="J60" s="16">
        <v>62603896.950000025</v>
      </c>
      <c r="K60" s="16">
        <v>0</v>
      </c>
      <c r="L60" s="16">
        <v>0</v>
      </c>
      <c r="M60" s="16">
        <v>8248.52</v>
      </c>
      <c r="N60" s="18">
        <f t="shared" si="1"/>
        <v>599062809.22199523</v>
      </c>
      <c r="O60" s="4"/>
    </row>
    <row r="61" spans="1:15" ht="15" x14ac:dyDescent="0.2">
      <c r="A61" s="17" t="s">
        <v>56</v>
      </c>
      <c r="B61" s="16">
        <v>69885519.75999999</v>
      </c>
      <c r="C61" s="16">
        <v>0</v>
      </c>
      <c r="D61" s="16">
        <v>1177631.4940429712</v>
      </c>
      <c r="E61" s="16">
        <v>0</v>
      </c>
      <c r="F61" s="16">
        <v>2558034.59</v>
      </c>
      <c r="G61" s="16">
        <v>596540.61321333819</v>
      </c>
      <c r="H61" s="16">
        <v>3850863.43</v>
      </c>
      <c r="I61" s="16">
        <v>4842556.21</v>
      </c>
      <c r="J61" s="16">
        <v>14710776.150000006</v>
      </c>
      <c r="K61" s="16">
        <v>0</v>
      </c>
      <c r="L61" s="16">
        <v>0</v>
      </c>
      <c r="M61" s="16">
        <v>1472.5</v>
      </c>
      <c r="N61" s="18">
        <f t="shared" si="1"/>
        <v>97623394.747256324</v>
      </c>
      <c r="O61" s="4"/>
    </row>
    <row r="62" spans="1:15" ht="15" x14ac:dyDescent="0.2">
      <c r="A62" s="17" t="s">
        <v>57</v>
      </c>
      <c r="B62" s="16">
        <v>421777920.02999997</v>
      </c>
      <c r="C62" s="16">
        <v>0</v>
      </c>
      <c r="D62" s="16">
        <v>4434171.6499999994</v>
      </c>
      <c r="E62" s="16">
        <v>0</v>
      </c>
      <c r="F62" s="16">
        <v>11469911.060000001</v>
      </c>
      <c r="G62" s="16">
        <v>0</v>
      </c>
      <c r="H62" s="16">
        <v>23240997.140000001</v>
      </c>
      <c r="I62" s="16">
        <v>21713423.690000001</v>
      </c>
      <c r="J62" s="16">
        <v>31026951.059999991</v>
      </c>
      <c r="K62" s="16">
        <v>0</v>
      </c>
      <c r="L62" s="16">
        <v>0</v>
      </c>
      <c r="M62" s="16">
        <v>6602.57</v>
      </c>
      <c r="N62" s="18">
        <f t="shared" si="1"/>
        <v>513669977.19999993</v>
      </c>
      <c r="O62" s="4"/>
    </row>
    <row r="63" spans="1:15" ht="15" x14ac:dyDescent="0.2">
      <c r="A63" s="17" t="s">
        <v>58</v>
      </c>
      <c r="B63" s="16">
        <v>63599782.5</v>
      </c>
      <c r="C63" s="16">
        <v>0</v>
      </c>
      <c r="D63" s="16">
        <v>1666571.6858683289</v>
      </c>
      <c r="E63" s="16">
        <v>0</v>
      </c>
      <c r="F63" s="16">
        <v>404197.25</v>
      </c>
      <c r="G63" s="16">
        <v>181484.53</v>
      </c>
      <c r="H63" s="16">
        <v>3504503.9</v>
      </c>
      <c r="I63" s="16">
        <v>765176.48</v>
      </c>
      <c r="J63" s="16">
        <v>4363301.67</v>
      </c>
      <c r="K63" s="16">
        <v>0</v>
      </c>
      <c r="L63" s="16">
        <v>0</v>
      </c>
      <c r="M63" s="16">
        <v>232.65</v>
      </c>
      <c r="N63" s="18">
        <f t="shared" si="1"/>
        <v>74485250.665868342</v>
      </c>
      <c r="O63" s="4"/>
    </row>
    <row r="64" spans="1:15" ht="15" x14ac:dyDescent="0.2">
      <c r="A64" s="17" t="s">
        <v>59</v>
      </c>
      <c r="B64" s="16">
        <v>134716712.92000002</v>
      </c>
      <c r="C64" s="16">
        <v>0</v>
      </c>
      <c r="D64" s="16">
        <v>4386774.3799033528</v>
      </c>
      <c r="E64" s="16">
        <v>0</v>
      </c>
      <c r="F64" s="16">
        <v>739798.19</v>
      </c>
      <c r="G64" s="16">
        <v>309775.32</v>
      </c>
      <c r="H64" s="16">
        <v>7423221.0700000003</v>
      </c>
      <c r="I64" s="16">
        <v>1400494.87</v>
      </c>
      <c r="J64" s="16">
        <v>9097227.9299999997</v>
      </c>
      <c r="K64" s="16">
        <v>0</v>
      </c>
      <c r="L64" s="16">
        <v>0</v>
      </c>
      <c r="M64" s="16">
        <v>425.83000000000004</v>
      </c>
      <c r="N64" s="18">
        <f t="shared" si="1"/>
        <v>158074430.50990337</v>
      </c>
      <c r="O64" s="4"/>
    </row>
    <row r="65" spans="1:15" ht="15" x14ac:dyDescent="0.2">
      <c r="A65" s="17" t="s">
        <v>60</v>
      </c>
      <c r="B65" s="16">
        <v>73837120.280000001</v>
      </c>
      <c r="C65" s="16">
        <v>0</v>
      </c>
      <c r="D65" s="16">
        <v>1736601.8750366659</v>
      </c>
      <c r="E65" s="16">
        <v>0</v>
      </c>
      <c r="F65" s="16">
        <v>161071.07999999999</v>
      </c>
      <c r="G65" s="16">
        <v>118903.66</v>
      </c>
      <c r="H65" s="16">
        <v>4068606.3</v>
      </c>
      <c r="I65" s="16">
        <v>304919.95</v>
      </c>
      <c r="J65" s="16">
        <v>5254312.7700000014</v>
      </c>
      <c r="K65" s="16">
        <v>0</v>
      </c>
      <c r="L65" s="16">
        <v>0</v>
      </c>
      <c r="M65" s="16">
        <v>92.69</v>
      </c>
      <c r="N65" s="18">
        <f t="shared" si="1"/>
        <v>85481628.605036661</v>
      </c>
      <c r="O65" s="4"/>
    </row>
    <row r="66" spans="1:15" ht="15" x14ac:dyDescent="0.2">
      <c r="A66" s="17" t="s">
        <v>61</v>
      </c>
      <c r="B66" s="16">
        <v>40915695.049999997</v>
      </c>
      <c r="C66" s="16">
        <v>0</v>
      </c>
      <c r="D66" s="16">
        <v>1422142.0869143209</v>
      </c>
      <c r="E66" s="16">
        <v>0</v>
      </c>
      <c r="F66" s="16">
        <v>157597.85</v>
      </c>
      <c r="G66" s="16">
        <v>95435.83</v>
      </c>
      <c r="H66" s="16">
        <v>2254555.08</v>
      </c>
      <c r="I66" s="16">
        <v>298344.86</v>
      </c>
      <c r="J66" s="16">
        <v>2366789.0400000005</v>
      </c>
      <c r="K66" s="16">
        <v>0</v>
      </c>
      <c r="L66" s="16">
        <v>0</v>
      </c>
      <c r="M66" s="16">
        <v>90.69</v>
      </c>
      <c r="N66" s="18">
        <f t="shared" si="1"/>
        <v>47510650.486914314</v>
      </c>
      <c r="O66" s="4"/>
    </row>
    <row r="67" spans="1:15" ht="15" x14ac:dyDescent="0.2">
      <c r="A67" s="17" t="s">
        <v>62</v>
      </c>
      <c r="B67" s="16">
        <v>187200144.44999999</v>
      </c>
      <c r="C67" s="16">
        <v>0</v>
      </c>
      <c r="D67" s="16">
        <v>1562000.58</v>
      </c>
      <c r="E67" s="16">
        <v>0</v>
      </c>
      <c r="F67" s="16">
        <v>4234736.83</v>
      </c>
      <c r="G67" s="16">
        <v>1920394.3425320652</v>
      </c>
      <c r="H67" s="16">
        <v>10315186.779999999</v>
      </c>
      <c r="I67" s="16">
        <v>8016682.4900000002</v>
      </c>
      <c r="J67" s="16">
        <v>15134318.220000004</v>
      </c>
      <c r="K67" s="16">
        <v>0</v>
      </c>
      <c r="L67" s="16">
        <v>0</v>
      </c>
      <c r="M67" s="16">
        <v>2437.66</v>
      </c>
      <c r="N67" s="18">
        <f t="shared" si="1"/>
        <v>228385901.35253209</v>
      </c>
      <c r="O67" s="4"/>
    </row>
    <row r="68" spans="1:15" ht="15" x14ac:dyDescent="0.2">
      <c r="A68" s="17" t="s">
        <v>63</v>
      </c>
      <c r="B68" s="16">
        <v>115354662.37</v>
      </c>
      <c r="C68" s="16">
        <v>0</v>
      </c>
      <c r="D68" s="16">
        <v>1894138.7100000002</v>
      </c>
      <c r="E68" s="16">
        <v>0</v>
      </c>
      <c r="F68" s="16">
        <v>3734591.58</v>
      </c>
      <c r="G68" s="16">
        <v>1882450.801115083</v>
      </c>
      <c r="H68" s="16">
        <v>6356324.6299999999</v>
      </c>
      <c r="I68" s="16">
        <v>7069869.0599999996</v>
      </c>
      <c r="J68" s="16">
        <v>13156207.68</v>
      </c>
      <c r="K68" s="16">
        <v>0</v>
      </c>
      <c r="L68" s="16">
        <v>0</v>
      </c>
      <c r="M68" s="16">
        <v>2149.7700000000004</v>
      </c>
      <c r="N68" s="18">
        <f t="shared" si="1"/>
        <v>149450394.60111508</v>
      </c>
      <c r="O68" s="4"/>
    </row>
    <row r="69" spans="1:15" ht="15" x14ac:dyDescent="0.2">
      <c r="A69" s="17" t="s">
        <v>64</v>
      </c>
      <c r="B69" s="16">
        <v>362296037.75</v>
      </c>
      <c r="C69" s="16">
        <v>0</v>
      </c>
      <c r="D69" s="16">
        <v>1365397.030029742</v>
      </c>
      <c r="E69" s="16">
        <v>0</v>
      </c>
      <c r="F69" s="16">
        <v>11021864.27</v>
      </c>
      <c r="G69" s="16">
        <v>1879990.3438919303</v>
      </c>
      <c r="H69" s="16">
        <v>19963399.640000001</v>
      </c>
      <c r="I69" s="16">
        <v>20865236.66</v>
      </c>
      <c r="J69" s="16">
        <v>28796227.740000006</v>
      </c>
      <c r="K69" s="16">
        <v>0</v>
      </c>
      <c r="L69" s="16">
        <v>0</v>
      </c>
      <c r="M69" s="16">
        <v>6344.65</v>
      </c>
      <c r="N69" s="18">
        <f t="shared" si="1"/>
        <v>446194498.08392161</v>
      </c>
      <c r="O69" s="4"/>
    </row>
    <row r="70" spans="1:15" ht="15" x14ac:dyDescent="0.2">
      <c r="A70" s="17" t="s">
        <v>65</v>
      </c>
      <c r="B70" s="16">
        <v>82302573.030000001</v>
      </c>
      <c r="C70" s="16">
        <v>0</v>
      </c>
      <c r="D70" s="16">
        <v>4076631.7744503939</v>
      </c>
      <c r="E70" s="16">
        <v>0</v>
      </c>
      <c r="F70" s="16">
        <v>2447759.5099999998</v>
      </c>
      <c r="G70" s="16">
        <v>904293.61</v>
      </c>
      <c r="H70" s="16">
        <v>4535073.5</v>
      </c>
      <c r="I70" s="16">
        <v>4633796.99</v>
      </c>
      <c r="J70" s="16">
        <v>12632195.519999994</v>
      </c>
      <c r="K70" s="16">
        <v>0</v>
      </c>
      <c r="L70" s="16">
        <v>0</v>
      </c>
      <c r="M70" s="16">
        <v>1409.01</v>
      </c>
      <c r="N70" s="18">
        <f t="shared" si="1"/>
        <v>111533732.94445039</v>
      </c>
      <c r="O70" s="4"/>
    </row>
    <row r="71" spans="1:15" ht="15" x14ac:dyDescent="0.2">
      <c r="A71" s="17" t="s">
        <v>66</v>
      </c>
      <c r="B71" s="16">
        <v>271830915.07999998</v>
      </c>
      <c r="C71" s="16">
        <v>0</v>
      </c>
      <c r="D71" s="16">
        <v>1212746.8</v>
      </c>
      <c r="E71" s="16">
        <v>0</v>
      </c>
      <c r="F71" s="16">
        <v>1541246.23</v>
      </c>
      <c r="G71" s="16">
        <v>697776.73</v>
      </c>
      <c r="H71" s="16">
        <v>14978549.66</v>
      </c>
      <c r="I71" s="16">
        <v>2917697.65</v>
      </c>
      <c r="J71" s="16">
        <v>10122455.699999999</v>
      </c>
      <c r="K71" s="16">
        <v>0</v>
      </c>
      <c r="L71" s="16">
        <v>0</v>
      </c>
      <c r="M71" s="16">
        <v>887.18999999999994</v>
      </c>
      <c r="N71" s="18">
        <f t="shared" si="1"/>
        <v>303302275.04000002</v>
      </c>
      <c r="O71" s="4"/>
    </row>
    <row r="72" spans="1:15" ht="15" x14ac:dyDescent="0.2">
      <c r="A72" s="17" t="s">
        <v>67</v>
      </c>
      <c r="B72" s="16">
        <v>1455606491.99</v>
      </c>
      <c r="C72" s="16">
        <v>0</v>
      </c>
      <c r="D72" s="16">
        <v>8313417.2191927405</v>
      </c>
      <c r="E72" s="16">
        <v>0</v>
      </c>
      <c r="F72" s="16">
        <v>44845924.579999998</v>
      </c>
      <c r="G72" s="16">
        <v>0</v>
      </c>
      <c r="H72" s="16">
        <v>80207485.280000001</v>
      </c>
      <c r="I72" s="16">
        <v>84896782.629999995</v>
      </c>
      <c r="J72" s="16">
        <v>151401191.13</v>
      </c>
      <c r="K72" s="16">
        <v>0</v>
      </c>
      <c r="L72" s="16">
        <v>0</v>
      </c>
      <c r="M72" s="16">
        <v>25815.29</v>
      </c>
      <c r="N72" s="18">
        <f t="shared" ref="N72:N103" si="2">SUM(B72:M72)</f>
        <v>1825297108.1191926</v>
      </c>
      <c r="O72" s="4"/>
    </row>
    <row r="73" spans="1:15" ht="15" x14ac:dyDescent="0.2">
      <c r="A73" s="17" t="s">
        <v>68</v>
      </c>
      <c r="B73" s="16">
        <v>578634286.58000004</v>
      </c>
      <c r="C73" s="16">
        <v>0</v>
      </c>
      <c r="D73" s="16">
        <v>17510269.964515615</v>
      </c>
      <c r="E73" s="16">
        <v>0</v>
      </c>
      <c r="F73" s="16">
        <v>16645459.33</v>
      </c>
      <c r="G73" s="16">
        <v>7826975.4846979622</v>
      </c>
      <c r="H73" s="16">
        <v>31884167.379999999</v>
      </c>
      <c r="I73" s="16">
        <v>31511134.579999998</v>
      </c>
      <c r="J73" s="16">
        <v>66223661.070000023</v>
      </c>
      <c r="K73" s="16">
        <v>0</v>
      </c>
      <c r="L73" s="16">
        <v>0</v>
      </c>
      <c r="M73" s="16">
        <v>9581.84</v>
      </c>
      <c r="N73" s="18">
        <f t="shared" si="2"/>
        <v>750245536.22921371</v>
      </c>
      <c r="O73" s="4"/>
    </row>
    <row r="74" spans="1:15" ht="15" x14ac:dyDescent="0.2">
      <c r="A74" s="17" t="s">
        <v>69</v>
      </c>
      <c r="B74" s="16">
        <v>358601806</v>
      </c>
      <c r="C74" s="16">
        <v>0</v>
      </c>
      <c r="D74" s="16">
        <v>4387550.6500000004</v>
      </c>
      <c r="E74" s="16">
        <v>0</v>
      </c>
      <c r="F74" s="16">
        <v>12085107.09</v>
      </c>
      <c r="G74" s="16">
        <v>13911818.453847613</v>
      </c>
      <c r="H74" s="16">
        <v>19759838.420000002</v>
      </c>
      <c r="I74" s="16">
        <v>22878037.09</v>
      </c>
      <c r="J74" s="16">
        <v>36470741.789999984</v>
      </c>
      <c r="K74" s="16">
        <v>0</v>
      </c>
      <c r="L74" s="16">
        <v>0</v>
      </c>
      <c r="M74" s="16">
        <v>6956.7</v>
      </c>
      <c r="N74" s="18">
        <f t="shared" si="2"/>
        <v>468101856.19384748</v>
      </c>
      <c r="O74" s="4"/>
    </row>
    <row r="75" spans="1:15" ht="15" x14ac:dyDescent="0.2">
      <c r="A75" s="17" t="s">
        <v>70</v>
      </c>
      <c r="B75" s="16">
        <v>60448004.93</v>
      </c>
      <c r="C75" s="16">
        <v>0</v>
      </c>
      <c r="D75" s="16">
        <v>1432895.6645498099</v>
      </c>
      <c r="E75" s="16">
        <v>0</v>
      </c>
      <c r="F75" s="16">
        <v>219681.85</v>
      </c>
      <c r="G75" s="16">
        <v>101693.92</v>
      </c>
      <c r="H75" s="16">
        <v>3330833.23</v>
      </c>
      <c r="I75" s="16">
        <v>415874.65</v>
      </c>
      <c r="J75" s="16">
        <v>4256257.9500000011</v>
      </c>
      <c r="K75" s="16">
        <v>0</v>
      </c>
      <c r="L75" s="16">
        <v>0</v>
      </c>
      <c r="M75" s="16">
        <v>126.43</v>
      </c>
      <c r="N75" s="18">
        <f t="shared" si="2"/>
        <v>70205368.624549821</v>
      </c>
      <c r="O75" s="4"/>
    </row>
    <row r="76" spans="1:15" ht="15" x14ac:dyDescent="0.2">
      <c r="A76" s="17" t="s">
        <v>71</v>
      </c>
      <c r="B76" s="16">
        <v>54613652.870000005</v>
      </c>
      <c r="C76" s="16">
        <v>0</v>
      </c>
      <c r="D76" s="16">
        <v>1871571.3595944229</v>
      </c>
      <c r="E76" s="16">
        <v>0</v>
      </c>
      <c r="F76" s="16">
        <v>395514.17</v>
      </c>
      <c r="G76" s="16">
        <v>239371.84</v>
      </c>
      <c r="H76" s="16">
        <v>3009346.13</v>
      </c>
      <c r="I76" s="16">
        <v>748738.75</v>
      </c>
      <c r="J76" s="16">
        <v>6142046.4000000013</v>
      </c>
      <c r="K76" s="16">
        <v>0</v>
      </c>
      <c r="L76" s="16">
        <v>0</v>
      </c>
      <c r="M76" s="16">
        <v>227.66000000000003</v>
      </c>
      <c r="N76" s="18">
        <f t="shared" si="2"/>
        <v>67020469.179594427</v>
      </c>
      <c r="O76" s="4"/>
    </row>
    <row r="77" spans="1:15" ht="15" x14ac:dyDescent="0.2">
      <c r="A77" s="17" t="s">
        <v>72</v>
      </c>
      <c r="B77" s="16">
        <v>74136063.980000004</v>
      </c>
      <c r="C77" s="16">
        <v>0</v>
      </c>
      <c r="D77" s="16">
        <v>1576602.4036817439</v>
      </c>
      <c r="E77" s="16">
        <v>0</v>
      </c>
      <c r="F77" s="16">
        <v>464544.63</v>
      </c>
      <c r="G77" s="16">
        <v>168968.36</v>
      </c>
      <c r="H77" s="16">
        <v>4085078.83</v>
      </c>
      <c r="I77" s="16">
        <v>879418.73</v>
      </c>
      <c r="J77" s="16">
        <v>3856483.0499999984</v>
      </c>
      <c r="K77" s="16">
        <v>0</v>
      </c>
      <c r="L77" s="16">
        <v>0</v>
      </c>
      <c r="M77" s="16">
        <v>267.38</v>
      </c>
      <c r="N77" s="18">
        <f t="shared" si="2"/>
        <v>85167427.363681734</v>
      </c>
      <c r="O77" s="4"/>
    </row>
    <row r="78" spans="1:15" ht="15" x14ac:dyDescent="0.2">
      <c r="A78" s="17" t="s">
        <v>73</v>
      </c>
      <c r="B78" s="16">
        <v>28482803.690000005</v>
      </c>
      <c r="C78" s="16">
        <v>0</v>
      </c>
      <c r="D78" s="16">
        <v>473368.40244931896</v>
      </c>
      <c r="E78" s="16">
        <v>0</v>
      </c>
      <c r="F78" s="16">
        <v>164978.47</v>
      </c>
      <c r="G78" s="16">
        <v>56322.79</v>
      </c>
      <c r="H78" s="16">
        <v>1569472.3</v>
      </c>
      <c r="I78" s="16">
        <v>312316.93</v>
      </c>
      <c r="J78" s="16">
        <v>1716342.1800000004</v>
      </c>
      <c r="K78" s="16">
        <v>0</v>
      </c>
      <c r="L78" s="16">
        <v>0</v>
      </c>
      <c r="M78" s="16">
        <v>94.95</v>
      </c>
      <c r="N78" s="18">
        <f t="shared" si="2"/>
        <v>32775699.71244932</v>
      </c>
      <c r="O78" s="4"/>
    </row>
    <row r="79" spans="1:15" ht="15" x14ac:dyDescent="0.2">
      <c r="A79" s="17" t="s">
        <v>74</v>
      </c>
      <c r="B79" s="16">
        <v>118546035.14</v>
      </c>
      <c r="C79" s="16">
        <v>0</v>
      </c>
      <c r="D79" s="16">
        <v>4040387.1676009316</v>
      </c>
      <c r="E79" s="16">
        <v>0</v>
      </c>
      <c r="F79" s="16">
        <v>829233.88</v>
      </c>
      <c r="G79" s="16">
        <v>419291.85</v>
      </c>
      <c r="H79" s="16">
        <v>6532177.0899999999</v>
      </c>
      <c r="I79" s="16">
        <v>1569803.52</v>
      </c>
      <c r="J79" s="16">
        <v>9430242.3600000013</v>
      </c>
      <c r="K79" s="16">
        <v>0</v>
      </c>
      <c r="L79" s="16">
        <v>0</v>
      </c>
      <c r="M79" s="16">
        <v>477.32000000000005</v>
      </c>
      <c r="N79" s="18">
        <f t="shared" si="2"/>
        <v>141367648.32760093</v>
      </c>
      <c r="O79" s="4"/>
    </row>
    <row r="80" spans="1:15" ht="15" x14ac:dyDescent="0.2">
      <c r="A80" s="17" t="s">
        <v>75</v>
      </c>
      <c r="B80" s="16">
        <v>72366158.780000001</v>
      </c>
      <c r="C80" s="16">
        <v>0</v>
      </c>
      <c r="D80" s="16">
        <v>2380002.7203155905</v>
      </c>
      <c r="E80" s="16">
        <v>0</v>
      </c>
      <c r="F80" s="16">
        <v>268307.09000000003</v>
      </c>
      <c r="G80" s="16">
        <v>175226.44</v>
      </c>
      <c r="H80" s="16">
        <v>3987552.72</v>
      </c>
      <c r="I80" s="16">
        <v>507925.96</v>
      </c>
      <c r="J80" s="16">
        <v>6246819.5999999987</v>
      </c>
      <c r="K80" s="16">
        <v>0</v>
      </c>
      <c r="L80" s="16">
        <v>0</v>
      </c>
      <c r="M80" s="16">
        <v>154.41</v>
      </c>
      <c r="N80" s="18">
        <f t="shared" si="2"/>
        <v>85932147.720315576</v>
      </c>
      <c r="O80" s="4"/>
    </row>
    <row r="81" spans="1:15" ht="15" x14ac:dyDescent="0.2">
      <c r="A81" s="17" t="s">
        <v>76</v>
      </c>
      <c r="B81" s="16">
        <v>35021950.230000004</v>
      </c>
      <c r="C81" s="16">
        <v>0</v>
      </c>
      <c r="D81" s="16">
        <v>1715400.359925908</v>
      </c>
      <c r="E81" s="16">
        <v>0</v>
      </c>
      <c r="F81" s="16">
        <v>696816.95</v>
      </c>
      <c r="G81" s="16">
        <v>361404.54</v>
      </c>
      <c r="H81" s="16">
        <v>1929795.3</v>
      </c>
      <c r="I81" s="16">
        <v>1319128.0900000001</v>
      </c>
      <c r="J81" s="16">
        <v>7132905.3600000013</v>
      </c>
      <c r="K81" s="16">
        <v>0</v>
      </c>
      <c r="L81" s="16">
        <v>0</v>
      </c>
      <c r="M81" s="16">
        <v>401.1</v>
      </c>
      <c r="N81" s="18">
        <f t="shared" si="2"/>
        <v>48177801.929925919</v>
      </c>
      <c r="O81" s="4"/>
    </row>
    <row r="82" spans="1:15" ht="15" x14ac:dyDescent="0.2">
      <c r="A82" s="17" t="s">
        <v>77</v>
      </c>
      <c r="B82" s="16">
        <v>488739334.70000005</v>
      </c>
      <c r="C82" s="16">
        <v>0</v>
      </c>
      <c r="D82" s="16">
        <v>5910501.2000000011</v>
      </c>
      <c r="E82" s="16">
        <v>0</v>
      </c>
      <c r="F82" s="16">
        <v>20082655.510000002</v>
      </c>
      <c r="G82" s="16">
        <v>14507744.359374635</v>
      </c>
      <c r="H82" s="16">
        <v>26930735.210000001</v>
      </c>
      <c r="I82" s="16">
        <v>38018011.270000003</v>
      </c>
      <c r="J82" s="16">
        <v>58961409.570000023</v>
      </c>
      <c r="K82" s="16">
        <v>0</v>
      </c>
      <c r="L82" s="16">
        <v>0</v>
      </c>
      <c r="M82" s="16">
        <v>11560.43</v>
      </c>
      <c r="N82" s="18">
        <f t="shared" si="2"/>
        <v>653161952.24937463</v>
      </c>
      <c r="O82" s="4"/>
    </row>
    <row r="83" spans="1:15" ht="15" x14ac:dyDescent="0.2">
      <c r="A83" s="17" t="s">
        <v>78</v>
      </c>
      <c r="B83" s="16">
        <v>152075246.60999998</v>
      </c>
      <c r="C83" s="16">
        <v>0</v>
      </c>
      <c r="D83" s="16">
        <v>2984055.3048746339</v>
      </c>
      <c r="E83" s="16">
        <v>0</v>
      </c>
      <c r="F83" s="16">
        <v>2223736.11</v>
      </c>
      <c r="G83" s="16">
        <v>1063874.8400000001</v>
      </c>
      <c r="H83" s="16">
        <v>8379718.8200000003</v>
      </c>
      <c r="I83" s="16">
        <v>4209703.4800000004</v>
      </c>
      <c r="J83" s="16">
        <v>12873657.089999996</v>
      </c>
      <c r="K83" s="16">
        <v>0</v>
      </c>
      <c r="L83" s="16">
        <v>0</v>
      </c>
      <c r="M83" s="16">
        <v>1280.06</v>
      </c>
      <c r="N83" s="18">
        <f t="shared" si="2"/>
        <v>183811272.31487462</v>
      </c>
      <c r="O83" s="4"/>
    </row>
    <row r="84" spans="1:15" ht="15" x14ac:dyDescent="0.2">
      <c r="A84" s="17" t="s">
        <v>79</v>
      </c>
      <c r="B84" s="16">
        <v>56526100.829999998</v>
      </c>
      <c r="C84" s="16">
        <v>0</v>
      </c>
      <c r="D84" s="16">
        <v>1151985.6245728908</v>
      </c>
      <c r="E84" s="16">
        <v>0</v>
      </c>
      <c r="F84" s="16">
        <v>446310.17</v>
      </c>
      <c r="G84" s="16">
        <v>92599.388690387452</v>
      </c>
      <c r="H84" s="16">
        <v>3114726.7</v>
      </c>
      <c r="I84" s="16">
        <v>844899.49</v>
      </c>
      <c r="J84" s="16">
        <v>5213297.25</v>
      </c>
      <c r="K84" s="16">
        <v>0</v>
      </c>
      <c r="L84" s="16">
        <v>0</v>
      </c>
      <c r="M84" s="16">
        <v>256.89</v>
      </c>
      <c r="N84" s="18">
        <f t="shared" si="2"/>
        <v>67390176.343263283</v>
      </c>
      <c r="O84" s="4"/>
    </row>
    <row r="85" spans="1:15" ht="15" x14ac:dyDescent="0.2">
      <c r="A85" s="17" t="s">
        <v>80</v>
      </c>
      <c r="B85" s="16">
        <v>55516423.340000004</v>
      </c>
      <c r="C85" s="16">
        <v>0</v>
      </c>
      <c r="D85" s="16">
        <v>1227611.6015977068</v>
      </c>
      <c r="E85" s="16">
        <v>0</v>
      </c>
      <c r="F85" s="16">
        <v>210998.78</v>
      </c>
      <c r="G85" s="16">
        <v>101693.92</v>
      </c>
      <c r="H85" s="16">
        <v>3059091</v>
      </c>
      <c r="I85" s="16">
        <v>399436.92</v>
      </c>
      <c r="J85" s="16">
        <v>3051183.6599999997</v>
      </c>
      <c r="K85" s="16">
        <v>0</v>
      </c>
      <c r="L85" s="16">
        <v>0</v>
      </c>
      <c r="M85" s="16">
        <v>121.43</v>
      </c>
      <c r="N85" s="18">
        <f t="shared" si="2"/>
        <v>63566560.651597708</v>
      </c>
      <c r="O85" s="4"/>
    </row>
    <row r="86" spans="1:15" ht="15" x14ac:dyDescent="0.2">
      <c r="A86" s="17" t="s">
        <v>81</v>
      </c>
      <c r="B86" s="16">
        <v>663461053.43000007</v>
      </c>
      <c r="C86" s="16">
        <v>0</v>
      </c>
      <c r="D86" s="16">
        <v>2973556.42</v>
      </c>
      <c r="E86" s="16">
        <v>0</v>
      </c>
      <c r="F86" s="16">
        <v>12600447.73</v>
      </c>
      <c r="G86" s="16">
        <v>3141247.1152675468</v>
      </c>
      <c r="H86" s="16">
        <v>36558330.140000001</v>
      </c>
      <c r="I86" s="16">
        <v>23853616.559999999</v>
      </c>
      <c r="J86" s="16">
        <v>26334919.380000006</v>
      </c>
      <c r="K86" s="16">
        <v>0</v>
      </c>
      <c r="L86" s="16">
        <v>0</v>
      </c>
      <c r="M86" s="16">
        <v>7253.3600000000006</v>
      </c>
      <c r="N86" s="18">
        <f t="shared" si="2"/>
        <v>768930424.1352675</v>
      </c>
      <c r="O86" s="4"/>
    </row>
    <row r="87" spans="1:15" ht="15" x14ac:dyDescent="0.2">
      <c r="A87" s="17" t="s">
        <v>82</v>
      </c>
      <c r="B87" s="16">
        <v>85489986.25</v>
      </c>
      <c r="C87" s="16">
        <v>0</v>
      </c>
      <c r="D87" s="16">
        <v>1652527.4401864328</v>
      </c>
      <c r="E87" s="16">
        <v>0</v>
      </c>
      <c r="F87" s="16">
        <v>357742.78</v>
      </c>
      <c r="G87" s="16">
        <v>212774.97</v>
      </c>
      <c r="H87" s="16">
        <v>4710707.78</v>
      </c>
      <c r="I87" s="16">
        <v>677234.61</v>
      </c>
      <c r="J87" s="16">
        <v>5788780.4100000001</v>
      </c>
      <c r="K87" s="16">
        <v>0</v>
      </c>
      <c r="L87" s="16">
        <v>0</v>
      </c>
      <c r="M87" s="16">
        <v>205.9</v>
      </c>
      <c r="N87" s="18">
        <f t="shared" si="2"/>
        <v>98889960.140186429</v>
      </c>
      <c r="O87" s="4"/>
    </row>
    <row r="88" spans="1:15" ht="15" x14ac:dyDescent="0.2">
      <c r="A88" s="17" t="s">
        <v>83</v>
      </c>
      <c r="B88" s="16">
        <v>82953913.989999995</v>
      </c>
      <c r="C88" s="16">
        <v>0</v>
      </c>
      <c r="D88" s="16">
        <v>693836.19885812094</v>
      </c>
      <c r="E88" s="16">
        <v>0</v>
      </c>
      <c r="F88" s="16">
        <v>1755718.24</v>
      </c>
      <c r="G88" s="16">
        <v>542889.06999999995</v>
      </c>
      <c r="H88" s="16">
        <v>4570963.9800000004</v>
      </c>
      <c r="I88" s="16">
        <v>3323709.66</v>
      </c>
      <c r="J88" s="16">
        <v>8574277.7400000039</v>
      </c>
      <c r="K88" s="16">
        <v>0</v>
      </c>
      <c r="L88" s="16">
        <v>0</v>
      </c>
      <c r="M88" s="16">
        <v>1010.6399999999999</v>
      </c>
      <c r="N88" s="18">
        <f t="shared" si="2"/>
        <v>102416319.51885812</v>
      </c>
      <c r="O88" s="4"/>
    </row>
    <row r="89" spans="1:15" ht="15" x14ac:dyDescent="0.2">
      <c r="A89" s="17" t="s">
        <v>84</v>
      </c>
      <c r="B89" s="16">
        <v>127169868.72999999</v>
      </c>
      <c r="C89" s="16">
        <v>0</v>
      </c>
      <c r="D89" s="16">
        <v>1870339.4137833687</v>
      </c>
      <c r="E89" s="16">
        <v>0</v>
      </c>
      <c r="F89" s="16">
        <v>1476557.3</v>
      </c>
      <c r="G89" s="16">
        <v>633631.34</v>
      </c>
      <c r="H89" s="16">
        <v>7007371.4500000002</v>
      </c>
      <c r="I89" s="16">
        <v>2795236.53</v>
      </c>
      <c r="J89" s="16">
        <v>9241057.5600000024</v>
      </c>
      <c r="K89" s="16">
        <v>0</v>
      </c>
      <c r="L89" s="16">
        <v>0</v>
      </c>
      <c r="M89" s="16">
        <v>849.96</v>
      </c>
      <c r="N89" s="18">
        <f t="shared" si="2"/>
        <v>150194912.28378338</v>
      </c>
      <c r="O89" s="4"/>
    </row>
    <row r="90" spans="1:15" ht="15" x14ac:dyDescent="0.2">
      <c r="A90" s="17" t="s">
        <v>85</v>
      </c>
      <c r="B90" s="16">
        <v>684333660.68000007</v>
      </c>
      <c r="C90" s="16">
        <v>0</v>
      </c>
      <c r="D90" s="16">
        <v>2519745.2699281173</v>
      </c>
      <c r="E90" s="16">
        <v>0</v>
      </c>
      <c r="F90" s="16">
        <v>20029254.59</v>
      </c>
      <c r="G90" s="16">
        <v>5394105.7830793085</v>
      </c>
      <c r="H90" s="16">
        <v>37708461.950000003</v>
      </c>
      <c r="I90" s="16">
        <v>37916919.210000001</v>
      </c>
      <c r="J90" s="16">
        <v>54673840.410000011</v>
      </c>
      <c r="K90" s="16">
        <v>0</v>
      </c>
      <c r="L90" s="16">
        <v>0</v>
      </c>
      <c r="M90" s="16">
        <v>11529.710000000001</v>
      </c>
      <c r="N90" s="18">
        <f t="shared" si="2"/>
        <v>842587517.60300756</v>
      </c>
      <c r="O90" s="4"/>
    </row>
    <row r="91" spans="1:15" ht="15" x14ac:dyDescent="0.2">
      <c r="A91" s="17" t="s">
        <v>86</v>
      </c>
      <c r="B91" s="16">
        <v>24913296.840000004</v>
      </c>
      <c r="C91" s="16">
        <v>0</v>
      </c>
      <c r="D91" s="16">
        <v>1122237.5514001949</v>
      </c>
      <c r="E91" s="16">
        <v>0</v>
      </c>
      <c r="F91" s="16">
        <v>464978.79</v>
      </c>
      <c r="G91" s="16">
        <v>211210.45</v>
      </c>
      <c r="H91" s="16">
        <v>1372783.72</v>
      </c>
      <c r="I91" s="16">
        <v>880240.61</v>
      </c>
      <c r="J91" s="16">
        <v>3929157.75</v>
      </c>
      <c r="K91" s="16">
        <v>0</v>
      </c>
      <c r="L91" s="16">
        <v>0</v>
      </c>
      <c r="M91" s="16">
        <v>267.64999999999998</v>
      </c>
      <c r="N91" s="18">
        <f t="shared" si="2"/>
        <v>32894173.361400194</v>
      </c>
      <c r="O91" s="4"/>
    </row>
    <row r="92" spans="1:15" ht="15" x14ac:dyDescent="0.2">
      <c r="A92" s="17" t="s">
        <v>87</v>
      </c>
      <c r="B92" s="16">
        <v>37437257.150000006</v>
      </c>
      <c r="C92" s="16">
        <v>0</v>
      </c>
      <c r="D92" s="16">
        <v>140087.07999999999</v>
      </c>
      <c r="E92" s="16">
        <v>0</v>
      </c>
      <c r="F92" s="16">
        <v>99421.23</v>
      </c>
      <c r="G92" s="16">
        <v>65709.919999999998</v>
      </c>
      <c r="H92" s="16">
        <v>2062884.63</v>
      </c>
      <c r="I92" s="16">
        <v>188212.05</v>
      </c>
      <c r="J92" s="16">
        <v>1700064.2399999993</v>
      </c>
      <c r="K92" s="16">
        <v>0</v>
      </c>
      <c r="L92" s="16">
        <v>0</v>
      </c>
      <c r="M92" s="16">
        <v>57.2</v>
      </c>
      <c r="N92" s="18">
        <f t="shared" si="2"/>
        <v>41693693.500000007</v>
      </c>
      <c r="O92" s="4"/>
    </row>
    <row r="93" spans="1:15" ht="15" x14ac:dyDescent="0.2">
      <c r="A93" s="17" t="s">
        <v>88</v>
      </c>
      <c r="B93" s="16">
        <v>359294721.93000001</v>
      </c>
      <c r="C93" s="16">
        <v>0</v>
      </c>
      <c r="D93" s="16">
        <v>2512106.1084538302</v>
      </c>
      <c r="E93" s="16">
        <v>0</v>
      </c>
      <c r="F93" s="16">
        <v>16233013.16</v>
      </c>
      <c r="G93" s="16">
        <v>2815112.5808268525</v>
      </c>
      <c r="H93" s="16">
        <v>19798019.780000001</v>
      </c>
      <c r="I93" s="16">
        <v>30730342.25</v>
      </c>
      <c r="J93" s="16">
        <v>51994434.660000011</v>
      </c>
      <c r="K93" s="16">
        <v>0</v>
      </c>
      <c r="L93" s="16">
        <v>0</v>
      </c>
      <c r="M93" s="16">
        <v>9344.42</v>
      </c>
      <c r="N93" s="18">
        <f t="shared" si="2"/>
        <v>483387094.8892808</v>
      </c>
      <c r="O93" s="4"/>
    </row>
    <row r="94" spans="1:15" ht="15" x14ac:dyDescent="0.2">
      <c r="A94" s="17" t="s">
        <v>89</v>
      </c>
      <c r="B94" s="16">
        <v>249926852.99000001</v>
      </c>
      <c r="C94" s="16">
        <v>0</v>
      </c>
      <c r="D94" s="16">
        <v>5043154.1399999997</v>
      </c>
      <c r="E94" s="16">
        <v>0</v>
      </c>
      <c r="F94" s="16">
        <v>7340239.46</v>
      </c>
      <c r="G94" s="16">
        <v>3613852.1359553686</v>
      </c>
      <c r="H94" s="16">
        <v>13771582.15</v>
      </c>
      <c r="I94" s="16">
        <v>13895637.77</v>
      </c>
      <c r="J94" s="16">
        <v>27782553.960000012</v>
      </c>
      <c r="K94" s="16">
        <v>0</v>
      </c>
      <c r="L94" s="16">
        <v>0</v>
      </c>
      <c r="M94" s="16">
        <v>4225.3500000000004</v>
      </c>
      <c r="N94" s="18">
        <f t="shared" si="2"/>
        <v>321378097.95595539</v>
      </c>
      <c r="O94" s="4"/>
    </row>
    <row r="95" spans="1:15" ht="15" x14ac:dyDescent="0.2">
      <c r="A95" s="17" t="s">
        <v>90</v>
      </c>
      <c r="B95" s="16">
        <v>43637864.710000001</v>
      </c>
      <c r="C95" s="16">
        <v>0</v>
      </c>
      <c r="D95" s="16">
        <v>1275998.6609936948</v>
      </c>
      <c r="E95" s="16">
        <v>0</v>
      </c>
      <c r="F95" s="16">
        <v>359913.55</v>
      </c>
      <c r="G95" s="16">
        <v>170532.88</v>
      </c>
      <c r="H95" s="16">
        <v>2404553.31</v>
      </c>
      <c r="I95" s="16">
        <v>681344.04</v>
      </c>
      <c r="J95" s="16">
        <v>4092598.0200000014</v>
      </c>
      <c r="K95" s="16">
        <v>0</v>
      </c>
      <c r="L95" s="16">
        <v>0</v>
      </c>
      <c r="M95" s="16">
        <v>207.16</v>
      </c>
      <c r="N95" s="18">
        <f t="shared" si="2"/>
        <v>52623012.330993697</v>
      </c>
      <c r="O95" s="4"/>
    </row>
    <row r="96" spans="1:15" ht="15" x14ac:dyDescent="0.2">
      <c r="A96" s="17" t="s">
        <v>91</v>
      </c>
      <c r="B96" s="16">
        <v>156862305.73000002</v>
      </c>
      <c r="C96" s="16">
        <v>0</v>
      </c>
      <c r="D96" s="16">
        <v>4156654.4010687098</v>
      </c>
      <c r="E96" s="16">
        <v>0</v>
      </c>
      <c r="F96" s="16">
        <v>2017078.87</v>
      </c>
      <c r="G96" s="16">
        <v>930890.48</v>
      </c>
      <c r="H96" s="16">
        <v>8643497.5099999998</v>
      </c>
      <c r="I96" s="16">
        <v>3818485.43</v>
      </c>
      <c r="J96" s="16">
        <v>14663205.269999994</v>
      </c>
      <c r="K96" s="16">
        <v>0</v>
      </c>
      <c r="L96" s="16">
        <v>0</v>
      </c>
      <c r="M96" s="16">
        <v>1161.0900000000001</v>
      </c>
      <c r="N96" s="18">
        <f t="shared" si="2"/>
        <v>191093278.78106871</v>
      </c>
      <c r="O96" s="4"/>
    </row>
    <row r="97" spans="1:15" ht="15" x14ac:dyDescent="0.2">
      <c r="A97" s="17" t="s">
        <v>92</v>
      </c>
      <c r="B97" s="16">
        <v>73464925.430000007</v>
      </c>
      <c r="C97" s="16">
        <v>0</v>
      </c>
      <c r="D97" s="16">
        <v>3746866.5748796114</v>
      </c>
      <c r="E97" s="16">
        <v>0</v>
      </c>
      <c r="F97" s="16">
        <v>931260.04</v>
      </c>
      <c r="G97" s="16">
        <v>477179.16</v>
      </c>
      <c r="H97" s="16">
        <v>4048097.45</v>
      </c>
      <c r="I97" s="16">
        <v>1762946.89</v>
      </c>
      <c r="J97" s="16">
        <v>9790942.5600000005</v>
      </c>
      <c r="K97" s="16">
        <v>0</v>
      </c>
      <c r="L97" s="16">
        <v>0</v>
      </c>
      <c r="M97" s="16">
        <v>536.05000000000007</v>
      </c>
      <c r="N97" s="18">
        <f t="shared" si="2"/>
        <v>94222754.15487963</v>
      </c>
      <c r="O97" s="4"/>
    </row>
    <row r="98" spans="1:15" ht="15" x14ac:dyDescent="0.2">
      <c r="A98" s="17" t="s">
        <v>93</v>
      </c>
      <c r="B98" s="16">
        <v>204491366.25</v>
      </c>
      <c r="C98" s="16">
        <v>0</v>
      </c>
      <c r="D98" s="16">
        <v>5025125.3919221684</v>
      </c>
      <c r="E98" s="16">
        <v>0</v>
      </c>
      <c r="F98" s="16">
        <v>2165559.4900000002</v>
      </c>
      <c r="G98" s="16">
        <v>1118633.1000000001</v>
      </c>
      <c r="H98" s="16">
        <v>11267975.48</v>
      </c>
      <c r="I98" s="16">
        <v>4099570.66</v>
      </c>
      <c r="J98" s="16">
        <v>18888610.019999996</v>
      </c>
      <c r="K98" s="16">
        <v>0</v>
      </c>
      <c r="L98" s="16">
        <v>0</v>
      </c>
      <c r="M98" s="16">
        <v>1246.56</v>
      </c>
      <c r="N98" s="18">
        <f t="shared" si="2"/>
        <v>247058086.95192218</v>
      </c>
      <c r="O98" s="4"/>
    </row>
    <row r="99" spans="1:15" ht="15" x14ac:dyDescent="0.2">
      <c r="A99" s="17" t="s">
        <v>94</v>
      </c>
      <c r="B99" s="16">
        <v>139937339.47</v>
      </c>
      <c r="C99" s="16">
        <v>0</v>
      </c>
      <c r="D99" s="16">
        <v>2901635.0010092594</v>
      </c>
      <c r="E99" s="16">
        <v>0</v>
      </c>
      <c r="F99" s="16">
        <v>802750.5</v>
      </c>
      <c r="G99" s="16">
        <v>301952.71000000002</v>
      </c>
      <c r="H99" s="16">
        <v>7710890.3799999999</v>
      </c>
      <c r="I99" s="16">
        <v>1519668.44</v>
      </c>
      <c r="J99" s="16">
        <v>12336900.870000001</v>
      </c>
      <c r="K99" s="16">
        <v>0</v>
      </c>
      <c r="L99" s="16">
        <v>0</v>
      </c>
      <c r="M99" s="16">
        <v>462.08</v>
      </c>
      <c r="N99" s="18">
        <f t="shared" si="2"/>
        <v>165511599.45100927</v>
      </c>
      <c r="O99" s="4"/>
    </row>
    <row r="100" spans="1:15" ht="15" x14ac:dyDescent="0.2">
      <c r="A100" s="17" t="s">
        <v>95</v>
      </c>
      <c r="B100" s="16">
        <v>132984423.11999999</v>
      </c>
      <c r="C100" s="16">
        <v>0</v>
      </c>
      <c r="D100" s="16">
        <v>2913752.9903839449</v>
      </c>
      <c r="E100" s="16">
        <v>0</v>
      </c>
      <c r="F100" s="16">
        <v>901303.43</v>
      </c>
      <c r="G100" s="16">
        <v>398953.06</v>
      </c>
      <c r="H100" s="16">
        <v>7327767.6500000004</v>
      </c>
      <c r="I100" s="16">
        <v>1706236.71</v>
      </c>
      <c r="J100" s="16">
        <v>9884802.6899999995</v>
      </c>
      <c r="K100" s="16">
        <v>0</v>
      </c>
      <c r="L100" s="16">
        <v>0</v>
      </c>
      <c r="M100" s="16">
        <v>518.80000000000007</v>
      </c>
      <c r="N100" s="18">
        <f t="shared" si="2"/>
        <v>156117758.45038396</v>
      </c>
      <c r="O100" s="4"/>
    </row>
    <row r="101" spans="1:15" ht="15" x14ac:dyDescent="0.2">
      <c r="A101" s="17" t="s">
        <v>96</v>
      </c>
      <c r="B101" s="16">
        <v>26877218.550000001</v>
      </c>
      <c r="C101" s="16">
        <v>0</v>
      </c>
      <c r="D101" s="16">
        <v>735085.90189944988</v>
      </c>
      <c r="E101" s="16">
        <v>0</v>
      </c>
      <c r="F101" s="16">
        <v>107670.15</v>
      </c>
      <c r="G101" s="16">
        <v>59451.83</v>
      </c>
      <c r="H101" s="16">
        <v>1481000.62</v>
      </c>
      <c r="I101" s="16">
        <v>203827.89</v>
      </c>
      <c r="J101" s="16">
        <v>2082096.2399999993</v>
      </c>
      <c r="K101" s="16">
        <v>0</v>
      </c>
      <c r="L101" s="16">
        <v>0</v>
      </c>
      <c r="M101" s="16">
        <v>61.95</v>
      </c>
      <c r="N101" s="18">
        <f t="shared" si="2"/>
        <v>31546413.131899446</v>
      </c>
      <c r="O101" s="4"/>
    </row>
    <row r="102" spans="1:15" ht="15" x14ac:dyDescent="0.2">
      <c r="A102" s="17" t="s">
        <v>97</v>
      </c>
      <c r="B102" s="16">
        <v>88804104.140000015</v>
      </c>
      <c r="C102" s="16">
        <v>0</v>
      </c>
      <c r="D102" s="16">
        <v>4433851.2457303014</v>
      </c>
      <c r="E102" s="16">
        <v>0</v>
      </c>
      <c r="F102" s="16">
        <v>2084806.87</v>
      </c>
      <c r="G102" s="16">
        <v>1046665.1</v>
      </c>
      <c r="H102" s="16">
        <v>4893323.79</v>
      </c>
      <c r="I102" s="16">
        <v>3946699.75</v>
      </c>
      <c r="J102" s="16">
        <v>14011128.809999997</v>
      </c>
      <c r="K102" s="16">
        <v>0</v>
      </c>
      <c r="L102" s="16">
        <v>0</v>
      </c>
      <c r="M102" s="16">
        <v>1200.0899999999999</v>
      </c>
      <c r="N102" s="18">
        <f t="shared" si="2"/>
        <v>119221779.79573032</v>
      </c>
      <c r="O102" s="4"/>
    </row>
    <row r="103" spans="1:15" ht="15" x14ac:dyDescent="0.2">
      <c r="A103" s="17" t="s">
        <v>98</v>
      </c>
      <c r="B103" s="16">
        <v>30777345.280000001</v>
      </c>
      <c r="C103" s="16">
        <v>0</v>
      </c>
      <c r="D103" s="16">
        <v>1248151.2761852059</v>
      </c>
      <c r="E103" s="16">
        <v>0</v>
      </c>
      <c r="F103" s="16">
        <v>51664.31</v>
      </c>
      <c r="G103" s="16">
        <v>35984</v>
      </c>
      <c r="H103" s="16">
        <v>1695907.16</v>
      </c>
      <c r="I103" s="16">
        <v>97804.51</v>
      </c>
      <c r="J103" s="16">
        <v>2928649.290000001</v>
      </c>
      <c r="K103" s="16">
        <v>0</v>
      </c>
      <c r="L103" s="16">
        <v>0</v>
      </c>
      <c r="M103" s="16">
        <v>29.71</v>
      </c>
      <c r="N103" s="18">
        <f t="shared" si="2"/>
        <v>36835535.536185205</v>
      </c>
      <c r="O103" s="4"/>
    </row>
    <row r="104" spans="1:15" ht="15" x14ac:dyDescent="0.2">
      <c r="A104" s="17" t="s">
        <v>99</v>
      </c>
      <c r="B104" s="16">
        <v>410750658.10000002</v>
      </c>
      <c r="C104" s="16">
        <v>0</v>
      </c>
      <c r="D104" s="16">
        <v>4285802.313983487</v>
      </c>
      <c r="E104" s="16">
        <v>0</v>
      </c>
      <c r="F104" s="16">
        <v>10587710.4</v>
      </c>
      <c r="G104" s="16">
        <v>1971893.9210608318</v>
      </c>
      <c r="H104" s="16">
        <v>22633367.98</v>
      </c>
      <c r="I104" s="16">
        <v>20043350</v>
      </c>
      <c r="J104" s="16">
        <v>32697919.800000012</v>
      </c>
      <c r="K104" s="16">
        <v>0</v>
      </c>
      <c r="L104" s="16">
        <v>0</v>
      </c>
      <c r="M104" s="16">
        <v>6094.74</v>
      </c>
      <c r="N104" s="18">
        <f t="shared" ref="N104:N135" si="3">SUM(B104:M104)</f>
        <v>502976797.2550444</v>
      </c>
      <c r="O104" s="4"/>
    </row>
    <row r="105" spans="1:15" ht="15" x14ac:dyDescent="0.2">
      <c r="A105" s="17" t="s">
        <v>100</v>
      </c>
      <c r="B105" s="16">
        <v>69339106.069999993</v>
      </c>
      <c r="C105" s="16">
        <v>0</v>
      </c>
      <c r="D105" s="16">
        <v>1019572.5400000002</v>
      </c>
      <c r="E105" s="16">
        <v>0</v>
      </c>
      <c r="F105" s="16">
        <v>456295.71</v>
      </c>
      <c r="G105" s="16">
        <v>258146.1</v>
      </c>
      <c r="H105" s="16">
        <v>3820754.69</v>
      </c>
      <c r="I105" s="16">
        <v>863802.88</v>
      </c>
      <c r="J105" s="16">
        <v>4217842.4400000013</v>
      </c>
      <c r="K105" s="16">
        <v>0</v>
      </c>
      <c r="L105" s="16">
        <v>0</v>
      </c>
      <c r="M105" s="16">
        <v>262.64000000000004</v>
      </c>
      <c r="N105" s="18">
        <f t="shared" si="3"/>
        <v>79975783.069999978</v>
      </c>
      <c r="O105" s="4"/>
    </row>
    <row r="106" spans="1:15" ht="15" x14ac:dyDescent="0.2">
      <c r="A106" s="17" t="s">
        <v>101</v>
      </c>
      <c r="B106" s="16">
        <v>79216127.530000001</v>
      </c>
      <c r="C106" s="16">
        <v>0</v>
      </c>
      <c r="D106" s="16">
        <v>448993.24</v>
      </c>
      <c r="E106" s="16">
        <v>0</v>
      </c>
      <c r="F106" s="16">
        <v>3233143.86</v>
      </c>
      <c r="G106" s="16">
        <v>830786.61792599002</v>
      </c>
      <c r="H106" s="16">
        <v>4365002.79</v>
      </c>
      <c r="I106" s="16">
        <v>6120589.96</v>
      </c>
      <c r="J106" s="16">
        <v>11249929.739999993</v>
      </c>
      <c r="K106" s="16">
        <v>0</v>
      </c>
      <c r="L106" s="16">
        <v>0</v>
      </c>
      <c r="M106" s="16">
        <v>1861.1100000000001</v>
      </c>
      <c r="N106" s="18">
        <f t="shared" si="3"/>
        <v>105466434.84792598</v>
      </c>
      <c r="O106" s="4"/>
    </row>
    <row r="107" spans="1:15" ht="15" x14ac:dyDescent="0.2">
      <c r="A107" s="17" t="s">
        <v>102</v>
      </c>
      <c r="B107" s="16">
        <v>108233466.49999997</v>
      </c>
      <c r="C107" s="16">
        <v>0</v>
      </c>
      <c r="D107" s="16">
        <v>2000593.4547207116</v>
      </c>
      <c r="E107" s="16">
        <v>0</v>
      </c>
      <c r="F107" s="16">
        <v>179739.7</v>
      </c>
      <c r="G107" s="16">
        <v>158016.70000000001</v>
      </c>
      <c r="H107" s="16">
        <v>5963929.2800000003</v>
      </c>
      <c r="I107" s="16">
        <v>340261.08</v>
      </c>
      <c r="J107" s="16">
        <v>5484971.3099999996</v>
      </c>
      <c r="K107" s="16">
        <v>0</v>
      </c>
      <c r="L107" s="16">
        <v>0</v>
      </c>
      <c r="M107" s="16">
        <v>103.44</v>
      </c>
      <c r="N107" s="18">
        <f t="shared" si="3"/>
        <v>122361081.46472068</v>
      </c>
      <c r="O107" s="4"/>
    </row>
    <row r="108" spans="1:15" ht="15" x14ac:dyDescent="0.2">
      <c r="A108" s="17" t="s">
        <v>103</v>
      </c>
      <c r="B108" s="16">
        <v>37611475.990000002</v>
      </c>
      <c r="C108" s="16">
        <v>0</v>
      </c>
      <c r="D108" s="16">
        <v>873948.77353837504</v>
      </c>
      <c r="E108" s="16">
        <v>0</v>
      </c>
      <c r="F108" s="16">
        <v>182344.62</v>
      </c>
      <c r="G108" s="16">
        <v>98564.87</v>
      </c>
      <c r="H108" s="16">
        <v>2072484.52</v>
      </c>
      <c r="I108" s="16">
        <v>345192.4</v>
      </c>
      <c r="J108" s="16">
        <v>2783702.67</v>
      </c>
      <c r="K108" s="16">
        <v>0</v>
      </c>
      <c r="L108" s="16">
        <v>0</v>
      </c>
      <c r="M108" s="16">
        <v>104.94</v>
      </c>
      <c r="N108" s="18">
        <f t="shared" si="3"/>
        <v>43967818.783538371</v>
      </c>
      <c r="O108" s="4"/>
    </row>
    <row r="109" spans="1:15" ht="15" x14ac:dyDescent="0.2">
      <c r="A109" s="17" t="s">
        <v>104</v>
      </c>
      <c r="B109" s="16">
        <v>413611410.98000002</v>
      </c>
      <c r="C109" s="16">
        <v>0</v>
      </c>
      <c r="D109" s="16">
        <v>7904721.7443389762</v>
      </c>
      <c r="E109" s="16">
        <v>0</v>
      </c>
      <c r="F109" s="16">
        <v>18617386.199999999</v>
      </c>
      <c r="G109" s="16">
        <v>9170787.6772985663</v>
      </c>
      <c r="H109" s="16">
        <v>22791002.48</v>
      </c>
      <c r="I109" s="16">
        <v>35244143.789999999</v>
      </c>
      <c r="J109" s="16">
        <v>51794812.859999985</v>
      </c>
      <c r="K109" s="16">
        <v>0</v>
      </c>
      <c r="L109" s="16">
        <v>0</v>
      </c>
      <c r="M109" s="16">
        <v>10716.97</v>
      </c>
      <c r="N109" s="18">
        <f t="shared" si="3"/>
        <v>559144982.70163763</v>
      </c>
      <c r="O109" s="4"/>
    </row>
    <row r="110" spans="1:15" ht="15" x14ac:dyDescent="0.2">
      <c r="A110" s="17" t="s">
        <v>105</v>
      </c>
      <c r="B110" s="16">
        <v>48258624.049999997</v>
      </c>
      <c r="C110" s="16">
        <v>0</v>
      </c>
      <c r="D110" s="16">
        <v>1409448.4674588488</v>
      </c>
      <c r="E110" s="16">
        <v>0</v>
      </c>
      <c r="F110" s="16">
        <v>711578.19</v>
      </c>
      <c r="G110" s="16">
        <v>330114.09999999998</v>
      </c>
      <c r="H110" s="16">
        <v>2659168.4700000002</v>
      </c>
      <c r="I110" s="16">
        <v>1347072.24</v>
      </c>
      <c r="J110" s="16">
        <v>6104051.9399999995</v>
      </c>
      <c r="K110" s="16">
        <v>0</v>
      </c>
      <c r="L110" s="16">
        <v>0</v>
      </c>
      <c r="M110" s="16">
        <v>409.59</v>
      </c>
      <c r="N110" s="18">
        <f t="shared" si="3"/>
        <v>60820467.04745885</v>
      </c>
      <c r="O110" s="4"/>
    </row>
    <row r="111" spans="1:15" ht="15" x14ac:dyDescent="0.2">
      <c r="A111" s="17" t="s">
        <v>106</v>
      </c>
      <c r="B111" s="16">
        <v>58947347.039999999</v>
      </c>
      <c r="C111" s="16">
        <v>0</v>
      </c>
      <c r="D111" s="16">
        <v>1595080.6930333818</v>
      </c>
      <c r="E111" s="16">
        <v>0</v>
      </c>
      <c r="F111" s="16">
        <v>247901.85</v>
      </c>
      <c r="G111" s="16">
        <v>151758.62</v>
      </c>
      <c r="H111" s="16">
        <v>3248143.3</v>
      </c>
      <c r="I111" s="16">
        <v>469297.28</v>
      </c>
      <c r="J111" s="16">
        <v>4839962.6100000013</v>
      </c>
      <c r="K111" s="16">
        <v>0</v>
      </c>
      <c r="L111" s="16">
        <v>0</v>
      </c>
      <c r="M111" s="16">
        <v>142.68</v>
      </c>
      <c r="N111" s="18">
        <f t="shared" si="3"/>
        <v>69499634.073033392</v>
      </c>
      <c r="O111" s="4"/>
    </row>
    <row r="112" spans="1:15" ht="15" x14ac:dyDescent="0.2">
      <c r="A112" s="17" t="s">
        <v>107</v>
      </c>
      <c r="B112" s="16">
        <v>78925102.870000005</v>
      </c>
      <c r="C112" s="16">
        <v>0</v>
      </c>
      <c r="D112" s="16">
        <v>2078365.9378782737</v>
      </c>
      <c r="E112" s="16">
        <v>0</v>
      </c>
      <c r="F112" s="16">
        <v>301302.78000000003</v>
      </c>
      <c r="G112" s="16">
        <v>172097.4</v>
      </c>
      <c r="H112" s="16">
        <v>4348966.6100000003</v>
      </c>
      <c r="I112" s="16">
        <v>570389.34</v>
      </c>
      <c r="J112" s="16">
        <v>5064505.3199999994</v>
      </c>
      <c r="K112" s="16">
        <v>0</v>
      </c>
      <c r="L112" s="16">
        <v>0</v>
      </c>
      <c r="M112" s="16">
        <v>173.42000000000002</v>
      </c>
      <c r="N112" s="18">
        <f t="shared" si="3"/>
        <v>91460903.67787829</v>
      </c>
      <c r="O112" s="4"/>
    </row>
    <row r="113" spans="1:15" ht="15" x14ac:dyDescent="0.2">
      <c r="A113" s="17" t="s">
        <v>108</v>
      </c>
      <c r="B113" s="16">
        <v>63126619.920000002</v>
      </c>
      <c r="C113" s="16">
        <v>0</v>
      </c>
      <c r="D113" s="16">
        <v>2920480.0971207027</v>
      </c>
      <c r="E113" s="16">
        <v>0</v>
      </c>
      <c r="F113" s="16">
        <v>424602.48</v>
      </c>
      <c r="G113" s="16">
        <v>234678.27</v>
      </c>
      <c r="H113" s="16">
        <v>3478431.48</v>
      </c>
      <c r="I113" s="16">
        <v>803805.15</v>
      </c>
      <c r="J113" s="16">
        <v>5025503.91</v>
      </c>
      <c r="K113" s="16">
        <v>0</v>
      </c>
      <c r="L113" s="16">
        <v>0</v>
      </c>
      <c r="M113" s="16">
        <v>244.39999999999998</v>
      </c>
      <c r="N113" s="18">
        <f t="shared" si="3"/>
        <v>76014365.707120717</v>
      </c>
      <c r="O113" s="4"/>
    </row>
    <row r="114" spans="1:15" ht="15" x14ac:dyDescent="0.2">
      <c r="A114" s="17" t="s">
        <v>109</v>
      </c>
      <c r="B114" s="16">
        <v>42354980.400000006</v>
      </c>
      <c r="C114" s="16">
        <v>0</v>
      </c>
      <c r="D114" s="16">
        <v>1274238.4954342959</v>
      </c>
      <c r="E114" s="16">
        <v>0</v>
      </c>
      <c r="F114" s="16">
        <v>257019.09</v>
      </c>
      <c r="G114" s="16">
        <v>125161.75</v>
      </c>
      <c r="H114" s="16">
        <v>2333863.23</v>
      </c>
      <c r="I114" s="16">
        <v>486556.9</v>
      </c>
      <c r="J114" s="16">
        <v>3805964.1900000018</v>
      </c>
      <c r="K114" s="16">
        <v>0</v>
      </c>
      <c r="L114" s="16">
        <v>0</v>
      </c>
      <c r="M114" s="16">
        <v>147.93</v>
      </c>
      <c r="N114" s="18">
        <f t="shared" si="3"/>
        <v>50637931.985434309</v>
      </c>
      <c r="O114" s="4"/>
    </row>
    <row r="115" spans="1:15" ht="15" x14ac:dyDescent="0.2">
      <c r="A115" s="17" t="s">
        <v>110</v>
      </c>
      <c r="B115" s="16">
        <v>113481809.65000001</v>
      </c>
      <c r="C115" s="16">
        <v>0</v>
      </c>
      <c r="D115" s="16">
        <v>1628722.1489242658</v>
      </c>
      <c r="E115" s="16">
        <v>0</v>
      </c>
      <c r="F115" s="16">
        <v>266136.32000000001</v>
      </c>
      <c r="G115" s="16">
        <v>208081.4</v>
      </c>
      <c r="H115" s="16">
        <v>6253125.8499999996</v>
      </c>
      <c r="I115" s="16">
        <v>503816.52</v>
      </c>
      <c r="J115" s="16">
        <v>5044015.8300000019</v>
      </c>
      <c r="K115" s="16">
        <v>0</v>
      </c>
      <c r="L115" s="16">
        <v>0</v>
      </c>
      <c r="M115" s="16">
        <v>153.18</v>
      </c>
      <c r="N115" s="18">
        <f t="shared" si="3"/>
        <v>127385860.89892426</v>
      </c>
      <c r="O115" s="4"/>
    </row>
    <row r="116" spans="1:15" ht="15" x14ac:dyDescent="0.2">
      <c r="A116" s="17" t="s">
        <v>111</v>
      </c>
      <c r="B116" s="16">
        <v>59798643.730000004</v>
      </c>
      <c r="C116" s="16">
        <v>0</v>
      </c>
      <c r="D116" s="16">
        <v>1971872.5752940588</v>
      </c>
      <c r="E116" s="16">
        <v>0</v>
      </c>
      <c r="F116" s="16">
        <v>734588.34</v>
      </c>
      <c r="G116" s="16">
        <v>320726.96999999997</v>
      </c>
      <c r="H116" s="16">
        <v>3295051.84</v>
      </c>
      <c r="I116" s="16">
        <v>1390632.23</v>
      </c>
      <c r="J116" s="16">
        <v>6823383.2099999972</v>
      </c>
      <c r="K116" s="16">
        <v>0</v>
      </c>
      <c r="L116" s="16">
        <v>0</v>
      </c>
      <c r="M116" s="16">
        <v>422.84000000000003</v>
      </c>
      <c r="N116" s="18">
        <f t="shared" si="3"/>
        <v>74335321.735294074</v>
      </c>
      <c r="O116" s="4"/>
    </row>
    <row r="117" spans="1:15" ht="15" x14ac:dyDescent="0.2">
      <c r="A117" s="17" t="s">
        <v>112</v>
      </c>
      <c r="B117" s="16">
        <v>34750723.139999993</v>
      </c>
      <c r="C117" s="16">
        <v>0</v>
      </c>
      <c r="D117" s="16">
        <v>559671.64086140506</v>
      </c>
      <c r="E117" s="16">
        <v>0</v>
      </c>
      <c r="F117" s="16">
        <v>154558.76999999999</v>
      </c>
      <c r="G117" s="16">
        <v>86048.7</v>
      </c>
      <c r="H117" s="16">
        <v>1914850.02</v>
      </c>
      <c r="I117" s="16">
        <v>292591.65000000002</v>
      </c>
      <c r="J117" s="16">
        <v>2108518.2299999991</v>
      </c>
      <c r="K117" s="16">
        <v>0</v>
      </c>
      <c r="L117" s="16">
        <v>0</v>
      </c>
      <c r="M117" s="16">
        <v>88.95</v>
      </c>
      <c r="N117" s="18">
        <f t="shared" si="3"/>
        <v>39867051.100861408</v>
      </c>
      <c r="O117" s="4"/>
    </row>
    <row r="118" spans="1:15" ht="15" x14ac:dyDescent="0.2">
      <c r="A118" s="17" t="s">
        <v>113</v>
      </c>
      <c r="B118" s="16">
        <v>52726941.849999994</v>
      </c>
      <c r="C118" s="16">
        <v>0</v>
      </c>
      <c r="D118" s="16">
        <v>1495859.1669440628</v>
      </c>
      <c r="E118" s="16">
        <v>0</v>
      </c>
      <c r="F118" s="16">
        <v>728944.34</v>
      </c>
      <c r="G118" s="16">
        <v>326985.06</v>
      </c>
      <c r="H118" s="16">
        <v>2905383.73</v>
      </c>
      <c r="I118" s="16">
        <v>1379947.7</v>
      </c>
      <c r="J118" s="16">
        <v>5450913.5099999988</v>
      </c>
      <c r="K118" s="16">
        <v>0</v>
      </c>
      <c r="L118" s="16">
        <v>0</v>
      </c>
      <c r="M118" s="16">
        <v>419.58</v>
      </c>
      <c r="N118" s="18">
        <f t="shared" si="3"/>
        <v>65015394.93694406</v>
      </c>
      <c r="O118" s="4"/>
    </row>
    <row r="119" spans="1:15" ht="15" x14ac:dyDescent="0.2">
      <c r="A119" s="17" t="s">
        <v>114</v>
      </c>
      <c r="B119" s="16">
        <v>76618682.760000005</v>
      </c>
      <c r="C119" s="16">
        <v>0</v>
      </c>
      <c r="D119" s="16">
        <v>1250014.731176073</v>
      </c>
      <c r="E119" s="16">
        <v>0</v>
      </c>
      <c r="F119" s="16">
        <v>585673.56000000006</v>
      </c>
      <c r="G119" s="16">
        <v>229984.71</v>
      </c>
      <c r="H119" s="16">
        <v>4221877.21</v>
      </c>
      <c r="I119" s="16">
        <v>1108725.1100000001</v>
      </c>
      <c r="J119" s="16">
        <v>5030740.6800000006</v>
      </c>
      <c r="K119" s="16">
        <v>0</v>
      </c>
      <c r="L119" s="16">
        <v>0</v>
      </c>
      <c r="M119" s="16">
        <v>337.13</v>
      </c>
      <c r="N119" s="18">
        <f t="shared" si="3"/>
        <v>89046035.891176075</v>
      </c>
      <c r="O119" s="4"/>
    </row>
    <row r="120" spans="1:15" ht="15" x14ac:dyDescent="0.2">
      <c r="A120" s="17" t="s">
        <v>115</v>
      </c>
      <c r="B120" s="16">
        <v>50654133.359999999</v>
      </c>
      <c r="C120" s="16">
        <v>0</v>
      </c>
      <c r="D120" s="16">
        <v>1876736.626331181</v>
      </c>
      <c r="E120" s="16">
        <v>0</v>
      </c>
      <c r="F120" s="16">
        <v>394645.86</v>
      </c>
      <c r="G120" s="16">
        <v>231549.23</v>
      </c>
      <c r="H120" s="16">
        <v>2791166.9</v>
      </c>
      <c r="I120" s="16">
        <v>747094.97</v>
      </c>
      <c r="J120" s="16">
        <v>5395102.8600000013</v>
      </c>
      <c r="K120" s="16">
        <v>0</v>
      </c>
      <c r="L120" s="16">
        <v>0</v>
      </c>
      <c r="M120" s="16">
        <v>227.14000000000001</v>
      </c>
      <c r="N120" s="18">
        <f t="shared" si="3"/>
        <v>62090656.946331173</v>
      </c>
      <c r="O120" s="4"/>
    </row>
    <row r="121" spans="1:15" ht="15" x14ac:dyDescent="0.2">
      <c r="A121" s="17" t="s">
        <v>116</v>
      </c>
      <c r="B121" s="16">
        <v>55072957.150000006</v>
      </c>
      <c r="C121" s="16">
        <v>0</v>
      </c>
      <c r="D121" s="16">
        <v>1388674.0220583498</v>
      </c>
      <c r="E121" s="16">
        <v>0</v>
      </c>
      <c r="F121" s="16">
        <v>165846.76999999999</v>
      </c>
      <c r="G121" s="16">
        <v>84484.18</v>
      </c>
      <c r="H121" s="16">
        <v>3034654.92</v>
      </c>
      <c r="I121" s="16">
        <v>313960.7</v>
      </c>
      <c r="J121" s="16">
        <v>2961351.959999999</v>
      </c>
      <c r="K121" s="16">
        <v>0</v>
      </c>
      <c r="L121" s="16">
        <v>0</v>
      </c>
      <c r="M121" s="16">
        <v>95.429999999999993</v>
      </c>
      <c r="N121" s="18">
        <f t="shared" si="3"/>
        <v>63022025.132058367</v>
      </c>
      <c r="O121" s="4"/>
    </row>
    <row r="122" spans="1:15" ht="15" x14ac:dyDescent="0.2">
      <c r="A122" s="17" t="s">
        <v>117</v>
      </c>
      <c r="B122" s="16">
        <v>154256941.84999999</v>
      </c>
      <c r="C122" s="16">
        <v>0</v>
      </c>
      <c r="D122" s="16">
        <v>3176884.0149999997</v>
      </c>
      <c r="E122" s="16">
        <v>0</v>
      </c>
      <c r="F122" s="16">
        <v>4992769.49</v>
      </c>
      <c r="G122" s="16">
        <v>2138705.2357066949</v>
      </c>
      <c r="H122" s="16">
        <v>8499935.5700000003</v>
      </c>
      <c r="I122" s="16">
        <v>9451696.5999999996</v>
      </c>
      <c r="J122" s="16">
        <v>13877241.839999992</v>
      </c>
      <c r="K122" s="16">
        <v>0</v>
      </c>
      <c r="L122" s="16">
        <v>0</v>
      </c>
      <c r="M122" s="16">
        <v>2874.04</v>
      </c>
      <c r="N122" s="18">
        <f t="shared" si="3"/>
        <v>196397048.64070666</v>
      </c>
      <c r="O122" s="4"/>
    </row>
    <row r="123" spans="1:15" ht="15" x14ac:dyDescent="0.2">
      <c r="A123" s="17" t="s">
        <v>118</v>
      </c>
      <c r="B123" s="16">
        <v>412900677.22000003</v>
      </c>
      <c r="C123" s="16">
        <v>0</v>
      </c>
      <c r="D123" s="16">
        <v>6649490.4950000001</v>
      </c>
      <c r="E123" s="16">
        <v>0</v>
      </c>
      <c r="F123" s="16">
        <v>6940383.7400000002</v>
      </c>
      <c r="G123" s="16">
        <v>5420936.1238579489</v>
      </c>
      <c r="H123" s="16">
        <v>22751839.300000001</v>
      </c>
      <c r="I123" s="16">
        <v>13138680.16</v>
      </c>
      <c r="J123" s="16">
        <v>18612358.379999999</v>
      </c>
      <c r="K123" s="16">
        <v>0</v>
      </c>
      <c r="L123" s="16">
        <v>0</v>
      </c>
      <c r="M123" s="16">
        <v>3995.1799999999994</v>
      </c>
      <c r="N123" s="18">
        <f t="shared" si="3"/>
        <v>486418360.59885806</v>
      </c>
      <c r="O123" s="4"/>
    </row>
    <row r="124" spans="1:15" ht="15" x14ac:dyDescent="0.2">
      <c r="A124" s="17" t="s">
        <v>119</v>
      </c>
      <c r="B124" s="16">
        <v>314332397.81</v>
      </c>
      <c r="C124" s="16">
        <v>0</v>
      </c>
      <c r="D124" s="16">
        <v>2630854.87</v>
      </c>
      <c r="E124" s="16">
        <v>0</v>
      </c>
      <c r="F124" s="16">
        <v>8887563.8499999996</v>
      </c>
      <c r="G124" s="16">
        <v>0</v>
      </c>
      <c r="H124" s="16">
        <v>17320485.530000001</v>
      </c>
      <c r="I124" s="16">
        <v>16824841.829999998</v>
      </c>
      <c r="J124" s="16">
        <v>25981433.520000014</v>
      </c>
      <c r="K124" s="16">
        <v>0</v>
      </c>
      <c r="L124" s="16">
        <v>0</v>
      </c>
      <c r="M124" s="16">
        <v>5116.0599999999995</v>
      </c>
      <c r="N124" s="18">
        <f t="shared" si="3"/>
        <v>385982693.47000009</v>
      </c>
      <c r="O124" s="4"/>
    </row>
    <row r="125" spans="1:15" ht="15" x14ac:dyDescent="0.2">
      <c r="A125" s="17" t="s">
        <v>120</v>
      </c>
      <c r="B125" s="16">
        <v>112072220.69</v>
      </c>
      <c r="C125" s="16">
        <v>0</v>
      </c>
      <c r="D125" s="16">
        <v>9460829.7582838498</v>
      </c>
      <c r="E125" s="16">
        <v>0</v>
      </c>
      <c r="F125" s="16">
        <v>3455864.79</v>
      </c>
      <c r="G125" s="16">
        <v>1459698.86</v>
      </c>
      <c r="H125" s="16">
        <v>6175454.0499999998</v>
      </c>
      <c r="I125" s="16">
        <v>6542217.8200000003</v>
      </c>
      <c r="J125" s="16">
        <v>16166046.330000006</v>
      </c>
      <c r="K125" s="16">
        <v>0</v>
      </c>
      <c r="L125" s="16">
        <v>0</v>
      </c>
      <c r="M125" s="16">
        <v>1989.33</v>
      </c>
      <c r="N125" s="18">
        <f t="shared" si="3"/>
        <v>155334321.62828389</v>
      </c>
      <c r="O125" s="4"/>
    </row>
    <row r="126" spans="1:15" ht="15" x14ac:dyDescent="0.2">
      <c r="A126" s="17" t="s">
        <v>121</v>
      </c>
      <c r="B126" s="16">
        <v>141182608.31999999</v>
      </c>
      <c r="C126" s="16">
        <v>0</v>
      </c>
      <c r="D126" s="16">
        <v>1960121.3449110368</v>
      </c>
      <c r="E126" s="16">
        <v>0</v>
      </c>
      <c r="F126" s="16">
        <v>1730103.16</v>
      </c>
      <c r="G126" s="16">
        <v>591389.25</v>
      </c>
      <c r="H126" s="16">
        <v>7779507.75</v>
      </c>
      <c r="I126" s="16">
        <v>3275218.34</v>
      </c>
      <c r="J126" s="16">
        <v>10687813.290000003</v>
      </c>
      <c r="K126" s="16">
        <v>0</v>
      </c>
      <c r="L126" s="16">
        <v>0</v>
      </c>
      <c r="M126" s="16">
        <v>995.90000000000009</v>
      </c>
      <c r="N126" s="18">
        <f t="shared" si="3"/>
        <v>167207757.35491103</v>
      </c>
      <c r="O126" s="4"/>
    </row>
    <row r="127" spans="1:15" ht="15" x14ac:dyDescent="0.2">
      <c r="A127" s="17" t="s">
        <v>122</v>
      </c>
      <c r="B127" s="16">
        <v>66658511.340000004</v>
      </c>
      <c r="C127" s="16">
        <v>0</v>
      </c>
      <c r="D127" s="16">
        <v>1090072.403932476</v>
      </c>
      <c r="E127" s="16">
        <v>0</v>
      </c>
      <c r="F127" s="16">
        <v>1836470.86</v>
      </c>
      <c r="G127" s="16">
        <v>596082.81000000006</v>
      </c>
      <c r="H127" s="16">
        <v>3673047.35</v>
      </c>
      <c r="I127" s="16">
        <v>3476580.58</v>
      </c>
      <c r="J127" s="16">
        <v>10980709.32</v>
      </c>
      <c r="K127" s="16">
        <v>0</v>
      </c>
      <c r="L127" s="16">
        <v>0</v>
      </c>
      <c r="M127" s="16">
        <v>1057.1299999999999</v>
      </c>
      <c r="N127" s="18">
        <f t="shared" si="3"/>
        <v>88312531.793932468</v>
      </c>
      <c r="O127" s="4"/>
    </row>
    <row r="128" spans="1:15" ht="15" x14ac:dyDescent="0.2">
      <c r="A128" s="17" t="s">
        <v>123</v>
      </c>
      <c r="B128" s="16">
        <v>40638528.699999996</v>
      </c>
      <c r="C128" s="16">
        <v>0</v>
      </c>
      <c r="D128" s="16">
        <v>800056.54748859094</v>
      </c>
      <c r="E128" s="16">
        <v>0</v>
      </c>
      <c r="F128" s="16">
        <v>168017.54</v>
      </c>
      <c r="G128" s="16">
        <v>101693.92</v>
      </c>
      <c r="H128" s="16">
        <v>2239282.54</v>
      </c>
      <c r="I128" s="16">
        <v>318070.14</v>
      </c>
      <c r="J128" s="16">
        <v>2582103.0900000003</v>
      </c>
      <c r="K128" s="16">
        <v>0</v>
      </c>
      <c r="L128" s="16">
        <v>0</v>
      </c>
      <c r="M128" s="16">
        <v>96.69</v>
      </c>
      <c r="N128" s="18">
        <f t="shared" si="3"/>
        <v>46847849.16748859</v>
      </c>
      <c r="O128" s="4"/>
    </row>
    <row r="129" spans="1:15" ht="15" x14ac:dyDescent="0.2">
      <c r="A129" s="17" t="s">
        <v>124</v>
      </c>
      <c r="B129" s="16">
        <v>210165357.77000001</v>
      </c>
      <c r="C129" s="16">
        <v>0</v>
      </c>
      <c r="D129" s="16">
        <v>7544178.9735642243</v>
      </c>
      <c r="E129" s="16">
        <v>0</v>
      </c>
      <c r="F129" s="16">
        <v>2136905.34</v>
      </c>
      <c r="G129" s="16">
        <v>1240665.81</v>
      </c>
      <c r="H129" s="16">
        <v>11580626.32</v>
      </c>
      <c r="I129" s="16">
        <v>4045326.14</v>
      </c>
      <c r="J129" s="16">
        <v>16658124.839999992</v>
      </c>
      <c r="K129" s="16">
        <v>0</v>
      </c>
      <c r="L129" s="16">
        <v>0</v>
      </c>
      <c r="M129" s="16">
        <v>1230.08</v>
      </c>
      <c r="N129" s="18">
        <f t="shared" si="3"/>
        <v>253372415.27356425</v>
      </c>
      <c r="O129" s="4"/>
    </row>
    <row r="130" spans="1:15" ht="15" x14ac:dyDescent="0.2">
      <c r="A130" s="17" t="s">
        <v>125</v>
      </c>
      <c r="B130" s="16">
        <v>65815133.68</v>
      </c>
      <c r="C130" s="16">
        <v>0</v>
      </c>
      <c r="D130" s="16">
        <v>1942237.7505219728</v>
      </c>
      <c r="E130" s="16">
        <v>0</v>
      </c>
      <c r="F130" s="16">
        <v>264399.7</v>
      </c>
      <c r="G130" s="16">
        <v>92306.79</v>
      </c>
      <c r="H130" s="16">
        <v>3626575.18</v>
      </c>
      <c r="I130" s="16">
        <v>500528.98</v>
      </c>
      <c r="J130" s="16">
        <v>4378151.6100000013</v>
      </c>
      <c r="K130" s="16">
        <v>0</v>
      </c>
      <c r="L130" s="16">
        <v>0</v>
      </c>
      <c r="M130" s="16">
        <v>152.16999999999999</v>
      </c>
      <c r="N130" s="18">
        <f t="shared" si="3"/>
        <v>76619485.860521987</v>
      </c>
      <c r="O130" s="4"/>
    </row>
    <row r="131" spans="1:15" ht="15" x14ac:dyDescent="0.2">
      <c r="A131" s="17" t="s">
        <v>126</v>
      </c>
      <c r="B131" s="16">
        <v>309541379.13999999</v>
      </c>
      <c r="C131" s="16">
        <v>0</v>
      </c>
      <c r="D131" s="16">
        <v>7538747.1849999987</v>
      </c>
      <c r="E131" s="16">
        <v>0</v>
      </c>
      <c r="F131" s="16">
        <v>11674831.689999999</v>
      </c>
      <c r="G131" s="16">
        <v>1044091.2681042266</v>
      </c>
      <c r="H131" s="16">
        <v>17056488.66</v>
      </c>
      <c r="I131" s="16">
        <v>22101354.199999999</v>
      </c>
      <c r="J131" s="16">
        <v>35164355.100000009</v>
      </c>
      <c r="K131" s="16">
        <v>0</v>
      </c>
      <c r="L131" s="16">
        <v>0</v>
      </c>
      <c r="M131" s="16">
        <v>6720.53</v>
      </c>
      <c r="N131" s="18">
        <f t="shared" si="3"/>
        <v>404127967.77310425</v>
      </c>
      <c r="O131" s="4"/>
    </row>
    <row r="132" spans="1:15" ht="15" x14ac:dyDescent="0.2">
      <c r="A132" s="17" t="s">
        <v>127</v>
      </c>
      <c r="B132" s="16">
        <v>13751411.25</v>
      </c>
      <c r="C132" s="16">
        <v>0</v>
      </c>
      <c r="D132" s="16">
        <v>100190.81401322898</v>
      </c>
      <c r="E132" s="16">
        <v>0</v>
      </c>
      <c r="F132" s="16">
        <v>49927.69</v>
      </c>
      <c r="G132" s="16">
        <v>17209.740000000002</v>
      </c>
      <c r="H132" s="16">
        <v>757736.47</v>
      </c>
      <c r="I132" s="16">
        <v>94516.97</v>
      </c>
      <c r="J132" s="16">
        <v>1265242.8600000001</v>
      </c>
      <c r="K132" s="16">
        <v>0</v>
      </c>
      <c r="L132" s="16">
        <v>0</v>
      </c>
      <c r="M132" s="16">
        <v>28.71</v>
      </c>
      <c r="N132" s="18">
        <f t="shared" si="3"/>
        <v>16036264.504013231</v>
      </c>
      <c r="O132" s="4"/>
    </row>
    <row r="133" spans="1:15" ht="15" x14ac:dyDescent="0.2">
      <c r="A133" s="17" t="s">
        <v>128</v>
      </c>
      <c r="B133" s="16">
        <v>76899808.63000001</v>
      </c>
      <c r="C133" s="16">
        <v>0</v>
      </c>
      <c r="D133" s="16">
        <v>1374894.4352940586</v>
      </c>
      <c r="E133" s="16">
        <v>0</v>
      </c>
      <c r="F133" s="16">
        <v>180608</v>
      </c>
      <c r="G133" s="16">
        <v>126726.27</v>
      </c>
      <c r="H133" s="16">
        <v>4237367.9400000004</v>
      </c>
      <c r="I133" s="16">
        <v>341904.85</v>
      </c>
      <c r="J133" s="16">
        <v>4598354.669999999</v>
      </c>
      <c r="K133" s="16">
        <v>0</v>
      </c>
      <c r="L133" s="16">
        <v>0</v>
      </c>
      <c r="M133" s="16">
        <v>103.93999999999998</v>
      </c>
      <c r="N133" s="18">
        <f t="shared" si="3"/>
        <v>87759768.735294059</v>
      </c>
      <c r="O133" s="4"/>
    </row>
    <row r="134" spans="1:15" ht="15" x14ac:dyDescent="0.2">
      <c r="A134" s="17" t="s">
        <v>129</v>
      </c>
      <c r="B134" s="16">
        <v>150742868.26999998</v>
      </c>
      <c r="C134" s="16">
        <v>0</v>
      </c>
      <c r="D134" s="16">
        <v>3844938.2904558275</v>
      </c>
      <c r="E134" s="16">
        <v>0</v>
      </c>
      <c r="F134" s="16">
        <v>842692.65</v>
      </c>
      <c r="G134" s="16">
        <v>430243.5</v>
      </c>
      <c r="H134" s="16">
        <v>8306301.5099999998</v>
      </c>
      <c r="I134" s="16">
        <v>1595282.01</v>
      </c>
      <c r="J134" s="16">
        <v>10598896.980000002</v>
      </c>
      <c r="K134" s="16">
        <v>0</v>
      </c>
      <c r="L134" s="16">
        <v>0</v>
      </c>
      <c r="M134" s="16">
        <v>485.07000000000005</v>
      </c>
      <c r="N134" s="18">
        <f t="shared" si="3"/>
        <v>176361708.28045577</v>
      </c>
      <c r="O134" s="4"/>
    </row>
    <row r="135" spans="1:15" ht="15" x14ac:dyDescent="0.2">
      <c r="A135" s="17" t="s">
        <v>130</v>
      </c>
      <c r="B135" s="16">
        <v>126304713.69</v>
      </c>
      <c r="C135" s="16">
        <v>0</v>
      </c>
      <c r="D135" s="16">
        <v>5506742.5433600517</v>
      </c>
      <c r="E135" s="16">
        <v>0</v>
      </c>
      <c r="F135" s="16">
        <v>1268597.6000000001</v>
      </c>
      <c r="G135" s="16">
        <v>572614.99</v>
      </c>
      <c r="H135" s="16">
        <v>6959699.29</v>
      </c>
      <c r="I135" s="16">
        <v>2401552.8199999998</v>
      </c>
      <c r="J135" s="16">
        <v>10815840.839999996</v>
      </c>
      <c r="K135" s="16">
        <v>0</v>
      </c>
      <c r="L135" s="16">
        <v>0</v>
      </c>
      <c r="M135" s="16">
        <v>730.24</v>
      </c>
      <c r="N135" s="18">
        <f t="shared" si="3"/>
        <v>153830492.01336005</v>
      </c>
      <c r="O135" s="4"/>
    </row>
    <row r="136" spans="1:15" ht="15" x14ac:dyDescent="0.2">
      <c r="A136" s="17" t="s">
        <v>131</v>
      </c>
      <c r="B136" s="16">
        <v>214954396.65000001</v>
      </c>
      <c r="C136" s="16">
        <v>0</v>
      </c>
      <c r="D136" s="16">
        <v>4342960.57</v>
      </c>
      <c r="E136" s="16">
        <v>0</v>
      </c>
      <c r="F136" s="16">
        <v>7547765.0099999998</v>
      </c>
      <c r="G136" s="16">
        <v>3964787.8417484062</v>
      </c>
      <c r="H136" s="16">
        <v>11844514.1</v>
      </c>
      <c r="I136" s="16">
        <v>14288499.6</v>
      </c>
      <c r="J136" s="16">
        <v>24840885.720000003</v>
      </c>
      <c r="K136" s="16">
        <v>0</v>
      </c>
      <c r="L136" s="16">
        <v>0</v>
      </c>
      <c r="M136" s="16">
        <v>4344.7999999999993</v>
      </c>
      <c r="N136" s="18">
        <f t="shared" ref="N136:N142" si="4">SUM(B136:M136)</f>
        <v>281788154.2917484</v>
      </c>
      <c r="O136" s="4"/>
    </row>
    <row r="137" spans="1:15" ht="15" x14ac:dyDescent="0.2">
      <c r="A137" s="17" t="s">
        <v>132</v>
      </c>
      <c r="B137" s="16">
        <v>36403822.550000004</v>
      </c>
      <c r="C137" s="16">
        <v>0</v>
      </c>
      <c r="D137" s="16">
        <v>702395.65804732998</v>
      </c>
      <c r="E137" s="16">
        <v>0</v>
      </c>
      <c r="F137" s="16">
        <v>90304</v>
      </c>
      <c r="G137" s="16">
        <v>87613.22</v>
      </c>
      <c r="H137" s="16">
        <v>2005939.85</v>
      </c>
      <c r="I137" s="16">
        <v>170952.43</v>
      </c>
      <c r="J137" s="16">
        <v>2376969.8400000003</v>
      </c>
      <c r="K137" s="16">
        <v>0</v>
      </c>
      <c r="L137" s="16">
        <v>0</v>
      </c>
      <c r="M137" s="16">
        <v>51.96</v>
      </c>
      <c r="N137" s="18">
        <f t="shared" si="4"/>
        <v>41838049.508047342</v>
      </c>
      <c r="O137" s="4"/>
    </row>
    <row r="138" spans="1:15" ht="15" x14ac:dyDescent="0.2">
      <c r="A138" s="17" t="s">
        <v>133</v>
      </c>
      <c r="B138" s="16">
        <v>77949081.319999993</v>
      </c>
      <c r="C138" s="16">
        <v>0</v>
      </c>
      <c r="D138" s="16">
        <v>3429436.9474362936</v>
      </c>
      <c r="E138" s="16">
        <v>0</v>
      </c>
      <c r="F138" s="16">
        <v>786252.65</v>
      </c>
      <c r="G138" s="16">
        <v>358275.5</v>
      </c>
      <c r="H138" s="16">
        <v>4295185.43</v>
      </c>
      <c r="I138" s="16">
        <v>1488436.74</v>
      </c>
      <c r="J138" s="16">
        <v>8847105.3300000038</v>
      </c>
      <c r="K138" s="16">
        <v>0</v>
      </c>
      <c r="L138" s="16">
        <v>0</v>
      </c>
      <c r="M138" s="16">
        <v>452.58000000000004</v>
      </c>
      <c r="N138" s="18">
        <f t="shared" si="4"/>
        <v>97154226.49743627</v>
      </c>
      <c r="O138" s="4"/>
    </row>
    <row r="139" spans="1:15" ht="15" x14ac:dyDescent="0.2">
      <c r="A139" s="17" t="s">
        <v>134</v>
      </c>
      <c r="B139" s="16">
        <v>364935057.50999999</v>
      </c>
      <c r="C139" s="16">
        <v>0</v>
      </c>
      <c r="D139" s="16">
        <v>4967860.1799999988</v>
      </c>
      <c r="E139" s="16">
        <v>0</v>
      </c>
      <c r="F139" s="16">
        <v>4043709.13</v>
      </c>
      <c r="G139" s="16">
        <v>3670825.6069451105</v>
      </c>
      <c r="H139" s="16">
        <v>20108816.109999999</v>
      </c>
      <c r="I139" s="16">
        <v>7655052.3200000003</v>
      </c>
      <c r="J139" s="16">
        <v>16027197.059999995</v>
      </c>
      <c r="K139" s="16">
        <v>0</v>
      </c>
      <c r="L139" s="16">
        <v>0</v>
      </c>
      <c r="M139" s="16">
        <v>2327.7200000000003</v>
      </c>
      <c r="N139" s="18">
        <f t="shared" si="4"/>
        <v>421410845.63694513</v>
      </c>
      <c r="O139" s="4"/>
    </row>
    <row r="140" spans="1:15" ht="15" x14ac:dyDescent="0.2">
      <c r="A140" s="17" t="s">
        <v>135</v>
      </c>
      <c r="B140" s="16">
        <v>94959177.25</v>
      </c>
      <c r="C140" s="16">
        <v>0</v>
      </c>
      <c r="D140" s="16">
        <v>1184587.58</v>
      </c>
      <c r="E140" s="16">
        <v>0</v>
      </c>
      <c r="F140" s="16">
        <v>666860.34</v>
      </c>
      <c r="G140" s="16">
        <v>317597.93</v>
      </c>
      <c r="H140" s="16">
        <v>5232483.41</v>
      </c>
      <c r="I140" s="16">
        <v>1262417.9099999999</v>
      </c>
      <c r="J140" s="16">
        <v>4044404.4899999993</v>
      </c>
      <c r="K140" s="16">
        <v>0</v>
      </c>
      <c r="L140" s="16">
        <v>0</v>
      </c>
      <c r="M140" s="16">
        <v>383.85</v>
      </c>
      <c r="N140" s="18">
        <f t="shared" si="4"/>
        <v>107667912.75999999</v>
      </c>
      <c r="O140" s="4"/>
    </row>
    <row r="141" spans="1:15" ht="15" x14ac:dyDescent="0.2">
      <c r="A141" s="17" t="s">
        <v>136</v>
      </c>
      <c r="B141" s="16">
        <v>117467066.06999999</v>
      </c>
      <c r="C141" s="16">
        <v>0</v>
      </c>
      <c r="D141" s="16">
        <v>2117387.2044247063</v>
      </c>
      <c r="E141" s="16">
        <v>0</v>
      </c>
      <c r="F141" s="16">
        <v>961650.81</v>
      </c>
      <c r="G141" s="16">
        <v>309775.32</v>
      </c>
      <c r="H141" s="16">
        <v>6472723.25</v>
      </c>
      <c r="I141" s="16">
        <v>1820478.95</v>
      </c>
      <c r="J141" s="16">
        <v>11015133.150000004</v>
      </c>
      <c r="K141" s="16">
        <v>0</v>
      </c>
      <c r="L141" s="16">
        <v>0</v>
      </c>
      <c r="M141" s="16">
        <v>553.54</v>
      </c>
      <c r="N141" s="18">
        <f t="shared" si="4"/>
        <v>140164768.29442468</v>
      </c>
      <c r="O141" s="4"/>
    </row>
    <row r="142" spans="1:15" ht="15" x14ac:dyDescent="0.2">
      <c r="A142" s="17" t="s">
        <v>137</v>
      </c>
      <c r="B142" s="16">
        <v>111298134.61</v>
      </c>
      <c r="C142" s="16">
        <v>0</v>
      </c>
      <c r="D142" s="16">
        <v>1787106.4420099447</v>
      </c>
      <c r="E142" s="16">
        <v>0</v>
      </c>
      <c r="F142" s="16">
        <v>4134447.29</v>
      </c>
      <c r="G142" s="16">
        <v>1143665.45</v>
      </c>
      <c r="H142" s="16">
        <v>6132800.0099999998</v>
      </c>
      <c r="I142" s="16">
        <v>7826826.6699999999</v>
      </c>
      <c r="J142" s="16">
        <v>14816538.029999996</v>
      </c>
      <c r="K142" s="16">
        <v>0</v>
      </c>
      <c r="L142" s="16">
        <v>0</v>
      </c>
      <c r="M142" s="16">
        <v>2379.9499999999998</v>
      </c>
      <c r="N142" s="18">
        <f t="shared" si="4"/>
        <v>147141898.45200995</v>
      </c>
      <c r="O142" s="4"/>
    </row>
    <row r="143" spans="1:15" ht="24.75" customHeight="1" x14ac:dyDescent="0.2">
      <c r="A143" s="24" t="s">
        <v>138</v>
      </c>
      <c r="B143" s="25">
        <f>SUM(B8:B142)</f>
        <v>19797597682.329998</v>
      </c>
      <c r="C143" s="25"/>
      <c r="D143" s="25">
        <f t="shared" ref="D143:L143" si="5">SUM(D8:D142)</f>
        <v>357163546.64682978</v>
      </c>
      <c r="E143" s="25">
        <f t="shared" si="5"/>
        <v>0</v>
      </c>
      <c r="F143" s="25">
        <f t="shared" si="5"/>
        <v>434153868.96999997</v>
      </c>
      <c r="G143" s="25">
        <f t="shared" si="5"/>
        <v>156452182.31999999</v>
      </c>
      <c r="H143" s="25">
        <f t="shared" si="5"/>
        <v>1090896155.3</v>
      </c>
      <c r="I143" s="25">
        <f t="shared" si="5"/>
        <v>821886660.81000018</v>
      </c>
      <c r="J143" s="25">
        <f t="shared" si="5"/>
        <v>1831058155.499999</v>
      </c>
      <c r="K143" s="25">
        <f t="shared" si="5"/>
        <v>0</v>
      </c>
      <c r="L143" s="25">
        <f t="shared" si="5"/>
        <v>0</v>
      </c>
      <c r="M143" s="25">
        <f t="shared" ref="M143" si="6">SUM(M8:M142)</f>
        <v>249914.88999999998</v>
      </c>
      <c r="N143" s="25">
        <f>SUM(N8:N142)</f>
        <v>24489458166.76683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tabColor rgb="FF44AEAC"/>
  </sheetPr>
  <dimension ref="A1:P275"/>
  <sheetViews>
    <sheetView showGridLines="0" tabSelected="1" zoomScale="80" zoomScaleNormal="80" workbookViewId="0"/>
  </sheetViews>
  <sheetFormatPr baseColWidth="10" defaultRowHeight="14.25" x14ac:dyDescent="0.2"/>
  <cols>
    <col min="1" max="1" width="41.83203125" style="11" customWidth="1"/>
    <col min="2" max="2" width="22.33203125" style="1" customWidth="1"/>
    <col min="3" max="3" width="22.33203125" style="1" hidden="1" customWidth="1"/>
    <col min="4" max="4" width="22.33203125" style="1" customWidth="1"/>
    <col min="5" max="5" width="22.33203125" style="1" hidden="1" customWidth="1"/>
    <col min="6" max="10" width="22.33203125" style="1" customWidth="1"/>
    <col min="11" max="12" width="22.33203125" style="1" hidden="1" customWidth="1"/>
    <col min="13" max="13" width="22.33203125" style="1" customWidth="1"/>
    <col min="14" max="14" width="23.83203125" style="1" customWidth="1"/>
    <col min="15" max="15" width="12" style="1" customWidth="1"/>
    <col min="16" max="16384" width="12" style="1"/>
  </cols>
  <sheetData>
    <row r="1" spans="1:16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ht="17.25" customHeight="1" x14ac:dyDescent="0.25">
      <c r="A3" s="2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6" ht="17.25" customHeight="1" x14ac:dyDescent="0.25">
      <c r="A4" s="23" t="s">
        <v>152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6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6" ht="18.75" customHeight="1" x14ac:dyDescent="0.2">
      <c r="A6" s="28" t="s">
        <v>2</v>
      </c>
      <c r="B6" s="29" t="s">
        <v>153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6" ht="60" customHeight="1" x14ac:dyDescent="0.2">
      <c r="A7" s="28"/>
      <c r="B7" s="21" t="s">
        <v>139</v>
      </c>
      <c r="C7" s="21" t="s">
        <v>151</v>
      </c>
      <c r="D7" s="21" t="s">
        <v>143</v>
      </c>
      <c r="E7" s="21" t="s">
        <v>141</v>
      </c>
      <c r="F7" s="27" t="s">
        <v>150</v>
      </c>
      <c r="G7" s="21" t="s">
        <v>144</v>
      </c>
      <c r="H7" s="21" t="s">
        <v>146</v>
      </c>
      <c r="I7" s="21" t="s">
        <v>145</v>
      </c>
      <c r="J7" s="21" t="s">
        <v>147</v>
      </c>
      <c r="K7" s="21" t="s">
        <v>148</v>
      </c>
      <c r="L7" s="21" t="s">
        <v>149</v>
      </c>
      <c r="M7" s="21" t="s">
        <v>142</v>
      </c>
      <c r="N7" s="22" t="s">
        <v>140</v>
      </c>
    </row>
    <row r="8" spans="1:16" ht="18" customHeight="1" x14ac:dyDescent="0.2">
      <c r="A8" s="17" t="s">
        <v>3</v>
      </c>
      <c r="B8" s="16">
        <v>85021987.349999994</v>
      </c>
      <c r="C8" s="16">
        <v>0</v>
      </c>
      <c r="D8" s="16">
        <v>16815376.064202379</v>
      </c>
      <c r="E8" s="16">
        <v>0</v>
      </c>
      <c r="F8" s="16">
        <v>261829.58</v>
      </c>
      <c r="G8" s="16">
        <v>144785.25</v>
      </c>
      <c r="H8" s="16">
        <v>5021553.72</v>
      </c>
      <c r="I8" s="16">
        <v>778743.89</v>
      </c>
      <c r="J8" s="16">
        <v>6118397.1200000001</v>
      </c>
      <c r="K8" s="16">
        <v>0</v>
      </c>
      <c r="L8" s="16">
        <v>0</v>
      </c>
      <c r="M8" s="16">
        <v>162.35</v>
      </c>
      <c r="N8" s="18">
        <f t="shared" ref="N8:N39" si="0">SUM(B8:M8)</f>
        <v>114162835.32420237</v>
      </c>
      <c r="O8" s="4"/>
      <c r="P8" s="10"/>
    </row>
    <row r="9" spans="1:16" ht="18" customHeight="1" x14ac:dyDescent="0.2">
      <c r="A9" s="17" t="s">
        <v>4</v>
      </c>
      <c r="B9" s="16">
        <v>53005847.750000015</v>
      </c>
      <c r="C9" s="16">
        <v>0</v>
      </c>
      <c r="D9" s="16">
        <v>14493028.62282297</v>
      </c>
      <c r="E9" s="16">
        <v>0</v>
      </c>
      <c r="F9" s="16">
        <v>183443.33</v>
      </c>
      <c r="G9" s="16">
        <v>102279.49</v>
      </c>
      <c r="H9" s="16">
        <v>3130622.1</v>
      </c>
      <c r="I9" s="16">
        <v>545604.42000000004</v>
      </c>
      <c r="J9" s="16">
        <v>4592102.0200000005</v>
      </c>
      <c r="K9" s="16">
        <v>0</v>
      </c>
      <c r="L9" s="16">
        <v>0</v>
      </c>
      <c r="M9" s="16">
        <v>113.73</v>
      </c>
      <c r="N9" s="18">
        <f t="shared" si="0"/>
        <v>76053041.462822974</v>
      </c>
      <c r="O9" s="4"/>
    </row>
    <row r="10" spans="1:16" ht="18" customHeight="1" x14ac:dyDescent="0.2">
      <c r="A10" s="17" t="s">
        <v>5</v>
      </c>
      <c r="B10" s="16">
        <v>38954850.170000002</v>
      </c>
      <c r="C10" s="16">
        <v>0</v>
      </c>
      <c r="D10" s="16">
        <v>11868098.588844402</v>
      </c>
      <c r="E10" s="16">
        <v>0</v>
      </c>
      <c r="F10" s="16">
        <v>128150.13</v>
      </c>
      <c r="G10" s="16">
        <v>90324.75</v>
      </c>
      <c r="H10" s="16">
        <v>2300744.54</v>
      </c>
      <c r="I10" s="16">
        <v>381149.18</v>
      </c>
      <c r="J10" s="16">
        <v>2714248.9199999995</v>
      </c>
      <c r="K10" s="16">
        <v>0</v>
      </c>
      <c r="L10" s="16">
        <v>0</v>
      </c>
      <c r="M10" s="16">
        <v>79.449999999999989</v>
      </c>
      <c r="N10" s="18">
        <f t="shared" si="0"/>
        <v>56437645.728844412</v>
      </c>
      <c r="O10" s="4"/>
    </row>
    <row r="11" spans="1:16" ht="18" customHeight="1" x14ac:dyDescent="0.2">
      <c r="A11" s="17" t="s">
        <v>6</v>
      </c>
      <c r="B11" s="16">
        <v>451100811.08000004</v>
      </c>
      <c r="C11" s="16">
        <v>0</v>
      </c>
      <c r="D11" s="16">
        <v>5371947.2075606836</v>
      </c>
      <c r="E11" s="16">
        <v>0</v>
      </c>
      <c r="F11" s="16">
        <v>13754997.880000001</v>
      </c>
      <c r="G11" s="16">
        <v>8337091.6552232243</v>
      </c>
      <c r="H11" s="16">
        <v>26642837.050000001</v>
      </c>
      <c r="I11" s="16">
        <v>40910657.459999993</v>
      </c>
      <c r="J11" s="16">
        <v>51083917.519999996</v>
      </c>
      <c r="K11" s="16">
        <v>0</v>
      </c>
      <c r="L11" s="16">
        <v>0</v>
      </c>
      <c r="M11" s="16">
        <v>8529.77</v>
      </c>
      <c r="N11" s="18">
        <f t="shared" si="0"/>
        <v>597210789.6227839</v>
      </c>
      <c r="O11" s="4"/>
    </row>
    <row r="12" spans="1:16" ht="18" customHeight="1" x14ac:dyDescent="0.2">
      <c r="A12" s="17" t="s">
        <v>7</v>
      </c>
      <c r="B12" s="16">
        <v>67707756.25</v>
      </c>
      <c r="C12" s="16">
        <v>0</v>
      </c>
      <c r="D12" s="16">
        <v>15075964.766493781</v>
      </c>
      <c r="E12" s="16">
        <v>0</v>
      </c>
      <c r="F12" s="16">
        <v>470317.49</v>
      </c>
      <c r="G12" s="16">
        <v>247064.74</v>
      </c>
      <c r="H12" s="16">
        <v>3998943.64</v>
      </c>
      <c r="I12" s="16">
        <v>1398836.8599999999</v>
      </c>
      <c r="J12" s="16">
        <v>5510675.7499999981</v>
      </c>
      <c r="K12" s="16">
        <v>0</v>
      </c>
      <c r="L12" s="16">
        <v>0</v>
      </c>
      <c r="M12" s="16">
        <v>291.62</v>
      </c>
      <c r="N12" s="18">
        <f t="shared" si="0"/>
        <v>94409851.116493776</v>
      </c>
      <c r="O12" s="4"/>
    </row>
    <row r="13" spans="1:16" ht="18" customHeight="1" x14ac:dyDescent="0.2">
      <c r="A13" s="17" t="s">
        <v>8</v>
      </c>
      <c r="B13" s="16">
        <v>273738427.48000002</v>
      </c>
      <c r="C13" s="16">
        <v>0</v>
      </c>
      <c r="D13" s="16">
        <v>3785328.0632779221</v>
      </c>
      <c r="E13" s="16">
        <v>0</v>
      </c>
      <c r="F13" s="16">
        <v>6688851.5300000003</v>
      </c>
      <c r="G13" s="16">
        <v>0</v>
      </c>
      <c r="H13" s="16">
        <v>16167491.030000001</v>
      </c>
      <c r="I13" s="16">
        <v>19894246.170000002</v>
      </c>
      <c r="J13" s="16">
        <v>39277099.200000003</v>
      </c>
      <c r="K13" s="16">
        <v>0</v>
      </c>
      <c r="L13" s="16">
        <v>0</v>
      </c>
      <c r="M13" s="16">
        <v>4147.88</v>
      </c>
      <c r="N13" s="18">
        <f t="shared" si="0"/>
        <v>359555591.35327792</v>
      </c>
      <c r="O13" s="4"/>
    </row>
    <row r="14" spans="1:16" ht="18" customHeight="1" x14ac:dyDescent="0.2">
      <c r="A14" s="17" t="s">
        <v>9</v>
      </c>
      <c r="B14" s="16">
        <v>99205336.790000007</v>
      </c>
      <c r="C14" s="16">
        <v>0</v>
      </c>
      <c r="D14" s="16">
        <v>24797050.670598388</v>
      </c>
      <c r="E14" s="16">
        <v>0</v>
      </c>
      <c r="F14" s="16">
        <v>304437.88</v>
      </c>
      <c r="G14" s="16">
        <v>172679.66</v>
      </c>
      <c r="H14" s="16">
        <v>5859248.2199999997</v>
      </c>
      <c r="I14" s="16">
        <v>905471.16</v>
      </c>
      <c r="J14" s="16">
        <v>7905152.4200000009</v>
      </c>
      <c r="K14" s="16">
        <v>0</v>
      </c>
      <c r="L14" s="16">
        <v>0</v>
      </c>
      <c r="M14" s="16">
        <v>188.76999999999998</v>
      </c>
      <c r="N14" s="18">
        <f t="shared" si="0"/>
        <v>139149565.57059839</v>
      </c>
      <c r="O14" s="4"/>
    </row>
    <row r="15" spans="1:16" ht="18" customHeight="1" x14ac:dyDescent="0.2">
      <c r="A15" s="17" t="s">
        <v>10</v>
      </c>
      <c r="B15" s="16">
        <v>161675429.74000001</v>
      </c>
      <c r="C15" s="16">
        <v>0</v>
      </c>
      <c r="D15" s="16">
        <v>38739579.131005719</v>
      </c>
      <c r="E15" s="16">
        <v>0</v>
      </c>
      <c r="F15" s="16">
        <v>1134161.21</v>
      </c>
      <c r="G15" s="16">
        <v>555231.52</v>
      </c>
      <c r="H15" s="16">
        <v>9548845.8999999985</v>
      </c>
      <c r="I15" s="16">
        <v>3373267.02</v>
      </c>
      <c r="J15" s="16">
        <v>13198643.919999998</v>
      </c>
      <c r="K15" s="16">
        <v>0</v>
      </c>
      <c r="L15" s="16">
        <v>0</v>
      </c>
      <c r="M15" s="16">
        <v>703.3</v>
      </c>
      <c r="N15" s="18">
        <f t="shared" si="0"/>
        <v>228225861.74100575</v>
      </c>
      <c r="O15" s="4"/>
    </row>
    <row r="16" spans="1:16" ht="18" customHeight="1" x14ac:dyDescent="0.2">
      <c r="A16" s="17" t="s">
        <v>11</v>
      </c>
      <c r="B16" s="16">
        <v>298841892.85000002</v>
      </c>
      <c r="C16" s="16">
        <v>0</v>
      </c>
      <c r="D16" s="16">
        <v>10892154.260176349</v>
      </c>
      <c r="E16" s="16">
        <v>0</v>
      </c>
      <c r="F16" s="16">
        <v>4229930.18</v>
      </c>
      <c r="G16" s="16">
        <v>2563628.7999999998</v>
      </c>
      <c r="H16" s="16">
        <v>17650147.509999998</v>
      </c>
      <c r="I16" s="16">
        <v>12580825.26</v>
      </c>
      <c r="J16" s="16">
        <v>32719038.889999993</v>
      </c>
      <c r="K16" s="16">
        <v>0</v>
      </c>
      <c r="L16" s="16">
        <v>0</v>
      </c>
      <c r="M16" s="16">
        <v>2623.06</v>
      </c>
      <c r="N16" s="18">
        <f t="shared" si="0"/>
        <v>379480240.81017637</v>
      </c>
      <c r="O16" s="4"/>
    </row>
    <row r="17" spans="1:15" ht="15" x14ac:dyDescent="0.2">
      <c r="A17" s="17" t="s">
        <v>12</v>
      </c>
      <c r="B17" s="16">
        <v>107378608.53</v>
      </c>
      <c r="C17" s="16">
        <v>0</v>
      </c>
      <c r="D17" s="16">
        <v>34163461.010901541</v>
      </c>
      <c r="E17" s="16">
        <v>0</v>
      </c>
      <c r="F17" s="16">
        <v>868753.82</v>
      </c>
      <c r="G17" s="16">
        <v>371925.42</v>
      </c>
      <c r="H17" s="16">
        <v>6341976.5700000003</v>
      </c>
      <c r="I17" s="16">
        <v>2583881.91</v>
      </c>
      <c r="J17" s="16">
        <v>9023569.7199999969</v>
      </c>
      <c r="K17" s="16">
        <v>0</v>
      </c>
      <c r="L17" s="16">
        <v>0</v>
      </c>
      <c r="M17" s="16">
        <v>538.72</v>
      </c>
      <c r="N17" s="18">
        <f t="shared" si="0"/>
        <v>160732715.70090151</v>
      </c>
      <c r="O17" s="4"/>
    </row>
    <row r="18" spans="1:15" ht="15" x14ac:dyDescent="0.2">
      <c r="A18" s="17" t="s">
        <v>13</v>
      </c>
      <c r="B18" s="16">
        <v>65833132.730000004</v>
      </c>
      <c r="C18" s="16">
        <v>0</v>
      </c>
      <c r="D18" s="16">
        <v>13852672.097409926</v>
      </c>
      <c r="E18" s="16">
        <v>0</v>
      </c>
      <c r="F18" s="16">
        <v>585457.46</v>
      </c>
      <c r="G18" s="16">
        <v>278944.07</v>
      </c>
      <c r="H18" s="16">
        <v>3888224.96</v>
      </c>
      <c r="I18" s="16">
        <v>1741290.69</v>
      </c>
      <c r="J18" s="16">
        <v>7286094.2199999988</v>
      </c>
      <c r="K18" s="16">
        <v>0</v>
      </c>
      <c r="L18" s="16">
        <v>0</v>
      </c>
      <c r="M18" s="16">
        <v>363.03000000000003</v>
      </c>
      <c r="N18" s="18">
        <f t="shared" si="0"/>
        <v>93466179.2574099</v>
      </c>
      <c r="O18" s="4"/>
    </row>
    <row r="19" spans="1:15" ht="15" x14ac:dyDescent="0.2">
      <c r="A19" s="17" t="s">
        <v>14</v>
      </c>
      <c r="B19" s="16">
        <v>110131961.82000001</v>
      </c>
      <c r="C19" s="16">
        <v>0</v>
      </c>
      <c r="D19" s="16">
        <v>23314179.737806372</v>
      </c>
      <c r="E19" s="16">
        <v>0</v>
      </c>
      <c r="F19" s="16">
        <v>236459.76</v>
      </c>
      <c r="G19" s="16">
        <v>172679.66</v>
      </c>
      <c r="H19" s="16">
        <v>6504594.6299999999</v>
      </c>
      <c r="I19" s="16">
        <v>703287.96</v>
      </c>
      <c r="J19" s="16">
        <v>6190312.2800000003</v>
      </c>
      <c r="K19" s="16">
        <v>0</v>
      </c>
      <c r="L19" s="16">
        <v>0</v>
      </c>
      <c r="M19" s="16">
        <v>146.6</v>
      </c>
      <c r="N19" s="18">
        <f t="shared" si="0"/>
        <v>147253622.44780639</v>
      </c>
      <c r="O19" s="4"/>
    </row>
    <row r="20" spans="1:15" ht="15" x14ac:dyDescent="0.2">
      <c r="A20" s="17" t="s">
        <v>15</v>
      </c>
      <c r="B20" s="16">
        <v>365434421.81000006</v>
      </c>
      <c r="C20" s="16">
        <v>0</v>
      </c>
      <c r="D20" s="16">
        <v>3304124.0719358586</v>
      </c>
      <c r="E20" s="16">
        <v>0</v>
      </c>
      <c r="F20" s="16">
        <v>7547197.2300000004</v>
      </c>
      <c r="G20" s="16">
        <v>4492623.8548451774</v>
      </c>
      <c r="H20" s="16">
        <v>21583223.779999997</v>
      </c>
      <c r="I20" s="16">
        <v>22447171.799999997</v>
      </c>
      <c r="J20" s="16">
        <v>35592617.750000007</v>
      </c>
      <c r="K20" s="16">
        <v>0</v>
      </c>
      <c r="L20" s="16">
        <v>0</v>
      </c>
      <c r="M20" s="16">
        <v>4680.16</v>
      </c>
      <c r="N20" s="18">
        <f t="shared" si="0"/>
        <v>460406060.45678109</v>
      </c>
      <c r="O20" s="4"/>
    </row>
    <row r="21" spans="1:15" ht="15" x14ac:dyDescent="0.2">
      <c r="A21" s="17" t="s">
        <v>16</v>
      </c>
      <c r="B21" s="16">
        <v>158748500.21000004</v>
      </c>
      <c r="C21" s="16">
        <v>0</v>
      </c>
      <c r="D21" s="16">
        <v>2837655.0635328502</v>
      </c>
      <c r="E21" s="16">
        <v>0</v>
      </c>
      <c r="F21" s="16">
        <v>2006818.08</v>
      </c>
      <c r="G21" s="16">
        <v>520597.96971537452</v>
      </c>
      <c r="H21" s="16">
        <v>9375976.1100000013</v>
      </c>
      <c r="I21" s="16">
        <v>5968757.54</v>
      </c>
      <c r="J21" s="16">
        <v>11620536.839999998</v>
      </c>
      <c r="K21" s="16">
        <v>0</v>
      </c>
      <c r="L21" s="16">
        <v>0</v>
      </c>
      <c r="M21" s="16">
        <v>1244.45</v>
      </c>
      <c r="N21" s="18">
        <f t="shared" si="0"/>
        <v>191080086.26324829</v>
      </c>
      <c r="O21" s="4"/>
    </row>
    <row r="22" spans="1:15" ht="15" x14ac:dyDescent="0.2">
      <c r="A22" s="17" t="s">
        <v>17</v>
      </c>
      <c r="B22" s="16">
        <v>122295317.66</v>
      </c>
      <c r="C22" s="16">
        <v>0</v>
      </c>
      <c r="D22" s="16">
        <v>18565635.417105731</v>
      </c>
      <c r="E22" s="16">
        <v>0</v>
      </c>
      <c r="F22" s="16">
        <v>477798.34</v>
      </c>
      <c r="G22" s="16">
        <v>290898.81</v>
      </c>
      <c r="H22" s="16">
        <v>7222984.6200000001</v>
      </c>
      <c r="I22" s="16">
        <v>1421086.68</v>
      </c>
      <c r="J22" s="16">
        <v>8915648.7499999981</v>
      </c>
      <c r="K22" s="16">
        <v>0</v>
      </c>
      <c r="L22" s="16">
        <v>0</v>
      </c>
      <c r="M22" s="16">
        <v>296.27</v>
      </c>
      <c r="N22" s="18">
        <f t="shared" si="0"/>
        <v>159189666.54710576</v>
      </c>
      <c r="O22" s="4"/>
    </row>
    <row r="23" spans="1:15" ht="15" x14ac:dyDescent="0.2">
      <c r="A23" s="17" t="s">
        <v>18</v>
      </c>
      <c r="B23" s="16">
        <v>123631854.82000002</v>
      </c>
      <c r="C23" s="16">
        <v>0</v>
      </c>
      <c r="D23" s="16">
        <v>15459815.593563799</v>
      </c>
      <c r="E23" s="16">
        <v>0</v>
      </c>
      <c r="F23" s="16">
        <v>457957.83</v>
      </c>
      <c r="G23" s="16">
        <v>352000.84</v>
      </c>
      <c r="H23" s="16">
        <v>7301922.9400000004</v>
      </c>
      <c r="I23" s="16">
        <v>1362076.28</v>
      </c>
      <c r="J23" s="16">
        <v>7317649.4799999995</v>
      </c>
      <c r="K23" s="16">
        <v>0</v>
      </c>
      <c r="L23" s="16">
        <v>0</v>
      </c>
      <c r="M23" s="16">
        <v>283.95000000000005</v>
      </c>
      <c r="N23" s="18">
        <f t="shared" si="0"/>
        <v>155883561.73356381</v>
      </c>
      <c r="O23" s="4"/>
    </row>
    <row r="24" spans="1:15" ht="15" x14ac:dyDescent="0.2">
      <c r="A24" s="17" t="s">
        <v>19</v>
      </c>
      <c r="B24" s="16">
        <v>37824434.829999998</v>
      </c>
      <c r="C24" s="16">
        <v>0</v>
      </c>
      <c r="D24" s="16">
        <v>8480161.2242244165</v>
      </c>
      <c r="E24" s="16">
        <v>0</v>
      </c>
      <c r="F24" s="16">
        <v>476172.07</v>
      </c>
      <c r="G24" s="16">
        <v>124039.57319523631</v>
      </c>
      <c r="H24" s="16">
        <v>2233980.15</v>
      </c>
      <c r="I24" s="16">
        <v>1416249.76</v>
      </c>
      <c r="J24" s="16">
        <v>5943049.6700000009</v>
      </c>
      <c r="K24" s="16">
        <v>0</v>
      </c>
      <c r="L24" s="16">
        <v>0</v>
      </c>
      <c r="M24" s="16">
        <v>295.26</v>
      </c>
      <c r="N24" s="18">
        <f t="shared" si="0"/>
        <v>56498382.537419647</v>
      </c>
      <c r="O24" s="4"/>
    </row>
    <row r="25" spans="1:15" ht="15" x14ac:dyDescent="0.2">
      <c r="A25" s="17" t="s">
        <v>20</v>
      </c>
      <c r="B25" s="16">
        <v>169375706.21000001</v>
      </c>
      <c r="C25" s="16">
        <v>0</v>
      </c>
      <c r="D25" s="16">
        <v>4948361.638240492</v>
      </c>
      <c r="E25" s="16">
        <v>0</v>
      </c>
      <c r="F25" s="16">
        <v>2111875.17</v>
      </c>
      <c r="G25" s="16">
        <v>803624.57</v>
      </c>
      <c r="H25" s="16">
        <v>10003638.279999999</v>
      </c>
      <c r="I25" s="16">
        <v>6281222.4900000002</v>
      </c>
      <c r="J25" s="16">
        <v>14480918.130000003</v>
      </c>
      <c r="K25" s="16">
        <v>0</v>
      </c>
      <c r="L25" s="16">
        <v>0</v>
      </c>
      <c r="M25" s="16">
        <v>1309.5999999999999</v>
      </c>
      <c r="N25" s="18">
        <f t="shared" si="0"/>
        <v>208006656.08824047</v>
      </c>
      <c r="O25" s="4"/>
    </row>
    <row r="26" spans="1:15" ht="15" x14ac:dyDescent="0.2">
      <c r="A26" s="17" t="s">
        <v>21</v>
      </c>
      <c r="B26" s="16">
        <v>62663196.409999996</v>
      </c>
      <c r="C26" s="16">
        <v>0</v>
      </c>
      <c r="D26" s="16">
        <v>6838589.823374657</v>
      </c>
      <c r="E26" s="16">
        <v>0</v>
      </c>
      <c r="F26" s="16">
        <v>960475.49</v>
      </c>
      <c r="G26" s="16">
        <v>440997.29</v>
      </c>
      <c r="H26" s="16">
        <v>3701002.73</v>
      </c>
      <c r="I26" s="16">
        <v>2856684.13</v>
      </c>
      <c r="J26" s="16">
        <v>9691504.9000000022</v>
      </c>
      <c r="K26" s="16">
        <v>0</v>
      </c>
      <c r="L26" s="16">
        <v>0</v>
      </c>
      <c r="M26" s="16">
        <v>595.58999999999992</v>
      </c>
      <c r="N26" s="18">
        <f t="shared" si="0"/>
        <v>87153046.363374665</v>
      </c>
      <c r="O26" s="4"/>
    </row>
    <row r="27" spans="1:15" ht="15" x14ac:dyDescent="0.2">
      <c r="A27" s="17" t="s">
        <v>22</v>
      </c>
      <c r="B27" s="16">
        <v>32332916.140000004</v>
      </c>
      <c r="C27" s="16">
        <v>0</v>
      </c>
      <c r="D27" s="16">
        <v>6668929.9756376222</v>
      </c>
      <c r="E27" s="16">
        <v>0</v>
      </c>
      <c r="F27" s="16">
        <v>238736.54</v>
      </c>
      <c r="G27" s="16">
        <v>123532.37</v>
      </c>
      <c r="H27" s="16">
        <v>1909641.03</v>
      </c>
      <c r="I27" s="16">
        <v>710059.65</v>
      </c>
      <c r="J27" s="16">
        <v>2834676.7099999995</v>
      </c>
      <c r="K27" s="16">
        <v>0</v>
      </c>
      <c r="L27" s="16">
        <v>0</v>
      </c>
      <c r="M27" s="16">
        <v>148.02000000000001</v>
      </c>
      <c r="N27" s="18">
        <f t="shared" si="0"/>
        <v>44818640.435637631</v>
      </c>
      <c r="O27" s="4"/>
    </row>
    <row r="28" spans="1:15" ht="15" x14ac:dyDescent="0.2">
      <c r="A28" s="17" t="s">
        <v>23</v>
      </c>
      <c r="B28" s="16">
        <v>106682133.79999998</v>
      </c>
      <c r="C28" s="16">
        <v>0</v>
      </c>
      <c r="D28" s="16">
        <v>16909805.904086452</v>
      </c>
      <c r="E28" s="16">
        <v>0</v>
      </c>
      <c r="F28" s="16">
        <v>328831.94</v>
      </c>
      <c r="G28" s="16">
        <v>188619.32</v>
      </c>
      <c r="H28" s="16">
        <v>6300841.5</v>
      </c>
      <c r="I28" s="16">
        <v>978024.94000000006</v>
      </c>
      <c r="J28" s="16">
        <v>5682666.2399999984</v>
      </c>
      <c r="K28" s="16">
        <v>0</v>
      </c>
      <c r="L28" s="16">
        <v>0</v>
      </c>
      <c r="M28" s="16">
        <v>203.87999999999997</v>
      </c>
      <c r="N28" s="18">
        <f t="shared" si="0"/>
        <v>137071127.52408642</v>
      </c>
      <c r="O28" s="4"/>
    </row>
    <row r="29" spans="1:15" ht="15" x14ac:dyDescent="0.2">
      <c r="A29" s="17" t="s">
        <v>24</v>
      </c>
      <c r="B29" s="16">
        <v>63576641.479999997</v>
      </c>
      <c r="C29" s="16">
        <v>0</v>
      </c>
      <c r="D29" s="16">
        <v>16804304.925682407</v>
      </c>
      <c r="E29" s="16">
        <v>0</v>
      </c>
      <c r="F29" s="16">
        <v>205235.36</v>
      </c>
      <c r="G29" s="16">
        <v>98294.58</v>
      </c>
      <c r="H29" s="16">
        <v>3754952.4600000004</v>
      </c>
      <c r="I29" s="16">
        <v>610419.13</v>
      </c>
      <c r="J29" s="16">
        <v>5091633.8199999994</v>
      </c>
      <c r="K29" s="16">
        <v>0</v>
      </c>
      <c r="L29" s="16">
        <v>0</v>
      </c>
      <c r="M29" s="16">
        <v>127.25</v>
      </c>
      <c r="N29" s="18">
        <f t="shared" si="0"/>
        <v>90141609.005682379</v>
      </c>
      <c r="O29" s="4"/>
    </row>
    <row r="30" spans="1:15" ht="15" x14ac:dyDescent="0.2">
      <c r="A30" s="17" t="s">
        <v>25</v>
      </c>
      <c r="B30" s="16">
        <v>21885795.509999998</v>
      </c>
      <c r="C30" s="16">
        <v>0</v>
      </c>
      <c r="D30" s="16">
        <v>10136504.217073739</v>
      </c>
      <c r="E30" s="16">
        <v>0</v>
      </c>
      <c r="F30" s="16">
        <v>177263.51</v>
      </c>
      <c r="G30" s="16">
        <v>124860.68</v>
      </c>
      <c r="H30" s="16">
        <v>1292615.03</v>
      </c>
      <c r="I30" s="16">
        <v>527224.13</v>
      </c>
      <c r="J30" s="16">
        <v>3852174.9199999985</v>
      </c>
      <c r="K30" s="16">
        <v>0</v>
      </c>
      <c r="L30" s="16">
        <v>0</v>
      </c>
      <c r="M30" s="16">
        <v>109.91</v>
      </c>
      <c r="N30" s="18">
        <f t="shared" si="0"/>
        <v>37996547.907073736</v>
      </c>
      <c r="O30" s="4"/>
    </row>
    <row r="31" spans="1:15" ht="15" x14ac:dyDescent="0.2">
      <c r="A31" s="17" t="s">
        <v>26</v>
      </c>
      <c r="B31" s="16">
        <v>40063568.469999999</v>
      </c>
      <c r="C31" s="16">
        <v>0</v>
      </c>
      <c r="D31" s="16">
        <v>5639733.7042308133</v>
      </c>
      <c r="E31" s="16">
        <v>0</v>
      </c>
      <c r="F31" s="16">
        <v>211740.44</v>
      </c>
      <c r="G31" s="16">
        <v>70400.17</v>
      </c>
      <c r="H31" s="16">
        <v>2366227.46</v>
      </c>
      <c r="I31" s="16">
        <v>629766.80000000005</v>
      </c>
      <c r="J31" s="16">
        <v>2728635.8099999991</v>
      </c>
      <c r="K31" s="16">
        <v>0</v>
      </c>
      <c r="L31" s="16">
        <v>0</v>
      </c>
      <c r="M31" s="16">
        <v>131.28</v>
      </c>
      <c r="N31" s="18">
        <f t="shared" si="0"/>
        <v>51710204.134230815</v>
      </c>
      <c r="O31" s="4"/>
    </row>
    <row r="32" spans="1:15" ht="15" x14ac:dyDescent="0.2">
      <c r="A32" s="17" t="s">
        <v>27</v>
      </c>
      <c r="B32" s="16">
        <v>183170678.80000001</v>
      </c>
      <c r="C32" s="16">
        <v>0</v>
      </c>
      <c r="D32" s="16">
        <v>28701335.257351581</v>
      </c>
      <c r="E32" s="16">
        <v>0</v>
      </c>
      <c r="F32" s="16">
        <v>624487.96</v>
      </c>
      <c r="G32" s="16">
        <v>414431.18</v>
      </c>
      <c r="H32" s="16">
        <v>10818394.530000001</v>
      </c>
      <c r="I32" s="16">
        <v>1857376.74</v>
      </c>
      <c r="J32" s="16">
        <v>8806001.6099999994</v>
      </c>
      <c r="K32" s="16">
        <v>0</v>
      </c>
      <c r="L32" s="16">
        <v>0</v>
      </c>
      <c r="M32" s="16">
        <v>387.23</v>
      </c>
      <c r="N32" s="18">
        <f t="shared" si="0"/>
        <v>234393093.30735162</v>
      </c>
      <c r="O32" s="4"/>
    </row>
    <row r="33" spans="1:15" ht="15" x14ac:dyDescent="0.2">
      <c r="A33" s="17" t="s">
        <v>28</v>
      </c>
      <c r="B33" s="16">
        <v>118441924.88000001</v>
      </c>
      <c r="C33" s="16">
        <v>0</v>
      </c>
      <c r="D33" s="16">
        <v>15394976.218708085</v>
      </c>
      <c r="E33" s="16">
        <v>0</v>
      </c>
      <c r="F33" s="16">
        <v>458283.09</v>
      </c>
      <c r="G33" s="16">
        <v>310823.39</v>
      </c>
      <c r="H33" s="16">
        <v>6995396.2200000007</v>
      </c>
      <c r="I33" s="16">
        <v>1363043.6600000001</v>
      </c>
      <c r="J33" s="16">
        <v>8259299.8699999973</v>
      </c>
      <c r="K33" s="16">
        <v>0</v>
      </c>
      <c r="L33" s="16">
        <v>0</v>
      </c>
      <c r="M33" s="16">
        <v>284.15999999999997</v>
      </c>
      <c r="N33" s="18">
        <f t="shared" si="0"/>
        <v>151224031.48870808</v>
      </c>
      <c r="O33" s="4"/>
    </row>
    <row r="34" spans="1:15" ht="15" x14ac:dyDescent="0.2">
      <c r="A34" s="17" t="s">
        <v>29</v>
      </c>
      <c r="B34" s="16">
        <v>165138275.97</v>
      </c>
      <c r="C34" s="16">
        <v>0</v>
      </c>
      <c r="D34" s="16">
        <v>17752860.592640221</v>
      </c>
      <c r="E34" s="16">
        <v>0</v>
      </c>
      <c r="F34" s="16">
        <v>666445.74</v>
      </c>
      <c r="G34" s="16">
        <v>545933.39</v>
      </c>
      <c r="H34" s="16">
        <v>9753367.9199999999</v>
      </c>
      <c r="I34" s="16">
        <v>1982169.24</v>
      </c>
      <c r="J34" s="16">
        <v>10657190.949999996</v>
      </c>
      <c r="K34" s="16">
        <v>0</v>
      </c>
      <c r="L34" s="16">
        <v>0</v>
      </c>
      <c r="M34" s="16">
        <v>413.26</v>
      </c>
      <c r="N34" s="18">
        <f t="shared" si="0"/>
        <v>206496657.06264019</v>
      </c>
      <c r="O34" s="4"/>
    </row>
    <row r="35" spans="1:15" ht="15" x14ac:dyDescent="0.2">
      <c r="A35" s="17" t="s">
        <v>30</v>
      </c>
      <c r="B35" s="16">
        <v>79569523.319999993</v>
      </c>
      <c r="C35" s="16">
        <v>0</v>
      </c>
      <c r="D35" s="16">
        <v>14645724.046493778</v>
      </c>
      <c r="E35" s="16">
        <v>0</v>
      </c>
      <c r="F35" s="16">
        <v>416650.56</v>
      </c>
      <c r="G35" s="16">
        <v>211200.51</v>
      </c>
      <c r="H35" s="16">
        <v>4699521.25</v>
      </c>
      <c r="I35" s="16">
        <v>1239218.54</v>
      </c>
      <c r="J35" s="16">
        <v>3897100.2599999988</v>
      </c>
      <c r="K35" s="16">
        <v>0</v>
      </c>
      <c r="L35" s="16">
        <v>0</v>
      </c>
      <c r="M35" s="16">
        <v>258.35000000000002</v>
      </c>
      <c r="N35" s="18">
        <f t="shared" si="0"/>
        <v>104679196.83649379</v>
      </c>
      <c r="O35" s="4"/>
    </row>
    <row r="36" spans="1:15" ht="15" x14ac:dyDescent="0.2">
      <c r="A36" s="17" t="s">
        <v>31</v>
      </c>
      <c r="B36" s="16">
        <v>85709783.230000004</v>
      </c>
      <c r="C36" s="16">
        <v>0</v>
      </c>
      <c r="D36" s="16">
        <v>13936457.017767984</v>
      </c>
      <c r="E36" s="16">
        <v>0</v>
      </c>
      <c r="F36" s="16">
        <v>262154.84000000003</v>
      </c>
      <c r="G36" s="16">
        <v>134158.81</v>
      </c>
      <c r="H36" s="16">
        <v>5062176.21</v>
      </c>
      <c r="I36" s="16">
        <v>779711.28</v>
      </c>
      <c r="J36" s="16">
        <v>5103047.4200000018</v>
      </c>
      <c r="K36" s="16">
        <v>0</v>
      </c>
      <c r="L36" s="16">
        <v>0</v>
      </c>
      <c r="M36" s="16">
        <v>162.54000000000002</v>
      </c>
      <c r="N36" s="18">
        <f t="shared" si="0"/>
        <v>110987651.34776799</v>
      </c>
      <c r="O36" s="4"/>
    </row>
    <row r="37" spans="1:15" ht="15" x14ac:dyDescent="0.2">
      <c r="A37" s="17" t="s">
        <v>32</v>
      </c>
      <c r="B37" s="16">
        <v>95193555.659999996</v>
      </c>
      <c r="C37" s="16">
        <v>0</v>
      </c>
      <c r="D37" s="16">
        <v>15564245.190399127</v>
      </c>
      <c r="E37" s="16">
        <v>0</v>
      </c>
      <c r="F37" s="16">
        <v>486254.95</v>
      </c>
      <c r="G37" s="16">
        <v>195260.85</v>
      </c>
      <c r="H37" s="16">
        <v>5622305.1000000006</v>
      </c>
      <c r="I37" s="16">
        <v>1446238.6500000001</v>
      </c>
      <c r="J37" s="16">
        <v>6588809.919999999</v>
      </c>
      <c r="K37" s="16">
        <v>0</v>
      </c>
      <c r="L37" s="16">
        <v>0</v>
      </c>
      <c r="M37" s="16">
        <v>301.51</v>
      </c>
      <c r="N37" s="18">
        <f t="shared" si="0"/>
        <v>125096971.83039913</v>
      </c>
      <c r="O37" s="4"/>
    </row>
    <row r="38" spans="1:15" ht="15" x14ac:dyDescent="0.2">
      <c r="A38" s="17" t="s">
        <v>33</v>
      </c>
      <c r="B38" s="16">
        <v>87107072.060000002</v>
      </c>
      <c r="C38" s="16">
        <v>0</v>
      </c>
      <c r="D38" s="16">
        <v>1685350.6394115658</v>
      </c>
      <c r="E38" s="16">
        <v>0</v>
      </c>
      <c r="F38" s="16">
        <v>434539.54</v>
      </c>
      <c r="G38" s="16">
        <v>528665.42000000004</v>
      </c>
      <c r="H38" s="16">
        <v>5144702.63</v>
      </c>
      <c r="I38" s="16">
        <v>1292424.6499999999</v>
      </c>
      <c r="J38" s="16">
        <v>10906832.209999997</v>
      </c>
      <c r="K38" s="16">
        <v>0</v>
      </c>
      <c r="L38" s="16">
        <v>0</v>
      </c>
      <c r="M38" s="16">
        <v>269.44</v>
      </c>
      <c r="N38" s="18">
        <f t="shared" si="0"/>
        <v>107099856.58941157</v>
      </c>
      <c r="O38" s="4"/>
    </row>
    <row r="39" spans="1:15" ht="15" x14ac:dyDescent="0.2">
      <c r="A39" s="17" t="s">
        <v>34</v>
      </c>
      <c r="B39" s="16">
        <v>144181113.28999999</v>
      </c>
      <c r="C39" s="16">
        <v>0</v>
      </c>
      <c r="D39" s="16">
        <v>22812349.135518853</v>
      </c>
      <c r="E39" s="16">
        <v>0</v>
      </c>
      <c r="F39" s="16">
        <v>553582.55000000005</v>
      </c>
      <c r="G39" s="16">
        <v>325434.74</v>
      </c>
      <c r="H39" s="16">
        <v>8515599.6500000004</v>
      </c>
      <c r="I39" s="16">
        <v>1646487.0899999999</v>
      </c>
      <c r="J39" s="16">
        <v>9289305.0799999982</v>
      </c>
      <c r="K39" s="16">
        <v>0</v>
      </c>
      <c r="L39" s="16">
        <v>0</v>
      </c>
      <c r="M39" s="16">
        <v>343.27</v>
      </c>
      <c r="N39" s="18">
        <f t="shared" si="0"/>
        <v>187324214.8055189</v>
      </c>
      <c r="O39" s="4"/>
    </row>
    <row r="40" spans="1:15" ht="15" x14ac:dyDescent="0.2">
      <c r="A40" s="17" t="s">
        <v>35</v>
      </c>
      <c r="B40" s="16">
        <v>96593014.200000003</v>
      </c>
      <c r="C40" s="16">
        <v>0</v>
      </c>
      <c r="D40" s="16">
        <v>18561010.68593898</v>
      </c>
      <c r="E40" s="16">
        <v>0</v>
      </c>
      <c r="F40" s="16">
        <v>295656.01</v>
      </c>
      <c r="G40" s="16">
        <v>143456.95000000001</v>
      </c>
      <c r="H40" s="16">
        <v>5704959.6799999997</v>
      </c>
      <c r="I40" s="16">
        <v>879351.8</v>
      </c>
      <c r="J40" s="16">
        <v>5169629.9700000007</v>
      </c>
      <c r="K40" s="16">
        <v>0</v>
      </c>
      <c r="L40" s="16">
        <v>0</v>
      </c>
      <c r="M40" s="16">
        <v>183.32</v>
      </c>
      <c r="N40" s="18">
        <f t="shared" ref="N40:N71" si="1">SUM(B40:M40)</f>
        <v>127347262.61593898</v>
      </c>
      <c r="O40" s="4"/>
    </row>
    <row r="41" spans="1:15" ht="15" x14ac:dyDescent="0.2">
      <c r="A41" s="17" t="s">
        <v>36</v>
      </c>
      <c r="B41" s="16">
        <v>100081896.84999999</v>
      </c>
      <c r="C41" s="16">
        <v>0</v>
      </c>
      <c r="D41" s="16">
        <v>5358997.4956541359</v>
      </c>
      <c r="E41" s="16">
        <v>0</v>
      </c>
      <c r="F41" s="16">
        <v>500566.13</v>
      </c>
      <c r="G41" s="16">
        <v>229796.78</v>
      </c>
      <c r="H41" s="16">
        <v>5911019.4499999993</v>
      </c>
      <c r="I41" s="16">
        <v>1488803.55</v>
      </c>
      <c r="J41" s="16">
        <v>5245362.5399999991</v>
      </c>
      <c r="K41" s="16">
        <v>0</v>
      </c>
      <c r="L41" s="16">
        <v>0</v>
      </c>
      <c r="M41" s="16">
        <v>310.37</v>
      </c>
      <c r="N41" s="18">
        <f t="shared" si="1"/>
        <v>118816753.16565412</v>
      </c>
      <c r="O41" s="4"/>
    </row>
    <row r="42" spans="1:15" ht="15" x14ac:dyDescent="0.2">
      <c r="A42" s="17" t="s">
        <v>37</v>
      </c>
      <c r="B42" s="16">
        <v>61656454.179999992</v>
      </c>
      <c r="C42" s="16">
        <v>0</v>
      </c>
      <c r="D42" s="16">
        <v>735705.12689574808</v>
      </c>
      <c r="E42" s="16">
        <v>0</v>
      </c>
      <c r="F42" s="16">
        <v>1359562.33</v>
      </c>
      <c r="G42" s="16">
        <v>0</v>
      </c>
      <c r="H42" s="16">
        <v>3641542.6999999997</v>
      </c>
      <c r="I42" s="16">
        <v>4043663.9400000004</v>
      </c>
      <c r="J42" s="16">
        <v>8173976.1500000013</v>
      </c>
      <c r="K42" s="16">
        <v>0</v>
      </c>
      <c r="L42" s="16">
        <v>0</v>
      </c>
      <c r="M42" s="16">
        <v>843.06999999999994</v>
      </c>
      <c r="N42" s="18">
        <f t="shared" si="1"/>
        <v>79611747.49689573</v>
      </c>
      <c r="O42" s="4"/>
    </row>
    <row r="43" spans="1:15" ht="15" x14ac:dyDescent="0.2">
      <c r="A43" s="17" t="s">
        <v>38</v>
      </c>
      <c r="B43" s="16">
        <v>222260050.66999999</v>
      </c>
      <c r="C43" s="16">
        <v>0</v>
      </c>
      <c r="D43" s="16">
        <v>5463500.3205873957</v>
      </c>
      <c r="E43" s="16">
        <v>0</v>
      </c>
      <c r="F43" s="16">
        <v>5653567.5800000001</v>
      </c>
      <c r="G43" s="16">
        <v>1815793.04</v>
      </c>
      <c r="H43" s="16">
        <v>13127084.17</v>
      </c>
      <c r="I43" s="16">
        <v>16815063.789999999</v>
      </c>
      <c r="J43" s="16">
        <v>25302561.02</v>
      </c>
      <c r="K43" s="16">
        <v>0</v>
      </c>
      <c r="L43" s="16">
        <v>0</v>
      </c>
      <c r="M43" s="16">
        <v>3505.88</v>
      </c>
      <c r="N43" s="18">
        <f t="shared" si="1"/>
        <v>290441126.47058737</v>
      </c>
      <c r="O43" s="4"/>
    </row>
    <row r="44" spans="1:15" ht="15" x14ac:dyDescent="0.2">
      <c r="A44" s="17" t="s">
        <v>39</v>
      </c>
      <c r="B44" s="16">
        <v>319712267.42000008</v>
      </c>
      <c r="C44" s="16">
        <v>0</v>
      </c>
      <c r="D44" s="16">
        <v>4251522.616644538</v>
      </c>
      <c r="E44" s="16">
        <v>0</v>
      </c>
      <c r="F44" s="16">
        <v>7113633.4500000002</v>
      </c>
      <c r="G44" s="16">
        <v>3331817.6575181824</v>
      </c>
      <c r="H44" s="16">
        <v>18882789.91</v>
      </c>
      <c r="I44" s="16">
        <v>21157649.309999999</v>
      </c>
      <c r="J44" s="16">
        <v>32844645.919999991</v>
      </c>
      <c r="K44" s="16">
        <v>0</v>
      </c>
      <c r="L44" s="16">
        <v>0</v>
      </c>
      <c r="M44" s="16">
        <v>4411.3</v>
      </c>
      <c r="N44" s="18">
        <f t="shared" si="1"/>
        <v>407298737.58416289</v>
      </c>
      <c r="O44" s="4"/>
    </row>
    <row r="45" spans="1:15" ht="15" x14ac:dyDescent="0.2">
      <c r="A45" s="17" t="s">
        <v>40</v>
      </c>
      <c r="B45" s="16">
        <v>90719627.800000012</v>
      </c>
      <c r="C45" s="16">
        <v>0</v>
      </c>
      <c r="D45" s="16">
        <v>7833767.4952238975</v>
      </c>
      <c r="E45" s="16">
        <v>0</v>
      </c>
      <c r="F45" s="16">
        <v>529839</v>
      </c>
      <c r="G45" s="16">
        <v>253706.27</v>
      </c>
      <c r="H45" s="16">
        <v>5358066.7600000007</v>
      </c>
      <c r="I45" s="16">
        <v>1575868.08</v>
      </c>
      <c r="J45" s="16">
        <v>4920736.7300000004</v>
      </c>
      <c r="K45" s="16">
        <v>0</v>
      </c>
      <c r="L45" s="16">
        <v>0</v>
      </c>
      <c r="M45" s="16">
        <v>328.53999999999996</v>
      </c>
      <c r="N45" s="18">
        <f t="shared" si="1"/>
        <v>111191940.67522392</v>
      </c>
      <c r="O45" s="4"/>
    </row>
    <row r="46" spans="1:15" ht="15" x14ac:dyDescent="0.2">
      <c r="A46" s="17" t="s">
        <v>41</v>
      </c>
      <c r="B46" s="16">
        <v>141362668.90000001</v>
      </c>
      <c r="C46" s="16">
        <v>0</v>
      </c>
      <c r="D46" s="16">
        <v>3997838.9866445381</v>
      </c>
      <c r="E46" s="16">
        <v>0</v>
      </c>
      <c r="F46" s="16">
        <v>4179190.53</v>
      </c>
      <c r="G46" s="16">
        <v>0</v>
      </c>
      <c r="H46" s="16">
        <v>8349137.1900000004</v>
      </c>
      <c r="I46" s="16">
        <v>12429913.4</v>
      </c>
      <c r="J46" s="16">
        <v>21948076.279999997</v>
      </c>
      <c r="K46" s="16">
        <v>0</v>
      </c>
      <c r="L46" s="16">
        <v>0</v>
      </c>
      <c r="M46" s="16">
        <v>2591.59</v>
      </c>
      <c r="N46" s="18">
        <f t="shared" si="1"/>
        <v>192269416.87664455</v>
      </c>
      <c r="O46" s="4"/>
    </row>
    <row r="47" spans="1:15" ht="15" x14ac:dyDescent="0.2">
      <c r="A47" s="17" t="s">
        <v>42</v>
      </c>
      <c r="B47" s="16">
        <v>420562239.32000005</v>
      </c>
      <c r="C47" s="16">
        <v>0</v>
      </c>
      <c r="D47" s="16">
        <v>3155451.5051250858</v>
      </c>
      <c r="E47" s="16">
        <v>0</v>
      </c>
      <c r="F47" s="16">
        <v>13028380.119999999</v>
      </c>
      <c r="G47" s="16">
        <v>3704723.480211678</v>
      </c>
      <c r="H47" s="16">
        <v>24839173.280000001</v>
      </c>
      <c r="I47" s="16">
        <v>38749522.239999995</v>
      </c>
      <c r="J47" s="16">
        <v>50712006.86999999</v>
      </c>
      <c r="K47" s="16">
        <v>0</v>
      </c>
      <c r="L47" s="16">
        <v>0</v>
      </c>
      <c r="M47" s="16">
        <v>8079.18</v>
      </c>
      <c r="N47" s="18">
        <f t="shared" si="1"/>
        <v>554759575.99533677</v>
      </c>
      <c r="O47" s="4"/>
    </row>
    <row r="48" spans="1:15" ht="15" x14ac:dyDescent="0.2">
      <c r="A48" s="17" t="s">
        <v>43</v>
      </c>
      <c r="B48" s="16">
        <v>45986858.050000004</v>
      </c>
      <c r="C48" s="16">
        <v>0</v>
      </c>
      <c r="D48" s="16">
        <v>8703056.7511939853</v>
      </c>
      <c r="E48" s="16">
        <v>0</v>
      </c>
      <c r="F48" s="16">
        <v>113188.44</v>
      </c>
      <c r="G48" s="16">
        <v>75713.39</v>
      </c>
      <c r="H48" s="16">
        <v>2716067.75</v>
      </c>
      <c r="I48" s="16">
        <v>336649.53</v>
      </c>
      <c r="J48" s="16">
        <v>2768324.4699999993</v>
      </c>
      <c r="K48" s="16">
        <v>0</v>
      </c>
      <c r="L48" s="16">
        <v>0</v>
      </c>
      <c r="M48" s="16">
        <v>70.16</v>
      </c>
      <c r="N48" s="18">
        <f t="shared" si="1"/>
        <v>60699928.541193984</v>
      </c>
      <c r="O48" s="4"/>
    </row>
    <row r="49" spans="1:15" ht="15" x14ac:dyDescent="0.2">
      <c r="A49" s="17" t="s">
        <v>44</v>
      </c>
      <c r="B49" s="16">
        <v>74843909.879999995</v>
      </c>
      <c r="C49" s="16">
        <v>0</v>
      </c>
      <c r="D49" s="16">
        <v>13041179.975500697</v>
      </c>
      <c r="E49" s="16">
        <v>0</v>
      </c>
      <c r="F49" s="16">
        <v>668397.27</v>
      </c>
      <c r="G49" s="16">
        <v>336061.18</v>
      </c>
      <c r="H49" s="16">
        <v>4420417.8899999997</v>
      </c>
      <c r="I49" s="16">
        <v>1987973.54</v>
      </c>
      <c r="J49" s="16">
        <v>6435982.7599999998</v>
      </c>
      <c r="K49" s="16">
        <v>0</v>
      </c>
      <c r="L49" s="16">
        <v>0</v>
      </c>
      <c r="M49" s="16">
        <v>414.46000000000004</v>
      </c>
      <c r="N49" s="18">
        <f t="shared" si="1"/>
        <v>101734336.95550071</v>
      </c>
      <c r="O49" s="4"/>
    </row>
    <row r="50" spans="1:15" ht="15" x14ac:dyDescent="0.2">
      <c r="A50" s="17" t="s">
        <v>45</v>
      </c>
      <c r="B50" s="16">
        <v>59571369.450000003</v>
      </c>
      <c r="C50" s="16">
        <v>0</v>
      </c>
      <c r="D50" s="16">
        <v>10082468.84230775</v>
      </c>
      <c r="E50" s="16">
        <v>0</v>
      </c>
      <c r="F50" s="16">
        <v>187346.38</v>
      </c>
      <c r="G50" s="16">
        <v>94309.66</v>
      </c>
      <c r="H50" s="16">
        <v>3518393.7800000003</v>
      </c>
      <c r="I50" s="16">
        <v>557213.02</v>
      </c>
      <c r="J50" s="16">
        <v>4635838.0500000007</v>
      </c>
      <c r="K50" s="16">
        <v>0</v>
      </c>
      <c r="L50" s="16">
        <v>0</v>
      </c>
      <c r="M50" s="16">
        <v>116.16000000000001</v>
      </c>
      <c r="N50" s="18">
        <f t="shared" si="1"/>
        <v>78647055.342307732</v>
      </c>
      <c r="O50" s="4"/>
    </row>
    <row r="51" spans="1:15" ht="15" x14ac:dyDescent="0.2">
      <c r="A51" s="17" t="s">
        <v>46</v>
      </c>
      <c r="B51" s="16">
        <v>58742542.839999996</v>
      </c>
      <c r="C51" s="16">
        <v>0</v>
      </c>
      <c r="D51" s="16">
        <v>13455789.003720956</v>
      </c>
      <c r="E51" s="16">
        <v>0</v>
      </c>
      <c r="F51" s="16">
        <v>233532.47</v>
      </c>
      <c r="G51" s="16">
        <v>126188.98</v>
      </c>
      <c r="H51" s="16">
        <v>3469441.78</v>
      </c>
      <c r="I51" s="16">
        <v>694581.51</v>
      </c>
      <c r="J51" s="16">
        <v>3215737.379999999</v>
      </c>
      <c r="K51" s="16">
        <v>0</v>
      </c>
      <c r="L51" s="16">
        <v>0</v>
      </c>
      <c r="M51" s="16">
        <v>144.79</v>
      </c>
      <c r="N51" s="18">
        <f t="shared" si="1"/>
        <v>79937958.753720969</v>
      </c>
      <c r="O51" s="4"/>
    </row>
    <row r="52" spans="1:15" ht="15" x14ac:dyDescent="0.2">
      <c r="A52" s="17" t="s">
        <v>47</v>
      </c>
      <c r="B52" s="16">
        <v>63958509.199999996</v>
      </c>
      <c r="C52" s="16">
        <v>0</v>
      </c>
      <c r="D52" s="16">
        <v>10274223.315820372</v>
      </c>
      <c r="E52" s="16">
        <v>0</v>
      </c>
      <c r="F52" s="16">
        <v>214992.99</v>
      </c>
      <c r="G52" s="16">
        <v>147441.85999999999</v>
      </c>
      <c r="H52" s="16">
        <v>3777506.27</v>
      </c>
      <c r="I52" s="16">
        <v>639440.6399999999</v>
      </c>
      <c r="J52" s="16">
        <v>4315643.6400000006</v>
      </c>
      <c r="K52" s="16">
        <v>0</v>
      </c>
      <c r="L52" s="16">
        <v>0</v>
      </c>
      <c r="M52" s="16">
        <v>133.29000000000002</v>
      </c>
      <c r="N52" s="18">
        <f t="shared" si="1"/>
        <v>83327891.205820367</v>
      </c>
      <c r="O52" s="4"/>
    </row>
    <row r="53" spans="1:15" ht="15" x14ac:dyDescent="0.2">
      <c r="A53" s="17" t="s">
        <v>48</v>
      </c>
      <c r="B53" s="16">
        <v>23050926.119999997</v>
      </c>
      <c r="C53" s="16">
        <v>0</v>
      </c>
      <c r="D53" s="16">
        <v>8292388.7330667423</v>
      </c>
      <c r="E53" s="16">
        <v>0</v>
      </c>
      <c r="F53" s="16">
        <v>37404.22</v>
      </c>
      <c r="G53" s="16">
        <v>23909.49</v>
      </c>
      <c r="H53" s="16">
        <v>1361429.76</v>
      </c>
      <c r="I53" s="16">
        <v>111249.12000000001</v>
      </c>
      <c r="J53" s="16">
        <v>2141209.6399999997</v>
      </c>
      <c r="K53" s="16">
        <v>0</v>
      </c>
      <c r="L53" s="16">
        <v>0</v>
      </c>
      <c r="M53" s="16">
        <v>23.169999999999998</v>
      </c>
      <c r="N53" s="18">
        <f t="shared" si="1"/>
        <v>35018540.253066741</v>
      </c>
      <c r="O53" s="4"/>
    </row>
    <row r="54" spans="1:15" ht="15" x14ac:dyDescent="0.2">
      <c r="A54" s="17" t="s">
        <v>49</v>
      </c>
      <c r="B54" s="16">
        <v>79849415.029999986</v>
      </c>
      <c r="C54" s="16">
        <v>0</v>
      </c>
      <c r="D54" s="16">
        <v>13555077.392149556</v>
      </c>
      <c r="E54" s="16">
        <v>0</v>
      </c>
      <c r="F54" s="16">
        <v>128475.38</v>
      </c>
      <c r="G54" s="16">
        <v>91653.05</v>
      </c>
      <c r="H54" s="16">
        <v>4716052.16</v>
      </c>
      <c r="I54" s="16">
        <v>382116.57</v>
      </c>
      <c r="J54" s="16">
        <v>4948359.68</v>
      </c>
      <c r="K54" s="16">
        <v>0</v>
      </c>
      <c r="L54" s="16">
        <v>0</v>
      </c>
      <c r="M54" s="16">
        <v>79.63</v>
      </c>
      <c r="N54" s="18">
        <f t="shared" si="1"/>
        <v>103671228.89214951</v>
      </c>
      <c r="O54" s="4"/>
    </row>
    <row r="55" spans="1:15" ht="15" x14ac:dyDescent="0.2">
      <c r="A55" s="17" t="s">
        <v>50</v>
      </c>
      <c r="B55" s="16">
        <v>29358253.160000004</v>
      </c>
      <c r="C55" s="16">
        <v>0</v>
      </c>
      <c r="D55" s="16">
        <v>4067608.3796792896</v>
      </c>
      <c r="E55" s="16">
        <v>0</v>
      </c>
      <c r="F55" s="16">
        <v>237110.27</v>
      </c>
      <c r="G55" s="16">
        <v>126188.98</v>
      </c>
      <c r="H55" s="16">
        <v>1733952.01</v>
      </c>
      <c r="I55" s="16">
        <v>705222.74</v>
      </c>
      <c r="J55" s="16">
        <v>3540036.96</v>
      </c>
      <c r="K55" s="16">
        <v>0</v>
      </c>
      <c r="L55" s="16">
        <v>0</v>
      </c>
      <c r="M55" s="16">
        <v>147.01</v>
      </c>
      <c r="N55" s="18">
        <f t="shared" si="1"/>
        <v>39768519.509679288</v>
      </c>
      <c r="O55" s="4"/>
    </row>
    <row r="56" spans="1:15" ht="15" x14ac:dyDescent="0.2">
      <c r="A56" s="17" t="s">
        <v>51</v>
      </c>
      <c r="B56" s="16">
        <v>28145389.079999998</v>
      </c>
      <c r="C56" s="16">
        <v>0</v>
      </c>
      <c r="D56" s="16">
        <v>4884335.377661136</v>
      </c>
      <c r="E56" s="16">
        <v>0</v>
      </c>
      <c r="F56" s="16">
        <v>67002.350000000006</v>
      </c>
      <c r="G56" s="16">
        <v>31879.32</v>
      </c>
      <c r="H56" s="16">
        <v>1662318.05</v>
      </c>
      <c r="I56" s="16">
        <v>199281.03999999998</v>
      </c>
      <c r="J56" s="16">
        <v>2879314.4699999993</v>
      </c>
      <c r="K56" s="16">
        <v>0</v>
      </c>
      <c r="L56" s="16">
        <v>0</v>
      </c>
      <c r="M56" s="16">
        <v>41.52</v>
      </c>
      <c r="N56" s="18">
        <f t="shared" si="1"/>
        <v>37869561.207661137</v>
      </c>
      <c r="O56" s="4"/>
    </row>
    <row r="57" spans="1:15" ht="15" x14ac:dyDescent="0.2">
      <c r="A57" s="17" t="s">
        <v>52</v>
      </c>
      <c r="B57" s="16">
        <v>77644996.650000006</v>
      </c>
      <c r="C57" s="16">
        <v>0</v>
      </c>
      <c r="D57" s="16">
        <v>9169145.4800319895</v>
      </c>
      <c r="E57" s="16">
        <v>0</v>
      </c>
      <c r="F57" s="16">
        <v>344118.88</v>
      </c>
      <c r="G57" s="16">
        <v>167366.44</v>
      </c>
      <c r="H57" s="16">
        <v>4585855.1900000004</v>
      </c>
      <c r="I57" s="16">
        <v>1023491.98</v>
      </c>
      <c r="J57" s="16">
        <v>6105755.7299999995</v>
      </c>
      <c r="K57" s="16">
        <v>0</v>
      </c>
      <c r="L57" s="16">
        <v>0</v>
      </c>
      <c r="M57" s="16">
        <v>213.37</v>
      </c>
      <c r="N57" s="18">
        <f t="shared" si="1"/>
        <v>99040943.720032007</v>
      </c>
      <c r="O57" s="4"/>
    </row>
    <row r="58" spans="1:15" ht="15" x14ac:dyDescent="0.2">
      <c r="A58" s="17" t="s">
        <v>53</v>
      </c>
      <c r="B58" s="16">
        <v>62112091.819999993</v>
      </c>
      <c r="C58" s="16">
        <v>0</v>
      </c>
      <c r="D58" s="16">
        <v>5394001.1263238285</v>
      </c>
      <c r="E58" s="16">
        <v>0</v>
      </c>
      <c r="F58" s="16">
        <v>200356.55</v>
      </c>
      <c r="G58" s="16">
        <v>95637.97</v>
      </c>
      <c r="H58" s="16">
        <v>3668453.49</v>
      </c>
      <c r="I58" s="16">
        <v>595908.37</v>
      </c>
      <c r="J58" s="16">
        <v>3419033.6600000011</v>
      </c>
      <c r="K58" s="16">
        <v>0</v>
      </c>
      <c r="L58" s="16">
        <v>0</v>
      </c>
      <c r="M58" s="16">
        <v>124.22000000000001</v>
      </c>
      <c r="N58" s="18">
        <f t="shared" si="1"/>
        <v>75485607.206323817</v>
      </c>
      <c r="O58" s="4"/>
    </row>
    <row r="59" spans="1:15" ht="15" x14ac:dyDescent="0.2">
      <c r="A59" s="17" t="s">
        <v>54</v>
      </c>
      <c r="B59" s="16">
        <v>69089857.129999995</v>
      </c>
      <c r="C59" s="16">
        <v>0</v>
      </c>
      <c r="D59" s="16">
        <v>13875665.907592673</v>
      </c>
      <c r="E59" s="16">
        <v>0</v>
      </c>
      <c r="F59" s="16">
        <v>195152.48</v>
      </c>
      <c r="G59" s="16">
        <v>95637.97</v>
      </c>
      <c r="H59" s="16">
        <v>4080573.04</v>
      </c>
      <c r="I59" s="16">
        <v>580430.23</v>
      </c>
      <c r="J59" s="16">
        <v>4009931.8699999992</v>
      </c>
      <c r="K59" s="16">
        <v>0</v>
      </c>
      <c r="L59" s="16">
        <v>0</v>
      </c>
      <c r="M59" s="16">
        <v>121</v>
      </c>
      <c r="N59" s="18">
        <f t="shared" si="1"/>
        <v>91927369.627592683</v>
      </c>
      <c r="O59" s="4"/>
    </row>
    <row r="60" spans="1:15" ht="15" x14ac:dyDescent="0.2">
      <c r="A60" s="17" t="s">
        <v>55</v>
      </c>
      <c r="B60" s="16">
        <v>489849539.51999998</v>
      </c>
      <c r="C60" s="16">
        <v>0</v>
      </c>
      <c r="D60" s="16">
        <v>27761799.683308873</v>
      </c>
      <c r="E60" s="16">
        <v>0</v>
      </c>
      <c r="F60" s="16">
        <v>10735013.130000001</v>
      </c>
      <c r="G60" s="16">
        <v>5262744.7</v>
      </c>
      <c r="H60" s="16">
        <v>28931407.66</v>
      </c>
      <c r="I60" s="16">
        <v>31928499.629999999</v>
      </c>
      <c r="J60" s="16">
        <v>65585034.930000015</v>
      </c>
      <c r="K60" s="16">
        <v>0</v>
      </c>
      <c r="L60" s="16">
        <v>0</v>
      </c>
      <c r="M60" s="16">
        <v>6657.01</v>
      </c>
      <c r="N60" s="18">
        <f t="shared" si="1"/>
        <v>660060696.26330888</v>
      </c>
      <c r="O60" s="4"/>
    </row>
    <row r="61" spans="1:15" ht="15" x14ac:dyDescent="0.2">
      <c r="A61" s="17" t="s">
        <v>56</v>
      </c>
      <c r="B61" s="16">
        <v>76590520.909999996</v>
      </c>
      <c r="C61" s="16">
        <v>0</v>
      </c>
      <c r="D61" s="16">
        <v>3783759.1894965423</v>
      </c>
      <c r="E61" s="16">
        <v>0</v>
      </c>
      <c r="F61" s="16">
        <v>1916397.43</v>
      </c>
      <c r="G61" s="16">
        <v>531078.79345060932</v>
      </c>
      <c r="H61" s="16">
        <v>4523575.93</v>
      </c>
      <c r="I61" s="16">
        <v>5699824.8700000001</v>
      </c>
      <c r="J61" s="16">
        <v>15411289.320000006</v>
      </c>
      <c r="K61" s="16">
        <v>0</v>
      </c>
      <c r="L61" s="16">
        <v>0</v>
      </c>
      <c r="M61" s="16">
        <v>1188.3900000000001</v>
      </c>
      <c r="N61" s="18">
        <f t="shared" si="1"/>
        <v>108457634.83294716</v>
      </c>
      <c r="O61" s="4"/>
    </row>
    <row r="62" spans="1:15" ht="15" x14ac:dyDescent="0.2">
      <c r="A62" s="17" t="s">
        <v>57</v>
      </c>
      <c r="B62" s="16">
        <v>462244406.41000003</v>
      </c>
      <c r="C62" s="16">
        <v>0</v>
      </c>
      <c r="D62" s="16">
        <v>4835499.6999999993</v>
      </c>
      <c r="E62" s="16">
        <v>0</v>
      </c>
      <c r="F62" s="16">
        <v>8592889.3100000005</v>
      </c>
      <c r="G62" s="16">
        <v>0</v>
      </c>
      <c r="H62" s="16">
        <v>27300998.129999999</v>
      </c>
      <c r="I62" s="16">
        <v>25557310.469999999</v>
      </c>
      <c r="J62" s="16">
        <v>32504424.919999994</v>
      </c>
      <c r="K62" s="16">
        <v>0</v>
      </c>
      <c r="L62" s="16">
        <v>0</v>
      </c>
      <c r="M62" s="16">
        <v>5328.6100000000006</v>
      </c>
      <c r="N62" s="18">
        <f t="shared" si="1"/>
        <v>561040857.54999995</v>
      </c>
      <c r="O62" s="4"/>
    </row>
    <row r="63" spans="1:15" ht="15" x14ac:dyDescent="0.2">
      <c r="A63" s="17" t="s">
        <v>58</v>
      </c>
      <c r="B63" s="16">
        <v>69701713.430000007</v>
      </c>
      <c r="C63" s="16">
        <v>0</v>
      </c>
      <c r="D63" s="16">
        <v>14477969.335506056</v>
      </c>
      <c r="E63" s="16">
        <v>0</v>
      </c>
      <c r="F63" s="16">
        <v>302811.61</v>
      </c>
      <c r="G63" s="16">
        <v>154083.39000000001</v>
      </c>
      <c r="H63" s="16">
        <v>4116710.39</v>
      </c>
      <c r="I63" s="16">
        <v>900634.24</v>
      </c>
      <c r="J63" s="16">
        <v>4571077.9499999993</v>
      </c>
      <c r="K63" s="16">
        <v>0</v>
      </c>
      <c r="L63" s="16">
        <v>0</v>
      </c>
      <c r="M63" s="16">
        <v>187.75</v>
      </c>
      <c r="N63" s="18">
        <f t="shared" si="1"/>
        <v>94225188.095506057</v>
      </c>
      <c r="O63" s="4"/>
    </row>
    <row r="64" spans="1:15" ht="15" x14ac:dyDescent="0.2">
      <c r="A64" s="17" t="s">
        <v>59</v>
      </c>
      <c r="B64" s="16">
        <v>147641789.79999998</v>
      </c>
      <c r="C64" s="16">
        <v>0</v>
      </c>
      <c r="D64" s="16">
        <v>46208307.484622508</v>
      </c>
      <c r="E64" s="16">
        <v>0</v>
      </c>
      <c r="F64" s="16">
        <v>554233.06000000006</v>
      </c>
      <c r="G64" s="16">
        <v>263004.40000000002</v>
      </c>
      <c r="H64" s="16">
        <v>8719993.5199999996</v>
      </c>
      <c r="I64" s="16">
        <v>1648421.85</v>
      </c>
      <c r="J64" s="16">
        <v>9530429.2700000014</v>
      </c>
      <c r="K64" s="16">
        <v>0</v>
      </c>
      <c r="L64" s="16">
        <v>0</v>
      </c>
      <c r="M64" s="16">
        <v>343.67</v>
      </c>
      <c r="N64" s="18">
        <f t="shared" si="1"/>
        <v>214566523.0546225</v>
      </c>
      <c r="O64" s="4"/>
    </row>
    <row r="65" spans="1:15" ht="15" x14ac:dyDescent="0.2">
      <c r="A65" s="17" t="s">
        <v>60</v>
      </c>
      <c r="B65" s="16">
        <v>80921248.370000005</v>
      </c>
      <c r="C65" s="16">
        <v>0</v>
      </c>
      <c r="D65" s="16">
        <v>11597158.310960932</v>
      </c>
      <c r="E65" s="16">
        <v>0</v>
      </c>
      <c r="F65" s="16">
        <v>120669.28</v>
      </c>
      <c r="G65" s="16">
        <v>100951.19</v>
      </c>
      <c r="H65" s="16">
        <v>4779356.5999999996</v>
      </c>
      <c r="I65" s="16">
        <v>358899.36</v>
      </c>
      <c r="J65" s="16">
        <v>5504518.1700000009</v>
      </c>
      <c r="K65" s="16">
        <v>0</v>
      </c>
      <c r="L65" s="16">
        <v>0</v>
      </c>
      <c r="M65" s="16">
        <v>74.8</v>
      </c>
      <c r="N65" s="18">
        <f t="shared" si="1"/>
        <v>103382876.08096093</v>
      </c>
      <c r="O65" s="4"/>
    </row>
    <row r="66" spans="1:15" ht="15" x14ac:dyDescent="0.2">
      <c r="A66" s="17" t="s">
        <v>61</v>
      </c>
      <c r="B66" s="16">
        <v>44841254.799999997</v>
      </c>
      <c r="C66" s="16">
        <v>0</v>
      </c>
      <c r="D66" s="16">
        <v>10317771.179849243</v>
      </c>
      <c r="E66" s="16">
        <v>0</v>
      </c>
      <c r="F66" s="16">
        <v>118067.25</v>
      </c>
      <c r="G66" s="16">
        <v>81026.61</v>
      </c>
      <c r="H66" s="16">
        <v>2648406.34</v>
      </c>
      <c r="I66" s="16">
        <v>351160.29000000004</v>
      </c>
      <c r="J66" s="16">
        <v>2479493.3000000003</v>
      </c>
      <c r="K66" s="16">
        <v>0</v>
      </c>
      <c r="L66" s="16">
        <v>0</v>
      </c>
      <c r="M66" s="16">
        <v>73.2</v>
      </c>
      <c r="N66" s="18">
        <f t="shared" si="1"/>
        <v>60837252.969849236</v>
      </c>
      <c r="O66" s="4"/>
    </row>
    <row r="67" spans="1:15" ht="15" x14ac:dyDescent="0.2">
      <c r="A67" s="17" t="s">
        <v>62</v>
      </c>
      <c r="B67" s="16">
        <v>205160620.16999999</v>
      </c>
      <c r="C67" s="16">
        <v>0</v>
      </c>
      <c r="D67" s="16">
        <v>1524334.3800000001</v>
      </c>
      <c r="E67" s="16">
        <v>0</v>
      </c>
      <c r="F67" s="16">
        <v>3172528.95</v>
      </c>
      <c r="G67" s="16">
        <v>1728737.4261489008</v>
      </c>
      <c r="H67" s="16">
        <v>12117160.6</v>
      </c>
      <c r="I67" s="16">
        <v>9435860.790000001</v>
      </c>
      <c r="J67" s="16">
        <v>15855000.060000002</v>
      </c>
      <c r="K67" s="16">
        <v>0</v>
      </c>
      <c r="L67" s="16">
        <v>0</v>
      </c>
      <c r="M67" s="16">
        <v>1967.34</v>
      </c>
      <c r="N67" s="18">
        <f t="shared" si="1"/>
        <v>248996209.71614885</v>
      </c>
      <c r="O67" s="4"/>
    </row>
    <row r="68" spans="1:15" ht="15" x14ac:dyDescent="0.2">
      <c r="A68" s="17" t="s">
        <v>63</v>
      </c>
      <c r="B68" s="16">
        <v>126422093.02000001</v>
      </c>
      <c r="C68" s="16">
        <v>0</v>
      </c>
      <c r="D68" s="16">
        <v>1941337.6899999995</v>
      </c>
      <c r="E68" s="16">
        <v>0</v>
      </c>
      <c r="F68" s="16">
        <v>2797836.17</v>
      </c>
      <c r="G68" s="16">
        <v>1637572.7976975804</v>
      </c>
      <c r="H68" s="16">
        <v>7466719.5099999998</v>
      </c>
      <c r="I68" s="16">
        <v>8321434.7400000002</v>
      </c>
      <c r="J68" s="16">
        <v>13782693.789999999</v>
      </c>
      <c r="K68" s="16">
        <v>0</v>
      </c>
      <c r="L68" s="16">
        <v>0</v>
      </c>
      <c r="M68" s="16">
        <v>1734.97</v>
      </c>
      <c r="N68" s="18">
        <f t="shared" si="1"/>
        <v>162371422.68769759</v>
      </c>
      <c r="O68" s="4"/>
    </row>
    <row r="69" spans="1:15" ht="15" x14ac:dyDescent="0.2">
      <c r="A69" s="17" t="s">
        <v>64</v>
      </c>
      <c r="B69" s="16">
        <v>397055675.40999997</v>
      </c>
      <c r="C69" s="16">
        <v>0</v>
      </c>
      <c r="D69" s="16">
        <v>1341455.1175606837</v>
      </c>
      <c r="E69" s="16">
        <v>0</v>
      </c>
      <c r="F69" s="16">
        <v>8257227.0300000003</v>
      </c>
      <c r="G69" s="16">
        <v>1583905.8174992253</v>
      </c>
      <c r="H69" s="16">
        <v>23450832.719999999</v>
      </c>
      <c r="I69" s="16">
        <v>24558970.470000003</v>
      </c>
      <c r="J69" s="16">
        <v>30167476.700000003</v>
      </c>
      <c r="K69" s="16">
        <v>0</v>
      </c>
      <c r="L69" s="16">
        <v>0</v>
      </c>
      <c r="M69" s="16">
        <v>5120.47</v>
      </c>
      <c r="N69" s="18">
        <f t="shared" si="1"/>
        <v>486420663.73505992</v>
      </c>
      <c r="O69" s="4"/>
    </row>
    <row r="70" spans="1:15" ht="15" x14ac:dyDescent="0.2">
      <c r="A70" s="17" t="s">
        <v>65</v>
      </c>
      <c r="B70" s="16">
        <v>90198899.040000007</v>
      </c>
      <c r="C70" s="16">
        <v>0</v>
      </c>
      <c r="D70" s="16">
        <v>17599637.626329191</v>
      </c>
      <c r="E70" s="16">
        <v>0</v>
      </c>
      <c r="F70" s="16">
        <v>1833782.88</v>
      </c>
      <c r="G70" s="16">
        <v>767760.33</v>
      </c>
      <c r="H70" s="16">
        <v>5327311.57</v>
      </c>
      <c r="I70" s="16">
        <v>5454109.4100000001</v>
      </c>
      <c r="J70" s="16">
        <v>13233728.659999996</v>
      </c>
      <c r="K70" s="16">
        <v>0</v>
      </c>
      <c r="L70" s="16">
        <v>0</v>
      </c>
      <c r="M70" s="16">
        <v>1137.1399999999999</v>
      </c>
      <c r="N70" s="18">
        <f t="shared" si="1"/>
        <v>134416366.65632918</v>
      </c>
      <c r="O70" s="4"/>
    </row>
    <row r="71" spans="1:15" ht="15" x14ac:dyDescent="0.2">
      <c r="A71" s="17" t="s">
        <v>66</v>
      </c>
      <c r="B71" s="16">
        <v>297911090.22999996</v>
      </c>
      <c r="C71" s="16">
        <v>0</v>
      </c>
      <c r="D71" s="16">
        <v>1341541.8700000001</v>
      </c>
      <c r="E71" s="16">
        <v>0</v>
      </c>
      <c r="F71" s="16">
        <v>1154652.22</v>
      </c>
      <c r="G71" s="16">
        <v>592424.06000000006</v>
      </c>
      <c r="H71" s="16">
        <v>17595172.609999999</v>
      </c>
      <c r="I71" s="16">
        <v>3434212.21</v>
      </c>
      <c r="J71" s="16">
        <v>10604477.410000002</v>
      </c>
      <c r="K71" s="16">
        <v>0</v>
      </c>
      <c r="L71" s="16">
        <v>0</v>
      </c>
      <c r="M71" s="16">
        <v>716.01</v>
      </c>
      <c r="N71" s="18">
        <f t="shared" si="1"/>
        <v>332634286.62</v>
      </c>
      <c r="O71" s="4"/>
    </row>
    <row r="72" spans="1:15" ht="15" x14ac:dyDescent="0.2">
      <c r="A72" s="17" t="s">
        <v>67</v>
      </c>
      <c r="B72" s="16">
        <v>1595261219.04</v>
      </c>
      <c r="C72" s="16">
        <v>0</v>
      </c>
      <c r="D72" s="16">
        <v>9395840.4810122773</v>
      </c>
      <c r="E72" s="16">
        <v>0</v>
      </c>
      <c r="F72" s="16">
        <v>33597127.869999997</v>
      </c>
      <c r="G72" s="16">
        <v>0</v>
      </c>
      <c r="H72" s="16">
        <v>94219038.549999997</v>
      </c>
      <c r="I72" s="16">
        <v>99925901.219999999</v>
      </c>
      <c r="J72" s="16">
        <v>158610771.69</v>
      </c>
      <c r="K72" s="16">
        <v>0</v>
      </c>
      <c r="L72" s="16">
        <v>0</v>
      </c>
      <c r="M72" s="16">
        <v>20834.329999999998</v>
      </c>
      <c r="N72" s="18">
        <f t="shared" ref="N72:N103" si="2">SUM(B72:M72)</f>
        <v>1991030733.1810122</v>
      </c>
      <c r="O72" s="4"/>
    </row>
    <row r="73" spans="1:15" ht="15" x14ac:dyDescent="0.2">
      <c r="A73" s="17" t="s">
        <v>68</v>
      </c>
      <c r="B73" s="16">
        <v>634149986.61000001</v>
      </c>
      <c r="C73" s="16">
        <v>0</v>
      </c>
      <c r="D73" s="16">
        <v>19288222.885888834</v>
      </c>
      <c r="E73" s="16">
        <v>0</v>
      </c>
      <c r="F73" s="16">
        <v>12470244</v>
      </c>
      <c r="G73" s="16">
        <v>6809352.4165275712</v>
      </c>
      <c r="H73" s="16">
        <v>37454055.380000003</v>
      </c>
      <c r="I73" s="16">
        <v>37089491.770000003</v>
      </c>
      <c r="J73" s="16">
        <v>69377168.74000001</v>
      </c>
      <c r="K73" s="16">
        <v>0</v>
      </c>
      <c r="L73" s="16">
        <v>0</v>
      </c>
      <c r="M73" s="16">
        <v>7733.0599999999995</v>
      </c>
      <c r="N73" s="18">
        <f t="shared" si="2"/>
        <v>816646254.86241639</v>
      </c>
      <c r="O73" s="4"/>
    </row>
    <row r="74" spans="1:15" ht="15" x14ac:dyDescent="0.2">
      <c r="A74" s="17" t="s">
        <v>69</v>
      </c>
      <c r="B74" s="16">
        <v>393007009.36000001</v>
      </c>
      <c r="C74" s="16">
        <v>0</v>
      </c>
      <c r="D74" s="16">
        <v>4301709.3900000006</v>
      </c>
      <c r="E74" s="16">
        <v>0</v>
      </c>
      <c r="F74" s="16">
        <v>9053774.4399999995</v>
      </c>
      <c r="G74" s="16">
        <v>12111156.732998677</v>
      </c>
      <c r="H74" s="16">
        <v>23211711.120000001</v>
      </c>
      <c r="I74" s="16">
        <v>26928093.189999998</v>
      </c>
      <c r="J74" s="16">
        <v>38207443.809999987</v>
      </c>
      <c r="K74" s="16">
        <v>0</v>
      </c>
      <c r="L74" s="16">
        <v>0</v>
      </c>
      <c r="M74" s="16">
        <v>5614.42</v>
      </c>
      <c r="N74" s="18">
        <f t="shared" si="2"/>
        <v>506826512.46299869</v>
      </c>
      <c r="O74" s="4"/>
    </row>
    <row r="75" spans="1:15" ht="15" x14ac:dyDescent="0.2">
      <c r="A75" s="17" t="s">
        <v>70</v>
      </c>
      <c r="B75" s="16">
        <v>66247546.030000001</v>
      </c>
      <c r="C75" s="16">
        <v>0</v>
      </c>
      <c r="D75" s="16">
        <v>10223455.962065618</v>
      </c>
      <c r="E75" s="16">
        <v>0</v>
      </c>
      <c r="F75" s="16">
        <v>164578.59</v>
      </c>
      <c r="G75" s="16">
        <v>86339.83</v>
      </c>
      <c r="H75" s="16">
        <v>3912700.96</v>
      </c>
      <c r="I75" s="16">
        <v>489496.16000000003</v>
      </c>
      <c r="J75" s="16">
        <v>4458936.9200000009</v>
      </c>
      <c r="K75" s="16">
        <v>0</v>
      </c>
      <c r="L75" s="16">
        <v>0</v>
      </c>
      <c r="M75" s="16">
        <v>102.04</v>
      </c>
      <c r="N75" s="18">
        <f t="shared" si="2"/>
        <v>85583156.492065623</v>
      </c>
      <c r="O75" s="4"/>
    </row>
    <row r="76" spans="1:15" ht="15" x14ac:dyDescent="0.2">
      <c r="A76" s="17" t="s">
        <v>71</v>
      </c>
      <c r="B76" s="16">
        <v>59853430.860000007</v>
      </c>
      <c r="C76" s="16">
        <v>0</v>
      </c>
      <c r="D76" s="16">
        <v>14454188.863406647</v>
      </c>
      <c r="E76" s="16">
        <v>0</v>
      </c>
      <c r="F76" s="16">
        <v>296306.52</v>
      </c>
      <c r="G76" s="16">
        <v>203230.68</v>
      </c>
      <c r="H76" s="16">
        <v>3535052.84</v>
      </c>
      <c r="I76" s="16">
        <v>881286.57000000007</v>
      </c>
      <c r="J76" s="16">
        <v>6434524.8300000001</v>
      </c>
      <c r="K76" s="16">
        <v>0</v>
      </c>
      <c r="L76" s="16">
        <v>0</v>
      </c>
      <c r="M76" s="16">
        <v>183.71</v>
      </c>
      <c r="N76" s="18">
        <f t="shared" si="2"/>
        <v>85658204.873406649</v>
      </c>
      <c r="O76" s="4"/>
    </row>
    <row r="77" spans="1:15" ht="15" x14ac:dyDescent="0.2">
      <c r="A77" s="17" t="s">
        <v>72</v>
      </c>
      <c r="B77" s="16">
        <v>81248873.549999997</v>
      </c>
      <c r="C77" s="16">
        <v>0</v>
      </c>
      <c r="D77" s="16">
        <v>12248954.975401888</v>
      </c>
      <c r="E77" s="16">
        <v>0</v>
      </c>
      <c r="F77" s="16">
        <v>348021.93</v>
      </c>
      <c r="G77" s="16">
        <v>143456.95000000001</v>
      </c>
      <c r="H77" s="16">
        <v>4798706.74</v>
      </c>
      <c r="I77" s="16">
        <v>1035100.58</v>
      </c>
      <c r="J77" s="16">
        <v>4040125.1199999992</v>
      </c>
      <c r="K77" s="16">
        <v>0</v>
      </c>
      <c r="L77" s="16">
        <v>0</v>
      </c>
      <c r="M77" s="16">
        <v>215.79</v>
      </c>
      <c r="N77" s="18">
        <f t="shared" si="2"/>
        <v>103863455.6354019</v>
      </c>
      <c r="O77" s="4"/>
    </row>
    <row r="78" spans="1:15" ht="15" x14ac:dyDescent="0.2">
      <c r="A78" s="17" t="s">
        <v>73</v>
      </c>
      <c r="B78" s="16">
        <v>31215519.050000001</v>
      </c>
      <c r="C78" s="16">
        <v>0</v>
      </c>
      <c r="D78" s="16">
        <v>4435399.1085820384</v>
      </c>
      <c r="E78" s="16">
        <v>0</v>
      </c>
      <c r="F78" s="16">
        <v>123596.57</v>
      </c>
      <c r="G78" s="16">
        <v>47818.98</v>
      </c>
      <c r="H78" s="16">
        <v>1843645.52</v>
      </c>
      <c r="I78" s="16">
        <v>367605.81</v>
      </c>
      <c r="J78" s="16">
        <v>1798072.79</v>
      </c>
      <c r="K78" s="16">
        <v>0</v>
      </c>
      <c r="L78" s="16">
        <v>0</v>
      </c>
      <c r="M78" s="16">
        <v>76.63</v>
      </c>
      <c r="N78" s="18">
        <f t="shared" si="2"/>
        <v>39831734.458582044</v>
      </c>
      <c r="O78" s="4"/>
    </row>
    <row r="79" spans="1:15" ht="15" x14ac:dyDescent="0.2">
      <c r="A79" s="17" t="s">
        <v>74</v>
      </c>
      <c r="B79" s="16">
        <v>129919654.5</v>
      </c>
      <c r="C79" s="16">
        <v>0</v>
      </c>
      <c r="D79" s="16">
        <v>31859922.76033707</v>
      </c>
      <c r="E79" s="16">
        <v>0</v>
      </c>
      <c r="F79" s="16">
        <v>621235.42000000004</v>
      </c>
      <c r="G79" s="16">
        <v>355985.76</v>
      </c>
      <c r="H79" s="16">
        <v>7673291.8699999992</v>
      </c>
      <c r="I79" s="16">
        <v>1847702.9000000001</v>
      </c>
      <c r="J79" s="16">
        <v>9879301.5500000007</v>
      </c>
      <c r="K79" s="16">
        <v>0</v>
      </c>
      <c r="L79" s="16">
        <v>0</v>
      </c>
      <c r="M79" s="16">
        <v>385.21</v>
      </c>
      <c r="N79" s="18">
        <f t="shared" si="2"/>
        <v>182157479.97033706</v>
      </c>
      <c r="O79" s="4"/>
    </row>
    <row r="80" spans="1:15" ht="15" x14ac:dyDescent="0.2">
      <c r="A80" s="17" t="s">
        <v>75</v>
      </c>
      <c r="B80" s="16">
        <v>79309158.969999999</v>
      </c>
      <c r="C80" s="16">
        <v>0</v>
      </c>
      <c r="D80" s="16">
        <v>35511782.455773778</v>
      </c>
      <c r="E80" s="16">
        <v>0</v>
      </c>
      <c r="F80" s="16">
        <v>201007.06</v>
      </c>
      <c r="G80" s="16">
        <v>148770.17000000001</v>
      </c>
      <c r="H80" s="16">
        <v>4684143.6500000004</v>
      </c>
      <c r="I80" s="16">
        <v>597843.14</v>
      </c>
      <c r="J80" s="16">
        <v>6544287.2199999997</v>
      </c>
      <c r="K80" s="16">
        <v>0</v>
      </c>
      <c r="L80" s="16">
        <v>0</v>
      </c>
      <c r="M80" s="16">
        <v>124.63</v>
      </c>
      <c r="N80" s="18">
        <f t="shared" si="2"/>
        <v>126997117.29577377</v>
      </c>
      <c r="O80" s="4"/>
    </row>
    <row r="81" spans="1:15" ht="15" x14ac:dyDescent="0.2">
      <c r="A81" s="17" t="s">
        <v>76</v>
      </c>
      <c r="B81" s="16">
        <v>38382048.530000001</v>
      </c>
      <c r="C81" s="16">
        <v>0</v>
      </c>
      <c r="D81" s="16">
        <v>9182662.1899406165</v>
      </c>
      <c r="E81" s="16">
        <v>0</v>
      </c>
      <c r="F81" s="16">
        <v>522032.9</v>
      </c>
      <c r="G81" s="16">
        <v>306838.46999999997</v>
      </c>
      <c r="H81" s="16">
        <v>2266913.83</v>
      </c>
      <c r="I81" s="16">
        <v>1552650.8599999999</v>
      </c>
      <c r="J81" s="16">
        <v>7472567.5300000012</v>
      </c>
      <c r="K81" s="16">
        <v>0</v>
      </c>
      <c r="L81" s="16">
        <v>0</v>
      </c>
      <c r="M81" s="16">
        <v>323.69</v>
      </c>
      <c r="N81" s="18">
        <f t="shared" si="2"/>
        <v>59686037.999940611</v>
      </c>
      <c r="O81" s="4"/>
    </row>
    <row r="82" spans="1:15" ht="15" x14ac:dyDescent="0.2">
      <c r="A82" s="17" t="s">
        <v>77</v>
      </c>
      <c r="B82" s="16">
        <v>535630275.88</v>
      </c>
      <c r="C82" s="16">
        <v>0</v>
      </c>
      <c r="D82" s="16">
        <v>5903368.5599999996</v>
      </c>
      <c r="E82" s="16">
        <v>0</v>
      </c>
      <c r="F82" s="16">
        <v>15045281.08</v>
      </c>
      <c r="G82" s="16">
        <v>12465965.809102224</v>
      </c>
      <c r="H82" s="16">
        <v>31635301.490000002</v>
      </c>
      <c r="I82" s="16">
        <v>44748268.669999994</v>
      </c>
      <c r="J82" s="16">
        <v>61769095.770000018</v>
      </c>
      <c r="K82" s="16">
        <v>0</v>
      </c>
      <c r="L82" s="16">
        <v>0</v>
      </c>
      <c r="M82" s="16">
        <v>9329.9</v>
      </c>
      <c r="N82" s="18">
        <f t="shared" si="2"/>
        <v>707206887.15910208</v>
      </c>
      <c r="O82" s="4"/>
    </row>
    <row r="83" spans="1:15" ht="15" x14ac:dyDescent="0.2">
      <c r="A83" s="17" t="s">
        <v>78</v>
      </c>
      <c r="B83" s="16">
        <v>166665746.97</v>
      </c>
      <c r="C83" s="16">
        <v>0</v>
      </c>
      <c r="D83" s="16">
        <v>9573343.0340416692</v>
      </c>
      <c r="E83" s="16">
        <v>0</v>
      </c>
      <c r="F83" s="16">
        <v>1665951.74</v>
      </c>
      <c r="G83" s="16">
        <v>903247.45</v>
      </c>
      <c r="H83" s="16">
        <v>9843583.1400000006</v>
      </c>
      <c r="I83" s="16">
        <v>4954939.41</v>
      </c>
      <c r="J83" s="16">
        <v>13486688.41</v>
      </c>
      <c r="K83" s="16">
        <v>0</v>
      </c>
      <c r="L83" s="16">
        <v>0</v>
      </c>
      <c r="M83" s="16">
        <v>1033.0700000000002</v>
      </c>
      <c r="N83" s="18">
        <f t="shared" si="2"/>
        <v>207094533.22404164</v>
      </c>
      <c r="O83" s="4"/>
    </row>
    <row r="84" spans="1:15" ht="15" x14ac:dyDescent="0.2">
      <c r="A84" s="17" t="s">
        <v>79</v>
      </c>
      <c r="B84" s="16">
        <v>61949364.099999994</v>
      </c>
      <c r="C84" s="16">
        <v>0</v>
      </c>
      <c r="D84" s="16">
        <v>8452046.1950683799</v>
      </c>
      <c r="E84" s="16">
        <v>0</v>
      </c>
      <c r="F84" s="16">
        <v>334361.26</v>
      </c>
      <c r="G84" s="16">
        <v>79814.757860772472</v>
      </c>
      <c r="H84" s="16">
        <v>3658842.49</v>
      </c>
      <c r="I84" s="16">
        <v>994470.46</v>
      </c>
      <c r="J84" s="16">
        <v>5461549.5</v>
      </c>
      <c r="K84" s="16">
        <v>0</v>
      </c>
      <c r="L84" s="16">
        <v>0</v>
      </c>
      <c r="M84" s="16">
        <v>207.32</v>
      </c>
      <c r="N84" s="18">
        <f t="shared" si="2"/>
        <v>80930656.082929134</v>
      </c>
      <c r="O84" s="4"/>
    </row>
    <row r="85" spans="1:15" ht="15" x14ac:dyDescent="0.2">
      <c r="A85" s="17" t="s">
        <v>80</v>
      </c>
      <c r="B85" s="16">
        <v>60842815.490000002</v>
      </c>
      <c r="C85" s="16">
        <v>0</v>
      </c>
      <c r="D85" s="16">
        <v>7681411.4170956146</v>
      </c>
      <c r="E85" s="16">
        <v>0</v>
      </c>
      <c r="F85" s="16">
        <v>158073.51</v>
      </c>
      <c r="G85" s="16">
        <v>86339.83</v>
      </c>
      <c r="H85" s="16">
        <v>3593487.7199999997</v>
      </c>
      <c r="I85" s="16">
        <v>470148.49</v>
      </c>
      <c r="J85" s="16">
        <v>3196478.1399999997</v>
      </c>
      <c r="K85" s="16">
        <v>0</v>
      </c>
      <c r="L85" s="16">
        <v>0</v>
      </c>
      <c r="M85" s="16">
        <v>98</v>
      </c>
      <c r="N85" s="18">
        <f t="shared" si="2"/>
        <v>76028852.597095609</v>
      </c>
      <c r="O85" s="4"/>
    </row>
    <row r="86" spans="1:15" ht="15" x14ac:dyDescent="0.2">
      <c r="A86" s="17" t="s">
        <v>81</v>
      </c>
      <c r="B86" s="16">
        <v>727115257.24000001</v>
      </c>
      <c r="C86" s="16">
        <v>0</v>
      </c>
      <c r="D86" s="16">
        <v>3827191.3699999996</v>
      </c>
      <c r="E86" s="16">
        <v>0</v>
      </c>
      <c r="F86" s="16">
        <v>9439851.1099999994</v>
      </c>
      <c r="G86" s="16">
        <v>2828141.047801204</v>
      </c>
      <c r="H86" s="16">
        <v>42944753.899999999</v>
      </c>
      <c r="I86" s="16">
        <v>28076377.669999998</v>
      </c>
      <c r="J86" s="16">
        <v>27588963.170000002</v>
      </c>
      <c r="K86" s="16">
        <v>0</v>
      </c>
      <c r="L86" s="16">
        <v>0</v>
      </c>
      <c r="M86" s="16">
        <v>5853.84</v>
      </c>
      <c r="N86" s="18">
        <f t="shared" si="2"/>
        <v>841826389.34780121</v>
      </c>
      <c r="O86" s="4"/>
    </row>
    <row r="87" spans="1:15" ht="15" x14ac:dyDescent="0.2">
      <c r="A87" s="17" t="s">
        <v>82</v>
      </c>
      <c r="B87" s="16">
        <v>93692121.120000005</v>
      </c>
      <c r="C87" s="16">
        <v>0</v>
      </c>
      <c r="D87" s="16">
        <v>9506517.3524766658</v>
      </c>
      <c r="E87" s="16">
        <v>0</v>
      </c>
      <c r="F87" s="16">
        <v>268009.40999999997</v>
      </c>
      <c r="G87" s="16">
        <v>180649.49</v>
      </c>
      <c r="H87" s="16">
        <v>5533627.6399999997</v>
      </c>
      <c r="I87" s="16">
        <v>797124.17999999993</v>
      </c>
      <c r="J87" s="16">
        <v>6064436.6400000006</v>
      </c>
      <c r="K87" s="16">
        <v>0</v>
      </c>
      <c r="L87" s="16">
        <v>0</v>
      </c>
      <c r="M87" s="16">
        <v>166.18</v>
      </c>
      <c r="N87" s="18">
        <f t="shared" si="2"/>
        <v>116042652.01247668</v>
      </c>
      <c r="O87" s="4"/>
    </row>
    <row r="88" spans="1:15" ht="15" x14ac:dyDescent="0.2">
      <c r="A88" s="17" t="s">
        <v>83</v>
      </c>
      <c r="B88" s="16">
        <v>90912731.379999995</v>
      </c>
      <c r="C88" s="16">
        <v>0</v>
      </c>
      <c r="D88" s="16">
        <v>3162879.9684168412</v>
      </c>
      <c r="E88" s="16">
        <v>0</v>
      </c>
      <c r="F88" s="16">
        <v>1315327.77</v>
      </c>
      <c r="G88" s="16">
        <v>460921.86</v>
      </c>
      <c r="H88" s="16">
        <v>5369471.8099999996</v>
      </c>
      <c r="I88" s="16">
        <v>3912099.75</v>
      </c>
      <c r="J88" s="16">
        <v>8982576.6800000016</v>
      </c>
      <c r="K88" s="16">
        <v>0</v>
      </c>
      <c r="L88" s="16">
        <v>0</v>
      </c>
      <c r="M88" s="16">
        <v>815.63000000000011</v>
      </c>
      <c r="N88" s="18">
        <f t="shared" si="2"/>
        <v>114116824.84841684</v>
      </c>
      <c r="O88" s="4"/>
    </row>
    <row r="89" spans="1:15" ht="15" x14ac:dyDescent="0.2">
      <c r="A89" s="17" t="s">
        <v>84</v>
      </c>
      <c r="B89" s="16">
        <v>139370881.41999999</v>
      </c>
      <c r="C89" s="16">
        <v>0</v>
      </c>
      <c r="D89" s="16">
        <v>8156741.4670801396</v>
      </c>
      <c r="E89" s="16">
        <v>0</v>
      </c>
      <c r="F89" s="16">
        <v>1106189.3500000001</v>
      </c>
      <c r="G89" s="16">
        <v>537963.56000000006</v>
      </c>
      <c r="H89" s="16">
        <v>8231498.5800000001</v>
      </c>
      <c r="I89" s="16">
        <v>3290072.02</v>
      </c>
      <c r="J89" s="16">
        <v>9681107.9300000016</v>
      </c>
      <c r="K89" s="16">
        <v>0</v>
      </c>
      <c r="L89" s="16">
        <v>0</v>
      </c>
      <c r="M89" s="16">
        <v>685.94999999999993</v>
      </c>
      <c r="N89" s="18">
        <f t="shared" si="2"/>
        <v>170375140.27708015</v>
      </c>
      <c r="O89" s="4"/>
    </row>
    <row r="90" spans="1:15" ht="15" x14ac:dyDescent="0.2">
      <c r="A90" s="17" t="s">
        <v>85</v>
      </c>
      <c r="B90" s="16">
        <v>749990437.5</v>
      </c>
      <c r="C90" s="16">
        <v>0</v>
      </c>
      <c r="D90" s="16">
        <v>3319342.6558824349</v>
      </c>
      <c r="E90" s="16">
        <v>0</v>
      </c>
      <c r="F90" s="16">
        <v>15005274.82</v>
      </c>
      <c r="G90" s="16">
        <v>4850939.3662679931</v>
      </c>
      <c r="H90" s="16">
        <v>44295803.779999994</v>
      </c>
      <c r="I90" s="16">
        <v>44629280.469999999</v>
      </c>
      <c r="J90" s="16">
        <v>57277356.640000008</v>
      </c>
      <c r="K90" s="16">
        <v>0</v>
      </c>
      <c r="L90" s="16">
        <v>0</v>
      </c>
      <c r="M90" s="16">
        <v>9305.07</v>
      </c>
      <c r="N90" s="18">
        <f t="shared" si="2"/>
        <v>919377740.30215061</v>
      </c>
      <c r="O90" s="4"/>
    </row>
    <row r="91" spans="1:15" ht="15" x14ac:dyDescent="0.2">
      <c r="A91" s="17" t="s">
        <v>86</v>
      </c>
      <c r="B91" s="16">
        <v>27303544.27</v>
      </c>
      <c r="C91" s="16">
        <v>0</v>
      </c>
      <c r="D91" s="16">
        <v>11042064.968177389</v>
      </c>
      <c r="E91" s="16">
        <v>0</v>
      </c>
      <c r="F91" s="16">
        <v>348347.19</v>
      </c>
      <c r="G91" s="16">
        <v>179321.19</v>
      </c>
      <c r="H91" s="16">
        <v>1612597.1500000001</v>
      </c>
      <c r="I91" s="16">
        <v>1036067.96</v>
      </c>
      <c r="J91" s="16">
        <v>4116260.52</v>
      </c>
      <c r="K91" s="16">
        <v>0</v>
      </c>
      <c r="L91" s="16">
        <v>0</v>
      </c>
      <c r="M91" s="16">
        <v>216</v>
      </c>
      <c r="N91" s="18">
        <f t="shared" si="2"/>
        <v>45638419.248177387</v>
      </c>
      <c r="O91" s="4"/>
    </row>
    <row r="92" spans="1:15" ht="15" x14ac:dyDescent="0.2">
      <c r="A92" s="17" t="s">
        <v>87</v>
      </c>
      <c r="B92" s="16">
        <v>41029086.359999999</v>
      </c>
      <c r="C92" s="16">
        <v>0</v>
      </c>
      <c r="D92" s="16">
        <v>117508.57999999999</v>
      </c>
      <c r="E92" s="16">
        <v>0</v>
      </c>
      <c r="F92" s="16">
        <v>74483.19</v>
      </c>
      <c r="G92" s="16">
        <v>55788.81</v>
      </c>
      <c r="H92" s="16">
        <v>2423252.7200000002</v>
      </c>
      <c r="I92" s="16">
        <v>221530.87</v>
      </c>
      <c r="J92" s="16">
        <v>1781019.6799999995</v>
      </c>
      <c r="K92" s="16">
        <v>0</v>
      </c>
      <c r="L92" s="16">
        <v>0</v>
      </c>
      <c r="M92" s="16">
        <v>46.15</v>
      </c>
      <c r="N92" s="18">
        <f t="shared" si="2"/>
        <v>45702716.359999992</v>
      </c>
      <c r="O92" s="4"/>
    </row>
    <row r="93" spans="1:15" ht="15" x14ac:dyDescent="0.2">
      <c r="A93" s="17" t="s">
        <v>88</v>
      </c>
      <c r="B93" s="16">
        <v>393766405.45999998</v>
      </c>
      <c r="C93" s="16">
        <v>0</v>
      </c>
      <c r="D93" s="16">
        <v>3282586.6576456595</v>
      </c>
      <c r="E93" s="16">
        <v>0</v>
      </c>
      <c r="F93" s="16">
        <v>12161252.560000001</v>
      </c>
      <c r="G93" s="16">
        <v>2545115.8834031504</v>
      </c>
      <c r="H93" s="16">
        <v>23256562.440000001</v>
      </c>
      <c r="I93" s="16">
        <v>36170477.240000002</v>
      </c>
      <c r="J93" s="16">
        <v>54470360.150000006</v>
      </c>
      <c r="K93" s="16">
        <v>0</v>
      </c>
      <c r="L93" s="16">
        <v>0</v>
      </c>
      <c r="M93" s="16">
        <v>7541.4500000000007</v>
      </c>
      <c r="N93" s="18">
        <f t="shared" si="2"/>
        <v>525660301.84104878</v>
      </c>
      <c r="O93" s="4"/>
    </row>
    <row r="94" spans="1:15" ht="15" x14ac:dyDescent="0.2">
      <c r="A94" s="17" t="s">
        <v>89</v>
      </c>
      <c r="B94" s="16">
        <v>273905494.63</v>
      </c>
      <c r="C94" s="16">
        <v>0</v>
      </c>
      <c r="D94" s="16">
        <v>4654841.3499999996</v>
      </c>
      <c r="E94" s="16">
        <v>0</v>
      </c>
      <c r="F94" s="16">
        <v>5499071.8600000003</v>
      </c>
      <c r="G94" s="16">
        <v>3107978.9001226309</v>
      </c>
      <c r="H94" s="16">
        <v>16177358.33</v>
      </c>
      <c r="I94" s="16">
        <v>16355556.540000001</v>
      </c>
      <c r="J94" s="16">
        <v>29105532.740000006</v>
      </c>
      <c r="K94" s="16">
        <v>0</v>
      </c>
      <c r="L94" s="16">
        <v>0</v>
      </c>
      <c r="M94" s="16">
        <v>3410.06</v>
      </c>
      <c r="N94" s="18">
        <f t="shared" si="2"/>
        <v>348809244.41012269</v>
      </c>
      <c r="O94" s="4"/>
    </row>
    <row r="95" spans="1:15" ht="15" x14ac:dyDescent="0.2">
      <c r="A95" s="17" t="s">
        <v>90</v>
      </c>
      <c r="B95" s="16">
        <v>47824596.630000003</v>
      </c>
      <c r="C95" s="16">
        <v>0</v>
      </c>
      <c r="D95" s="16">
        <v>7977423.7414643895</v>
      </c>
      <c r="E95" s="16">
        <v>0</v>
      </c>
      <c r="F95" s="16">
        <v>269635.68</v>
      </c>
      <c r="G95" s="16">
        <v>144785.25</v>
      </c>
      <c r="H95" s="16">
        <v>2824607.9499999997</v>
      </c>
      <c r="I95" s="16">
        <v>801961.1</v>
      </c>
      <c r="J95" s="16">
        <v>4287483.6500000013</v>
      </c>
      <c r="K95" s="16">
        <v>0</v>
      </c>
      <c r="L95" s="16">
        <v>0</v>
      </c>
      <c r="M95" s="16">
        <v>167.18</v>
      </c>
      <c r="N95" s="18">
        <f t="shared" si="2"/>
        <v>64130661.181464396</v>
      </c>
      <c r="O95" s="4"/>
    </row>
    <row r="96" spans="1:15" ht="15" x14ac:dyDescent="0.2">
      <c r="A96" s="17" t="s">
        <v>91</v>
      </c>
      <c r="B96" s="16">
        <v>171912089.16</v>
      </c>
      <c r="C96" s="16">
        <v>0</v>
      </c>
      <c r="D96" s="16">
        <v>19510067.901643418</v>
      </c>
      <c r="E96" s="16">
        <v>0</v>
      </c>
      <c r="F96" s="16">
        <v>1511130.76</v>
      </c>
      <c r="G96" s="16">
        <v>790341.52</v>
      </c>
      <c r="H96" s="16">
        <v>10153441.689999999</v>
      </c>
      <c r="I96" s="16">
        <v>4494464.75</v>
      </c>
      <c r="J96" s="16">
        <v>15361453.159999996</v>
      </c>
      <c r="K96" s="16">
        <v>0</v>
      </c>
      <c r="L96" s="16">
        <v>0</v>
      </c>
      <c r="M96" s="16">
        <v>937.06</v>
      </c>
      <c r="N96" s="18">
        <f t="shared" si="2"/>
        <v>223733926.00164342</v>
      </c>
      <c r="O96" s="4"/>
    </row>
    <row r="97" spans="1:15" ht="15" x14ac:dyDescent="0.2">
      <c r="A97" s="17" t="s">
        <v>92</v>
      </c>
      <c r="B97" s="16">
        <v>80513344.219999999</v>
      </c>
      <c r="C97" s="16">
        <v>0</v>
      </c>
      <c r="D97" s="16">
        <v>28317711.650342423</v>
      </c>
      <c r="E97" s="16">
        <v>0</v>
      </c>
      <c r="F97" s="16">
        <v>697670.14</v>
      </c>
      <c r="G97" s="16">
        <v>405133.05</v>
      </c>
      <c r="H97" s="16">
        <v>4755265.0299999993</v>
      </c>
      <c r="I97" s="16">
        <v>2075038.07</v>
      </c>
      <c r="J97" s="16">
        <v>10257177.940000001</v>
      </c>
      <c r="K97" s="16">
        <v>0</v>
      </c>
      <c r="L97" s="16">
        <v>0</v>
      </c>
      <c r="M97" s="16">
        <v>432.61</v>
      </c>
      <c r="N97" s="18">
        <f t="shared" si="2"/>
        <v>127021772.71034241</v>
      </c>
      <c r="O97" s="4"/>
    </row>
    <row r="98" spans="1:15" ht="15" x14ac:dyDescent="0.2">
      <c r="A98" s="17" t="s">
        <v>93</v>
      </c>
      <c r="B98" s="16">
        <v>224110807.42999998</v>
      </c>
      <c r="C98" s="16">
        <v>0</v>
      </c>
      <c r="D98" s="16">
        <v>28993958.81336914</v>
      </c>
      <c r="E98" s="16">
        <v>0</v>
      </c>
      <c r="F98" s="16">
        <v>1622367.68</v>
      </c>
      <c r="G98" s="16">
        <v>949738.13</v>
      </c>
      <c r="H98" s="16">
        <v>13236393.239999998</v>
      </c>
      <c r="I98" s="16">
        <v>4825309.99</v>
      </c>
      <c r="J98" s="16">
        <v>19788067.659999993</v>
      </c>
      <c r="K98" s="16">
        <v>0</v>
      </c>
      <c r="L98" s="16">
        <v>0</v>
      </c>
      <c r="M98" s="16">
        <v>1006.0500000000001</v>
      </c>
      <c r="N98" s="18">
        <f t="shared" si="2"/>
        <v>293527648.9933691</v>
      </c>
      <c r="O98" s="4"/>
    </row>
    <row r="99" spans="1:15" ht="15" x14ac:dyDescent="0.2">
      <c r="A99" s="17" t="s">
        <v>94</v>
      </c>
      <c r="B99" s="16">
        <v>153363297.00000003</v>
      </c>
      <c r="C99" s="16">
        <v>0</v>
      </c>
      <c r="D99" s="16">
        <v>15952835.933254519</v>
      </c>
      <c r="E99" s="16">
        <v>0</v>
      </c>
      <c r="F99" s="16">
        <v>601394.91</v>
      </c>
      <c r="G99" s="16">
        <v>256362.88</v>
      </c>
      <c r="H99" s="16">
        <v>9057916.1799999997</v>
      </c>
      <c r="I99" s="16">
        <v>1788692.5</v>
      </c>
      <c r="J99" s="16">
        <v>12924372.339999998</v>
      </c>
      <c r="K99" s="16">
        <v>0</v>
      </c>
      <c r="L99" s="16">
        <v>0</v>
      </c>
      <c r="M99" s="16">
        <v>372.91999999999996</v>
      </c>
      <c r="N99" s="18">
        <f t="shared" si="2"/>
        <v>193945244.66325453</v>
      </c>
      <c r="O99" s="4"/>
    </row>
    <row r="100" spans="1:15" ht="15" x14ac:dyDescent="0.2">
      <c r="A100" s="17" t="s">
        <v>95</v>
      </c>
      <c r="B100" s="16">
        <v>145743299.55000001</v>
      </c>
      <c r="C100" s="16">
        <v>0</v>
      </c>
      <c r="D100" s="16">
        <v>25367799.421394899</v>
      </c>
      <c r="E100" s="16">
        <v>0</v>
      </c>
      <c r="F100" s="16">
        <v>675227.6</v>
      </c>
      <c r="G100" s="16">
        <v>338717.79</v>
      </c>
      <c r="H100" s="16">
        <v>8607865.2200000007</v>
      </c>
      <c r="I100" s="16">
        <v>2008288.6</v>
      </c>
      <c r="J100" s="16">
        <v>10355507.579999998</v>
      </c>
      <c r="K100" s="16">
        <v>0</v>
      </c>
      <c r="L100" s="16">
        <v>0</v>
      </c>
      <c r="M100" s="16">
        <v>418.69</v>
      </c>
      <c r="N100" s="18">
        <f t="shared" si="2"/>
        <v>193097124.45139486</v>
      </c>
      <c r="O100" s="4"/>
    </row>
    <row r="101" spans="1:15" ht="15" x14ac:dyDescent="0.2">
      <c r="A101" s="17" t="s">
        <v>96</v>
      </c>
      <c r="B101" s="16">
        <v>29455889.800000001</v>
      </c>
      <c r="C101" s="16">
        <v>0</v>
      </c>
      <c r="D101" s="16">
        <v>7629238.0160689</v>
      </c>
      <c r="E101" s="16">
        <v>0</v>
      </c>
      <c r="F101" s="16">
        <v>80663.02</v>
      </c>
      <c r="G101" s="16">
        <v>50475.59</v>
      </c>
      <c r="H101" s="16">
        <v>1739718.61</v>
      </c>
      <c r="I101" s="16">
        <v>239911.16</v>
      </c>
      <c r="J101" s="16">
        <v>2181243.6799999997</v>
      </c>
      <c r="K101" s="16">
        <v>0</v>
      </c>
      <c r="L101" s="16">
        <v>0</v>
      </c>
      <c r="M101" s="16">
        <v>49.989999999999995</v>
      </c>
      <c r="N101" s="18">
        <f t="shared" si="2"/>
        <v>41377189.866068907</v>
      </c>
      <c r="O101" s="4"/>
    </row>
    <row r="102" spans="1:15" ht="15" x14ac:dyDescent="0.2">
      <c r="A102" s="17" t="s">
        <v>97</v>
      </c>
      <c r="B102" s="16">
        <v>97324204.170000017</v>
      </c>
      <c r="C102" s="16">
        <v>0</v>
      </c>
      <c r="D102" s="16">
        <v>35218395.731709205</v>
      </c>
      <c r="E102" s="16">
        <v>0</v>
      </c>
      <c r="F102" s="16">
        <v>1561870.41</v>
      </c>
      <c r="G102" s="16">
        <v>888636.1</v>
      </c>
      <c r="H102" s="16">
        <v>5748145.1000000006</v>
      </c>
      <c r="I102" s="16">
        <v>4645376.6100000003</v>
      </c>
      <c r="J102" s="16">
        <v>14678325.439999998</v>
      </c>
      <c r="K102" s="16">
        <v>0</v>
      </c>
      <c r="L102" s="16">
        <v>0</v>
      </c>
      <c r="M102" s="16">
        <v>968.53</v>
      </c>
      <c r="N102" s="18">
        <f t="shared" si="2"/>
        <v>160065922.09170923</v>
      </c>
      <c r="O102" s="4"/>
    </row>
    <row r="103" spans="1:15" ht="15" x14ac:dyDescent="0.2">
      <c r="A103" s="17" t="s">
        <v>98</v>
      </c>
      <c r="B103" s="16">
        <v>33730204.980000004</v>
      </c>
      <c r="C103" s="16">
        <v>0</v>
      </c>
      <c r="D103" s="16">
        <v>9322225.3071020115</v>
      </c>
      <c r="E103" s="16">
        <v>0</v>
      </c>
      <c r="F103" s="16">
        <v>38705.24</v>
      </c>
      <c r="G103" s="16">
        <v>30551.02</v>
      </c>
      <c r="H103" s="16">
        <v>1992167.47</v>
      </c>
      <c r="I103" s="16">
        <v>115118.67</v>
      </c>
      <c r="J103" s="16">
        <v>3068108.79</v>
      </c>
      <c r="K103" s="16">
        <v>0</v>
      </c>
      <c r="L103" s="16">
        <v>0</v>
      </c>
      <c r="M103" s="16">
        <v>23.979999999999997</v>
      </c>
      <c r="N103" s="18">
        <f t="shared" si="2"/>
        <v>48297105.457102016</v>
      </c>
      <c r="O103" s="4"/>
    </row>
    <row r="104" spans="1:15" ht="15" x14ac:dyDescent="0.2">
      <c r="A104" s="17" t="s">
        <v>99</v>
      </c>
      <c r="B104" s="16">
        <v>450159159.89999998</v>
      </c>
      <c r="C104" s="16">
        <v>0</v>
      </c>
      <c r="D104" s="16">
        <v>10036205.584375173</v>
      </c>
      <c r="E104" s="16">
        <v>0</v>
      </c>
      <c r="F104" s="16">
        <v>7931972.8799999999</v>
      </c>
      <c r="G104" s="16">
        <v>1755744.8283362512</v>
      </c>
      <c r="H104" s="16">
        <v>26587221.420000002</v>
      </c>
      <c r="I104" s="16">
        <v>23591586.75</v>
      </c>
      <c r="J104" s="16">
        <v>34254963.610000007</v>
      </c>
      <c r="K104" s="16">
        <v>0</v>
      </c>
      <c r="L104" s="16">
        <v>0</v>
      </c>
      <c r="M104" s="16">
        <v>4918.78</v>
      </c>
      <c r="N104" s="18">
        <f t="shared" ref="N104:N135" si="3">SUM(B104:M104)</f>
        <v>554321773.7527113</v>
      </c>
      <c r="O104" s="4"/>
    </row>
    <row r="105" spans="1:15" ht="15" x14ac:dyDescent="0.2">
      <c r="A105" s="17" t="s">
        <v>100</v>
      </c>
      <c r="B105" s="16">
        <v>75991682.840000004</v>
      </c>
      <c r="C105" s="16">
        <v>0</v>
      </c>
      <c r="D105" s="16">
        <v>1319486.7899999998</v>
      </c>
      <c r="E105" s="16">
        <v>0</v>
      </c>
      <c r="F105" s="16">
        <v>341842.1</v>
      </c>
      <c r="G105" s="16">
        <v>219170.34</v>
      </c>
      <c r="H105" s="16">
        <v>4488207.46</v>
      </c>
      <c r="I105" s="16">
        <v>1016720.29</v>
      </c>
      <c r="J105" s="16">
        <v>4418692.0900000008</v>
      </c>
      <c r="K105" s="16">
        <v>0</v>
      </c>
      <c r="L105" s="16">
        <v>0</v>
      </c>
      <c r="M105" s="16">
        <v>211.96</v>
      </c>
      <c r="N105" s="18">
        <f t="shared" si="3"/>
        <v>87796013.870000005</v>
      </c>
      <c r="O105" s="4"/>
    </row>
    <row r="106" spans="1:15" ht="15" x14ac:dyDescent="0.2">
      <c r="A106" s="17" t="s">
        <v>101</v>
      </c>
      <c r="B106" s="16">
        <v>86816331.859999985</v>
      </c>
      <c r="C106" s="16">
        <v>0</v>
      </c>
      <c r="D106" s="16">
        <v>1602565.6400000001</v>
      </c>
      <c r="E106" s="16">
        <v>0</v>
      </c>
      <c r="F106" s="16">
        <v>2422167.63</v>
      </c>
      <c r="G106" s="16">
        <v>719790.91947958653</v>
      </c>
      <c r="H106" s="16">
        <v>5127530.9800000004</v>
      </c>
      <c r="I106" s="16">
        <v>7204106.5599999996</v>
      </c>
      <c r="J106" s="16">
        <v>11785640.699999994</v>
      </c>
      <c r="K106" s="16">
        <v>0</v>
      </c>
      <c r="L106" s="16">
        <v>0</v>
      </c>
      <c r="M106" s="16">
        <v>1502.03</v>
      </c>
      <c r="N106" s="18">
        <f t="shared" si="3"/>
        <v>115679636.31947957</v>
      </c>
      <c r="O106" s="4"/>
    </row>
    <row r="107" spans="1:15" ht="15" x14ac:dyDescent="0.2">
      <c r="A107" s="17" t="s">
        <v>102</v>
      </c>
      <c r="B107" s="16">
        <v>118617670.84</v>
      </c>
      <c r="C107" s="16">
        <v>0</v>
      </c>
      <c r="D107" s="16">
        <v>11523314.259484624</v>
      </c>
      <c r="E107" s="16">
        <v>0</v>
      </c>
      <c r="F107" s="16">
        <v>134655.21</v>
      </c>
      <c r="G107" s="16">
        <v>134158.81</v>
      </c>
      <c r="H107" s="16">
        <v>7005776.0899999999</v>
      </c>
      <c r="I107" s="16">
        <v>400496.86</v>
      </c>
      <c r="J107" s="16">
        <v>5746160.4299999988</v>
      </c>
      <c r="K107" s="16">
        <v>0</v>
      </c>
      <c r="L107" s="16">
        <v>0</v>
      </c>
      <c r="M107" s="16">
        <v>83.47999999999999</v>
      </c>
      <c r="N107" s="18">
        <f t="shared" si="3"/>
        <v>143562315.97948462</v>
      </c>
      <c r="O107" s="4"/>
    </row>
    <row r="108" spans="1:15" ht="15" x14ac:dyDescent="0.2">
      <c r="A108" s="17" t="s">
        <v>103</v>
      </c>
      <c r="B108" s="16">
        <v>41220020.259999998</v>
      </c>
      <c r="C108" s="16">
        <v>0</v>
      </c>
      <c r="D108" s="16">
        <v>4570361.8996017501</v>
      </c>
      <c r="E108" s="16">
        <v>0</v>
      </c>
      <c r="F108" s="16">
        <v>136606.74</v>
      </c>
      <c r="G108" s="16">
        <v>83683.22</v>
      </c>
      <c r="H108" s="16">
        <v>2434529.62</v>
      </c>
      <c r="I108" s="16">
        <v>406301.16000000003</v>
      </c>
      <c r="J108" s="16">
        <v>2916259.96</v>
      </c>
      <c r="K108" s="16">
        <v>0</v>
      </c>
      <c r="L108" s="16">
        <v>0</v>
      </c>
      <c r="M108" s="16">
        <v>84.69</v>
      </c>
      <c r="N108" s="18">
        <f t="shared" si="3"/>
        <v>51767847.549601741</v>
      </c>
      <c r="O108" s="4"/>
    </row>
    <row r="109" spans="1:15" ht="15" x14ac:dyDescent="0.2">
      <c r="A109" s="17" t="s">
        <v>104</v>
      </c>
      <c r="B109" s="16">
        <v>453294380.95000005</v>
      </c>
      <c r="C109" s="16">
        <v>0</v>
      </c>
      <c r="D109" s="16">
        <v>7867405.7540315529</v>
      </c>
      <c r="E109" s="16">
        <v>0</v>
      </c>
      <c r="F109" s="16">
        <v>13947548.34</v>
      </c>
      <c r="G109" s="16">
        <v>8044674.2137171254</v>
      </c>
      <c r="H109" s="16">
        <v>26772393.300000001</v>
      </c>
      <c r="I109" s="16">
        <v>41483348.629999995</v>
      </c>
      <c r="J109" s="16">
        <v>54261232.519999996</v>
      </c>
      <c r="K109" s="16">
        <v>0</v>
      </c>
      <c r="L109" s="16">
        <v>0</v>
      </c>
      <c r="M109" s="16">
        <v>8649.16</v>
      </c>
      <c r="N109" s="18">
        <f t="shared" si="3"/>
        <v>605679632.86774862</v>
      </c>
      <c r="O109" s="4"/>
    </row>
    <row r="110" spans="1:15" ht="15" x14ac:dyDescent="0.2">
      <c r="A110" s="17" t="s">
        <v>105</v>
      </c>
      <c r="B110" s="16">
        <v>52888683.75</v>
      </c>
      <c r="C110" s="16">
        <v>0</v>
      </c>
      <c r="D110" s="16">
        <v>10772425.770359099</v>
      </c>
      <c r="E110" s="16">
        <v>0</v>
      </c>
      <c r="F110" s="16">
        <v>533091.54</v>
      </c>
      <c r="G110" s="16">
        <v>280272.37</v>
      </c>
      <c r="H110" s="16">
        <v>3123702.1700000004</v>
      </c>
      <c r="I110" s="16">
        <v>1585541.91</v>
      </c>
      <c r="J110" s="16">
        <v>6394721.1100000003</v>
      </c>
      <c r="K110" s="16">
        <v>0</v>
      </c>
      <c r="L110" s="16">
        <v>0</v>
      </c>
      <c r="M110" s="16">
        <v>330.55999999999995</v>
      </c>
      <c r="N110" s="18">
        <f t="shared" si="3"/>
        <v>75578769.180359095</v>
      </c>
      <c r="O110" s="4"/>
    </row>
    <row r="111" spans="1:15" ht="15" x14ac:dyDescent="0.2">
      <c r="A111" s="17" t="s">
        <v>106</v>
      </c>
      <c r="B111" s="16">
        <v>64602911.040000007</v>
      </c>
      <c r="C111" s="16">
        <v>0</v>
      </c>
      <c r="D111" s="16">
        <v>11778173.747271964</v>
      </c>
      <c r="E111" s="16">
        <v>0</v>
      </c>
      <c r="F111" s="16">
        <v>185720.11</v>
      </c>
      <c r="G111" s="16">
        <v>128845.59</v>
      </c>
      <c r="H111" s="16">
        <v>3815565.82</v>
      </c>
      <c r="I111" s="16">
        <v>552376.1</v>
      </c>
      <c r="J111" s="16">
        <v>5070437.0500000007</v>
      </c>
      <c r="K111" s="16">
        <v>0</v>
      </c>
      <c r="L111" s="16">
        <v>0</v>
      </c>
      <c r="M111" s="16">
        <v>115.13999999999999</v>
      </c>
      <c r="N111" s="18">
        <f t="shared" si="3"/>
        <v>86134144.597271964</v>
      </c>
      <c r="O111" s="4"/>
    </row>
    <row r="112" spans="1:15" ht="15" x14ac:dyDescent="0.2">
      <c r="A112" s="17" t="s">
        <v>107</v>
      </c>
      <c r="B112" s="16">
        <v>86497385.479999989</v>
      </c>
      <c r="C112" s="16">
        <v>0</v>
      </c>
      <c r="D112" s="16">
        <v>22173897.183752943</v>
      </c>
      <c r="E112" s="16">
        <v>0</v>
      </c>
      <c r="F112" s="16">
        <v>225726.37</v>
      </c>
      <c r="G112" s="16">
        <v>146113.56</v>
      </c>
      <c r="H112" s="16">
        <v>5108693.42</v>
      </c>
      <c r="I112" s="16">
        <v>671364.3</v>
      </c>
      <c r="J112" s="16">
        <v>5305672.2699999996</v>
      </c>
      <c r="K112" s="16">
        <v>0</v>
      </c>
      <c r="L112" s="16">
        <v>0</v>
      </c>
      <c r="M112" s="16">
        <v>139.94999999999999</v>
      </c>
      <c r="N112" s="18">
        <f t="shared" si="3"/>
        <v>120128992.53375293</v>
      </c>
      <c r="O112" s="4"/>
    </row>
    <row r="113" spans="1:15" ht="15" x14ac:dyDescent="0.2">
      <c r="A113" s="17" t="s">
        <v>108</v>
      </c>
      <c r="B113" s="16">
        <v>69183154.379999995</v>
      </c>
      <c r="C113" s="16">
        <v>0</v>
      </c>
      <c r="D113" s="16">
        <v>29034979.829267204</v>
      </c>
      <c r="E113" s="16">
        <v>0</v>
      </c>
      <c r="F113" s="16">
        <v>318098.55</v>
      </c>
      <c r="G113" s="16">
        <v>199245.76</v>
      </c>
      <c r="H113" s="16">
        <v>4086083.35</v>
      </c>
      <c r="I113" s="16">
        <v>946101.27999999991</v>
      </c>
      <c r="J113" s="16">
        <v>5264813.62</v>
      </c>
      <c r="K113" s="16">
        <v>0</v>
      </c>
      <c r="L113" s="16">
        <v>0</v>
      </c>
      <c r="M113" s="16">
        <v>197.24</v>
      </c>
      <c r="N113" s="18">
        <f t="shared" si="3"/>
        <v>109032674.0092672</v>
      </c>
      <c r="O113" s="4"/>
    </row>
    <row r="114" spans="1:15" ht="15" x14ac:dyDescent="0.2">
      <c r="A114" s="17" t="s">
        <v>109</v>
      </c>
      <c r="B114" s="16">
        <v>46418629</v>
      </c>
      <c r="C114" s="16">
        <v>0</v>
      </c>
      <c r="D114" s="16">
        <v>8747114.3271741904</v>
      </c>
      <c r="E114" s="16">
        <v>0</v>
      </c>
      <c r="F114" s="16">
        <v>192550.45</v>
      </c>
      <c r="G114" s="16">
        <v>106264.41</v>
      </c>
      <c r="H114" s="16">
        <v>2741568.94</v>
      </c>
      <c r="I114" s="16">
        <v>572691.16</v>
      </c>
      <c r="J114" s="16">
        <v>3987200.5900000012</v>
      </c>
      <c r="K114" s="16">
        <v>0</v>
      </c>
      <c r="L114" s="16">
        <v>0</v>
      </c>
      <c r="M114" s="16">
        <v>119.38</v>
      </c>
      <c r="N114" s="18">
        <f t="shared" si="3"/>
        <v>62766138.257174186</v>
      </c>
      <c r="O114" s="4"/>
    </row>
    <row r="115" spans="1:15" ht="15" x14ac:dyDescent="0.2">
      <c r="A115" s="17" t="s">
        <v>110</v>
      </c>
      <c r="B115" s="16">
        <v>124369553.87000002</v>
      </c>
      <c r="C115" s="16">
        <v>0</v>
      </c>
      <c r="D115" s="16">
        <v>7860271.028096132</v>
      </c>
      <c r="E115" s="16">
        <v>0</v>
      </c>
      <c r="F115" s="16">
        <v>199380.79</v>
      </c>
      <c r="G115" s="16">
        <v>176664.58</v>
      </c>
      <c r="H115" s="16">
        <v>7345492.7999999998</v>
      </c>
      <c r="I115" s="16">
        <v>593006.21</v>
      </c>
      <c r="J115" s="16">
        <v>5284207.08</v>
      </c>
      <c r="K115" s="16">
        <v>0</v>
      </c>
      <c r="L115" s="16">
        <v>0</v>
      </c>
      <c r="M115" s="16">
        <v>123.62</v>
      </c>
      <c r="N115" s="18">
        <f t="shared" si="3"/>
        <v>145828699.97809619</v>
      </c>
      <c r="O115" s="4"/>
    </row>
    <row r="116" spans="1:15" ht="15" x14ac:dyDescent="0.2">
      <c r="A116" s="17" t="s">
        <v>111</v>
      </c>
      <c r="B116" s="16">
        <v>65535883.390000001</v>
      </c>
      <c r="C116" s="16">
        <v>0</v>
      </c>
      <c r="D116" s="16">
        <v>12487141.917435519</v>
      </c>
      <c r="E116" s="16">
        <v>0</v>
      </c>
      <c r="F116" s="16">
        <v>550330.01</v>
      </c>
      <c r="G116" s="16">
        <v>272302.53999999998</v>
      </c>
      <c r="H116" s="16">
        <v>3870668.86</v>
      </c>
      <c r="I116" s="16">
        <v>1636813.25</v>
      </c>
      <c r="J116" s="16">
        <v>7148306.2399999984</v>
      </c>
      <c r="K116" s="16">
        <v>0</v>
      </c>
      <c r="L116" s="16">
        <v>0</v>
      </c>
      <c r="M116" s="16">
        <v>341.25</v>
      </c>
      <c r="N116" s="18">
        <f t="shared" si="3"/>
        <v>91501787.457435519</v>
      </c>
      <c r="O116" s="4"/>
    </row>
    <row r="117" spans="1:15" ht="15" x14ac:dyDescent="0.2">
      <c r="A117" s="17" t="s">
        <v>112</v>
      </c>
      <c r="B117" s="16">
        <v>38084799.200000003</v>
      </c>
      <c r="C117" s="16">
        <v>0</v>
      </c>
      <c r="D117" s="16">
        <v>2485107.9621058097</v>
      </c>
      <c r="E117" s="16">
        <v>0</v>
      </c>
      <c r="F117" s="16">
        <v>115790.47</v>
      </c>
      <c r="G117" s="16">
        <v>73056.78</v>
      </c>
      <c r="H117" s="16">
        <v>2249357.7400000002</v>
      </c>
      <c r="I117" s="16">
        <v>344388.6</v>
      </c>
      <c r="J117" s="16">
        <v>2208923.8899999992</v>
      </c>
      <c r="K117" s="16">
        <v>0</v>
      </c>
      <c r="L117" s="16">
        <v>0</v>
      </c>
      <c r="M117" s="16">
        <v>71.789999999999992</v>
      </c>
      <c r="N117" s="18">
        <f t="shared" si="3"/>
        <v>45561496.432105817</v>
      </c>
      <c r="O117" s="4"/>
    </row>
    <row r="118" spans="1:15" ht="15" x14ac:dyDescent="0.2">
      <c r="A118" s="17" t="s">
        <v>113</v>
      </c>
      <c r="B118" s="16">
        <v>57785703.760000005</v>
      </c>
      <c r="C118" s="16">
        <v>0</v>
      </c>
      <c r="D118" s="16">
        <v>23258607.367409918</v>
      </c>
      <c r="E118" s="16">
        <v>0</v>
      </c>
      <c r="F118" s="16">
        <v>546101.71</v>
      </c>
      <c r="G118" s="16">
        <v>277615.76</v>
      </c>
      <c r="H118" s="16">
        <v>3412929.11</v>
      </c>
      <c r="I118" s="16">
        <v>1624237.26</v>
      </c>
      <c r="J118" s="16">
        <v>5710480.8500000006</v>
      </c>
      <c r="K118" s="16">
        <v>0</v>
      </c>
      <c r="L118" s="16">
        <v>0</v>
      </c>
      <c r="M118" s="16">
        <v>338.63</v>
      </c>
      <c r="N118" s="18">
        <f t="shared" si="3"/>
        <v>92616014.447409913</v>
      </c>
      <c r="O118" s="4"/>
    </row>
    <row r="119" spans="1:15" ht="15" x14ac:dyDescent="0.2">
      <c r="A119" s="17" t="s">
        <v>114</v>
      </c>
      <c r="B119" s="16">
        <v>83969681.309999987</v>
      </c>
      <c r="C119" s="16">
        <v>0</v>
      </c>
      <c r="D119" s="16">
        <v>11036450.627759945</v>
      </c>
      <c r="E119" s="16">
        <v>0</v>
      </c>
      <c r="F119" s="16">
        <v>438767.84</v>
      </c>
      <c r="G119" s="16">
        <v>195260.85</v>
      </c>
      <c r="H119" s="16">
        <v>4959402.6099999994</v>
      </c>
      <c r="I119" s="16">
        <v>1305000.6399999999</v>
      </c>
      <c r="J119" s="16">
        <v>5270299.7700000005</v>
      </c>
      <c r="K119" s="16">
        <v>0</v>
      </c>
      <c r="L119" s="16">
        <v>0</v>
      </c>
      <c r="M119" s="16">
        <v>272.07000000000005</v>
      </c>
      <c r="N119" s="18">
        <f t="shared" si="3"/>
        <v>107175135.71775992</v>
      </c>
      <c r="O119" s="4"/>
    </row>
    <row r="120" spans="1:15" ht="15" x14ac:dyDescent="0.2">
      <c r="A120" s="17" t="s">
        <v>115</v>
      </c>
      <c r="B120" s="16">
        <v>55514024.589999989</v>
      </c>
      <c r="C120" s="16">
        <v>0</v>
      </c>
      <c r="D120" s="16">
        <v>10614378.561278965</v>
      </c>
      <c r="E120" s="16">
        <v>0</v>
      </c>
      <c r="F120" s="16">
        <v>295656.01</v>
      </c>
      <c r="G120" s="16">
        <v>196589.15</v>
      </c>
      <c r="H120" s="16">
        <v>3278759.59</v>
      </c>
      <c r="I120" s="16">
        <v>879351.8</v>
      </c>
      <c r="J120" s="16">
        <v>5652012.5500000007</v>
      </c>
      <c r="K120" s="16">
        <v>0</v>
      </c>
      <c r="L120" s="16">
        <v>0</v>
      </c>
      <c r="M120" s="16">
        <v>183.32</v>
      </c>
      <c r="N120" s="18">
        <f t="shared" si="3"/>
        <v>76430955.571278945</v>
      </c>
      <c r="O120" s="4"/>
    </row>
    <row r="121" spans="1:15" ht="15" x14ac:dyDescent="0.2">
      <c r="A121" s="17" t="s">
        <v>116</v>
      </c>
      <c r="B121" s="16">
        <v>60356801.989999995</v>
      </c>
      <c r="C121" s="16">
        <v>0</v>
      </c>
      <c r="D121" s="16">
        <v>12913463.006926699</v>
      </c>
      <c r="E121" s="16">
        <v>0</v>
      </c>
      <c r="F121" s="16">
        <v>124247.08</v>
      </c>
      <c r="G121" s="16">
        <v>71728.47</v>
      </c>
      <c r="H121" s="16">
        <v>3564782.8699999996</v>
      </c>
      <c r="I121" s="16">
        <v>369540.58</v>
      </c>
      <c r="J121" s="16">
        <v>3102368.74</v>
      </c>
      <c r="K121" s="16">
        <v>0</v>
      </c>
      <c r="L121" s="16">
        <v>0</v>
      </c>
      <c r="M121" s="16">
        <v>77.02</v>
      </c>
      <c r="N121" s="18">
        <f t="shared" si="3"/>
        <v>80503009.756926686</v>
      </c>
      <c r="O121" s="4"/>
    </row>
    <row r="122" spans="1:15" ht="15" x14ac:dyDescent="0.2">
      <c r="A122" s="17" t="s">
        <v>117</v>
      </c>
      <c r="B122" s="16">
        <v>169056759.83999997</v>
      </c>
      <c r="C122" s="16">
        <v>0</v>
      </c>
      <c r="D122" s="16">
        <v>16406105.310000001</v>
      </c>
      <c r="E122" s="16">
        <v>0</v>
      </c>
      <c r="F122" s="16">
        <v>3740422.69</v>
      </c>
      <c r="G122" s="16">
        <v>1875703.3078167217</v>
      </c>
      <c r="H122" s="16">
        <v>9984800.7300000004</v>
      </c>
      <c r="I122" s="16">
        <v>11124912.76</v>
      </c>
      <c r="J122" s="16">
        <v>14538062.899999995</v>
      </c>
      <c r="K122" s="16">
        <v>0</v>
      </c>
      <c r="L122" s="16">
        <v>0</v>
      </c>
      <c r="M122" s="16">
        <v>2319.5</v>
      </c>
      <c r="N122" s="18">
        <f t="shared" si="3"/>
        <v>226729087.03781667</v>
      </c>
      <c r="O122" s="4"/>
    </row>
    <row r="123" spans="1:15" ht="15" x14ac:dyDescent="0.2">
      <c r="A123" s="17" t="s">
        <v>118</v>
      </c>
      <c r="B123" s="16">
        <v>452515457.5200001</v>
      </c>
      <c r="C123" s="16">
        <v>0</v>
      </c>
      <c r="D123" s="16">
        <v>8370382.6849999996</v>
      </c>
      <c r="E123" s="16">
        <v>0</v>
      </c>
      <c r="F123" s="16">
        <v>5199512.79</v>
      </c>
      <c r="G123" s="16">
        <v>4703510.3070457168</v>
      </c>
      <c r="H123" s="16">
        <v>26726388.649999999</v>
      </c>
      <c r="I123" s="16">
        <v>15464596.129999999</v>
      </c>
      <c r="J123" s="16">
        <v>19498661.159999996</v>
      </c>
      <c r="K123" s="16">
        <v>0</v>
      </c>
      <c r="L123" s="16">
        <v>0</v>
      </c>
      <c r="M123" s="16">
        <v>3224.3199999999997</v>
      </c>
      <c r="N123" s="18">
        <f t="shared" si="3"/>
        <v>532481733.56204575</v>
      </c>
      <c r="O123" s="4"/>
    </row>
    <row r="124" spans="1:15" ht="15" x14ac:dyDescent="0.2">
      <c r="A124" s="17" t="s">
        <v>119</v>
      </c>
      <c r="B124" s="16">
        <v>344490277.31</v>
      </c>
      <c r="C124" s="16">
        <v>0</v>
      </c>
      <c r="D124" s="16">
        <v>2751850.2799999993</v>
      </c>
      <c r="E124" s="16">
        <v>0</v>
      </c>
      <c r="F124" s="16">
        <v>6658277.6399999997</v>
      </c>
      <c r="G124" s="16">
        <v>0</v>
      </c>
      <c r="H124" s="16">
        <v>20346224.399999999</v>
      </c>
      <c r="I124" s="16">
        <v>19803312.099999998</v>
      </c>
      <c r="J124" s="16">
        <v>27218644.670000013</v>
      </c>
      <c r="K124" s="16">
        <v>0</v>
      </c>
      <c r="L124" s="16">
        <v>0</v>
      </c>
      <c r="M124" s="16">
        <v>4128.93</v>
      </c>
      <c r="N124" s="18">
        <f t="shared" si="3"/>
        <v>421272715.32999998</v>
      </c>
      <c r="O124" s="4"/>
    </row>
    <row r="125" spans="1:15" ht="15" x14ac:dyDescent="0.2">
      <c r="A125" s="17" t="s">
        <v>120</v>
      </c>
      <c r="B125" s="16">
        <v>122824725.23999999</v>
      </c>
      <c r="C125" s="16">
        <v>0</v>
      </c>
      <c r="D125" s="16">
        <v>6858822.6603463022</v>
      </c>
      <c r="E125" s="16">
        <v>0</v>
      </c>
      <c r="F125" s="16">
        <v>2589023.0099999998</v>
      </c>
      <c r="G125" s="16">
        <v>1239308.6399999999</v>
      </c>
      <c r="H125" s="16">
        <v>7254252.4000000004</v>
      </c>
      <c r="I125" s="16">
        <v>7700374.4000000004</v>
      </c>
      <c r="J125" s="16">
        <v>16935858.060000002</v>
      </c>
      <c r="K125" s="16">
        <v>0</v>
      </c>
      <c r="L125" s="16">
        <v>0</v>
      </c>
      <c r="M125" s="16">
        <v>1605.4899999999998</v>
      </c>
      <c r="N125" s="18">
        <f t="shared" si="3"/>
        <v>165403969.90034631</v>
      </c>
      <c r="O125" s="4"/>
    </row>
    <row r="126" spans="1:15" ht="15" x14ac:dyDescent="0.2">
      <c r="A126" s="17" t="s">
        <v>121</v>
      </c>
      <c r="B126" s="16">
        <v>154728040.27999997</v>
      </c>
      <c r="C126" s="16">
        <v>0</v>
      </c>
      <c r="D126" s="16">
        <v>13346739.716160273</v>
      </c>
      <c r="E126" s="16">
        <v>0</v>
      </c>
      <c r="F126" s="16">
        <v>1296137.77</v>
      </c>
      <c r="G126" s="16">
        <v>502099.32</v>
      </c>
      <c r="H126" s="16">
        <v>9138520.3999999985</v>
      </c>
      <c r="I126" s="16">
        <v>3855024.11</v>
      </c>
      <c r="J126" s="16">
        <v>11196756.780000003</v>
      </c>
      <c r="K126" s="16">
        <v>0</v>
      </c>
      <c r="L126" s="16">
        <v>0</v>
      </c>
      <c r="M126" s="16">
        <v>803.75</v>
      </c>
      <c r="N126" s="18">
        <f t="shared" si="3"/>
        <v>194064122.12616026</v>
      </c>
      <c r="O126" s="4"/>
    </row>
    <row r="127" spans="1:15" ht="15" x14ac:dyDescent="0.2">
      <c r="A127" s="17" t="s">
        <v>122</v>
      </c>
      <c r="B127" s="16">
        <v>73053904.790000021</v>
      </c>
      <c r="C127" s="16">
        <v>0</v>
      </c>
      <c r="D127" s="16">
        <v>4988814.867318552</v>
      </c>
      <c r="E127" s="16">
        <v>0</v>
      </c>
      <c r="F127" s="16">
        <v>1375825.04</v>
      </c>
      <c r="G127" s="16">
        <v>506084.23</v>
      </c>
      <c r="H127" s="16">
        <v>4314696.92</v>
      </c>
      <c r="I127" s="16">
        <v>4092033.13</v>
      </c>
      <c r="J127" s="16">
        <v>11503600.24</v>
      </c>
      <c r="K127" s="16">
        <v>0</v>
      </c>
      <c r="L127" s="16">
        <v>0</v>
      </c>
      <c r="M127" s="16">
        <v>853.16000000000008</v>
      </c>
      <c r="N127" s="18">
        <f t="shared" si="3"/>
        <v>99835812.377318576</v>
      </c>
      <c r="O127" s="4"/>
    </row>
    <row r="128" spans="1:15" ht="15" x14ac:dyDescent="0.2">
      <c r="A128" s="17" t="s">
        <v>123</v>
      </c>
      <c r="B128" s="16">
        <v>44537496.359999999</v>
      </c>
      <c r="C128" s="16">
        <v>0</v>
      </c>
      <c r="D128" s="16">
        <v>5073548.2479197811</v>
      </c>
      <c r="E128" s="16">
        <v>0</v>
      </c>
      <c r="F128" s="16">
        <v>125873.35</v>
      </c>
      <c r="G128" s="16">
        <v>86339.83</v>
      </c>
      <c r="H128" s="16">
        <v>2630465.81</v>
      </c>
      <c r="I128" s="16">
        <v>374377.5</v>
      </c>
      <c r="J128" s="16">
        <v>2705060.4200000004</v>
      </c>
      <c r="K128" s="16">
        <v>0</v>
      </c>
      <c r="L128" s="16">
        <v>0</v>
      </c>
      <c r="M128" s="16">
        <v>78.039999999999992</v>
      </c>
      <c r="N128" s="18">
        <f t="shared" si="3"/>
        <v>55533239.557919785</v>
      </c>
      <c r="O128" s="4"/>
    </row>
    <row r="129" spans="1:15" ht="15" x14ac:dyDescent="0.2">
      <c r="A129" s="17" t="s">
        <v>124</v>
      </c>
      <c r="B129" s="16">
        <v>230329176.63999996</v>
      </c>
      <c r="C129" s="16">
        <v>0</v>
      </c>
      <c r="D129" s="16">
        <v>42594090.002963446</v>
      </c>
      <c r="E129" s="16">
        <v>0</v>
      </c>
      <c r="F129" s="16">
        <v>1600900.91</v>
      </c>
      <c r="G129" s="16">
        <v>1053345.92</v>
      </c>
      <c r="H129" s="16">
        <v>13603661.48</v>
      </c>
      <c r="I129" s="16">
        <v>4761462.66</v>
      </c>
      <c r="J129" s="16">
        <v>17451368.899999995</v>
      </c>
      <c r="K129" s="16">
        <v>0</v>
      </c>
      <c r="L129" s="16">
        <v>0</v>
      </c>
      <c r="M129" s="16">
        <v>992.72</v>
      </c>
      <c r="N129" s="18">
        <f t="shared" si="3"/>
        <v>311394999.2329635</v>
      </c>
      <c r="O129" s="4"/>
    </row>
    <row r="130" spans="1:15" ht="15" x14ac:dyDescent="0.2">
      <c r="A130" s="17" t="s">
        <v>125</v>
      </c>
      <c r="B130" s="16">
        <v>72129611.25</v>
      </c>
      <c r="C130" s="16">
        <v>0</v>
      </c>
      <c r="D130" s="16">
        <v>13291295.885191746</v>
      </c>
      <c r="E130" s="16">
        <v>0</v>
      </c>
      <c r="F130" s="16">
        <v>198079.77</v>
      </c>
      <c r="G130" s="16">
        <v>78370</v>
      </c>
      <c r="H130" s="16">
        <v>4260106.47</v>
      </c>
      <c r="I130" s="16">
        <v>589136.67999999993</v>
      </c>
      <c r="J130" s="16">
        <v>4586635.0200000005</v>
      </c>
      <c r="K130" s="16">
        <v>0</v>
      </c>
      <c r="L130" s="16">
        <v>0</v>
      </c>
      <c r="M130" s="16">
        <v>122.81</v>
      </c>
      <c r="N130" s="18">
        <f t="shared" si="3"/>
        <v>95133357.885191739</v>
      </c>
      <c r="O130" s="4"/>
    </row>
    <row r="131" spans="1:15" ht="15" x14ac:dyDescent="0.2">
      <c r="A131" s="17" t="s">
        <v>126</v>
      </c>
      <c r="B131" s="16">
        <v>339239595.73000002</v>
      </c>
      <c r="C131" s="16">
        <v>0</v>
      </c>
      <c r="D131" s="16">
        <v>18120515.920000002</v>
      </c>
      <c r="E131" s="16">
        <v>0</v>
      </c>
      <c r="F131" s="16">
        <v>8746409.2699999996</v>
      </c>
      <c r="G131" s="16">
        <v>926904.54016225412</v>
      </c>
      <c r="H131" s="16">
        <v>20036109.559999999</v>
      </c>
      <c r="I131" s="16">
        <v>26013915.580000002</v>
      </c>
      <c r="J131" s="16">
        <v>36838848.220000006</v>
      </c>
      <c r="K131" s="16">
        <v>0</v>
      </c>
      <c r="L131" s="16">
        <v>0</v>
      </c>
      <c r="M131" s="16">
        <v>5423.83</v>
      </c>
      <c r="N131" s="18">
        <f t="shared" si="3"/>
        <v>449927722.65016228</v>
      </c>
      <c r="O131" s="4"/>
    </row>
    <row r="132" spans="1:15" ht="15" x14ac:dyDescent="0.2">
      <c r="A132" s="17" t="s">
        <v>127</v>
      </c>
      <c r="B132" s="16">
        <v>15070757.93</v>
      </c>
      <c r="C132" s="16">
        <v>0</v>
      </c>
      <c r="D132" s="16">
        <v>1310216.0119358581</v>
      </c>
      <c r="E132" s="16">
        <v>0</v>
      </c>
      <c r="F132" s="16">
        <v>37404.22</v>
      </c>
      <c r="G132" s="16">
        <v>14611.36</v>
      </c>
      <c r="H132" s="16">
        <v>890106.47</v>
      </c>
      <c r="I132" s="16">
        <v>111249.12000000001</v>
      </c>
      <c r="J132" s="16">
        <v>1325492.5200000003</v>
      </c>
      <c r="K132" s="16">
        <v>0</v>
      </c>
      <c r="L132" s="16">
        <v>0</v>
      </c>
      <c r="M132" s="16">
        <v>23.169999999999998</v>
      </c>
      <c r="N132" s="18">
        <f t="shared" si="3"/>
        <v>18759860.801935859</v>
      </c>
      <c r="O132" s="4"/>
    </row>
    <row r="133" spans="1:15" ht="15" x14ac:dyDescent="0.2">
      <c r="A133" s="17" t="s">
        <v>128</v>
      </c>
      <c r="B133" s="16">
        <v>84277779.150000006</v>
      </c>
      <c r="C133" s="16">
        <v>0</v>
      </c>
      <c r="D133" s="16">
        <v>8290068.0074355183</v>
      </c>
      <c r="E133" s="16">
        <v>0</v>
      </c>
      <c r="F133" s="16">
        <v>135305.72</v>
      </c>
      <c r="G133" s="16">
        <v>107592.71</v>
      </c>
      <c r="H133" s="16">
        <v>4977599.43</v>
      </c>
      <c r="I133" s="16">
        <v>402431.63</v>
      </c>
      <c r="J133" s="16">
        <v>4817323.9399999995</v>
      </c>
      <c r="K133" s="16">
        <v>0</v>
      </c>
      <c r="L133" s="16">
        <v>0</v>
      </c>
      <c r="M133" s="16">
        <v>83.87</v>
      </c>
      <c r="N133" s="18">
        <f t="shared" si="3"/>
        <v>103008184.45743552</v>
      </c>
      <c r="O133" s="4"/>
    </row>
    <row r="134" spans="1:15" ht="15" x14ac:dyDescent="0.2">
      <c r="A134" s="17" t="s">
        <v>129</v>
      </c>
      <c r="B134" s="16">
        <v>165205536.76999998</v>
      </c>
      <c r="C134" s="16">
        <v>0</v>
      </c>
      <c r="D134" s="16">
        <v>26478106.305512458</v>
      </c>
      <c r="E134" s="16">
        <v>0</v>
      </c>
      <c r="F134" s="16">
        <v>631318.29</v>
      </c>
      <c r="G134" s="16">
        <v>365283.9</v>
      </c>
      <c r="H134" s="16">
        <v>9757340.4700000007</v>
      </c>
      <c r="I134" s="16">
        <v>1877691.8</v>
      </c>
      <c r="J134" s="16">
        <v>11103606.380000001</v>
      </c>
      <c r="K134" s="16">
        <v>0</v>
      </c>
      <c r="L134" s="16">
        <v>0</v>
      </c>
      <c r="M134" s="16">
        <v>391.47</v>
      </c>
      <c r="N134" s="18">
        <f t="shared" si="3"/>
        <v>215419275.38551244</v>
      </c>
      <c r="O134" s="4"/>
    </row>
    <row r="135" spans="1:15" ht="15" x14ac:dyDescent="0.2">
      <c r="A135" s="17" t="s">
        <v>130</v>
      </c>
      <c r="B135" s="16">
        <v>138422721.15000001</v>
      </c>
      <c r="C135" s="16">
        <v>0</v>
      </c>
      <c r="D135" s="16">
        <v>33597418.769487299</v>
      </c>
      <c r="E135" s="16">
        <v>0</v>
      </c>
      <c r="F135" s="16">
        <v>950392.61</v>
      </c>
      <c r="G135" s="16">
        <v>486159.66</v>
      </c>
      <c r="H135" s="16">
        <v>8175498.5</v>
      </c>
      <c r="I135" s="16">
        <v>2826695.2199999997</v>
      </c>
      <c r="J135" s="16">
        <v>11330880.879999999</v>
      </c>
      <c r="K135" s="16">
        <v>0</v>
      </c>
      <c r="L135" s="16">
        <v>0</v>
      </c>
      <c r="M135" s="16">
        <v>589.33000000000004</v>
      </c>
      <c r="N135" s="18">
        <f t="shared" si="3"/>
        <v>195790356.11948732</v>
      </c>
      <c r="O135" s="4"/>
    </row>
    <row r="136" spans="1:15" ht="15" x14ac:dyDescent="0.2">
      <c r="A136" s="17" t="s">
        <v>131</v>
      </c>
      <c r="B136" s="16">
        <v>235577688.59000003</v>
      </c>
      <c r="C136" s="16">
        <v>0</v>
      </c>
      <c r="D136" s="16">
        <v>3580863.04</v>
      </c>
      <c r="E136" s="16">
        <v>0</v>
      </c>
      <c r="F136" s="16">
        <v>5654543.3499999996</v>
      </c>
      <c r="G136" s="16">
        <v>3459334.7198008196</v>
      </c>
      <c r="H136" s="16">
        <v>13913648.16</v>
      </c>
      <c r="I136" s="16">
        <v>16817965.949999999</v>
      </c>
      <c r="J136" s="16">
        <v>26023785.060000002</v>
      </c>
      <c r="K136" s="16">
        <v>0</v>
      </c>
      <c r="L136" s="16">
        <v>0</v>
      </c>
      <c r="M136" s="16">
        <v>3506.4900000000002</v>
      </c>
      <c r="N136" s="18">
        <f t="shared" ref="N136:N142" si="4">SUM(B136:M136)</f>
        <v>305031335.35980088</v>
      </c>
      <c r="O136" s="4"/>
    </row>
    <row r="137" spans="1:15" ht="15" x14ac:dyDescent="0.2">
      <c r="A137" s="17" t="s">
        <v>132</v>
      </c>
      <c r="B137" s="16">
        <v>39896501.310000002</v>
      </c>
      <c r="C137" s="16">
        <v>0</v>
      </c>
      <c r="D137" s="16">
        <v>4352217.1409326596</v>
      </c>
      <c r="E137" s="16">
        <v>0</v>
      </c>
      <c r="F137" s="16">
        <v>67652.86</v>
      </c>
      <c r="G137" s="16">
        <v>74385.08</v>
      </c>
      <c r="H137" s="16">
        <v>2356360.1800000002</v>
      </c>
      <c r="I137" s="16">
        <v>201215.81000000003</v>
      </c>
      <c r="J137" s="16">
        <v>2490158.8800000004</v>
      </c>
      <c r="K137" s="16">
        <v>0</v>
      </c>
      <c r="L137" s="16">
        <v>0</v>
      </c>
      <c r="M137" s="16">
        <v>41.919999999999995</v>
      </c>
      <c r="N137" s="18">
        <f t="shared" si="4"/>
        <v>49438533.180932663</v>
      </c>
      <c r="O137" s="4"/>
    </row>
    <row r="138" spans="1:15" ht="15" x14ac:dyDescent="0.2">
      <c r="A138" s="17" t="s">
        <v>133</v>
      </c>
      <c r="B138" s="16">
        <v>85427721.830000013</v>
      </c>
      <c r="C138" s="16">
        <v>0</v>
      </c>
      <c r="D138" s="16">
        <v>23420833.945040993</v>
      </c>
      <c r="E138" s="16">
        <v>0</v>
      </c>
      <c r="F138" s="16">
        <v>589035.26</v>
      </c>
      <c r="G138" s="16">
        <v>304181.86</v>
      </c>
      <c r="H138" s="16">
        <v>5045517.1400000006</v>
      </c>
      <c r="I138" s="16">
        <v>1751931.92</v>
      </c>
      <c r="J138" s="16">
        <v>9268396.0800000019</v>
      </c>
      <c r="K138" s="16">
        <v>0</v>
      </c>
      <c r="L138" s="16">
        <v>0</v>
      </c>
      <c r="M138" s="16">
        <v>365.25</v>
      </c>
      <c r="N138" s="18">
        <f t="shared" si="4"/>
        <v>125807983.28504102</v>
      </c>
      <c r="O138" s="4"/>
    </row>
    <row r="139" spans="1:15" ht="15" x14ac:dyDescent="0.2">
      <c r="A139" s="17" t="s">
        <v>134</v>
      </c>
      <c r="B139" s="16">
        <v>399947889.70000005</v>
      </c>
      <c r="C139" s="16">
        <v>0</v>
      </c>
      <c r="D139" s="16">
        <v>5356621.1950000003</v>
      </c>
      <c r="E139" s="16">
        <v>0</v>
      </c>
      <c r="F139" s="16">
        <v>3029417.12</v>
      </c>
      <c r="G139" s="16">
        <v>3184984.0740521126</v>
      </c>
      <c r="H139" s="16">
        <v>23621652.219999999</v>
      </c>
      <c r="I139" s="16">
        <v>9010212.0600000005</v>
      </c>
      <c r="J139" s="16">
        <v>16790396.949999999</v>
      </c>
      <c r="K139" s="16">
        <v>0</v>
      </c>
      <c r="L139" s="16">
        <v>0</v>
      </c>
      <c r="M139" s="16">
        <v>1878.58</v>
      </c>
      <c r="N139" s="18">
        <f t="shared" si="4"/>
        <v>460943051.89905208</v>
      </c>
      <c r="O139" s="4"/>
    </row>
    <row r="140" spans="1:15" ht="15" x14ac:dyDescent="0.2">
      <c r="A140" s="17" t="s">
        <v>135</v>
      </c>
      <c r="B140" s="16">
        <v>104069811.23999999</v>
      </c>
      <c r="C140" s="16">
        <v>0</v>
      </c>
      <c r="D140" s="16">
        <v>1178505.8599999999</v>
      </c>
      <c r="E140" s="16">
        <v>0</v>
      </c>
      <c r="F140" s="16">
        <v>499590.37</v>
      </c>
      <c r="G140" s="16">
        <v>269645.93</v>
      </c>
      <c r="H140" s="16">
        <v>6146552.96</v>
      </c>
      <c r="I140" s="16">
        <v>1485901.39</v>
      </c>
      <c r="J140" s="16">
        <v>4236995.21</v>
      </c>
      <c r="K140" s="16">
        <v>0</v>
      </c>
      <c r="L140" s="16">
        <v>0</v>
      </c>
      <c r="M140" s="16">
        <v>309.77999999999997</v>
      </c>
      <c r="N140" s="18">
        <f t="shared" si="4"/>
        <v>117887312.73999999</v>
      </c>
      <c r="O140" s="4"/>
    </row>
    <row r="141" spans="1:15" ht="15" x14ac:dyDescent="0.2">
      <c r="A141" s="17" t="s">
        <v>136</v>
      </c>
      <c r="B141" s="16">
        <v>128737166.31</v>
      </c>
      <c r="C141" s="16">
        <v>0</v>
      </c>
      <c r="D141" s="16">
        <v>10610436.084949613</v>
      </c>
      <c r="E141" s="16">
        <v>0</v>
      </c>
      <c r="F141" s="16">
        <v>720437.93</v>
      </c>
      <c r="G141" s="16">
        <v>263004.40000000002</v>
      </c>
      <c r="H141" s="16">
        <v>7603451.96</v>
      </c>
      <c r="I141" s="16">
        <v>2142754.9299999997</v>
      </c>
      <c r="J141" s="16">
        <v>11539663.320000002</v>
      </c>
      <c r="K141" s="16">
        <v>0</v>
      </c>
      <c r="L141" s="16">
        <v>0</v>
      </c>
      <c r="M141" s="16">
        <v>446.74</v>
      </c>
      <c r="N141" s="18">
        <f t="shared" si="4"/>
        <v>161617361.67494965</v>
      </c>
      <c r="O141" s="4"/>
    </row>
    <row r="142" spans="1:15" ht="15" x14ac:dyDescent="0.2">
      <c r="A142" s="17" t="s">
        <v>137</v>
      </c>
      <c r="B142" s="16">
        <v>121976371.28000002</v>
      </c>
      <c r="C142" s="16">
        <v>0</v>
      </c>
      <c r="D142" s="16">
        <v>10750805.45824689</v>
      </c>
      <c r="E142" s="16">
        <v>0</v>
      </c>
      <c r="F142" s="16">
        <v>3097395.24</v>
      </c>
      <c r="G142" s="16">
        <v>970991.01</v>
      </c>
      <c r="H142" s="16">
        <v>7204147.0700000003</v>
      </c>
      <c r="I142" s="16">
        <v>9212395.1500000004</v>
      </c>
      <c r="J142" s="16">
        <v>15522087.489999996</v>
      </c>
      <c r="K142" s="16">
        <v>0</v>
      </c>
      <c r="L142" s="16">
        <v>0</v>
      </c>
      <c r="M142" s="16">
        <v>1920.75</v>
      </c>
      <c r="N142" s="18">
        <f t="shared" si="4"/>
        <v>168736113.4482469</v>
      </c>
      <c r="O142" s="4"/>
    </row>
    <row r="143" spans="1:15" ht="24.75" customHeight="1" x14ac:dyDescent="0.2">
      <c r="A143" s="24" t="s">
        <v>138</v>
      </c>
      <c r="B143" s="25">
        <f t="shared" ref="B143:I143" si="5">SUM(B8:B142)</f>
        <v>21697031435.85001</v>
      </c>
      <c r="C143" s="25">
        <f t="shared" si="5"/>
        <v>0</v>
      </c>
      <c r="D143" s="25">
        <f t="shared" si="5"/>
        <v>1635820313.7778933</v>
      </c>
      <c r="E143" s="25">
        <f t="shared" si="5"/>
        <v>0</v>
      </c>
      <c r="F143" s="25">
        <f t="shared" si="5"/>
        <v>325254147.26000017</v>
      </c>
      <c r="G143" s="25">
        <f t="shared" si="5"/>
        <v>132830507.54000002</v>
      </c>
      <c r="H143" s="25">
        <f t="shared" si="5"/>
        <v>1281466269.0300012</v>
      </c>
      <c r="I143" s="25">
        <f t="shared" si="5"/>
        <v>967383718.63999963</v>
      </c>
      <c r="J143" s="25">
        <f t="shared" ref="J143:N143" si="6">SUM(J8:J142)</f>
        <v>1918251403.150001</v>
      </c>
      <c r="K143" s="25">
        <f t="shared" si="6"/>
        <v>0</v>
      </c>
      <c r="L143" s="25">
        <f t="shared" si="6"/>
        <v>0</v>
      </c>
      <c r="M143" s="25">
        <f t="shared" si="6"/>
        <v>201694.16</v>
      </c>
      <c r="N143" s="25">
        <f t="shared" si="6"/>
        <v>27958239489.407902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">
      <c r="B145" s="7"/>
      <c r="C145" s="7"/>
      <c r="D145" s="7"/>
      <c r="E145" s="8"/>
      <c r="F145" s="8"/>
      <c r="G145" s="8"/>
      <c r="H145" s="8"/>
      <c r="I145" s="8"/>
      <c r="M145" s="9"/>
      <c r="N145" s="8"/>
    </row>
    <row r="146" spans="1:14" x14ac:dyDescent="0.2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4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4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4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4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4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4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4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4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4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>
    <tabColor rgb="FF44AEAC"/>
  </sheetPr>
  <dimension ref="A1:O275"/>
  <sheetViews>
    <sheetView showGridLines="0" zoomScale="80" zoomScaleNormal="80" workbookViewId="0"/>
  </sheetViews>
  <sheetFormatPr baseColWidth="10" defaultRowHeight="14.25" x14ac:dyDescent="0.2"/>
  <cols>
    <col min="1" max="1" width="41.83203125" style="11" customWidth="1"/>
    <col min="2" max="2" width="23.6640625" style="1" bestFit="1" customWidth="1"/>
    <col min="3" max="3" width="22.33203125" style="1" hidden="1" customWidth="1"/>
    <col min="4" max="10" width="22.33203125" style="1" customWidth="1"/>
    <col min="11" max="12" width="22.33203125" style="1" hidden="1" customWidth="1"/>
    <col min="13" max="13" width="22.33203125" style="1" customWidth="1"/>
    <col min="14" max="14" width="23.83203125" style="1" customWidth="1"/>
    <col min="15" max="15" width="12" style="1" customWidth="1"/>
    <col min="16" max="16384" width="12" style="1"/>
  </cols>
  <sheetData>
    <row r="1" spans="1:15" ht="11.25" customHeight="1" x14ac:dyDescent="0.2">
      <c r="A1" s="1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x14ac:dyDescent="0.2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7.25" customHeight="1" x14ac:dyDescent="0.25">
      <c r="A3" s="23" t="s">
        <v>0</v>
      </c>
      <c r="B3" s="2"/>
      <c r="C3" s="2"/>
      <c r="D3" s="2"/>
      <c r="E3" s="2"/>
      <c r="F3" s="26"/>
      <c r="G3" s="2"/>
      <c r="H3" s="2"/>
      <c r="I3" s="2"/>
      <c r="J3" s="2"/>
      <c r="K3" s="2"/>
      <c r="L3" s="2"/>
      <c r="M3" s="2"/>
      <c r="N3" s="2"/>
    </row>
    <row r="4" spans="1:15" ht="17.25" customHeight="1" x14ac:dyDescent="0.25">
      <c r="A4" s="23" t="s">
        <v>176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75" customHeight="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5" t="s">
        <v>1</v>
      </c>
    </row>
    <row r="6" spans="1:15" ht="18.75" customHeight="1" x14ac:dyDescent="0.2">
      <c r="A6" s="28" t="s">
        <v>2</v>
      </c>
      <c r="B6" s="29" t="s">
        <v>177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5" ht="60" customHeight="1" x14ac:dyDescent="0.2">
      <c r="A7" s="28"/>
      <c r="B7" s="21" t="s">
        <v>139</v>
      </c>
      <c r="C7" s="21" t="s">
        <v>151</v>
      </c>
      <c r="D7" s="21" t="s">
        <v>143</v>
      </c>
      <c r="E7" s="21" t="s">
        <v>141</v>
      </c>
      <c r="F7" s="21" t="s">
        <v>150</v>
      </c>
      <c r="G7" s="21" t="s">
        <v>144</v>
      </c>
      <c r="H7" s="21" t="s">
        <v>146</v>
      </c>
      <c r="I7" s="21" t="s">
        <v>145</v>
      </c>
      <c r="J7" s="21" t="s">
        <v>147</v>
      </c>
      <c r="K7" s="21" t="s">
        <v>148</v>
      </c>
      <c r="L7" s="21" t="s">
        <v>149</v>
      </c>
      <c r="M7" s="21" t="s">
        <v>142</v>
      </c>
      <c r="N7" s="22" t="s">
        <v>140</v>
      </c>
    </row>
    <row r="8" spans="1:15" ht="18" customHeight="1" x14ac:dyDescent="0.2">
      <c r="A8" s="17" t="s">
        <v>3</v>
      </c>
      <c r="B8" s="16">
        <f>ENERO!B8+FEBRERO!B8+MARZO!B8+ABRIL!B8+MAYO!B8+JUNIO!B8+JULIO!B8+AGOSTO!B8+SEPTIEMBRE!B8+OCTUBRE!B8+NOVIEMBRE!B8+DICIEMBRE!B8</f>
        <v>810918076.63999999</v>
      </c>
      <c r="C8" s="16">
        <f>ENERO!C8+FEBRERO!C8+MARZO!C8+ABRIL!C8+MAYO!C8+JUNIO!C8+JULIO!C8+AGOSTO!C8+SEPTIEMBRE!C8+OCTUBRE!C8+NOVIEMBRE!C8+DICIEMBRE!C8</f>
        <v>0</v>
      </c>
      <c r="D8" s="16">
        <f>ENERO!D8+FEBRERO!D8+MARZO!D8+ABRIL!D8+MAYO!D8+JUNIO!D8+JULIO!D8+AGOSTO!D8+SEPTIEMBRE!D8+OCTUBRE!D8+NOVIEMBRE!D8+DICIEMBRE!D8</f>
        <v>85766087.056682199</v>
      </c>
      <c r="E8" s="16">
        <f>ENERO!E8+FEBRERO!E8+MARZO!E8+ABRIL!E8+MAYO!E8+JUNIO!E8+JULIO!E8+AGOSTO!E8+SEPTIEMBRE!E8+OCTUBRE!E8+NOVIEMBRE!E8+DICIEMBRE!E8</f>
        <v>474630.95000000007</v>
      </c>
      <c r="F8" s="16">
        <f>ENERO!F8+FEBRERO!F8+MARZO!F8+ABRIL!F8+MAYO!F8+JUNIO!F8+JULIO!F8+AGOSTO!F8+SEPTIEMBRE!F8+OCTUBRE!F8+NOVIEMBRE!F8+DICIEMBRE!F8</f>
        <v>2885147.5799999996</v>
      </c>
      <c r="G8" s="16">
        <f>ENERO!G8+FEBRERO!G8+MARZO!G8+ABRIL!G8+MAYO!G8+JUNIO!G8+JULIO!G8+AGOSTO!G8+SEPTIEMBRE!G8+OCTUBRE!G8+NOVIEMBRE!G8+DICIEMBRE!G8</f>
        <v>1482262.4</v>
      </c>
      <c r="H8" s="16">
        <f>ENERO!H8+FEBRERO!H8+MARZO!H8+ABRIL!H8+MAYO!H8+JUNIO!H8+JULIO!H8+AGOSTO!H8+SEPTIEMBRE!H8+OCTUBRE!H8+NOVIEMBRE!H8+DICIEMBRE!H8</f>
        <v>43054477.079999998</v>
      </c>
      <c r="I8" s="16">
        <f>ENERO!I8+FEBRERO!I8+MARZO!I8+ABRIL!I8+MAYO!I8+JUNIO!I8+JULIO!I8+AGOSTO!I8+SEPTIEMBRE!I8+OCTUBRE!I8+NOVIEMBRE!I8+DICIEMBRE!I8</f>
        <v>6669207.1899999995</v>
      </c>
      <c r="J8" s="16">
        <f>ENERO!J8+FEBRERO!J8+MARZO!J8+ABRIL!J8+MAYO!J8+JUNIO!J8+JULIO!J8+AGOSTO!J8+SEPTIEMBRE!J8+OCTUBRE!J8+NOVIEMBRE!J8+DICIEMBRE!J8</f>
        <v>68414804.170000002</v>
      </c>
      <c r="K8" s="16">
        <f>ENERO!K8+FEBRERO!K8+MARZO!K8+ABRIL!K8+MAYO!K8+JUNIO!K8+JULIO!K8+AGOSTO!K8+SEPTIEMBRE!K8+OCTUBRE!K8+NOVIEMBRE!K8+DICIEMBRE!K8</f>
        <v>0</v>
      </c>
      <c r="L8" s="16">
        <f>ENERO!L8+FEBRERO!L8+MARZO!L8+ABRIL!L8+MAYO!L8+JUNIO!L8+JULIO!L8+AGOSTO!L8+SEPTIEMBRE!L8+OCTUBRE!L8+NOVIEMBRE!L8+DICIEMBRE!L8</f>
        <v>0</v>
      </c>
      <c r="M8" s="16">
        <f>ENERO!M8+FEBRERO!M8+MARZO!M8+ABRIL!M8+MAYO!M8+JUNIO!M8+JULIO!M8+AGOSTO!M8+SEPTIEMBRE!M8+OCTUBRE!M8+NOVIEMBRE!M8+DICIEMBRE!M8</f>
        <v>22140.74</v>
      </c>
      <c r="N8" s="18">
        <f t="shared" ref="N8:N39" si="0">SUM(B8:M8)</f>
        <v>1019686833.8066823</v>
      </c>
      <c r="O8" s="4"/>
    </row>
    <row r="9" spans="1:15" ht="18" customHeight="1" x14ac:dyDescent="0.2">
      <c r="A9" s="17" t="s">
        <v>4</v>
      </c>
      <c r="B9" s="16">
        <f>ENERO!B9+FEBRERO!B9+MARZO!B9+ABRIL!B9+MAYO!B9+JUNIO!B9+JULIO!B9+AGOSTO!B9+SEPTIEMBRE!B9+OCTUBRE!B9+NOVIEMBRE!B9+DICIEMBRE!B9</f>
        <v>505556285.20999992</v>
      </c>
      <c r="C9" s="16">
        <f>ENERO!C9+FEBRERO!C9+MARZO!C9+ABRIL!C9+MAYO!C9+JUNIO!C9+JULIO!C9+AGOSTO!C9+SEPTIEMBRE!C9+OCTUBRE!C9+NOVIEMBRE!C9+DICIEMBRE!C9</f>
        <v>0</v>
      </c>
      <c r="D9" s="16">
        <f>ENERO!D9+FEBRERO!D9+MARZO!D9+ABRIL!D9+MAYO!D9+JUNIO!D9+JULIO!D9+AGOSTO!D9+SEPTIEMBRE!D9+OCTUBRE!D9+NOVIEMBRE!D9+DICIEMBRE!D9</f>
        <v>72089133.321630865</v>
      </c>
      <c r="E9" s="16">
        <f>ENERO!E9+FEBRERO!E9+MARZO!E9+ABRIL!E9+MAYO!E9+JUNIO!E9+JULIO!E9+AGOSTO!E9+SEPTIEMBRE!E9+OCTUBRE!E9+NOVIEMBRE!E9+DICIEMBRE!E9</f>
        <v>293763.02999999997</v>
      </c>
      <c r="F9" s="16">
        <f>ENERO!F9+FEBRERO!F9+MARZO!F9+ABRIL!F9+MAYO!F9+JUNIO!F9+JULIO!F9+AGOSTO!F9+SEPTIEMBRE!F9+OCTUBRE!F9+NOVIEMBRE!F9+DICIEMBRE!F9</f>
        <v>2021395.3000000003</v>
      </c>
      <c r="G9" s="16">
        <f>ENERO!G9+FEBRERO!G9+MARZO!G9+ABRIL!G9+MAYO!G9+JUNIO!G9+JULIO!G9+AGOSTO!G9+SEPTIEMBRE!G9+OCTUBRE!G9+NOVIEMBRE!G9+DICIEMBRE!G9</f>
        <v>1047102.79</v>
      </c>
      <c r="H9" s="16">
        <f>ENERO!H9+FEBRERO!H9+MARZO!H9+ABRIL!H9+MAYO!H9+JUNIO!H9+JULIO!H9+AGOSTO!H9+SEPTIEMBRE!H9+OCTUBRE!H9+NOVIEMBRE!H9+DICIEMBRE!H9</f>
        <v>26841751.539999999</v>
      </c>
      <c r="I9" s="16">
        <f>ENERO!I9+FEBRERO!I9+MARZO!I9+ABRIL!I9+MAYO!I9+JUNIO!I9+JULIO!I9+AGOSTO!I9+SEPTIEMBRE!I9+OCTUBRE!I9+NOVIEMBRE!I9+DICIEMBRE!I9</f>
        <v>4672587.41</v>
      </c>
      <c r="J9" s="16">
        <f>ENERO!J9+FEBRERO!J9+MARZO!J9+ABRIL!J9+MAYO!J9+JUNIO!J9+JULIO!J9+AGOSTO!J9+SEPTIEMBRE!J9+OCTUBRE!J9+NOVIEMBRE!J9+DICIEMBRE!J9</f>
        <v>51348049.870000012</v>
      </c>
      <c r="K9" s="16">
        <f>ENERO!K9+FEBRERO!K9+MARZO!K9+ABRIL!K9+MAYO!K9+JUNIO!K9+JULIO!K9+AGOSTO!K9+SEPTIEMBRE!K9+OCTUBRE!K9+NOVIEMBRE!K9+DICIEMBRE!K9</f>
        <v>0</v>
      </c>
      <c r="L9" s="16">
        <f>ENERO!L9+FEBRERO!L9+MARZO!L9+ABRIL!L9+MAYO!L9+JUNIO!L9+JULIO!L9+AGOSTO!L9+SEPTIEMBRE!L9+OCTUBRE!L9+NOVIEMBRE!L9+DICIEMBRE!L9</f>
        <v>0</v>
      </c>
      <c r="M9" s="16">
        <f>ENERO!M9+FEBRERO!M9+MARZO!M9+ABRIL!M9+MAYO!M9+JUNIO!M9+JULIO!M9+AGOSTO!M9+SEPTIEMBRE!M9+OCTUBRE!M9+NOVIEMBRE!M9+DICIEMBRE!M9</f>
        <v>15512.2</v>
      </c>
      <c r="N9" s="18">
        <f t="shared" si="0"/>
        <v>663885580.67163062</v>
      </c>
      <c r="O9" s="4"/>
    </row>
    <row r="10" spans="1:15" ht="18" customHeight="1" x14ac:dyDescent="0.2">
      <c r="A10" s="17" t="s">
        <v>5</v>
      </c>
      <c r="B10" s="16">
        <f>ENERO!B10+FEBRERO!B10+MARZO!B10+ABRIL!B10+MAYO!B10+JUNIO!B10+JULIO!B10+AGOSTO!B10+SEPTIEMBRE!B10+OCTUBRE!B10+NOVIEMBRE!B10+DICIEMBRE!B10</f>
        <v>371541446.4000001</v>
      </c>
      <c r="C10" s="16">
        <f>ENERO!C10+FEBRERO!C10+MARZO!C10+ABRIL!C10+MAYO!C10+JUNIO!C10+JULIO!C10+AGOSTO!C10+SEPTIEMBRE!C10+OCTUBRE!C10+NOVIEMBRE!C10+DICIEMBRE!C10</f>
        <v>0</v>
      </c>
      <c r="D10" s="16">
        <f>ENERO!D10+FEBRERO!D10+MARZO!D10+ABRIL!D10+MAYO!D10+JUNIO!D10+JULIO!D10+AGOSTO!D10+SEPTIEMBRE!D10+OCTUBRE!D10+NOVIEMBRE!D10+DICIEMBRE!D10</f>
        <v>54679789.345634088</v>
      </c>
      <c r="E10" s="16">
        <f>ENERO!E10+FEBRERO!E10+MARZO!E10+ABRIL!E10+MAYO!E10+JUNIO!E10+JULIO!E10+AGOSTO!E10+SEPTIEMBRE!E10+OCTUBRE!E10+NOVIEMBRE!E10+DICIEMBRE!E10</f>
        <v>219370.07000000004</v>
      </c>
      <c r="F10" s="16">
        <f>ENERO!F10+FEBRERO!F10+MARZO!F10+ABRIL!F10+MAYO!F10+JUNIO!F10+JULIO!F10+AGOSTO!F10+SEPTIEMBRE!F10+OCTUBRE!F10+NOVIEMBRE!F10+DICIEMBRE!F10</f>
        <v>1412109.46</v>
      </c>
      <c r="G10" s="16">
        <f>ENERO!G10+FEBRERO!G10+MARZO!G10+ABRIL!G10+MAYO!G10+JUNIO!G10+JULIO!G10+AGOSTO!G10+SEPTIEMBRE!G10+OCTUBRE!G10+NOVIEMBRE!G10+DICIEMBRE!G10</f>
        <v>924714.15</v>
      </c>
      <c r="H10" s="16">
        <f>ENERO!H10+FEBRERO!H10+MARZO!H10+ABRIL!H10+MAYO!H10+JUNIO!H10+JULIO!H10+AGOSTO!H10+SEPTIEMBRE!H10+OCTUBRE!H10+NOVIEMBRE!H10+DICIEMBRE!H10</f>
        <v>19726434.989999998</v>
      </c>
      <c r="I10" s="16">
        <f>ENERO!I10+FEBRERO!I10+MARZO!I10+ABRIL!I10+MAYO!I10+JUNIO!I10+JULIO!I10+AGOSTO!I10+SEPTIEMBRE!I10+OCTUBRE!I10+NOVIEMBRE!I10+DICIEMBRE!I10</f>
        <v>3264183.39</v>
      </c>
      <c r="J10" s="16">
        <f>ENERO!J10+FEBRERO!J10+MARZO!J10+ABRIL!J10+MAYO!J10+JUNIO!J10+JULIO!J10+AGOSTO!J10+SEPTIEMBRE!J10+OCTUBRE!J10+NOVIEMBRE!J10+DICIEMBRE!J10</f>
        <v>30350237.769999996</v>
      </c>
      <c r="K10" s="16">
        <f>ENERO!K10+FEBRERO!K10+MARZO!K10+ABRIL!K10+MAYO!K10+JUNIO!K10+JULIO!K10+AGOSTO!K10+SEPTIEMBRE!K10+OCTUBRE!K10+NOVIEMBRE!K10+DICIEMBRE!K10</f>
        <v>0</v>
      </c>
      <c r="L10" s="16">
        <f>ENERO!L10+FEBRERO!L10+MARZO!L10+ABRIL!L10+MAYO!L10+JUNIO!L10+JULIO!L10+AGOSTO!L10+SEPTIEMBRE!L10+OCTUBRE!L10+NOVIEMBRE!L10+DICIEMBRE!L10</f>
        <v>0</v>
      </c>
      <c r="M10" s="16">
        <f>ENERO!M10+FEBRERO!M10+MARZO!M10+ABRIL!M10+MAYO!M10+JUNIO!M10+JULIO!M10+AGOSTO!M10+SEPTIEMBRE!M10+OCTUBRE!M10+NOVIEMBRE!M10+DICIEMBRE!M10</f>
        <v>10836.440000000004</v>
      </c>
      <c r="N10" s="18">
        <f t="shared" si="0"/>
        <v>482129122.01563412</v>
      </c>
      <c r="O10" s="4"/>
    </row>
    <row r="11" spans="1:15" ht="18" customHeight="1" x14ac:dyDescent="0.2">
      <c r="A11" s="17" t="s">
        <v>6</v>
      </c>
      <c r="B11" s="16">
        <f>ENERO!B11+FEBRERO!B11+MARZO!B11+ABRIL!B11+MAYO!B11+JUNIO!B11+JULIO!B11+AGOSTO!B11+SEPTIEMBRE!B11+OCTUBRE!B11+NOVIEMBRE!B11+DICIEMBRE!B11</f>
        <v>4302484728.8500004</v>
      </c>
      <c r="C11" s="16">
        <f>ENERO!C11+FEBRERO!C11+MARZO!C11+ABRIL!C11+MAYO!C11+JUNIO!C11+JULIO!C11+AGOSTO!C11+SEPTIEMBRE!C11+OCTUBRE!C11+NOVIEMBRE!C11+DICIEMBRE!C11</f>
        <v>0</v>
      </c>
      <c r="D11" s="16">
        <f>ENERO!D11+FEBRERO!D11+MARZO!D11+ABRIL!D11+MAYO!D11+JUNIO!D11+JULIO!D11+AGOSTO!D11+SEPTIEMBRE!D11+OCTUBRE!D11+NOVIEMBRE!D11+DICIEMBRE!D11</f>
        <v>43546575.564674832</v>
      </c>
      <c r="E11" s="16">
        <f>ENERO!E11+FEBRERO!E11+MARZO!E11+ABRIL!E11+MAYO!E11+JUNIO!E11+JULIO!E11+AGOSTO!E11+SEPTIEMBRE!E11+OCTUBRE!E11+NOVIEMBRE!E11+DICIEMBRE!E11</f>
        <v>3526341.91</v>
      </c>
      <c r="F11" s="16">
        <f>ENERO!F11+FEBRERO!F11+MARZO!F11+ABRIL!F11+MAYO!F11+JUNIO!F11+JULIO!F11+AGOSTO!F11+SEPTIEMBRE!F11+OCTUBRE!F11+NOVIEMBRE!F11+DICIEMBRE!F11</f>
        <v>151568811.94999999</v>
      </c>
      <c r="G11" s="16">
        <f>ENERO!G11+FEBRERO!G11+MARZO!G11+ABRIL!G11+MAYO!G11+JUNIO!G11+JULIO!G11+AGOSTO!G11+SEPTIEMBRE!G11+OCTUBRE!G11+NOVIEMBRE!G11+DICIEMBRE!G11</f>
        <v>83798824.208409548</v>
      </c>
      <c r="H11" s="16">
        <f>ENERO!H11+FEBRERO!H11+MARZO!H11+ABRIL!H11+MAYO!H11+JUNIO!H11+JULIO!H11+AGOSTO!H11+SEPTIEMBRE!H11+OCTUBRE!H11+NOVIEMBRE!H11+DICIEMBRE!H11</f>
        <v>228433963.06</v>
      </c>
      <c r="I11" s="16">
        <f>ENERO!I11+FEBRERO!I11+MARZO!I11+ABRIL!I11+MAYO!I11+JUNIO!I11+JULIO!I11+AGOSTO!I11+SEPTIEMBRE!I11+OCTUBRE!I11+NOVIEMBRE!I11+DICIEMBRE!I11</f>
        <v>350361208.19999999</v>
      </c>
      <c r="J11" s="16">
        <f>ENERO!J11+FEBRERO!J11+MARZO!J11+ABRIL!J11+MAYO!J11+JUNIO!J11+JULIO!J11+AGOSTO!J11+SEPTIEMBRE!J11+OCTUBRE!J11+NOVIEMBRE!J11+DICIEMBRE!J11</f>
        <v>571211077.57000005</v>
      </c>
      <c r="K11" s="16">
        <f>ENERO!K11+FEBRERO!K11+MARZO!K11+ABRIL!K11+MAYO!K11+JUNIO!K11+JULIO!K11+AGOSTO!K11+SEPTIEMBRE!K11+OCTUBRE!K11+NOVIEMBRE!K11+DICIEMBRE!K11</f>
        <v>0</v>
      </c>
      <c r="L11" s="16">
        <f>ENERO!L11+FEBRERO!L11+MARZO!L11+ABRIL!L11+MAYO!L11+JUNIO!L11+JULIO!L11+AGOSTO!L11+SEPTIEMBRE!L11+OCTUBRE!L11+NOVIEMBRE!L11+DICIEMBRE!L11</f>
        <v>0</v>
      </c>
      <c r="M11" s="16">
        <f>ENERO!M11+FEBRERO!M11+MARZO!M11+ABRIL!M11+MAYO!M11+JUNIO!M11+JULIO!M11+AGOSTO!M11+SEPTIEMBRE!M11+OCTUBRE!M11+NOVIEMBRE!M11+DICIEMBRE!M11</f>
        <v>1163163.6600000001</v>
      </c>
      <c r="N11" s="18">
        <f t="shared" si="0"/>
        <v>5736094694.9730835</v>
      </c>
      <c r="O11" s="4"/>
    </row>
    <row r="12" spans="1:15" ht="18" customHeight="1" x14ac:dyDescent="0.2">
      <c r="A12" s="17" t="s">
        <v>7</v>
      </c>
      <c r="B12" s="16">
        <f>ENERO!B12+FEBRERO!B12+MARZO!B12+ABRIL!B12+MAYO!B12+JUNIO!B12+JULIO!B12+AGOSTO!B12+SEPTIEMBRE!B12+OCTUBRE!B12+NOVIEMBRE!B12+DICIEMBRE!B12</f>
        <v>645779346.91999996</v>
      </c>
      <c r="C12" s="16">
        <f>ENERO!C12+FEBRERO!C12+MARZO!C12+ABRIL!C12+MAYO!C12+JUNIO!C12+JULIO!C12+AGOSTO!C12+SEPTIEMBRE!C12+OCTUBRE!C12+NOVIEMBRE!C12+DICIEMBRE!C12</f>
        <v>0</v>
      </c>
      <c r="D12" s="16">
        <f>ENERO!D12+FEBRERO!D12+MARZO!D12+ABRIL!D12+MAYO!D12+JUNIO!D12+JULIO!D12+AGOSTO!D12+SEPTIEMBRE!D12+OCTUBRE!D12+NOVIEMBRE!D12+DICIEMBRE!D12</f>
        <v>71710964.767371222</v>
      </c>
      <c r="E12" s="16">
        <f>ENERO!E12+FEBRERO!E12+MARZO!E12+ABRIL!E12+MAYO!E12+JUNIO!E12+JULIO!E12+AGOSTO!E12+SEPTIEMBRE!E12+OCTUBRE!E12+NOVIEMBRE!E12+DICIEMBRE!E12</f>
        <v>376394.91</v>
      </c>
      <c r="F12" s="16">
        <f>ENERO!F12+FEBRERO!F12+MARZO!F12+ABRIL!F12+MAYO!F12+JUNIO!F12+JULIO!F12+AGOSTO!F12+SEPTIEMBRE!F12+OCTUBRE!F12+NOVIEMBRE!F12+DICIEMBRE!F12</f>
        <v>5182513.5900000008</v>
      </c>
      <c r="G12" s="16">
        <f>ENERO!G12+FEBRERO!G12+MARZO!G12+ABRIL!G12+MAYO!G12+JUNIO!G12+JULIO!G12+AGOSTO!G12+SEPTIEMBRE!G12+OCTUBRE!G12+NOVIEMBRE!G12+DICIEMBRE!G12</f>
        <v>2529365.17</v>
      </c>
      <c r="H12" s="16">
        <f>ENERO!H12+FEBRERO!H12+MARZO!H12+ABRIL!H12+MAYO!H12+JUNIO!H12+JULIO!H12+AGOSTO!H12+SEPTIEMBRE!H12+OCTUBRE!H12+NOVIEMBRE!H12+DICIEMBRE!H12</f>
        <v>34286684.319999993</v>
      </c>
      <c r="I12" s="16">
        <f>ENERO!I12+FEBRERO!I12+MARZO!I12+ABRIL!I12+MAYO!I12+JUNIO!I12+JULIO!I12+AGOSTO!I12+SEPTIEMBRE!I12+OCTUBRE!I12+NOVIEMBRE!I12+DICIEMBRE!I12</f>
        <v>11979718.789999999</v>
      </c>
      <c r="J12" s="16">
        <f>ENERO!J12+FEBRERO!J12+MARZO!J12+ABRIL!J12+MAYO!J12+JUNIO!J12+JULIO!J12+AGOSTO!J12+SEPTIEMBRE!J12+OCTUBRE!J12+NOVIEMBRE!J12+DICIEMBRE!J12</f>
        <v>61619374.059999973</v>
      </c>
      <c r="K12" s="16">
        <f>ENERO!K12+FEBRERO!K12+MARZO!K12+ABRIL!K12+MAYO!K12+JUNIO!K12+JULIO!K12+AGOSTO!K12+SEPTIEMBRE!K12+OCTUBRE!K12+NOVIEMBRE!K12+DICIEMBRE!K12</f>
        <v>0</v>
      </c>
      <c r="L12" s="16">
        <f>ENERO!L12+FEBRERO!L12+MARZO!L12+ABRIL!L12+MAYO!L12+JUNIO!L12+JULIO!L12+AGOSTO!L12+SEPTIEMBRE!L12+OCTUBRE!L12+NOVIEMBRE!L12+DICIEMBRE!L12</f>
        <v>0</v>
      </c>
      <c r="M12" s="16">
        <f>ENERO!M12+FEBRERO!M12+MARZO!M12+ABRIL!M12+MAYO!M12+JUNIO!M12+JULIO!M12+AGOSTO!M12+SEPTIEMBRE!M12+OCTUBRE!M12+NOVIEMBRE!M12+DICIEMBRE!M12</f>
        <v>39771.089999999997</v>
      </c>
      <c r="N12" s="18">
        <f t="shared" si="0"/>
        <v>833504133.61737096</v>
      </c>
      <c r="O12" s="4"/>
    </row>
    <row r="13" spans="1:15" ht="18" customHeight="1" x14ac:dyDescent="0.2">
      <c r="A13" s="17" t="s">
        <v>8</v>
      </c>
      <c r="B13" s="16">
        <f>ENERO!B13+FEBRERO!B13+MARZO!B13+ABRIL!B13+MAYO!B13+JUNIO!B13+JULIO!B13+AGOSTO!B13+SEPTIEMBRE!B13+OCTUBRE!B13+NOVIEMBRE!B13+DICIEMBRE!B13</f>
        <v>2610847453.6300001</v>
      </c>
      <c r="C13" s="16">
        <f>ENERO!C13+FEBRERO!C13+MARZO!C13+ABRIL!C13+MAYO!C13+JUNIO!C13+JULIO!C13+AGOSTO!C13+SEPTIEMBRE!C13+OCTUBRE!C13+NOVIEMBRE!C13+DICIEMBRE!C13</f>
        <v>0</v>
      </c>
      <c r="D13" s="16">
        <f>ENERO!D13+FEBRERO!D13+MARZO!D13+ABRIL!D13+MAYO!D13+JUNIO!D13+JULIO!D13+AGOSTO!D13+SEPTIEMBRE!D13+OCTUBRE!D13+NOVIEMBRE!D13+DICIEMBRE!D13</f>
        <v>35661686.252957731</v>
      </c>
      <c r="E13" s="16">
        <f>ENERO!E13+FEBRERO!E13+MARZO!E13+ABRIL!E13+MAYO!E13+JUNIO!E13+JULIO!E13+AGOSTO!E13+SEPTIEMBRE!E13+OCTUBRE!E13+NOVIEMBRE!E13+DICIEMBRE!E13</f>
        <v>2151192.2599999998</v>
      </c>
      <c r="F13" s="16">
        <f>ENERO!F13+FEBRERO!F13+MARZO!F13+ABRIL!F13+MAYO!F13+JUNIO!F13+JULIO!F13+AGOSTO!F13+SEPTIEMBRE!F13+OCTUBRE!F13+NOVIEMBRE!F13+DICIEMBRE!F13</f>
        <v>73705666.040000007</v>
      </c>
      <c r="G13" s="16">
        <f>ENERO!G13+FEBRERO!G13+MARZO!G13+ABRIL!G13+MAYO!G13+JUNIO!G13+JULIO!G13+AGOSTO!G13+SEPTIEMBRE!G13+OCTUBRE!G13+NOVIEMBRE!G13+DICIEMBRE!G13</f>
        <v>20358427.710324779</v>
      </c>
      <c r="H13" s="16">
        <f>ENERO!H13+FEBRERO!H13+MARZO!H13+ABRIL!H13+MAYO!H13+JUNIO!H13+JULIO!H13+AGOSTO!H13+SEPTIEMBRE!H13+OCTUBRE!H13+NOVIEMBRE!H13+DICIEMBRE!H13</f>
        <v>138619023.28999999</v>
      </c>
      <c r="I13" s="16">
        <f>ENERO!I13+FEBRERO!I13+MARZO!I13+ABRIL!I13+MAYO!I13+JUNIO!I13+JULIO!I13+AGOSTO!I13+SEPTIEMBRE!I13+OCTUBRE!I13+NOVIEMBRE!I13+DICIEMBRE!I13</f>
        <v>170375461.00999999</v>
      </c>
      <c r="J13" s="16">
        <f>ENERO!J13+FEBRERO!J13+MARZO!J13+ABRIL!J13+MAYO!J13+JUNIO!J13+JULIO!J13+AGOSTO!J13+SEPTIEMBRE!J13+OCTUBRE!J13+NOVIEMBRE!J13+DICIEMBRE!J13</f>
        <v>439189381.82000005</v>
      </c>
      <c r="K13" s="16">
        <f>ENERO!K13+FEBRERO!K13+MARZO!K13+ABRIL!K13+MAYO!K13+JUNIO!K13+JULIO!K13+AGOSTO!K13+SEPTIEMBRE!K13+OCTUBRE!K13+NOVIEMBRE!K13+DICIEMBRE!K13</f>
        <v>0</v>
      </c>
      <c r="L13" s="16">
        <f>ENERO!L13+FEBRERO!L13+MARZO!L13+ABRIL!L13+MAYO!L13+JUNIO!L13+JULIO!L13+AGOSTO!L13+SEPTIEMBRE!L13+OCTUBRE!L13+NOVIEMBRE!L13+DICIEMBRE!L13</f>
        <v>0</v>
      </c>
      <c r="M13" s="16">
        <f>ENERO!M13+FEBRERO!M13+MARZO!M13+ABRIL!M13+MAYO!M13+JUNIO!M13+JULIO!M13+AGOSTO!M13+SEPTIEMBRE!M13+OCTUBRE!M13+NOVIEMBRE!M13+DICIEMBRE!M13</f>
        <v>565629.04000000015</v>
      </c>
      <c r="N13" s="18">
        <f t="shared" si="0"/>
        <v>3491473921.0532832</v>
      </c>
      <c r="O13" s="4"/>
    </row>
    <row r="14" spans="1:15" ht="18" customHeight="1" x14ac:dyDescent="0.2">
      <c r="A14" s="17" t="s">
        <v>9</v>
      </c>
      <c r="B14" s="16">
        <f>ENERO!B14+FEBRERO!B14+MARZO!B14+ABRIL!B14+MAYO!B14+JUNIO!B14+JULIO!B14+AGOSTO!B14+SEPTIEMBRE!B14+OCTUBRE!B14+NOVIEMBRE!B14+DICIEMBRE!B14</f>
        <v>946195254.03000009</v>
      </c>
      <c r="C14" s="16">
        <f>ENERO!C14+FEBRERO!C14+MARZO!C14+ABRIL!C14+MAYO!C14+JUNIO!C14+JULIO!C14+AGOSTO!C14+SEPTIEMBRE!C14+OCTUBRE!C14+NOVIEMBRE!C14+DICIEMBRE!C14</f>
        <v>0</v>
      </c>
      <c r="D14" s="16">
        <f>ENERO!D14+FEBRERO!D14+MARZO!D14+ABRIL!D14+MAYO!D14+JUNIO!D14+JULIO!D14+AGOSTO!D14+SEPTIEMBRE!D14+OCTUBRE!D14+NOVIEMBRE!D14+DICIEMBRE!D14</f>
        <v>124732776.04697736</v>
      </c>
      <c r="E14" s="16">
        <f>ENERO!E14+FEBRERO!E14+MARZO!E14+ABRIL!E14+MAYO!E14+JUNIO!E14+JULIO!E14+AGOSTO!E14+SEPTIEMBRE!E14+OCTUBRE!E14+NOVIEMBRE!E14+DICIEMBRE!E14</f>
        <v>550592.61999999988</v>
      </c>
      <c r="F14" s="16">
        <f>ENERO!F14+FEBRERO!F14+MARZO!F14+ABRIL!F14+MAYO!F14+JUNIO!F14+JULIO!F14+AGOSTO!F14+SEPTIEMBRE!F14+OCTUBRE!F14+NOVIEMBRE!F14+DICIEMBRE!F14</f>
        <v>3354656.0799999996</v>
      </c>
      <c r="G14" s="16">
        <f>ENERO!G14+FEBRERO!G14+MARZO!G14+ABRIL!G14+MAYO!G14+JUNIO!G14+JULIO!G14+AGOSTO!G14+SEPTIEMBRE!G14+OCTUBRE!G14+NOVIEMBRE!G14+DICIEMBRE!G14</f>
        <v>1767835.88</v>
      </c>
      <c r="H14" s="16">
        <f>ENERO!H14+FEBRERO!H14+MARZO!H14+ABRIL!H14+MAYO!H14+JUNIO!H14+JULIO!H14+AGOSTO!H14+SEPTIEMBRE!H14+OCTUBRE!H14+NOVIEMBRE!H14+DICIEMBRE!H14</f>
        <v>50236815.589999996</v>
      </c>
      <c r="I14" s="16">
        <f>ENERO!I14+FEBRERO!I14+MARZO!I14+ABRIL!I14+MAYO!I14+JUNIO!I14+JULIO!I14+AGOSTO!I14+SEPTIEMBRE!I14+OCTUBRE!I14+NOVIEMBRE!I14+DICIEMBRE!I14</f>
        <v>7754506.7600000007</v>
      </c>
      <c r="J14" s="16">
        <f>ENERO!J14+FEBRERO!J14+MARZO!J14+ABRIL!J14+MAYO!J14+JUNIO!J14+JULIO!J14+AGOSTO!J14+SEPTIEMBRE!J14+OCTUBRE!J14+NOVIEMBRE!J14+DICIEMBRE!J14</f>
        <v>88393977.060000017</v>
      </c>
      <c r="K14" s="16">
        <f>ENERO!K14+FEBRERO!K14+MARZO!K14+ABRIL!K14+MAYO!K14+JUNIO!K14+JULIO!K14+AGOSTO!K14+SEPTIEMBRE!K14+OCTUBRE!K14+NOVIEMBRE!K14+DICIEMBRE!K14</f>
        <v>0</v>
      </c>
      <c r="L14" s="16">
        <f>ENERO!L14+FEBRERO!L14+MARZO!L14+ABRIL!L14+MAYO!L14+JUNIO!L14+JULIO!L14+AGOSTO!L14+SEPTIEMBRE!L14+OCTUBRE!L14+NOVIEMBRE!L14+DICIEMBRE!L14</f>
        <v>0</v>
      </c>
      <c r="M14" s="16">
        <f>ENERO!M14+FEBRERO!M14+MARZO!M14+ABRIL!M14+MAYO!M14+JUNIO!M14+JULIO!M14+AGOSTO!M14+SEPTIEMBRE!M14+OCTUBRE!M14+NOVIEMBRE!M14+DICIEMBRE!M14</f>
        <v>25743.79</v>
      </c>
      <c r="N14" s="18">
        <f t="shared" si="0"/>
        <v>1223012157.8569775</v>
      </c>
      <c r="O14" s="4"/>
    </row>
    <row r="15" spans="1:15" ht="18" customHeight="1" x14ac:dyDescent="0.2">
      <c r="A15" s="17" t="s">
        <v>10</v>
      </c>
      <c r="B15" s="16">
        <f>ENERO!B15+FEBRERO!B15+MARZO!B15+ABRIL!B15+MAYO!B15+JUNIO!B15+JULIO!B15+AGOSTO!B15+SEPTIEMBRE!B15+OCTUBRE!B15+NOVIEMBRE!B15+DICIEMBRE!B15</f>
        <v>1542019101.6500003</v>
      </c>
      <c r="C15" s="16">
        <f>ENERO!C15+FEBRERO!C15+MARZO!C15+ABRIL!C15+MAYO!C15+JUNIO!C15+JULIO!C15+AGOSTO!C15+SEPTIEMBRE!C15+OCTUBRE!C15+NOVIEMBRE!C15+DICIEMBRE!C15</f>
        <v>0</v>
      </c>
      <c r="D15" s="16">
        <f>ENERO!D15+FEBRERO!D15+MARZO!D15+ABRIL!D15+MAYO!D15+JUNIO!D15+JULIO!D15+AGOSTO!D15+SEPTIEMBRE!D15+OCTUBRE!D15+NOVIEMBRE!D15+DICIEMBRE!D15</f>
        <v>184879935.47878826</v>
      </c>
      <c r="E15" s="16">
        <f>ENERO!E15+FEBRERO!E15+MARZO!E15+ABRIL!E15+MAYO!E15+JUNIO!E15+JULIO!E15+AGOSTO!E15+SEPTIEMBRE!E15+OCTUBRE!E15+NOVIEMBRE!E15+DICIEMBRE!E15</f>
        <v>900825.55000000016</v>
      </c>
      <c r="F15" s="16">
        <f>ENERO!F15+FEBRERO!F15+MARZO!F15+ABRIL!F15+MAYO!F15+JUNIO!F15+JULIO!F15+AGOSTO!F15+SEPTIEMBRE!F15+OCTUBRE!F15+NOVIEMBRE!F15+DICIEMBRE!F15</f>
        <v>12497527.670000002</v>
      </c>
      <c r="G15" s="16">
        <f>ENERO!G15+FEBRERO!G15+MARZO!G15+ABRIL!G15+MAYO!G15+JUNIO!G15+JULIO!G15+AGOSTO!G15+SEPTIEMBRE!G15+OCTUBRE!G15+NOVIEMBRE!G15+DICIEMBRE!G15</f>
        <v>5684272.2599999998</v>
      </c>
      <c r="H15" s="16">
        <f>ENERO!H15+FEBRERO!H15+MARZO!H15+ABRIL!H15+MAYO!H15+JUNIO!H15+JULIO!H15+AGOSTO!H15+SEPTIEMBRE!H15+OCTUBRE!H15+NOVIEMBRE!H15+DICIEMBRE!H15</f>
        <v>81871187.659999996</v>
      </c>
      <c r="I15" s="16">
        <f>ENERO!I15+FEBRERO!I15+MARZO!I15+ABRIL!I15+MAYO!I15+JUNIO!I15+JULIO!I15+AGOSTO!I15+SEPTIEMBRE!I15+OCTUBRE!I15+NOVIEMBRE!I15+DICIEMBRE!I15</f>
        <v>28888851.569999997</v>
      </c>
      <c r="J15" s="16">
        <f>ENERO!J15+FEBRERO!J15+MARZO!J15+ABRIL!J15+MAYO!J15+JUNIO!J15+JULIO!J15+AGOSTO!J15+SEPTIEMBRE!J15+OCTUBRE!J15+NOVIEMBRE!J15+DICIEMBRE!J15</f>
        <v>147584836.56999996</v>
      </c>
      <c r="K15" s="16">
        <f>ENERO!K15+FEBRERO!K15+MARZO!K15+ABRIL!K15+MAYO!K15+JUNIO!K15+JULIO!K15+AGOSTO!K15+SEPTIEMBRE!K15+OCTUBRE!K15+NOVIEMBRE!K15+DICIEMBRE!K15</f>
        <v>0</v>
      </c>
      <c r="L15" s="16">
        <f>ENERO!L15+FEBRERO!L15+MARZO!L15+ABRIL!L15+MAYO!L15+JUNIO!L15+JULIO!L15+AGOSTO!L15+SEPTIEMBRE!L15+OCTUBRE!L15+NOVIEMBRE!L15+DICIEMBRE!L15</f>
        <v>0</v>
      </c>
      <c r="M15" s="16">
        <f>ENERO!M15+FEBRERO!M15+MARZO!M15+ABRIL!M15+MAYO!M15+JUNIO!M15+JULIO!M15+AGOSTO!M15+SEPTIEMBRE!M15+OCTUBRE!M15+NOVIEMBRE!M15+DICIEMBRE!M15</f>
        <v>95907.74</v>
      </c>
      <c r="N15" s="18">
        <f t="shared" si="0"/>
        <v>2004422446.1487885</v>
      </c>
      <c r="O15" s="4"/>
    </row>
    <row r="16" spans="1:15" ht="18" customHeight="1" x14ac:dyDescent="0.2">
      <c r="A16" s="17" t="s">
        <v>11</v>
      </c>
      <c r="B16" s="16">
        <f>ENERO!B16+FEBRERO!B16+MARZO!B16+ABRIL!B16+MAYO!B16+JUNIO!B16+JULIO!B16+AGOSTO!B16+SEPTIEMBRE!B16+OCTUBRE!B16+NOVIEMBRE!B16+DICIEMBRE!B16</f>
        <v>2850277917.5099998</v>
      </c>
      <c r="C16" s="16">
        <f>ENERO!C16+FEBRERO!C16+MARZO!C16+ABRIL!C16+MAYO!C16+JUNIO!C16+JULIO!C16+AGOSTO!C16+SEPTIEMBRE!C16+OCTUBRE!C16+NOVIEMBRE!C16+DICIEMBRE!C16</f>
        <v>0</v>
      </c>
      <c r="D16" s="16">
        <f>ENERO!D16+FEBRERO!D16+MARZO!D16+ABRIL!D16+MAYO!D16+JUNIO!D16+JULIO!D16+AGOSTO!D16+SEPTIEMBRE!D16+OCTUBRE!D16+NOVIEMBRE!D16+DICIEMBRE!D16</f>
        <v>86999369.757632568</v>
      </c>
      <c r="E16" s="16">
        <f>ENERO!E16+FEBRERO!E16+MARZO!E16+ABRIL!E16+MAYO!E16+JUNIO!E16+JULIO!E16+AGOSTO!E16+SEPTIEMBRE!E16+OCTUBRE!E16+NOVIEMBRE!E16+DICIEMBRE!E16</f>
        <v>2339592.7699999996</v>
      </c>
      <c r="F16" s="16">
        <f>ENERO!F16+FEBRERO!F16+MARZO!F16+ABRIL!F16+MAYO!F16+JUNIO!F16+JULIO!F16+AGOSTO!F16+SEPTIEMBRE!F16+OCTUBRE!F16+NOVIEMBRE!F16+DICIEMBRE!F16</f>
        <v>46610366.450000003</v>
      </c>
      <c r="G16" s="16">
        <f>ENERO!G16+FEBRERO!G16+MARZO!G16+ABRIL!G16+MAYO!G16+JUNIO!G16+JULIO!G16+AGOSTO!G16+SEPTIEMBRE!G16+OCTUBRE!G16+NOVIEMBRE!G16+DICIEMBRE!G16</f>
        <v>26245563.399999999</v>
      </c>
      <c r="H16" s="16">
        <f>ENERO!H16+FEBRERO!H16+MARZO!H16+ABRIL!H16+MAYO!H16+JUNIO!H16+JULIO!H16+AGOSTO!H16+SEPTIEMBRE!H16+OCTUBRE!H16+NOVIEMBRE!H16+DICIEMBRE!H16</f>
        <v>151331224.09</v>
      </c>
      <c r="I16" s="16">
        <f>ENERO!I16+FEBRERO!I16+MARZO!I16+ABRIL!I16+MAYO!I16+JUNIO!I16+JULIO!I16+AGOSTO!I16+SEPTIEMBRE!I16+OCTUBRE!I16+NOVIEMBRE!I16+DICIEMBRE!I16</f>
        <v>107742906.41999999</v>
      </c>
      <c r="J16" s="16">
        <f>ENERO!J16+FEBRERO!J16+MARZO!J16+ABRIL!J16+MAYO!J16+JUNIO!J16+JULIO!J16+AGOSTO!J16+SEPTIEMBRE!J16+OCTUBRE!J16+NOVIEMBRE!J16+DICIEMBRE!J16</f>
        <v>365858343.85999984</v>
      </c>
      <c r="K16" s="16">
        <f>ENERO!K16+FEBRERO!K16+MARZO!K16+ABRIL!K16+MAYO!K16+JUNIO!K16+JULIO!K16+AGOSTO!K16+SEPTIEMBRE!K16+OCTUBRE!K16+NOVIEMBRE!K16+DICIEMBRE!K16</f>
        <v>0</v>
      </c>
      <c r="L16" s="16">
        <f>ENERO!L16+FEBRERO!L16+MARZO!L16+ABRIL!L16+MAYO!L16+JUNIO!L16+JULIO!L16+AGOSTO!L16+SEPTIEMBRE!L16+OCTUBRE!L16+NOVIEMBRE!L16+DICIEMBRE!L16</f>
        <v>0</v>
      </c>
      <c r="M16" s="16">
        <f>ENERO!M16+FEBRERO!M16+MARZO!M16+ABRIL!M16+MAYO!M16+JUNIO!M16+JULIO!M16+AGOSTO!M16+SEPTIEMBRE!M16+OCTUBRE!M16+NOVIEMBRE!M16+DICIEMBRE!M16</f>
        <v>357695.24999999994</v>
      </c>
      <c r="N16" s="18">
        <f t="shared" si="0"/>
        <v>3637762979.5076323</v>
      </c>
      <c r="O16" s="4"/>
    </row>
    <row r="17" spans="1:15" ht="18" customHeight="1" x14ac:dyDescent="0.2">
      <c r="A17" s="17" t="s">
        <v>12</v>
      </c>
      <c r="B17" s="16">
        <f>ENERO!B17+FEBRERO!B17+MARZO!B17+ABRIL!B17+MAYO!B17+JUNIO!B17+JULIO!B17+AGOSTO!B17+SEPTIEMBRE!B17+OCTUBRE!B17+NOVIEMBRE!B17+DICIEMBRE!B17</f>
        <v>1024149839.72</v>
      </c>
      <c r="C17" s="16">
        <f>ENERO!C17+FEBRERO!C17+MARZO!C17+ABRIL!C17+MAYO!C17+JUNIO!C17+JULIO!C17+AGOSTO!C17+SEPTIEMBRE!C17+OCTUBRE!C17+NOVIEMBRE!C17+DICIEMBRE!C17</f>
        <v>0</v>
      </c>
      <c r="D17" s="16">
        <f>ENERO!D17+FEBRERO!D17+MARZO!D17+ABRIL!D17+MAYO!D17+JUNIO!D17+JULIO!D17+AGOSTO!D17+SEPTIEMBRE!D17+OCTUBRE!D17+NOVIEMBRE!D17+DICIEMBRE!D17</f>
        <v>168412197.2662057</v>
      </c>
      <c r="E17" s="16">
        <f>ENERO!E17+FEBRERO!E17+MARZO!E17+ABRIL!E17+MAYO!E17+JUNIO!E17+JULIO!E17+AGOSTO!E17+SEPTIEMBRE!E17+OCTUBRE!E17+NOVIEMBRE!E17+DICIEMBRE!E17</f>
        <v>595271.57999999996</v>
      </c>
      <c r="F17" s="16">
        <f>ENERO!F17+FEBRERO!F17+MARZO!F17+ABRIL!F17+MAYO!F17+JUNIO!F17+JULIO!F17+AGOSTO!F17+SEPTIEMBRE!F17+OCTUBRE!F17+NOVIEMBRE!F17+DICIEMBRE!F17</f>
        <v>9572955.6400000006</v>
      </c>
      <c r="G17" s="16">
        <f>ENERO!G17+FEBRERO!G17+MARZO!G17+ABRIL!G17+MAYO!G17+JUNIO!G17+JULIO!G17+AGOSTO!G17+SEPTIEMBRE!G17+OCTUBRE!G17+NOVIEMBRE!G17+DICIEMBRE!G17</f>
        <v>3807646.4799999991</v>
      </c>
      <c r="H17" s="16">
        <f>ENERO!H17+FEBRERO!H17+MARZO!H17+ABRIL!H17+MAYO!H17+JUNIO!H17+JULIO!H17+AGOSTO!H17+SEPTIEMBRE!H17+OCTUBRE!H17+NOVIEMBRE!H17+DICIEMBRE!H17</f>
        <v>54375697.199999996</v>
      </c>
      <c r="I17" s="16">
        <f>ENERO!I17+FEBRERO!I17+MARZO!I17+ABRIL!I17+MAYO!I17+JUNIO!I17+JULIO!I17+AGOSTO!I17+SEPTIEMBRE!I17+OCTUBRE!I17+NOVIEMBRE!I17+DICIEMBRE!I17</f>
        <v>22128512.34</v>
      </c>
      <c r="J17" s="16">
        <f>ENERO!J17+FEBRERO!J17+MARZO!J17+ABRIL!J17+MAYO!J17+JUNIO!J17+JULIO!J17+AGOSTO!J17+SEPTIEMBRE!J17+OCTUBRE!J17+NOVIEMBRE!J17+DICIEMBRE!J17</f>
        <v>100899915.95999996</v>
      </c>
      <c r="K17" s="16">
        <f>ENERO!K17+FEBRERO!K17+MARZO!K17+ABRIL!K17+MAYO!K17+JUNIO!K17+JULIO!K17+AGOSTO!K17+SEPTIEMBRE!K17+OCTUBRE!K17+NOVIEMBRE!K17+DICIEMBRE!K17</f>
        <v>0</v>
      </c>
      <c r="L17" s="16">
        <f>ENERO!L17+FEBRERO!L17+MARZO!L17+ABRIL!L17+MAYO!L17+JUNIO!L17+JULIO!L17+AGOSTO!L17+SEPTIEMBRE!L17+OCTUBRE!L17+NOVIEMBRE!L17+DICIEMBRE!L17</f>
        <v>0</v>
      </c>
      <c r="M17" s="16">
        <f>ENERO!M17+FEBRERO!M17+MARZO!M17+ABRIL!M17+MAYO!M17+JUNIO!M17+JULIO!M17+AGOSTO!M17+SEPTIEMBRE!M17+OCTUBRE!M17+NOVIEMBRE!M17+DICIEMBRE!M17</f>
        <v>73464.12</v>
      </c>
      <c r="N17" s="18">
        <f t="shared" si="0"/>
        <v>1384015500.3062057</v>
      </c>
      <c r="O17" s="4"/>
    </row>
    <row r="18" spans="1:15" ht="18" customHeight="1" x14ac:dyDescent="0.2">
      <c r="A18" s="17" t="s">
        <v>13</v>
      </c>
      <c r="B18" s="16">
        <f>ENERO!B18+FEBRERO!B18+MARZO!B18+ABRIL!B18+MAYO!B18+JUNIO!B18+JULIO!B18+AGOSTO!B18+SEPTIEMBRE!B18+OCTUBRE!B18+NOVIEMBRE!B18+DICIEMBRE!B18</f>
        <v>627899664.87000012</v>
      </c>
      <c r="C18" s="16">
        <f>ENERO!C18+FEBRERO!C18+MARZO!C18+ABRIL!C18+MAYO!C18+JUNIO!C18+JULIO!C18+AGOSTO!C18+SEPTIEMBRE!C18+OCTUBRE!C18+NOVIEMBRE!C18+DICIEMBRE!C18</f>
        <v>0</v>
      </c>
      <c r="D18" s="16">
        <f>ENERO!D18+FEBRERO!D18+MARZO!D18+ABRIL!D18+MAYO!D18+JUNIO!D18+JULIO!D18+AGOSTO!D18+SEPTIEMBRE!D18+OCTUBRE!D18+NOVIEMBRE!D18+DICIEMBRE!D18</f>
        <v>60834591.969068304</v>
      </c>
      <c r="E18" s="16">
        <f>ENERO!E18+FEBRERO!E18+MARZO!E18+ABRIL!E18+MAYO!E18+JUNIO!E18+JULIO!E18+AGOSTO!E18+SEPTIEMBRE!E18+OCTUBRE!E18+NOVIEMBRE!E18+DICIEMBRE!E18</f>
        <v>370178.04999999993</v>
      </c>
      <c r="F18" s="16">
        <f>ENERO!F18+FEBRERO!F18+MARZO!F18+ABRIL!F18+MAYO!F18+JUNIO!F18+JULIO!F18+AGOSTO!F18+SEPTIEMBRE!F18+OCTUBRE!F18+NOVIEMBRE!F18+DICIEMBRE!F18</f>
        <v>6451261.75</v>
      </c>
      <c r="G18" s="16">
        <f>ENERO!G18+FEBRERO!G18+MARZO!G18+ABRIL!G18+MAYO!G18+JUNIO!G18+JULIO!G18+AGOSTO!G18+SEPTIEMBRE!G18+OCTUBRE!G18+NOVIEMBRE!G18+DICIEMBRE!G18</f>
        <v>2855734.88</v>
      </c>
      <c r="H18" s="16">
        <f>ENERO!H18+FEBRERO!H18+MARZO!H18+ABRIL!H18+MAYO!H18+JUNIO!H18+JULIO!H18+AGOSTO!H18+SEPTIEMBRE!H18+OCTUBRE!H18+NOVIEMBRE!H18+DICIEMBRE!H18</f>
        <v>33337389.460000001</v>
      </c>
      <c r="I18" s="16">
        <f>ENERO!I18+FEBRERO!I18+MARZO!I18+ABRIL!I18+MAYO!I18+JUNIO!I18+JULIO!I18+AGOSTO!I18+SEPTIEMBRE!I18+OCTUBRE!I18+NOVIEMBRE!I18+DICIEMBRE!I18</f>
        <v>14912512.979999999</v>
      </c>
      <c r="J18" s="16">
        <f>ENERO!J18+FEBRERO!J18+MARZO!J18+ABRIL!J18+MAYO!J18+JUNIO!J18+JULIO!J18+AGOSTO!J18+SEPTIEMBRE!J18+OCTUBRE!J18+NOVIEMBRE!J18+DICIEMBRE!J18</f>
        <v>81471780.679999977</v>
      </c>
      <c r="K18" s="16">
        <f>ENERO!K18+FEBRERO!K18+MARZO!K18+ABRIL!K18+MAYO!K18+JUNIO!K18+JULIO!K18+AGOSTO!K18+SEPTIEMBRE!K18+OCTUBRE!K18+NOVIEMBRE!K18+DICIEMBRE!K18</f>
        <v>0</v>
      </c>
      <c r="L18" s="16">
        <f>ENERO!L18+FEBRERO!L18+MARZO!L18+ABRIL!L18+MAYO!L18+JUNIO!L18+JULIO!L18+AGOSTO!L18+SEPTIEMBRE!L18+OCTUBRE!L18+NOVIEMBRE!L18+DICIEMBRE!L18</f>
        <v>0</v>
      </c>
      <c r="M18" s="16">
        <f>ENERO!M18+FEBRERO!M18+MARZO!M18+ABRIL!M18+MAYO!M18+JUNIO!M18+JULIO!M18+AGOSTO!M18+SEPTIEMBRE!M18+OCTUBRE!M18+NOVIEMBRE!M18+DICIEMBRE!M18</f>
        <v>49507.680000000008</v>
      </c>
      <c r="N18" s="18">
        <f t="shared" si="0"/>
        <v>828182622.31906831</v>
      </c>
      <c r="O18" s="4"/>
    </row>
    <row r="19" spans="1:15" ht="18" customHeight="1" x14ac:dyDescent="0.2">
      <c r="A19" s="17" t="s">
        <v>14</v>
      </c>
      <c r="B19" s="16">
        <f>ENERO!B19+FEBRERO!B19+MARZO!B19+ABRIL!B19+MAYO!B19+JUNIO!B19+JULIO!B19+AGOSTO!B19+SEPTIEMBRE!B19+OCTUBRE!B19+NOVIEMBRE!B19+DICIEMBRE!B19</f>
        <v>1050410622.6899998</v>
      </c>
      <c r="C19" s="16">
        <f>ENERO!C19+FEBRERO!C19+MARZO!C19+ABRIL!C19+MAYO!C19+JUNIO!C19+JULIO!C19+AGOSTO!C19+SEPTIEMBRE!C19+OCTUBRE!C19+NOVIEMBRE!C19+DICIEMBRE!C19</f>
        <v>0</v>
      </c>
      <c r="D19" s="16">
        <f>ENERO!D19+FEBRERO!D19+MARZO!D19+ABRIL!D19+MAYO!D19+JUNIO!D19+JULIO!D19+AGOSTO!D19+SEPTIEMBRE!D19+OCTUBRE!D19+NOVIEMBRE!D19+DICIEMBRE!D19</f>
        <v>110900856.73638704</v>
      </c>
      <c r="E19" s="16">
        <f>ENERO!E19+FEBRERO!E19+MARZO!E19+ABRIL!E19+MAYO!E19+JUNIO!E19+JULIO!E19+AGOSTO!E19+SEPTIEMBRE!E19+OCTUBRE!E19+NOVIEMBRE!E19+DICIEMBRE!E19</f>
        <v>611621.96</v>
      </c>
      <c r="F19" s="16">
        <f>ENERO!F19+FEBRERO!F19+MARZO!F19+ABRIL!F19+MAYO!F19+JUNIO!F19+JULIO!F19+AGOSTO!F19+SEPTIEMBRE!F19+OCTUBRE!F19+NOVIEMBRE!F19+DICIEMBRE!F19</f>
        <v>2605592.88</v>
      </c>
      <c r="G19" s="16">
        <f>ENERO!G19+FEBRERO!G19+MARZO!G19+ABRIL!G19+MAYO!G19+JUNIO!G19+JULIO!G19+AGOSTO!G19+SEPTIEMBRE!G19+OCTUBRE!G19+NOVIEMBRE!G19+DICIEMBRE!G19</f>
        <v>1767835.88</v>
      </c>
      <c r="H19" s="16">
        <f>ENERO!H19+FEBRERO!H19+MARZO!H19+ABRIL!H19+MAYO!H19+JUNIO!H19+JULIO!H19+AGOSTO!H19+SEPTIEMBRE!H19+OCTUBRE!H19+NOVIEMBRE!H19+DICIEMBRE!H19</f>
        <v>55769974.030000001</v>
      </c>
      <c r="I19" s="16">
        <f>ENERO!I19+FEBRERO!I19+MARZO!I19+ABRIL!I19+MAYO!I19+JUNIO!I19+JULIO!I19+AGOSTO!I19+SEPTIEMBRE!I19+OCTUBRE!I19+NOVIEMBRE!I19+DICIEMBRE!I19</f>
        <v>6022998.2999999989</v>
      </c>
      <c r="J19" s="16">
        <f>ENERO!J19+FEBRERO!J19+MARZO!J19+ABRIL!J19+MAYO!J19+JUNIO!J19+JULIO!J19+AGOSTO!J19+SEPTIEMBRE!J19+OCTUBRE!J19+NOVIEMBRE!J19+DICIEMBRE!J19</f>
        <v>69218946.260000005</v>
      </c>
      <c r="K19" s="16">
        <f>ENERO!K19+FEBRERO!K19+MARZO!K19+ABRIL!K19+MAYO!K19+JUNIO!K19+JULIO!K19+AGOSTO!K19+SEPTIEMBRE!K19+OCTUBRE!K19+NOVIEMBRE!K19+DICIEMBRE!K19</f>
        <v>0</v>
      </c>
      <c r="L19" s="16">
        <f>ENERO!L19+FEBRERO!L19+MARZO!L19+ABRIL!L19+MAYO!L19+JUNIO!L19+JULIO!L19+AGOSTO!L19+SEPTIEMBRE!L19+OCTUBRE!L19+NOVIEMBRE!L19+DICIEMBRE!L19</f>
        <v>0</v>
      </c>
      <c r="M19" s="16">
        <f>ENERO!M19+FEBRERO!M19+MARZO!M19+ABRIL!M19+MAYO!M19+JUNIO!M19+JULIO!M19+AGOSTO!M19+SEPTIEMBRE!M19+OCTUBRE!M19+NOVIEMBRE!M19+DICIEMBRE!M19</f>
        <v>19995.350000000002</v>
      </c>
      <c r="N19" s="18">
        <f t="shared" si="0"/>
        <v>1297328444.0863869</v>
      </c>
      <c r="O19" s="4"/>
    </row>
    <row r="20" spans="1:15" ht="18" customHeight="1" x14ac:dyDescent="0.2">
      <c r="A20" s="17" t="s">
        <v>15</v>
      </c>
      <c r="B20" s="16">
        <f>ENERO!B20+FEBRERO!B20+MARZO!B20+ABRIL!B20+MAYO!B20+JUNIO!B20+JULIO!B20+AGOSTO!B20+SEPTIEMBRE!B20+OCTUBRE!B20+NOVIEMBRE!B20+DICIEMBRE!B20</f>
        <v>3485420510.4499998</v>
      </c>
      <c r="C20" s="16">
        <f>ENERO!C20+FEBRERO!C20+MARZO!C20+ABRIL!C20+MAYO!C20+JUNIO!C20+JULIO!C20+AGOSTO!C20+SEPTIEMBRE!C20+OCTUBRE!C20+NOVIEMBRE!C20+DICIEMBRE!C20</f>
        <v>0</v>
      </c>
      <c r="D20" s="16">
        <f>ENERO!D20+FEBRERO!D20+MARZO!D20+ABRIL!D20+MAYO!D20+JUNIO!D20+JULIO!D20+AGOSTO!D20+SEPTIEMBRE!D20+OCTUBRE!D20+NOVIEMBRE!D20+DICIEMBRE!D20</f>
        <v>27647046.584453486</v>
      </c>
      <c r="E20" s="16">
        <f>ENERO!E20+FEBRERO!E20+MARZO!E20+ABRIL!E20+MAYO!E20+JUNIO!E20+JULIO!E20+AGOSTO!E20+SEPTIEMBRE!E20+OCTUBRE!E20+NOVIEMBRE!E20+DICIEMBRE!E20</f>
        <v>2858897.66</v>
      </c>
      <c r="F20" s="16">
        <f>ENERO!F20+FEBRERO!F20+MARZO!F20+ABRIL!F20+MAYO!F20+JUNIO!F20+JULIO!F20+AGOSTO!F20+SEPTIEMBRE!F20+OCTUBRE!F20+NOVIEMBRE!F20+DICIEMBRE!F20</f>
        <v>83163932.660000011</v>
      </c>
      <c r="G20" s="16">
        <f>ENERO!G20+FEBRERO!G20+MARZO!G20+ABRIL!G20+MAYO!G20+JUNIO!G20+JULIO!G20+AGOSTO!G20+SEPTIEMBRE!G20+OCTUBRE!G20+NOVIEMBRE!G20+DICIEMBRE!G20</f>
        <v>44861931.927487433</v>
      </c>
      <c r="H20" s="16">
        <f>ENERO!H20+FEBRERO!H20+MARZO!H20+ABRIL!H20+MAYO!H20+JUNIO!H20+JULIO!H20+AGOSTO!H20+SEPTIEMBRE!H20+OCTUBRE!H20+NOVIEMBRE!H20+DICIEMBRE!H20</f>
        <v>185053165.88999999</v>
      </c>
      <c r="I20" s="16">
        <f>ENERO!I20+FEBRERO!I20+MARZO!I20+ABRIL!I20+MAYO!I20+JUNIO!I20+JULIO!I20+AGOSTO!I20+SEPTIEMBRE!I20+OCTUBRE!I20+NOVIEMBRE!I20+DICIEMBRE!I20</f>
        <v>192238862.00999999</v>
      </c>
      <c r="J20" s="16">
        <f>ENERO!J20+FEBRERO!J20+MARZO!J20+ABRIL!J20+MAYO!J20+JUNIO!J20+JULIO!J20+AGOSTO!J20+SEPTIEMBRE!J20+OCTUBRE!J20+NOVIEMBRE!J20+DICIEMBRE!J20</f>
        <v>397990180.06000018</v>
      </c>
      <c r="K20" s="16">
        <f>ENERO!K20+FEBRERO!K20+MARZO!K20+ABRIL!K20+MAYO!K20+JUNIO!K20+JULIO!K20+AGOSTO!K20+SEPTIEMBRE!K20+OCTUBRE!K20+NOVIEMBRE!K20+DICIEMBRE!K20</f>
        <v>0</v>
      </c>
      <c r="L20" s="16">
        <f>ENERO!L20+FEBRERO!L20+MARZO!L20+ABRIL!L20+MAYO!L20+JUNIO!L20+JULIO!L20+AGOSTO!L20+SEPTIEMBRE!L20+OCTUBRE!L20+NOVIEMBRE!L20+DICIEMBRE!L20</f>
        <v>0</v>
      </c>
      <c r="M20" s="16">
        <f>ENERO!M20+FEBRERO!M20+MARZO!M20+ABRIL!M20+MAYO!M20+JUNIO!M20+JULIO!M20+AGOSTO!M20+SEPTIEMBRE!M20+OCTUBRE!M20+NOVIEMBRE!M20+DICIEMBRE!M20</f>
        <v>638213.35</v>
      </c>
      <c r="N20" s="18">
        <f t="shared" si="0"/>
        <v>4419872740.5919409</v>
      </c>
      <c r="O20" s="4"/>
    </row>
    <row r="21" spans="1:15" ht="18" customHeight="1" x14ac:dyDescent="0.2">
      <c r="A21" s="17" t="s">
        <v>16</v>
      </c>
      <c r="B21" s="16">
        <f>ENERO!B21+FEBRERO!B21+MARZO!B21+ABRIL!B21+MAYO!B21+JUNIO!B21+JULIO!B21+AGOSTO!B21+SEPTIEMBRE!B21+OCTUBRE!B21+NOVIEMBRE!B21+DICIEMBRE!B21</f>
        <v>1514102792.6400001</v>
      </c>
      <c r="C21" s="16">
        <f>ENERO!C21+FEBRERO!C21+MARZO!C21+ABRIL!C21+MAYO!C21+JUNIO!C21+JULIO!C21+AGOSTO!C21+SEPTIEMBRE!C21+OCTUBRE!C21+NOVIEMBRE!C21+DICIEMBRE!C21</f>
        <v>0</v>
      </c>
      <c r="D21" s="16">
        <f>ENERO!D21+FEBRERO!D21+MARZO!D21+ABRIL!D21+MAYO!D21+JUNIO!D21+JULIO!D21+AGOSTO!D21+SEPTIEMBRE!D21+OCTUBRE!D21+NOVIEMBRE!D21+DICIEMBRE!D21</f>
        <v>23444984.871146824</v>
      </c>
      <c r="E21" s="16">
        <f>ENERO!E21+FEBRERO!E21+MARZO!E21+ABRIL!E21+MAYO!E21+JUNIO!E21+JULIO!E21+AGOSTO!E21+SEPTIEMBRE!E21+OCTUBRE!E21+NOVIEMBRE!E21+DICIEMBRE!E21</f>
        <v>890141.71000000008</v>
      </c>
      <c r="F21" s="16">
        <f>ENERO!F21+FEBRERO!F21+MARZO!F21+ABRIL!F21+MAYO!F21+JUNIO!F21+JULIO!F21+AGOSTO!F21+SEPTIEMBRE!F21+OCTUBRE!F21+NOVIEMBRE!F21+DICIEMBRE!F21</f>
        <v>22113491.780000001</v>
      </c>
      <c r="G21" s="16">
        <f>ENERO!G21+FEBRERO!G21+MARZO!G21+ABRIL!G21+MAYO!G21+JUNIO!G21+JULIO!G21+AGOSTO!G21+SEPTIEMBRE!G21+OCTUBRE!G21+NOVIEMBRE!G21+DICIEMBRE!G21</f>
        <v>5348336.9095740886</v>
      </c>
      <c r="H21" s="16">
        <f>ENERO!H21+FEBRERO!H21+MARZO!H21+ABRIL!H21+MAYO!H21+JUNIO!H21+JULIO!H21+AGOSTO!H21+SEPTIEMBRE!H21+OCTUBRE!H21+NOVIEMBRE!H21+DICIEMBRE!H21</f>
        <v>80389013.170000002</v>
      </c>
      <c r="I21" s="16">
        <f>ENERO!I21+FEBRERO!I21+MARZO!I21+ABRIL!I21+MAYO!I21+JUNIO!I21+JULIO!I21+AGOSTO!I21+SEPTIEMBRE!I21+OCTUBRE!I21+NOVIEMBRE!I21+DICIEMBRE!I21</f>
        <v>51116780.670000002</v>
      </c>
      <c r="J21" s="16">
        <f>ENERO!J21+FEBRERO!J21+MARZO!J21+ABRIL!J21+MAYO!J21+JUNIO!J21+JULIO!J21+AGOSTO!J21+SEPTIEMBRE!J21+OCTUBRE!J21+NOVIEMBRE!J21+DICIEMBRE!J21</f>
        <v>129938730.13000003</v>
      </c>
      <c r="K21" s="16">
        <f>ENERO!K21+FEBRERO!K21+MARZO!K21+ABRIL!K21+MAYO!K21+JUNIO!K21+JULIO!K21+AGOSTO!K21+SEPTIEMBRE!K21+OCTUBRE!K21+NOVIEMBRE!K21+DICIEMBRE!K21</f>
        <v>0</v>
      </c>
      <c r="L21" s="16">
        <f>ENERO!L21+FEBRERO!L21+MARZO!L21+ABRIL!L21+MAYO!L21+JUNIO!L21+JULIO!L21+AGOSTO!L21+SEPTIEMBRE!L21+OCTUBRE!L21+NOVIEMBRE!L21+DICIEMBRE!L21</f>
        <v>0</v>
      </c>
      <c r="M21" s="16">
        <f>ENERO!M21+FEBRERO!M21+MARZO!M21+ABRIL!M21+MAYO!M21+JUNIO!M21+JULIO!M21+AGOSTO!M21+SEPTIEMBRE!M21+OCTUBRE!M21+NOVIEMBRE!M21+DICIEMBRE!M21</f>
        <v>169702.21</v>
      </c>
      <c r="N21" s="18">
        <f t="shared" si="0"/>
        <v>1827513974.0907214</v>
      </c>
      <c r="O21" s="4"/>
    </row>
    <row r="22" spans="1:15" ht="18" customHeight="1" x14ac:dyDescent="0.2">
      <c r="A22" s="17" t="s">
        <v>17</v>
      </c>
      <c r="B22" s="16">
        <f>ENERO!B22+FEBRERO!B22+MARZO!B22+ABRIL!B22+MAYO!B22+JUNIO!B22+JULIO!B22+AGOSTO!B22+SEPTIEMBRE!B22+OCTUBRE!B22+NOVIEMBRE!B22+DICIEMBRE!B22</f>
        <v>1166421615</v>
      </c>
      <c r="C22" s="16">
        <f>ENERO!C22+FEBRERO!C22+MARZO!C22+ABRIL!C22+MAYO!C22+JUNIO!C22+JULIO!C22+AGOSTO!C22+SEPTIEMBRE!C22+OCTUBRE!C22+NOVIEMBRE!C22+DICIEMBRE!C22</f>
        <v>0</v>
      </c>
      <c r="D22" s="16">
        <f>ENERO!D22+FEBRERO!D22+MARZO!D22+ABRIL!D22+MAYO!D22+JUNIO!D22+JULIO!D22+AGOSTO!D22+SEPTIEMBRE!D22+OCTUBRE!D22+NOVIEMBRE!D22+DICIEMBRE!D22</f>
        <v>96753404.80334799</v>
      </c>
      <c r="E22" s="16">
        <f>ENERO!E22+FEBRERO!E22+MARZO!E22+ABRIL!E22+MAYO!E22+JUNIO!E22+JULIO!E22+AGOSTO!E22+SEPTIEMBRE!E22+OCTUBRE!E22+NOVIEMBRE!E22+DICIEMBRE!E22</f>
        <v>692028.78000000014</v>
      </c>
      <c r="F22" s="16">
        <f>ENERO!F22+FEBRERO!F22+MARZO!F22+ABRIL!F22+MAYO!F22+JUNIO!F22+JULIO!F22+AGOSTO!F22+SEPTIEMBRE!F22+OCTUBRE!F22+NOVIEMBRE!F22+DICIEMBRE!F22</f>
        <v>5264946.379999999</v>
      </c>
      <c r="G22" s="16">
        <f>ENERO!G22+FEBRERO!G22+MARZO!G22+ABRIL!G22+MAYO!G22+JUNIO!G22+JULIO!G22+AGOSTO!G22+SEPTIEMBRE!G22+OCTUBRE!G22+NOVIEMBRE!G22+DICIEMBRE!G22</f>
        <v>2978123.52</v>
      </c>
      <c r="H22" s="16">
        <f>ENERO!H22+FEBRERO!H22+MARZO!H22+ABRIL!H22+MAYO!H22+JUNIO!H22+JULIO!H22+AGOSTO!H22+SEPTIEMBRE!H22+OCTUBRE!H22+NOVIEMBRE!H22+DICIEMBRE!H22</f>
        <v>61929403.36999999</v>
      </c>
      <c r="I22" s="16">
        <f>ENERO!I22+FEBRERO!I22+MARZO!I22+ABRIL!I22+MAYO!I22+JUNIO!I22+JULIO!I22+AGOSTO!I22+SEPTIEMBRE!I22+OCTUBRE!I22+NOVIEMBRE!I22+DICIEMBRE!I22</f>
        <v>12170267.540000001</v>
      </c>
      <c r="J22" s="16">
        <f>ENERO!J22+FEBRERO!J22+MARZO!J22+ABRIL!J22+MAYO!J22+JUNIO!J22+JULIO!J22+AGOSTO!J22+SEPTIEMBRE!J22+OCTUBRE!J22+NOVIEMBRE!J22+DICIEMBRE!J22</f>
        <v>99693163.059999973</v>
      </c>
      <c r="K22" s="16">
        <f>ENERO!K22+FEBRERO!K22+MARZO!K22+ABRIL!K22+MAYO!K22+JUNIO!K22+JULIO!K22+AGOSTO!K22+SEPTIEMBRE!K22+OCTUBRE!K22+NOVIEMBRE!K22+DICIEMBRE!K22</f>
        <v>0</v>
      </c>
      <c r="L22" s="16">
        <f>ENERO!L22+FEBRERO!L22+MARZO!L22+ABRIL!L22+MAYO!L22+JUNIO!L22+JULIO!L22+AGOSTO!L22+SEPTIEMBRE!L22+OCTUBRE!L22+NOVIEMBRE!L22+DICIEMBRE!L22</f>
        <v>0</v>
      </c>
      <c r="M22" s="16">
        <f>ENERO!M22+FEBRERO!M22+MARZO!M22+ABRIL!M22+MAYO!M22+JUNIO!M22+JULIO!M22+AGOSTO!M22+SEPTIEMBRE!M22+OCTUBRE!M22+NOVIEMBRE!M22+DICIEMBRE!M22</f>
        <v>40403.71</v>
      </c>
      <c r="N22" s="18">
        <f t="shared" si="0"/>
        <v>1445943356.163348</v>
      </c>
      <c r="O22" s="4"/>
    </row>
    <row r="23" spans="1:15" ht="18" customHeight="1" x14ac:dyDescent="0.2">
      <c r="A23" s="17" t="s">
        <v>18</v>
      </c>
      <c r="B23" s="16">
        <f>ENERO!B23+FEBRERO!B23+MARZO!B23+ABRIL!B23+MAYO!B23+JUNIO!B23+JULIO!B23+AGOSTO!B23+SEPTIEMBRE!B23+OCTUBRE!B23+NOVIEMBRE!B23+DICIEMBRE!B23</f>
        <v>1179169166.1699998</v>
      </c>
      <c r="C23" s="16">
        <f>ENERO!C23+FEBRERO!C23+MARZO!C23+ABRIL!C23+MAYO!C23+JUNIO!C23+JULIO!C23+AGOSTO!C23+SEPTIEMBRE!C23+OCTUBRE!C23+NOVIEMBRE!C23+DICIEMBRE!C23</f>
        <v>0</v>
      </c>
      <c r="D23" s="16">
        <f>ENERO!D23+FEBRERO!D23+MARZO!D23+ABRIL!D23+MAYO!D23+JUNIO!D23+JULIO!D23+AGOSTO!D23+SEPTIEMBRE!D23+OCTUBRE!D23+NOVIEMBRE!D23+DICIEMBRE!D23</f>
        <v>81060995.552187383</v>
      </c>
      <c r="E23" s="16">
        <f>ENERO!E23+FEBRERO!E23+MARZO!E23+ABRIL!E23+MAYO!E23+JUNIO!E23+JULIO!E23+AGOSTO!E23+SEPTIEMBRE!E23+OCTUBRE!E23+NOVIEMBRE!E23+DICIEMBRE!E23</f>
        <v>692299.15</v>
      </c>
      <c r="F23" s="16">
        <f>ENERO!F23+FEBRERO!F23+MARZO!F23+ABRIL!F23+MAYO!F23+JUNIO!F23+JULIO!F23+AGOSTO!F23+SEPTIEMBRE!F23+OCTUBRE!F23+NOVIEMBRE!F23+DICIEMBRE!F23</f>
        <v>5046320.28</v>
      </c>
      <c r="G23" s="16">
        <f>ENERO!G23+FEBRERO!G23+MARZO!G23+ABRIL!G23+MAYO!G23+JUNIO!G23+JULIO!G23+AGOSTO!G23+SEPTIEMBRE!G23+OCTUBRE!G23+NOVIEMBRE!G23+DICIEMBRE!G23</f>
        <v>3603665.4299999997</v>
      </c>
      <c r="H23" s="16">
        <f>ENERO!H23+FEBRERO!H23+MARZO!H23+ABRIL!H23+MAYO!H23+JUNIO!H23+JULIO!H23+AGOSTO!H23+SEPTIEMBRE!H23+OCTUBRE!H23+NOVIEMBRE!H23+DICIEMBRE!H23</f>
        <v>62606215.440000005</v>
      </c>
      <c r="I23" s="16">
        <f>ENERO!I23+FEBRERO!I23+MARZO!I23+ABRIL!I23+MAYO!I23+JUNIO!I23+JULIO!I23+AGOSTO!I23+SEPTIEMBRE!I23+OCTUBRE!I23+NOVIEMBRE!I23+DICIEMBRE!I23</f>
        <v>11664899.059999999</v>
      </c>
      <c r="J23" s="16">
        <f>ENERO!J23+FEBRERO!J23+MARZO!J23+ABRIL!J23+MAYO!J23+JUNIO!J23+JULIO!J23+AGOSTO!J23+SEPTIEMBRE!J23+OCTUBRE!J23+NOVIEMBRE!J23+DICIEMBRE!J23</f>
        <v>81824625.849999994</v>
      </c>
      <c r="K23" s="16">
        <f>ENERO!K23+FEBRERO!K23+MARZO!K23+ABRIL!K23+MAYO!K23+JUNIO!K23+JULIO!K23+AGOSTO!K23+SEPTIEMBRE!K23+OCTUBRE!K23+NOVIEMBRE!K23+DICIEMBRE!K23</f>
        <v>0</v>
      </c>
      <c r="L23" s="16">
        <f>ENERO!L23+FEBRERO!L23+MARZO!L23+ABRIL!L23+MAYO!L23+JUNIO!L23+JULIO!L23+AGOSTO!L23+SEPTIEMBRE!L23+OCTUBRE!L23+NOVIEMBRE!L23+DICIEMBRE!L23</f>
        <v>0</v>
      </c>
      <c r="M23" s="16">
        <f>ENERO!M23+FEBRERO!M23+MARZO!M23+ABRIL!M23+MAYO!M23+JUNIO!M23+JULIO!M23+AGOSTO!M23+SEPTIEMBRE!M23+OCTUBRE!M23+NOVIEMBRE!M23+DICIEMBRE!M23</f>
        <v>38725.849999999984</v>
      </c>
      <c r="N23" s="18">
        <f t="shared" si="0"/>
        <v>1425706912.7821872</v>
      </c>
      <c r="O23" s="4"/>
    </row>
    <row r="24" spans="1:15" ht="18" customHeight="1" x14ac:dyDescent="0.2">
      <c r="A24" s="17" t="s">
        <v>19</v>
      </c>
      <c r="B24" s="16">
        <f>ENERO!B24+FEBRERO!B24+MARZO!B24+ABRIL!B24+MAYO!B24+JUNIO!B24+JULIO!B24+AGOSTO!B24+SEPTIEMBRE!B24+OCTUBRE!B24+NOVIEMBRE!B24+DICIEMBRE!B24</f>
        <v>360759832.62999994</v>
      </c>
      <c r="C24" s="16">
        <f>ENERO!C24+FEBRERO!C24+MARZO!C24+ABRIL!C24+MAYO!C24+JUNIO!C24+JULIO!C24+AGOSTO!C24+SEPTIEMBRE!C24+OCTUBRE!C24+NOVIEMBRE!C24+DICIEMBRE!C24</f>
        <v>0</v>
      </c>
      <c r="D24" s="16">
        <f>ENERO!D24+FEBRERO!D24+MARZO!D24+ABRIL!D24+MAYO!D24+JUNIO!D24+JULIO!D24+AGOSTO!D24+SEPTIEMBRE!D24+OCTUBRE!D24+NOVIEMBRE!D24+DICIEMBRE!D24</f>
        <v>43026741.474172108</v>
      </c>
      <c r="E24" s="16">
        <f>ENERO!E24+FEBRERO!E24+MARZO!E24+ABRIL!E24+MAYO!E24+JUNIO!E24+JULIO!E24+AGOSTO!E24+SEPTIEMBRE!E24+OCTUBRE!E24+NOVIEMBRE!E24+DICIEMBRE!E24</f>
        <v>212166.18</v>
      </c>
      <c r="F24" s="16">
        <f>ENERO!F24+FEBRERO!F24+MARZO!F24+ABRIL!F24+MAYO!F24+JUNIO!F24+JULIO!F24+AGOSTO!F24+SEPTIEMBRE!F24+OCTUBRE!F24+NOVIEMBRE!F24+DICIEMBRE!F24</f>
        <v>5247026.22</v>
      </c>
      <c r="G24" s="16">
        <f>ENERO!G24+FEBRERO!G24+MARZO!G24+ABRIL!G24+MAYO!G24+JUNIO!G24+JULIO!G24+AGOSTO!G24+SEPTIEMBRE!G24+OCTUBRE!G24+NOVIEMBRE!G24+DICIEMBRE!G24</f>
        <v>944111.79271109414</v>
      </c>
      <c r="H24" s="16">
        <f>ENERO!H24+FEBRERO!H24+MARZO!H24+ABRIL!H24+MAYO!H24+JUNIO!H24+JULIO!H24+AGOSTO!H24+SEPTIEMBRE!H24+OCTUBRE!H24+NOVIEMBRE!H24+DICIEMBRE!H24</f>
        <v>19154001.41</v>
      </c>
      <c r="I24" s="16">
        <f>ENERO!I24+FEBRERO!I24+MARZO!I24+ABRIL!I24+MAYO!I24+JUNIO!I24+JULIO!I24+AGOSTO!I24+SEPTIEMBRE!I24+OCTUBRE!I24+NOVIEMBRE!I24+DICIEMBRE!I24</f>
        <v>12128843.909999998</v>
      </c>
      <c r="J24" s="16">
        <f>ENERO!J24+FEBRERO!J24+MARZO!J24+ABRIL!J24+MAYO!J24+JUNIO!J24+JULIO!J24+AGOSTO!J24+SEPTIEMBRE!J24+OCTUBRE!J24+NOVIEMBRE!J24+DICIEMBRE!J24</f>
        <v>66454100.610000022</v>
      </c>
      <c r="K24" s="16">
        <f>ENERO!K24+FEBRERO!K24+MARZO!K24+ABRIL!K24+MAYO!K24+JUNIO!K24+JULIO!K24+AGOSTO!K24+SEPTIEMBRE!K24+OCTUBRE!K24+NOVIEMBRE!K24+DICIEMBRE!K24</f>
        <v>0</v>
      </c>
      <c r="L24" s="16">
        <f>ENERO!L24+FEBRERO!L24+MARZO!L24+ABRIL!L24+MAYO!L24+JUNIO!L24+JULIO!L24+AGOSTO!L24+SEPTIEMBRE!L24+OCTUBRE!L24+NOVIEMBRE!L24+DICIEMBRE!L24</f>
        <v>0</v>
      </c>
      <c r="M24" s="16">
        <f>ENERO!M24+FEBRERO!M24+MARZO!M24+ABRIL!M24+MAYO!M24+JUNIO!M24+JULIO!M24+AGOSTO!M24+SEPTIEMBRE!M24+OCTUBRE!M24+NOVIEMBRE!M24+DICIEMBRE!M24</f>
        <v>40266.210000000006</v>
      </c>
      <c r="N24" s="18">
        <f t="shared" si="0"/>
        <v>507967090.43688321</v>
      </c>
      <c r="O24" s="4"/>
    </row>
    <row r="25" spans="1:15" ht="18" customHeight="1" x14ac:dyDescent="0.2">
      <c r="A25" s="17" t="s">
        <v>20</v>
      </c>
      <c r="B25" s="16">
        <f>ENERO!B25+FEBRERO!B25+MARZO!B25+ABRIL!B25+MAYO!B25+JUNIO!B25+JULIO!B25+AGOSTO!B25+SEPTIEMBRE!B25+OCTUBRE!B25+NOVIEMBRE!B25+DICIEMBRE!B25</f>
        <v>1615462378.8500001</v>
      </c>
      <c r="C25" s="16">
        <f>ENERO!C25+FEBRERO!C25+MARZO!C25+ABRIL!C25+MAYO!C25+JUNIO!C25+JULIO!C25+AGOSTO!C25+SEPTIEMBRE!C25+OCTUBRE!C25+NOVIEMBRE!C25+DICIEMBRE!C25</f>
        <v>0</v>
      </c>
      <c r="D25" s="16">
        <f>ENERO!D25+FEBRERO!D25+MARZO!D25+ABRIL!D25+MAYO!D25+JUNIO!D25+JULIO!D25+AGOSTO!D25+SEPTIEMBRE!D25+OCTUBRE!D25+NOVIEMBRE!D25+DICIEMBRE!D25</f>
        <v>28454215.633179091</v>
      </c>
      <c r="E25" s="16">
        <f>ENERO!E25+FEBRERO!E25+MARZO!E25+ABRIL!E25+MAYO!E25+JUNIO!E25+JULIO!E25+AGOSTO!E25+SEPTIEMBRE!E25+OCTUBRE!E25+NOVIEMBRE!E25+DICIEMBRE!E25</f>
        <v>939282.69000000006</v>
      </c>
      <c r="F25" s="16">
        <f>ENERO!F25+FEBRERO!F25+MARZO!F25+ABRIL!F25+MAYO!F25+JUNIO!F25+JULIO!F25+AGOSTO!F25+SEPTIEMBRE!F25+OCTUBRE!F25+NOVIEMBRE!F25+DICIEMBRE!F25</f>
        <v>23271134.859999999</v>
      </c>
      <c r="G25" s="16">
        <f>ENERO!G25+FEBRERO!G25+MARZO!G25+ABRIL!G25+MAYO!G25+JUNIO!G25+JULIO!G25+AGOSTO!G25+SEPTIEMBRE!G25+OCTUBRE!G25+NOVIEMBRE!G25+DICIEMBRE!G25</f>
        <v>8227236.1700000009</v>
      </c>
      <c r="H25" s="16">
        <f>ENERO!H25+FEBRERO!H25+MARZO!H25+ABRIL!H25+MAYO!H25+JUNIO!H25+JULIO!H25+AGOSTO!H25+SEPTIEMBRE!H25+OCTUBRE!H25+NOVIEMBRE!H25+DICIEMBRE!H25</f>
        <v>85770548.159999996</v>
      </c>
      <c r="I25" s="16">
        <f>ENERO!I25+FEBRERO!I25+MARZO!I25+ABRIL!I25+MAYO!I25+JUNIO!I25+JULIO!I25+AGOSTO!I25+SEPTIEMBRE!I25+OCTUBRE!I25+NOVIEMBRE!I25+DICIEMBRE!I25</f>
        <v>53792748.29999999</v>
      </c>
      <c r="J25" s="16">
        <f>ENERO!J25+FEBRERO!J25+MARZO!J25+ABRIL!J25+MAYO!J25+JUNIO!J25+JULIO!J25+AGOSTO!J25+SEPTIEMBRE!J25+OCTUBRE!J25+NOVIEMBRE!J25+DICIEMBRE!J25</f>
        <v>161922993.40000004</v>
      </c>
      <c r="K25" s="16">
        <f>ENERO!K25+FEBRERO!K25+MARZO!K25+ABRIL!K25+MAYO!K25+JUNIO!K25+JULIO!K25+AGOSTO!K25+SEPTIEMBRE!K25+OCTUBRE!K25+NOVIEMBRE!K25+DICIEMBRE!K25</f>
        <v>0</v>
      </c>
      <c r="L25" s="16">
        <f>ENERO!L25+FEBRERO!L25+MARZO!L25+ABRIL!L25+MAYO!L25+JUNIO!L25+JULIO!L25+AGOSTO!L25+SEPTIEMBRE!L25+OCTUBRE!L25+NOVIEMBRE!L25+DICIEMBRE!L25</f>
        <v>0</v>
      </c>
      <c r="M25" s="16">
        <f>ENERO!M25+FEBRERO!M25+MARZO!M25+ABRIL!M25+MAYO!M25+JUNIO!M25+JULIO!M25+AGOSTO!M25+SEPTIEMBRE!M25+OCTUBRE!M25+NOVIEMBRE!M25+DICIEMBRE!M25</f>
        <v>178586.16000000003</v>
      </c>
      <c r="N25" s="18">
        <f t="shared" si="0"/>
        <v>1978019124.2231796</v>
      </c>
      <c r="O25" s="4"/>
    </row>
    <row r="26" spans="1:15" ht="18" customHeight="1" x14ac:dyDescent="0.2">
      <c r="A26" s="17" t="s">
        <v>21</v>
      </c>
      <c r="B26" s="16">
        <f>ENERO!B26+FEBRERO!B26+MARZO!B26+ABRIL!B26+MAYO!B26+JUNIO!B26+JULIO!B26+AGOSTO!B26+SEPTIEMBRE!B26+OCTUBRE!B26+NOVIEMBRE!B26+DICIEMBRE!B26</f>
        <v>597665619.2700001</v>
      </c>
      <c r="C26" s="16">
        <f>ENERO!C26+FEBRERO!C26+MARZO!C26+ABRIL!C26+MAYO!C26+JUNIO!C26+JULIO!C26+AGOSTO!C26+SEPTIEMBRE!C26+OCTUBRE!C26+NOVIEMBRE!C26+DICIEMBRE!C26</f>
        <v>0</v>
      </c>
      <c r="D26" s="16">
        <f>ENERO!D26+FEBRERO!D26+MARZO!D26+ABRIL!D26+MAYO!D26+JUNIO!D26+JULIO!D26+AGOSTO!D26+SEPTIEMBRE!D26+OCTUBRE!D26+NOVIEMBRE!D26+DICIEMBRE!D26</f>
        <v>38842778.233541794</v>
      </c>
      <c r="E26" s="16">
        <f>ENERO!E26+FEBRERO!E26+MARZO!E26+ABRIL!E26+MAYO!E26+JUNIO!E26+JULIO!E26+AGOSTO!E26+SEPTIEMBRE!E26+OCTUBRE!E26+NOVIEMBRE!E26+DICIEMBRE!E26</f>
        <v>358846.50000000006</v>
      </c>
      <c r="F26" s="16">
        <f>ENERO!F26+FEBRERO!F26+MARZO!F26+ABRIL!F26+MAYO!F26+JUNIO!F26+JULIO!F26+AGOSTO!F26+SEPTIEMBRE!F26+OCTUBRE!F26+NOVIEMBRE!F26+DICIEMBRE!F26</f>
        <v>10583653.319999998</v>
      </c>
      <c r="G26" s="16">
        <f>ENERO!G26+FEBRERO!G26+MARZO!G26+ABRIL!G26+MAYO!G26+JUNIO!G26+JULIO!G26+AGOSTO!G26+SEPTIEMBRE!G26+OCTUBRE!G26+NOVIEMBRE!G26+DICIEMBRE!G26</f>
        <v>4514780.8599999994</v>
      </c>
      <c r="H26" s="16">
        <f>ENERO!H26+FEBRERO!H26+MARZO!H26+ABRIL!H26+MAYO!H26+JUNIO!H26+JULIO!H26+AGOSTO!H26+SEPTIEMBRE!H26+OCTUBRE!H26+NOVIEMBRE!H26+DICIEMBRE!H26</f>
        <v>31732158.240000002</v>
      </c>
      <c r="I26" s="16">
        <f>ENERO!I26+FEBRERO!I26+MARZO!I26+ABRIL!I26+MAYO!I26+JUNIO!I26+JULIO!I26+AGOSTO!I26+SEPTIEMBRE!I26+OCTUBRE!I26+NOVIEMBRE!I26+DICIEMBRE!I26</f>
        <v>24464806.059999999</v>
      </c>
      <c r="J26" s="16">
        <f>ENERO!J26+FEBRERO!J26+MARZO!J26+ABRIL!J26+MAYO!J26+JUNIO!J26+JULIO!J26+AGOSTO!J26+SEPTIEMBRE!J26+OCTUBRE!J26+NOVIEMBRE!J26+DICIEMBRE!J26</f>
        <v>108368645.70000003</v>
      </c>
      <c r="K26" s="16">
        <f>ENERO!K26+FEBRERO!K26+MARZO!K26+ABRIL!K26+MAYO!K26+JUNIO!K26+JULIO!K26+AGOSTO!K26+SEPTIEMBRE!K26+OCTUBRE!K26+NOVIEMBRE!K26+DICIEMBRE!K26</f>
        <v>0</v>
      </c>
      <c r="L26" s="16">
        <f>ENERO!L26+FEBRERO!L26+MARZO!L26+ABRIL!L26+MAYO!L26+JUNIO!L26+JULIO!L26+AGOSTO!L26+SEPTIEMBRE!L26+OCTUBRE!L26+NOVIEMBRE!L26+DICIEMBRE!L26</f>
        <v>0</v>
      </c>
      <c r="M26" s="16">
        <f>ENERO!M26+FEBRERO!M26+MARZO!M26+ABRIL!M26+MAYO!M26+JUNIO!M26+JULIO!M26+AGOSTO!M26+SEPTIEMBRE!M26+OCTUBRE!M26+NOVIEMBRE!M26+DICIEMBRE!M26</f>
        <v>81220.340000000011</v>
      </c>
      <c r="N26" s="18">
        <f t="shared" si="0"/>
        <v>816612508.52354205</v>
      </c>
      <c r="O26" s="4"/>
    </row>
    <row r="27" spans="1:15" ht="18" customHeight="1" x14ac:dyDescent="0.2">
      <c r="A27" s="17" t="s">
        <v>22</v>
      </c>
      <c r="B27" s="16">
        <f>ENERO!B27+FEBRERO!B27+MARZO!B27+ABRIL!B27+MAYO!B27+JUNIO!B27+JULIO!B27+AGOSTO!B27+SEPTIEMBRE!B27+OCTUBRE!B27+NOVIEMBRE!B27+DICIEMBRE!B27</f>
        <v>308383125.25</v>
      </c>
      <c r="C27" s="16">
        <f>ENERO!C27+FEBRERO!C27+MARZO!C27+ABRIL!C27+MAYO!C27+JUNIO!C27+JULIO!C27+AGOSTO!C27+SEPTIEMBRE!C27+OCTUBRE!C27+NOVIEMBRE!C27+DICIEMBRE!C27</f>
        <v>0</v>
      </c>
      <c r="D27" s="16">
        <f>ENERO!D27+FEBRERO!D27+MARZO!D27+ABRIL!D27+MAYO!D27+JUNIO!D27+JULIO!D27+AGOSTO!D27+SEPTIEMBRE!D27+OCTUBRE!D27+NOVIEMBRE!D27+DICIEMBRE!D27</f>
        <v>31204084.35123438</v>
      </c>
      <c r="E27" s="16">
        <f>ENERO!E27+FEBRERO!E27+MARZO!E27+ABRIL!E27+MAYO!E27+JUNIO!E27+JULIO!E27+AGOSTO!E27+SEPTIEMBRE!E27+OCTUBRE!E27+NOVIEMBRE!E27+DICIEMBRE!E27</f>
        <v>189562.71</v>
      </c>
      <c r="F27" s="16">
        <f>ENERO!F27+FEBRERO!F27+MARZO!F27+ABRIL!F27+MAYO!F27+JUNIO!F27+JULIO!F27+AGOSTO!F27+SEPTIEMBRE!F27+OCTUBRE!F27+NOVIEMBRE!F27+DICIEMBRE!F27</f>
        <v>2630681.14</v>
      </c>
      <c r="G27" s="16">
        <f>ENERO!G27+FEBRERO!G27+MARZO!G27+ABRIL!G27+MAYO!G27+JUNIO!G27+JULIO!G27+AGOSTO!G27+SEPTIEMBRE!G27+OCTUBRE!G27+NOVIEMBRE!G27+DICIEMBRE!G27</f>
        <v>1264682.5899999999</v>
      </c>
      <c r="H27" s="16">
        <f>ENERO!H27+FEBRERO!H27+MARZO!H27+ABRIL!H27+MAYO!H27+JUNIO!H27+JULIO!H27+AGOSTO!H27+SEPTIEMBRE!H27+OCTUBRE!H27+NOVIEMBRE!H27+DICIEMBRE!H27</f>
        <v>16373138.82</v>
      </c>
      <c r="I27" s="16">
        <f>ENERO!I27+FEBRERO!I27+MARZO!I27+ABRIL!I27+MAYO!I27+JUNIO!I27+JULIO!I27+AGOSTO!I27+SEPTIEMBRE!I27+OCTUBRE!I27+NOVIEMBRE!I27+DICIEMBRE!I27</f>
        <v>6080991.4100000001</v>
      </c>
      <c r="J27" s="16">
        <f>ENERO!J27+FEBRERO!J27+MARZO!J27+ABRIL!J27+MAYO!J27+JUNIO!J27+JULIO!J27+AGOSTO!J27+SEPTIEMBRE!J27+OCTUBRE!J27+NOVIEMBRE!J27+DICIEMBRE!J27</f>
        <v>31696839.329999987</v>
      </c>
      <c r="K27" s="16">
        <f>ENERO!K27+FEBRERO!K27+MARZO!K27+ABRIL!K27+MAYO!K27+JUNIO!K27+JULIO!K27+AGOSTO!K27+SEPTIEMBRE!K27+OCTUBRE!K27+NOVIEMBRE!K27+DICIEMBRE!K27</f>
        <v>0</v>
      </c>
      <c r="L27" s="16">
        <f>ENERO!L27+FEBRERO!L27+MARZO!L27+ABRIL!L27+MAYO!L27+JUNIO!L27+JULIO!L27+AGOSTO!L27+SEPTIEMBRE!L27+OCTUBRE!L27+NOVIEMBRE!L27+DICIEMBRE!L27</f>
        <v>0</v>
      </c>
      <c r="M27" s="16">
        <f>ENERO!M27+FEBRERO!M27+MARZO!M27+ABRIL!M27+MAYO!M27+JUNIO!M27+JULIO!M27+AGOSTO!M27+SEPTIEMBRE!M27+OCTUBRE!M27+NOVIEMBRE!M27+DICIEMBRE!M27</f>
        <v>20187.930000000004</v>
      </c>
      <c r="N27" s="18">
        <f t="shared" si="0"/>
        <v>397843293.53123432</v>
      </c>
      <c r="O27" s="4"/>
    </row>
    <row r="28" spans="1:15" ht="18" customHeight="1" x14ac:dyDescent="0.2">
      <c r="A28" s="17" t="s">
        <v>23</v>
      </c>
      <c r="B28" s="16">
        <f>ENERO!B28+FEBRERO!B28+MARZO!B28+ABRIL!B28+MAYO!B28+JUNIO!B28+JULIO!B28+AGOSTO!B28+SEPTIEMBRE!B28+OCTUBRE!B28+NOVIEMBRE!B28+DICIEMBRE!B28</f>
        <v>1017507041.1999999</v>
      </c>
      <c r="C28" s="16">
        <f>ENERO!C28+FEBRERO!C28+MARZO!C28+ABRIL!C28+MAYO!C28+JUNIO!C28+JULIO!C28+AGOSTO!C28+SEPTIEMBRE!C28+OCTUBRE!C28+NOVIEMBRE!C28+DICIEMBRE!C28</f>
        <v>0</v>
      </c>
      <c r="D28" s="16">
        <f>ENERO!D28+FEBRERO!D28+MARZO!D28+ABRIL!D28+MAYO!D28+JUNIO!D28+JULIO!D28+AGOSTO!D28+SEPTIEMBRE!D28+OCTUBRE!D28+NOVIEMBRE!D28+DICIEMBRE!D28</f>
        <v>83232927.839578599</v>
      </c>
      <c r="E28" s="16">
        <f>ENERO!E28+FEBRERO!E28+MARZO!E28+ABRIL!E28+MAYO!E28+JUNIO!E28+JULIO!E28+AGOSTO!E28+SEPTIEMBRE!E28+OCTUBRE!E28+NOVIEMBRE!E28+DICIEMBRE!E28</f>
        <v>594635.43000000005</v>
      </c>
      <c r="F28" s="16">
        <f>ENERO!F28+FEBRERO!F28+MARZO!F28+ABRIL!F28+MAYO!F28+JUNIO!F28+JULIO!F28+AGOSTO!F28+SEPTIEMBRE!F28+OCTUBRE!F28+NOVIEMBRE!F28+DICIEMBRE!F28</f>
        <v>3623458.6700000004</v>
      </c>
      <c r="G28" s="16">
        <f>ENERO!G28+FEBRERO!G28+MARZO!G28+ABRIL!G28+MAYO!G28+JUNIO!G28+JULIO!G28+AGOSTO!G28+SEPTIEMBRE!G28+OCTUBRE!G28+NOVIEMBRE!G28+DICIEMBRE!G28</f>
        <v>1931020.72</v>
      </c>
      <c r="H28" s="16">
        <f>ENERO!H28+FEBRERO!H28+MARZO!H28+ABRIL!H28+MAYO!H28+JUNIO!H28+JULIO!H28+AGOSTO!H28+SEPTIEMBRE!H28+OCTUBRE!H28+NOVIEMBRE!H28+DICIEMBRE!H28</f>
        <v>54023007.82</v>
      </c>
      <c r="I28" s="16">
        <f>ENERO!I28+FEBRERO!I28+MARZO!I28+ABRIL!I28+MAYO!I28+JUNIO!I28+JULIO!I28+AGOSTO!I28+SEPTIEMBRE!I28+OCTUBRE!I28+NOVIEMBRE!I28+DICIEMBRE!I28</f>
        <v>8375861.4500000011</v>
      </c>
      <c r="J28" s="16">
        <f>ENERO!J28+FEBRERO!J28+MARZO!J28+ABRIL!J28+MAYO!J28+JUNIO!J28+JULIO!J28+AGOSTO!J28+SEPTIEMBRE!J28+OCTUBRE!J28+NOVIEMBRE!J28+DICIEMBRE!J28</f>
        <v>63542540.539999962</v>
      </c>
      <c r="K28" s="16">
        <f>ENERO!K28+FEBRERO!K28+MARZO!K28+ABRIL!K28+MAYO!K28+JUNIO!K28+JULIO!K28+AGOSTO!K28+SEPTIEMBRE!K28+OCTUBRE!K28+NOVIEMBRE!K28+DICIEMBRE!K28</f>
        <v>0</v>
      </c>
      <c r="L28" s="16">
        <f>ENERO!L28+FEBRERO!L28+MARZO!L28+ABRIL!L28+MAYO!L28+JUNIO!L28+JULIO!L28+AGOSTO!L28+SEPTIEMBRE!L28+OCTUBRE!L28+NOVIEMBRE!L28+DICIEMBRE!L28</f>
        <v>0</v>
      </c>
      <c r="M28" s="16">
        <f>ENERO!M28+FEBRERO!M28+MARZO!M28+ABRIL!M28+MAYO!M28+JUNIO!M28+JULIO!M28+AGOSTO!M28+SEPTIEMBRE!M28+OCTUBRE!M28+NOVIEMBRE!M28+DICIEMBRE!M28</f>
        <v>27806.66</v>
      </c>
      <c r="N28" s="18">
        <f t="shared" si="0"/>
        <v>1232858300.3295786</v>
      </c>
      <c r="O28" s="4"/>
    </row>
    <row r="29" spans="1:15" ht="18" customHeight="1" x14ac:dyDescent="0.2">
      <c r="A29" s="17" t="s">
        <v>24</v>
      </c>
      <c r="B29" s="16">
        <f>ENERO!B29+FEBRERO!B29+MARZO!B29+ABRIL!B29+MAYO!B29+JUNIO!B29+JULIO!B29+AGOSTO!B29+SEPTIEMBRE!B29+OCTUBRE!B29+NOVIEMBRE!B29+DICIEMBRE!B29</f>
        <v>606377825.41000009</v>
      </c>
      <c r="C29" s="16">
        <f>ENERO!C29+FEBRERO!C29+MARZO!C29+ABRIL!C29+MAYO!C29+JUNIO!C29+JULIO!C29+AGOSTO!C29+SEPTIEMBRE!C29+OCTUBRE!C29+NOVIEMBRE!C29+DICIEMBRE!C29</f>
        <v>0</v>
      </c>
      <c r="D29" s="16">
        <f>ENERO!D29+FEBRERO!D29+MARZO!D29+ABRIL!D29+MAYO!D29+JUNIO!D29+JULIO!D29+AGOSTO!D29+SEPTIEMBRE!D29+OCTUBRE!D29+NOVIEMBRE!D29+DICIEMBRE!D29</f>
        <v>80650679.38977997</v>
      </c>
      <c r="E29" s="16">
        <f>ENERO!E29+FEBRERO!E29+MARZO!E29+ABRIL!E29+MAYO!E29+JUNIO!E29+JULIO!E29+AGOSTO!E29+SEPTIEMBRE!E29+OCTUBRE!E29+NOVIEMBRE!E29+DICIEMBRE!E29</f>
        <v>358965.74</v>
      </c>
      <c r="F29" s="16">
        <f>ENERO!F29+FEBRERO!F29+MARZO!F29+ABRIL!F29+MAYO!F29+JUNIO!F29+JULIO!F29+AGOSTO!F29+SEPTIEMBRE!F29+OCTUBRE!F29+NOVIEMBRE!F29+DICIEMBRE!F29</f>
        <v>2261525.6</v>
      </c>
      <c r="G29" s="16">
        <f>ENERO!G29+FEBRERO!G29+MARZO!G29+ABRIL!G29+MAYO!G29+JUNIO!G29+JULIO!G29+AGOSTO!G29+SEPTIEMBRE!G29+OCTUBRE!G29+NOVIEMBRE!G29+DICIEMBRE!G29</f>
        <v>1006306.5599999998</v>
      </c>
      <c r="H29" s="16">
        <f>ENERO!H29+FEBRERO!H29+MARZO!H29+ABRIL!H29+MAYO!H29+JUNIO!H29+JULIO!H29+AGOSTO!H29+SEPTIEMBRE!H29+OCTUBRE!H29+NOVIEMBRE!H29+DICIEMBRE!H29</f>
        <v>32194719.740000002</v>
      </c>
      <c r="I29" s="16">
        <f>ENERO!I29+FEBRERO!I29+MARZO!I29+ABRIL!I29+MAYO!I29+JUNIO!I29+JULIO!I29+AGOSTO!I29+SEPTIEMBRE!I29+OCTUBRE!I29+NOVIEMBRE!I29+DICIEMBRE!I29</f>
        <v>5227664.29</v>
      </c>
      <c r="J29" s="16">
        <f>ENERO!J29+FEBRERO!J29+MARZO!J29+ABRIL!J29+MAYO!J29+JUNIO!J29+JULIO!J29+AGOSTO!J29+SEPTIEMBRE!J29+OCTUBRE!J29+NOVIEMBRE!J29+DICIEMBRE!J29</f>
        <v>56933723.469999999</v>
      </c>
      <c r="K29" s="16">
        <f>ENERO!K29+FEBRERO!K29+MARZO!K29+ABRIL!K29+MAYO!K29+JUNIO!K29+JULIO!K29+AGOSTO!K29+SEPTIEMBRE!K29+OCTUBRE!K29+NOVIEMBRE!K29+DICIEMBRE!K29</f>
        <v>0</v>
      </c>
      <c r="L29" s="16">
        <f>ENERO!L29+FEBRERO!L29+MARZO!L29+ABRIL!L29+MAYO!L29+JUNIO!L29+JULIO!L29+AGOSTO!L29+SEPTIEMBRE!L29+OCTUBRE!L29+NOVIEMBRE!L29+DICIEMBRE!L29</f>
        <v>0</v>
      </c>
      <c r="M29" s="16">
        <f>ENERO!M29+FEBRERO!M29+MARZO!M29+ABRIL!M29+MAYO!M29+JUNIO!M29+JULIO!M29+AGOSTO!M29+SEPTIEMBRE!M29+OCTUBRE!M29+NOVIEMBRE!M29+DICIEMBRE!M29</f>
        <v>17354.930000000004</v>
      </c>
      <c r="N29" s="18">
        <f t="shared" si="0"/>
        <v>785028765.12977993</v>
      </c>
      <c r="O29" s="4"/>
    </row>
    <row r="30" spans="1:15" ht="18" customHeight="1" x14ac:dyDescent="0.2">
      <c r="A30" s="17" t="s">
        <v>25</v>
      </c>
      <c r="B30" s="16">
        <f>ENERO!B30+FEBRERO!B30+MARZO!B30+ABRIL!B30+MAYO!B30+JUNIO!B30+JULIO!B30+AGOSTO!B30+SEPTIEMBRE!B30+OCTUBRE!B30+NOVIEMBRE!B30+DICIEMBRE!B30</f>
        <v>208741147.32999998</v>
      </c>
      <c r="C30" s="16">
        <f>ENERO!C30+FEBRERO!C30+MARZO!C30+ABRIL!C30+MAYO!C30+JUNIO!C30+JULIO!C30+AGOSTO!C30+SEPTIEMBRE!C30+OCTUBRE!C30+NOVIEMBRE!C30+DICIEMBRE!C30</f>
        <v>0</v>
      </c>
      <c r="D30" s="16">
        <f>ENERO!D30+FEBRERO!D30+MARZO!D30+ABRIL!D30+MAYO!D30+JUNIO!D30+JULIO!D30+AGOSTO!D30+SEPTIEMBRE!D30+OCTUBRE!D30+NOVIEMBRE!D30+DICIEMBRE!D30</f>
        <v>48969942.955815427</v>
      </c>
      <c r="E30" s="16">
        <f>ENERO!E30+FEBRERO!E30+MARZO!E30+ABRIL!E30+MAYO!E30+JUNIO!E30+JULIO!E30+AGOSTO!E30+SEPTIEMBRE!E30+OCTUBRE!E30+NOVIEMBRE!E30+DICIEMBRE!E30</f>
        <v>121346.67000000001</v>
      </c>
      <c r="F30" s="16">
        <f>ENERO!F30+FEBRERO!F30+MARZO!F30+ABRIL!F30+MAYO!F30+JUNIO!F30+JULIO!F30+AGOSTO!F30+SEPTIEMBRE!F30+OCTUBRE!F30+NOVIEMBRE!F30+DICIEMBRE!F30</f>
        <v>1953298.6400000001</v>
      </c>
      <c r="G30" s="16">
        <f>ENERO!G30+FEBRERO!G30+MARZO!G30+ABRIL!G30+MAYO!G30+JUNIO!G30+JULIO!G30+AGOSTO!G30+SEPTIEMBRE!G30+OCTUBRE!G30+NOVIEMBRE!G30+DICIEMBRE!G30</f>
        <v>1278281.33</v>
      </c>
      <c r="H30" s="16">
        <f>ENERO!H30+FEBRERO!H30+MARZO!H30+ABRIL!H30+MAYO!H30+JUNIO!H30+JULIO!H30+AGOSTO!H30+SEPTIEMBRE!H30+OCTUBRE!H30+NOVIEMBRE!H30+DICIEMBRE!H30</f>
        <v>11082797.689999999</v>
      </c>
      <c r="I30" s="16">
        <f>ENERO!I30+FEBRERO!I30+MARZO!I30+ABRIL!I30+MAYO!I30+JUNIO!I30+JULIO!I30+AGOSTO!I30+SEPTIEMBRE!I30+OCTUBRE!I30+NOVIEMBRE!I30+DICIEMBRE!I30</f>
        <v>4515177.5299999993</v>
      </c>
      <c r="J30" s="16">
        <f>ENERO!J30+FEBRERO!J30+MARZO!J30+ABRIL!J30+MAYO!J30+JUNIO!J30+JULIO!J30+AGOSTO!J30+SEPTIEMBRE!J30+OCTUBRE!J30+NOVIEMBRE!J30+DICIEMBRE!J30</f>
        <v>43074319.55999998</v>
      </c>
      <c r="K30" s="16">
        <f>ENERO!K30+FEBRERO!K30+MARZO!K30+ABRIL!K30+MAYO!K30+JUNIO!K30+JULIO!K30+AGOSTO!K30+SEPTIEMBRE!K30+OCTUBRE!K30+NOVIEMBRE!K30+DICIEMBRE!K30</f>
        <v>0</v>
      </c>
      <c r="L30" s="16">
        <f>ENERO!L30+FEBRERO!L30+MARZO!L30+ABRIL!L30+MAYO!L30+JUNIO!L30+JULIO!L30+AGOSTO!L30+SEPTIEMBRE!L30+OCTUBRE!L30+NOVIEMBRE!L30+DICIEMBRE!L30</f>
        <v>0</v>
      </c>
      <c r="M30" s="16">
        <f>ENERO!M30+FEBRERO!M30+MARZO!M30+ABRIL!M30+MAYO!M30+JUNIO!M30+JULIO!M30+AGOSTO!M30+SEPTIEMBRE!M30+OCTUBRE!M30+NOVIEMBRE!M30+DICIEMBRE!M30</f>
        <v>14989.590000000002</v>
      </c>
      <c r="N30" s="18">
        <f t="shared" si="0"/>
        <v>319751301.29581535</v>
      </c>
      <c r="O30" s="4"/>
    </row>
    <row r="31" spans="1:15" ht="18" customHeight="1" x14ac:dyDescent="0.2">
      <c r="A31" s="17" t="s">
        <v>26</v>
      </c>
      <c r="B31" s="16">
        <f>ENERO!B31+FEBRERO!B31+MARZO!B31+ABRIL!B31+MAYO!B31+JUNIO!B31+JULIO!B31+AGOSTO!B31+SEPTIEMBRE!B31+OCTUBRE!B31+NOVIEMBRE!B31+DICIEMBRE!B31</f>
        <v>382116119.59000003</v>
      </c>
      <c r="C31" s="16">
        <f>ENERO!C31+FEBRERO!C31+MARZO!C31+ABRIL!C31+MAYO!C31+JUNIO!C31+JULIO!C31+AGOSTO!C31+SEPTIEMBRE!C31+OCTUBRE!C31+NOVIEMBRE!C31+DICIEMBRE!C31</f>
        <v>0</v>
      </c>
      <c r="D31" s="16">
        <f>ENERO!D31+FEBRERO!D31+MARZO!D31+ABRIL!D31+MAYO!D31+JUNIO!D31+JULIO!D31+AGOSTO!D31+SEPTIEMBRE!D31+OCTUBRE!D31+NOVIEMBRE!D31+DICIEMBRE!D31</f>
        <v>28821557.289678626</v>
      </c>
      <c r="E31" s="16">
        <f>ENERO!E31+FEBRERO!E31+MARZO!E31+ABRIL!E31+MAYO!E31+JUNIO!E31+JULIO!E31+AGOSTO!E31+SEPTIEMBRE!E31+OCTUBRE!E31+NOVIEMBRE!E31+DICIEMBRE!E31</f>
        <v>222049.97000000003</v>
      </c>
      <c r="F31" s="16">
        <f>ENERO!F31+FEBRERO!F31+MARZO!F31+ABRIL!F31+MAYO!F31+JUNIO!F31+JULIO!F31+AGOSTO!F31+SEPTIEMBRE!F31+OCTUBRE!F31+NOVIEMBRE!F31+DICIEMBRE!F31</f>
        <v>2333206.2799999998</v>
      </c>
      <c r="G31" s="16">
        <f>ENERO!G31+FEBRERO!G31+MARZO!G31+ABRIL!G31+MAYO!G31+JUNIO!G31+JULIO!G31+AGOSTO!G31+SEPTIEMBRE!G31+OCTUBRE!G31+NOVIEMBRE!G31+DICIEMBRE!G31</f>
        <v>720733.10000000009</v>
      </c>
      <c r="H31" s="16">
        <f>ENERO!H31+FEBRERO!H31+MARZO!H31+ABRIL!H31+MAYO!H31+JUNIO!H31+JULIO!H31+AGOSTO!H31+SEPTIEMBRE!H31+OCTUBRE!H31+NOVIEMBRE!H31+DICIEMBRE!H31</f>
        <v>20287881.380000003</v>
      </c>
      <c r="I31" s="16">
        <f>ENERO!I31+FEBRERO!I31+MARZO!I31+ABRIL!I31+MAYO!I31+JUNIO!I31+JULIO!I31+AGOSTO!I31+SEPTIEMBRE!I31+OCTUBRE!I31+NOVIEMBRE!I31+DICIEMBRE!I31</f>
        <v>5393358.8700000001</v>
      </c>
      <c r="J31" s="16">
        <f>ENERO!J31+FEBRERO!J31+MARZO!J31+ABRIL!J31+MAYO!J31+JUNIO!J31+JULIO!J31+AGOSTO!J31+SEPTIEMBRE!J31+OCTUBRE!J31+NOVIEMBRE!J31+DICIEMBRE!J31</f>
        <v>30511109.429999985</v>
      </c>
      <c r="K31" s="16">
        <f>ENERO!K31+FEBRERO!K31+MARZO!K31+ABRIL!K31+MAYO!K31+JUNIO!K31+JULIO!K31+AGOSTO!K31+SEPTIEMBRE!K31+OCTUBRE!K31+NOVIEMBRE!K31+DICIEMBRE!K31</f>
        <v>0</v>
      </c>
      <c r="L31" s="16">
        <f>ENERO!L31+FEBRERO!L31+MARZO!L31+ABRIL!L31+MAYO!L31+JUNIO!L31+JULIO!L31+AGOSTO!L31+SEPTIEMBRE!L31+OCTUBRE!L31+NOVIEMBRE!L31+DICIEMBRE!L31</f>
        <v>0</v>
      </c>
      <c r="M31" s="16">
        <f>ENERO!M31+FEBRERO!M31+MARZO!M31+ABRIL!M31+MAYO!M31+JUNIO!M31+JULIO!M31+AGOSTO!M31+SEPTIEMBRE!M31+OCTUBRE!M31+NOVIEMBRE!M31+DICIEMBRE!M31</f>
        <v>17905.100000000002</v>
      </c>
      <c r="N31" s="18">
        <f t="shared" si="0"/>
        <v>470423921.00967872</v>
      </c>
      <c r="O31" s="4"/>
    </row>
    <row r="32" spans="1:15" ht="18" customHeight="1" x14ac:dyDescent="0.2">
      <c r="A32" s="17" t="s">
        <v>27</v>
      </c>
      <c r="B32" s="16">
        <f>ENERO!B32+FEBRERO!B32+MARZO!B32+ABRIL!B32+MAYO!B32+JUNIO!B32+JULIO!B32+AGOSTO!B32+SEPTIEMBRE!B32+OCTUBRE!B32+NOVIEMBRE!B32+DICIEMBRE!B32</f>
        <v>1747035316.5199997</v>
      </c>
      <c r="C32" s="16">
        <f>ENERO!C32+FEBRERO!C32+MARZO!C32+ABRIL!C32+MAYO!C32+JUNIO!C32+JULIO!C32+AGOSTO!C32+SEPTIEMBRE!C32+OCTUBRE!C32+NOVIEMBRE!C32+DICIEMBRE!C32</f>
        <v>0</v>
      </c>
      <c r="D32" s="16">
        <f>ENERO!D32+FEBRERO!D32+MARZO!D32+ABRIL!D32+MAYO!D32+JUNIO!D32+JULIO!D32+AGOSTO!D32+SEPTIEMBRE!D32+OCTUBRE!D32+NOVIEMBRE!D32+DICIEMBRE!D32</f>
        <v>135375638.88152331</v>
      </c>
      <c r="E32" s="16">
        <f>ENERO!E32+FEBRERO!E32+MARZO!E32+ABRIL!E32+MAYO!E32+JUNIO!E32+JULIO!E32+AGOSTO!E32+SEPTIEMBRE!E32+OCTUBRE!E32+NOVIEMBRE!E32+DICIEMBRE!E32</f>
        <v>1022604.4</v>
      </c>
      <c r="F32" s="16">
        <f>ENERO!F32+FEBRERO!F32+MARZO!F32+ABRIL!F32+MAYO!F32+JUNIO!F32+JULIO!F32+AGOSTO!F32+SEPTIEMBRE!F32+OCTUBRE!F32+NOVIEMBRE!F32+DICIEMBRE!F32</f>
        <v>6881345.8499999996</v>
      </c>
      <c r="G32" s="16">
        <f>ENERO!G32+FEBRERO!G32+MARZO!G32+ABRIL!G32+MAYO!G32+JUNIO!G32+JULIO!G32+AGOSTO!G32+SEPTIEMBRE!G32+OCTUBRE!G32+NOVIEMBRE!G32+DICIEMBRE!G32</f>
        <v>4242806.0999999996</v>
      </c>
      <c r="H32" s="16">
        <f>ENERO!H32+FEBRERO!H32+MARZO!H32+ABRIL!H32+MAYO!H32+JUNIO!H32+JULIO!H32+AGOSTO!H32+SEPTIEMBRE!H32+OCTUBRE!H32+NOVIEMBRE!H32+DICIEMBRE!H32</f>
        <v>92756215.590000004</v>
      </c>
      <c r="I32" s="16">
        <f>ENERO!I32+FEBRERO!I32+MARZO!I32+ABRIL!I32+MAYO!I32+JUNIO!I32+JULIO!I32+AGOSTO!I32+SEPTIEMBRE!I32+OCTUBRE!I32+NOVIEMBRE!I32+DICIEMBRE!I32</f>
        <v>15906680.530000001</v>
      </c>
      <c r="J32" s="16">
        <f>ENERO!J32+FEBRERO!J32+MARZO!J32+ABRIL!J32+MAYO!J32+JUNIO!J32+JULIO!J32+AGOSTO!J32+SEPTIEMBRE!J32+OCTUBRE!J32+NOVIEMBRE!J32+DICIEMBRE!J32</f>
        <v>98467108.819999978</v>
      </c>
      <c r="K32" s="16">
        <f>ENERO!K32+FEBRERO!K32+MARZO!K32+ABRIL!K32+MAYO!K32+JUNIO!K32+JULIO!K32+AGOSTO!K32+SEPTIEMBRE!K32+OCTUBRE!K32+NOVIEMBRE!K32+DICIEMBRE!K32</f>
        <v>0</v>
      </c>
      <c r="L32" s="16">
        <f>ENERO!L32+FEBRERO!L32+MARZO!L32+ABRIL!L32+MAYO!L32+JUNIO!L32+JULIO!L32+AGOSTO!L32+SEPTIEMBRE!L32+OCTUBRE!L32+NOVIEMBRE!L32+DICIEMBRE!L32</f>
        <v>0</v>
      </c>
      <c r="M32" s="16">
        <f>ENERO!M32+FEBRERO!M32+MARZO!M32+ABRIL!M32+MAYO!M32+JUNIO!M32+JULIO!M32+AGOSTO!M32+SEPTIEMBRE!M32+OCTUBRE!M32+NOVIEMBRE!M32+DICIEMBRE!M32</f>
        <v>52808.229999999996</v>
      </c>
      <c r="N32" s="18">
        <f t="shared" si="0"/>
        <v>2101740524.9215229</v>
      </c>
      <c r="O32" s="4"/>
    </row>
    <row r="33" spans="1:15" ht="18" customHeight="1" x14ac:dyDescent="0.2">
      <c r="A33" s="17" t="s">
        <v>28</v>
      </c>
      <c r="B33" s="16">
        <f>ENERO!B33+FEBRERO!B33+MARZO!B33+ABRIL!B33+MAYO!B33+JUNIO!B33+JULIO!B33+AGOSTO!B33+SEPTIEMBRE!B33+OCTUBRE!B33+NOVIEMBRE!B33+DICIEMBRE!B33</f>
        <v>1129668935.3500001</v>
      </c>
      <c r="C33" s="16">
        <f>ENERO!C33+FEBRERO!C33+MARZO!C33+ABRIL!C33+MAYO!C33+JUNIO!C33+JULIO!C33+AGOSTO!C33+SEPTIEMBRE!C33+OCTUBRE!C33+NOVIEMBRE!C33+DICIEMBRE!C33</f>
        <v>0</v>
      </c>
      <c r="D33" s="16">
        <f>ENERO!D33+FEBRERO!D33+MARZO!D33+ABRIL!D33+MAYO!D33+JUNIO!D33+JULIO!D33+AGOSTO!D33+SEPTIEMBRE!D33+OCTUBRE!D33+NOVIEMBRE!D33+DICIEMBRE!D33</f>
        <v>83321253.119055852</v>
      </c>
      <c r="E33" s="16">
        <f>ENERO!E33+FEBRERO!E33+MARZO!E33+ABRIL!E33+MAYO!E33+JUNIO!E33+JULIO!E33+AGOSTO!E33+SEPTIEMBRE!E33+OCTUBRE!E33+NOVIEMBRE!E33+DICIEMBRE!E33</f>
        <v>666378.12000000011</v>
      </c>
      <c r="F33" s="16">
        <f>ENERO!F33+FEBRERO!F33+MARZO!F33+ABRIL!F33+MAYO!F33+JUNIO!F33+JULIO!F33+AGOSTO!F33+SEPTIEMBRE!F33+OCTUBRE!F33+NOVIEMBRE!F33+DICIEMBRE!F33</f>
        <v>5049904.3099999996</v>
      </c>
      <c r="G33" s="16">
        <f>ENERO!G33+FEBRERO!G33+MARZO!G33+ABRIL!G33+MAYO!G33+JUNIO!G33+JULIO!G33+AGOSTO!G33+SEPTIEMBRE!G33+OCTUBRE!G33+NOVIEMBRE!G33+DICIEMBRE!G33</f>
        <v>3182104.59</v>
      </c>
      <c r="H33" s="16">
        <f>ENERO!H33+FEBRERO!H33+MARZO!H33+ABRIL!H33+MAYO!H33+JUNIO!H33+JULIO!H33+AGOSTO!H33+SEPTIEMBRE!H33+OCTUBRE!H33+NOVIEMBRE!H33+DICIEMBRE!H33</f>
        <v>59978075.079999998</v>
      </c>
      <c r="I33" s="16">
        <f>ENERO!I33+FEBRERO!I33+MARZO!I33+ABRIL!I33+MAYO!I33+JUNIO!I33+JULIO!I33+AGOSTO!I33+SEPTIEMBRE!I33+OCTUBRE!I33+NOVIEMBRE!I33+DICIEMBRE!I33</f>
        <v>11673183.800000001</v>
      </c>
      <c r="J33" s="16">
        <f>ENERO!J33+FEBRERO!J33+MARZO!J33+ABRIL!J33+MAYO!J33+JUNIO!J33+JULIO!J33+AGOSTO!J33+SEPTIEMBRE!J33+OCTUBRE!J33+NOVIEMBRE!J33+DICIEMBRE!J33</f>
        <v>92353989.219999969</v>
      </c>
      <c r="K33" s="16">
        <f>ENERO!K33+FEBRERO!K33+MARZO!K33+ABRIL!K33+MAYO!K33+JUNIO!K33+JULIO!K33+AGOSTO!K33+SEPTIEMBRE!K33+OCTUBRE!K33+NOVIEMBRE!K33+DICIEMBRE!K33</f>
        <v>0</v>
      </c>
      <c r="L33" s="16">
        <f>ENERO!L33+FEBRERO!L33+MARZO!L33+ABRIL!L33+MAYO!L33+JUNIO!L33+JULIO!L33+AGOSTO!L33+SEPTIEMBRE!L33+OCTUBRE!L33+NOVIEMBRE!L33+DICIEMBRE!L33</f>
        <v>0</v>
      </c>
      <c r="M33" s="16">
        <f>ENERO!M33+FEBRERO!M33+MARZO!M33+ABRIL!M33+MAYO!M33+JUNIO!M33+JULIO!M33+AGOSTO!M33+SEPTIEMBRE!M33+OCTUBRE!M33+NOVIEMBRE!M33+DICIEMBRE!M33</f>
        <v>38753.449999999997</v>
      </c>
      <c r="N33" s="18">
        <f t="shared" si="0"/>
        <v>1385932577.0390556</v>
      </c>
      <c r="O33" s="4"/>
    </row>
    <row r="34" spans="1:15" ht="18" customHeight="1" x14ac:dyDescent="0.2">
      <c r="A34" s="17" t="s">
        <v>29</v>
      </c>
      <c r="B34" s="16">
        <f>ENERO!B34+FEBRERO!B34+MARZO!B34+ABRIL!B34+MAYO!B34+JUNIO!B34+JULIO!B34+AGOSTO!B34+SEPTIEMBRE!B34+OCTUBRE!B34+NOVIEMBRE!B34+DICIEMBRE!B34</f>
        <v>1575046847.5500002</v>
      </c>
      <c r="C34" s="16">
        <f>ENERO!C34+FEBRERO!C34+MARZO!C34+ABRIL!C34+MAYO!C34+JUNIO!C34+JULIO!C34+AGOSTO!C34+SEPTIEMBRE!C34+OCTUBRE!C34+NOVIEMBRE!C34+DICIEMBRE!C34</f>
        <v>0</v>
      </c>
      <c r="D34" s="16">
        <f>ENERO!D34+FEBRERO!D34+MARZO!D34+ABRIL!D34+MAYO!D34+JUNIO!D34+JULIO!D34+AGOSTO!D34+SEPTIEMBRE!D34+OCTUBRE!D34+NOVIEMBRE!D34+DICIEMBRE!D34</f>
        <v>90777679.378491804</v>
      </c>
      <c r="E34" s="16">
        <f>ENERO!E34+FEBRERO!E34+MARZO!E34+ABRIL!E34+MAYO!E34+JUNIO!E34+JULIO!E34+AGOSTO!E34+SEPTIEMBRE!E34+OCTUBRE!E34+NOVIEMBRE!E34+DICIEMBRE!E34</f>
        <v>1308045.44</v>
      </c>
      <c r="F34" s="16">
        <f>ENERO!F34+FEBRERO!F34+MARZO!F34+ABRIL!F34+MAYO!F34+JUNIO!F34+JULIO!F34+AGOSTO!F34+SEPTIEMBRE!F34+OCTUBRE!F34+NOVIEMBRE!F34+DICIEMBRE!F34</f>
        <v>7343686.290000001</v>
      </c>
      <c r="G34" s="16">
        <f>ENERO!G34+FEBRERO!G34+MARZO!G34+ABRIL!G34+MAYO!G34+JUNIO!G34+JULIO!G34+AGOSTO!G34+SEPTIEMBRE!G34+OCTUBRE!G34+NOVIEMBRE!G34+DICIEMBRE!G34</f>
        <v>5589081.1199999992</v>
      </c>
      <c r="H34" s="16">
        <f>ENERO!H34+FEBRERO!H34+MARZO!H34+ABRIL!H34+MAYO!H34+JUNIO!H34+JULIO!H34+AGOSTO!H34+SEPTIEMBRE!H34+OCTUBRE!H34+NOVIEMBRE!H34+DICIEMBRE!H34</f>
        <v>83624746.219999999</v>
      </c>
      <c r="I34" s="16">
        <f>ENERO!I34+FEBRERO!I34+MARZO!I34+ABRIL!I34+MAYO!I34+JUNIO!I34+JULIO!I34+AGOSTO!I34+SEPTIEMBRE!I34+OCTUBRE!I34+NOVIEMBRE!I34+DICIEMBRE!I34</f>
        <v>16975410.629999999</v>
      </c>
      <c r="J34" s="16">
        <f>ENERO!J34+FEBRERO!J34+MARZO!J34+ABRIL!J34+MAYO!J34+JUNIO!J34+JULIO!J34+AGOSTO!J34+SEPTIEMBRE!J34+OCTUBRE!J34+NOVIEMBRE!J34+DICIEMBRE!J34</f>
        <v>119166771.44999993</v>
      </c>
      <c r="K34" s="16">
        <f>ENERO!K34+FEBRERO!K34+MARZO!K34+ABRIL!K34+MAYO!K34+JUNIO!K34+JULIO!K34+AGOSTO!K34+SEPTIEMBRE!K34+OCTUBRE!K34+NOVIEMBRE!K34+DICIEMBRE!K34</f>
        <v>0</v>
      </c>
      <c r="L34" s="16">
        <f>ENERO!L34+FEBRERO!L34+MARZO!L34+ABRIL!L34+MAYO!L34+JUNIO!L34+JULIO!L34+AGOSTO!L34+SEPTIEMBRE!L34+OCTUBRE!L34+NOVIEMBRE!L34+DICIEMBRE!L34</f>
        <v>0</v>
      </c>
      <c r="M34" s="16">
        <f>ENERO!M34+FEBRERO!M34+MARZO!M34+ABRIL!M34+MAYO!M34+JUNIO!M34+JULIO!M34+AGOSTO!M34+SEPTIEMBRE!M34+OCTUBRE!M34+NOVIEMBRE!M34+DICIEMBRE!M34</f>
        <v>56356.33</v>
      </c>
      <c r="N34" s="18">
        <f t="shared" si="0"/>
        <v>1899888624.4084921</v>
      </c>
      <c r="O34" s="4"/>
    </row>
    <row r="35" spans="1:15" ht="18" customHeight="1" x14ac:dyDescent="0.2">
      <c r="A35" s="17" t="s">
        <v>30</v>
      </c>
      <c r="B35" s="16">
        <f>ENERO!B35+FEBRERO!B35+MARZO!B35+ABRIL!B35+MAYO!B35+JUNIO!B35+JULIO!B35+AGOSTO!B35+SEPTIEMBRE!B35+OCTUBRE!B35+NOVIEMBRE!B35+DICIEMBRE!B35</f>
        <v>758913862.56999993</v>
      </c>
      <c r="C35" s="16">
        <f>ENERO!C35+FEBRERO!C35+MARZO!C35+ABRIL!C35+MAYO!C35+JUNIO!C35+JULIO!C35+AGOSTO!C35+SEPTIEMBRE!C35+OCTUBRE!C35+NOVIEMBRE!C35+DICIEMBRE!C35</f>
        <v>0</v>
      </c>
      <c r="D35" s="16">
        <f>ENERO!D35+FEBRERO!D35+MARZO!D35+ABRIL!D35+MAYO!D35+JUNIO!D35+JULIO!D35+AGOSTO!D35+SEPTIEMBRE!D35+OCTUBRE!D35+NOVIEMBRE!D35+DICIEMBRE!D35</f>
        <v>64154749.00737121</v>
      </c>
      <c r="E35" s="16">
        <f>ENERO!E35+FEBRERO!E35+MARZO!E35+ABRIL!E35+MAYO!E35+JUNIO!E35+JULIO!E35+AGOSTO!E35+SEPTIEMBRE!E35+OCTUBRE!E35+NOVIEMBRE!E35+DICIEMBRE!E35</f>
        <v>451345.71</v>
      </c>
      <c r="F35" s="16">
        <f>ENERO!F35+FEBRERO!F35+MARZO!F35+ABRIL!F35+MAYO!F35+JUNIO!F35+JULIO!F35+AGOSTO!F35+SEPTIEMBRE!F35+OCTUBRE!F35+NOVIEMBRE!F35+DICIEMBRE!F35</f>
        <v>4591147.92</v>
      </c>
      <c r="G35" s="16">
        <f>ENERO!G35+FEBRERO!G35+MARZO!G35+ABRIL!G35+MAYO!G35+JUNIO!G35+JULIO!G35+AGOSTO!G35+SEPTIEMBRE!G35+OCTUBRE!G35+NOVIEMBRE!G35+DICIEMBRE!G35</f>
        <v>2162199.27</v>
      </c>
      <c r="H35" s="16">
        <f>ENERO!H35+FEBRERO!H35+MARZO!H35+ABRIL!H35+MAYO!H35+JUNIO!H35+JULIO!H35+AGOSTO!H35+SEPTIEMBRE!H35+OCTUBRE!H35+NOVIEMBRE!H35+DICIEMBRE!H35</f>
        <v>40293391.469999999</v>
      </c>
      <c r="I35" s="16">
        <f>ENERO!I35+FEBRERO!I35+MARZO!I35+ABRIL!I35+MAYO!I35+JUNIO!I35+JULIO!I35+AGOSTO!I35+SEPTIEMBRE!I35+OCTUBRE!I35+NOVIEMBRE!I35+DICIEMBRE!I35</f>
        <v>10612738.419999998</v>
      </c>
      <c r="J35" s="16">
        <f>ENERO!J35+FEBRERO!J35+MARZO!J35+ABRIL!J35+MAYO!J35+JUNIO!J35+JULIO!J35+AGOSTO!J35+SEPTIEMBRE!J35+OCTUBRE!J35+NOVIEMBRE!J35+DICIEMBRE!J35</f>
        <v>43576666.399999991</v>
      </c>
      <c r="K35" s="16">
        <f>ENERO!K35+FEBRERO!K35+MARZO!K35+ABRIL!K35+MAYO!K35+JUNIO!K35+JULIO!K35+AGOSTO!K35+SEPTIEMBRE!K35+OCTUBRE!K35+NOVIEMBRE!K35+DICIEMBRE!K35</f>
        <v>0</v>
      </c>
      <c r="L35" s="16">
        <f>ENERO!L35+FEBRERO!L35+MARZO!L35+ABRIL!L35+MAYO!L35+JUNIO!L35+JULIO!L35+AGOSTO!L35+SEPTIEMBRE!L35+OCTUBRE!L35+NOVIEMBRE!L35+DICIEMBRE!L35</f>
        <v>0</v>
      </c>
      <c r="M35" s="16">
        <f>ENERO!M35+FEBRERO!M35+MARZO!M35+ABRIL!M35+MAYO!M35+JUNIO!M35+JULIO!M35+AGOSTO!M35+SEPTIEMBRE!M35+OCTUBRE!M35+NOVIEMBRE!M35+DICIEMBRE!M35</f>
        <v>35232.810000000005</v>
      </c>
      <c r="N35" s="18">
        <f t="shared" si="0"/>
        <v>924791333.577371</v>
      </c>
      <c r="O35" s="4"/>
    </row>
    <row r="36" spans="1:15" ht="18" customHeight="1" x14ac:dyDescent="0.2">
      <c r="A36" s="17" t="s">
        <v>31</v>
      </c>
      <c r="B36" s="16">
        <f>ENERO!B36+FEBRERO!B36+MARZO!B36+ABRIL!B36+MAYO!B36+JUNIO!B36+JULIO!B36+AGOSTO!B36+SEPTIEMBRE!B36+OCTUBRE!B36+NOVIEMBRE!B36+DICIEMBRE!B36</f>
        <v>817478098.82999992</v>
      </c>
      <c r="C36" s="16">
        <f>ENERO!C36+FEBRERO!C36+MARZO!C36+ABRIL!C36+MAYO!C36+JUNIO!C36+JULIO!C36+AGOSTO!C36+SEPTIEMBRE!C36+OCTUBRE!C36+NOVIEMBRE!C36+DICIEMBRE!C36</f>
        <v>0</v>
      </c>
      <c r="D36" s="16">
        <f>ENERO!D36+FEBRERO!D36+MARZO!D36+ABRIL!D36+MAYO!D36+JUNIO!D36+JULIO!D36+AGOSTO!D36+SEPTIEMBRE!D36+OCTUBRE!D36+NOVIEMBRE!D36+DICIEMBRE!D36</f>
        <v>68334187.093347982</v>
      </c>
      <c r="E36" s="16">
        <f>ENERO!E36+FEBRERO!E36+MARZO!E36+ABRIL!E36+MAYO!E36+JUNIO!E36+JULIO!E36+AGOSTO!E36+SEPTIEMBRE!E36+OCTUBRE!E36+NOVIEMBRE!E36+DICIEMBRE!E36</f>
        <v>478298.52</v>
      </c>
      <c r="F36" s="16">
        <f>ENERO!F36+FEBRERO!F36+MARZO!F36+ABRIL!F36+MAYO!F36+JUNIO!F36+JULIO!F36+AGOSTO!F36+SEPTIEMBRE!F36+OCTUBRE!F36+NOVIEMBRE!F36+DICIEMBRE!F36</f>
        <v>2888731.6099999994</v>
      </c>
      <c r="G36" s="16">
        <f>ENERO!G36+FEBRERO!G36+MARZO!G36+ABRIL!G36+MAYO!G36+JUNIO!G36+JULIO!G36+AGOSTO!G36+SEPTIEMBRE!G36+OCTUBRE!G36+NOVIEMBRE!G36+DICIEMBRE!G36</f>
        <v>1373472.49</v>
      </c>
      <c r="H36" s="16">
        <f>ENERO!H36+FEBRERO!H36+MARZO!H36+ABRIL!H36+MAYO!H36+JUNIO!H36+JULIO!H36+AGOSTO!H36+SEPTIEMBRE!H36+OCTUBRE!H36+NOVIEMBRE!H36+DICIEMBRE!H36</f>
        <v>43402771.619999997</v>
      </c>
      <c r="I36" s="16">
        <f>ENERO!I36+FEBRERO!I36+MARZO!I36+ABRIL!I36+MAYO!I36+JUNIO!I36+JULIO!I36+AGOSTO!I36+SEPTIEMBRE!I36+OCTUBRE!I36+NOVIEMBRE!I36+DICIEMBRE!I36</f>
        <v>6677491.9200000009</v>
      </c>
      <c r="J36" s="16">
        <f>ENERO!J36+FEBRERO!J36+MARZO!J36+ABRIL!J36+MAYO!J36+JUNIO!J36+JULIO!J36+AGOSTO!J36+SEPTIEMBRE!J36+OCTUBRE!J36+NOVIEMBRE!J36+DICIEMBRE!J36</f>
        <v>57061348.270000026</v>
      </c>
      <c r="K36" s="16">
        <f>ENERO!K36+FEBRERO!K36+MARZO!K36+ABRIL!K36+MAYO!K36+JUNIO!K36+JULIO!K36+AGOSTO!K36+SEPTIEMBRE!K36+OCTUBRE!K36+NOVIEMBRE!K36+DICIEMBRE!K36</f>
        <v>0</v>
      </c>
      <c r="L36" s="16">
        <f>ENERO!L36+FEBRERO!L36+MARZO!L36+ABRIL!L36+MAYO!L36+JUNIO!L36+JULIO!L36+AGOSTO!L36+SEPTIEMBRE!L36+OCTUBRE!L36+NOVIEMBRE!L36+DICIEMBRE!L36</f>
        <v>0</v>
      </c>
      <c r="M36" s="16">
        <f>ENERO!M36+FEBRERO!M36+MARZO!M36+ABRIL!M36+MAYO!M36+JUNIO!M36+JULIO!M36+AGOSTO!M36+SEPTIEMBRE!M36+OCTUBRE!M36+NOVIEMBRE!M36+DICIEMBRE!M36</f>
        <v>22168.260000000002</v>
      </c>
      <c r="N36" s="18">
        <f t="shared" si="0"/>
        <v>997716568.61334789</v>
      </c>
      <c r="O36" s="4"/>
    </row>
    <row r="37" spans="1:15" ht="18" customHeight="1" x14ac:dyDescent="0.2">
      <c r="A37" s="17" t="s">
        <v>32</v>
      </c>
      <c r="B37" s="16">
        <f>ENERO!B37+FEBRERO!B37+MARZO!B37+ABRIL!B37+MAYO!B37+JUNIO!B37+JULIO!B37+AGOSTO!B37+SEPTIEMBRE!B37+OCTUBRE!B37+NOVIEMBRE!B37+DICIEMBRE!B37</f>
        <v>907931906.64999986</v>
      </c>
      <c r="C37" s="16">
        <f>ENERO!C37+FEBRERO!C37+MARZO!C37+ABRIL!C37+MAYO!C37+JUNIO!C37+JULIO!C37+AGOSTO!C37+SEPTIEMBRE!C37+OCTUBRE!C37+NOVIEMBRE!C37+DICIEMBRE!C37</f>
        <v>0</v>
      </c>
      <c r="D37" s="16">
        <f>ENERO!D37+FEBRERO!D37+MARZO!D37+ABRIL!D37+MAYO!D37+JUNIO!D37+JULIO!D37+AGOSTO!D37+SEPTIEMBRE!D37+OCTUBRE!D37+NOVIEMBRE!D37+DICIEMBRE!D37</f>
        <v>78362208.221826002</v>
      </c>
      <c r="E37" s="16">
        <f>ENERO!E37+FEBRERO!E37+MARZO!E37+ABRIL!E37+MAYO!E37+JUNIO!E37+JULIO!E37+AGOSTO!E37+SEPTIEMBRE!E37+OCTUBRE!E37+NOVIEMBRE!E37+DICIEMBRE!E37</f>
        <v>527599.74</v>
      </c>
      <c r="F37" s="16">
        <f>ENERO!F37+FEBRERO!F37+MARZO!F37+ABRIL!F37+MAYO!F37+JUNIO!F37+JULIO!F37+AGOSTO!F37+SEPTIEMBRE!F37+OCTUBRE!F37+NOVIEMBRE!F37+DICIEMBRE!F37</f>
        <v>5358131.2800000012</v>
      </c>
      <c r="G37" s="16">
        <f>ENERO!G37+FEBRERO!G37+MARZO!G37+ABRIL!G37+MAYO!G37+JUNIO!G37+JULIO!G37+AGOSTO!G37+SEPTIEMBRE!G37+OCTUBRE!G37+NOVIEMBRE!G37+DICIEMBRE!G37</f>
        <v>1999014.4200000002</v>
      </c>
      <c r="H37" s="16">
        <f>ENERO!H37+FEBRERO!H37+MARZO!H37+ABRIL!H37+MAYO!H37+JUNIO!H37+JULIO!H37+AGOSTO!H37+SEPTIEMBRE!H37+OCTUBRE!H37+NOVIEMBRE!H37+DICIEMBRE!H37</f>
        <v>48205280.649999999</v>
      </c>
      <c r="I37" s="16">
        <f>ENERO!I37+FEBRERO!I37+MARZO!I37+ABRIL!I37+MAYO!I37+JUNIO!I37+JULIO!I37+AGOSTO!I37+SEPTIEMBRE!I37+OCTUBRE!I37+NOVIEMBRE!I37+DICIEMBRE!I37</f>
        <v>12385670.5</v>
      </c>
      <c r="J37" s="16">
        <f>ENERO!J37+FEBRERO!J37+MARZO!J37+ABRIL!J37+MAYO!J37+JUNIO!J37+JULIO!J37+AGOSTO!J37+SEPTIEMBRE!J37+OCTUBRE!J37+NOVIEMBRE!J37+DICIEMBRE!J37</f>
        <v>73674874.570000008</v>
      </c>
      <c r="K37" s="16">
        <f>ENERO!K37+FEBRERO!K37+MARZO!K37+ABRIL!K37+MAYO!K37+JUNIO!K37+JULIO!K37+AGOSTO!K37+SEPTIEMBRE!K37+OCTUBRE!K37+NOVIEMBRE!K37+DICIEMBRE!K37</f>
        <v>0</v>
      </c>
      <c r="L37" s="16">
        <f>ENERO!L37+FEBRERO!L37+MARZO!L37+ABRIL!L37+MAYO!L37+JUNIO!L37+JULIO!L37+AGOSTO!L37+SEPTIEMBRE!L37+OCTUBRE!L37+NOVIEMBRE!L37+DICIEMBRE!L37</f>
        <v>0</v>
      </c>
      <c r="M37" s="16">
        <f>ENERO!M37+FEBRERO!M37+MARZO!M37+ABRIL!M37+MAYO!M37+JUNIO!M37+JULIO!M37+AGOSTO!M37+SEPTIEMBRE!M37+OCTUBRE!M37+NOVIEMBRE!M37+DICIEMBRE!M37</f>
        <v>41118.800000000003</v>
      </c>
      <c r="N37" s="18">
        <f t="shared" si="0"/>
        <v>1128485804.8318257</v>
      </c>
      <c r="O37" s="4"/>
    </row>
    <row r="38" spans="1:15" ht="18" customHeight="1" x14ac:dyDescent="0.2">
      <c r="A38" s="17" t="s">
        <v>33</v>
      </c>
      <c r="B38" s="16">
        <f>ENERO!B38+FEBRERO!B38+MARZO!B38+ABRIL!B38+MAYO!B38+JUNIO!B38+JULIO!B38+AGOSTO!B38+SEPTIEMBRE!B38+OCTUBRE!B38+NOVIEMBRE!B38+DICIEMBRE!B38</f>
        <v>830805084.01999998</v>
      </c>
      <c r="C38" s="16">
        <f>ENERO!C38+FEBRERO!C38+MARZO!C38+ABRIL!C38+MAYO!C38+JUNIO!C38+JULIO!C38+AGOSTO!C38+SEPTIEMBRE!C38+OCTUBRE!C38+NOVIEMBRE!C38+DICIEMBRE!C38</f>
        <v>0</v>
      </c>
      <c r="D38" s="16">
        <f>ENERO!D38+FEBRERO!D38+MARZO!D38+ABRIL!D38+MAYO!D38+JUNIO!D38+JULIO!D38+AGOSTO!D38+SEPTIEMBRE!D38+OCTUBRE!D38+NOVIEMBRE!D38+DICIEMBRE!D38</f>
        <v>11248260.133065287</v>
      </c>
      <c r="E38" s="16">
        <f>ENERO!E38+FEBRERO!E38+MARZO!E38+ABRIL!E38+MAYO!E38+JUNIO!E38+JULIO!E38+AGOSTO!E38+SEPTIEMBRE!E38+OCTUBRE!E38+NOVIEMBRE!E38+DICIEMBRE!E38</f>
        <v>483877.63</v>
      </c>
      <c r="F38" s="16">
        <f>ENERO!F38+FEBRERO!F38+MARZO!F38+ABRIL!F38+MAYO!F38+JUNIO!F38+JULIO!F38+AGOSTO!F38+SEPTIEMBRE!F38+OCTUBRE!F38+NOVIEMBRE!F38+DICIEMBRE!F38</f>
        <v>4788269.8099999996</v>
      </c>
      <c r="G38" s="16">
        <f>ENERO!G38+FEBRERO!G38+MARZO!G38+ABRIL!G38+MAYO!G38+JUNIO!G38+JULIO!G38+AGOSTO!G38+SEPTIEMBRE!G38+OCTUBRE!G38+NOVIEMBRE!G38+DICIEMBRE!G38</f>
        <v>5412297.5299999993</v>
      </c>
      <c r="H38" s="16">
        <f>ENERO!H38+FEBRERO!H38+MARZO!H38+ABRIL!H38+MAYO!H38+JUNIO!H38+JULIO!H38+AGOSTO!H38+SEPTIEMBRE!H38+OCTUBRE!H38+NOVIEMBRE!H38+DICIEMBRE!H38</f>
        <v>44110347.870000005</v>
      </c>
      <c r="I38" s="16">
        <f>ENERO!I38+FEBRERO!I38+MARZO!I38+ABRIL!I38+MAYO!I38+JUNIO!I38+JULIO!I38+AGOSTO!I38+SEPTIEMBRE!I38+OCTUBRE!I38+NOVIEMBRE!I38+DICIEMBRE!I38</f>
        <v>11068398.550000001</v>
      </c>
      <c r="J38" s="16">
        <f>ENERO!J38+FEBRERO!J38+MARZO!J38+ABRIL!J38+MAYO!J38+JUNIO!J38+JULIO!J38+AGOSTO!J38+SEPTIEMBRE!J38+OCTUBRE!J38+NOVIEMBRE!J38+DICIEMBRE!J38</f>
        <v>121958214.61999995</v>
      </c>
      <c r="K38" s="16">
        <f>ENERO!K38+FEBRERO!K38+MARZO!K38+ABRIL!K38+MAYO!K38+JUNIO!K38+JULIO!K38+AGOSTO!K38+SEPTIEMBRE!K38+OCTUBRE!K38+NOVIEMBRE!K38+DICIEMBRE!K38</f>
        <v>0</v>
      </c>
      <c r="L38" s="16">
        <f>ENERO!L38+FEBRERO!L38+MARZO!L38+ABRIL!L38+MAYO!L38+JUNIO!L38+JULIO!L38+AGOSTO!L38+SEPTIEMBRE!L38+OCTUBRE!L38+NOVIEMBRE!L38+DICIEMBRE!L38</f>
        <v>0</v>
      </c>
      <c r="M38" s="16">
        <f>ENERO!M38+FEBRERO!M38+MARZO!M38+ABRIL!M38+MAYO!M38+JUNIO!M38+JULIO!M38+AGOSTO!M38+SEPTIEMBRE!M38+OCTUBRE!M38+NOVIEMBRE!M38+DICIEMBRE!M38</f>
        <v>36745.619999999995</v>
      </c>
      <c r="N38" s="18">
        <f t="shared" si="0"/>
        <v>1029911495.7830652</v>
      </c>
      <c r="O38" s="4"/>
    </row>
    <row r="39" spans="1:15" ht="18" customHeight="1" x14ac:dyDescent="0.2">
      <c r="A39" s="17" t="s">
        <v>34</v>
      </c>
      <c r="B39" s="16">
        <f>ENERO!B39+FEBRERO!B39+MARZO!B39+ABRIL!B39+MAYO!B39+JUNIO!B39+JULIO!B39+AGOSTO!B39+SEPTIEMBRE!B39+OCTUBRE!B39+NOVIEMBRE!B39+DICIEMBRE!B39</f>
        <v>1375162763.6800001</v>
      </c>
      <c r="C39" s="16">
        <f>ENERO!C39+FEBRERO!C39+MARZO!C39+ABRIL!C39+MAYO!C39+JUNIO!C39+JULIO!C39+AGOSTO!C39+SEPTIEMBRE!C39+OCTUBRE!C39+NOVIEMBRE!C39+DICIEMBRE!C39</f>
        <v>0</v>
      </c>
      <c r="D39" s="16">
        <f>ENERO!D39+FEBRERO!D39+MARZO!D39+ABRIL!D39+MAYO!D39+JUNIO!D39+JULIO!D39+AGOSTO!D39+SEPTIEMBRE!D39+OCTUBRE!D39+NOVIEMBRE!D39+DICIEMBRE!D39</f>
        <v>113987014.88316038</v>
      </c>
      <c r="E39" s="16">
        <f>ENERO!E39+FEBRERO!E39+MARZO!E39+ABRIL!E39+MAYO!E39+JUNIO!E39+JULIO!E39+AGOSTO!E39+SEPTIEMBRE!E39+OCTUBRE!E39+NOVIEMBRE!E39+DICIEMBRE!E39</f>
        <v>801837.49</v>
      </c>
      <c r="F39" s="16">
        <f>ENERO!F39+FEBRERO!F39+MARZO!F39+ABRIL!F39+MAYO!F39+JUNIO!F39+JULIO!F39+AGOSTO!F39+SEPTIEMBRE!F39+OCTUBRE!F39+NOVIEMBRE!F39+DICIEMBRE!F39</f>
        <v>6100026.3700000001</v>
      </c>
      <c r="G39" s="16">
        <f>ENERO!G39+FEBRERO!G39+MARZO!G39+ABRIL!G39+MAYO!G39+JUNIO!G39+JULIO!G39+AGOSTO!G39+SEPTIEMBRE!G39+OCTUBRE!G39+NOVIEMBRE!G39+DICIEMBRE!G39</f>
        <v>3331690.6899999995</v>
      </c>
      <c r="H39" s="16">
        <f>ENERO!H39+FEBRERO!H39+MARZO!H39+ABRIL!H39+MAYO!H39+JUNIO!H39+JULIO!H39+AGOSTO!H39+SEPTIEMBRE!H39+OCTUBRE!H39+NOVIEMBRE!H39+DICIEMBRE!H39</f>
        <v>73012201.080000013</v>
      </c>
      <c r="I39" s="16">
        <f>ENERO!I39+FEBRERO!I39+MARZO!I39+ABRIL!I39+MAYO!I39+JUNIO!I39+JULIO!I39+AGOSTO!I39+SEPTIEMBRE!I39+OCTUBRE!I39+NOVIEMBRE!I39+DICIEMBRE!I39</f>
        <v>14100609.510000002</v>
      </c>
      <c r="J39" s="16">
        <f>ENERO!J39+FEBRERO!J39+MARZO!J39+ABRIL!J39+MAYO!J39+JUNIO!J39+JULIO!J39+AGOSTO!J39+SEPTIEMBRE!J39+OCTUBRE!J39+NOVIEMBRE!J39+DICIEMBRE!J39</f>
        <v>103871320.44999997</v>
      </c>
      <c r="K39" s="16">
        <f>ENERO!K39+FEBRERO!K39+MARZO!K39+ABRIL!K39+MAYO!K39+JUNIO!K39+JULIO!K39+AGOSTO!K39+SEPTIEMBRE!K39+OCTUBRE!K39+NOVIEMBRE!K39+DICIEMBRE!K39</f>
        <v>0</v>
      </c>
      <c r="L39" s="16">
        <f>ENERO!L39+FEBRERO!L39+MARZO!L39+ABRIL!L39+MAYO!L39+JUNIO!L39+JULIO!L39+AGOSTO!L39+SEPTIEMBRE!L39+OCTUBRE!L39+NOVIEMBRE!L39+DICIEMBRE!L39</f>
        <v>0</v>
      </c>
      <c r="M39" s="16">
        <f>ENERO!M39+FEBRERO!M39+MARZO!M39+ABRIL!M39+MAYO!M39+JUNIO!M39+JULIO!M39+AGOSTO!M39+SEPTIEMBRE!M39+OCTUBRE!M39+NOVIEMBRE!M39+DICIEMBRE!M39</f>
        <v>46812.289999999986</v>
      </c>
      <c r="N39" s="18">
        <f t="shared" si="0"/>
        <v>1690414276.4431603</v>
      </c>
      <c r="O39" s="4"/>
    </row>
    <row r="40" spans="1:15" ht="18" customHeight="1" x14ac:dyDescent="0.2">
      <c r="A40" s="17" t="s">
        <v>35</v>
      </c>
      <c r="B40" s="16">
        <f>ENERO!B40+FEBRERO!B40+MARZO!B40+ABRIL!B40+MAYO!B40+JUNIO!B40+JULIO!B40+AGOSTO!B40+SEPTIEMBRE!B40+OCTUBRE!B40+NOVIEMBRE!B40+DICIEMBRE!B40</f>
        <v>921279585.96000004</v>
      </c>
      <c r="C40" s="16">
        <f>ENERO!C40+FEBRERO!C40+MARZO!C40+ABRIL!C40+MAYO!C40+JUNIO!C40+JULIO!C40+AGOSTO!C40+SEPTIEMBRE!C40+OCTUBRE!C40+NOVIEMBRE!C40+DICIEMBRE!C40</f>
        <v>0</v>
      </c>
      <c r="D40" s="16">
        <f>ENERO!D40+FEBRERO!D40+MARZO!D40+ABRIL!D40+MAYO!D40+JUNIO!D40+JULIO!D40+AGOSTO!D40+SEPTIEMBRE!D40+OCTUBRE!D40+NOVIEMBRE!D40+DICIEMBRE!D40</f>
        <v>92694326.425984338</v>
      </c>
      <c r="E40" s="16">
        <f>ENERO!E40+FEBRERO!E40+MARZO!E40+ABRIL!E40+MAYO!E40+JUNIO!E40+JULIO!E40+AGOSTO!E40+SEPTIEMBRE!E40+OCTUBRE!E40+NOVIEMBRE!E40+DICIEMBRE!E40</f>
        <v>544678.85</v>
      </c>
      <c r="F40" s="16">
        <f>ENERO!F40+FEBRERO!F40+MARZO!F40+ABRIL!F40+MAYO!F40+JUNIO!F40+JULIO!F40+AGOSTO!F40+SEPTIEMBRE!F40+OCTUBRE!F40+NOVIEMBRE!F40+DICIEMBRE!F40</f>
        <v>3257887.13</v>
      </c>
      <c r="G40" s="16">
        <f>ENERO!G40+FEBRERO!G40+MARZO!G40+ABRIL!G40+MAYO!G40+JUNIO!G40+JULIO!G40+AGOSTO!G40+SEPTIEMBRE!G40+OCTUBRE!G40+NOVIEMBRE!G40+DICIEMBRE!G40</f>
        <v>1468663.6699999997</v>
      </c>
      <c r="H40" s="16">
        <f>ENERO!H40+FEBRERO!H40+MARZO!H40+ABRIL!H40+MAYO!H40+JUNIO!H40+JULIO!H40+AGOSTO!H40+SEPTIEMBRE!H40+OCTUBRE!H40+NOVIEMBRE!H40+DICIEMBRE!H40</f>
        <v>48913955.630000003</v>
      </c>
      <c r="I40" s="16">
        <f>ENERO!I40+FEBRERO!I40+MARZO!I40+ABRIL!I40+MAYO!I40+JUNIO!I40+JULIO!I40+AGOSTO!I40+SEPTIEMBRE!I40+OCTUBRE!I40+NOVIEMBRE!I40+DICIEMBRE!I40</f>
        <v>7530819.0699999994</v>
      </c>
      <c r="J40" s="16">
        <f>ENERO!J40+FEBRERO!J40+MARZO!J40+ABRIL!J40+MAYO!J40+JUNIO!J40+JULIO!J40+AGOSTO!J40+SEPTIEMBRE!J40+OCTUBRE!J40+NOVIEMBRE!J40+DICIEMBRE!J40</f>
        <v>57805862.300000004</v>
      </c>
      <c r="K40" s="16">
        <f>ENERO!K40+FEBRERO!K40+MARZO!K40+ABRIL!K40+MAYO!K40+JUNIO!K40+JULIO!K40+AGOSTO!K40+SEPTIEMBRE!K40+OCTUBRE!K40+NOVIEMBRE!K40+DICIEMBRE!K40</f>
        <v>0</v>
      </c>
      <c r="L40" s="16">
        <f>ENERO!L40+FEBRERO!L40+MARZO!L40+ABRIL!L40+MAYO!L40+JUNIO!L40+JULIO!L40+AGOSTO!L40+SEPTIEMBRE!L40+OCTUBRE!L40+NOVIEMBRE!L40+DICIEMBRE!L40</f>
        <v>0</v>
      </c>
      <c r="M40" s="16">
        <f>ENERO!M40+FEBRERO!M40+MARZO!M40+ABRIL!M40+MAYO!M40+JUNIO!M40+JULIO!M40+AGOSTO!M40+SEPTIEMBRE!M40+OCTUBRE!M40+NOVIEMBRE!M40+DICIEMBRE!M40</f>
        <v>25001.200000000004</v>
      </c>
      <c r="N40" s="18">
        <f t="shared" ref="N40:N71" si="1">SUM(B40:M40)</f>
        <v>1133520780.2359843</v>
      </c>
      <c r="O40" s="4"/>
    </row>
    <row r="41" spans="1:15" ht="18" customHeight="1" x14ac:dyDescent="0.2">
      <c r="A41" s="17" t="s">
        <v>36</v>
      </c>
      <c r="B41" s="16">
        <f>ENERO!B41+FEBRERO!B41+MARZO!B41+ABRIL!B41+MAYO!B41+JUNIO!B41+JULIO!B41+AGOSTO!B41+SEPTIEMBRE!B41+OCTUBRE!B41+NOVIEMBRE!B41+DICIEMBRE!B41</f>
        <v>954555660.79999995</v>
      </c>
      <c r="C41" s="16">
        <f>ENERO!C41+FEBRERO!C41+MARZO!C41+ABRIL!C41+MAYO!C41+JUNIO!C41+JULIO!C41+AGOSTO!C41+SEPTIEMBRE!C41+OCTUBRE!C41+NOVIEMBRE!C41+DICIEMBRE!C41</f>
        <v>0</v>
      </c>
      <c r="D41" s="16">
        <f>ENERO!D41+FEBRERO!D41+MARZO!D41+ABRIL!D41+MAYO!D41+JUNIO!D41+JULIO!D41+AGOSTO!D41+SEPTIEMBRE!D41+OCTUBRE!D41+NOVIEMBRE!D41+DICIEMBRE!D41</f>
        <v>30209132.473246649</v>
      </c>
      <c r="E41" s="16">
        <f>ENERO!E41+FEBRERO!E41+MARZO!E41+ABRIL!E41+MAYO!E41+JUNIO!E41+JULIO!E41+AGOSTO!E41+SEPTIEMBRE!E41+OCTUBRE!E41+NOVIEMBRE!E41+DICIEMBRE!E41</f>
        <v>554692.59000000008</v>
      </c>
      <c r="F41" s="16">
        <f>ENERO!F41+FEBRERO!F41+MARZO!F41+ABRIL!F41+MAYO!F41+JUNIO!F41+JULIO!F41+AGOSTO!F41+SEPTIEMBRE!F41+OCTUBRE!F41+NOVIEMBRE!F41+DICIEMBRE!F41</f>
        <v>5515828.7999999989</v>
      </c>
      <c r="G41" s="16">
        <f>ENERO!G41+FEBRERO!G41+MARZO!G41+ABRIL!G41+MAYO!G41+JUNIO!G41+JULIO!G41+AGOSTO!G41+SEPTIEMBRE!G41+OCTUBRE!G41+NOVIEMBRE!G41+DICIEMBRE!G41</f>
        <v>2352581.59</v>
      </c>
      <c r="H41" s="16">
        <f>ENERO!H41+FEBRERO!H41+MARZO!H41+ABRIL!H41+MAYO!H41+JUNIO!H41+JULIO!H41+AGOSTO!H41+SEPTIEMBRE!H41+OCTUBRE!H41+NOVIEMBRE!H41+DICIEMBRE!H41</f>
        <v>50680698.840000004</v>
      </c>
      <c r="I41" s="16">
        <f>ENERO!I41+FEBRERO!I41+MARZO!I41+ABRIL!I41+MAYO!I41+JUNIO!I41+JULIO!I41+AGOSTO!I41+SEPTIEMBRE!I41+OCTUBRE!I41+NOVIEMBRE!I41+DICIEMBRE!I41</f>
        <v>12750198.620000001</v>
      </c>
      <c r="J41" s="16">
        <f>ENERO!J41+FEBRERO!J41+MARZO!J41+ABRIL!J41+MAYO!J41+JUNIO!J41+JULIO!J41+AGOSTO!J41+SEPTIEMBRE!J41+OCTUBRE!J41+NOVIEMBRE!J41+DICIEMBRE!J41</f>
        <v>58652690.229999989</v>
      </c>
      <c r="K41" s="16">
        <f>ENERO!K41+FEBRERO!K41+MARZO!K41+ABRIL!K41+MAYO!K41+JUNIO!K41+JULIO!K41+AGOSTO!K41+SEPTIEMBRE!K41+OCTUBRE!K41+NOVIEMBRE!K41+DICIEMBRE!K41</f>
        <v>0</v>
      </c>
      <c r="L41" s="16">
        <f>ENERO!L41+FEBRERO!L41+MARZO!L41+ABRIL!L41+MAYO!L41+JUNIO!L41+JULIO!L41+AGOSTO!L41+SEPTIEMBRE!L41+OCTUBRE!L41+NOVIEMBRE!L41+DICIEMBRE!L41</f>
        <v>0</v>
      </c>
      <c r="M41" s="16">
        <f>ENERO!M41+FEBRERO!M41+MARZO!M41+ABRIL!M41+MAYO!M41+JUNIO!M41+JULIO!M41+AGOSTO!M41+SEPTIEMBRE!M41+OCTUBRE!M41+NOVIEMBRE!M41+DICIEMBRE!M41</f>
        <v>42328.97</v>
      </c>
      <c r="N41" s="18">
        <f t="shared" si="1"/>
        <v>1115313812.9132466</v>
      </c>
      <c r="O41" s="4"/>
    </row>
    <row r="42" spans="1:15" ht="18" customHeight="1" x14ac:dyDescent="0.2">
      <c r="A42" s="17" t="s">
        <v>37</v>
      </c>
      <c r="B42" s="16">
        <f>ENERO!B42+FEBRERO!B42+MARZO!B42+ABRIL!B42+MAYO!B42+JUNIO!B42+JULIO!B42+AGOSTO!B42+SEPTIEMBRE!B42+OCTUBRE!B42+NOVIEMBRE!B42+DICIEMBRE!B42</f>
        <v>588063567.80999994</v>
      </c>
      <c r="C42" s="16">
        <f>ENERO!C42+FEBRERO!C42+MARZO!C42+ABRIL!C42+MAYO!C42+JUNIO!C42+JULIO!C42+AGOSTO!C42+SEPTIEMBRE!C42+OCTUBRE!C42+NOVIEMBRE!C42+DICIEMBRE!C42</f>
        <v>0</v>
      </c>
      <c r="D42" s="16">
        <f>ENERO!D42+FEBRERO!D42+MARZO!D42+ABRIL!D42+MAYO!D42+JUNIO!D42+JULIO!D42+AGOSTO!D42+SEPTIEMBRE!D42+OCTUBRE!D42+NOVIEMBRE!D42+DICIEMBRE!D42</f>
        <v>6497575.1601675861</v>
      </c>
      <c r="E42" s="16">
        <f>ENERO!E42+FEBRERO!E42+MARZO!E42+ABRIL!E42+MAYO!E42+JUNIO!E42+JULIO!E42+AGOSTO!E42+SEPTIEMBRE!E42+OCTUBRE!E42+NOVIEMBRE!E42+DICIEMBRE!E42</f>
        <v>355953.39999999997</v>
      </c>
      <c r="F42" s="16">
        <f>ENERO!F42+FEBRERO!F42+MARZO!F42+ABRIL!F42+MAYO!F42+JUNIO!F42+JULIO!F42+AGOSTO!F42+SEPTIEMBRE!F42+OCTUBRE!F42+NOVIEMBRE!F42+DICIEMBRE!F42</f>
        <v>14981263.460000001</v>
      </c>
      <c r="G42" s="16">
        <f>ENERO!G42+FEBRERO!G42+MARZO!G42+ABRIL!G42+MAYO!G42+JUNIO!G42+JULIO!G42+AGOSTO!G42+SEPTIEMBRE!G42+OCTUBRE!G42+NOVIEMBRE!G42+DICIEMBRE!G42</f>
        <v>0</v>
      </c>
      <c r="H42" s="16">
        <f>ENERO!H42+FEBRERO!H42+MARZO!H42+ABRIL!H42+MAYO!H42+JUNIO!H42+JULIO!H42+AGOSTO!H42+SEPTIEMBRE!H42+OCTUBRE!H42+NOVIEMBRE!H42+DICIEMBRE!H42</f>
        <v>31222351.75</v>
      </c>
      <c r="I42" s="16">
        <f>ENERO!I42+FEBRERO!I42+MARZO!I42+ABRIL!I42+MAYO!I42+JUNIO!I42+JULIO!I42+AGOSTO!I42+SEPTIEMBRE!I42+OCTUBRE!I42+NOVIEMBRE!I42+DICIEMBRE!I42</f>
        <v>34630169.059999995</v>
      </c>
      <c r="J42" s="16">
        <f>ENERO!J42+FEBRERO!J42+MARZO!J42+ABRIL!J42+MAYO!J42+JUNIO!J42+JULIO!J42+AGOSTO!J42+SEPTIEMBRE!J42+OCTUBRE!J42+NOVIEMBRE!J42+DICIEMBRE!J42</f>
        <v>91399915.040000021</v>
      </c>
      <c r="K42" s="16">
        <f>ENERO!K42+FEBRERO!K42+MARZO!K42+ABRIL!K42+MAYO!K42+JUNIO!K42+JULIO!K42+AGOSTO!K42+SEPTIEMBRE!K42+OCTUBRE!K42+NOVIEMBRE!K42+DICIEMBRE!K42</f>
        <v>0</v>
      </c>
      <c r="L42" s="16">
        <f>ENERO!L42+FEBRERO!L42+MARZO!L42+ABRIL!L42+MAYO!L42+JUNIO!L42+JULIO!L42+AGOSTO!L42+SEPTIEMBRE!L42+OCTUBRE!L42+NOVIEMBRE!L42+DICIEMBRE!L42</f>
        <v>0</v>
      </c>
      <c r="M42" s="16">
        <f>ENERO!M42+FEBRERO!M42+MARZO!M42+ABRIL!M42+MAYO!M42+JUNIO!M42+JULIO!M42+AGOSTO!M42+SEPTIEMBRE!M42+OCTUBRE!M42+NOVIEMBRE!M42+DICIEMBRE!M42</f>
        <v>114968.31</v>
      </c>
      <c r="N42" s="18">
        <f t="shared" si="1"/>
        <v>767265763.99016738</v>
      </c>
      <c r="O42" s="4"/>
    </row>
    <row r="43" spans="1:15" ht="18" customHeight="1" x14ac:dyDescent="0.2">
      <c r="A43" s="17" t="s">
        <v>38</v>
      </c>
      <c r="B43" s="16">
        <f>ENERO!B43+FEBRERO!B43+MARZO!B43+ABRIL!B43+MAYO!B43+JUNIO!B43+JULIO!B43+AGOSTO!B43+SEPTIEMBRE!B43+OCTUBRE!B43+NOVIEMBRE!B43+DICIEMBRE!B43</f>
        <v>2119859796.9299998</v>
      </c>
      <c r="C43" s="16">
        <f>ENERO!C43+FEBRERO!C43+MARZO!C43+ABRIL!C43+MAYO!C43+JUNIO!C43+JULIO!C43+AGOSTO!C43+SEPTIEMBRE!C43+OCTUBRE!C43+NOVIEMBRE!C43+DICIEMBRE!C43</f>
        <v>0</v>
      </c>
      <c r="D43" s="16">
        <f>ENERO!D43+FEBRERO!D43+MARZO!D43+ABRIL!D43+MAYO!D43+JUNIO!D43+JULIO!D43+AGOSTO!D43+SEPTIEMBRE!D43+OCTUBRE!D43+NOVIEMBRE!D43+DICIEMBRE!D43</f>
        <v>41515690.640442729</v>
      </c>
      <c r="E43" s="16">
        <f>ENERO!E43+FEBRERO!E43+MARZO!E43+ABRIL!E43+MAYO!E43+JUNIO!E43+JULIO!E43+AGOSTO!E43+SEPTIEMBRE!E43+OCTUBRE!E43+NOVIEMBRE!E43+DICIEMBRE!E43</f>
        <v>1238566.56</v>
      </c>
      <c r="F43" s="16">
        <f>ENERO!F43+FEBRERO!F43+MARZO!F43+ABRIL!F43+MAYO!F43+JUNIO!F43+JULIO!F43+AGOSTO!F43+SEPTIEMBRE!F43+OCTUBRE!F43+NOVIEMBRE!F43+DICIEMBRE!F43</f>
        <v>62297684.759999998</v>
      </c>
      <c r="G43" s="16">
        <f>ENERO!G43+FEBRERO!G43+MARZO!G43+ABRIL!G43+MAYO!G43+JUNIO!G43+JULIO!G43+AGOSTO!G43+SEPTIEMBRE!G43+OCTUBRE!G43+NOVIEMBRE!G43+DICIEMBRE!G43</f>
        <v>18589474.16</v>
      </c>
      <c r="H43" s="16">
        <f>ENERO!H43+FEBRERO!H43+MARZO!H43+ABRIL!H43+MAYO!H43+JUNIO!H43+JULIO!H43+AGOSTO!H43+SEPTIEMBRE!H43+OCTUBRE!H43+NOVIEMBRE!H43+DICIEMBRE!H43</f>
        <v>112550771.3</v>
      </c>
      <c r="I43" s="16">
        <f>ENERO!I43+FEBRERO!I43+MARZO!I43+ABRIL!I43+MAYO!I43+JUNIO!I43+JULIO!I43+AGOSTO!I43+SEPTIEMBRE!I43+OCTUBRE!I43+NOVIEMBRE!I43+DICIEMBRE!I43</f>
        <v>144005167.19999999</v>
      </c>
      <c r="J43" s="16">
        <f>ENERO!J43+FEBRERO!J43+MARZO!J43+ABRIL!J43+MAYO!J43+JUNIO!J43+JULIO!J43+AGOSTO!J43+SEPTIEMBRE!J43+OCTUBRE!J43+NOVIEMBRE!J43+DICIEMBRE!J43</f>
        <v>282928636.86000001</v>
      </c>
      <c r="K43" s="16">
        <f>ENERO!K43+FEBRERO!K43+MARZO!K43+ABRIL!K43+MAYO!K43+JUNIO!K43+JULIO!K43+AGOSTO!K43+SEPTIEMBRE!K43+OCTUBRE!K43+NOVIEMBRE!K43+DICIEMBRE!K43</f>
        <v>0</v>
      </c>
      <c r="L43" s="16">
        <f>ENERO!L43+FEBRERO!L43+MARZO!L43+ABRIL!L43+MAYO!L43+JUNIO!L43+JULIO!L43+AGOSTO!L43+SEPTIEMBRE!L43+OCTUBRE!L43+NOVIEMBRE!L43+DICIEMBRE!L43</f>
        <v>0</v>
      </c>
      <c r="M43" s="16">
        <f>ENERO!M43+FEBRERO!M43+MARZO!M43+ABRIL!M43+MAYO!M43+JUNIO!M43+JULIO!M43+AGOSTO!M43+SEPTIEMBRE!M43+OCTUBRE!M43+NOVIEMBRE!M43+DICIEMBRE!M43</f>
        <v>478082.35999999993</v>
      </c>
      <c r="N43" s="18">
        <f t="shared" si="1"/>
        <v>2783463870.770443</v>
      </c>
      <c r="O43" s="4"/>
    </row>
    <row r="44" spans="1:15" ht="18" customHeight="1" x14ac:dyDescent="0.2">
      <c r="A44" s="17" t="s">
        <v>39</v>
      </c>
      <c r="B44" s="16">
        <f>ENERO!B44+FEBRERO!B44+MARZO!B44+ABRIL!B44+MAYO!B44+JUNIO!B44+JULIO!B44+AGOSTO!B44+SEPTIEMBRE!B44+OCTUBRE!B44+NOVIEMBRE!B44+DICIEMBRE!B44</f>
        <v>3049334238.3699999</v>
      </c>
      <c r="C44" s="16">
        <f>ENERO!C44+FEBRERO!C44+MARZO!C44+ABRIL!C44+MAYO!C44+JUNIO!C44+JULIO!C44+AGOSTO!C44+SEPTIEMBRE!C44+OCTUBRE!C44+NOVIEMBRE!C44+DICIEMBRE!C44</f>
        <v>0</v>
      </c>
      <c r="D44" s="16">
        <f>ENERO!D44+FEBRERO!D44+MARZO!D44+ABRIL!D44+MAYO!D44+JUNIO!D44+JULIO!D44+AGOSTO!D44+SEPTIEMBRE!D44+OCTUBRE!D44+NOVIEMBRE!D44+DICIEMBRE!D44</f>
        <v>26406606.132977743</v>
      </c>
      <c r="E44" s="16">
        <f>ENERO!E44+FEBRERO!E44+MARZO!E44+ABRIL!E44+MAYO!E44+JUNIO!E44+JULIO!E44+AGOSTO!E44+SEPTIEMBRE!E44+OCTUBRE!E44+NOVIEMBRE!E44+DICIEMBRE!E44</f>
        <v>1791264.8099999998</v>
      </c>
      <c r="F44" s="16">
        <f>ENERO!F44+FEBRERO!F44+MARZO!F44+ABRIL!F44+MAYO!F44+JUNIO!F44+JULIO!F44+AGOSTO!F44+SEPTIEMBRE!F44+OCTUBRE!F44+NOVIEMBRE!F44+DICIEMBRE!F44</f>
        <v>78386414.879999995</v>
      </c>
      <c r="G44" s="16">
        <f>ENERO!G44+FEBRERO!G44+MARZO!G44+ABRIL!G44+MAYO!G44+JUNIO!G44+JULIO!G44+AGOSTO!G44+SEPTIEMBRE!G44+OCTUBRE!G44+NOVIEMBRE!G44+DICIEMBRE!G44</f>
        <v>33852758.122867271</v>
      </c>
      <c r="H44" s="16">
        <f>ENERO!H44+FEBRERO!H44+MARZO!H44+ABRIL!H44+MAYO!H44+JUNIO!H44+JULIO!H44+AGOSTO!H44+SEPTIEMBRE!H44+OCTUBRE!H44+NOVIEMBRE!H44+DICIEMBRE!H44</f>
        <v>161899820.38999999</v>
      </c>
      <c r="I44" s="16">
        <f>ENERO!I44+FEBRERO!I44+MARZO!I44+ABRIL!I44+MAYO!I44+JUNIO!I44+JULIO!I44+AGOSTO!I44+SEPTIEMBRE!I44+OCTUBRE!I44+NOVIEMBRE!I44+DICIEMBRE!I44</f>
        <v>181195317.66999999</v>
      </c>
      <c r="J44" s="16">
        <f>ENERO!J44+FEBRERO!J44+MARZO!J44+ABRIL!J44+MAYO!J44+JUNIO!J44+JULIO!J44+AGOSTO!J44+SEPTIEMBRE!J44+OCTUBRE!J44+NOVIEMBRE!J44+DICIEMBRE!J44</f>
        <v>367262858.77999991</v>
      </c>
      <c r="K44" s="16">
        <f>ENERO!K44+FEBRERO!K44+MARZO!K44+ABRIL!K44+MAYO!K44+JUNIO!K44+JULIO!K44+AGOSTO!K44+SEPTIEMBRE!K44+OCTUBRE!K44+NOVIEMBRE!K44+DICIEMBRE!K44</f>
        <v>0</v>
      </c>
      <c r="L44" s="16">
        <f>ENERO!L44+FEBRERO!L44+MARZO!L44+ABRIL!L44+MAYO!L44+JUNIO!L44+JULIO!L44+AGOSTO!L44+SEPTIEMBRE!L44+OCTUBRE!L44+NOVIEMBRE!L44+DICIEMBRE!L44</f>
        <v>0</v>
      </c>
      <c r="M44" s="16">
        <f>ENERO!M44+FEBRERO!M44+MARZO!M44+ABRIL!M44+MAYO!M44+JUNIO!M44+JULIO!M44+AGOSTO!M44+SEPTIEMBRE!M44+OCTUBRE!M44+NOVIEMBRE!M44+DICIEMBRE!M44</f>
        <v>601549.89000000025</v>
      </c>
      <c r="N44" s="18">
        <f t="shared" si="1"/>
        <v>3900730829.0458446</v>
      </c>
      <c r="O44" s="4"/>
    </row>
    <row r="45" spans="1:15" ht="18" customHeight="1" x14ac:dyDescent="0.2">
      <c r="A45" s="17" t="s">
        <v>40</v>
      </c>
      <c r="B45" s="16">
        <f>ENERO!B45+FEBRERO!B45+MARZO!B45+ABRIL!B45+MAYO!B45+JUNIO!B45+JULIO!B45+AGOSTO!B45+SEPTIEMBRE!B45+OCTUBRE!B45+NOVIEMBRE!B45+DICIEMBRE!B45</f>
        <v>865260721.17000008</v>
      </c>
      <c r="C45" s="16">
        <f>ENERO!C45+FEBRERO!C45+MARZO!C45+ABRIL!C45+MAYO!C45+JUNIO!C45+JULIO!C45+AGOSTO!C45+SEPTIEMBRE!C45+OCTUBRE!C45+NOVIEMBRE!C45+DICIEMBRE!C45</f>
        <v>0</v>
      </c>
      <c r="D45" s="16">
        <f>ENERO!D45+FEBRERO!D45+MARZO!D45+ABRIL!D45+MAYO!D45+JUNIO!D45+JULIO!D45+AGOSTO!D45+SEPTIEMBRE!D45+OCTUBRE!D45+NOVIEMBRE!D45+DICIEMBRE!D45</f>
        <v>39115825.153916977</v>
      </c>
      <c r="E45" s="16">
        <f>ENERO!E45+FEBRERO!E45+MARZO!E45+ABRIL!E45+MAYO!E45+JUNIO!E45+JULIO!E45+AGOSTO!E45+SEPTIEMBRE!E45+OCTUBRE!E45+NOVIEMBRE!E45+DICIEMBRE!E45</f>
        <v>515296.92999999993</v>
      </c>
      <c r="F45" s="16">
        <f>ENERO!F45+FEBRERO!F45+MARZO!F45+ABRIL!F45+MAYO!F45+JUNIO!F45+JULIO!F45+AGOSTO!F45+SEPTIEMBRE!F45+OCTUBRE!F45+NOVIEMBRE!F45+DICIEMBRE!F45</f>
        <v>5838391.8700000001</v>
      </c>
      <c r="G45" s="16">
        <f>ENERO!G45+FEBRERO!G45+MARZO!G45+ABRIL!G45+MAYO!G45+JUNIO!G45+JULIO!G45+AGOSTO!G45+SEPTIEMBRE!G45+OCTUBRE!G45+NOVIEMBRE!G45+DICIEMBRE!G45</f>
        <v>2597358.85</v>
      </c>
      <c r="H45" s="16">
        <f>ENERO!H45+FEBRERO!H45+MARZO!H45+ABRIL!H45+MAYO!H45+JUNIO!H45+JULIO!H45+AGOSTO!H45+SEPTIEMBRE!H45+OCTUBRE!H45+NOVIEMBRE!H45+DICIEMBRE!H45</f>
        <v>45939718.159999996</v>
      </c>
      <c r="I45" s="16">
        <f>ENERO!I45+FEBRERO!I45+MARZO!I45+ABRIL!I45+MAYO!I45+JUNIO!I45+JULIO!I45+AGOSTO!I45+SEPTIEMBRE!I45+OCTUBRE!I45+NOVIEMBRE!I45+DICIEMBRE!I45</f>
        <v>13495824.270000001</v>
      </c>
      <c r="J45" s="16">
        <f>ENERO!J45+FEBRERO!J45+MARZO!J45+ABRIL!J45+MAYO!J45+JUNIO!J45+JULIO!J45+AGOSTO!J45+SEPTIEMBRE!J45+OCTUBRE!J45+NOVIEMBRE!J45+DICIEMBRE!J45</f>
        <v>55022783.200000003</v>
      </c>
      <c r="K45" s="16">
        <f>ENERO!K45+FEBRERO!K45+MARZO!K45+ABRIL!K45+MAYO!K45+JUNIO!K45+JULIO!K45+AGOSTO!K45+SEPTIEMBRE!K45+OCTUBRE!K45+NOVIEMBRE!K45+DICIEMBRE!K45</f>
        <v>0</v>
      </c>
      <c r="L45" s="16">
        <f>ENERO!L45+FEBRERO!L45+MARZO!L45+ABRIL!L45+MAYO!L45+JUNIO!L45+JULIO!L45+AGOSTO!L45+SEPTIEMBRE!L45+OCTUBRE!L45+NOVIEMBRE!L45+DICIEMBRE!L45</f>
        <v>0</v>
      </c>
      <c r="M45" s="16">
        <f>ENERO!M45+FEBRERO!M45+MARZO!M45+ABRIL!M45+MAYO!M45+JUNIO!M45+JULIO!M45+AGOSTO!M45+SEPTIEMBRE!M45+OCTUBRE!M45+NOVIEMBRE!M45+DICIEMBRE!M45</f>
        <v>44804.430000000008</v>
      </c>
      <c r="N45" s="18">
        <f t="shared" si="1"/>
        <v>1027830724.033917</v>
      </c>
      <c r="O45" s="4"/>
    </row>
    <row r="46" spans="1:15" ht="18" customHeight="1" x14ac:dyDescent="0.2">
      <c r="A46" s="17" t="s">
        <v>41</v>
      </c>
      <c r="B46" s="16">
        <f>ENERO!B46+FEBRERO!B46+MARZO!B46+ABRIL!B46+MAYO!B46+JUNIO!B46+JULIO!B46+AGOSTO!B46+SEPTIEMBRE!B46+OCTUBRE!B46+NOVIEMBRE!B46+DICIEMBRE!B46</f>
        <v>1348281158.4700003</v>
      </c>
      <c r="C46" s="16">
        <f>ENERO!C46+FEBRERO!C46+MARZO!C46+ABRIL!C46+MAYO!C46+JUNIO!C46+JULIO!C46+AGOSTO!C46+SEPTIEMBRE!C46+OCTUBRE!C46+NOVIEMBRE!C46+DICIEMBRE!C46</f>
        <v>0</v>
      </c>
      <c r="D46" s="16">
        <f>ENERO!D46+FEBRERO!D46+MARZO!D46+ABRIL!D46+MAYO!D46+JUNIO!D46+JULIO!D46+AGOSTO!D46+SEPTIEMBRE!D46+OCTUBRE!D46+NOVIEMBRE!D46+DICIEMBRE!D46</f>
        <v>24379663.432977743</v>
      </c>
      <c r="E46" s="16">
        <f>ENERO!E46+FEBRERO!E46+MARZO!E46+ABRIL!E46+MAYO!E46+JUNIO!E46+JULIO!E46+AGOSTO!E46+SEPTIEMBRE!E46+OCTUBRE!E46+NOVIEMBRE!E46+DICIEMBRE!E46</f>
        <v>1102433.0900000001</v>
      </c>
      <c r="F46" s="16">
        <f>ENERO!F46+FEBRERO!F46+MARZO!F46+ABRIL!F46+MAYO!F46+JUNIO!F46+JULIO!F46+AGOSTO!F46+SEPTIEMBRE!F46+OCTUBRE!F46+NOVIEMBRE!F46+DICIEMBRE!F46</f>
        <v>46051257.110000007</v>
      </c>
      <c r="G46" s="16">
        <f>ENERO!G46+FEBRERO!G46+MARZO!G46+ABRIL!G46+MAYO!G46+JUNIO!G46+JULIO!G46+AGOSTO!G46+SEPTIEMBRE!G46+OCTUBRE!G46+NOVIEMBRE!G46+DICIEMBRE!G46</f>
        <v>4098600.4448255962</v>
      </c>
      <c r="H46" s="16">
        <f>ENERO!H46+FEBRERO!H46+MARZO!H46+ABRIL!H46+MAYO!H46+JUNIO!H46+JULIO!H46+AGOSTO!H46+SEPTIEMBRE!H46+OCTUBRE!H46+NOVIEMBRE!H46+DICIEMBRE!H46</f>
        <v>71584962.629999995</v>
      </c>
      <c r="I46" s="16">
        <f>ENERO!I46+FEBRERO!I46+MARZO!I46+ABRIL!I46+MAYO!I46+JUNIO!I46+JULIO!I46+AGOSTO!I46+SEPTIEMBRE!I46+OCTUBRE!I46+NOVIEMBRE!I46+DICIEMBRE!I46</f>
        <v>106450488.61999999</v>
      </c>
      <c r="J46" s="16">
        <f>ENERO!J46+FEBRERO!J46+MARZO!J46+ABRIL!J46+MAYO!J46+JUNIO!J46+JULIO!J46+AGOSTO!J46+SEPTIEMBRE!J46+OCTUBRE!J46+NOVIEMBRE!J46+DICIEMBRE!J46</f>
        <v>245419398.2599999</v>
      </c>
      <c r="K46" s="16">
        <f>ENERO!K46+FEBRERO!K46+MARZO!K46+ABRIL!K46+MAYO!K46+JUNIO!K46+JULIO!K46+AGOSTO!K46+SEPTIEMBRE!K46+OCTUBRE!K46+NOVIEMBRE!K46+DICIEMBRE!K46</f>
        <v>0</v>
      </c>
      <c r="L46" s="16">
        <f>ENERO!L46+FEBRERO!L46+MARZO!L46+ABRIL!L46+MAYO!L46+JUNIO!L46+JULIO!L46+AGOSTO!L46+SEPTIEMBRE!L46+OCTUBRE!L46+NOVIEMBRE!L46+DICIEMBRE!L46</f>
        <v>0</v>
      </c>
      <c r="M46" s="16">
        <f>ENERO!M46+FEBRERO!M46+MARZO!M46+ABRIL!M46+MAYO!M46+JUNIO!M46+JULIO!M46+AGOSTO!M46+SEPTIEMBRE!M46+OCTUBRE!M46+NOVIEMBRE!M46+DICIEMBRE!M46</f>
        <v>353404.57</v>
      </c>
      <c r="N46" s="18">
        <f t="shared" si="1"/>
        <v>1847721366.6278033</v>
      </c>
      <c r="O46" s="4"/>
    </row>
    <row r="47" spans="1:15" ht="18" customHeight="1" x14ac:dyDescent="0.2">
      <c r="A47" s="17" t="s">
        <v>42</v>
      </c>
      <c r="B47" s="16">
        <f>ENERO!B47+FEBRERO!B47+MARZO!B47+ABRIL!B47+MAYO!B47+JUNIO!B47+JULIO!B47+AGOSTO!B47+SEPTIEMBRE!B47+OCTUBRE!B47+NOVIEMBRE!B47+DICIEMBRE!B47</f>
        <v>4011215603.6100001</v>
      </c>
      <c r="C47" s="16">
        <f>ENERO!C47+FEBRERO!C47+MARZO!C47+ABRIL!C47+MAYO!C47+JUNIO!C47+JULIO!C47+AGOSTO!C47+SEPTIEMBRE!C47+OCTUBRE!C47+NOVIEMBRE!C47+DICIEMBRE!C47</f>
        <v>0</v>
      </c>
      <c r="D47" s="16">
        <f>ENERO!D47+FEBRERO!D47+MARZO!D47+ABRIL!D47+MAYO!D47+JUNIO!D47+JULIO!D47+AGOSTO!D47+SEPTIEMBRE!D47+OCTUBRE!D47+NOVIEMBRE!D47+DICIEMBRE!D47</f>
        <v>23935363.190348927</v>
      </c>
      <c r="E47" s="16">
        <f>ENERO!E47+FEBRERO!E47+MARZO!E47+ABRIL!E47+MAYO!E47+JUNIO!E47+JULIO!E47+AGOSTO!E47+SEPTIEMBRE!E47+OCTUBRE!E47+NOVIEMBRE!E47+DICIEMBRE!E47</f>
        <v>3279747.48</v>
      </c>
      <c r="F47" s="16">
        <f>ENERO!F47+FEBRERO!F47+MARZO!F47+ABRIL!F47+MAYO!F47+JUNIO!F47+JULIO!F47+AGOSTO!F47+SEPTIEMBRE!F47+OCTUBRE!F47+NOVIEMBRE!F47+DICIEMBRE!F47</f>
        <v>143562079.27000001</v>
      </c>
      <c r="G47" s="16">
        <f>ENERO!G47+FEBRERO!G47+MARZO!G47+ABRIL!G47+MAYO!G47+JUNIO!G47+JULIO!G47+AGOSTO!G47+SEPTIEMBRE!G47+OCTUBRE!G47+NOVIEMBRE!G47+DICIEMBRE!G47</f>
        <v>37666988.885416701</v>
      </c>
      <c r="H47" s="16">
        <f>ENERO!H47+FEBRERO!H47+MARZO!H47+ABRIL!H47+MAYO!H47+JUNIO!H47+JULIO!H47+AGOSTO!H47+SEPTIEMBRE!H47+OCTUBRE!H47+NOVIEMBRE!H47+DICIEMBRE!H47</f>
        <v>212969466.44</v>
      </c>
      <c r="I47" s="16">
        <f>ENERO!I47+FEBRERO!I47+MARZO!I47+ABRIL!I47+MAYO!I47+JUNIO!I47+JULIO!I47+AGOSTO!I47+SEPTIEMBRE!I47+OCTUBRE!I47+NOVIEMBRE!I47+DICIEMBRE!I47</f>
        <v>331853122.64999998</v>
      </c>
      <c r="J47" s="16">
        <f>ENERO!J47+FEBRERO!J47+MARZO!J47+ABRIL!J47+MAYO!J47+JUNIO!J47+JULIO!J47+AGOSTO!J47+SEPTIEMBRE!J47+OCTUBRE!J47+NOVIEMBRE!J47+DICIEMBRE!J47</f>
        <v>567052440.21999991</v>
      </c>
      <c r="K47" s="16">
        <f>ENERO!K47+FEBRERO!K47+MARZO!K47+ABRIL!K47+MAYO!K47+JUNIO!K47+JULIO!K47+AGOSTO!K47+SEPTIEMBRE!K47+OCTUBRE!K47+NOVIEMBRE!K47+DICIEMBRE!K47</f>
        <v>0</v>
      </c>
      <c r="L47" s="16">
        <f>ENERO!L47+FEBRERO!L47+MARZO!L47+ABRIL!L47+MAYO!L47+JUNIO!L47+JULIO!L47+AGOSTO!L47+SEPTIEMBRE!L47+OCTUBRE!L47+NOVIEMBRE!L47+DICIEMBRE!L47</f>
        <v>0</v>
      </c>
      <c r="M47" s="16">
        <f>ENERO!M47+FEBRERO!M47+MARZO!M47+ABRIL!M47+MAYO!M47+JUNIO!M47+JULIO!M47+AGOSTO!M47+SEPTIEMBRE!M47+OCTUBRE!M47+NOVIEMBRE!M47+DICIEMBRE!M47</f>
        <v>1101718.68</v>
      </c>
      <c r="N47" s="18">
        <f t="shared" si="1"/>
        <v>5332636530.425766</v>
      </c>
      <c r="O47" s="4"/>
    </row>
    <row r="48" spans="1:15" ht="18" customHeight="1" x14ac:dyDescent="0.2">
      <c r="A48" s="17" t="s">
        <v>43</v>
      </c>
      <c r="B48" s="16">
        <f>ENERO!B48+FEBRERO!B48+MARZO!B48+ABRIL!B48+MAYO!B48+JUNIO!B48+JULIO!B48+AGOSTO!B48+SEPTIEMBRE!B48+OCTUBRE!B48+NOVIEMBRE!B48+DICIEMBRE!B48</f>
        <v>438610948.03999996</v>
      </c>
      <c r="C48" s="16">
        <f>ENERO!C48+FEBRERO!C48+MARZO!C48+ABRIL!C48+MAYO!C48+JUNIO!C48+JULIO!C48+AGOSTO!C48+SEPTIEMBRE!C48+OCTUBRE!C48+NOVIEMBRE!C48+DICIEMBRE!C48</f>
        <v>0</v>
      </c>
      <c r="D48" s="16">
        <f>ENERO!D48+FEBRERO!D48+MARZO!D48+ABRIL!D48+MAYO!D48+JUNIO!D48+JULIO!D48+AGOSTO!D48+SEPTIEMBRE!D48+OCTUBRE!D48+NOVIEMBRE!D48+DICIEMBRE!D48</f>
        <v>40605473.037404977</v>
      </c>
      <c r="E48" s="16">
        <f>ENERO!E48+FEBRERO!E48+MARZO!E48+ABRIL!E48+MAYO!E48+JUNIO!E48+JULIO!E48+AGOSTO!E48+SEPTIEMBRE!E48+OCTUBRE!E48+NOVIEMBRE!E48+DICIEMBRE!E48</f>
        <v>259867.43999999997</v>
      </c>
      <c r="F48" s="16">
        <f>ENERO!F48+FEBRERO!F48+MARZO!F48+ABRIL!F48+MAYO!F48+JUNIO!F48+JULIO!F48+AGOSTO!F48+SEPTIEMBRE!F48+OCTUBRE!F48+NOVIEMBRE!F48+DICIEMBRE!F48</f>
        <v>1247243.8899999999</v>
      </c>
      <c r="G48" s="16">
        <f>ENERO!G48+FEBRERO!G48+MARZO!G48+ABRIL!G48+MAYO!G48+JUNIO!G48+JULIO!G48+AGOSTO!G48+SEPTIEMBRE!G48+OCTUBRE!G48+NOVIEMBRE!G48+DICIEMBRE!G48</f>
        <v>775128.02999999991</v>
      </c>
      <c r="H48" s="16">
        <f>ENERO!H48+FEBRERO!H48+MARZO!H48+ABRIL!H48+MAYO!H48+JUNIO!H48+JULIO!H48+AGOSTO!H48+SEPTIEMBRE!H48+OCTUBRE!H48+NOVIEMBRE!H48+DICIEMBRE!H48</f>
        <v>23287389.41</v>
      </c>
      <c r="I48" s="16">
        <f>ENERO!I48+FEBRERO!I48+MARZO!I48+ABRIL!I48+MAYO!I48+JUNIO!I48+JULIO!I48+AGOSTO!I48+SEPTIEMBRE!I48+OCTUBRE!I48+NOVIEMBRE!I48+DICIEMBRE!I48</f>
        <v>2883085.84</v>
      </c>
      <c r="J48" s="16">
        <f>ENERO!J48+FEBRERO!J48+MARZO!J48+ABRIL!J48+MAYO!J48+JUNIO!J48+JULIO!J48+AGOSTO!J48+SEPTIEMBRE!J48+OCTUBRE!J48+NOVIEMBRE!J48+DICIEMBRE!J48</f>
        <v>30954900.800000001</v>
      </c>
      <c r="K48" s="16">
        <f>ENERO!K48+FEBRERO!K48+MARZO!K48+ABRIL!K48+MAYO!K48+JUNIO!K48+JULIO!K48+AGOSTO!K48+SEPTIEMBRE!K48+OCTUBRE!K48+NOVIEMBRE!K48+DICIEMBRE!K48</f>
        <v>0</v>
      </c>
      <c r="L48" s="16">
        <f>ENERO!L48+FEBRERO!L48+MARZO!L48+ABRIL!L48+MAYO!L48+JUNIO!L48+JULIO!L48+AGOSTO!L48+SEPTIEMBRE!L48+OCTUBRE!L48+NOVIEMBRE!L48+DICIEMBRE!L48</f>
        <v>0</v>
      </c>
      <c r="M48" s="16">
        <f>ENERO!M48+FEBRERO!M48+MARZO!M48+ABRIL!M48+MAYO!M48+JUNIO!M48+JULIO!M48+AGOSTO!M48+SEPTIEMBRE!M48+OCTUBRE!M48+NOVIEMBRE!M48+DICIEMBRE!M48</f>
        <v>9571.23</v>
      </c>
      <c r="N48" s="18">
        <f t="shared" si="1"/>
        <v>538633607.71740484</v>
      </c>
      <c r="O48" s="4"/>
    </row>
    <row r="49" spans="1:15" ht="18" customHeight="1" x14ac:dyDescent="0.2">
      <c r="A49" s="17" t="s">
        <v>44</v>
      </c>
      <c r="B49" s="16">
        <f>ENERO!B49+FEBRERO!B49+MARZO!B49+ABRIL!B49+MAYO!B49+JUNIO!B49+JULIO!B49+AGOSTO!B49+SEPTIEMBRE!B49+OCTUBRE!B49+NOVIEMBRE!B49+DICIEMBRE!B49</f>
        <v>713842164.14999986</v>
      </c>
      <c r="C49" s="16">
        <f>ENERO!C49+FEBRERO!C49+MARZO!C49+ABRIL!C49+MAYO!C49+JUNIO!C49+JULIO!C49+AGOSTO!C49+SEPTIEMBRE!C49+OCTUBRE!C49+NOVIEMBRE!C49+DICIEMBRE!C49</f>
        <v>0</v>
      </c>
      <c r="D49" s="16">
        <f>ENERO!D49+FEBRERO!D49+MARZO!D49+ABRIL!D49+MAYO!D49+JUNIO!D49+JULIO!D49+AGOSTO!D49+SEPTIEMBRE!D49+OCTUBRE!D49+NOVIEMBRE!D49+DICIEMBRE!D49</f>
        <v>64307197.933132857</v>
      </c>
      <c r="E49" s="16">
        <f>ENERO!E49+FEBRERO!E49+MARZO!E49+ABRIL!E49+MAYO!E49+JUNIO!E49+JULIO!E49+AGOSTO!E49+SEPTIEMBRE!E49+OCTUBRE!E49+NOVIEMBRE!E49+DICIEMBRE!E49</f>
        <v>415846.32</v>
      </c>
      <c r="F49" s="16">
        <f>ENERO!F49+FEBRERO!F49+MARZO!F49+ABRIL!F49+MAYO!F49+JUNIO!F49+JULIO!F49+AGOSTO!F49+SEPTIEMBRE!F49+OCTUBRE!F49+NOVIEMBRE!F49+DICIEMBRE!F49</f>
        <v>7365190.5</v>
      </c>
      <c r="G49" s="16">
        <f>ENERO!G49+FEBRERO!G49+MARZO!G49+ABRIL!G49+MAYO!G49+JUNIO!G49+JULIO!G49+AGOSTO!G49+SEPTIEMBRE!G49+OCTUBRE!G49+NOVIEMBRE!G49+DICIEMBRE!G49</f>
        <v>3440480.5900000003</v>
      </c>
      <c r="H49" s="16">
        <f>ENERO!H49+FEBRERO!H49+MARZO!H49+ABRIL!H49+MAYO!H49+JUNIO!H49+JULIO!H49+AGOSTO!H49+SEPTIEMBRE!H49+OCTUBRE!H49+NOVIEMBRE!H49+DICIEMBRE!H49</f>
        <v>37900377.359999999</v>
      </c>
      <c r="I49" s="16">
        <f>ENERO!I49+FEBRERO!I49+MARZO!I49+ABRIL!I49+MAYO!I49+JUNIO!I49+JULIO!I49+AGOSTO!I49+SEPTIEMBRE!I49+OCTUBRE!I49+NOVIEMBRE!I49+DICIEMBRE!I49</f>
        <v>17025119.019999996</v>
      </c>
      <c r="J49" s="16">
        <f>ENERO!J49+FEBRERO!J49+MARZO!J49+ABRIL!J49+MAYO!J49+JUNIO!J49+JULIO!J49+AGOSTO!J49+SEPTIEMBRE!J49+OCTUBRE!J49+NOVIEMBRE!J49+DICIEMBRE!J49</f>
        <v>71965988.899999991</v>
      </c>
      <c r="K49" s="16">
        <f>ENERO!K49+FEBRERO!K49+MARZO!K49+ABRIL!K49+MAYO!K49+JUNIO!K49+JULIO!K49+AGOSTO!K49+SEPTIEMBRE!K49+OCTUBRE!K49+NOVIEMBRE!K49+DICIEMBRE!K49</f>
        <v>0</v>
      </c>
      <c r="L49" s="16">
        <f>ENERO!L49+FEBRERO!L49+MARZO!L49+ABRIL!L49+MAYO!L49+JUNIO!L49+JULIO!L49+AGOSTO!L49+SEPTIEMBRE!L49+OCTUBRE!L49+NOVIEMBRE!L49+DICIEMBRE!L49</f>
        <v>0</v>
      </c>
      <c r="M49" s="16">
        <f>ENERO!M49+FEBRERO!M49+MARZO!M49+ABRIL!M49+MAYO!M49+JUNIO!M49+JULIO!M49+AGOSTO!M49+SEPTIEMBRE!M49+OCTUBRE!M49+NOVIEMBRE!M49+DICIEMBRE!M49</f>
        <v>56521.349999999984</v>
      </c>
      <c r="N49" s="18">
        <f t="shared" si="1"/>
        <v>916318886.12313282</v>
      </c>
      <c r="O49" s="4"/>
    </row>
    <row r="50" spans="1:15" ht="18" customHeight="1" x14ac:dyDescent="0.2">
      <c r="A50" s="17" t="s">
        <v>45</v>
      </c>
      <c r="B50" s="16">
        <f>ENERO!B50+FEBRERO!B50+MARZO!B50+ABRIL!B50+MAYO!B50+JUNIO!B50+JULIO!B50+AGOSTO!B50+SEPTIEMBRE!B50+OCTUBRE!B50+NOVIEMBRE!B50+DICIEMBRE!B50</f>
        <v>568176560.45000005</v>
      </c>
      <c r="C50" s="16">
        <f>ENERO!C50+FEBRERO!C50+MARZO!C50+ABRIL!C50+MAYO!C50+JUNIO!C50+JULIO!C50+AGOSTO!C50+SEPTIEMBRE!C50+OCTUBRE!C50+NOVIEMBRE!C50+DICIEMBRE!C50</f>
        <v>0</v>
      </c>
      <c r="D50" s="16">
        <f>ENERO!D50+FEBRERO!D50+MARZO!D50+ABRIL!D50+MAYO!D50+JUNIO!D50+JULIO!D50+AGOSTO!D50+SEPTIEMBRE!D50+OCTUBRE!D50+NOVIEMBRE!D50+DICIEMBRE!D50</f>
        <v>51029667.926238164</v>
      </c>
      <c r="E50" s="16">
        <f>ENERO!E50+FEBRERO!E50+MARZO!E50+ABRIL!E50+MAYO!E50+JUNIO!E50+JULIO!E50+AGOSTO!E50+SEPTIEMBRE!E50+OCTUBRE!E50+NOVIEMBRE!E50+DICIEMBRE!E50</f>
        <v>336973.66000000003</v>
      </c>
      <c r="F50" s="16">
        <f>ENERO!F50+FEBRERO!F50+MARZO!F50+ABRIL!F50+MAYO!F50+JUNIO!F50+JULIO!F50+AGOSTO!F50+SEPTIEMBRE!F50+OCTUBRE!F50+NOVIEMBRE!F50+DICIEMBRE!F50</f>
        <v>2064403.7000000002</v>
      </c>
      <c r="G50" s="16">
        <f>ENERO!G50+FEBRERO!G50+MARZO!G50+ABRIL!G50+MAYO!G50+JUNIO!G50+JULIO!G50+AGOSTO!G50+SEPTIEMBRE!G50+OCTUBRE!G50+NOVIEMBRE!G50+DICIEMBRE!G50</f>
        <v>965510.36</v>
      </c>
      <c r="H50" s="16">
        <f>ENERO!H50+FEBRERO!H50+MARZO!H50+ABRIL!H50+MAYO!H50+JUNIO!H50+JULIO!H50+AGOSTO!H50+SEPTIEMBRE!H50+OCTUBRE!H50+NOVIEMBRE!H50+DICIEMBRE!H50</f>
        <v>30166480.949999999</v>
      </c>
      <c r="I50" s="16">
        <f>ENERO!I50+FEBRERO!I50+MARZO!I50+ABRIL!I50+MAYO!I50+JUNIO!I50+JULIO!I50+AGOSTO!I50+SEPTIEMBRE!I50+OCTUBRE!I50+NOVIEMBRE!I50+DICIEMBRE!I50</f>
        <v>4772004.16</v>
      </c>
      <c r="J50" s="16">
        <f>ENERO!J50+FEBRERO!J50+MARZO!J50+ABRIL!J50+MAYO!J50+JUNIO!J50+JULIO!J50+AGOSTO!J50+SEPTIEMBRE!J50+OCTUBRE!J50+NOVIEMBRE!J50+DICIEMBRE!J50</f>
        <v>51837097.960000008</v>
      </c>
      <c r="K50" s="16">
        <f>ENERO!K50+FEBRERO!K50+MARZO!K50+ABRIL!K50+MAYO!K50+JUNIO!K50+JULIO!K50+AGOSTO!K50+SEPTIEMBRE!K50+OCTUBRE!K50+NOVIEMBRE!K50+DICIEMBRE!K50</f>
        <v>0</v>
      </c>
      <c r="L50" s="16">
        <f>ENERO!L50+FEBRERO!L50+MARZO!L50+ABRIL!L50+MAYO!L50+JUNIO!L50+JULIO!L50+AGOSTO!L50+SEPTIEMBRE!L50+OCTUBRE!L50+NOVIEMBRE!L50+DICIEMBRE!L50</f>
        <v>0</v>
      </c>
      <c r="M50" s="16">
        <f>ENERO!M50+FEBRERO!M50+MARZO!M50+ABRIL!M50+MAYO!M50+JUNIO!M50+JULIO!M50+AGOSTO!M50+SEPTIEMBRE!M50+OCTUBRE!M50+NOVIEMBRE!M50+DICIEMBRE!M50</f>
        <v>15842.209999999997</v>
      </c>
      <c r="N50" s="18">
        <f t="shared" si="1"/>
        <v>709364541.37623835</v>
      </c>
      <c r="O50" s="4"/>
    </row>
    <row r="51" spans="1:15" ht="18" customHeight="1" x14ac:dyDescent="0.2">
      <c r="A51" s="17" t="s">
        <v>46</v>
      </c>
      <c r="B51" s="16">
        <f>ENERO!B51+FEBRERO!B51+MARZO!B51+ABRIL!B51+MAYO!B51+JUNIO!B51+JULIO!B51+AGOSTO!B51+SEPTIEMBRE!B51+OCTUBRE!B51+NOVIEMBRE!B51+DICIEMBRE!B51</f>
        <v>560271423.22000003</v>
      </c>
      <c r="C51" s="16">
        <f>ENERO!C51+FEBRERO!C51+MARZO!C51+ABRIL!C51+MAYO!C51+JUNIO!C51+JULIO!C51+AGOSTO!C51+SEPTIEMBRE!C51+OCTUBRE!C51+NOVIEMBRE!C51+DICIEMBRE!C51</f>
        <v>0</v>
      </c>
      <c r="D51" s="16">
        <f>ENERO!D51+FEBRERO!D51+MARZO!D51+ABRIL!D51+MAYO!D51+JUNIO!D51+JULIO!D51+AGOSTO!D51+SEPTIEMBRE!D51+OCTUBRE!D51+NOVIEMBRE!D51+DICIEMBRE!D51</f>
        <v>66937342.253300421</v>
      </c>
      <c r="E51" s="16">
        <f>ENERO!E51+FEBRERO!E51+MARZO!E51+ABRIL!E51+MAYO!E51+JUNIO!E51+JULIO!E51+AGOSTO!E51+SEPTIEMBRE!E51+OCTUBRE!E51+NOVIEMBRE!E51+DICIEMBRE!E51</f>
        <v>326184.56999999995</v>
      </c>
      <c r="F51" s="16">
        <f>ENERO!F51+FEBRERO!F51+MARZO!F51+ABRIL!F51+MAYO!F51+JUNIO!F51+JULIO!F51+AGOSTO!F51+SEPTIEMBRE!F51+OCTUBRE!F51+NOVIEMBRE!F51+DICIEMBRE!F51</f>
        <v>2573336.6</v>
      </c>
      <c r="G51" s="16">
        <f>ENERO!G51+FEBRERO!G51+MARZO!G51+ABRIL!G51+MAYO!G51+JUNIO!G51+JULIO!G51+AGOSTO!G51+SEPTIEMBRE!G51+OCTUBRE!G51+NOVIEMBRE!G51+DICIEMBRE!G51</f>
        <v>1291880.0699999998</v>
      </c>
      <c r="H51" s="16">
        <f>ENERO!H51+FEBRERO!H51+MARZO!H51+ABRIL!H51+MAYO!H51+JUNIO!H51+JULIO!H51+AGOSTO!H51+SEPTIEMBRE!H51+OCTUBRE!H51+NOVIEMBRE!H51+DICIEMBRE!H51</f>
        <v>29746769.579999998</v>
      </c>
      <c r="I51" s="16">
        <f>ENERO!I51+FEBRERO!I51+MARZO!I51+ABRIL!I51+MAYO!I51+JUNIO!I51+JULIO!I51+AGOSTO!I51+SEPTIEMBRE!I51+OCTUBRE!I51+NOVIEMBRE!I51+DICIEMBRE!I51</f>
        <v>5948435.7299999995</v>
      </c>
      <c r="J51" s="16">
        <f>ENERO!J51+FEBRERO!J51+MARZO!J51+ABRIL!J51+MAYO!J51+JUNIO!J51+JULIO!J51+AGOSTO!J51+SEPTIEMBRE!J51+OCTUBRE!J51+NOVIEMBRE!J51+DICIEMBRE!J51</f>
        <v>35957790.559999973</v>
      </c>
      <c r="K51" s="16">
        <f>ENERO!K51+FEBRERO!K51+MARZO!K51+ABRIL!K51+MAYO!K51+JUNIO!K51+JULIO!K51+AGOSTO!K51+SEPTIEMBRE!K51+OCTUBRE!K51+NOVIEMBRE!K51+DICIEMBRE!K51</f>
        <v>0</v>
      </c>
      <c r="L51" s="16">
        <f>ENERO!L51+FEBRERO!L51+MARZO!L51+ABRIL!L51+MAYO!L51+JUNIO!L51+JULIO!L51+AGOSTO!L51+SEPTIEMBRE!L51+OCTUBRE!L51+NOVIEMBRE!L51+DICIEMBRE!L51</f>
        <v>0</v>
      </c>
      <c r="M51" s="16">
        <f>ENERO!M51+FEBRERO!M51+MARZO!M51+ABRIL!M51+MAYO!M51+JUNIO!M51+JULIO!M51+AGOSTO!M51+SEPTIEMBRE!M51+OCTUBRE!M51+NOVIEMBRE!M51+DICIEMBRE!M51</f>
        <v>19747.810000000005</v>
      </c>
      <c r="N51" s="18">
        <f t="shared" si="1"/>
        <v>703072910.39330053</v>
      </c>
      <c r="O51" s="4"/>
    </row>
    <row r="52" spans="1:15" ht="18" customHeight="1" x14ac:dyDescent="0.2">
      <c r="A52" s="17" t="s">
        <v>47</v>
      </c>
      <c r="B52" s="16">
        <f>ENERO!B52+FEBRERO!B52+MARZO!B52+ABRIL!B52+MAYO!B52+JUNIO!B52+JULIO!B52+AGOSTO!B52+SEPTIEMBRE!B52+OCTUBRE!B52+NOVIEMBRE!B52+DICIEMBRE!B52</f>
        <v>610019982.8900001</v>
      </c>
      <c r="C52" s="16">
        <f>ENERO!C52+FEBRERO!C52+MARZO!C52+ABRIL!C52+MAYO!C52+JUNIO!C52+JULIO!C52+AGOSTO!C52+SEPTIEMBRE!C52+OCTUBRE!C52+NOVIEMBRE!C52+DICIEMBRE!C52</f>
        <v>0</v>
      </c>
      <c r="D52" s="16">
        <f>ENERO!D52+FEBRERO!D52+MARZO!D52+ABRIL!D52+MAYO!D52+JUNIO!D52+JULIO!D52+AGOSTO!D52+SEPTIEMBRE!D52+OCTUBRE!D52+NOVIEMBRE!D52+DICIEMBRE!D52</f>
        <v>50658123.224373467</v>
      </c>
      <c r="E52" s="16">
        <f>ENERO!E52+FEBRERO!E52+MARZO!E52+ABRIL!E52+MAYO!E52+JUNIO!E52+JULIO!E52+AGOSTO!E52+SEPTIEMBRE!E52+OCTUBRE!E52+NOVIEMBRE!E52+DICIEMBRE!E52</f>
        <v>359900.39</v>
      </c>
      <c r="F52" s="16">
        <f>ENERO!F52+FEBRERO!F52+MARZO!F52+ABRIL!F52+MAYO!F52+JUNIO!F52+JULIO!F52+AGOSTO!F52+SEPTIEMBRE!F52+OCTUBRE!F52+NOVIEMBRE!F52+DICIEMBRE!F52</f>
        <v>2369046.63</v>
      </c>
      <c r="G52" s="16">
        <f>ENERO!G52+FEBRERO!G52+MARZO!G52+ABRIL!G52+MAYO!G52+JUNIO!G52+JULIO!G52+AGOSTO!G52+SEPTIEMBRE!G52+OCTUBRE!G52+NOVIEMBRE!G52+DICIEMBRE!G52</f>
        <v>1509459.8599999999</v>
      </c>
      <c r="H52" s="16">
        <f>ENERO!H52+FEBRERO!H52+MARZO!H52+ABRIL!H52+MAYO!H52+JUNIO!H52+JULIO!H52+AGOSTO!H52+SEPTIEMBRE!H52+OCTUBRE!H52+NOVIEMBRE!H52+DICIEMBRE!H52</f>
        <v>32388094.630000003</v>
      </c>
      <c r="I52" s="16">
        <f>ENERO!I52+FEBRERO!I52+MARZO!I52+ABRIL!I52+MAYO!I52+JUNIO!I52+JULIO!I52+AGOSTO!I52+SEPTIEMBRE!I52+OCTUBRE!I52+NOVIEMBRE!I52+DICIEMBRE!I52</f>
        <v>5476206.1699999999</v>
      </c>
      <c r="J52" s="16">
        <f>ENERO!J52+FEBRERO!J52+MARZO!J52+ABRIL!J52+MAYO!J52+JUNIO!J52+JULIO!J52+AGOSTO!J52+SEPTIEMBRE!J52+OCTUBRE!J52+NOVIEMBRE!J52+DICIEMBRE!J52</f>
        <v>48256742.520000018</v>
      </c>
      <c r="K52" s="16">
        <f>ENERO!K52+FEBRERO!K52+MARZO!K52+ABRIL!K52+MAYO!K52+JUNIO!K52+JULIO!K52+AGOSTO!K52+SEPTIEMBRE!K52+OCTUBRE!K52+NOVIEMBRE!K52+DICIEMBRE!K52</f>
        <v>0</v>
      </c>
      <c r="L52" s="16">
        <f>ENERO!L52+FEBRERO!L52+MARZO!L52+ABRIL!L52+MAYO!L52+JUNIO!L52+JULIO!L52+AGOSTO!L52+SEPTIEMBRE!L52+OCTUBRE!L52+NOVIEMBRE!L52+DICIEMBRE!L52</f>
        <v>0</v>
      </c>
      <c r="M52" s="16">
        <f>ENERO!M52+FEBRERO!M52+MARZO!M52+ABRIL!M52+MAYO!M52+JUNIO!M52+JULIO!M52+AGOSTO!M52+SEPTIEMBRE!M52+OCTUBRE!M52+NOVIEMBRE!M52+DICIEMBRE!M52</f>
        <v>18180.09</v>
      </c>
      <c r="N52" s="18">
        <f t="shared" si="1"/>
        <v>751055736.40437353</v>
      </c>
      <c r="O52" s="4"/>
    </row>
    <row r="53" spans="1:15" ht="18" customHeight="1" x14ac:dyDescent="0.2">
      <c r="A53" s="17" t="s">
        <v>48</v>
      </c>
      <c r="B53" s="16">
        <f>ENERO!B53+FEBRERO!B53+MARZO!B53+ABRIL!B53+MAYO!B53+JUNIO!B53+JULIO!B53+AGOSTO!B53+SEPTIEMBRE!B53+OCTUBRE!B53+NOVIEMBRE!B53+DICIEMBRE!B53</f>
        <v>219853866.44000003</v>
      </c>
      <c r="C53" s="16">
        <f>ENERO!C53+FEBRERO!C53+MARZO!C53+ABRIL!C53+MAYO!C53+JUNIO!C53+JULIO!C53+AGOSTO!C53+SEPTIEMBRE!C53+OCTUBRE!C53+NOVIEMBRE!C53+DICIEMBRE!C53</f>
        <v>0</v>
      </c>
      <c r="D53" s="16">
        <f>ENERO!D53+FEBRERO!D53+MARZO!D53+ABRIL!D53+MAYO!D53+JUNIO!D53+JULIO!D53+AGOSTO!D53+SEPTIEMBRE!D53+OCTUBRE!D53+NOVIEMBRE!D53+DICIEMBRE!D53</f>
        <v>42162736.406822219</v>
      </c>
      <c r="E53" s="16">
        <f>ENERO!E53+FEBRERO!E53+MARZO!E53+ABRIL!E53+MAYO!E53+JUNIO!E53+JULIO!E53+AGOSTO!E53+SEPTIEMBRE!E53+OCTUBRE!E53+NOVIEMBRE!E53+DICIEMBRE!E53</f>
        <v>127746.25</v>
      </c>
      <c r="F53" s="16">
        <f>ENERO!F53+FEBRERO!F53+MARZO!F53+ABRIL!F53+MAYO!F53+JUNIO!F53+JULIO!F53+AGOSTO!F53+SEPTIEMBRE!F53+OCTUBRE!F53+NOVIEMBRE!F53+DICIEMBRE!F53</f>
        <v>412163.89</v>
      </c>
      <c r="G53" s="16">
        <f>ENERO!G53+FEBRERO!G53+MARZO!G53+ABRIL!G53+MAYO!G53+JUNIO!G53+JULIO!G53+AGOSTO!G53+SEPTIEMBRE!G53+OCTUBRE!G53+NOVIEMBRE!G53+DICIEMBRE!G53</f>
        <v>244777.28999999998</v>
      </c>
      <c r="H53" s="16">
        <f>ENERO!H53+FEBRERO!H53+MARZO!H53+ABRIL!H53+MAYO!H53+JUNIO!H53+JULIO!H53+AGOSTO!H53+SEPTIEMBRE!H53+OCTUBRE!H53+NOVIEMBRE!H53+DICIEMBRE!H53</f>
        <v>11672810.83</v>
      </c>
      <c r="I53" s="16">
        <f>ENERO!I53+FEBRERO!I53+MARZO!I53+ABRIL!I53+MAYO!I53+JUNIO!I53+JULIO!I53+AGOSTO!I53+SEPTIEMBRE!I53+OCTUBRE!I53+NOVIEMBRE!I53+DICIEMBRE!I53</f>
        <v>952743.87999999989</v>
      </c>
      <c r="J53" s="16">
        <f>ENERO!J53+FEBRERO!J53+MARZO!J53+ABRIL!J53+MAYO!J53+JUNIO!J53+JULIO!J53+AGOSTO!J53+SEPTIEMBRE!J53+OCTUBRE!J53+NOVIEMBRE!J53+DICIEMBRE!J53</f>
        <v>23942616.739999998</v>
      </c>
      <c r="K53" s="16">
        <f>ENERO!K53+FEBRERO!K53+MARZO!K53+ABRIL!K53+MAYO!K53+JUNIO!K53+JULIO!K53+AGOSTO!K53+SEPTIEMBRE!K53+OCTUBRE!K53+NOVIEMBRE!K53+DICIEMBRE!K53</f>
        <v>0</v>
      </c>
      <c r="L53" s="16">
        <f>ENERO!L53+FEBRERO!L53+MARZO!L53+ABRIL!L53+MAYO!L53+JUNIO!L53+JULIO!L53+AGOSTO!L53+SEPTIEMBRE!L53+OCTUBRE!L53+NOVIEMBRE!L53+DICIEMBRE!L53</f>
        <v>0</v>
      </c>
      <c r="M53" s="16">
        <f>ENERO!M53+FEBRERO!M53+MARZO!M53+ABRIL!M53+MAYO!M53+JUNIO!M53+JULIO!M53+AGOSTO!M53+SEPTIEMBRE!M53+OCTUBRE!M53+NOVIEMBRE!M53+DICIEMBRE!M53</f>
        <v>3162.6200000000003</v>
      </c>
      <c r="N53" s="18">
        <f t="shared" si="1"/>
        <v>299372624.34682226</v>
      </c>
      <c r="O53" s="4"/>
    </row>
    <row r="54" spans="1:15" ht="18" customHeight="1" x14ac:dyDescent="0.2">
      <c r="A54" s="17" t="s">
        <v>49</v>
      </c>
      <c r="B54" s="16">
        <f>ENERO!B54+FEBRERO!B54+MARZO!B54+ABRIL!B54+MAYO!B54+JUNIO!B54+JULIO!B54+AGOSTO!B54+SEPTIEMBRE!B54+OCTUBRE!B54+NOVIEMBRE!B54+DICIEMBRE!B54</f>
        <v>761583398.38999999</v>
      </c>
      <c r="C54" s="16">
        <f>ENERO!C54+FEBRERO!C54+MARZO!C54+ABRIL!C54+MAYO!C54+JUNIO!C54+JULIO!C54+AGOSTO!C54+SEPTIEMBRE!C54+OCTUBRE!C54+NOVIEMBRE!C54+DICIEMBRE!C54</f>
        <v>0</v>
      </c>
      <c r="D54" s="16">
        <f>ENERO!D54+FEBRERO!D54+MARZO!D54+ABRIL!D54+MAYO!D54+JUNIO!D54+JULIO!D54+AGOSTO!D54+SEPTIEMBRE!D54+OCTUBRE!D54+NOVIEMBRE!D54+DICIEMBRE!D54</f>
        <v>67168251.798633128</v>
      </c>
      <c r="E54" s="16">
        <f>ENERO!E54+FEBRERO!E54+MARZO!E54+ABRIL!E54+MAYO!E54+JUNIO!E54+JULIO!E54+AGOSTO!E54+SEPTIEMBRE!E54+OCTUBRE!E54+NOVIEMBRE!E54+DICIEMBRE!E54</f>
        <v>442516.66000000003</v>
      </c>
      <c r="F54" s="16">
        <f>ENERO!F54+FEBRERO!F54+MARZO!F54+ABRIL!F54+MAYO!F54+JUNIO!F54+JULIO!F54+AGOSTO!F54+SEPTIEMBRE!F54+OCTUBRE!F54+NOVIEMBRE!F54+DICIEMBRE!F54</f>
        <v>1415693.5</v>
      </c>
      <c r="G54" s="16">
        <f>ENERO!G54+FEBRERO!G54+MARZO!G54+ABRIL!G54+MAYO!G54+JUNIO!G54+JULIO!G54+AGOSTO!G54+SEPTIEMBRE!G54+OCTUBRE!G54+NOVIEMBRE!G54+DICIEMBRE!G54</f>
        <v>938312.89</v>
      </c>
      <c r="H54" s="16">
        <f>ENERO!H54+FEBRERO!H54+MARZO!H54+ABRIL!H54+MAYO!H54+JUNIO!H54+JULIO!H54+AGOSTO!H54+SEPTIEMBRE!H54+OCTUBRE!H54+NOVIEMBRE!H54+DICIEMBRE!H54</f>
        <v>40435126.459999993</v>
      </c>
      <c r="I54" s="16">
        <f>ENERO!I54+FEBRERO!I54+MARZO!I54+ABRIL!I54+MAYO!I54+JUNIO!I54+JULIO!I54+AGOSTO!I54+SEPTIEMBRE!I54+OCTUBRE!I54+NOVIEMBRE!I54+DICIEMBRE!I54</f>
        <v>3272468.1399999997</v>
      </c>
      <c r="J54" s="16">
        <f>ENERO!J54+FEBRERO!J54+MARZO!J54+ABRIL!J54+MAYO!J54+JUNIO!J54+JULIO!J54+AGOSTO!J54+SEPTIEMBRE!J54+OCTUBRE!J54+NOVIEMBRE!J54+DICIEMBRE!J54</f>
        <v>55331658.240000002</v>
      </c>
      <c r="K54" s="16">
        <f>ENERO!K54+FEBRERO!K54+MARZO!K54+ABRIL!K54+MAYO!K54+JUNIO!K54+JULIO!K54+AGOSTO!K54+SEPTIEMBRE!K54+OCTUBRE!K54+NOVIEMBRE!K54+DICIEMBRE!K54</f>
        <v>0</v>
      </c>
      <c r="L54" s="16">
        <f>ENERO!L54+FEBRERO!L54+MARZO!L54+ABRIL!L54+MAYO!L54+JUNIO!L54+JULIO!L54+AGOSTO!L54+SEPTIEMBRE!L54+OCTUBRE!L54+NOVIEMBRE!L54+DICIEMBRE!L54</f>
        <v>0</v>
      </c>
      <c r="M54" s="16">
        <f>ENERO!M54+FEBRERO!M54+MARZO!M54+ABRIL!M54+MAYO!M54+JUNIO!M54+JULIO!M54+AGOSTO!M54+SEPTIEMBRE!M54+OCTUBRE!M54+NOVIEMBRE!M54+DICIEMBRE!M54</f>
        <v>10863.9</v>
      </c>
      <c r="N54" s="18">
        <f t="shared" si="1"/>
        <v>930598289.97863305</v>
      </c>
      <c r="O54" s="4"/>
    </row>
    <row r="55" spans="1:15" ht="18" customHeight="1" x14ac:dyDescent="0.2">
      <c r="A55" s="17" t="s">
        <v>50</v>
      </c>
      <c r="B55" s="16">
        <f>ENERO!B55+FEBRERO!B55+MARZO!B55+ABRIL!B55+MAYO!B55+JUNIO!B55+JULIO!B55+AGOSTO!B55+SEPTIEMBRE!B55+OCTUBRE!B55+NOVIEMBRE!B55+DICIEMBRE!B55</f>
        <v>280011546.50999999</v>
      </c>
      <c r="C55" s="16">
        <f>ENERO!C55+FEBRERO!C55+MARZO!C55+ABRIL!C55+MAYO!C55+JUNIO!C55+JULIO!C55+AGOSTO!C55+SEPTIEMBRE!C55+OCTUBRE!C55+NOVIEMBRE!C55+DICIEMBRE!C55</f>
        <v>0</v>
      </c>
      <c r="D55" s="16">
        <f>ENERO!D55+FEBRERO!D55+MARZO!D55+ABRIL!D55+MAYO!D55+JUNIO!D55+JULIO!D55+AGOSTO!D55+SEPTIEMBRE!D55+OCTUBRE!D55+NOVIEMBRE!D55+DICIEMBRE!D55</f>
        <v>22036524.572267398</v>
      </c>
      <c r="E55" s="16">
        <f>ENERO!E55+FEBRERO!E55+MARZO!E55+ABRIL!E55+MAYO!E55+JUNIO!E55+JULIO!E55+AGOSTO!E55+SEPTIEMBRE!E55+OCTUBRE!E55+NOVIEMBRE!E55+DICIEMBRE!E55</f>
        <v>162777.21000000002</v>
      </c>
      <c r="F55" s="16">
        <f>ENERO!F55+FEBRERO!F55+MARZO!F55+ABRIL!F55+MAYO!F55+JUNIO!F55+JULIO!F55+AGOSTO!F55+SEPTIEMBRE!F55+OCTUBRE!F55+NOVIEMBRE!F55+DICIEMBRE!F55</f>
        <v>2612760.98</v>
      </c>
      <c r="G55" s="16">
        <f>ENERO!G55+FEBRERO!G55+MARZO!G55+ABRIL!G55+MAYO!G55+JUNIO!G55+JULIO!G55+AGOSTO!G55+SEPTIEMBRE!G55+OCTUBRE!G55+NOVIEMBRE!G55+DICIEMBRE!G55</f>
        <v>1291880.0699999998</v>
      </c>
      <c r="H55" s="16">
        <f>ENERO!H55+FEBRERO!H55+MARZO!H55+ABRIL!H55+MAYO!H55+JUNIO!H55+JULIO!H55+AGOSTO!H55+SEPTIEMBRE!H55+OCTUBRE!H55+NOVIEMBRE!H55+DICIEMBRE!H55</f>
        <v>14866792.479999999</v>
      </c>
      <c r="I55" s="16">
        <f>ENERO!I55+FEBRERO!I55+MARZO!I55+ABRIL!I55+MAYO!I55+JUNIO!I55+JULIO!I55+AGOSTO!I55+SEPTIEMBRE!I55+OCTUBRE!I55+NOVIEMBRE!I55+DICIEMBRE!I55</f>
        <v>6039567.7599999998</v>
      </c>
      <c r="J55" s="16">
        <f>ENERO!J55+FEBRERO!J55+MARZO!J55+ABRIL!J55+MAYO!J55+JUNIO!J55+JULIO!J55+AGOSTO!J55+SEPTIEMBRE!J55+OCTUBRE!J55+NOVIEMBRE!J55+DICIEMBRE!J55</f>
        <v>39584049.5</v>
      </c>
      <c r="K55" s="16">
        <f>ENERO!K55+FEBRERO!K55+MARZO!K55+ABRIL!K55+MAYO!K55+JUNIO!K55+JULIO!K55+AGOSTO!K55+SEPTIEMBRE!K55+OCTUBRE!K55+NOVIEMBRE!K55+DICIEMBRE!K55</f>
        <v>0</v>
      </c>
      <c r="L55" s="16">
        <f>ENERO!L55+FEBRERO!L55+MARZO!L55+ABRIL!L55+MAYO!L55+JUNIO!L55+JULIO!L55+AGOSTO!L55+SEPTIEMBRE!L55+OCTUBRE!L55+NOVIEMBRE!L55+DICIEMBRE!L55</f>
        <v>0</v>
      </c>
      <c r="M55" s="16">
        <f>ENERO!M55+FEBRERO!M55+MARZO!M55+ABRIL!M55+MAYO!M55+JUNIO!M55+JULIO!M55+AGOSTO!M55+SEPTIEMBRE!M55+OCTUBRE!M55+NOVIEMBRE!M55+DICIEMBRE!M55</f>
        <v>20050.399999999998</v>
      </c>
      <c r="N55" s="18">
        <f t="shared" si="1"/>
        <v>366625949.48226738</v>
      </c>
      <c r="O55" s="4"/>
    </row>
    <row r="56" spans="1:15" ht="18" customHeight="1" x14ac:dyDescent="0.2">
      <c r="A56" s="17" t="s">
        <v>51</v>
      </c>
      <c r="B56" s="16">
        <f>ENERO!B56+FEBRERO!B56+MARZO!B56+ABRIL!B56+MAYO!B56+JUNIO!B56+JULIO!B56+AGOSTO!B56+SEPTIEMBRE!B56+OCTUBRE!B56+NOVIEMBRE!B56+DICIEMBRE!B56</f>
        <v>268443557.76999998</v>
      </c>
      <c r="C56" s="16">
        <f>ENERO!C56+FEBRERO!C56+MARZO!C56+ABRIL!C56+MAYO!C56+JUNIO!C56+JULIO!C56+AGOSTO!C56+SEPTIEMBRE!C56+OCTUBRE!C56+NOVIEMBRE!C56+DICIEMBRE!C56</f>
        <v>0</v>
      </c>
      <c r="D56" s="16">
        <f>ENERO!D56+FEBRERO!D56+MARZO!D56+ABRIL!D56+MAYO!D56+JUNIO!D56+JULIO!D56+AGOSTO!D56+SEPTIEMBRE!D56+OCTUBRE!D56+NOVIEMBRE!D56+DICIEMBRE!D56</f>
        <v>23729204.03625815</v>
      </c>
      <c r="E56" s="16">
        <f>ENERO!E56+FEBRERO!E56+MARZO!E56+ABRIL!E56+MAYO!E56+JUNIO!E56+JULIO!E56+AGOSTO!E56+SEPTIEMBRE!E56+OCTUBRE!E56+NOVIEMBRE!E56+DICIEMBRE!E56</f>
        <v>155992.14000000001</v>
      </c>
      <c r="F56" s="16">
        <f>ENERO!F56+FEBRERO!F56+MARZO!F56+ABRIL!F56+MAYO!F56+JUNIO!F56+JULIO!F56+AGOSTO!F56+SEPTIEMBRE!F56+OCTUBRE!F56+NOVIEMBRE!F56+DICIEMBRE!F56</f>
        <v>738311.00999999989</v>
      </c>
      <c r="G56" s="16">
        <f>ENERO!G56+FEBRERO!G56+MARZO!G56+ABRIL!G56+MAYO!G56+JUNIO!G56+JULIO!G56+AGOSTO!G56+SEPTIEMBRE!G56+OCTUBRE!G56+NOVIEMBRE!G56+DICIEMBRE!G56</f>
        <v>326369.69</v>
      </c>
      <c r="H56" s="16">
        <f>ENERO!H56+FEBRERO!H56+MARZO!H56+ABRIL!H56+MAYO!H56+JUNIO!H56+JULIO!H56+AGOSTO!H56+SEPTIEMBRE!H56+OCTUBRE!H56+NOVIEMBRE!H56+DICIEMBRE!H56</f>
        <v>14252607.479999999</v>
      </c>
      <c r="I56" s="16">
        <f>ENERO!I56+FEBRERO!I56+MARZO!I56+ABRIL!I56+MAYO!I56+JUNIO!I56+JULIO!I56+AGOSTO!I56+SEPTIEMBRE!I56+OCTUBRE!I56+NOVIEMBRE!I56+DICIEMBRE!I56</f>
        <v>1706654.26</v>
      </c>
      <c r="J56" s="16">
        <f>ENERO!J56+FEBRERO!J56+MARZO!J56+ABRIL!J56+MAYO!J56+JUNIO!J56+JULIO!J56+AGOSTO!J56+SEPTIEMBRE!J56+OCTUBRE!J56+NOVIEMBRE!J56+DICIEMBRE!J56</f>
        <v>32195970.809999999</v>
      </c>
      <c r="K56" s="16">
        <f>ENERO!K56+FEBRERO!K56+MARZO!K56+ABRIL!K56+MAYO!K56+JUNIO!K56+JULIO!K56+AGOSTO!K56+SEPTIEMBRE!K56+OCTUBRE!K56+NOVIEMBRE!K56+DICIEMBRE!K56</f>
        <v>0</v>
      </c>
      <c r="L56" s="16">
        <f>ENERO!L56+FEBRERO!L56+MARZO!L56+ABRIL!L56+MAYO!L56+JUNIO!L56+JULIO!L56+AGOSTO!L56+SEPTIEMBRE!L56+OCTUBRE!L56+NOVIEMBRE!L56+DICIEMBRE!L56</f>
        <v>0</v>
      </c>
      <c r="M56" s="16">
        <f>ENERO!M56+FEBRERO!M56+MARZO!M56+ABRIL!M56+MAYO!M56+JUNIO!M56+JULIO!M56+AGOSTO!M56+SEPTIEMBRE!M56+OCTUBRE!M56+NOVIEMBRE!M56+DICIEMBRE!M56</f>
        <v>5665.4900000000007</v>
      </c>
      <c r="N56" s="18">
        <f t="shared" si="1"/>
        <v>341554332.68625814</v>
      </c>
      <c r="O56" s="4"/>
    </row>
    <row r="57" spans="1:15" ht="18" customHeight="1" x14ac:dyDescent="0.2">
      <c r="A57" s="17" t="s">
        <v>52</v>
      </c>
      <c r="B57" s="16">
        <f>ENERO!B57+FEBRERO!B57+MARZO!B57+ABRIL!B57+MAYO!B57+JUNIO!B57+JULIO!B57+AGOSTO!B57+SEPTIEMBRE!B57+OCTUBRE!B57+NOVIEMBRE!B57+DICIEMBRE!B57</f>
        <v>740558216.76999998</v>
      </c>
      <c r="C57" s="16">
        <f>ENERO!C57+FEBRERO!C57+MARZO!C57+ABRIL!C57+MAYO!C57+JUNIO!C57+JULIO!C57+AGOSTO!C57+SEPTIEMBRE!C57+OCTUBRE!C57+NOVIEMBRE!C57+DICIEMBRE!C57</f>
        <v>0</v>
      </c>
      <c r="D57" s="16">
        <f>ENERO!D57+FEBRERO!D57+MARZO!D57+ABRIL!D57+MAYO!D57+JUNIO!D57+JULIO!D57+AGOSTO!D57+SEPTIEMBRE!D57+OCTUBRE!D57+NOVIEMBRE!D57+DICIEMBRE!D57</f>
        <v>46560388.857532561</v>
      </c>
      <c r="E57" s="16">
        <f>ENERO!E57+FEBRERO!E57+MARZO!E57+ABRIL!E57+MAYO!E57+JUNIO!E57+JULIO!E57+AGOSTO!E57+SEPTIEMBRE!E57+OCTUBRE!E57+NOVIEMBRE!E57+DICIEMBRE!E57</f>
        <v>444271.91000000003</v>
      </c>
      <c r="F57" s="16">
        <f>ENERO!F57+FEBRERO!F57+MARZO!F57+ABRIL!F57+MAYO!F57+JUNIO!F57+JULIO!F57+AGOSTO!F57+SEPTIEMBRE!F57+OCTUBRE!F57+NOVIEMBRE!F57+DICIEMBRE!F57</f>
        <v>3791908.26</v>
      </c>
      <c r="G57" s="16">
        <f>ENERO!G57+FEBRERO!G57+MARZO!G57+ABRIL!G57+MAYO!G57+JUNIO!G57+JULIO!G57+AGOSTO!G57+SEPTIEMBRE!G57+OCTUBRE!G57+NOVIEMBRE!G57+DICIEMBRE!G57</f>
        <v>1713440.93</v>
      </c>
      <c r="H57" s="16">
        <f>ENERO!H57+FEBRERO!H57+MARZO!H57+ABRIL!H57+MAYO!H57+JUNIO!H57+JULIO!H57+AGOSTO!H57+SEPTIEMBRE!H57+OCTUBRE!H57+NOVIEMBRE!H57+DICIEMBRE!H57</f>
        <v>39318826.039999992</v>
      </c>
      <c r="I57" s="16">
        <f>ENERO!I57+FEBRERO!I57+MARZO!I57+ABRIL!I57+MAYO!I57+JUNIO!I57+JULIO!I57+AGOSTO!I57+SEPTIEMBRE!I57+OCTUBRE!I57+NOVIEMBRE!I57+DICIEMBRE!I57</f>
        <v>8765243.7599999998</v>
      </c>
      <c r="J57" s="16">
        <f>ENERO!J57+FEBRERO!J57+MARZO!J57+ABRIL!J57+MAYO!J57+JUNIO!J57+JULIO!J57+AGOSTO!J57+SEPTIEMBRE!J57+OCTUBRE!J57+NOVIEMBRE!J57+DICIEMBRE!J57</f>
        <v>68273450.200000003</v>
      </c>
      <c r="K57" s="16">
        <f>ENERO!K57+FEBRERO!K57+MARZO!K57+ABRIL!K57+MAYO!K57+JUNIO!K57+JULIO!K57+AGOSTO!K57+SEPTIEMBRE!K57+OCTUBRE!K57+NOVIEMBRE!K57+DICIEMBRE!K57</f>
        <v>0</v>
      </c>
      <c r="L57" s="16">
        <f>ENERO!L57+FEBRERO!L57+MARZO!L57+ABRIL!L57+MAYO!L57+JUNIO!L57+JULIO!L57+AGOSTO!L57+SEPTIEMBRE!L57+OCTUBRE!L57+NOVIEMBRE!L57+DICIEMBRE!L57</f>
        <v>0</v>
      </c>
      <c r="M57" s="16">
        <f>ENERO!M57+FEBRERO!M57+MARZO!M57+ABRIL!M57+MAYO!M57+JUNIO!M57+JULIO!M57+AGOSTO!M57+SEPTIEMBRE!M57+OCTUBRE!M57+NOVIEMBRE!M57+DICIEMBRE!M57</f>
        <v>29099.359999999993</v>
      </c>
      <c r="N57" s="18">
        <f t="shared" si="1"/>
        <v>909454846.0875324</v>
      </c>
      <c r="O57" s="4"/>
    </row>
    <row r="58" spans="1:15" ht="18" customHeight="1" x14ac:dyDescent="0.2">
      <c r="A58" s="17" t="s">
        <v>53</v>
      </c>
      <c r="B58" s="16">
        <f>ENERO!B58+FEBRERO!B58+MARZO!B58+ABRIL!B58+MAYO!B58+JUNIO!B58+JULIO!B58+AGOSTO!B58+SEPTIEMBRE!B58+OCTUBRE!B58+NOVIEMBRE!B58+DICIEMBRE!B58</f>
        <v>592409323.81999993</v>
      </c>
      <c r="C58" s="16">
        <f>ENERO!C58+FEBRERO!C58+MARZO!C58+ABRIL!C58+MAYO!C58+JUNIO!C58+JULIO!C58+AGOSTO!C58+SEPTIEMBRE!C58+OCTUBRE!C58+NOVIEMBRE!C58+DICIEMBRE!C58</f>
        <v>0</v>
      </c>
      <c r="D58" s="16">
        <f>ENERO!D58+FEBRERO!D58+MARZO!D58+ABRIL!D58+MAYO!D58+JUNIO!D58+JULIO!D58+AGOSTO!D58+SEPTIEMBRE!D58+OCTUBRE!D58+NOVIEMBRE!D58+DICIEMBRE!D58</f>
        <v>28734208.485245146</v>
      </c>
      <c r="E58" s="16">
        <f>ENERO!E58+FEBRERO!E58+MARZO!E58+ABRIL!E58+MAYO!E58+JUNIO!E58+JULIO!E58+AGOSTO!E58+SEPTIEMBRE!E58+OCTUBRE!E58+NOVIEMBRE!E58+DICIEMBRE!E58</f>
        <v>346766.06</v>
      </c>
      <c r="F58" s="16">
        <f>ENERO!F58+FEBRERO!F58+MARZO!F58+ABRIL!F58+MAYO!F58+JUNIO!F58+JULIO!F58+AGOSTO!F58+SEPTIEMBRE!F58+OCTUBRE!F58+NOVIEMBRE!F58+DICIEMBRE!F58</f>
        <v>2207765.09</v>
      </c>
      <c r="G58" s="16">
        <f>ENERO!G58+FEBRERO!G58+MARZO!G58+ABRIL!G58+MAYO!G58+JUNIO!G58+JULIO!G58+AGOSTO!G58+SEPTIEMBRE!G58+OCTUBRE!G58+NOVIEMBRE!G58+DICIEMBRE!G58</f>
        <v>979109.10000000009</v>
      </c>
      <c r="H58" s="16">
        <f>ENERO!H58+FEBRERO!H58+MARZO!H58+ABRIL!H58+MAYO!H58+JUNIO!H58+JULIO!H58+AGOSTO!H58+SEPTIEMBRE!H58+OCTUBRE!H58+NOVIEMBRE!H58+DICIEMBRE!H58</f>
        <v>31453083.109999999</v>
      </c>
      <c r="I58" s="16">
        <f>ENERO!I58+FEBRERO!I58+MARZO!I58+ABRIL!I58+MAYO!I58+JUNIO!I58+JULIO!I58+AGOSTO!I58+SEPTIEMBRE!I58+OCTUBRE!I58+NOVIEMBRE!I58+DICIEMBRE!I58</f>
        <v>5103393.3400000008</v>
      </c>
      <c r="J58" s="16">
        <f>ENERO!J58+FEBRERO!J58+MARZO!J58+ABRIL!J58+MAYO!J58+JUNIO!J58+JULIO!J58+AGOSTO!J58+SEPTIEMBRE!J58+OCTUBRE!J58+NOVIEMBRE!J58+DICIEMBRE!J58</f>
        <v>38231012.600000016</v>
      </c>
      <c r="K58" s="16">
        <f>ENERO!K58+FEBRERO!K58+MARZO!K58+ABRIL!K58+MAYO!K58+JUNIO!K58+JULIO!K58+AGOSTO!K58+SEPTIEMBRE!K58+OCTUBRE!K58+NOVIEMBRE!K58+DICIEMBRE!K58</f>
        <v>0</v>
      </c>
      <c r="L58" s="16">
        <f>ENERO!L58+FEBRERO!L58+MARZO!L58+ABRIL!L58+MAYO!L58+JUNIO!L58+JULIO!L58+AGOSTO!L58+SEPTIEMBRE!L58+OCTUBRE!L58+NOVIEMBRE!L58+DICIEMBRE!L58</f>
        <v>0</v>
      </c>
      <c r="M58" s="16">
        <f>ENERO!M58+FEBRERO!M58+MARZO!M58+ABRIL!M58+MAYO!M58+JUNIO!M58+JULIO!M58+AGOSTO!M58+SEPTIEMBRE!M58+OCTUBRE!M58+NOVIEMBRE!M58+DICIEMBRE!M58</f>
        <v>16942.38</v>
      </c>
      <c r="N58" s="18">
        <f t="shared" si="1"/>
        <v>699481603.98524511</v>
      </c>
      <c r="O58" s="4"/>
    </row>
    <row r="59" spans="1:15" ht="18" customHeight="1" x14ac:dyDescent="0.2">
      <c r="A59" s="17" t="s">
        <v>54</v>
      </c>
      <c r="B59" s="16">
        <f>ENERO!B59+FEBRERO!B59+MARZO!B59+ABRIL!B59+MAYO!B59+JUNIO!B59+JULIO!B59+AGOSTO!B59+SEPTIEMBRE!B59+OCTUBRE!B59+NOVIEMBRE!B59+DICIEMBRE!B59</f>
        <v>658961473.5</v>
      </c>
      <c r="C59" s="16">
        <f>ENERO!C59+FEBRERO!C59+MARZO!C59+ABRIL!C59+MAYO!C59+JUNIO!C59+JULIO!C59+AGOSTO!C59+SEPTIEMBRE!C59+OCTUBRE!C59+NOVIEMBRE!C59+DICIEMBRE!C59</f>
        <v>0</v>
      </c>
      <c r="D59" s="16">
        <f>ENERO!D59+FEBRERO!D59+MARZO!D59+ABRIL!D59+MAYO!D59+JUNIO!D59+JULIO!D59+AGOSTO!D59+SEPTIEMBRE!D59+OCTUBRE!D59+NOVIEMBRE!D59+DICIEMBRE!D59</f>
        <v>68507492.062207386</v>
      </c>
      <c r="E59" s="16">
        <f>ENERO!E59+FEBRERO!E59+MARZO!E59+ABRIL!E59+MAYO!E59+JUNIO!E59+JULIO!E59+AGOSTO!E59+SEPTIEMBRE!E59+OCTUBRE!E59+NOVIEMBRE!E59+DICIEMBRE!E59</f>
        <v>388195.74999999994</v>
      </c>
      <c r="F59" s="16">
        <f>ENERO!F59+FEBRERO!F59+MARZO!F59+ABRIL!F59+MAYO!F59+JUNIO!F59+JULIO!F59+AGOSTO!F59+SEPTIEMBRE!F59+OCTUBRE!F59+NOVIEMBRE!F59+DICIEMBRE!F59</f>
        <v>2150420.5500000003</v>
      </c>
      <c r="G59" s="16">
        <f>ENERO!G59+FEBRERO!G59+MARZO!G59+ABRIL!G59+MAYO!G59+JUNIO!G59+JULIO!G59+AGOSTO!G59+SEPTIEMBRE!G59+OCTUBRE!G59+NOVIEMBRE!G59+DICIEMBRE!G59</f>
        <v>979109.10000000009</v>
      </c>
      <c r="H59" s="16">
        <f>ENERO!H59+FEBRERO!H59+MARZO!H59+ABRIL!H59+MAYO!H59+JUNIO!H59+JULIO!H59+AGOSTO!H59+SEPTIEMBRE!H59+OCTUBRE!H59+NOVIEMBRE!H59+DICIEMBRE!H59</f>
        <v>34986569.539999999</v>
      </c>
      <c r="I59" s="16">
        <f>ENERO!I59+FEBRERO!I59+MARZO!I59+ABRIL!I59+MAYO!I59+JUNIO!I59+JULIO!I59+AGOSTO!I59+SEPTIEMBRE!I59+OCTUBRE!I59+NOVIEMBRE!I59+DICIEMBRE!I59</f>
        <v>4970837.67</v>
      </c>
      <c r="J59" s="16">
        <f>ENERO!J59+FEBRERO!J59+MARZO!J59+ABRIL!J59+MAYO!J59+JUNIO!J59+JULIO!J59+AGOSTO!J59+SEPTIEMBRE!J59+OCTUBRE!J59+NOVIEMBRE!J59+DICIEMBRE!J59</f>
        <v>44838328.999999978</v>
      </c>
      <c r="K59" s="16">
        <f>ENERO!K59+FEBRERO!K59+MARZO!K59+ABRIL!K59+MAYO!K59+JUNIO!K59+JULIO!K59+AGOSTO!K59+SEPTIEMBRE!K59+OCTUBRE!K59+NOVIEMBRE!K59+DICIEMBRE!K59</f>
        <v>0</v>
      </c>
      <c r="L59" s="16">
        <f>ENERO!L59+FEBRERO!L59+MARZO!L59+ABRIL!L59+MAYO!L59+JUNIO!L59+JULIO!L59+AGOSTO!L59+SEPTIEMBRE!L59+OCTUBRE!L59+NOVIEMBRE!L59+DICIEMBRE!L59</f>
        <v>0</v>
      </c>
      <c r="M59" s="16">
        <f>ENERO!M59+FEBRERO!M59+MARZO!M59+ABRIL!M59+MAYO!M59+JUNIO!M59+JULIO!M59+AGOSTO!M59+SEPTIEMBRE!M59+OCTUBRE!M59+NOVIEMBRE!M59+DICIEMBRE!M59</f>
        <v>16502.32</v>
      </c>
      <c r="N59" s="18">
        <f t="shared" si="1"/>
        <v>815798929.49220729</v>
      </c>
      <c r="O59" s="4"/>
    </row>
    <row r="60" spans="1:15" ht="18" customHeight="1" x14ac:dyDescent="0.2">
      <c r="A60" s="17" t="s">
        <v>55</v>
      </c>
      <c r="B60" s="16">
        <f>ENERO!B60+FEBRERO!B60+MARZO!B60+ABRIL!B60+MAYO!B60+JUNIO!B60+JULIO!B60+AGOSTO!B60+SEPTIEMBRE!B60+OCTUBRE!B60+NOVIEMBRE!B60+DICIEMBRE!B60</f>
        <v>4672060239.1599998</v>
      </c>
      <c r="C60" s="16">
        <f>ENERO!C60+FEBRERO!C60+MARZO!C60+ABRIL!C60+MAYO!C60+JUNIO!C60+JULIO!C60+AGOSTO!C60+SEPTIEMBRE!C60+OCTUBRE!C60+NOVIEMBRE!C60+DICIEMBRE!C60</f>
        <v>0</v>
      </c>
      <c r="D60" s="16">
        <f>ENERO!D60+FEBRERO!D60+MARZO!D60+ABRIL!D60+MAYO!D60+JUNIO!D60+JULIO!D60+AGOSTO!D60+SEPTIEMBRE!D60+OCTUBRE!D60+NOVIEMBRE!D60+DICIEMBRE!D60</f>
        <v>210054751.94399825</v>
      </c>
      <c r="E60" s="16">
        <f>ENERO!E60+FEBRERO!E60+MARZO!E60+ABRIL!E60+MAYO!E60+JUNIO!E60+JULIO!E60+AGOSTO!E60+SEPTIEMBRE!E60+OCTUBRE!E60+NOVIEMBRE!E60+DICIEMBRE!E60</f>
        <v>3833196.25</v>
      </c>
      <c r="F60" s="16">
        <f>ENERO!F60+FEBRERO!F60+MARZO!F60+ABRIL!F60+MAYO!F60+JUNIO!F60+JULIO!F60+AGOSTO!F60+SEPTIEMBRE!F60+OCTUBRE!F60+NOVIEMBRE!F60+DICIEMBRE!F60</f>
        <v>118291053.17999998</v>
      </c>
      <c r="G60" s="16">
        <f>ENERO!G60+FEBRERO!G60+MARZO!G60+ABRIL!G60+MAYO!G60+JUNIO!G60+JULIO!G60+AGOSTO!G60+SEPTIEMBRE!G60+OCTUBRE!G60+NOVIEMBRE!G60+DICIEMBRE!G60</f>
        <v>53878198.100000001</v>
      </c>
      <c r="H60" s="16">
        <f>ENERO!H60+FEBRERO!H60+MARZO!H60+ABRIL!H60+MAYO!H60+JUNIO!H60+JULIO!H60+AGOSTO!H60+SEPTIEMBRE!H60+OCTUBRE!H60+NOVIEMBRE!H60+DICIEMBRE!H60</f>
        <v>248056019.57999995</v>
      </c>
      <c r="I60" s="16">
        <f>ENERO!I60+FEBRERO!I60+MARZO!I60+ABRIL!I60+MAYO!I60+JUNIO!I60+JULIO!I60+AGOSTO!I60+SEPTIEMBRE!I60+OCTUBRE!I60+NOVIEMBRE!I60+DICIEMBRE!I60</f>
        <v>273437495.32000005</v>
      </c>
      <c r="J60" s="16">
        <f>ENERO!J60+FEBRERO!J60+MARZO!J60+ABRIL!J60+MAYO!J60+JUNIO!J60+JULIO!J60+AGOSTO!J60+SEPTIEMBRE!J60+OCTUBRE!J60+NOVIEMBRE!J60+DICIEMBRE!J60</f>
        <v>733359935.80000055</v>
      </c>
      <c r="K60" s="16">
        <f>ENERO!K60+FEBRERO!K60+MARZO!K60+ABRIL!K60+MAYO!K60+JUNIO!K60+JULIO!K60+AGOSTO!K60+SEPTIEMBRE!K60+OCTUBRE!K60+NOVIEMBRE!K60+DICIEMBRE!K60</f>
        <v>0</v>
      </c>
      <c r="L60" s="16">
        <f>ENERO!L60+FEBRERO!L60+MARZO!L60+ABRIL!L60+MAYO!L60+JUNIO!L60+JULIO!L60+AGOSTO!L60+SEPTIEMBRE!L60+OCTUBRE!L60+NOVIEMBRE!L60+DICIEMBRE!L60</f>
        <v>0</v>
      </c>
      <c r="M60" s="16">
        <f>ENERO!M60+FEBRERO!M60+MARZO!M60+ABRIL!M60+MAYO!M60+JUNIO!M60+JULIO!M60+AGOSTO!M60+SEPTIEMBRE!M60+OCTUBRE!M60+NOVIEMBRE!M60+DICIEMBRE!M60</f>
        <v>907784.65999999992</v>
      </c>
      <c r="N60" s="18">
        <f t="shared" si="1"/>
        <v>6313878673.9939985</v>
      </c>
      <c r="O60" s="4"/>
    </row>
    <row r="61" spans="1:15" ht="18" customHeight="1" x14ac:dyDescent="0.2">
      <c r="A61" s="17" t="s">
        <v>56</v>
      </c>
      <c r="B61" s="16">
        <f>ENERO!B61+FEBRERO!B61+MARZO!B61+ABRIL!B61+MAYO!B61+JUNIO!B61+JULIO!B61+AGOSTO!B61+SEPTIEMBRE!B61+OCTUBRE!B61+NOVIEMBRE!B61+DICIEMBRE!B61</f>
        <v>730500895.71999991</v>
      </c>
      <c r="C61" s="16">
        <f>ENERO!C61+FEBRERO!C61+MARZO!C61+ABRIL!C61+MAYO!C61+JUNIO!C61+JULIO!C61+AGOSTO!C61+SEPTIEMBRE!C61+OCTUBRE!C61+NOVIEMBRE!C61+DICIEMBRE!C61</f>
        <v>0</v>
      </c>
      <c r="D61" s="16">
        <f>ENERO!D61+FEBRERO!D61+MARZO!D61+ABRIL!D61+MAYO!D61+JUNIO!D61+JULIO!D61+AGOSTO!D61+SEPTIEMBRE!D61+OCTUBRE!D61+NOVIEMBRE!D61+DICIEMBRE!D61</f>
        <v>22810792.329128321</v>
      </c>
      <c r="E61" s="16">
        <f>ENERO!E61+FEBRERO!E61+MARZO!E61+ABRIL!E61+MAYO!E61+JUNIO!E61+JULIO!E61+AGOSTO!E61+SEPTIEMBRE!E61+OCTUBRE!E61+NOVIEMBRE!E61+DICIEMBRE!E61</f>
        <v>431317.94999999995</v>
      </c>
      <c r="F61" s="16">
        <f>ENERO!F61+FEBRERO!F61+MARZO!F61+ABRIL!F61+MAYO!F61+JUNIO!F61+JULIO!F61+AGOSTO!F61+SEPTIEMBRE!F61+OCTUBRE!F61+NOVIEMBRE!F61+DICIEMBRE!F61</f>
        <v>21117130.23</v>
      </c>
      <c r="G61" s="16">
        <f>ENERO!G61+FEBRERO!G61+MARZO!G61+ABRIL!G61+MAYO!G61+JUNIO!G61+JULIO!G61+AGOSTO!G61+SEPTIEMBRE!G61+OCTUBRE!G61+NOVIEMBRE!G61+DICIEMBRE!G61</f>
        <v>5289140.7472872213</v>
      </c>
      <c r="H61" s="16">
        <f>ENERO!H61+FEBRERO!H61+MARZO!H61+ABRIL!H61+MAYO!H61+JUNIO!H61+JULIO!H61+AGOSTO!H61+SEPTIEMBRE!H61+OCTUBRE!H61+NOVIEMBRE!H61+DICIEMBRE!H61</f>
        <v>38784847.689999998</v>
      </c>
      <c r="I61" s="16">
        <f>ENERO!I61+FEBRERO!I61+MARZO!I61+ABRIL!I61+MAYO!I61+JUNIO!I61+JULIO!I61+AGOSTO!I61+SEPTIEMBRE!I61+OCTUBRE!I61+NOVIEMBRE!I61+DICIEMBRE!I61</f>
        <v>48813625.899999999</v>
      </c>
      <c r="J61" s="16">
        <f>ENERO!J61+FEBRERO!J61+MARZO!J61+ABRIL!J61+MAYO!J61+JUNIO!J61+JULIO!J61+AGOSTO!J61+SEPTIEMBRE!J61+OCTUBRE!J61+NOVIEMBRE!J61+DICIEMBRE!J61</f>
        <v>172326234.97000006</v>
      </c>
      <c r="K61" s="16">
        <f>ENERO!K61+FEBRERO!K61+MARZO!K61+ABRIL!K61+MAYO!K61+JUNIO!K61+JULIO!K61+AGOSTO!K61+SEPTIEMBRE!K61+OCTUBRE!K61+NOVIEMBRE!K61+DICIEMBRE!K61</f>
        <v>0</v>
      </c>
      <c r="L61" s="16">
        <f>ENERO!L61+FEBRERO!L61+MARZO!L61+ABRIL!L61+MAYO!L61+JUNIO!L61+JULIO!L61+AGOSTO!L61+SEPTIEMBRE!L61+OCTUBRE!L61+NOVIEMBRE!L61+DICIEMBRE!L61</f>
        <v>0</v>
      </c>
      <c r="M61" s="16">
        <f>ENERO!M61+FEBRERO!M61+MARZO!M61+ABRIL!M61+MAYO!M61+JUNIO!M61+JULIO!M61+AGOSTO!M61+SEPTIEMBRE!M61+OCTUBRE!M61+NOVIEMBRE!M61+DICIEMBRE!M61</f>
        <v>162056.00000000003</v>
      </c>
      <c r="N61" s="18">
        <f t="shared" si="1"/>
        <v>1040236041.5364155</v>
      </c>
      <c r="O61" s="4"/>
    </row>
    <row r="62" spans="1:15" ht="18" customHeight="1" x14ac:dyDescent="0.2">
      <c r="A62" s="17" t="s">
        <v>57</v>
      </c>
      <c r="B62" s="16">
        <f>ENERO!B62+FEBRERO!B62+MARZO!B62+ABRIL!B62+MAYO!B62+JUNIO!B62+JULIO!B62+AGOSTO!B62+SEPTIEMBRE!B62+OCTUBRE!B62+NOVIEMBRE!B62+DICIEMBRE!B62</f>
        <v>4408769505.2999992</v>
      </c>
      <c r="C62" s="16">
        <f>ENERO!C62+FEBRERO!C62+MARZO!C62+ABRIL!C62+MAYO!C62+JUNIO!C62+JULIO!C62+AGOSTO!C62+SEPTIEMBRE!C62+OCTUBRE!C62+NOVIEMBRE!C62+DICIEMBRE!C62</f>
        <v>0</v>
      </c>
      <c r="D62" s="16">
        <f>ENERO!D62+FEBRERO!D62+MARZO!D62+ABRIL!D62+MAYO!D62+JUNIO!D62+JULIO!D62+AGOSTO!D62+SEPTIEMBRE!D62+OCTUBRE!D62+NOVIEMBRE!D62+DICIEMBRE!D62</f>
        <v>43659486.039999992</v>
      </c>
      <c r="E62" s="16">
        <f>ENERO!E62+FEBRERO!E62+MARZO!E62+ABRIL!E62+MAYO!E62+JUNIO!E62+JULIO!E62+AGOSTO!E62+SEPTIEMBRE!E62+OCTUBRE!E62+NOVIEMBRE!E62+DICIEMBRE!E62</f>
        <v>3689020.45</v>
      </c>
      <c r="F62" s="16">
        <f>ENERO!F62+FEBRERO!F62+MARZO!F62+ABRIL!F62+MAYO!F62+JUNIO!F62+JULIO!F62+AGOSTO!F62+SEPTIEMBRE!F62+OCTUBRE!F62+NOVIEMBRE!F62+DICIEMBRE!F62</f>
        <v>94686603.040000007</v>
      </c>
      <c r="G62" s="16">
        <f>ENERO!G62+FEBRERO!G62+MARZO!G62+ABRIL!G62+MAYO!G62+JUNIO!G62+JULIO!G62+AGOSTO!G62+SEPTIEMBRE!G62+OCTUBRE!G62+NOVIEMBRE!G62+DICIEMBRE!G62</f>
        <v>0</v>
      </c>
      <c r="H62" s="16">
        <f>ENERO!H62+FEBRERO!H62+MARZO!H62+ABRIL!H62+MAYO!H62+JUNIO!H62+JULIO!H62+AGOSTO!H62+SEPTIEMBRE!H62+OCTUBRE!H62+NOVIEMBRE!H62+DICIEMBRE!H62</f>
        <v>234076993.59999996</v>
      </c>
      <c r="I62" s="16">
        <f>ENERO!I62+FEBRERO!I62+MARZO!I62+ABRIL!I62+MAYO!I62+JUNIO!I62+JULIO!I62+AGOSTO!I62+SEPTIEMBRE!I62+OCTUBRE!I62+NOVIEMBRE!I62+DICIEMBRE!I62</f>
        <v>218874267.19</v>
      </c>
      <c r="J62" s="16">
        <f>ENERO!J62+FEBRERO!J62+MARZO!J62+ABRIL!J62+MAYO!J62+JUNIO!J62+JULIO!J62+AGOSTO!J62+SEPTIEMBRE!J62+OCTUBRE!J62+NOVIEMBRE!J62+DICIEMBRE!J62</f>
        <v>363458569.56999993</v>
      </c>
      <c r="K62" s="16">
        <f>ENERO!K62+FEBRERO!K62+MARZO!K62+ABRIL!K62+MAYO!K62+JUNIO!K62+JULIO!K62+AGOSTO!K62+SEPTIEMBRE!K62+OCTUBRE!K62+NOVIEMBRE!K62+DICIEMBRE!K62</f>
        <v>0</v>
      </c>
      <c r="L62" s="16">
        <f>ENERO!L62+FEBRERO!L62+MARZO!L62+ABRIL!L62+MAYO!L62+JUNIO!L62+JULIO!L62+AGOSTO!L62+SEPTIEMBRE!L62+OCTUBRE!L62+NOVIEMBRE!L62+DICIEMBRE!L62</f>
        <v>0</v>
      </c>
      <c r="M62" s="16">
        <f>ENERO!M62+FEBRERO!M62+MARZO!M62+ABRIL!M62+MAYO!M62+JUNIO!M62+JULIO!M62+AGOSTO!M62+SEPTIEMBRE!M62+OCTUBRE!M62+NOVIEMBRE!M62+DICIEMBRE!M62</f>
        <v>726640.20999999985</v>
      </c>
      <c r="N62" s="18">
        <f t="shared" si="1"/>
        <v>5367941085.3999987</v>
      </c>
      <c r="O62" s="4"/>
    </row>
    <row r="63" spans="1:15" ht="18" customHeight="1" x14ac:dyDescent="0.2">
      <c r="A63" s="17" t="s">
        <v>58</v>
      </c>
      <c r="B63" s="16">
        <f>ENERO!B63+FEBRERO!B63+MARZO!B63+ABRIL!B63+MAYO!B63+JUNIO!B63+JULIO!B63+AGOSTO!B63+SEPTIEMBRE!B63+OCTUBRE!B63+NOVIEMBRE!B63+DICIEMBRE!B63</f>
        <v>664797203.07000017</v>
      </c>
      <c r="C63" s="16">
        <f>ENERO!C63+FEBRERO!C63+MARZO!C63+ABRIL!C63+MAYO!C63+JUNIO!C63+JULIO!C63+AGOSTO!C63+SEPTIEMBRE!C63+OCTUBRE!C63+NOVIEMBRE!C63+DICIEMBRE!C63</f>
        <v>0</v>
      </c>
      <c r="D63" s="16">
        <f>ENERO!D63+FEBRERO!D63+MARZO!D63+ABRIL!D63+MAYO!D63+JUNIO!D63+JULIO!D63+AGOSTO!D63+SEPTIEMBRE!D63+OCTUBRE!D63+NOVIEMBRE!D63+DICIEMBRE!D63</f>
        <v>70391569.912147388</v>
      </c>
      <c r="E63" s="16">
        <f>ENERO!E63+FEBRERO!E63+MARZO!E63+ABRIL!E63+MAYO!E63+JUNIO!E63+JULIO!E63+AGOSTO!E63+SEPTIEMBRE!E63+OCTUBRE!E63+NOVIEMBRE!E63+DICIEMBRE!E63</f>
        <v>386302.57</v>
      </c>
      <c r="F63" s="16">
        <f>ENERO!F63+FEBRERO!F63+MARZO!F63+ABRIL!F63+MAYO!F63+JUNIO!F63+JULIO!F63+AGOSTO!F63+SEPTIEMBRE!F63+OCTUBRE!F63+NOVIEMBRE!F63+DICIEMBRE!F63</f>
        <v>3336735.9099999997</v>
      </c>
      <c r="G63" s="16">
        <f>ENERO!G63+FEBRERO!G63+MARZO!G63+ABRIL!G63+MAYO!G63+JUNIO!G63+JULIO!G63+AGOSTO!G63+SEPTIEMBRE!G63+OCTUBRE!G63+NOVIEMBRE!G63+DICIEMBRE!G63</f>
        <v>1577453.5300000003</v>
      </c>
      <c r="H63" s="16">
        <f>ENERO!H63+FEBRERO!H63+MARZO!H63+ABRIL!H63+MAYO!H63+JUNIO!H63+JULIO!H63+AGOSTO!H63+SEPTIEMBRE!H63+OCTUBRE!H63+NOVIEMBRE!H63+DICIEMBRE!H63</f>
        <v>35296408.82</v>
      </c>
      <c r="I63" s="16">
        <f>ENERO!I63+FEBRERO!I63+MARZO!I63+ABRIL!I63+MAYO!I63+JUNIO!I63+JULIO!I63+AGOSTO!I63+SEPTIEMBRE!I63+OCTUBRE!I63+NOVIEMBRE!I63+DICIEMBRE!I63</f>
        <v>7713083.0899999999</v>
      </c>
      <c r="J63" s="16">
        <f>ENERO!J63+FEBRERO!J63+MARZO!J63+ABRIL!J63+MAYO!J63+JUNIO!J63+JULIO!J63+AGOSTO!J63+SEPTIEMBRE!J63+OCTUBRE!J63+NOVIEMBRE!J63+DICIEMBRE!J63</f>
        <v>51112962.450000003</v>
      </c>
      <c r="K63" s="16">
        <f>ENERO!K63+FEBRERO!K63+MARZO!K63+ABRIL!K63+MAYO!K63+JUNIO!K63+JULIO!K63+AGOSTO!K63+SEPTIEMBRE!K63+OCTUBRE!K63+NOVIEMBRE!K63+DICIEMBRE!K63</f>
        <v>0</v>
      </c>
      <c r="L63" s="16">
        <f>ENERO!L63+FEBRERO!L63+MARZO!L63+ABRIL!L63+MAYO!L63+JUNIO!L63+JULIO!L63+AGOSTO!L63+SEPTIEMBRE!L63+OCTUBRE!L63+NOVIEMBRE!L63+DICIEMBRE!L63</f>
        <v>0</v>
      </c>
      <c r="M63" s="16">
        <f>ENERO!M63+FEBRERO!M63+MARZO!M63+ABRIL!M63+MAYO!M63+JUNIO!M63+JULIO!M63+AGOSTO!M63+SEPTIEMBRE!M63+OCTUBRE!M63+NOVIEMBRE!M63+DICIEMBRE!M63</f>
        <v>25606.260000000002</v>
      </c>
      <c r="N63" s="18">
        <f t="shared" si="1"/>
        <v>834637325.61214769</v>
      </c>
      <c r="O63" s="4"/>
    </row>
    <row r="64" spans="1:15" ht="18" customHeight="1" x14ac:dyDescent="0.2">
      <c r="A64" s="17" t="s">
        <v>59</v>
      </c>
      <c r="B64" s="16">
        <f>ENERO!B64+FEBRERO!B64+MARZO!B64+ABRIL!B64+MAYO!B64+JUNIO!B64+JULIO!B64+AGOSTO!B64+SEPTIEMBRE!B64+OCTUBRE!B64+NOVIEMBRE!B64+DICIEMBRE!B64</f>
        <v>1408169815.5699999</v>
      </c>
      <c r="C64" s="16">
        <f>ENERO!C64+FEBRERO!C64+MARZO!C64+ABRIL!C64+MAYO!C64+JUNIO!C64+JULIO!C64+AGOSTO!C64+SEPTIEMBRE!C64+OCTUBRE!C64+NOVIEMBRE!C64+DICIEMBRE!C64</f>
        <v>0</v>
      </c>
      <c r="D64" s="16">
        <f>ENERO!D64+FEBRERO!D64+MARZO!D64+ABRIL!D64+MAYO!D64+JUNIO!D64+JULIO!D64+AGOSTO!D64+SEPTIEMBRE!D64+OCTUBRE!D64+NOVIEMBRE!D64+DICIEMBRE!D64</f>
        <v>222075097.89950609</v>
      </c>
      <c r="E64" s="16">
        <f>ENERO!E64+FEBRERO!E64+MARZO!E64+ABRIL!E64+MAYO!E64+JUNIO!E64+JULIO!E64+AGOSTO!E64+SEPTIEMBRE!E64+OCTUBRE!E64+NOVIEMBRE!E64+DICIEMBRE!E64</f>
        <v>828444.6</v>
      </c>
      <c r="F64" s="16">
        <f>ENERO!F64+FEBRERO!F64+MARZO!F64+ABRIL!F64+MAYO!F64+JUNIO!F64+JULIO!F64+AGOSTO!F64+SEPTIEMBRE!F64+OCTUBRE!F64+NOVIEMBRE!F64+DICIEMBRE!F64</f>
        <v>6107194.4300000016</v>
      </c>
      <c r="G64" s="16">
        <f>ENERO!G64+FEBRERO!G64+MARZO!G64+ABRIL!G64+MAYO!G64+JUNIO!G64+JULIO!G64+AGOSTO!G64+SEPTIEMBRE!G64+OCTUBRE!G64+NOVIEMBRE!G64+DICIEMBRE!G64</f>
        <v>2692550.01</v>
      </c>
      <c r="H64" s="16">
        <f>ENERO!H64+FEBRERO!H64+MARZO!H64+ABRIL!H64+MAYO!H64+JUNIO!H64+JULIO!H64+AGOSTO!H64+SEPTIEMBRE!H64+OCTUBRE!H64+NOVIEMBRE!H64+DICIEMBRE!H64</f>
        <v>74764660.890000001</v>
      </c>
      <c r="I64" s="16">
        <f>ENERO!I64+FEBRERO!I64+MARZO!I64+ABRIL!I64+MAYO!I64+JUNIO!I64+JULIO!I64+AGOSTO!I64+SEPTIEMBRE!I64+OCTUBRE!I64+NOVIEMBRE!I64+DICIEMBRE!I64</f>
        <v>14117178.970000001</v>
      </c>
      <c r="J64" s="16">
        <f>ENERO!J64+FEBRERO!J64+MARZO!J64+ABRIL!J64+MAYO!J64+JUNIO!J64+JULIO!J64+AGOSTO!J64+SEPTIEMBRE!J64+OCTUBRE!J64+NOVIEMBRE!J64+DICIEMBRE!J64</f>
        <v>106567527.2</v>
      </c>
      <c r="K64" s="16">
        <f>ENERO!K64+FEBRERO!K64+MARZO!K64+ABRIL!K64+MAYO!K64+JUNIO!K64+JULIO!K64+AGOSTO!K64+SEPTIEMBRE!K64+OCTUBRE!K64+NOVIEMBRE!K64+DICIEMBRE!K64</f>
        <v>0</v>
      </c>
      <c r="L64" s="16">
        <f>ENERO!L64+FEBRERO!L64+MARZO!L64+ABRIL!L64+MAYO!L64+JUNIO!L64+JULIO!L64+AGOSTO!L64+SEPTIEMBRE!L64+OCTUBRE!L64+NOVIEMBRE!L64+DICIEMBRE!L64</f>
        <v>0</v>
      </c>
      <c r="M64" s="16">
        <f>ENERO!M64+FEBRERO!M64+MARZO!M64+ABRIL!M64+MAYO!M64+JUNIO!M64+JULIO!M64+AGOSTO!M64+SEPTIEMBRE!M64+OCTUBRE!M64+NOVIEMBRE!M64+DICIEMBRE!M64</f>
        <v>46867.270000000004</v>
      </c>
      <c r="N64" s="18">
        <f t="shared" si="1"/>
        <v>1835369336.8395061</v>
      </c>
      <c r="O64" s="4"/>
    </row>
    <row r="65" spans="1:15" ht="18" customHeight="1" x14ac:dyDescent="0.2">
      <c r="A65" s="17" t="s">
        <v>60</v>
      </c>
      <c r="B65" s="16">
        <f>ENERO!B65+FEBRERO!B65+MARZO!B65+ABRIL!B65+MAYO!B65+JUNIO!B65+JULIO!B65+AGOSTO!B65+SEPTIEMBRE!B65+OCTUBRE!B65+NOVIEMBRE!B65+DICIEMBRE!B65</f>
        <v>771806272.13999999</v>
      </c>
      <c r="C65" s="16">
        <f>ENERO!C65+FEBRERO!C65+MARZO!C65+ABRIL!C65+MAYO!C65+JUNIO!C65+JULIO!C65+AGOSTO!C65+SEPTIEMBRE!C65+OCTUBRE!C65+NOVIEMBRE!C65+DICIEMBRE!C65</f>
        <v>0</v>
      </c>
      <c r="D65" s="16">
        <f>ENERO!D65+FEBRERO!D65+MARZO!D65+ABRIL!D65+MAYO!D65+JUNIO!D65+JULIO!D65+AGOSTO!D65+SEPTIEMBRE!D65+OCTUBRE!D65+NOVIEMBRE!D65+DICIEMBRE!D65</f>
        <v>60053579.620242678</v>
      </c>
      <c r="E65" s="16">
        <f>ENERO!E65+FEBRERO!E65+MARZO!E65+ABRIL!E65+MAYO!E65+JUNIO!E65+JULIO!E65+AGOSTO!E65+SEPTIEMBRE!E65+OCTUBRE!E65+NOVIEMBRE!E65+DICIEMBRE!E65</f>
        <v>450638.08000000002</v>
      </c>
      <c r="F65" s="16">
        <f>ENERO!F65+FEBRERO!F65+MARZO!F65+ABRIL!F65+MAYO!F65+JUNIO!F65+JULIO!F65+AGOSTO!F65+SEPTIEMBRE!F65+OCTUBRE!F65+NOVIEMBRE!F65+DICIEMBRE!F65</f>
        <v>1329676.67</v>
      </c>
      <c r="G65" s="16">
        <f>ENERO!G65+FEBRERO!G65+MARZO!G65+ABRIL!G65+MAYO!G65+JUNIO!G65+JULIO!G65+AGOSTO!G65+SEPTIEMBRE!G65+OCTUBRE!G65+NOVIEMBRE!G65+DICIEMBRE!G65</f>
        <v>1033504.0600000003</v>
      </c>
      <c r="H65" s="16">
        <f>ENERO!H65+FEBRERO!H65+MARZO!H65+ABRIL!H65+MAYO!H65+JUNIO!H65+JULIO!H65+AGOSTO!H65+SEPTIEMBRE!H65+OCTUBRE!H65+NOVIEMBRE!H65+DICIEMBRE!H65</f>
        <v>40977894.600000001</v>
      </c>
      <c r="I65" s="16">
        <f>ENERO!I65+FEBRERO!I65+MARZO!I65+ABRIL!I65+MAYO!I65+JUNIO!I65+JULIO!I65+AGOSTO!I65+SEPTIEMBRE!I65+OCTUBRE!I65+NOVIEMBRE!I65+DICIEMBRE!I65</f>
        <v>3073634.61</v>
      </c>
      <c r="J65" s="16">
        <f>ENERO!J65+FEBRERO!J65+MARZO!J65+ABRIL!J65+MAYO!J65+JUNIO!J65+JULIO!J65+AGOSTO!J65+SEPTIEMBRE!J65+OCTUBRE!J65+NOVIEMBRE!J65+DICIEMBRE!J65</f>
        <v>61550521.12000002</v>
      </c>
      <c r="K65" s="16">
        <f>ENERO!K65+FEBRERO!K65+MARZO!K65+ABRIL!K65+MAYO!K65+JUNIO!K65+JULIO!K65+AGOSTO!K65+SEPTIEMBRE!K65+OCTUBRE!K65+NOVIEMBRE!K65+DICIEMBRE!K65</f>
        <v>0</v>
      </c>
      <c r="L65" s="16">
        <f>ENERO!L65+FEBRERO!L65+MARZO!L65+ABRIL!L65+MAYO!L65+JUNIO!L65+JULIO!L65+AGOSTO!L65+SEPTIEMBRE!L65+OCTUBRE!L65+NOVIEMBRE!L65+DICIEMBRE!L65</f>
        <v>0</v>
      </c>
      <c r="M65" s="16">
        <f>ENERO!M65+FEBRERO!M65+MARZO!M65+ABRIL!M65+MAYO!M65+JUNIO!M65+JULIO!M65+AGOSTO!M65+SEPTIEMBRE!M65+OCTUBRE!M65+NOVIEMBRE!M65+DICIEMBRE!M65</f>
        <v>10203.82</v>
      </c>
      <c r="N65" s="18">
        <f t="shared" si="1"/>
        <v>940285924.72024274</v>
      </c>
      <c r="O65" s="4"/>
    </row>
    <row r="66" spans="1:15" ht="18" customHeight="1" x14ac:dyDescent="0.2">
      <c r="A66" s="17" t="s">
        <v>61</v>
      </c>
      <c r="B66" s="16">
        <f>ENERO!B66+FEBRERO!B66+MARZO!B66+ABRIL!B66+MAYO!B66+JUNIO!B66+JULIO!B66+AGOSTO!B66+SEPTIEMBRE!B66+OCTUBRE!B66+NOVIEMBRE!B66+DICIEMBRE!B66</f>
        <v>427684475.74000001</v>
      </c>
      <c r="C66" s="16">
        <f>ENERO!C66+FEBRERO!C66+MARZO!C66+ABRIL!C66+MAYO!C66+JUNIO!C66+JULIO!C66+AGOSTO!C66+SEPTIEMBRE!C66+OCTUBRE!C66+NOVIEMBRE!C66+DICIEMBRE!C66</f>
        <v>0</v>
      </c>
      <c r="D66" s="16">
        <f>ENERO!D66+FEBRERO!D66+MARZO!D66+ABRIL!D66+MAYO!D66+JUNIO!D66+JULIO!D66+AGOSTO!D66+SEPTIEMBRE!D66+OCTUBRE!D66+NOVIEMBRE!D66+DICIEMBRE!D66</f>
        <v>47000240.554393478</v>
      </c>
      <c r="E66" s="16">
        <f>ENERO!E66+FEBRERO!E66+MARZO!E66+ABRIL!E66+MAYO!E66+JUNIO!E66+JULIO!E66+AGOSTO!E66+SEPTIEMBRE!E66+OCTUBRE!E66+NOVIEMBRE!E66+DICIEMBRE!E66</f>
        <v>249255.82</v>
      </c>
      <c r="F66" s="16">
        <f>ENERO!F66+FEBRERO!F66+MARZO!F66+ABRIL!F66+MAYO!F66+JUNIO!F66+JULIO!F66+AGOSTO!F66+SEPTIEMBRE!F66+OCTUBRE!F66+NOVIEMBRE!F66+DICIEMBRE!F66</f>
        <v>1301004.4000000001</v>
      </c>
      <c r="G66" s="16">
        <f>ENERO!G66+FEBRERO!G66+MARZO!G66+ABRIL!G66+MAYO!G66+JUNIO!G66+JULIO!G66+AGOSTO!G66+SEPTIEMBRE!G66+OCTUBRE!G66+NOVIEMBRE!G66+DICIEMBRE!G66</f>
        <v>829522.98</v>
      </c>
      <c r="H66" s="16">
        <f>ENERO!H66+FEBRERO!H66+MARZO!H66+ABRIL!H66+MAYO!H66+JUNIO!H66+JULIO!H66+AGOSTO!H66+SEPTIEMBRE!H66+OCTUBRE!H66+NOVIEMBRE!H66+DICIEMBRE!H66</f>
        <v>22707264.790000003</v>
      </c>
      <c r="I66" s="16">
        <f>ENERO!I66+FEBRERO!I66+MARZO!I66+ABRIL!I66+MAYO!I66+JUNIO!I66+JULIO!I66+AGOSTO!I66+SEPTIEMBRE!I66+OCTUBRE!I66+NOVIEMBRE!I66+DICIEMBRE!I66</f>
        <v>3007356.8</v>
      </c>
      <c r="J66" s="16">
        <f>ENERO!J66+FEBRERO!J66+MARZO!J66+ABRIL!J66+MAYO!J66+JUNIO!J66+JULIO!J66+AGOSTO!J66+SEPTIEMBRE!J66+OCTUBRE!J66+NOVIEMBRE!J66+DICIEMBRE!J66</f>
        <v>27725243.120000001</v>
      </c>
      <c r="K66" s="16">
        <f>ENERO!K66+FEBRERO!K66+MARZO!K66+ABRIL!K66+MAYO!K66+JUNIO!K66+JULIO!K66+AGOSTO!K66+SEPTIEMBRE!K66+OCTUBRE!K66+NOVIEMBRE!K66+DICIEMBRE!K66</f>
        <v>0</v>
      </c>
      <c r="L66" s="16">
        <f>ENERO!L66+FEBRERO!L66+MARZO!L66+ABRIL!L66+MAYO!L66+JUNIO!L66+JULIO!L66+AGOSTO!L66+SEPTIEMBRE!L66+OCTUBRE!L66+NOVIEMBRE!L66+DICIEMBRE!L66</f>
        <v>0</v>
      </c>
      <c r="M66" s="16">
        <f>ENERO!M66+FEBRERO!M66+MARZO!M66+ABRIL!M66+MAYO!M66+JUNIO!M66+JULIO!M66+AGOSTO!M66+SEPTIEMBRE!M66+OCTUBRE!M66+NOVIEMBRE!M66+DICIEMBRE!M66</f>
        <v>9983.7900000000027</v>
      </c>
      <c r="N66" s="18">
        <f t="shared" si="1"/>
        <v>530514347.99439353</v>
      </c>
      <c r="O66" s="4"/>
    </row>
    <row r="67" spans="1:15" ht="18" customHeight="1" x14ac:dyDescent="0.2">
      <c r="A67" s="17" t="s">
        <v>62</v>
      </c>
      <c r="B67" s="16">
        <f>ENERO!B67+FEBRERO!B67+MARZO!B67+ABRIL!B67+MAYO!B67+JUNIO!B67+JULIO!B67+AGOSTO!B67+SEPTIEMBRE!B67+OCTUBRE!B67+NOVIEMBRE!B67+DICIEMBRE!B67</f>
        <v>1956769780.8500001</v>
      </c>
      <c r="C67" s="16">
        <f>ENERO!C67+FEBRERO!C67+MARZO!C67+ABRIL!C67+MAYO!C67+JUNIO!C67+JULIO!C67+AGOSTO!C67+SEPTIEMBRE!C67+OCTUBRE!C67+NOVIEMBRE!C67+DICIEMBRE!C67</f>
        <v>0</v>
      </c>
      <c r="D67" s="16">
        <f>ENERO!D67+FEBRERO!D67+MARZO!D67+ABRIL!D67+MAYO!D67+JUNIO!D67+JULIO!D67+AGOSTO!D67+SEPTIEMBRE!D67+OCTUBRE!D67+NOVIEMBRE!D67+DICIEMBRE!D67</f>
        <v>14581945.450000001</v>
      </c>
      <c r="E67" s="16">
        <f>ENERO!E67+FEBRERO!E67+MARZO!E67+ABRIL!E67+MAYO!E67+JUNIO!E67+JULIO!E67+AGOSTO!E67+SEPTIEMBRE!E67+OCTUBRE!E67+NOVIEMBRE!E67+DICIEMBRE!E67</f>
        <v>1607850.7999999998</v>
      </c>
      <c r="F67" s="16">
        <f>ENERO!F67+FEBRERO!F67+MARZO!F67+ABRIL!F67+MAYO!F67+JUNIO!F67+JULIO!F67+AGOSTO!F67+SEPTIEMBRE!F67+OCTUBRE!F67+NOVIEMBRE!F67+DICIEMBRE!F67</f>
        <v>34958670.860000007</v>
      </c>
      <c r="G67" s="16">
        <f>ENERO!G67+FEBRERO!G67+MARZO!G67+ABRIL!G67+MAYO!G67+JUNIO!G67+JULIO!G67+AGOSTO!G67+SEPTIEMBRE!G67+OCTUBRE!G67+NOVIEMBRE!G67+DICIEMBRE!G67</f>
        <v>17101756.631843839</v>
      </c>
      <c r="H67" s="16">
        <f>ENERO!H67+FEBRERO!H67+MARZO!H67+ABRIL!H67+MAYO!H67+JUNIO!H67+JULIO!H67+AGOSTO!H67+SEPTIEMBRE!H67+OCTUBRE!H67+NOVIEMBRE!H67+DICIEMBRE!H67</f>
        <v>103891751.90999998</v>
      </c>
      <c r="I67" s="16">
        <f>ENERO!I67+FEBRERO!I67+MARZO!I67+ABRIL!I67+MAYO!I67+JUNIO!I67+JULIO!I67+AGOSTO!I67+SEPTIEMBRE!I67+OCTUBRE!I67+NOVIEMBRE!I67+DICIEMBRE!I67</f>
        <v>80809250.989999995</v>
      </c>
      <c r="J67" s="16">
        <f>ENERO!J67+FEBRERO!J67+MARZO!J67+ABRIL!J67+MAYO!J67+JUNIO!J67+JULIO!J67+AGOSTO!J67+SEPTIEMBRE!J67+OCTUBRE!J67+NOVIEMBRE!J67+DICIEMBRE!J67</f>
        <v>177287727.79000005</v>
      </c>
      <c r="K67" s="16">
        <f>ENERO!K67+FEBRERO!K67+MARZO!K67+ABRIL!K67+MAYO!K67+JUNIO!K67+JULIO!K67+AGOSTO!K67+SEPTIEMBRE!K67+OCTUBRE!K67+NOVIEMBRE!K67+DICIEMBRE!K67</f>
        <v>0</v>
      </c>
      <c r="L67" s="16">
        <f>ENERO!L67+FEBRERO!L67+MARZO!L67+ABRIL!L67+MAYO!L67+JUNIO!L67+JULIO!L67+AGOSTO!L67+SEPTIEMBRE!L67+OCTUBRE!L67+NOVIEMBRE!L67+DICIEMBRE!L67</f>
        <v>0</v>
      </c>
      <c r="M67" s="16">
        <f>ENERO!M67+FEBRERO!M67+MARZO!M67+ABRIL!M67+MAYO!M67+JUNIO!M67+JULIO!M67+AGOSTO!M67+SEPTIEMBRE!M67+OCTUBRE!M67+NOVIEMBRE!M67+DICIEMBRE!M67</f>
        <v>268278.15999999992</v>
      </c>
      <c r="N67" s="18">
        <f t="shared" si="1"/>
        <v>2387277013.4418435</v>
      </c>
      <c r="O67" s="4"/>
    </row>
    <row r="68" spans="1:15" ht="18" customHeight="1" x14ac:dyDescent="0.2">
      <c r="A68" s="17" t="s">
        <v>63</v>
      </c>
      <c r="B68" s="16">
        <f>ENERO!B68+FEBRERO!B68+MARZO!B68+ABRIL!B68+MAYO!B68+JUNIO!B68+JULIO!B68+AGOSTO!B68+SEPTIEMBRE!B68+OCTUBRE!B68+NOVIEMBRE!B68+DICIEMBRE!B68</f>
        <v>1205781748.26</v>
      </c>
      <c r="C68" s="16">
        <f>ENERO!C68+FEBRERO!C68+MARZO!C68+ABRIL!C68+MAYO!C68+JUNIO!C68+JULIO!C68+AGOSTO!C68+SEPTIEMBRE!C68+OCTUBRE!C68+NOVIEMBRE!C68+DICIEMBRE!C68</f>
        <v>0</v>
      </c>
      <c r="D68" s="16">
        <f>ENERO!D68+FEBRERO!D68+MARZO!D68+ABRIL!D68+MAYO!D68+JUNIO!D68+JULIO!D68+AGOSTO!D68+SEPTIEMBRE!D68+OCTUBRE!D68+NOVIEMBRE!D68+DICIEMBRE!D68</f>
        <v>17671818.82</v>
      </c>
      <c r="E68" s="16">
        <f>ENERO!E68+FEBRERO!E68+MARZO!E68+ABRIL!E68+MAYO!E68+JUNIO!E68+JULIO!E68+AGOSTO!E68+SEPTIEMBRE!E68+OCTUBRE!E68+NOVIEMBRE!E68+DICIEMBRE!E68</f>
        <v>701224.79</v>
      </c>
      <c r="F68" s="16">
        <f>ENERO!F68+FEBRERO!F68+MARZO!F68+ABRIL!F68+MAYO!F68+JUNIO!F68+JULIO!F68+AGOSTO!F68+SEPTIEMBRE!F68+OCTUBRE!F68+NOVIEMBRE!F68+DICIEMBRE!F68</f>
        <v>30829863.289999999</v>
      </c>
      <c r="G68" s="16">
        <f>ENERO!G68+FEBRERO!G68+MARZO!G68+ABRIL!G68+MAYO!G68+JUNIO!G68+JULIO!G68+AGOSTO!G68+SEPTIEMBRE!G68+OCTUBRE!G68+NOVIEMBRE!G68+DICIEMBRE!G68</f>
        <v>16413824.797093961</v>
      </c>
      <c r="H68" s="16">
        <f>ENERO!H68+FEBRERO!H68+MARZO!H68+ABRIL!H68+MAYO!H68+JUNIO!H68+JULIO!H68+AGOSTO!H68+SEPTIEMBRE!H68+OCTUBRE!H68+NOVIEMBRE!H68+DICIEMBRE!H68</f>
        <v>64019170.530000001</v>
      </c>
      <c r="I68" s="16">
        <f>ENERO!I68+FEBRERO!I68+MARZO!I68+ABRIL!I68+MAYO!I68+JUNIO!I68+JULIO!I68+AGOSTO!I68+SEPTIEMBRE!I68+OCTUBRE!I68+NOVIEMBRE!I68+DICIEMBRE!I68</f>
        <v>71265242.670000002</v>
      </c>
      <c r="J68" s="16">
        <f>ENERO!J68+FEBRERO!J68+MARZO!J68+ABRIL!J68+MAYO!J68+JUNIO!J68+JULIO!J68+AGOSTO!J68+SEPTIEMBRE!J68+OCTUBRE!J68+NOVIEMBRE!J68+DICIEMBRE!J68</f>
        <v>154115575.78</v>
      </c>
      <c r="K68" s="16">
        <f>ENERO!K68+FEBRERO!K68+MARZO!K68+ABRIL!K68+MAYO!K68+JUNIO!K68+JULIO!K68+AGOSTO!K68+SEPTIEMBRE!K68+OCTUBRE!K68+NOVIEMBRE!K68+DICIEMBRE!K68</f>
        <v>0</v>
      </c>
      <c r="L68" s="16">
        <f>ENERO!L68+FEBRERO!L68+MARZO!L68+ABRIL!L68+MAYO!L68+JUNIO!L68+JULIO!L68+AGOSTO!L68+SEPTIEMBRE!L68+OCTUBRE!L68+NOVIEMBRE!L68+DICIEMBRE!L68</f>
        <v>0</v>
      </c>
      <c r="M68" s="16">
        <f>ENERO!M68+FEBRERO!M68+MARZO!M68+ABRIL!M68+MAYO!M68+JUNIO!M68+JULIO!M68+AGOSTO!M68+SEPTIEMBRE!M68+OCTUBRE!M68+NOVIEMBRE!M68+DICIEMBRE!M68</f>
        <v>236593.06</v>
      </c>
      <c r="N68" s="18">
        <f t="shared" si="1"/>
        <v>1561035061.9970937</v>
      </c>
      <c r="O68" s="4"/>
    </row>
    <row r="69" spans="1:15" ht="18" customHeight="1" x14ac:dyDescent="0.2">
      <c r="A69" s="17" t="s">
        <v>64</v>
      </c>
      <c r="B69" s="16">
        <f>ENERO!B69+FEBRERO!B69+MARZO!B69+ABRIL!B69+MAYO!B69+JUNIO!B69+JULIO!B69+AGOSTO!B69+SEPTIEMBRE!B69+OCTUBRE!B69+NOVIEMBRE!B69+DICIEMBRE!B69</f>
        <v>3787015979.7800002</v>
      </c>
      <c r="C69" s="16">
        <f>ENERO!C69+FEBRERO!C69+MARZO!C69+ABRIL!C69+MAYO!C69+JUNIO!C69+JULIO!C69+AGOSTO!C69+SEPTIEMBRE!C69+OCTUBRE!C69+NOVIEMBRE!C69+DICIEMBRE!C69</f>
        <v>0</v>
      </c>
      <c r="D69" s="16">
        <f>ENERO!D69+FEBRERO!D69+MARZO!D69+ABRIL!D69+MAYO!D69+JUNIO!D69+JULIO!D69+AGOSTO!D69+SEPTIEMBRE!D69+OCTUBRE!D69+NOVIEMBRE!D69+DICIEMBRE!D69</f>
        <v>11955890.944674838</v>
      </c>
      <c r="E69" s="16">
        <f>ENERO!E69+FEBRERO!E69+MARZO!E69+ABRIL!E69+MAYO!E69+JUNIO!E69+JULIO!E69+AGOSTO!E69+SEPTIEMBRE!E69+OCTUBRE!E69+NOVIEMBRE!E69+DICIEMBRE!E69</f>
        <v>2202810.75</v>
      </c>
      <c r="F69" s="16">
        <f>ENERO!F69+FEBRERO!F69+MARZO!F69+ABRIL!F69+MAYO!F69+JUNIO!F69+JULIO!F69+AGOSTO!F69+SEPTIEMBRE!F69+OCTUBRE!F69+NOVIEMBRE!F69+DICIEMBRE!F69</f>
        <v>90987879.609999985</v>
      </c>
      <c r="G69" s="16">
        <f>ENERO!G69+FEBRERO!G69+MARZO!G69+ABRIL!G69+MAYO!G69+JUNIO!G69+JULIO!G69+AGOSTO!G69+SEPTIEMBRE!G69+OCTUBRE!G69+NOVIEMBRE!G69+DICIEMBRE!G69</f>
        <v>16370969.253521074</v>
      </c>
      <c r="H69" s="16">
        <f>ENERO!H69+FEBRERO!H69+MARZO!H69+ABRIL!H69+MAYO!H69+JUNIO!H69+JULIO!H69+AGOSTO!H69+SEPTIEMBRE!H69+OCTUBRE!H69+NOVIEMBRE!H69+DICIEMBRE!H69</f>
        <v>201065924.20000002</v>
      </c>
      <c r="I69" s="16">
        <f>ENERO!I69+FEBRERO!I69+MARZO!I69+ABRIL!I69+MAYO!I69+JUNIO!I69+JULIO!I69+AGOSTO!I69+SEPTIEMBRE!I69+OCTUBRE!I69+NOVIEMBRE!I69+DICIEMBRE!I69</f>
        <v>210324426.40000004</v>
      </c>
      <c r="J69" s="16">
        <f>ENERO!J69+FEBRERO!J69+MARZO!J69+ABRIL!J69+MAYO!J69+JUNIO!J69+JULIO!J69+AGOSTO!J69+SEPTIEMBRE!J69+OCTUBRE!J69+NOVIEMBRE!J69+DICIEMBRE!J69</f>
        <v>337327239.32000005</v>
      </c>
      <c r="K69" s="16">
        <f>ENERO!K69+FEBRERO!K69+MARZO!K69+ABRIL!K69+MAYO!K69+JUNIO!K69+JULIO!K69+AGOSTO!K69+SEPTIEMBRE!K69+OCTUBRE!K69+NOVIEMBRE!K69+DICIEMBRE!K69</f>
        <v>0</v>
      </c>
      <c r="L69" s="16">
        <f>ENERO!L69+FEBRERO!L69+MARZO!L69+ABRIL!L69+MAYO!L69+JUNIO!L69+JULIO!L69+AGOSTO!L69+SEPTIEMBRE!L69+OCTUBRE!L69+NOVIEMBRE!L69+DICIEMBRE!L69</f>
        <v>0</v>
      </c>
      <c r="M69" s="16">
        <f>ENERO!M69+FEBRERO!M69+MARZO!M69+ABRIL!M69+MAYO!M69+JUNIO!M69+JULIO!M69+AGOSTO!M69+SEPTIEMBRE!M69+OCTUBRE!M69+NOVIEMBRE!M69+DICIEMBRE!M69</f>
        <v>698255.57</v>
      </c>
      <c r="N69" s="18">
        <f t="shared" si="1"/>
        <v>4657949375.8281956</v>
      </c>
      <c r="O69" s="4"/>
    </row>
    <row r="70" spans="1:15" ht="18" customHeight="1" x14ac:dyDescent="0.2">
      <c r="A70" s="17" t="s">
        <v>65</v>
      </c>
      <c r="B70" s="16">
        <f>ENERO!B70+FEBRERO!B70+MARZO!B70+ABRIL!B70+MAYO!B70+JUNIO!B70+JULIO!B70+AGOSTO!B70+SEPTIEMBRE!B70+OCTUBRE!B70+NOVIEMBRE!B70+DICIEMBRE!B70</f>
        <v>860294142.91999984</v>
      </c>
      <c r="C70" s="16">
        <f>ENERO!C70+FEBRERO!C70+MARZO!C70+ABRIL!C70+MAYO!C70+JUNIO!C70+JULIO!C70+AGOSTO!C70+SEPTIEMBRE!C70+OCTUBRE!C70+NOVIEMBRE!C70+DICIEMBRE!C70</f>
        <v>0</v>
      </c>
      <c r="D70" s="16">
        <f>ENERO!D70+FEBRERO!D70+MARZO!D70+ABRIL!D70+MAYO!D70+JUNIO!D70+JULIO!D70+AGOSTO!D70+SEPTIEMBRE!D70+OCTUBRE!D70+NOVIEMBRE!D70+DICIEMBRE!D70</f>
        <v>101574363.54425967</v>
      </c>
      <c r="E70" s="16">
        <f>ENERO!E70+FEBRERO!E70+MARZO!E70+ABRIL!E70+MAYO!E70+JUNIO!E70+JULIO!E70+AGOSTO!E70+SEPTIEMBRE!E70+OCTUBRE!E70+NOVIEMBRE!E70+DICIEMBRE!E70</f>
        <v>530858.36</v>
      </c>
      <c r="F70" s="16">
        <f>ENERO!F70+FEBRERO!F70+MARZO!F70+ABRIL!F70+MAYO!F70+JUNIO!F70+JULIO!F70+AGOSTO!F70+SEPTIEMBRE!F70+OCTUBRE!F70+NOVIEMBRE!F70+DICIEMBRE!F70</f>
        <v>20206785.529999997</v>
      </c>
      <c r="G70" s="16">
        <f>ENERO!G70+FEBRERO!G70+MARZO!G70+ABRIL!G70+MAYO!G70+JUNIO!G70+JULIO!G70+AGOSTO!G70+SEPTIEMBRE!G70+OCTUBRE!G70+NOVIEMBRE!G70+DICIEMBRE!G70</f>
        <v>7860070.2700000005</v>
      </c>
      <c r="H70" s="16">
        <f>ENERO!H70+FEBRERO!H70+MARZO!H70+ABRIL!H70+MAYO!H70+JUNIO!H70+JULIO!H70+AGOSTO!H70+SEPTIEMBRE!H70+OCTUBRE!H70+NOVIEMBRE!H70+DICIEMBRE!H70</f>
        <v>45676025.150000006</v>
      </c>
      <c r="I70" s="16">
        <f>ENERO!I70+FEBRERO!I70+MARZO!I70+ABRIL!I70+MAYO!I70+JUNIO!I70+JULIO!I70+AGOSTO!I70+SEPTIEMBRE!I70+OCTUBRE!I70+NOVIEMBRE!I70+DICIEMBRE!I70</f>
        <v>46709304.620000005</v>
      </c>
      <c r="J70" s="16">
        <f>ENERO!J70+FEBRERO!J70+MARZO!J70+ABRIL!J70+MAYO!J70+JUNIO!J70+JULIO!J70+AGOSTO!J70+SEPTIEMBRE!J70+OCTUBRE!J70+NOVIEMBRE!J70+DICIEMBRE!J70</f>
        <v>147977147.59999993</v>
      </c>
      <c r="K70" s="16">
        <f>ENERO!K70+FEBRERO!K70+MARZO!K70+ABRIL!K70+MAYO!K70+JUNIO!K70+JULIO!K70+AGOSTO!K70+SEPTIEMBRE!K70+OCTUBRE!K70+NOVIEMBRE!K70+DICIEMBRE!K70</f>
        <v>0</v>
      </c>
      <c r="L70" s="16">
        <f>ENERO!L70+FEBRERO!L70+MARZO!L70+ABRIL!L70+MAYO!L70+JUNIO!L70+JULIO!L70+AGOSTO!L70+SEPTIEMBRE!L70+OCTUBRE!L70+NOVIEMBRE!L70+DICIEMBRE!L70</f>
        <v>0</v>
      </c>
      <c r="M70" s="16">
        <f>ENERO!M70+FEBRERO!M70+MARZO!M70+ABRIL!M70+MAYO!M70+JUNIO!M70+JULIO!M70+AGOSTO!M70+SEPTIEMBRE!M70+OCTUBRE!M70+NOVIEMBRE!M70+DICIEMBRE!M70</f>
        <v>155069.84000000003</v>
      </c>
      <c r="N70" s="18">
        <f t="shared" si="1"/>
        <v>1230983767.8342593</v>
      </c>
      <c r="O70" s="4"/>
    </row>
    <row r="71" spans="1:15" ht="18" customHeight="1" x14ac:dyDescent="0.2">
      <c r="A71" s="17" t="s">
        <v>66</v>
      </c>
      <c r="B71" s="16">
        <f>ENERO!B71+FEBRERO!B71+MARZO!B71+ABRIL!B71+MAYO!B71+JUNIO!B71+JULIO!B71+AGOSTO!B71+SEPTIEMBRE!B71+OCTUBRE!B71+NOVIEMBRE!B71+DICIEMBRE!B71</f>
        <v>2841400158.7799993</v>
      </c>
      <c r="C71" s="16">
        <f>ENERO!C71+FEBRERO!C71+MARZO!C71+ABRIL!C71+MAYO!C71+JUNIO!C71+JULIO!C71+AGOSTO!C71+SEPTIEMBRE!C71+OCTUBRE!C71+NOVIEMBRE!C71+DICIEMBRE!C71</f>
        <v>0</v>
      </c>
      <c r="D71" s="16">
        <f>ENERO!D71+FEBRERO!D71+MARZO!D71+ABRIL!D71+MAYO!D71+JUNIO!D71+JULIO!D71+AGOSTO!D71+SEPTIEMBRE!D71+OCTUBRE!D71+NOVIEMBRE!D71+DICIEMBRE!D71</f>
        <v>12601698.140000001</v>
      </c>
      <c r="E71" s="16">
        <f>ENERO!E71+FEBRERO!E71+MARZO!E71+ABRIL!E71+MAYO!E71+JUNIO!E71+JULIO!E71+AGOSTO!E71+SEPTIEMBRE!E71+OCTUBRE!E71+NOVIEMBRE!E71+DICIEMBRE!E71</f>
        <v>2316803.7899999996</v>
      </c>
      <c r="F71" s="16">
        <f>ENERO!F71+FEBRERO!F71+MARZO!F71+ABRIL!F71+MAYO!F71+JUNIO!F71+JULIO!F71+AGOSTO!F71+SEPTIEMBRE!F71+OCTUBRE!F71+NOVIEMBRE!F71+DICIEMBRE!F71</f>
        <v>12723321.83</v>
      </c>
      <c r="G71" s="16">
        <f>ENERO!G71+FEBRERO!G71+MARZO!G71+ABRIL!G71+MAYO!G71+JUNIO!G71+JULIO!G71+AGOSTO!G71+SEPTIEMBRE!G71+OCTUBRE!G71+NOVIEMBRE!G71+DICIEMBRE!G71</f>
        <v>6065036.9299999997</v>
      </c>
      <c r="H71" s="16">
        <f>ENERO!H71+FEBRERO!H71+MARZO!H71+ABRIL!H71+MAYO!H71+JUNIO!H71+JULIO!H71+AGOSTO!H71+SEPTIEMBRE!H71+OCTUBRE!H71+NOVIEMBRE!H71+DICIEMBRE!H71</f>
        <v>150859872.81999999</v>
      </c>
      <c r="I71" s="16">
        <f>ENERO!I71+FEBRERO!I71+MARZO!I71+ABRIL!I71+MAYO!I71+JUNIO!I71+JULIO!I71+AGOSTO!I71+SEPTIEMBRE!I71+OCTUBRE!I71+NOVIEMBRE!I71+DICIEMBRE!I71</f>
        <v>29410789.540000003</v>
      </c>
      <c r="J71" s="16">
        <f>ENERO!J71+FEBRERO!J71+MARZO!J71+ABRIL!J71+MAYO!J71+JUNIO!J71+JULIO!J71+AGOSTO!J71+SEPTIEMBRE!J71+OCTUBRE!J71+NOVIEMBRE!J71+DICIEMBRE!J71</f>
        <v>118577338.22000001</v>
      </c>
      <c r="K71" s="16">
        <f>ENERO!K71+FEBRERO!K71+MARZO!K71+ABRIL!K71+MAYO!K71+JUNIO!K71+JULIO!K71+AGOSTO!K71+SEPTIEMBRE!K71+OCTUBRE!K71+NOVIEMBRE!K71+DICIEMBRE!K71</f>
        <v>0</v>
      </c>
      <c r="L71" s="16">
        <f>ENERO!L71+FEBRERO!L71+MARZO!L71+ABRIL!L71+MAYO!L71+JUNIO!L71+JULIO!L71+AGOSTO!L71+SEPTIEMBRE!L71+OCTUBRE!L71+NOVIEMBRE!L71+DICIEMBRE!L71</f>
        <v>0</v>
      </c>
      <c r="M71" s="16">
        <f>ENERO!M71+FEBRERO!M71+MARZO!M71+ABRIL!M71+MAYO!M71+JUNIO!M71+JULIO!M71+AGOSTO!M71+SEPTIEMBRE!M71+OCTUBRE!M71+NOVIEMBRE!M71+DICIEMBRE!M71</f>
        <v>97640.550000000017</v>
      </c>
      <c r="N71" s="18">
        <f t="shared" si="1"/>
        <v>3174052660.599999</v>
      </c>
      <c r="O71" s="4"/>
    </row>
    <row r="72" spans="1:15" ht="18" customHeight="1" x14ac:dyDescent="0.2">
      <c r="A72" s="17" t="s">
        <v>67</v>
      </c>
      <c r="B72" s="16">
        <f>ENERO!B72+FEBRERO!B72+MARZO!B72+ABRIL!B72+MAYO!B72+JUNIO!B72+JULIO!B72+AGOSTO!B72+SEPTIEMBRE!B72+OCTUBRE!B72+NOVIEMBRE!B72+DICIEMBRE!B72</f>
        <v>15215195506.82</v>
      </c>
      <c r="C72" s="16">
        <f>ENERO!C72+FEBRERO!C72+MARZO!C72+ABRIL!C72+MAYO!C72+JUNIO!C72+JULIO!C72+AGOSTO!C72+SEPTIEMBRE!C72+OCTUBRE!C72+NOVIEMBRE!C72+DICIEMBRE!C72</f>
        <v>0</v>
      </c>
      <c r="D72" s="16">
        <f>ENERO!D72+FEBRERO!D72+MARZO!D72+ABRIL!D72+MAYO!D72+JUNIO!D72+JULIO!D72+AGOSTO!D72+SEPTIEMBRE!D72+OCTUBRE!D72+NOVIEMBRE!D72+DICIEMBRE!D72</f>
        <v>83240179.050757885</v>
      </c>
      <c r="E72" s="16">
        <f>ENERO!E72+FEBRERO!E72+MARZO!E72+ABRIL!E72+MAYO!E72+JUNIO!E72+JULIO!E72+AGOSTO!E72+SEPTIEMBRE!E72+OCTUBRE!E72+NOVIEMBRE!E72+DICIEMBRE!E72</f>
        <v>12407436.43</v>
      </c>
      <c r="F72" s="16">
        <f>ENERO!F72+FEBRERO!F72+MARZO!F72+ABRIL!F72+MAYO!F72+JUNIO!F72+JULIO!F72+AGOSTO!F72+SEPTIEMBRE!F72+OCTUBRE!F72+NOVIEMBRE!F72+DICIEMBRE!F72</f>
        <v>370212834.86000001</v>
      </c>
      <c r="G72" s="16">
        <f>ENERO!G72+FEBRERO!G72+MARZO!G72+ABRIL!G72+MAYO!G72+JUNIO!G72+JULIO!G72+AGOSTO!G72+SEPTIEMBRE!G72+OCTUBRE!G72+NOVIEMBRE!G72+DICIEMBRE!G72</f>
        <v>0</v>
      </c>
      <c r="H72" s="16">
        <f>ENERO!H72+FEBRERO!H72+MARZO!H72+ABRIL!H72+MAYO!H72+JUNIO!H72+JULIO!H72+AGOSTO!H72+SEPTIEMBRE!H72+OCTUBRE!H72+NOVIEMBRE!H72+DICIEMBRE!H72</f>
        <v>807827947.50999999</v>
      </c>
      <c r="I72" s="16">
        <f>ENERO!I72+FEBRERO!I72+MARZO!I72+ABRIL!I72+MAYO!I72+JUNIO!I72+JULIO!I72+AGOSTO!I72+SEPTIEMBRE!I72+OCTUBRE!I72+NOVIEMBRE!I72+DICIEMBRE!I72</f>
        <v>855771127.95000005</v>
      </c>
      <c r="J72" s="16">
        <f>ENERO!J72+FEBRERO!J72+MARZO!J72+ABRIL!J72+MAYO!J72+JUNIO!J72+JULIO!J72+AGOSTO!J72+SEPTIEMBRE!J72+OCTUBRE!J72+NOVIEMBRE!J72+DICIEMBRE!J72</f>
        <v>1773556810.4699998</v>
      </c>
      <c r="K72" s="16">
        <f>ENERO!K72+FEBRERO!K72+MARZO!K72+ABRIL!K72+MAYO!K72+JUNIO!K72+JULIO!K72+AGOSTO!K72+SEPTIEMBRE!K72+OCTUBRE!K72+NOVIEMBRE!K72+DICIEMBRE!K72</f>
        <v>0</v>
      </c>
      <c r="L72" s="16">
        <f>ENERO!L72+FEBRERO!L72+MARZO!L72+ABRIL!L72+MAYO!L72+JUNIO!L72+JULIO!L72+AGOSTO!L72+SEPTIEMBRE!L72+OCTUBRE!L72+NOVIEMBRE!L72+DICIEMBRE!L72</f>
        <v>0</v>
      </c>
      <c r="M72" s="16">
        <f>ENERO!M72+FEBRERO!M72+MARZO!M72+ABRIL!M72+MAYO!M72+JUNIO!M72+JULIO!M72+AGOSTO!M72+SEPTIEMBRE!M72+OCTUBRE!M72+NOVIEMBRE!M72+DICIEMBRE!M72</f>
        <v>2841073.78</v>
      </c>
      <c r="N72" s="18">
        <f t="shared" ref="N72:N103" si="2">SUM(B72:M72)</f>
        <v>19121052916.870758</v>
      </c>
      <c r="O72" s="4"/>
    </row>
    <row r="73" spans="1:15" ht="18" customHeight="1" x14ac:dyDescent="0.2">
      <c r="A73" s="17" t="s">
        <v>68</v>
      </c>
      <c r="B73" s="16">
        <f>ENERO!B73+FEBRERO!B73+MARZO!B73+ABRIL!B73+MAYO!B73+JUNIO!B73+JULIO!B73+AGOSTO!B73+SEPTIEMBRE!B73+OCTUBRE!B73+NOVIEMBRE!B73+DICIEMBRE!B73</f>
        <v>6048361178.4299994</v>
      </c>
      <c r="C73" s="16">
        <f>ENERO!C73+FEBRERO!C73+MARZO!C73+ABRIL!C73+MAYO!C73+JUNIO!C73+JULIO!C73+AGOSTO!C73+SEPTIEMBRE!C73+OCTUBRE!C73+NOVIEMBRE!C73+DICIEMBRE!C73</f>
        <v>0</v>
      </c>
      <c r="D73" s="16">
        <f>ENERO!D73+FEBRERO!D73+MARZO!D73+ABRIL!D73+MAYO!D73+JUNIO!D73+JULIO!D73+AGOSTO!D73+SEPTIEMBRE!D73+OCTUBRE!D73+NOVIEMBRE!D73+DICIEMBRE!D73</f>
        <v>174470626.43842426</v>
      </c>
      <c r="E73" s="16">
        <f>ENERO!E73+FEBRERO!E73+MARZO!E73+ABRIL!E73+MAYO!E73+JUNIO!E73+JULIO!E73+AGOSTO!E73+SEPTIEMBRE!E73+OCTUBRE!E73+NOVIEMBRE!E73+DICIEMBRE!E73</f>
        <v>5066629.7</v>
      </c>
      <c r="F73" s="16">
        <f>ENERO!F73+FEBRERO!F73+MARZO!F73+ABRIL!F73+MAYO!F73+JUNIO!F73+JULIO!F73+AGOSTO!F73+SEPTIEMBRE!F73+OCTUBRE!F73+NOVIEMBRE!F73+DICIEMBRE!F73</f>
        <v>137411876.34999999</v>
      </c>
      <c r="G73" s="16">
        <f>ENERO!G73+FEBRERO!G73+MARZO!G73+ABRIL!G73+MAYO!G73+JUNIO!G73+JULIO!G73+AGOSTO!G73+SEPTIEMBRE!G73+OCTUBRE!G73+NOVIEMBRE!G73+DICIEMBRE!G73</f>
        <v>69801811.362876624</v>
      </c>
      <c r="H73" s="16">
        <f>ENERO!H73+FEBRERO!H73+MARZO!H73+ABRIL!H73+MAYO!H73+JUNIO!H73+JULIO!H73+AGOSTO!H73+SEPTIEMBRE!H73+OCTUBRE!H73+NOVIEMBRE!H73+DICIEMBRE!H73</f>
        <v>321128650.30000001</v>
      </c>
      <c r="I73" s="16">
        <f>ENERO!I73+FEBRERO!I73+MARZO!I73+ABRIL!I73+MAYO!I73+JUNIO!I73+JULIO!I73+AGOSTO!I73+SEPTIEMBRE!I73+OCTUBRE!I73+NOVIEMBRE!I73+DICIEMBRE!I73</f>
        <v>317636526.88999999</v>
      </c>
      <c r="J73" s="16">
        <f>ENERO!J73+FEBRERO!J73+MARZO!J73+ABRIL!J73+MAYO!J73+JUNIO!J73+JULIO!J73+AGOSTO!J73+SEPTIEMBRE!J73+OCTUBRE!J73+NOVIEMBRE!J73+DICIEMBRE!J73</f>
        <v>775762886.83000028</v>
      </c>
      <c r="K73" s="16">
        <f>ENERO!K73+FEBRERO!K73+MARZO!K73+ABRIL!K73+MAYO!K73+JUNIO!K73+JULIO!K73+AGOSTO!K73+SEPTIEMBRE!K73+OCTUBRE!K73+NOVIEMBRE!K73+DICIEMBRE!K73</f>
        <v>0</v>
      </c>
      <c r="L73" s="16">
        <f>ENERO!L73+FEBRERO!L73+MARZO!L73+ABRIL!L73+MAYO!L73+JUNIO!L73+JULIO!L73+AGOSTO!L73+SEPTIEMBRE!L73+OCTUBRE!L73+NOVIEMBRE!L73+DICIEMBRE!L73</f>
        <v>0</v>
      </c>
      <c r="M73" s="16">
        <f>ENERO!M73+FEBRERO!M73+MARZO!M73+ABRIL!M73+MAYO!M73+JUNIO!M73+JULIO!M73+AGOSTO!M73+SEPTIEMBRE!M73+OCTUBRE!M73+NOVIEMBRE!M73+DICIEMBRE!M73</f>
        <v>1054520.98</v>
      </c>
      <c r="N73" s="18">
        <f t="shared" si="2"/>
        <v>7850694707.2813005</v>
      </c>
      <c r="O73" s="4"/>
    </row>
    <row r="74" spans="1:15" ht="18" customHeight="1" x14ac:dyDescent="0.2">
      <c r="A74" s="17" t="s">
        <v>69</v>
      </c>
      <c r="B74" s="16">
        <f>ENERO!B74+FEBRERO!B74+MARZO!B74+ABRIL!B74+MAYO!B74+JUNIO!B74+JULIO!B74+AGOSTO!B74+SEPTIEMBRE!B74+OCTUBRE!B74+NOVIEMBRE!B74+DICIEMBRE!B74</f>
        <v>3748400833.2999997</v>
      </c>
      <c r="C74" s="16">
        <f>ENERO!C74+FEBRERO!C74+MARZO!C74+ABRIL!C74+MAYO!C74+JUNIO!C74+JULIO!C74+AGOSTO!C74+SEPTIEMBRE!C74+OCTUBRE!C74+NOVIEMBRE!C74+DICIEMBRE!C74</f>
        <v>0</v>
      </c>
      <c r="D74" s="16">
        <f>ENERO!D74+FEBRERO!D74+MARZO!D74+ABRIL!D74+MAYO!D74+JUNIO!D74+JULIO!D74+AGOSTO!D74+SEPTIEMBRE!D74+OCTUBRE!D74+NOVIEMBRE!D74+DICIEMBRE!D74</f>
        <v>41993498.970000006</v>
      </c>
      <c r="E74" s="16">
        <f>ENERO!E74+FEBRERO!E74+MARZO!E74+ABRIL!E74+MAYO!E74+JUNIO!E74+JULIO!E74+AGOSTO!E74+SEPTIEMBRE!E74+OCTUBRE!E74+NOVIEMBRE!E74+DICIEMBRE!E74</f>
        <v>3069855.03</v>
      </c>
      <c r="F74" s="16">
        <f>ENERO!F74+FEBRERO!F74+MARZO!F74+ABRIL!F74+MAYO!F74+JUNIO!F74+JULIO!F74+AGOSTO!F74+SEPTIEMBRE!F74+OCTUBRE!F74+NOVIEMBRE!F74+DICIEMBRE!F74</f>
        <v>99765179.700000003</v>
      </c>
      <c r="G74" s="16">
        <f>ENERO!G74+FEBRERO!G74+MARZO!G74+ABRIL!G74+MAYO!G74+JUNIO!G74+JULIO!G74+AGOSTO!G74+SEPTIEMBRE!G74+OCTUBRE!G74+NOVIEMBRE!G74+DICIEMBRE!G74</f>
        <v>121139856.0756937</v>
      </c>
      <c r="H74" s="16">
        <f>ENERO!H74+FEBRERO!H74+MARZO!H74+ABRIL!H74+MAYO!H74+JUNIO!H74+JULIO!H74+AGOSTO!H74+SEPTIEMBRE!H74+OCTUBRE!H74+NOVIEMBRE!H74+DICIEMBRE!H74</f>
        <v>199015711.05000001</v>
      </c>
      <c r="I74" s="16">
        <f>ENERO!I74+FEBRERO!I74+MARZO!I74+ABRIL!I74+MAYO!I74+JUNIO!I74+JULIO!I74+AGOSTO!I74+SEPTIEMBRE!I74+OCTUBRE!I74+NOVIEMBRE!I74+DICIEMBRE!I74</f>
        <v>230613728.79000002</v>
      </c>
      <c r="J74" s="16">
        <f>ENERO!J74+FEBRERO!J74+MARZO!J74+ABRIL!J74+MAYO!J74+JUNIO!J74+JULIO!J74+AGOSTO!J74+SEPTIEMBRE!J74+OCTUBRE!J74+NOVIEMBRE!J74+DICIEMBRE!J74</f>
        <v>427228689.63999987</v>
      </c>
      <c r="K74" s="16">
        <f>ENERO!K74+FEBRERO!K74+MARZO!K74+ABRIL!K74+MAYO!K74+JUNIO!K74+JULIO!K74+AGOSTO!K74+SEPTIEMBRE!K74+OCTUBRE!K74+NOVIEMBRE!K74+DICIEMBRE!K74</f>
        <v>0</v>
      </c>
      <c r="L74" s="16">
        <f>ENERO!L74+FEBRERO!L74+MARZO!L74+ABRIL!L74+MAYO!L74+JUNIO!L74+JULIO!L74+AGOSTO!L74+SEPTIEMBRE!L74+OCTUBRE!L74+NOVIEMBRE!L74+DICIEMBRE!L74</f>
        <v>0</v>
      </c>
      <c r="M74" s="16">
        <f>ENERO!M74+FEBRERO!M74+MARZO!M74+ABRIL!M74+MAYO!M74+JUNIO!M74+JULIO!M74+AGOSTO!M74+SEPTIEMBRE!M74+OCTUBRE!M74+NOVIEMBRE!M74+DICIEMBRE!M74</f>
        <v>765614.02000000014</v>
      </c>
      <c r="N74" s="18">
        <f t="shared" si="2"/>
        <v>4871992966.5756931</v>
      </c>
      <c r="O74" s="4"/>
    </row>
    <row r="75" spans="1:15" ht="18" customHeight="1" x14ac:dyDescent="0.2">
      <c r="A75" s="17" t="s">
        <v>70</v>
      </c>
      <c r="B75" s="16">
        <f>ENERO!B75+FEBRERO!B75+MARZO!B75+ABRIL!B75+MAYO!B75+JUNIO!B75+JULIO!B75+AGOSTO!B75+SEPTIEMBRE!B75+OCTUBRE!B75+NOVIEMBRE!B75+DICIEMBRE!B75</f>
        <v>631852233.50999999</v>
      </c>
      <c r="C75" s="16">
        <f>ENERO!C75+FEBRERO!C75+MARZO!C75+ABRIL!C75+MAYO!C75+JUNIO!C75+JULIO!C75+AGOSTO!C75+SEPTIEMBRE!C75+OCTUBRE!C75+NOVIEMBRE!C75+DICIEMBRE!C75</f>
        <v>0</v>
      </c>
      <c r="D75" s="16">
        <f>ENERO!D75+FEBRERO!D75+MARZO!D75+ABRIL!D75+MAYO!D75+JUNIO!D75+JULIO!D75+AGOSTO!D75+SEPTIEMBRE!D75+OCTUBRE!D75+NOVIEMBRE!D75+DICIEMBRE!D75</f>
        <v>51048482.239062101</v>
      </c>
      <c r="E75" s="16">
        <f>ENERO!E75+FEBRERO!E75+MARZO!E75+ABRIL!E75+MAYO!E75+JUNIO!E75+JULIO!E75+AGOSTO!E75+SEPTIEMBRE!E75+OCTUBRE!E75+NOVIEMBRE!E75+DICIEMBRE!E75</f>
        <v>368499.04</v>
      </c>
      <c r="F75" s="16">
        <f>ENERO!F75+FEBRERO!F75+MARZO!F75+ABRIL!F75+MAYO!F75+JUNIO!F75+JULIO!F75+AGOSTO!F75+SEPTIEMBRE!F75+OCTUBRE!F75+NOVIEMBRE!F75+DICIEMBRE!F75</f>
        <v>1813521.3100000003</v>
      </c>
      <c r="G75" s="16">
        <f>ENERO!G75+FEBRERO!G75+MARZO!G75+ABRIL!G75+MAYO!G75+JUNIO!G75+JULIO!G75+AGOSTO!G75+SEPTIEMBRE!G75+OCTUBRE!G75+NOVIEMBRE!G75+DICIEMBRE!G75</f>
        <v>883917.95</v>
      </c>
      <c r="H75" s="16">
        <f>ENERO!H75+FEBRERO!H75+MARZO!H75+ABRIL!H75+MAYO!H75+JUNIO!H75+JULIO!H75+AGOSTO!H75+SEPTIEMBRE!H75+OCTUBRE!H75+NOVIEMBRE!H75+DICIEMBRE!H75</f>
        <v>33547245.16</v>
      </c>
      <c r="I75" s="16">
        <f>ENERO!I75+FEBRERO!I75+MARZO!I75+ABRIL!I75+MAYO!I75+JUNIO!I75+JULIO!I75+AGOSTO!I75+SEPTIEMBRE!I75+OCTUBRE!I75+NOVIEMBRE!I75+DICIEMBRE!I75</f>
        <v>4192073.1000000006</v>
      </c>
      <c r="J75" s="16">
        <f>ENERO!J75+FEBRERO!J75+MARZO!J75+ABRIL!J75+MAYO!J75+JUNIO!J75+JULIO!J75+AGOSTO!J75+SEPTIEMBRE!J75+OCTUBRE!J75+NOVIEMBRE!J75+DICIEMBRE!J75</f>
        <v>49859021.780000024</v>
      </c>
      <c r="K75" s="16">
        <f>ENERO!K75+FEBRERO!K75+MARZO!K75+ABRIL!K75+MAYO!K75+JUNIO!K75+JULIO!K75+AGOSTO!K75+SEPTIEMBRE!K75+OCTUBRE!K75+NOVIEMBRE!K75+DICIEMBRE!K75</f>
        <v>0</v>
      </c>
      <c r="L75" s="16">
        <f>ENERO!L75+FEBRERO!L75+MARZO!L75+ABRIL!L75+MAYO!L75+JUNIO!L75+JULIO!L75+AGOSTO!L75+SEPTIEMBRE!L75+OCTUBRE!L75+NOVIEMBRE!L75+DICIEMBRE!L75</f>
        <v>0</v>
      </c>
      <c r="M75" s="16">
        <f>ENERO!M75+FEBRERO!M75+MARZO!M75+ABRIL!M75+MAYO!M75+JUNIO!M75+JULIO!M75+AGOSTO!M75+SEPTIEMBRE!M75+OCTUBRE!M75+NOVIEMBRE!M75+DICIEMBRE!M75</f>
        <v>13916.880000000003</v>
      </c>
      <c r="N75" s="18">
        <f t="shared" si="2"/>
        <v>773578910.96906197</v>
      </c>
      <c r="O75" s="4"/>
    </row>
    <row r="76" spans="1:15" ht="18" customHeight="1" x14ac:dyDescent="0.2">
      <c r="A76" s="17" t="s">
        <v>71</v>
      </c>
      <c r="B76" s="16">
        <f>ENERO!B76+FEBRERO!B76+MARZO!B76+ABRIL!B76+MAYO!B76+JUNIO!B76+JULIO!B76+AGOSTO!B76+SEPTIEMBRE!B76+OCTUBRE!B76+NOVIEMBRE!B76+DICIEMBRE!B76</f>
        <v>570866790.25</v>
      </c>
      <c r="C76" s="16">
        <f>ENERO!C76+FEBRERO!C76+MARZO!C76+ABRIL!C76+MAYO!C76+JUNIO!C76+JULIO!C76+AGOSTO!C76+SEPTIEMBRE!C76+OCTUBRE!C76+NOVIEMBRE!C76+DICIEMBRE!C76</f>
        <v>0</v>
      </c>
      <c r="D76" s="16">
        <f>ENERO!D76+FEBRERO!D76+MARZO!D76+ABRIL!D76+MAYO!D76+JUNIO!D76+JULIO!D76+AGOSTO!D76+SEPTIEMBRE!D76+OCTUBRE!D76+NOVIEMBRE!D76+DICIEMBRE!D76</f>
        <v>70788352.421074346</v>
      </c>
      <c r="E76" s="16">
        <f>ENERO!E76+FEBRERO!E76+MARZO!E76+ABRIL!E76+MAYO!E76+JUNIO!E76+JULIO!E76+AGOSTO!E76+SEPTIEMBRE!E76+OCTUBRE!E76+NOVIEMBRE!E76+DICIEMBRE!E76</f>
        <v>338042.44999999995</v>
      </c>
      <c r="F76" s="16">
        <f>ENERO!F76+FEBRERO!F76+MARZO!F76+ABRIL!F76+MAYO!F76+JUNIO!F76+JULIO!F76+AGOSTO!F76+SEPTIEMBRE!F76+OCTUBRE!F76+NOVIEMBRE!F76+DICIEMBRE!F76</f>
        <v>3265055.2199999997</v>
      </c>
      <c r="G76" s="16">
        <f>ENERO!G76+FEBRERO!G76+MARZO!G76+ABRIL!G76+MAYO!G76+JUNIO!G76+JULIO!G76+AGOSTO!G76+SEPTIEMBRE!G76+OCTUBRE!G76+NOVIEMBRE!G76+DICIEMBRE!G76</f>
        <v>2080606.85</v>
      </c>
      <c r="H76" s="16">
        <f>ENERO!H76+FEBRERO!H76+MARZO!H76+ABRIL!H76+MAYO!H76+JUNIO!H76+JULIO!H76+AGOSTO!H76+SEPTIEMBRE!H76+OCTUBRE!H76+NOVIEMBRE!H76+DICIEMBRE!H76</f>
        <v>30309314.66</v>
      </c>
      <c r="I76" s="16">
        <f>ENERO!I76+FEBRERO!I76+MARZO!I76+ABRIL!I76+MAYO!I76+JUNIO!I76+JULIO!I76+AGOSTO!I76+SEPTIEMBRE!I76+OCTUBRE!I76+NOVIEMBRE!I76+DICIEMBRE!I76</f>
        <v>7547388.5199999996</v>
      </c>
      <c r="J76" s="16">
        <f>ENERO!J76+FEBRERO!J76+MARZO!J76+ABRIL!J76+MAYO!J76+JUNIO!J76+JULIO!J76+AGOSTO!J76+SEPTIEMBRE!J76+OCTUBRE!J76+NOVIEMBRE!J76+DICIEMBRE!J76</f>
        <v>71949686.500000015</v>
      </c>
      <c r="K76" s="16">
        <f>ENERO!K76+FEBRERO!K76+MARZO!K76+ABRIL!K76+MAYO!K76+JUNIO!K76+JULIO!K76+AGOSTO!K76+SEPTIEMBRE!K76+OCTUBRE!K76+NOVIEMBRE!K76+DICIEMBRE!K76</f>
        <v>0</v>
      </c>
      <c r="L76" s="16">
        <f>ENERO!L76+FEBRERO!L76+MARZO!L76+ABRIL!L76+MAYO!L76+JUNIO!L76+JULIO!L76+AGOSTO!L76+SEPTIEMBRE!L76+OCTUBRE!L76+NOVIEMBRE!L76+DICIEMBRE!L76</f>
        <v>0</v>
      </c>
      <c r="M76" s="16">
        <f>ENERO!M76+FEBRERO!M76+MARZO!M76+ABRIL!M76+MAYO!M76+JUNIO!M76+JULIO!M76+AGOSTO!M76+SEPTIEMBRE!M76+OCTUBRE!M76+NOVIEMBRE!M76+DICIEMBRE!M76</f>
        <v>25056.19</v>
      </c>
      <c r="N76" s="18">
        <f t="shared" si="2"/>
        <v>757170293.0610745</v>
      </c>
      <c r="O76" s="4"/>
    </row>
    <row r="77" spans="1:15" ht="18" customHeight="1" x14ac:dyDescent="0.2">
      <c r="A77" s="17" t="s">
        <v>72</v>
      </c>
      <c r="B77" s="16">
        <f>ENERO!B77+FEBRERO!B77+MARZO!B77+ABRIL!B77+MAYO!B77+JUNIO!B77+JULIO!B77+AGOSTO!B77+SEPTIEMBRE!B77+OCTUBRE!B77+NOVIEMBRE!B77+DICIEMBRE!B77</f>
        <v>774931077.67999995</v>
      </c>
      <c r="C77" s="16">
        <f>ENERO!C77+FEBRERO!C77+MARZO!C77+ABRIL!C77+MAYO!C77+JUNIO!C77+JULIO!C77+AGOSTO!C77+SEPTIEMBRE!C77+OCTUBRE!C77+NOVIEMBRE!C77+DICIEMBRE!C77</f>
        <v>0</v>
      </c>
      <c r="D77" s="16">
        <f>ENERO!D77+FEBRERO!D77+MARZO!D77+ABRIL!D77+MAYO!D77+JUNIO!D77+JULIO!D77+AGOSTO!D77+SEPTIEMBRE!D77+OCTUBRE!D77+NOVIEMBRE!D77+DICIEMBRE!D77</f>
        <v>61345394.419564821</v>
      </c>
      <c r="E77" s="16">
        <f>ENERO!E77+FEBRERO!E77+MARZO!E77+ABRIL!E77+MAYO!E77+JUNIO!E77+JULIO!E77+AGOSTO!E77+SEPTIEMBRE!E77+OCTUBRE!E77+NOVIEMBRE!E77+DICIEMBRE!E77</f>
        <v>452513.74</v>
      </c>
      <c r="F77" s="16">
        <f>ENERO!F77+FEBRERO!F77+MARZO!F77+ABRIL!F77+MAYO!F77+JUNIO!F77+JULIO!F77+AGOSTO!F77+SEPTIEMBRE!F77+OCTUBRE!F77+NOVIEMBRE!F77+DICIEMBRE!F77</f>
        <v>3834916.67</v>
      </c>
      <c r="G77" s="16">
        <f>ENERO!G77+FEBRERO!G77+MARZO!G77+ABRIL!G77+MAYO!G77+JUNIO!G77+JULIO!G77+AGOSTO!G77+SEPTIEMBRE!G77+OCTUBRE!G77+NOVIEMBRE!G77+DICIEMBRE!G77</f>
        <v>1468663.6699999997</v>
      </c>
      <c r="H77" s="16">
        <f>ENERO!H77+FEBRERO!H77+MARZO!H77+ABRIL!H77+MAYO!H77+JUNIO!H77+JULIO!H77+AGOSTO!H77+SEPTIEMBRE!H77+OCTUBRE!H77+NOVIEMBRE!H77+DICIEMBRE!H77</f>
        <v>41143801.450000003</v>
      </c>
      <c r="I77" s="16">
        <f>ENERO!I77+FEBRERO!I77+MARZO!I77+ABRIL!I77+MAYO!I77+JUNIO!I77+JULIO!I77+AGOSTO!I77+SEPTIEMBRE!I77+OCTUBRE!I77+NOVIEMBRE!I77+DICIEMBRE!I77</f>
        <v>8864660.5199999996</v>
      </c>
      <c r="J77" s="16">
        <f>ENERO!J77+FEBRERO!J77+MARZO!J77+ABRIL!J77+MAYO!J77+JUNIO!J77+JULIO!J77+AGOSTO!J77+SEPTIEMBRE!J77+OCTUBRE!J77+NOVIEMBRE!J77+DICIEMBRE!J77</f>
        <v>45175944.369999975</v>
      </c>
      <c r="K77" s="16">
        <f>ENERO!K77+FEBRERO!K77+MARZO!K77+ABRIL!K77+MAYO!K77+JUNIO!K77+JULIO!K77+AGOSTO!K77+SEPTIEMBRE!K77+OCTUBRE!K77+NOVIEMBRE!K77+DICIEMBRE!K77</f>
        <v>0</v>
      </c>
      <c r="L77" s="16">
        <f>ENERO!L77+FEBRERO!L77+MARZO!L77+ABRIL!L77+MAYO!L77+JUNIO!L77+JULIO!L77+AGOSTO!L77+SEPTIEMBRE!L77+OCTUBRE!L77+NOVIEMBRE!L77+DICIEMBRE!L77</f>
        <v>0</v>
      </c>
      <c r="M77" s="16">
        <f>ENERO!M77+FEBRERO!M77+MARZO!M77+ABRIL!M77+MAYO!M77+JUNIO!M77+JULIO!M77+AGOSTO!M77+SEPTIEMBRE!M77+OCTUBRE!M77+NOVIEMBRE!M77+DICIEMBRE!M77</f>
        <v>29429.390000000003</v>
      </c>
      <c r="N77" s="18">
        <f t="shared" si="2"/>
        <v>937246401.90956473</v>
      </c>
      <c r="O77" s="4"/>
    </row>
    <row r="78" spans="1:15" ht="18" customHeight="1" x14ac:dyDescent="0.2">
      <c r="A78" s="17" t="s">
        <v>73</v>
      </c>
      <c r="B78" s="16">
        <f>ENERO!B78+FEBRERO!B78+MARZO!B78+ABRIL!B78+MAYO!B78+JUNIO!B78+JULIO!B78+AGOSTO!B78+SEPTIEMBRE!B78+OCTUBRE!B78+NOVIEMBRE!B78+DICIEMBRE!B78</f>
        <v>297725675.96999997</v>
      </c>
      <c r="C78" s="16">
        <f>ENERO!C78+FEBRERO!C78+MARZO!C78+ABRIL!C78+MAYO!C78+JUNIO!C78+JULIO!C78+AGOSTO!C78+SEPTIEMBRE!C78+OCTUBRE!C78+NOVIEMBRE!C78+DICIEMBRE!C78</f>
        <v>0</v>
      </c>
      <c r="D78" s="16">
        <f>ENERO!D78+FEBRERO!D78+MARZO!D78+ABRIL!D78+MAYO!D78+JUNIO!D78+JULIO!D78+AGOSTO!D78+SEPTIEMBRE!D78+OCTUBRE!D78+NOVIEMBRE!D78+DICIEMBRE!D78</f>
        <v>22982677.16544649</v>
      </c>
      <c r="E78" s="16">
        <f>ENERO!E78+FEBRERO!E78+MARZO!E78+ABRIL!E78+MAYO!E78+JUNIO!E78+JULIO!E78+AGOSTO!E78+SEPTIEMBRE!E78+OCTUBRE!E78+NOVIEMBRE!E78+DICIEMBRE!E78</f>
        <v>172992.83000000002</v>
      </c>
      <c r="F78" s="16">
        <f>ENERO!F78+FEBRERO!F78+MARZO!F78+ABRIL!F78+MAYO!F78+JUNIO!F78+JULIO!F78+AGOSTO!F78+SEPTIEMBRE!F78+OCTUBRE!F78+NOVIEMBRE!F78+DICIEMBRE!F78</f>
        <v>1361932.9900000002</v>
      </c>
      <c r="G78" s="16">
        <f>ENERO!G78+FEBRERO!G78+MARZO!G78+ABRIL!G78+MAYO!G78+JUNIO!G78+JULIO!G78+AGOSTO!G78+SEPTIEMBRE!G78+OCTUBRE!G78+NOVIEMBRE!G78+DICIEMBRE!G78</f>
        <v>489554.56</v>
      </c>
      <c r="H78" s="16">
        <f>ENERO!H78+FEBRERO!H78+MARZO!H78+ABRIL!H78+MAYO!H78+JUNIO!H78+JULIO!H78+AGOSTO!H78+SEPTIEMBRE!H78+OCTUBRE!H78+NOVIEMBRE!H78+DICIEMBRE!H78</f>
        <v>15807297.550000001</v>
      </c>
      <c r="I78" s="16">
        <f>ENERO!I78+FEBRERO!I78+MARZO!I78+ABRIL!I78+MAYO!I78+JUNIO!I78+JULIO!I78+AGOSTO!I78+SEPTIEMBRE!I78+OCTUBRE!I78+NOVIEMBRE!I78+DICIEMBRE!I78</f>
        <v>3148197.19</v>
      </c>
      <c r="J78" s="16">
        <f>ENERO!J78+FEBRERO!J78+MARZO!J78+ABRIL!J78+MAYO!J78+JUNIO!J78+JULIO!J78+AGOSTO!J78+SEPTIEMBRE!J78+OCTUBRE!J78+NOVIEMBRE!J78+DICIEMBRE!J78</f>
        <v>20105722.780000001</v>
      </c>
      <c r="K78" s="16">
        <f>ENERO!K78+FEBRERO!K78+MARZO!K78+ABRIL!K78+MAYO!K78+JUNIO!K78+JULIO!K78+AGOSTO!K78+SEPTIEMBRE!K78+OCTUBRE!K78+NOVIEMBRE!K78+DICIEMBRE!K78</f>
        <v>0</v>
      </c>
      <c r="L78" s="16">
        <f>ENERO!L78+FEBRERO!L78+MARZO!L78+ABRIL!L78+MAYO!L78+JUNIO!L78+JULIO!L78+AGOSTO!L78+SEPTIEMBRE!L78+OCTUBRE!L78+NOVIEMBRE!L78+DICIEMBRE!L78</f>
        <v>0</v>
      </c>
      <c r="M78" s="16">
        <f>ENERO!M78+FEBRERO!M78+MARZO!M78+ABRIL!M78+MAYO!M78+JUNIO!M78+JULIO!M78+AGOSTO!M78+SEPTIEMBRE!M78+OCTUBRE!M78+NOVIEMBRE!M78+DICIEMBRE!M78</f>
        <v>10451.4</v>
      </c>
      <c r="N78" s="18">
        <f t="shared" si="2"/>
        <v>361804502.43544638</v>
      </c>
      <c r="O78" s="4"/>
    </row>
    <row r="79" spans="1:15" ht="18" customHeight="1" x14ac:dyDescent="0.2">
      <c r="A79" s="17" t="s">
        <v>74</v>
      </c>
      <c r="B79" s="16">
        <f>ENERO!B79+FEBRERO!B79+MARZO!B79+ABRIL!B79+MAYO!B79+JUNIO!B79+JULIO!B79+AGOSTO!B79+SEPTIEMBRE!B79+OCTUBRE!B79+NOVIEMBRE!B79+DICIEMBRE!B79</f>
        <v>1239140599.5799999</v>
      </c>
      <c r="C79" s="16">
        <f>ENERO!C79+FEBRERO!C79+MARZO!C79+ABRIL!C79+MAYO!C79+JUNIO!C79+JULIO!C79+AGOSTO!C79+SEPTIEMBRE!C79+OCTUBRE!C79+NOVIEMBRE!C79+DICIEMBRE!C79</f>
        <v>0</v>
      </c>
      <c r="D79" s="16">
        <f>ENERO!D79+FEBRERO!D79+MARZO!D79+ABRIL!D79+MAYO!D79+JUNIO!D79+JULIO!D79+AGOSTO!D79+SEPTIEMBRE!D79+OCTUBRE!D79+NOVIEMBRE!D79+DICIEMBRE!D79</f>
        <v>162380454.48328176</v>
      </c>
      <c r="E79" s="16">
        <f>ENERO!E79+FEBRERO!E79+MARZO!E79+ABRIL!E79+MAYO!E79+JUNIO!E79+JULIO!E79+AGOSTO!E79+SEPTIEMBRE!E79+OCTUBRE!E79+NOVIEMBRE!E79+DICIEMBRE!E79</f>
        <v>726477.15</v>
      </c>
      <c r="F79" s="16">
        <f>ENERO!F79+FEBRERO!F79+MARZO!F79+ABRIL!F79+MAYO!F79+JUNIO!F79+JULIO!F79+AGOSTO!F79+SEPTIEMBRE!F79+OCTUBRE!F79+NOVIEMBRE!F79+DICIEMBRE!F79</f>
        <v>6845505.5099999998</v>
      </c>
      <c r="G79" s="16">
        <f>ENERO!G79+FEBRERO!G79+MARZO!G79+ABRIL!G79+MAYO!G79+JUNIO!G79+JULIO!G79+AGOSTO!G79+SEPTIEMBRE!G79+OCTUBRE!G79+NOVIEMBRE!G79+DICIEMBRE!G79</f>
        <v>3644461.6400000006</v>
      </c>
      <c r="H79" s="16">
        <f>ENERO!H79+FEBRERO!H79+MARZO!H79+ABRIL!H79+MAYO!H79+JUNIO!H79+JULIO!H79+AGOSTO!H79+SEPTIEMBRE!H79+OCTUBRE!H79+NOVIEMBRE!H79+DICIEMBRE!H79</f>
        <v>65790308.599999987</v>
      </c>
      <c r="I79" s="16">
        <f>ENERO!I79+FEBRERO!I79+MARZO!I79+ABRIL!I79+MAYO!I79+JUNIO!I79+JULIO!I79+AGOSTO!I79+SEPTIEMBRE!I79+OCTUBRE!I79+NOVIEMBRE!I79+DICIEMBRE!I79</f>
        <v>15823833.24</v>
      </c>
      <c r="J79" s="16">
        <f>ENERO!J79+FEBRERO!J79+MARZO!J79+ABRIL!J79+MAYO!J79+JUNIO!J79+JULIO!J79+AGOSTO!J79+SEPTIEMBRE!J79+OCTUBRE!J79+NOVIEMBRE!J79+DICIEMBRE!J79</f>
        <v>110468553.46000001</v>
      </c>
      <c r="K79" s="16">
        <f>ENERO!K79+FEBRERO!K79+MARZO!K79+ABRIL!K79+MAYO!K79+JUNIO!K79+JULIO!K79+AGOSTO!K79+SEPTIEMBRE!K79+OCTUBRE!K79+NOVIEMBRE!K79+DICIEMBRE!K79</f>
        <v>0</v>
      </c>
      <c r="L79" s="16">
        <f>ENERO!L79+FEBRERO!L79+MARZO!L79+ABRIL!L79+MAYO!L79+JUNIO!L79+JULIO!L79+AGOSTO!L79+SEPTIEMBRE!L79+OCTUBRE!L79+NOVIEMBRE!L79+DICIEMBRE!L79</f>
        <v>0</v>
      </c>
      <c r="M79" s="16">
        <f>ENERO!M79+FEBRERO!M79+MARZO!M79+ABRIL!M79+MAYO!M79+JUNIO!M79+JULIO!M79+AGOSTO!M79+SEPTIEMBRE!M79+OCTUBRE!M79+NOVIEMBRE!M79+DICIEMBRE!M79</f>
        <v>52533.170000000013</v>
      </c>
      <c r="N79" s="18">
        <f t="shared" si="2"/>
        <v>1604872726.833282</v>
      </c>
      <c r="O79" s="4"/>
    </row>
    <row r="80" spans="1:15" ht="18" customHeight="1" x14ac:dyDescent="0.2">
      <c r="A80" s="17" t="s">
        <v>75</v>
      </c>
      <c r="B80" s="16">
        <f>ENERO!B80+FEBRERO!B80+MARZO!B80+ABRIL!B80+MAYO!B80+JUNIO!B80+JULIO!B80+AGOSTO!B80+SEPTIEMBRE!B80+OCTUBRE!B80+NOVIEMBRE!B80+DICIEMBRE!B80</f>
        <v>756430573.53999996</v>
      </c>
      <c r="C80" s="16">
        <f>ENERO!C80+FEBRERO!C80+MARZO!C80+ABRIL!C80+MAYO!C80+JUNIO!C80+JULIO!C80+AGOSTO!C80+SEPTIEMBRE!C80+OCTUBRE!C80+NOVIEMBRE!C80+DICIEMBRE!C80</f>
        <v>0</v>
      </c>
      <c r="D80" s="16">
        <f>ENERO!D80+FEBRERO!D80+MARZO!D80+ABRIL!D80+MAYO!D80+JUNIO!D80+JULIO!D80+AGOSTO!D80+SEPTIEMBRE!D80+OCTUBRE!D80+NOVIEMBRE!D80+DICIEMBRE!D80</f>
        <v>160548222.81134954</v>
      </c>
      <c r="E80" s="16">
        <f>ENERO!E80+FEBRERO!E80+MARZO!E80+ABRIL!E80+MAYO!E80+JUNIO!E80+JULIO!E80+AGOSTO!E80+SEPTIEMBRE!E80+OCTUBRE!E80+NOVIEMBRE!E80+DICIEMBRE!E80</f>
        <v>439560.33999999997</v>
      </c>
      <c r="F80" s="16">
        <f>ENERO!F80+FEBRERO!F80+MARZO!F80+ABRIL!F80+MAYO!F80+JUNIO!F80+JULIO!F80+AGOSTO!F80+SEPTIEMBRE!F80+OCTUBRE!F80+NOVIEMBRE!F80+DICIEMBRE!F80</f>
        <v>2214933.17</v>
      </c>
      <c r="G80" s="16">
        <f>ENERO!G80+FEBRERO!G80+MARZO!G80+ABRIL!G80+MAYO!G80+JUNIO!G80+JULIO!G80+AGOSTO!G80+SEPTIEMBRE!G80+OCTUBRE!G80+NOVIEMBRE!G80+DICIEMBRE!G80</f>
        <v>1523058.6099999999</v>
      </c>
      <c r="H80" s="16">
        <f>ENERO!H80+FEBRERO!H80+MARZO!H80+ABRIL!H80+MAYO!H80+JUNIO!H80+JULIO!H80+AGOSTO!H80+SEPTIEMBRE!H80+OCTUBRE!H80+NOVIEMBRE!H80+DICIEMBRE!H80</f>
        <v>40161544.969999999</v>
      </c>
      <c r="I80" s="16">
        <f>ENERO!I80+FEBRERO!I80+MARZO!I80+ABRIL!I80+MAYO!I80+JUNIO!I80+JULIO!I80+AGOSTO!I80+SEPTIEMBRE!I80+OCTUBRE!I80+NOVIEMBRE!I80+DICIEMBRE!I80</f>
        <v>5119962.8099999996</v>
      </c>
      <c r="J80" s="16">
        <f>ENERO!J80+FEBRERO!J80+MARZO!J80+ABRIL!J80+MAYO!J80+JUNIO!J80+JULIO!J80+AGOSTO!J80+SEPTIEMBRE!J80+OCTUBRE!J80+NOVIEMBRE!J80+DICIEMBRE!J80</f>
        <v>73177029.679999992</v>
      </c>
      <c r="K80" s="16">
        <f>ENERO!K80+FEBRERO!K80+MARZO!K80+ABRIL!K80+MAYO!K80+JUNIO!K80+JULIO!K80+AGOSTO!K80+SEPTIEMBRE!K80+OCTUBRE!K80+NOVIEMBRE!K80+DICIEMBRE!K80</f>
        <v>0</v>
      </c>
      <c r="L80" s="16">
        <f>ENERO!L80+FEBRERO!L80+MARZO!L80+ABRIL!L80+MAYO!L80+JUNIO!L80+JULIO!L80+AGOSTO!L80+SEPTIEMBRE!L80+OCTUBRE!L80+NOVIEMBRE!L80+DICIEMBRE!L80</f>
        <v>0</v>
      </c>
      <c r="M80" s="16">
        <f>ENERO!M80+FEBRERO!M80+MARZO!M80+ABRIL!M80+MAYO!M80+JUNIO!M80+JULIO!M80+AGOSTO!M80+SEPTIEMBRE!M80+OCTUBRE!M80+NOVIEMBRE!M80+DICIEMBRE!M80</f>
        <v>16997.399999999998</v>
      </c>
      <c r="N80" s="18">
        <f t="shared" si="2"/>
        <v>1039631883.3313494</v>
      </c>
      <c r="O80" s="4"/>
    </row>
    <row r="81" spans="1:15" ht="18" customHeight="1" x14ac:dyDescent="0.2">
      <c r="A81" s="17" t="s">
        <v>76</v>
      </c>
      <c r="B81" s="16">
        <f>ENERO!B81+FEBRERO!B81+MARZO!B81+ABRIL!B81+MAYO!B81+JUNIO!B81+JULIO!B81+AGOSTO!B81+SEPTIEMBRE!B81+OCTUBRE!B81+NOVIEMBRE!B81+DICIEMBRE!B81</f>
        <v>366078210.28999996</v>
      </c>
      <c r="C81" s="16">
        <f>ENERO!C81+FEBRERO!C81+MARZO!C81+ABRIL!C81+MAYO!C81+JUNIO!C81+JULIO!C81+AGOSTO!C81+SEPTIEMBRE!C81+OCTUBRE!C81+NOVIEMBRE!C81+DICIEMBRE!C81</f>
        <v>0</v>
      </c>
      <c r="D81" s="16">
        <f>ENERO!D81+FEBRERO!D81+MARZO!D81+ABRIL!D81+MAYO!D81+JUNIO!D81+JULIO!D81+AGOSTO!D81+SEPTIEMBRE!D81+OCTUBRE!D81+NOVIEMBRE!D81+DICIEMBRE!D81</f>
        <v>50606318.285963014</v>
      </c>
      <c r="E81" s="16">
        <f>ENERO!E81+FEBRERO!E81+MARZO!E81+ABRIL!E81+MAYO!E81+JUNIO!E81+JULIO!E81+AGOSTO!E81+SEPTIEMBRE!E81+OCTUBRE!E81+NOVIEMBRE!E81+DICIEMBRE!E81</f>
        <v>217282.16999999998</v>
      </c>
      <c r="F81" s="16">
        <f>ENERO!F81+FEBRERO!F81+MARZO!F81+ABRIL!F81+MAYO!F81+JUNIO!F81+JULIO!F81+AGOSTO!F81+SEPTIEMBRE!F81+OCTUBRE!F81+NOVIEMBRE!F81+DICIEMBRE!F81</f>
        <v>5752375.0500000007</v>
      </c>
      <c r="G81" s="16">
        <f>ENERO!G81+FEBRERO!G81+MARZO!G81+ABRIL!G81+MAYO!G81+JUNIO!G81+JULIO!G81+AGOSTO!G81+SEPTIEMBRE!G81+OCTUBRE!G81+NOVIEMBRE!G81+DICIEMBRE!G81</f>
        <v>3141308.34</v>
      </c>
      <c r="H81" s="16">
        <f>ENERO!H81+FEBRERO!H81+MARZO!H81+ABRIL!H81+MAYO!H81+JUNIO!H81+JULIO!H81+AGOSTO!H81+SEPTIEMBRE!H81+OCTUBRE!H81+NOVIEMBRE!H81+DICIEMBRE!H81</f>
        <v>19436372.68</v>
      </c>
      <c r="I81" s="16">
        <f>ENERO!I81+FEBRERO!I81+MARZO!I81+ABRIL!I81+MAYO!I81+JUNIO!I81+JULIO!I81+AGOSTO!I81+SEPTIEMBRE!I81+OCTUBRE!I81+NOVIEMBRE!I81+DICIEMBRE!I81</f>
        <v>13296990.76</v>
      </c>
      <c r="J81" s="16">
        <f>ENERO!J81+FEBRERO!J81+MARZO!J81+ABRIL!J81+MAYO!J81+JUNIO!J81+JULIO!J81+AGOSTO!J81+SEPTIEMBRE!J81+OCTUBRE!J81+NOVIEMBRE!J81+DICIEMBRE!J81</f>
        <v>83556891.38000001</v>
      </c>
      <c r="K81" s="16">
        <f>ENERO!K81+FEBRERO!K81+MARZO!K81+ABRIL!K81+MAYO!K81+JUNIO!K81+JULIO!K81+AGOSTO!K81+SEPTIEMBRE!K81+OCTUBRE!K81+NOVIEMBRE!K81+DICIEMBRE!K81</f>
        <v>0</v>
      </c>
      <c r="L81" s="16">
        <f>ENERO!L81+FEBRERO!L81+MARZO!L81+ABRIL!L81+MAYO!L81+JUNIO!L81+JULIO!L81+AGOSTO!L81+SEPTIEMBRE!L81+OCTUBRE!L81+NOVIEMBRE!L81+DICIEMBRE!L81</f>
        <v>0</v>
      </c>
      <c r="M81" s="16">
        <f>ENERO!M81+FEBRERO!M81+MARZO!M81+ABRIL!M81+MAYO!M81+JUNIO!M81+JULIO!M81+AGOSTO!M81+SEPTIEMBRE!M81+OCTUBRE!M81+NOVIEMBRE!M81+DICIEMBRE!M81</f>
        <v>44144.33</v>
      </c>
      <c r="N81" s="18">
        <f t="shared" si="2"/>
        <v>542129893.28596306</v>
      </c>
      <c r="O81" s="4"/>
    </row>
    <row r="82" spans="1:15" ht="18" customHeight="1" x14ac:dyDescent="0.2">
      <c r="A82" s="17" t="s">
        <v>77</v>
      </c>
      <c r="B82" s="16">
        <f>ENERO!B82+FEBRERO!B82+MARZO!B82+ABRIL!B82+MAYO!B82+JUNIO!B82+JULIO!B82+AGOSTO!B82+SEPTIEMBRE!B82+OCTUBRE!B82+NOVIEMBRE!B82+DICIEMBRE!B82</f>
        <v>5108705251.3400002</v>
      </c>
      <c r="C82" s="16">
        <f>ENERO!C82+FEBRERO!C82+MARZO!C82+ABRIL!C82+MAYO!C82+JUNIO!C82+JULIO!C82+AGOSTO!C82+SEPTIEMBRE!C82+OCTUBRE!C82+NOVIEMBRE!C82+DICIEMBRE!C82</f>
        <v>0</v>
      </c>
      <c r="D82" s="16">
        <f>ENERO!D82+FEBRERO!D82+MARZO!D82+ABRIL!D82+MAYO!D82+JUNIO!D82+JULIO!D82+AGOSTO!D82+SEPTIEMBRE!D82+OCTUBRE!D82+NOVIEMBRE!D82+DICIEMBRE!D82</f>
        <v>55378144.75</v>
      </c>
      <c r="E82" s="16">
        <f>ENERO!E82+FEBRERO!E82+MARZO!E82+ABRIL!E82+MAYO!E82+JUNIO!E82+JULIO!E82+AGOSTO!E82+SEPTIEMBRE!E82+OCTUBRE!E82+NOVIEMBRE!E82+DICIEMBRE!E82</f>
        <v>4177209.67</v>
      </c>
      <c r="F82" s="16">
        <f>ENERO!F82+FEBRERO!F82+MARZO!F82+ABRIL!F82+MAYO!F82+JUNIO!F82+JULIO!F82+AGOSTO!F82+SEPTIEMBRE!F82+OCTUBRE!F82+NOVIEMBRE!F82+DICIEMBRE!F82</f>
        <v>165786676.17000002</v>
      </c>
      <c r="G82" s="16">
        <f>ENERO!G82+FEBRERO!G82+MARZO!G82+ABRIL!G82+MAYO!G82+JUNIO!G82+JULIO!G82+AGOSTO!G82+SEPTIEMBRE!G82+OCTUBRE!G82+NOVIEMBRE!G82+DICIEMBRE!G82</f>
        <v>127084763.08355887</v>
      </c>
      <c r="H82" s="16">
        <f>ENERO!H82+FEBRERO!H82+MARZO!H82+ABRIL!H82+MAYO!H82+JUNIO!H82+JULIO!H82+AGOSTO!H82+SEPTIEMBRE!H82+OCTUBRE!H82+NOVIEMBRE!H82+DICIEMBRE!H82</f>
        <v>271239030.52000004</v>
      </c>
      <c r="I82" s="16">
        <f>ENERO!I82+FEBRERO!I82+MARZO!I82+ABRIL!I82+MAYO!I82+JUNIO!I82+JULIO!I82+AGOSTO!I82+SEPTIEMBRE!I82+OCTUBRE!I82+NOVIEMBRE!I82+DICIEMBRE!I82</f>
        <v>383226729.91000003</v>
      </c>
      <c r="J82" s="16">
        <f>ENERO!J82+FEBRERO!J82+MARZO!J82+ABRIL!J82+MAYO!J82+JUNIO!J82+JULIO!J82+AGOSTO!J82+SEPTIEMBRE!J82+OCTUBRE!J82+NOVIEMBRE!J82+DICIEMBRE!J82</f>
        <v>690690797.92000031</v>
      </c>
      <c r="K82" s="16">
        <f>ENERO!K82+FEBRERO!K82+MARZO!K82+ABRIL!K82+MAYO!K82+JUNIO!K82+JULIO!K82+AGOSTO!K82+SEPTIEMBRE!K82+OCTUBRE!K82+NOVIEMBRE!K82+DICIEMBRE!K82</f>
        <v>0</v>
      </c>
      <c r="L82" s="16">
        <f>ENERO!L82+FEBRERO!L82+MARZO!L82+ABRIL!L82+MAYO!L82+JUNIO!L82+JULIO!L82+AGOSTO!L82+SEPTIEMBRE!L82+OCTUBRE!L82+NOVIEMBRE!L82+DICIEMBRE!L82</f>
        <v>0</v>
      </c>
      <c r="M82" s="16">
        <f>ENERO!M82+FEBRERO!M82+MARZO!M82+ABRIL!M82+MAYO!M82+JUNIO!M82+JULIO!M82+AGOSTO!M82+SEPTIEMBRE!M82+OCTUBRE!M82+NOVIEMBRE!M82+DICIEMBRE!M82</f>
        <v>1272273.8799999999</v>
      </c>
      <c r="N82" s="18">
        <f t="shared" si="2"/>
        <v>6807560877.2435598</v>
      </c>
      <c r="O82" s="4"/>
    </row>
    <row r="83" spans="1:15" ht="18" customHeight="1" x14ac:dyDescent="0.2">
      <c r="A83" s="17" t="s">
        <v>78</v>
      </c>
      <c r="B83" s="16">
        <f>ENERO!B83+FEBRERO!B83+MARZO!B83+ABRIL!B83+MAYO!B83+JUNIO!B83+JULIO!B83+AGOSTO!B83+SEPTIEMBRE!B83+OCTUBRE!B83+NOVIEMBRE!B83+DICIEMBRE!B83</f>
        <v>1589615477.3799996</v>
      </c>
      <c r="C83" s="16">
        <f>ENERO!C83+FEBRERO!C83+MARZO!C83+ABRIL!C83+MAYO!C83+JUNIO!C83+JULIO!C83+AGOSTO!C83+SEPTIEMBRE!C83+OCTUBRE!C83+NOVIEMBRE!C83+DICIEMBRE!C83</f>
        <v>0</v>
      </c>
      <c r="D83" s="16">
        <f>ENERO!D83+FEBRERO!D83+MARZO!D83+ABRIL!D83+MAYO!D83+JUNIO!D83+JULIO!D83+AGOSTO!D83+SEPTIEMBRE!D83+OCTUBRE!D83+NOVIEMBRE!D83+DICIEMBRE!D83</f>
        <v>59147564.841033027</v>
      </c>
      <c r="E83" s="16">
        <f>ENERO!E83+FEBRERO!E83+MARZO!E83+ABRIL!E83+MAYO!E83+JUNIO!E83+JULIO!E83+AGOSTO!E83+SEPTIEMBRE!E83+OCTUBRE!E83+NOVIEMBRE!E83+DICIEMBRE!E83</f>
        <v>1312591.9000000001</v>
      </c>
      <c r="F83" s="16">
        <f>ENERO!F83+FEBRERO!F83+MARZO!F83+ABRIL!F83+MAYO!F83+JUNIO!F83+JULIO!F83+AGOSTO!F83+SEPTIEMBRE!F83+OCTUBRE!F83+NOVIEMBRE!F83+DICIEMBRE!F83</f>
        <v>18357423.800000001</v>
      </c>
      <c r="G83" s="16">
        <f>ENERO!G83+FEBRERO!G83+MARZO!G83+ABRIL!G83+MAYO!G83+JUNIO!G83+JULIO!G83+AGOSTO!G83+SEPTIEMBRE!G83+OCTUBRE!G83+NOVIEMBRE!G83+DICIEMBRE!G83</f>
        <v>9247141.5200000014</v>
      </c>
      <c r="H83" s="16">
        <f>ENERO!H83+FEBRERO!H83+MARZO!H83+ABRIL!H83+MAYO!H83+JUNIO!H83+JULIO!H83+AGOSTO!H83+SEPTIEMBRE!H83+OCTUBRE!H83+NOVIEMBRE!H83+DICIEMBRE!H83</f>
        <v>84398245.730000004</v>
      </c>
      <c r="I83" s="16">
        <f>ENERO!I83+FEBRERO!I83+MARZO!I83+ABRIL!I83+MAYO!I83+JUNIO!I83+JULIO!I83+AGOSTO!I83+SEPTIEMBRE!I83+OCTUBRE!I83+NOVIEMBRE!I83+DICIEMBRE!I83</f>
        <v>42434384.239999995</v>
      </c>
      <c r="J83" s="16">
        <f>ENERO!J83+FEBRERO!J83+MARZO!J83+ABRIL!J83+MAYO!J83+JUNIO!J83+JULIO!J83+AGOSTO!J83+SEPTIEMBRE!J83+OCTUBRE!J83+NOVIEMBRE!J83+DICIEMBRE!J83</f>
        <v>150805697.44</v>
      </c>
      <c r="K83" s="16">
        <f>ENERO!K83+FEBRERO!K83+MARZO!K83+ABRIL!K83+MAYO!K83+JUNIO!K83+JULIO!K83+AGOSTO!K83+SEPTIEMBRE!K83+OCTUBRE!K83+NOVIEMBRE!K83+DICIEMBRE!K83</f>
        <v>0</v>
      </c>
      <c r="L83" s="16">
        <f>ENERO!L83+FEBRERO!L83+MARZO!L83+ABRIL!L83+MAYO!L83+JUNIO!L83+JULIO!L83+AGOSTO!L83+SEPTIEMBRE!L83+OCTUBRE!L83+NOVIEMBRE!L83+DICIEMBRE!L83</f>
        <v>0</v>
      </c>
      <c r="M83" s="16">
        <f>ENERO!M83+FEBRERO!M83+MARZO!M83+ABRIL!M83+MAYO!M83+JUNIO!M83+JULIO!M83+AGOSTO!M83+SEPTIEMBRE!M83+OCTUBRE!M83+NOVIEMBRE!M83+DICIEMBRE!M83</f>
        <v>140877.54</v>
      </c>
      <c r="N83" s="18">
        <f t="shared" si="2"/>
        <v>1955459404.3910327</v>
      </c>
      <c r="O83" s="4"/>
    </row>
    <row r="84" spans="1:15" ht="18" customHeight="1" x14ac:dyDescent="0.2">
      <c r="A84" s="17" t="s">
        <v>79</v>
      </c>
      <c r="B84" s="16">
        <f>ENERO!B84+FEBRERO!B84+MARZO!B84+ABRIL!B84+MAYO!B84+JUNIO!B84+JULIO!B84+AGOSTO!B84+SEPTIEMBRE!B84+OCTUBRE!B84+NOVIEMBRE!B84+DICIEMBRE!B84</f>
        <v>590857268.14999998</v>
      </c>
      <c r="C84" s="16">
        <f>ENERO!C84+FEBRERO!C84+MARZO!C84+ABRIL!C84+MAYO!C84+JUNIO!C84+JULIO!C84+AGOSTO!C84+SEPTIEMBRE!C84+OCTUBRE!C84+NOVIEMBRE!C84+DICIEMBRE!C84</f>
        <v>0</v>
      </c>
      <c r="D84" s="16">
        <f>ENERO!D84+FEBRERO!D84+MARZO!D84+ABRIL!D84+MAYO!D84+JUNIO!D84+JULIO!D84+AGOSTO!D84+SEPTIEMBRE!D84+OCTUBRE!D84+NOVIEMBRE!D84+DICIEMBRE!D84</f>
        <v>42598751.660819195</v>
      </c>
      <c r="E84" s="16">
        <f>ENERO!E84+FEBRERO!E84+MARZO!E84+ABRIL!E84+MAYO!E84+JUNIO!E84+JULIO!E84+AGOSTO!E84+SEPTIEMBRE!E84+OCTUBRE!E84+NOVIEMBRE!E84+DICIEMBRE!E84</f>
        <v>344633.54</v>
      </c>
      <c r="F84" s="16">
        <f>ENERO!F84+FEBRERO!F84+MARZO!F84+ABRIL!F84+MAYO!F84+JUNIO!F84+JULIO!F84+AGOSTO!F84+SEPTIEMBRE!F84+OCTUBRE!F84+NOVIEMBRE!F84+DICIEMBRE!F84</f>
        <v>3684387.25</v>
      </c>
      <c r="G84" s="16">
        <f>ENERO!G84+FEBRERO!G84+MARZO!G84+ABRIL!G84+MAYO!G84+JUNIO!G84+JULIO!G84+AGOSTO!G84+SEPTIEMBRE!G84+OCTUBRE!G84+NOVIEMBRE!G84+DICIEMBRE!G84</f>
        <v>827366.89558220969</v>
      </c>
      <c r="H84" s="16">
        <f>ENERO!H84+FEBRERO!H84+MARZO!H84+ABRIL!H84+MAYO!H84+JUNIO!H84+JULIO!H84+AGOSTO!H84+SEPTIEMBRE!H84+OCTUBRE!H84+NOVIEMBRE!H84+DICIEMBRE!H84</f>
        <v>31370679.049999997</v>
      </c>
      <c r="I84" s="16">
        <f>ENERO!I84+FEBRERO!I84+MARZO!I84+ABRIL!I84+MAYO!I84+JUNIO!I84+JULIO!I84+AGOSTO!I84+SEPTIEMBRE!I84+OCTUBRE!I84+NOVIEMBRE!I84+DICIEMBRE!I84</f>
        <v>8516701.870000001</v>
      </c>
      <c r="J84" s="16">
        <f>ENERO!J84+FEBRERO!J84+MARZO!J84+ABRIL!J84+MAYO!J84+JUNIO!J84+JULIO!J84+AGOSTO!J84+SEPTIEMBRE!J84+OCTUBRE!J84+NOVIEMBRE!J84+DICIEMBRE!J84</f>
        <v>61070053.5</v>
      </c>
      <c r="K84" s="16">
        <f>ENERO!K84+FEBRERO!K84+MARZO!K84+ABRIL!K84+MAYO!K84+JUNIO!K84+JULIO!K84+AGOSTO!K84+SEPTIEMBRE!K84+OCTUBRE!K84+NOVIEMBRE!K84+DICIEMBRE!K84</f>
        <v>0</v>
      </c>
      <c r="L84" s="16">
        <f>ENERO!L84+FEBRERO!L84+MARZO!L84+ABRIL!L84+MAYO!L84+JUNIO!L84+JULIO!L84+AGOSTO!L84+SEPTIEMBRE!L84+OCTUBRE!L84+NOVIEMBRE!L84+DICIEMBRE!L84</f>
        <v>0</v>
      </c>
      <c r="M84" s="16">
        <f>ENERO!M84+FEBRERO!M84+MARZO!M84+ABRIL!M84+MAYO!M84+JUNIO!M84+JULIO!M84+AGOSTO!M84+SEPTIEMBRE!M84+OCTUBRE!M84+NOVIEMBRE!M84+DICIEMBRE!M84</f>
        <v>28274.19</v>
      </c>
      <c r="N84" s="18">
        <f t="shared" si="2"/>
        <v>739298116.10640132</v>
      </c>
      <c r="O84" s="4"/>
    </row>
    <row r="85" spans="1:15" ht="18" customHeight="1" x14ac:dyDescent="0.2">
      <c r="A85" s="17" t="s">
        <v>80</v>
      </c>
      <c r="B85" s="16">
        <f>ENERO!B85+FEBRERO!B85+MARZO!B85+ABRIL!B85+MAYO!B85+JUNIO!B85+JULIO!B85+AGOSTO!B85+SEPTIEMBRE!B85+OCTUBRE!B85+NOVIEMBRE!B85+DICIEMBRE!B85</f>
        <v>580303289.16000009</v>
      </c>
      <c r="C85" s="16">
        <f>ENERO!C85+FEBRERO!C85+MARZO!C85+ABRIL!C85+MAYO!C85+JUNIO!C85+JULIO!C85+AGOSTO!C85+SEPTIEMBRE!C85+OCTUBRE!C85+NOVIEMBRE!C85+DICIEMBRE!C85</f>
        <v>0</v>
      </c>
      <c r="D85" s="16">
        <f>ENERO!D85+FEBRERO!D85+MARZO!D85+ABRIL!D85+MAYO!D85+JUNIO!D85+JULIO!D85+AGOSTO!D85+SEPTIEMBRE!D85+OCTUBRE!D85+NOVIEMBRE!D85+DICIEMBRE!D85</f>
        <v>40988483.16684223</v>
      </c>
      <c r="E85" s="16">
        <f>ENERO!E85+FEBRERO!E85+MARZO!E85+ABRIL!E85+MAYO!E85+JUNIO!E85+JULIO!E85+AGOSTO!E85+SEPTIEMBRE!E85+OCTUBRE!E85+NOVIEMBRE!E85+DICIEMBRE!E85</f>
        <v>342394.24</v>
      </c>
      <c r="F85" s="16">
        <f>ENERO!F85+FEBRERO!F85+MARZO!F85+ABRIL!F85+MAYO!F85+JUNIO!F85+JULIO!F85+AGOSTO!F85+SEPTIEMBRE!F85+OCTUBRE!F85+NOVIEMBRE!F85+DICIEMBRE!F85</f>
        <v>1741840.6300000001</v>
      </c>
      <c r="G85" s="16">
        <f>ENERO!G85+FEBRERO!G85+MARZO!G85+ABRIL!G85+MAYO!G85+JUNIO!G85+JULIO!G85+AGOSTO!G85+SEPTIEMBRE!G85+OCTUBRE!G85+NOVIEMBRE!G85+DICIEMBRE!G85</f>
        <v>883917.95</v>
      </c>
      <c r="H85" s="16">
        <f>ENERO!H85+FEBRERO!H85+MARZO!H85+ABRIL!H85+MAYO!H85+JUNIO!H85+JULIO!H85+AGOSTO!H85+SEPTIEMBRE!H85+OCTUBRE!H85+NOVIEMBRE!H85+DICIEMBRE!H85</f>
        <v>30810331.409999996</v>
      </c>
      <c r="I85" s="16">
        <f>ENERO!I85+FEBRERO!I85+MARZO!I85+ABRIL!I85+MAYO!I85+JUNIO!I85+JULIO!I85+AGOSTO!I85+SEPTIEMBRE!I85+OCTUBRE!I85+NOVIEMBRE!I85+DICIEMBRE!I85</f>
        <v>4026378.5199999996</v>
      </c>
      <c r="J85" s="16">
        <f>ENERO!J85+FEBRERO!J85+MARZO!J85+ABRIL!J85+MAYO!J85+JUNIO!J85+JULIO!J85+AGOSTO!J85+SEPTIEMBRE!J85+OCTUBRE!J85+NOVIEMBRE!J85+DICIEMBRE!J85</f>
        <v>35742437.229999997</v>
      </c>
      <c r="K85" s="16">
        <f>ENERO!K85+FEBRERO!K85+MARZO!K85+ABRIL!K85+MAYO!K85+JUNIO!K85+JULIO!K85+AGOSTO!K85+SEPTIEMBRE!K85+OCTUBRE!K85+NOVIEMBRE!K85+DICIEMBRE!K85</f>
        <v>0</v>
      </c>
      <c r="L85" s="16">
        <f>ENERO!L85+FEBRERO!L85+MARZO!L85+ABRIL!L85+MAYO!L85+JUNIO!L85+JULIO!L85+AGOSTO!L85+SEPTIEMBRE!L85+OCTUBRE!L85+NOVIEMBRE!L85+DICIEMBRE!L85</f>
        <v>0</v>
      </c>
      <c r="M85" s="16">
        <f>ENERO!M85+FEBRERO!M85+MARZO!M85+ABRIL!M85+MAYO!M85+JUNIO!M85+JULIO!M85+AGOSTO!M85+SEPTIEMBRE!M85+OCTUBRE!M85+NOVIEMBRE!M85+DICIEMBRE!M85</f>
        <v>13366.819999999998</v>
      </c>
      <c r="N85" s="18">
        <f t="shared" si="2"/>
        <v>694852439.12684238</v>
      </c>
      <c r="O85" s="4"/>
    </row>
    <row r="86" spans="1:15" ht="18" customHeight="1" x14ac:dyDescent="0.2">
      <c r="A86" s="17" t="s">
        <v>81</v>
      </c>
      <c r="B86" s="16">
        <f>ENERO!B86+FEBRERO!B86+MARZO!B86+ABRIL!B86+MAYO!B86+JUNIO!B86+JULIO!B86+AGOSTO!B86+SEPTIEMBRE!B86+OCTUBRE!B86+NOVIEMBRE!B86+DICIEMBRE!B86</f>
        <v>6935040269.8199997</v>
      </c>
      <c r="C86" s="16">
        <f>ENERO!C86+FEBRERO!C86+MARZO!C86+ABRIL!C86+MAYO!C86+JUNIO!C86+JULIO!C86+AGOSTO!C86+SEPTIEMBRE!C86+OCTUBRE!C86+NOVIEMBRE!C86+DICIEMBRE!C86</f>
        <v>0</v>
      </c>
      <c r="D86" s="16">
        <f>ENERO!D86+FEBRERO!D86+MARZO!D86+ABRIL!D86+MAYO!D86+JUNIO!D86+JULIO!D86+AGOSTO!D86+SEPTIEMBRE!D86+OCTUBRE!D86+NOVIEMBRE!D86+DICIEMBRE!D86</f>
        <v>29635917.550000001</v>
      </c>
      <c r="E86" s="16">
        <f>ENERO!E86+FEBRERO!E86+MARZO!E86+ABRIL!E86+MAYO!E86+JUNIO!E86+JULIO!E86+AGOSTO!E86+SEPTIEMBRE!E86+OCTUBRE!E86+NOVIEMBRE!E86+DICIEMBRE!E86</f>
        <v>5655803.5199999996</v>
      </c>
      <c r="F86" s="16">
        <f>ENERO!F86+FEBRERO!F86+MARZO!F86+ABRIL!F86+MAYO!F86+JUNIO!F86+JULIO!F86+AGOSTO!F86+SEPTIEMBRE!F86+OCTUBRE!F86+NOVIEMBRE!F86+DICIEMBRE!F86</f>
        <v>104019428.44</v>
      </c>
      <c r="G86" s="16">
        <f>ENERO!G86+FEBRERO!G86+MARZO!G86+ABRIL!G86+MAYO!G86+JUNIO!G86+JULIO!G86+AGOSTO!G86+SEPTIEMBRE!G86+OCTUBRE!G86+NOVIEMBRE!G86+DICIEMBRE!G86</f>
        <v>23778701.360177003</v>
      </c>
      <c r="H86" s="16">
        <f>ENERO!H86+FEBRERO!H86+MARZO!H86+ABRIL!H86+MAYO!H86+JUNIO!H86+JULIO!H86+AGOSTO!H86+SEPTIEMBRE!H86+OCTUBRE!H86+NOVIEMBRE!H86+DICIEMBRE!H86</f>
        <v>368205544.58999997</v>
      </c>
      <c r="I86" s="16">
        <f>ENERO!I86+FEBRERO!I86+MARZO!I86+ABRIL!I86+MAYO!I86+JUNIO!I86+JULIO!I86+AGOSTO!I86+SEPTIEMBRE!I86+OCTUBRE!I86+NOVIEMBRE!I86+DICIEMBRE!I86</f>
        <v>240447702.65000001</v>
      </c>
      <c r="J86" s="16">
        <f>ENERO!J86+FEBRERO!J86+MARZO!J86+ABRIL!J86+MAYO!J86+JUNIO!J86+JULIO!J86+AGOSTO!J86+SEPTIEMBRE!J86+OCTUBRE!J86+NOVIEMBRE!J86+DICIEMBRE!J86</f>
        <v>308494769.91000003</v>
      </c>
      <c r="K86" s="16">
        <f>ENERO!K86+FEBRERO!K86+MARZO!K86+ABRIL!K86+MAYO!K86+JUNIO!K86+JULIO!K86+AGOSTO!K86+SEPTIEMBRE!K86+OCTUBRE!K86+NOVIEMBRE!K86+DICIEMBRE!K86</f>
        <v>0</v>
      </c>
      <c r="L86" s="16">
        <f>ENERO!L86+FEBRERO!L86+MARZO!L86+ABRIL!L86+MAYO!L86+JUNIO!L86+JULIO!L86+AGOSTO!L86+SEPTIEMBRE!L86+OCTUBRE!L86+NOVIEMBRE!L86+DICIEMBRE!L86</f>
        <v>0</v>
      </c>
      <c r="M86" s="16">
        <f>ENERO!M86+FEBRERO!M86+MARZO!M86+ABRIL!M86+MAYO!M86+JUNIO!M86+JULIO!M86+AGOSTO!M86+SEPTIEMBRE!M86+OCTUBRE!M86+NOVIEMBRE!M86+DICIEMBRE!M86</f>
        <v>798261.85</v>
      </c>
      <c r="N86" s="18">
        <f t="shared" si="2"/>
        <v>8016076399.690177</v>
      </c>
      <c r="O86" s="4"/>
    </row>
    <row r="87" spans="1:15" ht="18" customHeight="1" x14ac:dyDescent="0.2">
      <c r="A87" s="17" t="s">
        <v>82</v>
      </c>
      <c r="B87" s="16">
        <f>ENERO!B87+FEBRERO!B87+MARZO!B87+ABRIL!B87+MAYO!B87+JUNIO!B87+JULIO!B87+AGOSTO!B87+SEPTIEMBRE!B87+OCTUBRE!B87+NOVIEMBRE!B87+DICIEMBRE!B87</f>
        <v>893611605.82000005</v>
      </c>
      <c r="C87" s="16">
        <f>ENERO!C87+FEBRERO!C87+MARZO!C87+ABRIL!C87+MAYO!C87+JUNIO!C87+JULIO!C87+AGOSTO!C87+SEPTIEMBRE!C87+OCTUBRE!C87+NOVIEMBRE!C87+DICIEMBRE!C87</f>
        <v>0</v>
      </c>
      <c r="D87" s="16">
        <f>ENERO!D87+FEBRERO!D87+MARZO!D87+ABRIL!D87+MAYO!D87+JUNIO!D87+JULIO!D87+AGOSTO!D87+SEPTIEMBRE!D87+OCTUBRE!D87+NOVIEMBRE!D87+DICIEMBRE!D87</f>
        <v>50600616.161872238</v>
      </c>
      <c r="E87" s="16">
        <f>ENERO!E87+FEBRERO!E87+MARZO!E87+ABRIL!E87+MAYO!E87+JUNIO!E87+JULIO!E87+AGOSTO!E87+SEPTIEMBRE!E87+OCTUBRE!E87+NOVIEMBRE!E87+DICIEMBRE!E87</f>
        <v>519889.95999999996</v>
      </c>
      <c r="F87" s="16">
        <f>ENERO!F87+FEBRERO!F87+MARZO!F87+ABRIL!F87+MAYO!F87+JUNIO!F87+JULIO!F87+AGOSTO!F87+SEPTIEMBRE!F87+OCTUBRE!F87+NOVIEMBRE!F87+DICIEMBRE!F87</f>
        <v>2953244.2300000004</v>
      </c>
      <c r="G87" s="16">
        <f>ENERO!G87+FEBRERO!G87+MARZO!G87+ABRIL!G87+MAYO!G87+JUNIO!G87+JULIO!G87+AGOSTO!G87+SEPTIEMBRE!G87+OCTUBRE!G87+NOVIEMBRE!G87+DICIEMBRE!G87</f>
        <v>1849428.2999999998</v>
      </c>
      <c r="H87" s="16">
        <f>ENERO!H87+FEBRERO!H87+MARZO!H87+ABRIL!H87+MAYO!H87+JUNIO!H87+JULIO!H87+AGOSTO!H87+SEPTIEMBRE!H87+OCTUBRE!H87+NOVIEMBRE!H87+DICIEMBRE!H87</f>
        <v>47444965.799999997</v>
      </c>
      <c r="I87" s="16">
        <f>ENERO!I87+FEBRERO!I87+MARZO!I87+ABRIL!I87+MAYO!I87+JUNIO!I87+JULIO!I87+AGOSTO!I87+SEPTIEMBRE!I87+OCTUBRE!I87+NOVIEMBRE!I87+DICIEMBRE!I87</f>
        <v>6826617.0600000005</v>
      </c>
      <c r="J87" s="16">
        <f>ENERO!J87+FEBRERO!J87+MARZO!J87+ABRIL!J87+MAYO!J87+JUNIO!J87+JULIO!J87+AGOSTO!J87+SEPTIEMBRE!J87+OCTUBRE!J87+NOVIEMBRE!J87+DICIEMBRE!J87</f>
        <v>67811427.739999995</v>
      </c>
      <c r="K87" s="16">
        <f>ENERO!K87+FEBRERO!K87+MARZO!K87+ABRIL!K87+MAYO!K87+JUNIO!K87+JULIO!K87+AGOSTO!K87+SEPTIEMBRE!K87+OCTUBRE!K87+NOVIEMBRE!K87+DICIEMBRE!K87</f>
        <v>0</v>
      </c>
      <c r="L87" s="16">
        <f>ENERO!L87+FEBRERO!L87+MARZO!L87+ABRIL!L87+MAYO!L87+JUNIO!L87+JULIO!L87+AGOSTO!L87+SEPTIEMBRE!L87+OCTUBRE!L87+NOVIEMBRE!L87+DICIEMBRE!L87</f>
        <v>0</v>
      </c>
      <c r="M87" s="16">
        <f>ENERO!M87+FEBRERO!M87+MARZO!M87+ABRIL!M87+MAYO!M87+JUNIO!M87+JULIO!M87+AGOSTO!M87+SEPTIEMBRE!M87+OCTUBRE!M87+NOVIEMBRE!M87+DICIEMBRE!M87</f>
        <v>22663.309999999998</v>
      </c>
      <c r="N87" s="18">
        <f t="shared" si="2"/>
        <v>1071640458.3818722</v>
      </c>
      <c r="O87" s="4"/>
    </row>
    <row r="88" spans="1:15" ht="18" customHeight="1" x14ac:dyDescent="0.2">
      <c r="A88" s="17" t="s">
        <v>83</v>
      </c>
      <c r="B88" s="16">
        <f>ENERO!B88+FEBRERO!B88+MARZO!B88+ABRIL!B88+MAYO!B88+JUNIO!B88+JULIO!B88+AGOSTO!B88+SEPTIEMBRE!B88+OCTUBRE!B88+NOVIEMBRE!B88+DICIEMBRE!B88</f>
        <v>867102493.96999991</v>
      </c>
      <c r="C88" s="16">
        <f>ENERO!C88+FEBRERO!C88+MARZO!C88+ABRIL!C88+MAYO!C88+JUNIO!C88+JULIO!C88+AGOSTO!C88+SEPTIEMBRE!C88+OCTUBRE!C88+NOVIEMBRE!C88+DICIEMBRE!C88</f>
        <v>0</v>
      </c>
      <c r="D88" s="16">
        <f>ENERO!D88+FEBRERO!D88+MARZO!D88+ABRIL!D88+MAYO!D88+JUNIO!D88+JULIO!D88+AGOSTO!D88+SEPTIEMBRE!D88+OCTUBRE!D88+NOVIEMBRE!D88+DICIEMBRE!D88</f>
        <v>18256459.260811672</v>
      </c>
      <c r="E88" s="16">
        <f>ENERO!E88+FEBRERO!E88+MARZO!E88+ABRIL!E88+MAYO!E88+JUNIO!E88+JULIO!E88+AGOSTO!E88+SEPTIEMBRE!E88+OCTUBRE!E88+NOVIEMBRE!E88+DICIEMBRE!E88</f>
        <v>507756.31</v>
      </c>
      <c r="F88" s="16">
        <f>ENERO!F88+FEBRERO!F88+MARZO!F88+ABRIL!F88+MAYO!F88+JUNIO!F88+JULIO!F88+AGOSTO!F88+SEPTIEMBRE!F88+OCTUBRE!F88+NOVIEMBRE!F88+DICIEMBRE!F88</f>
        <v>14493834.800000001</v>
      </c>
      <c r="G88" s="16">
        <f>ENERO!G88+FEBRERO!G88+MARZO!G88+ABRIL!G88+MAYO!G88+JUNIO!G88+JULIO!G88+AGOSTO!G88+SEPTIEMBRE!G88+OCTUBRE!G88+NOVIEMBRE!G88+DICIEMBRE!G88</f>
        <v>4718761.91</v>
      </c>
      <c r="H88" s="16">
        <f>ENERO!H88+FEBRERO!H88+MARZO!H88+ABRIL!H88+MAYO!H88+JUNIO!H88+JULIO!H88+AGOSTO!H88+SEPTIEMBRE!H88+OCTUBRE!H88+NOVIEMBRE!H88+DICIEMBRE!H88</f>
        <v>46037504.320000008</v>
      </c>
      <c r="I88" s="16">
        <f>ENERO!I88+FEBRERO!I88+MARZO!I88+ABRIL!I88+MAYO!I88+JUNIO!I88+JULIO!I88+AGOSTO!I88+SEPTIEMBRE!I88+OCTUBRE!I88+NOVIEMBRE!I88+DICIEMBRE!I88</f>
        <v>33503445.860000003</v>
      </c>
      <c r="J88" s="16">
        <f>ENERO!J88+FEBRERO!J88+MARZO!J88+ABRIL!J88+MAYO!J88+JUNIO!J88+JULIO!J88+AGOSTO!J88+SEPTIEMBRE!J88+OCTUBRE!J88+NOVIEMBRE!J88+DICIEMBRE!J88</f>
        <v>100441539.25000004</v>
      </c>
      <c r="K88" s="16">
        <f>ENERO!K88+FEBRERO!K88+MARZO!K88+ABRIL!K88+MAYO!K88+JUNIO!K88+JULIO!K88+AGOSTO!K88+SEPTIEMBRE!K88+OCTUBRE!K88+NOVIEMBRE!K88+DICIEMBRE!K88</f>
        <v>0</v>
      </c>
      <c r="L88" s="16">
        <f>ENERO!L88+FEBRERO!L88+MARZO!L88+ABRIL!L88+MAYO!L88+JUNIO!L88+JULIO!L88+AGOSTO!L88+SEPTIEMBRE!L88+OCTUBRE!L88+NOVIEMBRE!L88+DICIEMBRE!L88</f>
        <v>0</v>
      </c>
      <c r="M88" s="16">
        <f>ENERO!M88+FEBRERO!M88+MARZO!M88+ABRIL!M88+MAYO!M88+JUNIO!M88+JULIO!M88+AGOSTO!M88+SEPTIEMBRE!M88+OCTUBRE!M88+NOVIEMBRE!M88+DICIEMBRE!M88</f>
        <v>111227.67000000003</v>
      </c>
      <c r="N88" s="18">
        <f t="shared" si="2"/>
        <v>1085173023.3508117</v>
      </c>
      <c r="O88" s="4"/>
    </row>
    <row r="89" spans="1:15" ht="18" customHeight="1" x14ac:dyDescent="0.2">
      <c r="A89" s="17" t="s">
        <v>84</v>
      </c>
      <c r="B89" s="16">
        <f>ENERO!B89+FEBRERO!B89+MARZO!B89+ABRIL!B89+MAYO!B89+JUNIO!B89+JULIO!B89+AGOSTO!B89+SEPTIEMBRE!B89+OCTUBRE!B89+NOVIEMBRE!B89+DICIEMBRE!B89</f>
        <v>1329283996.3700001</v>
      </c>
      <c r="C89" s="16">
        <f>ENERO!C89+FEBRERO!C89+MARZO!C89+ABRIL!C89+MAYO!C89+JUNIO!C89+JULIO!C89+AGOSTO!C89+SEPTIEMBRE!C89+OCTUBRE!C89+NOVIEMBRE!C89+DICIEMBRE!C89</f>
        <v>0</v>
      </c>
      <c r="D89" s="16">
        <f>ENERO!D89+FEBRERO!D89+MARZO!D89+ABRIL!D89+MAYO!D89+JUNIO!D89+JULIO!D89+AGOSTO!D89+SEPTIEMBRE!D89+OCTUBRE!D89+NOVIEMBRE!D89+DICIEMBRE!D89</f>
        <v>47107601.351321943</v>
      </c>
      <c r="E89" s="16">
        <f>ENERO!E89+FEBRERO!E89+MARZO!E89+ABRIL!E89+MAYO!E89+JUNIO!E89+JULIO!E89+AGOSTO!E89+SEPTIEMBRE!E89+OCTUBRE!E89+NOVIEMBRE!E89+DICIEMBRE!E89</f>
        <v>789387.75</v>
      </c>
      <c r="F89" s="16">
        <f>ENERO!F89+FEBRERO!F89+MARZO!F89+ABRIL!F89+MAYO!F89+JUNIO!F89+JULIO!F89+AGOSTO!F89+SEPTIEMBRE!F89+OCTUBRE!F89+NOVIEMBRE!F89+DICIEMBRE!F89</f>
        <v>12189300.709999999</v>
      </c>
      <c r="G89" s="16">
        <f>ENERO!G89+FEBRERO!G89+MARZO!G89+ABRIL!G89+MAYO!G89+JUNIO!G89+JULIO!G89+AGOSTO!G89+SEPTIEMBRE!G89+OCTUBRE!G89+NOVIEMBRE!G89+DICIEMBRE!G89</f>
        <v>5507488.6899999995</v>
      </c>
      <c r="H89" s="16">
        <f>ENERO!H89+FEBRERO!H89+MARZO!H89+ABRIL!H89+MAYO!H89+JUNIO!H89+JULIO!H89+AGOSTO!H89+SEPTIEMBRE!H89+OCTUBRE!H89+NOVIEMBRE!H89+DICIEMBRE!H89</f>
        <v>70576336.859999999</v>
      </c>
      <c r="I89" s="16">
        <f>ENERO!I89+FEBRERO!I89+MARZO!I89+ABRIL!I89+MAYO!I89+JUNIO!I89+JULIO!I89+AGOSTO!I89+SEPTIEMBRE!I89+OCTUBRE!I89+NOVIEMBRE!I89+DICIEMBRE!I89</f>
        <v>28176364.829999998</v>
      </c>
      <c r="J89" s="16">
        <f>ENERO!J89+FEBRERO!J89+MARZO!J89+ABRIL!J89+MAYO!J89+JUNIO!J89+JULIO!J89+AGOSTO!J89+SEPTIEMBRE!J89+OCTUBRE!J89+NOVIEMBRE!J89+DICIEMBRE!J89</f>
        <v>108252388.58000003</v>
      </c>
      <c r="K89" s="16">
        <f>ENERO!K89+FEBRERO!K89+MARZO!K89+ABRIL!K89+MAYO!K89+JUNIO!K89+JULIO!K89+AGOSTO!K89+SEPTIEMBRE!K89+OCTUBRE!K89+NOVIEMBRE!K89+DICIEMBRE!K89</f>
        <v>0</v>
      </c>
      <c r="L89" s="16">
        <f>ENERO!L89+FEBRERO!L89+MARZO!L89+ABRIL!L89+MAYO!L89+JUNIO!L89+JULIO!L89+AGOSTO!L89+SEPTIEMBRE!L89+OCTUBRE!L89+NOVIEMBRE!L89+DICIEMBRE!L89</f>
        <v>0</v>
      </c>
      <c r="M89" s="16">
        <f>ENERO!M89+FEBRERO!M89+MARZO!M89+ABRIL!M89+MAYO!M89+JUNIO!M89+JULIO!M89+AGOSTO!M89+SEPTIEMBRE!M89+OCTUBRE!M89+NOVIEMBRE!M89+DICIEMBRE!M89</f>
        <v>93542.35</v>
      </c>
      <c r="N89" s="18">
        <f t="shared" si="2"/>
        <v>1601976407.4913218</v>
      </c>
      <c r="O89" s="4"/>
    </row>
    <row r="90" spans="1:15" ht="18" customHeight="1" x14ac:dyDescent="0.2">
      <c r="A90" s="17" t="s">
        <v>85</v>
      </c>
      <c r="B90" s="16">
        <f>ENERO!B90+FEBRERO!B90+MARZO!B90+ABRIL!B90+MAYO!B90+JUNIO!B90+JULIO!B90+AGOSTO!B90+SEPTIEMBRE!B90+OCTUBRE!B90+NOVIEMBRE!B90+DICIEMBRE!B90</f>
        <v>7153217917.289999</v>
      </c>
      <c r="C90" s="16">
        <f>ENERO!C90+FEBRERO!C90+MARZO!C90+ABRIL!C90+MAYO!C90+JUNIO!C90+JULIO!C90+AGOSTO!C90+SEPTIEMBRE!C90+OCTUBRE!C90+NOVIEMBRE!C90+DICIEMBRE!C90</f>
        <v>0</v>
      </c>
      <c r="D90" s="16">
        <f>ENERO!D90+FEBRERO!D90+MARZO!D90+ABRIL!D90+MAYO!D90+JUNIO!D90+JULIO!D90+AGOSTO!D90+SEPTIEMBRE!D90+OCTUBRE!D90+NOVIEMBRE!D90+DICIEMBRE!D90</f>
        <v>26775126.052917719</v>
      </c>
      <c r="E90" s="16">
        <f>ENERO!E90+FEBRERO!E90+MARZO!E90+ABRIL!E90+MAYO!E90+JUNIO!E90+JULIO!E90+AGOSTO!E90+SEPTIEMBRE!E90+OCTUBRE!E90+NOVIEMBRE!E90+DICIEMBRE!E90</f>
        <v>5857481.6400000006</v>
      </c>
      <c r="F90" s="16">
        <f>ENERO!F90+FEBRERO!F90+MARZO!F90+ABRIL!F90+MAYO!F90+JUNIO!F90+JULIO!F90+AGOSTO!F90+SEPTIEMBRE!F90+OCTUBRE!F90+NOVIEMBRE!F90+DICIEMBRE!F90</f>
        <v>165345839.96000001</v>
      </c>
      <c r="G90" s="16">
        <f>ENERO!G90+FEBRERO!G90+MARZO!G90+ABRIL!G90+MAYO!G90+JUNIO!G90+JULIO!G90+AGOSTO!G90+SEPTIEMBRE!G90+OCTUBRE!G90+NOVIEMBRE!G90+DICIEMBRE!G90</f>
        <v>46962493.050694115</v>
      </c>
      <c r="H90" s="16">
        <f>ENERO!H90+FEBRERO!H90+MARZO!H90+ABRIL!H90+MAYO!H90+JUNIO!H90+JULIO!H90+AGOSTO!H90+SEPTIEMBRE!H90+OCTUBRE!H90+NOVIEMBRE!H90+DICIEMBRE!H90</f>
        <v>379789358.99999994</v>
      </c>
      <c r="I90" s="16">
        <f>ENERO!I90+FEBRERO!I90+MARZO!I90+ABRIL!I90+MAYO!I90+JUNIO!I90+JULIO!I90+AGOSTO!I90+SEPTIEMBRE!I90+OCTUBRE!I90+NOVIEMBRE!I90+DICIEMBRE!I90</f>
        <v>382207708.16999996</v>
      </c>
      <c r="J90" s="16">
        <f>ENERO!J90+FEBRERO!J90+MARZO!J90+ABRIL!J90+MAYO!J90+JUNIO!J90+JULIO!J90+AGOSTO!J90+SEPTIEMBRE!J90+OCTUBRE!J90+NOVIEMBRE!J90+DICIEMBRE!J90</f>
        <v>640464987.74000013</v>
      </c>
      <c r="K90" s="16">
        <f>ENERO!K90+FEBRERO!K90+MARZO!K90+ABRIL!K90+MAYO!K90+JUNIO!K90+JULIO!K90+AGOSTO!K90+SEPTIEMBRE!K90+OCTUBRE!K90+NOVIEMBRE!K90+DICIEMBRE!K90</f>
        <v>0</v>
      </c>
      <c r="L90" s="16">
        <f>ENERO!L90+FEBRERO!L90+MARZO!L90+ABRIL!L90+MAYO!L90+JUNIO!L90+JULIO!L90+AGOSTO!L90+SEPTIEMBRE!L90+OCTUBRE!L90+NOVIEMBRE!L90+DICIEMBRE!L90</f>
        <v>0</v>
      </c>
      <c r="M90" s="16">
        <f>ENERO!M90+FEBRERO!M90+MARZO!M90+ABRIL!M90+MAYO!M90+JUNIO!M90+JULIO!M90+AGOSTO!M90+SEPTIEMBRE!M90+OCTUBRE!M90+NOVIEMBRE!M90+DICIEMBRE!M90</f>
        <v>1268890.7700000003</v>
      </c>
      <c r="N90" s="18">
        <f t="shared" si="2"/>
        <v>8801889803.6736126</v>
      </c>
      <c r="O90" s="4"/>
    </row>
    <row r="91" spans="1:15" ht="18" customHeight="1" x14ac:dyDescent="0.2">
      <c r="A91" s="17" t="s">
        <v>86</v>
      </c>
      <c r="B91" s="16">
        <f>ENERO!B91+FEBRERO!B91+MARZO!B91+ABRIL!B91+MAYO!B91+JUNIO!B91+JULIO!B91+AGOSTO!B91+SEPTIEMBRE!B91+OCTUBRE!B91+NOVIEMBRE!B91+DICIEMBRE!B91</f>
        <v>260414256.18000007</v>
      </c>
      <c r="C91" s="16">
        <f>ENERO!C91+FEBRERO!C91+MARZO!C91+ABRIL!C91+MAYO!C91+JUNIO!C91+JULIO!C91+AGOSTO!C91+SEPTIEMBRE!C91+OCTUBRE!C91+NOVIEMBRE!C91+DICIEMBRE!C91</f>
        <v>0</v>
      </c>
      <c r="D91" s="16">
        <f>ENERO!D91+FEBRERO!D91+MARZO!D91+ABRIL!D91+MAYO!D91+JUNIO!D91+JULIO!D91+AGOSTO!D91+SEPTIEMBRE!D91+OCTUBRE!D91+NOVIEMBRE!D91+DICIEMBRE!D91</f>
        <v>54548322.518142849</v>
      </c>
      <c r="E91" s="16">
        <f>ENERO!E91+FEBRERO!E91+MARZO!E91+ABRIL!E91+MAYO!E91+JUNIO!E91+JULIO!E91+AGOSTO!E91+SEPTIEMBRE!E91+OCTUBRE!E91+NOVIEMBRE!E91+DICIEMBRE!E91</f>
        <v>151411.07</v>
      </c>
      <c r="F91" s="16">
        <f>ENERO!F91+FEBRERO!F91+MARZO!F91+ABRIL!F91+MAYO!F91+JUNIO!F91+JULIO!F91+AGOSTO!F91+SEPTIEMBRE!F91+OCTUBRE!F91+NOVIEMBRE!F91+DICIEMBRE!F91</f>
        <v>3838500.71</v>
      </c>
      <c r="G91" s="16">
        <f>ENERO!G91+FEBRERO!G91+MARZO!G91+ABRIL!G91+MAYO!G91+JUNIO!G91+JULIO!G91+AGOSTO!G91+SEPTIEMBRE!G91+OCTUBRE!G91+NOVIEMBRE!G91+DICIEMBRE!G91</f>
        <v>1835829.5599999998</v>
      </c>
      <c r="H91" s="16">
        <f>ENERO!H91+FEBRERO!H91+MARZO!H91+ABRIL!H91+MAYO!H91+JUNIO!H91+JULIO!H91+AGOSTO!H91+SEPTIEMBRE!H91+OCTUBRE!H91+NOVIEMBRE!H91+DICIEMBRE!H91</f>
        <v>13826303.760000002</v>
      </c>
      <c r="I91" s="16">
        <f>ENERO!I91+FEBRERO!I91+MARZO!I91+ABRIL!I91+MAYO!I91+JUNIO!I91+JULIO!I91+AGOSTO!I91+SEPTIEMBRE!I91+OCTUBRE!I91+NOVIEMBRE!I91+DICIEMBRE!I91</f>
        <v>8872945.2300000004</v>
      </c>
      <c r="J91" s="16">
        <f>ENERO!J91+FEBRERO!J91+MARZO!J91+ABRIL!J91+MAYO!J91+JUNIO!J91+JULIO!J91+AGOSTO!J91+SEPTIEMBRE!J91+OCTUBRE!J91+NOVIEMBRE!J91+DICIEMBRE!J91</f>
        <v>46027276.57</v>
      </c>
      <c r="K91" s="16">
        <f>ENERO!K91+FEBRERO!K91+MARZO!K91+ABRIL!K91+MAYO!K91+JUNIO!K91+JULIO!K91+AGOSTO!K91+SEPTIEMBRE!K91+OCTUBRE!K91+NOVIEMBRE!K91+DICIEMBRE!K91</f>
        <v>0</v>
      </c>
      <c r="L91" s="16">
        <f>ENERO!L91+FEBRERO!L91+MARZO!L91+ABRIL!L91+MAYO!L91+JUNIO!L91+JULIO!L91+AGOSTO!L91+SEPTIEMBRE!L91+OCTUBRE!L91+NOVIEMBRE!L91+DICIEMBRE!L91</f>
        <v>0</v>
      </c>
      <c r="M91" s="16">
        <f>ENERO!M91+FEBRERO!M91+MARZO!M91+ABRIL!M91+MAYO!M91+JUNIO!M91+JULIO!M91+AGOSTO!M91+SEPTIEMBRE!M91+OCTUBRE!M91+NOVIEMBRE!M91+DICIEMBRE!M91</f>
        <v>29456.950000000004</v>
      </c>
      <c r="N91" s="18">
        <f t="shared" si="2"/>
        <v>389544302.54814285</v>
      </c>
      <c r="O91" s="4"/>
    </row>
    <row r="92" spans="1:15" ht="18" customHeight="1" x14ac:dyDescent="0.2">
      <c r="A92" s="17" t="s">
        <v>87</v>
      </c>
      <c r="B92" s="16">
        <f>ENERO!B92+FEBRERO!B92+MARZO!B92+ABRIL!B92+MAYO!B92+JUNIO!B92+JULIO!B92+AGOSTO!B92+SEPTIEMBRE!B92+OCTUBRE!B92+NOVIEMBRE!B92+DICIEMBRE!B92</f>
        <v>391324983.55999994</v>
      </c>
      <c r="C92" s="16">
        <f>ENERO!C92+FEBRERO!C92+MARZO!C92+ABRIL!C92+MAYO!C92+JUNIO!C92+JULIO!C92+AGOSTO!C92+SEPTIEMBRE!C92+OCTUBRE!C92+NOVIEMBRE!C92+DICIEMBRE!C92</f>
        <v>0</v>
      </c>
      <c r="D92" s="16">
        <f>ENERO!D92+FEBRERO!D92+MARZO!D92+ABRIL!D92+MAYO!D92+JUNIO!D92+JULIO!D92+AGOSTO!D92+SEPTIEMBRE!D92+OCTUBRE!D92+NOVIEMBRE!D92+DICIEMBRE!D92</f>
        <v>1559056.2800000003</v>
      </c>
      <c r="E92" s="16">
        <f>ENERO!E92+FEBRERO!E92+MARZO!E92+ABRIL!E92+MAYO!E92+JUNIO!E92+JULIO!E92+AGOSTO!E92+SEPTIEMBRE!E92+OCTUBRE!E92+NOVIEMBRE!E92+DICIEMBRE!E92</f>
        <v>227389.97999999998</v>
      </c>
      <c r="F92" s="16">
        <f>ENERO!F92+FEBRERO!F92+MARZO!F92+ABRIL!F92+MAYO!F92+JUNIO!F92+JULIO!F92+AGOSTO!F92+SEPTIEMBRE!F92+OCTUBRE!F92+NOVIEMBRE!F92+DICIEMBRE!F92</f>
        <v>820743.8</v>
      </c>
      <c r="G92" s="16">
        <f>ENERO!G92+FEBRERO!G92+MARZO!G92+ABRIL!G92+MAYO!G92+JUNIO!G92+JULIO!G92+AGOSTO!G92+SEPTIEMBRE!G92+OCTUBRE!G92+NOVIEMBRE!G92+DICIEMBRE!G92</f>
        <v>571146.97</v>
      </c>
      <c r="H92" s="16">
        <f>ENERO!H92+FEBRERO!H92+MARZO!H92+ABRIL!H92+MAYO!H92+JUNIO!H92+JULIO!H92+AGOSTO!H92+SEPTIEMBRE!H92+OCTUBRE!H92+NOVIEMBRE!H92+DICIEMBRE!H92</f>
        <v>20776812.169999998</v>
      </c>
      <c r="I92" s="16">
        <f>ENERO!I92+FEBRERO!I92+MARZO!I92+ABRIL!I92+MAYO!I92+JUNIO!I92+JULIO!I92+AGOSTO!I92+SEPTIEMBRE!I92+OCTUBRE!I92+NOVIEMBRE!I92+DICIEMBRE!I92</f>
        <v>1897203.0499999998</v>
      </c>
      <c r="J92" s="16">
        <f>ENERO!J92+FEBRERO!J92+MARZO!J92+ABRIL!J92+MAYO!J92+JUNIO!J92+JULIO!J92+AGOSTO!J92+SEPTIEMBRE!J92+OCTUBRE!J92+NOVIEMBRE!J92+DICIEMBRE!J92</f>
        <v>19915038.239999991</v>
      </c>
      <c r="K92" s="16">
        <f>ENERO!K92+FEBRERO!K92+MARZO!K92+ABRIL!K92+MAYO!K92+JUNIO!K92+JULIO!K92+AGOSTO!K92+SEPTIEMBRE!K92+OCTUBRE!K92+NOVIEMBRE!K92+DICIEMBRE!K92</f>
        <v>0</v>
      </c>
      <c r="L92" s="16">
        <f>ENERO!L92+FEBRERO!L92+MARZO!L92+ABRIL!L92+MAYO!L92+JUNIO!L92+JULIO!L92+AGOSTO!L92+SEPTIEMBRE!L92+OCTUBRE!L92+NOVIEMBRE!L92+DICIEMBRE!L92</f>
        <v>0</v>
      </c>
      <c r="M92" s="16">
        <f>ENERO!M92+FEBRERO!M92+MARZO!M92+ABRIL!M92+MAYO!M92+JUNIO!M92+JULIO!M92+AGOSTO!M92+SEPTIEMBRE!M92+OCTUBRE!M92+NOVIEMBRE!M92+DICIEMBRE!M92</f>
        <v>6298.16</v>
      </c>
      <c r="N92" s="18">
        <f t="shared" si="2"/>
        <v>437098672.21000004</v>
      </c>
      <c r="O92" s="4"/>
    </row>
    <row r="93" spans="1:15" ht="18" customHeight="1" x14ac:dyDescent="0.2">
      <c r="A93" s="17" t="s">
        <v>88</v>
      </c>
      <c r="B93" s="16">
        <f>ENERO!B93+FEBRERO!B93+MARZO!B93+ABRIL!B93+MAYO!B93+JUNIO!B93+JULIO!B93+AGOSTO!B93+SEPTIEMBRE!B93+OCTUBRE!B93+NOVIEMBRE!B93+DICIEMBRE!B93</f>
        <v>3755643759.9899998</v>
      </c>
      <c r="C93" s="16">
        <f>ENERO!C93+FEBRERO!C93+MARZO!C93+ABRIL!C93+MAYO!C93+JUNIO!C93+JULIO!C93+AGOSTO!C93+SEPTIEMBRE!C93+OCTUBRE!C93+NOVIEMBRE!C93+DICIEMBRE!C93</f>
        <v>0</v>
      </c>
      <c r="D93" s="16">
        <f>ENERO!D93+FEBRERO!D93+MARZO!D93+ABRIL!D93+MAYO!D93+JUNIO!D93+JULIO!D93+AGOSTO!D93+SEPTIEMBRE!D93+OCTUBRE!D93+NOVIEMBRE!D93+DICIEMBRE!D93</f>
        <v>26223301.17073787</v>
      </c>
      <c r="E93" s="16">
        <f>ENERO!E93+FEBRERO!E93+MARZO!E93+ABRIL!E93+MAYO!E93+JUNIO!E93+JULIO!E93+AGOSTO!E93+SEPTIEMBRE!E93+OCTUBRE!E93+NOVIEMBRE!E93+DICIEMBRE!E93</f>
        <v>3076437.83</v>
      </c>
      <c r="F93" s="16">
        <f>ENERO!F93+FEBRERO!F93+MARZO!F93+ABRIL!F93+MAYO!F93+JUNIO!F93+JULIO!F93+AGOSTO!F93+SEPTIEMBRE!F93+OCTUBRE!F93+NOVIEMBRE!F93+DICIEMBRE!F93</f>
        <v>134007043.74000001</v>
      </c>
      <c r="G93" s="16">
        <f>ENERO!G93+FEBRERO!G93+MARZO!G93+ABRIL!G93+MAYO!G93+JUNIO!G93+JULIO!G93+AGOSTO!G93+SEPTIEMBRE!G93+OCTUBRE!G93+NOVIEMBRE!G93+DICIEMBRE!G93</f>
        <v>24559109.285446785</v>
      </c>
      <c r="H93" s="16">
        <f>ENERO!H93+FEBRERO!H93+MARZO!H93+ABRIL!H93+MAYO!H93+JUNIO!H93+JULIO!H93+AGOSTO!H93+SEPTIEMBRE!H93+OCTUBRE!H93+NOVIEMBRE!H93+DICIEMBRE!H93</f>
        <v>199400263.34999999</v>
      </c>
      <c r="I93" s="16">
        <f>ENERO!I93+FEBRERO!I93+MARZO!I93+ABRIL!I93+MAYO!I93+JUNIO!I93+JULIO!I93+AGOSTO!I93+SEPTIEMBRE!I93+OCTUBRE!I93+NOVIEMBRE!I93+DICIEMBRE!I93</f>
        <v>309766033.92000002</v>
      </c>
      <c r="J93" s="16">
        <f>ENERO!J93+FEBRERO!J93+MARZO!J93+ABRIL!J93+MAYO!J93+JUNIO!J93+JULIO!J93+AGOSTO!J93+SEPTIEMBRE!J93+OCTUBRE!J93+NOVIEMBRE!J93+DICIEMBRE!J93</f>
        <v>609077663.26000011</v>
      </c>
      <c r="K93" s="16">
        <f>ENERO!K93+FEBRERO!K93+MARZO!K93+ABRIL!K93+MAYO!K93+JUNIO!K93+JULIO!K93+AGOSTO!K93+SEPTIEMBRE!K93+OCTUBRE!K93+NOVIEMBRE!K93+DICIEMBRE!K93</f>
        <v>0</v>
      </c>
      <c r="L93" s="16">
        <f>ENERO!L93+FEBRERO!L93+MARZO!L93+ABRIL!L93+MAYO!L93+JUNIO!L93+JULIO!L93+AGOSTO!L93+SEPTIEMBRE!L93+OCTUBRE!L93+NOVIEMBRE!L93+DICIEMBRE!L93</f>
        <v>0</v>
      </c>
      <c r="M93" s="16">
        <f>ENERO!M93+FEBRERO!M93+MARZO!M93+ABRIL!M93+MAYO!M93+JUNIO!M93+JULIO!M93+AGOSTO!M93+SEPTIEMBRE!M93+OCTUBRE!M93+NOVIEMBRE!M93+DICIEMBRE!M93</f>
        <v>1028391.7399999999</v>
      </c>
      <c r="N93" s="18">
        <f t="shared" si="2"/>
        <v>5062782004.2861843</v>
      </c>
      <c r="O93" s="4"/>
    </row>
    <row r="94" spans="1:15" ht="18" customHeight="1" x14ac:dyDescent="0.2">
      <c r="A94" s="17" t="s">
        <v>89</v>
      </c>
      <c r="B94" s="16">
        <f>ENERO!B94+FEBRERO!B94+MARZO!B94+ABRIL!B94+MAYO!B94+JUNIO!B94+JULIO!B94+AGOSTO!B94+SEPTIEMBRE!B94+OCTUBRE!B94+NOVIEMBRE!B94+DICIEMBRE!B94</f>
        <v>2612440897.4499998</v>
      </c>
      <c r="C94" s="16">
        <f>ENERO!C94+FEBRERO!C94+MARZO!C94+ABRIL!C94+MAYO!C94+JUNIO!C94+JULIO!C94+AGOSTO!C94+SEPTIEMBRE!C94+OCTUBRE!C94+NOVIEMBRE!C94+DICIEMBRE!C94</f>
        <v>0</v>
      </c>
      <c r="D94" s="16">
        <f>ENERO!D94+FEBRERO!D94+MARZO!D94+ABRIL!D94+MAYO!D94+JUNIO!D94+JULIO!D94+AGOSTO!D94+SEPTIEMBRE!D94+OCTUBRE!D94+NOVIEMBRE!D94+DICIEMBRE!D94</f>
        <v>45771095.070000008</v>
      </c>
      <c r="E94" s="16">
        <f>ENERO!E94+FEBRERO!E94+MARZO!E94+ABRIL!E94+MAYO!E94+JUNIO!E94+JULIO!E94+AGOSTO!E94+SEPTIEMBRE!E94+OCTUBRE!E94+NOVIEMBRE!E94+DICIEMBRE!E94</f>
        <v>2171331.2499999995</v>
      </c>
      <c r="F94" s="16">
        <f>ENERO!F94+FEBRERO!F94+MARZO!F94+ABRIL!F94+MAYO!F94+JUNIO!F94+JULIO!F94+AGOSTO!F94+SEPTIEMBRE!F94+OCTUBRE!F94+NOVIEMBRE!F94+DICIEMBRE!F94</f>
        <v>60595268.460000001</v>
      </c>
      <c r="G94" s="16">
        <f>ENERO!G94+FEBRERO!G94+MARZO!G94+ABRIL!G94+MAYO!G94+JUNIO!G94+JULIO!G94+AGOSTO!G94+SEPTIEMBRE!G94+OCTUBRE!G94+NOVIEMBRE!G94+DICIEMBRE!G94</f>
        <v>31262788.115950618</v>
      </c>
      <c r="H94" s="16">
        <f>ENERO!H94+FEBRERO!H94+MARZO!H94+ABRIL!H94+MAYO!H94+JUNIO!H94+JULIO!H94+AGOSTO!H94+SEPTIEMBRE!H94+OCTUBRE!H94+NOVIEMBRE!H94+DICIEMBRE!H94</f>
        <v>138703624.83000001</v>
      </c>
      <c r="I94" s="16">
        <f>ENERO!I94+FEBRERO!I94+MARZO!I94+ABRIL!I94+MAYO!I94+JUNIO!I94+JULIO!I94+AGOSTO!I94+SEPTIEMBRE!I94+OCTUBRE!I94+NOVIEMBRE!I94+DICIEMBRE!I94</f>
        <v>140069920.72</v>
      </c>
      <c r="J94" s="16">
        <f>ENERO!J94+FEBRERO!J94+MARZO!J94+ABRIL!J94+MAYO!J94+JUNIO!J94+JULIO!J94+AGOSTO!J94+SEPTIEMBRE!J94+OCTUBRE!J94+NOVIEMBRE!J94+DICIEMBRE!J94</f>
        <v>325452775.02000016</v>
      </c>
      <c r="K94" s="16">
        <f>ENERO!K94+FEBRERO!K94+MARZO!K94+ABRIL!K94+MAYO!K94+JUNIO!K94+JULIO!K94+AGOSTO!K94+SEPTIEMBRE!K94+OCTUBRE!K94+NOVIEMBRE!K94+DICIEMBRE!K94</f>
        <v>0</v>
      </c>
      <c r="L94" s="16">
        <f>ENERO!L94+FEBRERO!L94+MARZO!L94+ABRIL!L94+MAYO!L94+JUNIO!L94+JULIO!L94+AGOSTO!L94+SEPTIEMBRE!L94+OCTUBRE!L94+NOVIEMBRE!L94+DICIEMBRE!L94</f>
        <v>0</v>
      </c>
      <c r="M94" s="16">
        <f>ENERO!M94+FEBRERO!M94+MARZO!M94+ABRIL!M94+MAYO!M94+JUNIO!M94+JULIO!M94+AGOSTO!M94+SEPTIEMBRE!M94+OCTUBRE!M94+NOVIEMBRE!M94+DICIEMBRE!M94</f>
        <v>465017.66</v>
      </c>
      <c r="N94" s="18">
        <f t="shared" si="2"/>
        <v>3356932718.5759501</v>
      </c>
      <c r="O94" s="4"/>
    </row>
    <row r="95" spans="1:15" ht="18" customHeight="1" x14ac:dyDescent="0.2">
      <c r="A95" s="17" t="s">
        <v>90</v>
      </c>
      <c r="B95" s="16">
        <f>ENERO!B95+FEBRERO!B95+MARZO!B95+ABRIL!B95+MAYO!B95+JUNIO!B95+JULIO!B95+AGOSTO!B95+SEPTIEMBRE!B95+OCTUBRE!B95+NOVIEMBRE!B95+DICIEMBRE!B95</f>
        <v>456138830.76000005</v>
      </c>
      <c r="C95" s="16">
        <f>ENERO!C95+FEBRERO!C95+MARZO!C95+ABRIL!C95+MAYO!C95+JUNIO!C95+JULIO!C95+AGOSTO!C95+SEPTIEMBRE!C95+OCTUBRE!C95+NOVIEMBRE!C95+DICIEMBRE!C95</f>
        <v>0</v>
      </c>
      <c r="D95" s="16">
        <f>ENERO!D95+FEBRERO!D95+MARZO!D95+ABRIL!D95+MAYO!D95+JUNIO!D95+JULIO!D95+AGOSTO!D95+SEPTIEMBRE!D95+OCTUBRE!D95+NOVIEMBRE!D95+DICIEMBRE!D95</f>
        <v>41520238.081114359</v>
      </c>
      <c r="E95" s="16">
        <f>ENERO!E95+FEBRERO!E95+MARZO!E95+ABRIL!E95+MAYO!E95+JUNIO!E95+JULIO!E95+AGOSTO!E95+SEPTIEMBRE!E95+OCTUBRE!E95+NOVIEMBRE!E95+DICIEMBRE!E95</f>
        <v>268025.63</v>
      </c>
      <c r="F95" s="16">
        <f>ENERO!F95+FEBRERO!F95+MARZO!F95+ABRIL!F95+MAYO!F95+JUNIO!F95+JULIO!F95+AGOSTO!F95+SEPTIEMBRE!F95+OCTUBRE!F95+NOVIEMBRE!F95+DICIEMBRE!F95</f>
        <v>2971164.4099999997</v>
      </c>
      <c r="G95" s="16">
        <f>ENERO!G95+FEBRERO!G95+MARZO!G95+ABRIL!G95+MAYO!G95+JUNIO!G95+JULIO!G95+AGOSTO!G95+SEPTIEMBRE!G95+OCTUBRE!G95+NOVIEMBRE!G95+DICIEMBRE!G95</f>
        <v>1482262.4</v>
      </c>
      <c r="H95" s="16">
        <f>ENERO!H95+FEBRERO!H95+MARZO!H95+ABRIL!H95+MAYO!H95+JUNIO!H95+JULIO!H95+AGOSTO!H95+SEPTIEMBRE!H95+OCTUBRE!H95+NOVIEMBRE!H95+DICIEMBRE!H95</f>
        <v>24218006.030000001</v>
      </c>
      <c r="I95" s="16">
        <f>ENERO!I95+FEBRERO!I95+MARZO!I95+ABRIL!I95+MAYO!I95+JUNIO!I95+JULIO!I95+AGOSTO!I95+SEPTIEMBRE!I95+OCTUBRE!I95+NOVIEMBRE!I95+DICIEMBRE!I95</f>
        <v>6868040.71</v>
      </c>
      <c r="J95" s="16">
        <f>ENERO!J95+FEBRERO!J95+MARZO!J95+ABRIL!J95+MAYO!J95+JUNIO!J95+JULIO!J95+AGOSTO!J95+SEPTIEMBRE!J95+OCTUBRE!J95+NOVIEMBRE!J95+DICIEMBRE!J95</f>
        <v>47941862.550000019</v>
      </c>
      <c r="K95" s="16">
        <f>ENERO!K95+FEBRERO!K95+MARZO!K95+ABRIL!K95+MAYO!K95+JUNIO!K95+JULIO!K95+AGOSTO!K95+SEPTIEMBRE!K95+OCTUBRE!K95+NOVIEMBRE!K95+DICIEMBRE!K95</f>
        <v>0</v>
      </c>
      <c r="L95" s="16">
        <f>ENERO!L95+FEBRERO!L95+MARZO!L95+ABRIL!L95+MAYO!L95+JUNIO!L95+JULIO!L95+AGOSTO!L95+SEPTIEMBRE!L95+OCTUBRE!L95+NOVIEMBRE!L95+DICIEMBRE!L95</f>
        <v>0</v>
      </c>
      <c r="M95" s="16">
        <f>ENERO!M95+FEBRERO!M95+MARZO!M95+ABRIL!M95+MAYO!M95+JUNIO!M95+JULIO!M95+AGOSTO!M95+SEPTIEMBRE!M95+OCTUBRE!M95+NOVIEMBRE!M95+DICIEMBRE!M95</f>
        <v>22800.82</v>
      </c>
      <c r="N95" s="18">
        <f t="shared" si="2"/>
        <v>581431231.39111447</v>
      </c>
      <c r="O95" s="4"/>
    </row>
    <row r="96" spans="1:15" ht="18" customHeight="1" x14ac:dyDescent="0.2">
      <c r="A96" s="17" t="s">
        <v>91</v>
      </c>
      <c r="B96" s="16">
        <f>ENERO!B96+FEBRERO!B96+MARZO!B96+ABRIL!B96+MAYO!B96+JUNIO!B96+JULIO!B96+AGOSTO!B96+SEPTIEMBRE!B96+OCTUBRE!B96+NOVIEMBRE!B96+DICIEMBRE!B96</f>
        <v>1639653754.04</v>
      </c>
      <c r="C96" s="16">
        <f>ENERO!C96+FEBRERO!C96+MARZO!C96+ABRIL!C96+MAYO!C96+JUNIO!C96+JULIO!C96+AGOSTO!C96+SEPTIEMBRE!C96+OCTUBRE!C96+NOVIEMBRE!C96+DICIEMBRE!C96</f>
        <v>0</v>
      </c>
      <c r="D96" s="16">
        <f>ENERO!D96+FEBRERO!D96+MARZO!D96+ABRIL!D96+MAYO!D96+JUNIO!D96+JULIO!D96+AGOSTO!D96+SEPTIEMBRE!D96+OCTUBRE!D96+NOVIEMBRE!D96+DICIEMBRE!D96</f>
        <v>109169958.20325419</v>
      </c>
      <c r="E96" s="16">
        <f>ENERO!E96+FEBRERO!E96+MARZO!E96+ABRIL!E96+MAYO!E96+JUNIO!E96+JULIO!E96+AGOSTO!E96+SEPTIEMBRE!E96+OCTUBRE!E96+NOVIEMBRE!E96+DICIEMBRE!E96</f>
        <v>1334211.23</v>
      </c>
      <c r="F96" s="16">
        <f>ENERO!F96+FEBRERO!F96+MARZO!F96+ABRIL!F96+MAYO!F96+JUNIO!F96+JULIO!F96+AGOSTO!F96+SEPTIEMBRE!F96+OCTUBRE!F96+NOVIEMBRE!F96+DICIEMBRE!F96</f>
        <v>16651423.459999999</v>
      </c>
      <c r="G96" s="16">
        <f>ENERO!G96+FEBRERO!G96+MARZO!G96+ABRIL!G96+MAYO!G96+JUNIO!G96+JULIO!G96+AGOSTO!G96+SEPTIEMBRE!G96+OCTUBRE!G96+NOVIEMBRE!G96+DICIEMBRE!G96</f>
        <v>8091248.8100000005</v>
      </c>
      <c r="H96" s="16">
        <f>ENERO!H96+FEBRERO!H96+MARZO!H96+ABRIL!H96+MAYO!H96+JUNIO!H96+JULIO!H96+AGOSTO!H96+SEPTIEMBRE!H96+OCTUBRE!H96+NOVIEMBRE!H96+DICIEMBRE!H96</f>
        <v>87054952.890000001</v>
      </c>
      <c r="I96" s="16">
        <f>ENERO!I96+FEBRERO!I96+MARZO!I96+ABRIL!I96+MAYO!I96+JUNIO!I96+JULIO!I96+AGOSTO!I96+SEPTIEMBRE!I96+OCTUBRE!I96+NOVIEMBRE!I96+DICIEMBRE!I96</f>
        <v>38490852.990000002</v>
      </c>
      <c r="J96" s="16">
        <f>ENERO!J96+FEBRERO!J96+MARZO!J96+ABRIL!J96+MAYO!J96+JUNIO!J96+JULIO!J96+AGOSTO!J96+SEPTIEMBRE!J96+OCTUBRE!J96+NOVIEMBRE!J96+DICIEMBRE!J96</f>
        <v>171768976.08999991</v>
      </c>
      <c r="K96" s="16">
        <f>ENERO!K96+FEBRERO!K96+MARZO!K96+ABRIL!K96+MAYO!K96+JUNIO!K96+JULIO!K96+AGOSTO!K96+SEPTIEMBRE!K96+OCTUBRE!K96+NOVIEMBRE!K96+DICIEMBRE!K96</f>
        <v>0</v>
      </c>
      <c r="L96" s="16">
        <f>ENERO!L96+FEBRERO!L96+MARZO!L96+ABRIL!L96+MAYO!L96+JUNIO!L96+JULIO!L96+AGOSTO!L96+SEPTIEMBRE!L96+OCTUBRE!L96+NOVIEMBRE!L96+DICIEMBRE!L96</f>
        <v>0</v>
      </c>
      <c r="M96" s="16">
        <f>ENERO!M96+FEBRERO!M96+MARZO!M96+ABRIL!M96+MAYO!M96+JUNIO!M96+JULIO!M96+AGOSTO!M96+SEPTIEMBRE!M96+OCTUBRE!M96+NOVIEMBRE!M96+DICIEMBRE!M96</f>
        <v>127785.39000000001</v>
      </c>
      <c r="N96" s="18">
        <f t="shared" si="2"/>
        <v>2072343163.1032543</v>
      </c>
      <c r="O96" s="4"/>
    </row>
    <row r="97" spans="1:15" ht="18" customHeight="1" x14ac:dyDescent="0.2">
      <c r="A97" s="17" t="s">
        <v>92</v>
      </c>
      <c r="B97" s="16">
        <f>ENERO!B97+FEBRERO!B97+MARZO!B97+ABRIL!B97+MAYO!B97+JUNIO!B97+JULIO!B97+AGOSTO!B97+SEPTIEMBRE!B97+OCTUBRE!B97+NOVIEMBRE!B97+DICIEMBRE!B97</f>
        <v>767915785.78000021</v>
      </c>
      <c r="C97" s="16">
        <f>ENERO!C97+FEBRERO!C97+MARZO!C97+ABRIL!C97+MAYO!C97+JUNIO!C97+JULIO!C97+AGOSTO!C97+SEPTIEMBRE!C97+OCTUBRE!C97+NOVIEMBRE!C97+DICIEMBRE!C97</f>
        <v>0</v>
      </c>
      <c r="D97" s="16">
        <f>ENERO!D97+FEBRERO!D97+MARZO!D97+ABRIL!D97+MAYO!D97+JUNIO!D97+JULIO!D97+AGOSTO!D97+SEPTIEMBRE!D97+OCTUBRE!D97+NOVIEMBRE!D97+DICIEMBRE!D97</f>
        <v>144787780.6222963</v>
      </c>
      <c r="E97" s="16">
        <f>ENERO!E97+FEBRERO!E97+MARZO!E97+ABRIL!E97+MAYO!E97+JUNIO!E97+JULIO!E97+AGOSTO!E97+SEPTIEMBRE!E97+OCTUBRE!E97+NOVIEMBRE!E97+DICIEMBRE!E97</f>
        <v>452605.86</v>
      </c>
      <c r="F97" s="16">
        <f>ENERO!F97+FEBRERO!F97+MARZO!F97+ABRIL!F97+MAYO!F97+JUNIO!F97+JULIO!F97+AGOSTO!F97+SEPTIEMBRE!F97+OCTUBRE!F97+NOVIEMBRE!F97+DICIEMBRE!F97</f>
        <v>7687753.6000000006</v>
      </c>
      <c r="G97" s="16">
        <f>ENERO!G97+FEBRERO!G97+MARZO!G97+ABRIL!G97+MAYO!G97+JUNIO!G97+JULIO!G97+AGOSTO!G97+SEPTIEMBRE!G97+OCTUBRE!G97+NOVIEMBRE!G97+DICIEMBRE!G97</f>
        <v>4147614.94</v>
      </c>
      <c r="H97" s="16">
        <f>ENERO!H97+FEBRERO!H97+MARZO!H97+ABRIL!H97+MAYO!H97+JUNIO!H97+JULIO!H97+AGOSTO!H97+SEPTIEMBRE!H97+OCTUBRE!H97+NOVIEMBRE!H97+DICIEMBRE!H97</f>
        <v>40771335.050000004</v>
      </c>
      <c r="I97" s="16">
        <f>ENERO!I97+FEBRERO!I97+MARZO!I97+ABRIL!I97+MAYO!I97+JUNIO!I97+JULIO!I97+AGOSTO!I97+SEPTIEMBRE!I97+OCTUBRE!I97+NOVIEMBRE!I97+DICIEMBRE!I97</f>
        <v>17770744.649999999</v>
      </c>
      <c r="J97" s="16">
        <f>ENERO!J97+FEBRERO!J97+MARZO!J97+ABRIL!J97+MAYO!J97+JUNIO!J97+JULIO!J97+AGOSTO!J97+SEPTIEMBRE!J97+OCTUBRE!J97+NOVIEMBRE!J97+DICIEMBRE!J97</f>
        <v>114693898.64000002</v>
      </c>
      <c r="K97" s="16">
        <f>ENERO!K97+FEBRERO!K97+MARZO!K97+ABRIL!K97+MAYO!K97+JUNIO!K97+JULIO!K97+AGOSTO!K97+SEPTIEMBRE!K97+OCTUBRE!K97+NOVIEMBRE!K97+DICIEMBRE!K97</f>
        <v>0</v>
      </c>
      <c r="L97" s="16">
        <f>ENERO!L97+FEBRERO!L97+MARZO!L97+ABRIL!L97+MAYO!L97+JUNIO!L97+JULIO!L97+AGOSTO!L97+SEPTIEMBRE!L97+OCTUBRE!L97+NOVIEMBRE!L97+DICIEMBRE!L97</f>
        <v>0</v>
      </c>
      <c r="M97" s="16">
        <f>ENERO!M97+FEBRERO!M97+MARZO!M97+ABRIL!M97+MAYO!M97+JUNIO!M97+JULIO!M97+AGOSTO!M97+SEPTIEMBRE!M97+OCTUBRE!M97+NOVIEMBRE!M97+DICIEMBRE!M97</f>
        <v>58996.69000000001</v>
      </c>
      <c r="N97" s="18">
        <f t="shared" si="2"/>
        <v>1098286515.8322966</v>
      </c>
      <c r="O97" s="4"/>
    </row>
    <row r="98" spans="1:15" ht="18" customHeight="1" x14ac:dyDescent="0.2">
      <c r="A98" s="17" t="s">
        <v>93</v>
      </c>
      <c r="B98" s="16">
        <f>ENERO!B98+FEBRERO!B98+MARZO!B98+ABRIL!B98+MAYO!B98+JUNIO!B98+JULIO!B98+AGOSTO!B98+SEPTIEMBRE!B98+OCTUBRE!B98+NOVIEMBRE!B98+DICIEMBRE!B98</f>
        <v>2137511844.1300004</v>
      </c>
      <c r="C98" s="16">
        <f>ENERO!C98+FEBRERO!C98+MARZO!C98+ABRIL!C98+MAYO!C98+JUNIO!C98+JULIO!C98+AGOSTO!C98+SEPTIEMBRE!C98+OCTUBRE!C98+NOVIEMBRE!C98+DICIEMBRE!C98</f>
        <v>0</v>
      </c>
      <c r="D98" s="16">
        <f>ENERO!D98+FEBRERO!D98+MARZO!D98+ABRIL!D98+MAYO!D98+JUNIO!D98+JULIO!D98+AGOSTO!D98+SEPTIEMBRE!D98+OCTUBRE!D98+NOVIEMBRE!D98+DICIEMBRE!D98</f>
        <v>149464282.54806417</v>
      </c>
      <c r="E98" s="16">
        <f>ENERO!E98+FEBRERO!E98+MARZO!E98+ABRIL!E98+MAYO!E98+JUNIO!E98+JULIO!E98+AGOSTO!E98+SEPTIEMBRE!E98+OCTUBRE!E98+NOVIEMBRE!E98+DICIEMBRE!E98</f>
        <v>1747776.99</v>
      </c>
      <c r="F98" s="16">
        <f>ENERO!F98+FEBRERO!F98+MARZO!F98+ABRIL!F98+MAYO!F98+JUNIO!F98+JULIO!F98+AGOSTO!F98+SEPTIEMBRE!F98+OCTUBRE!F98+NOVIEMBRE!F98+DICIEMBRE!F98</f>
        <v>17877163.200000003</v>
      </c>
      <c r="G98" s="16">
        <f>ENERO!G98+FEBRERO!G98+MARZO!G98+ABRIL!G98+MAYO!G98+JUNIO!G98+JULIO!G98+AGOSTO!G98+SEPTIEMBRE!G98+OCTUBRE!G98+NOVIEMBRE!G98+DICIEMBRE!G98</f>
        <v>9723097.3300000001</v>
      </c>
      <c r="H98" s="16">
        <f>ENERO!H98+FEBRERO!H98+MARZO!H98+ABRIL!H98+MAYO!H98+JUNIO!H98+JULIO!H98+AGOSTO!H98+SEPTIEMBRE!H98+OCTUBRE!H98+NOVIEMBRE!H98+DICIEMBRE!H98</f>
        <v>113487980.22</v>
      </c>
      <c r="I98" s="16">
        <f>ENERO!I98+FEBRERO!I98+MARZO!I98+ABRIL!I98+MAYO!I98+JUNIO!I98+JULIO!I98+AGOSTO!I98+SEPTIEMBRE!I98+OCTUBRE!I98+NOVIEMBRE!I98+DICIEMBRE!I98</f>
        <v>41324230.460000001</v>
      </c>
      <c r="J98" s="16">
        <f>ENERO!J98+FEBRERO!J98+MARZO!J98+ABRIL!J98+MAYO!J98+JUNIO!J98+JULIO!J98+AGOSTO!J98+SEPTIEMBRE!J98+OCTUBRE!J98+NOVIEMBRE!J98+DICIEMBRE!J98</f>
        <v>221266574.58999994</v>
      </c>
      <c r="K98" s="16">
        <f>ENERO!K98+FEBRERO!K98+MARZO!K98+ABRIL!K98+MAYO!K98+JUNIO!K98+JULIO!K98+AGOSTO!K98+SEPTIEMBRE!K98+OCTUBRE!K98+NOVIEMBRE!K98+DICIEMBRE!K98</f>
        <v>0</v>
      </c>
      <c r="L98" s="16">
        <f>ENERO!L98+FEBRERO!L98+MARZO!L98+ABRIL!L98+MAYO!L98+JUNIO!L98+JULIO!L98+AGOSTO!L98+SEPTIEMBRE!L98+OCTUBRE!L98+NOVIEMBRE!L98+DICIEMBRE!L98</f>
        <v>0</v>
      </c>
      <c r="M98" s="16">
        <f>ENERO!M98+FEBRERO!M98+MARZO!M98+ABRIL!M98+MAYO!M98+JUNIO!M98+JULIO!M98+AGOSTO!M98+SEPTIEMBRE!M98+OCTUBRE!M98+NOVIEMBRE!M98+DICIEMBRE!M98</f>
        <v>137191.96</v>
      </c>
      <c r="N98" s="18">
        <f t="shared" si="2"/>
        <v>2692540141.4280639</v>
      </c>
      <c r="O98" s="4"/>
    </row>
    <row r="99" spans="1:15" ht="18" customHeight="1" x14ac:dyDescent="0.2">
      <c r="A99" s="17" t="s">
        <v>94</v>
      </c>
      <c r="B99" s="16">
        <f>ENERO!B99+FEBRERO!B99+MARZO!B99+ABRIL!B99+MAYO!B99+JUNIO!B99+JULIO!B99+AGOSTO!B99+SEPTIEMBRE!B99+OCTUBRE!B99+NOVIEMBRE!B99+DICIEMBRE!B99</f>
        <v>1462740095.04</v>
      </c>
      <c r="C99" s="16">
        <f>ENERO!C99+FEBRERO!C99+MARZO!C99+ABRIL!C99+MAYO!C99+JUNIO!C99+JULIO!C99+AGOSTO!C99+SEPTIEMBRE!C99+OCTUBRE!C99+NOVIEMBRE!C99+DICIEMBRE!C99</f>
        <v>0</v>
      </c>
      <c r="D99" s="16">
        <f>ENERO!D99+FEBRERO!D99+MARZO!D99+ABRIL!D99+MAYO!D99+JUNIO!D99+JULIO!D99+AGOSTO!D99+SEPTIEMBRE!D99+OCTUBRE!D99+NOVIEMBRE!D99+DICIEMBRE!D99</f>
        <v>84153789.585958153</v>
      </c>
      <c r="E99" s="16">
        <f>ENERO!E99+FEBRERO!E99+MARZO!E99+ABRIL!E99+MAYO!E99+JUNIO!E99+JULIO!E99+AGOSTO!E99+SEPTIEMBRE!E99+OCTUBRE!E99+NOVIEMBRE!E99+DICIEMBRE!E99</f>
        <v>850225.68</v>
      </c>
      <c r="F99" s="16">
        <f>ENERO!F99+FEBRERO!F99+MARZO!F99+ABRIL!F99+MAYO!F99+JUNIO!F99+JULIO!F99+AGOSTO!F99+SEPTIEMBRE!F99+OCTUBRE!F99+NOVIEMBRE!F99+DICIEMBRE!F99</f>
        <v>6626879.4199999999</v>
      </c>
      <c r="G99" s="16">
        <f>ENERO!G99+FEBRERO!G99+MARZO!G99+ABRIL!G99+MAYO!G99+JUNIO!G99+JULIO!G99+AGOSTO!G99+SEPTIEMBRE!G99+OCTUBRE!G99+NOVIEMBRE!G99+DICIEMBRE!G99</f>
        <v>2624556.33</v>
      </c>
      <c r="H99" s="16">
        <f>ENERO!H99+FEBRERO!H99+MARZO!H99+ABRIL!H99+MAYO!H99+JUNIO!H99+JULIO!H99+AGOSTO!H99+SEPTIEMBRE!H99+OCTUBRE!H99+NOVIEMBRE!H99+DICIEMBRE!H99</f>
        <v>77661987.919999987</v>
      </c>
      <c r="I99" s="16">
        <f>ENERO!I99+FEBRERO!I99+MARZO!I99+ABRIL!I99+MAYO!I99+JUNIO!I99+JULIO!I99+AGOSTO!I99+SEPTIEMBRE!I99+OCTUBRE!I99+NOVIEMBRE!I99+DICIEMBRE!I99</f>
        <v>15318464.749999998</v>
      </c>
      <c r="J99" s="16">
        <f>ENERO!J99+FEBRERO!J99+MARZO!J99+ABRIL!J99+MAYO!J99+JUNIO!J99+JULIO!J99+AGOSTO!J99+SEPTIEMBRE!J99+OCTUBRE!J99+NOVIEMBRE!J99+DICIEMBRE!J99</f>
        <v>144517981.62000003</v>
      </c>
      <c r="K99" s="16">
        <f>ENERO!K99+FEBRERO!K99+MARZO!K99+ABRIL!K99+MAYO!K99+JUNIO!K99+JULIO!K99+AGOSTO!K99+SEPTIEMBRE!K99+OCTUBRE!K99+NOVIEMBRE!K99+DICIEMBRE!K99</f>
        <v>0</v>
      </c>
      <c r="L99" s="16">
        <f>ENERO!L99+FEBRERO!L99+MARZO!L99+ABRIL!L99+MAYO!L99+JUNIO!L99+JULIO!L99+AGOSTO!L99+SEPTIEMBRE!L99+OCTUBRE!L99+NOVIEMBRE!L99+DICIEMBRE!L99</f>
        <v>0</v>
      </c>
      <c r="M99" s="16">
        <f>ENERO!M99+FEBRERO!M99+MARZO!M99+ABRIL!M99+MAYO!M99+JUNIO!M99+JULIO!M99+AGOSTO!M99+SEPTIEMBRE!M99+OCTUBRE!M99+NOVIEMBRE!M99+DICIEMBRE!M99</f>
        <v>50855.37</v>
      </c>
      <c r="N99" s="18">
        <f t="shared" si="2"/>
        <v>1794544835.7159584</v>
      </c>
      <c r="O99" s="4"/>
    </row>
    <row r="100" spans="1:15" ht="18" customHeight="1" x14ac:dyDescent="0.2">
      <c r="A100" s="17" t="s">
        <v>95</v>
      </c>
      <c r="B100" s="16">
        <f>ENERO!B100+FEBRERO!B100+MARZO!B100+ABRIL!B100+MAYO!B100+JUNIO!B100+JULIO!B100+AGOSTO!B100+SEPTIEMBRE!B100+OCTUBRE!B100+NOVIEMBRE!B100+DICIEMBRE!B100</f>
        <v>1390062498.6799998</v>
      </c>
      <c r="C100" s="16">
        <f>ENERO!C100+FEBRERO!C100+MARZO!C100+ABRIL!C100+MAYO!C100+JUNIO!C100+JULIO!C100+AGOSTO!C100+SEPTIEMBRE!C100+OCTUBRE!C100+NOVIEMBRE!C100+DICIEMBRE!C100</f>
        <v>0</v>
      </c>
      <c r="D100" s="16">
        <f>ENERO!D100+FEBRERO!D100+MARZO!D100+ABRIL!D100+MAYO!D100+JUNIO!D100+JULIO!D100+AGOSTO!D100+SEPTIEMBRE!D100+OCTUBRE!D100+NOVIEMBRE!D100+DICIEMBRE!D100</f>
        <v>124548447.91057162</v>
      </c>
      <c r="E100" s="16">
        <f>ENERO!E100+FEBRERO!E100+MARZO!E100+ABRIL!E100+MAYO!E100+JUNIO!E100+JULIO!E100+AGOSTO!E100+SEPTIEMBRE!E100+OCTUBRE!E100+NOVIEMBRE!E100+DICIEMBRE!E100</f>
        <v>823223.74999999988</v>
      </c>
      <c r="F100" s="16">
        <f>ENERO!F100+FEBRERO!F100+MARZO!F100+ABRIL!F100+MAYO!F100+JUNIO!F100+JULIO!F100+AGOSTO!F100+SEPTIEMBRE!F100+OCTUBRE!F100+NOVIEMBRE!F100+DICIEMBRE!F100</f>
        <v>7440455.209999999</v>
      </c>
      <c r="G100" s="16">
        <f>ENERO!G100+FEBRERO!G100+MARZO!G100+ABRIL!G100+MAYO!G100+JUNIO!G100+JULIO!G100+AGOSTO!G100+SEPTIEMBRE!G100+OCTUBRE!G100+NOVIEMBRE!G100+DICIEMBRE!G100</f>
        <v>3467678.0400000005</v>
      </c>
      <c r="H100" s="16">
        <f>ENERO!H100+FEBRERO!H100+MARZO!H100+ABRIL!H100+MAYO!H100+JUNIO!H100+JULIO!H100+AGOSTO!H100+SEPTIEMBRE!H100+OCTUBRE!H100+NOVIEMBRE!H100+DICIEMBRE!H100</f>
        <v>73803280.109999999</v>
      </c>
      <c r="I100" s="16">
        <f>ENERO!I100+FEBRERO!I100+MARZO!I100+ABRIL!I100+MAYO!I100+JUNIO!I100+JULIO!I100+AGOSTO!I100+SEPTIEMBRE!I100+OCTUBRE!I100+NOVIEMBRE!I100+DICIEMBRE!I100</f>
        <v>17199098.310000002</v>
      </c>
      <c r="J100" s="16">
        <f>ENERO!J100+FEBRERO!J100+MARZO!J100+ABRIL!J100+MAYO!J100+JUNIO!J100+JULIO!J100+AGOSTO!J100+SEPTIEMBRE!J100+OCTUBRE!J100+NOVIEMBRE!J100+DICIEMBRE!J100</f>
        <v>115793402.94999999</v>
      </c>
      <c r="K100" s="16">
        <f>ENERO!K100+FEBRERO!K100+MARZO!K100+ABRIL!K100+MAYO!K100+JUNIO!K100+JULIO!K100+AGOSTO!K100+SEPTIEMBRE!K100+OCTUBRE!K100+NOVIEMBRE!K100+DICIEMBRE!K100</f>
        <v>0</v>
      </c>
      <c r="L100" s="16">
        <f>ENERO!L100+FEBRERO!L100+MARZO!L100+ABRIL!L100+MAYO!L100+JUNIO!L100+JULIO!L100+AGOSTO!L100+SEPTIEMBRE!L100+OCTUBRE!L100+NOVIEMBRE!L100+DICIEMBRE!L100</f>
        <v>0</v>
      </c>
      <c r="M100" s="16">
        <f>ENERO!M100+FEBRERO!M100+MARZO!M100+ABRIL!M100+MAYO!M100+JUNIO!M100+JULIO!M100+AGOSTO!M100+SEPTIEMBRE!M100+OCTUBRE!M100+NOVIEMBRE!M100+DICIEMBRE!M100</f>
        <v>57098.920000000006</v>
      </c>
      <c r="N100" s="18">
        <f t="shared" si="2"/>
        <v>1733195183.8805714</v>
      </c>
      <c r="O100" s="4"/>
    </row>
    <row r="101" spans="1:15" ht="18" customHeight="1" x14ac:dyDescent="0.2">
      <c r="A101" s="17" t="s">
        <v>96</v>
      </c>
      <c r="B101" s="16">
        <f>ENERO!B101+FEBRERO!B101+MARZO!B101+ABRIL!B101+MAYO!B101+JUNIO!B101+JULIO!B101+AGOSTO!B101+SEPTIEMBRE!B101+OCTUBRE!B101+NOVIEMBRE!B101+DICIEMBRE!B101</f>
        <v>280942780.09000003</v>
      </c>
      <c r="C101" s="16">
        <f>ENERO!C101+FEBRERO!C101+MARZO!C101+ABRIL!C101+MAYO!C101+JUNIO!C101+JULIO!C101+AGOSTO!C101+SEPTIEMBRE!C101+OCTUBRE!C101+NOVIEMBRE!C101+DICIEMBRE!C101</f>
        <v>0</v>
      </c>
      <c r="D101" s="16">
        <f>ENERO!D101+FEBRERO!D101+MARZO!D101+ABRIL!D101+MAYO!D101+JUNIO!D101+JULIO!D101+AGOSTO!D101+SEPTIEMBRE!D101+OCTUBRE!D101+NOVIEMBRE!D101+DICIEMBRE!D101</f>
        <v>38690213.267056048</v>
      </c>
      <c r="E101" s="16">
        <f>ENERO!E101+FEBRERO!E101+MARZO!E101+ABRIL!E101+MAYO!E101+JUNIO!E101+JULIO!E101+AGOSTO!E101+SEPTIEMBRE!E101+OCTUBRE!E101+NOVIEMBRE!E101+DICIEMBRE!E101</f>
        <v>164782.50000000003</v>
      </c>
      <c r="F101" s="16">
        <f>ENERO!F101+FEBRERO!F101+MARZO!F101+ABRIL!F101+MAYO!F101+JUNIO!F101+JULIO!F101+AGOSTO!F101+SEPTIEMBRE!F101+OCTUBRE!F101+NOVIEMBRE!F101+DICIEMBRE!F101</f>
        <v>888840.44000000018</v>
      </c>
      <c r="G101" s="16">
        <f>ENERO!G101+FEBRERO!G101+MARZO!G101+ABRIL!G101+MAYO!G101+JUNIO!G101+JULIO!G101+AGOSTO!G101+SEPTIEMBRE!G101+OCTUBRE!G101+NOVIEMBRE!G101+DICIEMBRE!G101</f>
        <v>516752.03</v>
      </c>
      <c r="H101" s="16">
        <f>ENERO!H101+FEBRERO!H101+MARZO!H101+ABRIL!H101+MAYO!H101+JUNIO!H101+JULIO!H101+AGOSTO!H101+SEPTIEMBRE!H101+OCTUBRE!H101+NOVIEMBRE!H101+DICIEMBRE!H101</f>
        <v>14916234.899999999</v>
      </c>
      <c r="I101" s="16">
        <f>ENERO!I101+FEBRERO!I101+MARZO!I101+ABRIL!I101+MAYO!I101+JUNIO!I101+JULIO!I101+AGOSTO!I101+SEPTIEMBRE!I101+OCTUBRE!I101+NOVIEMBRE!I101+DICIEMBRE!I101</f>
        <v>2054612.8999999997</v>
      </c>
      <c r="J101" s="16">
        <f>ENERO!J101+FEBRERO!J101+MARZO!J101+ABRIL!J101+MAYO!J101+JUNIO!J101+JULIO!J101+AGOSTO!J101+SEPTIEMBRE!J101+OCTUBRE!J101+NOVIEMBRE!J101+DICIEMBRE!J101</f>
        <v>24390270.239999991</v>
      </c>
      <c r="K101" s="16">
        <f>ENERO!K101+FEBRERO!K101+MARZO!K101+ABRIL!K101+MAYO!K101+JUNIO!K101+JULIO!K101+AGOSTO!K101+SEPTIEMBRE!K101+OCTUBRE!K101+NOVIEMBRE!K101+DICIEMBRE!K101</f>
        <v>0</v>
      </c>
      <c r="L101" s="16">
        <f>ENERO!L101+FEBRERO!L101+MARZO!L101+ABRIL!L101+MAYO!L101+JUNIO!L101+JULIO!L101+AGOSTO!L101+SEPTIEMBRE!L101+OCTUBRE!L101+NOVIEMBRE!L101+DICIEMBRE!L101</f>
        <v>0</v>
      </c>
      <c r="M101" s="16">
        <f>ENERO!M101+FEBRERO!M101+MARZO!M101+ABRIL!M101+MAYO!M101+JUNIO!M101+JULIO!M101+AGOSTO!M101+SEPTIEMBRE!M101+OCTUBRE!M101+NOVIEMBRE!M101+DICIEMBRE!M101</f>
        <v>6820.7499999999991</v>
      </c>
      <c r="N101" s="18">
        <f t="shared" si="2"/>
        <v>362571307.11705601</v>
      </c>
      <c r="O101" s="4"/>
    </row>
    <row r="102" spans="1:15" ht="18" customHeight="1" x14ac:dyDescent="0.2">
      <c r="A102" s="17" t="s">
        <v>97</v>
      </c>
      <c r="B102" s="16">
        <f>ENERO!B102+FEBRERO!B102+MARZO!B102+ABRIL!B102+MAYO!B102+JUNIO!B102+JULIO!B102+AGOSTO!B102+SEPTIEMBRE!B102+OCTUBRE!B102+NOVIEMBRE!B102+DICIEMBRE!B102</f>
        <v>928253489.74000025</v>
      </c>
      <c r="C102" s="16">
        <f>ENERO!C102+FEBRERO!C102+MARZO!C102+ABRIL!C102+MAYO!C102+JUNIO!C102+JULIO!C102+AGOSTO!C102+SEPTIEMBRE!C102+OCTUBRE!C102+NOVIEMBRE!C102+DICIEMBRE!C102</f>
        <v>0</v>
      </c>
      <c r="D102" s="16">
        <f>ENERO!D102+FEBRERO!D102+MARZO!D102+ABRIL!D102+MAYO!D102+JUNIO!D102+JULIO!D102+AGOSTO!D102+SEPTIEMBRE!D102+OCTUBRE!D102+NOVIEMBRE!D102+DICIEMBRE!D102</f>
        <v>178537273.49279773</v>
      </c>
      <c r="E102" s="16">
        <f>ENERO!E102+FEBRERO!E102+MARZO!E102+ABRIL!E102+MAYO!E102+JUNIO!E102+JULIO!E102+AGOSTO!E102+SEPTIEMBRE!E102+OCTUBRE!E102+NOVIEMBRE!E102+DICIEMBRE!E102</f>
        <v>773941.85000000009</v>
      </c>
      <c r="F102" s="16">
        <f>ENERO!F102+FEBRERO!F102+MARZO!F102+ABRIL!F102+MAYO!F102+JUNIO!F102+JULIO!F102+AGOSTO!F102+SEPTIEMBRE!F102+OCTUBRE!F102+NOVIEMBRE!F102+DICIEMBRE!F102</f>
        <v>17210532.809999999</v>
      </c>
      <c r="G102" s="16">
        <f>ENERO!G102+FEBRERO!G102+MARZO!G102+ABRIL!G102+MAYO!G102+JUNIO!G102+JULIO!G102+AGOSTO!G102+SEPTIEMBRE!G102+OCTUBRE!G102+NOVIEMBRE!G102+DICIEMBRE!G102</f>
        <v>9097555.3999999985</v>
      </c>
      <c r="H102" s="16">
        <f>ENERO!H102+FEBRERO!H102+MARZO!H102+ABRIL!H102+MAYO!H102+JUNIO!H102+JULIO!H102+AGOSTO!H102+SEPTIEMBRE!H102+OCTUBRE!H102+NOVIEMBRE!H102+DICIEMBRE!H102</f>
        <v>49284224.57</v>
      </c>
      <c r="I102" s="16">
        <f>ENERO!I102+FEBRERO!I102+MARZO!I102+ABRIL!I102+MAYO!I102+JUNIO!I102+JULIO!I102+AGOSTO!I102+SEPTIEMBRE!I102+OCTUBRE!I102+NOVIEMBRE!I102+DICIEMBRE!I102</f>
        <v>39783270.799999997</v>
      </c>
      <c r="J102" s="16">
        <f>ENERO!J102+FEBRERO!J102+MARZO!J102+ABRIL!J102+MAYO!J102+JUNIO!J102+JULIO!J102+AGOSTO!J102+SEPTIEMBRE!J102+OCTUBRE!J102+NOVIEMBRE!J102+DICIEMBRE!J102</f>
        <v>164130366.13999996</v>
      </c>
      <c r="K102" s="16">
        <f>ENERO!K102+FEBRERO!K102+MARZO!K102+ABRIL!K102+MAYO!K102+JUNIO!K102+JULIO!K102+AGOSTO!K102+SEPTIEMBRE!K102+OCTUBRE!K102+NOVIEMBRE!K102+DICIEMBRE!K102</f>
        <v>0</v>
      </c>
      <c r="L102" s="16">
        <f>ENERO!L102+FEBRERO!L102+MARZO!L102+ABRIL!L102+MAYO!L102+JUNIO!L102+JULIO!L102+AGOSTO!L102+SEPTIEMBRE!L102+OCTUBRE!L102+NOVIEMBRE!L102+DICIEMBRE!L102</f>
        <v>0</v>
      </c>
      <c r="M102" s="16">
        <f>ENERO!M102+FEBRERO!M102+MARZO!M102+ABRIL!M102+MAYO!M102+JUNIO!M102+JULIO!M102+AGOSTO!M102+SEPTIEMBRE!M102+OCTUBRE!M102+NOVIEMBRE!M102+DICIEMBRE!M102</f>
        <v>132076.12999999998</v>
      </c>
      <c r="N102" s="18">
        <f t="shared" si="2"/>
        <v>1387202730.9327979</v>
      </c>
      <c r="O102" s="4"/>
    </row>
    <row r="103" spans="1:15" ht="18" customHeight="1" x14ac:dyDescent="0.2">
      <c r="A103" s="17" t="s">
        <v>98</v>
      </c>
      <c r="B103" s="16">
        <f>ENERO!B103+FEBRERO!B103+MARZO!B103+ABRIL!B103+MAYO!B103+JUNIO!B103+JULIO!B103+AGOSTO!B103+SEPTIEMBRE!B103+OCTUBRE!B103+NOVIEMBRE!B103+DICIEMBRE!B103</f>
        <v>321710110.56000006</v>
      </c>
      <c r="C103" s="16">
        <f>ENERO!C103+FEBRERO!C103+MARZO!C103+ABRIL!C103+MAYO!C103+JUNIO!C103+JULIO!C103+AGOSTO!C103+SEPTIEMBRE!C103+OCTUBRE!C103+NOVIEMBRE!C103+DICIEMBRE!C103</f>
        <v>0</v>
      </c>
      <c r="D103" s="16">
        <f>ENERO!D103+FEBRERO!D103+MARZO!D103+ABRIL!D103+MAYO!D103+JUNIO!D103+JULIO!D103+AGOSTO!D103+SEPTIEMBRE!D103+OCTUBRE!D103+NOVIEMBRE!D103+DICIEMBRE!D103</f>
        <v>46612647.422348738</v>
      </c>
      <c r="E103" s="16">
        <f>ENERO!E103+FEBRERO!E103+MARZO!E103+ABRIL!E103+MAYO!E103+JUNIO!E103+JULIO!E103+AGOSTO!E103+SEPTIEMBRE!E103+OCTUBRE!E103+NOVIEMBRE!E103+DICIEMBRE!E103</f>
        <v>188374.13999999998</v>
      </c>
      <c r="F103" s="16">
        <f>ENERO!F103+FEBRERO!F103+MARZO!F103+ABRIL!F103+MAYO!F103+JUNIO!F103+JULIO!F103+AGOSTO!F103+SEPTIEMBRE!F103+OCTUBRE!F103+NOVIEMBRE!F103+DICIEMBRE!F103</f>
        <v>426500.05</v>
      </c>
      <c r="G103" s="16">
        <f>ENERO!G103+FEBRERO!G103+MARZO!G103+ABRIL!G103+MAYO!G103+JUNIO!G103+JULIO!G103+AGOSTO!G103+SEPTIEMBRE!G103+OCTUBRE!G103+NOVIEMBRE!G103+DICIEMBRE!G103</f>
        <v>312770.98000000004</v>
      </c>
      <c r="H103" s="16">
        <f>ENERO!H103+FEBRERO!H103+MARZO!H103+ABRIL!H103+MAYO!H103+JUNIO!H103+JULIO!H103+AGOSTO!H103+SEPTIEMBRE!H103+OCTUBRE!H103+NOVIEMBRE!H103+DICIEMBRE!H103</f>
        <v>17080715.079999998</v>
      </c>
      <c r="I103" s="16">
        <f>ENERO!I103+FEBRERO!I103+MARZO!I103+ABRIL!I103+MAYO!I103+JUNIO!I103+JULIO!I103+AGOSTO!I103+SEPTIEMBRE!I103+OCTUBRE!I103+NOVIEMBRE!I103+DICIEMBRE!I103</f>
        <v>985882.81000000017</v>
      </c>
      <c r="J103" s="16">
        <f>ENERO!J103+FEBRERO!J103+MARZO!J103+ABRIL!J103+MAYO!J103+JUNIO!J103+JULIO!J103+AGOSTO!J103+SEPTIEMBRE!J103+OCTUBRE!J103+NOVIEMBRE!J103+DICIEMBRE!J103</f>
        <v>34307034.56000001</v>
      </c>
      <c r="K103" s="16">
        <f>ENERO!K103+FEBRERO!K103+MARZO!K103+ABRIL!K103+MAYO!K103+JUNIO!K103+JULIO!K103+AGOSTO!K103+SEPTIEMBRE!K103+OCTUBRE!K103+NOVIEMBRE!K103+DICIEMBRE!K103</f>
        <v>0</v>
      </c>
      <c r="L103" s="16">
        <f>ENERO!L103+FEBRERO!L103+MARZO!L103+ABRIL!L103+MAYO!L103+JUNIO!L103+JULIO!L103+AGOSTO!L103+SEPTIEMBRE!L103+OCTUBRE!L103+NOVIEMBRE!L103+DICIEMBRE!L103</f>
        <v>0</v>
      </c>
      <c r="M103" s="16">
        <f>ENERO!M103+FEBRERO!M103+MARZO!M103+ABRIL!M103+MAYO!M103+JUNIO!M103+JULIO!M103+AGOSTO!M103+SEPTIEMBRE!M103+OCTUBRE!M103+NOVIEMBRE!M103+DICIEMBRE!M103</f>
        <v>3272.68</v>
      </c>
      <c r="N103" s="18">
        <f t="shared" si="2"/>
        <v>421627308.28234881</v>
      </c>
      <c r="O103" s="4"/>
    </row>
    <row r="104" spans="1:15" ht="18" customHeight="1" x14ac:dyDescent="0.2">
      <c r="A104" s="17" t="s">
        <v>99</v>
      </c>
      <c r="B104" s="16">
        <f>ENERO!B104+FEBRERO!B104+MARZO!B104+ABRIL!B104+MAYO!B104+JUNIO!B104+JULIO!B104+AGOSTO!B104+SEPTIEMBRE!B104+OCTUBRE!B104+NOVIEMBRE!B104+DICIEMBRE!B104</f>
        <v>4293503499.6999998</v>
      </c>
      <c r="C104" s="16">
        <f>ENERO!C104+FEBRERO!C104+MARZO!C104+ABRIL!C104+MAYO!C104+JUNIO!C104+JULIO!C104+AGOSTO!C104+SEPTIEMBRE!C104+OCTUBRE!C104+NOVIEMBRE!C104+DICIEMBRE!C104</f>
        <v>0</v>
      </c>
      <c r="D104" s="16">
        <f>ENERO!D104+FEBRERO!D104+MARZO!D104+ABRIL!D104+MAYO!D104+JUNIO!D104+JULIO!D104+AGOSTO!D104+SEPTIEMBRE!D104+OCTUBRE!D104+NOVIEMBRE!D104+DICIEMBRE!D104</f>
        <v>63331459.559778638</v>
      </c>
      <c r="E104" s="16">
        <f>ENERO!E104+FEBRERO!E104+MARZO!E104+ABRIL!E104+MAYO!E104+JUNIO!E104+JULIO!E104+AGOSTO!E104+SEPTIEMBRE!E104+OCTUBRE!E104+NOVIEMBRE!E104+DICIEMBRE!E104</f>
        <v>3503316.1</v>
      </c>
      <c r="F104" s="16">
        <f>ENERO!F104+FEBRERO!F104+MARZO!F104+ABRIL!F104+MAYO!F104+JUNIO!F104+JULIO!F104+AGOSTO!F104+SEPTIEMBRE!F104+OCTUBRE!F104+NOVIEMBRE!F104+DICIEMBRE!F104</f>
        <v>87403845.260000005</v>
      </c>
      <c r="G104" s="16">
        <f>ENERO!G104+FEBRERO!G104+MARZO!G104+ABRIL!G104+MAYO!G104+JUNIO!G104+JULIO!G104+AGOSTO!G104+SEPTIEMBRE!G104+OCTUBRE!G104+NOVIEMBRE!G104+DICIEMBRE!G104</f>
        <v>17395151.258066174</v>
      </c>
      <c r="H104" s="16">
        <f>ENERO!H104+FEBRERO!H104+MARZO!H104+ABRIL!H104+MAYO!H104+JUNIO!H104+JULIO!H104+AGOSTO!H104+SEPTIEMBRE!H104+OCTUBRE!H104+NOVIEMBRE!H104+DICIEMBRE!H104</f>
        <v>227957118.19</v>
      </c>
      <c r="I104" s="16">
        <f>ENERO!I104+FEBRERO!I104+MARZO!I104+ABRIL!I104+MAYO!I104+JUNIO!I104+JULIO!I104+AGOSTO!I104+SEPTIEMBRE!I104+OCTUBRE!I104+NOVIEMBRE!I104+DICIEMBRE!I104</f>
        <v>202039696.96000001</v>
      </c>
      <c r="J104" s="16">
        <f>ENERO!J104+FEBRERO!J104+MARZO!J104+ABRIL!J104+MAYO!J104+JUNIO!J104+JULIO!J104+AGOSTO!J104+SEPTIEMBRE!J104+OCTUBRE!J104+NOVIEMBRE!J104+DICIEMBRE!J104</f>
        <v>383032774.82000011</v>
      </c>
      <c r="K104" s="16">
        <f>ENERO!K104+FEBRERO!K104+MARZO!K104+ABRIL!K104+MAYO!K104+JUNIO!K104+JULIO!K104+AGOSTO!K104+SEPTIEMBRE!K104+OCTUBRE!K104+NOVIEMBRE!K104+DICIEMBRE!K104</f>
        <v>0</v>
      </c>
      <c r="L104" s="16">
        <f>ENERO!L104+FEBRERO!L104+MARZO!L104+ABRIL!L104+MAYO!L104+JUNIO!L104+JULIO!L104+AGOSTO!L104+SEPTIEMBRE!L104+OCTUBRE!L104+NOVIEMBRE!L104+DICIEMBRE!L104</f>
        <v>0</v>
      </c>
      <c r="M104" s="16">
        <f>ENERO!M104+FEBRERO!M104+MARZO!M104+ABRIL!M104+MAYO!M104+JUNIO!M104+JULIO!M104+AGOSTO!M104+SEPTIEMBRE!M104+OCTUBRE!M104+NOVIEMBRE!M104+DICIEMBRE!M104</f>
        <v>670751.11</v>
      </c>
      <c r="N104" s="18">
        <f t="shared" ref="N104:N135" si="3">SUM(B104:M104)</f>
        <v>5278837612.9578438</v>
      </c>
      <c r="O104" s="4"/>
    </row>
    <row r="105" spans="1:15" ht="18" customHeight="1" x14ac:dyDescent="0.2">
      <c r="A105" s="17" t="s">
        <v>100</v>
      </c>
      <c r="B105" s="16">
        <f>ENERO!B105+FEBRERO!B105+MARZO!B105+ABRIL!B105+MAYO!B105+JUNIO!B105+JULIO!B105+AGOSTO!B105+SEPTIEMBRE!B105+OCTUBRE!B105+NOVIEMBRE!B105+DICIEMBRE!B105</f>
        <v>724789330.63</v>
      </c>
      <c r="C105" s="16">
        <f>ENERO!C105+FEBRERO!C105+MARZO!C105+ABRIL!C105+MAYO!C105+JUNIO!C105+JULIO!C105+AGOSTO!C105+SEPTIEMBRE!C105+OCTUBRE!C105+NOVIEMBRE!C105+DICIEMBRE!C105</f>
        <v>0</v>
      </c>
      <c r="D105" s="16">
        <f>ENERO!D105+FEBRERO!D105+MARZO!D105+ABRIL!D105+MAYO!D105+JUNIO!D105+JULIO!D105+AGOSTO!D105+SEPTIEMBRE!D105+OCTUBRE!D105+NOVIEMBRE!D105+DICIEMBRE!D105</f>
        <v>10542138.17</v>
      </c>
      <c r="E105" s="16">
        <f>ENERO!E105+FEBRERO!E105+MARZO!E105+ABRIL!E105+MAYO!E105+JUNIO!E105+JULIO!E105+AGOSTO!E105+SEPTIEMBRE!E105+OCTUBRE!E105+NOVIEMBRE!E105+DICIEMBRE!E105</f>
        <v>596542.59</v>
      </c>
      <c r="F105" s="16">
        <f>ENERO!F105+FEBRERO!F105+MARZO!F105+ABRIL!F105+MAYO!F105+JUNIO!F105+JULIO!F105+AGOSTO!F105+SEPTIEMBRE!F105+OCTUBRE!F105+NOVIEMBRE!F105+DICIEMBRE!F105</f>
        <v>3766820.0100000002</v>
      </c>
      <c r="G105" s="16">
        <f>ENERO!G105+FEBRERO!G105+MARZO!G105+ABRIL!G105+MAYO!G105+JUNIO!G105+JULIO!G105+AGOSTO!G105+SEPTIEMBRE!G105+OCTUBRE!G105+NOVIEMBRE!G105+DICIEMBRE!G105</f>
        <v>2243791.7000000002</v>
      </c>
      <c r="H105" s="16">
        <f>ENERO!H105+FEBRERO!H105+MARZO!H105+ABRIL!H105+MAYO!H105+JUNIO!H105+JULIO!H105+AGOSTO!H105+SEPTIEMBRE!H105+OCTUBRE!H105+NOVIEMBRE!H105+DICIEMBRE!H105</f>
        <v>38481600.700000003</v>
      </c>
      <c r="I105" s="16">
        <f>ENERO!I105+FEBRERO!I105+MARZO!I105+ABRIL!I105+MAYO!I105+JUNIO!I105+JULIO!I105+AGOSTO!I105+SEPTIEMBRE!I105+OCTUBRE!I105+NOVIEMBRE!I105+DICIEMBRE!I105</f>
        <v>8707250.6400000006</v>
      </c>
      <c r="J105" s="16">
        <f>ENERO!J105+FEBRERO!J105+MARZO!J105+ABRIL!J105+MAYO!J105+JUNIO!J105+JULIO!J105+AGOSTO!J105+SEPTIEMBRE!J105+OCTUBRE!J105+NOVIEMBRE!J105+DICIEMBRE!J105</f>
        <v>49409011.460000023</v>
      </c>
      <c r="K105" s="16">
        <f>ENERO!K105+FEBRERO!K105+MARZO!K105+ABRIL!K105+MAYO!K105+JUNIO!K105+JULIO!K105+AGOSTO!K105+SEPTIEMBRE!K105+OCTUBRE!K105+NOVIEMBRE!K105+DICIEMBRE!K105</f>
        <v>0</v>
      </c>
      <c r="L105" s="16">
        <f>ENERO!L105+FEBRERO!L105+MARZO!L105+ABRIL!L105+MAYO!L105+JUNIO!L105+JULIO!L105+AGOSTO!L105+SEPTIEMBRE!L105+OCTUBRE!L105+NOVIEMBRE!L105+DICIEMBRE!L105</f>
        <v>0</v>
      </c>
      <c r="M105" s="16">
        <f>ENERO!M105+FEBRERO!M105+MARZO!M105+ABRIL!M105+MAYO!M105+JUNIO!M105+JULIO!M105+AGOSTO!M105+SEPTIEMBRE!M105+OCTUBRE!M105+NOVIEMBRE!M105+DICIEMBRE!M105</f>
        <v>28906.850000000002</v>
      </c>
      <c r="N105" s="18">
        <f t="shared" si="3"/>
        <v>838565392.75000012</v>
      </c>
      <c r="O105" s="4"/>
    </row>
    <row r="106" spans="1:15" ht="18" customHeight="1" x14ac:dyDescent="0.2">
      <c r="A106" s="17" t="s">
        <v>101</v>
      </c>
      <c r="B106" s="16">
        <f>ENERO!B106+FEBRERO!B106+MARZO!B106+ABRIL!B106+MAYO!B106+JUNIO!B106+JULIO!B106+AGOSTO!B106+SEPTIEMBRE!B106+OCTUBRE!B106+NOVIEMBRE!B106+DICIEMBRE!B106</f>
        <v>828032077.68000007</v>
      </c>
      <c r="C106" s="16">
        <f>ENERO!C106+FEBRERO!C106+MARZO!C106+ABRIL!C106+MAYO!C106+JUNIO!C106+JULIO!C106+AGOSTO!C106+SEPTIEMBRE!C106+OCTUBRE!C106+NOVIEMBRE!C106+DICIEMBRE!C106</f>
        <v>0</v>
      </c>
      <c r="D106" s="16">
        <f>ENERO!D106+FEBRERO!D106+MARZO!D106+ABRIL!D106+MAYO!D106+JUNIO!D106+JULIO!D106+AGOSTO!D106+SEPTIEMBRE!D106+OCTUBRE!D106+NOVIEMBRE!D106+DICIEMBRE!D106</f>
        <v>6951947.9500000011</v>
      </c>
      <c r="E106" s="16">
        <f>ENERO!E106+FEBRERO!E106+MARZO!E106+ABRIL!E106+MAYO!E106+JUNIO!E106+JULIO!E106+AGOSTO!E106+SEPTIEMBRE!E106+OCTUBRE!E106+NOVIEMBRE!E106+DICIEMBRE!E106</f>
        <v>484631.29</v>
      </c>
      <c r="F106" s="16">
        <f>ENERO!F106+FEBRERO!F106+MARZO!F106+ABRIL!F106+MAYO!F106+JUNIO!F106+JULIO!F106+AGOSTO!F106+SEPTIEMBRE!F106+OCTUBRE!F106+NOVIEMBRE!F106+DICIEMBRE!F106</f>
        <v>26690303.639999997</v>
      </c>
      <c r="G106" s="16">
        <f>ENERO!G106+FEBRERO!G106+MARZO!G106+ABRIL!G106+MAYO!G106+JUNIO!G106+JULIO!G106+AGOSTO!G106+SEPTIEMBRE!G106+OCTUBRE!G106+NOVIEMBRE!G106+DICIEMBRE!G106</f>
        <v>7319882.1544070337</v>
      </c>
      <c r="H106" s="16">
        <f>ENERO!H106+FEBRERO!H106+MARZO!H106+ABRIL!H106+MAYO!H106+JUNIO!H106+JULIO!H106+AGOSTO!H106+SEPTIEMBRE!H106+OCTUBRE!H106+NOVIEMBRE!H106+DICIEMBRE!H106</f>
        <v>43963119.269999996</v>
      </c>
      <c r="I106" s="16">
        <f>ENERO!I106+FEBRERO!I106+MARZO!I106+ABRIL!I106+MAYO!I106+JUNIO!I106+JULIO!I106+AGOSTO!I106+SEPTIEMBRE!I106+OCTUBRE!I106+NOVIEMBRE!I106+DICIEMBRE!I106</f>
        <v>61696380.159999996</v>
      </c>
      <c r="J106" s="16">
        <f>ENERO!J106+FEBRERO!J106+MARZO!J106+ABRIL!J106+MAYO!J106+JUNIO!J106+JULIO!J106+AGOSTO!J106+SEPTIEMBRE!J106+OCTUBRE!J106+NOVIEMBRE!J106+DICIEMBRE!J106</f>
        <v>131784891.29999992</v>
      </c>
      <c r="K106" s="16">
        <f>ENERO!K106+FEBRERO!K106+MARZO!K106+ABRIL!K106+MAYO!K106+JUNIO!K106+JULIO!K106+AGOSTO!K106+SEPTIEMBRE!K106+OCTUBRE!K106+NOVIEMBRE!K106+DICIEMBRE!K106</f>
        <v>0</v>
      </c>
      <c r="L106" s="16">
        <f>ENERO!L106+FEBRERO!L106+MARZO!L106+ABRIL!L106+MAYO!L106+JUNIO!L106+JULIO!L106+AGOSTO!L106+SEPTIEMBRE!L106+OCTUBRE!L106+NOVIEMBRE!L106+DICIEMBRE!L106</f>
        <v>0</v>
      </c>
      <c r="M106" s="16">
        <f>ENERO!M106+FEBRERO!M106+MARZO!M106+ABRIL!M106+MAYO!M106+JUNIO!M106+JULIO!M106+AGOSTO!M106+SEPTIEMBRE!M106+OCTUBRE!M106+NOVIEMBRE!M106+DICIEMBRE!M106</f>
        <v>204825.37</v>
      </c>
      <c r="N106" s="18">
        <f t="shared" si="3"/>
        <v>1107128058.8144069</v>
      </c>
      <c r="O106" s="4"/>
    </row>
    <row r="107" spans="1:15" ht="18" customHeight="1" x14ac:dyDescent="0.2">
      <c r="A107" s="17" t="s">
        <v>102</v>
      </c>
      <c r="B107" s="16">
        <f>ENERO!B107+FEBRERO!B107+MARZO!B107+ABRIL!B107+MAYO!B107+JUNIO!B107+JULIO!B107+AGOSTO!B107+SEPTIEMBRE!B107+OCTUBRE!B107+NOVIEMBRE!B107+DICIEMBRE!B107</f>
        <v>1131345155.5</v>
      </c>
      <c r="C107" s="16">
        <f>ENERO!C107+FEBRERO!C107+MARZO!C107+ABRIL!C107+MAYO!C107+JUNIO!C107+JULIO!C107+AGOSTO!C107+SEPTIEMBRE!C107+OCTUBRE!C107+NOVIEMBRE!C107+DICIEMBRE!C107</f>
        <v>0</v>
      </c>
      <c r="D107" s="16">
        <f>ENERO!D107+FEBRERO!D107+MARZO!D107+ABRIL!D107+MAYO!D107+JUNIO!D107+JULIO!D107+AGOSTO!D107+SEPTIEMBRE!D107+OCTUBRE!D107+NOVIEMBRE!D107+DICIEMBRE!D107</f>
        <v>60275279.788144171</v>
      </c>
      <c r="E107" s="16">
        <f>ENERO!E107+FEBRERO!E107+MARZO!E107+ABRIL!E107+MAYO!E107+JUNIO!E107+JULIO!E107+AGOSTO!E107+SEPTIEMBRE!E107+OCTUBRE!E107+NOVIEMBRE!E107+DICIEMBRE!E107</f>
        <v>659349.42000000004</v>
      </c>
      <c r="F107" s="16">
        <f>ENERO!F107+FEBRERO!F107+MARZO!F107+ABRIL!F107+MAYO!F107+JUNIO!F107+JULIO!F107+AGOSTO!F107+SEPTIEMBRE!F107+OCTUBRE!F107+NOVIEMBRE!F107+DICIEMBRE!F107</f>
        <v>1483790.14</v>
      </c>
      <c r="G107" s="16">
        <f>ENERO!G107+FEBRERO!G107+MARZO!G107+ABRIL!G107+MAYO!G107+JUNIO!G107+JULIO!G107+AGOSTO!G107+SEPTIEMBRE!G107+OCTUBRE!G107+NOVIEMBRE!G107+DICIEMBRE!G107</f>
        <v>1373472.49</v>
      </c>
      <c r="H107" s="16">
        <f>ENERO!H107+FEBRERO!H107+MARZO!H107+ABRIL!H107+MAYO!H107+JUNIO!H107+JULIO!H107+AGOSTO!H107+SEPTIEMBRE!H107+OCTUBRE!H107+NOVIEMBRE!H107+DICIEMBRE!H107</f>
        <v>60067071.460000008</v>
      </c>
      <c r="I107" s="16">
        <f>ENERO!I107+FEBRERO!I107+MARZO!I107+ABRIL!I107+MAYO!I107+JUNIO!I107+JULIO!I107+AGOSTO!I107+SEPTIEMBRE!I107+OCTUBRE!I107+NOVIEMBRE!I107+DICIEMBRE!I107</f>
        <v>3429878.0099999993</v>
      </c>
      <c r="J107" s="16">
        <f>ENERO!J107+FEBRERO!J107+MARZO!J107+ABRIL!J107+MAYO!J107+JUNIO!J107+JULIO!J107+AGOSTO!J107+SEPTIEMBRE!J107+OCTUBRE!J107+NOVIEMBRE!J107+DICIEMBRE!J107</f>
        <v>64252521.079999998</v>
      </c>
      <c r="K107" s="16">
        <f>ENERO!K107+FEBRERO!K107+MARZO!K107+ABRIL!K107+MAYO!K107+JUNIO!K107+JULIO!K107+AGOSTO!K107+SEPTIEMBRE!K107+OCTUBRE!K107+NOVIEMBRE!K107+DICIEMBRE!K107</f>
        <v>0</v>
      </c>
      <c r="L107" s="16">
        <f>ENERO!L107+FEBRERO!L107+MARZO!L107+ABRIL!L107+MAYO!L107+JUNIO!L107+JULIO!L107+AGOSTO!L107+SEPTIEMBRE!L107+OCTUBRE!L107+NOVIEMBRE!L107+DICIEMBRE!L107</f>
        <v>0</v>
      </c>
      <c r="M107" s="16">
        <f>ENERO!M107+FEBRERO!M107+MARZO!M107+ABRIL!M107+MAYO!M107+JUNIO!M107+JULIO!M107+AGOSTO!M107+SEPTIEMBRE!M107+OCTUBRE!M107+NOVIEMBRE!M107+DICIEMBRE!M107</f>
        <v>11386.449999999997</v>
      </c>
      <c r="N107" s="18">
        <f t="shared" si="3"/>
        <v>1322897904.3381443</v>
      </c>
      <c r="O107" s="4"/>
    </row>
    <row r="108" spans="1:15" ht="18" customHeight="1" x14ac:dyDescent="0.2">
      <c r="A108" s="17" t="s">
        <v>103</v>
      </c>
      <c r="B108" s="16">
        <f>ENERO!B108+FEBRERO!B108+MARZO!B108+ABRIL!B108+MAYO!B108+JUNIO!B108+JULIO!B108+AGOSTO!B108+SEPTIEMBRE!B108+OCTUBRE!B108+NOVIEMBRE!B108+DICIEMBRE!B108</f>
        <v>393146062.23000002</v>
      </c>
      <c r="C108" s="16">
        <f>ENERO!C108+FEBRERO!C108+MARZO!C108+ABRIL!C108+MAYO!C108+JUNIO!C108+JULIO!C108+AGOSTO!C108+SEPTIEMBRE!C108+OCTUBRE!C108+NOVIEMBRE!C108+DICIEMBRE!C108</f>
        <v>0</v>
      </c>
      <c r="D108" s="16">
        <f>ENERO!D108+FEBRERO!D108+MARZO!D108+ABRIL!D108+MAYO!D108+JUNIO!D108+JULIO!D108+AGOSTO!D108+SEPTIEMBRE!D108+OCTUBRE!D108+NOVIEMBRE!D108+DICIEMBRE!D108</f>
        <v>25801754.008202873</v>
      </c>
      <c r="E108" s="16">
        <f>ENERO!E108+FEBRERO!E108+MARZO!E108+ABRIL!E108+MAYO!E108+JUNIO!E108+JULIO!E108+AGOSTO!E108+SEPTIEMBRE!E108+OCTUBRE!E108+NOVIEMBRE!E108+DICIEMBRE!E108</f>
        <v>228468.58</v>
      </c>
      <c r="F108" s="16">
        <f>ENERO!F108+FEBRERO!F108+MARZO!F108+ABRIL!F108+MAYO!F108+JUNIO!F108+JULIO!F108+AGOSTO!F108+SEPTIEMBRE!F108+OCTUBRE!F108+NOVIEMBRE!F108+DICIEMBRE!F108</f>
        <v>1505294.3499999999</v>
      </c>
      <c r="G108" s="16">
        <f>ENERO!G108+FEBRERO!G108+MARZO!G108+ABRIL!G108+MAYO!G108+JUNIO!G108+JULIO!G108+AGOSTO!G108+SEPTIEMBRE!G108+OCTUBRE!G108+NOVIEMBRE!G108+DICIEMBRE!G108</f>
        <v>856720.44</v>
      </c>
      <c r="H108" s="16">
        <f>ENERO!H108+FEBRERO!H108+MARZO!H108+ABRIL!H108+MAYO!H108+JUNIO!H108+JULIO!H108+AGOSTO!H108+SEPTIEMBRE!H108+OCTUBRE!H108+NOVIEMBRE!H108+DICIEMBRE!H108</f>
        <v>20873499.620000001</v>
      </c>
      <c r="I108" s="16">
        <f>ENERO!I108+FEBRERO!I108+MARZO!I108+ABRIL!I108+MAYO!I108+JUNIO!I108+JULIO!I108+AGOSTO!I108+SEPTIEMBRE!I108+OCTUBRE!I108+NOVIEMBRE!I108+DICIEMBRE!I108</f>
        <v>3479586.3699999996</v>
      </c>
      <c r="J108" s="16">
        <f>ENERO!J108+FEBRERO!J108+MARZO!J108+ABRIL!J108+MAYO!J108+JUNIO!J108+JULIO!J108+AGOSTO!J108+SEPTIEMBRE!J108+OCTUBRE!J108+NOVIEMBRE!J108+DICIEMBRE!J108</f>
        <v>32609088.5</v>
      </c>
      <c r="K108" s="16">
        <f>ENERO!K108+FEBRERO!K108+MARZO!K108+ABRIL!K108+MAYO!K108+JUNIO!K108+JULIO!K108+AGOSTO!K108+SEPTIEMBRE!K108+OCTUBRE!K108+NOVIEMBRE!K108+DICIEMBRE!K108</f>
        <v>0</v>
      </c>
      <c r="L108" s="16">
        <f>ENERO!L108+FEBRERO!L108+MARZO!L108+ABRIL!L108+MAYO!L108+JUNIO!L108+JULIO!L108+AGOSTO!L108+SEPTIEMBRE!L108+OCTUBRE!L108+NOVIEMBRE!L108+DICIEMBRE!L108</f>
        <v>0</v>
      </c>
      <c r="M108" s="16">
        <f>ENERO!M108+FEBRERO!M108+MARZO!M108+ABRIL!M108+MAYO!M108+JUNIO!M108+JULIO!M108+AGOSTO!M108+SEPTIEMBRE!M108+OCTUBRE!M108+NOVIEMBRE!M108+DICIEMBRE!M108</f>
        <v>11551.51</v>
      </c>
      <c r="N108" s="18">
        <f t="shared" si="3"/>
        <v>478512025.60820287</v>
      </c>
      <c r="O108" s="4"/>
    </row>
    <row r="109" spans="1:15" ht="18" customHeight="1" x14ac:dyDescent="0.2">
      <c r="A109" s="17" t="s">
        <v>104</v>
      </c>
      <c r="B109" s="16">
        <f>ENERO!B109+FEBRERO!B109+MARZO!B109+ABRIL!B109+MAYO!B109+JUNIO!B109+JULIO!B109+AGOSTO!B109+SEPTIEMBRE!B109+OCTUBRE!B109+NOVIEMBRE!B109+DICIEMBRE!B109</f>
        <v>4323406440.0900002</v>
      </c>
      <c r="C109" s="16">
        <f>ENERO!C109+FEBRERO!C109+MARZO!C109+ABRIL!C109+MAYO!C109+JUNIO!C109+JULIO!C109+AGOSTO!C109+SEPTIEMBRE!C109+OCTUBRE!C109+NOVIEMBRE!C109+DICIEMBRE!C109</f>
        <v>0</v>
      </c>
      <c r="D109" s="16">
        <f>ENERO!D109+FEBRERO!D109+MARZO!D109+ABRIL!D109+MAYO!D109+JUNIO!D109+JULIO!D109+AGOSTO!D109+SEPTIEMBRE!D109+OCTUBRE!D109+NOVIEMBRE!D109+DICIEMBRE!D109</f>
        <v>61044740.574527264</v>
      </c>
      <c r="E109" s="16">
        <f>ENERO!E109+FEBRERO!E109+MARZO!E109+ABRIL!E109+MAYO!E109+JUNIO!E109+JULIO!E109+AGOSTO!E109+SEPTIEMBRE!E109+OCTUBRE!E109+NOVIEMBRE!E109+DICIEMBRE!E109</f>
        <v>3535754.6399999997</v>
      </c>
      <c r="F109" s="16">
        <f>ENERO!F109+FEBRERO!F109+MARZO!F109+ABRIL!F109+MAYO!F109+JUNIO!F109+JULIO!F109+AGOSTO!F109+SEPTIEMBRE!F109+OCTUBRE!F109+NOVIEMBRE!F109+DICIEMBRE!F109</f>
        <v>153690560.29000002</v>
      </c>
      <c r="G109" s="16">
        <f>ENERO!G109+FEBRERO!G109+MARZO!G109+ABRIL!G109+MAYO!G109+JUNIO!G109+JULIO!G109+AGOSTO!G109+SEPTIEMBRE!G109+OCTUBRE!G109+NOVIEMBRE!G109+DICIEMBRE!G109</f>
        <v>79292457.82918483</v>
      </c>
      <c r="H109" s="16">
        <f>ENERO!H109+FEBRERO!H109+MARZO!H109+ABRIL!H109+MAYO!H109+JUNIO!H109+JULIO!H109+AGOSTO!H109+SEPTIEMBRE!H109+OCTUBRE!H109+NOVIEMBRE!H109+DICIEMBRE!H109</f>
        <v>229544769.89000002</v>
      </c>
      <c r="I109" s="16">
        <f>ENERO!I109+FEBRERO!I109+MARZO!I109+ABRIL!I109+MAYO!I109+JUNIO!I109+JULIO!I109+AGOSTO!I109+SEPTIEMBRE!I109+OCTUBRE!I109+NOVIEMBRE!I109+DICIEMBRE!I109</f>
        <v>355265768.04000002</v>
      </c>
      <c r="J109" s="16">
        <f>ENERO!J109+FEBRERO!J109+MARZO!J109+ABRIL!J109+MAYO!J109+JUNIO!J109+JULIO!J109+AGOSTO!J109+SEPTIEMBRE!J109+OCTUBRE!J109+NOVIEMBRE!J109+DICIEMBRE!J109</f>
        <v>606739236.3599999</v>
      </c>
      <c r="K109" s="16">
        <f>ENERO!K109+FEBRERO!K109+MARZO!K109+ABRIL!K109+MAYO!K109+JUNIO!K109+JULIO!K109+AGOSTO!K109+SEPTIEMBRE!K109+OCTUBRE!K109+NOVIEMBRE!K109+DICIEMBRE!K109</f>
        <v>0</v>
      </c>
      <c r="L109" s="16">
        <f>ENERO!L109+FEBRERO!L109+MARZO!L109+ABRIL!L109+MAYO!L109+JUNIO!L109+JULIO!L109+AGOSTO!L109+SEPTIEMBRE!L109+OCTUBRE!L109+NOVIEMBRE!L109+DICIEMBRE!L109</f>
        <v>0</v>
      </c>
      <c r="M109" s="16">
        <f>ENERO!M109+FEBRERO!M109+MARZO!M109+ABRIL!M109+MAYO!M109+JUNIO!M109+JULIO!M109+AGOSTO!M109+SEPTIEMBRE!M109+OCTUBRE!M109+NOVIEMBRE!M109+DICIEMBRE!M109</f>
        <v>1179446.32</v>
      </c>
      <c r="N109" s="18">
        <f t="shared" si="3"/>
        <v>5813699174.0337124</v>
      </c>
      <c r="O109" s="4"/>
    </row>
    <row r="110" spans="1:15" ht="18" customHeight="1" x14ac:dyDescent="0.2">
      <c r="A110" s="17" t="s">
        <v>105</v>
      </c>
      <c r="B110" s="16">
        <f>ENERO!B110+FEBRERO!B110+MARZO!B110+ABRIL!B110+MAYO!B110+JUNIO!B110+JULIO!B110+AGOSTO!B110+SEPTIEMBRE!B110+OCTUBRE!B110+NOVIEMBRE!B110+DICIEMBRE!B110</f>
        <v>504438805.10999995</v>
      </c>
      <c r="C110" s="16">
        <f>ENERO!C110+FEBRERO!C110+MARZO!C110+ABRIL!C110+MAYO!C110+JUNIO!C110+JULIO!C110+AGOSTO!C110+SEPTIEMBRE!C110+OCTUBRE!C110+NOVIEMBRE!C110+DICIEMBRE!C110</f>
        <v>0</v>
      </c>
      <c r="D110" s="16">
        <f>ENERO!D110+FEBRERO!D110+MARZO!D110+ABRIL!D110+MAYO!D110+JUNIO!D110+JULIO!D110+AGOSTO!D110+SEPTIEMBRE!D110+OCTUBRE!D110+NOVIEMBRE!D110+DICIEMBRE!D110</f>
        <v>56673548.270771667</v>
      </c>
      <c r="E110" s="16">
        <f>ENERO!E110+FEBRERO!E110+MARZO!E110+ABRIL!E110+MAYO!E110+JUNIO!E110+JULIO!E110+AGOSTO!E110+SEPTIEMBRE!E110+OCTUBRE!E110+NOVIEMBRE!E110+DICIEMBRE!E110</f>
        <v>421228.31999999995</v>
      </c>
      <c r="F110" s="16">
        <f>ENERO!F110+FEBRERO!F110+MARZO!F110+ABRIL!F110+MAYO!F110+JUNIO!F110+JULIO!F110+AGOSTO!F110+SEPTIEMBRE!F110+OCTUBRE!F110+NOVIEMBRE!F110+DICIEMBRE!F110</f>
        <v>5874232.21</v>
      </c>
      <c r="G110" s="16">
        <f>ENERO!G110+FEBRERO!G110+MARZO!G110+ABRIL!G110+MAYO!G110+JUNIO!G110+JULIO!G110+AGOSTO!G110+SEPTIEMBRE!G110+OCTUBRE!G110+NOVIEMBRE!G110+DICIEMBRE!G110</f>
        <v>2869333.6</v>
      </c>
      <c r="H110" s="16">
        <f>ENERO!H110+FEBRERO!H110+MARZO!H110+ABRIL!H110+MAYO!H110+JUNIO!H110+JULIO!H110+AGOSTO!H110+SEPTIEMBRE!H110+OCTUBRE!H110+NOVIEMBRE!H110+DICIEMBRE!H110</f>
        <v>26782420.59</v>
      </c>
      <c r="I110" s="16">
        <f>ENERO!I110+FEBRERO!I110+MARZO!I110+ABRIL!I110+MAYO!I110+JUNIO!I110+JULIO!I110+AGOSTO!I110+SEPTIEMBRE!I110+OCTUBRE!I110+NOVIEMBRE!I110+DICIEMBRE!I110</f>
        <v>13578671.550000003</v>
      </c>
      <c r="J110" s="16">
        <f>ENERO!J110+FEBRERO!J110+MARZO!J110+ABRIL!J110+MAYO!J110+JUNIO!J110+JULIO!J110+AGOSTO!J110+SEPTIEMBRE!J110+OCTUBRE!J110+NOVIEMBRE!J110+DICIEMBRE!J110</f>
        <v>71504608.539999992</v>
      </c>
      <c r="K110" s="16">
        <f>ENERO!K110+FEBRERO!K110+MARZO!K110+ABRIL!K110+MAYO!K110+JUNIO!K110+JULIO!K110+AGOSTO!K110+SEPTIEMBRE!K110+OCTUBRE!K110+NOVIEMBRE!K110+DICIEMBRE!K110</f>
        <v>0</v>
      </c>
      <c r="L110" s="16">
        <f>ENERO!L110+FEBRERO!L110+MARZO!L110+ABRIL!L110+MAYO!L110+JUNIO!L110+JULIO!L110+AGOSTO!L110+SEPTIEMBRE!L110+OCTUBRE!L110+NOVIEMBRE!L110+DICIEMBRE!L110</f>
        <v>0</v>
      </c>
      <c r="M110" s="16">
        <f>ENERO!M110+FEBRERO!M110+MARZO!M110+ABRIL!M110+MAYO!M110+JUNIO!M110+JULIO!M110+AGOSTO!M110+SEPTIEMBRE!M110+OCTUBRE!M110+NOVIEMBRE!M110+DICIEMBRE!M110</f>
        <v>45079.49</v>
      </c>
      <c r="N110" s="18">
        <f t="shared" si="3"/>
        <v>682187927.68077171</v>
      </c>
      <c r="O110" s="4"/>
    </row>
    <row r="111" spans="1:15" ht="18" customHeight="1" x14ac:dyDescent="0.2">
      <c r="A111" s="17" t="s">
        <v>106</v>
      </c>
      <c r="B111" s="16">
        <f>ENERO!B111+FEBRERO!B111+MARZO!B111+ABRIL!B111+MAYO!B111+JUNIO!B111+JULIO!B111+AGOSTO!B111+SEPTIEMBRE!B111+OCTUBRE!B111+NOVIEMBRE!B111+DICIEMBRE!B111</f>
        <v>616166123.58999991</v>
      </c>
      <c r="C111" s="16">
        <f>ENERO!C111+FEBRERO!C111+MARZO!C111+ABRIL!C111+MAYO!C111+JUNIO!C111+JULIO!C111+AGOSTO!C111+SEPTIEMBRE!C111+OCTUBRE!C111+NOVIEMBRE!C111+DICIEMBRE!C111</f>
        <v>0</v>
      </c>
      <c r="D111" s="16">
        <f>ENERO!D111+FEBRERO!D111+MARZO!D111+ABRIL!D111+MAYO!D111+JUNIO!D111+JULIO!D111+AGOSTO!D111+SEPTIEMBRE!D111+OCTUBRE!D111+NOVIEMBRE!D111+DICIEMBRE!D111</f>
        <v>60738117.204474799</v>
      </c>
      <c r="E111" s="16">
        <f>ENERO!E111+FEBRERO!E111+MARZO!E111+ABRIL!E111+MAYO!E111+JUNIO!E111+JULIO!E111+AGOSTO!E111+SEPTIEMBRE!E111+OCTUBRE!E111+NOVIEMBRE!E111+DICIEMBRE!E111</f>
        <v>358036.95</v>
      </c>
      <c r="F111" s="16">
        <f>ENERO!F111+FEBRERO!F111+MARZO!F111+ABRIL!F111+MAYO!F111+JUNIO!F111+JULIO!F111+AGOSTO!F111+SEPTIEMBRE!F111+OCTUBRE!F111+NOVIEMBRE!F111+DICIEMBRE!F111</f>
        <v>2046483.54</v>
      </c>
      <c r="G111" s="16">
        <f>ENERO!G111+FEBRERO!G111+MARZO!G111+ABRIL!G111+MAYO!G111+JUNIO!G111+JULIO!G111+AGOSTO!G111+SEPTIEMBRE!G111+OCTUBRE!G111+NOVIEMBRE!G111+DICIEMBRE!G111</f>
        <v>1319077.54</v>
      </c>
      <c r="H111" s="16">
        <f>ENERO!H111+FEBRERO!H111+MARZO!H111+ABRIL!H111+MAYO!H111+JUNIO!H111+JULIO!H111+AGOSTO!H111+SEPTIEMBRE!H111+OCTUBRE!H111+NOVIEMBRE!H111+DICIEMBRE!H111</f>
        <v>32714414.720000003</v>
      </c>
      <c r="I111" s="16">
        <f>ENERO!I111+FEBRERO!I111+MARZO!I111+ABRIL!I111+MAYO!I111+JUNIO!I111+JULIO!I111+AGOSTO!I111+SEPTIEMBRE!I111+OCTUBRE!I111+NOVIEMBRE!I111+DICIEMBRE!I111</f>
        <v>4730580.51</v>
      </c>
      <c r="J111" s="16">
        <f>ENERO!J111+FEBRERO!J111+MARZO!J111+ABRIL!J111+MAYO!J111+JUNIO!J111+JULIO!J111+AGOSTO!J111+SEPTIEMBRE!J111+OCTUBRE!J111+NOVIEMBRE!J111+DICIEMBRE!J111</f>
        <v>56696704.960000008</v>
      </c>
      <c r="K111" s="16">
        <f>ENERO!K111+FEBRERO!K111+MARZO!K111+ABRIL!K111+MAYO!K111+JUNIO!K111+JULIO!K111+AGOSTO!K111+SEPTIEMBRE!K111+OCTUBRE!K111+NOVIEMBRE!K111+DICIEMBRE!K111</f>
        <v>0</v>
      </c>
      <c r="L111" s="16">
        <f>ENERO!L111+FEBRERO!L111+MARZO!L111+ABRIL!L111+MAYO!L111+JUNIO!L111+JULIO!L111+AGOSTO!L111+SEPTIEMBRE!L111+OCTUBRE!L111+NOVIEMBRE!L111+DICIEMBRE!L111</f>
        <v>0</v>
      </c>
      <c r="M111" s="16">
        <f>ENERO!M111+FEBRERO!M111+MARZO!M111+ABRIL!M111+MAYO!M111+JUNIO!M111+JULIO!M111+AGOSTO!M111+SEPTIEMBRE!M111+OCTUBRE!M111+NOVIEMBRE!M111+DICIEMBRE!M111</f>
        <v>15704.679999999998</v>
      </c>
      <c r="N111" s="18">
        <f t="shared" si="3"/>
        <v>774785243.6944747</v>
      </c>
      <c r="O111" s="4"/>
    </row>
    <row r="112" spans="1:15" ht="18" customHeight="1" x14ac:dyDescent="0.2">
      <c r="A112" s="17" t="s">
        <v>107</v>
      </c>
      <c r="B112" s="16">
        <f>ENERO!B112+FEBRERO!B112+MARZO!B112+ABRIL!B112+MAYO!B112+JUNIO!B112+JULIO!B112+AGOSTO!B112+SEPTIEMBRE!B112+OCTUBRE!B112+NOVIEMBRE!B112+DICIEMBRE!B112</f>
        <v>824990048.5</v>
      </c>
      <c r="C112" s="16">
        <f>ENERO!C112+FEBRERO!C112+MARZO!C112+ABRIL!C112+MAYO!C112+JUNIO!C112+JULIO!C112+AGOSTO!C112+SEPTIEMBRE!C112+OCTUBRE!C112+NOVIEMBRE!C112+DICIEMBRE!C112</f>
        <v>0</v>
      </c>
      <c r="D112" s="16">
        <f>ENERO!D112+FEBRERO!D112+MARZO!D112+ABRIL!D112+MAYO!D112+JUNIO!D112+JULIO!D112+AGOSTO!D112+SEPTIEMBRE!D112+OCTUBRE!D112+NOVIEMBRE!D112+DICIEMBRE!D112</f>
        <v>106379963.740833</v>
      </c>
      <c r="E112" s="16">
        <f>ENERO!E112+FEBRERO!E112+MARZO!E112+ABRIL!E112+MAYO!E112+JUNIO!E112+JULIO!E112+AGOSTO!E112+SEPTIEMBRE!E112+OCTUBRE!E112+NOVIEMBRE!E112+DICIEMBRE!E112</f>
        <v>483800.63999999996</v>
      </c>
      <c r="F112" s="16">
        <f>ENERO!F112+FEBRERO!F112+MARZO!F112+ABRIL!F112+MAYO!F112+JUNIO!F112+JULIO!F112+AGOSTO!F112+SEPTIEMBRE!F112+OCTUBRE!F112+NOVIEMBRE!F112+DICIEMBRE!F112</f>
        <v>2487319.7800000003</v>
      </c>
      <c r="G112" s="16">
        <f>ENERO!G112+FEBRERO!G112+MARZO!G112+ABRIL!G112+MAYO!G112+JUNIO!G112+JULIO!G112+AGOSTO!G112+SEPTIEMBRE!G112+OCTUBRE!G112+NOVIEMBRE!G112+DICIEMBRE!G112</f>
        <v>1495861.1199999999</v>
      </c>
      <c r="H112" s="16">
        <f>ENERO!H112+FEBRERO!H112+MARZO!H112+ABRIL!H112+MAYO!H112+JUNIO!H112+JULIO!H112+AGOSTO!H112+SEPTIEMBRE!H112+OCTUBRE!H112+NOVIEMBRE!H112+DICIEMBRE!H112</f>
        <v>43801607.280000001</v>
      </c>
      <c r="I112" s="16">
        <f>ENERO!I112+FEBRERO!I112+MARZO!I112+ABRIL!I112+MAYO!I112+JUNIO!I112+JULIO!I112+AGOSTO!I112+SEPTIEMBRE!I112+OCTUBRE!I112+NOVIEMBRE!I112+DICIEMBRE!I112</f>
        <v>5749602.2499999991</v>
      </c>
      <c r="J112" s="16">
        <f>ENERO!J112+FEBRERO!J112+MARZO!J112+ABRIL!J112+MAYO!J112+JUNIO!J112+JULIO!J112+AGOSTO!J112+SEPTIEMBRE!J112+OCTUBRE!J112+NOVIEMBRE!J112+DICIEMBRE!J112</f>
        <v>59327062.409999996</v>
      </c>
      <c r="K112" s="16">
        <f>ENERO!K112+FEBRERO!K112+MARZO!K112+ABRIL!K112+MAYO!K112+JUNIO!K112+JULIO!K112+AGOSTO!K112+SEPTIEMBRE!K112+OCTUBRE!K112+NOVIEMBRE!K112+DICIEMBRE!K112</f>
        <v>0</v>
      </c>
      <c r="L112" s="16">
        <f>ENERO!L112+FEBRERO!L112+MARZO!L112+ABRIL!L112+MAYO!L112+JUNIO!L112+JULIO!L112+AGOSTO!L112+SEPTIEMBRE!L112+OCTUBRE!L112+NOVIEMBRE!L112+DICIEMBRE!L112</f>
        <v>0</v>
      </c>
      <c r="M112" s="16">
        <f>ENERO!M112+FEBRERO!M112+MARZO!M112+ABRIL!M112+MAYO!M112+JUNIO!M112+JULIO!M112+AGOSTO!M112+SEPTIEMBRE!M112+OCTUBRE!M112+NOVIEMBRE!M112+DICIEMBRE!M112</f>
        <v>19087.669999999995</v>
      </c>
      <c r="N112" s="18">
        <f t="shared" si="3"/>
        <v>1044734353.3908329</v>
      </c>
      <c r="O112" s="4"/>
    </row>
    <row r="113" spans="1:15" ht="18" customHeight="1" x14ac:dyDescent="0.2">
      <c r="A113" s="17" t="s">
        <v>108</v>
      </c>
      <c r="B113" s="16">
        <f>ENERO!B113+FEBRERO!B113+MARZO!B113+ABRIL!B113+MAYO!B113+JUNIO!B113+JULIO!B113+AGOSTO!B113+SEPTIEMBRE!B113+OCTUBRE!B113+NOVIEMBRE!B113+DICIEMBRE!B113</f>
        <v>659851318.76999998</v>
      </c>
      <c r="C113" s="16">
        <f>ENERO!C113+FEBRERO!C113+MARZO!C113+ABRIL!C113+MAYO!C113+JUNIO!C113+JULIO!C113+AGOSTO!C113+SEPTIEMBRE!C113+OCTUBRE!C113+NOVIEMBRE!C113+DICIEMBRE!C113</f>
        <v>0</v>
      </c>
      <c r="D113" s="16">
        <f>ENERO!D113+FEBRERO!D113+MARZO!D113+ABRIL!D113+MAYO!D113+JUNIO!D113+JULIO!D113+AGOSTO!D113+SEPTIEMBRE!D113+OCTUBRE!D113+NOVIEMBRE!D113+DICIEMBRE!D113</f>
        <v>135996202.93296528</v>
      </c>
      <c r="E113" s="16">
        <f>ENERO!E113+FEBRERO!E113+MARZO!E113+ABRIL!E113+MAYO!E113+JUNIO!E113+JULIO!E113+AGOSTO!E113+SEPTIEMBRE!E113+OCTUBRE!E113+NOVIEMBRE!E113+DICIEMBRE!E113</f>
        <v>397743.53</v>
      </c>
      <c r="F113" s="16">
        <f>ENERO!F113+FEBRERO!F113+MARZO!F113+ABRIL!F113+MAYO!F113+JUNIO!F113+JULIO!F113+AGOSTO!F113+SEPTIEMBRE!F113+OCTUBRE!F113+NOVIEMBRE!F113+DICIEMBRE!F113</f>
        <v>3505185.52</v>
      </c>
      <c r="G113" s="16">
        <f>ENERO!G113+FEBRERO!G113+MARZO!G113+ABRIL!G113+MAYO!G113+JUNIO!G113+JULIO!G113+AGOSTO!G113+SEPTIEMBRE!G113+OCTUBRE!G113+NOVIEMBRE!G113+DICIEMBRE!G113</f>
        <v>2039810.6099999999</v>
      </c>
      <c r="H113" s="16">
        <f>ENERO!H113+FEBRERO!H113+MARZO!H113+ABRIL!H113+MAYO!H113+JUNIO!H113+JULIO!H113+AGOSTO!H113+SEPTIEMBRE!H113+OCTUBRE!H113+NOVIEMBRE!H113+DICIEMBRE!H113</f>
        <v>35033814.549999997</v>
      </c>
      <c r="I113" s="16">
        <f>ENERO!I113+FEBRERO!I113+MARZO!I113+ABRIL!I113+MAYO!I113+JUNIO!I113+JULIO!I113+AGOSTO!I113+SEPTIEMBRE!I113+OCTUBRE!I113+NOVIEMBRE!I113+DICIEMBRE!I113</f>
        <v>8102465.3900000006</v>
      </c>
      <c r="J113" s="16">
        <f>ENERO!J113+FEBRERO!J113+MARZO!J113+ABRIL!J113+MAYO!J113+JUNIO!J113+JULIO!J113+AGOSTO!J113+SEPTIEMBRE!J113+OCTUBRE!J113+NOVIEMBRE!J113+DICIEMBRE!J113</f>
        <v>58870188.659999989</v>
      </c>
      <c r="K113" s="16">
        <f>ENERO!K113+FEBRERO!K113+MARZO!K113+ABRIL!K113+MAYO!K113+JUNIO!K113+JULIO!K113+AGOSTO!K113+SEPTIEMBRE!K113+OCTUBRE!K113+NOVIEMBRE!K113+DICIEMBRE!K113</f>
        <v>0</v>
      </c>
      <c r="L113" s="16">
        <f>ENERO!L113+FEBRERO!L113+MARZO!L113+ABRIL!L113+MAYO!L113+JUNIO!L113+JULIO!L113+AGOSTO!L113+SEPTIEMBRE!L113+OCTUBRE!L113+NOVIEMBRE!L113+DICIEMBRE!L113</f>
        <v>0</v>
      </c>
      <c r="M113" s="16">
        <f>ENERO!M113+FEBRERO!M113+MARZO!M113+ABRIL!M113+MAYO!M113+JUNIO!M113+JULIO!M113+AGOSTO!M113+SEPTIEMBRE!M113+OCTUBRE!M113+NOVIEMBRE!M113+DICIEMBRE!M113</f>
        <v>26899.02</v>
      </c>
      <c r="N113" s="18">
        <f t="shared" si="3"/>
        <v>903823628.98296511</v>
      </c>
      <c r="O113" s="4"/>
    </row>
    <row r="114" spans="1:15" ht="18" customHeight="1" x14ac:dyDescent="0.2">
      <c r="A114" s="17" t="s">
        <v>109</v>
      </c>
      <c r="B114" s="16">
        <f>ENERO!B114+FEBRERO!B114+MARZO!B114+ABRIL!B114+MAYO!B114+JUNIO!B114+JULIO!B114+AGOSTO!B114+SEPTIEMBRE!B114+OCTUBRE!B114+NOVIEMBRE!B114+DICIEMBRE!B114</f>
        <v>442729069.24000001</v>
      </c>
      <c r="C114" s="16">
        <f>ENERO!C114+FEBRERO!C114+MARZO!C114+ABRIL!C114+MAYO!C114+JUNIO!C114+JULIO!C114+AGOSTO!C114+SEPTIEMBRE!C114+OCTUBRE!C114+NOVIEMBRE!C114+DICIEMBRE!C114</f>
        <v>0</v>
      </c>
      <c r="D114" s="16">
        <f>ENERO!D114+FEBRERO!D114+MARZO!D114+ABRIL!D114+MAYO!D114+JUNIO!D114+JULIO!D114+AGOSTO!D114+SEPTIEMBRE!D114+OCTUBRE!D114+NOVIEMBRE!D114+DICIEMBRE!D114</f>
        <v>45385767.907398745</v>
      </c>
      <c r="E114" s="16">
        <f>ENERO!E114+FEBRERO!E114+MARZO!E114+ABRIL!E114+MAYO!E114+JUNIO!E114+JULIO!E114+AGOSTO!E114+SEPTIEMBRE!E114+OCTUBRE!E114+NOVIEMBRE!E114+DICIEMBRE!E114</f>
        <v>258587.90000000002</v>
      </c>
      <c r="F114" s="16">
        <f>ENERO!F114+FEBRERO!F114+MARZO!F114+ABRIL!F114+MAYO!F114+JUNIO!F114+JULIO!F114+AGOSTO!F114+SEPTIEMBRE!F114+OCTUBRE!F114+NOVIEMBRE!F114+DICIEMBRE!F114</f>
        <v>2121748.2599999998</v>
      </c>
      <c r="G114" s="16">
        <f>ENERO!G114+FEBRERO!G114+MARZO!G114+ABRIL!G114+MAYO!G114+JUNIO!G114+JULIO!G114+AGOSTO!G114+SEPTIEMBRE!G114+OCTUBRE!G114+NOVIEMBRE!G114+DICIEMBRE!G114</f>
        <v>1087898.9999999998</v>
      </c>
      <c r="H114" s="16">
        <f>ENERO!H114+FEBRERO!H114+MARZO!H114+ABRIL!H114+MAYO!H114+JUNIO!H114+JULIO!H114+AGOSTO!H114+SEPTIEMBRE!H114+OCTUBRE!H114+NOVIEMBRE!H114+DICIEMBRE!H114</f>
        <v>23506034.899999999</v>
      </c>
      <c r="I114" s="16">
        <f>ENERO!I114+FEBRERO!I114+MARZO!I114+ABRIL!I114+MAYO!I114+JUNIO!I114+JULIO!I114+AGOSTO!I114+SEPTIEMBRE!I114+OCTUBRE!I114+NOVIEMBRE!I114+DICIEMBRE!I114</f>
        <v>4904559.82</v>
      </c>
      <c r="J114" s="16">
        <f>ENERO!J114+FEBRERO!J114+MARZO!J114+ABRIL!J114+MAYO!J114+JUNIO!J114+JULIO!J114+AGOSTO!J114+SEPTIEMBRE!J114+OCTUBRE!J114+NOVIEMBRE!J114+DICIEMBRE!J114</f>
        <v>44584151.960000023</v>
      </c>
      <c r="K114" s="16">
        <f>ENERO!K114+FEBRERO!K114+MARZO!K114+ABRIL!K114+MAYO!K114+JUNIO!K114+JULIO!K114+AGOSTO!K114+SEPTIEMBRE!K114+OCTUBRE!K114+NOVIEMBRE!K114+DICIEMBRE!K114</f>
        <v>0</v>
      </c>
      <c r="L114" s="16">
        <f>ENERO!L114+FEBRERO!L114+MARZO!L114+ABRIL!L114+MAYO!L114+JUNIO!L114+JULIO!L114+AGOSTO!L114+SEPTIEMBRE!L114+OCTUBRE!L114+NOVIEMBRE!L114+DICIEMBRE!L114</f>
        <v>0</v>
      </c>
      <c r="M114" s="16">
        <f>ENERO!M114+FEBRERO!M114+MARZO!M114+ABRIL!M114+MAYO!M114+JUNIO!M114+JULIO!M114+AGOSTO!M114+SEPTIEMBRE!M114+OCTUBRE!M114+NOVIEMBRE!M114+DICIEMBRE!M114</f>
        <v>16282.269999999997</v>
      </c>
      <c r="N114" s="18">
        <f t="shared" si="3"/>
        <v>564594101.25739872</v>
      </c>
      <c r="O114" s="4"/>
    </row>
    <row r="115" spans="1:15" ht="18" customHeight="1" x14ac:dyDescent="0.2">
      <c r="A115" s="17" t="s">
        <v>110</v>
      </c>
      <c r="B115" s="16">
        <f>ENERO!B115+FEBRERO!B115+MARZO!B115+ABRIL!B115+MAYO!B115+JUNIO!B115+JULIO!B115+AGOSTO!B115+SEPTIEMBRE!B115+OCTUBRE!B115+NOVIEMBRE!B115+DICIEMBRE!B115</f>
        <v>1186205152.0599999</v>
      </c>
      <c r="C115" s="16">
        <f>ENERO!C115+FEBRERO!C115+MARZO!C115+ABRIL!C115+MAYO!C115+JUNIO!C115+JULIO!C115+AGOSTO!C115+SEPTIEMBRE!C115+OCTUBRE!C115+NOVIEMBRE!C115+DICIEMBRE!C115</f>
        <v>0</v>
      </c>
      <c r="D115" s="16">
        <f>ENERO!D115+FEBRERO!D115+MARZO!D115+ABRIL!D115+MAYO!D115+JUNIO!D115+JULIO!D115+AGOSTO!D115+SEPTIEMBRE!D115+OCTUBRE!D115+NOVIEMBRE!D115+DICIEMBRE!D115</f>
        <v>42135898.46307908</v>
      </c>
      <c r="E115" s="16">
        <f>ENERO!E115+FEBRERO!E115+MARZO!E115+ABRIL!E115+MAYO!E115+JUNIO!E115+JULIO!E115+AGOSTO!E115+SEPTIEMBRE!E115+OCTUBRE!E115+NOVIEMBRE!E115+DICIEMBRE!E115</f>
        <v>690030.64000000013</v>
      </c>
      <c r="F115" s="16">
        <f>ENERO!F115+FEBRERO!F115+MARZO!F115+ABRIL!F115+MAYO!F115+JUNIO!F115+JULIO!F115+AGOSTO!F115+SEPTIEMBRE!F115+OCTUBRE!F115+NOVIEMBRE!F115+DICIEMBRE!F115</f>
        <v>2197012.9900000002</v>
      </c>
      <c r="G115" s="16">
        <f>ENERO!G115+FEBRERO!G115+MARZO!G115+ABRIL!G115+MAYO!G115+JUNIO!G115+JULIO!G115+AGOSTO!G115+SEPTIEMBRE!G115+OCTUBRE!G115+NOVIEMBRE!G115+DICIEMBRE!G115</f>
        <v>1808632.1</v>
      </c>
      <c r="H115" s="16">
        <f>ENERO!H115+FEBRERO!H115+MARZO!H115+ABRIL!H115+MAYO!H115+JUNIO!H115+JULIO!H115+AGOSTO!H115+SEPTIEMBRE!H115+OCTUBRE!H115+NOVIEMBRE!H115+DICIEMBRE!H115</f>
        <v>62979780.549999997</v>
      </c>
      <c r="I115" s="16">
        <f>ENERO!I115+FEBRERO!I115+MARZO!I115+ABRIL!I115+MAYO!I115+JUNIO!I115+JULIO!I115+AGOSTO!I115+SEPTIEMBRE!I115+OCTUBRE!I115+NOVIEMBRE!I115+DICIEMBRE!I115</f>
        <v>5078539.1499999994</v>
      </c>
      <c r="J115" s="16">
        <f>ENERO!J115+FEBRERO!J115+MARZO!J115+ABRIL!J115+MAYO!J115+JUNIO!J115+JULIO!J115+AGOSTO!J115+SEPTIEMBRE!J115+OCTUBRE!J115+NOVIEMBRE!J115+DICIEMBRE!J115</f>
        <v>59087042.650000006</v>
      </c>
      <c r="K115" s="16">
        <f>ENERO!K115+FEBRERO!K115+MARZO!K115+ABRIL!K115+MAYO!K115+JUNIO!K115+JULIO!K115+AGOSTO!K115+SEPTIEMBRE!K115+OCTUBRE!K115+NOVIEMBRE!K115+DICIEMBRE!K115</f>
        <v>0</v>
      </c>
      <c r="L115" s="16">
        <f>ENERO!L115+FEBRERO!L115+MARZO!L115+ABRIL!L115+MAYO!L115+JUNIO!L115+JULIO!L115+AGOSTO!L115+SEPTIEMBRE!L115+OCTUBRE!L115+NOVIEMBRE!L115+DICIEMBRE!L115</f>
        <v>0</v>
      </c>
      <c r="M115" s="16">
        <f>ENERO!M115+FEBRERO!M115+MARZO!M115+ABRIL!M115+MAYO!M115+JUNIO!M115+JULIO!M115+AGOSTO!M115+SEPTIEMBRE!M115+OCTUBRE!M115+NOVIEMBRE!M115+DICIEMBRE!M115</f>
        <v>16859.930000000004</v>
      </c>
      <c r="N115" s="18">
        <f t="shared" si="3"/>
        <v>1360198948.5330791</v>
      </c>
      <c r="O115" s="4"/>
    </row>
    <row r="116" spans="1:15" ht="18" customHeight="1" x14ac:dyDescent="0.2">
      <c r="A116" s="17" t="s">
        <v>111</v>
      </c>
      <c r="B116" s="16">
        <f>ENERO!B116+FEBRERO!B116+MARZO!B116+ABRIL!B116+MAYO!B116+JUNIO!B116+JULIO!B116+AGOSTO!B116+SEPTIEMBRE!B116+OCTUBRE!B116+NOVIEMBRE!B116+DICIEMBRE!B116</f>
        <v>625064576.36000001</v>
      </c>
      <c r="C116" s="16">
        <f>ENERO!C116+FEBRERO!C116+MARZO!C116+ABRIL!C116+MAYO!C116+JUNIO!C116+JULIO!C116+AGOSTO!C116+SEPTIEMBRE!C116+OCTUBRE!C116+NOVIEMBRE!C116+DICIEMBRE!C116</f>
        <v>0</v>
      </c>
      <c r="D116" s="16">
        <f>ENERO!D116+FEBRERO!D116+MARZO!D116+ABRIL!D116+MAYO!D116+JUNIO!D116+JULIO!D116+AGOSTO!D116+SEPTIEMBRE!D116+OCTUBRE!D116+NOVIEMBRE!D116+DICIEMBRE!D116</f>
        <v>65120542.831094347</v>
      </c>
      <c r="E116" s="16">
        <f>ENERO!E116+FEBRERO!E116+MARZO!E116+ABRIL!E116+MAYO!E116+JUNIO!E116+JULIO!E116+AGOSTO!E116+SEPTIEMBRE!E116+OCTUBRE!E116+NOVIEMBRE!E116+DICIEMBRE!E116</f>
        <v>371706.26</v>
      </c>
      <c r="F116" s="16">
        <f>ENERO!F116+FEBRERO!F116+MARZO!F116+ABRIL!F116+MAYO!F116+JUNIO!F116+JULIO!F116+AGOSTO!F116+SEPTIEMBRE!F116+OCTUBRE!F116+NOVIEMBRE!F116+DICIEMBRE!F116</f>
        <v>6064186.0299999993</v>
      </c>
      <c r="G116" s="16">
        <f>ENERO!G116+FEBRERO!G116+MARZO!G116+ABRIL!G116+MAYO!G116+JUNIO!G116+JULIO!G116+AGOSTO!G116+SEPTIEMBRE!G116+OCTUBRE!G116+NOVIEMBRE!G116+DICIEMBRE!G116</f>
        <v>2787741.1899999995</v>
      </c>
      <c r="H116" s="16">
        <f>ENERO!H116+FEBRERO!H116+MARZO!H116+ABRIL!H116+MAYO!H116+JUNIO!H116+JULIO!H116+AGOSTO!H116+SEPTIEMBRE!H116+OCTUBRE!H116+NOVIEMBRE!H116+DICIEMBRE!H116</f>
        <v>33186864.700000003</v>
      </c>
      <c r="I116" s="16">
        <f>ENERO!I116+FEBRERO!I116+MARZO!I116+ABRIL!I116+MAYO!I116+JUNIO!I116+JULIO!I116+AGOSTO!I116+SEPTIEMBRE!I116+OCTUBRE!I116+NOVIEMBRE!I116+DICIEMBRE!I116</f>
        <v>14017762.23</v>
      </c>
      <c r="J116" s="16">
        <f>ENERO!J116+FEBRERO!J116+MARZO!J116+ABRIL!J116+MAYO!J116+JUNIO!J116+JULIO!J116+AGOSTO!J116+SEPTIEMBRE!J116+OCTUBRE!J116+NOVIEMBRE!J116+DICIEMBRE!J116</f>
        <v>79931060.539999962</v>
      </c>
      <c r="K116" s="16">
        <f>ENERO!K116+FEBRERO!K116+MARZO!K116+ABRIL!K116+MAYO!K116+JUNIO!K116+JULIO!K116+AGOSTO!K116+SEPTIEMBRE!K116+OCTUBRE!K116+NOVIEMBRE!K116+DICIEMBRE!K116</f>
        <v>0</v>
      </c>
      <c r="L116" s="16">
        <f>ENERO!L116+FEBRERO!L116+MARZO!L116+ABRIL!L116+MAYO!L116+JUNIO!L116+JULIO!L116+AGOSTO!L116+SEPTIEMBRE!L116+OCTUBRE!L116+NOVIEMBRE!L116+DICIEMBRE!L116</f>
        <v>0</v>
      </c>
      <c r="M116" s="16">
        <f>ENERO!M116+FEBRERO!M116+MARZO!M116+ABRIL!M116+MAYO!M116+JUNIO!M116+JULIO!M116+AGOSTO!M116+SEPTIEMBRE!M116+OCTUBRE!M116+NOVIEMBRE!M116+DICIEMBRE!M116</f>
        <v>46537.219999999994</v>
      </c>
      <c r="N116" s="18">
        <f t="shared" si="3"/>
        <v>826590977.36109447</v>
      </c>
      <c r="O116" s="4"/>
    </row>
    <row r="117" spans="1:15" ht="18" customHeight="1" x14ac:dyDescent="0.2">
      <c r="A117" s="17" t="s">
        <v>112</v>
      </c>
      <c r="B117" s="16">
        <f>ENERO!B117+FEBRERO!B117+MARZO!B117+ABRIL!B117+MAYO!B117+JUNIO!B117+JULIO!B117+AGOSTO!B117+SEPTIEMBRE!B117+OCTUBRE!B117+NOVIEMBRE!B117+DICIEMBRE!B117</f>
        <v>363243121.80000001</v>
      </c>
      <c r="C117" s="16">
        <f>ENERO!C117+FEBRERO!C117+MARZO!C117+ABRIL!C117+MAYO!C117+JUNIO!C117+JULIO!C117+AGOSTO!C117+SEPTIEMBRE!C117+OCTUBRE!C117+NOVIEMBRE!C117+DICIEMBRE!C117</f>
        <v>0</v>
      </c>
      <c r="D117" s="16">
        <f>ENERO!D117+FEBRERO!D117+MARZO!D117+ABRIL!D117+MAYO!D117+JUNIO!D117+JULIO!D117+AGOSTO!D117+SEPTIEMBRE!D117+OCTUBRE!D117+NOVIEMBRE!D117+DICIEMBRE!D117</f>
        <v>13518684.556579545</v>
      </c>
      <c r="E117" s="16">
        <f>ENERO!E117+FEBRERO!E117+MARZO!E117+ABRIL!E117+MAYO!E117+JUNIO!E117+JULIO!E117+AGOSTO!E117+SEPTIEMBRE!E117+OCTUBRE!E117+NOVIEMBRE!E117+DICIEMBRE!E117</f>
        <v>215916.87999999998</v>
      </c>
      <c r="F117" s="16">
        <f>ENERO!F117+FEBRERO!F117+MARZO!F117+ABRIL!F117+MAYO!F117+JUNIO!F117+JULIO!F117+AGOSTO!F117+SEPTIEMBRE!F117+OCTUBRE!F117+NOVIEMBRE!F117+DICIEMBRE!F117</f>
        <v>1275916.1399999999</v>
      </c>
      <c r="G117" s="16">
        <f>ENERO!G117+FEBRERO!G117+MARZO!G117+ABRIL!G117+MAYO!G117+JUNIO!G117+JULIO!G117+AGOSTO!G117+SEPTIEMBRE!G117+OCTUBRE!G117+NOVIEMBRE!G117+DICIEMBRE!G117</f>
        <v>747930.56</v>
      </c>
      <c r="H117" s="16">
        <f>ENERO!H117+FEBRERO!H117+MARZO!H117+ABRIL!H117+MAYO!H117+JUNIO!H117+JULIO!H117+AGOSTO!H117+SEPTIEMBRE!H117+OCTUBRE!H117+NOVIEMBRE!H117+DICIEMBRE!H117</f>
        <v>19285847.890000001</v>
      </c>
      <c r="I117" s="16">
        <f>ENERO!I117+FEBRERO!I117+MARZO!I117+ABRIL!I117+MAYO!I117+JUNIO!I117+JULIO!I117+AGOSTO!I117+SEPTIEMBRE!I117+OCTUBRE!I117+NOVIEMBRE!I117+DICIEMBRE!I117</f>
        <v>2949363.67</v>
      </c>
      <c r="J117" s="16">
        <f>ENERO!J117+FEBRERO!J117+MARZO!J117+ABRIL!J117+MAYO!J117+JUNIO!J117+JULIO!J117+AGOSTO!J117+SEPTIEMBRE!J117+OCTUBRE!J117+NOVIEMBRE!J117+DICIEMBRE!J117</f>
        <v>24699785.079999991</v>
      </c>
      <c r="K117" s="16">
        <f>ENERO!K117+FEBRERO!K117+MARZO!K117+ABRIL!K117+MAYO!K117+JUNIO!K117+JULIO!K117+AGOSTO!K117+SEPTIEMBRE!K117+OCTUBRE!K117+NOVIEMBRE!K117+DICIEMBRE!K117</f>
        <v>0</v>
      </c>
      <c r="L117" s="16">
        <f>ENERO!L117+FEBRERO!L117+MARZO!L117+ABRIL!L117+MAYO!L117+JUNIO!L117+JULIO!L117+AGOSTO!L117+SEPTIEMBRE!L117+OCTUBRE!L117+NOVIEMBRE!L117+DICIEMBRE!L117</f>
        <v>0</v>
      </c>
      <c r="M117" s="16">
        <f>ENERO!M117+FEBRERO!M117+MARZO!M117+ABRIL!M117+MAYO!M117+JUNIO!M117+JULIO!M117+AGOSTO!M117+SEPTIEMBRE!M117+OCTUBRE!M117+NOVIEMBRE!M117+DICIEMBRE!M117</f>
        <v>9791.2500000000055</v>
      </c>
      <c r="N117" s="18">
        <f t="shared" si="3"/>
        <v>425946357.82657951</v>
      </c>
      <c r="O117" s="4"/>
    </row>
    <row r="118" spans="1:15" ht="18" customHeight="1" x14ac:dyDescent="0.2">
      <c r="A118" s="17" t="s">
        <v>113</v>
      </c>
      <c r="B118" s="16">
        <f>ENERO!B118+FEBRERO!B118+MARZO!B118+ABRIL!B118+MAYO!B118+JUNIO!B118+JULIO!B118+AGOSTO!B118+SEPTIEMBRE!B118+OCTUBRE!B118+NOVIEMBRE!B118+DICIEMBRE!B118</f>
        <v>551145335.49000001</v>
      </c>
      <c r="C118" s="16">
        <f>ENERO!C118+FEBRERO!C118+MARZO!C118+ABRIL!C118+MAYO!C118+JUNIO!C118+JULIO!C118+AGOSTO!C118+SEPTIEMBRE!C118+OCTUBRE!C118+NOVIEMBRE!C118+DICIEMBRE!C118</f>
        <v>0</v>
      </c>
      <c r="D118" s="16">
        <f>ENERO!D118+FEBRERO!D118+MARZO!D118+ABRIL!D118+MAYO!D118+JUNIO!D118+JULIO!D118+AGOSTO!D118+SEPTIEMBRE!D118+OCTUBRE!D118+NOVIEMBRE!D118+DICIEMBRE!D118</f>
        <v>105215579.65906829</v>
      </c>
      <c r="E118" s="16">
        <f>ENERO!E118+FEBRERO!E118+MARZO!E118+ABRIL!E118+MAYO!E118+JUNIO!E118+JULIO!E118+AGOSTO!E118+SEPTIEMBRE!E118+OCTUBRE!E118+NOVIEMBRE!E118+DICIEMBRE!E118</f>
        <v>345260.93999999994</v>
      </c>
      <c r="F118" s="16">
        <f>ENERO!F118+FEBRERO!F118+MARZO!F118+ABRIL!F118+MAYO!F118+JUNIO!F118+JULIO!F118+AGOSTO!F118+SEPTIEMBRE!F118+OCTUBRE!F118+NOVIEMBRE!F118+DICIEMBRE!F118</f>
        <v>6017593.5999999996</v>
      </c>
      <c r="G118" s="16">
        <f>ENERO!G118+FEBRERO!G118+MARZO!G118+ABRIL!G118+MAYO!G118+JUNIO!G118+JULIO!G118+AGOSTO!G118+SEPTIEMBRE!G118+OCTUBRE!G118+NOVIEMBRE!G118+DICIEMBRE!G118</f>
        <v>2842136.13</v>
      </c>
      <c r="H118" s="16">
        <f>ENERO!H118+FEBRERO!H118+MARZO!H118+ABRIL!H118+MAYO!H118+JUNIO!H118+JULIO!H118+AGOSTO!H118+SEPTIEMBRE!H118+OCTUBRE!H118+NOVIEMBRE!H118+DICIEMBRE!H118</f>
        <v>29262233.649999999</v>
      </c>
      <c r="I118" s="16">
        <f>ENERO!I118+FEBRERO!I118+MARZO!I118+ABRIL!I118+MAYO!I118+JUNIO!I118+JULIO!I118+AGOSTO!I118+SEPTIEMBRE!I118+OCTUBRE!I118+NOVIEMBRE!I118+DICIEMBRE!I118</f>
        <v>13910060.720000001</v>
      </c>
      <c r="J118" s="16">
        <f>ENERO!J118+FEBRERO!J118+MARZO!J118+ABRIL!J118+MAYO!J118+JUNIO!J118+JULIO!J118+AGOSTO!J118+SEPTIEMBRE!J118+OCTUBRE!J118+NOVIEMBRE!J118+DICIEMBRE!J118</f>
        <v>63853558.359999992</v>
      </c>
      <c r="K118" s="16">
        <f>ENERO!K118+FEBRERO!K118+MARZO!K118+ABRIL!K118+MAYO!K118+JUNIO!K118+JULIO!K118+AGOSTO!K118+SEPTIEMBRE!K118+OCTUBRE!K118+NOVIEMBRE!K118+DICIEMBRE!K118</f>
        <v>0</v>
      </c>
      <c r="L118" s="16">
        <f>ENERO!L118+FEBRERO!L118+MARZO!L118+ABRIL!L118+MAYO!L118+JUNIO!L118+JULIO!L118+AGOSTO!L118+SEPTIEMBRE!L118+OCTUBRE!L118+NOVIEMBRE!L118+DICIEMBRE!L118</f>
        <v>0</v>
      </c>
      <c r="M118" s="16">
        <f>ENERO!M118+FEBRERO!M118+MARZO!M118+ABRIL!M118+MAYO!M118+JUNIO!M118+JULIO!M118+AGOSTO!M118+SEPTIEMBRE!M118+OCTUBRE!M118+NOVIEMBRE!M118+DICIEMBRE!M118</f>
        <v>46179.64</v>
      </c>
      <c r="N118" s="18">
        <f t="shared" si="3"/>
        <v>772637938.18906844</v>
      </c>
      <c r="O118" s="4"/>
    </row>
    <row r="119" spans="1:15" ht="18" customHeight="1" x14ac:dyDescent="0.2">
      <c r="A119" s="17" t="s">
        <v>114</v>
      </c>
      <c r="B119" s="16">
        <f>ENERO!B119+FEBRERO!B119+MARZO!B119+ABRIL!B119+MAYO!B119+JUNIO!B119+JULIO!B119+AGOSTO!B119+SEPTIEMBRE!B119+OCTUBRE!B119+NOVIEMBRE!B119+DICIEMBRE!B119</f>
        <v>800881449.52999997</v>
      </c>
      <c r="C119" s="16">
        <f>ENERO!C119+FEBRERO!C119+MARZO!C119+ABRIL!C119+MAYO!C119+JUNIO!C119+JULIO!C119+AGOSTO!C119+SEPTIEMBRE!C119+OCTUBRE!C119+NOVIEMBRE!C119+DICIEMBRE!C119</f>
        <v>0</v>
      </c>
      <c r="D119" s="16">
        <f>ENERO!D119+FEBRERO!D119+MARZO!D119+ABRIL!D119+MAYO!D119+JUNIO!D119+JULIO!D119+AGOSTO!D119+SEPTIEMBRE!D119+OCTUBRE!D119+NOVIEMBRE!D119+DICIEMBRE!D119</f>
        <v>54092935.119826198</v>
      </c>
      <c r="E119" s="16">
        <f>ENERO!E119+FEBRERO!E119+MARZO!E119+ABRIL!E119+MAYO!E119+JUNIO!E119+JULIO!E119+AGOSTO!E119+SEPTIEMBRE!E119+OCTUBRE!E119+NOVIEMBRE!E119+DICIEMBRE!E119</f>
        <v>470029.92000000004</v>
      </c>
      <c r="F119" s="16">
        <f>ENERO!F119+FEBRERO!F119+MARZO!F119+ABRIL!F119+MAYO!F119+JUNIO!F119+JULIO!F119+AGOSTO!F119+SEPTIEMBRE!F119+OCTUBRE!F119+NOVIEMBRE!F119+DICIEMBRE!F119</f>
        <v>4834862.25</v>
      </c>
      <c r="G119" s="16">
        <f>ENERO!G119+FEBRERO!G119+MARZO!G119+ABRIL!G119+MAYO!G119+JUNIO!G119+JULIO!G119+AGOSTO!G119+SEPTIEMBRE!G119+OCTUBRE!G119+NOVIEMBRE!G119+DICIEMBRE!G119</f>
        <v>1999014.4200000002</v>
      </c>
      <c r="H119" s="16">
        <f>ENERO!H119+FEBRERO!H119+MARZO!H119+ABRIL!H119+MAYO!H119+JUNIO!H119+JULIO!H119+AGOSTO!H119+SEPTIEMBRE!H119+OCTUBRE!H119+NOVIEMBRE!H119+DICIEMBRE!H119</f>
        <v>42521597.449999996</v>
      </c>
      <c r="I119" s="16">
        <f>ENERO!I119+FEBRERO!I119+MARZO!I119+ABRIL!I119+MAYO!I119+JUNIO!I119+JULIO!I119+AGOSTO!I119+SEPTIEMBRE!I119+OCTUBRE!I119+NOVIEMBRE!I119+DICIEMBRE!I119</f>
        <v>11176100.009999998</v>
      </c>
      <c r="J119" s="16">
        <f>ENERO!J119+FEBRERO!J119+MARZO!J119+ABRIL!J119+MAYO!J119+JUNIO!J119+JULIO!J119+AGOSTO!J119+SEPTIEMBRE!J119+OCTUBRE!J119+NOVIEMBRE!J119+DICIEMBRE!J119</f>
        <v>58931533.710000008</v>
      </c>
      <c r="K119" s="16">
        <f>ENERO!K119+FEBRERO!K119+MARZO!K119+ABRIL!K119+MAYO!K119+JUNIO!K119+JULIO!K119+AGOSTO!K119+SEPTIEMBRE!K119+OCTUBRE!K119+NOVIEMBRE!K119+DICIEMBRE!K119</f>
        <v>0</v>
      </c>
      <c r="L119" s="16">
        <f>ENERO!L119+FEBRERO!L119+MARZO!L119+ABRIL!L119+MAYO!L119+JUNIO!L119+JULIO!L119+AGOSTO!L119+SEPTIEMBRE!L119+OCTUBRE!L119+NOVIEMBRE!L119+DICIEMBRE!L119</f>
        <v>0</v>
      </c>
      <c r="M119" s="16">
        <f>ENERO!M119+FEBRERO!M119+MARZO!M119+ABRIL!M119+MAYO!M119+JUNIO!M119+JULIO!M119+AGOSTO!M119+SEPTIEMBRE!M119+OCTUBRE!M119+NOVIEMBRE!M119+DICIEMBRE!M119</f>
        <v>37103.149999999994</v>
      </c>
      <c r="N119" s="18">
        <f t="shared" si="3"/>
        <v>974944625.55982614</v>
      </c>
      <c r="O119" s="4"/>
    </row>
    <row r="120" spans="1:15" ht="18" customHeight="1" x14ac:dyDescent="0.2">
      <c r="A120" s="17" t="s">
        <v>115</v>
      </c>
      <c r="B120" s="16">
        <f>ENERO!B120+FEBRERO!B120+MARZO!B120+ABRIL!B120+MAYO!B120+JUNIO!B120+JULIO!B120+AGOSTO!B120+SEPTIEMBRE!B120+OCTUBRE!B120+NOVIEMBRE!B120+DICIEMBRE!B120</f>
        <v>529478637.54000002</v>
      </c>
      <c r="C120" s="16">
        <f>ENERO!C120+FEBRERO!C120+MARZO!C120+ABRIL!C120+MAYO!C120+JUNIO!C120+JULIO!C120+AGOSTO!C120+SEPTIEMBRE!C120+OCTUBRE!C120+NOVIEMBRE!C120+DICIEMBRE!C120</f>
        <v>0</v>
      </c>
      <c r="D120" s="16">
        <f>ENERO!D120+FEBRERO!D120+MARZO!D120+ABRIL!D120+MAYO!D120+JUNIO!D120+JULIO!D120+AGOSTO!D120+SEPTIEMBRE!D120+OCTUBRE!D120+NOVIEMBRE!D120+DICIEMBRE!D120</f>
        <v>55393736.073468015</v>
      </c>
      <c r="E120" s="16">
        <f>ENERO!E120+FEBRERO!E120+MARZO!E120+ABRIL!E120+MAYO!E120+JUNIO!E120+JULIO!E120+AGOSTO!E120+SEPTIEMBRE!E120+OCTUBRE!E120+NOVIEMBRE!E120+DICIEMBRE!E120</f>
        <v>315692.18000000005</v>
      </c>
      <c r="F120" s="16">
        <f>ENERO!F120+FEBRERO!F120+MARZO!F120+ABRIL!F120+MAYO!F120+JUNIO!F120+JULIO!F120+AGOSTO!F120+SEPTIEMBRE!F120+OCTUBRE!F120+NOVIEMBRE!F120+DICIEMBRE!F120</f>
        <v>3257887.13</v>
      </c>
      <c r="G120" s="16">
        <f>ENERO!G120+FEBRERO!G120+MARZO!G120+ABRIL!G120+MAYO!G120+JUNIO!G120+JULIO!G120+AGOSTO!G120+SEPTIEMBRE!G120+OCTUBRE!G120+NOVIEMBRE!G120+DICIEMBRE!G120</f>
        <v>2012613.1599999997</v>
      </c>
      <c r="H120" s="16">
        <f>ENERO!H120+FEBRERO!H120+MARZO!H120+ABRIL!H120+MAYO!H120+JUNIO!H120+JULIO!H120+AGOSTO!H120+SEPTIEMBRE!H120+OCTUBRE!H120+NOVIEMBRE!H120+DICIEMBRE!H120</f>
        <v>28111872.880000003</v>
      </c>
      <c r="I120" s="16">
        <f>ENERO!I120+FEBRERO!I120+MARZO!I120+ABRIL!I120+MAYO!I120+JUNIO!I120+JULIO!I120+AGOSTO!I120+SEPTIEMBRE!I120+OCTUBRE!I120+NOVIEMBRE!I120+DICIEMBRE!I120</f>
        <v>7530819.0699999994</v>
      </c>
      <c r="J120" s="16">
        <f>ENERO!J120+FEBRERO!J120+MARZO!J120+ABRIL!J120+MAYO!J120+JUNIO!J120+JULIO!J120+AGOSTO!J120+SEPTIEMBRE!J120+OCTUBRE!J120+NOVIEMBRE!J120+DICIEMBRE!J120</f>
        <v>63199776.460000008</v>
      </c>
      <c r="K120" s="16">
        <f>ENERO!K120+FEBRERO!K120+MARZO!K120+ABRIL!K120+MAYO!K120+JUNIO!K120+JULIO!K120+AGOSTO!K120+SEPTIEMBRE!K120+OCTUBRE!K120+NOVIEMBRE!K120+DICIEMBRE!K120</f>
        <v>0</v>
      </c>
      <c r="L120" s="16">
        <f>ENERO!L120+FEBRERO!L120+MARZO!L120+ABRIL!L120+MAYO!L120+JUNIO!L120+JULIO!L120+AGOSTO!L120+SEPTIEMBRE!L120+OCTUBRE!L120+NOVIEMBRE!L120+DICIEMBRE!L120</f>
        <v>0</v>
      </c>
      <c r="M120" s="16">
        <f>ENERO!M120+FEBRERO!M120+MARZO!M120+ABRIL!M120+MAYO!M120+JUNIO!M120+JULIO!M120+AGOSTO!M120+SEPTIEMBRE!M120+OCTUBRE!M120+NOVIEMBRE!M120+DICIEMBRE!M120</f>
        <v>25001.200000000004</v>
      </c>
      <c r="N120" s="18">
        <f t="shared" si="3"/>
        <v>689326035.69346809</v>
      </c>
      <c r="O120" s="4"/>
    </row>
    <row r="121" spans="1:15" ht="18" customHeight="1" x14ac:dyDescent="0.2">
      <c r="A121" s="17" t="s">
        <v>116</v>
      </c>
      <c r="B121" s="16">
        <f>ENERO!B121+FEBRERO!B121+MARZO!B121+ABRIL!B121+MAYO!B121+JUNIO!B121+JULIO!B121+AGOSTO!B121+SEPTIEMBRE!B121+OCTUBRE!B121+NOVIEMBRE!B121+DICIEMBRE!B121</f>
        <v>575667816.03999996</v>
      </c>
      <c r="C121" s="16">
        <f>ENERO!C121+FEBRERO!C121+MARZO!C121+ABRIL!C121+MAYO!C121+JUNIO!C121+JULIO!C121+AGOSTO!C121+SEPTIEMBRE!C121+OCTUBRE!C121+NOVIEMBRE!C121+DICIEMBRE!C121</f>
        <v>0</v>
      </c>
      <c r="D121" s="16">
        <f>ENERO!D121+FEBRERO!D121+MARZO!D121+ABRIL!D121+MAYO!D121+JUNIO!D121+JULIO!D121+AGOSTO!D121+SEPTIEMBRE!D121+OCTUBRE!D121+NOVIEMBRE!D121+DICIEMBRE!D121</f>
        <v>63584376.28120815</v>
      </c>
      <c r="E121" s="16">
        <f>ENERO!E121+FEBRERO!E121+MARZO!E121+ABRIL!E121+MAYO!E121+JUNIO!E121+JULIO!E121+AGOSTO!E121+SEPTIEMBRE!E121+OCTUBRE!E121+NOVIEMBRE!E121+DICIEMBRE!E121</f>
        <v>335717.8</v>
      </c>
      <c r="F121" s="16">
        <f>ENERO!F121+FEBRERO!F121+MARZO!F121+ABRIL!F121+MAYO!F121+JUNIO!F121+JULIO!F121+AGOSTO!F121+SEPTIEMBRE!F121+OCTUBRE!F121+NOVIEMBRE!F121+DICIEMBRE!F121</f>
        <v>1369101.05</v>
      </c>
      <c r="G121" s="16">
        <f>ENERO!G121+FEBRERO!G121+MARZO!G121+ABRIL!G121+MAYO!G121+JUNIO!G121+JULIO!G121+AGOSTO!G121+SEPTIEMBRE!G121+OCTUBRE!G121+NOVIEMBRE!G121+DICIEMBRE!G121</f>
        <v>734331.82000000007</v>
      </c>
      <c r="H121" s="16">
        <f>ENERO!H121+FEBRERO!H121+MARZO!H121+ABRIL!H121+MAYO!H121+JUNIO!H121+JULIO!H121+AGOSTO!H121+SEPTIEMBRE!H121+OCTUBRE!H121+NOVIEMBRE!H121+DICIEMBRE!H121</f>
        <v>30564217.900000002</v>
      </c>
      <c r="I121" s="16">
        <f>ENERO!I121+FEBRERO!I121+MARZO!I121+ABRIL!I121+MAYO!I121+JUNIO!I121+JULIO!I121+AGOSTO!I121+SEPTIEMBRE!I121+OCTUBRE!I121+NOVIEMBRE!I121+DICIEMBRE!I121</f>
        <v>3164766.6600000006</v>
      </c>
      <c r="J121" s="16">
        <f>ENERO!J121+FEBRERO!J121+MARZO!J121+ABRIL!J121+MAYO!J121+JUNIO!J121+JULIO!J121+AGOSTO!J121+SEPTIEMBRE!J121+OCTUBRE!J121+NOVIEMBRE!J121+DICIEMBRE!J121</f>
        <v>34690123.030000001</v>
      </c>
      <c r="K121" s="16">
        <f>ENERO!K121+FEBRERO!K121+MARZO!K121+ABRIL!K121+MAYO!K121+JUNIO!K121+JULIO!K121+AGOSTO!K121+SEPTIEMBRE!K121+OCTUBRE!K121+NOVIEMBRE!K121+DICIEMBRE!K121</f>
        <v>0</v>
      </c>
      <c r="L121" s="16">
        <f>ENERO!L121+FEBRERO!L121+MARZO!L121+ABRIL!L121+MAYO!L121+JUNIO!L121+JULIO!L121+AGOSTO!L121+SEPTIEMBRE!L121+OCTUBRE!L121+NOVIEMBRE!L121+DICIEMBRE!L121</f>
        <v>0</v>
      </c>
      <c r="M121" s="16">
        <f>ENERO!M121+FEBRERO!M121+MARZO!M121+ABRIL!M121+MAYO!M121+JUNIO!M121+JULIO!M121+AGOSTO!M121+SEPTIEMBRE!M121+OCTUBRE!M121+NOVIEMBRE!M121+DICIEMBRE!M121</f>
        <v>10506.33</v>
      </c>
      <c r="N121" s="18">
        <f t="shared" si="3"/>
        <v>710120956.91120803</v>
      </c>
      <c r="O121" s="4"/>
    </row>
    <row r="122" spans="1:15" ht="18" customHeight="1" x14ac:dyDescent="0.2">
      <c r="A122" s="17" t="s">
        <v>117</v>
      </c>
      <c r="B122" s="16">
        <f>ENERO!B122+FEBRERO!B122+MARZO!B122+ABRIL!B122+MAYO!B122+JUNIO!B122+JULIO!B122+AGOSTO!B122+SEPTIEMBRE!B122+OCTUBRE!B122+NOVIEMBRE!B122+DICIEMBRE!B122</f>
        <v>1612420349.5999999</v>
      </c>
      <c r="C122" s="16">
        <f>ENERO!C122+FEBRERO!C122+MARZO!C122+ABRIL!C122+MAYO!C122+JUNIO!C122+JULIO!C122+AGOSTO!C122+SEPTIEMBRE!C122+OCTUBRE!C122+NOVIEMBRE!C122+DICIEMBRE!C122</f>
        <v>0</v>
      </c>
      <c r="D122" s="16">
        <f>ENERO!D122+FEBRERO!D122+MARZO!D122+ABRIL!D122+MAYO!D122+JUNIO!D122+JULIO!D122+AGOSTO!D122+SEPTIEMBRE!D122+OCTUBRE!D122+NOVIEMBRE!D122+DICIEMBRE!D122</f>
        <v>69842761.604999989</v>
      </c>
      <c r="E122" s="16">
        <f>ENERO!E122+FEBRERO!E122+MARZO!E122+ABRIL!E122+MAYO!E122+JUNIO!E122+JULIO!E122+AGOSTO!E122+SEPTIEMBRE!E122+OCTUBRE!E122+NOVIEMBRE!E122+DICIEMBRE!E122</f>
        <v>1330577.3599999999</v>
      </c>
      <c r="F122" s="16">
        <f>ENERO!F122+FEBRERO!F122+MARZO!F122+ABRIL!F122+MAYO!F122+JUNIO!F122+JULIO!F122+AGOSTO!F122+SEPTIEMBRE!F122+OCTUBRE!F122+NOVIEMBRE!F122+DICIEMBRE!F122</f>
        <v>41216394.799999997</v>
      </c>
      <c r="G122" s="16">
        <f>ENERO!G122+FEBRERO!G122+MARZO!G122+ABRIL!G122+MAYO!G122+JUNIO!G122+JULIO!G122+AGOSTO!G122+SEPTIEMBRE!G122+OCTUBRE!G122+NOVIEMBRE!G122+DICIEMBRE!G122</f>
        <v>18602305.801194243</v>
      </c>
      <c r="H122" s="16">
        <f>ENERO!H122+FEBRERO!H122+MARZO!H122+ABRIL!H122+MAYO!H122+JUNIO!H122+JULIO!H122+AGOSTO!H122+SEPTIEMBRE!H122+OCTUBRE!H122+NOVIEMBRE!H122+DICIEMBRE!H122</f>
        <v>85609036.160000011</v>
      </c>
      <c r="I122" s="16">
        <f>ENERO!I122+FEBRERO!I122+MARZO!I122+ABRIL!I122+MAYO!I122+JUNIO!I122+JULIO!I122+AGOSTO!I122+SEPTIEMBRE!I122+OCTUBRE!I122+NOVIEMBRE!I122+DICIEMBRE!I122</f>
        <v>95274388.609999999</v>
      </c>
      <c r="J122" s="16">
        <f>ENERO!J122+FEBRERO!J122+MARZO!J122+ABRIL!J122+MAYO!J122+JUNIO!J122+JULIO!J122+AGOSTO!J122+SEPTIEMBRE!J122+OCTUBRE!J122+NOVIEMBRE!J122+DICIEMBRE!J122</f>
        <v>162561975.91999993</v>
      </c>
      <c r="K122" s="16">
        <f>ENERO!K122+FEBRERO!K122+MARZO!K122+ABRIL!K122+MAYO!K122+JUNIO!K122+JULIO!K122+AGOSTO!K122+SEPTIEMBRE!K122+OCTUBRE!K122+NOVIEMBRE!K122+DICIEMBRE!K122</f>
        <v>0</v>
      </c>
      <c r="L122" s="16">
        <f>ENERO!L122+FEBRERO!L122+MARZO!L122+ABRIL!L122+MAYO!L122+JUNIO!L122+JULIO!L122+AGOSTO!L122+SEPTIEMBRE!L122+OCTUBRE!L122+NOVIEMBRE!L122+DICIEMBRE!L122</f>
        <v>0</v>
      </c>
      <c r="M122" s="16">
        <f>ENERO!M122+FEBRERO!M122+MARZO!M122+ABRIL!M122+MAYO!M122+JUNIO!M122+JULIO!M122+AGOSTO!M122+SEPTIEMBRE!M122+OCTUBRE!M122+NOVIEMBRE!M122+DICIEMBRE!M122</f>
        <v>316301.05000000005</v>
      </c>
      <c r="N122" s="18">
        <f t="shared" si="3"/>
        <v>2087174090.9061937</v>
      </c>
      <c r="O122" s="4"/>
    </row>
    <row r="123" spans="1:15" ht="18" customHeight="1" x14ac:dyDescent="0.2">
      <c r="A123" s="17" t="s">
        <v>118</v>
      </c>
      <c r="B123" s="16">
        <f>ENERO!B123+FEBRERO!B123+MARZO!B123+ABRIL!B123+MAYO!B123+JUNIO!B123+JULIO!B123+AGOSTO!B123+SEPTIEMBRE!B123+OCTUBRE!B123+NOVIEMBRE!B123+DICIEMBRE!B123</f>
        <v>4315977266.6400003</v>
      </c>
      <c r="C123" s="16">
        <f>ENERO!C123+FEBRERO!C123+MARZO!C123+ABRIL!C123+MAYO!C123+JUNIO!C123+JULIO!C123+AGOSTO!C123+SEPTIEMBRE!C123+OCTUBRE!C123+NOVIEMBRE!C123+DICIEMBRE!C123</f>
        <v>0</v>
      </c>
      <c r="D123" s="16">
        <f>ENERO!D123+FEBRERO!D123+MARZO!D123+ABRIL!D123+MAYO!D123+JUNIO!D123+JULIO!D123+AGOSTO!D123+SEPTIEMBRE!D123+OCTUBRE!D123+NOVIEMBRE!D123+DICIEMBRE!D123</f>
        <v>67355844.239999995</v>
      </c>
      <c r="E123" s="16">
        <f>ENERO!E123+FEBRERO!E123+MARZO!E123+ABRIL!E123+MAYO!E123+JUNIO!E123+JULIO!E123+AGOSTO!E123+SEPTIEMBRE!E123+OCTUBRE!E123+NOVIEMBRE!E123+DICIEMBRE!E123</f>
        <v>2555413.08</v>
      </c>
      <c r="F123" s="16">
        <f>ENERO!F123+FEBRERO!F123+MARZO!F123+ABRIL!F123+MAYO!F123+JUNIO!F123+JULIO!F123+AGOSTO!F123+SEPTIEMBRE!F123+OCTUBRE!F123+NOVIEMBRE!F123+DICIEMBRE!F123</f>
        <v>57294372.810000002</v>
      </c>
      <c r="G123" s="16">
        <f>ENERO!G123+FEBRERO!G123+MARZO!G123+ABRIL!G123+MAYO!G123+JUNIO!G123+JULIO!G123+AGOSTO!G123+SEPTIEMBRE!G123+OCTUBRE!G123+NOVIEMBRE!G123+DICIEMBRE!G123</f>
        <v>47144124.716120258</v>
      </c>
      <c r="H123" s="16">
        <f>ENERO!H123+FEBRERO!H123+MARZO!H123+ABRIL!H123+MAYO!H123+JUNIO!H123+JULIO!H123+AGOSTO!H123+SEPTIEMBRE!H123+OCTUBRE!H123+NOVIEMBRE!H123+DICIEMBRE!H123</f>
        <v>229150329.08000004</v>
      </c>
      <c r="I123" s="16">
        <f>ENERO!I123+FEBRERO!I123+MARZO!I123+ABRIL!I123+MAYO!I123+JUNIO!I123+JULIO!I123+AGOSTO!I123+SEPTIEMBRE!I123+OCTUBRE!I123+NOVIEMBRE!I123+DICIEMBRE!I123</f>
        <v>132439684.89999999</v>
      </c>
      <c r="J123" s="16">
        <f>ENERO!J123+FEBRERO!J123+MARZO!J123+ABRIL!J123+MAYO!J123+JUNIO!J123+JULIO!J123+AGOSTO!J123+SEPTIEMBRE!J123+OCTUBRE!J123+NOVIEMBRE!J123+DICIEMBRE!J123</f>
        <v>218030483.87999997</v>
      </c>
      <c r="K123" s="16">
        <f>ENERO!K123+FEBRERO!K123+MARZO!K123+ABRIL!K123+MAYO!K123+JUNIO!K123+JULIO!K123+AGOSTO!K123+SEPTIEMBRE!K123+OCTUBRE!K123+NOVIEMBRE!K123+DICIEMBRE!K123</f>
        <v>0</v>
      </c>
      <c r="L123" s="16">
        <f>ENERO!L123+FEBRERO!L123+MARZO!L123+ABRIL!L123+MAYO!L123+JUNIO!L123+JULIO!L123+AGOSTO!L123+SEPTIEMBRE!L123+OCTUBRE!L123+NOVIEMBRE!L123+DICIEMBRE!L123</f>
        <v>0</v>
      </c>
      <c r="M123" s="16">
        <f>ENERO!M123+FEBRERO!M123+MARZO!M123+ABRIL!M123+MAYO!M123+JUNIO!M123+JULIO!M123+AGOSTO!M123+SEPTIEMBRE!M123+OCTUBRE!M123+NOVIEMBRE!M123+DICIEMBRE!M123</f>
        <v>439686.10000000003</v>
      </c>
      <c r="N123" s="18">
        <f t="shared" si="3"/>
        <v>5070387205.4461212</v>
      </c>
      <c r="O123" s="4"/>
    </row>
    <row r="124" spans="1:15" ht="18" customHeight="1" x14ac:dyDescent="0.2">
      <c r="A124" s="17" t="s">
        <v>119</v>
      </c>
      <c r="B124" s="16">
        <f>ENERO!B124+FEBRERO!B124+MARZO!B124+ABRIL!B124+MAYO!B124+JUNIO!B124+JULIO!B124+AGOSTO!B124+SEPTIEMBRE!B124+OCTUBRE!B124+NOVIEMBRE!B124+DICIEMBRE!B124</f>
        <v>3285660590.8499994</v>
      </c>
      <c r="C124" s="16">
        <f>ENERO!C124+FEBRERO!C124+MARZO!C124+ABRIL!C124+MAYO!C124+JUNIO!C124+JULIO!C124+AGOSTO!C124+SEPTIEMBRE!C124+OCTUBRE!C124+NOVIEMBRE!C124+DICIEMBRE!C124</f>
        <v>0</v>
      </c>
      <c r="D124" s="16">
        <f>ENERO!D124+FEBRERO!D124+MARZO!D124+ABRIL!D124+MAYO!D124+JUNIO!D124+JULIO!D124+AGOSTO!D124+SEPTIEMBRE!D124+OCTUBRE!D124+NOVIEMBRE!D124+DICIEMBRE!D124</f>
        <v>24264641.530000001</v>
      </c>
      <c r="E124" s="16">
        <f>ENERO!E124+FEBRERO!E124+MARZO!E124+ABRIL!E124+MAYO!E124+JUNIO!E124+JULIO!E124+AGOSTO!E124+SEPTIEMBRE!E124+OCTUBRE!E124+NOVIEMBRE!E124+DICIEMBRE!E124</f>
        <v>2692849.37</v>
      </c>
      <c r="F124" s="16">
        <f>ENERO!F124+FEBRERO!F124+MARZO!F124+ABRIL!F124+MAYO!F124+JUNIO!F124+JULIO!F124+AGOSTO!F124+SEPTIEMBRE!F124+OCTUBRE!F124+NOVIEMBRE!F124+DICIEMBRE!F124</f>
        <v>73368766.810000002</v>
      </c>
      <c r="G124" s="16">
        <f>ENERO!G124+FEBRERO!G124+MARZO!G124+ABRIL!G124+MAYO!G124+JUNIO!G124+JULIO!G124+AGOSTO!G124+SEPTIEMBRE!G124+OCTUBRE!G124+NOVIEMBRE!G124+DICIEMBRE!G124</f>
        <v>0</v>
      </c>
      <c r="H124" s="16">
        <f>ENERO!H124+FEBRERO!H124+MARZO!H124+ABRIL!H124+MAYO!H124+JUNIO!H124+JULIO!H124+AGOSTO!H124+SEPTIEMBRE!H124+OCTUBRE!H124+NOVIEMBRE!H124+DICIEMBRE!H124</f>
        <v>174447213.06</v>
      </c>
      <c r="I124" s="16">
        <f>ENERO!I124+FEBRERO!I124+MARZO!I124+ABRIL!I124+MAYO!I124+JUNIO!I124+JULIO!I124+AGOSTO!I124+SEPTIEMBRE!I124+OCTUBRE!I124+NOVIEMBRE!I124+DICIEMBRE!I124</f>
        <v>169596696.46000001</v>
      </c>
      <c r="J124" s="16">
        <f>ENERO!J124+FEBRERO!J124+MARZO!J124+ABRIL!J124+MAYO!J124+JUNIO!J124+JULIO!J124+AGOSTO!J124+SEPTIEMBRE!J124+OCTUBRE!J124+NOVIEMBRE!J124+DICIEMBRE!J124</f>
        <v>304353935.62000012</v>
      </c>
      <c r="K124" s="16">
        <f>ENERO!K124+FEBRERO!K124+MARZO!K124+ABRIL!K124+MAYO!K124+JUNIO!K124+JULIO!K124+AGOSTO!K124+SEPTIEMBRE!K124+OCTUBRE!K124+NOVIEMBRE!K124+DICIEMBRE!K124</f>
        <v>0</v>
      </c>
      <c r="L124" s="16">
        <f>ENERO!L124+FEBRERO!L124+MARZO!L124+ABRIL!L124+MAYO!L124+JUNIO!L124+JULIO!L124+AGOSTO!L124+SEPTIEMBRE!L124+OCTUBRE!L124+NOVIEMBRE!L124+DICIEMBRE!L124</f>
        <v>0</v>
      </c>
      <c r="M124" s="16">
        <f>ENERO!M124+FEBRERO!M124+MARZO!M124+ABRIL!M124+MAYO!M124+JUNIO!M124+JULIO!M124+AGOSTO!M124+SEPTIEMBRE!M124+OCTUBRE!M124+NOVIEMBRE!M124+DICIEMBRE!M124</f>
        <v>563043.63000000024</v>
      </c>
      <c r="N124" s="18">
        <f t="shared" si="3"/>
        <v>4034947737.3299999</v>
      </c>
      <c r="O124" s="4"/>
    </row>
    <row r="125" spans="1:15" ht="18" customHeight="1" x14ac:dyDescent="0.2">
      <c r="A125" s="17" t="s">
        <v>120</v>
      </c>
      <c r="B125" s="16">
        <f>ENERO!B125+FEBRERO!B125+MARZO!B125+ABRIL!B125+MAYO!B125+JUNIO!B125+JULIO!B125+AGOSTO!B125+SEPTIEMBRE!B125+OCTUBRE!B125+NOVIEMBRE!B125+DICIEMBRE!B125</f>
        <v>1171470969.71</v>
      </c>
      <c r="C125" s="16">
        <f>ENERO!C125+FEBRERO!C125+MARZO!C125+ABRIL!C125+MAYO!C125+JUNIO!C125+JULIO!C125+AGOSTO!C125+SEPTIEMBRE!C125+OCTUBRE!C125+NOVIEMBRE!C125+DICIEMBRE!C125</f>
        <v>0</v>
      </c>
      <c r="D125" s="16">
        <f>ENERO!D125+FEBRERO!D125+MARZO!D125+ABRIL!D125+MAYO!D125+JUNIO!D125+JULIO!D125+AGOSTO!D125+SEPTIEMBRE!D125+OCTUBRE!D125+NOVIEMBRE!D125+DICIEMBRE!D125</f>
        <v>110245461.47975864</v>
      </c>
      <c r="E125" s="16">
        <f>ENERO!E125+FEBRERO!E125+MARZO!E125+ABRIL!E125+MAYO!E125+JUNIO!E125+JULIO!E125+AGOSTO!E125+SEPTIEMBRE!E125+OCTUBRE!E125+NOVIEMBRE!E125+DICIEMBRE!E125</f>
        <v>684765.97000000009</v>
      </c>
      <c r="F125" s="16">
        <f>ENERO!F125+FEBRERO!F125+MARZO!F125+ABRIL!F125+MAYO!F125+JUNIO!F125+JULIO!F125+AGOSTO!F125+SEPTIEMBRE!F125+OCTUBRE!F125+NOVIEMBRE!F125+DICIEMBRE!F125</f>
        <v>28528913.25</v>
      </c>
      <c r="G125" s="16">
        <f>ENERO!G125+FEBRERO!G125+MARZO!G125+ABRIL!G125+MAYO!G125+JUNIO!G125+JULIO!G125+AGOSTO!G125+SEPTIEMBRE!G125+OCTUBRE!G125+NOVIEMBRE!G125+DICIEMBRE!G125</f>
        <v>12687622.1</v>
      </c>
      <c r="H125" s="16">
        <f>ENERO!H125+FEBRERO!H125+MARZO!H125+ABRIL!H125+MAYO!H125+JUNIO!H125+JULIO!H125+AGOSTO!H125+SEPTIEMBRE!H125+OCTUBRE!H125+NOVIEMBRE!H125+DICIEMBRE!H125</f>
        <v>62197491.279999994</v>
      </c>
      <c r="I125" s="16">
        <f>ENERO!I125+FEBRERO!I125+MARZO!I125+ABRIL!I125+MAYO!I125+JUNIO!I125+JULIO!I125+AGOSTO!I125+SEPTIEMBRE!I125+OCTUBRE!I125+NOVIEMBRE!I125+DICIEMBRE!I125</f>
        <v>65946446.379999995</v>
      </c>
      <c r="J125" s="16">
        <f>ENERO!J125+FEBRERO!J125+MARZO!J125+ABRIL!J125+MAYO!J125+JUNIO!J125+JULIO!J125+AGOSTO!J125+SEPTIEMBRE!J125+OCTUBRE!J125+NOVIEMBRE!J125+DICIEMBRE!J125</f>
        <v>189373685.59000009</v>
      </c>
      <c r="K125" s="16">
        <f>ENERO!K125+FEBRERO!K125+MARZO!K125+ABRIL!K125+MAYO!K125+JUNIO!K125+JULIO!K125+AGOSTO!K125+SEPTIEMBRE!K125+OCTUBRE!K125+NOVIEMBRE!K125+DICIEMBRE!K125</f>
        <v>0</v>
      </c>
      <c r="L125" s="16">
        <f>ENERO!L125+FEBRERO!L125+MARZO!L125+ABRIL!L125+MAYO!L125+JUNIO!L125+JULIO!L125+AGOSTO!L125+SEPTIEMBRE!L125+OCTUBRE!L125+NOVIEMBRE!L125+DICIEMBRE!L125</f>
        <v>0</v>
      </c>
      <c r="M125" s="16">
        <f>ENERO!M125+FEBRERO!M125+MARZO!M125+ABRIL!M125+MAYO!M125+JUNIO!M125+JULIO!M125+AGOSTO!M125+SEPTIEMBRE!M125+OCTUBRE!M125+NOVIEMBRE!M125+DICIEMBRE!M125</f>
        <v>218935.21</v>
      </c>
      <c r="N125" s="18">
        <f t="shared" si="3"/>
        <v>1641354290.969759</v>
      </c>
      <c r="O125" s="4"/>
    </row>
    <row r="126" spans="1:15" ht="18" customHeight="1" x14ac:dyDescent="0.2">
      <c r="A126" s="17" t="s">
        <v>121</v>
      </c>
      <c r="B126" s="16">
        <f>ENERO!B126+FEBRERO!B126+MARZO!B126+ABRIL!B126+MAYO!B126+JUNIO!B126+JULIO!B126+AGOSTO!B126+SEPTIEMBRE!B126+OCTUBRE!B126+NOVIEMBRE!B126+DICIEMBRE!B126</f>
        <v>1475756669.0399997</v>
      </c>
      <c r="C126" s="16">
        <f>ENERO!C126+FEBRERO!C126+MARZO!C126+ABRIL!C126+MAYO!C126+JUNIO!C126+JULIO!C126+AGOSTO!C126+SEPTIEMBRE!C126+OCTUBRE!C126+NOVIEMBRE!C126+DICIEMBRE!C126</f>
        <v>0</v>
      </c>
      <c r="D126" s="16">
        <f>ENERO!D126+FEBRERO!D126+MARZO!D126+ABRIL!D126+MAYO!D126+JUNIO!D126+JULIO!D126+AGOSTO!D126+SEPTIEMBRE!D126+OCTUBRE!D126+NOVIEMBRE!D126+DICIEMBRE!D126</f>
        <v>68618933.678625599</v>
      </c>
      <c r="E126" s="16">
        <f>ENERO!E126+FEBRERO!E126+MARZO!E126+ABRIL!E126+MAYO!E126+JUNIO!E126+JULIO!E126+AGOSTO!E126+SEPTIEMBRE!E126+OCTUBRE!E126+NOVIEMBRE!E126+DICIEMBRE!E126</f>
        <v>863498.60999999987</v>
      </c>
      <c r="F126" s="16">
        <f>ENERO!F126+FEBRERO!F126+MARZO!F126+ABRIL!F126+MAYO!F126+JUNIO!F126+JULIO!F126+AGOSTO!F126+SEPTIEMBRE!F126+OCTUBRE!F126+NOVIEMBRE!F126+DICIEMBRE!F126</f>
        <v>14282376.77</v>
      </c>
      <c r="G126" s="16">
        <f>ENERO!G126+FEBRERO!G126+MARZO!G126+ABRIL!G126+MAYO!G126+JUNIO!G126+JULIO!G126+AGOSTO!G126+SEPTIEMBRE!G126+OCTUBRE!G126+NOVIEMBRE!G126+DICIEMBRE!G126</f>
        <v>5140322.7699999996</v>
      </c>
      <c r="H126" s="16">
        <f>ENERO!H126+FEBRERO!H126+MARZO!H126+ABRIL!H126+MAYO!H126+JUNIO!H126+JULIO!H126+AGOSTO!H126+SEPTIEMBRE!H126+OCTUBRE!H126+NOVIEMBRE!H126+DICIEMBRE!H126</f>
        <v>78353083.349999994</v>
      </c>
      <c r="I126" s="16">
        <f>ENERO!I126+FEBRERO!I126+MARZO!I126+ABRIL!I126+MAYO!I126+JUNIO!I126+JULIO!I126+AGOSTO!I126+SEPTIEMBRE!I126+OCTUBRE!I126+NOVIEMBRE!I126+DICIEMBRE!I126</f>
        <v>33014646.82</v>
      </c>
      <c r="J126" s="16">
        <f>ENERO!J126+FEBRERO!J126+MARZO!J126+ABRIL!J126+MAYO!J126+JUNIO!J126+JULIO!J126+AGOSTO!J126+SEPTIEMBRE!J126+OCTUBRE!J126+NOVIEMBRE!J126+DICIEMBRE!J126</f>
        <v>125200098.54000004</v>
      </c>
      <c r="K126" s="16">
        <f>ENERO!K126+FEBRERO!K126+MARZO!K126+ABRIL!K126+MAYO!K126+JUNIO!K126+JULIO!K126+AGOSTO!K126+SEPTIEMBRE!K126+OCTUBRE!K126+NOVIEMBRE!K126+DICIEMBRE!K126</f>
        <v>0</v>
      </c>
      <c r="L126" s="16">
        <f>ENERO!L126+FEBRERO!L126+MARZO!L126+ABRIL!L126+MAYO!L126+JUNIO!L126+JULIO!L126+AGOSTO!L126+SEPTIEMBRE!L126+OCTUBRE!L126+NOVIEMBRE!L126+DICIEMBRE!L126</f>
        <v>0</v>
      </c>
      <c r="M126" s="16">
        <f>ENERO!M126+FEBRERO!M126+MARZO!M126+ABRIL!M126+MAYO!M126+JUNIO!M126+JULIO!M126+AGOSTO!M126+SEPTIEMBRE!M126+OCTUBRE!M126+NOVIEMBRE!M126+DICIEMBRE!M126</f>
        <v>109604.97999999998</v>
      </c>
      <c r="N126" s="18">
        <f t="shared" si="3"/>
        <v>1801339234.558625</v>
      </c>
      <c r="O126" s="4"/>
    </row>
    <row r="127" spans="1:15" ht="18" customHeight="1" x14ac:dyDescent="0.2">
      <c r="A127" s="17" t="s">
        <v>122</v>
      </c>
      <c r="B127" s="16">
        <f>ENERO!B127+FEBRERO!B127+MARZO!B127+ABRIL!B127+MAYO!B127+JUNIO!B127+JULIO!B127+AGOSTO!B127+SEPTIEMBRE!B127+OCTUBRE!B127+NOVIEMBRE!B127+DICIEMBRE!B127</f>
        <v>696769551.1500001</v>
      </c>
      <c r="C127" s="16">
        <f>ENERO!C127+FEBRERO!C127+MARZO!C127+ABRIL!C127+MAYO!C127+JUNIO!C127+JULIO!C127+AGOSTO!C127+SEPTIEMBRE!C127+OCTUBRE!C127+NOVIEMBRE!C127+DICIEMBRE!C127</f>
        <v>0</v>
      </c>
      <c r="D127" s="16">
        <f>ENERO!D127+FEBRERO!D127+MARZO!D127+ABRIL!D127+MAYO!D127+JUNIO!D127+JULIO!D127+AGOSTO!D127+SEPTIEMBRE!D127+OCTUBRE!D127+NOVIEMBRE!D127+DICIEMBRE!D127</f>
        <v>27233984.797498766</v>
      </c>
      <c r="E127" s="16">
        <f>ENERO!E127+FEBRERO!E127+MARZO!E127+ABRIL!E127+MAYO!E127+JUNIO!E127+JULIO!E127+AGOSTO!E127+SEPTIEMBRE!E127+OCTUBRE!E127+NOVIEMBRE!E127+DICIEMBRE!E127</f>
        <v>409013.95</v>
      </c>
      <c r="F127" s="16">
        <f>ENERO!F127+FEBRERO!F127+MARZO!F127+ABRIL!F127+MAYO!F127+JUNIO!F127+JULIO!F127+AGOSTO!F127+SEPTIEMBRE!F127+OCTUBRE!F127+NOVIEMBRE!F127+DICIEMBRE!F127</f>
        <v>15160465.18</v>
      </c>
      <c r="G127" s="16">
        <f>ENERO!G127+FEBRERO!G127+MARZO!G127+ABRIL!G127+MAYO!G127+JUNIO!G127+JULIO!G127+AGOSTO!G127+SEPTIEMBRE!G127+OCTUBRE!G127+NOVIEMBRE!G127+DICIEMBRE!G127</f>
        <v>5181118.9800000004</v>
      </c>
      <c r="H127" s="16">
        <f>ENERO!H127+FEBRERO!H127+MARZO!H127+ABRIL!H127+MAYO!H127+JUNIO!H127+JULIO!H127+AGOSTO!H127+SEPTIEMBRE!H127+OCTUBRE!H127+NOVIEMBRE!H127+DICIEMBRE!H127</f>
        <v>36993932.609999999</v>
      </c>
      <c r="I127" s="16">
        <f>ENERO!I127+FEBRERO!I127+MARZO!I127+ABRIL!I127+MAYO!I127+JUNIO!I127+JULIO!I127+AGOSTO!I127+SEPTIEMBRE!I127+OCTUBRE!I127+NOVIEMBRE!I127+DICIEMBRE!I127</f>
        <v>35044405.579999998</v>
      </c>
      <c r="J127" s="16">
        <f>ENERO!J127+FEBRERO!J127+MARZO!J127+ABRIL!J127+MAYO!J127+JUNIO!J127+JULIO!J127+AGOSTO!J127+SEPTIEMBRE!J127+OCTUBRE!J127+NOVIEMBRE!J127+DICIEMBRE!J127</f>
        <v>128631166.33</v>
      </c>
      <c r="K127" s="16">
        <f>ENERO!K127+FEBRERO!K127+MARZO!K127+ABRIL!K127+MAYO!K127+JUNIO!K127+JULIO!K127+AGOSTO!K127+SEPTIEMBRE!K127+OCTUBRE!K127+NOVIEMBRE!K127+DICIEMBRE!K127</f>
        <v>0</v>
      </c>
      <c r="L127" s="16">
        <f>ENERO!L127+FEBRERO!L127+MARZO!L127+ABRIL!L127+MAYO!L127+JUNIO!L127+JULIO!L127+AGOSTO!L127+SEPTIEMBRE!L127+OCTUBRE!L127+NOVIEMBRE!L127+DICIEMBRE!L127</f>
        <v>0</v>
      </c>
      <c r="M127" s="16">
        <f>ENERO!M127+FEBRERO!M127+MARZO!M127+ABRIL!M127+MAYO!M127+JUNIO!M127+JULIO!M127+AGOSTO!M127+SEPTIEMBRE!M127+OCTUBRE!M127+NOVIEMBRE!M127+DICIEMBRE!M127</f>
        <v>116343.56000000001</v>
      </c>
      <c r="N127" s="18">
        <f t="shared" si="3"/>
        <v>945539982.13749897</v>
      </c>
      <c r="O127" s="4"/>
    </row>
    <row r="128" spans="1:15" ht="18" customHeight="1" x14ac:dyDescent="0.2">
      <c r="A128" s="17" t="s">
        <v>123</v>
      </c>
      <c r="B128" s="16">
        <f>ENERO!B128+FEBRERO!B128+MARZO!B128+ABRIL!B128+MAYO!B128+JUNIO!B128+JULIO!B128+AGOSTO!B128+SEPTIEMBRE!B128+OCTUBRE!B128+NOVIEMBRE!B128+DICIEMBRE!B128</f>
        <v>424787305.04999995</v>
      </c>
      <c r="C128" s="16">
        <f>ENERO!C128+FEBRERO!C128+MARZO!C128+ABRIL!C128+MAYO!C128+JUNIO!C128+JULIO!C128+AGOSTO!C128+SEPTIEMBRE!C128+OCTUBRE!C128+NOVIEMBRE!C128+DICIEMBRE!C128</f>
        <v>0</v>
      </c>
      <c r="D128" s="16">
        <f>ENERO!D128+FEBRERO!D128+MARZO!D128+ABRIL!D128+MAYO!D128+JUNIO!D128+JULIO!D128+AGOSTO!D128+SEPTIEMBRE!D128+OCTUBRE!D128+NOVIEMBRE!D128+DICIEMBRE!D128</f>
        <v>26096348.575446501</v>
      </c>
      <c r="E128" s="16">
        <f>ENERO!E128+FEBRERO!E128+MARZO!E128+ABRIL!E128+MAYO!E128+JUNIO!E128+JULIO!E128+AGOSTO!E128+SEPTIEMBRE!E128+OCTUBRE!E128+NOVIEMBRE!E128+DICIEMBRE!E128</f>
        <v>248385.91</v>
      </c>
      <c r="F128" s="16">
        <f>ENERO!F128+FEBRERO!F128+MARZO!F128+ABRIL!F128+MAYO!F128+JUNIO!F128+JULIO!F128+AGOSTO!F128+SEPTIEMBRE!F128+OCTUBRE!F128+NOVIEMBRE!F128+DICIEMBRE!F128</f>
        <v>1387021.2200000002</v>
      </c>
      <c r="G128" s="16">
        <f>ENERO!G128+FEBRERO!G128+MARZO!G128+ABRIL!G128+MAYO!G128+JUNIO!G128+JULIO!G128+AGOSTO!G128+SEPTIEMBRE!G128+OCTUBRE!G128+NOVIEMBRE!G128+DICIEMBRE!G128</f>
        <v>883917.95</v>
      </c>
      <c r="H128" s="16">
        <f>ENERO!H128+FEBRERO!H128+MARZO!H128+ABRIL!H128+MAYO!H128+JUNIO!H128+JULIO!H128+AGOSTO!H128+SEPTIEMBRE!H128+OCTUBRE!H128+NOVIEMBRE!H128+DICIEMBRE!H128</f>
        <v>22553443.849999998</v>
      </c>
      <c r="I128" s="16">
        <f>ENERO!I128+FEBRERO!I128+MARZO!I128+ABRIL!I128+MAYO!I128+JUNIO!I128+JULIO!I128+AGOSTO!I128+SEPTIEMBRE!I128+OCTUBRE!I128+NOVIEMBRE!I128+DICIEMBRE!I128</f>
        <v>3206190.2899999996</v>
      </c>
      <c r="J128" s="16">
        <f>ENERO!J128+FEBRERO!J128+MARZO!J128+ABRIL!J128+MAYO!J128+JUNIO!J128+JULIO!J128+AGOSTO!J128+SEPTIEMBRE!J128+OCTUBRE!J128+NOVIEMBRE!J128+DICIEMBRE!J128</f>
        <v>30247493.470000006</v>
      </c>
      <c r="K128" s="16">
        <f>ENERO!K128+FEBRERO!K128+MARZO!K128+ABRIL!K128+MAYO!K128+JUNIO!K128+JULIO!K128+AGOSTO!K128+SEPTIEMBRE!K128+OCTUBRE!K128+NOVIEMBRE!K128+DICIEMBRE!K128</f>
        <v>0</v>
      </c>
      <c r="L128" s="16">
        <f>ENERO!L128+FEBRERO!L128+MARZO!L128+ABRIL!L128+MAYO!L128+JUNIO!L128+JULIO!L128+AGOSTO!L128+SEPTIEMBRE!L128+OCTUBRE!L128+NOVIEMBRE!L128+DICIEMBRE!L128</f>
        <v>0</v>
      </c>
      <c r="M128" s="16">
        <f>ENERO!M128+FEBRERO!M128+MARZO!M128+ABRIL!M128+MAYO!M128+JUNIO!M128+JULIO!M128+AGOSTO!M128+SEPTIEMBRE!M128+OCTUBRE!M128+NOVIEMBRE!M128+DICIEMBRE!M128</f>
        <v>10643.880000000001</v>
      </c>
      <c r="N128" s="18">
        <f t="shared" si="3"/>
        <v>509420750.19544655</v>
      </c>
      <c r="O128" s="4"/>
    </row>
    <row r="129" spans="1:15" ht="18" customHeight="1" x14ac:dyDescent="0.2">
      <c r="A129" s="17" t="s">
        <v>124</v>
      </c>
      <c r="B129" s="16">
        <f>ENERO!B129+FEBRERO!B129+MARZO!B129+ABRIL!B129+MAYO!B129+JUNIO!B129+JULIO!B129+AGOSTO!B129+SEPTIEMBRE!B129+OCTUBRE!B129+NOVIEMBRE!B129+DICIEMBRE!B129</f>
        <v>2196821067.0899997</v>
      </c>
      <c r="C129" s="16">
        <f>ENERO!C129+FEBRERO!C129+MARZO!C129+ABRIL!C129+MAYO!C129+JUNIO!C129+JULIO!C129+AGOSTO!C129+SEPTIEMBRE!C129+OCTUBRE!C129+NOVIEMBRE!C129+DICIEMBRE!C129</f>
        <v>0</v>
      </c>
      <c r="D129" s="16">
        <f>ENERO!D129+FEBRERO!D129+MARZO!D129+ABRIL!D129+MAYO!D129+JUNIO!D129+JULIO!D129+AGOSTO!D129+SEPTIEMBRE!D129+OCTUBRE!D129+NOVIEMBRE!D129+DICIEMBRE!D129</f>
        <v>225392276.43426853</v>
      </c>
      <c r="E129" s="16">
        <f>ENERO!E129+FEBRERO!E129+MARZO!E129+ABRIL!E129+MAYO!E129+JUNIO!E129+JULIO!E129+AGOSTO!E129+SEPTIEMBRE!E129+OCTUBRE!E129+NOVIEMBRE!E129+DICIEMBRE!E129</f>
        <v>1278133.51</v>
      </c>
      <c r="F129" s="16">
        <f>ENERO!F129+FEBRERO!F129+MARZO!F129+ABRIL!F129+MAYO!F129+JUNIO!F129+JULIO!F129+AGOSTO!F129+SEPTIEMBRE!F129+OCTUBRE!F129+NOVIEMBRE!F129+DICIEMBRE!F129</f>
        <v>17640616.939999998</v>
      </c>
      <c r="G129" s="16">
        <f>ENERO!G129+FEBRERO!G129+MARZO!G129+ABRIL!G129+MAYO!G129+JUNIO!G129+JULIO!G129+AGOSTO!G129+SEPTIEMBRE!G129+OCTUBRE!G129+NOVIEMBRE!G129+DICIEMBRE!G129</f>
        <v>10783798.840000002</v>
      </c>
      <c r="H129" s="16">
        <f>ENERO!H129+FEBRERO!H129+MARZO!H129+ABRIL!H129+MAYO!H129+JUNIO!H129+JULIO!H129+AGOSTO!H129+SEPTIEMBRE!H129+OCTUBRE!H129+NOVIEMBRE!H129+DICIEMBRE!H129</f>
        <v>116636914.32000001</v>
      </c>
      <c r="I129" s="16">
        <f>ENERO!I129+FEBRERO!I129+MARZO!I129+ABRIL!I129+MAYO!I129+JUNIO!I129+JULIO!I129+AGOSTO!I129+SEPTIEMBRE!I129+OCTUBRE!I129+NOVIEMBRE!I129+DICIEMBRE!I129</f>
        <v>40777438.310000002</v>
      </c>
      <c r="J129" s="16">
        <f>ENERO!J129+FEBRERO!J129+MARZO!J129+ABRIL!J129+MAYO!J129+JUNIO!J129+JULIO!J129+AGOSTO!J129+SEPTIEMBRE!J129+OCTUBRE!J129+NOVIEMBRE!J129+DICIEMBRE!J129</f>
        <v>195138033.90999994</v>
      </c>
      <c r="K129" s="16">
        <f>ENERO!K129+FEBRERO!K129+MARZO!K129+ABRIL!K129+MAYO!K129+JUNIO!K129+JULIO!K129+AGOSTO!K129+SEPTIEMBRE!K129+OCTUBRE!K129+NOVIEMBRE!K129+DICIEMBRE!K129</f>
        <v>0</v>
      </c>
      <c r="L129" s="16">
        <f>ENERO!L129+FEBRERO!L129+MARZO!L129+ABRIL!L129+MAYO!L129+JUNIO!L129+JULIO!L129+AGOSTO!L129+SEPTIEMBRE!L129+OCTUBRE!L129+NOVIEMBRE!L129+DICIEMBRE!L129</f>
        <v>0</v>
      </c>
      <c r="M129" s="16">
        <f>ENERO!M129+FEBRERO!M129+MARZO!M129+ABRIL!M129+MAYO!M129+JUNIO!M129+JULIO!M129+AGOSTO!M129+SEPTIEMBRE!M129+OCTUBRE!M129+NOVIEMBRE!M129+DICIEMBRE!M129</f>
        <v>135376.59</v>
      </c>
      <c r="N129" s="18">
        <f t="shared" si="3"/>
        <v>2804603655.9442687</v>
      </c>
      <c r="O129" s="4"/>
    </row>
    <row r="130" spans="1:15" ht="18" customHeight="1" x14ac:dyDescent="0.2">
      <c r="A130" s="17" t="s">
        <v>125</v>
      </c>
      <c r="B130" s="16">
        <f>ENERO!B130+FEBRERO!B130+MARZO!B130+ABRIL!B130+MAYO!B130+JUNIO!B130+JULIO!B130+AGOSTO!B130+SEPTIEMBRE!B130+OCTUBRE!B130+NOVIEMBRE!B130+DICIEMBRE!B130</f>
        <v>687953874.60000002</v>
      </c>
      <c r="C130" s="16">
        <f>ENERO!C130+FEBRERO!C130+MARZO!C130+ABRIL!C130+MAYO!C130+JUNIO!C130+JULIO!C130+AGOSTO!C130+SEPTIEMBRE!C130+OCTUBRE!C130+NOVIEMBRE!C130+DICIEMBRE!C130</f>
        <v>0</v>
      </c>
      <c r="D130" s="16">
        <f>ENERO!D130+FEBRERO!D130+MARZO!D130+ABRIL!D130+MAYO!D130+JUNIO!D130+JULIO!D130+AGOSTO!D130+SEPTIEMBRE!D130+OCTUBRE!D130+NOVIEMBRE!D130+DICIEMBRE!D130</f>
        <v>66931299.899921298</v>
      </c>
      <c r="E130" s="16">
        <f>ENERO!E130+FEBRERO!E130+MARZO!E130+ABRIL!E130+MAYO!E130+JUNIO!E130+JULIO!E130+AGOSTO!E130+SEPTIEMBRE!E130+OCTUBRE!E130+NOVIEMBRE!E130+DICIEMBRE!E130</f>
        <v>400675.4</v>
      </c>
      <c r="F130" s="16">
        <f>ENERO!F130+FEBRERO!F130+MARZO!F130+ABRIL!F130+MAYO!F130+JUNIO!F130+JULIO!F130+AGOSTO!F130+SEPTIEMBRE!F130+OCTUBRE!F130+NOVIEMBRE!F130+DICIEMBRE!F130</f>
        <v>2182676.85</v>
      </c>
      <c r="G130" s="16">
        <f>ENERO!G130+FEBRERO!G130+MARZO!G130+ABRIL!G130+MAYO!G130+JUNIO!G130+JULIO!G130+AGOSTO!G130+SEPTIEMBRE!G130+OCTUBRE!G130+NOVIEMBRE!G130+DICIEMBRE!G130</f>
        <v>802325.52</v>
      </c>
      <c r="H130" s="16">
        <f>ENERO!H130+FEBRERO!H130+MARZO!H130+ABRIL!H130+MAYO!H130+JUNIO!H130+JULIO!H130+AGOSTO!H130+SEPTIEMBRE!H130+OCTUBRE!H130+NOVIEMBRE!H130+DICIEMBRE!H130</f>
        <v>36525877.519999996</v>
      </c>
      <c r="I130" s="16">
        <f>ENERO!I130+FEBRERO!I130+MARZO!I130+ABRIL!I130+MAYO!I130+JUNIO!I130+JULIO!I130+AGOSTO!I130+SEPTIEMBRE!I130+OCTUBRE!I130+NOVIEMBRE!I130+DICIEMBRE!I130</f>
        <v>5045400.2300000004</v>
      </c>
      <c r="J130" s="16">
        <f>ENERO!J130+FEBRERO!J130+MARZO!J130+ABRIL!J130+MAYO!J130+JUNIO!J130+JULIO!J130+AGOSTO!J130+SEPTIEMBRE!J130+OCTUBRE!J130+NOVIEMBRE!J130+DICIEMBRE!J130</f>
        <v>51286918.860000007</v>
      </c>
      <c r="K130" s="16">
        <f>ENERO!K130+FEBRERO!K130+MARZO!K130+ABRIL!K130+MAYO!K130+JUNIO!K130+JULIO!K130+AGOSTO!K130+SEPTIEMBRE!K130+OCTUBRE!K130+NOVIEMBRE!K130+DICIEMBRE!K130</f>
        <v>0</v>
      </c>
      <c r="L130" s="16">
        <f>ENERO!L130+FEBRERO!L130+MARZO!L130+ABRIL!L130+MAYO!L130+JUNIO!L130+JULIO!L130+AGOSTO!L130+SEPTIEMBRE!L130+OCTUBRE!L130+NOVIEMBRE!L130+DICIEMBRE!L130</f>
        <v>0</v>
      </c>
      <c r="M130" s="16">
        <f>ENERO!M130+FEBRERO!M130+MARZO!M130+ABRIL!M130+MAYO!M130+JUNIO!M130+JULIO!M130+AGOSTO!M130+SEPTIEMBRE!M130+OCTUBRE!M130+NOVIEMBRE!M130+DICIEMBRE!M130</f>
        <v>16749.879999999997</v>
      </c>
      <c r="N130" s="18">
        <f t="shared" si="3"/>
        <v>851145798.75992131</v>
      </c>
      <c r="O130" s="4"/>
    </row>
    <row r="131" spans="1:15" ht="18" customHeight="1" x14ac:dyDescent="0.2">
      <c r="A131" s="17" t="s">
        <v>126</v>
      </c>
      <c r="B131" s="16">
        <f>ENERO!B131+FEBRERO!B131+MARZO!B131+ABRIL!B131+MAYO!B131+JUNIO!B131+JULIO!B131+AGOSTO!B131+SEPTIEMBRE!B131+OCTUBRE!B131+NOVIEMBRE!B131+DICIEMBRE!B131</f>
        <v>3235580926.0599999</v>
      </c>
      <c r="C131" s="16">
        <f>ENERO!C131+FEBRERO!C131+MARZO!C131+ABRIL!C131+MAYO!C131+JUNIO!C131+JULIO!C131+AGOSTO!C131+SEPTIEMBRE!C131+OCTUBRE!C131+NOVIEMBRE!C131+DICIEMBRE!C131</f>
        <v>0</v>
      </c>
      <c r="D131" s="16">
        <f>ENERO!D131+FEBRERO!D131+MARZO!D131+ABRIL!D131+MAYO!D131+JUNIO!D131+JULIO!D131+AGOSTO!D131+SEPTIEMBRE!D131+OCTUBRE!D131+NOVIEMBRE!D131+DICIEMBRE!D131</f>
        <v>100502868.31</v>
      </c>
      <c r="E131" s="16">
        <f>ENERO!E131+FEBRERO!E131+MARZO!E131+ABRIL!E131+MAYO!E131+JUNIO!E131+JULIO!E131+AGOSTO!E131+SEPTIEMBRE!E131+OCTUBRE!E131+NOVIEMBRE!E131+DICIEMBRE!E131</f>
        <v>1897831.25</v>
      </c>
      <c r="F131" s="16">
        <f>ENERO!F131+FEBRERO!F131+MARZO!F131+ABRIL!F131+MAYO!F131+JUNIO!F131+JULIO!F131+AGOSTO!F131+SEPTIEMBRE!F131+OCTUBRE!F131+NOVIEMBRE!F131+DICIEMBRE!F131</f>
        <v>96378267.25999999</v>
      </c>
      <c r="G131" s="16">
        <f>ENERO!G131+FEBRERO!G131+MARZO!G131+ABRIL!G131+MAYO!G131+JUNIO!G131+JULIO!G131+AGOSTO!G131+SEPTIEMBRE!G131+OCTUBRE!G131+NOVIEMBRE!G131+DICIEMBRE!G131</f>
        <v>9403563.7925603669</v>
      </c>
      <c r="H131" s="16">
        <f>ENERO!H131+FEBRERO!H131+MARZO!H131+ABRIL!H131+MAYO!H131+JUNIO!H131+JULIO!H131+AGOSTO!H131+SEPTIEMBRE!H131+OCTUBRE!H131+NOVIEMBRE!H131+DICIEMBRE!H131</f>
        <v>171788308.49000001</v>
      </c>
      <c r="I131" s="16">
        <f>ENERO!I131+FEBRERO!I131+MARZO!I131+ABRIL!I131+MAYO!I131+JUNIO!I131+JULIO!I131+AGOSTO!I131+SEPTIEMBRE!I131+OCTUBRE!I131+NOVIEMBRE!I131+DICIEMBRE!I131</f>
        <v>222784659.5</v>
      </c>
      <c r="J131" s="16">
        <f>ENERO!J131+FEBRERO!J131+MARZO!J131+ABRIL!J131+MAYO!J131+JUNIO!J131+JULIO!J131+AGOSTO!J131+SEPTIEMBRE!J131+OCTUBRE!J131+NOVIEMBRE!J131+DICIEMBRE!J131</f>
        <v>411925302.67000026</v>
      </c>
      <c r="K131" s="16">
        <f>ENERO!K131+FEBRERO!K131+MARZO!K131+ABRIL!K131+MAYO!K131+JUNIO!K131+JULIO!K131+AGOSTO!K131+SEPTIEMBRE!K131+OCTUBRE!K131+NOVIEMBRE!K131+DICIEMBRE!K131</f>
        <v>0</v>
      </c>
      <c r="L131" s="16">
        <f>ENERO!L131+FEBRERO!L131+MARZO!L131+ABRIL!L131+MAYO!L131+JUNIO!L131+JULIO!L131+AGOSTO!L131+SEPTIEMBRE!L131+OCTUBRE!L131+NOVIEMBRE!L131+DICIEMBRE!L131</f>
        <v>0</v>
      </c>
      <c r="M131" s="16">
        <f>ENERO!M131+FEBRERO!M131+MARZO!M131+ABRIL!M131+MAYO!M131+JUNIO!M131+JULIO!M131+AGOSTO!M131+SEPTIEMBRE!M131+OCTUBRE!M131+NOVIEMBRE!M131+DICIEMBRE!M131</f>
        <v>739622.35000000009</v>
      </c>
      <c r="N131" s="18">
        <f t="shared" si="3"/>
        <v>4251001349.6825604</v>
      </c>
      <c r="O131" s="4"/>
    </row>
    <row r="132" spans="1:15" ht="18" customHeight="1" x14ac:dyDescent="0.2">
      <c r="A132" s="17" t="s">
        <v>127</v>
      </c>
      <c r="B132" s="16">
        <f>ENERO!B132+FEBRERO!B132+MARZO!B132+ABRIL!B132+MAYO!B132+JUNIO!B132+JULIO!B132+AGOSTO!B132+SEPTIEMBRE!B132+OCTUBRE!B132+NOVIEMBRE!B132+DICIEMBRE!B132</f>
        <v>143741053.40000001</v>
      </c>
      <c r="C132" s="16">
        <f>ENERO!C132+FEBRERO!C132+MARZO!C132+ABRIL!C132+MAYO!C132+JUNIO!C132+JULIO!C132+AGOSTO!C132+SEPTIEMBRE!C132+OCTUBRE!C132+NOVIEMBRE!C132+DICIEMBRE!C132</f>
        <v>0</v>
      </c>
      <c r="D132" s="16">
        <f>ENERO!D132+FEBRERO!D132+MARZO!D132+ABRIL!D132+MAYO!D132+JUNIO!D132+JULIO!D132+AGOSTO!D132+SEPTIEMBRE!D132+OCTUBRE!D132+NOVIEMBRE!D132+DICIEMBRE!D132</f>
        <v>6851120.5544534819</v>
      </c>
      <c r="E132" s="16">
        <f>ENERO!E132+FEBRERO!E132+MARZO!E132+ABRIL!E132+MAYO!E132+JUNIO!E132+JULIO!E132+AGOSTO!E132+SEPTIEMBRE!E132+OCTUBRE!E132+NOVIEMBRE!E132+DICIEMBRE!E132</f>
        <v>83526.48</v>
      </c>
      <c r="F132" s="16">
        <f>ENERO!F132+FEBRERO!F132+MARZO!F132+ABRIL!F132+MAYO!F132+JUNIO!F132+JULIO!F132+AGOSTO!F132+SEPTIEMBRE!F132+OCTUBRE!F132+NOVIEMBRE!F132+DICIEMBRE!F132</f>
        <v>412163.89</v>
      </c>
      <c r="G132" s="16">
        <f>ENERO!G132+FEBRERO!G132+MARZO!G132+ABRIL!G132+MAYO!G132+JUNIO!G132+JULIO!G132+AGOSTO!G132+SEPTIEMBRE!G132+OCTUBRE!G132+NOVIEMBRE!G132+DICIEMBRE!G132</f>
        <v>149586.12</v>
      </c>
      <c r="H132" s="16">
        <f>ENERO!H132+FEBRERO!H132+MARZO!H132+ABRIL!H132+MAYO!H132+JUNIO!H132+JULIO!H132+AGOSTO!H132+SEPTIEMBRE!H132+OCTUBRE!H132+NOVIEMBRE!H132+DICIEMBRE!H132</f>
        <v>7631715.3499999996</v>
      </c>
      <c r="I132" s="16">
        <f>ENERO!I132+FEBRERO!I132+MARZO!I132+ABRIL!I132+MAYO!I132+JUNIO!I132+JULIO!I132+AGOSTO!I132+SEPTIEMBRE!I132+OCTUBRE!I132+NOVIEMBRE!I132+DICIEMBRE!I132</f>
        <v>952743.87999999989</v>
      </c>
      <c r="J132" s="16">
        <f>ENERO!J132+FEBRERO!J132+MARZO!J132+ABRIL!J132+MAYO!J132+JUNIO!J132+JULIO!J132+AGOSTO!J132+SEPTIEMBRE!J132+OCTUBRE!J132+NOVIEMBRE!J132+DICIEMBRE!J132</f>
        <v>14821416.359999999</v>
      </c>
      <c r="K132" s="16">
        <f>ENERO!K132+FEBRERO!K132+MARZO!K132+ABRIL!K132+MAYO!K132+JUNIO!K132+JULIO!K132+AGOSTO!K132+SEPTIEMBRE!K132+OCTUBRE!K132+NOVIEMBRE!K132+DICIEMBRE!K132</f>
        <v>0</v>
      </c>
      <c r="L132" s="16">
        <f>ENERO!L132+FEBRERO!L132+MARZO!L132+ABRIL!L132+MAYO!L132+JUNIO!L132+JULIO!L132+AGOSTO!L132+SEPTIEMBRE!L132+OCTUBRE!L132+NOVIEMBRE!L132+DICIEMBRE!L132</f>
        <v>0</v>
      </c>
      <c r="M132" s="16">
        <f>ENERO!M132+FEBRERO!M132+MARZO!M132+ABRIL!M132+MAYO!M132+JUNIO!M132+JULIO!M132+AGOSTO!M132+SEPTIEMBRE!M132+OCTUBRE!M132+NOVIEMBRE!M132+DICIEMBRE!M132</f>
        <v>3162.6200000000003</v>
      </c>
      <c r="N132" s="18">
        <f t="shared" si="3"/>
        <v>174646488.65445346</v>
      </c>
      <c r="O132" s="4"/>
    </row>
    <row r="133" spans="1:15" ht="18" customHeight="1" x14ac:dyDescent="0.2">
      <c r="A133" s="17" t="s">
        <v>128</v>
      </c>
      <c r="B133" s="16">
        <f>ENERO!B133+FEBRERO!B133+MARZO!B133+ABRIL!B133+MAYO!B133+JUNIO!B133+JULIO!B133+AGOSTO!B133+SEPTIEMBRE!B133+OCTUBRE!B133+NOVIEMBRE!B133+DICIEMBRE!B133</f>
        <v>803820008.41000009</v>
      </c>
      <c r="C133" s="16">
        <f>ENERO!C133+FEBRERO!C133+MARZO!C133+ABRIL!C133+MAYO!C133+JUNIO!C133+JULIO!C133+AGOSTO!C133+SEPTIEMBRE!C133+OCTUBRE!C133+NOVIEMBRE!C133+DICIEMBRE!C133</f>
        <v>0</v>
      </c>
      <c r="D133" s="16">
        <f>ENERO!D133+FEBRERO!D133+MARZO!D133+ABRIL!D133+MAYO!D133+JUNIO!D133+JULIO!D133+AGOSTO!D133+SEPTIEMBRE!D133+OCTUBRE!D133+NOVIEMBRE!D133+DICIEMBRE!D133</f>
        <v>42745055.471094348</v>
      </c>
      <c r="E133" s="16">
        <f>ENERO!E133+FEBRERO!E133+MARZO!E133+ABRIL!E133+MAYO!E133+JUNIO!E133+JULIO!E133+AGOSTO!E133+SEPTIEMBRE!E133+OCTUBRE!E133+NOVIEMBRE!E133+DICIEMBRE!E133</f>
        <v>467059.75</v>
      </c>
      <c r="F133" s="16">
        <f>ENERO!F133+FEBRERO!F133+MARZO!F133+ABRIL!F133+MAYO!F133+JUNIO!F133+JULIO!F133+AGOSTO!F133+SEPTIEMBRE!F133+OCTUBRE!F133+NOVIEMBRE!F133+DICIEMBRE!F133</f>
        <v>1490958.22</v>
      </c>
      <c r="G133" s="16">
        <f>ENERO!G133+FEBRERO!G133+MARZO!G133+ABRIL!G133+MAYO!G133+JUNIO!G133+JULIO!G133+AGOSTO!G133+SEPTIEMBRE!G133+OCTUBRE!G133+NOVIEMBRE!G133+DICIEMBRE!G133</f>
        <v>1101497.73</v>
      </c>
      <c r="H133" s="16">
        <f>ENERO!H133+FEBRERO!H133+MARZO!H133+ABRIL!H133+MAYO!H133+JUNIO!H133+JULIO!H133+AGOSTO!H133+SEPTIEMBRE!H133+OCTUBRE!H133+NOVIEMBRE!H133+DICIEMBRE!H133</f>
        <v>42677615.82</v>
      </c>
      <c r="I133" s="16">
        <f>ENERO!I133+FEBRERO!I133+MARZO!I133+ABRIL!I133+MAYO!I133+JUNIO!I133+JULIO!I133+AGOSTO!I133+SEPTIEMBRE!I133+OCTUBRE!I133+NOVIEMBRE!I133+DICIEMBRE!I133</f>
        <v>3446447.45</v>
      </c>
      <c r="J133" s="16">
        <f>ENERO!J133+FEBRERO!J133+MARZO!J133+ABRIL!J133+MAYO!J133+JUNIO!J133+JULIO!J133+AGOSTO!J133+SEPTIEMBRE!J133+OCTUBRE!J133+NOVIEMBRE!J133+DICIEMBRE!J133</f>
        <v>53866440.419999994</v>
      </c>
      <c r="K133" s="16">
        <f>ENERO!K133+FEBRERO!K133+MARZO!K133+ABRIL!K133+MAYO!K133+JUNIO!K133+JULIO!K133+AGOSTO!K133+SEPTIEMBRE!K133+OCTUBRE!K133+NOVIEMBRE!K133+DICIEMBRE!K133</f>
        <v>0</v>
      </c>
      <c r="L133" s="16">
        <f>ENERO!L133+FEBRERO!L133+MARZO!L133+ABRIL!L133+MAYO!L133+JUNIO!L133+JULIO!L133+AGOSTO!L133+SEPTIEMBRE!L133+OCTUBRE!L133+NOVIEMBRE!L133+DICIEMBRE!L133</f>
        <v>0</v>
      </c>
      <c r="M133" s="16">
        <f>ENERO!M133+FEBRERO!M133+MARZO!M133+ABRIL!M133+MAYO!M133+JUNIO!M133+JULIO!M133+AGOSTO!M133+SEPTIEMBRE!M133+OCTUBRE!M133+NOVIEMBRE!M133+DICIEMBRE!M133</f>
        <v>11441.490000000003</v>
      </c>
      <c r="N133" s="18">
        <f t="shared" si="3"/>
        <v>949626524.76109457</v>
      </c>
      <c r="O133" s="4"/>
    </row>
    <row r="134" spans="1:15" ht="18" customHeight="1" x14ac:dyDescent="0.2">
      <c r="A134" s="17" t="s">
        <v>129</v>
      </c>
      <c r="B134" s="16">
        <f>ENERO!B134+FEBRERO!B134+MARZO!B134+ABRIL!B134+MAYO!B134+JUNIO!B134+JULIO!B134+AGOSTO!B134+SEPTIEMBRE!B134+OCTUBRE!B134+NOVIEMBRE!B134+DICIEMBRE!B134</f>
        <v>1575688364.0599999</v>
      </c>
      <c r="C134" s="16">
        <f>ENERO!C134+FEBRERO!C134+MARZO!C134+ABRIL!C134+MAYO!C134+JUNIO!C134+JULIO!C134+AGOSTO!C134+SEPTIEMBRE!C134+OCTUBRE!C134+NOVIEMBRE!C134+DICIEMBRE!C134</f>
        <v>0</v>
      </c>
      <c r="D134" s="16">
        <f>ENERO!D134+FEBRERO!D134+MARZO!D134+ABRIL!D134+MAYO!D134+JUNIO!D134+JULIO!D134+AGOSTO!D134+SEPTIEMBRE!D134+OCTUBRE!D134+NOVIEMBRE!D134+DICIEMBRE!D134</f>
        <v>132616634.81765391</v>
      </c>
      <c r="E134" s="16">
        <f>ENERO!E134+FEBRERO!E134+MARZO!E134+ABRIL!E134+MAYO!E134+JUNIO!E134+JULIO!E134+AGOSTO!E134+SEPTIEMBRE!E134+OCTUBRE!E134+NOVIEMBRE!E134+DICIEMBRE!E134</f>
        <v>926052.7</v>
      </c>
      <c r="F134" s="16">
        <f>ENERO!F134+FEBRERO!F134+MARZO!F134+ABRIL!F134+MAYO!F134+JUNIO!F134+JULIO!F134+AGOSTO!F134+SEPTIEMBRE!F134+OCTUBRE!F134+NOVIEMBRE!F134+DICIEMBRE!F134</f>
        <v>6956610.580000001</v>
      </c>
      <c r="G134" s="16">
        <f>ENERO!G134+FEBRERO!G134+MARZO!G134+ABRIL!G134+MAYO!G134+JUNIO!G134+JULIO!G134+AGOSTO!G134+SEPTIEMBRE!G134+OCTUBRE!G134+NOVIEMBRE!G134+DICIEMBRE!G134</f>
        <v>3739652.8000000003</v>
      </c>
      <c r="H134" s="16">
        <f>ENERO!H134+FEBRERO!H134+MARZO!H134+ABRIL!H134+MAYO!H134+JUNIO!H134+JULIO!H134+AGOSTO!H134+SEPTIEMBRE!H134+OCTUBRE!H134+NOVIEMBRE!H134+DICIEMBRE!H134</f>
        <v>83658806.570000008</v>
      </c>
      <c r="I134" s="16">
        <f>ENERO!I134+FEBRERO!I134+MARZO!I134+ABRIL!I134+MAYO!I134+JUNIO!I134+JULIO!I134+AGOSTO!I134+SEPTIEMBRE!I134+OCTUBRE!I134+NOVIEMBRE!I134+DICIEMBRE!I134</f>
        <v>16080659.869999999</v>
      </c>
      <c r="J134" s="16">
        <f>ENERO!J134+FEBRERO!J134+MARZO!J134+ABRIL!J134+MAYO!J134+JUNIO!J134+JULIO!J134+AGOSTO!J134+SEPTIEMBRE!J134+OCTUBRE!J134+NOVIEMBRE!J134+DICIEMBRE!J134</f>
        <v>124158507.56000002</v>
      </c>
      <c r="K134" s="16">
        <f>ENERO!K134+FEBRERO!K134+MARZO!K134+ABRIL!K134+MAYO!K134+JUNIO!K134+JULIO!K134+AGOSTO!K134+SEPTIEMBRE!K134+OCTUBRE!K134+NOVIEMBRE!K134+DICIEMBRE!K134</f>
        <v>0</v>
      </c>
      <c r="L134" s="16">
        <f>ENERO!L134+FEBRERO!L134+MARZO!L134+ABRIL!L134+MAYO!L134+JUNIO!L134+JULIO!L134+AGOSTO!L134+SEPTIEMBRE!L134+OCTUBRE!L134+NOVIEMBRE!L134+DICIEMBRE!L134</f>
        <v>0</v>
      </c>
      <c r="M134" s="16">
        <f>ENERO!M134+FEBRERO!M134+MARZO!M134+ABRIL!M134+MAYO!M134+JUNIO!M134+JULIO!M134+AGOSTO!M134+SEPTIEMBRE!M134+OCTUBRE!M134+NOVIEMBRE!M134+DICIEMBRE!M134</f>
        <v>53385.77</v>
      </c>
      <c r="N134" s="18">
        <f t="shared" si="3"/>
        <v>1943878674.7276535</v>
      </c>
      <c r="O134" s="4"/>
    </row>
    <row r="135" spans="1:15" ht="18" customHeight="1" x14ac:dyDescent="0.2">
      <c r="A135" s="17" t="s">
        <v>130</v>
      </c>
      <c r="B135" s="16">
        <f>ENERO!B135+FEBRERO!B135+MARZO!B135+ABRIL!B135+MAYO!B135+JUNIO!B135+JULIO!B135+AGOSTO!B135+SEPTIEMBRE!B135+OCTUBRE!B135+NOVIEMBRE!B135+DICIEMBRE!B135</f>
        <v>1320240684.9200001</v>
      </c>
      <c r="C135" s="16">
        <f>ENERO!C135+FEBRERO!C135+MARZO!C135+ABRIL!C135+MAYO!C135+JUNIO!C135+JULIO!C135+AGOSTO!C135+SEPTIEMBRE!C135+OCTUBRE!C135+NOVIEMBRE!C135+DICIEMBRE!C135</f>
        <v>0</v>
      </c>
      <c r="D135" s="16">
        <f>ENERO!D135+FEBRERO!D135+MARZO!D135+ABRIL!D135+MAYO!D135+JUNIO!D135+JULIO!D135+AGOSTO!D135+SEPTIEMBRE!D135+OCTUBRE!D135+NOVIEMBRE!D135+DICIEMBRE!D135</f>
        <v>173821752.65265143</v>
      </c>
      <c r="E135" s="16">
        <f>ENERO!E135+FEBRERO!E135+MARZO!E135+ABRIL!E135+MAYO!E135+JUNIO!E135+JULIO!E135+AGOSTO!E135+SEPTIEMBRE!E135+OCTUBRE!E135+NOVIEMBRE!E135+DICIEMBRE!E135</f>
        <v>1074240</v>
      </c>
      <c r="F135" s="16">
        <f>ENERO!F135+FEBRERO!F135+MARZO!F135+ABRIL!F135+MAYO!F135+JUNIO!F135+JULIO!F135+AGOSTO!F135+SEPTIEMBRE!F135+OCTUBRE!F135+NOVIEMBRE!F135+DICIEMBRE!F135</f>
        <v>10472548.26</v>
      </c>
      <c r="G135" s="16">
        <f>ENERO!G135+FEBRERO!G135+MARZO!G135+ABRIL!G135+MAYO!G135+JUNIO!G135+JULIO!G135+AGOSTO!G135+SEPTIEMBRE!G135+OCTUBRE!G135+NOVIEMBRE!G135+DICIEMBRE!G135</f>
        <v>4977137.9200000009</v>
      </c>
      <c r="H135" s="16">
        <f>ENERO!H135+FEBRERO!H135+MARZO!H135+ABRIL!H135+MAYO!H135+JUNIO!H135+JULIO!H135+AGOSTO!H135+SEPTIEMBRE!H135+OCTUBRE!H135+NOVIEMBRE!H135+DICIEMBRE!H135</f>
        <v>70096195.810000002</v>
      </c>
      <c r="I135" s="16">
        <f>ENERO!I135+FEBRERO!I135+MARZO!I135+ABRIL!I135+MAYO!I135+JUNIO!I135+JULIO!I135+AGOSTO!I135+SEPTIEMBRE!I135+OCTUBRE!I135+NOVIEMBRE!I135+DICIEMBRE!I135</f>
        <v>24207979.410000004</v>
      </c>
      <c r="J135" s="16">
        <f>ENERO!J135+FEBRERO!J135+MARZO!J135+ABRIL!J135+MAYO!J135+JUNIO!J135+JULIO!J135+AGOSTO!J135+SEPTIEMBRE!J135+OCTUBRE!J135+NOVIEMBRE!J135+DICIEMBRE!J135</f>
        <v>126699849.84999996</v>
      </c>
      <c r="K135" s="16">
        <f>ENERO!K135+FEBRERO!K135+MARZO!K135+ABRIL!K135+MAYO!K135+JUNIO!K135+JULIO!K135+AGOSTO!K135+SEPTIEMBRE!K135+OCTUBRE!K135+NOVIEMBRE!K135+DICIEMBRE!K135</f>
        <v>0</v>
      </c>
      <c r="L135" s="16">
        <f>ENERO!L135+FEBRERO!L135+MARZO!L135+ABRIL!L135+MAYO!L135+JUNIO!L135+JULIO!L135+AGOSTO!L135+SEPTIEMBRE!L135+OCTUBRE!L135+NOVIEMBRE!L135+DICIEMBRE!L135</f>
        <v>0</v>
      </c>
      <c r="M135" s="16">
        <f>ENERO!M135+FEBRERO!M135+MARZO!M135+ABRIL!M135+MAYO!M135+JUNIO!M135+JULIO!M135+AGOSTO!M135+SEPTIEMBRE!M135+OCTUBRE!M135+NOVIEMBRE!M135+DICIEMBRE!M135</f>
        <v>80367.650000000023</v>
      </c>
      <c r="N135" s="18">
        <f t="shared" si="3"/>
        <v>1731670756.4726515</v>
      </c>
      <c r="O135" s="4"/>
    </row>
    <row r="136" spans="1:15" ht="18" customHeight="1" x14ac:dyDescent="0.2">
      <c r="A136" s="17" t="s">
        <v>131</v>
      </c>
      <c r="B136" s="16">
        <f>ENERO!B136+FEBRERO!B136+MARZO!B136+ABRIL!B136+MAYO!B136+JUNIO!B136+JULIO!B136+AGOSTO!B136+SEPTIEMBRE!B136+OCTUBRE!B136+NOVIEMBRE!B136+DICIEMBRE!B136</f>
        <v>2246880037.8900003</v>
      </c>
      <c r="C136" s="16">
        <f>ENERO!C136+FEBRERO!C136+MARZO!C136+ABRIL!C136+MAYO!C136+JUNIO!C136+JULIO!C136+AGOSTO!C136+SEPTIEMBRE!C136+OCTUBRE!C136+NOVIEMBRE!C136+DICIEMBRE!C136</f>
        <v>0</v>
      </c>
      <c r="D136" s="16">
        <f>ENERO!D136+FEBRERO!D136+MARZO!D136+ABRIL!D136+MAYO!D136+JUNIO!D136+JULIO!D136+AGOSTO!D136+SEPTIEMBRE!D136+OCTUBRE!D136+NOVIEMBRE!D136+DICIEMBRE!D136</f>
        <v>36911670.859999992</v>
      </c>
      <c r="E136" s="16">
        <f>ENERO!E136+FEBRERO!E136+MARZO!E136+ABRIL!E136+MAYO!E136+JUNIO!E136+JULIO!E136+AGOSTO!E136+SEPTIEMBRE!E136+OCTUBRE!E136+NOVIEMBRE!E136+DICIEMBRE!E136</f>
        <v>1903158.94</v>
      </c>
      <c r="F136" s="16">
        <f>ENERO!F136+FEBRERO!F136+MARZO!F136+ABRIL!F136+MAYO!F136+JUNIO!F136+JULIO!F136+AGOSTO!F136+SEPTIEMBRE!F136+OCTUBRE!F136+NOVIEMBRE!F136+DICIEMBRE!F136</f>
        <v>62308436.859999999</v>
      </c>
      <c r="G136" s="16">
        <f>ENERO!G136+FEBRERO!G136+MARZO!G136+ABRIL!G136+MAYO!G136+JUNIO!G136+JULIO!G136+AGOSTO!G136+SEPTIEMBRE!G136+OCTUBRE!G136+NOVIEMBRE!G136+DICIEMBRE!G136</f>
        <v>34677318.840162754</v>
      </c>
      <c r="H136" s="16">
        <f>ENERO!H136+FEBRERO!H136+MARZO!H136+ABRIL!H136+MAYO!H136+JUNIO!H136+JULIO!H136+AGOSTO!H136+SEPTIEMBRE!H136+OCTUBRE!H136+NOVIEMBRE!H136+DICIEMBRE!H136</f>
        <v>119294720.16</v>
      </c>
      <c r="I136" s="16">
        <f>ENERO!I136+FEBRERO!I136+MARZO!I136+ABRIL!I136+MAYO!I136+JUNIO!I136+JULIO!I136+AGOSTO!I136+SEPTIEMBRE!I136+OCTUBRE!I136+NOVIEMBRE!I136+DICIEMBRE!I136</f>
        <v>144030021.38999999</v>
      </c>
      <c r="J136" s="16">
        <f>ENERO!J136+FEBRERO!J136+MARZO!J136+ABRIL!J136+MAYO!J136+JUNIO!J136+JULIO!J136+AGOSTO!J136+SEPTIEMBRE!J136+OCTUBRE!J136+NOVIEMBRE!J136+DICIEMBRE!J136</f>
        <v>290993232.80000007</v>
      </c>
      <c r="K136" s="16">
        <f>ENERO!K136+FEBRERO!K136+MARZO!K136+ABRIL!K136+MAYO!K136+JUNIO!K136+JULIO!K136+AGOSTO!K136+SEPTIEMBRE!K136+OCTUBRE!K136+NOVIEMBRE!K136+DICIEMBRE!K136</f>
        <v>0</v>
      </c>
      <c r="L136" s="16">
        <f>ENERO!L136+FEBRERO!L136+MARZO!L136+ABRIL!L136+MAYO!L136+JUNIO!L136+JULIO!L136+AGOSTO!L136+SEPTIEMBRE!L136+OCTUBRE!L136+NOVIEMBRE!L136+DICIEMBRE!L136</f>
        <v>0</v>
      </c>
      <c r="M136" s="16">
        <f>ENERO!M136+FEBRERO!M136+MARZO!M136+ABRIL!M136+MAYO!M136+JUNIO!M136+JULIO!M136+AGOSTO!M136+SEPTIEMBRE!M136+OCTUBRE!M136+NOVIEMBRE!M136+DICIEMBRE!M136</f>
        <v>478164.83</v>
      </c>
      <c r="N136" s="18">
        <f t="shared" ref="N136:N142" si="4">SUM(B136:M136)</f>
        <v>2937476762.5701632</v>
      </c>
      <c r="O136" s="4"/>
    </row>
    <row r="137" spans="1:15" ht="18" customHeight="1" x14ac:dyDescent="0.2">
      <c r="A137" s="17" t="s">
        <v>132</v>
      </c>
      <c r="B137" s="16">
        <f>ENERO!B137+FEBRERO!B137+MARZO!B137+ABRIL!B137+MAYO!B137+JUNIO!B137+JULIO!B137+AGOSTO!B137+SEPTIEMBRE!B137+OCTUBRE!B137+NOVIEMBRE!B137+DICIEMBRE!B137</f>
        <v>380522675.56999999</v>
      </c>
      <c r="C137" s="16">
        <f>ENERO!C137+FEBRERO!C137+MARZO!C137+ABRIL!C137+MAYO!C137+JUNIO!C137+JULIO!C137+AGOSTO!C137+SEPTIEMBRE!C137+OCTUBRE!C137+NOVIEMBRE!C137+DICIEMBRE!C137</f>
        <v>0</v>
      </c>
      <c r="D137" s="16">
        <f>ENERO!D137+FEBRERO!D137+MARZO!D137+ABRIL!D137+MAYO!D137+JUNIO!D137+JULIO!D137+AGOSTO!D137+SEPTIEMBRE!D137+OCTUBRE!D137+NOVIEMBRE!D137+DICIEMBRE!D137</f>
        <v>23356817.67370937</v>
      </c>
      <c r="E137" s="16">
        <f>ENERO!E137+FEBRERO!E137+MARZO!E137+ABRIL!E137+MAYO!E137+JUNIO!E137+JULIO!E137+AGOSTO!E137+SEPTIEMBRE!E137+OCTUBRE!E137+NOVIEMBRE!E137+DICIEMBRE!E137</f>
        <v>222704.46000000005</v>
      </c>
      <c r="F137" s="16">
        <f>ENERO!F137+FEBRERO!F137+MARZO!F137+ABRIL!F137+MAYO!F137+JUNIO!F137+JULIO!F137+AGOSTO!F137+SEPTIEMBRE!F137+OCTUBRE!F137+NOVIEMBRE!F137+DICIEMBRE!F137</f>
        <v>745479.09</v>
      </c>
      <c r="G137" s="16">
        <f>ENERO!G137+FEBRERO!G137+MARZO!G137+ABRIL!G137+MAYO!G137+JUNIO!G137+JULIO!G137+AGOSTO!G137+SEPTIEMBRE!G137+OCTUBRE!G137+NOVIEMBRE!G137+DICIEMBRE!G137</f>
        <v>761529.27999999991</v>
      </c>
      <c r="H137" s="16">
        <f>ENERO!H137+FEBRERO!H137+MARZO!H137+ABRIL!H137+MAYO!H137+JUNIO!H137+JULIO!H137+AGOSTO!H137+SEPTIEMBRE!H137+OCTUBRE!H137+NOVIEMBRE!H137+DICIEMBRE!H137</f>
        <v>20203279.859999999</v>
      </c>
      <c r="I137" s="16">
        <f>ENERO!I137+FEBRERO!I137+MARZO!I137+ABRIL!I137+MAYO!I137+JUNIO!I137+JULIO!I137+AGOSTO!I137+SEPTIEMBRE!I137+OCTUBRE!I137+NOVIEMBRE!I137+DICIEMBRE!I137</f>
        <v>1723223.73</v>
      </c>
      <c r="J137" s="16">
        <f>ENERO!J137+FEBRERO!J137+MARZO!J137+ABRIL!J137+MAYO!J137+JUNIO!J137+JULIO!J137+AGOSTO!J137+SEPTIEMBRE!J137+OCTUBRE!J137+NOVIEMBRE!J137+DICIEMBRE!J137</f>
        <v>27844503.84</v>
      </c>
      <c r="K137" s="16">
        <f>ENERO!K137+FEBRERO!K137+MARZO!K137+ABRIL!K137+MAYO!K137+JUNIO!K137+JULIO!K137+AGOSTO!K137+SEPTIEMBRE!K137+OCTUBRE!K137+NOVIEMBRE!K137+DICIEMBRE!K137</f>
        <v>0</v>
      </c>
      <c r="L137" s="16">
        <f>ENERO!L137+FEBRERO!L137+MARZO!L137+ABRIL!L137+MAYO!L137+JUNIO!L137+JULIO!L137+AGOSTO!L137+SEPTIEMBRE!L137+OCTUBRE!L137+NOVIEMBRE!L137+DICIEMBRE!L137</f>
        <v>0</v>
      </c>
      <c r="M137" s="16">
        <f>ENERO!M137+FEBRERO!M137+MARZO!M137+ABRIL!M137+MAYO!M137+JUNIO!M137+JULIO!M137+AGOSTO!M137+SEPTIEMBRE!M137+OCTUBRE!M137+NOVIEMBRE!M137+DICIEMBRE!M137</f>
        <v>5720.54</v>
      </c>
      <c r="N137" s="18">
        <f t="shared" si="4"/>
        <v>455385934.04370934</v>
      </c>
      <c r="O137" s="4"/>
    </row>
    <row r="138" spans="1:15" ht="18" customHeight="1" x14ac:dyDescent="0.2">
      <c r="A138" s="17" t="s">
        <v>133</v>
      </c>
      <c r="B138" s="16">
        <f>ENERO!B138+FEBRERO!B138+MARZO!B138+ABRIL!B138+MAYO!B138+JUNIO!B138+JULIO!B138+AGOSTO!B138+SEPTIEMBRE!B138+OCTUBRE!B138+NOVIEMBRE!B138+DICIEMBRE!B138</f>
        <v>814787868.84000003</v>
      </c>
      <c r="C138" s="16">
        <f>ENERO!C138+FEBRERO!C138+MARZO!C138+ABRIL!C138+MAYO!C138+JUNIO!C138+JULIO!C138+AGOSTO!C138+SEPTIEMBRE!C138+OCTUBRE!C138+NOVIEMBRE!C138+DICIEMBRE!C138</f>
        <v>0</v>
      </c>
      <c r="D138" s="16">
        <f>ENERO!D138+FEBRERO!D138+MARZO!D138+ABRIL!D138+MAYO!D138+JUNIO!D138+JULIO!D138+AGOSTO!D138+SEPTIEMBRE!D138+OCTUBRE!D138+NOVIEMBRE!D138+DICIEMBRE!D138</f>
        <v>120775893.76431477</v>
      </c>
      <c r="E138" s="16">
        <f>ENERO!E138+FEBRERO!E138+MARZO!E138+ABRIL!E138+MAYO!E138+JUNIO!E138+JULIO!E138+AGOSTO!E138+SEPTIEMBRE!E138+OCTUBRE!E138+NOVIEMBRE!E138+DICIEMBRE!E138</f>
        <v>489669.55</v>
      </c>
      <c r="F138" s="16">
        <f>ENERO!F138+FEBRERO!F138+MARZO!F138+ABRIL!F138+MAYO!F138+JUNIO!F138+JULIO!F138+AGOSTO!F138+SEPTIEMBRE!F138+OCTUBRE!F138+NOVIEMBRE!F138+DICIEMBRE!F138</f>
        <v>6490686.1100000003</v>
      </c>
      <c r="G138" s="16">
        <f>ENERO!G138+FEBRERO!G138+MARZO!G138+ABRIL!G138+MAYO!G138+JUNIO!G138+JULIO!G138+AGOSTO!G138+SEPTIEMBRE!G138+OCTUBRE!G138+NOVIEMBRE!G138+DICIEMBRE!G138</f>
        <v>3114110.8899999997</v>
      </c>
      <c r="H138" s="16">
        <f>ENERO!H138+FEBRERO!H138+MARZO!H138+ABRIL!H138+MAYO!H138+JUNIO!H138+JULIO!H138+AGOSTO!H138+SEPTIEMBRE!H138+OCTUBRE!H138+NOVIEMBRE!H138+DICIEMBRE!H138</f>
        <v>43259937.899999999</v>
      </c>
      <c r="I138" s="16">
        <f>ENERO!I138+FEBRERO!I138+MARZO!I138+ABRIL!I138+MAYO!I138+JUNIO!I138+JULIO!I138+AGOSTO!I138+SEPTIEMBRE!I138+OCTUBRE!I138+NOVIEMBRE!I138+DICIEMBRE!I138</f>
        <v>15003645.01</v>
      </c>
      <c r="J138" s="16">
        <f>ENERO!J138+FEBRERO!J138+MARZO!J138+ABRIL!J138+MAYO!J138+JUNIO!J138+JULIO!J138+AGOSTO!J138+SEPTIEMBRE!J138+OCTUBRE!J138+NOVIEMBRE!J138+DICIEMBRE!J138</f>
        <v>103637519.65000004</v>
      </c>
      <c r="K138" s="16">
        <f>ENERO!K138+FEBRERO!K138+MARZO!K138+ABRIL!K138+MAYO!K138+JUNIO!K138+JULIO!K138+AGOSTO!K138+SEPTIEMBRE!K138+OCTUBRE!K138+NOVIEMBRE!K138+DICIEMBRE!K138</f>
        <v>0</v>
      </c>
      <c r="L138" s="16">
        <f>ENERO!L138+FEBRERO!L138+MARZO!L138+ABRIL!L138+MAYO!L138+JUNIO!L138+JULIO!L138+AGOSTO!L138+SEPTIEMBRE!L138+OCTUBRE!L138+NOVIEMBRE!L138+DICIEMBRE!L138</f>
        <v>0</v>
      </c>
      <c r="M138" s="16">
        <f>ENERO!M138+FEBRERO!M138+MARZO!M138+ABRIL!M138+MAYO!M138+JUNIO!M138+JULIO!M138+AGOSTO!M138+SEPTIEMBRE!M138+OCTUBRE!M138+NOVIEMBRE!M138+DICIEMBRE!M138</f>
        <v>49810.27</v>
      </c>
      <c r="N138" s="18">
        <f t="shared" si="4"/>
        <v>1107609141.9843147</v>
      </c>
      <c r="O138" s="4"/>
    </row>
    <row r="139" spans="1:15" ht="18" customHeight="1" x14ac:dyDescent="0.2">
      <c r="A139" s="17" t="s">
        <v>134</v>
      </c>
      <c r="B139" s="16">
        <f>ENERO!B139+FEBRERO!B139+MARZO!B139+ABRIL!B139+MAYO!B139+JUNIO!B139+JULIO!B139+AGOSTO!B139+SEPTIEMBRE!B139+OCTUBRE!B139+NOVIEMBRE!B139+DICIEMBRE!B139</f>
        <v>3814601183.6999998</v>
      </c>
      <c r="C139" s="16">
        <f>ENERO!C139+FEBRERO!C139+MARZO!C139+ABRIL!C139+MAYO!C139+JUNIO!C139+JULIO!C139+AGOSTO!C139+SEPTIEMBRE!C139+OCTUBRE!C139+NOVIEMBRE!C139+DICIEMBRE!C139</f>
        <v>0</v>
      </c>
      <c r="D139" s="16">
        <f>ENERO!D139+FEBRERO!D139+MARZO!D139+ABRIL!D139+MAYO!D139+JUNIO!D139+JULIO!D139+AGOSTO!D139+SEPTIEMBRE!D139+OCTUBRE!D139+NOVIEMBRE!D139+DICIEMBRE!D139</f>
        <v>49707477.475000001</v>
      </c>
      <c r="E139" s="16">
        <f>ENERO!E139+FEBRERO!E139+MARZO!E139+ABRIL!E139+MAYO!E139+JUNIO!E139+JULIO!E139+AGOSTO!E139+SEPTIEMBRE!E139+OCTUBRE!E139+NOVIEMBRE!E139+DICIEMBRE!E139</f>
        <v>2364944.5</v>
      </c>
      <c r="F139" s="16">
        <f>ENERO!F139+FEBRERO!F139+MARZO!F139+ABRIL!F139+MAYO!F139+JUNIO!F139+JULIO!F139+AGOSTO!F139+SEPTIEMBRE!F139+OCTUBRE!F139+NOVIEMBRE!F139+DICIEMBRE!F139</f>
        <v>33381695.740000002</v>
      </c>
      <c r="G139" s="16">
        <f>ENERO!G139+FEBRERO!G139+MARZO!G139+ABRIL!G139+MAYO!G139+JUNIO!G139+JULIO!G139+AGOSTO!G139+SEPTIEMBRE!G139+OCTUBRE!G139+NOVIEMBRE!G139+DICIEMBRE!G139</f>
        <v>31943103.17696185</v>
      </c>
      <c r="H139" s="16">
        <f>ENERO!H139+FEBRERO!H139+MARZO!H139+ABRIL!H139+MAYO!H139+JUNIO!H139+JULIO!H139+AGOSTO!H139+SEPTIEMBRE!H139+OCTUBRE!H139+NOVIEMBRE!H139+DICIEMBRE!H139</f>
        <v>202530519.22</v>
      </c>
      <c r="I139" s="16">
        <f>ENERO!I139+FEBRERO!I139+MARZO!I139+ABRIL!I139+MAYO!I139+JUNIO!I139+JULIO!I139+AGOSTO!I139+SEPTIEMBRE!I139+OCTUBRE!I139+NOVIEMBRE!I139+DICIEMBRE!I139</f>
        <v>77163970.090000004</v>
      </c>
      <c r="J139" s="16">
        <f>ENERO!J139+FEBRERO!J139+MARZO!J139+ABRIL!J139+MAYO!J139+JUNIO!J139+JULIO!J139+AGOSTO!J139+SEPTIEMBRE!J139+OCTUBRE!J139+NOVIEMBRE!J139+DICIEMBRE!J139</f>
        <v>187747165.65999997</v>
      </c>
      <c r="K139" s="16">
        <f>ENERO!K139+FEBRERO!K139+MARZO!K139+ABRIL!K139+MAYO!K139+JUNIO!K139+JULIO!K139+AGOSTO!K139+SEPTIEMBRE!K139+OCTUBRE!K139+NOVIEMBRE!K139+DICIEMBRE!K139</f>
        <v>0</v>
      </c>
      <c r="L139" s="16">
        <f>ENERO!L139+FEBRERO!L139+MARZO!L139+ABRIL!L139+MAYO!L139+JUNIO!L139+JULIO!L139+AGOSTO!L139+SEPTIEMBRE!L139+OCTUBRE!L139+NOVIEMBRE!L139+DICIEMBRE!L139</f>
        <v>0</v>
      </c>
      <c r="M139" s="16">
        <f>ENERO!M139+FEBRERO!M139+MARZO!M139+ABRIL!M139+MAYO!M139+JUNIO!M139+JULIO!M139+AGOSTO!M139+SEPTIEMBRE!M139+OCTUBRE!M139+NOVIEMBRE!M139+DICIEMBRE!M139</f>
        <v>256176.33</v>
      </c>
      <c r="N139" s="18">
        <f t="shared" si="4"/>
        <v>4399696235.8919611</v>
      </c>
      <c r="O139" s="4"/>
    </row>
    <row r="140" spans="1:15" ht="18" customHeight="1" x14ac:dyDescent="0.2">
      <c r="A140" s="17" t="s">
        <v>135</v>
      </c>
      <c r="B140" s="16">
        <f>ENERO!B140+FEBRERO!B140+MARZO!B140+ABRIL!B140+MAYO!B140+JUNIO!B140+JULIO!B140+AGOSTO!B140+SEPTIEMBRE!B140+OCTUBRE!B140+NOVIEMBRE!B140+DICIEMBRE!B140</f>
        <v>992591373.25999999</v>
      </c>
      <c r="C140" s="16">
        <f>ENERO!C140+FEBRERO!C140+MARZO!C140+ABRIL!C140+MAYO!C140+JUNIO!C140+JULIO!C140+AGOSTO!C140+SEPTIEMBRE!C140+OCTUBRE!C140+NOVIEMBRE!C140+DICIEMBRE!C140</f>
        <v>0</v>
      </c>
      <c r="D140" s="16">
        <f>ENERO!D140+FEBRERO!D140+MARZO!D140+ABRIL!D140+MAYO!D140+JUNIO!D140+JULIO!D140+AGOSTO!D140+SEPTIEMBRE!D140+OCTUBRE!D140+NOVIEMBRE!D140+DICIEMBRE!D140</f>
        <v>7407231.6999999993</v>
      </c>
      <c r="E140" s="16">
        <f>ENERO!E140+FEBRERO!E140+MARZO!E140+ABRIL!E140+MAYO!E140+JUNIO!E140+JULIO!E140+AGOSTO!E140+SEPTIEMBRE!E140+OCTUBRE!E140+NOVIEMBRE!E140+DICIEMBRE!E140</f>
        <v>593342.15</v>
      </c>
      <c r="F140" s="16">
        <f>ENERO!F140+FEBRERO!F140+MARZO!F140+ABRIL!F140+MAYO!F140+JUNIO!F140+JULIO!F140+AGOSTO!F140+SEPTIEMBRE!F140+OCTUBRE!F140+NOVIEMBRE!F140+DICIEMBRE!F140</f>
        <v>5505076.6900000004</v>
      </c>
      <c r="G140" s="16">
        <f>ENERO!G140+FEBRERO!G140+MARZO!G140+ABRIL!G140+MAYO!G140+JUNIO!G140+JULIO!G140+AGOSTO!G140+SEPTIEMBRE!G140+OCTUBRE!G140+NOVIEMBRE!G140+DICIEMBRE!G140</f>
        <v>2760543.71</v>
      </c>
      <c r="H140" s="16">
        <f>ENERO!H140+FEBRERO!H140+MARZO!H140+ABRIL!H140+MAYO!H140+JUNIO!H140+JULIO!H140+AGOSTO!H140+SEPTIEMBRE!H140+OCTUBRE!H140+NOVIEMBRE!H140+DICIEMBRE!H140</f>
        <v>52700147.789999999</v>
      </c>
      <c r="I140" s="16">
        <f>ENERO!I140+FEBRERO!I140+MARZO!I140+ABRIL!I140+MAYO!I140+JUNIO!I140+JULIO!I140+AGOSTO!I140+SEPTIEMBRE!I140+OCTUBRE!I140+NOVIEMBRE!I140+DICIEMBRE!I140</f>
        <v>12725344.43</v>
      </c>
      <c r="J140" s="16">
        <f>ENERO!J140+FEBRERO!J140+MARZO!J140+ABRIL!J140+MAYO!J140+JUNIO!J140+JULIO!J140+AGOSTO!J140+SEPTIEMBRE!J140+OCTUBRE!J140+NOVIEMBRE!J140+DICIEMBRE!J140</f>
        <v>47377309.839999996</v>
      </c>
      <c r="K140" s="16">
        <f>ENERO!K140+FEBRERO!K140+MARZO!K140+ABRIL!K140+MAYO!K140+JUNIO!K140+JULIO!K140+AGOSTO!K140+SEPTIEMBRE!K140+OCTUBRE!K140+NOVIEMBRE!K140+DICIEMBRE!K140</f>
        <v>0</v>
      </c>
      <c r="L140" s="16">
        <f>ENERO!L140+FEBRERO!L140+MARZO!L140+ABRIL!L140+MAYO!L140+JUNIO!L140+JULIO!L140+AGOSTO!L140+SEPTIEMBRE!L140+OCTUBRE!L140+NOVIEMBRE!L140+DICIEMBRE!L140</f>
        <v>0</v>
      </c>
      <c r="M140" s="16">
        <f>ENERO!M140+FEBRERO!M140+MARZO!M140+ABRIL!M140+MAYO!M140+JUNIO!M140+JULIO!M140+AGOSTO!M140+SEPTIEMBRE!M140+OCTUBRE!M140+NOVIEMBRE!M140+DICIEMBRE!M140</f>
        <v>42246.529999999992</v>
      </c>
      <c r="N140" s="18">
        <f t="shared" si="4"/>
        <v>1121702616.0999999</v>
      </c>
      <c r="O140" s="4"/>
    </row>
    <row r="141" spans="1:15" ht="18" customHeight="1" x14ac:dyDescent="0.2">
      <c r="A141" s="17" t="s">
        <v>136</v>
      </c>
      <c r="B141" s="16">
        <f>ENERO!B141+FEBRERO!B141+MARZO!B141+ABRIL!B141+MAYO!B141+JUNIO!B141+JULIO!B141+AGOSTO!B141+SEPTIEMBRE!B141+OCTUBRE!B141+NOVIEMBRE!B141+DICIEMBRE!B141</f>
        <v>1227862327.8499997</v>
      </c>
      <c r="C141" s="16">
        <f>ENERO!C141+FEBRERO!C141+MARZO!C141+ABRIL!C141+MAYO!C141+JUNIO!C141+JULIO!C141+AGOSTO!C141+SEPTIEMBRE!C141+OCTUBRE!C141+NOVIEMBRE!C141+DICIEMBRE!C141</f>
        <v>0</v>
      </c>
      <c r="D141" s="16">
        <f>ENERO!D141+FEBRERO!D141+MARZO!D141+ABRIL!D141+MAYO!D141+JUNIO!D141+JULIO!D141+AGOSTO!D141+SEPTIEMBRE!D141+OCTUBRE!D141+NOVIEMBRE!D141+DICIEMBRE!D141</f>
        <v>57066342.34274523</v>
      </c>
      <c r="E141" s="16">
        <f>ENERO!E141+FEBRERO!E141+MARZO!E141+ABRIL!E141+MAYO!E141+JUNIO!E141+JULIO!E141+AGOSTO!E141+SEPTIEMBRE!E141+OCTUBRE!E141+NOVIEMBRE!E141+DICIEMBRE!E141</f>
        <v>715070.84</v>
      </c>
      <c r="F141" s="16">
        <f>ENERO!F141+FEBRERO!F141+MARZO!F141+ABRIL!F141+MAYO!F141+JUNIO!F141+JULIO!F141+AGOSTO!F141+SEPTIEMBRE!F141+OCTUBRE!F141+NOVIEMBRE!F141+DICIEMBRE!F141</f>
        <v>7938635.9800000004</v>
      </c>
      <c r="G141" s="16">
        <f>ENERO!G141+FEBRERO!G141+MARZO!G141+ABRIL!G141+MAYO!G141+JUNIO!G141+JULIO!G141+AGOSTO!G141+SEPTIEMBRE!G141+OCTUBRE!G141+NOVIEMBRE!G141+DICIEMBRE!G141</f>
        <v>2692550.01</v>
      </c>
      <c r="H141" s="16">
        <f>ENERO!H141+FEBRERO!H141+MARZO!H141+ABRIL!H141+MAYO!H141+JUNIO!H141+JULIO!H141+AGOSTO!H141+SEPTIEMBRE!H141+OCTUBRE!H141+NOVIEMBRE!H141+DICIEMBRE!H141</f>
        <v>65191505.740000002</v>
      </c>
      <c r="I141" s="16">
        <f>ENERO!I141+FEBRERO!I141+MARZO!I141+ABRIL!I141+MAYO!I141+JUNIO!I141+JULIO!I141+AGOSTO!I141+SEPTIEMBRE!I141+OCTUBRE!I141+NOVIEMBRE!I141+DICIEMBRE!I141</f>
        <v>18350675.699999999</v>
      </c>
      <c r="J141" s="16">
        <f>ENERO!J141+FEBRERO!J141+MARZO!J141+ABRIL!J141+MAYO!J141+JUNIO!J141+JULIO!J141+AGOSTO!J141+SEPTIEMBRE!J141+OCTUBRE!J141+NOVIEMBRE!J141+DICIEMBRE!J141</f>
        <v>129034416.97000006</v>
      </c>
      <c r="K141" s="16">
        <f>ENERO!K141+FEBRERO!K141+MARZO!K141+ABRIL!K141+MAYO!K141+JUNIO!K141+JULIO!K141+AGOSTO!K141+SEPTIEMBRE!K141+OCTUBRE!K141+NOVIEMBRE!K141+DICIEMBRE!K141</f>
        <v>0</v>
      </c>
      <c r="L141" s="16">
        <f>ENERO!L141+FEBRERO!L141+MARZO!L141+ABRIL!L141+MAYO!L141+JUNIO!L141+JULIO!L141+AGOSTO!L141+SEPTIEMBRE!L141+OCTUBRE!L141+NOVIEMBRE!L141+DICIEMBRE!L141</f>
        <v>0</v>
      </c>
      <c r="M141" s="16">
        <f>ENERO!M141+FEBRERO!M141+MARZO!M141+ABRIL!M141+MAYO!M141+JUNIO!M141+JULIO!M141+AGOSTO!M141+SEPTIEMBRE!M141+OCTUBRE!M141+NOVIEMBRE!M141+DICIEMBRE!M141</f>
        <v>60922.049999999996</v>
      </c>
      <c r="N141" s="18">
        <f t="shared" si="4"/>
        <v>1508912447.4827449</v>
      </c>
      <c r="O141" s="4"/>
    </row>
    <row r="142" spans="1:15" ht="18" customHeight="1" x14ac:dyDescent="0.2">
      <c r="A142" s="17" t="s">
        <v>137</v>
      </c>
      <c r="B142" s="16">
        <f>ENERO!B142+FEBRERO!B142+MARZO!B142+ABRIL!B142+MAYO!B142+JUNIO!B142+JULIO!B142+AGOSTO!B142+SEPTIEMBRE!B142+OCTUBRE!B142+NOVIEMBRE!B142+DICIEMBRE!B142</f>
        <v>1163379585.8200002</v>
      </c>
      <c r="C142" s="16">
        <f>ENERO!C142+FEBRERO!C142+MARZO!C142+ABRIL!C142+MAYO!C142+JUNIO!C142+JULIO!C142+AGOSTO!C142+SEPTIEMBRE!C142+OCTUBRE!C142+NOVIEMBRE!C142+DICIEMBRE!C142</f>
        <v>0</v>
      </c>
      <c r="D142" s="16">
        <f>ENERO!D142+FEBRERO!D142+MARZO!D142+ABRIL!D142+MAYO!D142+JUNIO!D142+JULIO!D142+AGOSTO!D142+SEPTIEMBRE!D142+OCTUBRE!D142+NOVIEMBRE!D142+DICIEMBRE!D142</f>
        <v>58158474.198685616</v>
      </c>
      <c r="E142" s="16">
        <f>ENERO!E142+FEBRERO!E142+MARZO!E142+ABRIL!E142+MAYO!E142+JUNIO!E142+JULIO!E142+AGOSTO!E142+SEPTIEMBRE!E142+OCTUBRE!E142+NOVIEMBRE!E142+DICIEMBRE!E142</f>
        <v>953903.14999999991</v>
      </c>
      <c r="F142" s="16">
        <f>ENERO!F142+FEBRERO!F142+MARZO!F142+ABRIL!F142+MAYO!F142+JUNIO!F142+JULIO!F142+AGOSTO!F142+SEPTIEMBRE!F142+OCTUBRE!F142+NOVIEMBRE!F142+DICIEMBRE!F142</f>
        <v>34130758.909999996</v>
      </c>
      <c r="G142" s="16">
        <f>ENERO!G142+FEBRERO!G142+MARZO!G142+ABRIL!G142+MAYO!G142+JUNIO!G142+JULIO!G142+AGOSTO!G142+SEPTIEMBRE!G142+OCTUBRE!G142+NOVIEMBRE!G142+DICIEMBRE!G142</f>
        <v>9940677.0999999996</v>
      </c>
      <c r="H142" s="16">
        <f>ENERO!H142+FEBRERO!H142+MARZO!H142+ABRIL!H142+MAYO!H142+JUNIO!H142+JULIO!H142+AGOSTO!H142+SEPTIEMBRE!H142+OCTUBRE!H142+NOVIEMBRE!H142+DICIEMBRE!H142</f>
        <v>61767891.400000006</v>
      </c>
      <c r="I142" s="16">
        <f>ENERO!I142+FEBRERO!I142+MARZO!I142+ABRIL!I142+MAYO!I142+JUNIO!I142+JULIO!I142+AGOSTO!I142+SEPTIEMBRE!I142+OCTUBRE!I142+NOVIEMBRE!I142+DICIEMBRE!I142</f>
        <v>78895478.510000005</v>
      </c>
      <c r="J142" s="16">
        <f>ENERO!J142+FEBRERO!J142+MARZO!J142+ABRIL!J142+MAYO!J142+JUNIO!J142+JULIO!J142+AGOSTO!J142+SEPTIEMBRE!J142+OCTUBRE!J142+NOVIEMBRE!J142+DICIEMBRE!J142</f>
        <v>173565159.86999997</v>
      </c>
      <c r="K142" s="16">
        <f>ENERO!K142+FEBRERO!K142+MARZO!K142+ABRIL!K142+MAYO!K142+JUNIO!K142+JULIO!K142+AGOSTO!K142+SEPTIEMBRE!K142+OCTUBRE!K142+NOVIEMBRE!K142+DICIEMBRE!K142</f>
        <v>0</v>
      </c>
      <c r="L142" s="16">
        <f>ENERO!L142+FEBRERO!L142+MARZO!L142+ABRIL!L142+MAYO!L142+JUNIO!L142+JULIO!L142+AGOSTO!L142+SEPTIEMBRE!L142+OCTUBRE!L142+NOVIEMBRE!L142+DICIEMBRE!L142</f>
        <v>0</v>
      </c>
      <c r="M142" s="16">
        <f>ENERO!M142+FEBRERO!M142+MARZO!M142+ABRIL!M142+MAYO!M142+JUNIO!M142+JULIO!M142+AGOSTO!M142+SEPTIEMBRE!M142+OCTUBRE!M142+NOVIEMBRE!M142+DICIEMBRE!M142</f>
        <v>261924.7</v>
      </c>
      <c r="N142" s="18">
        <f t="shared" si="4"/>
        <v>1581053853.6586859</v>
      </c>
      <c r="O142" s="4"/>
    </row>
    <row r="143" spans="1:15" ht="27.75" customHeight="1" x14ac:dyDescent="0.2">
      <c r="A143" s="24" t="s">
        <v>138</v>
      </c>
      <c r="B143" s="25">
        <f>SUM(B8:B142)</f>
        <v>206940763827.48001</v>
      </c>
      <c r="C143" s="25">
        <f>SUM(C8:C142)</f>
        <v>0</v>
      </c>
      <c r="D143" s="25">
        <f t="shared" ref="D143:J143" si="5">SUM(D8:D142)</f>
        <v>8873071184.0669308</v>
      </c>
      <c r="E143" s="25">
        <f t="shared" si="5"/>
        <v>147480188.86000001</v>
      </c>
      <c r="F143" s="25">
        <f t="shared" si="5"/>
        <v>3584034335.0600014</v>
      </c>
      <c r="G143" s="25">
        <f t="shared" si="5"/>
        <v>1359873750.5199997</v>
      </c>
      <c r="H143" s="25">
        <f t="shared" si="5"/>
        <v>10987208974.229998</v>
      </c>
      <c r="I143" s="25">
        <f t="shared" si="5"/>
        <v>8284729444.250001</v>
      </c>
      <c r="J143" s="25">
        <f t="shared" si="5"/>
        <v>21449538400.41</v>
      </c>
      <c r="K143" s="25">
        <f>SUM(K8:K142)</f>
        <v>0</v>
      </c>
      <c r="L143" s="25">
        <f>SUM(L8:L142)</f>
        <v>0</v>
      </c>
      <c r="M143" s="25">
        <f>SUM(M8:M142)</f>
        <v>27504420.299999997</v>
      </c>
      <c r="N143" s="25">
        <f>SUM(N8:N142)</f>
        <v>261654204525.17706</v>
      </c>
      <c r="O143" s="4"/>
    </row>
    <row r="144" spans="1:15" x14ac:dyDescent="0.2"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5" x14ac:dyDescent="0.2">
      <c r="B145" s="7"/>
      <c r="C145" s="7"/>
      <c r="D145" s="7"/>
      <c r="E145" s="7"/>
      <c r="F145" s="7"/>
      <c r="G145" s="7"/>
      <c r="H145" s="7"/>
      <c r="I145" s="7"/>
      <c r="K145" s="7"/>
      <c r="L145" s="7"/>
      <c r="M145" s="7"/>
    </row>
    <row r="146" spans="1:15" x14ac:dyDescent="0.2">
      <c r="B146" s="7"/>
      <c r="C146" s="7"/>
      <c r="D146" s="7"/>
      <c r="E146" s="7"/>
      <c r="F146" s="7"/>
      <c r="G146" s="7"/>
      <c r="H146" s="7"/>
      <c r="I146" s="7"/>
      <c r="J146" s="7"/>
    </row>
    <row r="147" spans="1:15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5" x14ac:dyDescent="0.2">
      <c r="A149" s="14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5" x14ac:dyDescent="0.2"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5" x14ac:dyDescent="0.2"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5" x14ac:dyDescent="0.2"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5" x14ac:dyDescent="0.2"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5" x14ac:dyDescent="0.2"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5" x14ac:dyDescent="0.2"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5" x14ac:dyDescent="0.2"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5" x14ac:dyDescent="0.2"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5" x14ac:dyDescent="0.2"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5" x14ac:dyDescent="0.2"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5" x14ac:dyDescent="0.2"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x14ac:dyDescent="0.2">
      <c r="A161" s="1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x14ac:dyDescent="0.2">
      <c r="A162" s="1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x14ac:dyDescent="0.2">
      <c r="A163" s="1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x14ac:dyDescent="0.2">
      <c r="A164" s="1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x14ac:dyDescent="0.2">
      <c r="A165" s="1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x14ac:dyDescent="0.2">
      <c r="A166" s="1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x14ac:dyDescent="0.2">
      <c r="A167" s="1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x14ac:dyDescent="0.2">
      <c r="A168" s="1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x14ac:dyDescent="0.2">
      <c r="A169" s="1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x14ac:dyDescent="0.2">
      <c r="A170" s="1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x14ac:dyDescent="0.2">
      <c r="A171" s="1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2">
      <c r="A172" s="1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x14ac:dyDescent="0.2">
      <c r="A173" s="1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x14ac:dyDescent="0.2">
      <c r="A174" s="1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x14ac:dyDescent="0.2">
      <c r="A175" s="1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x14ac:dyDescent="0.2">
      <c r="A176" s="1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x14ac:dyDescent="0.2">
      <c r="A177" s="1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x14ac:dyDescent="0.2">
      <c r="A178" s="1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x14ac:dyDescent="0.2">
      <c r="A179" s="1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x14ac:dyDescent="0.2">
      <c r="A180" s="1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x14ac:dyDescent="0.2">
      <c r="A181" s="1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x14ac:dyDescent="0.2">
      <c r="A182" s="1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x14ac:dyDescent="0.2">
      <c r="A183" s="1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x14ac:dyDescent="0.2">
      <c r="A184" s="1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x14ac:dyDescent="0.2">
      <c r="A185" s="1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x14ac:dyDescent="0.2">
      <c r="A186" s="1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x14ac:dyDescent="0.2">
      <c r="A187" s="1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x14ac:dyDescent="0.2">
      <c r="A188" s="1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x14ac:dyDescent="0.2">
      <c r="A189" s="1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x14ac:dyDescent="0.2">
      <c r="A190" s="1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x14ac:dyDescent="0.2">
      <c r="A191" s="1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x14ac:dyDescent="0.2">
      <c r="A192" s="1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x14ac:dyDescent="0.2">
      <c r="A193" s="1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x14ac:dyDescent="0.2">
      <c r="A194" s="1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x14ac:dyDescent="0.2">
      <c r="A195" s="1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2">
      <c r="A196" s="1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x14ac:dyDescent="0.2">
      <c r="A197" s="1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x14ac:dyDescent="0.2">
      <c r="A198" s="1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x14ac:dyDescent="0.2">
      <c r="A199" s="1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x14ac:dyDescent="0.2">
      <c r="A200" s="1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x14ac:dyDescent="0.2">
      <c r="A201" s="1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x14ac:dyDescent="0.2">
      <c r="A202" s="1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x14ac:dyDescent="0.2">
      <c r="A203" s="1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x14ac:dyDescent="0.2">
      <c r="A204" s="1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x14ac:dyDescent="0.2">
      <c r="A205" s="1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x14ac:dyDescent="0.2">
      <c r="A206" s="1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x14ac:dyDescent="0.2">
      <c r="A207" s="1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x14ac:dyDescent="0.2">
      <c r="A208" s="1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x14ac:dyDescent="0.2">
      <c r="A209" s="1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x14ac:dyDescent="0.2">
      <c r="A210" s="1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x14ac:dyDescent="0.2">
      <c r="A211" s="1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x14ac:dyDescent="0.2">
      <c r="A212" s="1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x14ac:dyDescent="0.2">
      <c r="A213" s="1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x14ac:dyDescent="0.2">
      <c r="A214" s="1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x14ac:dyDescent="0.2">
      <c r="A215" s="1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x14ac:dyDescent="0.2">
      <c r="A216" s="1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x14ac:dyDescent="0.2">
      <c r="A217" s="1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x14ac:dyDescent="0.2">
      <c r="A218" s="1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x14ac:dyDescent="0.2">
      <c r="A219" s="1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2">
      <c r="A220" s="1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x14ac:dyDescent="0.2">
      <c r="A221" s="1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x14ac:dyDescent="0.2">
      <c r="A222" s="1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x14ac:dyDescent="0.2">
      <c r="A223" s="1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x14ac:dyDescent="0.2">
      <c r="A224" s="1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x14ac:dyDescent="0.2">
      <c r="A225" s="1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x14ac:dyDescent="0.2">
      <c r="A226" s="1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x14ac:dyDescent="0.2">
      <c r="A227" s="1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x14ac:dyDescent="0.2">
      <c r="A228" s="1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x14ac:dyDescent="0.2">
      <c r="A229" s="1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x14ac:dyDescent="0.2">
      <c r="A230" s="1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x14ac:dyDescent="0.2">
      <c r="A231" s="1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x14ac:dyDescent="0.2">
      <c r="A232" s="1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x14ac:dyDescent="0.2">
      <c r="A233" s="1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x14ac:dyDescent="0.2">
      <c r="A234" s="1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x14ac:dyDescent="0.2">
      <c r="A235" s="1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x14ac:dyDescent="0.2">
      <c r="A236" s="1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x14ac:dyDescent="0.2">
      <c r="A237" s="1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x14ac:dyDescent="0.2">
      <c r="A238" s="1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x14ac:dyDescent="0.2">
      <c r="A239" s="1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x14ac:dyDescent="0.2">
      <c r="A240" s="1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x14ac:dyDescent="0.2">
      <c r="A241" s="1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x14ac:dyDescent="0.2">
      <c r="A242" s="1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x14ac:dyDescent="0.2">
      <c r="A243" s="1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2">
      <c r="A244" s="1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x14ac:dyDescent="0.2">
      <c r="A245" s="1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x14ac:dyDescent="0.2">
      <c r="A246" s="1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x14ac:dyDescent="0.2">
      <c r="A247" s="1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x14ac:dyDescent="0.2">
      <c r="A248" s="1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x14ac:dyDescent="0.2">
      <c r="A249" s="1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x14ac:dyDescent="0.2">
      <c r="A250" s="1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x14ac:dyDescent="0.2">
      <c r="A251" s="1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x14ac:dyDescent="0.2">
      <c r="A252" s="1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x14ac:dyDescent="0.2">
      <c r="A253" s="1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x14ac:dyDescent="0.2">
      <c r="A254" s="1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x14ac:dyDescent="0.2">
      <c r="A255" s="1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x14ac:dyDescent="0.2">
      <c r="A256" s="1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x14ac:dyDescent="0.2">
      <c r="A257" s="1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x14ac:dyDescent="0.2">
      <c r="A258" s="1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x14ac:dyDescent="0.2">
      <c r="A259" s="1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x14ac:dyDescent="0.2">
      <c r="A260" s="1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x14ac:dyDescent="0.2">
      <c r="A261" s="1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x14ac:dyDescent="0.2">
      <c r="A262" s="1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x14ac:dyDescent="0.2">
      <c r="A263" s="1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x14ac:dyDescent="0.2">
      <c r="A264" s="1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x14ac:dyDescent="0.2">
      <c r="A265" s="1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x14ac:dyDescent="0.2">
      <c r="A266" s="1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x14ac:dyDescent="0.2">
      <c r="A267" s="1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2">
      <c r="A268" s="1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x14ac:dyDescent="0.2">
      <c r="A269" s="1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x14ac:dyDescent="0.2">
      <c r="A270" s="1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x14ac:dyDescent="0.2">
      <c r="A271" s="1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x14ac:dyDescent="0.2">
      <c r="A272" s="1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x14ac:dyDescent="0.2">
      <c r="A273" s="1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x14ac:dyDescent="0.2">
      <c r="A274" s="1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1"/>
      <c r="D275" s="5"/>
      <c r="E275" s="5"/>
      <c r="F275" s="5"/>
      <c r="G275" s="5"/>
      <c r="H275" s="5"/>
      <c r="I275" s="5"/>
      <c r="J275" s="5"/>
      <c r="K275" s="5"/>
      <c r="L275" s="5"/>
      <c r="M275" s="5"/>
    </row>
  </sheetData>
  <mergeCells count="2">
    <mergeCell ref="A6:A7"/>
    <mergeCell ref="B6:N6"/>
  </mergeCells>
  <printOptions horizontalCentered="1"/>
  <pageMargins left="0" right="0" top="0.59055118110236227" bottom="0.62992125984251968" header="0" footer="0"/>
  <pageSetup paperSize="9" scale="45" fitToHeight="3" orientation="landscape" r:id="rId1"/>
  <headerFooter alignWithMargins="0">
    <oddHeader>&amp;R&amp;G</oddHeader>
    <oddFooter>&amp;C&amp;"Arial,Normal"&amp;9Subsecretaría de Coordinación Económica y Estadística
MINISTERIO DE HACIENDA Y FINANZAS&amp;R&amp;P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26</vt:i4>
      </vt:variant>
    </vt:vector>
  </HeadingPairs>
  <TitlesOfParts>
    <vt:vector size="40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Acumulado</vt:lpstr>
      <vt:lpstr>Hoja1</vt:lpstr>
      <vt:lpstr>ABRIL!Área_de_impresión</vt:lpstr>
      <vt:lpstr>Acumulado!Área_de_impresión</vt:lpstr>
      <vt:lpstr>AGOSTO!Área_de_impresión</vt:lpstr>
      <vt:lpstr>DICIEMBRE!Área_de_impresión</vt:lpstr>
      <vt:lpstr>ENERO!Área_de_impresión</vt:lpstr>
      <vt:lpstr>FEBRERO!Área_de_impresión</vt:lpstr>
      <vt:lpstr>JULIO!Área_de_impresión</vt:lpstr>
      <vt:lpstr>JUNIO!Área_de_impresión</vt:lpstr>
      <vt:lpstr>MARZO!Área_de_impresión</vt:lpstr>
      <vt:lpstr>MAYO!Área_de_impresión</vt:lpstr>
      <vt:lpstr>NOVIEMBRE!Área_de_impresión</vt:lpstr>
      <vt:lpstr>OCTUBRE!Área_de_impresión</vt:lpstr>
      <vt:lpstr>SEPTIEMBRE!Área_de_impresión</vt:lpstr>
      <vt:lpstr>ABRIL!Títulos_a_imprimir</vt:lpstr>
      <vt:lpstr>Acumulado!Títulos_a_imprimir</vt:lpstr>
      <vt:lpstr>AGOSTO!Títulos_a_imprimir</vt:lpstr>
      <vt:lpstr>DICIEMBRE!Títulos_a_imprimir</vt:lpstr>
      <vt:lpstr>ENERO!Títulos_a_imprimir</vt:lpstr>
      <vt:lpstr>FEBRERO!Títulos_a_imprimir</vt:lpstr>
      <vt:lpstr>JULIO!Títulos_a_imprimir</vt:lpstr>
      <vt:lpstr>JUNIO!Títulos_a_imprimir</vt:lpstr>
      <vt:lpstr>MARZO!Títulos_a_imprimir</vt:lpstr>
      <vt:lpstr>MAYO!Títulos_a_imprimir</vt:lpstr>
      <vt:lpstr>NOVIEMBRE!Títulos_a_imprimir</vt:lpstr>
      <vt:lpstr>OCTUBRE!Títulos_a_imprimir</vt:lpstr>
      <vt:lpstr>SEPTIEMBRE!Títulos_a_imprimir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Mariana Gallegos</cp:lastModifiedBy>
  <cp:lastPrinted>2021-03-03T11:28:05Z</cp:lastPrinted>
  <dcterms:created xsi:type="dcterms:W3CDTF">2012-05-08T12:18:55Z</dcterms:created>
  <dcterms:modified xsi:type="dcterms:W3CDTF">2022-02-03T18:31:31Z</dcterms:modified>
</cp:coreProperties>
</file>