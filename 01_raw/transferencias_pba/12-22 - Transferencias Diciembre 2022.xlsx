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2\12 - Diciembre\"/>
    </mc:Choice>
  </mc:AlternateContent>
  <bookViews>
    <workbookView xWindow="240" yWindow="1485" windowWidth="15480" windowHeight="4455" firstSheet="5" activeTab="11"/>
  </bookViews>
  <sheets>
    <sheet name="ENERO" sheetId="1" r:id="rId1"/>
    <sheet name="FEBRERO" sheetId="3" r:id="rId2"/>
    <sheet name="MARZO" sheetId="5" r:id="rId3"/>
    <sheet name="ABRIL" sheetId="6" r:id="rId4"/>
    <sheet name="MAYO" sheetId="7" r:id="rId5"/>
    <sheet name="JUNIO" sheetId="16" r:id="rId6"/>
    <sheet name="JULIO" sheetId="24" r:id="rId7"/>
    <sheet name="AGOSTO" sheetId="19" r:id="rId8"/>
    <sheet name="SEPTIEMBRE" sheetId="20" r:id="rId9"/>
    <sheet name="OCTUBRE" sheetId="21" r:id="rId10"/>
    <sheet name="NOVIEMBRE" sheetId="22" r:id="rId11"/>
    <sheet name="DICIEMBRE" sheetId="23" r:id="rId12"/>
    <sheet name="Acumulado" sheetId="2" r:id="rId13"/>
    <sheet name="Hoja1" sheetId="25" state="hidden" r:id="rId14"/>
  </sheets>
  <externalReferences>
    <externalReference r:id="rId15"/>
    <externalReference r:id="rId16"/>
    <externalReference r:id="rId17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ABRIL!$A$6:$D$142</definedName>
    <definedName name="_xlnm._FilterDatabase" localSheetId="12" hidden="1">Acumulado!$A$7:$D$143</definedName>
    <definedName name="_xlnm._FilterDatabase" localSheetId="7" hidden="1">AGOSTO!$A$6:$D$142</definedName>
    <definedName name="_xlnm._FilterDatabase" localSheetId="11" hidden="1">DICIEMBRE!$A$6:$D$142</definedName>
    <definedName name="_xlnm._FilterDatabase" localSheetId="0" hidden="1">ENERO!$A$8:$N$143</definedName>
    <definedName name="_xlnm._FilterDatabase" localSheetId="1" hidden="1">FEBRERO!$A$7:$D$143</definedName>
    <definedName name="_xlnm._FilterDatabase" localSheetId="6" hidden="1">JULIO!$A$6:$D$142</definedName>
    <definedName name="_xlnm._FilterDatabase" localSheetId="5" hidden="1">JUNIO!$A$6:$D$142</definedName>
    <definedName name="_xlnm._FilterDatabase" localSheetId="2" hidden="1">MARZO!$A$6:$D$142</definedName>
    <definedName name="_xlnm._FilterDatabase" localSheetId="4" hidden="1">MAYO!$A$6:$D$142</definedName>
    <definedName name="_xlnm._FilterDatabase" localSheetId="10" hidden="1">NOVIEMBRE!$A$6:$D$142</definedName>
    <definedName name="_xlnm._FilterDatabase" localSheetId="9" hidden="1">OCTUBRE!$A$6:$D$142</definedName>
    <definedName name="_xlnm._FilterDatabase" localSheetId="8" hidden="1">SEPTIEMBRE!$A$6:$D$142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ABRIL!$A$1:$N$143</definedName>
    <definedName name="_xlnm.Print_Area" localSheetId="12">Acumulado!$B$8:$N$143</definedName>
    <definedName name="_xlnm.Print_Area" localSheetId="7">AGOSTO!$A$1:$N$143</definedName>
    <definedName name="_xlnm.Print_Area" localSheetId="11">DICIEMBRE!$A$1:$N$143</definedName>
    <definedName name="_xlnm.Print_Area" localSheetId="0">ENERO!$A$1:$N$143</definedName>
    <definedName name="_xlnm.Print_Area" localSheetId="1">FEBRERO!$A$1:$N$143</definedName>
    <definedName name="_xlnm.Print_Area" localSheetId="6">JULIO!$A$1:$N$143</definedName>
    <definedName name="_xlnm.Print_Area" localSheetId="5">JUNIO!$A$1:$N$143</definedName>
    <definedName name="_xlnm.Print_Area" localSheetId="2">MARZO!$A$1:$N$143</definedName>
    <definedName name="_xlnm.Print_Area" localSheetId="4">MAYO!$A$1:$N$143</definedName>
    <definedName name="_xlnm.Print_Area" localSheetId="10">NOVIEMBRE!$A$1:$N$143</definedName>
    <definedName name="_xlnm.Print_Area" localSheetId="9">OCTUBRE!$A$1:$N$143</definedName>
    <definedName name="_xlnm.Print_Area" localSheetId="8">SEPTIEMBRE!$A$1:$N$143</definedName>
    <definedName name="con" localSheetId="7">#REF!</definedName>
    <definedName name="con" localSheetId="11">#REF!</definedName>
    <definedName name="con" localSheetId="6">#REF!</definedName>
    <definedName name="con" localSheetId="10">#REF!</definedName>
    <definedName name="con" localSheetId="9">#REF!</definedName>
    <definedName name="con" localSheetId="8">#REF!</definedName>
    <definedName name="con">#REF!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JULIO" localSheetId="7" hidden="1">#REF!</definedName>
    <definedName name="JULIO" localSheetId="11" hidden="1">#REF!</definedName>
    <definedName name="JULIO" localSheetId="6" hidden="1">#REF!</definedName>
    <definedName name="JULIO" localSheetId="10" hidden="1">#REF!</definedName>
    <definedName name="JULIO" localSheetId="9" hidden="1">#REF!</definedName>
    <definedName name="JULIO" localSheetId="8" hidden="1">#REF!</definedName>
    <definedName name="JULIO" hidden="1">#REF!</definedName>
    <definedName name="_xlnm.Print_Titles" localSheetId="3">ABRIL!$A:$A,ABRIL!$1:$7</definedName>
    <definedName name="_xlnm.Print_Titles" localSheetId="12">Acumulado!$A:$A,Acumulado!$3:$7</definedName>
    <definedName name="_xlnm.Print_Titles" localSheetId="7">AGOSTO!$A:$A,AGOSTO!$1:$7</definedName>
    <definedName name="_xlnm.Print_Titles" localSheetId="11">DICIEMBRE!$A:$A,DICIEMBRE!$1:$7</definedName>
    <definedName name="_xlnm.Print_Titles" localSheetId="0">ENERO!$A:$A,ENERO!$1:$7</definedName>
    <definedName name="_xlnm.Print_Titles" localSheetId="1">FEBRERO!$A:$A,FEBRERO!$1:$7</definedName>
    <definedName name="_xlnm.Print_Titles" localSheetId="6">JULIO!$A:$A,JULIO!$1:$7</definedName>
    <definedName name="_xlnm.Print_Titles" localSheetId="5">JUNIO!$A:$A,JUNIO!$1:$7</definedName>
    <definedName name="_xlnm.Print_Titles" localSheetId="2">MARZO!$A:$A,MARZO!$1:$7</definedName>
    <definedName name="_xlnm.Print_Titles" localSheetId="4">MAYO!$A:$A,MAYO!$1:$7</definedName>
    <definedName name="_xlnm.Print_Titles" localSheetId="10">NOVIEMBRE!$A:$A,NOVIEMBRE!$1:$7</definedName>
    <definedName name="_xlnm.Print_Titles" localSheetId="9">OCTUBRE!$A:$A,OCTUBRE!$1:$7</definedName>
    <definedName name="_xlnm.Print_Titles" localSheetId="8">SEPTIEMBRE!$A:$A,SEPTIEMBRE!$1:$7</definedName>
  </definedNames>
  <calcPr calcId="162913"/>
</workbook>
</file>

<file path=xl/calcChain.xml><?xml version="1.0" encoding="utf-8"?>
<calcChain xmlns="http://schemas.openxmlformats.org/spreadsheetml/2006/main">
  <c r="B8" i="2" l="1"/>
  <c r="N8" i="1" l="1"/>
  <c r="N8" i="24"/>
  <c r="N9" i="5"/>
  <c r="N8" i="5" l="1"/>
  <c r="N8" i="21"/>
  <c r="C143" i="19"/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J143" i="3" l="1"/>
  <c r="N140" i="1" l="1"/>
  <c r="C143" i="23" l="1"/>
  <c r="M143" i="23" l="1"/>
  <c r="M143" i="20"/>
  <c r="M143" i="19"/>
  <c r="M143" i="24"/>
  <c r="M143" i="16"/>
  <c r="M143" i="7"/>
  <c r="M143" i="6"/>
  <c r="M143" i="5"/>
  <c r="M143" i="3"/>
  <c r="M143" i="1"/>
  <c r="N8" i="22"/>
  <c r="M143" i="22"/>
  <c r="C143" i="20" l="1"/>
  <c r="C143" i="24"/>
  <c r="L9" i="2" l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8" i="2"/>
  <c r="L143" i="2" l="1"/>
  <c r="J143" i="2"/>
  <c r="K143" i="2"/>
  <c r="C143" i="1" l="1"/>
  <c r="K143" i="1"/>
  <c r="N9" i="1"/>
  <c r="N12" i="1" l="1"/>
  <c r="N142" i="23" l="1"/>
  <c r="N9" i="22" l="1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K143" i="22"/>
  <c r="J143" i="22"/>
  <c r="I143" i="22"/>
  <c r="H143" i="22"/>
  <c r="G143" i="22"/>
  <c r="F143" i="22"/>
  <c r="E143" i="22"/>
  <c r="D143" i="22"/>
  <c r="B143" i="22"/>
  <c r="N143" i="22" l="1"/>
  <c r="N8" i="20"/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8" i="2"/>
  <c r="N9" i="23" l="1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8" i="23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8" i="19"/>
  <c r="N13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9" i="24"/>
  <c r="N140" i="24"/>
  <c r="N141" i="24"/>
  <c r="N142" i="24"/>
  <c r="N139" i="16"/>
  <c r="N142" i="16"/>
  <c r="N135" i="16"/>
  <c r="N126" i="16"/>
  <c r="N141" i="16"/>
  <c r="K143" i="16"/>
  <c r="N143" i="20" l="1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7" i="16"/>
  <c r="N128" i="16"/>
  <c r="N129" i="16"/>
  <c r="N130" i="16"/>
  <c r="N131" i="16"/>
  <c r="N132" i="16"/>
  <c r="N133" i="16"/>
  <c r="N134" i="16"/>
  <c r="N136" i="16"/>
  <c r="N137" i="16"/>
  <c r="N138" i="16"/>
  <c r="N140" i="16"/>
  <c r="N8" i="16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8" i="7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8" i="6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14" i="1"/>
  <c r="N107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1" i="1"/>
  <c r="N142" i="1"/>
  <c r="N143" i="7" l="1"/>
  <c r="N143" i="1"/>
  <c r="N143" i="16"/>
  <c r="L143" i="6"/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8" i="2"/>
  <c r="L143" i="23"/>
  <c r="L143" i="22"/>
  <c r="L143" i="21"/>
  <c r="L143" i="20"/>
  <c r="L143" i="19"/>
  <c r="L143" i="24"/>
  <c r="L143" i="7"/>
  <c r="C143" i="7"/>
  <c r="L143" i="1"/>
  <c r="L143" i="3"/>
  <c r="L143" i="5"/>
  <c r="D143" i="5"/>
  <c r="E143" i="5"/>
  <c r="F143" i="5"/>
  <c r="G143" i="5"/>
  <c r="H143" i="5"/>
  <c r="I143" i="5"/>
  <c r="J143" i="5"/>
  <c r="K143" i="5"/>
  <c r="C143" i="5"/>
  <c r="C143" i="3"/>
  <c r="N133" i="3" l="1"/>
  <c r="N121" i="3"/>
  <c r="N109" i="3"/>
  <c r="N93" i="3"/>
  <c r="N81" i="3"/>
  <c r="N65" i="3"/>
  <c r="N57" i="3"/>
  <c r="N41" i="3"/>
  <c r="N29" i="3"/>
  <c r="N21" i="3"/>
  <c r="N13" i="3"/>
  <c r="N8" i="3"/>
  <c r="N142" i="3"/>
  <c r="N138" i="3"/>
  <c r="N134" i="3"/>
  <c r="N130" i="3"/>
  <c r="N126" i="3"/>
  <c r="N122" i="3"/>
  <c r="N118" i="3"/>
  <c r="N114" i="3"/>
  <c r="N110" i="3"/>
  <c r="N106" i="3"/>
  <c r="N102" i="3"/>
  <c r="N98" i="3"/>
  <c r="N94" i="3"/>
  <c r="N90" i="3"/>
  <c r="N86" i="3"/>
  <c r="N82" i="3"/>
  <c r="N78" i="3"/>
  <c r="N74" i="3"/>
  <c r="N70" i="3"/>
  <c r="N66" i="3"/>
  <c r="N62" i="3"/>
  <c r="N58" i="3"/>
  <c r="N54" i="3"/>
  <c r="N50" i="3"/>
  <c r="N46" i="3"/>
  <c r="N42" i="3"/>
  <c r="N38" i="3"/>
  <c r="N34" i="3"/>
  <c r="N30" i="3"/>
  <c r="N26" i="3"/>
  <c r="N22" i="3"/>
  <c r="N18" i="3"/>
  <c r="N14" i="3"/>
  <c r="N10" i="3"/>
  <c r="N9" i="3"/>
  <c r="N141" i="3"/>
  <c r="N129" i="3"/>
  <c r="N117" i="3"/>
  <c r="N105" i="3"/>
  <c r="N97" i="3"/>
  <c r="N85" i="3"/>
  <c r="N73" i="3"/>
  <c r="N61" i="3"/>
  <c r="N49" i="3"/>
  <c r="N37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N92" i="3"/>
  <c r="N88" i="3"/>
  <c r="N84" i="3"/>
  <c r="N80" i="3"/>
  <c r="N76" i="3"/>
  <c r="N72" i="3"/>
  <c r="N68" i="3"/>
  <c r="N64" i="3"/>
  <c r="N60" i="3"/>
  <c r="N56" i="3"/>
  <c r="N52" i="3"/>
  <c r="N48" i="3"/>
  <c r="N44" i="3"/>
  <c r="N40" i="3"/>
  <c r="N36" i="3"/>
  <c r="N32" i="3"/>
  <c r="N28" i="3"/>
  <c r="N24" i="3"/>
  <c r="N20" i="3"/>
  <c r="N16" i="3"/>
  <c r="N12" i="3"/>
  <c r="N137" i="3"/>
  <c r="N125" i="3"/>
  <c r="N113" i="3"/>
  <c r="N101" i="3"/>
  <c r="N89" i="3"/>
  <c r="N77" i="3"/>
  <c r="N69" i="3"/>
  <c r="N53" i="3"/>
  <c r="N45" i="3"/>
  <c r="N33" i="3"/>
  <c r="N25" i="3"/>
  <c r="N17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N83" i="3"/>
  <c r="N79" i="3"/>
  <c r="N75" i="3"/>
  <c r="N71" i="3"/>
  <c r="N67" i="3"/>
  <c r="N63" i="3"/>
  <c r="N59" i="3"/>
  <c r="N55" i="3"/>
  <c r="N51" i="3"/>
  <c r="N47" i="3"/>
  <c r="N43" i="3"/>
  <c r="N39" i="3"/>
  <c r="N35" i="3"/>
  <c r="N31" i="3"/>
  <c r="N27" i="3"/>
  <c r="N23" i="3"/>
  <c r="N19" i="3"/>
  <c r="N15" i="3"/>
  <c r="N11" i="3"/>
  <c r="K143" i="3"/>
  <c r="C143" i="2"/>
  <c r="J143" i="1" l="1"/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K143" i="24"/>
  <c r="J143" i="24"/>
  <c r="I143" i="24"/>
  <c r="H143" i="24"/>
  <c r="G143" i="24"/>
  <c r="F143" i="24"/>
  <c r="E143" i="24"/>
  <c r="D143" i="24"/>
  <c r="B143" i="24"/>
  <c r="H143" i="2" l="1"/>
  <c r="N143" i="24"/>
  <c r="K143" i="23" l="1"/>
  <c r="J143" i="23"/>
  <c r="I143" i="23"/>
  <c r="H143" i="23"/>
  <c r="G143" i="23"/>
  <c r="F143" i="23"/>
  <c r="E143" i="23"/>
  <c r="D143" i="23"/>
  <c r="B143" i="23"/>
  <c r="N143" i="23" l="1"/>
  <c r="D143" i="2"/>
  <c r="K143" i="21" l="1"/>
  <c r="J143" i="21"/>
  <c r="I143" i="21"/>
  <c r="H143" i="21"/>
  <c r="G143" i="21"/>
  <c r="F143" i="21"/>
  <c r="E143" i="21"/>
  <c r="D143" i="21"/>
  <c r="B143" i="21"/>
  <c r="K143" i="20" l="1"/>
  <c r="J143" i="20"/>
  <c r="I143" i="20"/>
  <c r="H143" i="20"/>
  <c r="G143" i="20"/>
  <c r="F143" i="20"/>
  <c r="E143" i="20"/>
  <c r="D143" i="20"/>
  <c r="B143" i="20"/>
  <c r="K143" i="19" l="1"/>
  <c r="J143" i="19"/>
  <c r="I143" i="19"/>
  <c r="H143" i="19"/>
  <c r="G143" i="19"/>
  <c r="F143" i="19"/>
  <c r="E143" i="19"/>
  <c r="D143" i="19"/>
  <c r="B143" i="19"/>
  <c r="N143" i="19" l="1"/>
  <c r="L143" i="16" l="1"/>
  <c r="I143" i="16"/>
  <c r="H143" i="16"/>
  <c r="G143" i="16"/>
  <c r="F143" i="16"/>
  <c r="E143" i="16"/>
  <c r="D143" i="16"/>
  <c r="J143" i="16"/>
  <c r="B143" i="16"/>
  <c r="K143" i="7" l="1"/>
  <c r="H143" i="7"/>
  <c r="J143" i="6" l="1"/>
  <c r="F143" i="3" l="1"/>
  <c r="I143" i="3" l="1"/>
  <c r="H143" i="3"/>
  <c r="E143" i="3"/>
  <c r="J143" i="7" l="1"/>
  <c r="I143" i="7"/>
  <c r="G143" i="7"/>
  <c r="F143" i="7"/>
  <c r="E143" i="7"/>
  <c r="D143" i="7"/>
  <c r="B143" i="7"/>
  <c r="K143" i="6" l="1"/>
  <c r="I143" i="6"/>
  <c r="H143" i="6"/>
  <c r="G143" i="6"/>
  <c r="F143" i="6"/>
  <c r="E143" i="6"/>
  <c r="D143" i="6"/>
  <c r="B143" i="6"/>
  <c r="N143" i="6" l="1"/>
  <c r="B143" i="5"/>
  <c r="N143" i="5" l="1"/>
  <c r="G143" i="3" l="1"/>
  <c r="D143" i="3"/>
  <c r="B143" i="3"/>
  <c r="N143" i="3" l="1"/>
  <c r="I143" i="1"/>
  <c r="H143" i="1"/>
  <c r="G143" i="1"/>
  <c r="F143" i="1"/>
  <c r="E143" i="1"/>
  <c r="D143" i="1"/>
  <c r="B143" i="1"/>
  <c r="I143" i="2" l="1"/>
  <c r="G143" i="2"/>
  <c r="F143" i="2"/>
  <c r="E143" i="2"/>
  <c r="B143" i="2"/>
  <c r="N13" i="2" l="1"/>
  <c r="N13" i="21"/>
  <c r="N81" i="2"/>
  <c r="N81" i="21"/>
  <c r="N20" i="2"/>
  <c r="N20" i="21"/>
  <c r="N37" i="2"/>
  <c r="N37" i="21"/>
  <c r="N69" i="2"/>
  <c r="N69" i="21"/>
  <c r="N9" i="2"/>
  <c r="N9" i="21"/>
  <c r="N65" i="2"/>
  <c r="N65" i="21"/>
  <c r="N22" i="2"/>
  <c r="N22" i="21"/>
  <c r="N41" i="2"/>
  <c r="N41" i="21"/>
  <c r="N73" i="2"/>
  <c r="N73" i="21"/>
  <c r="N34" i="2"/>
  <c r="N34" i="21"/>
  <c r="M8" i="2"/>
  <c r="M143" i="21"/>
  <c r="N17" i="2"/>
  <c r="N17" i="21"/>
  <c r="N32" i="2"/>
  <c r="N32" i="21"/>
  <c r="N61" i="2"/>
  <c r="N61" i="21"/>
  <c r="N93" i="2"/>
  <c r="N93" i="21"/>
  <c r="N38" i="2"/>
  <c r="N38" i="21"/>
  <c r="N46" i="2"/>
  <c r="N46" i="21"/>
  <c r="N54" i="2"/>
  <c r="N54" i="21"/>
  <c r="N62" i="2"/>
  <c r="N62" i="21"/>
  <c r="N70" i="2"/>
  <c r="N70" i="21"/>
  <c r="N78" i="2"/>
  <c r="N78" i="21"/>
  <c r="N86" i="2"/>
  <c r="N86" i="21"/>
  <c r="N94" i="2"/>
  <c r="N94" i="21"/>
  <c r="N15" i="2"/>
  <c r="N15" i="21"/>
  <c r="N21" i="2"/>
  <c r="N21" i="21"/>
  <c r="N25" i="2"/>
  <c r="N25" i="21"/>
  <c r="N29" i="2"/>
  <c r="N29" i="21"/>
  <c r="N33" i="2"/>
  <c r="N33" i="21"/>
  <c r="N39" i="2"/>
  <c r="N39" i="21"/>
  <c r="N47" i="2"/>
  <c r="N47" i="21"/>
  <c r="N55" i="2"/>
  <c r="N55" i="21"/>
  <c r="N63" i="2"/>
  <c r="N63" i="21"/>
  <c r="N71" i="2"/>
  <c r="N71" i="21"/>
  <c r="N79" i="2"/>
  <c r="N79" i="21"/>
  <c r="N87" i="2"/>
  <c r="N87" i="21"/>
  <c r="N95" i="2"/>
  <c r="N95" i="21"/>
  <c r="N18" i="2"/>
  <c r="N18" i="21"/>
  <c r="N40" i="2"/>
  <c r="N40" i="21"/>
  <c r="N48" i="2"/>
  <c r="N48" i="21"/>
  <c r="N56" i="2"/>
  <c r="N56" i="21"/>
  <c r="N64" i="2"/>
  <c r="N64" i="21"/>
  <c r="N72" i="2"/>
  <c r="N72" i="21"/>
  <c r="N80" i="2"/>
  <c r="N80" i="21"/>
  <c r="N88" i="2"/>
  <c r="N88" i="21"/>
  <c r="N96" i="2"/>
  <c r="N96" i="21"/>
  <c r="N100" i="2"/>
  <c r="N100" i="21"/>
  <c r="N102" i="2"/>
  <c r="N102" i="21"/>
  <c r="N104" i="2"/>
  <c r="N104" i="21"/>
  <c r="N106" i="2"/>
  <c r="N106" i="21"/>
  <c r="N108" i="2"/>
  <c r="N108" i="21"/>
  <c r="N110" i="2"/>
  <c r="N110" i="21"/>
  <c r="N112" i="2"/>
  <c r="N112" i="21"/>
  <c r="N114" i="2"/>
  <c r="N114" i="21"/>
  <c r="N116" i="2"/>
  <c r="N116" i="21"/>
  <c r="N118" i="2"/>
  <c r="N118" i="21"/>
  <c r="N120" i="2"/>
  <c r="N120" i="21"/>
  <c r="N122" i="2"/>
  <c r="N122" i="21"/>
  <c r="N124" i="2"/>
  <c r="N124" i="21"/>
  <c r="N126" i="2"/>
  <c r="N126" i="21"/>
  <c r="N128" i="2"/>
  <c r="N128" i="21"/>
  <c r="N130" i="2"/>
  <c r="N130" i="21"/>
  <c r="N132" i="2"/>
  <c r="N132" i="21"/>
  <c r="N134" i="2"/>
  <c r="N134" i="21"/>
  <c r="N136" i="2"/>
  <c r="N136" i="21"/>
  <c r="N138" i="2"/>
  <c r="N138" i="21"/>
  <c r="N140" i="2"/>
  <c r="N140" i="21"/>
  <c r="N142" i="2"/>
  <c r="N142" i="21"/>
  <c r="N49" i="2"/>
  <c r="N49" i="21"/>
  <c r="N10" i="2"/>
  <c r="N10" i="21"/>
  <c r="N28" i="2"/>
  <c r="N28" i="21"/>
  <c r="N53" i="2"/>
  <c r="N53" i="21"/>
  <c r="N85" i="2"/>
  <c r="N85" i="21"/>
  <c r="N26" i="2"/>
  <c r="N26" i="21"/>
  <c r="N11" i="2"/>
  <c r="N11" i="21"/>
  <c r="N30" i="2"/>
  <c r="N30" i="21"/>
  <c r="N57" i="2"/>
  <c r="N57" i="21"/>
  <c r="N89" i="2"/>
  <c r="N89" i="21"/>
  <c r="N97" i="2"/>
  <c r="N97" i="21"/>
  <c r="N12" i="2"/>
  <c r="N12" i="21"/>
  <c r="N24" i="2"/>
  <c r="N24" i="21"/>
  <c r="N45" i="2"/>
  <c r="N45" i="21"/>
  <c r="N77" i="2"/>
  <c r="N77" i="21"/>
  <c r="N16" i="2"/>
  <c r="N16" i="21"/>
  <c r="N42" i="2"/>
  <c r="N42" i="21"/>
  <c r="N50" i="2"/>
  <c r="N50" i="21"/>
  <c r="N58" i="2"/>
  <c r="N58" i="21"/>
  <c r="N66" i="2"/>
  <c r="N66" i="21"/>
  <c r="N74" i="2"/>
  <c r="N74" i="21"/>
  <c r="N82" i="2"/>
  <c r="N82" i="21"/>
  <c r="N90" i="2"/>
  <c r="N90" i="21"/>
  <c r="N98" i="2"/>
  <c r="N98" i="21"/>
  <c r="N19" i="2"/>
  <c r="N19" i="21"/>
  <c r="N23" i="2"/>
  <c r="N23" i="21"/>
  <c r="N27" i="2"/>
  <c r="N27" i="21"/>
  <c r="N31" i="2"/>
  <c r="N31" i="21"/>
  <c r="N35" i="2"/>
  <c r="N35" i="21"/>
  <c r="N43" i="2"/>
  <c r="N43" i="21"/>
  <c r="N51" i="2"/>
  <c r="N51" i="21"/>
  <c r="N59" i="2"/>
  <c r="N59" i="21"/>
  <c r="N67" i="2"/>
  <c r="N67" i="21"/>
  <c r="N75" i="2"/>
  <c r="N75" i="21"/>
  <c r="N83" i="2"/>
  <c r="N83" i="21"/>
  <c r="N91" i="2"/>
  <c r="N91" i="21"/>
  <c r="N14" i="2"/>
  <c r="N14" i="21"/>
  <c r="N36" i="2"/>
  <c r="N36" i="21"/>
  <c r="N44" i="2"/>
  <c r="N44" i="21"/>
  <c r="N52" i="2"/>
  <c r="N52" i="21"/>
  <c r="N60" i="2"/>
  <c r="N60" i="21"/>
  <c r="N68" i="2"/>
  <c r="N68" i="21"/>
  <c r="N76" i="2"/>
  <c r="N76" i="21"/>
  <c r="N84" i="2"/>
  <c r="N84" i="21"/>
  <c r="N92" i="2"/>
  <c r="N92" i="21"/>
  <c r="N99" i="2"/>
  <c r="N99" i="21"/>
  <c r="N101" i="2"/>
  <c r="N101" i="21"/>
  <c r="N103" i="2"/>
  <c r="N103" i="21"/>
  <c r="N105" i="2"/>
  <c r="N105" i="21"/>
  <c r="N107" i="2"/>
  <c r="N107" i="21"/>
  <c r="N109" i="2"/>
  <c r="N109" i="21"/>
  <c r="N111" i="2"/>
  <c r="N111" i="21"/>
  <c r="N113" i="2"/>
  <c r="N113" i="21"/>
  <c r="N115" i="2"/>
  <c r="N115" i="21"/>
  <c r="N117" i="2"/>
  <c r="N117" i="21"/>
  <c r="N119" i="2"/>
  <c r="N119" i="21"/>
  <c r="N121" i="2"/>
  <c r="N121" i="21"/>
  <c r="N123" i="2"/>
  <c r="N123" i="21"/>
  <c r="N125" i="2"/>
  <c r="N125" i="21"/>
  <c r="N127" i="2"/>
  <c r="N127" i="21"/>
  <c r="N129" i="2"/>
  <c r="N129" i="21"/>
  <c r="N131" i="2"/>
  <c r="N131" i="21"/>
  <c r="N133" i="2"/>
  <c r="N133" i="21"/>
  <c r="N135" i="2"/>
  <c r="N135" i="21"/>
  <c r="N137" i="2"/>
  <c r="N137" i="21"/>
  <c r="N139" i="2"/>
  <c r="N139" i="21"/>
  <c r="N141" i="2"/>
  <c r="N141" i="21"/>
  <c r="N143" i="21" l="1"/>
  <c r="M143" i="2"/>
  <c r="N8" i="2"/>
  <c r="N143" i="2" l="1"/>
</calcChain>
</file>

<file path=xl/sharedStrings.xml><?xml version="1.0" encoding="utf-8"?>
<sst xmlns="http://schemas.openxmlformats.org/spreadsheetml/2006/main" count="2002" uniqueCount="178">
  <si>
    <t>TRANSFERENCIAS DE FONDOS</t>
  </si>
  <si>
    <t>(En pesos)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</si>
  <si>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</si>
  <si>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</si>
  <si>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</si>
  <si>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</si>
  <si>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</si>
  <si>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</si>
  <si>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</si>
  <si>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</si>
  <si>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</si>
  <si>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</si>
  <si>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</si>
  <si>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</si>
  <si>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</si>
  <si>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</si>
  <si>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</si>
  <si>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</si>
  <si>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</si>
  <si>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</si>
  <si>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</si>
  <si>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</si>
  <si>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</si>
  <si>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</si>
  <si>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</si>
  <si>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</si>
  <si>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</si>
  <si>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</si>
  <si>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</si>
  <si>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</si>
  <si>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</si>
  <si>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</si>
  <si>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</si>
  <si>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</si>
  <si>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</si>
  <si>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</si>
  <si>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</si>
  <si>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</si>
  <si>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</si>
  <si>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</si>
  <si>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</si>
  <si>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</si>
  <si>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</si>
  <si>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</si>
  <si>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</si>
  <si>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</si>
  <si>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</si>
  <si>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</si>
  <si>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</si>
  <si>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</si>
  <si>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</si>
  <si>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</si>
  <si>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</si>
  <si>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</si>
  <si>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</si>
  <si>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</si>
  <si>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</si>
  <si>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</si>
  <si>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</si>
  <si>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</si>
  <si>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</si>
  <si>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</si>
  <si>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</si>
  <si>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</si>
  <si>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</si>
  <si>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</si>
  <si>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</si>
  <si>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</si>
  <si>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</si>
  <si>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</si>
  <si>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</si>
  <si>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</si>
  <si>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</si>
  <si>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</si>
  <si>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</si>
  <si>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</si>
  <si>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</si>
  <si>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</si>
  <si>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</si>
  <si>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</si>
  <si>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</si>
  <si>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</si>
  <si>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</si>
  <si>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</si>
  <si>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</si>
  <si>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</si>
  <si>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</si>
  <si>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</si>
  <si>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</si>
  <si>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</si>
  <si>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</si>
  <si>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</si>
  <si>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</si>
  <si>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</si>
  <si>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</si>
  <si>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</si>
  <si>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</si>
  <si>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</si>
  <si>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</si>
  <si>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</si>
  <si>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</si>
  <si>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</si>
  <si>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</si>
  <si>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</si>
  <si>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</si>
  <si>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</si>
  <si>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</si>
  <si>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</si>
  <si>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</si>
  <si>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</si>
  <si>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</si>
  <si>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</si>
  <si>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</si>
  <si>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</si>
  <si>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</si>
  <si>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</si>
  <si>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</si>
  <si>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</si>
  <si>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</si>
  <si>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</si>
  <si>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</si>
  <si>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</si>
  <si>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</si>
  <si>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</si>
  <si>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</si>
  <si>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</si>
  <si>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</si>
  <si>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</si>
  <si>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</si>
  <si>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</si>
  <si>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</si>
  <si>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</si>
  <si>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</si>
  <si>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</si>
  <si>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</si>
  <si>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</si>
  <si>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</si>
  <si>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</si>
  <si>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</si>
  <si>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>Coparticipación
Bruta</t>
  </si>
  <si>
    <t>Total</t>
  </si>
  <si>
    <t>Juegos de Azar</t>
  </si>
  <si>
    <t>Fdo Ley 14890</t>
  </si>
  <si>
    <t>Descentralización</t>
  </si>
  <si>
    <t>F.S.A.
 (Tratamiento de Residuos)</t>
  </si>
  <si>
    <t>Fondo Inclusión
Social</t>
  </si>
  <si>
    <t>Fondo Fort. 
Recursos 
Municipales</t>
  </si>
  <si>
    <t>Fondo de 
Financ. Educativo</t>
  </si>
  <si>
    <t>Fdo. Para Infrestructura
 Municipal 2016</t>
  </si>
  <si>
    <t>Fdo. Para Infrestructura 
Municipal 2017</t>
  </si>
  <si>
    <t>F.F.P.S. 
(Programas Sociales)</t>
  </si>
  <si>
    <t>Omisión Coparticiación 2021</t>
  </si>
  <si>
    <t>MES DE DICIEMBRE 2022</t>
  </si>
  <si>
    <t>DICIEMBRE 2022</t>
  </si>
  <si>
    <t>MES DE NOVIEMBRE 2022</t>
  </si>
  <si>
    <t>NOVIEMBRE 2022</t>
  </si>
  <si>
    <t>OCTUBRE 2022</t>
  </si>
  <si>
    <t>MES DE OCTUBRE 2022</t>
  </si>
  <si>
    <t>SEPTIEMBRE 2022</t>
  </si>
  <si>
    <t>MES DE SEPTIEMBRE 2022</t>
  </si>
  <si>
    <t>AGOSTO 2022</t>
  </si>
  <si>
    <t>MES DE AGOSTO 2022</t>
  </si>
  <si>
    <t>JULIO 2022</t>
  </si>
  <si>
    <t>MES DE JULIO 2022</t>
  </si>
  <si>
    <t>JUNIO 2022</t>
  </si>
  <si>
    <t>MES DE JUNIO 2022</t>
  </si>
  <si>
    <t>MAYO 2022</t>
  </si>
  <si>
    <t>MES DE MAYO 2022</t>
  </si>
  <si>
    <t>ABRIL 2022</t>
  </si>
  <si>
    <t>MES DE ABRIL 2022</t>
  </si>
  <si>
    <t>MARZO 2022</t>
  </si>
  <si>
    <t>MES DE MARZO 2022</t>
  </si>
  <si>
    <t>FEBRERO 2022</t>
  </si>
  <si>
    <t>MES DE FEBRERO 2022</t>
  </si>
  <si>
    <t>ENERO 2022</t>
  </si>
  <si>
    <t>MES DE ENERO 2022</t>
  </si>
  <si>
    <t>ACUMULADO ENERO - DICIEMBRE 2022</t>
  </si>
  <si>
    <t>Acumulado ENERO - DICIEMBRE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</si>
</sst>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#,"/>
    <numFmt numFmtId="168" formatCode="#,#00"/>
    <numFmt numFmtId="169" formatCode="#.##000"/>
    <numFmt numFmtId="170" formatCode="&quot;$&quot;#,#00"/>
    <numFmt numFmtId="171" formatCode="\$#,##0\ ;\(\$#,##0\)"/>
    <numFmt numFmtId="172" formatCode="#,##0.0"/>
    <numFmt numFmtId="173" formatCode="_(* #,##0_);_(* \(#,##0\);_(* &quot;-&quot;??_);_(@_)"/>
    <numFmt numFmtId="174" formatCode="0.00000"/>
    <numFmt numFmtId="175" formatCode="_-* #,##0.00\ _€_-;\-* #,##0.00\ _€_-;_-* &quot;-&quot;??\ _€_-;_-@_-"/>
  </numFmts>
  <fonts count="3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2"/>
      <color rgb="FF44AEAC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/>
        <bgColor indexed="64"/>
      </patternFill>
    </fill>
    <fill>
      <patternFill patternType="solid">
        <fgColor rgb="FF44AEAC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167" fontId="9" fillId="0" borderId="0">
      <protection locked="0"/>
    </xf>
    <xf numFmtId="167" fontId="9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11" fillId="0" borderId="0" applyFont="0" applyFill="0" applyBorder="0" applyAlignment="0" applyProtection="0"/>
    <xf numFmtId="168" fontId="8" fillId="0" borderId="0">
      <protection locked="0"/>
    </xf>
    <xf numFmtId="169" fontId="8" fillId="0" borderId="0">
      <protection locked="0"/>
    </xf>
    <xf numFmtId="166" fontId="5" fillId="0" borderId="0" applyFont="0" applyFill="0" applyBorder="0" applyAlignment="0" applyProtection="0"/>
    <xf numFmtId="170" fontId="8" fillId="0" borderId="0">
      <protection locked="0"/>
    </xf>
    <xf numFmtId="171" fontId="11" fillId="0" borderId="0" applyFont="0" applyFill="0" applyBorder="0" applyAlignment="0" applyProtection="0"/>
    <xf numFmtId="172" fontId="4" fillId="0" borderId="0" applyFill="0" applyBorder="0" applyAlignment="0" applyProtection="0"/>
    <xf numFmtId="3" fontId="11" fillId="0" borderId="0" applyFont="0" applyFill="0" applyBorder="0" applyAlignment="0" applyProtection="0"/>
    <xf numFmtId="0" fontId="5" fillId="0" borderId="0"/>
    <xf numFmtId="0" fontId="12" fillId="0" borderId="0"/>
    <xf numFmtId="0" fontId="14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16" borderId="3" applyNumberFormat="0" applyAlignment="0" applyProtection="0"/>
    <xf numFmtId="0" fontId="19" fillId="17" borderId="4" applyNumberFormat="0" applyAlignment="0" applyProtection="0"/>
    <xf numFmtId="0" fontId="20" fillId="0" borderId="5" applyNumberFormat="0" applyFill="0" applyAlignment="0" applyProtection="0"/>
    <xf numFmtId="0" fontId="9" fillId="0" borderId="0">
      <protection locked="0"/>
    </xf>
    <xf numFmtId="0" fontId="9" fillId="0" borderId="0">
      <protection locked="0"/>
    </xf>
    <xf numFmtId="0" fontId="21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1" borderId="0" applyNumberFormat="0" applyBorder="0" applyAlignment="0" applyProtection="0"/>
    <xf numFmtId="0" fontId="22" fillId="7" borderId="3" applyNumberFormat="0" applyAlignment="0" applyProtection="0"/>
    <xf numFmtId="0" fontId="8" fillId="0" borderId="0">
      <protection locked="0"/>
    </xf>
    <xf numFmtId="0" fontId="8" fillId="0" borderId="0">
      <protection locked="0"/>
    </xf>
    <xf numFmtId="0" fontId="23" fillId="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4" fillId="22" borderId="0" applyNumberFormat="0" applyBorder="0" applyAlignment="0" applyProtection="0"/>
    <xf numFmtId="0" fontId="4" fillId="0" borderId="0"/>
    <xf numFmtId="0" fontId="4" fillId="23" borderId="2" applyNumberFormat="0" applyFont="0" applyAlignment="0" applyProtection="0"/>
    <xf numFmtId="9" fontId="4" fillId="0" borderId="0" applyFont="0" applyFill="0" applyBorder="0" applyAlignment="0" applyProtection="0"/>
    <xf numFmtId="0" fontId="25" fillId="16" borderId="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21" fillId="0" borderId="9" applyNumberFormat="0" applyFill="0" applyAlignment="0" applyProtection="0"/>
    <xf numFmtId="0" fontId="8" fillId="0" borderId="10">
      <protection locked="0"/>
    </xf>
    <xf numFmtId="0" fontId="4" fillId="0" borderId="0"/>
    <xf numFmtId="17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173" fontId="2" fillId="0" borderId="0" xfId="0" applyNumberFormat="1" applyFont="1"/>
    <xf numFmtId="173" fontId="2" fillId="0" borderId="0" xfId="16" applyNumberFormat="1" applyFont="1"/>
    <xf numFmtId="166" fontId="2" fillId="0" borderId="0" xfId="0" applyNumberFormat="1" applyFont="1"/>
    <xf numFmtId="173" fontId="2" fillId="0" borderId="0" xfId="0" applyNumberFormat="1" applyFont="1" applyFill="1" applyBorder="1"/>
    <xf numFmtId="173" fontId="2" fillId="0" borderId="0" xfId="0" applyNumberFormat="1" applyFont="1" applyFill="1"/>
    <xf numFmtId="166" fontId="2" fillId="0" borderId="0" xfId="16" applyFont="1"/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0" fontId="32" fillId="0" borderId="0" xfId="0" applyFont="1" applyAlignment="1">
      <alignment horizontal="right"/>
    </xf>
    <xf numFmtId="173" fontId="2" fillId="0" borderId="1" xfId="16" applyNumberFormat="1" applyFont="1" applyFill="1" applyBorder="1" applyAlignment="1" applyProtection="1">
      <alignment horizontal="right" vertical="center"/>
    </xf>
    <xf numFmtId="0" fontId="31" fillId="0" borderId="1" xfId="0" applyFont="1" applyFill="1" applyBorder="1" applyAlignment="1" applyProtection="1">
      <alignment horizontal="left" vertical="center"/>
    </xf>
    <xf numFmtId="173" fontId="31" fillId="0" borderId="1" xfId="16" applyNumberFormat="1" applyFont="1" applyFill="1" applyBorder="1" applyAlignment="1" applyProtection="1">
      <alignment horizontal="right" vertical="center"/>
    </xf>
    <xf numFmtId="0" fontId="13" fillId="24" borderId="1" xfId="0" applyFont="1" applyFill="1" applyBorder="1" applyAlignment="1" applyProtection="1">
      <alignment horizontal="left" vertical="center" indent="1"/>
    </xf>
    <xf numFmtId="173" fontId="13" fillId="24" borderId="1" xfId="16" applyNumberFormat="1" applyFont="1" applyFill="1" applyBorder="1" applyAlignment="1" applyProtection="1">
      <alignment horizontal="right" vertical="center" wrapText="1" indent="1"/>
    </xf>
    <xf numFmtId="49" fontId="13" fillId="25" borderId="1" xfId="0" applyNumberFormat="1" applyFont="1" applyFill="1" applyBorder="1" applyAlignment="1">
      <alignment horizontal="center" vertical="center" wrapText="1"/>
    </xf>
    <xf numFmtId="164" fontId="13" fillId="25" borderId="1" xfId="0" applyNumberFormat="1" applyFont="1" applyFill="1" applyBorder="1" applyAlignment="1">
      <alignment horizontal="center" vertical="center" wrapText="1"/>
    </xf>
    <xf numFmtId="0" fontId="33" fillId="0" borderId="0" xfId="0" applyFont="1" applyBorder="1" applyAlignment="1"/>
    <xf numFmtId="0" fontId="13" fillId="25" borderId="1" xfId="0" applyFont="1" applyFill="1" applyBorder="1" applyAlignment="1" applyProtection="1">
      <alignment horizontal="left" vertical="center" indent="1"/>
    </xf>
    <xf numFmtId="173" fontId="13" fillId="25" borderId="1" xfId="16" applyNumberFormat="1" applyFont="1" applyFill="1" applyBorder="1" applyAlignment="1" applyProtection="1">
      <alignment horizontal="right" vertical="center" wrapText="1" indent="1"/>
    </xf>
    <xf numFmtId="173" fontId="2" fillId="0" borderId="0" xfId="0" applyNumberFormat="1" applyFont="1" applyBorder="1"/>
    <xf numFmtId="49" fontId="13" fillId="25" borderId="1" xfId="0" applyNumberFormat="1" applyFont="1" applyFill="1" applyBorder="1" applyAlignment="1">
      <alignment horizontal="center" vertical="center" wrapText="1"/>
    </xf>
    <xf numFmtId="49" fontId="13" fillId="25" borderId="1" xfId="0" applyNumberFormat="1" applyFont="1" applyFill="1" applyBorder="1" applyAlignment="1">
      <alignment horizontal="left" vertical="center" wrapText="1" indent="2"/>
    </xf>
    <xf numFmtId="49" fontId="13" fillId="25" borderId="1" xfId="0" applyNumberFormat="1" applyFont="1" applyFill="1" applyBorder="1" applyAlignment="1">
      <alignment horizontal="center" vertical="center" wrapText="1"/>
    </xf>
  </cellXfs>
  <cellStyles count="84">
    <cellStyle name="20% - Énfasis1 2" xfId="24"/>
    <cellStyle name="20% - Énfasis2 2" xfId="25"/>
    <cellStyle name="20% - Énfasis3 2" xfId="26"/>
    <cellStyle name="20% - Énfasis4 2" xfId="27"/>
    <cellStyle name="20% - Énfasis5 2" xfId="28"/>
    <cellStyle name="20% - Énfasis6 2" xfId="29"/>
    <cellStyle name="40% - Énfasis1 2" xfId="30"/>
    <cellStyle name="40% - Énfasis2 2" xfId="31"/>
    <cellStyle name="40% - Énfasis3 2" xfId="32"/>
    <cellStyle name="40% - Énfasis4 2" xfId="33"/>
    <cellStyle name="40% - Énfasis5 2" xfId="34"/>
    <cellStyle name="40% - Énfasis6 2" xfId="35"/>
    <cellStyle name="60% - Énfasis1 2" xfId="36"/>
    <cellStyle name="60% - Énfasis2 2" xfId="37"/>
    <cellStyle name="60% - Énfasis3 2" xfId="38"/>
    <cellStyle name="60% - Énfasis4 2" xfId="39"/>
    <cellStyle name="60% - Énfasis5 2" xfId="40"/>
    <cellStyle name="60% - Énfasis6 2" xfId="41"/>
    <cellStyle name="Buena 2" xfId="42"/>
    <cellStyle name="Cabecera 1" xfId="1"/>
    <cellStyle name="Cabecera 2" xfId="2"/>
    <cellStyle name="Cálculo 2" xfId="43"/>
    <cellStyle name="Celda de comprobación 2" xfId="44"/>
    <cellStyle name="Celda vinculada 2" xfId="45"/>
    <cellStyle name="Dia" xfId="3"/>
    <cellStyle name="Encabez1" xfId="4"/>
    <cellStyle name="Encabez1 2" xfId="46"/>
    <cellStyle name="Encabez2" xfId="5"/>
    <cellStyle name="Encabez2 2" xfId="47"/>
    <cellStyle name="Encabezado 4 2" xfId="48"/>
    <cellStyle name="Énfasis1 2" xfId="49"/>
    <cellStyle name="Énfasis2 2" xfId="50"/>
    <cellStyle name="Énfasis3 2" xfId="51"/>
    <cellStyle name="Énfasis4 2" xfId="52"/>
    <cellStyle name="Énfasis5 2" xfId="53"/>
    <cellStyle name="Énfasis6 2" xfId="54"/>
    <cellStyle name="Entrada 2" xfId="55"/>
    <cellStyle name="F2" xfId="6"/>
    <cellStyle name="F3" xfId="7"/>
    <cellStyle name="F4" xfId="8"/>
    <cellStyle name="F4 2" xfId="56"/>
    <cellStyle name="F5" xfId="9"/>
    <cellStyle name="F6" xfId="10"/>
    <cellStyle name="F7" xfId="11"/>
    <cellStyle name="F8" xfId="12"/>
    <cellStyle name="F8 2" xfId="57"/>
    <cellStyle name="Fecha" xfId="13"/>
    <cellStyle name="Fijo" xfId="14"/>
    <cellStyle name="Financiero" xfId="15"/>
    <cellStyle name="Incorrecto 2" xfId="58"/>
    <cellStyle name="Millares" xfId="16" builtinId="3"/>
    <cellStyle name="Millares [0] 2" xfId="60"/>
    <cellStyle name="Millares 2" xfId="77"/>
    <cellStyle name="Millares 3" xfId="78"/>
    <cellStyle name="Millares 4" xfId="59"/>
    <cellStyle name="Millares 5" xfId="79"/>
    <cellStyle name="Moneda 2" xfId="74"/>
    <cellStyle name="Monetario" xfId="17"/>
    <cellStyle name="Monetario0" xfId="18"/>
    <cellStyle name="Neutral 2" xfId="61"/>
    <cellStyle name="Normal" xfId="0" builtinId="0"/>
    <cellStyle name="Normal 11" xfId="80"/>
    <cellStyle name="Normal 2" xfId="21"/>
    <cellStyle name="Normal 2 2" xfId="62"/>
    <cellStyle name="Normal 3" xfId="73"/>
    <cellStyle name="Normal 4" xfId="76"/>
    <cellStyle name="Normal 5" xfId="22"/>
    <cellStyle name="Normal 5 2" xfId="81"/>
    <cellStyle name="Normal 6" xfId="82"/>
    <cellStyle name="Normal 7" xfId="23"/>
    <cellStyle name="Notas 2" xfId="63"/>
    <cellStyle name="Porcentaje 2" xfId="83"/>
    <cellStyle name="Porcentaje 3" xfId="64"/>
    <cellStyle name="Porcentual 2" xfId="75"/>
    <cellStyle name="Punto" xfId="19"/>
    <cellStyle name="Punto0" xfId="20"/>
    <cellStyle name="Salida 2" xfId="65"/>
    <cellStyle name="Texto de advertencia 2" xfId="66"/>
    <cellStyle name="Texto explicativo 2" xfId="67"/>
    <cellStyle name="Título 1 2" xfId="69"/>
    <cellStyle name="Título 2 2" xfId="70"/>
    <cellStyle name="Título 3 2" xfId="71"/>
    <cellStyle name="Título 4" xfId="68"/>
    <cellStyle name="Total 2" xfId="72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</sheetPr>
  <dimension ref="A1:S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9" width="22.33203125" style="1" customWidth="1"/>
    <col min="10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9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9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9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9" ht="17.25" customHeight="1" x14ac:dyDescent="0.25">
      <c r="A4" s="23" t="s">
        <v>175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9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9" ht="18.75" customHeight="1" x14ac:dyDescent="0.2">
      <c r="A6" s="28" t="s">
        <v>2</v>
      </c>
      <c r="B6" s="29" t="s">
        <v>174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9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1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2" t="s">
        <v>142</v>
      </c>
      <c r="N7" s="21" t="s">
        <v>140</v>
      </c>
    </row>
    <row r="8" spans="1:19" ht="18" customHeight="1" x14ac:dyDescent="0.2">
      <c r="A8" s="17" t="s">
        <v>3</v>
      </c>
      <c r="B8" s="16">
        <v>96317976.070000008</v>
      </c>
      <c r="C8" s="16">
        <v>0</v>
      </c>
      <c r="D8" s="16">
        <v>1907520.1713859066</v>
      </c>
      <c r="E8" s="16">
        <v>0</v>
      </c>
      <c r="F8" s="16">
        <v>308183.75484784279</v>
      </c>
      <c r="G8" s="16">
        <v>163615.28</v>
      </c>
      <c r="H8" s="16">
        <v>4959766.9000000004</v>
      </c>
      <c r="I8" s="16">
        <v>778436.83</v>
      </c>
      <c r="J8" s="16">
        <v>0</v>
      </c>
      <c r="K8" s="16">
        <v>0</v>
      </c>
      <c r="L8" s="16">
        <v>0</v>
      </c>
      <c r="M8" s="16">
        <v>136.75</v>
      </c>
      <c r="N8" s="18">
        <f t="shared" ref="N8:N39" si="0">SUM(B8:M8)</f>
        <v>104435635.75623375</v>
      </c>
      <c r="O8" s="4"/>
      <c r="P8" s="10"/>
      <c r="Q8" s="10"/>
      <c r="R8" s="10"/>
      <c r="S8" s="10"/>
    </row>
    <row r="9" spans="1:19" ht="18" customHeight="1" x14ac:dyDescent="0.2">
      <c r="A9" s="17" t="s">
        <v>4</v>
      </c>
      <c r="B9" s="16">
        <v>54366891.579999998</v>
      </c>
      <c r="C9" s="16">
        <v>0</v>
      </c>
      <c r="D9" s="16">
        <v>1879515.356925068</v>
      </c>
      <c r="E9" s="16">
        <v>0</v>
      </c>
      <c r="F9" s="16">
        <v>215920.04687476187</v>
      </c>
      <c r="G9" s="16">
        <v>115581.44</v>
      </c>
      <c r="H9" s="16">
        <v>3092101.91</v>
      </c>
      <c r="I9" s="16">
        <v>545389.28</v>
      </c>
      <c r="J9" s="16">
        <v>0</v>
      </c>
      <c r="K9" s="16">
        <v>0</v>
      </c>
      <c r="L9" s="16">
        <v>0</v>
      </c>
      <c r="M9" s="16">
        <v>95.799999999999983</v>
      </c>
      <c r="N9" s="18">
        <f t="shared" si="0"/>
        <v>60215495.413799822</v>
      </c>
      <c r="O9" s="4"/>
    </row>
    <row r="10" spans="1:19" ht="18" customHeight="1" x14ac:dyDescent="0.2">
      <c r="A10" s="17" t="s">
        <v>5</v>
      </c>
      <c r="B10" s="16">
        <v>46130824.400000006</v>
      </c>
      <c r="C10" s="16">
        <v>0</v>
      </c>
      <c r="D10" s="16">
        <v>1018009.1634656771</v>
      </c>
      <c r="E10" s="16">
        <v>0</v>
      </c>
      <c r="F10" s="16">
        <v>150837.76324229818</v>
      </c>
      <c r="G10" s="16">
        <v>102071.92</v>
      </c>
      <c r="H10" s="16">
        <v>2272435.4300000002</v>
      </c>
      <c r="I10" s="16">
        <v>380998.89</v>
      </c>
      <c r="J10" s="16">
        <v>0</v>
      </c>
      <c r="K10" s="16">
        <v>0</v>
      </c>
      <c r="L10" s="16">
        <v>0</v>
      </c>
      <c r="M10" s="16">
        <v>66.929999999999993</v>
      </c>
      <c r="N10" s="18">
        <f t="shared" si="0"/>
        <v>50055244.496707983</v>
      </c>
      <c r="O10" s="4"/>
    </row>
    <row r="11" spans="1:19" ht="18" customHeight="1" x14ac:dyDescent="0.2">
      <c r="A11" s="17" t="s">
        <v>6</v>
      </c>
      <c r="B11" s="16">
        <v>495281731.15000004</v>
      </c>
      <c r="C11" s="16">
        <v>0</v>
      </c>
      <c r="D11" s="16">
        <v>3882967.4712267346</v>
      </c>
      <c r="E11" s="16">
        <v>0</v>
      </c>
      <c r="F11" s="16">
        <v>16190175.145981703</v>
      </c>
      <c r="G11" s="16">
        <v>9413293.1310416684</v>
      </c>
      <c r="H11" s="16">
        <v>26315014.960000001</v>
      </c>
      <c r="I11" s="16">
        <v>40894525.939999998</v>
      </c>
      <c r="J11" s="16">
        <v>0</v>
      </c>
      <c r="K11" s="16">
        <v>0</v>
      </c>
      <c r="L11" s="16">
        <v>0</v>
      </c>
      <c r="M11" s="16">
        <v>7186.04</v>
      </c>
      <c r="N11" s="18">
        <f t="shared" si="0"/>
        <v>591984893.83825016</v>
      </c>
      <c r="O11" s="4"/>
    </row>
    <row r="12" spans="1:19" ht="18" customHeight="1" x14ac:dyDescent="0.2">
      <c r="A12" s="17" t="s">
        <v>7</v>
      </c>
      <c r="B12" s="16">
        <v>67688503.189999998</v>
      </c>
      <c r="C12" s="16">
        <v>0</v>
      </c>
      <c r="D12" s="16">
        <v>2534441.0916285301</v>
      </c>
      <c r="E12" s="16">
        <v>0</v>
      </c>
      <c r="F12" s="16">
        <v>553582.24783848529</v>
      </c>
      <c r="G12" s="16">
        <v>279196.71999999997</v>
      </c>
      <c r="H12" s="16">
        <v>3949739.34</v>
      </c>
      <c r="I12" s="16">
        <v>1398285.28</v>
      </c>
      <c r="J12" s="16">
        <v>0</v>
      </c>
      <c r="K12" s="16">
        <v>0</v>
      </c>
      <c r="L12" s="16">
        <v>0</v>
      </c>
      <c r="M12" s="16">
        <v>245.67000000000002</v>
      </c>
      <c r="N12" s="18">
        <f t="shared" si="0"/>
        <v>76403993.539467022</v>
      </c>
      <c r="O12" s="4"/>
    </row>
    <row r="13" spans="1:19" ht="18" customHeight="1" x14ac:dyDescent="0.2">
      <c r="A13" s="17" t="s">
        <v>8</v>
      </c>
      <c r="B13" s="16">
        <v>291550257.18999994</v>
      </c>
      <c r="C13" s="16">
        <v>0</v>
      </c>
      <c r="D13" s="16">
        <v>3826754.5486681969</v>
      </c>
      <c r="E13" s="16">
        <v>0</v>
      </c>
      <c r="F13" s="16">
        <v>7873042.1347153876</v>
      </c>
      <c r="G13" s="16">
        <v>0</v>
      </c>
      <c r="H13" s="16">
        <v>15968560.99</v>
      </c>
      <c r="I13" s="16">
        <v>19886401.66</v>
      </c>
      <c r="J13" s="16">
        <v>0</v>
      </c>
      <c r="K13" s="16">
        <v>0</v>
      </c>
      <c r="L13" s="16">
        <v>0</v>
      </c>
      <c r="M13" s="16">
        <v>3494.4399999999996</v>
      </c>
      <c r="N13" s="18">
        <f t="shared" si="0"/>
        <v>339108510.96338356</v>
      </c>
      <c r="O13" s="4"/>
    </row>
    <row r="14" spans="1:19" ht="18" customHeight="1" x14ac:dyDescent="0.2">
      <c r="A14" s="17" t="s">
        <v>9</v>
      </c>
      <c r="B14" s="16">
        <v>103783294.51999998</v>
      </c>
      <c r="C14" s="16">
        <v>0</v>
      </c>
      <c r="D14" s="16">
        <v>2556617.9584970148</v>
      </c>
      <c r="E14" s="16">
        <v>0</v>
      </c>
      <c r="F14" s="16">
        <v>358335.39694109425</v>
      </c>
      <c r="G14" s="16">
        <v>195137.49</v>
      </c>
      <c r="H14" s="16">
        <v>5787154.1299999999</v>
      </c>
      <c r="I14" s="16">
        <v>905114.12</v>
      </c>
      <c r="J14" s="16">
        <v>0</v>
      </c>
      <c r="K14" s="16">
        <v>0</v>
      </c>
      <c r="L14" s="16">
        <v>0</v>
      </c>
      <c r="M14" s="16">
        <v>159.01000000000002</v>
      </c>
      <c r="N14" s="18">
        <f t="shared" si="0"/>
        <v>113585812.62543809</v>
      </c>
      <c r="O14" s="4"/>
    </row>
    <row r="15" spans="1:19" ht="18" customHeight="1" x14ac:dyDescent="0.2">
      <c r="A15" s="17" t="s">
        <v>10</v>
      </c>
      <c r="B15" s="16">
        <v>168956968.13</v>
      </c>
      <c r="C15" s="16">
        <v>0</v>
      </c>
      <c r="D15" s="16">
        <v>3996000.5797359427</v>
      </c>
      <c r="E15" s="16">
        <v>0</v>
      </c>
      <c r="F15" s="16">
        <v>1334952.4883905936</v>
      </c>
      <c r="G15" s="16">
        <v>627442.09</v>
      </c>
      <c r="H15" s="16">
        <v>9431353.8100000005</v>
      </c>
      <c r="I15" s="16">
        <v>3371936.91</v>
      </c>
      <c r="J15" s="16">
        <v>0</v>
      </c>
      <c r="K15" s="16">
        <v>0</v>
      </c>
      <c r="L15" s="16">
        <v>0</v>
      </c>
      <c r="M15" s="16">
        <v>592.48</v>
      </c>
      <c r="N15" s="18">
        <f t="shared" si="0"/>
        <v>187719246.48812652</v>
      </c>
      <c r="O15" s="4"/>
    </row>
    <row r="16" spans="1:19" ht="18" customHeight="1" x14ac:dyDescent="0.2">
      <c r="A16" s="17" t="s">
        <v>11</v>
      </c>
      <c r="B16" s="16">
        <v>313869370.45000005</v>
      </c>
      <c r="C16" s="16">
        <v>0</v>
      </c>
      <c r="D16" s="16">
        <v>8886357.1977244765</v>
      </c>
      <c r="E16" s="16">
        <v>0</v>
      </c>
      <c r="F16" s="16">
        <v>4978794.6978834728</v>
      </c>
      <c r="G16" s="16">
        <v>2897041.23</v>
      </c>
      <c r="H16" s="16">
        <v>17432974.379999999</v>
      </c>
      <c r="I16" s="16">
        <v>12575864.5</v>
      </c>
      <c r="J16" s="16">
        <v>0</v>
      </c>
      <c r="K16" s="16">
        <v>0</v>
      </c>
      <c r="L16" s="16">
        <v>0</v>
      </c>
      <c r="M16" s="16">
        <v>2209.83</v>
      </c>
      <c r="N16" s="18">
        <f t="shared" si="0"/>
        <v>360642612.28560799</v>
      </c>
      <c r="O16" s="4"/>
    </row>
    <row r="17" spans="1:15" ht="15" x14ac:dyDescent="0.2">
      <c r="A17" s="17" t="s">
        <v>12</v>
      </c>
      <c r="B17" s="16">
        <v>114226823.25</v>
      </c>
      <c r="C17" s="16">
        <v>0</v>
      </c>
      <c r="D17" s="16">
        <v>3430617.211448398</v>
      </c>
      <c r="E17" s="16">
        <v>0</v>
      </c>
      <c r="F17" s="16">
        <v>1022557.5269547678</v>
      </c>
      <c r="G17" s="16">
        <v>420296.14</v>
      </c>
      <c r="H17" s="16">
        <v>6263942.8300000001</v>
      </c>
      <c r="I17" s="16">
        <v>2582863.06</v>
      </c>
      <c r="J17" s="16">
        <v>0</v>
      </c>
      <c r="K17" s="16">
        <v>0</v>
      </c>
      <c r="L17" s="16">
        <v>0</v>
      </c>
      <c r="M17" s="16">
        <v>453.84000000000003</v>
      </c>
      <c r="N17" s="18">
        <f t="shared" si="0"/>
        <v>127947553.85840318</v>
      </c>
      <c r="O17" s="4"/>
    </row>
    <row r="18" spans="1:15" ht="15" x14ac:dyDescent="0.2">
      <c r="A18" s="17" t="s">
        <v>13</v>
      </c>
      <c r="B18" s="16">
        <v>66305346.839999989</v>
      </c>
      <c r="C18" s="16">
        <v>0</v>
      </c>
      <c r="D18" s="16">
        <v>2751266.7385827512</v>
      </c>
      <c r="E18" s="16">
        <v>0</v>
      </c>
      <c r="F18" s="16">
        <v>689106.53257902723</v>
      </c>
      <c r="G18" s="16">
        <v>315222.09999999998</v>
      </c>
      <c r="H18" s="16">
        <v>3840382.97</v>
      </c>
      <c r="I18" s="16">
        <v>1740604.08</v>
      </c>
      <c r="J18" s="16">
        <v>0</v>
      </c>
      <c r="K18" s="16">
        <v>0</v>
      </c>
      <c r="L18" s="16">
        <v>0</v>
      </c>
      <c r="M18" s="16">
        <v>305.82</v>
      </c>
      <c r="N18" s="18">
        <f t="shared" si="0"/>
        <v>75642235.081161752</v>
      </c>
      <c r="O18" s="4"/>
    </row>
    <row r="19" spans="1:15" ht="15" x14ac:dyDescent="0.2">
      <c r="A19" s="17" t="s">
        <v>14</v>
      </c>
      <c r="B19" s="16">
        <v>115877762.35999998</v>
      </c>
      <c r="C19" s="16">
        <v>0</v>
      </c>
      <c r="D19" s="16">
        <v>2012054.1542747985</v>
      </c>
      <c r="E19" s="16">
        <v>0</v>
      </c>
      <c r="F19" s="16">
        <v>278322.47176941828</v>
      </c>
      <c r="G19" s="16">
        <v>195137.49</v>
      </c>
      <c r="H19" s="16">
        <v>6424560</v>
      </c>
      <c r="I19" s="16">
        <v>703010.65</v>
      </c>
      <c r="J19" s="16">
        <v>0</v>
      </c>
      <c r="K19" s="16">
        <v>0</v>
      </c>
      <c r="L19" s="16">
        <v>0</v>
      </c>
      <c r="M19" s="16">
        <v>123.49999999999999</v>
      </c>
      <c r="N19" s="18">
        <f t="shared" si="0"/>
        <v>125490970.6260442</v>
      </c>
      <c r="O19" s="4"/>
    </row>
    <row r="20" spans="1:15" ht="15" x14ac:dyDescent="0.2">
      <c r="A20" s="17" t="s">
        <v>15</v>
      </c>
      <c r="B20" s="16">
        <v>391798818.99000001</v>
      </c>
      <c r="C20" s="16">
        <v>0</v>
      </c>
      <c r="D20" s="16">
        <v>3085329.6406803327</v>
      </c>
      <c r="E20" s="16">
        <v>0</v>
      </c>
      <c r="F20" s="16">
        <v>8883348.8788687494</v>
      </c>
      <c r="G20" s="16">
        <v>5023472.5158202797</v>
      </c>
      <c r="H20" s="16">
        <v>21317656.809999999</v>
      </c>
      <c r="I20" s="16">
        <v>22438320.640000001</v>
      </c>
      <c r="J20" s="16">
        <v>0</v>
      </c>
      <c r="K20" s="16">
        <v>0</v>
      </c>
      <c r="L20" s="16">
        <v>0</v>
      </c>
      <c r="M20" s="16">
        <v>3942.8599999999997</v>
      </c>
      <c r="N20" s="18">
        <f t="shared" si="0"/>
        <v>452550890.33536935</v>
      </c>
      <c r="O20" s="4"/>
    </row>
    <row r="21" spans="1:15" ht="15" x14ac:dyDescent="0.2">
      <c r="A21" s="17" t="s">
        <v>16</v>
      </c>
      <c r="B21" s="16">
        <v>169657860.46000001</v>
      </c>
      <c r="C21" s="16">
        <v>0</v>
      </c>
      <c r="D21" s="16">
        <v>3221104.189599725</v>
      </c>
      <c r="E21" s="16">
        <v>0</v>
      </c>
      <c r="F21" s="16">
        <v>2362104.0588958878</v>
      </c>
      <c r="G21" s="16">
        <v>592687.44461692381</v>
      </c>
      <c r="H21" s="16">
        <v>9260611.0600000005</v>
      </c>
      <c r="I21" s="16">
        <v>5966404</v>
      </c>
      <c r="J21" s="16">
        <v>0</v>
      </c>
      <c r="K21" s="16">
        <v>0</v>
      </c>
      <c r="L21" s="16">
        <v>0</v>
      </c>
      <c r="M21" s="16">
        <v>1048.4100000000001</v>
      </c>
      <c r="N21" s="18">
        <f t="shared" si="0"/>
        <v>191061819.62311253</v>
      </c>
      <c r="O21" s="4"/>
    </row>
    <row r="22" spans="1:15" ht="15" x14ac:dyDescent="0.2">
      <c r="A22" s="17" t="s">
        <v>17</v>
      </c>
      <c r="B22" s="16">
        <v>126351562.2</v>
      </c>
      <c r="C22" s="16">
        <v>0</v>
      </c>
      <c r="D22" s="16">
        <v>4033462.0694836052</v>
      </c>
      <c r="E22" s="16">
        <v>0</v>
      </c>
      <c r="F22" s="16">
        <v>562387.49797699507</v>
      </c>
      <c r="G22" s="16">
        <v>328731.62</v>
      </c>
      <c r="H22" s="16">
        <v>7134110.6799999997</v>
      </c>
      <c r="I22" s="16">
        <v>1420526.33</v>
      </c>
      <c r="J22" s="16">
        <v>0</v>
      </c>
      <c r="K22" s="16">
        <v>0</v>
      </c>
      <c r="L22" s="16">
        <v>0</v>
      </c>
      <c r="M22" s="16">
        <v>249.59</v>
      </c>
      <c r="N22" s="18">
        <f t="shared" si="0"/>
        <v>139831029.98746061</v>
      </c>
      <c r="O22" s="4"/>
    </row>
    <row r="23" spans="1:15" ht="15" x14ac:dyDescent="0.2">
      <c r="A23" s="17" t="s">
        <v>18</v>
      </c>
      <c r="B23" s="16">
        <v>129513727.64999999</v>
      </c>
      <c r="C23" s="16">
        <v>0</v>
      </c>
      <c r="D23" s="16">
        <v>2426730.5423025773</v>
      </c>
      <c r="E23" s="16">
        <v>0</v>
      </c>
      <c r="F23" s="16">
        <v>539034.44326181698</v>
      </c>
      <c r="G23" s="16">
        <v>397780.27</v>
      </c>
      <c r="H23" s="16">
        <v>7212077.7199999997</v>
      </c>
      <c r="I23" s="16">
        <v>1361539.19</v>
      </c>
      <c r="J23" s="16">
        <v>0</v>
      </c>
      <c r="K23" s="16">
        <v>0</v>
      </c>
      <c r="L23" s="16">
        <v>0</v>
      </c>
      <c r="M23" s="16">
        <v>239.21</v>
      </c>
      <c r="N23" s="18">
        <f t="shared" si="0"/>
        <v>141451129.0255644</v>
      </c>
      <c r="O23" s="4"/>
    </row>
    <row r="24" spans="1:15" ht="15" x14ac:dyDescent="0.2">
      <c r="A24" s="17" t="s">
        <v>19</v>
      </c>
      <c r="B24" s="16">
        <v>39792522.25</v>
      </c>
      <c r="C24" s="16">
        <v>0</v>
      </c>
      <c r="D24" s="16">
        <v>1324884.5868096161</v>
      </c>
      <c r="E24" s="16">
        <v>0</v>
      </c>
      <c r="F24" s="16">
        <v>560473.31316427561</v>
      </c>
      <c r="G24" s="16">
        <v>118119.86213101828</v>
      </c>
      <c r="H24" s="16">
        <v>2206492.5299999998</v>
      </c>
      <c r="I24" s="16">
        <v>1415691.32</v>
      </c>
      <c r="J24" s="16">
        <v>0</v>
      </c>
      <c r="K24" s="16">
        <v>0</v>
      </c>
      <c r="L24" s="16">
        <v>0</v>
      </c>
      <c r="M24" s="16">
        <v>248.74</v>
      </c>
      <c r="N24" s="18">
        <f t="shared" si="0"/>
        <v>45418432.602104917</v>
      </c>
      <c r="O24" s="4"/>
    </row>
    <row r="25" spans="1:15" ht="15" x14ac:dyDescent="0.2">
      <c r="A25" s="17" t="s">
        <v>20</v>
      </c>
      <c r="B25" s="16">
        <v>185170633.83000001</v>
      </c>
      <c r="C25" s="16">
        <v>0</v>
      </c>
      <c r="D25" s="16">
        <v>1542959.5370441419</v>
      </c>
      <c r="E25" s="16">
        <v>0</v>
      </c>
      <c r="F25" s="16">
        <v>2485760.3977975692</v>
      </c>
      <c r="G25" s="16">
        <v>908139.87</v>
      </c>
      <c r="H25" s="16">
        <v>9880550.2799999993</v>
      </c>
      <c r="I25" s="16">
        <v>6278745.7300000004</v>
      </c>
      <c r="J25" s="16">
        <v>0</v>
      </c>
      <c r="K25" s="16">
        <v>0</v>
      </c>
      <c r="L25" s="16">
        <v>0</v>
      </c>
      <c r="M25" s="16">
        <v>1103.28</v>
      </c>
      <c r="N25" s="18">
        <f t="shared" si="0"/>
        <v>206267892.9248417</v>
      </c>
      <c r="O25" s="4"/>
    </row>
    <row r="26" spans="1:15" ht="15" x14ac:dyDescent="0.2">
      <c r="A26" s="17" t="s">
        <v>21</v>
      </c>
      <c r="B26" s="16">
        <v>65392556.840000004</v>
      </c>
      <c r="C26" s="16">
        <v>0</v>
      </c>
      <c r="D26" s="16">
        <v>1838903.817037856</v>
      </c>
      <c r="E26" s="16">
        <v>0</v>
      </c>
      <c r="F26" s="16">
        <v>1130517.5503921488</v>
      </c>
      <c r="G26" s="16">
        <v>498351.13</v>
      </c>
      <c r="H26" s="16">
        <v>3655464.4</v>
      </c>
      <c r="I26" s="16">
        <v>2855557.7</v>
      </c>
      <c r="J26" s="16">
        <v>0</v>
      </c>
      <c r="K26" s="16">
        <v>0</v>
      </c>
      <c r="L26" s="16">
        <v>0</v>
      </c>
      <c r="M26" s="16">
        <v>501.75</v>
      </c>
      <c r="N26" s="18">
        <f t="shared" si="0"/>
        <v>75371853.187430009</v>
      </c>
      <c r="O26" s="4"/>
    </row>
    <row r="27" spans="1:15" ht="15" x14ac:dyDescent="0.2">
      <c r="A27" s="17" t="s">
        <v>22</v>
      </c>
      <c r="B27" s="16">
        <v>35377599.060000002</v>
      </c>
      <c r="C27" s="16">
        <v>0</v>
      </c>
      <c r="D27" s="16">
        <v>656270.50808664691</v>
      </c>
      <c r="E27" s="16">
        <v>0</v>
      </c>
      <c r="F27" s="16">
        <v>281002.33050722559</v>
      </c>
      <c r="G27" s="16">
        <v>139598.35999999999</v>
      </c>
      <c r="H27" s="16">
        <v>1886144.19</v>
      </c>
      <c r="I27" s="16">
        <v>709779.67</v>
      </c>
      <c r="J27" s="16">
        <v>0</v>
      </c>
      <c r="K27" s="16">
        <v>0</v>
      </c>
      <c r="L27" s="16">
        <v>0</v>
      </c>
      <c r="M27" s="16">
        <v>124.69999999999999</v>
      </c>
      <c r="N27" s="18">
        <f t="shared" si="0"/>
        <v>39050518.818593875</v>
      </c>
      <c r="O27" s="4"/>
    </row>
    <row r="28" spans="1:15" ht="15" x14ac:dyDescent="0.2">
      <c r="A28" s="17" t="s">
        <v>23</v>
      </c>
      <c r="B28" s="16">
        <v>116487841.42000002</v>
      </c>
      <c r="C28" s="16">
        <v>0</v>
      </c>
      <c r="D28" s="16">
        <v>4013592.7617058791</v>
      </c>
      <c r="E28" s="16">
        <v>0</v>
      </c>
      <c r="F28" s="16">
        <v>387048.16913188697</v>
      </c>
      <c r="G28" s="16">
        <v>213150.18</v>
      </c>
      <c r="H28" s="16">
        <v>6223313.9000000004</v>
      </c>
      <c r="I28" s="16">
        <v>977639.29</v>
      </c>
      <c r="J28" s="16">
        <v>0</v>
      </c>
      <c r="K28" s="16">
        <v>0</v>
      </c>
      <c r="L28" s="16">
        <v>0</v>
      </c>
      <c r="M28" s="16">
        <v>171.78</v>
      </c>
      <c r="N28" s="18">
        <f t="shared" si="0"/>
        <v>128302757.5008378</v>
      </c>
      <c r="O28" s="4"/>
    </row>
    <row r="29" spans="1:15" ht="15" x14ac:dyDescent="0.2">
      <c r="A29" s="17" t="s">
        <v>24</v>
      </c>
      <c r="B29" s="16">
        <v>74026805.359999999</v>
      </c>
      <c r="C29" s="16">
        <v>0</v>
      </c>
      <c r="D29" s="16">
        <v>2013282.2744775077</v>
      </c>
      <c r="E29" s="16">
        <v>0</v>
      </c>
      <c r="F29" s="16">
        <v>241570.12336520347</v>
      </c>
      <c r="G29" s="16">
        <v>111078.26</v>
      </c>
      <c r="H29" s="16">
        <v>3708750.31</v>
      </c>
      <c r="I29" s="16">
        <v>610178.43000000005</v>
      </c>
      <c r="J29" s="16">
        <v>0</v>
      </c>
      <c r="K29" s="16">
        <v>0</v>
      </c>
      <c r="L29" s="16">
        <v>0</v>
      </c>
      <c r="M29" s="16">
        <v>107.17999999999999</v>
      </c>
      <c r="N29" s="18">
        <f t="shared" si="0"/>
        <v>80711771.937842742</v>
      </c>
      <c r="O29" s="4"/>
    </row>
    <row r="30" spans="1:15" ht="15" x14ac:dyDescent="0.2">
      <c r="A30" s="17" t="s">
        <v>25</v>
      </c>
      <c r="B30" s="16">
        <v>23495028.890000001</v>
      </c>
      <c r="C30" s="16">
        <v>0</v>
      </c>
      <c r="D30" s="16">
        <v>1051264.2306329901</v>
      </c>
      <c r="E30" s="16">
        <v>0</v>
      </c>
      <c r="F30" s="16">
        <v>208646.14458642772</v>
      </c>
      <c r="G30" s="16">
        <v>141099.42000000001</v>
      </c>
      <c r="H30" s="16">
        <v>1276710.27</v>
      </c>
      <c r="I30" s="16">
        <v>527016.24</v>
      </c>
      <c r="J30" s="16">
        <v>0</v>
      </c>
      <c r="K30" s="16">
        <v>0</v>
      </c>
      <c r="L30" s="16">
        <v>0</v>
      </c>
      <c r="M30" s="16">
        <v>92.589999999999989</v>
      </c>
      <c r="N30" s="18">
        <f t="shared" si="0"/>
        <v>26699857.78521942</v>
      </c>
      <c r="O30" s="4"/>
    </row>
    <row r="31" spans="1:15" ht="15" x14ac:dyDescent="0.2">
      <c r="A31" s="17" t="s">
        <v>26</v>
      </c>
      <c r="B31" s="16">
        <v>43089743.359999999</v>
      </c>
      <c r="C31" s="16">
        <v>0</v>
      </c>
      <c r="D31" s="16">
        <v>567792.35057973897</v>
      </c>
      <c r="E31" s="16">
        <v>0</v>
      </c>
      <c r="F31" s="16">
        <v>249226.86261608158</v>
      </c>
      <c r="G31" s="16">
        <v>79556.05</v>
      </c>
      <c r="H31" s="16">
        <v>2337112.64</v>
      </c>
      <c r="I31" s="16">
        <v>629518.48</v>
      </c>
      <c r="J31" s="16">
        <v>0</v>
      </c>
      <c r="K31" s="16">
        <v>0</v>
      </c>
      <c r="L31" s="16">
        <v>0</v>
      </c>
      <c r="M31" s="16">
        <v>110.6</v>
      </c>
      <c r="N31" s="18">
        <f t="shared" si="0"/>
        <v>46953060.343195818</v>
      </c>
      <c r="O31" s="4"/>
    </row>
    <row r="32" spans="1:15" ht="15" x14ac:dyDescent="0.2">
      <c r="A32" s="17" t="s">
        <v>27</v>
      </c>
      <c r="B32" s="16">
        <v>197318658.23000002</v>
      </c>
      <c r="C32" s="16">
        <v>0</v>
      </c>
      <c r="D32" s="16">
        <v>3998022.1528338296</v>
      </c>
      <c r="E32" s="16">
        <v>0</v>
      </c>
      <c r="F32" s="16">
        <v>735046.96808429586</v>
      </c>
      <c r="G32" s="16">
        <v>468329.98</v>
      </c>
      <c r="H32" s="16">
        <v>10685281.51</v>
      </c>
      <c r="I32" s="16">
        <v>1856644.36</v>
      </c>
      <c r="J32" s="16">
        <v>0</v>
      </c>
      <c r="K32" s="16">
        <v>0</v>
      </c>
      <c r="L32" s="16">
        <v>0</v>
      </c>
      <c r="M32" s="16">
        <v>326.22999999999996</v>
      </c>
      <c r="N32" s="18">
        <f t="shared" si="0"/>
        <v>215062309.43091813</v>
      </c>
      <c r="O32" s="4"/>
    </row>
    <row r="33" spans="1:15" ht="15" x14ac:dyDescent="0.2">
      <c r="A33" s="17" t="s">
        <v>28</v>
      </c>
      <c r="B33" s="16">
        <v>126586745.35000001</v>
      </c>
      <c r="C33" s="16">
        <v>0</v>
      </c>
      <c r="D33" s="16">
        <v>2988897.1960253571</v>
      </c>
      <c r="E33" s="16">
        <v>0</v>
      </c>
      <c r="F33" s="16">
        <v>539417.28022436087</v>
      </c>
      <c r="G33" s="16">
        <v>351247.49</v>
      </c>
      <c r="H33" s="16">
        <v>6909322.5999999996</v>
      </c>
      <c r="I33" s="16">
        <v>1362506.2</v>
      </c>
      <c r="J33" s="16">
        <v>0</v>
      </c>
      <c r="K33" s="16">
        <v>0</v>
      </c>
      <c r="L33" s="16">
        <v>0</v>
      </c>
      <c r="M33" s="16">
        <v>239.39</v>
      </c>
      <c r="N33" s="18">
        <f t="shared" si="0"/>
        <v>138738375.5062497</v>
      </c>
      <c r="O33" s="4"/>
    </row>
    <row r="34" spans="1:15" ht="15" x14ac:dyDescent="0.2">
      <c r="A34" s="17" t="s">
        <v>29</v>
      </c>
      <c r="B34" s="16">
        <v>167981307.34</v>
      </c>
      <c r="C34" s="16">
        <v>0</v>
      </c>
      <c r="D34" s="16">
        <v>3062554.3254304705</v>
      </c>
      <c r="E34" s="16">
        <v>0</v>
      </c>
      <c r="F34" s="16">
        <v>784432.93625245942</v>
      </c>
      <c r="G34" s="16">
        <v>616934.68999999994</v>
      </c>
      <c r="H34" s="16">
        <v>9633359.3200000003</v>
      </c>
      <c r="I34" s="16">
        <v>1981387.65</v>
      </c>
      <c r="J34" s="16">
        <v>0</v>
      </c>
      <c r="K34" s="16">
        <v>0</v>
      </c>
      <c r="L34" s="16">
        <v>0</v>
      </c>
      <c r="M34" s="16">
        <v>348.15000000000003</v>
      </c>
      <c r="N34" s="18">
        <f t="shared" si="0"/>
        <v>184060324.41168293</v>
      </c>
      <c r="O34" s="4"/>
    </row>
    <row r="35" spans="1:15" ht="15" x14ac:dyDescent="0.2">
      <c r="A35" s="17" t="s">
        <v>30</v>
      </c>
      <c r="B35" s="16">
        <v>84349249.689999998</v>
      </c>
      <c r="C35" s="16">
        <v>0</v>
      </c>
      <c r="D35" s="16">
        <v>1438868.8716285299</v>
      </c>
      <c r="E35" s="16">
        <v>0</v>
      </c>
      <c r="F35" s="16">
        <v>490414.1490187411</v>
      </c>
      <c r="G35" s="16">
        <v>238668.16</v>
      </c>
      <c r="H35" s="16">
        <v>4641696.82</v>
      </c>
      <c r="I35" s="16">
        <v>1238729.9099999999</v>
      </c>
      <c r="J35" s="16">
        <v>0</v>
      </c>
      <c r="K35" s="16">
        <v>0</v>
      </c>
      <c r="L35" s="16">
        <v>0</v>
      </c>
      <c r="M35" s="16">
        <v>217.64</v>
      </c>
      <c r="N35" s="18">
        <f t="shared" si="0"/>
        <v>92397845.240647241</v>
      </c>
      <c r="O35" s="4"/>
    </row>
    <row r="36" spans="1:15" ht="15" x14ac:dyDescent="0.2">
      <c r="A36" s="17" t="s">
        <v>31</v>
      </c>
      <c r="B36" s="16">
        <v>91858810.510000005</v>
      </c>
      <c r="C36" s="16">
        <v>0</v>
      </c>
      <c r="D36" s="16">
        <v>1548715.5816540609</v>
      </c>
      <c r="E36" s="16">
        <v>0</v>
      </c>
      <c r="F36" s="16">
        <v>308566.59181038669</v>
      </c>
      <c r="G36" s="16">
        <v>151606.82</v>
      </c>
      <c r="H36" s="16">
        <v>4999889.55</v>
      </c>
      <c r="I36" s="16">
        <v>779403.83</v>
      </c>
      <c r="J36" s="16">
        <v>0</v>
      </c>
      <c r="K36" s="16">
        <v>0</v>
      </c>
      <c r="L36" s="16">
        <v>0</v>
      </c>
      <c r="M36" s="16">
        <v>136.93</v>
      </c>
      <c r="N36" s="18">
        <f t="shared" si="0"/>
        <v>99647129.813464448</v>
      </c>
      <c r="O36" s="4"/>
    </row>
    <row r="37" spans="1:15" ht="15" x14ac:dyDescent="0.2">
      <c r="A37" s="17" t="s">
        <v>32</v>
      </c>
      <c r="B37" s="16">
        <v>100537301.38</v>
      </c>
      <c r="C37" s="16">
        <v>0</v>
      </c>
      <c r="D37" s="16">
        <v>2269205.2495032279</v>
      </c>
      <c r="E37" s="16">
        <v>0</v>
      </c>
      <c r="F37" s="16">
        <v>572341.25900313654</v>
      </c>
      <c r="G37" s="16">
        <v>220655.47</v>
      </c>
      <c r="H37" s="16">
        <v>5553126.4500000002</v>
      </c>
      <c r="I37" s="16">
        <v>1445668.39</v>
      </c>
      <c r="J37" s="16">
        <v>0</v>
      </c>
      <c r="K37" s="16">
        <v>0</v>
      </c>
      <c r="L37" s="16">
        <v>0</v>
      </c>
      <c r="M37" s="16">
        <v>254.01000000000002</v>
      </c>
      <c r="N37" s="18">
        <f t="shared" si="0"/>
        <v>110598552.20850636</v>
      </c>
      <c r="O37" s="4"/>
    </row>
    <row r="38" spans="1:15" ht="15" x14ac:dyDescent="0.2">
      <c r="A38" s="17" t="s">
        <v>33</v>
      </c>
      <c r="B38" s="16">
        <v>91162575.290000007</v>
      </c>
      <c r="C38" s="16">
        <v>0</v>
      </c>
      <c r="D38" s="16">
        <v>754244.77492989099</v>
      </c>
      <c r="E38" s="16">
        <v>0</v>
      </c>
      <c r="F38" s="16">
        <v>511470.18195865577</v>
      </c>
      <c r="G38" s="16">
        <v>597420.93999999994</v>
      </c>
      <c r="H38" s="16">
        <v>5081400.54</v>
      </c>
      <c r="I38" s="16">
        <v>1291915.03</v>
      </c>
      <c r="J38" s="16">
        <v>0</v>
      </c>
      <c r="K38" s="16">
        <v>0</v>
      </c>
      <c r="L38" s="16">
        <v>0</v>
      </c>
      <c r="M38" s="16">
        <v>226.99</v>
      </c>
      <c r="N38" s="18">
        <f t="shared" si="0"/>
        <v>99399253.746888563</v>
      </c>
      <c r="O38" s="4"/>
    </row>
    <row r="39" spans="1:15" ht="15" x14ac:dyDescent="0.2">
      <c r="A39" s="17" t="s">
        <v>34</v>
      </c>
      <c r="B39" s="16">
        <v>156531846.72000003</v>
      </c>
      <c r="C39" s="16">
        <v>0</v>
      </c>
      <c r="D39" s="16">
        <v>2825801.6742932787</v>
      </c>
      <c r="E39" s="16">
        <v>0</v>
      </c>
      <c r="F39" s="16">
        <v>651588.51024972473</v>
      </c>
      <c r="G39" s="16">
        <v>367759.12</v>
      </c>
      <c r="H39" s="16">
        <v>8410820.9600000009</v>
      </c>
      <c r="I39" s="16">
        <v>1645837.86</v>
      </c>
      <c r="J39" s="16">
        <v>0</v>
      </c>
      <c r="K39" s="16">
        <v>0</v>
      </c>
      <c r="L39" s="16">
        <v>0</v>
      </c>
      <c r="M39" s="16">
        <v>289.17999999999995</v>
      </c>
      <c r="N39" s="18">
        <f t="shared" si="0"/>
        <v>170433944.02454308</v>
      </c>
      <c r="O39" s="4"/>
    </row>
    <row r="40" spans="1:15" ht="15" x14ac:dyDescent="0.2">
      <c r="A40" s="17" t="s">
        <v>35</v>
      </c>
      <c r="B40" s="16">
        <v>101843615.70999999</v>
      </c>
      <c r="C40" s="16">
        <v>0</v>
      </c>
      <c r="D40" s="16">
        <v>1917732.4630724527</v>
      </c>
      <c r="E40" s="16">
        <v>0</v>
      </c>
      <c r="F40" s="16">
        <v>347998.79895240883</v>
      </c>
      <c r="G40" s="16">
        <v>162114.22</v>
      </c>
      <c r="H40" s="16">
        <v>5634764.0099999998</v>
      </c>
      <c r="I40" s="16">
        <v>879005.06</v>
      </c>
      <c r="J40" s="16">
        <v>0</v>
      </c>
      <c r="K40" s="16">
        <v>0</v>
      </c>
      <c r="L40" s="16">
        <v>0</v>
      </c>
      <c r="M40" s="16">
        <v>154.42000000000002</v>
      </c>
      <c r="N40" s="18">
        <f t="shared" ref="N40:N71" si="1">SUM(B40:M40)</f>
        <v>110785384.68202487</v>
      </c>
      <c r="O40" s="4"/>
    </row>
    <row r="41" spans="1:15" ht="15" x14ac:dyDescent="0.2">
      <c r="A41" s="17" t="s">
        <v>36</v>
      </c>
      <c r="B41" s="16">
        <v>109730400.94999999</v>
      </c>
      <c r="C41" s="16">
        <v>0</v>
      </c>
      <c r="D41" s="16">
        <v>881954.41558583593</v>
      </c>
      <c r="E41" s="16">
        <v>0</v>
      </c>
      <c r="F41" s="16">
        <v>589186.08535506832</v>
      </c>
      <c r="G41" s="16">
        <v>259682.97</v>
      </c>
      <c r="H41" s="16">
        <v>5838288.3600000003</v>
      </c>
      <c r="I41" s="16">
        <v>1488216.49</v>
      </c>
      <c r="J41" s="16">
        <v>0</v>
      </c>
      <c r="K41" s="16">
        <v>0</v>
      </c>
      <c r="L41" s="16">
        <v>0</v>
      </c>
      <c r="M41" s="16">
        <v>261.47999999999996</v>
      </c>
      <c r="N41" s="18">
        <f t="shared" si="1"/>
        <v>118787990.75094089</v>
      </c>
      <c r="O41" s="4"/>
    </row>
    <row r="42" spans="1:15" ht="15" x14ac:dyDescent="0.2">
      <c r="A42" s="17" t="s">
        <v>37</v>
      </c>
      <c r="B42" s="16">
        <v>64831377.249999993</v>
      </c>
      <c r="C42" s="16">
        <v>0</v>
      </c>
      <c r="D42" s="16">
        <v>549744.56524509797</v>
      </c>
      <c r="E42" s="16">
        <v>0</v>
      </c>
      <c r="F42" s="16">
        <v>1600258.503433519</v>
      </c>
      <c r="G42" s="16">
        <v>0</v>
      </c>
      <c r="H42" s="16">
        <v>3596735.98</v>
      </c>
      <c r="I42" s="16">
        <v>4042069.48</v>
      </c>
      <c r="J42" s="16">
        <v>0</v>
      </c>
      <c r="K42" s="16">
        <v>0</v>
      </c>
      <c r="L42" s="16">
        <v>0</v>
      </c>
      <c r="M42" s="16">
        <v>710.25</v>
      </c>
      <c r="N42" s="18">
        <f t="shared" si="1"/>
        <v>74620896.028678611</v>
      </c>
      <c r="O42" s="4"/>
    </row>
    <row r="43" spans="1:15" ht="15" x14ac:dyDescent="0.2">
      <c r="A43" s="17" t="s">
        <v>38</v>
      </c>
      <c r="B43" s="16">
        <v>285104841.90999997</v>
      </c>
      <c r="C43" s="16">
        <v>0</v>
      </c>
      <c r="D43" s="16">
        <v>3577471.2189223464</v>
      </c>
      <c r="E43" s="16">
        <v>0</v>
      </c>
      <c r="F43" s="16">
        <v>6654472.0829381403</v>
      </c>
      <c r="G43" s="16">
        <v>2051945.78</v>
      </c>
      <c r="H43" s="16">
        <v>12965564.27</v>
      </c>
      <c r="I43" s="16">
        <v>16808433.43</v>
      </c>
      <c r="J43" s="16">
        <v>0</v>
      </c>
      <c r="K43" s="16">
        <v>0</v>
      </c>
      <c r="L43" s="16">
        <v>0</v>
      </c>
      <c r="M43" s="16">
        <v>2953.5899999999997</v>
      </c>
      <c r="N43" s="18">
        <f t="shared" si="1"/>
        <v>327165682.28186035</v>
      </c>
      <c r="O43" s="4"/>
    </row>
    <row r="44" spans="1:15" ht="15" x14ac:dyDescent="0.2">
      <c r="A44" s="17" t="s">
        <v>39</v>
      </c>
      <c r="B44" s="16">
        <v>336933618.47000003</v>
      </c>
      <c r="C44" s="16">
        <v>0</v>
      </c>
      <c r="D44" s="16">
        <v>2843572.3642725134</v>
      </c>
      <c r="E44" s="16">
        <v>0</v>
      </c>
      <c r="F44" s="16">
        <v>8373027.2077977266</v>
      </c>
      <c r="G44" s="16">
        <v>3795568.8790574223</v>
      </c>
      <c r="H44" s="16">
        <v>18650449.949999999</v>
      </c>
      <c r="I44" s="16">
        <v>21149306.620000001</v>
      </c>
      <c r="J44" s="16">
        <v>0</v>
      </c>
      <c r="K44" s="16">
        <v>0</v>
      </c>
      <c r="L44" s="16">
        <v>0</v>
      </c>
      <c r="M44" s="16">
        <v>3716.3700000000003</v>
      </c>
      <c r="N44" s="18">
        <f t="shared" si="1"/>
        <v>391749259.86112767</v>
      </c>
      <c r="O44" s="4"/>
    </row>
    <row r="45" spans="1:15" ht="15" x14ac:dyDescent="0.2">
      <c r="A45" s="17" t="s">
        <v>40</v>
      </c>
      <c r="B45" s="16">
        <v>97761674.569999993</v>
      </c>
      <c r="C45" s="16">
        <v>0</v>
      </c>
      <c r="D45" s="16">
        <v>2059578.523077596</v>
      </c>
      <c r="E45" s="16">
        <v>0</v>
      </c>
      <c r="F45" s="16">
        <v>623641.41198401968</v>
      </c>
      <c r="G45" s="16">
        <v>286702.01</v>
      </c>
      <c r="H45" s="16">
        <v>5292139.38</v>
      </c>
      <c r="I45" s="16">
        <v>1575246.7</v>
      </c>
      <c r="J45" s="16">
        <v>0</v>
      </c>
      <c r="K45" s="16">
        <v>0</v>
      </c>
      <c r="L45" s="16">
        <v>0</v>
      </c>
      <c r="M45" s="16">
        <v>276.78000000000003</v>
      </c>
      <c r="N45" s="18">
        <f t="shared" si="1"/>
        <v>107599259.37506162</v>
      </c>
      <c r="O45" s="4"/>
    </row>
    <row r="46" spans="1:15" ht="15" x14ac:dyDescent="0.2">
      <c r="A46" s="17" t="s">
        <v>41</v>
      </c>
      <c r="B46" s="16">
        <v>148426178.16</v>
      </c>
      <c r="C46" s="16">
        <v>0</v>
      </c>
      <c r="D46" s="16">
        <v>1656010.3242725129</v>
      </c>
      <c r="E46" s="16">
        <v>0</v>
      </c>
      <c r="F46" s="16">
        <v>4919072.1317266235</v>
      </c>
      <c r="G46" s="16">
        <v>0</v>
      </c>
      <c r="H46" s="16">
        <v>8246406.7000000002</v>
      </c>
      <c r="I46" s="16">
        <v>12425012.15</v>
      </c>
      <c r="J46" s="16">
        <v>0</v>
      </c>
      <c r="K46" s="16">
        <v>0</v>
      </c>
      <c r="L46" s="16">
        <v>0</v>
      </c>
      <c r="M46" s="16">
        <v>2183.3200000000002</v>
      </c>
      <c r="N46" s="18">
        <f t="shared" si="1"/>
        <v>175674862.78599912</v>
      </c>
      <c r="O46" s="4"/>
    </row>
    <row r="47" spans="1:15" ht="15" x14ac:dyDescent="0.2">
      <c r="A47" s="17" t="s">
        <v>42</v>
      </c>
      <c r="B47" s="16">
        <v>446915502.48000002</v>
      </c>
      <c r="C47" s="16">
        <v>0</v>
      </c>
      <c r="D47" s="16">
        <v>2757872.602412411</v>
      </c>
      <c r="E47" s="16">
        <v>0</v>
      </c>
      <c r="F47" s="16">
        <v>15334917.371658623</v>
      </c>
      <c r="G47" s="16">
        <v>4231556.6491067084</v>
      </c>
      <c r="H47" s="16">
        <v>24533544.050000001</v>
      </c>
      <c r="I47" s="16">
        <v>38734242.869999997</v>
      </c>
      <c r="J47" s="16">
        <v>0</v>
      </c>
      <c r="K47" s="16">
        <v>0</v>
      </c>
      <c r="L47" s="16">
        <v>0</v>
      </c>
      <c r="M47" s="16">
        <v>6806.44</v>
      </c>
      <c r="N47" s="18">
        <f t="shared" si="1"/>
        <v>532514442.46317774</v>
      </c>
      <c r="O47" s="4"/>
    </row>
    <row r="48" spans="1:15" ht="15" x14ac:dyDescent="0.2">
      <c r="A48" s="17" t="s">
        <v>43</v>
      </c>
      <c r="B48" s="16">
        <v>45714014.689999998</v>
      </c>
      <c r="C48" s="16">
        <v>0</v>
      </c>
      <c r="D48" s="16">
        <v>706784.42915506091</v>
      </c>
      <c r="E48" s="16">
        <v>0</v>
      </c>
      <c r="F48" s="16">
        <v>133227.26296527861</v>
      </c>
      <c r="G48" s="16">
        <v>85560.29</v>
      </c>
      <c r="H48" s="16">
        <v>2682648.38</v>
      </c>
      <c r="I48" s="16">
        <v>336516.79</v>
      </c>
      <c r="J48" s="16">
        <v>0</v>
      </c>
      <c r="K48" s="16">
        <v>0</v>
      </c>
      <c r="L48" s="16">
        <v>0</v>
      </c>
      <c r="M48" s="16">
        <v>59.1</v>
      </c>
      <c r="N48" s="18">
        <f t="shared" si="1"/>
        <v>49658810.942120336</v>
      </c>
      <c r="O48" s="4"/>
    </row>
    <row r="49" spans="1:15" ht="15" x14ac:dyDescent="0.2">
      <c r="A49" s="17" t="s">
        <v>44</v>
      </c>
      <c r="B49" s="16">
        <v>79950626.340000004</v>
      </c>
      <c r="C49" s="16">
        <v>0</v>
      </c>
      <c r="D49" s="16">
        <v>1634485.529130673</v>
      </c>
      <c r="E49" s="16">
        <v>0</v>
      </c>
      <c r="F49" s="16">
        <v>786729.95802772278</v>
      </c>
      <c r="G49" s="16">
        <v>379767.58</v>
      </c>
      <c r="H49" s="16">
        <v>4366027.6399999997</v>
      </c>
      <c r="I49" s="16">
        <v>1987189.66</v>
      </c>
      <c r="J49" s="16">
        <v>0</v>
      </c>
      <c r="K49" s="16">
        <v>0</v>
      </c>
      <c r="L49" s="16">
        <v>0</v>
      </c>
      <c r="M49" s="16">
        <v>349.18</v>
      </c>
      <c r="N49" s="18">
        <f t="shared" si="1"/>
        <v>89105175.887158394</v>
      </c>
      <c r="O49" s="4"/>
    </row>
    <row r="50" spans="1:15" ht="15" x14ac:dyDescent="0.2">
      <c r="A50" s="17" t="s">
        <v>45</v>
      </c>
      <c r="B50" s="16">
        <v>61110360.770000003</v>
      </c>
      <c r="C50" s="16">
        <v>0</v>
      </c>
      <c r="D50" s="16">
        <v>1346290.3874396519</v>
      </c>
      <c r="E50" s="16">
        <v>0</v>
      </c>
      <c r="F50" s="16">
        <v>220514.09042528874</v>
      </c>
      <c r="G50" s="16">
        <v>106575.09</v>
      </c>
      <c r="H50" s="16">
        <v>3475102.33</v>
      </c>
      <c r="I50" s="16">
        <v>556993.31000000006</v>
      </c>
      <c r="J50" s="16">
        <v>0</v>
      </c>
      <c r="K50" s="16">
        <v>0</v>
      </c>
      <c r="L50" s="16">
        <v>0</v>
      </c>
      <c r="M50" s="16">
        <v>97.839999999999989</v>
      </c>
      <c r="N50" s="18">
        <f t="shared" si="1"/>
        <v>66815933.817864954</v>
      </c>
      <c r="O50" s="4"/>
    </row>
    <row r="51" spans="1:15" ht="15" x14ac:dyDescent="0.2">
      <c r="A51" s="17" t="s">
        <v>46</v>
      </c>
      <c r="B51" s="16">
        <v>58784143.319999993</v>
      </c>
      <c r="C51" s="16">
        <v>0</v>
      </c>
      <c r="D51" s="16">
        <v>1453915.398716683</v>
      </c>
      <c r="E51" s="16">
        <v>0</v>
      </c>
      <c r="F51" s="16">
        <v>274876.93910652312</v>
      </c>
      <c r="G51" s="16">
        <v>142600.48000000001</v>
      </c>
      <c r="H51" s="16">
        <v>3426752.64</v>
      </c>
      <c r="I51" s="16">
        <v>694307.63</v>
      </c>
      <c r="J51" s="16">
        <v>0</v>
      </c>
      <c r="K51" s="16">
        <v>0</v>
      </c>
      <c r="L51" s="16">
        <v>0</v>
      </c>
      <c r="M51" s="16">
        <v>121.97999999999999</v>
      </c>
      <c r="N51" s="18">
        <f t="shared" si="1"/>
        <v>64776718.387823194</v>
      </c>
      <c r="O51" s="4"/>
    </row>
    <row r="52" spans="1:15" ht="15" x14ac:dyDescent="0.2">
      <c r="A52" s="17" t="s">
        <v>47</v>
      </c>
      <c r="B52" s="16">
        <v>68021485.260000005</v>
      </c>
      <c r="C52" s="16">
        <v>0</v>
      </c>
      <c r="D52" s="16">
        <v>1305115.3895812449</v>
      </c>
      <c r="E52" s="16">
        <v>0</v>
      </c>
      <c r="F52" s="16">
        <v>253055.23224152063</v>
      </c>
      <c r="G52" s="16">
        <v>166617.4</v>
      </c>
      <c r="H52" s="16">
        <v>3731026.61</v>
      </c>
      <c r="I52" s="16">
        <v>639188.5</v>
      </c>
      <c r="J52" s="16">
        <v>0</v>
      </c>
      <c r="K52" s="16">
        <v>0</v>
      </c>
      <c r="L52" s="16">
        <v>0</v>
      </c>
      <c r="M52" s="16">
        <v>112.3</v>
      </c>
      <c r="N52" s="18">
        <f t="shared" si="1"/>
        <v>74116600.691822782</v>
      </c>
      <c r="O52" s="4"/>
    </row>
    <row r="53" spans="1:15" ht="15" x14ac:dyDescent="0.2">
      <c r="A53" s="17" t="s">
        <v>48</v>
      </c>
      <c r="B53" s="16">
        <v>24705872.799999997</v>
      </c>
      <c r="C53" s="16">
        <v>0</v>
      </c>
      <c r="D53" s="16">
        <v>928545.99797976704</v>
      </c>
      <c r="E53" s="16">
        <v>0</v>
      </c>
      <c r="F53" s="16">
        <v>44026.250692548965</v>
      </c>
      <c r="G53" s="16">
        <v>27019.040000000001</v>
      </c>
      <c r="H53" s="16">
        <v>1344678.29</v>
      </c>
      <c r="I53" s="16">
        <v>111205.26</v>
      </c>
      <c r="J53" s="16">
        <v>0</v>
      </c>
      <c r="K53" s="16">
        <v>0</v>
      </c>
      <c r="L53" s="16">
        <v>0</v>
      </c>
      <c r="M53" s="16">
        <v>19.510000000000002</v>
      </c>
      <c r="N53" s="18">
        <f t="shared" si="1"/>
        <v>27161367.148672316</v>
      </c>
      <c r="O53" s="4"/>
    </row>
    <row r="54" spans="1:15" ht="15" x14ac:dyDescent="0.2">
      <c r="A54" s="17" t="s">
        <v>49</v>
      </c>
      <c r="B54" s="16">
        <v>82810080.800000012</v>
      </c>
      <c r="C54" s="16">
        <v>0</v>
      </c>
      <c r="D54" s="16">
        <v>1551270.4548777826</v>
      </c>
      <c r="E54" s="16">
        <v>0</v>
      </c>
      <c r="F54" s="16">
        <v>151220.60020484211</v>
      </c>
      <c r="G54" s="16">
        <v>103572.98</v>
      </c>
      <c r="H54" s="16">
        <v>4658024.33</v>
      </c>
      <c r="I54" s="16">
        <v>381965.9</v>
      </c>
      <c r="J54" s="16">
        <v>0</v>
      </c>
      <c r="K54" s="16">
        <v>0</v>
      </c>
      <c r="L54" s="16">
        <v>0</v>
      </c>
      <c r="M54" s="16">
        <v>67.09</v>
      </c>
      <c r="N54" s="18">
        <f t="shared" si="1"/>
        <v>89656202.155082643</v>
      </c>
      <c r="O54" s="4"/>
    </row>
    <row r="55" spans="1:15" ht="15" x14ac:dyDescent="0.2">
      <c r="A55" s="17" t="s">
        <v>50</v>
      </c>
      <c r="B55" s="16">
        <v>36162319.059999995</v>
      </c>
      <c r="C55" s="16">
        <v>0</v>
      </c>
      <c r="D55" s="16">
        <v>731297.89340166503</v>
      </c>
      <c r="E55" s="16">
        <v>0</v>
      </c>
      <c r="F55" s="16">
        <v>279088.14569450612</v>
      </c>
      <c r="G55" s="16">
        <v>142600.48000000001</v>
      </c>
      <c r="H55" s="16">
        <v>1712616.9</v>
      </c>
      <c r="I55" s="16">
        <v>704944.65</v>
      </c>
      <c r="J55" s="16">
        <v>0</v>
      </c>
      <c r="K55" s="16">
        <v>0</v>
      </c>
      <c r="L55" s="16">
        <v>0</v>
      </c>
      <c r="M55" s="16">
        <v>123.85</v>
      </c>
      <c r="N55" s="18">
        <f t="shared" si="1"/>
        <v>39732990.979096167</v>
      </c>
      <c r="O55" s="4"/>
    </row>
    <row r="56" spans="1:15" ht="15" x14ac:dyDescent="0.2">
      <c r="A56" s="17" t="s">
        <v>51</v>
      </c>
      <c r="B56" s="16">
        <v>30729821.280000005</v>
      </c>
      <c r="C56" s="16">
        <v>0</v>
      </c>
      <c r="D56" s="16">
        <v>697671.03955533588</v>
      </c>
      <c r="E56" s="16">
        <v>0</v>
      </c>
      <c r="F56" s="16">
        <v>78864.414284044236</v>
      </c>
      <c r="G56" s="16">
        <v>36025.379999999997</v>
      </c>
      <c r="H56" s="16">
        <v>1641864.34</v>
      </c>
      <c r="I56" s="16">
        <v>199202.47</v>
      </c>
      <c r="J56" s="16">
        <v>0</v>
      </c>
      <c r="K56" s="16">
        <v>0</v>
      </c>
      <c r="L56" s="16">
        <v>0</v>
      </c>
      <c r="M56" s="16">
        <v>34.979999999999997</v>
      </c>
      <c r="N56" s="18">
        <f t="shared" si="1"/>
        <v>33383483.903839383</v>
      </c>
      <c r="O56" s="4"/>
    </row>
    <row r="57" spans="1:15" ht="15" x14ac:dyDescent="0.2">
      <c r="A57" s="17" t="s">
        <v>52</v>
      </c>
      <c r="B57" s="16">
        <v>74171175.180000007</v>
      </c>
      <c r="C57" s="16">
        <v>0</v>
      </c>
      <c r="D57" s="16">
        <v>1430504.0188506148</v>
      </c>
      <c r="E57" s="16">
        <v>0</v>
      </c>
      <c r="F57" s="16">
        <v>405041.50637145049</v>
      </c>
      <c r="G57" s="16">
        <v>189133.26</v>
      </c>
      <c r="H57" s="16">
        <v>4529429.34</v>
      </c>
      <c r="I57" s="16">
        <v>1023088.4</v>
      </c>
      <c r="J57" s="16">
        <v>0</v>
      </c>
      <c r="K57" s="16">
        <v>0</v>
      </c>
      <c r="L57" s="16">
        <v>0</v>
      </c>
      <c r="M57" s="16">
        <v>179.74</v>
      </c>
      <c r="N57" s="18">
        <f t="shared" si="1"/>
        <v>81748551.44522208</v>
      </c>
      <c r="O57" s="4"/>
    </row>
    <row r="58" spans="1:15" ht="15" x14ac:dyDescent="0.2">
      <c r="A58" s="17" t="s">
        <v>53</v>
      </c>
      <c r="B58" s="16">
        <v>64018714.68999999</v>
      </c>
      <c r="C58" s="16">
        <v>0</v>
      </c>
      <c r="D58" s="16">
        <v>592095.40767417802</v>
      </c>
      <c r="E58" s="16">
        <v>0</v>
      </c>
      <c r="F58" s="16">
        <v>235827.56892704489</v>
      </c>
      <c r="G58" s="16">
        <v>108076.15</v>
      </c>
      <c r="H58" s="16">
        <v>3623315.65</v>
      </c>
      <c r="I58" s="16">
        <v>595673.4</v>
      </c>
      <c r="J58" s="16">
        <v>0</v>
      </c>
      <c r="K58" s="16">
        <v>0</v>
      </c>
      <c r="L58" s="16">
        <v>0</v>
      </c>
      <c r="M58" s="16">
        <v>104.64</v>
      </c>
      <c r="N58" s="18">
        <f t="shared" si="1"/>
        <v>69173807.506601214</v>
      </c>
      <c r="O58" s="4"/>
    </row>
    <row r="59" spans="1:15" ht="15" x14ac:dyDescent="0.2">
      <c r="A59" s="17" t="s">
        <v>54</v>
      </c>
      <c r="B59" s="16">
        <v>71805372.480000004</v>
      </c>
      <c r="C59" s="16">
        <v>0</v>
      </c>
      <c r="D59" s="16">
        <v>1465838.5300773489</v>
      </c>
      <c r="E59" s="16">
        <v>0</v>
      </c>
      <c r="F59" s="16">
        <v>229702.17752634242</v>
      </c>
      <c r="G59" s="16">
        <v>108076.15</v>
      </c>
      <c r="H59" s="16">
        <v>4030364.35</v>
      </c>
      <c r="I59" s="16">
        <v>580201.36</v>
      </c>
      <c r="J59" s="16">
        <v>0</v>
      </c>
      <c r="K59" s="16">
        <v>0</v>
      </c>
      <c r="L59" s="16">
        <v>0</v>
      </c>
      <c r="M59" s="16">
        <v>101.92999999999999</v>
      </c>
      <c r="N59" s="18">
        <f t="shared" si="1"/>
        <v>78219656.977603704</v>
      </c>
      <c r="O59" s="4"/>
    </row>
    <row r="60" spans="1:15" ht="15" x14ac:dyDescent="0.2">
      <c r="A60" s="17" t="s">
        <v>55</v>
      </c>
      <c r="B60" s="16">
        <v>522041381.63</v>
      </c>
      <c r="C60" s="16">
        <v>0</v>
      </c>
      <c r="D60" s="16">
        <v>17701071.551371045</v>
      </c>
      <c r="E60" s="16">
        <v>0</v>
      </c>
      <c r="F60" s="16">
        <v>12635533.948761554</v>
      </c>
      <c r="G60" s="16">
        <v>5947190.3499999996</v>
      </c>
      <c r="H60" s="16">
        <v>28575426.25</v>
      </c>
      <c r="I60" s="16">
        <v>31915909.879999999</v>
      </c>
      <c r="J60" s="16">
        <v>0</v>
      </c>
      <c r="K60" s="16">
        <v>0</v>
      </c>
      <c r="L60" s="16">
        <v>0</v>
      </c>
      <c r="M60" s="16">
        <v>5608.2900000000009</v>
      </c>
      <c r="N60" s="18">
        <f t="shared" si="1"/>
        <v>618822121.90013266</v>
      </c>
      <c r="O60" s="4"/>
    </row>
    <row r="61" spans="1:15" ht="15" x14ac:dyDescent="0.2">
      <c r="A61" s="17" t="s">
        <v>56</v>
      </c>
      <c r="B61" s="16">
        <v>76988715.850000009</v>
      </c>
      <c r="C61" s="16">
        <v>0</v>
      </c>
      <c r="D61" s="16">
        <v>1256486.5319070669</v>
      </c>
      <c r="E61" s="16">
        <v>0</v>
      </c>
      <c r="F61" s="16">
        <v>2255675.3833086826</v>
      </c>
      <c r="G61" s="16">
        <v>603160.76207038458</v>
      </c>
      <c r="H61" s="16">
        <v>4467916.3899999997</v>
      </c>
      <c r="I61" s="16">
        <v>5697577.3700000001</v>
      </c>
      <c r="J61" s="16">
        <v>0</v>
      </c>
      <c r="K61" s="16">
        <v>0</v>
      </c>
      <c r="L61" s="16">
        <v>0</v>
      </c>
      <c r="M61" s="16">
        <v>1001.16</v>
      </c>
      <c r="N61" s="18">
        <f t="shared" si="1"/>
        <v>91270533.447286144</v>
      </c>
      <c r="O61" s="4"/>
    </row>
    <row r="62" spans="1:15" ht="15" x14ac:dyDescent="0.2">
      <c r="A62" s="17" t="s">
        <v>57</v>
      </c>
      <c r="B62" s="16">
        <v>515139571.37</v>
      </c>
      <c r="C62" s="16">
        <v>0</v>
      </c>
      <c r="D62" s="16">
        <v>5100866.7899999991</v>
      </c>
      <c r="E62" s="16">
        <v>0</v>
      </c>
      <c r="F62" s="16">
        <v>10114169.713447401</v>
      </c>
      <c r="G62" s="16">
        <v>0</v>
      </c>
      <c r="H62" s="16">
        <v>26965077.809999999</v>
      </c>
      <c r="I62" s="16">
        <v>25547232.940000001</v>
      </c>
      <c r="J62" s="16">
        <v>0</v>
      </c>
      <c r="K62" s="16">
        <v>0</v>
      </c>
      <c r="L62" s="16">
        <v>0</v>
      </c>
      <c r="M62" s="16">
        <v>4489.1900000000005</v>
      </c>
      <c r="N62" s="18">
        <f t="shared" si="1"/>
        <v>582871407.81344748</v>
      </c>
      <c r="O62" s="4"/>
    </row>
    <row r="63" spans="1:15" ht="15" x14ac:dyDescent="0.2">
      <c r="A63" s="17" t="s">
        <v>58</v>
      </c>
      <c r="B63" s="16">
        <v>77952733.900000006</v>
      </c>
      <c r="C63" s="16">
        <v>0</v>
      </c>
      <c r="D63" s="16">
        <v>1916914.8967530329</v>
      </c>
      <c r="E63" s="16">
        <v>0</v>
      </c>
      <c r="F63" s="16">
        <v>356421.21212837473</v>
      </c>
      <c r="G63" s="16">
        <v>174122.69</v>
      </c>
      <c r="H63" s="16">
        <v>4066057.05</v>
      </c>
      <c r="I63" s="16">
        <v>900279.11</v>
      </c>
      <c r="J63" s="16">
        <v>0</v>
      </c>
      <c r="K63" s="16">
        <v>0</v>
      </c>
      <c r="L63" s="16">
        <v>0</v>
      </c>
      <c r="M63" s="16">
        <v>158.18</v>
      </c>
      <c r="N63" s="18">
        <f t="shared" si="1"/>
        <v>85366687.038881406</v>
      </c>
      <c r="O63" s="4"/>
    </row>
    <row r="64" spans="1:15" ht="15" x14ac:dyDescent="0.2">
      <c r="A64" s="17" t="s">
        <v>59</v>
      </c>
      <c r="B64" s="16">
        <v>152019124.60999998</v>
      </c>
      <c r="C64" s="16">
        <v>0</v>
      </c>
      <c r="D64" s="16">
        <v>4894998.4801650802</v>
      </c>
      <c r="E64" s="16">
        <v>0</v>
      </c>
      <c r="F64" s="16">
        <v>652354.18417481252</v>
      </c>
      <c r="G64" s="16">
        <v>297209.40999999997</v>
      </c>
      <c r="H64" s="16">
        <v>8612699.9000000004</v>
      </c>
      <c r="I64" s="16">
        <v>1647771.87</v>
      </c>
      <c r="J64" s="16">
        <v>0</v>
      </c>
      <c r="K64" s="16">
        <v>0</v>
      </c>
      <c r="L64" s="16">
        <v>0</v>
      </c>
      <c r="M64" s="16">
        <v>289.52</v>
      </c>
      <c r="N64" s="18">
        <f t="shared" si="1"/>
        <v>168124447.9743399</v>
      </c>
      <c r="O64" s="4"/>
    </row>
    <row r="65" spans="1:15" ht="15" x14ac:dyDescent="0.2">
      <c r="A65" s="17" t="s">
        <v>60</v>
      </c>
      <c r="B65" s="16">
        <v>84817287.459999993</v>
      </c>
      <c r="C65" s="16">
        <v>0</v>
      </c>
      <c r="D65" s="16">
        <v>1513924.2533450818</v>
      </c>
      <c r="E65" s="16">
        <v>0</v>
      </c>
      <c r="F65" s="16">
        <v>142032.51310378843</v>
      </c>
      <c r="G65" s="16">
        <v>114080.38</v>
      </c>
      <c r="H65" s="16">
        <v>4720549.8499999996</v>
      </c>
      <c r="I65" s="16">
        <v>358757.84</v>
      </c>
      <c r="J65" s="16">
        <v>0</v>
      </c>
      <c r="K65" s="16">
        <v>0</v>
      </c>
      <c r="L65" s="16">
        <v>0</v>
      </c>
      <c r="M65" s="16">
        <v>63.01</v>
      </c>
      <c r="N65" s="18">
        <f t="shared" si="1"/>
        <v>91666695.306448862</v>
      </c>
      <c r="O65" s="4"/>
    </row>
    <row r="66" spans="1:15" ht="15" x14ac:dyDescent="0.2">
      <c r="A66" s="17" t="s">
        <v>61</v>
      </c>
      <c r="B66" s="16">
        <v>47346325.449999988</v>
      </c>
      <c r="C66" s="16">
        <v>0</v>
      </c>
      <c r="D66" s="16">
        <v>1126730.347356017</v>
      </c>
      <c r="E66" s="16">
        <v>0</v>
      </c>
      <c r="F66" s="16">
        <v>138969.81740343719</v>
      </c>
      <c r="G66" s="16">
        <v>91564.52</v>
      </c>
      <c r="H66" s="16">
        <v>2615819.4900000002</v>
      </c>
      <c r="I66" s="16">
        <v>351021.82</v>
      </c>
      <c r="J66" s="16">
        <v>0</v>
      </c>
      <c r="K66" s="16">
        <v>0</v>
      </c>
      <c r="L66" s="16">
        <v>0</v>
      </c>
      <c r="M66" s="16">
        <v>61.649999999999991</v>
      </c>
      <c r="N66" s="18">
        <f t="shared" si="1"/>
        <v>51670493.094759442</v>
      </c>
      <c r="O66" s="4"/>
    </row>
    <row r="67" spans="1:15" ht="15" x14ac:dyDescent="0.2">
      <c r="A67" s="17" t="s">
        <v>62</v>
      </c>
      <c r="B67" s="16">
        <v>218734295.64000002</v>
      </c>
      <c r="C67" s="16">
        <v>0</v>
      </c>
      <c r="D67" s="16">
        <v>1701293.0399999998</v>
      </c>
      <c r="E67" s="16">
        <v>0</v>
      </c>
      <c r="F67" s="16">
        <v>3734191.7326532407</v>
      </c>
      <c r="G67" s="16">
        <v>1966234.8936159352</v>
      </c>
      <c r="H67" s="16">
        <v>11968067.130000001</v>
      </c>
      <c r="I67" s="16">
        <v>9432140.1300000008</v>
      </c>
      <c r="J67" s="16">
        <v>0</v>
      </c>
      <c r="K67" s="16">
        <v>0</v>
      </c>
      <c r="L67" s="16">
        <v>0</v>
      </c>
      <c r="M67" s="16">
        <v>1657.4</v>
      </c>
      <c r="N67" s="18">
        <f t="shared" si="1"/>
        <v>247537879.96626917</v>
      </c>
      <c r="O67" s="4"/>
    </row>
    <row r="68" spans="1:15" ht="15" x14ac:dyDescent="0.2">
      <c r="A68" s="17" t="s">
        <v>63</v>
      </c>
      <c r="B68" s="16">
        <v>134368746.04000002</v>
      </c>
      <c r="C68" s="16">
        <v>0</v>
      </c>
      <c r="D68" s="16">
        <v>2175918.2399999998</v>
      </c>
      <c r="E68" s="16">
        <v>0</v>
      </c>
      <c r="F68" s="16">
        <v>3293163.5518026627</v>
      </c>
      <c r="G68" s="16">
        <v>1836088.635911532</v>
      </c>
      <c r="H68" s="16">
        <v>7374846.5700000003</v>
      </c>
      <c r="I68" s="16">
        <v>8318153.5199999996</v>
      </c>
      <c r="J68" s="16">
        <v>0</v>
      </c>
      <c r="K68" s="16">
        <v>0</v>
      </c>
      <c r="L68" s="16">
        <v>0</v>
      </c>
      <c r="M68" s="16">
        <v>1461.6499999999999</v>
      </c>
      <c r="N68" s="18">
        <f t="shared" si="1"/>
        <v>157368378.20771423</v>
      </c>
      <c r="O68" s="4"/>
    </row>
    <row r="69" spans="1:15" ht="15" x14ac:dyDescent="0.2">
      <c r="A69" s="17" t="s">
        <v>64</v>
      </c>
      <c r="B69" s="16">
        <v>415447532.03000003</v>
      </c>
      <c r="C69" s="16">
        <v>0</v>
      </c>
      <c r="D69" s="16">
        <v>1429380.3112267342</v>
      </c>
      <c r="E69" s="16">
        <v>0</v>
      </c>
      <c r="F69" s="16">
        <v>9719081.9681020919</v>
      </c>
      <c r="G69" s="16">
        <v>1877051.0898567436</v>
      </c>
      <c r="H69" s="16">
        <v>23162286.079999998</v>
      </c>
      <c r="I69" s="16">
        <v>24549286.600000001</v>
      </c>
      <c r="J69" s="16">
        <v>0</v>
      </c>
      <c r="K69" s="16">
        <v>0</v>
      </c>
      <c r="L69" s="16">
        <v>0</v>
      </c>
      <c r="M69" s="16">
        <v>4313.8200000000006</v>
      </c>
      <c r="N69" s="18">
        <f t="shared" si="1"/>
        <v>476188931.8991856</v>
      </c>
      <c r="O69" s="4"/>
    </row>
    <row r="70" spans="1:15" ht="15" x14ac:dyDescent="0.2">
      <c r="A70" s="17" t="s">
        <v>65</v>
      </c>
      <c r="B70" s="16">
        <v>94995361.960000008</v>
      </c>
      <c r="C70" s="16">
        <v>0</v>
      </c>
      <c r="D70" s="16">
        <v>4155043.1952965381</v>
      </c>
      <c r="E70" s="16">
        <v>0</v>
      </c>
      <c r="F70" s="16">
        <v>2158434.7948225308</v>
      </c>
      <c r="G70" s="16">
        <v>867611.31</v>
      </c>
      <c r="H70" s="16">
        <v>5261762.6100000003</v>
      </c>
      <c r="I70" s="16">
        <v>5451958.79</v>
      </c>
      <c r="J70" s="16">
        <v>0</v>
      </c>
      <c r="K70" s="16">
        <v>0</v>
      </c>
      <c r="L70" s="16">
        <v>0</v>
      </c>
      <c r="M70" s="16">
        <v>957.99</v>
      </c>
      <c r="N70" s="18">
        <f t="shared" si="1"/>
        <v>112891130.65011908</v>
      </c>
      <c r="O70" s="4"/>
    </row>
    <row r="71" spans="1:15" ht="15" x14ac:dyDescent="0.2">
      <c r="A71" s="17" t="s">
        <v>66</v>
      </c>
      <c r="B71" s="16">
        <v>329344887.11000001</v>
      </c>
      <c r="C71" s="16">
        <v>0</v>
      </c>
      <c r="D71" s="16">
        <v>1374239.3900000001</v>
      </c>
      <c r="E71" s="16">
        <v>0</v>
      </c>
      <c r="F71" s="16">
        <v>1359071.2170308593</v>
      </c>
      <c r="G71" s="16">
        <v>669471.69999999995</v>
      </c>
      <c r="H71" s="16">
        <v>17378675.91</v>
      </c>
      <c r="I71" s="16">
        <v>3432858.05</v>
      </c>
      <c r="J71" s="16">
        <v>0</v>
      </c>
      <c r="K71" s="16">
        <v>0</v>
      </c>
      <c r="L71" s="16">
        <v>0</v>
      </c>
      <c r="M71" s="16">
        <v>603.20000000000005</v>
      </c>
      <c r="N71" s="18">
        <f t="shared" si="1"/>
        <v>353559806.5770309</v>
      </c>
      <c r="O71" s="4"/>
    </row>
    <row r="72" spans="1:15" ht="15" x14ac:dyDescent="0.2">
      <c r="A72" s="17" t="s">
        <v>67</v>
      </c>
      <c r="B72" s="16">
        <v>1713930930.1500001</v>
      </c>
      <c r="C72" s="16">
        <v>0</v>
      </c>
      <c r="D72" s="16">
        <v>8846829.8838082273</v>
      </c>
      <c r="E72" s="16">
        <v>0</v>
      </c>
      <c r="F72" s="16">
        <v>39545144.045972563</v>
      </c>
      <c r="G72" s="16">
        <v>0</v>
      </c>
      <c r="H72" s="16">
        <v>93059736.989999995</v>
      </c>
      <c r="I72" s="16">
        <v>99886499.340000004</v>
      </c>
      <c r="J72" s="16">
        <v>0</v>
      </c>
      <c r="K72" s="16">
        <v>0</v>
      </c>
      <c r="L72" s="16">
        <v>0</v>
      </c>
      <c r="M72" s="16">
        <v>17552.23</v>
      </c>
      <c r="N72" s="18">
        <f t="shared" ref="N72:N103" si="2">SUM(B72:M72)</f>
        <v>1955286692.6397808</v>
      </c>
      <c r="O72" s="4"/>
    </row>
    <row r="73" spans="1:15" ht="15" x14ac:dyDescent="0.2">
      <c r="A73" s="17" t="s">
        <v>68</v>
      </c>
      <c r="B73" s="16">
        <v>686671911.42000008</v>
      </c>
      <c r="C73" s="16">
        <v>0</v>
      </c>
      <c r="D73" s="16">
        <v>17809497.989059232</v>
      </c>
      <c r="E73" s="16">
        <v>0</v>
      </c>
      <c r="F73" s="16">
        <v>14677969.143933281</v>
      </c>
      <c r="G73" s="16">
        <v>7706391.3172511626</v>
      </c>
      <c r="H73" s="16">
        <v>36993208.549999997</v>
      </c>
      <c r="I73" s="16">
        <v>37074866.979999997</v>
      </c>
      <c r="J73" s="16">
        <v>0</v>
      </c>
      <c r="K73" s="16">
        <v>0</v>
      </c>
      <c r="L73" s="16">
        <v>0</v>
      </c>
      <c r="M73" s="16">
        <v>6514.84</v>
      </c>
      <c r="N73" s="18">
        <f t="shared" si="2"/>
        <v>800940360.24024379</v>
      </c>
      <c r="O73" s="4"/>
    </row>
    <row r="74" spans="1:15" ht="15" x14ac:dyDescent="0.2">
      <c r="A74" s="17" t="s">
        <v>69</v>
      </c>
      <c r="B74" s="16">
        <v>424782672.86999995</v>
      </c>
      <c r="C74" s="16">
        <v>0</v>
      </c>
      <c r="D74" s="16">
        <v>4765181.419999999</v>
      </c>
      <c r="E74" s="16">
        <v>0</v>
      </c>
      <c r="F74" s="16">
        <v>10656649.689372113</v>
      </c>
      <c r="G74" s="16">
        <v>13728638.255151484</v>
      </c>
      <c r="H74" s="16">
        <v>22926106.710000001</v>
      </c>
      <c r="I74" s="16">
        <v>26917475.149999999</v>
      </c>
      <c r="J74" s="16">
        <v>0</v>
      </c>
      <c r="K74" s="16">
        <v>0</v>
      </c>
      <c r="L74" s="16">
        <v>0</v>
      </c>
      <c r="M74" s="16">
        <v>4729.9799999999996</v>
      </c>
      <c r="N74" s="18">
        <f t="shared" si="2"/>
        <v>503781454.07452357</v>
      </c>
      <c r="O74" s="4"/>
    </row>
    <row r="75" spans="1:15" ht="15" x14ac:dyDescent="0.2">
      <c r="A75" s="17" t="s">
        <v>70</v>
      </c>
      <c r="B75" s="16">
        <v>68703749.250000015</v>
      </c>
      <c r="C75" s="16">
        <v>0</v>
      </c>
      <c r="D75" s="16">
        <v>1249495.0440483699</v>
      </c>
      <c r="E75" s="16">
        <v>0</v>
      </c>
      <c r="F75" s="16">
        <v>193715.50304721546</v>
      </c>
      <c r="G75" s="16">
        <v>97568.75</v>
      </c>
      <c r="H75" s="16">
        <v>3864557.82</v>
      </c>
      <c r="I75" s="16">
        <v>489303.15</v>
      </c>
      <c r="J75" s="16">
        <v>0</v>
      </c>
      <c r="K75" s="16">
        <v>0</v>
      </c>
      <c r="L75" s="16">
        <v>0</v>
      </c>
      <c r="M75" s="16">
        <v>85.96</v>
      </c>
      <c r="N75" s="18">
        <f t="shared" si="2"/>
        <v>74598475.477095589</v>
      </c>
      <c r="O75" s="4"/>
    </row>
    <row r="76" spans="1:15" ht="15" x14ac:dyDescent="0.2">
      <c r="A76" s="17" t="s">
        <v>71</v>
      </c>
      <c r="B76" s="16">
        <v>63997757.780000016</v>
      </c>
      <c r="C76" s="16">
        <v>0</v>
      </c>
      <c r="D76" s="16">
        <v>1735223.545888471</v>
      </c>
      <c r="E76" s="16">
        <v>0</v>
      </c>
      <c r="F76" s="16">
        <v>348764.47287749662</v>
      </c>
      <c r="G76" s="16">
        <v>229661.82</v>
      </c>
      <c r="H76" s="16">
        <v>3491556.41</v>
      </c>
      <c r="I76" s="16">
        <v>880939.07</v>
      </c>
      <c r="J76" s="16">
        <v>0</v>
      </c>
      <c r="K76" s="16">
        <v>0</v>
      </c>
      <c r="L76" s="16">
        <v>0</v>
      </c>
      <c r="M76" s="16">
        <v>154.77000000000001</v>
      </c>
      <c r="N76" s="18">
        <f t="shared" si="2"/>
        <v>70684057.868765965</v>
      </c>
      <c r="O76" s="4"/>
    </row>
    <row r="77" spans="1:15" ht="15" x14ac:dyDescent="0.2">
      <c r="A77" s="17" t="s">
        <v>72</v>
      </c>
      <c r="B77" s="16">
        <v>83378246.01000002</v>
      </c>
      <c r="C77" s="16">
        <v>0</v>
      </c>
      <c r="D77" s="16">
        <v>1478015.1784654879</v>
      </c>
      <c r="E77" s="16">
        <v>0</v>
      </c>
      <c r="F77" s="16">
        <v>409635.54992197739</v>
      </c>
      <c r="G77" s="16">
        <v>162114.22</v>
      </c>
      <c r="H77" s="16">
        <v>4739661.9000000004</v>
      </c>
      <c r="I77" s="16">
        <v>1034692.43</v>
      </c>
      <c r="J77" s="16">
        <v>0</v>
      </c>
      <c r="K77" s="16">
        <v>0</v>
      </c>
      <c r="L77" s="16">
        <v>0</v>
      </c>
      <c r="M77" s="16">
        <v>181.79999999999998</v>
      </c>
      <c r="N77" s="18">
        <f t="shared" si="2"/>
        <v>91202547.088387489</v>
      </c>
      <c r="O77" s="4"/>
    </row>
    <row r="78" spans="1:15" ht="15" x14ac:dyDescent="0.2">
      <c r="A78" s="17" t="s">
        <v>73</v>
      </c>
      <c r="B78" s="16">
        <v>32371446.190000001</v>
      </c>
      <c r="C78" s="16">
        <v>0</v>
      </c>
      <c r="D78" s="16">
        <v>904139.71261626296</v>
      </c>
      <c r="E78" s="16">
        <v>0</v>
      </c>
      <c r="F78" s="16">
        <v>145478.04576668353</v>
      </c>
      <c r="G78" s="16">
        <v>54038.07</v>
      </c>
      <c r="H78" s="16">
        <v>1820960.71</v>
      </c>
      <c r="I78" s="16">
        <v>367460.86</v>
      </c>
      <c r="J78" s="16">
        <v>0</v>
      </c>
      <c r="K78" s="16">
        <v>0</v>
      </c>
      <c r="L78" s="16">
        <v>0</v>
      </c>
      <c r="M78" s="16">
        <v>64.539999999999992</v>
      </c>
      <c r="N78" s="18">
        <f t="shared" si="2"/>
        <v>35663588.128382944</v>
      </c>
      <c r="O78" s="4"/>
    </row>
    <row r="79" spans="1:15" ht="15" x14ac:dyDescent="0.2">
      <c r="A79" s="17" t="s">
        <v>74</v>
      </c>
      <c r="B79" s="16">
        <v>129648783.31999999</v>
      </c>
      <c r="C79" s="16">
        <v>0</v>
      </c>
      <c r="D79" s="16">
        <v>3783640.8937953645</v>
      </c>
      <c r="E79" s="16">
        <v>0</v>
      </c>
      <c r="F79" s="16">
        <v>731218.59845885681</v>
      </c>
      <c r="G79" s="16">
        <v>402283.45</v>
      </c>
      <c r="H79" s="16">
        <v>7578877.2000000002</v>
      </c>
      <c r="I79" s="16">
        <v>1846974.33</v>
      </c>
      <c r="J79" s="16">
        <v>0</v>
      </c>
      <c r="K79" s="16">
        <v>0</v>
      </c>
      <c r="L79" s="16">
        <v>0</v>
      </c>
      <c r="M79" s="16">
        <v>324.53999999999996</v>
      </c>
      <c r="N79" s="18">
        <f t="shared" si="2"/>
        <v>143992102.3322542</v>
      </c>
      <c r="O79" s="4"/>
    </row>
    <row r="80" spans="1:15" ht="15" x14ac:dyDescent="0.2">
      <c r="A80" s="17" t="s">
        <v>75</v>
      </c>
      <c r="B80" s="16">
        <v>81240640.810000002</v>
      </c>
      <c r="C80" s="16">
        <v>0</v>
      </c>
      <c r="D80" s="16">
        <v>3022457.7252248069</v>
      </c>
      <c r="E80" s="16">
        <v>0</v>
      </c>
      <c r="F80" s="16">
        <v>236593.24285213274</v>
      </c>
      <c r="G80" s="16">
        <v>168118.45</v>
      </c>
      <c r="H80" s="16">
        <v>4626508.43</v>
      </c>
      <c r="I80" s="16">
        <v>597607.4</v>
      </c>
      <c r="J80" s="16">
        <v>0</v>
      </c>
      <c r="K80" s="16">
        <v>0</v>
      </c>
      <c r="L80" s="16">
        <v>0</v>
      </c>
      <c r="M80" s="16">
        <v>104.97999999999999</v>
      </c>
      <c r="N80" s="18">
        <f t="shared" si="2"/>
        <v>89892031.038076952</v>
      </c>
      <c r="O80" s="4"/>
    </row>
    <row r="81" spans="1:15" ht="15" x14ac:dyDescent="0.2">
      <c r="A81" s="17" t="s">
        <v>76</v>
      </c>
      <c r="B81" s="16">
        <v>41024323.089999996</v>
      </c>
      <c r="C81" s="16">
        <v>0</v>
      </c>
      <c r="D81" s="16">
        <v>1890746.068103316</v>
      </c>
      <c r="E81" s="16">
        <v>0</v>
      </c>
      <c r="F81" s="16">
        <v>614453.324882966</v>
      </c>
      <c r="G81" s="16">
        <v>346744.31</v>
      </c>
      <c r="H81" s="16">
        <v>2239020.9900000002</v>
      </c>
      <c r="I81" s="16">
        <v>1552038.64</v>
      </c>
      <c r="J81" s="16">
        <v>0</v>
      </c>
      <c r="K81" s="16">
        <v>0</v>
      </c>
      <c r="L81" s="16">
        <v>0</v>
      </c>
      <c r="M81" s="16">
        <v>272.70000000000005</v>
      </c>
      <c r="N81" s="18">
        <f t="shared" si="2"/>
        <v>47667599.122986287</v>
      </c>
      <c r="O81" s="4"/>
    </row>
    <row r="82" spans="1:15" ht="15" x14ac:dyDescent="0.2">
      <c r="A82" s="17" t="s">
        <v>77</v>
      </c>
      <c r="B82" s="16">
        <v>628546746.49000001</v>
      </c>
      <c r="C82" s="16">
        <v>0</v>
      </c>
      <c r="D82" s="16">
        <v>6440528.9500000002</v>
      </c>
      <c r="E82" s="16">
        <v>0</v>
      </c>
      <c r="F82" s="16">
        <v>17708889.37639337</v>
      </c>
      <c r="G82" s="16">
        <v>14377078.932473095</v>
      </c>
      <c r="H82" s="16">
        <v>31246050.5</v>
      </c>
      <c r="I82" s="16">
        <v>44730623.939999998</v>
      </c>
      <c r="J82" s="16">
        <v>0</v>
      </c>
      <c r="K82" s="16">
        <v>0</v>
      </c>
      <c r="L82" s="16">
        <v>0</v>
      </c>
      <c r="M82" s="16">
        <v>7860.1200000000008</v>
      </c>
      <c r="N82" s="18">
        <f t="shared" si="2"/>
        <v>743057778.30886638</v>
      </c>
      <c r="O82" s="4"/>
    </row>
    <row r="83" spans="1:15" ht="15" x14ac:dyDescent="0.2">
      <c r="A83" s="17" t="s">
        <v>78</v>
      </c>
      <c r="B83" s="16">
        <v>189955795.82999998</v>
      </c>
      <c r="C83" s="16">
        <v>0</v>
      </c>
      <c r="D83" s="16">
        <v>4426558.0953150177</v>
      </c>
      <c r="E83" s="16">
        <v>0</v>
      </c>
      <c r="F83" s="16">
        <v>1960890.9221498766</v>
      </c>
      <c r="G83" s="16">
        <v>1020719.19</v>
      </c>
      <c r="H83" s="16">
        <v>9722464.5099999998</v>
      </c>
      <c r="I83" s="16">
        <v>4952985.62</v>
      </c>
      <c r="J83" s="16">
        <v>0</v>
      </c>
      <c r="K83" s="16">
        <v>0</v>
      </c>
      <c r="L83" s="16">
        <v>0</v>
      </c>
      <c r="M83" s="16">
        <v>870.32</v>
      </c>
      <c r="N83" s="18">
        <f t="shared" si="2"/>
        <v>212040284.48746485</v>
      </c>
      <c r="O83" s="4"/>
    </row>
    <row r="84" spans="1:15" ht="15" x14ac:dyDescent="0.2">
      <c r="A84" s="17" t="s">
        <v>79</v>
      </c>
      <c r="B84" s="16">
        <v>67872458.299999997</v>
      </c>
      <c r="C84" s="16">
        <v>0</v>
      </c>
      <c r="D84" s="16">
        <v>1166015.784326907</v>
      </c>
      <c r="E84" s="16">
        <v>0</v>
      </c>
      <c r="F84" s="16">
        <v>393556.39749513334</v>
      </c>
      <c r="G84" s="16">
        <v>94958.251527244342</v>
      </c>
      <c r="H84" s="16">
        <v>3613822.91</v>
      </c>
      <c r="I84" s="16">
        <v>994078.33</v>
      </c>
      <c r="J84" s="16">
        <v>0</v>
      </c>
      <c r="K84" s="16">
        <v>0</v>
      </c>
      <c r="L84" s="16">
        <v>0</v>
      </c>
      <c r="M84" s="16">
        <v>174.64999999999998</v>
      </c>
      <c r="N84" s="18">
        <f t="shared" si="2"/>
        <v>74135064.623349294</v>
      </c>
      <c r="O84" s="4"/>
    </row>
    <row r="85" spans="1:15" ht="15" x14ac:dyDescent="0.2">
      <c r="A85" s="17" t="s">
        <v>80</v>
      </c>
      <c r="B85" s="16">
        <v>64568251.559999995</v>
      </c>
      <c r="C85" s="16">
        <v>0</v>
      </c>
      <c r="D85" s="16">
        <v>1154538.5457545391</v>
      </c>
      <c r="E85" s="16">
        <v>0</v>
      </c>
      <c r="F85" s="16">
        <v>186058.76379633736</v>
      </c>
      <c r="G85" s="16">
        <v>97568.75</v>
      </c>
      <c r="H85" s="16">
        <v>3549272.28</v>
      </c>
      <c r="I85" s="16">
        <v>469963.1</v>
      </c>
      <c r="J85" s="16">
        <v>0</v>
      </c>
      <c r="K85" s="16">
        <v>0</v>
      </c>
      <c r="L85" s="16">
        <v>0</v>
      </c>
      <c r="M85" s="16">
        <v>82.559999999999988</v>
      </c>
      <c r="N85" s="18">
        <f t="shared" si="2"/>
        <v>70025735.559550866</v>
      </c>
      <c r="O85" s="4"/>
    </row>
    <row r="86" spans="1:15" ht="15" x14ac:dyDescent="0.2">
      <c r="A86" s="17" t="s">
        <v>81</v>
      </c>
      <c r="B86" s="16">
        <v>768056922.13999987</v>
      </c>
      <c r="C86" s="16">
        <v>0</v>
      </c>
      <c r="D86" s="16">
        <v>3620002.0699999994</v>
      </c>
      <c r="E86" s="16">
        <v>0</v>
      </c>
      <c r="F86" s="16">
        <v>11111077.163911726</v>
      </c>
      <c r="G86" s="16">
        <v>3077899.9178884244</v>
      </c>
      <c r="H86" s="16">
        <v>42416347.740000002</v>
      </c>
      <c r="I86" s="16">
        <v>28065306.84</v>
      </c>
      <c r="J86" s="16">
        <v>0</v>
      </c>
      <c r="K86" s="16">
        <v>0</v>
      </c>
      <c r="L86" s="16">
        <v>0</v>
      </c>
      <c r="M86" s="16">
        <v>4931.66</v>
      </c>
      <c r="N86" s="18">
        <f t="shared" si="2"/>
        <v>856352487.53180003</v>
      </c>
      <c r="O86" s="4"/>
    </row>
    <row r="87" spans="1:15" ht="15" x14ac:dyDescent="0.2">
      <c r="A87" s="17" t="s">
        <v>82</v>
      </c>
      <c r="B87" s="16">
        <v>107546224.83</v>
      </c>
      <c r="C87" s="16">
        <v>0</v>
      </c>
      <c r="D87" s="16">
        <v>1467156.6952462408</v>
      </c>
      <c r="E87" s="16">
        <v>0</v>
      </c>
      <c r="F87" s="16">
        <v>315457.65713617695</v>
      </c>
      <c r="G87" s="16">
        <v>204143.84</v>
      </c>
      <c r="H87" s="16">
        <v>5465540.0999999996</v>
      </c>
      <c r="I87" s="16">
        <v>796809.87</v>
      </c>
      <c r="J87" s="16">
        <v>0</v>
      </c>
      <c r="K87" s="16">
        <v>0</v>
      </c>
      <c r="L87" s="16">
        <v>0</v>
      </c>
      <c r="M87" s="16">
        <v>139.98000000000002</v>
      </c>
      <c r="N87" s="18">
        <f t="shared" si="2"/>
        <v>115795472.97238241</v>
      </c>
      <c r="O87" s="4"/>
    </row>
    <row r="88" spans="1:15" ht="15" x14ac:dyDescent="0.2">
      <c r="A88" s="17" t="s">
        <v>83</v>
      </c>
      <c r="B88" s="16">
        <v>92161521.5</v>
      </c>
      <c r="C88" s="16">
        <v>0</v>
      </c>
      <c r="D88" s="16">
        <v>1124596.1347686169</v>
      </c>
      <c r="E88" s="16">
        <v>0</v>
      </c>
      <c r="F88" s="16">
        <v>1548192.6765275479</v>
      </c>
      <c r="G88" s="16">
        <v>520867</v>
      </c>
      <c r="H88" s="16">
        <v>5303404.09</v>
      </c>
      <c r="I88" s="16">
        <v>3910557.17</v>
      </c>
      <c r="J88" s="16">
        <v>0</v>
      </c>
      <c r="K88" s="16">
        <v>0</v>
      </c>
      <c r="L88" s="16">
        <v>0</v>
      </c>
      <c r="M88" s="16">
        <v>687.14</v>
      </c>
      <c r="N88" s="18">
        <f t="shared" si="2"/>
        <v>104569825.71129617</v>
      </c>
      <c r="O88" s="4"/>
    </row>
    <row r="89" spans="1:15" ht="15" x14ac:dyDescent="0.2">
      <c r="A89" s="17" t="s">
        <v>84</v>
      </c>
      <c r="B89" s="16">
        <v>150815266.35000002</v>
      </c>
      <c r="C89" s="16">
        <v>0</v>
      </c>
      <c r="D89" s="16">
        <v>1871474.874403113</v>
      </c>
      <c r="E89" s="16">
        <v>0</v>
      </c>
      <c r="F89" s="16">
        <v>1302028.5096118178</v>
      </c>
      <c r="G89" s="16">
        <v>607928.34</v>
      </c>
      <c r="H89" s="16">
        <v>8130215.5499999998</v>
      </c>
      <c r="I89" s="16">
        <v>3288774.72</v>
      </c>
      <c r="J89" s="16">
        <v>0</v>
      </c>
      <c r="K89" s="16">
        <v>0</v>
      </c>
      <c r="L89" s="16">
        <v>0</v>
      </c>
      <c r="M89" s="16">
        <v>577.88</v>
      </c>
      <c r="N89" s="18">
        <f t="shared" si="2"/>
        <v>166016266.22401497</v>
      </c>
      <c r="O89" s="4"/>
    </row>
    <row r="90" spans="1:15" ht="15" x14ac:dyDescent="0.2">
      <c r="A90" s="17" t="s">
        <v>85</v>
      </c>
      <c r="B90" s="16">
        <v>791966432.3599999</v>
      </c>
      <c r="C90" s="16">
        <v>0</v>
      </c>
      <c r="D90" s="16">
        <v>2578331.0952891093</v>
      </c>
      <c r="E90" s="16">
        <v>0</v>
      </c>
      <c r="F90" s="16">
        <v>17661800.430000473</v>
      </c>
      <c r="G90" s="16">
        <v>5271030.2287680125</v>
      </c>
      <c r="H90" s="16">
        <v>43750773.869999997</v>
      </c>
      <c r="I90" s="16">
        <v>44611682.659999996</v>
      </c>
      <c r="J90" s="16">
        <v>0</v>
      </c>
      <c r="K90" s="16">
        <v>0</v>
      </c>
      <c r="L90" s="16">
        <v>0</v>
      </c>
      <c r="M90" s="16">
        <v>7839.22</v>
      </c>
      <c r="N90" s="18">
        <f t="shared" si="2"/>
        <v>905847889.86405742</v>
      </c>
      <c r="O90" s="4"/>
    </row>
    <row r="91" spans="1:15" ht="15" x14ac:dyDescent="0.2">
      <c r="A91" s="17" t="s">
        <v>86</v>
      </c>
      <c r="B91" s="16">
        <v>29479392.07</v>
      </c>
      <c r="C91" s="16">
        <v>0</v>
      </c>
      <c r="D91" s="16">
        <v>1142801.6751885149</v>
      </c>
      <c r="E91" s="16">
        <v>0</v>
      </c>
      <c r="F91" s="16">
        <v>410018.38688452123</v>
      </c>
      <c r="G91" s="16">
        <v>202642.78</v>
      </c>
      <c r="H91" s="16">
        <v>1592755.24</v>
      </c>
      <c r="I91" s="16">
        <v>1035659.43</v>
      </c>
      <c r="J91" s="16">
        <v>0</v>
      </c>
      <c r="K91" s="16">
        <v>0</v>
      </c>
      <c r="L91" s="16">
        <v>0</v>
      </c>
      <c r="M91" s="16">
        <v>181.95</v>
      </c>
      <c r="N91" s="18">
        <f t="shared" si="2"/>
        <v>33863451.532073043</v>
      </c>
      <c r="O91" s="4"/>
    </row>
    <row r="92" spans="1:15" ht="15" x14ac:dyDescent="0.2">
      <c r="A92" s="17" t="s">
        <v>87</v>
      </c>
      <c r="B92" s="16">
        <v>42644991.109999999</v>
      </c>
      <c r="C92" s="16">
        <v>0</v>
      </c>
      <c r="D92" s="16">
        <v>208278.84</v>
      </c>
      <c r="E92" s="16">
        <v>0</v>
      </c>
      <c r="F92" s="16">
        <v>87669.664422554037</v>
      </c>
      <c r="G92" s="16">
        <v>63044.42</v>
      </c>
      <c r="H92" s="16">
        <v>2393436.23</v>
      </c>
      <c r="I92" s="16">
        <v>221443.52</v>
      </c>
      <c r="J92" s="16">
        <v>0</v>
      </c>
      <c r="K92" s="16">
        <v>0</v>
      </c>
      <c r="L92" s="16">
        <v>0</v>
      </c>
      <c r="M92" s="16">
        <v>38.889999999999993</v>
      </c>
      <c r="N92" s="18">
        <f t="shared" si="2"/>
        <v>45618902.674422562</v>
      </c>
      <c r="O92" s="4"/>
    </row>
    <row r="93" spans="1:15" ht="15" x14ac:dyDescent="0.2">
      <c r="A93" s="17" t="s">
        <v>88</v>
      </c>
      <c r="B93" s="16">
        <v>423203918.70000005</v>
      </c>
      <c r="C93" s="16">
        <v>0</v>
      </c>
      <c r="D93" s="16">
        <v>3550235.2982039107</v>
      </c>
      <c r="E93" s="16">
        <v>0</v>
      </c>
      <c r="F93" s="16">
        <v>14314274.029516572</v>
      </c>
      <c r="G93" s="16">
        <v>2795735.4913406442</v>
      </c>
      <c r="H93" s="16">
        <v>22970406.16</v>
      </c>
      <c r="I93" s="16">
        <v>36156214.829999998</v>
      </c>
      <c r="J93" s="16">
        <v>0</v>
      </c>
      <c r="K93" s="16">
        <v>0</v>
      </c>
      <c r="L93" s="16">
        <v>0</v>
      </c>
      <c r="M93" s="16">
        <v>6353.4000000000005</v>
      </c>
      <c r="N93" s="18">
        <f t="shared" si="2"/>
        <v>502997137.90906113</v>
      </c>
      <c r="O93" s="4"/>
    </row>
    <row r="94" spans="1:15" ht="15" x14ac:dyDescent="0.2">
      <c r="A94" s="17" t="s">
        <v>89</v>
      </c>
      <c r="B94" s="16">
        <v>289587292.94000006</v>
      </c>
      <c r="C94" s="16">
        <v>0</v>
      </c>
      <c r="D94" s="16">
        <v>5337669.5899999989</v>
      </c>
      <c r="E94" s="16">
        <v>0</v>
      </c>
      <c r="F94" s="16">
        <v>6472624.5257297866</v>
      </c>
      <c r="G94" s="16">
        <v>3543665.6761457259</v>
      </c>
      <c r="H94" s="16">
        <v>15978306.869999999</v>
      </c>
      <c r="I94" s="16">
        <v>16349107.359999999</v>
      </c>
      <c r="J94" s="16">
        <v>0</v>
      </c>
      <c r="K94" s="16">
        <v>0</v>
      </c>
      <c r="L94" s="16">
        <v>0</v>
      </c>
      <c r="M94" s="16">
        <v>2872.8799999999997</v>
      </c>
      <c r="N94" s="18">
        <f t="shared" si="2"/>
        <v>337271539.84187555</v>
      </c>
      <c r="O94" s="4"/>
    </row>
    <row r="95" spans="1:15" ht="15" x14ac:dyDescent="0.2">
      <c r="A95" s="17" t="s">
        <v>90</v>
      </c>
      <c r="B95" s="16">
        <v>53388902.270000003</v>
      </c>
      <c r="C95" s="16">
        <v>0</v>
      </c>
      <c r="D95" s="16">
        <v>1207076.9114380148</v>
      </c>
      <c r="E95" s="16">
        <v>0</v>
      </c>
      <c r="F95" s="16">
        <v>317371.84194889647</v>
      </c>
      <c r="G95" s="16">
        <v>163615.28</v>
      </c>
      <c r="H95" s="16">
        <v>2789853.06</v>
      </c>
      <c r="I95" s="16">
        <v>801644.88</v>
      </c>
      <c r="J95" s="16">
        <v>0</v>
      </c>
      <c r="K95" s="16">
        <v>0</v>
      </c>
      <c r="L95" s="16">
        <v>0</v>
      </c>
      <c r="M95" s="16">
        <v>140.82</v>
      </c>
      <c r="N95" s="18">
        <f t="shared" si="2"/>
        <v>58668605.063386925</v>
      </c>
      <c r="O95" s="4"/>
    </row>
    <row r="96" spans="1:15" ht="15" x14ac:dyDescent="0.2">
      <c r="A96" s="17" t="s">
        <v>91</v>
      </c>
      <c r="B96" s="16">
        <v>173225192.90999997</v>
      </c>
      <c r="C96" s="16">
        <v>0</v>
      </c>
      <c r="D96" s="16">
        <v>4168645.1329736691</v>
      </c>
      <c r="E96" s="16">
        <v>0</v>
      </c>
      <c r="F96" s="16">
        <v>1778660.5279789784</v>
      </c>
      <c r="G96" s="16">
        <v>893129.29</v>
      </c>
      <c r="H96" s="16">
        <v>10028510.449999999</v>
      </c>
      <c r="I96" s="16">
        <v>4492692.54</v>
      </c>
      <c r="J96" s="16">
        <v>0</v>
      </c>
      <c r="K96" s="16">
        <v>0</v>
      </c>
      <c r="L96" s="16">
        <v>0</v>
      </c>
      <c r="M96" s="16">
        <v>789.44</v>
      </c>
      <c r="N96" s="18">
        <f t="shared" si="2"/>
        <v>194587620.29095259</v>
      </c>
      <c r="O96" s="4"/>
    </row>
    <row r="97" spans="1:15" ht="15" x14ac:dyDescent="0.2">
      <c r="A97" s="17" t="s">
        <v>92</v>
      </c>
      <c r="B97" s="16">
        <v>83632057.540000007</v>
      </c>
      <c r="C97" s="16">
        <v>0</v>
      </c>
      <c r="D97" s="16">
        <v>3645302.581417724</v>
      </c>
      <c r="E97" s="16">
        <v>0</v>
      </c>
      <c r="F97" s="16">
        <v>821185.28465667425</v>
      </c>
      <c r="G97" s="16">
        <v>457822.58</v>
      </c>
      <c r="H97" s="16">
        <v>4696754.71</v>
      </c>
      <c r="I97" s="16">
        <v>2074219.87</v>
      </c>
      <c r="J97" s="16">
        <v>0</v>
      </c>
      <c r="K97" s="16">
        <v>0</v>
      </c>
      <c r="L97" s="16">
        <v>0</v>
      </c>
      <c r="M97" s="16">
        <v>364.46000000000004</v>
      </c>
      <c r="N97" s="18">
        <f t="shared" si="2"/>
        <v>95327707.026074395</v>
      </c>
      <c r="O97" s="4"/>
    </row>
    <row r="98" spans="1:15" ht="15" x14ac:dyDescent="0.2">
      <c r="A98" s="17" t="s">
        <v>93</v>
      </c>
      <c r="B98" s="16">
        <v>231231601.99000004</v>
      </c>
      <c r="C98" s="16">
        <v>0</v>
      </c>
      <c r="D98" s="16">
        <v>5301491.2891133353</v>
      </c>
      <c r="E98" s="16">
        <v>0</v>
      </c>
      <c r="F98" s="16">
        <v>1909590.7691689935</v>
      </c>
      <c r="G98" s="16">
        <v>1073256.21</v>
      </c>
      <c r="H98" s="16">
        <v>13073528.369999999</v>
      </c>
      <c r="I98" s="16">
        <v>4823407.32</v>
      </c>
      <c r="J98" s="16">
        <v>0</v>
      </c>
      <c r="K98" s="16">
        <v>0</v>
      </c>
      <c r="L98" s="16">
        <v>0</v>
      </c>
      <c r="M98" s="16">
        <v>847.55</v>
      </c>
      <c r="N98" s="18">
        <f t="shared" si="2"/>
        <v>257413723.4982824</v>
      </c>
      <c r="O98" s="4"/>
    </row>
    <row r="99" spans="1:15" ht="15" x14ac:dyDescent="0.2">
      <c r="A99" s="17" t="s">
        <v>94</v>
      </c>
      <c r="B99" s="16">
        <v>161801346.28999999</v>
      </c>
      <c r="C99" s="16">
        <v>0</v>
      </c>
      <c r="D99" s="16">
        <v>1830432.0099110196</v>
      </c>
      <c r="E99" s="16">
        <v>0</v>
      </c>
      <c r="F99" s="16">
        <v>707865.5437436786</v>
      </c>
      <c r="G99" s="16">
        <v>289704.12</v>
      </c>
      <c r="H99" s="16">
        <v>8946464.6400000006</v>
      </c>
      <c r="I99" s="16">
        <v>1787987.19</v>
      </c>
      <c r="J99" s="16">
        <v>0</v>
      </c>
      <c r="K99" s="16">
        <v>0</v>
      </c>
      <c r="L99" s="16">
        <v>0</v>
      </c>
      <c r="M99" s="16">
        <v>314.14999999999998</v>
      </c>
      <c r="N99" s="18">
        <f t="shared" si="2"/>
        <v>175364113.94365469</v>
      </c>
      <c r="O99" s="4"/>
    </row>
    <row r="100" spans="1:15" ht="15" x14ac:dyDescent="0.2">
      <c r="A100" s="17" t="s">
        <v>95</v>
      </c>
      <c r="B100" s="16">
        <v>171804779.86000001</v>
      </c>
      <c r="C100" s="16">
        <v>0</v>
      </c>
      <c r="D100" s="16">
        <v>3538522.3558122646</v>
      </c>
      <c r="E100" s="16">
        <v>0</v>
      </c>
      <c r="F100" s="16">
        <v>794769.53424114478</v>
      </c>
      <c r="G100" s="16">
        <v>382769.7</v>
      </c>
      <c r="H100" s="16">
        <v>8501951.2599999998</v>
      </c>
      <c r="I100" s="16">
        <v>2007496.71</v>
      </c>
      <c r="J100" s="16">
        <v>0</v>
      </c>
      <c r="K100" s="16">
        <v>0</v>
      </c>
      <c r="L100" s="16">
        <v>0</v>
      </c>
      <c r="M100" s="16">
        <v>352.73</v>
      </c>
      <c r="N100" s="18">
        <f t="shared" si="2"/>
        <v>187030642.15005338</v>
      </c>
      <c r="O100" s="4"/>
    </row>
    <row r="101" spans="1:15" ht="15" x14ac:dyDescent="0.2">
      <c r="A101" s="17" t="s">
        <v>96</v>
      </c>
      <c r="B101" s="16">
        <v>31563440.75</v>
      </c>
      <c r="C101" s="16">
        <v>0</v>
      </c>
      <c r="D101" s="16">
        <v>872561.71674265002</v>
      </c>
      <c r="E101" s="16">
        <v>0</v>
      </c>
      <c r="F101" s="16">
        <v>94943.566710888204</v>
      </c>
      <c r="G101" s="16">
        <v>57040.19</v>
      </c>
      <c r="H101" s="16">
        <v>1718312.55</v>
      </c>
      <c r="I101" s="16">
        <v>239816.56</v>
      </c>
      <c r="J101" s="16">
        <v>0</v>
      </c>
      <c r="K101" s="16">
        <v>0</v>
      </c>
      <c r="L101" s="16">
        <v>0</v>
      </c>
      <c r="M101" s="16">
        <v>42.120000000000005</v>
      </c>
      <c r="N101" s="18">
        <f t="shared" si="2"/>
        <v>34546157.453453541</v>
      </c>
      <c r="O101" s="4"/>
    </row>
    <row r="102" spans="1:15" ht="15" x14ac:dyDescent="0.2">
      <c r="A102" s="17" t="s">
        <v>97</v>
      </c>
      <c r="B102" s="16">
        <v>102835576.3</v>
      </c>
      <c r="C102" s="16">
        <v>0</v>
      </c>
      <c r="D102" s="16">
        <v>4582097.6786404764</v>
      </c>
      <c r="E102" s="16">
        <v>0</v>
      </c>
      <c r="F102" s="16">
        <v>1838383.0941358274</v>
      </c>
      <c r="G102" s="16">
        <v>1004207.56</v>
      </c>
      <c r="H102" s="16">
        <v>5677418.0599999996</v>
      </c>
      <c r="I102" s="16">
        <v>4643544.8899999997</v>
      </c>
      <c r="J102" s="16">
        <v>0</v>
      </c>
      <c r="K102" s="16">
        <v>0</v>
      </c>
      <c r="L102" s="16">
        <v>0</v>
      </c>
      <c r="M102" s="16">
        <v>815.95</v>
      </c>
      <c r="N102" s="18">
        <f t="shared" si="2"/>
        <v>120582043.5327763</v>
      </c>
      <c r="O102" s="4"/>
    </row>
    <row r="103" spans="1:15" ht="15" x14ac:dyDescent="0.2">
      <c r="A103" s="17" t="s">
        <v>98</v>
      </c>
      <c r="B103" s="16">
        <v>35687295.670000002</v>
      </c>
      <c r="C103" s="16">
        <v>0</v>
      </c>
      <c r="D103" s="16">
        <v>1096353.5995246619</v>
      </c>
      <c r="E103" s="16">
        <v>0</v>
      </c>
      <c r="F103" s="16">
        <v>45557.598542724591</v>
      </c>
      <c r="G103" s="16">
        <v>34524.33</v>
      </c>
      <c r="H103" s="16">
        <v>1967655.19</v>
      </c>
      <c r="I103" s="16">
        <v>115073.27</v>
      </c>
      <c r="J103" s="16">
        <v>0</v>
      </c>
      <c r="K103" s="16">
        <v>0</v>
      </c>
      <c r="L103" s="16">
        <v>0</v>
      </c>
      <c r="M103" s="16">
        <v>20.2</v>
      </c>
      <c r="N103" s="18">
        <f t="shared" si="2"/>
        <v>38946479.858067393</v>
      </c>
      <c r="O103" s="4"/>
    </row>
    <row r="104" spans="1:15" ht="15" x14ac:dyDescent="0.2">
      <c r="A104" s="17" t="s">
        <v>99</v>
      </c>
      <c r="B104" s="16">
        <v>495172289.50999999</v>
      </c>
      <c r="C104" s="16">
        <v>0</v>
      </c>
      <c r="D104" s="16">
        <v>5116927.7694535982</v>
      </c>
      <c r="E104" s="16">
        <v>0</v>
      </c>
      <c r="F104" s="16">
        <v>9336245.0055581871</v>
      </c>
      <c r="G104" s="16">
        <v>1967986.9582850346</v>
      </c>
      <c r="H104" s="16">
        <v>26260083.629999999</v>
      </c>
      <c r="I104" s="16">
        <v>23582284.329999998</v>
      </c>
      <c r="J104" s="16">
        <v>0</v>
      </c>
      <c r="K104" s="16">
        <v>0</v>
      </c>
      <c r="L104" s="16">
        <v>0</v>
      </c>
      <c r="M104" s="16">
        <v>4143.88</v>
      </c>
      <c r="N104" s="18">
        <f t="shared" ref="N104:N135" si="3">SUM(B104:M104)</f>
        <v>561439961.0832969</v>
      </c>
      <c r="O104" s="4"/>
    </row>
    <row r="105" spans="1:15" ht="15" x14ac:dyDescent="0.2">
      <c r="A105" s="17" t="s">
        <v>100</v>
      </c>
      <c r="B105" s="16">
        <v>85280668.109999985</v>
      </c>
      <c r="C105" s="16">
        <v>0</v>
      </c>
      <c r="D105" s="16">
        <v>1307848.56</v>
      </c>
      <c r="E105" s="16">
        <v>0</v>
      </c>
      <c r="F105" s="16">
        <v>402361.64763364312</v>
      </c>
      <c r="G105" s="16">
        <v>247674.51</v>
      </c>
      <c r="H105" s="16">
        <v>4432983.0999999996</v>
      </c>
      <c r="I105" s="16">
        <v>1016319.38</v>
      </c>
      <c r="J105" s="16">
        <v>0</v>
      </c>
      <c r="K105" s="16">
        <v>0</v>
      </c>
      <c r="L105" s="16">
        <v>0</v>
      </c>
      <c r="M105" s="16">
        <v>178.57</v>
      </c>
      <c r="N105" s="18">
        <f t="shared" si="3"/>
        <v>92688033.877633616</v>
      </c>
      <c r="O105" s="4"/>
    </row>
    <row r="106" spans="1:15" ht="15" x14ac:dyDescent="0.2">
      <c r="A106" s="17" t="s">
        <v>101</v>
      </c>
      <c r="B106" s="16">
        <v>92082350.920000002</v>
      </c>
      <c r="C106" s="16">
        <v>0</v>
      </c>
      <c r="D106" s="16">
        <v>541473.63</v>
      </c>
      <c r="E106" s="16">
        <v>0</v>
      </c>
      <c r="F106" s="16">
        <v>2850986.8600644534</v>
      </c>
      <c r="G106" s="16">
        <v>828261.11498681596</v>
      </c>
      <c r="H106" s="16">
        <v>5064440.18</v>
      </c>
      <c r="I106" s="16">
        <v>7201265.8899999997</v>
      </c>
      <c r="J106" s="16">
        <v>0</v>
      </c>
      <c r="K106" s="16">
        <v>0</v>
      </c>
      <c r="L106" s="16">
        <v>0</v>
      </c>
      <c r="M106" s="16">
        <v>1265.3899999999999</v>
      </c>
      <c r="N106" s="18">
        <f t="shared" si="3"/>
        <v>108570043.98505127</v>
      </c>
      <c r="O106" s="4"/>
    </row>
    <row r="107" spans="1:15" ht="15" x14ac:dyDescent="0.2">
      <c r="A107" s="17" t="s">
        <v>102</v>
      </c>
      <c r="B107" s="16">
        <v>128745307.46000001</v>
      </c>
      <c r="C107" s="16">
        <v>0</v>
      </c>
      <c r="D107" s="16">
        <v>1583119.2802124238</v>
      </c>
      <c r="E107" s="16">
        <v>0</v>
      </c>
      <c r="F107" s="16">
        <v>158494.50249317626</v>
      </c>
      <c r="G107" s="16">
        <v>151606.82</v>
      </c>
      <c r="H107" s="16">
        <v>6919574.7599999998</v>
      </c>
      <c r="I107" s="16">
        <v>400338.94</v>
      </c>
      <c r="J107" s="16">
        <v>0</v>
      </c>
      <c r="K107" s="16">
        <v>0</v>
      </c>
      <c r="L107" s="16">
        <v>0</v>
      </c>
      <c r="M107" s="16">
        <v>70.320000000000007</v>
      </c>
      <c r="N107" s="18">
        <f t="shared" si="3"/>
        <v>137958512.08270559</v>
      </c>
      <c r="O107" s="4"/>
    </row>
    <row r="108" spans="1:15" ht="15" x14ac:dyDescent="0.2">
      <c r="A108" s="17" t="s">
        <v>103</v>
      </c>
      <c r="B108" s="16">
        <v>46361350.49000001</v>
      </c>
      <c r="C108" s="16">
        <v>0</v>
      </c>
      <c r="D108" s="16">
        <v>1065865.9463423751</v>
      </c>
      <c r="E108" s="16">
        <v>0</v>
      </c>
      <c r="F108" s="16">
        <v>160791.52426843971</v>
      </c>
      <c r="G108" s="16">
        <v>94566.63</v>
      </c>
      <c r="H108" s="16">
        <v>2404574.38</v>
      </c>
      <c r="I108" s="16">
        <v>406140.95</v>
      </c>
      <c r="J108" s="16">
        <v>0</v>
      </c>
      <c r="K108" s="16">
        <v>0</v>
      </c>
      <c r="L108" s="16">
        <v>0</v>
      </c>
      <c r="M108" s="16">
        <v>71.33</v>
      </c>
      <c r="N108" s="18">
        <f t="shared" si="3"/>
        <v>50493361.250610836</v>
      </c>
      <c r="O108" s="4"/>
    </row>
    <row r="109" spans="1:15" ht="15" x14ac:dyDescent="0.2">
      <c r="A109" s="17" t="s">
        <v>104</v>
      </c>
      <c r="B109" s="16">
        <v>492690059.46999997</v>
      </c>
      <c r="C109" s="16">
        <v>0</v>
      </c>
      <c r="D109" s="16">
        <v>8815822.6315859519</v>
      </c>
      <c r="E109" s="16">
        <v>0</v>
      </c>
      <c r="F109" s="16">
        <v>16416814.627807694</v>
      </c>
      <c r="G109" s="16">
        <v>9037809.1064156666</v>
      </c>
      <c r="H109" s="16">
        <v>26442977.100000001</v>
      </c>
      <c r="I109" s="16">
        <v>41466991.289999999</v>
      </c>
      <c r="J109" s="16">
        <v>0</v>
      </c>
      <c r="K109" s="16">
        <v>0</v>
      </c>
      <c r="L109" s="16">
        <v>0</v>
      </c>
      <c r="M109" s="16">
        <v>7286.6399999999994</v>
      </c>
      <c r="N109" s="18">
        <f t="shared" si="3"/>
        <v>594877760.8658092</v>
      </c>
      <c r="O109" s="4"/>
    </row>
    <row r="110" spans="1:15" ht="15" x14ac:dyDescent="0.2">
      <c r="A110" s="17" t="s">
        <v>105</v>
      </c>
      <c r="B110" s="16">
        <v>55116683.379999995</v>
      </c>
      <c r="C110" s="16">
        <v>0</v>
      </c>
      <c r="D110" s="16">
        <v>1827104.729219073</v>
      </c>
      <c r="E110" s="16">
        <v>0</v>
      </c>
      <c r="F110" s="16">
        <v>627469.78160945873</v>
      </c>
      <c r="G110" s="16">
        <v>316723.15999999997</v>
      </c>
      <c r="H110" s="16">
        <v>3085267.13</v>
      </c>
      <c r="I110" s="16">
        <v>1584916.72</v>
      </c>
      <c r="J110" s="16">
        <v>0</v>
      </c>
      <c r="K110" s="16">
        <v>0</v>
      </c>
      <c r="L110" s="16">
        <v>0</v>
      </c>
      <c r="M110" s="16">
        <v>278.48</v>
      </c>
      <c r="N110" s="18">
        <f t="shared" si="3"/>
        <v>62558443.380828522</v>
      </c>
      <c r="O110" s="4"/>
    </row>
    <row r="111" spans="1:15" ht="15" x14ac:dyDescent="0.2">
      <c r="A111" s="17" t="s">
        <v>106</v>
      </c>
      <c r="B111" s="16">
        <v>66729142.240000002</v>
      </c>
      <c r="C111" s="16">
        <v>0</v>
      </c>
      <c r="D111" s="16">
        <v>1468742.5834790138</v>
      </c>
      <c r="E111" s="16">
        <v>0</v>
      </c>
      <c r="F111" s="16">
        <v>218599.90561256922</v>
      </c>
      <c r="G111" s="16">
        <v>145602.59</v>
      </c>
      <c r="H111" s="16">
        <v>3768617.86</v>
      </c>
      <c r="I111" s="16">
        <v>552158.30000000005</v>
      </c>
      <c r="J111" s="16">
        <v>0</v>
      </c>
      <c r="K111" s="16">
        <v>0</v>
      </c>
      <c r="L111" s="16">
        <v>0</v>
      </c>
      <c r="M111" s="16">
        <v>97</v>
      </c>
      <c r="N111" s="18">
        <f t="shared" si="3"/>
        <v>72882960.479091585</v>
      </c>
      <c r="O111" s="4"/>
    </row>
    <row r="112" spans="1:15" ht="15" x14ac:dyDescent="0.2">
      <c r="A112" s="17" t="s">
        <v>107</v>
      </c>
      <c r="B112" s="16">
        <v>93106911.159999982</v>
      </c>
      <c r="C112" s="16">
        <v>0</v>
      </c>
      <c r="D112" s="16">
        <v>2419834.6375672976</v>
      </c>
      <c r="E112" s="16">
        <v>0</v>
      </c>
      <c r="F112" s="16">
        <v>265688.85200546944</v>
      </c>
      <c r="G112" s="16">
        <v>165116.34</v>
      </c>
      <c r="H112" s="16">
        <v>5045834.41</v>
      </c>
      <c r="I112" s="16">
        <v>671099.57</v>
      </c>
      <c r="J112" s="16">
        <v>0</v>
      </c>
      <c r="K112" s="16">
        <v>0</v>
      </c>
      <c r="L112" s="16">
        <v>0</v>
      </c>
      <c r="M112" s="16">
        <v>117.89999999999999</v>
      </c>
      <c r="N112" s="18">
        <f t="shared" si="3"/>
        <v>101674602.86957274</v>
      </c>
      <c r="O112" s="4"/>
    </row>
    <row r="113" spans="1:15" ht="15" x14ac:dyDescent="0.2">
      <c r="A113" s="17" t="s">
        <v>108</v>
      </c>
      <c r="B113" s="16">
        <v>71616760.24000001</v>
      </c>
      <c r="C113" s="16">
        <v>0</v>
      </c>
      <c r="D113" s="16">
        <v>2680622.016056031</v>
      </c>
      <c r="E113" s="16">
        <v>0</v>
      </c>
      <c r="F113" s="16">
        <v>374414.54936793819</v>
      </c>
      <c r="G113" s="16">
        <v>225158.64</v>
      </c>
      <c r="H113" s="16">
        <v>4035806.85</v>
      </c>
      <c r="I113" s="16">
        <v>945728.22</v>
      </c>
      <c r="J113" s="16">
        <v>0</v>
      </c>
      <c r="K113" s="16">
        <v>0</v>
      </c>
      <c r="L113" s="16">
        <v>0</v>
      </c>
      <c r="M113" s="16">
        <v>166.16</v>
      </c>
      <c r="N113" s="18">
        <f t="shared" si="3"/>
        <v>79878656.675423965</v>
      </c>
      <c r="O113" s="4"/>
    </row>
    <row r="114" spans="1:15" ht="15" x14ac:dyDescent="0.2">
      <c r="A114" s="17" t="s">
        <v>109</v>
      </c>
      <c r="B114" s="16">
        <v>48736467.390000001</v>
      </c>
      <c r="C114" s="16">
        <v>0</v>
      </c>
      <c r="D114" s="16">
        <v>1117171.5289615919</v>
      </c>
      <c r="E114" s="16">
        <v>0</v>
      </c>
      <c r="F114" s="16">
        <v>226639.48182599124</v>
      </c>
      <c r="G114" s="16">
        <v>120084.61</v>
      </c>
      <c r="H114" s="16">
        <v>2707835.78</v>
      </c>
      <c r="I114" s="16">
        <v>572465.34</v>
      </c>
      <c r="J114" s="16">
        <v>0</v>
      </c>
      <c r="K114" s="16">
        <v>0</v>
      </c>
      <c r="L114" s="16">
        <v>0</v>
      </c>
      <c r="M114" s="16">
        <v>100.56</v>
      </c>
      <c r="N114" s="18">
        <f t="shared" si="3"/>
        <v>53480764.690787591</v>
      </c>
      <c r="O114" s="4"/>
    </row>
    <row r="115" spans="1:15" ht="15" x14ac:dyDescent="0.2">
      <c r="A115" s="17" t="s">
        <v>110</v>
      </c>
      <c r="B115" s="16">
        <v>128228370.28000002</v>
      </c>
      <c r="C115" s="16">
        <v>0</v>
      </c>
      <c r="D115" s="16">
        <v>1494725.278170282</v>
      </c>
      <c r="E115" s="16">
        <v>0</v>
      </c>
      <c r="F115" s="16">
        <v>234679.05803941321</v>
      </c>
      <c r="G115" s="16">
        <v>199640.67</v>
      </c>
      <c r="H115" s="16">
        <v>7255111.4800000004</v>
      </c>
      <c r="I115" s="16">
        <v>592772.39</v>
      </c>
      <c r="J115" s="16">
        <v>0</v>
      </c>
      <c r="K115" s="16">
        <v>0</v>
      </c>
      <c r="L115" s="16">
        <v>0</v>
      </c>
      <c r="M115" s="16">
        <v>104.14</v>
      </c>
      <c r="N115" s="18">
        <f t="shared" si="3"/>
        <v>138005403.29620969</v>
      </c>
      <c r="O115" s="4"/>
    </row>
    <row r="116" spans="1:15" ht="15" x14ac:dyDescent="0.2">
      <c r="A116" s="17" t="s">
        <v>111</v>
      </c>
      <c r="B116" s="16">
        <v>70107862.450000003</v>
      </c>
      <c r="C116" s="16">
        <v>0</v>
      </c>
      <c r="D116" s="16">
        <v>1964024.2336632428</v>
      </c>
      <c r="E116" s="16">
        <v>0</v>
      </c>
      <c r="F116" s="16">
        <v>647760.14062428568</v>
      </c>
      <c r="G116" s="16">
        <v>307716.81</v>
      </c>
      <c r="H116" s="16">
        <v>3823042.9</v>
      </c>
      <c r="I116" s="16">
        <v>1636167.84</v>
      </c>
      <c r="J116" s="16">
        <v>0</v>
      </c>
      <c r="K116" s="16">
        <v>0</v>
      </c>
      <c r="L116" s="16">
        <v>0</v>
      </c>
      <c r="M116" s="16">
        <v>287.47999999999996</v>
      </c>
      <c r="N116" s="18">
        <f t="shared" si="3"/>
        <v>78486861.85428755</v>
      </c>
      <c r="O116" s="4"/>
    </row>
    <row r="117" spans="1:15" ht="15" x14ac:dyDescent="0.2">
      <c r="A117" s="17" t="s">
        <v>112</v>
      </c>
      <c r="B117" s="16">
        <v>37391791.350000009</v>
      </c>
      <c r="C117" s="16">
        <v>0</v>
      </c>
      <c r="D117" s="16">
        <v>507049.004634685</v>
      </c>
      <c r="E117" s="16">
        <v>0</v>
      </c>
      <c r="F117" s="16">
        <v>136289.95866562985</v>
      </c>
      <c r="G117" s="16">
        <v>82558.17</v>
      </c>
      <c r="H117" s="16">
        <v>2221680.92</v>
      </c>
      <c r="I117" s="16">
        <v>344252.81</v>
      </c>
      <c r="J117" s="16">
        <v>0</v>
      </c>
      <c r="K117" s="16">
        <v>0</v>
      </c>
      <c r="L117" s="16">
        <v>0</v>
      </c>
      <c r="M117" s="16">
        <v>60.459999999999994</v>
      </c>
      <c r="N117" s="18">
        <f t="shared" si="3"/>
        <v>40683682.673300333</v>
      </c>
      <c r="O117" s="4"/>
    </row>
    <row r="118" spans="1:15" ht="15" x14ac:dyDescent="0.2">
      <c r="A118" s="17" t="s">
        <v>113</v>
      </c>
      <c r="B118" s="16">
        <v>58884270.799999997</v>
      </c>
      <c r="C118" s="16">
        <v>0</v>
      </c>
      <c r="D118" s="16">
        <v>2319839.9885827508</v>
      </c>
      <c r="E118" s="16">
        <v>0</v>
      </c>
      <c r="F118" s="16">
        <v>642783.26011121494</v>
      </c>
      <c r="G118" s="16">
        <v>313721.05</v>
      </c>
      <c r="H118" s="16">
        <v>3370935.33</v>
      </c>
      <c r="I118" s="16">
        <v>1623596.81</v>
      </c>
      <c r="J118" s="16">
        <v>0</v>
      </c>
      <c r="K118" s="16">
        <v>0</v>
      </c>
      <c r="L118" s="16">
        <v>0</v>
      </c>
      <c r="M118" s="16">
        <v>285.27</v>
      </c>
      <c r="N118" s="18">
        <f t="shared" si="3"/>
        <v>67155432.508693948</v>
      </c>
      <c r="O118" s="4"/>
    </row>
    <row r="119" spans="1:15" ht="15" x14ac:dyDescent="0.2">
      <c r="A119" s="17" t="s">
        <v>114</v>
      </c>
      <c r="B119" s="16">
        <v>86621910.599999994</v>
      </c>
      <c r="C119" s="16">
        <v>0</v>
      </c>
      <c r="D119" s="16">
        <v>1737665.0002205209</v>
      </c>
      <c r="E119" s="16">
        <v>0</v>
      </c>
      <c r="F119" s="16">
        <v>516447.06247172656</v>
      </c>
      <c r="G119" s="16">
        <v>220655.47</v>
      </c>
      <c r="H119" s="16">
        <v>4898380.51</v>
      </c>
      <c r="I119" s="16">
        <v>1304486.06</v>
      </c>
      <c r="J119" s="16">
        <v>0</v>
      </c>
      <c r="K119" s="16">
        <v>0</v>
      </c>
      <c r="L119" s="16">
        <v>0</v>
      </c>
      <c r="M119" s="16">
        <v>229.2</v>
      </c>
      <c r="N119" s="18">
        <f t="shared" si="3"/>
        <v>95299773.902692258</v>
      </c>
      <c r="O119" s="4"/>
    </row>
    <row r="120" spans="1:15" ht="15" x14ac:dyDescent="0.2">
      <c r="A120" s="17" t="s">
        <v>115</v>
      </c>
      <c r="B120" s="16">
        <v>55791961.730000004</v>
      </c>
      <c r="C120" s="16">
        <v>0</v>
      </c>
      <c r="D120" s="16">
        <v>1708637.0461322372</v>
      </c>
      <c r="E120" s="16">
        <v>0</v>
      </c>
      <c r="F120" s="16">
        <v>347998.79895240883</v>
      </c>
      <c r="G120" s="16">
        <v>222156.53</v>
      </c>
      <c r="H120" s="16">
        <v>3238416.68</v>
      </c>
      <c r="I120" s="16">
        <v>879005.06</v>
      </c>
      <c r="J120" s="16">
        <v>0</v>
      </c>
      <c r="K120" s="16">
        <v>0</v>
      </c>
      <c r="L120" s="16">
        <v>0</v>
      </c>
      <c r="M120" s="16">
        <v>154.42000000000002</v>
      </c>
      <c r="N120" s="18">
        <f t="shared" si="3"/>
        <v>62188330.265084654</v>
      </c>
      <c r="O120" s="4"/>
    </row>
    <row r="121" spans="1:15" ht="15" x14ac:dyDescent="0.2">
      <c r="A121" s="17" t="s">
        <v>116</v>
      </c>
      <c r="B121" s="16">
        <v>65392556.839999996</v>
      </c>
      <c r="C121" s="16">
        <v>0</v>
      </c>
      <c r="D121" s="16">
        <v>1410158.30794795</v>
      </c>
      <c r="E121" s="16">
        <v>0</v>
      </c>
      <c r="F121" s="16">
        <v>146243.71969177134</v>
      </c>
      <c r="G121" s="16">
        <v>81057.11</v>
      </c>
      <c r="H121" s="16">
        <v>3520920.62</v>
      </c>
      <c r="I121" s="16">
        <v>369394.87</v>
      </c>
      <c r="J121" s="16">
        <v>0</v>
      </c>
      <c r="K121" s="16">
        <v>0</v>
      </c>
      <c r="L121" s="16">
        <v>0</v>
      </c>
      <c r="M121" s="16">
        <v>64.89</v>
      </c>
      <c r="N121" s="18">
        <f t="shared" si="3"/>
        <v>70920396.357639715</v>
      </c>
      <c r="O121" s="4"/>
    </row>
    <row r="122" spans="1:15" ht="15" x14ac:dyDescent="0.2">
      <c r="A122" s="17" t="s">
        <v>117</v>
      </c>
      <c r="B122" s="16">
        <v>196550238.04000002</v>
      </c>
      <c r="C122" s="16">
        <v>0</v>
      </c>
      <c r="D122" s="16">
        <v>4299678.26</v>
      </c>
      <c r="E122" s="16">
        <v>0</v>
      </c>
      <c r="F122" s="16">
        <v>4402625.0692548966</v>
      </c>
      <c r="G122" s="16">
        <v>2132378.256431567</v>
      </c>
      <c r="H122" s="16">
        <v>9861944.5099999998</v>
      </c>
      <c r="I122" s="16">
        <v>11120526.09</v>
      </c>
      <c r="J122" s="16">
        <v>0</v>
      </c>
      <c r="K122" s="16">
        <v>0</v>
      </c>
      <c r="L122" s="16">
        <v>0</v>
      </c>
      <c r="M122" s="16">
        <v>1954.1</v>
      </c>
      <c r="N122" s="18">
        <f t="shared" si="3"/>
        <v>228369344.32568648</v>
      </c>
      <c r="O122" s="4"/>
    </row>
    <row r="123" spans="1:15" ht="15" x14ac:dyDescent="0.2">
      <c r="A123" s="17" t="s">
        <v>118</v>
      </c>
      <c r="B123" s="16">
        <v>493244253.43999994</v>
      </c>
      <c r="C123" s="16">
        <v>0</v>
      </c>
      <c r="D123" s="16">
        <v>7189100.9899999993</v>
      </c>
      <c r="E123" s="16">
        <v>0</v>
      </c>
      <c r="F123" s="16">
        <v>6120031.6832268499</v>
      </c>
      <c r="G123" s="16">
        <v>5226526.4371466339</v>
      </c>
      <c r="H123" s="16">
        <v>26397538.510000002</v>
      </c>
      <c r="I123" s="16">
        <v>15458498.27</v>
      </c>
      <c r="J123" s="16">
        <v>0</v>
      </c>
      <c r="K123" s="16">
        <v>0</v>
      </c>
      <c r="L123" s="16">
        <v>0</v>
      </c>
      <c r="M123" s="16">
        <v>2716.36</v>
      </c>
      <c r="N123" s="18">
        <f t="shared" si="3"/>
        <v>553638665.69037342</v>
      </c>
      <c r="O123" s="4"/>
    </row>
    <row r="124" spans="1:15" ht="15" x14ac:dyDescent="0.2">
      <c r="A124" s="17" t="s">
        <v>119</v>
      </c>
      <c r="B124" s="16">
        <v>376528214.41000009</v>
      </c>
      <c r="C124" s="16">
        <v>0</v>
      </c>
      <c r="D124" s="16">
        <v>2865032.2699999996</v>
      </c>
      <c r="E124" s="16">
        <v>0</v>
      </c>
      <c r="F124" s="16">
        <v>7837055.4602362597</v>
      </c>
      <c r="G124" s="16">
        <v>0</v>
      </c>
      <c r="H124" s="16">
        <v>20095877.859999999</v>
      </c>
      <c r="I124" s="16">
        <v>19795503.440000001</v>
      </c>
      <c r="J124" s="16">
        <v>0</v>
      </c>
      <c r="K124" s="16">
        <v>0</v>
      </c>
      <c r="L124" s="16">
        <v>0</v>
      </c>
      <c r="M124" s="16">
        <v>3478.48</v>
      </c>
      <c r="N124" s="18">
        <f t="shared" si="3"/>
        <v>427125161.92023635</v>
      </c>
      <c r="O124" s="4"/>
    </row>
    <row r="125" spans="1:15" ht="15" x14ac:dyDescent="0.2">
      <c r="A125" s="17" t="s">
        <v>120</v>
      </c>
      <c r="B125" s="16">
        <v>131511620.08</v>
      </c>
      <c r="C125" s="16">
        <v>0</v>
      </c>
      <c r="D125" s="16">
        <v>24937543.251678824</v>
      </c>
      <c r="E125" s="16">
        <v>0</v>
      </c>
      <c r="F125" s="16">
        <v>3047382.2218494769</v>
      </c>
      <c r="G125" s="16">
        <v>1400486.77</v>
      </c>
      <c r="H125" s="16">
        <v>7164993.7300000004</v>
      </c>
      <c r="I125" s="16">
        <v>7697338.0599999996</v>
      </c>
      <c r="J125" s="16">
        <v>0</v>
      </c>
      <c r="K125" s="16">
        <v>0</v>
      </c>
      <c r="L125" s="16">
        <v>0</v>
      </c>
      <c r="M125" s="16">
        <v>1352.57</v>
      </c>
      <c r="N125" s="18">
        <f t="shared" si="3"/>
        <v>175760716.68352827</v>
      </c>
      <c r="O125" s="4"/>
    </row>
    <row r="126" spans="1:15" ht="15" x14ac:dyDescent="0.2">
      <c r="A126" s="17" t="s">
        <v>121</v>
      </c>
      <c r="B126" s="16">
        <v>158725337.05000001</v>
      </c>
      <c r="C126" s="16">
        <v>0</v>
      </c>
      <c r="D126" s="16">
        <v>2282589.3174899491</v>
      </c>
      <c r="E126" s="16">
        <v>0</v>
      </c>
      <c r="F126" s="16">
        <v>1525605.2957374579</v>
      </c>
      <c r="G126" s="16">
        <v>567399.79</v>
      </c>
      <c r="H126" s="16">
        <v>9026077.0899999999</v>
      </c>
      <c r="I126" s="16">
        <v>3853504.04</v>
      </c>
      <c r="J126" s="16">
        <v>0</v>
      </c>
      <c r="K126" s="16">
        <v>0</v>
      </c>
      <c r="L126" s="16">
        <v>0</v>
      </c>
      <c r="M126" s="16">
        <v>677.12000000000012</v>
      </c>
      <c r="N126" s="18">
        <f t="shared" si="3"/>
        <v>175981189.7032274</v>
      </c>
      <c r="O126" s="4"/>
    </row>
    <row r="127" spans="1:15" ht="15" x14ac:dyDescent="0.2">
      <c r="A127" s="17" t="s">
        <v>122</v>
      </c>
      <c r="B127" s="16">
        <v>77612766.160000011</v>
      </c>
      <c r="C127" s="16">
        <v>0</v>
      </c>
      <c r="D127" s="16">
        <v>1126977.7078354522</v>
      </c>
      <c r="E127" s="16">
        <v>0</v>
      </c>
      <c r="F127" s="16">
        <v>1619400.3515607142</v>
      </c>
      <c r="G127" s="16">
        <v>571902.96</v>
      </c>
      <c r="H127" s="16">
        <v>4261607.5</v>
      </c>
      <c r="I127" s="16">
        <v>4090419.6</v>
      </c>
      <c r="J127" s="16">
        <v>0</v>
      </c>
      <c r="K127" s="16">
        <v>0</v>
      </c>
      <c r="L127" s="16">
        <v>0</v>
      </c>
      <c r="M127" s="16">
        <v>718.75</v>
      </c>
      <c r="N127" s="18">
        <f t="shared" si="3"/>
        <v>89283793.029396161</v>
      </c>
      <c r="O127" s="4"/>
    </row>
    <row r="128" spans="1:15" ht="15" x14ac:dyDescent="0.2">
      <c r="A128" s="17" t="s">
        <v>123</v>
      </c>
      <c r="B128" s="16">
        <v>43357526.150000006</v>
      </c>
      <c r="C128" s="16">
        <v>0</v>
      </c>
      <c r="D128" s="16">
        <v>607615.44044580695</v>
      </c>
      <c r="E128" s="16">
        <v>0</v>
      </c>
      <c r="F128" s="16">
        <v>148157.90450449087</v>
      </c>
      <c r="G128" s="16">
        <v>97568.75</v>
      </c>
      <c r="H128" s="16">
        <v>2598099.71</v>
      </c>
      <c r="I128" s="16">
        <v>374229.88</v>
      </c>
      <c r="J128" s="16">
        <v>0</v>
      </c>
      <c r="K128" s="16">
        <v>0</v>
      </c>
      <c r="L128" s="16">
        <v>0</v>
      </c>
      <c r="M128" s="16">
        <v>65.73</v>
      </c>
      <c r="N128" s="18">
        <f t="shared" si="3"/>
        <v>47183263.56495031</v>
      </c>
      <c r="O128" s="4"/>
    </row>
    <row r="129" spans="1:15" ht="15" x14ac:dyDescent="0.2">
      <c r="A129" s="17" t="s">
        <v>124</v>
      </c>
      <c r="B129" s="16">
        <v>243477425.31</v>
      </c>
      <c r="C129" s="16">
        <v>0</v>
      </c>
      <c r="D129" s="16">
        <v>7377482.9055378241</v>
      </c>
      <c r="E129" s="16">
        <v>0</v>
      </c>
      <c r="F129" s="16">
        <v>1884323.529641096</v>
      </c>
      <c r="G129" s="16">
        <v>1190338.7</v>
      </c>
      <c r="H129" s="16">
        <v>13436277.619999999</v>
      </c>
      <c r="I129" s="16">
        <v>4759585.17</v>
      </c>
      <c r="J129" s="16">
        <v>0</v>
      </c>
      <c r="K129" s="16">
        <v>0</v>
      </c>
      <c r="L129" s="16">
        <v>0</v>
      </c>
      <c r="M129" s="16">
        <v>836.32</v>
      </c>
      <c r="N129" s="18">
        <f t="shared" si="3"/>
        <v>272126269.55517888</v>
      </c>
      <c r="O129" s="4"/>
    </row>
    <row r="130" spans="1:15" ht="15" x14ac:dyDescent="0.2">
      <c r="A130" s="17" t="s">
        <v>125</v>
      </c>
      <c r="B130" s="16">
        <v>73060458.75999999</v>
      </c>
      <c r="C130" s="16">
        <v>0</v>
      </c>
      <c r="D130" s="16">
        <v>1619096.0139248206</v>
      </c>
      <c r="E130" s="16">
        <v>0</v>
      </c>
      <c r="F130" s="16">
        <v>233147.71018923761</v>
      </c>
      <c r="G130" s="16">
        <v>88562.4</v>
      </c>
      <c r="H130" s="16">
        <v>4207688.74</v>
      </c>
      <c r="I130" s="16">
        <v>588904.38</v>
      </c>
      <c r="J130" s="16">
        <v>0</v>
      </c>
      <c r="K130" s="16">
        <v>0</v>
      </c>
      <c r="L130" s="16">
        <v>0</v>
      </c>
      <c r="M130" s="16">
        <v>103.46000000000001</v>
      </c>
      <c r="N130" s="18">
        <f t="shared" si="3"/>
        <v>79797961.46411404</v>
      </c>
      <c r="O130" s="4"/>
    </row>
    <row r="131" spans="1:15" ht="15" x14ac:dyDescent="0.2">
      <c r="A131" s="17" t="s">
        <v>126</v>
      </c>
      <c r="B131" s="16">
        <v>385814455.82000005</v>
      </c>
      <c r="C131" s="16">
        <v>0</v>
      </c>
      <c r="D131" s="16">
        <v>10692373.839999998</v>
      </c>
      <c r="E131" s="16">
        <v>0</v>
      </c>
      <c r="F131" s="16">
        <v>10294868.759768123</v>
      </c>
      <c r="G131" s="16">
        <v>1059338.3282088144</v>
      </c>
      <c r="H131" s="16">
        <v>19789578.780000001</v>
      </c>
      <c r="I131" s="16">
        <v>26003658.010000002</v>
      </c>
      <c r="J131" s="16">
        <v>0</v>
      </c>
      <c r="K131" s="16">
        <v>0</v>
      </c>
      <c r="L131" s="16">
        <v>0</v>
      </c>
      <c r="M131" s="16">
        <v>4569.3899999999994</v>
      </c>
      <c r="N131" s="18">
        <f t="shared" si="3"/>
        <v>453658842.92797697</v>
      </c>
      <c r="O131" s="4"/>
    </row>
    <row r="132" spans="1:15" ht="15" x14ac:dyDescent="0.2">
      <c r="A132" s="17" t="s">
        <v>127</v>
      </c>
      <c r="B132" s="16">
        <v>16369678.189999999</v>
      </c>
      <c r="C132" s="16">
        <v>0</v>
      </c>
      <c r="D132" s="16">
        <v>204028.25068033297</v>
      </c>
      <c r="E132" s="16">
        <v>0</v>
      </c>
      <c r="F132" s="16">
        <v>44026.250692548965</v>
      </c>
      <c r="G132" s="16">
        <v>16511.63</v>
      </c>
      <c r="H132" s="16">
        <v>879154.31</v>
      </c>
      <c r="I132" s="16">
        <v>111205.26</v>
      </c>
      <c r="J132" s="16">
        <v>0</v>
      </c>
      <c r="K132" s="16">
        <v>0</v>
      </c>
      <c r="L132" s="16">
        <v>0</v>
      </c>
      <c r="M132" s="16">
        <v>19.510000000000002</v>
      </c>
      <c r="N132" s="18">
        <f t="shared" si="3"/>
        <v>17624623.401372883</v>
      </c>
      <c r="O132" s="4"/>
    </row>
    <row r="133" spans="1:15" ht="15" x14ac:dyDescent="0.2">
      <c r="A133" s="17" t="s">
        <v>128</v>
      </c>
      <c r="B133" s="16">
        <v>93342094.310000002</v>
      </c>
      <c r="C133" s="16">
        <v>0</v>
      </c>
      <c r="D133" s="16">
        <v>1094824.3936632429</v>
      </c>
      <c r="E133" s="16">
        <v>0</v>
      </c>
      <c r="F133" s="16">
        <v>159260.17641826408</v>
      </c>
      <c r="G133" s="16">
        <v>121585.67</v>
      </c>
      <c r="H133" s="16">
        <v>4916353.43</v>
      </c>
      <c r="I133" s="16">
        <v>402272.94</v>
      </c>
      <c r="J133" s="16">
        <v>0</v>
      </c>
      <c r="K133" s="16">
        <v>0</v>
      </c>
      <c r="L133" s="16">
        <v>0</v>
      </c>
      <c r="M133" s="16">
        <v>70.66</v>
      </c>
      <c r="N133" s="18">
        <f t="shared" si="3"/>
        <v>100036461.58008149</v>
      </c>
      <c r="O133" s="4"/>
    </row>
    <row r="134" spans="1:15" ht="15" x14ac:dyDescent="0.2">
      <c r="A134" s="17" t="s">
        <v>129</v>
      </c>
      <c r="B134" s="16">
        <v>179430767.93000001</v>
      </c>
      <c r="C134" s="16">
        <v>0</v>
      </c>
      <c r="D134" s="16">
        <v>4583053.8705231557</v>
      </c>
      <c r="E134" s="16">
        <v>0</v>
      </c>
      <c r="F134" s="16">
        <v>743086.54429771786</v>
      </c>
      <c r="G134" s="16">
        <v>412790.85</v>
      </c>
      <c r="H134" s="16">
        <v>9637282.9900000002</v>
      </c>
      <c r="I134" s="16">
        <v>1876951.4</v>
      </c>
      <c r="J134" s="16">
        <v>0</v>
      </c>
      <c r="K134" s="16">
        <v>0</v>
      </c>
      <c r="L134" s="16">
        <v>0</v>
      </c>
      <c r="M134" s="16">
        <v>329.79</v>
      </c>
      <c r="N134" s="18">
        <f t="shared" si="3"/>
        <v>196684263.37482089</v>
      </c>
      <c r="O134" s="4"/>
    </row>
    <row r="135" spans="1:15" ht="15" x14ac:dyDescent="0.2">
      <c r="A135" s="17" t="s">
        <v>130</v>
      </c>
      <c r="B135" s="16">
        <v>149387867.63999999</v>
      </c>
      <c r="C135" s="16">
        <v>0</v>
      </c>
      <c r="D135" s="16">
        <v>4695984.5440236041</v>
      </c>
      <c r="E135" s="16">
        <v>0</v>
      </c>
      <c r="F135" s="16">
        <v>1118649.6045532878</v>
      </c>
      <c r="G135" s="16">
        <v>549387.09</v>
      </c>
      <c r="H135" s="16">
        <v>8074904.5199999996</v>
      </c>
      <c r="I135" s="16">
        <v>2825580.63</v>
      </c>
      <c r="J135" s="16">
        <v>0</v>
      </c>
      <c r="K135" s="16">
        <v>0</v>
      </c>
      <c r="L135" s="16">
        <v>0</v>
      </c>
      <c r="M135" s="16">
        <v>496.49</v>
      </c>
      <c r="N135" s="18">
        <f t="shared" si="3"/>
        <v>166652870.51857689</v>
      </c>
      <c r="O135" s="4"/>
    </row>
    <row r="136" spans="1:15" ht="15" x14ac:dyDescent="0.2">
      <c r="A136" s="17" t="s">
        <v>131</v>
      </c>
      <c r="B136" s="16">
        <v>253988481.90999997</v>
      </c>
      <c r="C136" s="16">
        <v>0</v>
      </c>
      <c r="D136" s="16">
        <v>4461097.8500000006</v>
      </c>
      <c r="E136" s="16">
        <v>0</v>
      </c>
      <c r="F136" s="16">
        <v>6655620.5938257715</v>
      </c>
      <c r="G136" s="16">
        <v>3941174.2884683926</v>
      </c>
      <c r="H136" s="16">
        <v>13742450.130000001</v>
      </c>
      <c r="I136" s="16">
        <v>16811334.440000001</v>
      </c>
      <c r="J136" s="16">
        <v>0</v>
      </c>
      <c r="K136" s="16">
        <v>0</v>
      </c>
      <c r="L136" s="16">
        <v>0</v>
      </c>
      <c r="M136" s="16">
        <v>2954.0899999999997</v>
      </c>
      <c r="N136" s="18">
        <f t="shared" ref="N136:N142" si="4">SUM(B136:M136)</f>
        <v>299603113.30229408</v>
      </c>
      <c r="O136" s="4"/>
    </row>
    <row r="137" spans="1:15" ht="15" x14ac:dyDescent="0.2">
      <c r="A137" s="17" t="s">
        <v>132</v>
      </c>
      <c r="B137" s="16">
        <v>41813700.170000002</v>
      </c>
      <c r="C137" s="16">
        <v>0</v>
      </c>
      <c r="D137" s="16">
        <v>555012.4744534099</v>
      </c>
      <c r="E137" s="16">
        <v>0</v>
      </c>
      <c r="F137" s="16">
        <v>79630.088209132038</v>
      </c>
      <c r="G137" s="16">
        <v>84059.23</v>
      </c>
      <c r="H137" s="16">
        <v>2327366.7599999998</v>
      </c>
      <c r="I137" s="16">
        <v>201136.47</v>
      </c>
      <c r="J137" s="16">
        <v>0</v>
      </c>
      <c r="K137" s="16">
        <v>0</v>
      </c>
      <c r="L137" s="16">
        <v>0</v>
      </c>
      <c r="M137" s="16">
        <v>35.32</v>
      </c>
      <c r="N137" s="18">
        <f t="shared" si="4"/>
        <v>45060940.512662537</v>
      </c>
      <c r="O137" s="4"/>
    </row>
    <row r="138" spans="1:15" ht="15" x14ac:dyDescent="0.2">
      <c r="A138" s="17" t="s">
        <v>133</v>
      </c>
      <c r="B138" s="16">
        <v>90431411.829999998</v>
      </c>
      <c r="C138" s="16">
        <v>0</v>
      </c>
      <c r="D138" s="16">
        <v>2899804.6512808376</v>
      </c>
      <c r="E138" s="16">
        <v>0</v>
      </c>
      <c r="F138" s="16">
        <v>693317.7391670103</v>
      </c>
      <c r="G138" s="16">
        <v>343742.2</v>
      </c>
      <c r="H138" s="16">
        <v>4983435.46</v>
      </c>
      <c r="I138" s="16">
        <v>1751241.11</v>
      </c>
      <c r="J138" s="16">
        <v>0</v>
      </c>
      <c r="K138" s="16">
        <v>0</v>
      </c>
      <c r="L138" s="16">
        <v>0</v>
      </c>
      <c r="M138" s="16">
        <v>307.71000000000004</v>
      </c>
      <c r="N138" s="18">
        <f t="shared" si="4"/>
        <v>101103260.70044783</v>
      </c>
      <c r="O138" s="4"/>
    </row>
    <row r="139" spans="1:15" ht="15" x14ac:dyDescent="0.2">
      <c r="A139" s="17" t="s">
        <v>134</v>
      </c>
      <c r="B139" s="16">
        <v>398570230.71000004</v>
      </c>
      <c r="C139" s="16">
        <v>0</v>
      </c>
      <c r="D139" s="16">
        <v>5050188.9349999987</v>
      </c>
      <c r="E139" s="16">
        <v>0</v>
      </c>
      <c r="F139" s="16">
        <v>3565743.4691339224</v>
      </c>
      <c r="G139" s="16">
        <v>3630402.4662826709</v>
      </c>
      <c r="H139" s="16">
        <v>23331003.709999997</v>
      </c>
      <c r="I139" s="16">
        <v>9006659.1500000004</v>
      </c>
      <c r="J139" s="16">
        <v>0</v>
      </c>
      <c r="K139" s="16">
        <v>0</v>
      </c>
      <c r="L139" s="16">
        <v>0</v>
      </c>
      <c r="M139" s="16">
        <v>1582.6399999999999</v>
      </c>
      <c r="N139" s="18">
        <f t="shared" si="4"/>
        <v>443155811.08041656</v>
      </c>
      <c r="O139" s="4"/>
    </row>
    <row r="140" spans="1:15" ht="15" x14ac:dyDescent="0.2">
      <c r="A140" s="17" t="s">
        <v>135</v>
      </c>
      <c r="B140" s="16">
        <v>112282487.36</v>
      </c>
      <c r="C140" s="16">
        <v>0</v>
      </c>
      <c r="D140" s="16">
        <v>1182302.99</v>
      </c>
      <c r="E140" s="16">
        <v>0</v>
      </c>
      <c r="F140" s="16">
        <v>588037.57446743664</v>
      </c>
      <c r="G140" s="16">
        <v>304714.7</v>
      </c>
      <c r="H140" s="16">
        <v>6070923.7800000003</v>
      </c>
      <c r="I140" s="16">
        <v>1485315.48</v>
      </c>
      <c r="J140" s="16">
        <v>0</v>
      </c>
      <c r="K140" s="16">
        <v>0</v>
      </c>
      <c r="L140" s="16">
        <v>0</v>
      </c>
      <c r="M140" s="16">
        <v>260.98</v>
      </c>
      <c r="N140" s="18">
        <f t="shared" si="4"/>
        <v>121914042.86446744</v>
      </c>
      <c r="O140" s="4"/>
    </row>
    <row r="141" spans="1:15" ht="15" x14ac:dyDescent="0.2">
      <c r="A141" s="17" t="s">
        <v>136</v>
      </c>
      <c r="B141" s="16">
        <v>136178026.25999999</v>
      </c>
      <c r="C141" s="16">
        <v>0</v>
      </c>
      <c r="D141" s="16">
        <v>1432450.3005335387</v>
      </c>
      <c r="E141" s="16">
        <v>0</v>
      </c>
      <c r="F141" s="16">
        <v>847983.8720347475</v>
      </c>
      <c r="G141" s="16">
        <v>297209.40999999997</v>
      </c>
      <c r="H141" s="16">
        <v>7509896.6299999999</v>
      </c>
      <c r="I141" s="16">
        <v>2141910.0299999998</v>
      </c>
      <c r="J141" s="16">
        <v>0</v>
      </c>
      <c r="K141" s="16">
        <v>0</v>
      </c>
      <c r="L141" s="16">
        <v>0</v>
      </c>
      <c r="M141" s="16">
        <v>376.36</v>
      </c>
      <c r="N141" s="18">
        <f t="shared" si="4"/>
        <v>148407852.86256829</v>
      </c>
      <c r="O141" s="4"/>
    </row>
    <row r="142" spans="1:15" ht="15" x14ac:dyDescent="0.2">
      <c r="A142" s="17" t="s">
        <v>137</v>
      </c>
      <c r="B142" s="16">
        <v>128836120.76000001</v>
      </c>
      <c r="C142" s="16">
        <v>0</v>
      </c>
      <c r="D142" s="16">
        <v>1821303.630814265</v>
      </c>
      <c r="E142" s="16">
        <v>0</v>
      </c>
      <c r="F142" s="16">
        <v>3645756.3943055989</v>
      </c>
      <c r="G142" s="16">
        <v>1097273.1299999999</v>
      </c>
      <c r="H142" s="16">
        <v>7115504.9100000001</v>
      </c>
      <c r="I142" s="16">
        <v>9208762.5999999996</v>
      </c>
      <c r="J142" s="16">
        <v>0</v>
      </c>
      <c r="K142" s="16">
        <v>0</v>
      </c>
      <c r="L142" s="16">
        <v>0</v>
      </c>
      <c r="M142" s="16">
        <v>1618.15</v>
      </c>
      <c r="N142" s="18">
        <f t="shared" si="4"/>
        <v>151726339.57511985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23285459848.529999</v>
      </c>
      <c r="C143" s="25">
        <f t="shared" si="5"/>
        <v>0</v>
      </c>
      <c r="D143" s="25">
        <f t="shared" si="5"/>
        <v>393658698.40421736</v>
      </c>
      <c r="E143" s="25">
        <f t="shared" si="5"/>
        <v>0</v>
      </c>
      <c r="F143" s="25">
        <f t="shared" si="5"/>
        <v>382836962.54390401</v>
      </c>
      <c r="G143" s="25">
        <f t="shared" si="5"/>
        <v>150105763.27999991</v>
      </c>
      <c r="H143" s="25">
        <f t="shared" si="5"/>
        <v>1265698693.0799999</v>
      </c>
      <c r="I143" s="25">
        <f t="shared" si="5"/>
        <v>967002268.69000006</v>
      </c>
      <c r="J143" s="25">
        <f t="shared" ref="J143:L143" si="6">SUM(J8:J142)</f>
        <v>0</v>
      </c>
      <c r="K143" s="25">
        <f t="shared" si="6"/>
        <v>0</v>
      </c>
      <c r="L143" s="25">
        <f t="shared" si="6"/>
        <v>0</v>
      </c>
      <c r="M143" s="25">
        <f t="shared" ref="M143" si="7">SUM(M8:M142)</f>
        <v>169919.65000000002</v>
      </c>
      <c r="N143" s="25">
        <f>SUM(N8:N142)</f>
        <v>26444932154.178116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9" width="22.33203125" style="1" customWidth="1"/>
    <col min="10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172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98326691.99000001</v>
      </c>
      <c r="C8" s="16">
        <v>0</v>
      </c>
      <c r="D8" s="16">
        <v>1958433.2094478665</v>
      </c>
      <c r="E8" s="16">
        <v>0</v>
      </c>
      <c r="F8" s="16">
        <v>327163.74</v>
      </c>
      <c r="G8" s="16">
        <v>171852.97</v>
      </c>
      <c r="H8" s="16">
        <v>5177534.05</v>
      </c>
      <c r="I8" s="16">
        <v>760451.36</v>
      </c>
      <c r="J8" s="16">
        <v>0</v>
      </c>
      <c r="K8" s="16">
        <v>0</v>
      </c>
      <c r="L8" s="16">
        <v>0</v>
      </c>
      <c r="M8" s="16">
        <v>132.24</v>
      </c>
      <c r="N8" s="18">
        <f t="shared" ref="N8:N39" si="0">SUM(B8:M8)</f>
        <v>106722259.55944785</v>
      </c>
      <c r="O8" s="4"/>
    </row>
    <row r="9" spans="1:15" ht="18" customHeight="1" x14ac:dyDescent="0.2">
      <c r="A9" s="17" t="s">
        <v>4</v>
      </c>
      <c r="B9" s="16">
        <v>55500715.670000002</v>
      </c>
      <c r="C9" s="16">
        <v>0</v>
      </c>
      <c r="D9" s="16">
        <v>1701971.5788943036</v>
      </c>
      <c r="E9" s="16">
        <v>0</v>
      </c>
      <c r="F9" s="16">
        <v>229217.82</v>
      </c>
      <c r="G9" s="16">
        <v>121400.72</v>
      </c>
      <c r="H9" s="16">
        <v>2922470.39</v>
      </c>
      <c r="I9" s="16">
        <v>532788.28</v>
      </c>
      <c r="J9" s="16">
        <v>0</v>
      </c>
      <c r="K9" s="16">
        <v>0</v>
      </c>
      <c r="L9" s="16">
        <v>0</v>
      </c>
      <c r="M9" s="16">
        <v>92.639999999999986</v>
      </c>
      <c r="N9" s="18">
        <f t="shared" si="0"/>
        <v>61008657.098894306</v>
      </c>
      <c r="O9" s="4"/>
    </row>
    <row r="10" spans="1:15" ht="18" customHeight="1" x14ac:dyDescent="0.2">
      <c r="A10" s="17" t="s">
        <v>5</v>
      </c>
      <c r="B10" s="16">
        <v>47092884.960000001</v>
      </c>
      <c r="C10" s="16">
        <v>0</v>
      </c>
      <c r="D10" s="16">
        <v>1268603.0578038429</v>
      </c>
      <c r="E10" s="16">
        <v>0</v>
      </c>
      <c r="F10" s="16">
        <v>160127.34</v>
      </c>
      <c r="G10" s="16">
        <v>107211.03</v>
      </c>
      <c r="H10" s="16">
        <v>2479743.91</v>
      </c>
      <c r="I10" s="16">
        <v>372196.07</v>
      </c>
      <c r="J10" s="16">
        <v>0</v>
      </c>
      <c r="K10" s="16">
        <v>0</v>
      </c>
      <c r="L10" s="16">
        <v>0</v>
      </c>
      <c r="M10" s="16">
        <v>64.709999999999994</v>
      </c>
      <c r="N10" s="18">
        <f t="shared" si="0"/>
        <v>51480831.07780385</v>
      </c>
      <c r="O10" s="4"/>
    </row>
    <row r="11" spans="1:15" ht="18" customHeight="1" x14ac:dyDescent="0.2">
      <c r="A11" s="17" t="s">
        <v>6</v>
      </c>
      <c r="B11" s="16">
        <v>505610854.89999998</v>
      </c>
      <c r="C11" s="16">
        <v>0</v>
      </c>
      <c r="D11" s="16">
        <v>4361788.3779256567</v>
      </c>
      <c r="E11" s="16">
        <v>0</v>
      </c>
      <c r="F11" s="16">
        <v>17187272.809999999</v>
      </c>
      <c r="G11" s="16">
        <v>9973010.9508361891</v>
      </c>
      <c r="H11" s="16">
        <v>26623670.170000002</v>
      </c>
      <c r="I11" s="16">
        <v>39949674.329999998</v>
      </c>
      <c r="J11" s="16">
        <v>0</v>
      </c>
      <c r="K11" s="16">
        <v>0</v>
      </c>
      <c r="L11" s="16">
        <v>0</v>
      </c>
      <c r="M11" s="16">
        <v>6948.7800000000007</v>
      </c>
      <c r="N11" s="18">
        <f t="shared" si="0"/>
        <v>603713220.31876183</v>
      </c>
      <c r="O11" s="4"/>
    </row>
    <row r="12" spans="1:15" ht="18" customHeight="1" x14ac:dyDescent="0.2">
      <c r="A12" s="17" t="s">
        <v>7</v>
      </c>
      <c r="B12" s="16">
        <v>69100150.110000014</v>
      </c>
      <c r="C12" s="16">
        <v>0</v>
      </c>
      <c r="D12" s="16">
        <v>1646003.2020042699</v>
      </c>
      <c r="E12" s="16">
        <v>0</v>
      </c>
      <c r="F12" s="16">
        <v>587675.49</v>
      </c>
      <c r="G12" s="16">
        <v>293253.69</v>
      </c>
      <c r="H12" s="16">
        <v>3638568.26</v>
      </c>
      <c r="I12" s="16">
        <v>1365978.46</v>
      </c>
      <c r="J12" s="16">
        <v>0</v>
      </c>
      <c r="K12" s="16">
        <v>0</v>
      </c>
      <c r="L12" s="16">
        <v>0</v>
      </c>
      <c r="M12" s="16">
        <v>237.55999999999995</v>
      </c>
      <c r="N12" s="18">
        <f t="shared" si="0"/>
        <v>76631866.772004277</v>
      </c>
      <c r="O12" s="4"/>
    </row>
    <row r="13" spans="1:15" ht="18" customHeight="1" x14ac:dyDescent="0.2">
      <c r="A13" s="17" t="s">
        <v>8</v>
      </c>
      <c r="B13" s="16">
        <v>297630551.49000001</v>
      </c>
      <c r="C13" s="16">
        <v>0</v>
      </c>
      <c r="D13" s="16">
        <v>3974966.8185127079</v>
      </c>
      <c r="E13" s="16">
        <v>0</v>
      </c>
      <c r="F13" s="16">
        <v>8357915.9400000004</v>
      </c>
      <c r="G13" s="16">
        <v>0</v>
      </c>
      <c r="H13" s="16">
        <v>15672166.77</v>
      </c>
      <c r="I13" s="16">
        <v>19426934.32</v>
      </c>
      <c r="J13" s="16">
        <v>0</v>
      </c>
      <c r="K13" s="16">
        <v>0</v>
      </c>
      <c r="L13" s="16">
        <v>0</v>
      </c>
      <c r="M13" s="16">
        <v>3379.07</v>
      </c>
      <c r="N13" s="18">
        <f t="shared" si="0"/>
        <v>345065914.40851265</v>
      </c>
      <c r="O13" s="4"/>
    </row>
    <row r="14" spans="1:15" ht="18" customHeight="1" x14ac:dyDescent="0.2">
      <c r="A14" s="17" t="s">
        <v>9</v>
      </c>
      <c r="B14" s="16">
        <v>105947700</v>
      </c>
      <c r="C14" s="16">
        <v>0</v>
      </c>
      <c r="D14" s="16">
        <v>2661533.2752923965</v>
      </c>
      <c r="E14" s="16">
        <v>0</v>
      </c>
      <c r="F14" s="16">
        <v>380404.05</v>
      </c>
      <c r="G14" s="16">
        <v>204962.26</v>
      </c>
      <c r="H14" s="16">
        <v>5578829.2400000002</v>
      </c>
      <c r="I14" s="16">
        <v>884201.82</v>
      </c>
      <c r="J14" s="16">
        <v>0</v>
      </c>
      <c r="K14" s="16">
        <v>0</v>
      </c>
      <c r="L14" s="16">
        <v>0</v>
      </c>
      <c r="M14" s="16">
        <v>153.76999999999998</v>
      </c>
      <c r="N14" s="18">
        <f t="shared" si="0"/>
        <v>115657784.41529238</v>
      </c>
      <c r="O14" s="4"/>
    </row>
    <row r="15" spans="1:15" ht="18" customHeight="1" x14ac:dyDescent="0.2">
      <c r="A15" s="17" t="s">
        <v>10</v>
      </c>
      <c r="B15" s="16">
        <v>172480573.58000001</v>
      </c>
      <c r="C15" s="16">
        <v>0</v>
      </c>
      <c r="D15" s="16">
        <v>3699224.7848705286</v>
      </c>
      <c r="E15" s="16">
        <v>0</v>
      </c>
      <c r="F15" s="16">
        <v>1417167.65</v>
      </c>
      <c r="G15" s="16">
        <v>659032.49</v>
      </c>
      <c r="H15" s="16">
        <v>9082213.8399999999</v>
      </c>
      <c r="I15" s="16">
        <v>3294029.66</v>
      </c>
      <c r="J15" s="16">
        <v>0</v>
      </c>
      <c r="K15" s="16">
        <v>0</v>
      </c>
      <c r="L15" s="16">
        <v>0</v>
      </c>
      <c r="M15" s="16">
        <v>572.92000000000007</v>
      </c>
      <c r="N15" s="18">
        <f t="shared" si="0"/>
        <v>190632814.92487055</v>
      </c>
      <c r="O15" s="4"/>
    </row>
    <row r="16" spans="1:15" ht="18" customHeight="1" x14ac:dyDescent="0.2">
      <c r="A16" s="17" t="s">
        <v>11</v>
      </c>
      <c r="B16" s="16">
        <v>320415130.93999994</v>
      </c>
      <c r="C16" s="16">
        <v>0</v>
      </c>
      <c r="D16" s="16">
        <v>8199154.7361665247</v>
      </c>
      <c r="E16" s="16">
        <v>0</v>
      </c>
      <c r="F16" s="16">
        <v>5285421.68</v>
      </c>
      <c r="G16" s="16">
        <v>3042901.19</v>
      </c>
      <c r="H16" s="16">
        <v>16871921.719999999</v>
      </c>
      <c r="I16" s="16">
        <v>12285304.199999999</v>
      </c>
      <c r="J16" s="16">
        <v>0</v>
      </c>
      <c r="K16" s="16">
        <v>0</v>
      </c>
      <c r="L16" s="16">
        <v>0</v>
      </c>
      <c r="M16" s="16">
        <v>2136.86</v>
      </c>
      <c r="N16" s="18">
        <f t="shared" si="0"/>
        <v>366101971.32616645</v>
      </c>
      <c r="O16" s="4"/>
    </row>
    <row r="17" spans="1:15" ht="15" x14ac:dyDescent="0.2">
      <c r="A17" s="17" t="s">
        <v>12</v>
      </c>
      <c r="B17" s="16">
        <v>116609029.00999999</v>
      </c>
      <c r="C17" s="16">
        <v>0</v>
      </c>
      <c r="D17" s="16">
        <v>3382630.6972318692</v>
      </c>
      <c r="E17" s="16">
        <v>0</v>
      </c>
      <c r="F17" s="16">
        <v>1085533.3500000001</v>
      </c>
      <c r="G17" s="16">
        <v>441457.17</v>
      </c>
      <c r="H17" s="16">
        <v>6140216.9299999997</v>
      </c>
      <c r="I17" s="16">
        <v>2523187.04</v>
      </c>
      <c r="J17" s="16">
        <v>0</v>
      </c>
      <c r="K17" s="16">
        <v>0</v>
      </c>
      <c r="L17" s="16">
        <v>0</v>
      </c>
      <c r="M17" s="16">
        <v>438.85</v>
      </c>
      <c r="N17" s="18">
        <f t="shared" si="0"/>
        <v>130182493.04723187</v>
      </c>
      <c r="O17" s="4"/>
    </row>
    <row r="18" spans="1:15" ht="15" x14ac:dyDescent="0.2">
      <c r="A18" s="17" t="s">
        <v>13</v>
      </c>
      <c r="B18" s="16">
        <v>67688148</v>
      </c>
      <c r="C18" s="16">
        <v>0</v>
      </c>
      <c r="D18" s="16">
        <v>1440213.5336551568</v>
      </c>
      <c r="E18" s="16">
        <v>0</v>
      </c>
      <c r="F18" s="16">
        <v>731546.25</v>
      </c>
      <c r="G18" s="16">
        <v>331092.88</v>
      </c>
      <c r="H18" s="16">
        <v>3564217.25</v>
      </c>
      <c r="I18" s="16">
        <v>1700388.12</v>
      </c>
      <c r="J18" s="16">
        <v>0</v>
      </c>
      <c r="K18" s="16">
        <v>0</v>
      </c>
      <c r="L18" s="16">
        <v>0</v>
      </c>
      <c r="M18" s="16">
        <v>295.72000000000003</v>
      </c>
      <c r="N18" s="18">
        <f t="shared" si="0"/>
        <v>75455901.753655151</v>
      </c>
      <c r="O18" s="4"/>
    </row>
    <row r="19" spans="1:15" ht="15" x14ac:dyDescent="0.2">
      <c r="A19" s="17" t="s">
        <v>14</v>
      </c>
      <c r="B19" s="16">
        <v>118294398.56</v>
      </c>
      <c r="C19" s="16">
        <v>0</v>
      </c>
      <c r="D19" s="16">
        <v>2218904.6236033365</v>
      </c>
      <c r="E19" s="16">
        <v>0</v>
      </c>
      <c r="F19" s="16">
        <v>295463.40000000002</v>
      </c>
      <c r="G19" s="16">
        <v>204962.26</v>
      </c>
      <c r="H19" s="16">
        <v>6228962.4900000002</v>
      </c>
      <c r="I19" s="16">
        <v>686767.87</v>
      </c>
      <c r="J19" s="16">
        <v>0</v>
      </c>
      <c r="K19" s="16">
        <v>0</v>
      </c>
      <c r="L19" s="16">
        <v>0</v>
      </c>
      <c r="M19" s="16">
        <v>119.42999999999999</v>
      </c>
      <c r="N19" s="18">
        <f t="shared" si="0"/>
        <v>127929578.63360336</v>
      </c>
      <c r="O19" s="4"/>
    </row>
    <row r="20" spans="1:15" ht="15" x14ac:dyDescent="0.2">
      <c r="A20" s="17" t="s">
        <v>15</v>
      </c>
      <c r="B20" s="16">
        <v>399969801.74999994</v>
      </c>
      <c r="C20" s="16">
        <v>0</v>
      </c>
      <c r="D20" s="16">
        <v>3366092.5838820403</v>
      </c>
      <c r="E20" s="16">
        <v>0</v>
      </c>
      <c r="F20" s="16">
        <v>9430444.0299999993</v>
      </c>
      <c r="G20" s="16">
        <v>5208756.5305996761</v>
      </c>
      <c r="H20" s="16">
        <v>21060987.870000001</v>
      </c>
      <c r="I20" s="16">
        <v>21919892.25</v>
      </c>
      <c r="J20" s="16">
        <v>0</v>
      </c>
      <c r="K20" s="16">
        <v>0</v>
      </c>
      <c r="L20" s="16">
        <v>0</v>
      </c>
      <c r="M20" s="16">
        <v>3812.6899999999996</v>
      </c>
      <c r="N20" s="18">
        <f t="shared" si="0"/>
        <v>460959787.7044816</v>
      </c>
      <c r="O20" s="4"/>
    </row>
    <row r="21" spans="1:15" ht="15" x14ac:dyDescent="0.2">
      <c r="A21" s="17" t="s">
        <v>16</v>
      </c>
      <c r="B21" s="16">
        <v>173196083.11000001</v>
      </c>
      <c r="C21" s="16">
        <v>0</v>
      </c>
      <c r="D21" s="16">
        <v>2843726.2819676851</v>
      </c>
      <c r="E21" s="16">
        <v>0</v>
      </c>
      <c r="F21" s="16">
        <v>2507577.9900000002</v>
      </c>
      <c r="G21" s="16">
        <v>616835.42256411212</v>
      </c>
      <c r="H21" s="16">
        <v>9119890.0299999993</v>
      </c>
      <c r="I21" s="16">
        <v>5828552.6299999999</v>
      </c>
      <c r="J21" s="16">
        <v>0</v>
      </c>
      <c r="K21" s="16">
        <v>0</v>
      </c>
      <c r="L21" s="16">
        <v>0</v>
      </c>
      <c r="M21" s="16">
        <v>1013.79</v>
      </c>
      <c r="N21" s="18">
        <f t="shared" si="0"/>
        <v>194113679.25453183</v>
      </c>
      <c r="O21" s="4"/>
    </row>
    <row r="22" spans="1:15" ht="15" x14ac:dyDescent="0.2">
      <c r="A22" s="17" t="s">
        <v>17</v>
      </c>
      <c r="B22" s="16">
        <v>128986629.97999999</v>
      </c>
      <c r="C22" s="16">
        <v>0</v>
      </c>
      <c r="D22" s="16">
        <v>3166427.7610255834</v>
      </c>
      <c r="E22" s="16">
        <v>0</v>
      </c>
      <c r="F22" s="16">
        <v>597023.02</v>
      </c>
      <c r="G22" s="16">
        <v>345282.57</v>
      </c>
      <c r="H22" s="16">
        <v>6791977.3899999997</v>
      </c>
      <c r="I22" s="16">
        <v>1387705.64</v>
      </c>
      <c r="J22" s="16">
        <v>0</v>
      </c>
      <c r="K22" s="16">
        <v>0</v>
      </c>
      <c r="L22" s="16">
        <v>0</v>
      </c>
      <c r="M22" s="16">
        <v>241.36</v>
      </c>
      <c r="N22" s="18">
        <f t="shared" si="0"/>
        <v>141275287.72102556</v>
      </c>
      <c r="O22" s="4"/>
    </row>
    <row r="23" spans="1:15" ht="15" x14ac:dyDescent="0.2">
      <c r="A23" s="17" t="s">
        <v>18</v>
      </c>
      <c r="B23" s="16">
        <v>132214742.52</v>
      </c>
      <c r="C23" s="16">
        <v>0</v>
      </c>
      <c r="D23" s="16">
        <v>2061399.4891729285</v>
      </c>
      <c r="E23" s="16">
        <v>0</v>
      </c>
      <c r="F23" s="16">
        <v>572231.73</v>
      </c>
      <c r="G23" s="16">
        <v>417807.68</v>
      </c>
      <c r="H23" s="16">
        <v>6961958.3200000003</v>
      </c>
      <c r="I23" s="16">
        <v>1330081.3799999999</v>
      </c>
      <c r="J23" s="16">
        <v>0</v>
      </c>
      <c r="K23" s="16">
        <v>0</v>
      </c>
      <c r="L23" s="16">
        <v>0</v>
      </c>
      <c r="M23" s="16">
        <v>231.32000000000002</v>
      </c>
      <c r="N23" s="18">
        <f t="shared" si="0"/>
        <v>143558452.43917289</v>
      </c>
      <c r="O23" s="4"/>
    </row>
    <row r="24" spans="1:15" ht="15" x14ac:dyDescent="0.2">
      <c r="A24" s="17" t="s">
        <v>19</v>
      </c>
      <c r="B24" s="16">
        <v>40622397.189999998</v>
      </c>
      <c r="C24" s="16">
        <v>0</v>
      </c>
      <c r="D24" s="16">
        <v>1145099.0473787989</v>
      </c>
      <c r="E24" s="16">
        <v>0</v>
      </c>
      <c r="F24" s="16">
        <v>594990.94999999995</v>
      </c>
      <c r="G24" s="16">
        <v>113566.70362679861</v>
      </c>
      <c r="H24" s="16">
        <v>2139031.0299999998</v>
      </c>
      <c r="I24" s="16">
        <v>1382982.34</v>
      </c>
      <c r="J24" s="16">
        <v>0</v>
      </c>
      <c r="K24" s="16">
        <v>0</v>
      </c>
      <c r="L24" s="16">
        <v>0</v>
      </c>
      <c r="M24" s="16">
        <v>240.53000000000003</v>
      </c>
      <c r="N24" s="18">
        <f t="shared" si="0"/>
        <v>45998307.791005604</v>
      </c>
      <c r="O24" s="4"/>
    </row>
    <row r="25" spans="1:15" ht="15" x14ac:dyDescent="0.2">
      <c r="A25" s="17" t="s">
        <v>20</v>
      </c>
      <c r="B25" s="16">
        <v>189032376.06999999</v>
      </c>
      <c r="C25" s="16">
        <v>0</v>
      </c>
      <c r="D25" s="16">
        <v>1679300.982284483</v>
      </c>
      <c r="E25" s="16">
        <v>0</v>
      </c>
      <c r="F25" s="16">
        <v>2638849.9</v>
      </c>
      <c r="G25" s="16">
        <v>953862.81</v>
      </c>
      <c r="H25" s="16">
        <v>9953772.9199999999</v>
      </c>
      <c r="I25" s="16">
        <v>6133677.8300000001</v>
      </c>
      <c r="J25" s="16">
        <v>0</v>
      </c>
      <c r="K25" s="16">
        <v>0</v>
      </c>
      <c r="L25" s="16">
        <v>0</v>
      </c>
      <c r="M25" s="16">
        <v>1066.8600000000001</v>
      </c>
      <c r="N25" s="18">
        <f t="shared" si="0"/>
        <v>210392907.3722845</v>
      </c>
      <c r="O25" s="4"/>
    </row>
    <row r="26" spans="1:15" ht="15" x14ac:dyDescent="0.2">
      <c r="A26" s="17" t="s">
        <v>21</v>
      </c>
      <c r="B26" s="16">
        <v>66756321.68</v>
      </c>
      <c r="C26" s="16">
        <v>0</v>
      </c>
      <c r="D26" s="16">
        <v>1645766.9455711008</v>
      </c>
      <c r="E26" s="16">
        <v>0</v>
      </c>
      <c r="F26" s="16">
        <v>1200142.27</v>
      </c>
      <c r="G26" s="16">
        <v>523442.07</v>
      </c>
      <c r="H26" s="16">
        <v>3515150.59</v>
      </c>
      <c r="I26" s="16">
        <v>2789581.18</v>
      </c>
      <c r="J26" s="16">
        <v>0</v>
      </c>
      <c r="K26" s="16">
        <v>0</v>
      </c>
      <c r="L26" s="16">
        <v>0</v>
      </c>
      <c r="M26" s="16">
        <v>485.17000000000007</v>
      </c>
      <c r="N26" s="18">
        <f t="shared" si="0"/>
        <v>76430889.905571103</v>
      </c>
      <c r="O26" s="4"/>
    </row>
    <row r="27" spans="1:15" ht="15" x14ac:dyDescent="0.2">
      <c r="A27" s="17" t="s">
        <v>22</v>
      </c>
      <c r="B27" s="16">
        <v>36115400.57</v>
      </c>
      <c r="C27" s="16">
        <v>0</v>
      </c>
      <c r="D27" s="16">
        <v>797446.6514789199</v>
      </c>
      <c r="E27" s="16">
        <v>0</v>
      </c>
      <c r="F27" s="16">
        <v>298308.3</v>
      </c>
      <c r="G27" s="16">
        <v>146626.84</v>
      </c>
      <c r="H27" s="16">
        <v>1901708.61</v>
      </c>
      <c r="I27" s="16">
        <v>693380.49</v>
      </c>
      <c r="J27" s="16">
        <v>0</v>
      </c>
      <c r="K27" s="16">
        <v>0</v>
      </c>
      <c r="L27" s="16">
        <v>0</v>
      </c>
      <c r="M27" s="16">
        <v>120.58</v>
      </c>
      <c r="N27" s="18">
        <f t="shared" si="0"/>
        <v>39952992.041478917</v>
      </c>
      <c r="O27" s="4"/>
    </row>
    <row r="28" spans="1:15" ht="15" x14ac:dyDescent="0.2">
      <c r="A28" s="17" t="s">
        <v>23</v>
      </c>
      <c r="B28" s="16">
        <v>118917200.82000001</v>
      </c>
      <c r="C28" s="16">
        <v>0</v>
      </c>
      <c r="D28" s="16">
        <v>2200747.5362365176</v>
      </c>
      <c r="E28" s="16">
        <v>0</v>
      </c>
      <c r="F28" s="16">
        <v>410885.14</v>
      </c>
      <c r="G28" s="16">
        <v>223881.85</v>
      </c>
      <c r="H28" s="16">
        <v>6261757.0499999998</v>
      </c>
      <c r="I28" s="16">
        <v>955051.33</v>
      </c>
      <c r="J28" s="16">
        <v>0</v>
      </c>
      <c r="K28" s="16">
        <v>0</v>
      </c>
      <c r="L28" s="16">
        <v>0</v>
      </c>
      <c r="M28" s="16">
        <v>166.09</v>
      </c>
      <c r="N28" s="18">
        <f t="shared" si="0"/>
        <v>128969689.81623653</v>
      </c>
      <c r="O28" s="4"/>
    </row>
    <row r="29" spans="1:15" ht="15" x14ac:dyDescent="0.2">
      <c r="A29" s="17" t="s">
        <v>24</v>
      </c>
      <c r="B29" s="16">
        <v>75570637.850000009</v>
      </c>
      <c r="C29" s="16">
        <v>0</v>
      </c>
      <c r="D29" s="16">
        <v>1617680.1152208145</v>
      </c>
      <c r="E29" s="16">
        <v>0</v>
      </c>
      <c r="F29" s="16">
        <v>256447.6</v>
      </c>
      <c r="G29" s="16">
        <v>116670.82</v>
      </c>
      <c r="H29" s="16">
        <v>3979281.14</v>
      </c>
      <c r="I29" s="16">
        <v>596080.5</v>
      </c>
      <c r="J29" s="16">
        <v>0</v>
      </c>
      <c r="K29" s="16">
        <v>0</v>
      </c>
      <c r="L29" s="16">
        <v>0</v>
      </c>
      <c r="M29" s="16">
        <v>103.64</v>
      </c>
      <c r="N29" s="18">
        <f t="shared" si="0"/>
        <v>82136901.665220812</v>
      </c>
      <c r="O29" s="4"/>
    </row>
    <row r="30" spans="1:15" ht="15" x14ac:dyDescent="0.2">
      <c r="A30" s="17" t="s">
        <v>25</v>
      </c>
      <c r="B30" s="16">
        <v>23985018.829999998</v>
      </c>
      <c r="C30" s="16">
        <v>0</v>
      </c>
      <c r="D30" s="16">
        <v>1240137.4947189928</v>
      </c>
      <c r="E30" s="16">
        <v>0</v>
      </c>
      <c r="F30" s="16">
        <v>221495.94</v>
      </c>
      <c r="G30" s="16">
        <v>148203.48000000001</v>
      </c>
      <c r="H30" s="16">
        <v>1262965.83</v>
      </c>
      <c r="I30" s="16">
        <v>514839.74</v>
      </c>
      <c r="J30" s="16">
        <v>0</v>
      </c>
      <c r="K30" s="16">
        <v>0</v>
      </c>
      <c r="L30" s="16">
        <v>0</v>
      </c>
      <c r="M30" s="16">
        <v>89.52</v>
      </c>
      <c r="N30" s="18">
        <f t="shared" si="0"/>
        <v>27372750.834718987</v>
      </c>
      <c r="O30" s="4"/>
    </row>
    <row r="31" spans="1:15" ht="15" x14ac:dyDescent="0.2">
      <c r="A31" s="17" t="s">
        <v>26</v>
      </c>
      <c r="B31" s="16">
        <v>43988382.00999999</v>
      </c>
      <c r="C31" s="16">
        <v>0</v>
      </c>
      <c r="D31" s="16">
        <v>645131.11609645083</v>
      </c>
      <c r="E31" s="16">
        <v>0</v>
      </c>
      <c r="F31" s="16">
        <v>264575.89</v>
      </c>
      <c r="G31" s="16">
        <v>83561.539999999994</v>
      </c>
      <c r="H31" s="16">
        <v>2316271.8199999998</v>
      </c>
      <c r="I31" s="16">
        <v>614973.71</v>
      </c>
      <c r="J31" s="16">
        <v>0</v>
      </c>
      <c r="K31" s="16">
        <v>0</v>
      </c>
      <c r="L31" s="16">
        <v>0</v>
      </c>
      <c r="M31" s="16">
        <v>106.95</v>
      </c>
      <c r="N31" s="18">
        <f t="shared" si="0"/>
        <v>47913003.036096446</v>
      </c>
      <c r="O31" s="4"/>
    </row>
    <row r="32" spans="1:15" ht="15" x14ac:dyDescent="0.2">
      <c r="A32" s="17" t="s">
        <v>27</v>
      </c>
      <c r="B32" s="16">
        <v>201433748.10000002</v>
      </c>
      <c r="C32" s="16">
        <v>0</v>
      </c>
      <c r="D32" s="16">
        <v>3535099.7945955903</v>
      </c>
      <c r="E32" s="16">
        <v>0</v>
      </c>
      <c r="F32" s="16">
        <v>780316</v>
      </c>
      <c r="G32" s="16">
        <v>491909.42</v>
      </c>
      <c r="H32" s="16">
        <v>10606785.08</v>
      </c>
      <c r="I32" s="16">
        <v>1813747.33</v>
      </c>
      <c r="J32" s="16">
        <v>0</v>
      </c>
      <c r="K32" s="16">
        <v>0</v>
      </c>
      <c r="L32" s="16">
        <v>0</v>
      </c>
      <c r="M32" s="16">
        <v>315.45</v>
      </c>
      <c r="N32" s="18">
        <f t="shared" si="0"/>
        <v>218661921.17459562</v>
      </c>
      <c r="O32" s="4"/>
    </row>
    <row r="33" spans="1:15" ht="15" x14ac:dyDescent="0.2">
      <c r="A33" s="17" t="s">
        <v>28</v>
      </c>
      <c r="B33" s="16">
        <v>129226717.86000001</v>
      </c>
      <c r="C33" s="16">
        <v>0</v>
      </c>
      <c r="D33" s="16">
        <v>2724100.9211620428</v>
      </c>
      <c r="E33" s="16">
        <v>0</v>
      </c>
      <c r="F33" s="16">
        <v>572638.15</v>
      </c>
      <c r="G33" s="16">
        <v>368932.06</v>
      </c>
      <c r="H33" s="16">
        <v>6804619.5700000003</v>
      </c>
      <c r="I33" s="16">
        <v>1331026.04</v>
      </c>
      <c r="J33" s="16">
        <v>0</v>
      </c>
      <c r="K33" s="16">
        <v>0</v>
      </c>
      <c r="L33" s="16">
        <v>0</v>
      </c>
      <c r="M33" s="16">
        <v>231.49</v>
      </c>
      <c r="N33" s="18">
        <f t="shared" si="0"/>
        <v>141028266.09116206</v>
      </c>
      <c r="O33" s="4"/>
    </row>
    <row r="34" spans="1:15" ht="15" x14ac:dyDescent="0.2">
      <c r="A34" s="17" t="s">
        <v>29</v>
      </c>
      <c r="B34" s="16">
        <v>171484565.38999999</v>
      </c>
      <c r="C34" s="16">
        <v>0</v>
      </c>
      <c r="D34" s="16">
        <v>2873665.7840101277</v>
      </c>
      <c r="E34" s="16">
        <v>0</v>
      </c>
      <c r="F34" s="16">
        <v>832743.48</v>
      </c>
      <c r="G34" s="16">
        <v>647996.06000000006</v>
      </c>
      <c r="H34" s="16">
        <v>9029767.5899999999</v>
      </c>
      <c r="I34" s="16">
        <v>1935608.48</v>
      </c>
      <c r="J34" s="16">
        <v>0</v>
      </c>
      <c r="K34" s="16">
        <v>0</v>
      </c>
      <c r="L34" s="16">
        <v>0</v>
      </c>
      <c r="M34" s="16">
        <v>336.65000000000003</v>
      </c>
      <c r="N34" s="18">
        <f t="shared" si="0"/>
        <v>186804683.43401012</v>
      </c>
      <c r="O34" s="4"/>
    </row>
    <row r="35" spans="1:15" ht="15" x14ac:dyDescent="0.2">
      <c r="A35" s="17" t="s">
        <v>30</v>
      </c>
      <c r="B35" s="16">
        <v>86108357.300000012</v>
      </c>
      <c r="C35" s="16">
        <v>0</v>
      </c>
      <c r="D35" s="16">
        <v>1238476.0290762307</v>
      </c>
      <c r="E35" s="16">
        <v>0</v>
      </c>
      <c r="F35" s="16">
        <v>520617.08</v>
      </c>
      <c r="G35" s="16">
        <v>250684.61</v>
      </c>
      <c r="H35" s="16">
        <v>4534159.9800000004</v>
      </c>
      <c r="I35" s="16">
        <v>1210109.55</v>
      </c>
      <c r="J35" s="16">
        <v>0</v>
      </c>
      <c r="K35" s="16">
        <v>0</v>
      </c>
      <c r="L35" s="16">
        <v>0</v>
      </c>
      <c r="M35" s="16">
        <v>210.46</v>
      </c>
      <c r="N35" s="18">
        <f t="shared" si="0"/>
        <v>93862615.009076238</v>
      </c>
      <c r="O35" s="4"/>
    </row>
    <row r="36" spans="1:15" ht="15" x14ac:dyDescent="0.2">
      <c r="A36" s="17" t="s">
        <v>31</v>
      </c>
      <c r="B36" s="16">
        <v>93774530.319999993</v>
      </c>
      <c r="C36" s="16">
        <v>0</v>
      </c>
      <c r="D36" s="16">
        <v>1458084.7485790937</v>
      </c>
      <c r="E36" s="16">
        <v>0</v>
      </c>
      <c r="F36" s="16">
        <v>327570.15000000002</v>
      </c>
      <c r="G36" s="16">
        <v>159239.91</v>
      </c>
      <c r="H36" s="16">
        <v>4937833.4000000004</v>
      </c>
      <c r="I36" s="16">
        <v>761396.02</v>
      </c>
      <c r="J36" s="16">
        <v>0</v>
      </c>
      <c r="K36" s="16">
        <v>0</v>
      </c>
      <c r="L36" s="16">
        <v>0</v>
      </c>
      <c r="M36" s="16">
        <v>132.41</v>
      </c>
      <c r="N36" s="18">
        <f t="shared" si="0"/>
        <v>101418786.95857909</v>
      </c>
      <c r="O36" s="4"/>
    </row>
    <row r="37" spans="1:15" ht="15" x14ac:dyDescent="0.2">
      <c r="A37" s="17" t="s">
        <v>32</v>
      </c>
      <c r="B37" s="16">
        <v>102634011.54999998</v>
      </c>
      <c r="C37" s="16">
        <v>0</v>
      </c>
      <c r="D37" s="16">
        <v>2326128.4054225828</v>
      </c>
      <c r="E37" s="16">
        <v>0</v>
      </c>
      <c r="F37" s="16">
        <v>607589.80000000005</v>
      </c>
      <c r="G37" s="16">
        <v>231765.01</v>
      </c>
      <c r="H37" s="16">
        <v>5404342.1900000004</v>
      </c>
      <c r="I37" s="16">
        <v>1412266.8</v>
      </c>
      <c r="J37" s="16">
        <v>0</v>
      </c>
      <c r="K37" s="16">
        <v>0</v>
      </c>
      <c r="L37" s="16">
        <v>0</v>
      </c>
      <c r="M37" s="16">
        <v>245.63</v>
      </c>
      <c r="N37" s="18">
        <f t="shared" si="0"/>
        <v>112616349.38542256</v>
      </c>
      <c r="O37" s="4"/>
    </row>
    <row r="38" spans="1:15" ht="15" x14ac:dyDescent="0.2">
      <c r="A38" s="17" t="s">
        <v>33</v>
      </c>
      <c r="B38" s="16">
        <v>93063775.040000007</v>
      </c>
      <c r="C38" s="16">
        <v>0</v>
      </c>
      <c r="D38" s="16">
        <v>665419.90308326203</v>
      </c>
      <c r="E38" s="16">
        <v>0</v>
      </c>
      <c r="F38" s="16">
        <v>542969.88</v>
      </c>
      <c r="G38" s="16">
        <v>627499.82999999996</v>
      </c>
      <c r="H38" s="16">
        <v>4900407.5599999996</v>
      </c>
      <c r="I38" s="16">
        <v>1262065.8500000001</v>
      </c>
      <c r="J38" s="16">
        <v>0</v>
      </c>
      <c r="K38" s="16">
        <v>0</v>
      </c>
      <c r="L38" s="16">
        <v>0</v>
      </c>
      <c r="M38" s="16">
        <v>219.48</v>
      </c>
      <c r="N38" s="18">
        <f t="shared" si="0"/>
        <v>101062357.54308327</v>
      </c>
      <c r="O38" s="4"/>
    </row>
    <row r="39" spans="1:15" ht="15" x14ac:dyDescent="0.2">
      <c r="A39" s="17" t="s">
        <v>34</v>
      </c>
      <c r="B39" s="16">
        <v>159796325.74000001</v>
      </c>
      <c r="C39" s="16">
        <v>0</v>
      </c>
      <c r="D39" s="16">
        <v>3102498.2878205078</v>
      </c>
      <c r="E39" s="16">
        <v>0</v>
      </c>
      <c r="F39" s="16">
        <v>691717.62</v>
      </c>
      <c r="G39" s="16">
        <v>386275.02</v>
      </c>
      <c r="H39" s="16">
        <v>8414306.4399999995</v>
      </c>
      <c r="I39" s="16">
        <v>1607811.44</v>
      </c>
      <c r="J39" s="16">
        <v>0</v>
      </c>
      <c r="K39" s="16">
        <v>0</v>
      </c>
      <c r="L39" s="16">
        <v>0</v>
      </c>
      <c r="M39" s="16">
        <v>279.64</v>
      </c>
      <c r="N39" s="18">
        <f t="shared" si="0"/>
        <v>173999214.18782052</v>
      </c>
      <c r="O39" s="4"/>
    </row>
    <row r="40" spans="1:15" ht="15" x14ac:dyDescent="0.2">
      <c r="A40" s="17" t="s">
        <v>35</v>
      </c>
      <c r="B40" s="16">
        <v>103967569.09</v>
      </c>
      <c r="C40" s="16">
        <v>0</v>
      </c>
      <c r="D40" s="16">
        <v>1745176.5103716357</v>
      </c>
      <c r="E40" s="16">
        <v>0</v>
      </c>
      <c r="F40" s="16">
        <v>369430.85</v>
      </c>
      <c r="G40" s="16">
        <v>170276.34</v>
      </c>
      <c r="H40" s="16">
        <v>5474562.5899999999</v>
      </c>
      <c r="I40" s="16">
        <v>858696</v>
      </c>
      <c r="J40" s="16">
        <v>0</v>
      </c>
      <c r="K40" s="16">
        <v>0</v>
      </c>
      <c r="L40" s="16">
        <v>0</v>
      </c>
      <c r="M40" s="16">
        <v>149.33000000000001</v>
      </c>
      <c r="N40" s="18">
        <f t="shared" ref="N40:N71" si="1">SUM(B40:M40)</f>
        <v>112585860.71037164</v>
      </c>
      <c r="O40" s="4"/>
    </row>
    <row r="41" spans="1:15" ht="15" x14ac:dyDescent="0.2">
      <c r="A41" s="17" t="s">
        <v>36</v>
      </c>
      <c r="B41" s="16">
        <v>112018833.61999999</v>
      </c>
      <c r="C41" s="16">
        <v>0</v>
      </c>
      <c r="D41" s="16">
        <v>1088827.8791828889</v>
      </c>
      <c r="E41" s="16">
        <v>0</v>
      </c>
      <c r="F41" s="16">
        <v>625472.04</v>
      </c>
      <c r="G41" s="16">
        <v>272757.46000000002</v>
      </c>
      <c r="H41" s="16">
        <v>5898513.5599999996</v>
      </c>
      <c r="I41" s="16">
        <v>1453831.85</v>
      </c>
      <c r="J41" s="16">
        <v>0</v>
      </c>
      <c r="K41" s="16">
        <v>0</v>
      </c>
      <c r="L41" s="16">
        <v>0</v>
      </c>
      <c r="M41" s="16">
        <v>252.84999999999997</v>
      </c>
      <c r="N41" s="18">
        <f t="shared" si="1"/>
        <v>121358489.25918287</v>
      </c>
      <c r="O41" s="4"/>
    </row>
    <row r="42" spans="1:15" ht="15" x14ac:dyDescent="0.2">
      <c r="A42" s="17" t="s">
        <v>37</v>
      </c>
      <c r="B42" s="16">
        <v>66183438.689999998</v>
      </c>
      <c r="C42" s="16">
        <v>0</v>
      </c>
      <c r="D42" s="16">
        <v>625545.74648649804</v>
      </c>
      <c r="E42" s="16">
        <v>0</v>
      </c>
      <c r="F42" s="16">
        <v>1698812.96</v>
      </c>
      <c r="G42" s="16">
        <v>0</v>
      </c>
      <c r="H42" s="16">
        <v>3484984.6</v>
      </c>
      <c r="I42" s="16">
        <v>3948679.09</v>
      </c>
      <c r="J42" s="16">
        <v>0</v>
      </c>
      <c r="K42" s="16">
        <v>0</v>
      </c>
      <c r="L42" s="16">
        <v>0</v>
      </c>
      <c r="M42" s="16">
        <v>686.80000000000007</v>
      </c>
      <c r="N42" s="18">
        <f t="shared" si="1"/>
        <v>75942147.886486486</v>
      </c>
      <c r="O42" s="4"/>
    </row>
    <row r="43" spans="1:15" ht="15" x14ac:dyDescent="0.2">
      <c r="A43" s="17" t="s">
        <v>38</v>
      </c>
      <c r="B43" s="16">
        <v>291050716.75999999</v>
      </c>
      <c r="C43" s="16">
        <v>0</v>
      </c>
      <c r="D43" s="16">
        <v>3602860.0405337219</v>
      </c>
      <c r="E43" s="16">
        <v>0</v>
      </c>
      <c r="F43" s="16">
        <v>7064298.3200000003</v>
      </c>
      <c r="G43" s="16">
        <v>2155256.96</v>
      </c>
      <c r="H43" s="16">
        <v>15325696.060000001</v>
      </c>
      <c r="I43" s="16">
        <v>16420081.32</v>
      </c>
      <c r="J43" s="16">
        <v>0</v>
      </c>
      <c r="K43" s="16">
        <v>0</v>
      </c>
      <c r="L43" s="16">
        <v>0</v>
      </c>
      <c r="M43" s="16">
        <v>2856.06</v>
      </c>
      <c r="N43" s="18">
        <f t="shared" si="1"/>
        <v>335621765.52053368</v>
      </c>
      <c r="O43" s="4"/>
    </row>
    <row r="44" spans="1:15" ht="15" x14ac:dyDescent="0.2">
      <c r="A44" s="17" t="s">
        <v>39</v>
      </c>
      <c r="B44" s="16">
        <v>343960384.89999998</v>
      </c>
      <c r="C44" s="16">
        <v>0</v>
      </c>
      <c r="D44" s="16">
        <v>3761292.2305818554</v>
      </c>
      <c r="E44" s="16">
        <v>0</v>
      </c>
      <c r="F44" s="16">
        <v>8888693.3900000006</v>
      </c>
      <c r="G44" s="16">
        <v>3992103.2185958698</v>
      </c>
      <c r="H44" s="16">
        <v>18111731.09</v>
      </c>
      <c r="I44" s="16">
        <v>20660660.370000001</v>
      </c>
      <c r="J44" s="16">
        <v>0</v>
      </c>
      <c r="K44" s="16">
        <v>0</v>
      </c>
      <c r="L44" s="16">
        <v>0</v>
      </c>
      <c r="M44" s="16">
        <v>3593.67</v>
      </c>
      <c r="N44" s="18">
        <f t="shared" si="1"/>
        <v>399378458.8691777</v>
      </c>
      <c r="O44" s="4"/>
    </row>
    <row r="45" spans="1:15" ht="15" x14ac:dyDescent="0.2">
      <c r="A45" s="17" t="s">
        <v>40</v>
      </c>
      <c r="B45" s="16">
        <v>99800498.910000026</v>
      </c>
      <c r="C45" s="16">
        <v>0</v>
      </c>
      <c r="D45" s="16">
        <v>1125377.9431282189</v>
      </c>
      <c r="E45" s="16">
        <v>0</v>
      </c>
      <c r="F45" s="16">
        <v>662049.35</v>
      </c>
      <c r="G45" s="16">
        <v>301136.84999999998</v>
      </c>
      <c r="H45" s="16">
        <v>5255139.49</v>
      </c>
      <c r="I45" s="16">
        <v>1538851.25</v>
      </c>
      <c r="J45" s="16">
        <v>0</v>
      </c>
      <c r="K45" s="16">
        <v>0</v>
      </c>
      <c r="L45" s="16">
        <v>0</v>
      </c>
      <c r="M45" s="16">
        <v>267.64</v>
      </c>
      <c r="N45" s="18">
        <f t="shared" si="1"/>
        <v>108683321.43312822</v>
      </c>
      <c r="O45" s="4"/>
    </row>
    <row r="46" spans="1:15" ht="15" x14ac:dyDescent="0.2">
      <c r="A46" s="17" t="s">
        <v>41</v>
      </c>
      <c r="B46" s="16">
        <v>151521613.06</v>
      </c>
      <c r="C46" s="16">
        <v>0</v>
      </c>
      <c r="D46" s="16">
        <v>1579456.6705818546</v>
      </c>
      <c r="E46" s="16">
        <v>0</v>
      </c>
      <c r="F46" s="16">
        <v>5222021</v>
      </c>
      <c r="G46" s="16">
        <v>0</v>
      </c>
      <c r="H46" s="16">
        <v>7978589.4900000002</v>
      </c>
      <c r="I46" s="16">
        <v>12137937.23</v>
      </c>
      <c r="J46" s="16">
        <v>0</v>
      </c>
      <c r="K46" s="16">
        <v>0</v>
      </c>
      <c r="L46" s="16">
        <v>0</v>
      </c>
      <c r="M46" s="16">
        <v>2111.2400000000002</v>
      </c>
      <c r="N46" s="18">
        <f t="shared" si="1"/>
        <v>178441728.69058186</v>
      </c>
      <c r="O46" s="4"/>
    </row>
    <row r="47" spans="1:15" ht="15" x14ac:dyDescent="0.2">
      <c r="A47" s="17" t="s">
        <v>42</v>
      </c>
      <c r="B47" s="16">
        <v>456235946.27999997</v>
      </c>
      <c r="C47" s="16">
        <v>0</v>
      </c>
      <c r="D47" s="16">
        <v>2747435.6334016481</v>
      </c>
      <c r="E47" s="16">
        <v>0</v>
      </c>
      <c r="F47" s="16">
        <v>16279342.630000001</v>
      </c>
      <c r="G47" s="16">
        <v>4571303.776857554</v>
      </c>
      <c r="H47" s="16">
        <v>24023763.010000002</v>
      </c>
      <c r="I47" s="16">
        <v>37839303.729999997</v>
      </c>
      <c r="J47" s="16">
        <v>0</v>
      </c>
      <c r="K47" s="16">
        <v>0</v>
      </c>
      <c r="L47" s="16">
        <v>0</v>
      </c>
      <c r="M47" s="16">
        <v>6581.7000000000007</v>
      </c>
      <c r="N47" s="18">
        <f t="shared" si="1"/>
        <v>541703676.76025915</v>
      </c>
      <c r="O47" s="4"/>
    </row>
    <row r="48" spans="1:15" ht="15" x14ac:dyDescent="0.2">
      <c r="A48" s="17" t="s">
        <v>43</v>
      </c>
      <c r="B48" s="16">
        <v>46667382.640000001</v>
      </c>
      <c r="C48" s="16">
        <v>0</v>
      </c>
      <c r="D48" s="16">
        <v>758954.12173762487</v>
      </c>
      <c r="E48" s="16">
        <v>0</v>
      </c>
      <c r="F48" s="16">
        <v>141432.26999999999</v>
      </c>
      <c r="G48" s="16">
        <v>89868.07</v>
      </c>
      <c r="H48" s="16">
        <v>2457338.4700000002</v>
      </c>
      <c r="I48" s="16">
        <v>328741.7</v>
      </c>
      <c r="J48" s="16">
        <v>0</v>
      </c>
      <c r="K48" s="16">
        <v>0</v>
      </c>
      <c r="L48" s="16">
        <v>0</v>
      </c>
      <c r="M48" s="16">
        <v>57.139999999999993</v>
      </c>
      <c r="N48" s="18">
        <f t="shared" si="1"/>
        <v>50443774.411737628</v>
      </c>
      <c r="O48" s="4"/>
    </row>
    <row r="49" spans="1:15" ht="15" x14ac:dyDescent="0.2">
      <c r="A49" s="17" t="s">
        <v>44</v>
      </c>
      <c r="B49" s="16">
        <v>81618000.400000006</v>
      </c>
      <c r="C49" s="16">
        <v>0</v>
      </c>
      <c r="D49" s="16">
        <v>1681702.0294379857</v>
      </c>
      <c r="E49" s="16">
        <v>0</v>
      </c>
      <c r="F49" s="16">
        <v>835181.97</v>
      </c>
      <c r="G49" s="16">
        <v>398888.08</v>
      </c>
      <c r="H49" s="16">
        <v>4297713.75</v>
      </c>
      <c r="I49" s="16">
        <v>1941276.44</v>
      </c>
      <c r="J49" s="16">
        <v>0</v>
      </c>
      <c r="K49" s="16">
        <v>0</v>
      </c>
      <c r="L49" s="16">
        <v>0</v>
      </c>
      <c r="M49" s="16">
        <v>337.63</v>
      </c>
      <c r="N49" s="18">
        <f t="shared" si="1"/>
        <v>90773100.299437985</v>
      </c>
      <c r="O49" s="4"/>
    </row>
    <row r="50" spans="1:15" ht="15" x14ac:dyDescent="0.2">
      <c r="A50" s="17" t="s">
        <v>45</v>
      </c>
      <c r="B50" s="16">
        <v>62384820.210000001</v>
      </c>
      <c r="C50" s="16">
        <v>0</v>
      </c>
      <c r="D50" s="16">
        <v>1000357.8596497138</v>
      </c>
      <c r="E50" s="16">
        <v>0</v>
      </c>
      <c r="F50" s="16">
        <v>234094.8</v>
      </c>
      <c r="G50" s="16">
        <v>111940.92</v>
      </c>
      <c r="H50" s="16">
        <v>3284962.86</v>
      </c>
      <c r="I50" s="16">
        <v>544124.19999999995</v>
      </c>
      <c r="J50" s="16">
        <v>0</v>
      </c>
      <c r="K50" s="16">
        <v>0</v>
      </c>
      <c r="L50" s="16">
        <v>0</v>
      </c>
      <c r="M50" s="16">
        <v>94.6</v>
      </c>
      <c r="N50" s="18">
        <f t="shared" si="1"/>
        <v>67560395.449649706</v>
      </c>
      <c r="O50" s="4"/>
    </row>
    <row r="51" spans="1:15" ht="15" x14ac:dyDescent="0.2">
      <c r="A51" s="17" t="s">
        <v>46</v>
      </c>
      <c r="B51" s="16">
        <v>60010089.399999991</v>
      </c>
      <c r="C51" s="16">
        <v>0</v>
      </c>
      <c r="D51" s="16">
        <v>3378143.4564681659</v>
      </c>
      <c r="E51" s="16">
        <v>0</v>
      </c>
      <c r="F51" s="16">
        <v>291805.67</v>
      </c>
      <c r="G51" s="16">
        <v>149780.10999999999</v>
      </c>
      <c r="H51" s="16">
        <v>3159917.98</v>
      </c>
      <c r="I51" s="16">
        <v>678265.93</v>
      </c>
      <c r="J51" s="16">
        <v>0</v>
      </c>
      <c r="K51" s="16">
        <v>0</v>
      </c>
      <c r="L51" s="16">
        <v>0</v>
      </c>
      <c r="M51" s="16">
        <v>117.95000000000002</v>
      </c>
      <c r="N51" s="18">
        <f t="shared" si="1"/>
        <v>67668120.496468157</v>
      </c>
      <c r="O51" s="4"/>
    </row>
    <row r="52" spans="1:15" ht="15" x14ac:dyDescent="0.2">
      <c r="A52" s="17" t="s">
        <v>47</v>
      </c>
      <c r="B52" s="16">
        <v>69440076.510000005</v>
      </c>
      <c r="C52" s="16">
        <v>0</v>
      </c>
      <c r="D52" s="16">
        <v>1256073.7563630957</v>
      </c>
      <c r="E52" s="16">
        <v>0</v>
      </c>
      <c r="F52" s="16">
        <v>268640.03999999998</v>
      </c>
      <c r="G52" s="16">
        <v>175006.23</v>
      </c>
      <c r="H52" s="16">
        <v>3656467.57</v>
      </c>
      <c r="I52" s="16">
        <v>624420.31000000006</v>
      </c>
      <c r="J52" s="16">
        <v>0</v>
      </c>
      <c r="K52" s="16">
        <v>0</v>
      </c>
      <c r="L52" s="16">
        <v>0</v>
      </c>
      <c r="M52" s="16">
        <v>108.57999999999998</v>
      </c>
      <c r="N52" s="18">
        <f t="shared" si="1"/>
        <v>75420792.996363103</v>
      </c>
      <c r="O52" s="4"/>
    </row>
    <row r="53" spans="1:15" ht="15" x14ac:dyDescent="0.2">
      <c r="A53" s="17" t="s">
        <v>48</v>
      </c>
      <c r="B53" s="16">
        <v>25221114.950000003</v>
      </c>
      <c r="C53" s="16">
        <v>0</v>
      </c>
      <c r="D53" s="16">
        <v>915923.7323544767</v>
      </c>
      <c r="E53" s="16">
        <v>0</v>
      </c>
      <c r="F53" s="16">
        <v>46737.67</v>
      </c>
      <c r="G53" s="16">
        <v>28379.39</v>
      </c>
      <c r="H53" s="16">
        <v>1328054.26</v>
      </c>
      <c r="I53" s="16">
        <v>108635.91</v>
      </c>
      <c r="J53" s="16">
        <v>0</v>
      </c>
      <c r="K53" s="16">
        <v>0</v>
      </c>
      <c r="L53" s="16">
        <v>0</v>
      </c>
      <c r="M53" s="16">
        <v>18.87</v>
      </c>
      <c r="N53" s="18">
        <f t="shared" si="1"/>
        <v>27648864.782354485</v>
      </c>
      <c r="O53" s="4"/>
    </row>
    <row r="54" spans="1:15" ht="15" x14ac:dyDescent="0.2">
      <c r="A54" s="17" t="s">
        <v>49</v>
      </c>
      <c r="B54" s="16">
        <v>84537088.919999987</v>
      </c>
      <c r="C54" s="16">
        <v>0</v>
      </c>
      <c r="D54" s="16">
        <v>1315110.4828798268</v>
      </c>
      <c r="E54" s="16">
        <v>0</v>
      </c>
      <c r="F54" s="16">
        <v>160533.76000000001</v>
      </c>
      <c r="G54" s="16">
        <v>108787.66</v>
      </c>
      <c r="H54" s="16">
        <v>4451422.58</v>
      </c>
      <c r="I54" s="16">
        <v>373140.73</v>
      </c>
      <c r="J54" s="16">
        <v>0</v>
      </c>
      <c r="K54" s="16">
        <v>0</v>
      </c>
      <c r="L54" s="16">
        <v>0</v>
      </c>
      <c r="M54" s="16">
        <v>64.88</v>
      </c>
      <c r="N54" s="18">
        <f t="shared" si="1"/>
        <v>90946149.012879819</v>
      </c>
      <c r="O54" s="4"/>
    </row>
    <row r="55" spans="1:15" ht="15" x14ac:dyDescent="0.2">
      <c r="A55" s="17" t="s">
        <v>50</v>
      </c>
      <c r="B55" s="16">
        <v>36916485.93</v>
      </c>
      <c r="C55" s="16">
        <v>0</v>
      </c>
      <c r="D55" s="16">
        <v>591898.04397354298</v>
      </c>
      <c r="E55" s="16">
        <v>0</v>
      </c>
      <c r="F55" s="16">
        <v>296276.23</v>
      </c>
      <c r="G55" s="16">
        <v>149780.10999999999</v>
      </c>
      <c r="H55" s="16">
        <v>1943890.92</v>
      </c>
      <c r="I55" s="16">
        <v>688657.19</v>
      </c>
      <c r="J55" s="16">
        <v>0</v>
      </c>
      <c r="K55" s="16">
        <v>0</v>
      </c>
      <c r="L55" s="16">
        <v>0</v>
      </c>
      <c r="M55" s="16">
        <v>119.75999999999999</v>
      </c>
      <c r="N55" s="18">
        <f t="shared" si="1"/>
        <v>40587108.183973536</v>
      </c>
      <c r="O55" s="4"/>
    </row>
    <row r="56" spans="1:15" ht="15" x14ac:dyDescent="0.2">
      <c r="A56" s="17" t="s">
        <v>51</v>
      </c>
      <c r="B56" s="16">
        <v>31370693.149999999</v>
      </c>
      <c r="C56" s="16">
        <v>0</v>
      </c>
      <c r="D56" s="16">
        <v>377743.46525271487</v>
      </c>
      <c r="E56" s="16">
        <v>0</v>
      </c>
      <c r="F56" s="16">
        <v>83721.399999999994</v>
      </c>
      <c r="G56" s="16">
        <v>37839.19</v>
      </c>
      <c r="H56" s="16">
        <v>1651869.18</v>
      </c>
      <c r="I56" s="16">
        <v>194599.97</v>
      </c>
      <c r="J56" s="16">
        <v>0</v>
      </c>
      <c r="K56" s="16">
        <v>0</v>
      </c>
      <c r="L56" s="16">
        <v>0</v>
      </c>
      <c r="M56" s="16">
        <v>33.81</v>
      </c>
      <c r="N56" s="18">
        <f t="shared" si="1"/>
        <v>33716500.165252715</v>
      </c>
      <c r="O56" s="4"/>
    </row>
    <row r="57" spans="1:15" ht="15" x14ac:dyDescent="0.2">
      <c r="A57" s="17" t="s">
        <v>52</v>
      </c>
      <c r="B57" s="16">
        <v>75718018.530000001</v>
      </c>
      <c r="C57" s="16">
        <v>0</v>
      </c>
      <c r="D57" s="16">
        <v>1665866.5335882599</v>
      </c>
      <c r="E57" s="16">
        <v>0</v>
      </c>
      <c r="F57" s="16">
        <v>429986.63</v>
      </c>
      <c r="G57" s="16">
        <v>198655.73</v>
      </c>
      <c r="H57" s="16">
        <v>3987041.68</v>
      </c>
      <c r="I57" s="16">
        <v>999450.35</v>
      </c>
      <c r="J57" s="16">
        <v>0</v>
      </c>
      <c r="K57" s="16">
        <v>0</v>
      </c>
      <c r="L57" s="16">
        <v>0</v>
      </c>
      <c r="M57" s="16">
        <v>173.8</v>
      </c>
      <c r="N57" s="18">
        <f t="shared" si="1"/>
        <v>82999193.253588259</v>
      </c>
      <c r="O57" s="4"/>
    </row>
    <row r="58" spans="1:15" ht="15" x14ac:dyDescent="0.2">
      <c r="A58" s="17" t="s">
        <v>53</v>
      </c>
      <c r="B58" s="16">
        <v>65353828.010000005</v>
      </c>
      <c r="C58" s="16">
        <v>0</v>
      </c>
      <c r="D58" s="16">
        <v>735904.51727372897</v>
      </c>
      <c r="E58" s="16">
        <v>0</v>
      </c>
      <c r="F58" s="16">
        <v>250351.38</v>
      </c>
      <c r="G58" s="16">
        <v>113517.56</v>
      </c>
      <c r="H58" s="16">
        <v>3441300.25</v>
      </c>
      <c r="I58" s="16">
        <v>581910.6</v>
      </c>
      <c r="J58" s="16">
        <v>0</v>
      </c>
      <c r="K58" s="16">
        <v>0</v>
      </c>
      <c r="L58" s="16">
        <v>0</v>
      </c>
      <c r="M58" s="16">
        <v>101.19</v>
      </c>
      <c r="N58" s="18">
        <f t="shared" si="1"/>
        <v>70476913.507273734</v>
      </c>
      <c r="O58" s="4"/>
    </row>
    <row r="59" spans="1:15" ht="15" x14ac:dyDescent="0.2">
      <c r="A59" s="17" t="s">
        <v>54</v>
      </c>
      <c r="B59" s="16">
        <v>73302876.919999987</v>
      </c>
      <c r="C59" s="16">
        <v>0</v>
      </c>
      <c r="D59" s="16">
        <v>1068669.5315139168</v>
      </c>
      <c r="E59" s="16">
        <v>0</v>
      </c>
      <c r="F59" s="16">
        <v>243848.75</v>
      </c>
      <c r="G59" s="16">
        <v>113517.56</v>
      </c>
      <c r="H59" s="16">
        <v>3859868.91</v>
      </c>
      <c r="I59" s="16">
        <v>566796.04</v>
      </c>
      <c r="J59" s="16">
        <v>0</v>
      </c>
      <c r="K59" s="16">
        <v>0</v>
      </c>
      <c r="L59" s="16">
        <v>0</v>
      </c>
      <c r="M59" s="16">
        <v>98.56</v>
      </c>
      <c r="N59" s="18">
        <f t="shared" si="1"/>
        <v>79155676.271513909</v>
      </c>
      <c r="O59" s="4"/>
    </row>
    <row r="60" spans="1:15" ht="15" x14ac:dyDescent="0.2">
      <c r="A60" s="17" t="s">
        <v>55</v>
      </c>
      <c r="B60" s="16">
        <v>532928579.16000003</v>
      </c>
      <c r="C60" s="16">
        <v>0</v>
      </c>
      <c r="D60" s="16">
        <v>20783791.245717954</v>
      </c>
      <c r="E60" s="16">
        <v>0</v>
      </c>
      <c r="F60" s="16">
        <v>13413713.380000001</v>
      </c>
      <c r="G60" s="16">
        <v>6246618.9299999997</v>
      </c>
      <c r="H60" s="16">
        <v>28062124.420000002</v>
      </c>
      <c r="I60" s="16">
        <v>31178505.579999998</v>
      </c>
      <c r="J60" s="16">
        <v>0</v>
      </c>
      <c r="K60" s="16">
        <v>0</v>
      </c>
      <c r="L60" s="16">
        <v>0</v>
      </c>
      <c r="M60" s="16">
        <v>5423.14</v>
      </c>
      <c r="N60" s="18">
        <f t="shared" si="1"/>
        <v>632618755.8557179</v>
      </c>
      <c r="O60" s="4"/>
    </row>
    <row r="61" spans="1:15" ht="15" x14ac:dyDescent="0.2">
      <c r="A61" s="17" t="s">
        <v>56</v>
      </c>
      <c r="B61" s="16">
        <v>78594319.11999999</v>
      </c>
      <c r="C61" s="16">
        <v>0</v>
      </c>
      <c r="D61" s="16">
        <v>1305720.3618076982</v>
      </c>
      <c r="E61" s="16">
        <v>0</v>
      </c>
      <c r="F61" s="16">
        <v>2394594.73</v>
      </c>
      <c r="G61" s="16">
        <v>632527.96547671384</v>
      </c>
      <c r="H61" s="16">
        <v>4138497.45</v>
      </c>
      <c r="I61" s="16">
        <v>5565937.1299999999</v>
      </c>
      <c r="J61" s="16">
        <v>0</v>
      </c>
      <c r="K61" s="16">
        <v>0</v>
      </c>
      <c r="L61" s="16">
        <v>0</v>
      </c>
      <c r="M61" s="16">
        <v>968.09999999999991</v>
      </c>
      <c r="N61" s="18">
        <f t="shared" si="1"/>
        <v>92632564.857284397</v>
      </c>
      <c r="O61" s="4"/>
    </row>
    <row r="62" spans="1:15" ht="15" x14ac:dyDescent="0.2">
      <c r="A62" s="17" t="s">
        <v>57</v>
      </c>
      <c r="B62" s="16">
        <v>525882831.26999998</v>
      </c>
      <c r="C62" s="16">
        <v>0</v>
      </c>
      <c r="D62" s="16">
        <v>5606380.9500000002</v>
      </c>
      <c r="E62" s="16">
        <v>0</v>
      </c>
      <c r="F62" s="16">
        <v>10737066.93</v>
      </c>
      <c r="G62" s="16">
        <v>0</v>
      </c>
      <c r="H62" s="16">
        <v>27691120.379999999</v>
      </c>
      <c r="I62" s="16">
        <v>24956974.370000001</v>
      </c>
      <c r="J62" s="16">
        <v>0</v>
      </c>
      <c r="K62" s="16">
        <v>0</v>
      </c>
      <c r="L62" s="16">
        <v>0</v>
      </c>
      <c r="M62" s="16">
        <v>4340.9500000000007</v>
      </c>
      <c r="N62" s="18">
        <f t="shared" si="1"/>
        <v>594878714.85000002</v>
      </c>
      <c r="O62" s="4"/>
    </row>
    <row r="63" spans="1:15" ht="15" x14ac:dyDescent="0.2">
      <c r="A63" s="17" t="s">
        <v>58</v>
      </c>
      <c r="B63" s="16">
        <v>79578441.820000008</v>
      </c>
      <c r="C63" s="16">
        <v>0</v>
      </c>
      <c r="D63" s="16">
        <v>1693815.3417726215</v>
      </c>
      <c r="E63" s="16">
        <v>0</v>
      </c>
      <c r="F63" s="16">
        <v>378371.97</v>
      </c>
      <c r="G63" s="16">
        <v>182889.4</v>
      </c>
      <c r="H63" s="16">
        <v>4190317.85</v>
      </c>
      <c r="I63" s="16">
        <v>879478.52</v>
      </c>
      <c r="J63" s="16">
        <v>0</v>
      </c>
      <c r="K63" s="16">
        <v>0</v>
      </c>
      <c r="L63" s="16">
        <v>0</v>
      </c>
      <c r="M63" s="16">
        <v>152.94999999999999</v>
      </c>
      <c r="N63" s="18">
        <f t="shared" si="1"/>
        <v>86903467.851772621</v>
      </c>
      <c r="O63" s="4"/>
    </row>
    <row r="64" spans="1:15" ht="15" x14ac:dyDescent="0.2">
      <c r="A64" s="17" t="s">
        <v>59</v>
      </c>
      <c r="B64" s="16">
        <v>155189490.59000003</v>
      </c>
      <c r="C64" s="16">
        <v>0</v>
      </c>
      <c r="D64" s="16">
        <v>5017371.1737000346</v>
      </c>
      <c r="E64" s="16">
        <v>0</v>
      </c>
      <c r="F64" s="16">
        <v>692530.45</v>
      </c>
      <c r="G64" s="16">
        <v>312173.28000000003</v>
      </c>
      <c r="H64" s="16">
        <v>8171726.8799999999</v>
      </c>
      <c r="I64" s="16">
        <v>1609700.76</v>
      </c>
      <c r="J64" s="16">
        <v>0</v>
      </c>
      <c r="K64" s="16">
        <v>0</v>
      </c>
      <c r="L64" s="16">
        <v>0</v>
      </c>
      <c r="M64" s="16">
        <v>279.95999999999998</v>
      </c>
      <c r="N64" s="18">
        <f t="shared" si="1"/>
        <v>170993273.09370005</v>
      </c>
      <c r="O64" s="4"/>
    </row>
    <row r="65" spans="1:15" ht="15" x14ac:dyDescent="0.2">
      <c r="A65" s="17" t="s">
        <v>60</v>
      </c>
      <c r="B65" s="16">
        <v>86586155.979999989</v>
      </c>
      <c r="C65" s="16">
        <v>0</v>
      </c>
      <c r="D65" s="16">
        <v>2143574.3183673657</v>
      </c>
      <c r="E65" s="16">
        <v>0</v>
      </c>
      <c r="F65" s="16">
        <v>150779.81</v>
      </c>
      <c r="G65" s="16">
        <v>119824.09</v>
      </c>
      <c r="H65" s="16">
        <v>4559319.16</v>
      </c>
      <c r="I65" s="16">
        <v>350468.89</v>
      </c>
      <c r="J65" s="16">
        <v>0</v>
      </c>
      <c r="K65" s="16">
        <v>0</v>
      </c>
      <c r="L65" s="16">
        <v>0</v>
      </c>
      <c r="M65" s="16">
        <v>60.93</v>
      </c>
      <c r="N65" s="18">
        <f t="shared" si="1"/>
        <v>93910183.178367361</v>
      </c>
      <c r="O65" s="4"/>
    </row>
    <row r="66" spans="1:15" ht="15" x14ac:dyDescent="0.2">
      <c r="A66" s="17" t="s">
        <v>61</v>
      </c>
      <c r="B66" s="16">
        <v>48333735.280000009</v>
      </c>
      <c r="C66" s="16">
        <v>0</v>
      </c>
      <c r="D66" s="16">
        <v>810386.02142241504</v>
      </c>
      <c r="E66" s="16">
        <v>0</v>
      </c>
      <c r="F66" s="16">
        <v>147528.49</v>
      </c>
      <c r="G66" s="16">
        <v>96174.6</v>
      </c>
      <c r="H66" s="16">
        <v>2545082.6800000002</v>
      </c>
      <c r="I66" s="16">
        <v>342911.61</v>
      </c>
      <c r="J66" s="16">
        <v>0</v>
      </c>
      <c r="K66" s="16">
        <v>0</v>
      </c>
      <c r="L66" s="16">
        <v>0</v>
      </c>
      <c r="M66" s="16">
        <v>59.61</v>
      </c>
      <c r="N66" s="18">
        <f t="shared" si="1"/>
        <v>52275878.291422427</v>
      </c>
      <c r="O66" s="4"/>
    </row>
    <row r="67" spans="1:15" ht="15" x14ac:dyDescent="0.2">
      <c r="A67" s="17" t="s">
        <v>62</v>
      </c>
      <c r="B67" s="16">
        <v>223296009.68000001</v>
      </c>
      <c r="C67" s="16">
        <v>0</v>
      </c>
      <c r="D67" s="16">
        <v>1842336.08</v>
      </c>
      <c r="E67" s="16">
        <v>0</v>
      </c>
      <c r="F67" s="16">
        <v>3964167.86</v>
      </c>
      <c r="G67" s="16">
        <v>2047862.0189625281</v>
      </c>
      <c r="H67" s="16">
        <v>11757974.050000001</v>
      </c>
      <c r="I67" s="16">
        <v>9214214.3100000005</v>
      </c>
      <c r="J67" s="16">
        <v>0</v>
      </c>
      <c r="K67" s="16">
        <v>0</v>
      </c>
      <c r="L67" s="16">
        <v>0</v>
      </c>
      <c r="M67" s="16">
        <v>1602.6799999999998</v>
      </c>
      <c r="N67" s="18">
        <f t="shared" si="1"/>
        <v>252124166.67896259</v>
      </c>
      <c r="O67" s="4"/>
    </row>
    <row r="68" spans="1:15" ht="15" x14ac:dyDescent="0.2">
      <c r="A68" s="17" t="s">
        <v>63</v>
      </c>
      <c r="B68" s="16">
        <v>137171012.56</v>
      </c>
      <c r="C68" s="16">
        <v>0</v>
      </c>
      <c r="D68" s="16">
        <v>2199599.3199999998</v>
      </c>
      <c r="E68" s="16">
        <v>0</v>
      </c>
      <c r="F68" s="16">
        <v>3495978.26</v>
      </c>
      <c r="G68" s="16">
        <v>1905059.4226113912</v>
      </c>
      <c r="H68" s="16">
        <v>7222937.8799999999</v>
      </c>
      <c r="I68" s="16">
        <v>8125965.9199999999</v>
      </c>
      <c r="J68" s="16">
        <v>0</v>
      </c>
      <c r="K68" s="16">
        <v>0</v>
      </c>
      <c r="L68" s="16">
        <v>0</v>
      </c>
      <c r="M68" s="16">
        <v>1413.38</v>
      </c>
      <c r="N68" s="18">
        <f t="shared" si="1"/>
        <v>160121966.74261135</v>
      </c>
      <c r="O68" s="4"/>
    </row>
    <row r="69" spans="1:15" ht="15" x14ac:dyDescent="0.2">
      <c r="A69" s="17" t="s">
        <v>64</v>
      </c>
      <c r="B69" s="16">
        <v>424111709.81000006</v>
      </c>
      <c r="C69" s="16">
        <v>0</v>
      </c>
      <c r="D69" s="16">
        <v>1599163.147925657</v>
      </c>
      <c r="E69" s="16">
        <v>0</v>
      </c>
      <c r="F69" s="16">
        <v>10317647.07</v>
      </c>
      <c r="G69" s="16">
        <v>1996654.208258488</v>
      </c>
      <c r="H69" s="16">
        <v>22332214.920000002</v>
      </c>
      <c r="I69" s="16">
        <v>23982085.18</v>
      </c>
      <c r="J69" s="16">
        <v>0</v>
      </c>
      <c r="K69" s="16">
        <v>0</v>
      </c>
      <c r="L69" s="16">
        <v>0</v>
      </c>
      <c r="M69" s="16">
        <v>4171.3899999999994</v>
      </c>
      <c r="N69" s="18">
        <f t="shared" si="1"/>
        <v>484343645.72618425</v>
      </c>
      <c r="O69" s="4"/>
    </row>
    <row r="70" spans="1:15" ht="15" x14ac:dyDescent="0.2">
      <c r="A70" s="17" t="s">
        <v>65</v>
      </c>
      <c r="B70" s="16">
        <v>96976494.679999992</v>
      </c>
      <c r="C70" s="16">
        <v>0</v>
      </c>
      <c r="D70" s="16">
        <v>3935328.2068900336</v>
      </c>
      <c r="E70" s="16">
        <v>0</v>
      </c>
      <c r="F70" s="16">
        <v>2291365.4300000002</v>
      </c>
      <c r="G70" s="16">
        <v>911293.72</v>
      </c>
      <c r="H70" s="16">
        <v>5106437.46</v>
      </c>
      <c r="I70" s="16">
        <v>5325993.47</v>
      </c>
      <c r="J70" s="16">
        <v>0</v>
      </c>
      <c r="K70" s="16">
        <v>0</v>
      </c>
      <c r="L70" s="16">
        <v>0</v>
      </c>
      <c r="M70" s="16">
        <v>926.36</v>
      </c>
      <c r="N70" s="18">
        <f t="shared" si="1"/>
        <v>114547839.32689002</v>
      </c>
      <c r="O70" s="4"/>
    </row>
    <row r="71" spans="1:15" ht="15" x14ac:dyDescent="0.2">
      <c r="A71" s="17" t="s">
        <v>66</v>
      </c>
      <c r="B71" s="16">
        <v>336213390.16999996</v>
      </c>
      <c r="C71" s="16">
        <v>0</v>
      </c>
      <c r="D71" s="16">
        <v>2127225.38</v>
      </c>
      <c r="E71" s="16">
        <v>0</v>
      </c>
      <c r="F71" s="16">
        <v>1442771.77</v>
      </c>
      <c r="G71" s="16">
        <v>703178.2</v>
      </c>
      <c r="H71" s="16">
        <v>17703801.890000001</v>
      </c>
      <c r="I71" s="16">
        <v>3353543.25</v>
      </c>
      <c r="J71" s="16">
        <v>0</v>
      </c>
      <c r="K71" s="16">
        <v>0</v>
      </c>
      <c r="L71" s="16">
        <v>0</v>
      </c>
      <c r="M71" s="16">
        <v>583.29000000000008</v>
      </c>
      <c r="N71" s="18">
        <f t="shared" si="1"/>
        <v>361544493.94999993</v>
      </c>
      <c r="O71" s="4"/>
    </row>
    <row r="72" spans="1:15" ht="15" x14ac:dyDescent="0.2">
      <c r="A72" s="17" t="s">
        <v>67</v>
      </c>
      <c r="B72" s="16">
        <v>1749675040.0899999</v>
      </c>
      <c r="C72" s="16">
        <v>0</v>
      </c>
      <c r="D72" s="16">
        <v>9927843.4587192386</v>
      </c>
      <c r="E72" s="16">
        <v>0</v>
      </c>
      <c r="F72" s="16">
        <v>41980595.260000005</v>
      </c>
      <c r="G72" s="16">
        <v>0</v>
      </c>
      <c r="H72" s="16">
        <v>92131667.5</v>
      </c>
      <c r="I72" s="16">
        <v>97578661.840000004</v>
      </c>
      <c r="J72" s="16">
        <v>0</v>
      </c>
      <c r="K72" s="16">
        <v>0</v>
      </c>
      <c r="L72" s="16">
        <v>0</v>
      </c>
      <c r="M72" s="16">
        <v>16972.7</v>
      </c>
      <c r="N72" s="18">
        <f t="shared" ref="N72:N103" si="2">SUM(B72:M72)</f>
        <v>1991310780.8487191</v>
      </c>
      <c r="O72" s="4"/>
    </row>
    <row r="73" spans="1:15" ht="15" x14ac:dyDescent="0.2">
      <c r="A73" s="17" t="s">
        <v>68</v>
      </c>
      <c r="B73" s="16">
        <v>700992486.34000003</v>
      </c>
      <c r="C73" s="16">
        <v>0</v>
      </c>
      <c r="D73" s="16">
        <v>18488909.557383563</v>
      </c>
      <c r="E73" s="16">
        <v>0</v>
      </c>
      <c r="F73" s="16">
        <v>15581935.199999999</v>
      </c>
      <c r="G73" s="16">
        <v>8036152.7891998943</v>
      </c>
      <c r="H73" s="16">
        <v>36911772.299999997</v>
      </c>
      <c r="I73" s="16">
        <v>36218267.049999997</v>
      </c>
      <c r="J73" s="16">
        <v>0</v>
      </c>
      <c r="K73" s="16">
        <v>0</v>
      </c>
      <c r="L73" s="16">
        <v>0</v>
      </c>
      <c r="M73" s="16">
        <v>6299.74</v>
      </c>
      <c r="N73" s="18">
        <f t="shared" si="2"/>
        <v>816235822.97658348</v>
      </c>
      <c r="O73" s="4"/>
    </row>
    <row r="74" spans="1:15" ht="15" x14ac:dyDescent="0.2">
      <c r="A74" s="17" t="s">
        <v>69</v>
      </c>
      <c r="B74" s="16">
        <v>433641535.47000003</v>
      </c>
      <c r="C74" s="16">
        <v>0</v>
      </c>
      <c r="D74" s="16">
        <v>5153692.33</v>
      </c>
      <c r="E74" s="16">
        <v>0</v>
      </c>
      <c r="F74" s="16">
        <v>11312956.390000001</v>
      </c>
      <c r="G74" s="16">
        <v>14055693.940299552</v>
      </c>
      <c r="H74" s="16">
        <v>22834021.66</v>
      </c>
      <c r="I74" s="16">
        <v>26295557.690000001</v>
      </c>
      <c r="J74" s="16">
        <v>0</v>
      </c>
      <c r="K74" s="16">
        <v>0</v>
      </c>
      <c r="L74" s="16">
        <v>0</v>
      </c>
      <c r="M74" s="16">
        <v>4573.79</v>
      </c>
      <c r="N74" s="18">
        <f t="shared" si="2"/>
        <v>513298031.27029961</v>
      </c>
      <c r="O74" s="4"/>
    </row>
    <row r="75" spans="1:15" ht="15" x14ac:dyDescent="0.2">
      <c r="A75" s="17" t="s">
        <v>70</v>
      </c>
      <c r="B75" s="16">
        <v>70136569.159999996</v>
      </c>
      <c r="C75" s="16">
        <v>0</v>
      </c>
      <c r="D75" s="16">
        <v>1153442.4636300409</v>
      </c>
      <c r="E75" s="16">
        <v>0</v>
      </c>
      <c r="F75" s="16">
        <v>205645.78</v>
      </c>
      <c r="G75" s="16">
        <v>102481.13</v>
      </c>
      <c r="H75" s="16">
        <v>3693142.4</v>
      </c>
      <c r="I75" s="16">
        <v>477998</v>
      </c>
      <c r="J75" s="16">
        <v>0</v>
      </c>
      <c r="K75" s="16">
        <v>0</v>
      </c>
      <c r="L75" s="16">
        <v>0</v>
      </c>
      <c r="M75" s="16">
        <v>83.11999999999999</v>
      </c>
      <c r="N75" s="18">
        <f t="shared" si="2"/>
        <v>75769362.053630039</v>
      </c>
      <c r="O75" s="4"/>
    </row>
    <row r="76" spans="1:15" ht="15" x14ac:dyDescent="0.2">
      <c r="A76" s="17" t="s">
        <v>71</v>
      </c>
      <c r="B76" s="16">
        <v>65332434.030000001</v>
      </c>
      <c r="C76" s="16">
        <v>0</v>
      </c>
      <c r="D76" s="16">
        <v>1488227.2791593608</v>
      </c>
      <c r="E76" s="16">
        <v>0</v>
      </c>
      <c r="F76" s="16">
        <v>370243.68</v>
      </c>
      <c r="G76" s="16">
        <v>241224.81</v>
      </c>
      <c r="H76" s="16">
        <v>3440173.72</v>
      </c>
      <c r="I76" s="16">
        <v>860585.32</v>
      </c>
      <c r="J76" s="16">
        <v>0</v>
      </c>
      <c r="K76" s="16">
        <v>0</v>
      </c>
      <c r="L76" s="16">
        <v>0</v>
      </c>
      <c r="M76" s="16">
        <v>149.65</v>
      </c>
      <c r="N76" s="18">
        <f t="shared" si="2"/>
        <v>71733038.489159361</v>
      </c>
      <c r="O76" s="4"/>
    </row>
    <row r="77" spans="1:15" ht="15" x14ac:dyDescent="0.2">
      <c r="A77" s="17" t="s">
        <v>72</v>
      </c>
      <c r="B77" s="16">
        <v>85117103.25999999</v>
      </c>
      <c r="C77" s="16">
        <v>0</v>
      </c>
      <c r="D77" s="16">
        <v>1329823.9641768988</v>
      </c>
      <c r="E77" s="16">
        <v>0</v>
      </c>
      <c r="F77" s="16">
        <v>434863.6</v>
      </c>
      <c r="G77" s="16">
        <v>170276.34</v>
      </c>
      <c r="H77" s="16">
        <v>4481964.07</v>
      </c>
      <c r="I77" s="16">
        <v>1010786.27</v>
      </c>
      <c r="J77" s="16">
        <v>0</v>
      </c>
      <c r="K77" s="16">
        <v>0</v>
      </c>
      <c r="L77" s="16">
        <v>0</v>
      </c>
      <c r="M77" s="16">
        <v>175.78</v>
      </c>
      <c r="N77" s="18">
        <f t="shared" si="2"/>
        <v>92544993.284176871</v>
      </c>
      <c r="O77" s="4"/>
    </row>
    <row r="78" spans="1:15" ht="15" x14ac:dyDescent="0.2">
      <c r="A78" s="17" t="s">
        <v>73</v>
      </c>
      <c r="B78" s="16">
        <v>33046554.240000002</v>
      </c>
      <c r="C78" s="16">
        <v>0</v>
      </c>
      <c r="D78" s="16">
        <v>575021.23652986693</v>
      </c>
      <c r="E78" s="16">
        <v>0</v>
      </c>
      <c r="F78" s="16">
        <v>154437.54</v>
      </c>
      <c r="G78" s="16">
        <v>56758.78</v>
      </c>
      <c r="H78" s="16">
        <v>1740114.07</v>
      </c>
      <c r="I78" s="16">
        <v>358970.83</v>
      </c>
      <c r="J78" s="16">
        <v>0</v>
      </c>
      <c r="K78" s="16">
        <v>0</v>
      </c>
      <c r="L78" s="16">
        <v>0</v>
      </c>
      <c r="M78" s="16">
        <v>62.399999999999991</v>
      </c>
      <c r="N78" s="18">
        <f t="shared" si="2"/>
        <v>35931919.096529864</v>
      </c>
      <c r="O78" s="4"/>
    </row>
    <row r="79" spans="1:15" ht="15" x14ac:dyDescent="0.2">
      <c r="A79" s="17" t="s">
        <v>74</v>
      </c>
      <c r="B79" s="16">
        <v>132352614.8</v>
      </c>
      <c r="C79" s="16">
        <v>0</v>
      </c>
      <c r="D79" s="16">
        <v>3837255.863119767</v>
      </c>
      <c r="E79" s="16">
        <v>0</v>
      </c>
      <c r="F79" s="16">
        <v>776251.85</v>
      </c>
      <c r="G79" s="16">
        <v>422537.57</v>
      </c>
      <c r="H79" s="16">
        <v>6969218.1799999997</v>
      </c>
      <c r="I79" s="16">
        <v>1804300.73</v>
      </c>
      <c r="J79" s="16">
        <v>0</v>
      </c>
      <c r="K79" s="16">
        <v>0</v>
      </c>
      <c r="L79" s="16">
        <v>0</v>
      </c>
      <c r="M79" s="16">
        <v>313.82</v>
      </c>
      <c r="N79" s="18">
        <f t="shared" si="2"/>
        <v>146162492.81311974</v>
      </c>
      <c r="O79" s="4"/>
    </row>
    <row r="80" spans="1:15" ht="15" x14ac:dyDescent="0.2">
      <c r="A80" s="17" t="s">
        <v>75</v>
      </c>
      <c r="B80" s="16">
        <v>82934918.189999998</v>
      </c>
      <c r="C80" s="16">
        <v>0</v>
      </c>
      <c r="D80" s="16">
        <v>3509387.0426629027</v>
      </c>
      <c r="E80" s="16">
        <v>0</v>
      </c>
      <c r="F80" s="16">
        <v>251164.21</v>
      </c>
      <c r="G80" s="16">
        <v>176582.87</v>
      </c>
      <c r="H80" s="16">
        <v>4367057.96</v>
      </c>
      <c r="I80" s="16">
        <v>583799.92000000004</v>
      </c>
      <c r="J80" s="16">
        <v>0</v>
      </c>
      <c r="K80" s="16">
        <v>0</v>
      </c>
      <c r="L80" s="16">
        <v>0</v>
      </c>
      <c r="M80" s="16">
        <v>101.51</v>
      </c>
      <c r="N80" s="18">
        <f t="shared" si="2"/>
        <v>91823011.7026629</v>
      </c>
      <c r="O80" s="4"/>
    </row>
    <row r="81" spans="1:15" ht="15" x14ac:dyDescent="0.2">
      <c r="A81" s="17" t="s">
        <v>76</v>
      </c>
      <c r="B81" s="16">
        <v>41879887.280000001</v>
      </c>
      <c r="C81" s="16">
        <v>0</v>
      </c>
      <c r="D81" s="16">
        <v>1828144.7988645029</v>
      </c>
      <c r="E81" s="16">
        <v>0</v>
      </c>
      <c r="F81" s="16">
        <v>652295.4</v>
      </c>
      <c r="G81" s="16">
        <v>364202.16</v>
      </c>
      <c r="H81" s="16">
        <v>2205245.9900000002</v>
      </c>
      <c r="I81" s="16">
        <v>1516179.41</v>
      </c>
      <c r="J81" s="16">
        <v>0</v>
      </c>
      <c r="K81" s="16">
        <v>0</v>
      </c>
      <c r="L81" s="16">
        <v>0</v>
      </c>
      <c r="M81" s="16">
        <v>263.69</v>
      </c>
      <c r="N81" s="18">
        <f t="shared" si="2"/>
        <v>48446218.728864498</v>
      </c>
      <c r="O81" s="4"/>
    </row>
    <row r="82" spans="1:15" ht="15" x14ac:dyDescent="0.2">
      <c r="A82" s="17" t="s">
        <v>77</v>
      </c>
      <c r="B82" s="16">
        <v>641655118.3900001</v>
      </c>
      <c r="C82" s="16">
        <v>0</v>
      </c>
      <c r="D82" s="16">
        <v>6972002.5799999991</v>
      </c>
      <c r="E82" s="16">
        <v>0</v>
      </c>
      <c r="F82" s="16">
        <v>18799519.469999999</v>
      </c>
      <c r="G82" s="16">
        <v>15331217.586029254</v>
      </c>
      <c r="H82" s="16">
        <v>33787277.450000003</v>
      </c>
      <c r="I82" s="16">
        <v>43697140.82</v>
      </c>
      <c r="J82" s="16">
        <v>0</v>
      </c>
      <c r="K82" s="16">
        <v>0</v>
      </c>
      <c r="L82" s="16">
        <v>0</v>
      </c>
      <c r="M82" s="16">
        <v>7600.6</v>
      </c>
      <c r="N82" s="18">
        <f t="shared" si="2"/>
        <v>760249876.89602959</v>
      </c>
      <c r="O82" s="4"/>
    </row>
    <row r="83" spans="1:15" ht="15" x14ac:dyDescent="0.2">
      <c r="A83" s="17" t="s">
        <v>78</v>
      </c>
      <c r="B83" s="16">
        <v>193917332.85999998</v>
      </c>
      <c r="C83" s="16">
        <v>0</v>
      </c>
      <c r="D83" s="16">
        <v>3803223.7224946227</v>
      </c>
      <c r="E83" s="16">
        <v>0</v>
      </c>
      <c r="F83" s="16">
        <v>2081655.5</v>
      </c>
      <c r="G83" s="16">
        <v>1072110.26</v>
      </c>
      <c r="H83" s="16">
        <v>10210997.369999999</v>
      </c>
      <c r="I83" s="16">
        <v>4838548.87</v>
      </c>
      <c r="J83" s="16">
        <v>0</v>
      </c>
      <c r="K83" s="16">
        <v>0</v>
      </c>
      <c r="L83" s="16">
        <v>0</v>
      </c>
      <c r="M83" s="16">
        <v>841.59</v>
      </c>
      <c r="N83" s="18">
        <f t="shared" si="2"/>
        <v>215924710.17249462</v>
      </c>
      <c r="O83" s="4"/>
    </row>
    <row r="84" spans="1:15" ht="15" x14ac:dyDescent="0.2">
      <c r="A84" s="17" t="s">
        <v>79</v>
      </c>
      <c r="B84" s="16">
        <v>69287941.609999999</v>
      </c>
      <c r="C84" s="16">
        <v>0</v>
      </c>
      <c r="D84" s="16">
        <v>1511711.5334334688</v>
      </c>
      <c r="E84" s="16">
        <v>0</v>
      </c>
      <c r="F84" s="16">
        <v>417794.19</v>
      </c>
      <c r="G84" s="16">
        <v>99716.416310472297</v>
      </c>
      <c r="H84" s="16">
        <v>3648456.69</v>
      </c>
      <c r="I84" s="16">
        <v>971110.55</v>
      </c>
      <c r="J84" s="16">
        <v>0</v>
      </c>
      <c r="K84" s="16">
        <v>0</v>
      </c>
      <c r="L84" s="16">
        <v>0</v>
      </c>
      <c r="M84" s="16">
        <v>168.9</v>
      </c>
      <c r="N84" s="18">
        <f t="shared" si="2"/>
        <v>75936899.889743939</v>
      </c>
      <c r="O84" s="4"/>
    </row>
    <row r="85" spans="1:15" ht="15" x14ac:dyDescent="0.2">
      <c r="A85" s="17" t="s">
        <v>80</v>
      </c>
      <c r="B85" s="16">
        <v>65914825.450000003</v>
      </c>
      <c r="C85" s="16">
        <v>0</v>
      </c>
      <c r="D85" s="16">
        <v>910643.23203926685</v>
      </c>
      <c r="E85" s="16">
        <v>0</v>
      </c>
      <c r="F85" s="16">
        <v>197517.48</v>
      </c>
      <c r="G85" s="16">
        <v>102481.13</v>
      </c>
      <c r="H85" s="16">
        <v>3470840.39</v>
      </c>
      <c r="I85" s="16">
        <v>459104.79</v>
      </c>
      <c r="J85" s="16">
        <v>0</v>
      </c>
      <c r="K85" s="16">
        <v>0</v>
      </c>
      <c r="L85" s="16">
        <v>0</v>
      </c>
      <c r="M85" s="16">
        <v>79.83</v>
      </c>
      <c r="N85" s="18">
        <f t="shared" si="2"/>
        <v>71055492.302039266</v>
      </c>
      <c r="O85" s="4"/>
    </row>
    <row r="86" spans="1:15" ht="15" x14ac:dyDescent="0.2">
      <c r="A86" s="17" t="s">
        <v>81</v>
      </c>
      <c r="B86" s="16">
        <v>784074785.32999992</v>
      </c>
      <c r="C86" s="16">
        <v>0</v>
      </c>
      <c r="D86" s="16">
        <v>2333967.5099999998</v>
      </c>
      <c r="E86" s="16">
        <v>0</v>
      </c>
      <c r="F86" s="16">
        <v>11795370.51</v>
      </c>
      <c r="G86" s="16">
        <v>3192837.906121219</v>
      </c>
      <c r="H86" s="16">
        <v>41286590.799999997</v>
      </c>
      <c r="I86" s="16">
        <v>27416869.190000001</v>
      </c>
      <c r="J86" s="16">
        <v>0</v>
      </c>
      <c r="K86" s="16">
        <v>0</v>
      </c>
      <c r="L86" s="16">
        <v>0</v>
      </c>
      <c r="M86" s="16">
        <v>4768.84</v>
      </c>
      <c r="N86" s="18">
        <f t="shared" si="2"/>
        <v>870105190.0861212</v>
      </c>
      <c r="O86" s="4"/>
    </row>
    <row r="87" spans="1:15" ht="15" x14ac:dyDescent="0.2">
      <c r="A87" s="17" t="s">
        <v>82</v>
      </c>
      <c r="B87" s="16">
        <v>109789106.39000002</v>
      </c>
      <c r="C87" s="16">
        <v>0</v>
      </c>
      <c r="D87" s="16">
        <v>1391170.3379972386</v>
      </c>
      <c r="E87" s="16">
        <v>0</v>
      </c>
      <c r="F87" s="16">
        <v>334885.61</v>
      </c>
      <c r="G87" s="16">
        <v>214422.05</v>
      </c>
      <c r="H87" s="16">
        <v>5781104.0499999998</v>
      </c>
      <c r="I87" s="16">
        <v>778399.9</v>
      </c>
      <c r="J87" s="16">
        <v>0</v>
      </c>
      <c r="K87" s="16">
        <v>0</v>
      </c>
      <c r="L87" s="16">
        <v>0</v>
      </c>
      <c r="M87" s="16">
        <v>135.36000000000001</v>
      </c>
      <c r="N87" s="18">
        <f t="shared" si="2"/>
        <v>118289223.69799726</v>
      </c>
      <c r="O87" s="4"/>
    </row>
    <row r="88" spans="1:15" ht="15" x14ac:dyDescent="0.2">
      <c r="A88" s="17" t="s">
        <v>83</v>
      </c>
      <c r="B88" s="16">
        <v>94083554.359999999</v>
      </c>
      <c r="C88" s="16">
        <v>0</v>
      </c>
      <c r="D88" s="16">
        <v>699232.70845100691</v>
      </c>
      <c r="E88" s="16">
        <v>0</v>
      </c>
      <c r="F88" s="16">
        <v>1643540.58</v>
      </c>
      <c r="G88" s="16">
        <v>547091.56000000006</v>
      </c>
      <c r="H88" s="16">
        <v>4954105.51</v>
      </c>
      <c r="I88" s="16">
        <v>3820205.32</v>
      </c>
      <c r="J88" s="16">
        <v>0</v>
      </c>
      <c r="K88" s="16">
        <v>0</v>
      </c>
      <c r="L88" s="16">
        <v>0</v>
      </c>
      <c r="M88" s="16">
        <v>664.44999999999993</v>
      </c>
      <c r="N88" s="18">
        <f t="shared" si="2"/>
        <v>105748394.488451</v>
      </c>
      <c r="O88" s="4"/>
    </row>
    <row r="89" spans="1:15" ht="15" x14ac:dyDescent="0.2">
      <c r="A89" s="17" t="s">
        <v>84</v>
      </c>
      <c r="B89" s="16">
        <v>153960525.81</v>
      </c>
      <c r="C89" s="16">
        <v>0</v>
      </c>
      <c r="D89" s="16">
        <v>2029010.273436645</v>
      </c>
      <c r="E89" s="16">
        <v>0</v>
      </c>
      <c r="F89" s="16">
        <v>1382216</v>
      </c>
      <c r="G89" s="16">
        <v>638536.26</v>
      </c>
      <c r="H89" s="16">
        <v>8107013.96</v>
      </c>
      <c r="I89" s="16">
        <v>3212788.9</v>
      </c>
      <c r="J89" s="16">
        <v>0</v>
      </c>
      <c r="K89" s="16">
        <v>0</v>
      </c>
      <c r="L89" s="16">
        <v>0</v>
      </c>
      <c r="M89" s="16">
        <v>558.80000000000007</v>
      </c>
      <c r="N89" s="18">
        <f t="shared" si="2"/>
        <v>169330650.00343665</v>
      </c>
      <c r="O89" s="4"/>
    </row>
    <row r="90" spans="1:15" ht="15" x14ac:dyDescent="0.2">
      <c r="A90" s="17" t="s">
        <v>85</v>
      </c>
      <c r="B90" s="16">
        <v>808482929.44999993</v>
      </c>
      <c r="C90" s="16">
        <v>0</v>
      </c>
      <c r="D90" s="16">
        <v>3113276.8486659117</v>
      </c>
      <c r="E90" s="16">
        <v>0</v>
      </c>
      <c r="F90" s="16">
        <v>18749530.48</v>
      </c>
      <c r="G90" s="16">
        <v>5518996.84835828</v>
      </c>
      <c r="H90" s="16">
        <v>42571836.899999999</v>
      </c>
      <c r="I90" s="16">
        <v>43580947.630000003</v>
      </c>
      <c r="J90" s="16">
        <v>0</v>
      </c>
      <c r="K90" s="16">
        <v>0</v>
      </c>
      <c r="L90" s="16">
        <v>0</v>
      </c>
      <c r="M90" s="16">
        <v>7580.4000000000005</v>
      </c>
      <c r="N90" s="18">
        <f t="shared" si="2"/>
        <v>922025098.55702412</v>
      </c>
      <c r="O90" s="4"/>
    </row>
    <row r="91" spans="1:15" ht="15" x14ac:dyDescent="0.2">
      <c r="A91" s="17" t="s">
        <v>86</v>
      </c>
      <c r="B91" s="16">
        <v>30094186.200000003</v>
      </c>
      <c r="C91" s="16">
        <v>0</v>
      </c>
      <c r="D91" s="16">
        <v>1103772.880826992</v>
      </c>
      <c r="E91" s="16">
        <v>0</v>
      </c>
      <c r="F91" s="16">
        <v>435270.02</v>
      </c>
      <c r="G91" s="16">
        <v>212845.42</v>
      </c>
      <c r="H91" s="16">
        <v>1584652.86</v>
      </c>
      <c r="I91" s="16">
        <v>1011730.93</v>
      </c>
      <c r="J91" s="16">
        <v>0</v>
      </c>
      <c r="K91" s="16">
        <v>0</v>
      </c>
      <c r="L91" s="16">
        <v>0</v>
      </c>
      <c r="M91" s="16">
        <v>175.94</v>
      </c>
      <c r="N91" s="18">
        <f t="shared" si="2"/>
        <v>34442634.250826992</v>
      </c>
      <c r="O91" s="4"/>
    </row>
    <row r="92" spans="1:15" ht="15" x14ac:dyDescent="0.2">
      <c r="A92" s="17" t="s">
        <v>87</v>
      </c>
      <c r="B92" s="16">
        <v>43534354.379999995</v>
      </c>
      <c r="C92" s="16">
        <v>0</v>
      </c>
      <c r="D92" s="16">
        <v>229126.29</v>
      </c>
      <c r="E92" s="16">
        <v>0</v>
      </c>
      <c r="F92" s="16">
        <v>93068.94</v>
      </c>
      <c r="G92" s="16">
        <v>66218.58</v>
      </c>
      <c r="H92" s="16">
        <v>2292364.34</v>
      </c>
      <c r="I92" s="16">
        <v>216327.16</v>
      </c>
      <c r="J92" s="16">
        <v>0</v>
      </c>
      <c r="K92" s="16">
        <v>0</v>
      </c>
      <c r="L92" s="16">
        <v>0</v>
      </c>
      <c r="M92" s="16">
        <v>37.589999999999996</v>
      </c>
      <c r="N92" s="18">
        <f t="shared" si="2"/>
        <v>46431497.279999986</v>
      </c>
      <c r="O92" s="4"/>
    </row>
    <row r="93" spans="1:15" ht="15" x14ac:dyDescent="0.2">
      <c r="A93" s="17" t="s">
        <v>88</v>
      </c>
      <c r="B93" s="16">
        <v>432029856.26999998</v>
      </c>
      <c r="C93" s="16">
        <v>0</v>
      </c>
      <c r="D93" s="16">
        <v>3332849.2166500934</v>
      </c>
      <c r="E93" s="16">
        <v>0</v>
      </c>
      <c r="F93" s="16">
        <v>15195841.34</v>
      </c>
      <c r="G93" s="16">
        <v>3005178.06581156</v>
      </c>
      <c r="H93" s="16">
        <v>22749156.370000001</v>
      </c>
      <c r="I93" s="16">
        <v>35320839.990000002</v>
      </c>
      <c r="J93" s="16">
        <v>0</v>
      </c>
      <c r="K93" s="16">
        <v>0</v>
      </c>
      <c r="L93" s="16">
        <v>0</v>
      </c>
      <c r="M93" s="16">
        <v>6143.63</v>
      </c>
      <c r="N93" s="18">
        <f t="shared" si="2"/>
        <v>511639864.88246161</v>
      </c>
      <c r="O93" s="4"/>
    </row>
    <row r="94" spans="1:15" ht="15" x14ac:dyDescent="0.2">
      <c r="A94" s="17" t="s">
        <v>89</v>
      </c>
      <c r="B94" s="16">
        <v>295626649.52999997</v>
      </c>
      <c r="C94" s="16">
        <v>0</v>
      </c>
      <c r="D94" s="16">
        <v>5670626.1200000001</v>
      </c>
      <c r="E94" s="16">
        <v>0</v>
      </c>
      <c r="F94" s="16">
        <v>6871251.3899999997</v>
      </c>
      <c r="G94" s="16">
        <v>3683199.3238736521</v>
      </c>
      <c r="H94" s="16">
        <v>15566648.41</v>
      </c>
      <c r="I94" s="16">
        <v>15971367.789999999</v>
      </c>
      <c r="J94" s="16">
        <v>0</v>
      </c>
      <c r="K94" s="16">
        <v>0</v>
      </c>
      <c r="L94" s="16">
        <v>0</v>
      </c>
      <c r="M94" s="16">
        <v>2778.0099999999998</v>
      </c>
      <c r="N94" s="18">
        <f t="shared" si="2"/>
        <v>343392520.57387364</v>
      </c>
      <c r="O94" s="4"/>
    </row>
    <row r="95" spans="1:15" ht="15" x14ac:dyDescent="0.2">
      <c r="A95" s="17" t="s">
        <v>90</v>
      </c>
      <c r="B95" s="16">
        <v>54502330.329999998</v>
      </c>
      <c r="C95" s="16">
        <v>0</v>
      </c>
      <c r="D95" s="16">
        <v>1137501.279277999</v>
      </c>
      <c r="E95" s="16">
        <v>0</v>
      </c>
      <c r="F95" s="16">
        <v>336917.69</v>
      </c>
      <c r="G95" s="16">
        <v>171852.97</v>
      </c>
      <c r="H95" s="16">
        <v>2869898.96</v>
      </c>
      <c r="I95" s="16">
        <v>783123.2</v>
      </c>
      <c r="J95" s="16">
        <v>0</v>
      </c>
      <c r="K95" s="16">
        <v>0</v>
      </c>
      <c r="L95" s="16">
        <v>0</v>
      </c>
      <c r="M95" s="16">
        <v>136.18</v>
      </c>
      <c r="N95" s="18">
        <f t="shared" si="2"/>
        <v>59801760.609277993</v>
      </c>
      <c r="O95" s="4"/>
    </row>
    <row r="96" spans="1:15" ht="15" x14ac:dyDescent="0.2">
      <c r="A96" s="17" t="s">
        <v>91</v>
      </c>
      <c r="B96" s="16">
        <v>176837812.46000004</v>
      </c>
      <c r="C96" s="16">
        <v>0</v>
      </c>
      <c r="D96" s="16">
        <v>4347881.0538935103</v>
      </c>
      <c r="E96" s="16">
        <v>0</v>
      </c>
      <c r="F96" s="16">
        <v>1888202.16</v>
      </c>
      <c r="G96" s="16">
        <v>938096.48</v>
      </c>
      <c r="H96" s="16">
        <v>9311650.5500000007</v>
      </c>
      <c r="I96" s="16">
        <v>4388890.68</v>
      </c>
      <c r="J96" s="16">
        <v>0</v>
      </c>
      <c r="K96" s="16">
        <v>0</v>
      </c>
      <c r="L96" s="16">
        <v>0</v>
      </c>
      <c r="M96" s="16">
        <v>763.37000000000012</v>
      </c>
      <c r="N96" s="18">
        <f t="shared" si="2"/>
        <v>197713296.75389355</v>
      </c>
      <c r="O96" s="4"/>
    </row>
    <row r="97" spans="1:15" ht="15" x14ac:dyDescent="0.2">
      <c r="A97" s="17" t="s">
        <v>92</v>
      </c>
      <c r="B97" s="16">
        <v>85376208.039999992</v>
      </c>
      <c r="C97" s="16">
        <v>0</v>
      </c>
      <c r="D97" s="16">
        <v>3921226.7827360723</v>
      </c>
      <c r="E97" s="16">
        <v>0</v>
      </c>
      <c r="F97" s="16">
        <v>871759.28</v>
      </c>
      <c r="G97" s="16">
        <v>480872.99</v>
      </c>
      <c r="H97" s="16">
        <v>4495607.6100000003</v>
      </c>
      <c r="I97" s="16">
        <v>2026295.85</v>
      </c>
      <c r="J97" s="16">
        <v>0</v>
      </c>
      <c r="K97" s="16">
        <v>0</v>
      </c>
      <c r="L97" s="16">
        <v>0</v>
      </c>
      <c r="M97" s="16">
        <v>352.43</v>
      </c>
      <c r="N97" s="18">
        <f t="shared" si="2"/>
        <v>97172322.982736066</v>
      </c>
      <c r="O97" s="4"/>
    </row>
    <row r="98" spans="1:15" ht="15" x14ac:dyDescent="0.2">
      <c r="A98" s="17" t="s">
        <v>93</v>
      </c>
      <c r="B98" s="16">
        <v>236053947.88</v>
      </c>
      <c r="C98" s="16">
        <v>0</v>
      </c>
      <c r="D98" s="16">
        <v>5292882.6217773063</v>
      </c>
      <c r="E98" s="16">
        <v>0</v>
      </c>
      <c r="F98" s="16">
        <v>2027195.95</v>
      </c>
      <c r="G98" s="16">
        <v>1127292.4099999999</v>
      </c>
      <c r="H98" s="16">
        <v>12429761.73</v>
      </c>
      <c r="I98" s="16">
        <v>4711964.43</v>
      </c>
      <c r="J98" s="16">
        <v>0</v>
      </c>
      <c r="K98" s="16">
        <v>0</v>
      </c>
      <c r="L98" s="16">
        <v>0</v>
      </c>
      <c r="M98" s="16">
        <v>819.56</v>
      </c>
      <c r="N98" s="18">
        <f t="shared" si="2"/>
        <v>261643864.58177727</v>
      </c>
      <c r="O98" s="4"/>
    </row>
    <row r="99" spans="1:15" ht="15" x14ac:dyDescent="0.2">
      <c r="A99" s="17" t="s">
        <v>94</v>
      </c>
      <c r="B99" s="16">
        <v>165175720.97999999</v>
      </c>
      <c r="C99" s="16">
        <v>0</v>
      </c>
      <c r="D99" s="16">
        <v>1911025.4286052075</v>
      </c>
      <c r="E99" s="16">
        <v>0</v>
      </c>
      <c r="F99" s="16">
        <v>751460.56</v>
      </c>
      <c r="G99" s="16">
        <v>304290.12</v>
      </c>
      <c r="H99" s="16">
        <v>8697566.2699999996</v>
      </c>
      <c r="I99" s="16">
        <v>1746676.47</v>
      </c>
      <c r="J99" s="16">
        <v>0</v>
      </c>
      <c r="K99" s="16">
        <v>0</v>
      </c>
      <c r="L99" s="16">
        <v>0</v>
      </c>
      <c r="M99" s="16">
        <v>303.77999999999997</v>
      </c>
      <c r="N99" s="18">
        <f t="shared" si="2"/>
        <v>178587043.60860521</v>
      </c>
      <c r="O99" s="4"/>
    </row>
    <row r="100" spans="1:15" ht="15" x14ac:dyDescent="0.2">
      <c r="A100" s="17" t="s">
        <v>95</v>
      </c>
      <c r="B100" s="16">
        <v>175387776.60000002</v>
      </c>
      <c r="C100" s="16">
        <v>0</v>
      </c>
      <c r="D100" s="16">
        <v>2610464.278569134</v>
      </c>
      <c r="E100" s="16">
        <v>0</v>
      </c>
      <c r="F100" s="16">
        <v>843716.67</v>
      </c>
      <c r="G100" s="16">
        <v>402041.35</v>
      </c>
      <c r="H100" s="16">
        <v>9235296.8200000003</v>
      </c>
      <c r="I100" s="16">
        <v>1961114.3</v>
      </c>
      <c r="J100" s="16">
        <v>0</v>
      </c>
      <c r="K100" s="16">
        <v>0</v>
      </c>
      <c r="L100" s="16">
        <v>0</v>
      </c>
      <c r="M100" s="16">
        <v>341.09</v>
      </c>
      <c r="N100" s="18">
        <f t="shared" si="2"/>
        <v>190440751.10856915</v>
      </c>
      <c r="O100" s="4"/>
    </row>
    <row r="101" spans="1:15" ht="15" x14ac:dyDescent="0.2">
      <c r="A101" s="17" t="s">
        <v>96</v>
      </c>
      <c r="B101" s="16">
        <v>32221697.790000003</v>
      </c>
      <c r="C101" s="16">
        <v>0</v>
      </c>
      <c r="D101" s="16">
        <v>787531.95110042079</v>
      </c>
      <c r="E101" s="16">
        <v>0</v>
      </c>
      <c r="F101" s="16">
        <v>100790.81</v>
      </c>
      <c r="G101" s="16">
        <v>59912.04</v>
      </c>
      <c r="H101" s="16">
        <v>1696680.06</v>
      </c>
      <c r="I101" s="16">
        <v>234275.7</v>
      </c>
      <c r="J101" s="16">
        <v>0</v>
      </c>
      <c r="K101" s="16">
        <v>0</v>
      </c>
      <c r="L101" s="16">
        <v>0</v>
      </c>
      <c r="M101" s="16">
        <v>40.72</v>
      </c>
      <c r="N101" s="18">
        <f t="shared" si="2"/>
        <v>35100929.071100421</v>
      </c>
      <c r="O101" s="4"/>
    </row>
    <row r="102" spans="1:15" ht="15" x14ac:dyDescent="0.2">
      <c r="A102" s="17" t="s">
        <v>97</v>
      </c>
      <c r="B102" s="16">
        <v>104980217.06999999</v>
      </c>
      <c r="C102" s="16">
        <v>0</v>
      </c>
      <c r="D102" s="16">
        <v>4249436.3564649895</v>
      </c>
      <c r="E102" s="16">
        <v>0</v>
      </c>
      <c r="F102" s="16">
        <v>1951602.83</v>
      </c>
      <c r="G102" s="16">
        <v>1054767.3</v>
      </c>
      <c r="H102" s="16">
        <v>5527885.0300000003</v>
      </c>
      <c r="I102" s="16">
        <v>4536257.6500000004</v>
      </c>
      <c r="J102" s="16">
        <v>0</v>
      </c>
      <c r="K102" s="16">
        <v>0</v>
      </c>
      <c r="L102" s="16">
        <v>0</v>
      </c>
      <c r="M102" s="16">
        <v>789</v>
      </c>
      <c r="N102" s="18">
        <f t="shared" si="2"/>
        <v>122300955.23646498</v>
      </c>
      <c r="O102" s="4"/>
    </row>
    <row r="103" spans="1:15" ht="15" x14ac:dyDescent="0.2">
      <c r="A103" s="17" t="s">
        <v>98</v>
      </c>
      <c r="B103" s="16">
        <v>36431555.93</v>
      </c>
      <c r="C103" s="16">
        <v>0</v>
      </c>
      <c r="D103" s="16">
        <v>979990.46075691876</v>
      </c>
      <c r="E103" s="16">
        <v>0</v>
      </c>
      <c r="F103" s="16">
        <v>48363.33</v>
      </c>
      <c r="G103" s="16">
        <v>36262.550000000003</v>
      </c>
      <c r="H103" s="16">
        <v>1918356.22</v>
      </c>
      <c r="I103" s="16">
        <v>112414.55</v>
      </c>
      <c r="J103" s="16">
        <v>0</v>
      </c>
      <c r="K103" s="16">
        <v>0</v>
      </c>
      <c r="L103" s="16">
        <v>0</v>
      </c>
      <c r="M103" s="16">
        <v>19.519999999999996</v>
      </c>
      <c r="N103" s="18">
        <f t="shared" si="2"/>
        <v>39526962.560756914</v>
      </c>
      <c r="O103" s="4"/>
    </row>
    <row r="104" spans="1:15" ht="15" x14ac:dyDescent="0.2">
      <c r="A104" s="17" t="s">
        <v>99</v>
      </c>
      <c r="B104" s="16">
        <v>505499130.84000003</v>
      </c>
      <c r="C104" s="16">
        <v>0</v>
      </c>
      <c r="D104" s="16">
        <v>5271205.1659563845</v>
      </c>
      <c r="E104" s="16">
        <v>0</v>
      </c>
      <c r="F104" s="16">
        <v>9911232.4900000002</v>
      </c>
      <c r="G104" s="16">
        <v>2100833.6735873902</v>
      </c>
      <c r="H104" s="16">
        <v>26617787.18</v>
      </c>
      <c r="I104" s="16">
        <v>23037425.109999999</v>
      </c>
      <c r="J104" s="16">
        <v>0</v>
      </c>
      <c r="K104" s="16">
        <v>0</v>
      </c>
      <c r="L104" s="16">
        <v>0</v>
      </c>
      <c r="M104" s="16">
        <v>4007.07</v>
      </c>
      <c r="N104" s="18">
        <f t="shared" ref="N104:N135" si="3">SUM(B104:M104)</f>
        <v>572441621.52954388</v>
      </c>
      <c r="O104" s="4"/>
    </row>
    <row r="105" spans="1:15" ht="15" x14ac:dyDescent="0.2">
      <c r="A105" s="17" t="s">
        <v>100</v>
      </c>
      <c r="B105" s="16">
        <v>87059200.450000003</v>
      </c>
      <c r="C105" s="16">
        <v>0</v>
      </c>
      <c r="D105" s="16">
        <v>1672347.9</v>
      </c>
      <c r="E105" s="16">
        <v>0</v>
      </c>
      <c r="F105" s="16">
        <v>427141.72</v>
      </c>
      <c r="G105" s="16">
        <v>260144.4</v>
      </c>
      <c r="H105" s="16">
        <v>4584228</v>
      </c>
      <c r="I105" s="16">
        <v>992837.73</v>
      </c>
      <c r="J105" s="16">
        <v>0</v>
      </c>
      <c r="K105" s="16">
        <v>0</v>
      </c>
      <c r="L105" s="16">
        <v>0</v>
      </c>
      <c r="M105" s="16">
        <v>172.67</v>
      </c>
      <c r="N105" s="18">
        <f t="shared" si="3"/>
        <v>94996072.87000002</v>
      </c>
      <c r="O105" s="4"/>
    </row>
    <row r="106" spans="1:15" ht="15" x14ac:dyDescent="0.2">
      <c r="A106" s="17" t="s">
        <v>101</v>
      </c>
      <c r="B106" s="16">
        <v>94002732.680000007</v>
      </c>
      <c r="C106" s="16">
        <v>0</v>
      </c>
      <c r="D106" s="16">
        <v>614561.23</v>
      </c>
      <c r="E106" s="16">
        <v>0</v>
      </c>
      <c r="F106" s="16">
        <v>3026569.41</v>
      </c>
      <c r="G106" s="16">
        <v>863841.2657994451</v>
      </c>
      <c r="H106" s="16">
        <v>4949849.7300000004</v>
      </c>
      <c r="I106" s="16">
        <v>7034883.54</v>
      </c>
      <c r="J106" s="16">
        <v>0</v>
      </c>
      <c r="K106" s="16">
        <v>0</v>
      </c>
      <c r="L106" s="16">
        <v>0</v>
      </c>
      <c r="M106" s="16">
        <v>1223.6100000000001</v>
      </c>
      <c r="N106" s="18">
        <f t="shared" si="3"/>
        <v>110493661.46579947</v>
      </c>
      <c r="O106" s="4"/>
    </row>
    <row r="107" spans="1:15" ht="15" x14ac:dyDescent="0.2">
      <c r="A107" s="17" t="s">
        <v>102</v>
      </c>
      <c r="B107" s="16">
        <v>131430296.90000001</v>
      </c>
      <c r="C107" s="16">
        <v>0</v>
      </c>
      <c r="D107" s="16">
        <v>1654358.2672752375</v>
      </c>
      <c r="E107" s="16">
        <v>0</v>
      </c>
      <c r="F107" s="16">
        <v>168255.63</v>
      </c>
      <c r="G107" s="16">
        <v>159239.91</v>
      </c>
      <c r="H107" s="16">
        <v>6920652.2000000002</v>
      </c>
      <c r="I107" s="16">
        <v>391089.27</v>
      </c>
      <c r="J107" s="16">
        <v>0</v>
      </c>
      <c r="K107" s="16">
        <v>0</v>
      </c>
      <c r="L107" s="16">
        <v>0</v>
      </c>
      <c r="M107" s="16">
        <v>68.010000000000005</v>
      </c>
      <c r="N107" s="18">
        <f t="shared" si="3"/>
        <v>140723960.18727523</v>
      </c>
      <c r="O107" s="4"/>
    </row>
    <row r="108" spans="1:15" ht="15" x14ac:dyDescent="0.2">
      <c r="A108" s="17" t="s">
        <v>103</v>
      </c>
      <c r="B108" s="16">
        <v>47328218.640000001</v>
      </c>
      <c r="C108" s="16">
        <v>0</v>
      </c>
      <c r="D108" s="16">
        <v>669546.6692895469</v>
      </c>
      <c r="E108" s="16">
        <v>0</v>
      </c>
      <c r="F108" s="16">
        <v>170694.12</v>
      </c>
      <c r="G108" s="16">
        <v>99327.86</v>
      </c>
      <c r="H108" s="16">
        <v>2492135.75</v>
      </c>
      <c r="I108" s="16">
        <v>396757.23</v>
      </c>
      <c r="J108" s="16">
        <v>0</v>
      </c>
      <c r="K108" s="16">
        <v>0</v>
      </c>
      <c r="L108" s="16">
        <v>0</v>
      </c>
      <c r="M108" s="16">
        <v>68.98</v>
      </c>
      <c r="N108" s="18">
        <f t="shared" si="3"/>
        <v>51156749.249289535</v>
      </c>
      <c r="O108" s="4"/>
    </row>
    <row r="109" spans="1:15" ht="15" x14ac:dyDescent="0.2">
      <c r="A109" s="17" t="s">
        <v>104</v>
      </c>
      <c r="B109" s="16">
        <v>502965133.79000002</v>
      </c>
      <c r="C109" s="16">
        <v>0</v>
      </c>
      <c r="D109" s="16">
        <v>7636020.3735083072</v>
      </c>
      <c r="E109" s="16">
        <v>0</v>
      </c>
      <c r="F109" s="16">
        <v>17427870.239999998</v>
      </c>
      <c r="G109" s="16">
        <v>9623888.1321815494</v>
      </c>
      <c r="H109" s="16">
        <v>26484355.899999999</v>
      </c>
      <c r="I109" s="16">
        <v>40508913.090000004</v>
      </c>
      <c r="J109" s="16">
        <v>0</v>
      </c>
      <c r="K109" s="16">
        <v>0</v>
      </c>
      <c r="L109" s="16">
        <v>0</v>
      </c>
      <c r="M109" s="16">
        <v>7046.04</v>
      </c>
      <c r="N109" s="18">
        <f t="shared" si="3"/>
        <v>604653227.56568992</v>
      </c>
      <c r="O109" s="4"/>
    </row>
    <row r="110" spans="1:15" ht="15" x14ac:dyDescent="0.2">
      <c r="A110" s="17" t="s">
        <v>105</v>
      </c>
      <c r="B110" s="16">
        <v>56266144.400000006</v>
      </c>
      <c r="C110" s="16">
        <v>0</v>
      </c>
      <c r="D110" s="16">
        <v>1582889.0083323692</v>
      </c>
      <c r="E110" s="16">
        <v>0</v>
      </c>
      <c r="F110" s="16">
        <v>666113.5</v>
      </c>
      <c r="G110" s="16">
        <v>332669.51</v>
      </c>
      <c r="H110" s="16">
        <v>2962775.14</v>
      </c>
      <c r="I110" s="16">
        <v>1548297.85</v>
      </c>
      <c r="J110" s="16">
        <v>0</v>
      </c>
      <c r="K110" s="16">
        <v>0</v>
      </c>
      <c r="L110" s="16">
        <v>0</v>
      </c>
      <c r="M110" s="16">
        <v>269.28000000000003</v>
      </c>
      <c r="N110" s="18">
        <f t="shared" si="3"/>
        <v>63359158.688332379</v>
      </c>
      <c r="O110" s="4"/>
    </row>
    <row r="111" spans="1:15" ht="15" x14ac:dyDescent="0.2">
      <c r="A111" s="17" t="s">
        <v>106</v>
      </c>
      <c r="B111" s="16">
        <v>68120781.640000001</v>
      </c>
      <c r="C111" s="16">
        <v>0</v>
      </c>
      <c r="D111" s="16">
        <v>1585659.2782057908</v>
      </c>
      <c r="E111" s="16">
        <v>0</v>
      </c>
      <c r="F111" s="16">
        <v>232062.72</v>
      </c>
      <c r="G111" s="16">
        <v>152933.38</v>
      </c>
      <c r="H111" s="16">
        <v>3586998.2</v>
      </c>
      <c r="I111" s="16">
        <v>539400.9</v>
      </c>
      <c r="J111" s="16">
        <v>0</v>
      </c>
      <c r="K111" s="16">
        <v>0</v>
      </c>
      <c r="L111" s="16">
        <v>0</v>
      </c>
      <c r="M111" s="16">
        <v>93.789999999999992</v>
      </c>
      <c r="N111" s="18">
        <f t="shared" si="3"/>
        <v>74217929.908205807</v>
      </c>
      <c r="O111" s="4"/>
    </row>
    <row r="112" spans="1:15" ht="15" x14ac:dyDescent="0.2">
      <c r="A112" s="17" t="s">
        <v>107</v>
      </c>
      <c r="B112" s="16">
        <v>95048660.170000002</v>
      </c>
      <c r="C112" s="16">
        <v>0</v>
      </c>
      <c r="D112" s="16">
        <v>1766794.0527747567</v>
      </c>
      <c r="E112" s="16">
        <v>0</v>
      </c>
      <c r="F112" s="16">
        <v>282051.71999999997</v>
      </c>
      <c r="G112" s="16">
        <v>173429.6</v>
      </c>
      <c r="H112" s="16">
        <v>5004924.55</v>
      </c>
      <c r="I112" s="16">
        <v>655594.09</v>
      </c>
      <c r="J112" s="16">
        <v>0</v>
      </c>
      <c r="K112" s="16">
        <v>0</v>
      </c>
      <c r="L112" s="16">
        <v>0</v>
      </c>
      <c r="M112" s="16">
        <v>114.01</v>
      </c>
      <c r="N112" s="18">
        <f t="shared" si="3"/>
        <v>102931568.19277476</v>
      </c>
      <c r="O112" s="4"/>
    </row>
    <row r="113" spans="1:15" ht="15" x14ac:dyDescent="0.2">
      <c r="A113" s="17" t="s">
        <v>108</v>
      </c>
      <c r="B113" s="16">
        <v>73110331.159999996</v>
      </c>
      <c r="C113" s="16">
        <v>0</v>
      </c>
      <c r="D113" s="16">
        <v>3040650.2832233282</v>
      </c>
      <c r="E113" s="16">
        <v>0</v>
      </c>
      <c r="F113" s="16">
        <v>397473.46</v>
      </c>
      <c r="G113" s="16">
        <v>236494.91</v>
      </c>
      <c r="H113" s="16">
        <v>3849730.14</v>
      </c>
      <c r="I113" s="16">
        <v>923877.55</v>
      </c>
      <c r="J113" s="16">
        <v>0</v>
      </c>
      <c r="K113" s="16">
        <v>0</v>
      </c>
      <c r="L113" s="16">
        <v>0</v>
      </c>
      <c r="M113" s="16">
        <v>160.66999999999999</v>
      </c>
      <c r="N113" s="18">
        <f t="shared" si="3"/>
        <v>81558718.173223317</v>
      </c>
      <c r="O113" s="4"/>
    </row>
    <row r="114" spans="1:15" ht="15" x14ac:dyDescent="0.2">
      <c r="A114" s="17" t="s">
        <v>109</v>
      </c>
      <c r="B114" s="16">
        <v>49752868.719999999</v>
      </c>
      <c r="C114" s="16">
        <v>0</v>
      </c>
      <c r="D114" s="16">
        <v>941159.38204605086</v>
      </c>
      <c r="E114" s="16">
        <v>0</v>
      </c>
      <c r="F114" s="16">
        <v>240597.43</v>
      </c>
      <c r="G114" s="16">
        <v>126130.62</v>
      </c>
      <c r="H114" s="16">
        <v>2619809.2000000002</v>
      </c>
      <c r="I114" s="16">
        <v>559238.76</v>
      </c>
      <c r="J114" s="16">
        <v>0</v>
      </c>
      <c r="K114" s="16">
        <v>0</v>
      </c>
      <c r="L114" s="16">
        <v>0</v>
      </c>
      <c r="M114" s="16">
        <v>97.25</v>
      </c>
      <c r="N114" s="18">
        <f t="shared" si="3"/>
        <v>54239901.362046048</v>
      </c>
      <c r="O114" s="4"/>
    </row>
    <row r="115" spans="1:15" ht="15" x14ac:dyDescent="0.2">
      <c r="A115" s="17" t="s">
        <v>110</v>
      </c>
      <c r="B115" s="16">
        <v>130902578.98</v>
      </c>
      <c r="C115" s="16">
        <v>0</v>
      </c>
      <c r="D115" s="16">
        <v>1313133.24242455</v>
      </c>
      <c r="E115" s="16">
        <v>0</v>
      </c>
      <c r="F115" s="16">
        <v>249132.14</v>
      </c>
      <c r="G115" s="16">
        <v>209692.15</v>
      </c>
      <c r="H115" s="16">
        <v>6892864.4500000002</v>
      </c>
      <c r="I115" s="16">
        <v>579076.62</v>
      </c>
      <c r="J115" s="16">
        <v>0</v>
      </c>
      <c r="K115" s="16">
        <v>0</v>
      </c>
      <c r="L115" s="16">
        <v>0</v>
      </c>
      <c r="M115" s="16">
        <v>100.71</v>
      </c>
      <c r="N115" s="18">
        <f t="shared" si="3"/>
        <v>140146578.29242456</v>
      </c>
      <c r="O115" s="4"/>
    </row>
    <row r="116" spans="1:15" ht="15" x14ac:dyDescent="0.2">
      <c r="A116" s="17" t="s">
        <v>111</v>
      </c>
      <c r="B116" s="16">
        <v>71569965.210000008</v>
      </c>
      <c r="C116" s="16">
        <v>0</v>
      </c>
      <c r="D116" s="16">
        <v>1636692.62421868</v>
      </c>
      <c r="E116" s="16">
        <v>0</v>
      </c>
      <c r="F116" s="16">
        <v>687653.47</v>
      </c>
      <c r="G116" s="16">
        <v>323209.71000000002</v>
      </c>
      <c r="H116" s="16">
        <v>3768619.94</v>
      </c>
      <c r="I116" s="16">
        <v>1598364.84</v>
      </c>
      <c r="J116" s="16">
        <v>0</v>
      </c>
      <c r="K116" s="16">
        <v>0</v>
      </c>
      <c r="L116" s="16">
        <v>0</v>
      </c>
      <c r="M116" s="16">
        <v>277.99</v>
      </c>
      <c r="N116" s="18">
        <f t="shared" si="3"/>
        <v>79584783.784218669</v>
      </c>
      <c r="O116" s="4"/>
    </row>
    <row r="117" spans="1:15" ht="15" x14ac:dyDescent="0.2">
      <c r="A117" s="17" t="s">
        <v>112</v>
      </c>
      <c r="B117" s="16">
        <v>38171598.939999998</v>
      </c>
      <c r="C117" s="16">
        <v>0</v>
      </c>
      <c r="D117" s="16">
        <v>558579.71861258196</v>
      </c>
      <c r="E117" s="16">
        <v>0</v>
      </c>
      <c r="F117" s="16">
        <v>144683.59</v>
      </c>
      <c r="G117" s="16">
        <v>86714.8</v>
      </c>
      <c r="H117" s="16">
        <v>2009980.7</v>
      </c>
      <c r="I117" s="16">
        <v>336298.98</v>
      </c>
      <c r="J117" s="16">
        <v>0</v>
      </c>
      <c r="K117" s="16">
        <v>0</v>
      </c>
      <c r="L117" s="16">
        <v>0</v>
      </c>
      <c r="M117" s="16">
        <v>58.46</v>
      </c>
      <c r="N117" s="18">
        <f t="shared" si="3"/>
        <v>41307915.18861258</v>
      </c>
      <c r="O117" s="4"/>
    </row>
    <row r="118" spans="1:15" ht="15" x14ac:dyDescent="0.2">
      <c r="A118" s="17" t="s">
        <v>113</v>
      </c>
      <c r="B118" s="16">
        <v>60112305.030000001</v>
      </c>
      <c r="C118" s="16">
        <v>0</v>
      </c>
      <c r="D118" s="16">
        <v>1674043.2093480723</v>
      </c>
      <c r="E118" s="16">
        <v>0</v>
      </c>
      <c r="F118" s="16">
        <v>682370.08</v>
      </c>
      <c r="G118" s="16">
        <v>329516.24</v>
      </c>
      <c r="H118" s="16">
        <v>3165300.29</v>
      </c>
      <c r="I118" s="16">
        <v>1586084.26</v>
      </c>
      <c r="J118" s="16">
        <v>0</v>
      </c>
      <c r="K118" s="16">
        <v>0</v>
      </c>
      <c r="L118" s="16">
        <v>0</v>
      </c>
      <c r="M118" s="16">
        <v>275.86</v>
      </c>
      <c r="N118" s="18">
        <f t="shared" si="3"/>
        <v>67549894.969348073</v>
      </c>
      <c r="O118" s="4"/>
    </row>
    <row r="119" spans="1:15" ht="15" x14ac:dyDescent="0.2">
      <c r="A119" s="17" t="s">
        <v>114</v>
      </c>
      <c r="B119" s="16">
        <v>88428414.619999975</v>
      </c>
      <c r="C119" s="16">
        <v>0</v>
      </c>
      <c r="D119" s="16">
        <v>1155248.0703502069</v>
      </c>
      <c r="E119" s="16">
        <v>0</v>
      </c>
      <c r="F119" s="16">
        <v>548253.27</v>
      </c>
      <c r="G119" s="16">
        <v>231765.01</v>
      </c>
      <c r="H119" s="16">
        <v>4656325.95</v>
      </c>
      <c r="I119" s="16">
        <v>1274346.43</v>
      </c>
      <c r="J119" s="16">
        <v>0</v>
      </c>
      <c r="K119" s="16">
        <v>0</v>
      </c>
      <c r="L119" s="16">
        <v>0</v>
      </c>
      <c r="M119" s="16">
        <v>221.64000000000001</v>
      </c>
      <c r="N119" s="18">
        <f t="shared" si="3"/>
        <v>96294574.990350187</v>
      </c>
      <c r="O119" s="4"/>
    </row>
    <row r="120" spans="1:15" ht="15" x14ac:dyDescent="0.2">
      <c r="A120" s="17" t="s">
        <v>115</v>
      </c>
      <c r="B120" s="16">
        <v>56955505.719999999</v>
      </c>
      <c r="C120" s="16">
        <v>0</v>
      </c>
      <c r="D120" s="16">
        <v>2487529.0232265051</v>
      </c>
      <c r="E120" s="16">
        <v>0</v>
      </c>
      <c r="F120" s="16">
        <v>369430.85</v>
      </c>
      <c r="G120" s="16">
        <v>233341.65</v>
      </c>
      <c r="H120" s="16">
        <v>2999074.46</v>
      </c>
      <c r="I120" s="16">
        <v>858696</v>
      </c>
      <c r="J120" s="16">
        <v>0</v>
      </c>
      <c r="K120" s="16">
        <v>0</v>
      </c>
      <c r="L120" s="16">
        <v>0</v>
      </c>
      <c r="M120" s="16">
        <v>149.33000000000001</v>
      </c>
      <c r="N120" s="18">
        <f t="shared" si="3"/>
        <v>63903727.033226505</v>
      </c>
      <c r="O120" s="4"/>
    </row>
    <row r="121" spans="1:15" ht="15" x14ac:dyDescent="0.2">
      <c r="A121" s="17" t="s">
        <v>116</v>
      </c>
      <c r="B121" s="16">
        <v>66756321.680000007</v>
      </c>
      <c r="C121" s="16">
        <v>0</v>
      </c>
      <c r="D121" s="16">
        <v>1224915.263691742</v>
      </c>
      <c r="E121" s="16">
        <v>0</v>
      </c>
      <c r="F121" s="16">
        <v>155250.37</v>
      </c>
      <c r="G121" s="16">
        <v>85138.17</v>
      </c>
      <c r="H121" s="16">
        <v>3515150.59</v>
      </c>
      <c r="I121" s="16">
        <v>360860.15</v>
      </c>
      <c r="J121" s="16">
        <v>0</v>
      </c>
      <c r="K121" s="16">
        <v>0</v>
      </c>
      <c r="L121" s="16">
        <v>0</v>
      </c>
      <c r="M121" s="16">
        <v>62.739999999999995</v>
      </c>
      <c r="N121" s="18">
        <f t="shared" si="3"/>
        <v>72097698.963691756</v>
      </c>
      <c r="O121" s="4"/>
    </row>
    <row r="122" spans="1:15" ht="15" x14ac:dyDescent="0.2">
      <c r="A122" s="17" t="s">
        <v>117</v>
      </c>
      <c r="B122" s="16">
        <v>200649302.46999997</v>
      </c>
      <c r="C122" s="16">
        <v>0</v>
      </c>
      <c r="D122" s="16">
        <v>3133452.0500000007</v>
      </c>
      <c r="E122" s="16">
        <v>0</v>
      </c>
      <c r="F122" s="16">
        <v>4673767.7300000004</v>
      </c>
      <c r="G122" s="16">
        <v>2222547.6186843291</v>
      </c>
      <c r="H122" s="16">
        <v>10565478.960000001</v>
      </c>
      <c r="I122" s="16">
        <v>10863590.800000001</v>
      </c>
      <c r="J122" s="16">
        <v>0</v>
      </c>
      <c r="K122" s="16">
        <v>0</v>
      </c>
      <c r="L122" s="16">
        <v>0</v>
      </c>
      <c r="M122" s="16">
        <v>1889.5700000000002</v>
      </c>
      <c r="N122" s="18">
        <f t="shared" si="3"/>
        <v>232110029.1986843</v>
      </c>
      <c r="O122" s="4"/>
    </row>
    <row r="123" spans="1:15" ht="15" x14ac:dyDescent="0.2">
      <c r="A123" s="17" t="s">
        <v>118</v>
      </c>
      <c r="B123" s="16">
        <v>503530885.48000002</v>
      </c>
      <c r="C123" s="16">
        <v>0</v>
      </c>
      <c r="D123" s="16">
        <v>7709403.5999999996</v>
      </c>
      <c r="E123" s="16">
        <v>0</v>
      </c>
      <c r="F123" s="16">
        <v>6496943.5599999996</v>
      </c>
      <c r="G123" s="16">
        <v>5547902.7528356621</v>
      </c>
      <c r="H123" s="16">
        <v>26514146.379999999</v>
      </c>
      <c r="I123" s="16">
        <v>15101335.869999999</v>
      </c>
      <c r="J123" s="16">
        <v>0</v>
      </c>
      <c r="K123" s="16">
        <v>0</v>
      </c>
      <c r="L123" s="16">
        <v>0</v>
      </c>
      <c r="M123" s="16">
        <v>2626.67</v>
      </c>
      <c r="N123" s="18">
        <f t="shared" si="3"/>
        <v>564903244.31283569</v>
      </c>
      <c r="O123" s="4"/>
    </row>
    <row r="124" spans="1:15" ht="15" x14ac:dyDescent="0.2">
      <c r="A124" s="17" t="s">
        <v>119</v>
      </c>
      <c r="B124" s="16">
        <v>384380727.99000001</v>
      </c>
      <c r="C124" s="16">
        <v>0</v>
      </c>
      <c r="D124" s="16">
        <v>3349311.97</v>
      </c>
      <c r="E124" s="16">
        <v>0</v>
      </c>
      <c r="F124" s="16">
        <v>8319712.9699999997</v>
      </c>
      <c r="G124" s="16">
        <v>0</v>
      </c>
      <c r="H124" s="16">
        <v>20240122.66</v>
      </c>
      <c r="I124" s="16">
        <v>19338136.280000001</v>
      </c>
      <c r="J124" s="16">
        <v>0</v>
      </c>
      <c r="K124" s="16">
        <v>0</v>
      </c>
      <c r="L124" s="16">
        <v>0</v>
      </c>
      <c r="M124" s="16">
        <v>3363.62</v>
      </c>
      <c r="N124" s="18">
        <f t="shared" si="3"/>
        <v>435631375.49000013</v>
      </c>
      <c r="O124" s="4"/>
    </row>
    <row r="125" spans="1:15" ht="15" x14ac:dyDescent="0.2">
      <c r="A125" s="17" t="s">
        <v>120</v>
      </c>
      <c r="B125" s="16">
        <v>134254301.12</v>
      </c>
      <c r="C125" s="16">
        <v>0</v>
      </c>
      <c r="D125" s="16">
        <v>11385302.430897063</v>
      </c>
      <c r="E125" s="16">
        <v>0</v>
      </c>
      <c r="F125" s="16">
        <v>3235060.09</v>
      </c>
      <c r="G125" s="16">
        <v>1470998.35</v>
      </c>
      <c r="H125" s="16">
        <v>7069354.2300000004</v>
      </c>
      <c r="I125" s="16">
        <v>7519494.1500000004</v>
      </c>
      <c r="J125" s="16">
        <v>0</v>
      </c>
      <c r="K125" s="16">
        <v>0</v>
      </c>
      <c r="L125" s="16">
        <v>0</v>
      </c>
      <c r="M125" s="16">
        <v>1307.9000000000001</v>
      </c>
      <c r="N125" s="18">
        <f t="shared" si="3"/>
        <v>164935818.27089706</v>
      </c>
      <c r="O125" s="4"/>
    </row>
    <row r="126" spans="1:15" ht="15" x14ac:dyDescent="0.2">
      <c r="A126" s="17" t="s">
        <v>121</v>
      </c>
      <c r="B126" s="16">
        <v>162035561.43000001</v>
      </c>
      <c r="C126" s="16">
        <v>0</v>
      </c>
      <c r="D126" s="16">
        <v>2297389.9684374388</v>
      </c>
      <c r="E126" s="16">
        <v>0</v>
      </c>
      <c r="F126" s="16">
        <v>1619562.12</v>
      </c>
      <c r="G126" s="16">
        <v>595967.18000000005</v>
      </c>
      <c r="H126" s="16">
        <v>8532216.6300000008</v>
      </c>
      <c r="I126" s="16">
        <v>3764470.38</v>
      </c>
      <c r="J126" s="16">
        <v>0</v>
      </c>
      <c r="K126" s="16">
        <v>0</v>
      </c>
      <c r="L126" s="16">
        <v>0</v>
      </c>
      <c r="M126" s="16">
        <v>654.76</v>
      </c>
      <c r="N126" s="18">
        <f t="shared" si="3"/>
        <v>178845822.46843743</v>
      </c>
      <c r="O126" s="4"/>
    </row>
    <row r="127" spans="1:15" ht="15" x14ac:dyDescent="0.2">
      <c r="A127" s="17" t="s">
        <v>122</v>
      </c>
      <c r="B127" s="16">
        <v>79231384.039999992</v>
      </c>
      <c r="C127" s="16">
        <v>0</v>
      </c>
      <c r="D127" s="16">
        <v>978845.111905984</v>
      </c>
      <c r="E127" s="16">
        <v>0</v>
      </c>
      <c r="F127" s="16">
        <v>1719133.69</v>
      </c>
      <c r="G127" s="16">
        <v>600697.06999999995</v>
      </c>
      <c r="H127" s="16">
        <v>4172043.02</v>
      </c>
      <c r="I127" s="16">
        <v>3995912.09</v>
      </c>
      <c r="J127" s="16">
        <v>0</v>
      </c>
      <c r="K127" s="16">
        <v>0</v>
      </c>
      <c r="L127" s="16">
        <v>0</v>
      </c>
      <c r="M127" s="16">
        <v>695.01</v>
      </c>
      <c r="N127" s="18">
        <f t="shared" si="3"/>
        <v>90698710.031905964</v>
      </c>
      <c r="O127" s="4"/>
    </row>
    <row r="128" spans="1:15" ht="15" x14ac:dyDescent="0.2">
      <c r="A128" s="17" t="s">
        <v>123</v>
      </c>
      <c r="B128" s="16">
        <v>44261749.429999992</v>
      </c>
      <c r="C128" s="16">
        <v>0</v>
      </c>
      <c r="D128" s="16">
        <v>817379.50625802588</v>
      </c>
      <c r="E128" s="16">
        <v>0</v>
      </c>
      <c r="F128" s="16">
        <v>157282.44</v>
      </c>
      <c r="G128" s="16">
        <v>102481.13</v>
      </c>
      <c r="H128" s="16">
        <v>2330666.38</v>
      </c>
      <c r="I128" s="16">
        <v>365583.45</v>
      </c>
      <c r="J128" s="16">
        <v>0</v>
      </c>
      <c r="K128" s="16">
        <v>0</v>
      </c>
      <c r="L128" s="16">
        <v>0</v>
      </c>
      <c r="M128" s="16">
        <v>63.56</v>
      </c>
      <c r="N128" s="18">
        <f t="shared" si="3"/>
        <v>48035205.896258026</v>
      </c>
      <c r="O128" s="4"/>
    </row>
    <row r="129" spans="1:15" ht="15" x14ac:dyDescent="0.2">
      <c r="A129" s="17" t="s">
        <v>124</v>
      </c>
      <c r="B129" s="16">
        <v>248555158.44</v>
      </c>
      <c r="C129" s="16">
        <v>0</v>
      </c>
      <c r="D129" s="16">
        <v>8206358.563311575</v>
      </c>
      <c r="E129" s="16">
        <v>0</v>
      </c>
      <c r="F129" s="16">
        <v>2000372.58</v>
      </c>
      <c r="G129" s="16">
        <v>1250269.76</v>
      </c>
      <c r="H129" s="16">
        <v>13088031.029999999</v>
      </c>
      <c r="I129" s="16">
        <v>4649616.8600000003</v>
      </c>
      <c r="J129" s="16">
        <v>0</v>
      </c>
      <c r="K129" s="16">
        <v>0</v>
      </c>
      <c r="L129" s="16">
        <v>0</v>
      </c>
      <c r="M129" s="16">
        <v>808.72</v>
      </c>
      <c r="N129" s="18">
        <f t="shared" si="3"/>
        <v>277750615.95331162</v>
      </c>
      <c r="O129" s="4"/>
    </row>
    <row r="130" spans="1:15" ht="15" x14ac:dyDescent="0.2">
      <c r="A130" s="17" t="s">
        <v>125</v>
      </c>
      <c r="B130" s="16">
        <v>74584138.079999998</v>
      </c>
      <c r="C130" s="16">
        <v>0</v>
      </c>
      <c r="D130" s="16">
        <v>1988229.484463817</v>
      </c>
      <c r="E130" s="16">
        <v>0</v>
      </c>
      <c r="F130" s="16">
        <v>247506.48</v>
      </c>
      <c r="G130" s="16">
        <v>93021.33</v>
      </c>
      <c r="H130" s="16">
        <v>3927335.57</v>
      </c>
      <c r="I130" s="16">
        <v>575297.98</v>
      </c>
      <c r="J130" s="16">
        <v>0</v>
      </c>
      <c r="K130" s="16">
        <v>0</v>
      </c>
      <c r="L130" s="16">
        <v>0</v>
      </c>
      <c r="M130" s="16">
        <v>100.03</v>
      </c>
      <c r="N130" s="18">
        <f t="shared" si="3"/>
        <v>81415628.95446381</v>
      </c>
      <c r="O130" s="4"/>
    </row>
    <row r="131" spans="1:15" ht="15" x14ac:dyDescent="0.2">
      <c r="A131" s="17" t="s">
        <v>126</v>
      </c>
      <c r="B131" s="16">
        <v>393860634.38999999</v>
      </c>
      <c r="C131" s="16">
        <v>0</v>
      </c>
      <c r="D131" s="16">
        <v>7439473.665</v>
      </c>
      <c r="E131" s="16">
        <v>0</v>
      </c>
      <c r="F131" s="16">
        <v>10928894.609999999</v>
      </c>
      <c r="G131" s="16">
        <v>1130180.1987927915</v>
      </c>
      <c r="H131" s="16">
        <v>20739300.829999998</v>
      </c>
      <c r="I131" s="16">
        <v>25402853.920000002</v>
      </c>
      <c r="J131" s="16">
        <v>0</v>
      </c>
      <c r="K131" s="16">
        <v>0</v>
      </c>
      <c r="L131" s="16">
        <v>0</v>
      </c>
      <c r="M131" s="16">
        <v>4418.5200000000004</v>
      </c>
      <c r="N131" s="18">
        <f t="shared" si="3"/>
        <v>459505756.13379282</v>
      </c>
      <c r="O131" s="4"/>
    </row>
    <row r="132" spans="1:15" ht="15" x14ac:dyDescent="0.2">
      <c r="A132" s="17" t="s">
        <v>127</v>
      </c>
      <c r="B132" s="16">
        <v>16711068.609999999</v>
      </c>
      <c r="C132" s="16">
        <v>0</v>
      </c>
      <c r="D132" s="16">
        <v>92017.333882040984</v>
      </c>
      <c r="E132" s="16">
        <v>0</v>
      </c>
      <c r="F132" s="16">
        <v>46737.67</v>
      </c>
      <c r="G132" s="16">
        <v>17342.96</v>
      </c>
      <c r="H132" s="16">
        <v>879945.47</v>
      </c>
      <c r="I132" s="16">
        <v>108635.91</v>
      </c>
      <c r="J132" s="16">
        <v>0</v>
      </c>
      <c r="K132" s="16">
        <v>0</v>
      </c>
      <c r="L132" s="16">
        <v>0</v>
      </c>
      <c r="M132" s="16">
        <v>18.87</v>
      </c>
      <c r="N132" s="18">
        <f t="shared" si="3"/>
        <v>17855766.823882043</v>
      </c>
      <c r="O132" s="4"/>
    </row>
    <row r="133" spans="1:15" ht="15" x14ac:dyDescent="0.2">
      <c r="A133" s="17" t="s">
        <v>128</v>
      </c>
      <c r="B133" s="16">
        <v>95288748.060000002</v>
      </c>
      <c r="C133" s="16">
        <v>0</v>
      </c>
      <c r="D133" s="16">
        <v>1073626.8042186799</v>
      </c>
      <c r="E133" s="16">
        <v>0</v>
      </c>
      <c r="F133" s="16">
        <v>169068.46</v>
      </c>
      <c r="G133" s="16">
        <v>127707.25</v>
      </c>
      <c r="H133" s="16">
        <v>5017566.7300000004</v>
      </c>
      <c r="I133" s="16">
        <v>392978.59</v>
      </c>
      <c r="J133" s="16">
        <v>0</v>
      </c>
      <c r="K133" s="16">
        <v>0</v>
      </c>
      <c r="L133" s="16">
        <v>0</v>
      </c>
      <c r="M133" s="16">
        <v>68.319999999999993</v>
      </c>
      <c r="N133" s="18">
        <f t="shared" si="3"/>
        <v>102069764.21421868</v>
      </c>
      <c r="O133" s="4"/>
    </row>
    <row r="134" spans="1:15" ht="15" x14ac:dyDescent="0.2">
      <c r="A134" s="17" t="s">
        <v>129</v>
      </c>
      <c r="B134" s="16">
        <v>183172805.03</v>
      </c>
      <c r="C134" s="16">
        <v>0</v>
      </c>
      <c r="D134" s="16">
        <v>3294426.0704902736</v>
      </c>
      <c r="E134" s="16">
        <v>0</v>
      </c>
      <c r="F134" s="16">
        <v>788850.71</v>
      </c>
      <c r="G134" s="16">
        <v>433574</v>
      </c>
      <c r="H134" s="16">
        <v>9645228.7400000002</v>
      </c>
      <c r="I134" s="16">
        <v>1833585.19</v>
      </c>
      <c r="J134" s="16">
        <v>0</v>
      </c>
      <c r="K134" s="16">
        <v>0</v>
      </c>
      <c r="L134" s="16">
        <v>0</v>
      </c>
      <c r="M134" s="16">
        <v>318.89999999999998</v>
      </c>
      <c r="N134" s="18">
        <f t="shared" si="3"/>
        <v>199168788.64049029</v>
      </c>
      <c r="O134" s="4"/>
    </row>
    <row r="135" spans="1:15" ht="15" x14ac:dyDescent="0.2">
      <c r="A135" s="17" t="s">
        <v>130</v>
      </c>
      <c r="B135" s="16">
        <v>152503358.65000001</v>
      </c>
      <c r="C135" s="16">
        <v>0</v>
      </c>
      <c r="D135" s="16">
        <v>4815189.6430131095</v>
      </c>
      <c r="E135" s="16">
        <v>0</v>
      </c>
      <c r="F135" s="16">
        <v>1187543.4099999999</v>
      </c>
      <c r="G135" s="16">
        <v>577047.57999999996</v>
      </c>
      <c r="H135" s="16">
        <v>8030284.7199999997</v>
      </c>
      <c r="I135" s="16">
        <v>2760296.72</v>
      </c>
      <c r="J135" s="16">
        <v>0</v>
      </c>
      <c r="K135" s="16">
        <v>0</v>
      </c>
      <c r="L135" s="16">
        <v>0</v>
      </c>
      <c r="M135" s="16">
        <v>480.09</v>
      </c>
      <c r="N135" s="18">
        <f t="shared" si="3"/>
        <v>169874200.81301314</v>
      </c>
      <c r="O135" s="4"/>
    </row>
    <row r="136" spans="1:15" ht="15" x14ac:dyDescent="0.2">
      <c r="A136" s="17" t="s">
        <v>131</v>
      </c>
      <c r="B136" s="16">
        <v>259285423.59999999</v>
      </c>
      <c r="C136" s="16">
        <v>0</v>
      </c>
      <c r="D136" s="16">
        <v>5022760.46</v>
      </c>
      <c r="E136" s="16">
        <v>0</v>
      </c>
      <c r="F136" s="16">
        <v>7065517.5599999996</v>
      </c>
      <c r="G136" s="16">
        <v>4114317.9199356232</v>
      </c>
      <c r="H136" s="16">
        <v>13653048.65</v>
      </c>
      <c r="I136" s="16">
        <v>16422915.300000001</v>
      </c>
      <c r="J136" s="16">
        <v>0</v>
      </c>
      <c r="K136" s="16">
        <v>0</v>
      </c>
      <c r="L136" s="16">
        <v>0</v>
      </c>
      <c r="M136" s="16">
        <v>2856.56</v>
      </c>
      <c r="N136" s="18">
        <f t="shared" ref="N136:N142" si="4">SUM(B136:M136)</f>
        <v>305566840.04993564</v>
      </c>
      <c r="O136" s="4"/>
    </row>
    <row r="137" spans="1:15" ht="15" x14ac:dyDescent="0.2">
      <c r="A137" s="17" t="s">
        <v>132</v>
      </c>
      <c r="B137" s="16">
        <v>42685726.830000006</v>
      </c>
      <c r="C137" s="16">
        <v>0</v>
      </c>
      <c r="D137" s="16">
        <v>582415.35232943995</v>
      </c>
      <c r="E137" s="16">
        <v>0</v>
      </c>
      <c r="F137" s="16">
        <v>84534.23</v>
      </c>
      <c r="G137" s="16">
        <v>88291.43</v>
      </c>
      <c r="H137" s="16">
        <v>2247678.63</v>
      </c>
      <c r="I137" s="16">
        <v>196489.29</v>
      </c>
      <c r="J137" s="16">
        <v>0</v>
      </c>
      <c r="K137" s="16">
        <v>0</v>
      </c>
      <c r="L137" s="16">
        <v>0</v>
      </c>
      <c r="M137" s="16">
        <v>34.150000000000006</v>
      </c>
      <c r="N137" s="18">
        <f t="shared" si="4"/>
        <v>45885169.912329443</v>
      </c>
      <c r="O137" s="4"/>
    </row>
    <row r="138" spans="1:15" ht="15" x14ac:dyDescent="0.2">
      <c r="A138" s="17" t="s">
        <v>133</v>
      </c>
      <c r="B138" s="16">
        <v>92317363.170000017</v>
      </c>
      <c r="C138" s="16">
        <v>0</v>
      </c>
      <c r="D138" s="16">
        <v>3070123.3558862321</v>
      </c>
      <c r="E138" s="16">
        <v>0</v>
      </c>
      <c r="F138" s="16">
        <v>736016.81</v>
      </c>
      <c r="G138" s="16">
        <v>361048.9</v>
      </c>
      <c r="H138" s="16">
        <v>4861104.16</v>
      </c>
      <c r="I138" s="16">
        <v>1710779.39</v>
      </c>
      <c r="J138" s="16">
        <v>0</v>
      </c>
      <c r="K138" s="16">
        <v>0</v>
      </c>
      <c r="L138" s="16">
        <v>0</v>
      </c>
      <c r="M138" s="16">
        <v>297.55</v>
      </c>
      <c r="N138" s="18">
        <f t="shared" si="4"/>
        <v>103056733.33588625</v>
      </c>
      <c r="O138" s="4"/>
    </row>
    <row r="139" spans="1:15" ht="15" x14ac:dyDescent="0.2">
      <c r="A139" s="17" t="s">
        <v>134</v>
      </c>
      <c r="B139" s="16">
        <v>406882431.59000003</v>
      </c>
      <c r="C139" s="16">
        <v>0</v>
      </c>
      <c r="D139" s="16">
        <v>5056898.540000001</v>
      </c>
      <c r="E139" s="16">
        <v>0</v>
      </c>
      <c r="F139" s="16">
        <v>3785345.44</v>
      </c>
      <c r="G139" s="16">
        <v>3723680.6037900131</v>
      </c>
      <c r="H139" s="16">
        <v>21424982.34</v>
      </c>
      <c r="I139" s="16">
        <v>8798563.8499999996</v>
      </c>
      <c r="J139" s="16">
        <v>0</v>
      </c>
      <c r="K139" s="16">
        <v>0</v>
      </c>
      <c r="L139" s="16">
        <v>0</v>
      </c>
      <c r="M139" s="16">
        <v>1530.39</v>
      </c>
      <c r="N139" s="18">
        <f t="shared" si="4"/>
        <v>449673432.75379002</v>
      </c>
      <c r="O139" s="4"/>
    </row>
    <row r="140" spans="1:15" ht="15" x14ac:dyDescent="0.2">
      <c r="A140" s="17" t="s">
        <v>135</v>
      </c>
      <c r="B140" s="16">
        <v>114624143.91999999</v>
      </c>
      <c r="C140" s="16">
        <v>0</v>
      </c>
      <c r="D140" s="16">
        <v>1617968.3399999999</v>
      </c>
      <c r="E140" s="16">
        <v>0</v>
      </c>
      <c r="F140" s="16">
        <v>624252.80000000005</v>
      </c>
      <c r="G140" s="16">
        <v>320056.45</v>
      </c>
      <c r="H140" s="16">
        <v>6035699.9299999997</v>
      </c>
      <c r="I140" s="16">
        <v>1450997.87</v>
      </c>
      <c r="J140" s="16">
        <v>0</v>
      </c>
      <c r="K140" s="16">
        <v>0</v>
      </c>
      <c r="L140" s="16">
        <v>0</v>
      </c>
      <c r="M140" s="16">
        <v>252.37</v>
      </c>
      <c r="N140" s="18">
        <f t="shared" si="4"/>
        <v>124673371.68000001</v>
      </c>
      <c r="O140" s="4"/>
    </row>
    <row r="141" spans="1:15" ht="15" x14ac:dyDescent="0.2">
      <c r="A141" s="17" t="s">
        <v>136</v>
      </c>
      <c r="B141" s="16">
        <v>139018025.42999998</v>
      </c>
      <c r="C141" s="16">
        <v>0</v>
      </c>
      <c r="D141" s="16">
        <v>1370501.4984441437</v>
      </c>
      <c r="E141" s="16">
        <v>0</v>
      </c>
      <c r="F141" s="16">
        <v>900208.3</v>
      </c>
      <c r="G141" s="16">
        <v>312173.28000000003</v>
      </c>
      <c r="H141" s="16">
        <v>7320195.0099999998</v>
      </c>
      <c r="I141" s="16">
        <v>2092422.05</v>
      </c>
      <c r="J141" s="16">
        <v>0</v>
      </c>
      <c r="K141" s="16">
        <v>0</v>
      </c>
      <c r="L141" s="16">
        <v>0</v>
      </c>
      <c r="M141" s="16">
        <v>363.92999999999995</v>
      </c>
      <c r="N141" s="18">
        <f t="shared" si="4"/>
        <v>151013889.49844414</v>
      </c>
      <c r="O141" s="4"/>
    </row>
    <row r="142" spans="1:15" ht="15" x14ac:dyDescent="0.2">
      <c r="A142" s="17" t="s">
        <v>137</v>
      </c>
      <c r="B142" s="16">
        <v>131523004.10999998</v>
      </c>
      <c r="C142" s="16">
        <v>0</v>
      </c>
      <c r="D142" s="16">
        <v>2389944.8910021349</v>
      </c>
      <c r="E142" s="16">
        <v>0</v>
      </c>
      <c r="F142" s="16">
        <v>3870286.09</v>
      </c>
      <c r="G142" s="16">
        <v>1152518.53</v>
      </c>
      <c r="H142" s="16">
        <v>6925533.8399999999</v>
      </c>
      <c r="I142" s="16">
        <v>8995997.8399999999</v>
      </c>
      <c r="J142" s="16">
        <v>0</v>
      </c>
      <c r="K142" s="16">
        <v>0</v>
      </c>
      <c r="L142" s="16">
        <v>0</v>
      </c>
      <c r="M142" s="16">
        <v>1564.73</v>
      </c>
      <c r="N142" s="18">
        <f t="shared" si="4"/>
        <v>154858850.0310021</v>
      </c>
      <c r="O142" s="4"/>
    </row>
    <row r="143" spans="1:15" ht="24.75" customHeight="1" x14ac:dyDescent="0.2">
      <c r="A143" s="24" t="s">
        <v>138</v>
      </c>
      <c r="B143" s="25">
        <f>SUM(B8:B142)</f>
        <v>23771079207.300007</v>
      </c>
      <c r="C143" s="25">
        <f>SUM(C8:C142)</f>
        <v>0</v>
      </c>
      <c r="D143" s="25">
        <f t="shared" ref="D143:I143" si="5">SUM(D8:D142)</f>
        <v>374739522.37000448</v>
      </c>
      <c r="E143" s="25">
        <f t="shared" si="5"/>
        <v>0</v>
      </c>
      <c r="F143" s="25">
        <f>SUM(F8:F142)</f>
        <v>406414585.36000001</v>
      </c>
      <c r="G143" s="25">
        <f t="shared" si="5"/>
        <v>157663274.19000003</v>
      </c>
      <c r="H143" s="25">
        <f t="shared" si="5"/>
        <v>1251700525.230001</v>
      </c>
      <c r="I143" s="25">
        <f t="shared" si="5"/>
        <v>944660069.16999984</v>
      </c>
      <c r="J143" s="25">
        <f t="shared" ref="J143:N143" si="6">SUM(J8:J142)</f>
        <v>0</v>
      </c>
      <c r="K143" s="25">
        <f t="shared" si="6"/>
        <v>0</v>
      </c>
      <c r="L143" s="25">
        <f t="shared" si="6"/>
        <v>0</v>
      </c>
      <c r="M143" s="25">
        <f t="shared" si="6"/>
        <v>164309.17999999996</v>
      </c>
      <c r="N143" s="25">
        <f t="shared" si="6"/>
        <v>26906421492.800022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171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170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93829623.020000011</v>
      </c>
      <c r="C8" s="16">
        <v>0</v>
      </c>
      <c r="D8" s="16">
        <v>4247691.6877633855</v>
      </c>
      <c r="E8" s="16">
        <v>0</v>
      </c>
      <c r="F8" s="16">
        <v>511601.91</v>
      </c>
      <c r="G8" s="16">
        <v>232987.18</v>
      </c>
      <c r="H8" s="16">
        <v>4844898.5</v>
      </c>
      <c r="I8" s="16">
        <v>709079.98</v>
      </c>
      <c r="J8" s="16">
        <v>13873640.159999998</v>
      </c>
      <c r="K8" s="16">
        <v>0</v>
      </c>
      <c r="L8" s="16">
        <v>0</v>
      </c>
      <c r="M8" s="16">
        <v>603.44000000000005</v>
      </c>
      <c r="N8" s="18">
        <f t="shared" ref="N8:N39" si="0">SUM(B8:M8)</f>
        <v>118250125.87776341</v>
      </c>
      <c r="O8" s="4"/>
    </row>
    <row r="9" spans="1:15" ht="18" customHeight="1" x14ac:dyDescent="0.2">
      <c r="A9" s="17" t="s">
        <v>4</v>
      </c>
      <c r="B9" s="16">
        <v>52962335.25</v>
      </c>
      <c r="C9" s="16">
        <v>0</v>
      </c>
      <c r="D9" s="16">
        <v>2852593.4668245427</v>
      </c>
      <c r="E9" s="16">
        <v>0</v>
      </c>
      <c r="F9" s="16">
        <v>358439.1</v>
      </c>
      <c r="G9" s="16">
        <v>164587.26999999999</v>
      </c>
      <c r="H9" s="16">
        <v>2734713.52</v>
      </c>
      <c r="I9" s="16">
        <v>496796.41</v>
      </c>
      <c r="J9" s="16">
        <v>10549411.09</v>
      </c>
      <c r="K9" s="16">
        <v>0</v>
      </c>
      <c r="L9" s="16">
        <v>0</v>
      </c>
      <c r="M9" s="16">
        <v>422.77</v>
      </c>
      <c r="N9" s="18">
        <f t="shared" si="0"/>
        <v>70119298.876824543</v>
      </c>
      <c r="O9" s="4"/>
    </row>
    <row r="10" spans="1:15" ht="18" customHeight="1" x14ac:dyDescent="0.2">
      <c r="A10" s="17" t="s">
        <v>5</v>
      </c>
      <c r="B10" s="16">
        <v>44939045.049999997</v>
      </c>
      <c r="C10" s="16">
        <v>0</v>
      </c>
      <c r="D10" s="16">
        <v>3071056.8367459225</v>
      </c>
      <c r="E10" s="16">
        <v>0</v>
      </c>
      <c r="F10" s="16">
        <v>250398.95</v>
      </c>
      <c r="G10" s="16">
        <v>145349.79999999999</v>
      </c>
      <c r="H10" s="16">
        <v>2320430.4300000002</v>
      </c>
      <c r="I10" s="16">
        <v>347052.81</v>
      </c>
      <c r="J10" s="16">
        <v>6127040.4099999992</v>
      </c>
      <c r="K10" s="16">
        <v>0</v>
      </c>
      <c r="L10" s="16">
        <v>0</v>
      </c>
      <c r="M10" s="16">
        <v>295.34000000000003</v>
      </c>
      <c r="N10" s="18">
        <f t="shared" si="0"/>
        <v>57200669.626745924</v>
      </c>
      <c r="O10" s="4"/>
    </row>
    <row r="11" spans="1:15" ht="18" customHeight="1" x14ac:dyDescent="0.2">
      <c r="A11" s="17" t="s">
        <v>6</v>
      </c>
      <c r="B11" s="16">
        <v>482486240.06999993</v>
      </c>
      <c r="C11" s="16">
        <v>0</v>
      </c>
      <c r="D11" s="16">
        <v>3433663.882503577</v>
      </c>
      <c r="E11" s="16">
        <v>0</v>
      </c>
      <c r="F11" s="16">
        <v>26876577.760000002</v>
      </c>
      <c r="G11" s="16">
        <v>13122307.7455495</v>
      </c>
      <c r="H11" s="16">
        <v>24913207.399999999</v>
      </c>
      <c r="I11" s="16">
        <v>37250922</v>
      </c>
      <c r="J11" s="16">
        <v>118207895.27999999</v>
      </c>
      <c r="K11" s="16">
        <v>0</v>
      </c>
      <c r="L11" s="16">
        <v>0</v>
      </c>
      <c r="M11" s="16">
        <v>31702.2</v>
      </c>
      <c r="N11" s="18">
        <f t="shared" si="0"/>
        <v>706322516.33805299</v>
      </c>
      <c r="O11" s="4"/>
    </row>
    <row r="12" spans="1:15" ht="18" customHeight="1" x14ac:dyDescent="0.2">
      <c r="A12" s="17" t="s">
        <v>7</v>
      </c>
      <c r="B12" s="16">
        <v>65939786.069999993</v>
      </c>
      <c r="C12" s="16">
        <v>0</v>
      </c>
      <c r="D12" s="16">
        <v>1693245.0974954697</v>
      </c>
      <c r="E12" s="16">
        <v>0</v>
      </c>
      <c r="F12" s="16">
        <v>918976.86</v>
      </c>
      <c r="G12" s="16">
        <v>397574.45</v>
      </c>
      <c r="H12" s="16">
        <v>3404805.01</v>
      </c>
      <c r="I12" s="16">
        <v>1273701.42</v>
      </c>
      <c r="J12" s="16">
        <v>12122837.679999996</v>
      </c>
      <c r="K12" s="16">
        <v>0</v>
      </c>
      <c r="L12" s="16">
        <v>0</v>
      </c>
      <c r="M12" s="16">
        <v>1083.94</v>
      </c>
      <c r="N12" s="18">
        <f t="shared" si="0"/>
        <v>85752010.527495459</v>
      </c>
      <c r="O12" s="4"/>
    </row>
    <row r="13" spans="1:15" ht="18" customHeight="1" x14ac:dyDescent="0.2">
      <c r="A13" s="17" t="s">
        <v>8</v>
      </c>
      <c r="B13" s="16">
        <v>284018122.48000002</v>
      </c>
      <c r="C13" s="16">
        <v>0</v>
      </c>
      <c r="D13" s="16">
        <v>3532750.3328691879</v>
      </c>
      <c r="E13" s="16">
        <v>0</v>
      </c>
      <c r="F13" s="16">
        <v>13069681.289999999</v>
      </c>
      <c r="G13" s="16">
        <v>0</v>
      </c>
      <c r="H13" s="16">
        <v>14665293.65</v>
      </c>
      <c r="I13" s="16">
        <v>18114571.079999998</v>
      </c>
      <c r="J13" s="16">
        <v>89435249.569999978</v>
      </c>
      <c r="K13" s="16">
        <v>0</v>
      </c>
      <c r="L13" s="16">
        <v>0</v>
      </c>
      <c r="M13" s="16">
        <v>15416.3</v>
      </c>
      <c r="N13" s="18">
        <f t="shared" si="0"/>
        <v>422851084.70286918</v>
      </c>
      <c r="O13" s="4"/>
    </row>
    <row r="14" spans="1:15" ht="18" customHeight="1" x14ac:dyDescent="0.2">
      <c r="A14" s="17" t="s">
        <v>9</v>
      </c>
      <c r="B14" s="16">
        <v>101102076.63999999</v>
      </c>
      <c r="C14" s="16">
        <v>0</v>
      </c>
      <c r="D14" s="16">
        <v>4877822.0074447151</v>
      </c>
      <c r="E14" s="16">
        <v>0</v>
      </c>
      <c r="F14" s="16">
        <v>594856.39</v>
      </c>
      <c r="G14" s="16">
        <v>277874.62</v>
      </c>
      <c r="H14" s="16">
        <v>5220412.0999999996</v>
      </c>
      <c r="I14" s="16">
        <v>824470.63</v>
      </c>
      <c r="J14" s="16">
        <v>18419792.07</v>
      </c>
      <c r="K14" s="16">
        <v>0</v>
      </c>
      <c r="L14" s="16">
        <v>0</v>
      </c>
      <c r="M14" s="16">
        <v>701.6400000000001</v>
      </c>
      <c r="N14" s="18">
        <f t="shared" si="0"/>
        <v>131318006.0974447</v>
      </c>
      <c r="O14" s="4"/>
    </row>
    <row r="15" spans="1:15" ht="18" customHeight="1" x14ac:dyDescent="0.2">
      <c r="A15" s="17" t="s">
        <v>10</v>
      </c>
      <c r="B15" s="16">
        <v>164592003.16000003</v>
      </c>
      <c r="C15" s="16">
        <v>0</v>
      </c>
      <c r="D15" s="16">
        <v>7275030.6887367666</v>
      </c>
      <c r="E15" s="16">
        <v>0</v>
      </c>
      <c r="F15" s="16">
        <v>2216094.27</v>
      </c>
      <c r="G15" s="16">
        <v>893473.77</v>
      </c>
      <c r="H15" s="16">
        <v>8498718.4600000009</v>
      </c>
      <c r="I15" s="16">
        <v>3071505.44</v>
      </c>
      <c r="J15" s="16">
        <v>29809862.34</v>
      </c>
      <c r="K15" s="16">
        <v>0</v>
      </c>
      <c r="L15" s="16">
        <v>0</v>
      </c>
      <c r="M15" s="16">
        <v>2613.96</v>
      </c>
      <c r="N15" s="18">
        <f t="shared" si="0"/>
        <v>216359302.08873683</v>
      </c>
      <c r="O15" s="4"/>
    </row>
    <row r="16" spans="1:15" ht="18" customHeight="1" x14ac:dyDescent="0.2">
      <c r="A16" s="17" t="s">
        <v>11</v>
      </c>
      <c r="B16" s="16">
        <v>305760626.53000003</v>
      </c>
      <c r="C16" s="16">
        <v>0</v>
      </c>
      <c r="D16" s="16">
        <v>7820440.5831399653</v>
      </c>
      <c r="E16" s="16">
        <v>0</v>
      </c>
      <c r="F16" s="16">
        <v>8265071.9699999997</v>
      </c>
      <c r="G16" s="16">
        <v>4125369.33</v>
      </c>
      <c r="H16" s="16">
        <v>15787969.210000001</v>
      </c>
      <c r="I16" s="16">
        <v>11455385.210000001</v>
      </c>
      <c r="J16" s="16">
        <v>73658626.120000005</v>
      </c>
      <c r="K16" s="16">
        <v>0</v>
      </c>
      <c r="L16" s="16">
        <v>0</v>
      </c>
      <c r="M16" s="16">
        <v>9749.02</v>
      </c>
      <c r="N16" s="18">
        <f t="shared" si="0"/>
        <v>426883237.97313994</v>
      </c>
      <c r="O16" s="4"/>
    </row>
    <row r="17" spans="1:15" ht="15" x14ac:dyDescent="0.2">
      <c r="A17" s="17" t="s">
        <v>12</v>
      </c>
      <c r="B17" s="16">
        <v>111275799.2</v>
      </c>
      <c r="C17" s="16">
        <v>0</v>
      </c>
      <c r="D17" s="16">
        <v>5036072.2036485076</v>
      </c>
      <c r="E17" s="16">
        <v>0</v>
      </c>
      <c r="F17" s="16">
        <v>1697501.51</v>
      </c>
      <c r="G17" s="16">
        <v>598499.18000000005</v>
      </c>
      <c r="H17" s="16">
        <v>5745732.9100000001</v>
      </c>
      <c r="I17" s="16">
        <v>2352736.17</v>
      </c>
      <c r="J17" s="16">
        <v>20175071.710000005</v>
      </c>
      <c r="K17" s="16">
        <v>0</v>
      </c>
      <c r="L17" s="16">
        <v>0</v>
      </c>
      <c r="M17" s="16">
        <v>2002.25</v>
      </c>
      <c r="N17" s="18">
        <f t="shared" si="0"/>
        <v>146883415.13364851</v>
      </c>
      <c r="O17" s="4"/>
    </row>
    <row r="18" spans="1:15" ht="15" x14ac:dyDescent="0.2">
      <c r="A18" s="17" t="s">
        <v>13</v>
      </c>
      <c r="B18" s="16">
        <v>64592363.260000005</v>
      </c>
      <c r="C18" s="16">
        <v>0</v>
      </c>
      <c r="D18" s="16">
        <v>1812163.2217530764</v>
      </c>
      <c r="E18" s="16">
        <v>0</v>
      </c>
      <c r="F18" s="16">
        <v>1143954.5900000001</v>
      </c>
      <c r="G18" s="16">
        <v>448874.38</v>
      </c>
      <c r="H18" s="16">
        <v>3335230.75</v>
      </c>
      <c r="I18" s="16">
        <v>1585520.44</v>
      </c>
      <c r="J18" s="16">
        <v>16102097.82</v>
      </c>
      <c r="K18" s="16">
        <v>0</v>
      </c>
      <c r="L18" s="16">
        <v>0</v>
      </c>
      <c r="M18" s="16">
        <v>1349.3200000000002</v>
      </c>
      <c r="N18" s="18">
        <f t="shared" si="0"/>
        <v>89021553.781753063</v>
      </c>
      <c r="O18" s="4"/>
    </row>
    <row r="19" spans="1:15" ht="15" x14ac:dyDescent="0.2">
      <c r="A19" s="17" t="s">
        <v>14</v>
      </c>
      <c r="B19" s="16">
        <v>112884086.63999999</v>
      </c>
      <c r="C19" s="16">
        <v>0</v>
      </c>
      <c r="D19" s="16">
        <v>4066645.1780820554</v>
      </c>
      <c r="E19" s="16">
        <v>0</v>
      </c>
      <c r="F19" s="16">
        <v>462030.55</v>
      </c>
      <c r="G19" s="16">
        <v>277874.62</v>
      </c>
      <c r="H19" s="16">
        <v>5828776.9299999997</v>
      </c>
      <c r="I19" s="16">
        <v>640374.09</v>
      </c>
      <c r="J19" s="16">
        <v>14152850.250000004</v>
      </c>
      <c r="K19" s="16">
        <v>0</v>
      </c>
      <c r="L19" s="16">
        <v>0</v>
      </c>
      <c r="M19" s="16">
        <v>544.96</v>
      </c>
      <c r="N19" s="18">
        <f t="shared" si="0"/>
        <v>138313183.21808204</v>
      </c>
      <c r="O19" s="4"/>
    </row>
    <row r="20" spans="1:15" ht="15" x14ac:dyDescent="0.2">
      <c r="A20" s="17" t="s">
        <v>15</v>
      </c>
      <c r="B20" s="16">
        <v>381676785.45999998</v>
      </c>
      <c r="C20" s="16">
        <v>0</v>
      </c>
      <c r="D20" s="16">
        <v>2664913.7435550005</v>
      </c>
      <c r="E20" s="16">
        <v>0</v>
      </c>
      <c r="F20" s="16">
        <v>14746845.83</v>
      </c>
      <c r="G20" s="16">
        <v>7132823.892471984</v>
      </c>
      <c r="H20" s="16">
        <v>19707904.859999999</v>
      </c>
      <c r="I20" s="16">
        <v>20439120.219999999</v>
      </c>
      <c r="J20" s="16">
        <v>80246378.709999993</v>
      </c>
      <c r="K20" s="16">
        <v>0</v>
      </c>
      <c r="L20" s="16">
        <v>0</v>
      </c>
      <c r="M20" s="16">
        <v>17394.599999999999</v>
      </c>
      <c r="N20" s="18">
        <f t="shared" si="0"/>
        <v>526632167.31602699</v>
      </c>
      <c r="O20" s="4"/>
    </row>
    <row r="21" spans="1:15" ht="15" x14ac:dyDescent="0.2">
      <c r="A21" s="17" t="s">
        <v>16</v>
      </c>
      <c r="B21" s="16">
        <v>165274788.15000001</v>
      </c>
      <c r="C21" s="16">
        <v>0</v>
      </c>
      <c r="D21" s="16">
        <v>2185789.8769212854</v>
      </c>
      <c r="E21" s="16">
        <v>0</v>
      </c>
      <c r="F21" s="16">
        <v>3921222.15</v>
      </c>
      <c r="G21" s="16">
        <v>842534.85498183838</v>
      </c>
      <c r="H21" s="16">
        <v>8533974.0999999996</v>
      </c>
      <c r="I21" s="16">
        <v>5434811.75</v>
      </c>
      <c r="J21" s="16">
        <v>26058675.760000005</v>
      </c>
      <c r="K21" s="16">
        <v>0</v>
      </c>
      <c r="L21" s="16">
        <v>0</v>
      </c>
      <c r="M21" s="16">
        <v>4625.2299999999996</v>
      </c>
      <c r="N21" s="18">
        <f t="shared" si="0"/>
        <v>212256421.87190315</v>
      </c>
      <c r="O21" s="4"/>
    </row>
    <row r="22" spans="1:15" ht="15" x14ac:dyDescent="0.2">
      <c r="A22" s="17" t="s">
        <v>17</v>
      </c>
      <c r="B22" s="16">
        <v>123087298.28999999</v>
      </c>
      <c r="C22" s="16">
        <v>0</v>
      </c>
      <c r="D22" s="16">
        <v>3643302.6508726226</v>
      </c>
      <c r="E22" s="16">
        <v>0</v>
      </c>
      <c r="F22" s="16">
        <v>933594.05</v>
      </c>
      <c r="G22" s="16">
        <v>468111.86</v>
      </c>
      <c r="H22" s="16">
        <v>6355620.4000000004</v>
      </c>
      <c r="I22" s="16">
        <v>1293960.8500000001</v>
      </c>
      <c r="J22" s="16">
        <v>20100671.309999999</v>
      </c>
      <c r="K22" s="16">
        <v>0</v>
      </c>
      <c r="L22" s="16">
        <v>0</v>
      </c>
      <c r="M22" s="16">
        <v>1101.18</v>
      </c>
      <c r="N22" s="18">
        <f t="shared" si="0"/>
        <v>155883660.59087262</v>
      </c>
      <c r="O22" s="4"/>
    </row>
    <row r="23" spans="1:15" ht="15" x14ac:dyDescent="0.2">
      <c r="A23" s="17" t="s">
        <v>18</v>
      </c>
      <c r="B23" s="16">
        <v>126167769.88</v>
      </c>
      <c r="C23" s="16">
        <v>0</v>
      </c>
      <c r="D23" s="16">
        <v>2643802.7043831684</v>
      </c>
      <c r="E23" s="16">
        <v>0</v>
      </c>
      <c r="F23" s="16">
        <v>894826.7</v>
      </c>
      <c r="G23" s="16">
        <v>566436.72</v>
      </c>
      <c r="H23" s="16">
        <v>6514680.75</v>
      </c>
      <c r="I23" s="16">
        <v>1240229.33</v>
      </c>
      <c r="J23" s="16">
        <v>16239661.820000004</v>
      </c>
      <c r="K23" s="16">
        <v>0</v>
      </c>
      <c r="L23" s="16">
        <v>0</v>
      </c>
      <c r="M23" s="16">
        <v>1055.47</v>
      </c>
      <c r="N23" s="18">
        <f t="shared" si="0"/>
        <v>154268463.37438315</v>
      </c>
      <c r="O23" s="4"/>
    </row>
    <row r="24" spans="1:15" ht="15" x14ac:dyDescent="0.2">
      <c r="A24" s="17" t="s">
        <v>19</v>
      </c>
      <c r="B24" s="16">
        <v>38764491.479999997</v>
      </c>
      <c r="C24" s="16">
        <v>0</v>
      </c>
      <c r="D24" s="16">
        <v>1565486.0889762389</v>
      </c>
      <c r="E24" s="16">
        <v>0</v>
      </c>
      <c r="F24" s="16">
        <v>930416.4</v>
      </c>
      <c r="G24" s="16">
        <v>151523.46644954316</v>
      </c>
      <c r="H24" s="16">
        <v>2001606.96</v>
      </c>
      <c r="I24" s="16">
        <v>1289556.6299999999</v>
      </c>
      <c r="J24" s="16">
        <v>13884569.739999998</v>
      </c>
      <c r="K24" s="16">
        <v>0</v>
      </c>
      <c r="L24" s="16">
        <v>0</v>
      </c>
      <c r="M24" s="16">
        <v>1097.45</v>
      </c>
      <c r="N24" s="18">
        <f t="shared" si="0"/>
        <v>58588748.215425789</v>
      </c>
      <c r="O24" s="4"/>
    </row>
    <row r="25" spans="1:15" ht="15" x14ac:dyDescent="0.2">
      <c r="A25" s="17" t="s">
        <v>20</v>
      </c>
      <c r="B25" s="16">
        <v>180386792.51999998</v>
      </c>
      <c r="C25" s="16">
        <v>0</v>
      </c>
      <c r="D25" s="16">
        <v>1782559.1595849628</v>
      </c>
      <c r="E25" s="16">
        <v>0</v>
      </c>
      <c r="F25" s="16">
        <v>4126498.45</v>
      </c>
      <c r="G25" s="16">
        <v>1293185.72</v>
      </c>
      <c r="H25" s="16">
        <v>9314283.4000000004</v>
      </c>
      <c r="I25" s="16">
        <v>5719324.5800000001</v>
      </c>
      <c r="J25" s="16">
        <v>32351065.219999999</v>
      </c>
      <c r="K25" s="16">
        <v>0</v>
      </c>
      <c r="L25" s="16">
        <v>0</v>
      </c>
      <c r="M25" s="16">
        <v>4867.38</v>
      </c>
      <c r="N25" s="18">
        <f t="shared" si="0"/>
        <v>234978576.42958495</v>
      </c>
      <c r="O25" s="4"/>
    </row>
    <row r="26" spans="1:15" ht="15" x14ac:dyDescent="0.2">
      <c r="A26" s="17" t="s">
        <v>21</v>
      </c>
      <c r="B26" s="16">
        <v>63703154.970000014</v>
      </c>
      <c r="C26" s="16">
        <v>0</v>
      </c>
      <c r="D26" s="16">
        <v>1767563.102917661</v>
      </c>
      <c r="E26" s="16">
        <v>0</v>
      </c>
      <c r="F26" s="16">
        <v>1876721.07</v>
      </c>
      <c r="G26" s="16">
        <v>709649.02</v>
      </c>
      <c r="H26" s="16">
        <v>3289316.42</v>
      </c>
      <c r="I26" s="16">
        <v>2601134.37</v>
      </c>
      <c r="J26" s="16">
        <v>22118569.16</v>
      </c>
      <c r="K26" s="16">
        <v>0</v>
      </c>
      <c r="L26" s="16">
        <v>0</v>
      </c>
      <c r="M26" s="16">
        <v>2213.66</v>
      </c>
      <c r="N26" s="18">
        <f t="shared" si="0"/>
        <v>96068321.772917673</v>
      </c>
      <c r="O26" s="4"/>
    </row>
    <row r="27" spans="1:15" ht="15" x14ac:dyDescent="0.2">
      <c r="A27" s="17" t="s">
        <v>22</v>
      </c>
      <c r="B27" s="16">
        <v>34463626.799999997</v>
      </c>
      <c r="C27" s="16">
        <v>0</v>
      </c>
      <c r="D27" s="16">
        <v>804007.81727411982</v>
      </c>
      <c r="E27" s="16">
        <v>0</v>
      </c>
      <c r="F27" s="16">
        <v>466479.26</v>
      </c>
      <c r="G27" s="16">
        <v>198787.23</v>
      </c>
      <c r="H27" s="16">
        <v>1779531.55</v>
      </c>
      <c r="I27" s="16">
        <v>646540</v>
      </c>
      <c r="J27" s="16">
        <v>6427846.4300000006</v>
      </c>
      <c r="K27" s="16">
        <v>0</v>
      </c>
      <c r="L27" s="16">
        <v>0</v>
      </c>
      <c r="M27" s="16">
        <v>550.20000000000005</v>
      </c>
      <c r="N27" s="18">
        <f t="shared" si="0"/>
        <v>44787369.287274115</v>
      </c>
      <c r="O27" s="4"/>
    </row>
    <row r="28" spans="1:15" ht="15" x14ac:dyDescent="0.2">
      <c r="A28" s="17" t="s">
        <v>23</v>
      </c>
      <c r="B28" s="16">
        <v>113478404.46000001</v>
      </c>
      <c r="C28" s="16">
        <v>0</v>
      </c>
      <c r="D28" s="16">
        <v>3103389.2252265974</v>
      </c>
      <c r="E28" s="16">
        <v>0</v>
      </c>
      <c r="F28" s="16">
        <v>642521.16</v>
      </c>
      <c r="G28" s="16">
        <v>303524.58</v>
      </c>
      <c r="H28" s="16">
        <v>5859464.5700000003</v>
      </c>
      <c r="I28" s="16">
        <v>890533.98</v>
      </c>
      <c r="J28" s="16">
        <v>13148466.300000001</v>
      </c>
      <c r="K28" s="16">
        <v>0</v>
      </c>
      <c r="L28" s="16">
        <v>0</v>
      </c>
      <c r="M28" s="16">
        <v>757.85</v>
      </c>
      <c r="N28" s="18">
        <f t="shared" si="0"/>
        <v>137427062.12522659</v>
      </c>
      <c r="O28" s="4"/>
    </row>
    <row r="29" spans="1:15" ht="15" x14ac:dyDescent="0.2">
      <c r="A29" s="17" t="s">
        <v>24</v>
      </c>
      <c r="B29" s="16">
        <v>72114339.650000006</v>
      </c>
      <c r="C29" s="16">
        <v>0</v>
      </c>
      <c r="D29" s="16">
        <v>2971141.240827214</v>
      </c>
      <c r="E29" s="16">
        <v>0</v>
      </c>
      <c r="F29" s="16">
        <v>401019.63</v>
      </c>
      <c r="G29" s="16">
        <v>158174.78</v>
      </c>
      <c r="H29" s="16">
        <v>3723628.47</v>
      </c>
      <c r="I29" s="16">
        <v>555813</v>
      </c>
      <c r="J29" s="16">
        <v>11486681.000000002</v>
      </c>
      <c r="K29" s="16">
        <v>0</v>
      </c>
      <c r="L29" s="16">
        <v>0</v>
      </c>
      <c r="M29" s="16">
        <v>473</v>
      </c>
      <c r="N29" s="18">
        <f t="shared" si="0"/>
        <v>91411270.770827219</v>
      </c>
      <c r="O29" s="4"/>
    </row>
    <row r="30" spans="1:15" ht="15" x14ac:dyDescent="0.2">
      <c r="A30" s="17" t="s">
        <v>25</v>
      </c>
      <c r="B30" s="16">
        <v>22888040.170000002</v>
      </c>
      <c r="C30" s="16">
        <v>0</v>
      </c>
      <c r="D30" s="16">
        <v>1194838.6456450725</v>
      </c>
      <c r="E30" s="16">
        <v>0</v>
      </c>
      <c r="F30" s="16">
        <v>346364.03</v>
      </c>
      <c r="G30" s="16">
        <v>200924.72</v>
      </c>
      <c r="H30" s="16">
        <v>1181825.3999999999</v>
      </c>
      <c r="I30" s="16">
        <v>480060.36</v>
      </c>
      <c r="J30" s="16">
        <v>8676846.5</v>
      </c>
      <c r="K30" s="16">
        <v>0</v>
      </c>
      <c r="L30" s="16">
        <v>0</v>
      </c>
      <c r="M30" s="16">
        <v>408.53</v>
      </c>
      <c r="N30" s="18">
        <f t="shared" si="0"/>
        <v>34969308.355645075</v>
      </c>
      <c r="O30" s="4"/>
    </row>
    <row r="31" spans="1:15" ht="15" x14ac:dyDescent="0.2">
      <c r="A31" s="17" t="s">
        <v>26</v>
      </c>
      <c r="B31" s="16">
        <v>41976529.609999999</v>
      </c>
      <c r="C31" s="16">
        <v>0</v>
      </c>
      <c r="D31" s="16">
        <v>1385753.3731390105</v>
      </c>
      <c r="E31" s="16">
        <v>0</v>
      </c>
      <c r="F31" s="16">
        <v>413730.24</v>
      </c>
      <c r="G31" s="16">
        <v>113287.34</v>
      </c>
      <c r="H31" s="16">
        <v>2167460.7599999998</v>
      </c>
      <c r="I31" s="16">
        <v>573429.89</v>
      </c>
      <c r="J31" s="16">
        <v>6202669.8600000003</v>
      </c>
      <c r="K31" s="16">
        <v>0</v>
      </c>
      <c r="L31" s="16">
        <v>0</v>
      </c>
      <c r="M31" s="16">
        <v>488</v>
      </c>
      <c r="N31" s="18">
        <f t="shared" si="0"/>
        <v>52833349.073139012</v>
      </c>
      <c r="O31" s="4"/>
    </row>
    <row r="32" spans="1:15" ht="15" x14ac:dyDescent="0.2">
      <c r="A32" s="17" t="s">
        <v>27</v>
      </c>
      <c r="B32" s="16">
        <v>192220975.47000003</v>
      </c>
      <c r="C32" s="16">
        <v>0</v>
      </c>
      <c r="D32" s="16">
        <v>3956085.5653565503</v>
      </c>
      <c r="E32" s="16">
        <v>0</v>
      </c>
      <c r="F32" s="16">
        <v>1220218.23</v>
      </c>
      <c r="G32" s="16">
        <v>666899.07999999996</v>
      </c>
      <c r="H32" s="16">
        <v>9925342.1799999997</v>
      </c>
      <c r="I32" s="16">
        <v>1691221.81</v>
      </c>
      <c r="J32" s="16">
        <v>19258168.689999998</v>
      </c>
      <c r="K32" s="16">
        <v>0</v>
      </c>
      <c r="L32" s="16">
        <v>0</v>
      </c>
      <c r="M32" s="16">
        <v>1439.27</v>
      </c>
      <c r="N32" s="18">
        <f t="shared" si="0"/>
        <v>228940350.2953566</v>
      </c>
      <c r="O32" s="4"/>
    </row>
    <row r="33" spans="1:15" ht="15" x14ac:dyDescent="0.2">
      <c r="A33" s="17" t="s">
        <v>28</v>
      </c>
      <c r="B33" s="16">
        <v>123316405.53</v>
      </c>
      <c r="C33" s="16">
        <v>0</v>
      </c>
      <c r="D33" s="16">
        <v>4275459.7366961222</v>
      </c>
      <c r="E33" s="16">
        <v>0</v>
      </c>
      <c r="F33" s="16">
        <v>895462.23</v>
      </c>
      <c r="G33" s="16">
        <v>500174.31</v>
      </c>
      <c r="H33" s="16">
        <v>6367450.3700000001</v>
      </c>
      <c r="I33" s="16">
        <v>1241110.17</v>
      </c>
      <c r="J33" s="16">
        <v>18898193.470000006</v>
      </c>
      <c r="K33" s="16">
        <v>0</v>
      </c>
      <c r="L33" s="16">
        <v>0</v>
      </c>
      <c r="M33" s="16">
        <v>1056.22</v>
      </c>
      <c r="N33" s="18">
        <f t="shared" si="0"/>
        <v>155495312.03669611</v>
      </c>
      <c r="O33" s="4"/>
    </row>
    <row r="34" spans="1:15" ht="15" x14ac:dyDescent="0.2">
      <c r="A34" s="17" t="s">
        <v>29</v>
      </c>
      <c r="B34" s="16">
        <v>163641548.39999998</v>
      </c>
      <c r="C34" s="16">
        <v>0</v>
      </c>
      <c r="D34" s="16">
        <v>3236711.1695218068</v>
      </c>
      <c r="E34" s="16">
        <v>0</v>
      </c>
      <c r="F34" s="16">
        <v>1302201.6499999999</v>
      </c>
      <c r="G34" s="16">
        <v>878511.29</v>
      </c>
      <c r="H34" s="16">
        <v>8449641.6600000001</v>
      </c>
      <c r="I34" s="16">
        <v>1804850.77</v>
      </c>
      <c r="J34" s="16">
        <v>24294441.720000006</v>
      </c>
      <c r="K34" s="16">
        <v>0</v>
      </c>
      <c r="L34" s="16">
        <v>0</v>
      </c>
      <c r="M34" s="16">
        <v>1535.97</v>
      </c>
      <c r="N34" s="18">
        <f t="shared" si="0"/>
        <v>203609442.62952179</v>
      </c>
      <c r="O34" s="4"/>
    </row>
    <row r="35" spans="1:15" ht="15" x14ac:dyDescent="0.2">
      <c r="A35" s="17" t="s">
        <v>30</v>
      </c>
      <c r="B35" s="16">
        <v>82170105.980000004</v>
      </c>
      <c r="C35" s="16">
        <v>0</v>
      </c>
      <c r="D35" s="16">
        <v>1738304.6181955906</v>
      </c>
      <c r="E35" s="16">
        <v>0</v>
      </c>
      <c r="F35" s="16">
        <v>814114.35</v>
      </c>
      <c r="G35" s="16">
        <v>339862.03</v>
      </c>
      <c r="H35" s="16">
        <v>4242858.5999999996</v>
      </c>
      <c r="I35" s="16">
        <v>1128362.05</v>
      </c>
      <c r="J35" s="16">
        <v>8870638.790000001</v>
      </c>
      <c r="K35" s="16">
        <v>0</v>
      </c>
      <c r="L35" s="16">
        <v>0</v>
      </c>
      <c r="M35" s="16">
        <v>960.27</v>
      </c>
      <c r="N35" s="18">
        <f t="shared" si="0"/>
        <v>99305206.688195586</v>
      </c>
      <c r="O35" s="4"/>
    </row>
    <row r="36" spans="1:15" ht="15" x14ac:dyDescent="0.2">
      <c r="A36" s="17" t="s">
        <v>31</v>
      </c>
      <c r="B36" s="16">
        <v>89485659</v>
      </c>
      <c r="C36" s="16">
        <v>0</v>
      </c>
      <c r="D36" s="16">
        <v>2394588.3286917331</v>
      </c>
      <c r="E36" s="16">
        <v>0</v>
      </c>
      <c r="F36" s="16">
        <v>512237.44</v>
      </c>
      <c r="G36" s="16">
        <v>215887.2</v>
      </c>
      <c r="H36" s="16">
        <v>4620597.6399999997</v>
      </c>
      <c r="I36" s="16">
        <v>709960.82</v>
      </c>
      <c r="J36" s="16">
        <v>9385999</v>
      </c>
      <c r="K36" s="16">
        <v>0</v>
      </c>
      <c r="L36" s="16">
        <v>0</v>
      </c>
      <c r="M36" s="16">
        <v>604.17999999999995</v>
      </c>
      <c r="N36" s="18">
        <f t="shared" si="0"/>
        <v>107325533.60869174</v>
      </c>
      <c r="O36" s="4"/>
    </row>
    <row r="37" spans="1:15" ht="15" x14ac:dyDescent="0.2">
      <c r="A37" s="17" t="s">
        <v>32</v>
      </c>
      <c r="B37" s="16">
        <v>97939943.01000002</v>
      </c>
      <c r="C37" s="16">
        <v>0</v>
      </c>
      <c r="D37" s="16">
        <v>3367796.363059062</v>
      </c>
      <c r="E37" s="16">
        <v>0</v>
      </c>
      <c r="F37" s="16">
        <v>950117.84</v>
      </c>
      <c r="G37" s="16">
        <v>314212.07</v>
      </c>
      <c r="H37" s="16">
        <v>5057135.13</v>
      </c>
      <c r="I37" s="16">
        <v>1316862.81</v>
      </c>
      <c r="J37" s="16">
        <v>14720619.980000004</v>
      </c>
      <c r="K37" s="16">
        <v>0</v>
      </c>
      <c r="L37" s="16">
        <v>0</v>
      </c>
      <c r="M37" s="16">
        <v>1120.6799999999998</v>
      </c>
      <c r="N37" s="18">
        <f t="shared" si="0"/>
        <v>123667807.88305908</v>
      </c>
      <c r="O37" s="4"/>
    </row>
    <row r="38" spans="1:15" ht="15" x14ac:dyDescent="0.2">
      <c r="A38" s="17" t="s">
        <v>33</v>
      </c>
      <c r="B38" s="16">
        <v>88807410.809999987</v>
      </c>
      <c r="C38" s="16">
        <v>0</v>
      </c>
      <c r="D38" s="16">
        <v>681621.54656998196</v>
      </c>
      <c r="E38" s="16">
        <v>0</v>
      </c>
      <c r="F38" s="16">
        <v>849068.52</v>
      </c>
      <c r="G38" s="16">
        <v>850723.83</v>
      </c>
      <c r="H38" s="16">
        <v>4585576.26</v>
      </c>
      <c r="I38" s="16">
        <v>1176808.51</v>
      </c>
      <c r="J38" s="16">
        <v>24719906.890000004</v>
      </c>
      <c r="K38" s="16">
        <v>0</v>
      </c>
      <c r="L38" s="16">
        <v>0</v>
      </c>
      <c r="M38" s="16">
        <v>1001.49</v>
      </c>
      <c r="N38" s="18">
        <f t="shared" si="0"/>
        <v>121672117.85656998</v>
      </c>
      <c r="O38" s="4"/>
    </row>
    <row r="39" spans="1:15" ht="15" x14ac:dyDescent="0.2">
      <c r="A39" s="17" t="s">
        <v>34</v>
      </c>
      <c r="B39" s="16">
        <v>152487882</v>
      </c>
      <c r="C39" s="16">
        <v>0</v>
      </c>
      <c r="D39" s="16">
        <v>4126952.9985449868</v>
      </c>
      <c r="E39" s="16">
        <v>0</v>
      </c>
      <c r="F39" s="16">
        <v>1081672.6200000001</v>
      </c>
      <c r="G39" s="16">
        <v>523686.78</v>
      </c>
      <c r="H39" s="16">
        <v>7873721.4000000004</v>
      </c>
      <c r="I39" s="16">
        <v>1499197.66</v>
      </c>
      <c r="J39" s="16">
        <v>20790247.030000001</v>
      </c>
      <c r="K39" s="16">
        <v>0</v>
      </c>
      <c r="L39" s="16">
        <v>0</v>
      </c>
      <c r="M39" s="16">
        <v>1275.8500000000001</v>
      </c>
      <c r="N39" s="18">
        <f t="shared" si="0"/>
        <v>188384636.33854499</v>
      </c>
      <c r="O39" s="4"/>
    </row>
    <row r="40" spans="1:15" ht="15" x14ac:dyDescent="0.2">
      <c r="A40" s="17" t="s">
        <v>35</v>
      </c>
      <c r="B40" s="16">
        <v>99212509.010000005</v>
      </c>
      <c r="C40" s="16">
        <v>0</v>
      </c>
      <c r="D40" s="16">
        <v>3282017.5795677952</v>
      </c>
      <c r="E40" s="16">
        <v>0</v>
      </c>
      <c r="F40" s="16">
        <v>577697.06999999995</v>
      </c>
      <c r="G40" s="16">
        <v>230849.68</v>
      </c>
      <c r="H40" s="16">
        <v>5122844.16</v>
      </c>
      <c r="I40" s="16">
        <v>800687.82</v>
      </c>
      <c r="J40" s="16">
        <v>11348326.939999999</v>
      </c>
      <c r="K40" s="16">
        <v>0</v>
      </c>
      <c r="L40" s="16">
        <v>0</v>
      </c>
      <c r="M40" s="16">
        <v>681.4</v>
      </c>
      <c r="N40" s="18">
        <f t="shared" ref="N40:N71" si="1">SUM(B40:M40)</f>
        <v>120575613.65956779</v>
      </c>
      <c r="O40" s="4"/>
    </row>
    <row r="41" spans="1:15" ht="15" x14ac:dyDescent="0.2">
      <c r="A41" s="17" t="s">
        <v>36</v>
      </c>
      <c r="B41" s="16">
        <v>106895540.95000002</v>
      </c>
      <c r="C41" s="16">
        <v>0</v>
      </c>
      <c r="D41" s="16">
        <v>1519943.6587707286</v>
      </c>
      <c r="E41" s="16">
        <v>0</v>
      </c>
      <c r="F41" s="16">
        <v>978081.18</v>
      </c>
      <c r="G41" s="16">
        <v>369786.99</v>
      </c>
      <c r="H41" s="16">
        <v>5519558</v>
      </c>
      <c r="I41" s="16">
        <v>1355619.98</v>
      </c>
      <c r="J41" s="16">
        <v>11744031.920000002</v>
      </c>
      <c r="K41" s="16">
        <v>0</v>
      </c>
      <c r="L41" s="16">
        <v>0</v>
      </c>
      <c r="M41" s="16">
        <v>1153.67</v>
      </c>
      <c r="N41" s="18">
        <f t="shared" si="1"/>
        <v>128383716.34877075</v>
      </c>
      <c r="O41" s="4"/>
    </row>
    <row r="42" spans="1:15" ht="15" x14ac:dyDescent="0.2">
      <c r="A42" s="17" t="s">
        <v>37</v>
      </c>
      <c r="B42" s="16">
        <v>63156473.330000006</v>
      </c>
      <c r="C42" s="16">
        <v>0</v>
      </c>
      <c r="D42" s="16">
        <v>541500.19486537797</v>
      </c>
      <c r="E42" s="16">
        <v>0</v>
      </c>
      <c r="F42" s="16">
        <v>2656516.79</v>
      </c>
      <c r="G42" s="16">
        <v>0</v>
      </c>
      <c r="H42" s="16">
        <v>3261088.48</v>
      </c>
      <c r="I42" s="16">
        <v>3681930.81</v>
      </c>
      <c r="J42" s="16">
        <v>18795174.100000005</v>
      </c>
      <c r="K42" s="16">
        <v>0</v>
      </c>
      <c r="L42" s="16">
        <v>0</v>
      </c>
      <c r="M42" s="16">
        <v>3133.46</v>
      </c>
      <c r="N42" s="18">
        <f t="shared" si="1"/>
        <v>92095817.164865389</v>
      </c>
      <c r="O42" s="4"/>
    </row>
    <row r="43" spans="1:15" ht="15" x14ac:dyDescent="0.2">
      <c r="A43" s="17" t="s">
        <v>38</v>
      </c>
      <c r="B43" s="16">
        <v>277739223.06999993</v>
      </c>
      <c r="C43" s="16">
        <v>0</v>
      </c>
      <c r="D43" s="16">
        <v>3920318.750078042</v>
      </c>
      <c r="E43" s="16">
        <v>0</v>
      </c>
      <c r="F43" s="16">
        <v>11046788.24</v>
      </c>
      <c r="G43" s="16">
        <v>2921958.48</v>
      </c>
      <c r="H43" s="16">
        <v>14341082.279999999</v>
      </c>
      <c r="I43" s="16">
        <v>15310842.42</v>
      </c>
      <c r="J43" s="16">
        <v>60164230.620000005</v>
      </c>
      <c r="K43" s="16">
        <v>0</v>
      </c>
      <c r="L43" s="16">
        <v>0</v>
      </c>
      <c r="M43" s="16">
        <v>13030.19</v>
      </c>
      <c r="N43" s="18">
        <f t="shared" si="1"/>
        <v>385457474.05007797</v>
      </c>
      <c r="O43" s="4"/>
    </row>
    <row r="44" spans="1:15" ht="15" x14ac:dyDescent="0.2">
      <c r="A44" s="17" t="s">
        <v>39</v>
      </c>
      <c r="B44" s="16">
        <v>328229014.91000003</v>
      </c>
      <c r="C44" s="16">
        <v>0</v>
      </c>
      <c r="D44" s="16">
        <v>3140011.8295706552</v>
      </c>
      <c r="E44" s="16">
        <v>0</v>
      </c>
      <c r="F44" s="16">
        <v>13899683.9</v>
      </c>
      <c r="G44" s="16">
        <v>5298815.4947576374</v>
      </c>
      <c r="H44" s="16">
        <v>16948125.859999999</v>
      </c>
      <c r="I44" s="16">
        <v>19264954.239999998</v>
      </c>
      <c r="J44" s="16">
        <v>76738277.429999992</v>
      </c>
      <c r="K44" s="16">
        <v>0</v>
      </c>
      <c r="L44" s="16">
        <v>0</v>
      </c>
      <c r="M44" s="16">
        <v>16395.330000000002</v>
      </c>
      <c r="N44" s="18">
        <f t="shared" si="1"/>
        <v>463535278.99432832</v>
      </c>
      <c r="O44" s="4"/>
    </row>
    <row r="45" spans="1:15" ht="15" x14ac:dyDescent="0.2">
      <c r="A45" s="17" t="s">
        <v>40</v>
      </c>
      <c r="B45" s="16">
        <v>95236023.900000006</v>
      </c>
      <c r="C45" s="16">
        <v>0</v>
      </c>
      <c r="D45" s="16">
        <v>1294301.2070008586</v>
      </c>
      <c r="E45" s="16">
        <v>0</v>
      </c>
      <c r="F45" s="16">
        <v>1035278.91</v>
      </c>
      <c r="G45" s="16">
        <v>408261.94</v>
      </c>
      <c r="H45" s="16">
        <v>4917518.0999999996</v>
      </c>
      <c r="I45" s="16">
        <v>1434896</v>
      </c>
      <c r="J45" s="16">
        <v>11332305.600000001</v>
      </c>
      <c r="K45" s="16">
        <v>0</v>
      </c>
      <c r="L45" s="16">
        <v>0</v>
      </c>
      <c r="M45" s="16">
        <v>1221.1300000000001</v>
      </c>
      <c r="N45" s="18">
        <f t="shared" si="1"/>
        <v>115659806.78700083</v>
      </c>
      <c r="O45" s="4"/>
    </row>
    <row r="46" spans="1:15" ht="15" x14ac:dyDescent="0.2">
      <c r="A46" s="17" t="s">
        <v>41</v>
      </c>
      <c r="B46" s="16">
        <v>144591621.55000001</v>
      </c>
      <c r="C46" s="16">
        <v>0</v>
      </c>
      <c r="D46" s="16">
        <v>1231692.279570655</v>
      </c>
      <c r="E46" s="16">
        <v>0</v>
      </c>
      <c r="F46" s="16">
        <v>8165929.2400000002</v>
      </c>
      <c r="G46" s="16">
        <v>0</v>
      </c>
      <c r="H46" s="16">
        <v>7465997.4900000002</v>
      </c>
      <c r="I46" s="16">
        <v>11317973.439999999</v>
      </c>
      <c r="J46" s="16">
        <v>49385209.580000006</v>
      </c>
      <c r="K46" s="16">
        <v>0</v>
      </c>
      <c r="L46" s="16">
        <v>0</v>
      </c>
      <c r="M46" s="16">
        <v>9632.07</v>
      </c>
      <c r="N46" s="18">
        <f t="shared" si="1"/>
        <v>222168055.6495707</v>
      </c>
      <c r="O46" s="4"/>
    </row>
    <row r="47" spans="1:15" ht="15" x14ac:dyDescent="0.2">
      <c r="A47" s="17" t="s">
        <v>42</v>
      </c>
      <c r="B47" s="16">
        <v>435369541.94999993</v>
      </c>
      <c r="C47" s="16">
        <v>0</v>
      </c>
      <c r="D47" s="16">
        <v>3137146.5237645279</v>
      </c>
      <c r="E47" s="16">
        <v>0</v>
      </c>
      <c r="F47" s="16">
        <v>25456803</v>
      </c>
      <c r="G47" s="16">
        <v>5979775.3507822827</v>
      </c>
      <c r="H47" s="16">
        <v>22480333.73</v>
      </c>
      <c r="I47" s="16">
        <v>35283114.960000001</v>
      </c>
      <c r="J47" s="16">
        <v>116843580.01999998</v>
      </c>
      <c r="K47" s="16">
        <v>0</v>
      </c>
      <c r="L47" s="16">
        <v>0</v>
      </c>
      <c r="M47" s="16">
        <v>30027.49</v>
      </c>
      <c r="N47" s="18">
        <f t="shared" si="1"/>
        <v>644580323.02454674</v>
      </c>
      <c r="O47" s="4"/>
    </row>
    <row r="48" spans="1:15" ht="15" x14ac:dyDescent="0.2">
      <c r="A48" s="17" t="s">
        <v>43</v>
      </c>
      <c r="B48" s="16">
        <v>44533003.530000001</v>
      </c>
      <c r="C48" s="16">
        <v>0</v>
      </c>
      <c r="D48" s="16">
        <v>1571698.4160576244</v>
      </c>
      <c r="E48" s="16">
        <v>0</v>
      </c>
      <c r="F48" s="16">
        <v>221164.55</v>
      </c>
      <c r="G48" s="16">
        <v>121837.33</v>
      </c>
      <c r="H48" s="16">
        <v>2299464.4500000002</v>
      </c>
      <c r="I48" s="16">
        <v>306533.95</v>
      </c>
      <c r="J48" s="16">
        <v>6344052.6700000009</v>
      </c>
      <c r="K48" s="16">
        <v>0</v>
      </c>
      <c r="L48" s="16">
        <v>0</v>
      </c>
      <c r="M48" s="16">
        <v>260.84000000000003</v>
      </c>
      <c r="N48" s="18">
        <f t="shared" si="1"/>
        <v>55398015.736057632</v>
      </c>
      <c r="O48" s="4"/>
    </row>
    <row r="49" spans="1:15" ht="15" x14ac:dyDescent="0.2">
      <c r="A49" s="17" t="s">
        <v>44</v>
      </c>
      <c r="B49" s="16">
        <v>77885120.060000002</v>
      </c>
      <c r="C49" s="16">
        <v>0</v>
      </c>
      <c r="D49" s="16">
        <v>2513808.661290145</v>
      </c>
      <c r="E49" s="16">
        <v>0</v>
      </c>
      <c r="F49" s="16">
        <v>1306014.83</v>
      </c>
      <c r="G49" s="16">
        <v>540786.76</v>
      </c>
      <c r="H49" s="16">
        <v>4021603.08</v>
      </c>
      <c r="I49" s="16">
        <v>1810135.84</v>
      </c>
      <c r="J49" s="16">
        <v>14860115.320000004</v>
      </c>
      <c r="K49" s="16">
        <v>0</v>
      </c>
      <c r="L49" s="16">
        <v>0</v>
      </c>
      <c r="M49" s="16">
        <v>1540.48</v>
      </c>
      <c r="N49" s="18">
        <f t="shared" si="1"/>
        <v>102939125.03129016</v>
      </c>
      <c r="O49" s="4"/>
    </row>
    <row r="50" spans="1:15" ht="15" x14ac:dyDescent="0.2">
      <c r="A50" s="17" t="s">
        <v>45</v>
      </c>
      <c r="B50" s="16">
        <v>59531588.440000013</v>
      </c>
      <c r="C50" s="16">
        <v>0</v>
      </c>
      <c r="D50" s="16">
        <v>1868863.1779095531</v>
      </c>
      <c r="E50" s="16">
        <v>0</v>
      </c>
      <c r="F50" s="16">
        <v>366065.47</v>
      </c>
      <c r="G50" s="16">
        <v>151762.29</v>
      </c>
      <c r="H50" s="16">
        <v>3073917.33</v>
      </c>
      <c r="I50" s="16">
        <v>507366.54</v>
      </c>
      <c r="J50" s="16">
        <v>10442704.66</v>
      </c>
      <c r="K50" s="16">
        <v>0</v>
      </c>
      <c r="L50" s="16">
        <v>0</v>
      </c>
      <c r="M50" s="16">
        <v>431.76</v>
      </c>
      <c r="N50" s="18">
        <f t="shared" si="1"/>
        <v>75942699.667909563</v>
      </c>
      <c r="O50" s="4"/>
    </row>
    <row r="51" spans="1:15" ht="15" x14ac:dyDescent="0.2">
      <c r="A51" s="17" t="s">
        <v>46</v>
      </c>
      <c r="B51" s="16">
        <v>57265468.309999995</v>
      </c>
      <c r="C51" s="16">
        <v>0</v>
      </c>
      <c r="D51" s="16">
        <v>1878234.4606211255</v>
      </c>
      <c r="E51" s="16">
        <v>0</v>
      </c>
      <c r="F51" s="16">
        <v>456310.77</v>
      </c>
      <c r="G51" s="16">
        <v>203062.22</v>
      </c>
      <c r="H51" s="16">
        <v>2956906.07</v>
      </c>
      <c r="I51" s="16">
        <v>632446.49</v>
      </c>
      <c r="J51" s="16">
        <v>7330264.4400000004</v>
      </c>
      <c r="K51" s="16">
        <v>0</v>
      </c>
      <c r="L51" s="16">
        <v>0</v>
      </c>
      <c r="M51" s="16">
        <v>538.21</v>
      </c>
      <c r="N51" s="18">
        <f t="shared" si="1"/>
        <v>70723230.970621124</v>
      </c>
      <c r="O51" s="4"/>
    </row>
    <row r="52" spans="1:15" ht="15" x14ac:dyDescent="0.2">
      <c r="A52" s="17" t="s">
        <v>47</v>
      </c>
      <c r="B52" s="16">
        <v>66264165.609999992</v>
      </c>
      <c r="C52" s="16">
        <v>0</v>
      </c>
      <c r="D52" s="16">
        <v>1746310.6445768555</v>
      </c>
      <c r="E52" s="16">
        <v>0</v>
      </c>
      <c r="F52" s="16">
        <v>420085.54</v>
      </c>
      <c r="G52" s="16">
        <v>237262.17</v>
      </c>
      <c r="H52" s="16">
        <v>3421554.37</v>
      </c>
      <c r="I52" s="16">
        <v>582238.34</v>
      </c>
      <c r="J52" s="16">
        <v>10207037.409999998</v>
      </c>
      <c r="K52" s="16">
        <v>0</v>
      </c>
      <c r="L52" s="16">
        <v>0</v>
      </c>
      <c r="M52" s="16">
        <v>495.47999999999996</v>
      </c>
      <c r="N52" s="18">
        <f t="shared" si="1"/>
        <v>82879149.564576864</v>
      </c>
      <c r="O52" s="4"/>
    </row>
    <row r="53" spans="1:15" ht="15" x14ac:dyDescent="0.2">
      <c r="A53" s="17" t="s">
        <v>48</v>
      </c>
      <c r="B53" s="16">
        <v>24067602.210000005</v>
      </c>
      <c r="C53" s="16">
        <v>0</v>
      </c>
      <c r="D53" s="16">
        <v>2141898.9816715959</v>
      </c>
      <c r="E53" s="16">
        <v>0</v>
      </c>
      <c r="F53" s="16">
        <v>73085.98</v>
      </c>
      <c r="G53" s="16">
        <v>38474.949999999997</v>
      </c>
      <c r="H53" s="16">
        <v>1242732.1599999999</v>
      </c>
      <c r="I53" s="16">
        <v>101297.14</v>
      </c>
      <c r="J53" s="16">
        <v>4869607.209999999</v>
      </c>
      <c r="K53" s="16">
        <v>0</v>
      </c>
      <c r="L53" s="16">
        <v>0</v>
      </c>
      <c r="M53" s="16">
        <v>86.179999999999993</v>
      </c>
      <c r="N53" s="18">
        <f t="shared" si="1"/>
        <v>32534784.8116716</v>
      </c>
      <c r="O53" s="4"/>
    </row>
    <row r="54" spans="1:15" ht="15" x14ac:dyDescent="0.2">
      <c r="A54" s="17" t="s">
        <v>49</v>
      </c>
      <c r="B54" s="16">
        <v>80670701.179999992</v>
      </c>
      <c r="C54" s="16">
        <v>0</v>
      </c>
      <c r="D54" s="16">
        <v>2940411.5018929457</v>
      </c>
      <c r="E54" s="16">
        <v>0</v>
      </c>
      <c r="F54" s="16">
        <v>251034.48</v>
      </c>
      <c r="G54" s="16">
        <v>147487.29999999999</v>
      </c>
      <c r="H54" s="16">
        <v>4165436.74</v>
      </c>
      <c r="I54" s="16">
        <v>347933.65</v>
      </c>
      <c r="J54" s="16">
        <v>11154446.839999998</v>
      </c>
      <c r="K54" s="16">
        <v>0</v>
      </c>
      <c r="L54" s="16">
        <v>0</v>
      </c>
      <c r="M54" s="16">
        <v>296.09000000000003</v>
      </c>
      <c r="N54" s="18">
        <f t="shared" si="1"/>
        <v>99677747.78189294</v>
      </c>
      <c r="O54" s="4"/>
    </row>
    <row r="55" spans="1:15" ht="15" x14ac:dyDescent="0.2">
      <c r="A55" s="17" t="s">
        <v>50</v>
      </c>
      <c r="B55" s="16">
        <v>35228073.759999998</v>
      </c>
      <c r="C55" s="16">
        <v>0</v>
      </c>
      <c r="D55" s="16">
        <v>988144.23894762259</v>
      </c>
      <c r="E55" s="16">
        <v>0</v>
      </c>
      <c r="F55" s="16">
        <v>463301.61</v>
      </c>
      <c r="G55" s="16">
        <v>203062.22</v>
      </c>
      <c r="H55" s="16">
        <v>1819003.81</v>
      </c>
      <c r="I55" s="16">
        <v>642135.78</v>
      </c>
      <c r="J55" s="16">
        <v>7986129.5499999998</v>
      </c>
      <c r="K55" s="16">
        <v>0</v>
      </c>
      <c r="L55" s="16">
        <v>0</v>
      </c>
      <c r="M55" s="16">
        <v>546.45000000000005</v>
      </c>
      <c r="N55" s="18">
        <f t="shared" si="1"/>
        <v>47330397.418947622</v>
      </c>
      <c r="O55" s="4"/>
    </row>
    <row r="56" spans="1:15" ht="15" x14ac:dyDescent="0.2">
      <c r="A56" s="17" t="s">
        <v>51</v>
      </c>
      <c r="B56" s="16">
        <v>29935923.310000002</v>
      </c>
      <c r="C56" s="16">
        <v>0</v>
      </c>
      <c r="D56" s="16">
        <v>929340.93572311453</v>
      </c>
      <c r="E56" s="16">
        <v>0</v>
      </c>
      <c r="F56" s="16">
        <v>130919.24</v>
      </c>
      <c r="G56" s="16">
        <v>51299.93</v>
      </c>
      <c r="H56" s="16">
        <v>1545743.29</v>
      </c>
      <c r="I56" s="16">
        <v>181454.01</v>
      </c>
      <c r="J56" s="16">
        <v>6548686.7800000003</v>
      </c>
      <c r="K56" s="16">
        <v>0</v>
      </c>
      <c r="L56" s="16">
        <v>0</v>
      </c>
      <c r="M56" s="16">
        <v>154.39999999999998</v>
      </c>
      <c r="N56" s="18">
        <f t="shared" si="1"/>
        <v>39323521.895723112</v>
      </c>
      <c r="O56" s="4"/>
    </row>
    <row r="57" spans="1:15" ht="15" x14ac:dyDescent="0.2">
      <c r="A57" s="17" t="s">
        <v>52</v>
      </c>
      <c r="B57" s="16">
        <v>72254979.710000008</v>
      </c>
      <c r="C57" s="16">
        <v>0</v>
      </c>
      <c r="D57" s="16">
        <v>2313603.7808138593</v>
      </c>
      <c r="E57" s="16">
        <v>0</v>
      </c>
      <c r="F57" s="16">
        <v>672391.09</v>
      </c>
      <c r="G57" s="16">
        <v>269324.63</v>
      </c>
      <c r="H57" s="16">
        <v>3730890.43</v>
      </c>
      <c r="I57" s="16">
        <v>931933.68</v>
      </c>
      <c r="J57" s="16">
        <v>13725585.450000001</v>
      </c>
      <c r="K57" s="16">
        <v>0</v>
      </c>
      <c r="L57" s="16">
        <v>0</v>
      </c>
      <c r="M57" s="16">
        <v>793.08999999999992</v>
      </c>
      <c r="N57" s="18">
        <f t="shared" si="1"/>
        <v>93899501.860813886</v>
      </c>
      <c r="O57" s="4"/>
    </row>
    <row r="58" spans="1:15" ht="15" x14ac:dyDescent="0.2">
      <c r="A58" s="17" t="s">
        <v>53</v>
      </c>
      <c r="B58" s="16">
        <v>62364805.730000004</v>
      </c>
      <c r="C58" s="16">
        <v>0</v>
      </c>
      <c r="D58" s="16">
        <v>990954.73293196864</v>
      </c>
      <c r="E58" s="16">
        <v>0</v>
      </c>
      <c r="F58" s="16">
        <v>391486.68</v>
      </c>
      <c r="G58" s="16">
        <v>153899.79</v>
      </c>
      <c r="H58" s="16">
        <v>3220210.68</v>
      </c>
      <c r="I58" s="16">
        <v>542600.32999999996</v>
      </c>
      <c r="J58" s="16">
        <v>8129092.5000000009</v>
      </c>
      <c r="K58" s="16">
        <v>0</v>
      </c>
      <c r="L58" s="16">
        <v>0</v>
      </c>
      <c r="M58" s="16">
        <v>461.75</v>
      </c>
      <c r="N58" s="18">
        <f t="shared" si="1"/>
        <v>75793512.19293198</v>
      </c>
      <c r="O58" s="4"/>
    </row>
    <row r="59" spans="1:15" ht="15" x14ac:dyDescent="0.2">
      <c r="A59" s="17" t="s">
        <v>54</v>
      </c>
      <c r="B59" s="16">
        <v>69950296.980000004</v>
      </c>
      <c r="C59" s="16">
        <v>0</v>
      </c>
      <c r="D59" s="16">
        <v>1973252.4133174361</v>
      </c>
      <c r="E59" s="16">
        <v>0</v>
      </c>
      <c r="F59" s="16">
        <v>381318.19</v>
      </c>
      <c r="G59" s="16">
        <v>153899.79</v>
      </c>
      <c r="H59" s="16">
        <v>3611888</v>
      </c>
      <c r="I59" s="16">
        <v>528506.81000000006</v>
      </c>
      <c r="J59" s="16">
        <v>9038709.1399999987</v>
      </c>
      <c r="K59" s="16">
        <v>0</v>
      </c>
      <c r="L59" s="16">
        <v>0</v>
      </c>
      <c r="M59" s="16">
        <v>449.76</v>
      </c>
      <c r="N59" s="18">
        <f t="shared" si="1"/>
        <v>85638321.083317459</v>
      </c>
      <c r="O59" s="4"/>
    </row>
    <row r="60" spans="1:15" ht="15" x14ac:dyDescent="0.2">
      <c r="A60" s="17" t="s">
        <v>55</v>
      </c>
      <c r="B60" s="16">
        <v>508554561.06000006</v>
      </c>
      <c r="C60" s="16">
        <v>0</v>
      </c>
      <c r="D60" s="16">
        <v>19209698.700331073</v>
      </c>
      <c r="E60" s="16">
        <v>0</v>
      </c>
      <c r="F60" s="16">
        <v>20975678.629999999</v>
      </c>
      <c r="G60" s="16">
        <v>8468763.3999999985</v>
      </c>
      <c r="H60" s="16">
        <v>26259246.800000001</v>
      </c>
      <c r="I60" s="16">
        <v>29072279.039999999</v>
      </c>
      <c r="J60" s="16">
        <v>149970648.44</v>
      </c>
      <c r="K60" s="16">
        <v>0</v>
      </c>
      <c r="L60" s="16">
        <v>0</v>
      </c>
      <c r="M60" s="16">
        <v>24741.79</v>
      </c>
      <c r="N60" s="18">
        <f t="shared" si="1"/>
        <v>762535617.86033106</v>
      </c>
      <c r="O60" s="4"/>
    </row>
    <row r="61" spans="1:15" ht="15" x14ac:dyDescent="0.2">
      <c r="A61" s="17" t="s">
        <v>56</v>
      </c>
      <c r="B61" s="16">
        <v>74999729.849999994</v>
      </c>
      <c r="C61" s="16">
        <v>0</v>
      </c>
      <c r="D61" s="16">
        <v>2107721.9660585779</v>
      </c>
      <c r="E61" s="16">
        <v>0</v>
      </c>
      <c r="F61" s="16">
        <v>3744544.72</v>
      </c>
      <c r="G61" s="16">
        <v>832228.32177098189</v>
      </c>
      <c r="H61" s="16">
        <v>3872615.78</v>
      </c>
      <c r="I61" s="16">
        <v>5189936.92</v>
      </c>
      <c r="J61" s="16">
        <v>36379267.229999989</v>
      </c>
      <c r="K61" s="16">
        <v>0</v>
      </c>
      <c r="L61" s="16">
        <v>0</v>
      </c>
      <c r="M61" s="16">
        <v>4416.84</v>
      </c>
      <c r="N61" s="18">
        <f t="shared" si="1"/>
        <v>127130461.62782955</v>
      </c>
      <c r="O61" s="4"/>
    </row>
    <row r="62" spans="1:15" ht="15" x14ac:dyDescent="0.2">
      <c r="A62" s="17" t="s">
        <v>57</v>
      </c>
      <c r="B62" s="16">
        <v>501831057.45000005</v>
      </c>
      <c r="C62" s="16">
        <v>0</v>
      </c>
      <c r="D62" s="16">
        <v>4476623.8599999994</v>
      </c>
      <c r="E62" s="16">
        <v>0</v>
      </c>
      <c r="F62" s="16">
        <v>16790075.850000001</v>
      </c>
      <c r="G62" s="16">
        <v>0</v>
      </c>
      <c r="H62" s="16">
        <v>25912078.260000002</v>
      </c>
      <c r="I62" s="16">
        <v>23271035.899999999</v>
      </c>
      <c r="J62" s="16">
        <v>74797589.280000001</v>
      </c>
      <c r="K62" s="16">
        <v>0</v>
      </c>
      <c r="L62" s="16">
        <v>0</v>
      </c>
      <c r="M62" s="16">
        <v>19804.68</v>
      </c>
      <c r="N62" s="18">
        <f t="shared" si="1"/>
        <v>647098265.27999997</v>
      </c>
      <c r="O62" s="4"/>
    </row>
    <row r="63" spans="1:15" ht="15" x14ac:dyDescent="0.2">
      <c r="A63" s="17" t="s">
        <v>58</v>
      </c>
      <c r="B63" s="16">
        <v>75938842.699999988</v>
      </c>
      <c r="C63" s="16">
        <v>0</v>
      </c>
      <c r="D63" s="16">
        <v>2583193.4621009412</v>
      </c>
      <c r="E63" s="16">
        <v>0</v>
      </c>
      <c r="F63" s="16">
        <v>591678.73</v>
      </c>
      <c r="G63" s="16">
        <v>247949.66</v>
      </c>
      <c r="H63" s="16">
        <v>3921106.93</v>
      </c>
      <c r="I63" s="16">
        <v>820066.41</v>
      </c>
      <c r="J63" s="16">
        <v>10290875.060000004</v>
      </c>
      <c r="K63" s="16">
        <v>0</v>
      </c>
      <c r="L63" s="16">
        <v>0</v>
      </c>
      <c r="M63" s="16">
        <v>697.8900000000001</v>
      </c>
      <c r="N63" s="18">
        <f t="shared" si="1"/>
        <v>94394410.842100933</v>
      </c>
      <c r="O63" s="4"/>
    </row>
    <row r="64" spans="1:15" ht="15" x14ac:dyDescent="0.2">
      <c r="A64" s="17" t="s">
        <v>59</v>
      </c>
      <c r="B64" s="16">
        <v>148091745.01999998</v>
      </c>
      <c r="C64" s="16">
        <v>0</v>
      </c>
      <c r="D64" s="16">
        <v>5672562.3242696328</v>
      </c>
      <c r="E64" s="16">
        <v>0</v>
      </c>
      <c r="F64" s="16">
        <v>1082943.68</v>
      </c>
      <c r="G64" s="16">
        <v>423224.42</v>
      </c>
      <c r="H64" s="16">
        <v>7646726.5899999999</v>
      </c>
      <c r="I64" s="16">
        <v>1500959.35</v>
      </c>
      <c r="J64" s="16">
        <v>21145218.269999996</v>
      </c>
      <c r="K64" s="16">
        <v>0</v>
      </c>
      <c r="L64" s="16">
        <v>0</v>
      </c>
      <c r="M64" s="16">
        <v>1277.3400000000001</v>
      </c>
      <c r="N64" s="18">
        <f t="shared" si="1"/>
        <v>185564656.99426958</v>
      </c>
      <c r="O64" s="4"/>
    </row>
    <row r="65" spans="1:15" ht="15" x14ac:dyDescent="0.2">
      <c r="A65" s="17" t="s">
        <v>60</v>
      </c>
      <c r="B65" s="16">
        <v>82626052.070000008</v>
      </c>
      <c r="C65" s="16">
        <v>0</v>
      </c>
      <c r="D65" s="16">
        <v>2573467.9020723253</v>
      </c>
      <c r="E65" s="16">
        <v>0</v>
      </c>
      <c r="F65" s="16">
        <v>235781.75</v>
      </c>
      <c r="G65" s="16">
        <v>162449.78</v>
      </c>
      <c r="H65" s="16">
        <v>4266401.41</v>
      </c>
      <c r="I65" s="16">
        <v>326793.38</v>
      </c>
      <c r="J65" s="16">
        <v>12218175.569999997</v>
      </c>
      <c r="K65" s="16">
        <v>0</v>
      </c>
      <c r="L65" s="16">
        <v>0</v>
      </c>
      <c r="M65" s="16">
        <v>278.08</v>
      </c>
      <c r="N65" s="18">
        <f t="shared" si="1"/>
        <v>102409399.94207232</v>
      </c>
      <c r="O65" s="4"/>
    </row>
    <row r="66" spans="1:15" ht="15" x14ac:dyDescent="0.2">
      <c r="A66" s="17" t="s">
        <v>61</v>
      </c>
      <c r="B66" s="16">
        <v>46123143.859999999</v>
      </c>
      <c r="C66" s="16">
        <v>0</v>
      </c>
      <c r="D66" s="16">
        <v>2713716.9479248147</v>
      </c>
      <c r="E66" s="16">
        <v>0</v>
      </c>
      <c r="F66" s="16">
        <v>230697.51</v>
      </c>
      <c r="G66" s="16">
        <v>130387.32</v>
      </c>
      <c r="H66" s="16">
        <v>2381571.44</v>
      </c>
      <c r="I66" s="16">
        <v>319746.62</v>
      </c>
      <c r="J66" s="16">
        <v>5475081.8999999994</v>
      </c>
      <c r="K66" s="16">
        <v>0</v>
      </c>
      <c r="L66" s="16">
        <v>0</v>
      </c>
      <c r="M66" s="16">
        <v>272.08999999999997</v>
      </c>
      <c r="N66" s="18">
        <f t="shared" si="1"/>
        <v>57374617.68792481</v>
      </c>
      <c r="O66" s="4"/>
    </row>
    <row r="67" spans="1:15" ht="15" x14ac:dyDescent="0.2">
      <c r="A67" s="17" t="s">
        <v>62</v>
      </c>
      <c r="B67" s="16">
        <v>213083344.79000002</v>
      </c>
      <c r="C67" s="16">
        <v>0</v>
      </c>
      <c r="D67" s="16">
        <v>1386105.1900000002</v>
      </c>
      <c r="E67" s="16">
        <v>0</v>
      </c>
      <c r="F67" s="16">
        <v>6198962.8600000003</v>
      </c>
      <c r="G67" s="16">
        <v>2777125.8619515551</v>
      </c>
      <c r="H67" s="16">
        <v>11002571.93</v>
      </c>
      <c r="I67" s="16">
        <v>8591759.1199999992</v>
      </c>
      <c r="J67" s="16">
        <v>36944886.120000005</v>
      </c>
      <c r="K67" s="16">
        <v>0</v>
      </c>
      <c r="L67" s="16">
        <v>0</v>
      </c>
      <c r="M67" s="16">
        <v>7311.9500000000007</v>
      </c>
      <c r="N67" s="18">
        <f t="shared" si="1"/>
        <v>279992067.82195157</v>
      </c>
      <c r="O67" s="4"/>
    </row>
    <row r="68" spans="1:15" ht="15" x14ac:dyDescent="0.2">
      <c r="A68" s="17" t="s">
        <v>63</v>
      </c>
      <c r="B68" s="16">
        <v>130897359.99000002</v>
      </c>
      <c r="C68" s="16">
        <v>0</v>
      </c>
      <c r="D68" s="16">
        <v>2119325.8199999998</v>
      </c>
      <c r="E68" s="16">
        <v>0</v>
      </c>
      <c r="F68" s="16">
        <v>5466831.9199999999</v>
      </c>
      <c r="G68" s="16">
        <v>2601223.7580164764</v>
      </c>
      <c r="H68" s="16">
        <v>6758893.4299999997</v>
      </c>
      <c r="I68" s="16">
        <v>7577026.0300000003</v>
      </c>
      <c r="J68" s="16">
        <v>31354406.619999994</v>
      </c>
      <c r="K68" s="16">
        <v>0</v>
      </c>
      <c r="L68" s="16">
        <v>0</v>
      </c>
      <c r="M68" s="16">
        <v>6448.3600000000006</v>
      </c>
      <c r="N68" s="18">
        <f t="shared" si="1"/>
        <v>186781515.92801651</v>
      </c>
      <c r="O68" s="4"/>
    </row>
    <row r="69" spans="1:15" ht="15" x14ac:dyDescent="0.2">
      <c r="A69" s="17" t="s">
        <v>64</v>
      </c>
      <c r="B69" s="16">
        <v>404714539.37000006</v>
      </c>
      <c r="C69" s="16">
        <v>0</v>
      </c>
      <c r="D69" s="16">
        <v>1386574.7225035769</v>
      </c>
      <c r="E69" s="16">
        <v>0</v>
      </c>
      <c r="F69" s="16">
        <v>16134208.550000001</v>
      </c>
      <c r="G69" s="16">
        <v>2645858.4571240009</v>
      </c>
      <c r="H69" s="16">
        <v>20897460.739999998</v>
      </c>
      <c r="I69" s="16">
        <v>22362004.18</v>
      </c>
      <c r="J69" s="16">
        <v>69451204.679999977</v>
      </c>
      <c r="K69" s="16">
        <v>0</v>
      </c>
      <c r="L69" s="16">
        <v>0</v>
      </c>
      <c r="M69" s="16">
        <v>19031.050000000003</v>
      </c>
      <c r="N69" s="18">
        <f t="shared" si="1"/>
        <v>537610881.74962759</v>
      </c>
      <c r="O69" s="4"/>
    </row>
    <row r="70" spans="1:15" ht="15" x14ac:dyDescent="0.2">
      <c r="A70" s="17" t="s">
        <v>65</v>
      </c>
      <c r="B70" s="16">
        <v>92541178.329999983</v>
      </c>
      <c r="C70" s="16">
        <v>0</v>
      </c>
      <c r="D70" s="16">
        <v>4074489.4293290735</v>
      </c>
      <c r="E70" s="16">
        <v>0</v>
      </c>
      <c r="F70" s="16">
        <v>3583120.01</v>
      </c>
      <c r="G70" s="16">
        <v>1235473.3</v>
      </c>
      <c r="H70" s="16">
        <v>4778369.58</v>
      </c>
      <c r="I70" s="16">
        <v>4966202.37</v>
      </c>
      <c r="J70" s="16">
        <v>29047949.219999995</v>
      </c>
      <c r="K70" s="16">
        <v>0</v>
      </c>
      <c r="L70" s="16">
        <v>0</v>
      </c>
      <c r="M70" s="16">
        <v>4226.4400000000005</v>
      </c>
      <c r="N70" s="18">
        <f t="shared" si="1"/>
        <v>140231008.67932904</v>
      </c>
      <c r="O70" s="4"/>
    </row>
    <row r="71" spans="1:15" ht="15" x14ac:dyDescent="0.2">
      <c r="A71" s="17" t="s">
        <v>66</v>
      </c>
      <c r="B71" s="16">
        <v>320836336.71000004</v>
      </c>
      <c r="C71" s="16">
        <v>0</v>
      </c>
      <c r="D71" s="16">
        <v>2379112.0100000002</v>
      </c>
      <c r="E71" s="16">
        <v>0</v>
      </c>
      <c r="F71" s="16">
        <v>2256132.6800000002</v>
      </c>
      <c r="G71" s="16">
        <v>953323.69</v>
      </c>
      <c r="H71" s="16">
        <v>16566404.460000001</v>
      </c>
      <c r="I71" s="16">
        <v>3126998.65</v>
      </c>
      <c r="J71" s="16">
        <v>25006183.93</v>
      </c>
      <c r="K71" s="16">
        <v>0</v>
      </c>
      <c r="L71" s="16">
        <v>0</v>
      </c>
      <c r="M71" s="16">
        <v>2661.2</v>
      </c>
      <c r="N71" s="18">
        <f t="shared" si="1"/>
        <v>371127153.32999998</v>
      </c>
      <c r="O71" s="4"/>
    </row>
    <row r="72" spans="1:15" ht="15" x14ac:dyDescent="0.2">
      <c r="A72" s="17" t="s">
        <v>67</v>
      </c>
      <c r="B72" s="16">
        <v>1669651913.6900001</v>
      </c>
      <c r="C72" s="16">
        <v>0</v>
      </c>
      <c r="D72" s="16">
        <v>7224557.2986936392</v>
      </c>
      <c r="E72" s="16">
        <v>0</v>
      </c>
      <c r="F72" s="16">
        <v>65647106.450000003</v>
      </c>
      <c r="G72" s="16">
        <v>0</v>
      </c>
      <c r="H72" s="16">
        <v>86212581.730000004</v>
      </c>
      <c r="I72" s="16">
        <v>90986852.390000001</v>
      </c>
      <c r="J72" s="16">
        <v>368212936.55000007</v>
      </c>
      <c r="K72" s="16">
        <v>0</v>
      </c>
      <c r="L72" s="16">
        <v>0</v>
      </c>
      <c r="M72" s="16">
        <v>77433.91</v>
      </c>
      <c r="N72" s="18">
        <f t="shared" ref="N72:N103" si="2">SUM(B72:M72)</f>
        <v>2288013382.0186939</v>
      </c>
      <c r="O72" s="4"/>
    </row>
    <row r="73" spans="1:15" ht="15" x14ac:dyDescent="0.2">
      <c r="A73" s="17" t="s">
        <v>68</v>
      </c>
      <c r="B73" s="16">
        <v>668931898.46000004</v>
      </c>
      <c r="C73" s="16">
        <v>0</v>
      </c>
      <c r="D73" s="16">
        <v>15152487.95256884</v>
      </c>
      <c r="E73" s="16">
        <v>0</v>
      </c>
      <c r="F73" s="16">
        <v>24366232.949999999</v>
      </c>
      <c r="G73" s="16">
        <v>11213119.207654091</v>
      </c>
      <c r="H73" s="16">
        <v>34540340.719999999</v>
      </c>
      <c r="I73" s="16">
        <v>33771585.469999999</v>
      </c>
      <c r="J73" s="16">
        <v>159086479.53999993</v>
      </c>
      <c r="K73" s="16">
        <v>0</v>
      </c>
      <c r="L73" s="16">
        <v>0</v>
      </c>
      <c r="M73" s="16">
        <v>28741.120000000003</v>
      </c>
      <c r="N73" s="18">
        <f t="shared" si="2"/>
        <v>947090885.42022312</v>
      </c>
      <c r="O73" s="4"/>
    </row>
    <row r="74" spans="1:15" ht="15" x14ac:dyDescent="0.2">
      <c r="A74" s="17" t="s">
        <v>69</v>
      </c>
      <c r="B74" s="16">
        <v>413808508.97000003</v>
      </c>
      <c r="C74" s="16">
        <v>0</v>
      </c>
      <c r="D74" s="16">
        <v>3757986.85</v>
      </c>
      <c r="E74" s="16">
        <v>0</v>
      </c>
      <c r="F74" s="16">
        <v>17690622.34</v>
      </c>
      <c r="G74" s="16">
        <v>19685689.697543927</v>
      </c>
      <c r="H74" s="16">
        <v>21367028.43</v>
      </c>
      <c r="I74" s="16">
        <v>24519192.829999998</v>
      </c>
      <c r="J74" s="16">
        <v>86439435.900000021</v>
      </c>
      <c r="K74" s="16">
        <v>0</v>
      </c>
      <c r="L74" s="16">
        <v>0</v>
      </c>
      <c r="M74" s="16">
        <v>20866.91</v>
      </c>
      <c r="N74" s="18">
        <f t="shared" si="2"/>
        <v>587289331.92754388</v>
      </c>
      <c r="O74" s="4"/>
    </row>
    <row r="75" spans="1:15" ht="15" x14ac:dyDescent="0.2">
      <c r="A75" s="17" t="s">
        <v>70</v>
      </c>
      <c r="B75" s="16">
        <v>66928803.459999986</v>
      </c>
      <c r="C75" s="16">
        <v>0</v>
      </c>
      <c r="D75" s="16">
        <v>2326705.7721830001</v>
      </c>
      <c r="E75" s="16">
        <v>0</v>
      </c>
      <c r="F75" s="16">
        <v>321578.34000000003</v>
      </c>
      <c r="G75" s="16">
        <v>138937.31</v>
      </c>
      <c r="H75" s="16">
        <v>3455872.99</v>
      </c>
      <c r="I75" s="16">
        <v>445707.41</v>
      </c>
      <c r="J75" s="16">
        <v>10108626.959999999</v>
      </c>
      <c r="K75" s="16">
        <v>0</v>
      </c>
      <c r="L75" s="16">
        <v>0</v>
      </c>
      <c r="M75" s="16">
        <v>379.28000000000003</v>
      </c>
      <c r="N75" s="18">
        <f t="shared" si="2"/>
        <v>83726611.522182971</v>
      </c>
      <c r="O75" s="4"/>
    </row>
    <row r="76" spans="1:15" ht="15" x14ac:dyDescent="0.2">
      <c r="A76" s="17" t="s">
        <v>71</v>
      </c>
      <c r="B76" s="16">
        <v>62344390.239999995</v>
      </c>
      <c r="C76" s="16">
        <v>0</v>
      </c>
      <c r="D76" s="16">
        <v>2730112.83373152</v>
      </c>
      <c r="E76" s="16">
        <v>0</v>
      </c>
      <c r="F76" s="16">
        <v>578968.13</v>
      </c>
      <c r="G76" s="16">
        <v>327037.05</v>
      </c>
      <c r="H76" s="16">
        <v>3219156.52</v>
      </c>
      <c r="I76" s="16">
        <v>802449.51</v>
      </c>
      <c r="J76" s="16">
        <v>14395979.460000001</v>
      </c>
      <c r="K76" s="16">
        <v>0</v>
      </c>
      <c r="L76" s="16">
        <v>0</v>
      </c>
      <c r="M76" s="16">
        <v>682.89</v>
      </c>
      <c r="N76" s="18">
        <f t="shared" si="2"/>
        <v>84398776.633731529</v>
      </c>
      <c r="O76" s="4"/>
    </row>
    <row r="77" spans="1:15" ht="15" x14ac:dyDescent="0.2">
      <c r="A77" s="17" t="s">
        <v>72</v>
      </c>
      <c r="B77" s="16">
        <v>81224187.989999995</v>
      </c>
      <c r="C77" s="16">
        <v>0</v>
      </c>
      <c r="D77" s="16">
        <v>1734276.6157103386</v>
      </c>
      <c r="E77" s="16">
        <v>0</v>
      </c>
      <c r="F77" s="16">
        <v>680017.45</v>
      </c>
      <c r="G77" s="16">
        <v>230849.68</v>
      </c>
      <c r="H77" s="16">
        <v>4194016.07</v>
      </c>
      <c r="I77" s="16">
        <v>942503.82</v>
      </c>
      <c r="J77" s="16">
        <v>9663541.1400000025</v>
      </c>
      <c r="K77" s="16">
        <v>0</v>
      </c>
      <c r="L77" s="16">
        <v>0</v>
      </c>
      <c r="M77" s="16">
        <v>802.06999999999994</v>
      </c>
      <c r="N77" s="18">
        <f t="shared" si="2"/>
        <v>98670194.835710317</v>
      </c>
      <c r="O77" s="4"/>
    </row>
    <row r="78" spans="1:15" ht="15" x14ac:dyDescent="0.2">
      <c r="A78" s="17" t="s">
        <v>73</v>
      </c>
      <c r="B78" s="16">
        <v>31535137.210000001</v>
      </c>
      <c r="C78" s="16">
        <v>0</v>
      </c>
      <c r="D78" s="16">
        <v>880771.88076538674</v>
      </c>
      <c r="E78" s="16">
        <v>0</v>
      </c>
      <c r="F78" s="16">
        <v>241501.52</v>
      </c>
      <c r="G78" s="16">
        <v>76949.89</v>
      </c>
      <c r="H78" s="16">
        <v>1628318.8</v>
      </c>
      <c r="I78" s="16">
        <v>334720.98</v>
      </c>
      <c r="J78" s="16">
        <v>4360041.0200000005</v>
      </c>
      <c r="K78" s="16">
        <v>0</v>
      </c>
      <c r="L78" s="16">
        <v>0</v>
      </c>
      <c r="M78" s="16">
        <v>284.83000000000004</v>
      </c>
      <c r="N78" s="18">
        <f t="shared" si="2"/>
        <v>39057726.130765386</v>
      </c>
      <c r="O78" s="4"/>
    </row>
    <row r="79" spans="1:15" ht="15" x14ac:dyDescent="0.2">
      <c r="A79" s="17" t="s">
        <v>74</v>
      </c>
      <c r="B79" s="16">
        <v>126299336.42999998</v>
      </c>
      <c r="C79" s="16">
        <v>0</v>
      </c>
      <c r="D79" s="16">
        <v>5486560.1792298453</v>
      </c>
      <c r="E79" s="16">
        <v>0</v>
      </c>
      <c r="F79" s="16">
        <v>1213862.93</v>
      </c>
      <c r="G79" s="16">
        <v>572849.21</v>
      </c>
      <c r="H79" s="16">
        <v>6521474.2000000002</v>
      </c>
      <c r="I79" s="16">
        <v>1682413.36</v>
      </c>
      <c r="J79" s="16">
        <v>22620805.030000005</v>
      </c>
      <c r="K79" s="16">
        <v>0</v>
      </c>
      <c r="L79" s="16">
        <v>0</v>
      </c>
      <c r="M79" s="16">
        <v>1431.76</v>
      </c>
      <c r="N79" s="18">
        <f t="shared" si="2"/>
        <v>164398733.09922981</v>
      </c>
      <c r="O79" s="4"/>
    </row>
    <row r="80" spans="1:15" ht="15" x14ac:dyDescent="0.2">
      <c r="A80" s="17" t="s">
        <v>75</v>
      </c>
      <c r="B80" s="16">
        <v>79141807.280000001</v>
      </c>
      <c r="C80" s="16">
        <v>0</v>
      </c>
      <c r="D80" s="16">
        <v>3450803.3344785818</v>
      </c>
      <c r="E80" s="16">
        <v>0</v>
      </c>
      <c r="F80" s="16">
        <v>392757.74</v>
      </c>
      <c r="G80" s="16">
        <v>239399.67</v>
      </c>
      <c r="H80" s="16">
        <v>4086492.21</v>
      </c>
      <c r="I80" s="16">
        <v>544362.02</v>
      </c>
      <c r="J80" s="16">
        <v>14908662.140000001</v>
      </c>
      <c r="K80" s="16">
        <v>0</v>
      </c>
      <c r="L80" s="16">
        <v>0</v>
      </c>
      <c r="M80" s="16">
        <v>463.25</v>
      </c>
      <c r="N80" s="18">
        <f t="shared" si="2"/>
        <v>102764747.64447857</v>
      </c>
      <c r="O80" s="4"/>
    </row>
    <row r="81" spans="1:15" ht="15" x14ac:dyDescent="0.2">
      <c r="A81" s="17" t="s">
        <v>76</v>
      </c>
      <c r="B81" s="16">
        <v>39964469.009999998</v>
      </c>
      <c r="C81" s="16">
        <v>0</v>
      </c>
      <c r="D81" s="16">
        <v>2020080.0115761822</v>
      </c>
      <c r="E81" s="16">
        <v>0</v>
      </c>
      <c r="F81" s="16">
        <v>1020026.18</v>
      </c>
      <c r="G81" s="16">
        <v>493761.82</v>
      </c>
      <c r="H81" s="16">
        <v>2063567.88</v>
      </c>
      <c r="I81" s="16">
        <v>1413755.73</v>
      </c>
      <c r="J81" s="16">
        <v>16577689.959999997</v>
      </c>
      <c r="K81" s="16">
        <v>0</v>
      </c>
      <c r="L81" s="16">
        <v>0</v>
      </c>
      <c r="M81" s="16">
        <v>1203.1399999999999</v>
      </c>
      <c r="N81" s="18">
        <f t="shared" si="2"/>
        <v>63554553.731576174</v>
      </c>
      <c r="O81" s="4"/>
    </row>
    <row r="82" spans="1:15" ht="15" x14ac:dyDescent="0.2">
      <c r="A82" s="17" t="s">
        <v>77</v>
      </c>
      <c r="B82" s="16">
        <v>612308384.00999999</v>
      </c>
      <c r="C82" s="16">
        <v>0</v>
      </c>
      <c r="D82" s="16">
        <v>6454342.0599999996</v>
      </c>
      <c r="E82" s="16">
        <v>0</v>
      </c>
      <c r="F82" s="16">
        <v>29397726.59</v>
      </c>
      <c r="G82" s="16">
        <v>20652246.84069756</v>
      </c>
      <c r="H82" s="16">
        <v>31616581.98</v>
      </c>
      <c r="I82" s="16">
        <v>40745232.890000001</v>
      </c>
      <c r="J82" s="16">
        <v>142141045.03000003</v>
      </c>
      <c r="K82" s="16">
        <v>0</v>
      </c>
      <c r="L82" s="16">
        <v>0</v>
      </c>
      <c r="M82" s="16">
        <v>34676.019999999997</v>
      </c>
      <c r="N82" s="18">
        <f t="shared" si="2"/>
        <v>883350235.42069745</v>
      </c>
      <c r="O82" s="4"/>
    </row>
    <row r="83" spans="1:15" ht="15" x14ac:dyDescent="0.2">
      <c r="A83" s="17" t="s">
        <v>78</v>
      </c>
      <c r="B83" s="16">
        <v>185048330.93000001</v>
      </c>
      <c r="C83" s="16">
        <v>0</v>
      </c>
      <c r="D83" s="16">
        <v>2861825.9316735025</v>
      </c>
      <c r="E83" s="16">
        <v>0</v>
      </c>
      <c r="F83" s="16">
        <v>3255186.36</v>
      </c>
      <c r="G83" s="16">
        <v>1453498</v>
      </c>
      <c r="H83" s="16">
        <v>9554982.2300000004</v>
      </c>
      <c r="I83" s="16">
        <v>4511686.51</v>
      </c>
      <c r="J83" s="16">
        <v>30654603.569999997</v>
      </c>
      <c r="K83" s="16">
        <v>0</v>
      </c>
      <c r="L83" s="16">
        <v>0</v>
      </c>
      <c r="M83" s="16">
        <v>3839.63</v>
      </c>
      <c r="N83" s="18">
        <f t="shared" si="2"/>
        <v>237343953.16167349</v>
      </c>
      <c r="O83" s="4"/>
    </row>
    <row r="84" spans="1:15" ht="15" x14ac:dyDescent="0.2">
      <c r="A84" s="17" t="s">
        <v>79</v>
      </c>
      <c r="B84" s="16">
        <v>66118988.75</v>
      </c>
      <c r="C84" s="16">
        <v>0</v>
      </c>
      <c r="D84" s="16">
        <v>1714548.5907461082</v>
      </c>
      <c r="E84" s="16">
        <v>0</v>
      </c>
      <c r="F84" s="16">
        <v>653325.18000000005</v>
      </c>
      <c r="G84" s="16">
        <v>131430.35952420189</v>
      </c>
      <c r="H84" s="16">
        <v>3414058.15</v>
      </c>
      <c r="I84" s="16">
        <v>905508.34</v>
      </c>
      <c r="J84" s="16">
        <v>12793231.680000002</v>
      </c>
      <c r="K84" s="16">
        <v>0</v>
      </c>
      <c r="L84" s="16">
        <v>0</v>
      </c>
      <c r="M84" s="16">
        <v>770.59</v>
      </c>
      <c r="N84" s="18">
        <f t="shared" si="2"/>
        <v>85731861.640270337</v>
      </c>
      <c r="O84" s="4"/>
    </row>
    <row r="85" spans="1:15" ht="15" x14ac:dyDescent="0.2">
      <c r="A85" s="17" t="s">
        <v>80</v>
      </c>
      <c r="B85" s="16">
        <v>62900145.410000011</v>
      </c>
      <c r="C85" s="16">
        <v>0</v>
      </c>
      <c r="D85" s="16">
        <v>2018676.533538786</v>
      </c>
      <c r="E85" s="16">
        <v>0</v>
      </c>
      <c r="F85" s="16">
        <v>308867.74</v>
      </c>
      <c r="G85" s="16">
        <v>138937.31</v>
      </c>
      <c r="H85" s="16">
        <v>3247852.98</v>
      </c>
      <c r="I85" s="16">
        <v>428090.52</v>
      </c>
      <c r="J85" s="16">
        <v>7123260.0699999994</v>
      </c>
      <c r="K85" s="16">
        <v>0</v>
      </c>
      <c r="L85" s="16">
        <v>0</v>
      </c>
      <c r="M85" s="16">
        <v>364.3</v>
      </c>
      <c r="N85" s="18">
        <f t="shared" si="2"/>
        <v>76166194.863538787</v>
      </c>
      <c r="O85" s="4"/>
    </row>
    <row r="86" spans="1:15" ht="15" x14ac:dyDescent="0.2">
      <c r="A86" s="17" t="s">
        <v>81</v>
      </c>
      <c r="B86" s="16">
        <v>748214345.97999978</v>
      </c>
      <c r="C86" s="16">
        <v>0</v>
      </c>
      <c r="D86" s="16">
        <v>2539238.4800000004</v>
      </c>
      <c r="E86" s="16">
        <v>0</v>
      </c>
      <c r="F86" s="16">
        <v>18444996.84</v>
      </c>
      <c r="G86" s="16">
        <v>4193777.395003791</v>
      </c>
      <c r="H86" s="16">
        <v>38634094.890000001</v>
      </c>
      <c r="I86" s="16">
        <v>25564755.48</v>
      </c>
      <c r="J86" s="16">
        <v>63097363.56000001</v>
      </c>
      <c r="K86" s="16">
        <v>0</v>
      </c>
      <c r="L86" s="16">
        <v>0</v>
      </c>
      <c r="M86" s="16">
        <v>21756.730000000003</v>
      </c>
      <c r="N86" s="18">
        <f t="shared" si="2"/>
        <v>900710329.35500371</v>
      </c>
      <c r="O86" s="4"/>
    </row>
    <row r="87" spans="1:15" ht="15" x14ac:dyDescent="0.2">
      <c r="A87" s="17" t="s">
        <v>82</v>
      </c>
      <c r="B87" s="16">
        <v>104767792.5</v>
      </c>
      <c r="C87" s="16">
        <v>0</v>
      </c>
      <c r="D87" s="16">
        <v>2424812.5191210778</v>
      </c>
      <c r="E87" s="16">
        <v>0</v>
      </c>
      <c r="F87" s="16">
        <v>523676.99</v>
      </c>
      <c r="G87" s="16">
        <v>290699.59999999998</v>
      </c>
      <c r="H87" s="16">
        <v>5409691.5700000003</v>
      </c>
      <c r="I87" s="16">
        <v>725816.03</v>
      </c>
      <c r="J87" s="16">
        <v>13817104.590000002</v>
      </c>
      <c r="K87" s="16">
        <v>0</v>
      </c>
      <c r="L87" s="16">
        <v>0</v>
      </c>
      <c r="M87" s="16">
        <v>617.67000000000007</v>
      </c>
      <c r="N87" s="18">
        <f t="shared" si="2"/>
        <v>127960211.46912108</v>
      </c>
      <c r="O87" s="4"/>
    </row>
    <row r="88" spans="1:15" ht="15" x14ac:dyDescent="0.2">
      <c r="A88" s="17" t="s">
        <v>83</v>
      </c>
      <c r="B88" s="16">
        <v>89780549.5</v>
      </c>
      <c r="C88" s="16">
        <v>0</v>
      </c>
      <c r="D88" s="16">
        <v>895592.98272492667</v>
      </c>
      <c r="E88" s="16">
        <v>0</v>
      </c>
      <c r="F88" s="16">
        <v>2570084.66</v>
      </c>
      <c r="G88" s="16">
        <v>741711.48</v>
      </c>
      <c r="H88" s="16">
        <v>4635824.33</v>
      </c>
      <c r="I88" s="16">
        <v>3562135.93</v>
      </c>
      <c r="J88" s="16">
        <v>20649083.699999996</v>
      </c>
      <c r="K88" s="16">
        <v>0</v>
      </c>
      <c r="L88" s="16">
        <v>0</v>
      </c>
      <c r="M88" s="16">
        <v>3031.5</v>
      </c>
      <c r="N88" s="18">
        <f t="shared" si="2"/>
        <v>122838014.08272493</v>
      </c>
      <c r="O88" s="4"/>
    </row>
    <row r="89" spans="1:15" ht="15" x14ac:dyDescent="0.2">
      <c r="A89" s="17" t="s">
        <v>84</v>
      </c>
      <c r="B89" s="16">
        <v>146918988.17000002</v>
      </c>
      <c r="C89" s="16">
        <v>0</v>
      </c>
      <c r="D89" s="16">
        <v>2030405.5698078445</v>
      </c>
      <c r="E89" s="16">
        <v>0</v>
      </c>
      <c r="F89" s="16">
        <v>2161438.66</v>
      </c>
      <c r="G89" s="16">
        <v>865686.31</v>
      </c>
      <c r="H89" s="16">
        <v>7586171.21</v>
      </c>
      <c r="I89" s="16">
        <v>2995752.8</v>
      </c>
      <c r="J89" s="16">
        <v>21848752.340000004</v>
      </c>
      <c r="K89" s="16">
        <v>0</v>
      </c>
      <c r="L89" s="16">
        <v>0</v>
      </c>
      <c r="M89" s="16">
        <v>2549.4900000000002</v>
      </c>
      <c r="N89" s="18">
        <f t="shared" si="2"/>
        <v>184409744.54980791</v>
      </c>
      <c r="O89" s="4"/>
    </row>
    <row r="90" spans="1:15" ht="15" x14ac:dyDescent="0.2">
      <c r="A90" s="17" t="s">
        <v>85</v>
      </c>
      <c r="B90" s="16">
        <v>771506159.3599999</v>
      </c>
      <c r="C90" s="16">
        <v>0</v>
      </c>
      <c r="D90" s="16">
        <v>2374124.0384060708</v>
      </c>
      <c r="E90" s="16">
        <v>0</v>
      </c>
      <c r="F90" s="16">
        <v>29319556.359999999</v>
      </c>
      <c r="G90" s="16">
        <v>7509275.486097048</v>
      </c>
      <c r="H90" s="16">
        <v>39836769.140000001</v>
      </c>
      <c r="I90" s="16">
        <v>40636888.990000002</v>
      </c>
      <c r="J90" s="16">
        <v>130052576.37000003</v>
      </c>
      <c r="K90" s="16">
        <v>0</v>
      </c>
      <c r="L90" s="16">
        <v>0</v>
      </c>
      <c r="M90" s="16">
        <v>34583.800000000003</v>
      </c>
      <c r="N90" s="18">
        <f t="shared" si="2"/>
        <v>1021269933.544503</v>
      </c>
      <c r="O90" s="4"/>
    </row>
    <row r="91" spans="1:15" ht="15" x14ac:dyDescent="0.2">
      <c r="A91" s="17" t="s">
        <v>86</v>
      </c>
      <c r="B91" s="16">
        <v>28717798.689999998</v>
      </c>
      <c r="C91" s="16">
        <v>0</v>
      </c>
      <c r="D91" s="16">
        <v>1954745.1677025114</v>
      </c>
      <c r="E91" s="16">
        <v>0</v>
      </c>
      <c r="F91" s="16">
        <v>680652.98</v>
      </c>
      <c r="G91" s="16">
        <v>288562.09999999998</v>
      </c>
      <c r="H91" s="16">
        <v>1482845.35</v>
      </c>
      <c r="I91" s="16">
        <v>943384.66</v>
      </c>
      <c r="J91" s="16">
        <v>9458204.7300000004</v>
      </c>
      <c r="K91" s="16">
        <v>0</v>
      </c>
      <c r="L91" s="16">
        <v>0</v>
      </c>
      <c r="M91" s="16">
        <v>802.82999999999993</v>
      </c>
      <c r="N91" s="18">
        <f t="shared" si="2"/>
        <v>43526996.507702515</v>
      </c>
      <c r="O91" s="4"/>
    </row>
    <row r="92" spans="1:15" ht="15" x14ac:dyDescent="0.2">
      <c r="A92" s="17" t="s">
        <v>87</v>
      </c>
      <c r="B92" s="16">
        <v>41543267.420000002</v>
      </c>
      <c r="C92" s="16">
        <v>0</v>
      </c>
      <c r="D92" s="16">
        <v>365291.68</v>
      </c>
      <c r="E92" s="16">
        <v>0</v>
      </c>
      <c r="F92" s="16">
        <v>145536.44</v>
      </c>
      <c r="G92" s="16">
        <v>89774.88</v>
      </c>
      <c r="H92" s="16">
        <v>2145089.2400000002</v>
      </c>
      <c r="I92" s="16">
        <v>201713.43</v>
      </c>
      <c r="J92" s="16">
        <v>3841915.5499999989</v>
      </c>
      <c r="K92" s="16">
        <v>0</v>
      </c>
      <c r="L92" s="16">
        <v>0</v>
      </c>
      <c r="M92" s="16">
        <v>171.63</v>
      </c>
      <c r="N92" s="18">
        <f t="shared" si="2"/>
        <v>48332760.270000003</v>
      </c>
      <c r="O92" s="4"/>
    </row>
    <row r="93" spans="1:15" ht="15" x14ac:dyDescent="0.2">
      <c r="A93" s="17" t="s">
        <v>88</v>
      </c>
      <c r="B93" s="16">
        <v>412270541.56</v>
      </c>
      <c r="C93" s="16">
        <v>0</v>
      </c>
      <c r="D93" s="16">
        <v>2515946.6119921734</v>
      </c>
      <c r="E93" s="16">
        <v>0</v>
      </c>
      <c r="F93" s="16">
        <v>23762479.129999999</v>
      </c>
      <c r="G93" s="16">
        <v>3888721.8901941911</v>
      </c>
      <c r="H93" s="16">
        <v>21287615.379999999</v>
      </c>
      <c r="I93" s="16">
        <v>32934783.010000002</v>
      </c>
      <c r="J93" s="16">
        <v>130300885.02999999</v>
      </c>
      <c r="K93" s="16">
        <v>0</v>
      </c>
      <c r="L93" s="16">
        <v>0</v>
      </c>
      <c r="M93" s="16">
        <v>28028.959999999999</v>
      </c>
      <c r="N93" s="18">
        <f t="shared" si="2"/>
        <v>626989001.57218635</v>
      </c>
      <c r="O93" s="4"/>
    </row>
    <row r="94" spans="1:15" ht="15" x14ac:dyDescent="0.2">
      <c r="A94" s="17" t="s">
        <v>89</v>
      </c>
      <c r="B94" s="16">
        <v>282105870.94999999</v>
      </c>
      <c r="C94" s="16">
        <v>0</v>
      </c>
      <c r="D94" s="16">
        <v>4274427.8499999996</v>
      </c>
      <c r="E94" s="16">
        <v>0</v>
      </c>
      <c r="F94" s="16">
        <v>10744911.33</v>
      </c>
      <c r="G94" s="16">
        <v>5136377.0290707452</v>
      </c>
      <c r="H94" s="16">
        <v>14566554.42</v>
      </c>
      <c r="I94" s="16">
        <v>14892441.199999999</v>
      </c>
      <c r="J94" s="16">
        <v>65525407.5</v>
      </c>
      <c r="K94" s="16">
        <v>0</v>
      </c>
      <c r="L94" s="16">
        <v>0</v>
      </c>
      <c r="M94" s="16">
        <v>12674.099999999999</v>
      </c>
      <c r="N94" s="18">
        <f t="shared" si="2"/>
        <v>397258664.37907076</v>
      </c>
      <c r="O94" s="4"/>
    </row>
    <row r="95" spans="1:15" ht="15" x14ac:dyDescent="0.2">
      <c r="A95" s="17" t="s">
        <v>90</v>
      </c>
      <c r="B95" s="16">
        <v>52009612.109999999</v>
      </c>
      <c r="C95" s="16">
        <v>0</v>
      </c>
      <c r="D95" s="16">
        <v>2123587.5104274387</v>
      </c>
      <c r="E95" s="16">
        <v>0</v>
      </c>
      <c r="F95" s="16">
        <v>526854.64</v>
      </c>
      <c r="G95" s="16">
        <v>232987.18</v>
      </c>
      <c r="H95" s="16">
        <v>2685519.6</v>
      </c>
      <c r="I95" s="16">
        <v>730220.25</v>
      </c>
      <c r="J95" s="16">
        <v>9760678.6699999981</v>
      </c>
      <c r="K95" s="16">
        <v>0</v>
      </c>
      <c r="L95" s="16">
        <v>0</v>
      </c>
      <c r="M95" s="16">
        <v>621.41</v>
      </c>
      <c r="N95" s="18">
        <f t="shared" si="2"/>
        <v>68070081.37042743</v>
      </c>
      <c r="O95" s="4"/>
    </row>
    <row r="96" spans="1:15" ht="15" x14ac:dyDescent="0.2">
      <c r="A96" s="17" t="s">
        <v>91</v>
      </c>
      <c r="B96" s="16">
        <v>168749959.37</v>
      </c>
      <c r="C96" s="16">
        <v>0</v>
      </c>
      <c r="D96" s="16">
        <v>5362157.8745591082</v>
      </c>
      <c r="E96" s="16">
        <v>0</v>
      </c>
      <c r="F96" s="16">
        <v>2952673.92</v>
      </c>
      <c r="G96" s="16">
        <v>1271810.75</v>
      </c>
      <c r="H96" s="16">
        <v>8713414.7899999991</v>
      </c>
      <c r="I96" s="16">
        <v>4092404.44</v>
      </c>
      <c r="J96" s="16">
        <v>34929490.240000002</v>
      </c>
      <c r="K96" s="16">
        <v>0</v>
      </c>
      <c r="L96" s="16">
        <v>0</v>
      </c>
      <c r="M96" s="16">
        <v>3482.79</v>
      </c>
      <c r="N96" s="18">
        <f t="shared" si="2"/>
        <v>226075394.17455909</v>
      </c>
      <c r="O96" s="4"/>
    </row>
    <row r="97" spans="1:15" ht="15" x14ac:dyDescent="0.2">
      <c r="A97" s="17" t="s">
        <v>92</v>
      </c>
      <c r="B97" s="16">
        <v>81471442.319999993</v>
      </c>
      <c r="C97" s="16">
        <v>0</v>
      </c>
      <c r="D97" s="16">
        <v>5629276.3656269517</v>
      </c>
      <c r="E97" s="16">
        <v>0</v>
      </c>
      <c r="F97" s="16">
        <v>1363212.56</v>
      </c>
      <c r="G97" s="16">
        <v>651936.6</v>
      </c>
      <c r="H97" s="16">
        <v>4206783.0599999996</v>
      </c>
      <c r="I97" s="16">
        <v>1889411.86</v>
      </c>
      <c r="J97" s="16">
        <v>22594293.010000002</v>
      </c>
      <c r="K97" s="16">
        <v>0</v>
      </c>
      <c r="L97" s="16">
        <v>0</v>
      </c>
      <c r="M97" s="16">
        <v>1607.9499999999998</v>
      </c>
      <c r="N97" s="18">
        <f t="shared" si="2"/>
        <v>117807963.72562695</v>
      </c>
      <c r="O97" s="4"/>
    </row>
    <row r="98" spans="1:15" ht="15" x14ac:dyDescent="0.2">
      <c r="A98" s="17" t="s">
        <v>93</v>
      </c>
      <c r="B98" s="16">
        <v>225257786.01000002</v>
      </c>
      <c r="C98" s="16">
        <v>0</v>
      </c>
      <c r="D98" s="16">
        <v>6784068.4777792245</v>
      </c>
      <c r="E98" s="16">
        <v>0</v>
      </c>
      <c r="F98" s="16">
        <v>3170025.29</v>
      </c>
      <c r="G98" s="16">
        <v>1528310.4</v>
      </c>
      <c r="H98" s="16">
        <v>11631199.970000001</v>
      </c>
      <c r="I98" s="16">
        <v>4393653.32</v>
      </c>
      <c r="J98" s="16">
        <v>44323697.469999999</v>
      </c>
      <c r="K98" s="16">
        <v>0</v>
      </c>
      <c r="L98" s="16">
        <v>0</v>
      </c>
      <c r="M98" s="16">
        <v>3739.17</v>
      </c>
      <c r="N98" s="18">
        <f t="shared" si="2"/>
        <v>297092480.10777926</v>
      </c>
      <c r="O98" s="4"/>
    </row>
    <row r="99" spans="1:15" ht="15" x14ac:dyDescent="0.2">
      <c r="A99" s="17" t="s">
        <v>94</v>
      </c>
      <c r="B99" s="16">
        <v>157621245.26000002</v>
      </c>
      <c r="C99" s="16">
        <v>0</v>
      </c>
      <c r="D99" s="16">
        <v>5493027.3797616856</v>
      </c>
      <c r="E99" s="16">
        <v>0</v>
      </c>
      <c r="F99" s="16">
        <v>1175095.58</v>
      </c>
      <c r="G99" s="16">
        <v>412536.93</v>
      </c>
      <c r="H99" s="16">
        <v>8138782.9299999997</v>
      </c>
      <c r="I99" s="16">
        <v>1628681.83</v>
      </c>
      <c r="J99" s="16">
        <v>29485441.339999996</v>
      </c>
      <c r="K99" s="16">
        <v>0</v>
      </c>
      <c r="L99" s="16">
        <v>0</v>
      </c>
      <c r="M99" s="16">
        <v>1386.05</v>
      </c>
      <c r="N99" s="18">
        <f t="shared" si="2"/>
        <v>203956197.29976177</v>
      </c>
      <c r="O99" s="4"/>
    </row>
    <row r="100" spans="1:15" ht="15" x14ac:dyDescent="0.2">
      <c r="A100" s="17" t="s">
        <v>95</v>
      </c>
      <c r="B100" s="16">
        <v>167366242.38</v>
      </c>
      <c r="C100" s="16">
        <v>0</v>
      </c>
      <c r="D100" s="16">
        <v>3798873.8643041728</v>
      </c>
      <c r="E100" s="16">
        <v>0</v>
      </c>
      <c r="F100" s="16">
        <v>1319360.97</v>
      </c>
      <c r="G100" s="16">
        <v>545061.75</v>
      </c>
      <c r="H100" s="16">
        <v>8641966.4700000007</v>
      </c>
      <c r="I100" s="16">
        <v>1828633.58</v>
      </c>
      <c r="J100" s="16">
        <v>23053776.02</v>
      </c>
      <c r="K100" s="16">
        <v>0</v>
      </c>
      <c r="L100" s="16">
        <v>0</v>
      </c>
      <c r="M100" s="16">
        <v>1556.2</v>
      </c>
      <c r="N100" s="18">
        <f t="shared" si="2"/>
        <v>206555471.23430419</v>
      </c>
      <c r="O100" s="4"/>
    </row>
    <row r="101" spans="1:15" ht="15" x14ac:dyDescent="0.2">
      <c r="A101" s="17" t="s">
        <v>96</v>
      </c>
      <c r="B101" s="16">
        <v>30748006.400000002</v>
      </c>
      <c r="C101" s="16">
        <v>0</v>
      </c>
      <c r="D101" s="16">
        <v>1340342.0044661807</v>
      </c>
      <c r="E101" s="16">
        <v>0</v>
      </c>
      <c r="F101" s="16">
        <v>157611.51999999999</v>
      </c>
      <c r="G101" s="16">
        <v>81224.89</v>
      </c>
      <c r="H101" s="16">
        <v>1587675.25</v>
      </c>
      <c r="I101" s="16">
        <v>218449.48</v>
      </c>
      <c r="J101" s="16">
        <v>4990315.8999999994</v>
      </c>
      <c r="K101" s="16">
        <v>0</v>
      </c>
      <c r="L101" s="16">
        <v>0</v>
      </c>
      <c r="M101" s="16">
        <v>185.88</v>
      </c>
      <c r="N101" s="18">
        <f t="shared" si="2"/>
        <v>39123811.324466176</v>
      </c>
      <c r="O101" s="4"/>
    </row>
    <row r="102" spans="1:15" ht="15" x14ac:dyDescent="0.2">
      <c r="A102" s="17" t="s">
        <v>97</v>
      </c>
      <c r="B102" s="16">
        <v>100178842.5</v>
      </c>
      <c r="C102" s="16">
        <v>0</v>
      </c>
      <c r="D102" s="16">
        <v>4527461.7515593898</v>
      </c>
      <c r="E102" s="16">
        <v>0</v>
      </c>
      <c r="F102" s="16">
        <v>3051816.65</v>
      </c>
      <c r="G102" s="16">
        <v>1429985.53</v>
      </c>
      <c r="H102" s="16">
        <v>5172740.8499999996</v>
      </c>
      <c r="I102" s="16">
        <v>4229816.21</v>
      </c>
      <c r="J102" s="16">
        <v>33241939.07</v>
      </c>
      <c r="K102" s="16">
        <v>0</v>
      </c>
      <c r="L102" s="16">
        <v>0</v>
      </c>
      <c r="M102" s="16">
        <v>3599.7299999999996</v>
      </c>
      <c r="N102" s="18">
        <f t="shared" si="2"/>
        <v>151836202.29155937</v>
      </c>
      <c r="O102" s="4"/>
    </row>
    <row r="103" spans="1:15" ht="15" x14ac:dyDescent="0.2">
      <c r="A103" s="17" t="s">
        <v>98</v>
      </c>
      <c r="B103" s="16">
        <v>34765322.520000003</v>
      </c>
      <c r="C103" s="16">
        <v>0</v>
      </c>
      <c r="D103" s="16">
        <v>2240735.0077015576</v>
      </c>
      <c r="E103" s="16">
        <v>0</v>
      </c>
      <c r="F103" s="16">
        <v>75628.100000000006</v>
      </c>
      <c r="G103" s="16">
        <v>49162.43</v>
      </c>
      <c r="H103" s="16">
        <v>1795109.62</v>
      </c>
      <c r="I103" s="16">
        <v>104820.52</v>
      </c>
      <c r="J103" s="16">
        <v>7048991.2799999993</v>
      </c>
      <c r="K103" s="16">
        <v>0</v>
      </c>
      <c r="L103" s="16">
        <v>0</v>
      </c>
      <c r="M103" s="16">
        <v>89.17</v>
      </c>
      <c r="N103" s="18">
        <f t="shared" si="2"/>
        <v>46079858.647701569</v>
      </c>
      <c r="O103" s="4"/>
    </row>
    <row r="104" spans="1:15" ht="15" x14ac:dyDescent="0.2">
      <c r="A104" s="17" t="s">
        <v>99</v>
      </c>
      <c r="B104" s="16">
        <v>482379625.82999992</v>
      </c>
      <c r="C104" s="16">
        <v>0</v>
      </c>
      <c r="D104" s="16">
        <v>4646676.4110514233</v>
      </c>
      <c r="E104" s="16">
        <v>0</v>
      </c>
      <c r="F104" s="16">
        <v>15498678.220000001</v>
      </c>
      <c r="G104" s="16">
        <v>2735200.8202805519</v>
      </c>
      <c r="H104" s="16">
        <v>24907702.370000001</v>
      </c>
      <c r="I104" s="16">
        <v>21481159.489999998</v>
      </c>
      <c r="J104" s="16">
        <v>81707655.939999998</v>
      </c>
      <c r="K104" s="16">
        <v>0</v>
      </c>
      <c r="L104" s="16">
        <v>0</v>
      </c>
      <c r="M104" s="16">
        <v>18281.41</v>
      </c>
      <c r="N104" s="18">
        <f t="shared" ref="N104:N135" si="3">SUM(B104:M104)</f>
        <v>633374980.49133193</v>
      </c>
      <c r="O104" s="4"/>
    </row>
    <row r="105" spans="1:15" ht="15" x14ac:dyDescent="0.2">
      <c r="A105" s="17" t="s">
        <v>100</v>
      </c>
      <c r="B105" s="16">
        <v>83077461.390000015</v>
      </c>
      <c r="C105" s="16">
        <v>0</v>
      </c>
      <c r="D105" s="16">
        <v>1938144.7499999998</v>
      </c>
      <c r="E105" s="16">
        <v>0</v>
      </c>
      <c r="F105" s="16">
        <v>667942.37</v>
      </c>
      <c r="G105" s="16">
        <v>352687.02</v>
      </c>
      <c r="H105" s="16">
        <v>4289709.96</v>
      </c>
      <c r="I105" s="16">
        <v>925767.77</v>
      </c>
      <c r="J105" s="16">
        <v>10368787.040000001</v>
      </c>
      <c r="K105" s="16">
        <v>0</v>
      </c>
      <c r="L105" s="16">
        <v>0</v>
      </c>
      <c r="M105" s="16">
        <v>787.85</v>
      </c>
      <c r="N105" s="18">
        <f t="shared" si="3"/>
        <v>101621288.15000001</v>
      </c>
      <c r="O105" s="4"/>
    </row>
    <row r="106" spans="1:15" ht="15" x14ac:dyDescent="0.2">
      <c r="A106" s="17" t="s">
        <v>101</v>
      </c>
      <c r="B106" s="16">
        <v>89703424.309999973</v>
      </c>
      <c r="C106" s="16">
        <v>0</v>
      </c>
      <c r="D106" s="16">
        <v>326414.2</v>
      </c>
      <c r="E106" s="16">
        <v>0</v>
      </c>
      <c r="F106" s="16">
        <v>4732794.38</v>
      </c>
      <c r="G106" s="16">
        <v>1158415.0975314067</v>
      </c>
      <c r="H106" s="16">
        <v>4631841.97</v>
      </c>
      <c r="I106" s="16">
        <v>6559650.4199999999</v>
      </c>
      <c r="J106" s="16">
        <v>27135704.380000003</v>
      </c>
      <c r="K106" s="16">
        <v>0</v>
      </c>
      <c r="L106" s="16">
        <v>0</v>
      </c>
      <c r="M106" s="16">
        <v>5582.52</v>
      </c>
      <c r="N106" s="18">
        <f t="shared" si="3"/>
        <v>134253827.27753139</v>
      </c>
      <c r="O106" s="4"/>
    </row>
    <row r="107" spans="1:15" ht="15" x14ac:dyDescent="0.2">
      <c r="A107" s="17" t="s">
        <v>102</v>
      </c>
      <c r="B107" s="16">
        <v>125419201.66</v>
      </c>
      <c r="C107" s="16">
        <v>0</v>
      </c>
      <c r="D107" s="16">
        <v>3696432.1895485162</v>
      </c>
      <c r="E107" s="16">
        <v>0</v>
      </c>
      <c r="F107" s="16">
        <v>263109.55</v>
      </c>
      <c r="G107" s="16">
        <v>215887.2</v>
      </c>
      <c r="H107" s="16">
        <v>6476028.3799999999</v>
      </c>
      <c r="I107" s="16">
        <v>364669.7</v>
      </c>
      <c r="J107" s="16">
        <v>12935975.190000001</v>
      </c>
      <c r="K107" s="16">
        <v>0</v>
      </c>
      <c r="L107" s="16">
        <v>0</v>
      </c>
      <c r="M107" s="16">
        <v>310.30999999999995</v>
      </c>
      <c r="N107" s="18">
        <f t="shared" si="3"/>
        <v>149371614.1795485</v>
      </c>
      <c r="O107" s="4"/>
    </row>
    <row r="108" spans="1:15" ht="15" x14ac:dyDescent="0.2">
      <c r="A108" s="17" t="s">
        <v>103</v>
      </c>
      <c r="B108" s="16">
        <v>45163615.500000007</v>
      </c>
      <c r="C108" s="16">
        <v>0</v>
      </c>
      <c r="D108" s="16">
        <v>1230313.8593458664</v>
      </c>
      <c r="E108" s="16">
        <v>0</v>
      </c>
      <c r="F108" s="16">
        <v>266922.73</v>
      </c>
      <c r="G108" s="16">
        <v>134662.31</v>
      </c>
      <c r="H108" s="16">
        <v>2332026.14</v>
      </c>
      <c r="I108" s="16">
        <v>369954.77</v>
      </c>
      <c r="J108" s="16">
        <v>6981218.9100000001</v>
      </c>
      <c r="K108" s="16">
        <v>0</v>
      </c>
      <c r="L108" s="16">
        <v>0</v>
      </c>
      <c r="M108" s="16">
        <v>314.83000000000004</v>
      </c>
      <c r="N108" s="18">
        <f t="shared" si="3"/>
        <v>56479029.049345881</v>
      </c>
      <c r="O108" s="4"/>
    </row>
    <row r="109" spans="1:15" ht="15" x14ac:dyDescent="0.2">
      <c r="A109" s="17" t="s">
        <v>104</v>
      </c>
      <c r="B109" s="16">
        <v>479961523.67000002</v>
      </c>
      <c r="C109" s="16">
        <v>0</v>
      </c>
      <c r="D109" s="16">
        <v>5254499.0243396647</v>
      </c>
      <c r="E109" s="16">
        <v>0</v>
      </c>
      <c r="F109" s="16">
        <v>27252811.719999999</v>
      </c>
      <c r="G109" s="16">
        <v>12877925.374180093</v>
      </c>
      <c r="H109" s="16">
        <v>24782843.510000002</v>
      </c>
      <c r="I109" s="16">
        <v>37772382.049999997</v>
      </c>
      <c r="J109" s="16">
        <v>128229568.15000001</v>
      </c>
      <c r="K109" s="16">
        <v>0</v>
      </c>
      <c r="L109" s="16">
        <v>0</v>
      </c>
      <c r="M109" s="16">
        <v>32145.980000000003</v>
      </c>
      <c r="N109" s="18">
        <f t="shared" si="3"/>
        <v>716163699.47851968</v>
      </c>
      <c r="O109" s="4"/>
    </row>
    <row r="110" spans="1:15" ht="15" x14ac:dyDescent="0.2">
      <c r="A110" s="17" t="s">
        <v>105</v>
      </c>
      <c r="B110" s="16">
        <v>53692756.380000003</v>
      </c>
      <c r="C110" s="16">
        <v>0</v>
      </c>
      <c r="D110" s="16">
        <v>1599552.8960290086</v>
      </c>
      <c r="E110" s="16">
        <v>0</v>
      </c>
      <c r="F110" s="16">
        <v>1041634.21</v>
      </c>
      <c r="G110" s="16">
        <v>451011.88</v>
      </c>
      <c r="H110" s="16">
        <v>2772428.86</v>
      </c>
      <c r="I110" s="16">
        <v>1443704.45</v>
      </c>
      <c r="J110" s="16">
        <v>14822585.889999999</v>
      </c>
      <c r="K110" s="16">
        <v>0</v>
      </c>
      <c r="L110" s="16">
        <v>0</v>
      </c>
      <c r="M110" s="16">
        <v>1228.6400000000001</v>
      </c>
      <c r="N110" s="18">
        <f t="shared" si="3"/>
        <v>75824903.206029013</v>
      </c>
      <c r="O110" s="4"/>
    </row>
    <row r="111" spans="1:15" ht="15" x14ac:dyDescent="0.2">
      <c r="A111" s="17" t="s">
        <v>106</v>
      </c>
      <c r="B111" s="16">
        <v>65005209.980000004</v>
      </c>
      <c r="C111" s="16">
        <v>0</v>
      </c>
      <c r="D111" s="16">
        <v>2596130.8466787497</v>
      </c>
      <c r="E111" s="16">
        <v>0</v>
      </c>
      <c r="F111" s="16">
        <v>362887.81</v>
      </c>
      <c r="G111" s="16">
        <v>207337.22</v>
      </c>
      <c r="H111" s="16">
        <v>3356548.12</v>
      </c>
      <c r="I111" s="16">
        <v>502962.32</v>
      </c>
      <c r="J111" s="16">
        <v>11491860.540000001</v>
      </c>
      <c r="K111" s="16">
        <v>0</v>
      </c>
      <c r="L111" s="16">
        <v>0</v>
      </c>
      <c r="M111" s="16">
        <v>428.02</v>
      </c>
      <c r="N111" s="18">
        <f t="shared" si="3"/>
        <v>83523364.856678754</v>
      </c>
      <c r="O111" s="4"/>
    </row>
    <row r="112" spans="1:15" ht="15" x14ac:dyDescent="0.2">
      <c r="A112" s="17" t="s">
        <v>107</v>
      </c>
      <c r="B112" s="16">
        <v>90701515.25</v>
      </c>
      <c r="C112" s="16">
        <v>0</v>
      </c>
      <c r="D112" s="16">
        <v>3013236.9358486766</v>
      </c>
      <c r="E112" s="16">
        <v>0</v>
      </c>
      <c r="F112" s="16">
        <v>441058.05</v>
      </c>
      <c r="G112" s="16">
        <v>235124.68</v>
      </c>
      <c r="H112" s="16">
        <v>4683378.46</v>
      </c>
      <c r="I112" s="16">
        <v>611306.22</v>
      </c>
      <c r="J112" s="16">
        <v>12015911.710000003</v>
      </c>
      <c r="K112" s="16">
        <v>0</v>
      </c>
      <c r="L112" s="16">
        <v>0</v>
      </c>
      <c r="M112" s="16">
        <v>520.22</v>
      </c>
      <c r="N112" s="18">
        <f t="shared" si="3"/>
        <v>111702051.52584869</v>
      </c>
      <c r="O112" s="4"/>
    </row>
    <row r="113" spans="1:15" ht="15" x14ac:dyDescent="0.2">
      <c r="A113" s="17" t="s">
        <v>108</v>
      </c>
      <c r="B113" s="16">
        <v>69766557.510000005</v>
      </c>
      <c r="C113" s="16">
        <v>0</v>
      </c>
      <c r="D113" s="16">
        <v>2370239.3786575682</v>
      </c>
      <c r="E113" s="16">
        <v>0</v>
      </c>
      <c r="F113" s="16">
        <v>621548.66</v>
      </c>
      <c r="G113" s="16">
        <v>320624.56</v>
      </c>
      <c r="H113" s="16">
        <v>3602400.6</v>
      </c>
      <c r="I113" s="16">
        <v>861466.11</v>
      </c>
      <c r="J113" s="16">
        <v>11985273.680000003</v>
      </c>
      <c r="K113" s="16">
        <v>0</v>
      </c>
      <c r="L113" s="16">
        <v>0</v>
      </c>
      <c r="M113" s="16">
        <v>733.12000000000012</v>
      </c>
      <c r="N113" s="18">
        <f t="shared" si="3"/>
        <v>89528843.618657574</v>
      </c>
      <c r="O113" s="4"/>
    </row>
    <row r="114" spans="1:15" ht="15" x14ac:dyDescent="0.2">
      <c r="A114" s="17" t="s">
        <v>109</v>
      </c>
      <c r="B114" s="16">
        <v>47477371.830000006</v>
      </c>
      <c r="C114" s="16">
        <v>0</v>
      </c>
      <c r="D114" s="16">
        <v>1948679.0488646103</v>
      </c>
      <c r="E114" s="16">
        <v>0</v>
      </c>
      <c r="F114" s="16">
        <v>376233.95</v>
      </c>
      <c r="G114" s="16">
        <v>170999.76</v>
      </c>
      <c r="H114" s="16">
        <v>2451497.09</v>
      </c>
      <c r="I114" s="16">
        <v>521460.06</v>
      </c>
      <c r="J114" s="16">
        <v>8872087.290000001</v>
      </c>
      <c r="K114" s="16">
        <v>0</v>
      </c>
      <c r="L114" s="16">
        <v>0</v>
      </c>
      <c r="M114" s="16">
        <v>443.76</v>
      </c>
      <c r="N114" s="18">
        <f t="shared" si="3"/>
        <v>61818772.788864613</v>
      </c>
      <c r="O114" s="4"/>
    </row>
    <row r="115" spans="1:15" ht="15" x14ac:dyDescent="0.2">
      <c r="A115" s="17" t="s">
        <v>110</v>
      </c>
      <c r="B115" s="16">
        <v>124915619.40000001</v>
      </c>
      <c r="C115" s="16">
        <v>0</v>
      </c>
      <c r="D115" s="16">
        <v>1875264.9716725494</v>
      </c>
      <c r="E115" s="16">
        <v>0</v>
      </c>
      <c r="F115" s="16">
        <v>389580.09</v>
      </c>
      <c r="G115" s="16">
        <v>284287.11</v>
      </c>
      <c r="H115" s="16">
        <v>6450025.8799999999</v>
      </c>
      <c r="I115" s="16">
        <v>539957.80000000005</v>
      </c>
      <c r="J115" s="16">
        <v>11763959.810000001</v>
      </c>
      <c r="K115" s="16">
        <v>0</v>
      </c>
      <c r="L115" s="16">
        <v>0</v>
      </c>
      <c r="M115" s="16">
        <v>459.49</v>
      </c>
      <c r="N115" s="18">
        <f t="shared" si="3"/>
        <v>146219154.55167258</v>
      </c>
      <c r="O115" s="4"/>
    </row>
    <row r="116" spans="1:15" ht="15" x14ac:dyDescent="0.2">
      <c r="A116" s="17" t="s">
        <v>111</v>
      </c>
      <c r="B116" s="16">
        <v>68296641.75</v>
      </c>
      <c r="C116" s="16">
        <v>0</v>
      </c>
      <c r="D116" s="16">
        <v>2548203.1170794792</v>
      </c>
      <c r="E116" s="16">
        <v>0</v>
      </c>
      <c r="F116" s="16">
        <v>1075317.32</v>
      </c>
      <c r="G116" s="16">
        <v>438186.9</v>
      </c>
      <c r="H116" s="16">
        <v>3526501.4</v>
      </c>
      <c r="I116" s="16">
        <v>1490389.22</v>
      </c>
      <c r="J116" s="16">
        <v>16301815.769999998</v>
      </c>
      <c r="K116" s="16">
        <v>0</v>
      </c>
      <c r="L116" s="16">
        <v>0</v>
      </c>
      <c r="M116" s="16">
        <v>1268.3699999999999</v>
      </c>
      <c r="N116" s="18">
        <f t="shared" si="3"/>
        <v>93678323.847079486</v>
      </c>
      <c r="O116" s="4"/>
    </row>
    <row r="117" spans="1:15" ht="15" x14ac:dyDescent="0.2">
      <c r="A117" s="17" t="s">
        <v>112</v>
      </c>
      <c r="B117" s="16">
        <v>36425782.899999991</v>
      </c>
      <c r="C117" s="16">
        <v>0</v>
      </c>
      <c r="D117" s="16">
        <v>436311.2981185019</v>
      </c>
      <c r="E117" s="16">
        <v>0</v>
      </c>
      <c r="F117" s="16">
        <v>226248.79</v>
      </c>
      <c r="G117" s="16">
        <v>117562.34</v>
      </c>
      <c r="H117" s="16">
        <v>1880847.6</v>
      </c>
      <c r="I117" s="16">
        <v>313580.71000000002</v>
      </c>
      <c r="J117" s="16">
        <v>4657467.24</v>
      </c>
      <c r="K117" s="16">
        <v>0</v>
      </c>
      <c r="L117" s="16">
        <v>0</v>
      </c>
      <c r="M117" s="16">
        <v>266.83</v>
      </c>
      <c r="N117" s="18">
        <f t="shared" si="3"/>
        <v>44058067.708118498</v>
      </c>
      <c r="O117" s="4"/>
    </row>
    <row r="118" spans="1:15" ht="15" x14ac:dyDescent="0.2">
      <c r="A118" s="17" t="s">
        <v>113</v>
      </c>
      <c r="B118" s="16">
        <v>57363008.999999993</v>
      </c>
      <c r="C118" s="16">
        <v>0</v>
      </c>
      <c r="D118" s="16">
        <v>2173082.0104283914</v>
      </c>
      <c r="E118" s="16">
        <v>0</v>
      </c>
      <c r="F118" s="16">
        <v>1067055.42</v>
      </c>
      <c r="G118" s="16">
        <v>446736.89</v>
      </c>
      <c r="H118" s="16">
        <v>2961942.59</v>
      </c>
      <c r="I118" s="16">
        <v>1478938.24</v>
      </c>
      <c r="J118" s="16">
        <v>12830541.649999999</v>
      </c>
      <c r="K118" s="16">
        <v>0</v>
      </c>
      <c r="L118" s="16">
        <v>0</v>
      </c>
      <c r="M118" s="16">
        <v>1258.5999999999999</v>
      </c>
      <c r="N118" s="18">
        <f t="shared" si="3"/>
        <v>78322564.400428385</v>
      </c>
      <c r="O118" s="4"/>
    </row>
    <row r="119" spans="1:15" ht="15" x14ac:dyDescent="0.2">
      <c r="A119" s="17" t="s">
        <v>114</v>
      </c>
      <c r="B119" s="16">
        <v>84384053.179999977</v>
      </c>
      <c r="C119" s="16">
        <v>0</v>
      </c>
      <c r="D119" s="16">
        <v>1767510.3241761264</v>
      </c>
      <c r="E119" s="16">
        <v>0</v>
      </c>
      <c r="F119" s="16">
        <v>857330.41</v>
      </c>
      <c r="G119" s="16">
        <v>314212.07</v>
      </c>
      <c r="H119" s="16">
        <v>4357175.91</v>
      </c>
      <c r="I119" s="16">
        <v>1188259.49</v>
      </c>
      <c r="J119" s="16">
        <v>11851484.559999999</v>
      </c>
      <c r="K119" s="16">
        <v>0</v>
      </c>
      <c r="L119" s="16">
        <v>0</v>
      </c>
      <c r="M119" s="16">
        <v>1011.24</v>
      </c>
      <c r="N119" s="18">
        <f t="shared" si="3"/>
        <v>104721037.18417609</v>
      </c>
      <c r="O119" s="4"/>
    </row>
    <row r="120" spans="1:15" ht="15" x14ac:dyDescent="0.2">
      <c r="A120" s="17" t="s">
        <v>115</v>
      </c>
      <c r="B120" s="16">
        <v>54350589.049999997</v>
      </c>
      <c r="C120" s="16">
        <v>0</v>
      </c>
      <c r="D120" s="16">
        <v>1465737.3277193047</v>
      </c>
      <c r="E120" s="16">
        <v>0</v>
      </c>
      <c r="F120" s="16">
        <v>577697.06999999995</v>
      </c>
      <c r="G120" s="16">
        <v>316349.57</v>
      </c>
      <c r="H120" s="16">
        <v>2806396.09</v>
      </c>
      <c r="I120" s="16">
        <v>800687.82</v>
      </c>
      <c r="J120" s="16">
        <v>12545010.749999998</v>
      </c>
      <c r="K120" s="16">
        <v>0</v>
      </c>
      <c r="L120" s="16">
        <v>0</v>
      </c>
      <c r="M120" s="16">
        <v>681.4</v>
      </c>
      <c r="N120" s="18">
        <f t="shared" si="3"/>
        <v>72863149.077719301</v>
      </c>
      <c r="O120" s="4"/>
    </row>
    <row r="121" spans="1:15" ht="15" x14ac:dyDescent="0.2">
      <c r="A121" s="17" t="s">
        <v>116</v>
      </c>
      <c r="B121" s="16">
        <v>63703154.970000014</v>
      </c>
      <c r="C121" s="16">
        <v>0</v>
      </c>
      <c r="D121" s="16">
        <v>1925561.1523272614</v>
      </c>
      <c r="E121" s="16">
        <v>0</v>
      </c>
      <c r="F121" s="16">
        <v>242772.58</v>
      </c>
      <c r="G121" s="16">
        <v>115424.84</v>
      </c>
      <c r="H121" s="16">
        <v>3289316.42</v>
      </c>
      <c r="I121" s="16">
        <v>336482.67</v>
      </c>
      <c r="J121" s="16">
        <v>6872668.830000001</v>
      </c>
      <c r="K121" s="16">
        <v>0</v>
      </c>
      <c r="L121" s="16">
        <v>0</v>
      </c>
      <c r="M121" s="16">
        <v>286.32</v>
      </c>
      <c r="N121" s="18">
        <f t="shared" si="3"/>
        <v>76485667.782327265</v>
      </c>
      <c r="O121" s="4"/>
    </row>
    <row r="122" spans="1:15" ht="15" x14ac:dyDescent="0.2">
      <c r="A122" s="17" t="s">
        <v>117</v>
      </c>
      <c r="B122" s="16">
        <v>191472407.25</v>
      </c>
      <c r="C122" s="16">
        <v>0</v>
      </c>
      <c r="D122" s="16">
        <v>2665330.0350000001</v>
      </c>
      <c r="E122" s="16">
        <v>0</v>
      </c>
      <c r="F122" s="16">
        <v>7308598.8200000003</v>
      </c>
      <c r="G122" s="16">
        <v>3040769.2716183728</v>
      </c>
      <c r="H122" s="16">
        <v>9886689.8100000005</v>
      </c>
      <c r="I122" s="16">
        <v>10129713.949999999</v>
      </c>
      <c r="J122" s="16">
        <v>33391354.450000003</v>
      </c>
      <c r="K122" s="16">
        <v>0</v>
      </c>
      <c r="L122" s="16">
        <v>0</v>
      </c>
      <c r="M122" s="16">
        <v>8620.82</v>
      </c>
      <c r="N122" s="18">
        <f t="shared" si="3"/>
        <v>257903484.40661836</v>
      </c>
      <c r="O122" s="4"/>
    </row>
    <row r="123" spans="1:15" ht="15" x14ac:dyDescent="0.2">
      <c r="A123" s="17" t="s">
        <v>118</v>
      </c>
      <c r="B123" s="16">
        <v>480501400.12</v>
      </c>
      <c r="C123" s="16">
        <v>0</v>
      </c>
      <c r="D123" s="16">
        <v>5857630.46</v>
      </c>
      <c r="E123" s="16">
        <v>0</v>
      </c>
      <c r="F123" s="16">
        <v>10159587.890000001</v>
      </c>
      <c r="G123" s="16">
        <v>7661957.1232721498</v>
      </c>
      <c r="H123" s="16">
        <v>24810720.059999999</v>
      </c>
      <c r="I123" s="16">
        <v>14081183.24</v>
      </c>
      <c r="J123" s="16">
        <v>44174194.309999995</v>
      </c>
      <c r="K123" s="16">
        <v>0</v>
      </c>
      <c r="L123" s="16">
        <v>0</v>
      </c>
      <c r="M123" s="16">
        <v>11983.7</v>
      </c>
      <c r="N123" s="18">
        <f t="shared" si="3"/>
        <v>587258656.90327203</v>
      </c>
      <c r="O123" s="4"/>
    </row>
    <row r="124" spans="1:15" ht="15" x14ac:dyDescent="0.2">
      <c r="A124" s="17" t="s">
        <v>119</v>
      </c>
      <c r="B124" s="16">
        <v>366800693.46000004</v>
      </c>
      <c r="C124" s="16">
        <v>0</v>
      </c>
      <c r="D124" s="16">
        <v>2517163.89</v>
      </c>
      <c r="E124" s="16">
        <v>0</v>
      </c>
      <c r="F124" s="16">
        <v>13009941.439999999</v>
      </c>
      <c r="G124" s="16">
        <v>0</v>
      </c>
      <c r="H124" s="16">
        <v>18939776.920000002</v>
      </c>
      <c r="I124" s="16">
        <v>18031771.68</v>
      </c>
      <c r="J124" s="16">
        <v>61816095.879999995</v>
      </c>
      <c r="K124" s="16">
        <v>0</v>
      </c>
      <c r="L124" s="16">
        <v>0</v>
      </c>
      <c r="M124" s="16">
        <v>15345.83</v>
      </c>
      <c r="N124" s="18">
        <f t="shared" si="3"/>
        <v>481130789.10000002</v>
      </c>
      <c r="O124" s="4"/>
    </row>
    <row r="125" spans="1:15" ht="15" x14ac:dyDescent="0.2">
      <c r="A125" s="17" t="s">
        <v>120</v>
      </c>
      <c r="B125" s="16">
        <v>128114047.25</v>
      </c>
      <c r="C125" s="16">
        <v>0</v>
      </c>
      <c r="D125" s="16">
        <v>2305409.7977034645</v>
      </c>
      <c r="E125" s="16">
        <v>0</v>
      </c>
      <c r="F125" s="16">
        <v>5058821.4400000004</v>
      </c>
      <c r="G125" s="16">
        <v>1994284.76</v>
      </c>
      <c r="H125" s="16">
        <v>6615176.9000000004</v>
      </c>
      <c r="I125" s="16">
        <v>7011523.7400000002</v>
      </c>
      <c r="J125" s="16">
        <v>38606803.099999994</v>
      </c>
      <c r="K125" s="16">
        <v>0</v>
      </c>
      <c r="L125" s="16">
        <v>0</v>
      </c>
      <c r="M125" s="16">
        <v>5967.09</v>
      </c>
      <c r="N125" s="18">
        <f t="shared" si="3"/>
        <v>189712034.07770348</v>
      </c>
      <c r="O125" s="4"/>
    </row>
    <row r="126" spans="1:15" ht="15" x14ac:dyDescent="0.2">
      <c r="A126" s="17" t="s">
        <v>121</v>
      </c>
      <c r="B126" s="16">
        <v>154624703.99000001</v>
      </c>
      <c r="C126" s="16">
        <v>0</v>
      </c>
      <c r="D126" s="16">
        <v>2419830.9720732784</v>
      </c>
      <c r="E126" s="16">
        <v>0</v>
      </c>
      <c r="F126" s="16">
        <v>2532588.37</v>
      </c>
      <c r="G126" s="16">
        <v>807973.89</v>
      </c>
      <c r="H126" s="16">
        <v>7984056.3399999999</v>
      </c>
      <c r="I126" s="16">
        <v>3510166.09</v>
      </c>
      <c r="J126" s="16">
        <v>25099897.760000002</v>
      </c>
      <c r="K126" s="16">
        <v>0</v>
      </c>
      <c r="L126" s="16">
        <v>0</v>
      </c>
      <c r="M126" s="16">
        <v>2987.2799999999997</v>
      </c>
      <c r="N126" s="18">
        <f t="shared" si="3"/>
        <v>196982204.69207329</v>
      </c>
      <c r="O126" s="4"/>
    </row>
    <row r="127" spans="1:15" ht="15" x14ac:dyDescent="0.2">
      <c r="A127" s="17" t="s">
        <v>122</v>
      </c>
      <c r="B127" s="16">
        <v>75607657.969999999</v>
      </c>
      <c r="C127" s="16">
        <v>0</v>
      </c>
      <c r="D127" s="16">
        <v>1216701.8167770237</v>
      </c>
      <c r="E127" s="16">
        <v>0</v>
      </c>
      <c r="F127" s="16">
        <v>2688293.3</v>
      </c>
      <c r="G127" s="16">
        <v>814386.38</v>
      </c>
      <c r="H127" s="16">
        <v>3904006.19</v>
      </c>
      <c r="I127" s="16">
        <v>3725973.04</v>
      </c>
      <c r="J127" s="16">
        <v>27924524.559999995</v>
      </c>
      <c r="K127" s="16">
        <v>0</v>
      </c>
      <c r="L127" s="16">
        <v>0</v>
      </c>
      <c r="M127" s="16">
        <v>3170.9300000000003</v>
      </c>
      <c r="N127" s="18">
        <f t="shared" si="3"/>
        <v>115884714.18677703</v>
      </c>
      <c r="O127" s="4"/>
    </row>
    <row r="128" spans="1:15" ht="15" x14ac:dyDescent="0.2">
      <c r="A128" s="17" t="s">
        <v>123</v>
      </c>
      <c r="B128" s="16">
        <v>42237394.300000004</v>
      </c>
      <c r="C128" s="16">
        <v>0</v>
      </c>
      <c r="D128" s="16">
        <v>1229148.8785325857</v>
      </c>
      <c r="E128" s="16">
        <v>0</v>
      </c>
      <c r="F128" s="16">
        <v>245950.23</v>
      </c>
      <c r="G128" s="16">
        <v>138937.31</v>
      </c>
      <c r="H128" s="16">
        <v>2180930.52</v>
      </c>
      <c r="I128" s="16">
        <v>340886.9</v>
      </c>
      <c r="J128" s="16">
        <v>6079590.9400000013</v>
      </c>
      <c r="K128" s="16">
        <v>0</v>
      </c>
      <c r="L128" s="16">
        <v>0</v>
      </c>
      <c r="M128" s="16">
        <v>290.08</v>
      </c>
      <c r="N128" s="18">
        <f t="shared" si="3"/>
        <v>52453129.15853259</v>
      </c>
      <c r="O128" s="4"/>
    </row>
    <row r="129" spans="1:15" ht="15" x14ac:dyDescent="0.2">
      <c r="A129" s="17" t="s">
        <v>124</v>
      </c>
      <c r="B129" s="16">
        <v>237187241.29000002</v>
      </c>
      <c r="C129" s="16">
        <v>0</v>
      </c>
      <c r="D129" s="16">
        <v>9184949.3470741324</v>
      </c>
      <c r="E129" s="16">
        <v>0</v>
      </c>
      <c r="F129" s="16">
        <v>3128080.29</v>
      </c>
      <c r="G129" s="16">
        <v>1695035.17</v>
      </c>
      <c r="H129" s="16">
        <v>12247178.15</v>
      </c>
      <c r="I129" s="16">
        <v>4335517.57</v>
      </c>
      <c r="J129" s="16">
        <v>39243793.719999999</v>
      </c>
      <c r="K129" s="16">
        <v>0</v>
      </c>
      <c r="L129" s="16">
        <v>0</v>
      </c>
      <c r="M129" s="16">
        <v>3689.6899999999996</v>
      </c>
      <c r="N129" s="18">
        <f t="shared" si="3"/>
        <v>307025485.22707409</v>
      </c>
      <c r="O129" s="4"/>
    </row>
    <row r="130" spans="1:15" ht="15" x14ac:dyDescent="0.2">
      <c r="A130" s="17" t="s">
        <v>125</v>
      </c>
      <c r="B130" s="16">
        <v>71172958.38000001</v>
      </c>
      <c r="C130" s="16">
        <v>0</v>
      </c>
      <c r="D130" s="16">
        <v>3242680.3852113355</v>
      </c>
      <c r="E130" s="16">
        <v>0</v>
      </c>
      <c r="F130" s="16">
        <v>387037.97</v>
      </c>
      <c r="G130" s="16">
        <v>126112.33</v>
      </c>
      <c r="H130" s="16">
        <v>3675020.19</v>
      </c>
      <c r="I130" s="16">
        <v>536434.42000000004</v>
      </c>
      <c r="J130" s="16">
        <v>10320415.790000001</v>
      </c>
      <c r="K130" s="16">
        <v>0</v>
      </c>
      <c r="L130" s="16">
        <v>0</v>
      </c>
      <c r="M130" s="16">
        <v>456.5</v>
      </c>
      <c r="N130" s="18">
        <f t="shared" si="3"/>
        <v>89461115.965211347</v>
      </c>
      <c r="O130" s="4"/>
    </row>
    <row r="131" spans="1:15" ht="15" x14ac:dyDescent="0.2">
      <c r="A131" s="17" t="s">
        <v>126</v>
      </c>
      <c r="B131" s="16">
        <v>375847026.95000005</v>
      </c>
      <c r="C131" s="16">
        <v>0</v>
      </c>
      <c r="D131" s="16">
        <v>6275204.3550000004</v>
      </c>
      <c r="E131" s="16">
        <v>0</v>
      </c>
      <c r="F131" s="16">
        <v>17090046.170000002</v>
      </c>
      <c r="G131" s="16">
        <v>1499120.7054220422</v>
      </c>
      <c r="H131" s="16">
        <v>19406884.91</v>
      </c>
      <c r="I131" s="16">
        <v>23686794.59</v>
      </c>
      <c r="J131" s="16">
        <v>83579606.029999971</v>
      </c>
      <c r="K131" s="16">
        <v>0</v>
      </c>
      <c r="L131" s="16">
        <v>0</v>
      </c>
      <c r="M131" s="16">
        <v>20158.519999999997</v>
      </c>
      <c r="N131" s="18">
        <f t="shared" si="3"/>
        <v>527404842.23042208</v>
      </c>
      <c r="O131" s="4"/>
    </row>
    <row r="132" spans="1:15" ht="15" x14ac:dyDescent="0.2">
      <c r="A132" s="17" t="s">
        <v>127</v>
      </c>
      <c r="B132" s="16">
        <v>15946771.23</v>
      </c>
      <c r="C132" s="16">
        <v>0</v>
      </c>
      <c r="D132" s="16">
        <v>194815.43355500096</v>
      </c>
      <c r="E132" s="16">
        <v>0</v>
      </c>
      <c r="F132" s="16">
        <v>73085.98</v>
      </c>
      <c r="G132" s="16">
        <v>23512.47</v>
      </c>
      <c r="H132" s="16">
        <v>823412.54</v>
      </c>
      <c r="I132" s="16">
        <v>101297.14</v>
      </c>
      <c r="J132" s="16">
        <v>2968423.68</v>
      </c>
      <c r="K132" s="16">
        <v>0</v>
      </c>
      <c r="L132" s="16">
        <v>0</v>
      </c>
      <c r="M132" s="16">
        <v>86.179999999999993</v>
      </c>
      <c r="N132" s="18">
        <f t="shared" si="3"/>
        <v>20131404.653555002</v>
      </c>
      <c r="O132" s="4"/>
    </row>
    <row r="133" spans="1:15" ht="15" x14ac:dyDescent="0.2">
      <c r="A133" s="17" t="s">
        <v>128</v>
      </c>
      <c r="B133" s="16">
        <v>90930622.479999989</v>
      </c>
      <c r="C133" s="16">
        <v>0</v>
      </c>
      <c r="D133" s="16">
        <v>2298872.7870794795</v>
      </c>
      <c r="E133" s="16">
        <v>0</v>
      </c>
      <c r="F133" s="16">
        <v>264380.61</v>
      </c>
      <c r="G133" s="16">
        <v>173137.26</v>
      </c>
      <c r="H133" s="16">
        <v>4695208.42</v>
      </c>
      <c r="I133" s="16">
        <v>366431.39</v>
      </c>
      <c r="J133" s="16">
        <v>10808693.319999997</v>
      </c>
      <c r="K133" s="16">
        <v>0</v>
      </c>
      <c r="L133" s="16">
        <v>0</v>
      </c>
      <c r="M133" s="16">
        <v>311.82</v>
      </c>
      <c r="N133" s="18">
        <f t="shared" si="3"/>
        <v>109537658.08707947</v>
      </c>
      <c r="O133" s="4"/>
    </row>
    <row r="134" spans="1:15" ht="15" x14ac:dyDescent="0.2">
      <c r="A134" s="17" t="s">
        <v>129</v>
      </c>
      <c r="B134" s="16">
        <v>174795214.80000001</v>
      </c>
      <c r="C134" s="16">
        <v>0</v>
      </c>
      <c r="D134" s="16">
        <v>4161234.5362637127</v>
      </c>
      <c r="E134" s="16">
        <v>0</v>
      </c>
      <c r="F134" s="16">
        <v>1233564.3700000001</v>
      </c>
      <c r="G134" s="16">
        <v>587811.68999999994</v>
      </c>
      <c r="H134" s="16">
        <v>9025561.9299999997</v>
      </c>
      <c r="I134" s="16">
        <v>1709719.55</v>
      </c>
      <c r="J134" s="16">
        <v>24055043.490000002</v>
      </c>
      <c r="K134" s="16">
        <v>0</v>
      </c>
      <c r="L134" s="16">
        <v>0</v>
      </c>
      <c r="M134" s="16">
        <v>1455.01</v>
      </c>
      <c r="N134" s="18">
        <f t="shared" si="3"/>
        <v>215569605.37626374</v>
      </c>
      <c r="O134" s="4"/>
    </row>
    <row r="135" spans="1:15" ht="15" x14ac:dyDescent="0.2">
      <c r="A135" s="17" t="s">
        <v>130</v>
      </c>
      <c r="B135" s="16">
        <v>145528465.99000001</v>
      </c>
      <c r="C135" s="16">
        <v>0</v>
      </c>
      <c r="D135" s="16">
        <v>6740865.8286547083</v>
      </c>
      <c r="E135" s="16">
        <v>0</v>
      </c>
      <c r="F135" s="16">
        <v>1857019.63</v>
      </c>
      <c r="G135" s="16">
        <v>782323.92</v>
      </c>
      <c r="H135" s="16">
        <v>7514371.5099999998</v>
      </c>
      <c r="I135" s="16">
        <v>2573828.19</v>
      </c>
      <c r="J135" s="16">
        <v>25819672.579999998</v>
      </c>
      <c r="K135" s="16">
        <v>0</v>
      </c>
      <c r="L135" s="16">
        <v>0</v>
      </c>
      <c r="M135" s="16">
        <v>2190.41</v>
      </c>
      <c r="N135" s="18">
        <f t="shared" si="3"/>
        <v>190818738.0586547</v>
      </c>
      <c r="O135" s="4"/>
    </row>
    <row r="136" spans="1:15" ht="15" x14ac:dyDescent="0.2">
      <c r="A136" s="17" t="s">
        <v>131</v>
      </c>
      <c r="B136" s="16">
        <v>247426747.12</v>
      </c>
      <c r="C136" s="16">
        <v>0</v>
      </c>
      <c r="D136" s="16">
        <v>3188993.3499999996</v>
      </c>
      <c r="E136" s="16">
        <v>0</v>
      </c>
      <c r="F136" s="16">
        <v>11048694.83</v>
      </c>
      <c r="G136" s="16">
        <v>5640719.6901363647</v>
      </c>
      <c r="H136" s="16">
        <v>12775895.68</v>
      </c>
      <c r="I136" s="16">
        <v>15313484.960000001</v>
      </c>
      <c r="J136" s="16">
        <v>60386027.32</v>
      </c>
      <c r="K136" s="16">
        <v>0</v>
      </c>
      <c r="L136" s="16">
        <v>0</v>
      </c>
      <c r="M136" s="16">
        <v>13032.45</v>
      </c>
      <c r="N136" s="18">
        <f t="shared" ref="N136:N142" si="4">SUM(B136:M136)</f>
        <v>355793595.40013635</v>
      </c>
      <c r="O136" s="4"/>
    </row>
    <row r="137" spans="1:15" ht="15" x14ac:dyDescent="0.2">
      <c r="A137" s="17" t="s">
        <v>132</v>
      </c>
      <c r="B137" s="16">
        <v>40733452.729999997</v>
      </c>
      <c r="C137" s="16">
        <v>0</v>
      </c>
      <c r="D137" s="16">
        <v>709761.98001583968</v>
      </c>
      <c r="E137" s="16">
        <v>0</v>
      </c>
      <c r="F137" s="16">
        <v>132190.29999999999</v>
      </c>
      <c r="G137" s="16">
        <v>119699.84</v>
      </c>
      <c r="H137" s="16">
        <v>2103274.4</v>
      </c>
      <c r="I137" s="16">
        <v>183215.7</v>
      </c>
      <c r="J137" s="16">
        <v>5628535.5499999998</v>
      </c>
      <c r="K137" s="16">
        <v>0</v>
      </c>
      <c r="L137" s="16">
        <v>0</v>
      </c>
      <c r="M137" s="16">
        <v>155.9</v>
      </c>
      <c r="N137" s="18">
        <f t="shared" si="4"/>
        <v>49610286.400015831</v>
      </c>
      <c r="O137" s="4"/>
    </row>
    <row r="138" spans="1:15" ht="15" x14ac:dyDescent="0.2">
      <c r="A138" s="17" t="s">
        <v>133</v>
      </c>
      <c r="B138" s="16">
        <v>88095136.829999998</v>
      </c>
      <c r="C138" s="16">
        <v>0</v>
      </c>
      <c r="D138" s="16">
        <v>4979479.2431361498</v>
      </c>
      <c r="E138" s="16">
        <v>0</v>
      </c>
      <c r="F138" s="16">
        <v>1150945.43</v>
      </c>
      <c r="G138" s="16">
        <v>489486.83</v>
      </c>
      <c r="H138" s="16">
        <v>4548797.9400000004</v>
      </c>
      <c r="I138" s="16">
        <v>1595209.74</v>
      </c>
      <c r="J138" s="16">
        <v>20780722.020000003</v>
      </c>
      <c r="K138" s="16">
        <v>0</v>
      </c>
      <c r="L138" s="16">
        <v>0</v>
      </c>
      <c r="M138" s="16">
        <v>1357.57</v>
      </c>
      <c r="N138" s="18">
        <f t="shared" si="4"/>
        <v>121641135.60313615</v>
      </c>
      <c r="O138" s="4"/>
    </row>
    <row r="139" spans="1:15" ht="15" x14ac:dyDescent="0.2">
      <c r="A139" s="17" t="s">
        <v>134</v>
      </c>
      <c r="B139" s="16">
        <v>388273259.30000001</v>
      </c>
      <c r="C139" s="16">
        <v>0</v>
      </c>
      <c r="D139" s="16">
        <v>3936054.3800000004</v>
      </c>
      <c r="E139" s="16">
        <v>0</v>
      </c>
      <c r="F139" s="16">
        <v>5919329.5099999998</v>
      </c>
      <c r="G139" s="16">
        <v>5206538.1579176579</v>
      </c>
      <c r="H139" s="16">
        <v>20048514.239999998</v>
      </c>
      <c r="I139" s="16">
        <v>8204187.4400000004</v>
      </c>
      <c r="J139" s="16">
        <v>37741256.049999997</v>
      </c>
      <c r="K139" s="16">
        <v>0</v>
      </c>
      <c r="L139" s="16">
        <v>0</v>
      </c>
      <c r="M139" s="16">
        <v>6982.1</v>
      </c>
      <c r="N139" s="18">
        <f t="shared" si="4"/>
        <v>469336121.17791772</v>
      </c>
      <c r="O139" s="4"/>
    </row>
    <row r="140" spans="1:15" ht="15" x14ac:dyDescent="0.2">
      <c r="A140" s="17" t="s">
        <v>135</v>
      </c>
      <c r="B140" s="16">
        <v>109381694.78</v>
      </c>
      <c r="C140" s="16">
        <v>0</v>
      </c>
      <c r="D140" s="16">
        <v>1607966.6599999997</v>
      </c>
      <c r="E140" s="16">
        <v>0</v>
      </c>
      <c r="F140" s="16">
        <v>976174.59</v>
      </c>
      <c r="G140" s="16">
        <v>433911.9</v>
      </c>
      <c r="H140" s="16">
        <v>5647930.7000000002</v>
      </c>
      <c r="I140" s="16">
        <v>1352977.45</v>
      </c>
      <c r="J140" s="16">
        <v>9900876.3599999994</v>
      </c>
      <c r="K140" s="16">
        <v>0</v>
      </c>
      <c r="L140" s="16">
        <v>0</v>
      </c>
      <c r="M140" s="16">
        <v>1151.4099999999999</v>
      </c>
      <c r="N140" s="18">
        <f t="shared" si="4"/>
        <v>129302683.85000001</v>
      </c>
      <c r="O140" s="4"/>
    </row>
    <row r="141" spans="1:15" ht="15" x14ac:dyDescent="0.2">
      <c r="A141" s="17" t="s">
        <v>136</v>
      </c>
      <c r="B141" s="16">
        <v>132659897.86</v>
      </c>
      <c r="C141" s="16">
        <v>0</v>
      </c>
      <c r="D141" s="16">
        <v>3568239.4694847823</v>
      </c>
      <c r="E141" s="16">
        <v>0</v>
      </c>
      <c r="F141" s="16">
        <v>1407699.68</v>
      </c>
      <c r="G141" s="16">
        <v>423224.42</v>
      </c>
      <c r="H141" s="16">
        <v>6849902.1900000004</v>
      </c>
      <c r="I141" s="16">
        <v>1951070.99</v>
      </c>
      <c r="J141" s="16">
        <v>25882089.969999999</v>
      </c>
      <c r="K141" s="16">
        <v>0</v>
      </c>
      <c r="L141" s="16">
        <v>0</v>
      </c>
      <c r="M141" s="16">
        <v>1660.42</v>
      </c>
      <c r="N141" s="18">
        <f t="shared" si="4"/>
        <v>172743784.99948478</v>
      </c>
      <c r="O141" s="4"/>
    </row>
    <row r="142" spans="1:15" ht="15" x14ac:dyDescent="0.2">
      <c r="A142" s="17" t="s">
        <v>137</v>
      </c>
      <c r="B142" s="16">
        <v>125507668.80999999</v>
      </c>
      <c r="C142" s="16">
        <v>0</v>
      </c>
      <c r="D142" s="16">
        <v>2222031.9537477349</v>
      </c>
      <c r="E142" s="16">
        <v>0</v>
      </c>
      <c r="F142" s="16">
        <v>6052155.3499999996</v>
      </c>
      <c r="G142" s="16">
        <v>1562510.35</v>
      </c>
      <c r="H142" s="16">
        <v>6480596.3899999997</v>
      </c>
      <c r="I142" s="16">
        <v>8388284</v>
      </c>
      <c r="J142" s="16">
        <v>35139040.450000003</v>
      </c>
      <c r="K142" s="16">
        <v>0</v>
      </c>
      <c r="L142" s="16">
        <v>0</v>
      </c>
      <c r="M142" s="16">
        <v>7138.78</v>
      </c>
      <c r="N142" s="18">
        <f t="shared" si="4"/>
        <v>185359426.08374771</v>
      </c>
      <c r="O142" s="4"/>
    </row>
    <row r="143" spans="1:15" ht="24.75" customHeight="1" x14ac:dyDescent="0.2">
      <c r="A143" s="24" t="s">
        <v>138</v>
      </c>
      <c r="B143" s="25">
        <f t="shared" ref="B143:L143" si="5">SUM(B8:B142)</f>
        <v>22683885279.000008</v>
      </c>
      <c r="C143" s="25">
        <f t="shared" si="5"/>
        <v>0</v>
      </c>
      <c r="D143" s="25">
        <f t="shared" si="5"/>
        <v>415637495.72852945</v>
      </c>
      <c r="E143" s="25">
        <f t="shared" si="5"/>
        <v>0</v>
      </c>
      <c r="F143" s="25">
        <f t="shared" si="5"/>
        <v>635530332.70000017</v>
      </c>
      <c r="G143" s="25">
        <f t="shared" si="5"/>
        <v>213749706.18999985</v>
      </c>
      <c r="H143" s="25">
        <f t="shared" si="5"/>
        <v>1171283845.8500009</v>
      </c>
      <c r="I143" s="25">
        <f t="shared" si="5"/>
        <v>880844691.32000029</v>
      </c>
      <c r="J143" s="25">
        <f t="shared" si="5"/>
        <v>4389406235.46</v>
      </c>
      <c r="K143" s="25">
        <f t="shared" si="5"/>
        <v>0</v>
      </c>
      <c r="L143" s="25">
        <f t="shared" si="5"/>
        <v>0</v>
      </c>
      <c r="M143" s="25">
        <f>SUM(M8:M142)</f>
        <v>749634.72</v>
      </c>
      <c r="N143" s="25">
        <f>SUM(N8:N142)</f>
        <v>30391087220.968529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44AEAC"/>
  </sheetPr>
  <dimension ref="A1:Q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6384" width="12" style="1"/>
  </cols>
  <sheetData>
    <row r="1" spans="1:17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7" ht="17.25" customHeight="1" x14ac:dyDescent="0.25">
      <c r="A4" s="23" t="s">
        <v>169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7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7" ht="18.75" customHeight="1" x14ac:dyDescent="0.2">
      <c r="A6" s="28" t="s">
        <v>2</v>
      </c>
      <c r="B6" s="29" t="s">
        <v>168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7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7" ht="18" customHeight="1" x14ac:dyDescent="0.2">
      <c r="A8" s="17" t="s">
        <v>3</v>
      </c>
      <c r="B8" s="16">
        <v>98016683.159999996</v>
      </c>
      <c r="C8" s="16">
        <v>0</v>
      </c>
      <c r="D8" s="16">
        <v>24789918.327583224</v>
      </c>
      <c r="E8" s="16">
        <v>1981052.3333923311</v>
      </c>
      <c r="F8" s="16">
        <v>294550.95</v>
      </c>
      <c r="G8" s="16">
        <v>155765.67000000001</v>
      </c>
      <c r="H8" s="16">
        <v>5356667.0999999996</v>
      </c>
      <c r="I8" s="16">
        <v>784805.26</v>
      </c>
      <c r="J8" s="16">
        <v>15216250.499999994</v>
      </c>
      <c r="K8" s="16">
        <v>0</v>
      </c>
      <c r="L8" s="16">
        <v>0</v>
      </c>
      <c r="M8" s="16">
        <v>228.29000000000002</v>
      </c>
      <c r="N8" s="18">
        <f t="shared" ref="N8:N39" si="0">SUM(B8:M8)</f>
        <v>146595921.59097555</v>
      </c>
      <c r="O8" s="10"/>
      <c r="P8" s="10"/>
      <c r="Q8" s="10"/>
    </row>
    <row r="9" spans="1:17" ht="18" customHeight="1" x14ac:dyDescent="0.2">
      <c r="A9" s="17" t="s">
        <v>4</v>
      </c>
      <c r="B9" s="16">
        <v>55325730.510000005</v>
      </c>
      <c r="C9" s="16">
        <v>0</v>
      </c>
      <c r="D9" s="16">
        <v>21735906.459391486</v>
      </c>
      <c r="E9" s="16">
        <v>1235065.554081294</v>
      </c>
      <c r="F9" s="16">
        <v>206368.62</v>
      </c>
      <c r="G9" s="16">
        <v>110036.3</v>
      </c>
      <c r="H9" s="16">
        <v>3023582.43</v>
      </c>
      <c r="I9" s="16">
        <v>549851.14</v>
      </c>
      <c r="J9" s="16">
        <v>11570321.840000002</v>
      </c>
      <c r="K9" s="16">
        <v>0</v>
      </c>
      <c r="L9" s="16">
        <v>0</v>
      </c>
      <c r="M9" s="16">
        <v>159.93</v>
      </c>
      <c r="N9" s="18">
        <f t="shared" si="0"/>
        <v>93757022.783472806</v>
      </c>
    </row>
    <row r="10" spans="1:17" ht="18" customHeight="1" x14ac:dyDescent="0.2">
      <c r="A10" s="17" t="s">
        <v>5</v>
      </c>
      <c r="B10" s="16">
        <v>46944408.38000001</v>
      </c>
      <c r="C10" s="16">
        <v>0</v>
      </c>
      <c r="D10" s="16">
        <v>17301169.909923896</v>
      </c>
      <c r="E10" s="16">
        <v>907670.77414515603</v>
      </c>
      <c r="F10" s="16">
        <v>144165.31</v>
      </c>
      <c r="G10" s="16">
        <v>97174.92</v>
      </c>
      <c r="H10" s="16">
        <v>2565538.44</v>
      </c>
      <c r="I10" s="16">
        <v>384115.87</v>
      </c>
      <c r="J10" s="16">
        <v>6719979.8199999994</v>
      </c>
      <c r="K10" s="16">
        <v>0</v>
      </c>
      <c r="L10" s="16">
        <v>0</v>
      </c>
      <c r="M10" s="16">
        <v>111.72</v>
      </c>
      <c r="N10" s="18">
        <f t="shared" si="0"/>
        <v>75064335.144069061</v>
      </c>
    </row>
    <row r="11" spans="1:17" ht="18" customHeight="1" x14ac:dyDescent="0.2">
      <c r="A11" s="17" t="s">
        <v>6</v>
      </c>
      <c r="B11" s="16">
        <v>504016742.15000004</v>
      </c>
      <c r="C11" s="16">
        <v>0</v>
      </c>
      <c r="D11" s="16">
        <v>7258360.5994001031</v>
      </c>
      <c r="E11" s="16">
        <v>18972230.384107262</v>
      </c>
      <c r="F11" s="16">
        <v>15473987.57</v>
      </c>
      <c r="G11" s="16">
        <v>8926571.4704907499</v>
      </c>
      <c r="H11" s="16">
        <v>27544799.66</v>
      </c>
      <c r="I11" s="16">
        <v>41229086.229999997</v>
      </c>
      <c r="J11" s="16">
        <v>129647369.00999999</v>
      </c>
      <c r="K11" s="16">
        <v>0</v>
      </c>
      <c r="L11" s="16">
        <v>0</v>
      </c>
      <c r="M11" s="16">
        <v>11994.720000000001</v>
      </c>
      <c r="N11" s="18">
        <f t="shared" si="0"/>
        <v>753081141.79399812</v>
      </c>
    </row>
    <row r="12" spans="1:17" ht="18" customHeight="1" x14ac:dyDescent="0.2">
      <c r="A12" s="17" t="s">
        <v>7</v>
      </c>
      <c r="B12" s="16">
        <v>68882288.00999999</v>
      </c>
      <c r="C12" s="16">
        <v>0</v>
      </c>
      <c r="D12" s="16">
        <v>22009811.489915442</v>
      </c>
      <c r="E12" s="16">
        <v>1577953.1927028329</v>
      </c>
      <c r="F12" s="16">
        <v>529094.01</v>
      </c>
      <c r="G12" s="16">
        <v>265801.98</v>
      </c>
      <c r="H12" s="16">
        <v>3764455.95</v>
      </c>
      <c r="I12" s="16">
        <v>1409724.73</v>
      </c>
      <c r="J12" s="16">
        <v>13296015.509999996</v>
      </c>
      <c r="K12" s="16">
        <v>0</v>
      </c>
      <c r="L12" s="16">
        <v>0</v>
      </c>
      <c r="M12" s="16">
        <v>410.09</v>
      </c>
      <c r="N12" s="18">
        <f t="shared" si="0"/>
        <v>111735554.96261828</v>
      </c>
    </row>
    <row r="13" spans="1:17" ht="18" customHeight="1" x14ac:dyDescent="0.2">
      <c r="A13" s="17" t="s">
        <v>8</v>
      </c>
      <c r="B13" s="16">
        <v>296692168.43000001</v>
      </c>
      <c r="C13" s="16">
        <v>0</v>
      </c>
      <c r="D13" s="16">
        <v>8584465.3675581776</v>
      </c>
      <c r="E13" s="16">
        <v>11507706.323821157</v>
      </c>
      <c r="F13" s="16">
        <v>7524770.7300000004</v>
      </c>
      <c r="G13" s="16">
        <v>0</v>
      </c>
      <c r="H13" s="16">
        <v>16214394.6</v>
      </c>
      <c r="I13" s="16">
        <v>20049093.359999999</v>
      </c>
      <c r="J13" s="16">
        <v>98090273.699999988</v>
      </c>
      <c r="K13" s="16">
        <v>0</v>
      </c>
      <c r="L13" s="16">
        <v>0</v>
      </c>
      <c r="M13" s="16">
        <v>5832.83</v>
      </c>
      <c r="N13" s="18">
        <f t="shared" si="0"/>
        <v>458668705.3413794</v>
      </c>
    </row>
    <row r="14" spans="1:17" ht="18" customHeight="1" x14ac:dyDescent="0.2">
      <c r="A14" s="17" t="s">
        <v>9</v>
      </c>
      <c r="B14" s="16">
        <v>105613663.30000001</v>
      </c>
      <c r="C14" s="16">
        <v>0</v>
      </c>
      <c r="D14" s="16">
        <v>36951444.728301391</v>
      </c>
      <c r="E14" s="16">
        <v>2311660.1979710008</v>
      </c>
      <c r="F14" s="16">
        <v>342484.09</v>
      </c>
      <c r="G14" s="16">
        <v>185775.57</v>
      </c>
      <c r="H14" s="16">
        <v>5771846.3600000003</v>
      </c>
      <c r="I14" s="16">
        <v>912518.91</v>
      </c>
      <c r="J14" s="16">
        <v>20202352.609999999</v>
      </c>
      <c r="K14" s="16">
        <v>0</v>
      </c>
      <c r="L14" s="16">
        <v>0</v>
      </c>
      <c r="M14" s="16">
        <v>265.45</v>
      </c>
      <c r="N14" s="18">
        <f t="shared" si="0"/>
        <v>172292011.21627241</v>
      </c>
    </row>
    <row r="15" spans="1:17" ht="18" customHeight="1" x14ac:dyDescent="0.2">
      <c r="A15" s="17" t="s">
        <v>10</v>
      </c>
      <c r="B15" s="16">
        <v>171936769.07999998</v>
      </c>
      <c r="C15" s="16">
        <v>0</v>
      </c>
      <c r="D15" s="16">
        <v>56879532.408419713</v>
      </c>
      <c r="E15" s="16">
        <v>3767760.1822422748</v>
      </c>
      <c r="F15" s="16">
        <v>1275899.6100000001</v>
      </c>
      <c r="G15" s="16">
        <v>597339.92000000004</v>
      </c>
      <c r="H15" s="16">
        <v>9396441.5500000007</v>
      </c>
      <c r="I15" s="16">
        <v>3399522.91</v>
      </c>
      <c r="J15" s="16">
        <v>32694687.73</v>
      </c>
      <c r="K15" s="16">
        <v>0</v>
      </c>
      <c r="L15" s="16">
        <v>0</v>
      </c>
      <c r="M15" s="16">
        <v>988.9799999999999</v>
      </c>
      <c r="N15" s="18">
        <f t="shared" si="0"/>
        <v>279948942.37066203</v>
      </c>
    </row>
    <row r="16" spans="1:17" ht="18" customHeight="1" x14ac:dyDescent="0.2">
      <c r="A16" s="17" t="s">
        <v>11</v>
      </c>
      <c r="B16" s="16">
        <v>319404911.62</v>
      </c>
      <c r="C16" s="16">
        <v>0</v>
      </c>
      <c r="D16" s="16">
        <v>17560456.207279325</v>
      </c>
      <c r="E16" s="16">
        <v>12559621.316774484</v>
      </c>
      <c r="F16" s="16">
        <v>4758553.04</v>
      </c>
      <c r="G16" s="16">
        <v>2758052.76</v>
      </c>
      <c r="H16" s="16">
        <v>17455658.84</v>
      </c>
      <c r="I16" s="16">
        <v>12678748.32</v>
      </c>
      <c r="J16" s="16">
        <v>80786880.289999977</v>
      </c>
      <c r="K16" s="16">
        <v>0</v>
      </c>
      <c r="L16" s="16">
        <v>0</v>
      </c>
      <c r="M16" s="16">
        <v>3688.58</v>
      </c>
      <c r="N16" s="18">
        <f t="shared" si="0"/>
        <v>467966570.97405374</v>
      </c>
    </row>
    <row r="17" spans="1:14" ht="15" x14ac:dyDescent="0.2">
      <c r="A17" s="17" t="s">
        <v>12</v>
      </c>
      <c r="B17" s="16">
        <v>116241378.8</v>
      </c>
      <c r="C17" s="16">
        <v>0</v>
      </c>
      <c r="D17" s="16">
        <v>50185767.486772172</v>
      </c>
      <c r="E17" s="16">
        <v>2502730.7344872272</v>
      </c>
      <c r="F17" s="16">
        <v>977323.73</v>
      </c>
      <c r="G17" s="16">
        <v>400132.01</v>
      </c>
      <c r="H17" s="16">
        <v>6352657.0199999996</v>
      </c>
      <c r="I17" s="16">
        <v>2603993.6</v>
      </c>
      <c r="J17" s="16">
        <v>22127498.010000009</v>
      </c>
      <c r="K17" s="16">
        <v>0</v>
      </c>
      <c r="L17" s="16">
        <v>0</v>
      </c>
      <c r="M17" s="16">
        <v>757.53</v>
      </c>
      <c r="N17" s="18">
        <f t="shared" si="0"/>
        <v>201392238.9212594</v>
      </c>
    </row>
    <row r="18" spans="1:14" ht="15" x14ac:dyDescent="0.2">
      <c r="A18" s="17" t="s">
        <v>13</v>
      </c>
      <c r="B18" s="16">
        <v>67474737.729999989</v>
      </c>
      <c r="C18" s="16">
        <v>0</v>
      </c>
      <c r="D18" s="16">
        <v>19591267.518724099</v>
      </c>
      <c r="E18" s="16">
        <v>1534497.8135568732</v>
      </c>
      <c r="F18" s="16">
        <v>658623.25</v>
      </c>
      <c r="G18" s="16">
        <v>300099</v>
      </c>
      <c r="H18" s="16">
        <v>3687532.54</v>
      </c>
      <c r="I18" s="16">
        <v>1754844.06</v>
      </c>
      <c r="J18" s="16">
        <v>17660365.350000001</v>
      </c>
      <c r="K18" s="16">
        <v>0</v>
      </c>
      <c r="L18" s="16">
        <v>0</v>
      </c>
      <c r="M18" s="16">
        <v>510.5</v>
      </c>
      <c r="N18" s="18">
        <f t="shared" si="0"/>
        <v>112662477.76228097</v>
      </c>
    </row>
    <row r="19" spans="1:14" ht="15" x14ac:dyDescent="0.2">
      <c r="A19" s="17" t="s">
        <v>14</v>
      </c>
      <c r="B19" s="16">
        <v>117921434.62</v>
      </c>
      <c r="C19" s="16">
        <v>0</v>
      </c>
      <c r="D19" s="16">
        <v>34424530.38686505</v>
      </c>
      <c r="E19" s="16">
        <v>2566095.1662493977</v>
      </c>
      <c r="F19" s="16">
        <v>266010.61</v>
      </c>
      <c r="G19" s="16">
        <v>185775.57</v>
      </c>
      <c r="H19" s="16">
        <v>6444473.0099999998</v>
      </c>
      <c r="I19" s="16">
        <v>708762.02</v>
      </c>
      <c r="J19" s="16">
        <v>15522480.900000004</v>
      </c>
      <c r="K19" s="16">
        <v>0</v>
      </c>
      <c r="L19" s="16">
        <v>0</v>
      </c>
      <c r="M19" s="16">
        <v>206.16</v>
      </c>
      <c r="N19" s="18">
        <f t="shared" si="0"/>
        <v>178039768.44311446</v>
      </c>
    </row>
    <row r="20" spans="1:14" ht="15" x14ac:dyDescent="0.2">
      <c r="A20" s="17" t="s">
        <v>15</v>
      </c>
      <c r="B20" s="16">
        <v>398708758.90000004</v>
      </c>
      <c r="C20" s="16">
        <v>0</v>
      </c>
      <c r="D20" s="16">
        <v>4832945.9576933514</v>
      </c>
      <c r="E20" s="16">
        <v>15364820.89958737</v>
      </c>
      <c r="F20" s="16">
        <v>8490385.6099999994</v>
      </c>
      <c r="G20" s="16">
        <v>4844309.545536085</v>
      </c>
      <c r="H20" s="16">
        <v>21789658.890000001</v>
      </c>
      <c r="I20" s="16">
        <v>22621889.739999998</v>
      </c>
      <c r="J20" s="16">
        <v>88012157.320000008</v>
      </c>
      <c r="K20" s="16">
        <v>0</v>
      </c>
      <c r="L20" s="16">
        <v>0</v>
      </c>
      <c r="M20" s="16">
        <v>6581.3200000000006</v>
      </c>
      <c r="N20" s="18">
        <f t="shared" si="0"/>
        <v>564671508.18281698</v>
      </c>
    </row>
    <row r="21" spans="1:14" ht="15" x14ac:dyDescent="0.2">
      <c r="A21" s="17" t="s">
        <v>16</v>
      </c>
      <c r="B21" s="16">
        <v>172650022.68000001</v>
      </c>
      <c r="C21" s="16">
        <v>0</v>
      </c>
      <c r="D21" s="16">
        <v>3823432.9691973208</v>
      </c>
      <c r="E21" s="16">
        <v>3701848.2456676746</v>
      </c>
      <c r="F21" s="16">
        <v>2257614.17</v>
      </c>
      <c r="G21" s="16">
        <v>540978.46886450867</v>
      </c>
      <c r="H21" s="16">
        <v>9435421.2699999996</v>
      </c>
      <c r="I21" s="16">
        <v>6015215.4699999997</v>
      </c>
      <c r="J21" s="16">
        <v>28580483.100000005</v>
      </c>
      <c r="K21" s="16">
        <v>0</v>
      </c>
      <c r="L21" s="16">
        <v>0</v>
      </c>
      <c r="M21" s="16">
        <v>1749.9700000000003</v>
      </c>
      <c r="N21" s="18">
        <f t="shared" si="0"/>
        <v>227006766.3437295</v>
      </c>
    </row>
    <row r="22" spans="1:14" ht="15" x14ac:dyDescent="0.2">
      <c r="A22" s="17" t="s">
        <v>17</v>
      </c>
      <c r="B22" s="16">
        <v>128579955.08999999</v>
      </c>
      <c r="C22" s="16">
        <v>0</v>
      </c>
      <c r="D22" s="16">
        <v>27666795.814955648</v>
      </c>
      <c r="E22" s="16">
        <v>2849732.9098712043</v>
      </c>
      <c r="F22" s="16">
        <v>537509.75</v>
      </c>
      <c r="G22" s="16">
        <v>312960.39</v>
      </c>
      <c r="H22" s="16">
        <v>7026967.1799999997</v>
      </c>
      <c r="I22" s="16">
        <v>1432147.73</v>
      </c>
      <c r="J22" s="16">
        <v>22045897.550000001</v>
      </c>
      <c r="K22" s="16">
        <v>0</v>
      </c>
      <c r="L22" s="16">
        <v>0</v>
      </c>
      <c r="M22" s="16">
        <v>416.60999999999996</v>
      </c>
      <c r="N22" s="18">
        <f t="shared" si="0"/>
        <v>190452383.02482682</v>
      </c>
    </row>
    <row r="23" spans="1:14" ht="15" x14ac:dyDescent="0.2">
      <c r="A23" s="17" t="s">
        <v>18</v>
      </c>
      <c r="B23" s="16">
        <v>131797889.91</v>
      </c>
      <c r="C23" s="16">
        <v>0</v>
      </c>
      <c r="D23" s="16">
        <v>23349320.267152488</v>
      </c>
      <c r="E23" s="16">
        <v>2881034.0316182454</v>
      </c>
      <c r="F23" s="16">
        <v>515189.74</v>
      </c>
      <c r="G23" s="16">
        <v>378696.36</v>
      </c>
      <c r="H23" s="16">
        <v>7202829.1399999997</v>
      </c>
      <c r="I23" s="16">
        <v>1372678.02</v>
      </c>
      <c r="J23" s="16">
        <v>17811241.970000003</v>
      </c>
      <c r="K23" s="16">
        <v>0</v>
      </c>
      <c r="L23" s="16">
        <v>0</v>
      </c>
      <c r="M23" s="16">
        <v>399.31</v>
      </c>
      <c r="N23" s="18">
        <f t="shared" si="0"/>
        <v>185309278.74877074</v>
      </c>
    </row>
    <row r="24" spans="1:14" ht="15" x14ac:dyDescent="0.2">
      <c r="A24" s="17" t="s">
        <v>19</v>
      </c>
      <c r="B24" s="16">
        <v>40494321.039999999</v>
      </c>
      <c r="C24" s="16">
        <v>0</v>
      </c>
      <c r="D24" s="16">
        <v>13176631.236223128</v>
      </c>
      <c r="E24" s="16">
        <v>882079.44631165301</v>
      </c>
      <c r="F24" s="16">
        <v>535680.25</v>
      </c>
      <c r="G24" s="16">
        <v>90511.6010797013</v>
      </c>
      <c r="H24" s="16">
        <v>2213037.52</v>
      </c>
      <c r="I24" s="16">
        <v>1427273.17</v>
      </c>
      <c r="J24" s="16">
        <v>15228237.75</v>
      </c>
      <c r="K24" s="16">
        <v>0</v>
      </c>
      <c r="L24" s="16">
        <v>0</v>
      </c>
      <c r="M24" s="16">
        <v>415.20000000000005</v>
      </c>
      <c r="N24" s="18">
        <f t="shared" si="0"/>
        <v>74048187.213614479</v>
      </c>
    </row>
    <row r="25" spans="1:14" ht="15" x14ac:dyDescent="0.2">
      <c r="A25" s="17" t="s">
        <v>20</v>
      </c>
      <c r="B25" s="16">
        <v>188436386.27000001</v>
      </c>
      <c r="C25" s="16">
        <v>0</v>
      </c>
      <c r="D25" s="16">
        <v>7386464.3595859753</v>
      </c>
      <c r="E25" s="16">
        <v>3949140.2441760823</v>
      </c>
      <c r="F25" s="16">
        <v>2375800.4500000002</v>
      </c>
      <c r="G25" s="16">
        <v>864570.94</v>
      </c>
      <c r="H25" s="16">
        <v>10298154.949999999</v>
      </c>
      <c r="I25" s="16">
        <v>6330112.4800000004</v>
      </c>
      <c r="J25" s="16">
        <v>35481813.460000008</v>
      </c>
      <c r="K25" s="16">
        <v>0</v>
      </c>
      <c r="L25" s="16">
        <v>0</v>
      </c>
      <c r="M25" s="16">
        <v>1841.5600000000004</v>
      </c>
      <c r="N25" s="18">
        <f t="shared" si="0"/>
        <v>255124284.71376204</v>
      </c>
    </row>
    <row r="26" spans="1:14" ht="15" x14ac:dyDescent="0.2">
      <c r="A26" s="17" t="s">
        <v>21</v>
      </c>
      <c r="B26" s="16">
        <v>66545849.320000008</v>
      </c>
      <c r="C26" s="16">
        <v>0</v>
      </c>
      <c r="D26" s="16">
        <v>10799408.389129672</v>
      </c>
      <c r="E26" s="16">
        <v>1461895.6430562837</v>
      </c>
      <c r="F26" s="16">
        <v>1080508.04</v>
      </c>
      <c r="G26" s="16">
        <v>474442.23999999999</v>
      </c>
      <c r="H26" s="16">
        <v>3636768.26</v>
      </c>
      <c r="I26" s="16">
        <v>2878919.17</v>
      </c>
      <c r="J26" s="16">
        <v>24259075.860000007</v>
      </c>
      <c r="K26" s="16">
        <v>0</v>
      </c>
      <c r="L26" s="16">
        <v>0</v>
      </c>
      <c r="M26" s="16">
        <v>837.52999999999986</v>
      </c>
      <c r="N26" s="18">
        <f t="shared" si="0"/>
        <v>111137704.45218599</v>
      </c>
    </row>
    <row r="27" spans="1:14" ht="15" x14ac:dyDescent="0.2">
      <c r="A27" s="17" t="s">
        <v>22</v>
      </c>
      <c r="B27" s="16">
        <v>36001534.299999997</v>
      </c>
      <c r="C27" s="16">
        <v>0</v>
      </c>
      <c r="D27" s="16">
        <v>10115371.722450238</v>
      </c>
      <c r="E27" s="16">
        <v>753634.01228230586</v>
      </c>
      <c r="F27" s="16">
        <v>268571.92</v>
      </c>
      <c r="G27" s="16">
        <v>132900.99</v>
      </c>
      <c r="H27" s="16">
        <v>1967504.19</v>
      </c>
      <c r="I27" s="16">
        <v>715586.41</v>
      </c>
      <c r="J27" s="16">
        <v>7049896.0800000001</v>
      </c>
      <c r="K27" s="16">
        <v>0</v>
      </c>
      <c r="L27" s="16">
        <v>0</v>
      </c>
      <c r="M27" s="16">
        <v>208.15000000000003</v>
      </c>
      <c r="N27" s="18">
        <f t="shared" si="0"/>
        <v>57005207.774732538</v>
      </c>
    </row>
    <row r="28" spans="1:14" ht="15" x14ac:dyDescent="0.2">
      <c r="A28" s="17" t="s">
        <v>23</v>
      </c>
      <c r="B28" s="16">
        <v>118542273.29000002</v>
      </c>
      <c r="C28" s="16">
        <v>0</v>
      </c>
      <c r="D28" s="16">
        <v>24707745.394896496</v>
      </c>
      <c r="E28" s="16">
        <v>2485894.6673459006</v>
      </c>
      <c r="F28" s="16">
        <v>369926.73</v>
      </c>
      <c r="G28" s="16">
        <v>202924.09</v>
      </c>
      <c r="H28" s="16">
        <v>6478402.2000000002</v>
      </c>
      <c r="I28" s="16">
        <v>985637.41</v>
      </c>
      <c r="J28" s="16">
        <v>14420898.540000001</v>
      </c>
      <c r="K28" s="16">
        <v>0</v>
      </c>
      <c r="L28" s="16">
        <v>0</v>
      </c>
      <c r="M28" s="16">
        <v>286.70999999999998</v>
      </c>
      <c r="N28" s="18">
        <f t="shared" si="0"/>
        <v>168193989.03224242</v>
      </c>
    </row>
    <row r="29" spans="1:14" ht="15" x14ac:dyDescent="0.2">
      <c r="A29" s="17" t="s">
        <v>24</v>
      </c>
      <c r="B29" s="16">
        <v>75332375.319999993</v>
      </c>
      <c r="C29" s="16">
        <v>0</v>
      </c>
      <c r="D29" s="16">
        <v>24449779.158774681</v>
      </c>
      <c r="E29" s="16">
        <v>1481379.3454332459</v>
      </c>
      <c r="F29" s="16">
        <v>230884.04</v>
      </c>
      <c r="G29" s="16">
        <v>105749.17</v>
      </c>
      <c r="H29" s="16">
        <v>4116956.87</v>
      </c>
      <c r="I29" s="16">
        <v>615170.32999999996</v>
      </c>
      <c r="J29" s="16">
        <v>12598295.279999997</v>
      </c>
      <c r="K29" s="16">
        <v>0</v>
      </c>
      <c r="L29" s="16">
        <v>0</v>
      </c>
      <c r="M29" s="16">
        <v>178.94</v>
      </c>
      <c r="N29" s="18">
        <f t="shared" si="0"/>
        <v>118930768.45420793</v>
      </c>
    </row>
    <row r="30" spans="1:14" ht="15" x14ac:dyDescent="0.2">
      <c r="A30" s="17" t="s">
        <v>25</v>
      </c>
      <c r="B30" s="16">
        <v>23909397.780000001</v>
      </c>
      <c r="C30" s="16">
        <v>0</v>
      </c>
      <c r="D30" s="16">
        <v>14950987.509374699</v>
      </c>
      <c r="E30" s="16">
        <v>510187.94733344932</v>
      </c>
      <c r="F30" s="16">
        <v>199416.48</v>
      </c>
      <c r="G30" s="16">
        <v>134330.03</v>
      </c>
      <c r="H30" s="16">
        <v>1306662.1000000001</v>
      </c>
      <c r="I30" s="16">
        <v>531327.78</v>
      </c>
      <c r="J30" s="16">
        <v>9516541.3199999984</v>
      </c>
      <c r="K30" s="16">
        <v>0</v>
      </c>
      <c r="L30" s="16">
        <v>0</v>
      </c>
      <c r="M30" s="16">
        <v>154.55000000000001</v>
      </c>
      <c r="N30" s="18">
        <f t="shared" si="0"/>
        <v>51059005.496708147</v>
      </c>
    </row>
    <row r="31" spans="1:14" ht="15" x14ac:dyDescent="0.2">
      <c r="A31" s="17" t="s">
        <v>26</v>
      </c>
      <c r="B31" s="16">
        <v>43849693.430000007</v>
      </c>
      <c r="C31" s="16">
        <v>0</v>
      </c>
      <c r="D31" s="16">
        <v>8307280.3765948713</v>
      </c>
      <c r="E31" s="16">
        <v>933565.91552254593</v>
      </c>
      <c r="F31" s="16">
        <v>238202.07</v>
      </c>
      <c r="G31" s="16">
        <v>75739.27</v>
      </c>
      <c r="H31" s="16">
        <v>2396410.52</v>
      </c>
      <c r="I31" s="16">
        <v>634668.6</v>
      </c>
      <c r="J31" s="16">
        <v>6802928.2400000012</v>
      </c>
      <c r="K31" s="16">
        <v>0</v>
      </c>
      <c r="L31" s="16">
        <v>0</v>
      </c>
      <c r="M31" s="16">
        <v>184.60999999999999</v>
      </c>
      <c r="N31" s="18">
        <f t="shared" si="0"/>
        <v>63238673.032117434</v>
      </c>
    </row>
    <row r="32" spans="1:14" ht="15" x14ac:dyDescent="0.2">
      <c r="A32" s="17" t="s">
        <v>27</v>
      </c>
      <c r="B32" s="16">
        <v>200798658.69999999</v>
      </c>
      <c r="C32" s="16">
        <v>0</v>
      </c>
      <c r="D32" s="16">
        <v>43159472.577988952</v>
      </c>
      <c r="E32" s="16">
        <v>4268319.8716561338</v>
      </c>
      <c r="F32" s="16">
        <v>702531.47</v>
      </c>
      <c r="G32" s="16">
        <v>445861.38</v>
      </c>
      <c r="H32" s="16">
        <v>10973760.119999999</v>
      </c>
      <c r="I32" s="16">
        <v>1871833.66</v>
      </c>
      <c r="J32" s="16">
        <v>21121862.449999999</v>
      </c>
      <c r="K32" s="16">
        <v>0</v>
      </c>
      <c r="L32" s="16">
        <v>0</v>
      </c>
      <c r="M32" s="16">
        <v>544.53</v>
      </c>
      <c r="N32" s="18">
        <f t="shared" si="0"/>
        <v>283342844.75964504</v>
      </c>
    </row>
    <row r="33" spans="1:14" ht="15" x14ac:dyDescent="0.2">
      <c r="A33" s="17" t="s">
        <v>28</v>
      </c>
      <c r="B33" s="16">
        <v>128819286.00999999</v>
      </c>
      <c r="C33" s="16">
        <v>0</v>
      </c>
      <c r="D33" s="16">
        <v>26438794.298994299</v>
      </c>
      <c r="E33" s="16">
        <v>2760144.3155084881</v>
      </c>
      <c r="F33" s="16">
        <v>515555.65</v>
      </c>
      <c r="G33" s="16">
        <v>334396.03000000003</v>
      </c>
      <c r="H33" s="16">
        <v>7040046.75</v>
      </c>
      <c r="I33" s="16">
        <v>1373652.93</v>
      </c>
      <c r="J33" s="16">
        <v>20727050.900000002</v>
      </c>
      <c r="K33" s="16">
        <v>0</v>
      </c>
      <c r="L33" s="16">
        <v>0</v>
      </c>
      <c r="M33" s="16">
        <v>399.61</v>
      </c>
      <c r="N33" s="18">
        <f t="shared" si="0"/>
        <v>188009326.49450281</v>
      </c>
    </row>
    <row r="34" spans="1:14" ht="15" x14ac:dyDescent="0.2">
      <c r="A34" s="17" t="s">
        <v>29</v>
      </c>
      <c r="B34" s="16">
        <v>170943901.12</v>
      </c>
      <c r="C34" s="16">
        <v>0</v>
      </c>
      <c r="D34" s="16">
        <v>26619956.17174042</v>
      </c>
      <c r="E34" s="16">
        <v>6938899.0101250466</v>
      </c>
      <c r="F34" s="16">
        <v>749732.8</v>
      </c>
      <c r="G34" s="16">
        <v>587336.62</v>
      </c>
      <c r="H34" s="16">
        <v>9342180.7599999998</v>
      </c>
      <c r="I34" s="16">
        <v>1997597.49</v>
      </c>
      <c r="J34" s="16">
        <v>26645516.74000001</v>
      </c>
      <c r="K34" s="16">
        <v>0</v>
      </c>
      <c r="L34" s="16">
        <v>0</v>
      </c>
      <c r="M34" s="16">
        <v>581.12</v>
      </c>
      <c r="N34" s="18">
        <f t="shared" si="0"/>
        <v>243825701.83186549</v>
      </c>
    </row>
    <row r="35" spans="1:14" ht="15" x14ac:dyDescent="0.2">
      <c r="A35" s="17" t="s">
        <v>30</v>
      </c>
      <c r="B35" s="16">
        <v>85836870.949999988</v>
      </c>
      <c r="C35" s="16">
        <v>0</v>
      </c>
      <c r="D35" s="16">
        <v>20736938.837651029</v>
      </c>
      <c r="E35" s="16">
        <v>1854203.4100627911</v>
      </c>
      <c r="F35" s="16">
        <v>468720.21</v>
      </c>
      <c r="G35" s="16">
        <v>227217.82</v>
      </c>
      <c r="H35" s="16">
        <v>4691033.49</v>
      </c>
      <c r="I35" s="16">
        <v>1248864.02</v>
      </c>
      <c r="J35" s="16">
        <v>9729087.7100000028</v>
      </c>
      <c r="K35" s="16">
        <v>0</v>
      </c>
      <c r="L35" s="16">
        <v>0</v>
      </c>
      <c r="M35" s="16">
        <v>363.29999999999995</v>
      </c>
      <c r="N35" s="18">
        <f t="shared" si="0"/>
        <v>124793299.74771379</v>
      </c>
    </row>
    <row r="36" spans="1:14" ht="15" x14ac:dyDescent="0.2">
      <c r="A36" s="17" t="s">
        <v>31</v>
      </c>
      <c r="B36" s="16">
        <v>93478873.739999995</v>
      </c>
      <c r="C36" s="16">
        <v>0</v>
      </c>
      <c r="D36" s="16">
        <v>21361792.430912368</v>
      </c>
      <c r="E36" s="16">
        <v>1997048.0538388316</v>
      </c>
      <c r="F36" s="16">
        <v>294916.84999999998</v>
      </c>
      <c r="G36" s="16">
        <v>144333.32999999999</v>
      </c>
      <c r="H36" s="16">
        <v>5108673.26</v>
      </c>
      <c r="I36" s="16">
        <v>785780.17</v>
      </c>
      <c r="J36" s="16">
        <v>10294321.460000001</v>
      </c>
      <c r="K36" s="16">
        <v>0</v>
      </c>
      <c r="L36" s="16">
        <v>0</v>
      </c>
      <c r="M36" s="16">
        <v>228.57000000000002</v>
      </c>
      <c r="N36" s="18">
        <f t="shared" si="0"/>
        <v>133465967.86475119</v>
      </c>
    </row>
    <row r="37" spans="1:14" ht="15" x14ac:dyDescent="0.2">
      <c r="A37" s="17" t="s">
        <v>32</v>
      </c>
      <c r="B37" s="16">
        <v>102310422.38</v>
      </c>
      <c r="C37" s="16">
        <v>0</v>
      </c>
      <c r="D37" s="16">
        <v>22526112.417769175</v>
      </c>
      <c r="E37" s="16">
        <v>2218189.3504199912</v>
      </c>
      <c r="F37" s="16">
        <v>547023.19999999995</v>
      </c>
      <c r="G37" s="16">
        <v>210069.3</v>
      </c>
      <c r="H37" s="16">
        <v>5591322.3799999999</v>
      </c>
      <c r="I37" s="16">
        <v>1457495.48</v>
      </c>
      <c r="J37" s="16">
        <v>16145196.110000005</v>
      </c>
      <c r="K37" s="16">
        <v>0</v>
      </c>
      <c r="L37" s="16">
        <v>0</v>
      </c>
      <c r="M37" s="16">
        <v>424</v>
      </c>
      <c r="N37" s="18">
        <f t="shared" si="0"/>
        <v>151006254.61818919</v>
      </c>
    </row>
    <row r="38" spans="1:14" ht="15" x14ac:dyDescent="0.2">
      <c r="A38" s="17" t="s">
        <v>33</v>
      </c>
      <c r="B38" s="16">
        <v>92770359.379999995</v>
      </c>
      <c r="C38" s="16">
        <v>0</v>
      </c>
      <c r="D38" s="16">
        <v>2741334.7486396641</v>
      </c>
      <c r="E38" s="16">
        <v>2030118.5995773308</v>
      </c>
      <c r="F38" s="16">
        <v>488844.81</v>
      </c>
      <c r="G38" s="16">
        <v>568759.06999999995</v>
      </c>
      <c r="H38" s="16">
        <v>5069952.55</v>
      </c>
      <c r="I38" s="16">
        <v>1302484.26</v>
      </c>
      <c r="J38" s="16">
        <v>27112155.910000008</v>
      </c>
      <c r="K38" s="16">
        <v>0</v>
      </c>
      <c r="L38" s="16">
        <v>0</v>
      </c>
      <c r="M38" s="16">
        <v>378.88999999999993</v>
      </c>
      <c r="N38" s="18">
        <f t="shared" si="0"/>
        <v>132084388.218217</v>
      </c>
    </row>
    <row r="39" spans="1:14" ht="15" x14ac:dyDescent="0.2">
      <c r="A39" s="17" t="s">
        <v>34</v>
      </c>
      <c r="B39" s="16">
        <v>159292512.66999999</v>
      </c>
      <c r="C39" s="16">
        <v>0</v>
      </c>
      <c r="D39" s="16">
        <v>34093352.876839772</v>
      </c>
      <c r="E39" s="16">
        <v>3359457.6939660204</v>
      </c>
      <c r="F39" s="16">
        <v>622764.88</v>
      </c>
      <c r="G39" s="16">
        <v>350115.51</v>
      </c>
      <c r="H39" s="16">
        <v>8705425.8000000007</v>
      </c>
      <c r="I39" s="16">
        <v>1659302.55</v>
      </c>
      <c r="J39" s="16">
        <v>22802206.429999992</v>
      </c>
      <c r="K39" s="16">
        <v>0</v>
      </c>
      <c r="L39" s="16">
        <v>0</v>
      </c>
      <c r="M39" s="16">
        <v>482.7</v>
      </c>
      <c r="N39" s="18">
        <f t="shared" si="0"/>
        <v>230885621.11080581</v>
      </c>
    </row>
    <row r="40" spans="1:14" ht="15" x14ac:dyDescent="0.2">
      <c r="A40" s="17" t="s">
        <v>35</v>
      </c>
      <c r="B40" s="16">
        <v>103639775.44000001</v>
      </c>
      <c r="C40" s="16">
        <v>0</v>
      </c>
      <c r="D40" s="16">
        <v>25749852.769932192</v>
      </c>
      <c r="E40" s="16">
        <v>2250707.4103436782</v>
      </c>
      <c r="F40" s="16">
        <v>332604.74</v>
      </c>
      <c r="G40" s="16">
        <v>154336.63</v>
      </c>
      <c r="H40" s="16">
        <v>5663972.2699999996</v>
      </c>
      <c r="I40" s="16">
        <v>886196.25</v>
      </c>
      <c r="J40" s="16">
        <v>12446552.120000003</v>
      </c>
      <c r="K40" s="16">
        <v>0</v>
      </c>
      <c r="L40" s="16">
        <v>0</v>
      </c>
      <c r="M40" s="16">
        <v>257.78999999999996</v>
      </c>
      <c r="N40" s="18">
        <f t="shared" ref="N40:N71" si="1">SUM(B40:M40)</f>
        <v>151124255.42027587</v>
      </c>
    </row>
    <row r="41" spans="1:14" ht="15" x14ac:dyDescent="0.2">
      <c r="A41" s="17" t="s">
        <v>36</v>
      </c>
      <c r="B41" s="16">
        <v>111665655.60000001</v>
      </c>
      <c r="C41" s="16">
        <v>0</v>
      </c>
      <c r="D41" s="16">
        <v>8565410.8390536085</v>
      </c>
      <c r="E41" s="16">
        <v>2332095.9215679052</v>
      </c>
      <c r="F41" s="16">
        <v>563122.88</v>
      </c>
      <c r="G41" s="16">
        <v>247224.42</v>
      </c>
      <c r="H41" s="16">
        <v>6102591.1600000001</v>
      </c>
      <c r="I41" s="16">
        <v>1500391.67</v>
      </c>
      <c r="J41" s="16">
        <v>12880551.140000001</v>
      </c>
      <c r="K41" s="16">
        <v>0</v>
      </c>
      <c r="L41" s="16">
        <v>0</v>
      </c>
      <c r="M41" s="16">
        <v>436.47</v>
      </c>
      <c r="N41" s="18">
        <f t="shared" si="1"/>
        <v>143857480.10062152</v>
      </c>
    </row>
    <row r="42" spans="1:14" ht="15" x14ac:dyDescent="0.2">
      <c r="A42" s="17" t="s">
        <v>37</v>
      </c>
      <c r="B42" s="16">
        <v>65974772.5</v>
      </c>
      <c r="C42" s="16">
        <v>0</v>
      </c>
      <c r="D42" s="16">
        <v>1182074.3114870561</v>
      </c>
      <c r="E42" s="16">
        <v>1438440.0121124077</v>
      </c>
      <c r="F42" s="16">
        <v>1529469.56</v>
      </c>
      <c r="G42" s="16">
        <v>0</v>
      </c>
      <c r="H42" s="16">
        <v>3605558.59</v>
      </c>
      <c r="I42" s="16">
        <v>4075137.87</v>
      </c>
      <c r="J42" s="16">
        <v>20614061.940000005</v>
      </c>
      <c r="K42" s="16">
        <v>0</v>
      </c>
      <c r="L42" s="16">
        <v>0</v>
      </c>
      <c r="M42" s="16">
        <v>1185.55</v>
      </c>
      <c r="N42" s="18">
        <f t="shared" si="1"/>
        <v>98420700.333599463</v>
      </c>
    </row>
    <row r="43" spans="1:14" ht="15" x14ac:dyDescent="0.2">
      <c r="A43" s="17" t="s">
        <v>38</v>
      </c>
      <c r="B43" s="16">
        <v>290133078.93000001</v>
      </c>
      <c r="C43" s="16">
        <v>0</v>
      </c>
      <c r="D43" s="16">
        <v>8040300.7674567821</v>
      </c>
      <c r="E43" s="16">
        <v>5186836.8000548892</v>
      </c>
      <c r="F43" s="16">
        <v>6360105.2699999996</v>
      </c>
      <c r="G43" s="16">
        <v>1953501.62</v>
      </c>
      <c r="H43" s="16">
        <v>15855936.65</v>
      </c>
      <c r="I43" s="16">
        <v>16945944.120000001</v>
      </c>
      <c r="J43" s="16">
        <v>65986575.520000018</v>
      </c>
      <c r="K43" s="16">
        <v>0</v>
      </c>
      <c r="L43" s="16">
        <v>0</v>
      </c>
      <c r="M43" s="16">
        <v>4930.04</v>
      </c>
      <c r="N43" s="18">
        <f t="shared" si="1"/>
        <v>410467209.71751171</v>
      </c>
    </row>
    <row r="44" spans="1:14" ht="15" x14ac:dyDescent="0.2">
      <c r="A44" s="17" t="s">
        <v>39</v>
      </c>
      <c r="B44" s="16">
        <v>342875931.04000002</v>
      </c>
      <c r="C44" s="16">
        <v>0</v>
      </c>
      <c r="D44" s="16">
        <v>4334386.6319855601</v>
      </c>
      <c r="E44" s="16">
        <v>7459791.7874592962</v>
      </c>
      <c r="F44" s="16">
        <v>8002638.4900000002</v>
      </c>
      <c r="G44" s="16">
        <v>3595385.5474773902</v>
      </c>
      <c r="H44" s="16">
        <v>18738363.309999999</v>
      </c>
      <c r="I44" s="16">
        <v>21322330.219999999</v>
      </c>
      <c r="J44" s="16">
        <v>84164562.36999999</v>
      </c>
      <c r="K44" s="16">
        <v>0</v>
      </c>
      <c r="L44" s="16">
        <v>0</v>
      </c>
      <c r="M44" s="16">
        <v>6203.26</v>
      </c>
      <c r="N44" s="18">
        <f t="shared" si="1"/>
        <v>490499592.65692222</v>
      </c>
    </row>
    <row r="45" spans="1:14" ht="15" x14ac:dyDescent="0.2">
      <c r="A45" s="17" t="s">
        <v>40</v>
      </c>
      <c r="B45" s="16">
        <v>99485843.38000001</v>
      </c>
      <c r="C45" s="16">
        <v>0</v>
      </c>
      <c r="D45" s="16">
        <v>10693762.899349367</v>
      </c>
      <c r="E45" s="16">
        <v>2114496.2076890427</v>
      </c>
      <c r="F45" s="16">
        <v>596054.04</v>
      </c>
      <c r="G45" s="16">
        <v>272947.19</v>
      </c>
      <c r="H45" s="16">
        <v>5436957.54</v>
      </c>
      <c r="I45" s="16">
        <v>1588133.87</v>
      </c>
      <c r="J45" s="16">
        <v>12428980.310000001</v>
      </c>
      <c r="K45" s="16">
        <v>0</v>
      </c>
      <c r="L45" s="16">
        <v>0</v>
      </c>
      <c r="M45" s="16">
        <v>462.00999999999988</v>
      </c>
      <c r="N45" s="18">
        <f t="shared" si="1"/>
        <v>132617637.44703844</v>
      </c>
    </row>
    <row r="46" spans="1:14" ht="15" x14ac:dyDescent="0.2">
      <c r="A46" s="17" t="s">
        <v>41</v>
      </c>
      <c r="B46" s="16">
        <v>151043888.88</v>
      </c>
      <c r="C46" s="16">
        <v>0</v>
      </c>
      <c r="D46" s="16">
        <v>6968671.6319855591</v>
      </c>
      <c r="E46" s="16">
        <v>5946857.3137941118</v>
      </c>
      <c r="F46" s="16">
        <v>4701472.3600000003</v>
      </c>
      <c r="G46" s="16">
        <v>0</v>
      </c>
      <c r="H46" s="16">
        <v>8254633.8499999996</v>
      </c>
      <c r="I46" s="16">
        <v>12526661.83</v>
      </c>
      <c r="J46" s="16">
        <v>54164423.400000021</v>
      </c>
      <c r="K46" s="16">
        <v>0</v>
      </c>
      <c r="L46" s="16">
        <v>0</v>
      </c>
      <c r="M46" s="16">
        <v>3644.3399999999997</v>
      </c>
      <c r="N46" s="18">
        <f t="shared" si="1"/>
        <v>243610253.60577968</v>
      </c>
    </row>
    <row r="47" spans="1:14" ht="15" x14ac:dyDescent="0.2">
      <c r="A47" s="17" t="s">
        <v>42</v>
      </c>
      <c r="B47" s="16">
        <v>454797504.97000003</v>
      </c>
      <c r="C47" s="16">
        <v>0</v>
      </c>
      <c r="D47" s="16">
        <v>5386951.5509378556</v>
      </c>
      <c r="E47" s="16">
        <v>17692781.625169754</v>
      </c>
      <c r="F47" s="16">
        <v>14656562.92</v>
      </c>
      <c r="G47" s="16">
        <v>4080407.4201920833</v>
      </c>
      <c r="H47" s="16">
        <v>24854940.539999999</v>
      </c>
      <c r="I47" s="16">
        <v>39051129.770000003</v>
      </c>
      <c r="J47" s="16">
        <v>128151023.24999999</v>
      </c>
      <c r="K47" s="16">
        <v>0</v>
      </c>
      <c r="L47" s="16">
        <v>0</v>
      </c>
      <c r="M47" s="16">
        <v>11361.099999999999</v>
      </c>
      <c r="N47" s="18">
        <f t="shared" si="1"/>
        <v>688682663.14629972</v>
      </c>
    </row>
    <row r="48" spans="1:14" ht="15" x14ac:dyDescent="0.2">
      <c r="A48" s="17" t="s">
        <v>43</v>
      </c>
      <c r="B48" s="16">
        <v>46520247.620000005</v>
      </c>
      <c r="C48" s="16">
        <v>0</v>
      </c>
      <c r="D48" s="16">
        <v>12508153.786408998</v>
      </c>
      <c r="E48" s="16">
        <v>1071553.1419256413</v>
      </c>
      <c r="F48" s="16">
        <v>127333.83</v>
      </c>
      <c r="G48" s="16">
        <v>81455.44</v>
      </c>
      <c r="H48" s="16">
        <v>2542357.81</v>
      </c>
      <c r="I48" s="16">
        <v>339269.85</v>
      </c>
      <c r="J48" s="16">
        <v>6957993.2400000012</v>
      </c>
      <c r="K48" s="16">
        <v>0</v>
      </c>
      <c r="L48" s="16">
        <v>0</v>
      </c>
      <c r="M48" s="16">
        <v>98.67</v>
      </c>
      <c r="N48" s="18">
        <f t="shared" si="1"/>
        <v>70148463.388334647</v>
      </c>
    </row>
    <row r="49" spans="1:14" ht="15" x14ac:dyDescent="0.2">
      <c r="A49" s="17" t="s">
        <v>44</v>
      </c>
      <c r="B49" s="16">
        <v>81360671.5</v>
      </c>
      <c r="C49" s="16">
        <v>0</v>
      </c>
      <c r="D49" s="16">
        <v>19629921.828749388</v>
      </c>
      <c r="E49" s="16">
        <v>1744657.9271532423</v>
      </c>
      <c r="F49" s="16">
        <v>751928.22</v>
      </c>
      <c r="G49" s="16">
        <v>361547.85</v>
      </c>
      <c r="H49" s="16">
        <v>4446406.66</v>
      </c>
      <c r="I49" s="16">
        <v>2003446.97</v>
      </c>
      <c r="J49" s="16">
        <v>16298191.000000004</v>
      </c>
      <c r="K49" s="16">
        <v>0</v>
      </c>
      <c r="L49" s="16">
        <v>0</v>
      </c>
      <c r="M49" s="16">
        <v>582.82999999999993</v>
      </c>
      <c r="N49" s="18">
        <f t="shared" si="1"/>
        <v>126597354.78590262</v>
      </c>
    </row>
    <row r="50" spans="1:14" ht="15" x14ac:dyDescent="0.2">
      <c r="A50" s="17" t="s">
        <v>45</v>
      </c>
      <c r="B50" s="16">
        <v>62188130.539999999</v>
      </c>
      <c r="C50" s="16">
        <v>0</v>
      </c>
      <c r="D50" s="16">
        <v>14956486.259645008</v>
      </c>
      <c r="E50" s="16">
        <v>1388060.4183541746</v>
      </c>
      <c r="F50" s="16">
        <v>210759.44</v>
      </c>
      <c r="G50" s="16">
        <v>101462.04</v>
      </c>
      <c r="H50" s="16">
        <v>3398616.47</v>
      </c>
      <c r="I50" s="16">
        <v>561550.1</v>
      </c>
      <c r="J50" s="16">
        <v>11453288.969999995</v>
      </c>
      <c r="K50" s="16">
        <v>0</v>
      </c>
      <c r="L50" s="16">
        <v>0</v>
      </c>
      <c r="M50" s="16">
        <v>163.34</v>
      </c>
      <c r="N50" s="18">
        <f t="shared" si="1"/>
        <v>94258517.577999175</v>
      </c>
    </row>
    <row r="51" spans="1:14" ht="15" x14ac:dyDescent="0.2">
      <c r="A51" s="17" t="s">
        <v>46</v>
      </c>
      <c r="B51" s="16">
        <v>59820886.859999992</v>
      </c>
      <c r="C51" s="16">
        <v>0</v>
      </c>
      <c r="D51" s="16">
        <v>20723311.429594349</v>
      </c>
      <c r="E51" s="16">
        <v>1368720.4864409841</v>
      </c>
      <c r="F51" s="16">
        <v>262717.5</v>
      </c>
      <c r="G51" s="16">
        <v>135759.07</v>
      </c>
      <c r="H51" s="16">
        <v>3269245.26</v>
      </c>
      <c r="I51" s="16">
        <v>699987.8</v>
      </c>
      <c r="J51" s="16">
        <v>8039644.879999998</v>
      </c>
      <c r="K51" s="16">
        <v>0</v>
      </c>
      <c r="L51" s="16">
        <v>0</v>
      </c>
      <c r="M51" s="16">
        <v>203.61999999999998</v>
      </c>
      <c r="N51" s="18">
        <f t="shared" si="1"/>
        <v>94320476.906035319</v>
      </c>
    </row>
    <row r="52" spans="1:14" ht="15" x14ac:dyDescent="0.2">
      <c r="A52" s="17" t="s">
        <v>47</v>
      </c>
      <c r="B52" s="16">
        <v>69221142.720000014</v>
      </c>
      <c r="C52" s="16">
        <v>0</v>
      </c>
      <c r="D52" s="16">
        <v>14385616.650101312</v>
      </c>
      <c r="E52" s="16">
        <v>1490370.8196677018</v>
      </c>
      <c r="F52" s="16">
        <v>241861.09</v>
      </c>
      <c r="G52" s="16">
        <v>158623.76</v>
      </c>
      <c r="H52" s="16">
        <v>3782974.55</v>
      </c>
      <c r="I52" s="16">
        <v>644417.73</v>
      </c>
      <c r="J52" s="16">
        <v>11194815.229999999</v>
      </c>
      <c r="K52" s="16">
        <v>0</v>
      </c>
      <c r="L52" s="16">
        <v>0</v>
      </c>
      <c r="M52" s="16">
        <v>187.45000000000002</v>
      </c>
      <c r="N52" s="18">
        <f t="shared" si="1"/>
        <v>101120009.99976905</v>
      </c>
    </row>
    <row r="53" spans="1:14" ht="15" x14ac:dyDescent="0.2">
      <c r="A53" s="17" t="s">
        <v>48</v>
      </c>
      <c r="B53" s="16">
        <v>25141596.670000002</v>
      </c>
      <c r="C53" s="16">
        <v>0</v>
      </c>
      <c r="D53" s="16">
        <v>12738846.297203142</v>
      </c>
      <c r="E53" s="16">
        <v>537081.72126265196</v>
      </c>
      <c r="F53" s="16">
        <v>42078.7</v>
      </c>
      <c r="G53" s="16">
        <v>25722.77</v>
      </c>
      <c r="H53" s="16">
        <v>1374002.47</v>
      </c>
      <c r="I53" s="16">
        <v>112115.04</v>
      </c>
      <c r="J53" s="16">
        <v>5340859.5099999979</v>
      </c>
      <c r="K53" s="16">
        <v>0</v>
      </c>
      <c r="L53" s="16">
        <v>0</v>
      </c>
      <c r="M53" s="16">
        <v>32.589999999999996</v>
      </c>
      <c r="N53" s="18">
        <f t="shared" si="1"/>
        <v>45312335.768465795</v>
      </c>
    </row>
    <row r="54" spans="1:14" ht="15" x14ac:dyDescent="0.2">
      <c r="A54" s="17" t="s">
        <v>49</v>
      </c>
      <c r="B54" s="16">
        <v>84270556.590000004</v>
      </c>
      <c r="C54" s="16">
        <v>0</v>
      </c>
      <c r="D54" s="16">
        <v>20715596.16466834</v>
      </c>
      <c r="E54" s="16">
        <v>1860466.0621935416</v>
      </c>
      <c r="F54" s="16">
        <v>144531.21</v>
      </c>
      <c r="G54" s="16">
        <v>98603.96</v>
      </c>
      <c r="H54" s="16">
        <v>4605433.5199999996</v>
      </c>
      <c r="I54" s="16">
        <v>385090.78</v>
      </c>
      <c r="J54" s="16">
        <v>12233909.429999998</v>
      </c>
      <c r="K54" s="16">
        <v>0</v>
      </c>
      <c r="L54" s="16">
        <v>0</v>
      </c>
      <c r="M54" s="16">
        <v>111.99</v>
      </c>
      <c r="N54" s="18">
        <f t="shared" si="1"/>
        <v>124314299.70686185</v>
      </c>
    </row>
    <row r="55" spans="1:14" ht="15" x14ac:dyDescent="0.2">
      <c r="A55" s="17" t="s">
        <v>50</v>
      </c>
      <c r="B55" s="16">
        <v>36800093.979999997</v>
      </c>
      <c r="C55" s="16">
        <v>0</v>
      </c>
      <c r="D55" s="16">
        <v>6609801.5410222961</v>
      </c>
      <c r="E55" s="16">
        <v>684377.65439953387</v>
      </c>
      <c r="F55" s="16">
        <v>266742.40999999997</v>
      </c>
      <c r="G55" s="16">
        <v>135759.07</v>
      </c>
      <c r="H55" s="16">
        <v>2011145.93</v>
      </c>
      <c r="I55" s="16">
        <v>710711.84</v>
      </c>
      <c r="J55" s="16">
        <v>8758980.7799999993</v>
      </c>
      <c r="K55" s="16">
        <v>0</v>
      </c>
      <c r="L55" s="16">
        <v>0</v>
      </c>
      <c r="M55" s="16">
        <v>206.74</v>
      </c>
      <c r="N55" s="18">
        <f t="shared" si="1"/>
        <v>55977819.94542183</v>
      </c>
    </row>
    <row r="56" spans="1:14" ht="15" x14ac:dyDescent="0.2">
      <c r="A56" s="17" t="s">
        <v>51</v>
      </c>
      <c r="B56" s="16">
        <v>31271786.200000003</v>
      </c>
      <c r="C56" s="16">
        <v>0</v>
      </c>
      <c r="D56" s="16">
        <v>7336674.3568314807</v>
      </c>
      <c r="E56" s="16">
        <v>655838.12499973213</v>
      </c>
      <c r="F56" s="16">
        <v>75375.77</v>
      </c>
      <c r="G56" s="16">
        <v>34297.03</v>
      </c>
      <c r="H56" s="16">
        <v>1709020.79</v>
      </c>
      <c r="I56" s="16">
        <v>200832.15</v>
      </c>
      <c r="J56" s="16">
        <v>7182430.6499999994</v>
      </c>
      <c r="K56" s="16">
        <v>0</v>
      </c>
      <c r="L56" s="16">
        <v>0</v>
      </c>
      <c r="M56" s="16">
        <v>58.379999999999995</v>
      </c>
      <c r="N56" s="18">
        <f t="shared" si="1"/>
        <v>48466313.451831222</v>
      </c>
    </row>
    <row r="57" spans="1:14" ht="15" x14ac:dyDescent="0.2">
      <c r="A57" s="17" t="s">
        <v>52</v>
      </c>
      <c r="B57" s="16">
        <v>75479291.349999994</v>
      </c>
      <c r="C57" s="16">
        <v>0</v>
      </c>
      <c r="D57" s="16">
        <v>13612687.95185872</v>
      </c>
      <c r="E57" s="16">
        <v>1809542.1058786751</v>
      </c>
      <c r="F57" s="16">
        <v>387124.11</v>
      </c>
      <c r="G57" s="16">
        <v>180059.4</v>
      </c>
      <c r="H57" s="16">
        <v>4124985.91</v>
      </c>
      <c r="I57" s="16">
        <v>1031458.34</v>
      </c>
      <c r="J57" s="16">
        <v>15053867.940000001</v>
      </c>
      <c r="K57" s="16">
        <v>0</v>
      </c>
      <c r="L57" s="16">
        <v>0</v>
      </c>
      <c r="M57" s="16">
        <v>300.03999999999996</v>
      </c>
      <c r="N57" s="18">
        <f t="shared" si="1"/>
        <v>111679317.1477374</v>
      </c>
    </row>
    <row r="58" spans="1:14" ht="15" x14ac:dyDescent="0.2">
      <c r="A58" s="17" t="s">
        <v>53</v>
      </c>
      <c r="B58" s="16">
        <v>65147777.519999996</v>
      </c>
      <c r="C58" s="16">
        <v>0</v>
      </c>
      <c r="D58" s="16">
        <v>9014490.7467300873</v>
      </c>
      <c r="E58" s="16">
        <v>1447309.6946295451</v>
      </c>
      <c r="F58" s="16">
        <v>225395.51</v>
      </c>
      <c r="G58" s="16">
        <v>102891.09</v>
      </c>
      <c r="H58" s="16">
        <v>3560362.84</v>
      </c>
      <c r="I58" s="16">
        <v>600546.63</v>
      </c>
      <c r="J58" s="16">
        <v>8915778.8899999987</v>
      </c>
      <c r="K58" s="16">
        <v>0</v>
      </c>
      <c r="L58" s="16">
        <v>0</v>
      </c>
      <c r="M58" s="16">
        <v>174.68</v>
      </c>
      <c r="N58" s="18">
        <f t="shared" si="1"/>
        <v>89014727.60135965</v>
      </c>
    </row>
    <row r="59" spans="1:14" ht="15" x14ac:dyDescent="0.2">
      <c r="A59" s="17" t="s">
        <v>54</v>
      </c>
      <c r="B59" s="16">
        <v>73071764.280000016</v>
      </c>
      <c r="C59" s="16">
        <v>0</v>
      </c>
      <c r="D59" s="16">
        <v>20849290.281258825</v>
      </c>
      <c r="E59" s="16">
        <v>1609812.1408924649</v>
      </c>
      <c r="F59" s="16">
        <v>219541.08</v>
      </c>
      <c r="G59" s="16">
        <v>102891.09</v>
      </c>
      <c r="H59" s="16">
        <v>3993413.2</v>
      </c>
      <c r="I59" s="16">
        <v>584948.02</v>
      </c>
      <c r="J59" s="16">
        <v>9913422.9299999978</v>
      </c>
      <c r="K59" s="16">
        <v>0</v>
      </c>
      <c r="L59" s="16">
        <v>0</v>
      </c>
      <c r="M59" s="16">
        <v>170.15</v>
      </c>
      <c r="N59" s="18">
        <f t="shared" si="1"/>
        <v>110345253.1721513</v>
      </c>
    </row>
    <row r="60" spans="1:14" ht="15" x14ac:dyDescent="0.2">
      <c r="A60" s="17" t="s">
        <v>55</v>
      </c>
      <c r="B60" s="16">
        <v>531248337.83999991</v>
      </c>
      <c r="C60" s="16">
        <v>0</v>
      </c>
      <c r="D60" s="16">
        <v>46275643.715513349</v>
      </c>
      <c r="E60" s="16">
        <v>20591268.319843888</v>
      </c>
      <c r="F60" s="16">
        <v>12076589.25</v>
      </c>
      <c r="G60" s="16">
        <v>5661867.9099999992</v>
      </c>
      <c r="H60" s="16">
        <v>29033021.75</v>
      </c>
      <c r="I60" s="16">
        <v>32177015.629999999</v>
      </c>
      <c r="J60" s="16">
        <v>164483936.98999998</v>
      </c>
      <c r="K60" s="16">
        <v>0</v>
      </c>
      <c r="L60" s="16">
        <v>0</v>
      </c>
      <c r="M60" s="16">
        <v>9361.2000000000007</v>
      </c>
      <c r="N60" s="18">
        <f t="shared" si="1"/>
        <v>841557042.60535717</v>
      </c>
    </row>
    <row r="61" spans="1:14" ht="15" x14ac:dyDescent="0.2">
      <c r="A61" s="17" t="s">
        <v>56</v>
      </c>
      <c r="B61" s="16">
        <v>78346523.419999987</v>
      </c>
      <c r="C61" s="16">
        <v>0</v>
      </c>
      <c r="D61" s="16">
        <v>5798124.697093457</v>
      </c>
      <c r="E61" s="16">
        <v>1788523.0490075231</v>
      </c>
      <c r="F61" s="16">
        <v>2155893.46</v>
      </c>
      <c r="G61" s="16">
        <v>578247.7712099913</v>
      </c>
      <c r="H61" s="16">
        <v>4281681.76</v>
      </c>
      <c r="I61" s="16">
        <v>5744189.5499999998</v>
      </c>
      <c r="J61" s="16">
        <v>39899841.479999997</v>
      </c>
      <c r="K61" s="16">
        <v>0</v>
      </c>
      <c r="L61" s="16">
        <v>0</v>
      </c>
      <c r="M61" s="16">
        <v>1671.13</v>
      </c>
      <c r="N61" s="18">
        <f t="shared" si="1"/>
        <v>138594696.31731093</v>
      </c>
    </row>
    <row r="62" spans="1:14" ht="15" x14ac:dyDescent="0.2">
      <c r="A62" s="17" t="s">
        <v>57</v>
      </c>
      <c r="B62" s="16">
        <v>524224804.11000001</v>
      </c>
      <c r="C62" s="16">
        <v>0</v>
      </c>
      <c r="D62" s="16">
        <v>6284347.0200000005</v>
      </c>
      <c r="E62" s="16">
        <v>19430394.868583914</v>
      </c>
      <c r="F62" s="16">
        <v>9666759.9299999997</v>
      </c>
      <c r="G62" s="16">
        <v>0</v>
      </c>
      <c r="H62" s="16">
        <v>28649181.66</v>
      </c>
      <c r="I62" s="16">
        <v>25756236.210000001</v>
      </c>
      <c r="J62" s="16">
        <v>82036065.669999972</v>
      </c>
      <c r="K62" s="16">
        <v>0</v>
      </c>
      <c r="L62" s="16">
        <v>0</v>
      </c>
      <c r="M62" s="16">
        <v>7493.2099999999991</v>
      </c>
      <c r="N62" s="18">
        <f t="shared" si="1"/>
        <v>696055282.67858386</v>
      </c>
    </row>
    <row r="63" spans="1:14" ht="15" x14ac:dyDescent="0.2">
      <c r="A63" s="17" t="s">
        <v>58</v>
      </c>
      <c r="B63" s="16">
        <v>79327543.310000002</v>
      </c>
      <c r="C63" s="16">
        <v>0</v>
      </c>
      <c r="D63" s="16">
        <v>19555946.335217584</v>
      </c>
      <c r="E63" s="16">
        <v>1624130.8513259785</v>
      </c>
      <c r="F63" s="16">
        <v>340654.58</v>
      </c>
      <c r="G63" s="16">
        <v>165768.97</v>
      </c>
      <c r="H63" s="16">
        <v>4335295.0599999996</v>
      </c>
      <c r="I63" s="16">
        <v>907644.34</v>
      </c>
      <c r="J63" s="16">
        <v>11286766.210000005</v>
      </c>
      <c r="K63" s="16">
        <v>0</v>
      </c>
      <c r="L63" s="16">
        <v>0</v>
      </c>
      <c r="M63" s="16">
        <v>264.02</v>
      </c>
      <c r="N63" s="18">
        <f t="shared" si="1"/>
        <v>117544013.67654356</v>
      </c>
    </row>
    <row r="64" spans="1:14" ht="15" x14ac:dyDescent="0.2">
      <c r="A64" s="17" t="s">
        <v>59</v>
      </c>
      <c r="B64" s="16">
        <v>154700202.13999999</v>
      </c>
      <c r="C64" s="16">
        <v>0</v>
      </c>
      <c r="D64" s="16">
        <v>63112693.946366511</v>
      </c>
      <c r="E64" s="16">
        <v>3440456.2986334544</v>
      </c>
      <c r="F64" s="16">
        <v>623496.68000000005</v>
      </c>
      <c r="G64" s="16">
        <v>282950.49</v>
      </c>
      <c r="H64" s="16">
        <v>8454453.4399999995</v>
      </c>
      <c r="I64" s="16">
        <v>1661252.38</v>
      </c>
      <c r="J64" s="16">
        <v>23191529.719999995</v>
      </c>
      <c r="K64" s="16">
        <v>0</v>
      </c>
      <c r="L64" s="16">
        <v>0</v>
      </c>
      <c r="M64" s="16">
        <v>483.26</v>
      </c>
      <c r="N64" s="18">
        <f t="shared" si="1"/>
        <v>255467518.35499996</v>
      </c>
    </row>
    <row r="65" spans="1:14" ht="15" x14ac:dyDescent="0.2">
      <c r="A65" s="17" t="s">
        <v>60</v>
      </c>
      <c r="B65" s="16">
        <v>86313163.200000003</v>
      </c>
      <c r="C65" s="16">
        <v>0</v>
      </c>
      <c r="D65" s="16">
        <v>17919584.730016749</v>
      </c>
      <c r="E65" s="16">
        <v>1885390.8510201895</v>
      </c>
      <c r="F65" s="16">
        <v>135749.57</v>
      </c>
      <c r="G65" s="16">
        <v>108607.26</v>
      </c>
      <c r="H65" s="16">
        <v>4717063.13</v>
      </c>
      <c r="I65" s="16">
        <v>361692.86</v>
      </c>
      <c r="J65" s="16">
        <v>13400579.629999995</v>
      </c>
      <c r="K65" s="16">
        <v>0</v>
      </c>
      <c r="L65" s="16">
        <v>0</v>
      </c>
      <c r="M65" s="16">
        <v>105.19999999999999</v>
      </c>
      <c r="N65" s="18">
        <f t="shared" si="1"/>
        <v>124841936.43103693</v>
      </c>
    </row>
    <row r="66" spans="1:14" ht="15" x14ac:dyDescent="0.2">
      <c r="A66" s="17" t="s">
        <v>61</v>
      </c>
      <c r="B66" s="16">
        <v>48181346.5</v>
      </c>
      <c r="C66" s="16">
        <v>0</v>
      </c>
      <c r="D66" s="16">
        <v>12418294.367929881</v>
      </c>
      <c r="E66" s="16">
        <v>1044834.0219002034</v>
      </c>
      <c r="F66" s="16">
        <v>132822.35</v>
      </c>
      <c r="G66" s="16">
        <v>87171.62</v>
      </c>
      <c r="H66" s="16">
        <v>2633137.81</v>
      </c>
      <c r="I66" s="16">
        <v>353893.55</v>
      </c>
      <c r="J66" s="16">
        <v>6004928.5099999998</v>
      </c>
      <c r="K66" s="16">
        <v>0</v>
      </c>
      <c r="L66" s="16">
        <v>0</v>
      </c>
      <c r="M66" s="16">
        <v>102.93</v>
      </c>
      <c r="N66" s="18">
        <f t="shared" si="1"/>
        <v>70856531.659830093</v>
      </c>
    </row>
    <row r="67" spans="1:14" ht="15" x14ac:dyDescent="0.2">
      <c r="A67" s="17" t="s">
        <v>62</v>
      </c>
      <c r="B67" s="16">
        <v>222591991.89999998</v>
      </c>
      <c r="C67" s="16">
        <v>0</v>
      </c>
      <c r="D67" s="16">
        <v>1864462.75</v>
      </c>
      <c r="E67" s="16">
        <v>8623725.9234839063</v>
      </c>
      <c r="F67" s="16">
        <v>3569006.26</v>
      </c>
      <c r="G67" s="16">
        <v>1825398.0761165826</v>
      </c>
      <c r="H67" s="16">
        <v>12164778.1</v>
      </c>
      <c r="I67" s="16">
        <v>9509304.9700000007</v>
      </c>
      <c r="J67" s="16">
        <v>40520197.69000002</v>
      </c>
      <c r="K67" s="16">
        <v>0</v>
      </c>
      <c r="L67" s="16">
        <v>0</v>
      </c>
      <c r="M67" s="16">
        <v>2766.5</v>
      </c>
      <c r="N67" s="18">
        <f t="shared" si="1"/>
        <v>300671632.16960049</v>
      </c>
    </row>
    <row r="68" spans="1:14" ht="15" x14ac:dyDescent="0.2">
      <c r="A68" s="17" t="s">
        <v>63</v>
      </c>
      <c r="B68" s="16">
        <v>136738533.57000002</v>
      </c>
      <c r="C68" s="16">
        <v>0</v>
      </c>
      <c r="D68" s="16">
        <v>3551926.24</v>
      </c>
      <c r="E68" s="16">
        <v>2948274.1743422314</v>
      </c>
      <c r="F68" s="16">
        <v>3147487.37</v>
      </c>
      <c r="G68" s="16">
        <v>1748084.1674871549</v>
      </c>
      <c r="H68" s="16">
        <v>7472838.0999999996</v>
      </c>
      <c r="I68" s="16">
        <v>8386204.7699999996</v>
      </c>
      <c r="J68" s="16">
        <v>34388704.039999992</v>
      </c>
      <c r="K68" s="16">
        <v>0</v>
      </c>
      <c r="L68" s="16">
        <v>0</v>
      </c>
      <c r="M68" s="16">
        <v>2439.7600000000002</v>
      </c>
      <c r="N68" s="18">
        <f t="shared" si="1"/>
        <v>198384492.19182941</v>
      </c>
    </row>
    <row r="69" spans="1:14" ht="15" x14ac:dyDescent="0.2">
      <c r="A69" s="17" t="s">
        <v>64</v>
      </c>
      <c r="B69" s="16">
        <v>422774551.24999994</v>
      </c>
      <c r="C69" s="16">
        <v>0</v>
      </c>
      <c r="D69" s="16">
        <v>2119734.1894001039</v>
      </c>
      <c r="E69" s="16">
        <v>9261733.5480205342</v>
      </c>
      <c r="F69" s="16">
        <v>9289149.2599999998</v>
      </c>
      <c r="G69" s="16">
        <v>1774347.0754773761</v>
      </c>
      <c r="H69" s="16">
        <v>23104868.039999999</v>
      </c>
      <c r="I69" s="16">
        <v>24750125.609999999</v>
      </c>
      <c r="J69" s="16">
        <v>76172289.00999999</v>
      </c>
      <c r="K69" s="16">
        <v>0</v>
      </c>
      <c r="L69" s="16">
        <v>0</v>
      </c>
      <c r="M69" s="16">
        <v>7200.51</v>
      </c>
      <c r="N69" s="18">
        <f t="shared" si="1"/>
        <v>569253998.49289799</v>
      </c>
    </row>
    <row r="70" spans="1:14" ht="15" x14ac:dyDescent="0.2">
      <c r="A70" s="17" t="s">
        <v>65</v>
      </c>
      <c r="B70" s="16">
        <v>96670742.820000008</v>
      </c>
      <c r="C70" s="16">
        <v>0</v>
      </c>
      <c r="D70" s="16">
        <v>28226904.249476042</v>
      </c>
      <c r="E70" s="16">
        <v>2102932.7635677177</v>
      </c>
      <c r="F70" s="16">
        <v>2062954.4</v>
      </c>
      <c r="G70" s="16">
        <v>825986.78</v>
      </c>
      <c r="H70" s="16">
        <v>5283110.7</v>
      </c>
      <c r="I70" s="16">
        <v>5496561.5599999996</v>
      </c>
      <c r="J70" s="16">
        <v>31859041.080000002</v>
      </c>
      <c r="K70" s="16">
        <v>0</v>
      </c>
      <c r="L70" s="16">
        <v>0</v>
      </c>
      <c r="M70" s="16">
        <v>1599.0700000000002</v>
      </c>
      <c r="N70" s="18">
        <f t="shared" si="1"/>
        <v>172529833.42304379</v>
      </c>
    </row>
    <row r="71" spans="1:14" ht="15" x14ac:dyDescent="0.2">
      <c r="A71" s="17" t="s">
        <v>66</v>
      </c>
      <c r="B71" s="16">
        <v>335153361.41999996</v>
      </c>
      <c r="C71" s="16">
        <v>0</v>
      </c>
      <c r="D71" s="16">
        <v>3874144.93</v>
      </c>
      <c r="E71" s="16">
        <v>12517667.356998473</v>
      </c>
      <c r="F71" s="16">
        <v>1298951.42</v>
      </c>
      <c r="G71" s="16">
        <v>637353.12</v>
      </c>
      <c r="H71" s="16">
        <v>18316320.52</v>
      </c>
      <c r="I71" s="16">
        <v>3460942.45</v>
      </c>
      <c r="J71" s="16">
        <v>27426137.209999997</v>
      </c>
      <c r="K71" s="16">
        <v>0</v>
      </c>
      <c r="L71" s="16">
        <v>0</v>
      </c>
      <c r="M71" s="16">
        <v>1006.85</v>
      </c>
      <c r="N71" s="18">
        <f t="shared" si="1"/>
        <v>402685885.27699846</v>
      </c>
    </row>
    <row r="72" spans="1:14" ht="15" x14ac:dyDescent="0.2">
      <c r="A72" s="17" t="s">
        <v>67</v>
      </c>
      <c r="B72" s="16">
        <v>1744158585.5699999</v>
      </c>
      <c r="C72" s="16">
        <v>0</v>
      </c>
      <c r="D72" s="16">
        <v>13845184.582281282</v>
      </c>
      <c r="E72" s="16">
        <v>67096423.627374932</v>
      </c>
      <c r="F72" s="16">
        <v>37795828.220000006</v>
      </c>
      <c r="G72" s="16">
        <v>0</v>
      </c>
      <c r="H72" s="16">
        <v>95319251.900000006</v>
      </c>
      <c r="I72" s="16">
        <v>100703676.09999999</v>
      </c>
      <c r="J72" s="16">
        <v>403846446.54000008</v>
      </c>
      <c r="K72" s="16">
        <v>0</v>
      </c>
      <c r="L72" s="16">
        <v>0</v>
      </c>
      <c r="M72" s="16">
        <v>29297.66</v>
      </c>
      <c r="N72" s="18">
        <f t="shared" ref="N72:N103" si="2">SUM(B72:M72)</f>
        <v>2462794694.199656</v>
      </c>
    </row>
    <row r="73" spans="1:14" ht="15" x14ac:dyDescent="0.2">
      <c r="A73" s="17" t="s">
        <v>68</v>
      </c>
      <c r="B73" s="16">
        <v>698782365.56000006</v>
      </c>
      <c r="C73" s="16">
        <v>0</v>
      </c>
      <c r="D73" s="16">
        <v>30016120.001951732</v>
      </c>
      <c r="E73" s="16">
        <v>26662170.039656851</v>
      </c>
      <c r="F73" s="16">
        <v>14028675.41</v>
      </c>
      <c r="G73" s="16">
        <v>7361021.8995385561</v>
      </c>
      <c r="H73" s="16">
        <v>38188850.990000002</v>
      </c>
      <c r="I73" s="16">
        <v>37378178.439999998</v>
      </c>
      <c r="J73" s="16">
        <v>174481945.30999991</v>
      </c>
      <c r="K73" s="16">
        <v>0</v>
      </c>
      <c r="L73" s="16">
        <v>0</v>
      </c>
      <c r="M73" s="16">
        <v>10874.39</v>
      </c>
      <c r="N73" s="18">
        <f t="shared" si="2"/>
        <v>1026910202.0411471</v>
      </c>
    </row>
    <row r="74" spans="1:14" ht="15" x14ac:dyDescent="0.2">
      <c r="A74" s="17" t="s">
        <v>69</v>
      </c>
      <c r="B74" s="16">
        <v>432274330.83999997</v>
      </c>
      <c r="C74" s="16">
        <v>0</v>
      </c>
      <c r="D74" s="16">
        <v>5889981.3999999994</v>
      </c>
      <c r="E74" s="16">
        <v>16520329.889020642</v>
      </c>
      <c r="F74" s="16">
        <v>10185242.800000001</v>
      </c>
      <c r="G74" s="16">
        <v>12903498.532918788</v>
      </c>
      <c r="H74" s="16">
        <v>23624036.359999999</v>
      </c>
      <c r="I74" s="16">
        <v>27137688.449999999</v>
      </c>
      <c r="J74" s="16">
        <v>94804542.610000044</v>
      </c>
      <c r="K74" s="16">
        <v>0</v>
      </c>
      <c r="L74" s="16">
        <v>0</v>
      </c>
      <c r="M74" s="16">
        <v>7895.1399999999994</v>
      </c>
      <c r="N74" s="18">
        <f t="shared" si="2"/>
        <v>623347546.0219394</v>
      </c>
    </row>
    <row r="75" spans="1:14" ht="15" x14ac:dyDescent="0.2">
      <c r="A75" s="17" t="s">
        <v>70</v>
      </c>
      <c r="B75" s="16">
        <v>69915439.420000002</v>
      </c>
      <c r="C75" s="16">
        <v>0</v>
      </c>
      <c r="D75" s="16">
        <v>14787498.158749353</v>
      </c>
      <c r="E75" s="16">
        <v>1543595.2265557221</v>
      </c>
      <c r="F75" s="16">
        <v>185146.31</v>
      </c>
      <c r="G75" s="16">
        <v>92887.79</v>
      </c>
      <c r="H75" s="16">
        <v>3820918.26</v>
      </c>
      <c r="I75" s="16">
        <v>493306.16</v>
      </c>
      <c r="J75" s="16">
        <v>11086881.160000002</v>
      </c>
      <c r="K75" s="16">
        <v>0</v>
      </c>
      <c r="L75" s="16">
        <v>0</v>
      </c>
      <c r="M75" s="16">
        <v>143.48999999999998</v>
      </c>
      <c r="N75" s="18">
        <f t="shared" si="2"/>
        <v>101925815.97530508</v>
      </c>
    </row>
    <row r="76" spans="1:14" ht="15" x14ac:dyDescent="0.2">
      <c r="A76" s="17" t="s">
        <v>71</v>
      </c>
      <c r="B76" s="16">
        <v>65126450.970000006</v>
      </c>
      <c r="C76" s="16">
        <v>0</v>
      </c>
      <c r="D76" s="16">
        <v>20460893.900988393</v>
      </c>
      <c r="E76" s="16">
        <v>1394878.716402024</v>
      </c>
      <c r="F76" s="16">
        <v>333336.53999999998</v>
      </c>
      <c r="G76" s="16">
        <v>218643.56</v>
      </c>
      <c r="H76" s="16">
        <v>3559197.34</v>
      </c>
      <c r="I76" s="16">
        <v>888146.08</v>
      </c>
      <c r="J76" s="16">
        <v>15789138.769999998</v>
      </c>
      <c r="K76" s="16">
        <v>0</v>
      </c>
      <c r="L76" s="16">
        <v>0</v>
      </c>
      <c r="M76" s="16">
        <v>258.34999999999997</v>
      </c>
      <c r="N76" s="18">
        <f t="shared" si="2"/>
        <v>107770944.22739042</v>
      </c>
    </row>
    <row r="77" spans="1:14" ht="15" x14ac:dyDescent="0.2">
      <c r="A77" s="17" t="s">
        <v>72</v>
      </c>
      <c r="B77" s="16">
        <v>84848742.219999999</v>
      </c>
      <c r="C77" s="16">
        <v>0</v>
      </c>
      <c r="D77" s="16">
        <v>18244401.841926329</v>
      </c>
      <c r="E77" s="16">
        <v>1893235.5781880254</v>
      </c>
      <c r="F77" s="16">
        <v>391514.93</v>
      </c>
      <c r="G77" s="16">
        <v>154336.63</v>
      </c>
      <c r="H77" s="16">
        <v>4637031.6900000004</v>
      </c>
      <c r="I77" s="16">
        <v>1043157.3</v>
      </c>
      <c r="J77" s="16">
        <v>10598722.540000005</v>
      </c>
      <c r="K77" s="16">
        <v>0</v>
      </c>
      <c r="L77" s="16">
        <v>0</v>
      </c>
      <c r="M77" s="16">
        <v>303.46000000000004</v>
      </c>
      <c r="N77" s="18">
        <f t="shared" si="2"/>
        <v>121811446.19011436</v>
      </c>
    </row>
    <row r="78" spans="1:14" ht="15" x14ac:dyDescent="0.2">
      <c r="A78" s="17" t="s">
        <v>73</v>
      </c>
      <c r="B78" s="16">
        <v>32942363.580000002</v>
      </c>
      <c r="C78" s="16">
        <v>0</v>
      </c>
      <c r="D78" s="16">
        <v>7137126.0602872241</v>
      </c>
      <c r="E78" s="16">
        <v>727311.05966823758</v>
      </c>
      <c r="F78" s="16">
        <v>139042.68</v>
      </c>
      <c r="G78" s="16">
        <v>51445.54</v>
      </c>
      <c r="H78" s="16">
        <v>1800318.78</v>
      </c>
      <c r="I78" s="16">
        <v>370467.08</v>
      </c>
      <c r="J78" s="16">
        <v>4781980.4700000025</v>
      </c>
      <c r="K78" s="16">
        <v>0</v>
      </c>
      <c r="L78" s="16">
        <v>0</v>
      </c>
      <c r="M78" s="16">
        <v>107.74000000000001</v>
      </c>
      <c r="N78" s="18">
        <f t="shared" si="2"/>
        <v>47950162.989955463</v>
      </c>
    </row>
    <row r="79" spans="1:14" ht="15" x14ac:dyDescent="0.2">
      <c r="A79" s="17" t="s">
        <v>74</v>
      </c>
      <c r="B79" s="16">
        <v>131935327.48999999</v>
      </c>
      <c r="C79" s="16">
        <v>0</v>
      </c>
      <c r="D79" s="16">
        <v>48921092.936290495</v>
      </c>
      <c r="E79" s="16">
        <v>3027434.9716312322</v>
      </c>
      <c r="F79" s="16">
        <v>698872.45</v>
      </c>
      <c r="G79" s="16">
        <v>382983.49</v>
      </c>
      <c r="H79" s="16">
        <v>7210340.1799999997</v>
      </c>
      <c r="I79" s="16">
        <v>1862084.53</v>
      </c>
      <c r="J79" s="16">
        <v>24809915.200000003</v>
      </c>
      <c r="K79" s="16">
        <v>0</v>
      </c>
      <c r="L79" s="16">
        <v>0</v>
      </c>
      <c r="M79" s="16">
        <v>541.69999999999993</v>
      </c>
      <c r="N79" s="18">
        <f t="shared" si="2"/>
        <v>218848592.94792169</v>
      </c>
    </row>
    <row r="80" spans="1:14" ht="15" x14ac:dyDescent="0.2">
      <c r="A80" s="17" t="s">
        <v>75</v>
      </c>
      <c r="B80" s="16">
        <v>82673437.24000001</v>
      </c>
      <c r="C80" s="16">
        <v>0</v>
      </c>
      <c r="D80" s="16">
        <v>50823911.637600228</v>
      </c>
      <c r="E80" s="16">
        <v>1848044.6391319016</v>
      </c>
      <c r="F80" s="16">
        <v>226127.31</v>
      </c>
      <c r="G80" s="16">
        <v>160052.79999999999</v>
      </c>
      <c r="H80" s="16">
        <v>4518150.05</v>
      </c>
      <c r="I80" s="16">
        <v>602496.46</v>
      </c>
      <c r="J80" s="16">
        <v>16351435.869999999</v>
      </c>
      <c r="K80" s="16">
        <v>0</v>
      </c>
      <c r="L80" s="16">
        <v>0</v>
      </c>
      <c r="M80" s="16">
        <v>175.23999999999998</v>
      </c>
      <c r="N80" s="18">
        <f t="shared" si="2"/>
        <v>157203831.24673218</v>
      </c>
    </row>
    <row r="81" spans="1:14" ht="15" x14ac:dyDescent="0.2">
      <c r="A81" s="17" t="s">
        <v>76</v>
      </c>
      <c r="B81" s="16">
        <v>41747846.460000001</v>
      </c>
      <c r="C81" s="16">
        <v>0</v>
      </c>
      <c r="D81" s="16">
        <v>14152377.126755418</v>
      </c>
      <c r="E81" s="16">
        <v>894912.63211562135</v>
      </c>
      <c r="F81" s="16">
        <v>587272.4</v>
      </c>
      <c r="G81" s="16">
        <v>330108.90999999997</v>
      </c>
      <c r="H81" s="16">
        <v>2281543.4</v>
      </c>
      <c r="I81" s="16">
        <v>1564735.95</v>
      </c>
      <c r="J81" s="16">
        <v>18181982.540000003</v>
      </c>
      <c r="K81" s="16">
        <v>0</v>
      </c>
      <c r="L81" s="16">
        <v>0</v>
      </c>
      <c r="M81" s="16">
        <v>455.2</v>
      </c>
      <c r="N81" s="18">
        <f t="shared" si="2"/>
        <v>79741234.618871048</v>
      </c>
    </row>
    <row r="82" spans="1:14" ht="15" x14ac:dyDescent="0.2">
      <c r="A82" s="17" t="s">
        <v>77</v>
      </c>
      <c r="B82" s="16">
        <v>639632079.13999987</v>
      </c>
      <c r="C82" s="16">
        <v>0</v>
      </c>
      <c r="D82" s="16">
        <v>9850083.7799999993</v>
      </c>
      <c r="E82" s="16">
        <v>22522896.30844561</v>
      </c>
      <c r="F82" s="16">
        <v>16925520.050000001</v>
      </c>
      <c r="G82" s="16">
        <v>13868112.96627879</v>
      </c>
      <c r="H82" s="16">
        <v>34956254.43</v>
      </c>
      <c r="I82" s="16">
        <v>45096567.549999997</v>
      </c>
      <c r="J82" s="16">
        <v>155896630.04000002</v>
      </c>
      <c r="K82" s="16">
        <v>0</v>
      </c>
      <c r="L82" s="16">
        <v>0</v>
      </c>
      <c r="M82" s="16">
        <v>13119.890000000001</v>
      </c>
      <c r="N82" s="18">
        <f t="shared" si="2"/>
        <v>938761264.154724</v>
      </c>
    </row>
    <row r="83" spans="1:14" ht="15" x14ac:dyDescent="0.2">
      <c r="A83" s="17" t="s">
        <v>78</v>
      </c>
      <c r="B83" s="16">
        <v>193305941.53999999</v>
      </c>
      <c r="C83" s="16">
        <v>0</v>
      </c>
      <c r="D83" s="16">
        <v>16477073.518572055</v>
      </c>
      <c r="E83" s="16">
        <v>7004532.4425448496</v>
      </c>
      <c r="F83" s="16">
        <v>1874149.07</v>
      </c>
      <c r="G83" s="16">
        <v>971749.16</v>
      </c>
      <c r="H83" s="16">
        <v>10564278.9</v>
      </c>
      <c r="I83" s="16">
        <v>4993506.26</v>
      </c>
      <c r="J83" s="16">
        <v>33621178.119999997</v>
      </c>
      <c r="K83" s="16">
        <v>0</v>
      </c>
      <c r="L83" s="16">
        <v>0</v>
      </c>
      <c r="M83" s="16">
        <v>1452.72</v>
      </c>
      <c r="N83" s="18">
        <f t="shared" si="2"/>
        <v>268813861.73111689</v>
      </c>
    </row>
    <row r="84" spans="1:14" ht="15" x14ac:dyDescent="0.2">
      <c r="A84" s="17" t="s">
        <v>79</v>
      </c>
      <c r="B84" s="16">
        <v>69069487.440000013</v>
      </c>
      <c r="C84" s="16">
        <v>0</v>
      </c>
      <c r="D84" s="16">
        <v>13357966.025927367</v>
      </c>
      <c r="E84" s="16">
        <v>1443782.1719375567</v>
      </c>
      <c r="F84" s="16">
        <v>376147.06</v>
      </c>
      <c r="G84" s="16">
        <v>86130.536224945783</v>
      </c>
      <c r="H84" s="16">
        <v>3774686.51</v>
      </c>
      <c r="I84" s="16">
        <v>1002210.94</v>
      </c>
      <c r="J84" s="16">
        <v>14031286.370000001</v>
      </c>
      <c r="K84" s="16">
        <v>0</v>
      </c>
      <c r="L84" s="16">
        <v>0</v>
      </c>
      <c r="M84" s="16">
        <v>291.53000000000003</v>
      </c>
      <c r="N84" s="18">
        <f t="shared" si="2"/>
        <v>103141988.58408989</v>
      </c>
    </row>
    <row r="85" spans="1:14" ht="15" x14ac:dyDescent="0.2">
      <c r="A85" s="17" t="s">
        <v>80</v>
      </c>
      <c r="B85" s="16">
        <v>65707006.239999995</v>
      </c>
      <c r="C85" s="16">
        <v>0</v>
      </c>
      <c r="D85" s="16">
        <v>12322393.058724023</v>
      </c>
      <c r="E85" s="16">
        <v>1417713.6021551171</v>
      </c>
      <c r="F85" s="16">
        <v>177828.27</v>
      </c>
      <c r="G85" s="16">
        <v>92887.79</v>
      </c>
      <c r="H85" s="16">
        <v>3590925.01</v>
      </c>
      <c r="I85" s="16">
        <v>473807.9</v>
      </c>
      <c r="J85" s="16">
        <v>7812607.8100000005</v>
      </c>
      <c r="K85" s="16">
        <v>0</v>
      </c>
      <c r="L85" s="16">
        <v>0</v>
      </c>
      <c r="M85" s="16">
        <v>137.81</v>
      </c>
      <c r="N85" s="18">
        <f t="shared" si="2"/>
        <v>91595307.490879163</v>
      </c>
    </row>
    <row r="86" spans="1:14" ht="15" x14ac:dyDescent="0.2">
      <c r="A86" s="17" t="s">
        <v>81</v>
      </c>
      <c r="B86" s="16">
        <v>781602718.91000009</v>
      </c>
      <c r="C86" s="16">
        <v>0</v>
      </c>
      <c r="D86" s="16">
        <v>6315013.7700000014</v>
      </c>
      <c r="E86" s="16">
        <v>30561265.751739804</v>
      </c>
      <c r="F86" s="16">
        <v>10619568.24</v>
      </c>
      <c r="G86" s="16">
        <v>3155081.050808996</v>
      </c>
      <c r="H86" s="16">
        <v>42715030.079999998</v>
      </c>
      <c r="I86" s="16">
        <v>28294910.609999999</v>
      </c>
      <c r="J86" s="16">
        <v>69203560.029999986</v>
      </c>
      <c r="K86" s="16">
        <v>0</v>
      </c>
      <c r="L86" s="16">
        <v>0</v>
      </c>
      <c r="M86" s="16">
        <v>8231.7899999999991</v>
      </c>
      <c r="N86" s="18">
        <f t="shared" si="2"/>
        <v>972475380.23254895</v>
      </c>
    </row>
    <row r="87" spans="1:14" ht="15" x14ac:dyDescent="0.2">
      <c r="A87" s="17" t="s">
        <v>82</v>
      </c>
      <c r="B87" s="16">
        <v>109442958.33999999</v>
      </c>
      <c r="C87" s="16">
        <v>0</v>
      </c>
      <c r="D87" s="16">
        <v>14747161.258926809</v>
      </c>
      <c r="E87" s="16">
        <v>2183271.7794376905</v>
      </c>
      <c r="F87" s="16">
        <v>301503.09000000003</v>
      </c>
      <c r="G87" s="16">
        <v>194349.83</v>
      </c>
      <c r="H87" s="16">
        <v>5981119.5</v>
      </c>
      <c r="I87" s="16">
        <v>803328.61</v>
      </c>
      <c r="J87" s="16">
        <v>15154243.750000004</v>
      </c>
      <c r="K87" s="16">
        <v>0</v>
      </c>
      <c r="L87" s="16">
        <v>0</v>
      </c>
      <c r="M87" s="16">
        <v>233.67999999999995</v>
      </c>
      <c r="N87" s="18">
        <f t="shared" si="2"/>
        <v>148808169.83836451</v>
      </c>
    </row>
    <row r="88" spans="1:14" ht="15" x14ac:dyDescent="0.2">
      <c r="A88" s="17" t="s">
        <v>83</v>
      </c>
      <c r="B88" s="16">
        <v>93786923.460000008</v>
      </c>
      <c r="C88" s="16">
        <v>0</v>
      </c>
      <c r="D88" s="16">
        <v>4797748.6368653039</v>
      </c>
      <c r="E88" s="16">
        <v>2120447.2759507033</v>
      </c>
      <c r="F88" s="16">
        <v>1479706.92</v>
      </c>
      <c r="G88" s="16">
        <v>495877.88</v>
      </c>
      <c r="H88" s="16">
        <v>5125508.3499999996</v>
      </c>
      <c r="I88" s="16">
        <v>3942549.65</v>
      </c>
      <c r="J88" s="16">
        <v>22647382.139999997</v>
      </c>
      <c r="K88" s="16">
        <v>0</v>
      </c>
      <c r="L88" s="16">
        <v>0</v>
      </c>
      <c r="M88" s="16">
        <v>1146.96</v>
      </c>
      <c r="N88" s="18">
        <f t="shared" si="2"/>
        <v>134397291.272816</v>
      </c>
    </row>
    <row r="89" spans="1:14" ht="15" x14ac:dyDescent="0.2">
      <c r="A89" s="17" t="s">
        <v>84</v>
      </c>
      <c r="B89" s="16">
        <v>153475112.11000001</v>
      </c>
      <c r="C89" s="16">
        <v>0</v>
      </c>
      <c r="D89" s="16">
        <v>13449641.759746438</v>
      </c>
      <c r="E89" s="16">
        <v>3248374.0123819145</v>
      </c>
      <c r="F89" s="16">
        <v>1244432.05</v>
      </c>
      <c r="G89" s="16">
        <v>578762.37</v>
      </c>
      <c r="H89" s="16">
        <v>8387501.5700000003</v>
      </c>
      <c r="I89" s="16">
        <v>3315680.36</v>
      </c>
      <c r="J89" s="16">
        <v>23963147.720000003</v>
      </c>
      <c r="K89" s="16">
        <v>0</v>
      </c>
      <c r="L89" s="16">
        <v>0</v>
      </c>
      <c r="M89" s="16">
        <v>964.59</v>
      </c>
      <c r="N89" s="18">
        <f t="shared" si="2"/>
        <v>207663616.54212838</v>
      </c>
    </row>
    <row r="90" spans="1:14" ht="15" x14ac:dyDescent="0.2">
      <c r="A90" s="17" t="s">
        <v>85</v>
      </c>
      <c r="B90" s="16">
        <v>805933907.9799999</v>
      </c>
      <c r="C90" s="16">
        <v>0</v>
      </c>
      <c r="D90" s="16">
        <v>4780835.0315799918</v>
      </c>
      <c r="E90" s="16">
        <v>31530473.09233157</v>
      </c>
      <c r="F90" s="16">
        <v>16880514.129999999</v>
      </c>
      <c r="G90" s="16">
        <v>4883693.4927112442</v>
      </c>
      <c r="H90" s="16">
        <v>44044743.310000002</v>
      </c>
      <c r="I90" s="16">
        <v>44976653.210000001</v>
      </c>
      <c r="J90" s="16">
        <v>142638309.58000001</v>
      </c>
      <c r="K90" s="16">
        <v>0</v>
      </c>
      <c r="L90" s="16">
        <v>0</v>
      </c>
      <c r="M90" s="16">
        <v>13085</v>
      </c>
      <c r="N90" s="18">
        <f t="shared" si="2"/>
        <v>1095682214.8266225</v>
      </c>
    </row>
    <row r="91" spans="1:14" ht="15" x14ac:dyDescent="0.2">
      <c r="A91" s="17" t="s">
        <v>86</v>
      </c>
      <c r="B91" s="16">
        <v>29999303.890000001</v>
      </c>
      <c r="C91" s="16">
        <v>0</v>
      </c>
      <c r="D91" s="16">
        <v>17609783.349780224</v>
      </c>
      <c r="E91" s="16">
        <v>636595.47777941404</v>
      </c>
      <c r="F91" s="16">
        <v>391880.83</v>
      </c>
      <c r="G91" s="16">
        <v>192920.79</v>
      </c>
      <c r="H91" s="16">
        <v>1639478.91</v>
      </c>
      <c r="I91" s="16">
        <v>1044132.21</v>
      </c>
      <c r="J91" s="16">
        <v>10373514.860000005</v>
      </c>
      <c r="K91" s="16">
        <v>0</v>
      </c>
      <c r="L91" s="16">
        <v>0</v>
      </c>
      <c r="M91" s="16">
        <v>303.73</v>
      </c>
      <c r="N91" s="18">
        <f t="shared" si="2"/>
        <v>61887914.047559634</v>
      </c>
    </row>
    <row r="92" spans="1:14" ht="15" x14ac:dyDescent="0.2">
      <c r="A92" s="17" t="s">
        <v>87</v>
      </c>
      <c r="B92" s="16">
        <v>43397097.310000002</v>
      </c>
      <c r="C92" s="16">
        <v>0</v>
      </c>
      <c r="D92" s="16">
        <v>443473.55</v>
      </c>
      <c r="E92" s="16">
        <v>956014.5557650082</v>
      </c>
      <c r="F92" s="16">
        <v>83791.509999999995</v>
      </c>
      <c r="G92" s="16">
        <v>60019.8</v>
      </c>
      <c r="H92" s="16">
        <v>2371675.89</v>
      </c>
      <c r="I92" s="16">
        <v>223255.16</v>
      </c>
      <c r="J92" s="16">
        <v>4213713.8299999991</v>
      </c>
      <c r="K92" s="16">
        <v>0</v>
      </c>
      <c r="L92" s="16">
        <v>0</v>
      </c>
      <c r="M92" s="16">
        <v>64.91</v>
      </c>
      <c r="N92" s="18">
        <f t="shared" si="2"/>
        <v>51749106.515764996</v>
      </c>
    </row>
    <row r="93" spans="1:14" ht="15" x14ac:dyDescent="0.2">
      <c r="A93" s="17" t="s">
        <v>88</v>
      </c>
      <c r="B93" s="16">
        <v>430667733.02999997</v>
      </c>
      <c r="C93" s="16">
        <v>0</v>
      </c>
      <c r="D93" s="16">
        <v>5183225.4578538965</v>
      </c>
      <c r="E93" s="16">
        <v>16563369.149311567</v>
      </c>
      <c r="F93" s="16">
        <v>13681068.689999999</v>
      </c>
      <c r="G93" s="16">
        <v>2703341.0047686994</v>
      </c>
      <c r="H93" s="16">
        <v>23536234.879999999</v>
      </c>
      <c r="I93" s="16">
        <v>36452010.740000002</v>
      </c>
      <c r="J93" s="16">
        <v>142910648.09999996</v>
      </c>
      <c r="K93" s="16">
        <v>0</v>
      </c>
      <c r="L93" s="16">
        <v>0</v>
      </c>
      <c r="M93" s="16">
        <v>10604.92</v>
      </c>
      <c r="N93" s="18">
        <f t="shared" si="2"/>
        <v>671708235.97193396</v>
      </c>
    </row>
    <row r="94" spans="1:14" ht="15" x14ac:dyDescent="0.2">
      <c r="A94" s="17" t="s">
        <v>89</v>
      </c>
      <c r="B94" s="16">
        <v>294694584.45999998</v>
      </c>
      <c r="C94" s="16">
        <v>0</v>
      </c>
      <c r="D94" s="16">
        <v>6448949.9300000016</v>
      </c>
      <c r="E94" s="16">
        <v>11511567.667923471</v>
      </c>
      <c r="F94" s="16">
        <v>6186301.9100000001</v>
      </c>
      <c r="G94" s="16">
        <v>3310764.3407358485</v>
      </c>
      <c r="H94" s="16">
        <v>16105225.5</v>
      </c>
      <c r="I94" s="16">
        <v>16482860.27</v>
      </c>
      <c r="J94" s="16">
        <v>71866575.979999974</v>
      </c>
      <c r="K94" s="16">
        <v>0</v>
      </c>
      <c r="L94" s="16">
        <v>0</v>
      </c>
      <c r="M94" s="16">
        <v>4795.3</v>
      </c>
      <c r="N94" s="18">
        <f t="shared" si="2"/>
        <v>426611625.35865927</v>
      </c>
    </row>
    <row r="95" spans="1:14" ht="15" x14ac:dyDescent="0.2">
      <c r="A95" s="17" t="s">
        <v>90</v>
      </c>
      <c r="B95" s="16">
        <v>54330492.949999996</v>
      </c>
      <c r="C95" s="16">
        <v>0</v>
      </c>
      <c r="D95" s="16">
        <v>12250195.376645528</v>
      </c>
      <c r="E95" s="16">
        <v>1114590.8570271246</v>
      </c>
      <c r="F95" s="16">
        <v>303332.59999999998</v>
      </c>
      <c r="G95" s="16">
        <v>155765.67000000001</v>
      </c>
      <c r="H95" s="16">
        <v>2969192.13</v>
      </c>
      <c r="I95" s="16">
        <v>808203.18</v>
      </c>
      <c r="J95" s="16">
        <v>10705260.499999998</v>
      </c>
      <c r="K95" s="16">
        <v>0</v>
      </c>
      <c r="L95" s="16">
        <v>0</v>
      </c>
      <c r="M95" s="16">
        <v>235.09</v>
      </c>
      <c r="N95" s="18">
        <f t="shared" si="2"/>
        <v>82637268.353672653</v>
      </c>
    </row>
    <row r="96" spans="1:14" ht="15" x14ac:dyDescent="0.2">
      <c r="A96" s="17" t="s">
        <v>91</v>
      </c>
      <c r="B96" s="16">
        <v>176280270.19</v>
      </c>
      <c r="C96" s="16">
        <v>0</v>
      </c>
      <c r="D96" s="16">
        <v>30922942.288436726</v>
      </c>
      <c r="E96" s="16">
        <v>7223845.6354430197</v>
      </c>
      <c r="F96" s="16">
        <v>1699979.81</v>
      </c>
      <c r="G96" s="16">
        <v>850280.51</v>
      </c>
      <c r="H96" s="16">
        <v>9633816.3399999999</v>
      </c>
      <c r="I96" s="16">
        <v>4529447.5</v>
      </c>
      <c r="J96" s="16">
        <v>38309763.469999999</v>
      </c>
      <c r="K96" s="16">
        <v>0</v>
      </c>
      <c r="L96" s="16">
        <v>0</v>
      </c>
      <c r="M96" s="16">
        <v>1317.71</v>
      </c>
      <c r="N96" s="18">
        <f t="shared" si="2"/>
        <v>269451663.45387971</v>
      </c>
    </row>
    <row r="97" spans="1:14" ht="15" x14ac:dyDescent="0.2">
      <c r="A97" s="17" t="s">
        <v>92</v>
      </c>
      <c r="B97" s="16">
        <v>85107030.039999992</v>
      </c>
      <c r="C97" s="16">
        <v>0</v>
      </c>
      <c r="D97" s="16">
        <v>44752919.459036455</v>
      </c>
      <c r="E97" s="16">
        <v>1876548.2468858778</v>
      </c>
      <c r="F97" s="16">
        <v>784859.38</v>
      </c>
      <c r="G97" s="16">
        <v>435858.08</v>
      </c>
      <c r="H97" s="16">
        <v>4651147.2699999996</v>
      </c>
      <c r="I97" s="16">
        <v>2091189.17</v>
      </c>
      <c r="J97" s="16">
        <v>24780837.490000002</v>
      </c>
      <c r="K97" s="16">
        <v>0</v>
      </c>
      <c r="L97" s="16">
        <v>0</v>
      </c>
      <c r="M97" s="16">
        <v>608.34999999999991</v>
      </c>
      <c r="N97" s="18">
        <f t="shared" si="2"/>
        <v>164480997.48592231</v>
      </c>
    </row>
    <row r="98" spans="1:14" ht="15" x14ac:dyDescent="0.2">
      <c r="A98" s="17" t="s">
        <v>93</v>
      </c>
      <c r="B98" s="16">
        <v>235309706.32999998</v>
      </c>
      <c r="C98" s="16">
        <v>0</v>
      </c>
      <c r="D98" s="16">
        <v>42572102.957878895</v>
      </c>
      <c r="E98" s="16">
        <v>9417103.9796260633</v>
      </c>
      <c r="F98" s="16">
        <v>1825118.23</v>
      </c>
      <c r="G98" s="16">
        <v>1021765.66</v>
      </c>
      <c r="H98" s="16">
        <v>12859808.369999999</v>
      </c>
      <c r="I98" s="16">
        <v>4862867.87</v>
      </c>
      <c r="J98" s="16">
        <v>48613087.54999999</v>
      </c>
      <c r="K98" s="16">
        <v>0</v>
      </c>
      <c r="L98" s="16">
        <v>0</v>
      </c>
      <c r="M98" s="16">
        <v>1414.72</v>
      </c>
      <c r="N98" s="18">
        <f t="shared" si="2"/>
        <v>356482975.66750503</v>
      </c>
    </row>
    <row r="99" spans="1:14" ht="15" x14ac:dyDescent="0.2">
      <c r="A99" s="17" t="s">
        <v>94</v>
      </c>
      <c r="B99" s="16">
        <v>164654947.52000001</v>
      </c>
      <c r="C99" s="16">
        <v>0</v>
      </c>
      <c r="D99" s="16">
        <v>22976748.306218173</v>
      </c>
      <c r="E99" s="16">
        <v>3574115.2215917367</v>
      </c>
      <c r="F99" s="16">
        <v>676552.44</v>
      </c>
      <c r="G99" s="16">
        <v>275805.28000000003</v>
      </c>
      <c r="H99" s="16">
        <v>8998485.8900000006</v>
      </c>
      <c r="I99" s="16">
        <v>1802614.81</v>
      </c>
      <c r="J99" s="16">
        <v>32338871.159999996</v>
      </c>
      <c r="K99" s="16">
        <v>0</v>
      </c>
      <c r="L99" s="16">
        <v>0</v>
      </c>
      <c r="M99" s="16">
        <v>524.41</v>
      </c>
      <c r="N99" s="18">
        <f t="shared" si="2"/>
        <v>235298665.03780991</v>
      </c>
    </row>
    <row r="100" spans="1:14" ht="15" x14ac:dyDescent="0.2">
      <c r="A100" s="17" t="s">
        <v>95</v>
      </c>
      <c r="B100" s="16">
        <v>174834806.07999998</v>
      </c>
      <c r="C100" s="16">
        <v>0</v>
      </c>
      <c r="D100" s="16">
        <v>37963613.679011256</v>
      </c>
      <c r="E100" s="16">
        <v>3396285.943875649</v>
      </c>
      <c r="F100" s="16">
        <v>759612.15</v>
      </c>
      <c r="G100" s="16">
        <v>364405.93</v>
      </c>
      <c r="H100" s="16">
        <v>9554820.9100000001</v>
      </c>
      <c r="I100" s="16">
        <v>2023920.15</v>
      </c>
      <c r="J100" s="16">
        <v>25284786.620000005</v>
      </c>
      <c r="K100" s="16">
        <v>0</v>
      </c>
      <c r="L100" s="16">
        <v>0</v>
      </c>
      <c r="M100" s="16">
        <v>588.77999999999986</v>
      </c>
      <c r="N100" s="18">
        <f t="shared" si="2"/>
        <v>254182840.2428869</v>
      </c>
    </row>
    <row r="101" spans="1:14" ht="15" x14ac:dyDescent="0.2">
      <c r="A101" s="17" t="s">
        <v>96</v>
      </c>
      <c r="B101" s="16">
        <v>32120107.760000005</v>
      </c>
      <c r="C101" s="16">
        <v>0</v>
      </c>
      <c r="D101" s="16">
        <v>10537436.471368713</v>
      </c>
      <c r="E101" s="16">
        <v>686342.41686204681</v>
      </c>
      <c r="F101" s="16">
        <v>90743.64</v>
      </c>
      <c r="G101" s="16">
        <v>54303.63</v>
      </c>
      <c r="H101" s="16">
        <v>1755382.04</v>
      </c>
      <c r="I101" s="16">
        <v>241778.51</v>
      </c>
      <c r="J101" s="16">
        <v>5473249.6799999978</v>
      </c>
      <c r="K101" s="16">
        <v>0</v>
      </c>
      <c r="L101" s="16">
        <v>0</v>
      </c>
      <c r="M101" s="16">
        <v>70.300000000000011</v>
      </c>
      <c r="N101" s="18">
        <f t="shared" si="2"/>
        <v>50959414.448230766</v>
      </c>
    </row>
    <row r="102" spans="1:14" ht="15" x14ac:dyDescent="0.2">
      <c r="A102" s="17" t="s">
        <v>97</v>
      </c>
      <c r="B102" s="16">
        <v>104649230.67</v>
      </c>
      <c r="C102" s="16">
        <v>0</v>
      </c>
      <c r="D102" s="16">
        <v>52977256.93577528</v>
      </c>
      <c r="E102" s="16">
        <v>4090756.0345105226</v>
      </c>
      <c r="F102" s="16">
        <v>1757060.49</v>
      </c>
      <c r="G102" s="16">
        <v>956029.69</v>
      </c>
      <c r="H102" s="16">
        <v>5719139.5700000003</v>
      </c>
      <c r="I102" s="16">
        <v>4681533.9800000004</v>
      </c>
      <c r="J102" s="16">
        <v>36458900.919999994</v>
      </c>
      <c r="K102" s="16">
        <v>0</v>
      </c>
      <c r="L102" s="16">
        <v>0</v>
      </c>
      <c r="M102" s="16">
        <v>1361.9499999999998</v>
      </c>
      <c r="N102" s="18">
        <f t="shared" si="2"/>
        <v>211291270.24028578</v>
      </c>
    </row>
    <row r="103" spans="1:14" ht="15" x14ac:dyDescent="0.2">
      <c r="A103" s="17" t="s">
        <v>98</v>
      </c>
      <c r="B103" s="16">
        <v>36316692.879999995</v>
      </c>
      <c r="C103" s="16">
        <v>0</v>
      </c>
      <c r="D103" s="16">
        <v>14417634.859095767</v>
      </c>
      <c r="E103" s="16">
        <v>785908.57760188507</v>
      </c>
      <c r="F103" s="16">
        <v>43542.31</v>
      </c>
      <c r="G103" s="16">
        <v>32867.99</v>
      </c>
      <c r="H103" s="16">
        <v>1984727.78</v>
      </c>
      <c r="I103" s="16">
        <v>116014.69</v>
      </c>
      <c r="J103" s="16">
        <v>7731151.7499999972</v>
      </c>
      <c r="K103" s="16">
        <v>0</v>
      </c>
      <c r="L103" s="16">
        <v>0</v>
      </c>
      <c r="M103" s="16">
        <v>33.72</v>
      </c>
      <c r="N103" s="18">
        <f t="shared" si="2"/>
        <v>61428574.556697652</v>
      </c>
    </row>
    <row r="104" spans="1:14" ht="15" x14ac:dyDescent="0.2">
      <c r="A104" s="17" t="s">
        <v>99</v>
      </c>
      <c r="B104" s="16">
        <v>503905370.33000004</v>
      </c>
      <c r="C104" s="16">
        <v>0</v>
      </c>
      <c r="D104" s="16">
        <v>14912693.488293251</v>
      </c>
      <c r="E104" s="16">
        <v>18925644.99291316</v>
      </c>
      <c r="F104" s="16">
        <v>8923247.4499999993</v>
      </c>
      <c r="G104" s="16">
        <v>1910251.2464930133</v>
      </c>
      <c r="H104" s="16">
        <v>27538713.129999999</v>
      </c>
      <c r="I104" s="16">
        <v>23775212.25</v>
      </c>
      <c r="J104" s="16">
        <v>89614848.439999983</v>
      </c>
      <c r="K104" s="16">
        <v>0</v>
      </c>
      <c r="L104" s="16">
        <v>0</v>
      </c>
      <c r="M104" s="16">
        <v>6916.8799999999992</v>
      </c>
      <c r="N104" s="18">
        <f t="shared" ref="N104:N135" si="3">SUM(B104:M104)</f>
        <v>689512898.20769942</v>
      </c>
    </row>
    <row r="105" spans="1:14" ht="15" x14ac:dyDescent="0.2">
      <c r="A105" s="17" t="s">
        <v>100</v>
      </c>
      <c r="B105" s="16">
        <v>86784716.270000011</v>
      </c>
      <c r="C105" s="16">
        <v>0</v>
      </c>
      <c r="D105" s="16">
        <v>2429640.9599999995</v>
      </c>
      <c r="E105" s="16">
        <v>3193348.9442328494</v>
      </c>
      <c r="F105" s="16">
        <v>384562.8</v>
      </c>
      <c r="G105" s="16">
        <v>235792.08</v>
      </c>
      <c r="H105" s="16">
        <v>4742833.7699999996</v>
      </c>
      <c r="I105" s="16">
        <v>1024633.95</v>
      </c>
      <c r="J105" s="16">
        <v>11372218.040000001</v>
      </c>
      <c r="K105" s="16">
        <v>0</v>
      </c>
      <c r="L105" s="16">
        <v>0</v>
      </c>
      <c r="M105" s="16">
        <v>298.07000000000005</v>
      </c>
      <c r="N105" s="18">
        <f t="shared" si="3"/>
        <v>110168044.88423285</v>
      </c>
    </row>
    <row r="106" spans="1:14" ht="15" x14ac:dyDescent="0.2">
      <c r="A106" s="17" t="s">
        <v>101</v>
      </c>
      <c r="B106" s="16">
        <v>93706356.599999994</v>
      </c>
      <c r="C106" s="16">
        <v>0</v>
      </c>
      <c r="D106" s="16">
        <v>1895722.38</v>
      </c>
      <c r="E106" s="16">
        <v>2027805.7855865406</v>
      </c>
      <c r="F106" s="16">
        <v>2724870.78</v>
      </c>
      <c r="G106" s="16">
        <v>771720.17319809017</v>
      </c>
      <c r="H106" s="16">
        <v>5121105.32</v>
      </c>
      <c r="I106" s="16">
        <v>7260179.8300000001</v>
      </c>
      <c r="J106" s="16">
        <v>29761740.290000003</v>
      </c>
      <c r="K106" s="16">
        <v>0</v>
      </c>
      <c r="L106" s="16">
        <v>0</v>
      </c>
      <c r="M106" s="16">
        <v>2112.17</v>
      </c>
      <c r="N106" s="18">
        <f t="shared" si="3"/>
        <v>143271613.32878461</v>
      </c>
    </row>
    <row r="107" spans="1:14" ht="15" x14ac:dyDescent="0.2">
      <c r="A107" s="17" t="s">
        <v>102</v>
      </c>
      <c r="B107" s="16">
        <v>131015917.54999998</v>
      </c>
      <c r="C107" s="16">
        <v>0</v>
      </c>
      <c r="D107" s="16">
        <v>17894102.575572334</v>
      </c>
      <c r="E107" s="16">
        <v>2763600.6888136612</v>
      </c>
      <c r="F107" s="16">
        <v>151483.34</v>
      </c>
      <c r="G107" s="16">
        <v>144333.32999999999</v>
      </c>
      <c r="H107" s="16">
        <v>7160093.9000000004</v>
      </c>
      <c r="I107" s="16">
        <v>403614.13</v>
      </c>
      <c r="J107" s="16">
        <v>14187843.749999996</v>
      </c>
      <c r="K107" s="16">
        <v>0</v>
      </c>
      <c r="L107" s="16">
        <v>0</v>
      </c>
      <c r="M107" s="16">
        <v>117.38000000000001</v>
      </c>
      <c r="N107" s="18">
        <f t="shared" si="3"/>
        <v>173721106.64438599</v>
      </c>
    </row>
    <row r="108" spans="1:14" ht="15" x14ac:dyDescent="0.2">
      <c r="A108" s="17" t="s">
        <v>103</v>
      </c>
      <c r="B108" s="16">
        <v>47179000.100000009</v>
      </c>
      <c r="C108" s="16">
        <v>0</v>
      </c>
      <c r="D108" s="16">
        <v>7600059.5604561856</v>
      </c>
      <c r="E108" s="16">
        <v>960553.57292039308</v>
      </c>
      <c r="F108" s="16">
        <v>153678.76</v>
      </c>
      <c r="G108" s="16">
        <v>90029.7</v>
      </c>
      <c r="H108" s="16">
        <v>2578359.0099999998</v>
      </c>
      <c r="I108" s="16">
        <v>409463.61</v>
      </c>
      <c r="J108" s="16">
        <v>7656820.7200000007</v>
      </c>
      <c r="K108" s="16">
        <v>0</v>
      </c>
      <c r="L108" s="16">
        <v>0</v>
      </c>
      <c r="M108" s="16">
        <v>119.07999999999998</v>
      </c>
      <c r="N108" s="18">
        <f t="shared" si="3"/>
        <v>66628084.11337658</v>
      </c>
    </row>
    <row r="109" spans="1:14" ht="15" x14ac:dyDescent="0.2">
      <c r="A109" s="17" t="s">
        <v>104</v>
      </c>
      <c r="B109" s="16">
        <v>501379362.57999992</v>
      </c>
      <c r="C109" s="16">
        <v>0</v>
      </c>
      <c r="D109" s="16">
        <v>8243330.4223404322</v>
      </c>
      <c r="E109" s="16">
        <v>19063461.497158054</v>
      </c>
      <c r="F109" s="16">
        <v>15690601.439999999</v>
      </c>
      <c r="G109" s="16">
        <v>8639576.7533608302</v>
      </c>
      <c r="H109" s="16">
        <v>27400665.379999999</v>
      </c>
      <c r="I109" s="16">
        <v>41806234.939999998</v>
      </c>
      <c r="J109" s="16">
        <v>140638881.20000005</v>
      </c>
      <c r="K109" s="16">
        <v>0</v>
      </c>
      <c r="L109" s="16">
        <v>0</v>
      </c>
      <c r="M109" s="16">
        <v>12162.64</v>
      </c>
      <c r="N109" s="18">
        <f t="shared" si="3"/>
        <v>762874276.85285938</v>
      </c>
    </row>
    <row r="110" spans="1:14" ht="15" x14ac:dyDescent="0.2">
      <c r="A110" s="17" t="s">
        <v>105</v>
      </c>
      <c r="B110" s="16">
        <v>56088745.959999993</v>
      </c>
      <c r="C110" s="16">
        <v>0</v>
      </c>
      <c r="D110" s="16">
        <v>21272640.141208172</v>
      </c>
      <c r="E110" s="16">
        <v>2222747.2039649491</v>
      </c>
      <c r="F110" s="16">
        <v>599713.06000000006</v>
      </c>
      <c r="G110" s="16">
        <v>301528.05</v>
      </c>
      <c r="H110" s="16">
        <v>3065281.65</v>
      </c>
      <c r="I110" s="16">
        <v>1597883.01</v>
      </c>
      <c r="J110" s="16">
        <v>16257029.669999998</v>
      </c>
      <c r="K110" s="16">
        <v>0</v>
      </c>
      <c r="L110" s="16">
        <v>0</v>
      </c>
      <c r="M110" s="16">
        <v>464.84</v>
      </c>
      <c r="N110" s="18">
        <f t="shared" si="3"/>
        <v>101406033.58517313</v>
      </c>
    </row>
    <row r="111" spans="1:14" ht="15" x14ac:dyDescent="0.2">
      <c r="A111" s="17" t="s">
        <v>106</v>
      </c>
      <c r="B111" s="16">
        <v>67906007.349999994</v>
      </c>
      <c r="C111" s="16">
        <v>0</v>
      </c>
      <c r="D111" s="16">
        <v>17500795.646003354</v>
      </c>
      <c r="E111" s="16">
        <v>1505292.3806245648</v>
      </c>
      <c r="F111" s="16">
        <v>208929.93</v>
      </c>
      <c r="G111" s="16">
        <v>138617.16</v>
      </c>
      <c r="H111" s="16">
        <v>3711101.66</v>
      </c>
      <c r="I111" s="16">
        <v>556675.53</v>
      </c>
      <c r="J111" s="16">
        <v>12603976.09</v>
      </c>
      <c r="K111" s="16">
        <v>0</v>
      </c>
      <c r="L111" s="16">
        <v>0</v>
      </c>
      <c r="M111" s="16">
        <v>161.92000000000002</v>
      </c>
      <c r="N111" s="18">
        <f t="shared" si="3"/>
        <v>104131557.66662791</v>
      </c>
    </row>
    <row r="112" spans="1:14" ht="15" x14ac:dyDescent="0.2">
      <c r="A112" s="17" t="s">
        <v>107</v>
      </c>
      <c r="B112" s="16">
        <v>94748986.450000018</v>
      </c>
      <c r="C112" s="16">
        <v>0</v>
      </c>
      <c r="D112" s="16">
        <v>32443362.345175304</v>
      </c>
      <c r="E112" s="16">
        <v>2015585.6499480531</v>
      </c>
      <c r="F112" s="16">
        <v>253935.85</v>
      </c>
      <c r="G112" s="16">
        <v>157194.72</v>
      </c>
      <c r="H112" s="16">
        <v>5178085.63</v>
      </c>
      <c r="I112" s="16">
        <v>676589.88</v>
      </c>
      <c r="J112" s="16">
        <v>13178741.870000005</v>
      </c>
      <c r="K112" s="16">
        <v>0</v>
      </c>
      <c r="L112" s="16">
        <v>0</v>
      </c>
      <c r="M112" s="16">
        <v>196.81</v>
      </c>
      <c r="N112" s="18">
        <f t="shared" si="3"/>
        <v>148652679.20512336</v>
      </c>
    </row>
    <row r="113" spans="1:14" ht="15" x14ac:dyDescent="0.2">
      <c r="A113" s="17" t="s">
        <v>108</v>
      </c>
      <c r="B113" s="16">
        <v>72879825.599999994</v>
      </c>
      <c r="C113" s="16">
        <v>0</v>
      </c>
      <c r="D113" s="16">
        <v>43665781.296941303</v>
      </c>
      <c r="E113" s="16">
        <v>1612186.8896547151</v>
      </c>
      <c r="F113" s="16">
        <v>357851.97</v>
      </c>
      <c r="G113" s="16">
        <v>214356.43</v>
      </c>
      <c r="H113" s="16">
        <v>3982923.64</v>
      </c>
      <c r="I113" s="16">
        <v>953465.27</v>
      </c>
      <c r="J113" s="16">
        <v>13145138.870000003</v>
      </c>
      <c r="K113" s="16">
        <v>0</v>
      </c>
      <c r="L113" s="16">
        <v>0</v>
      </c>
      <c r="M113" s="16">
        <v>277.36</v>
      </c>
      <c r="N113" s="18">
        <f t="shared" si="3"/>
        <v>136811807.32659602</v>
      </c>
    </row>
    <row r="114" spans="1:14" ht="15" x14ac:dyDescent="0.2">
      <c r="A114" s="17" t="s">
        <v>109</v>
      </c>
      <c r="B114" s="16">
        <v>49596005.609999999</v>
      </c>
      <c r="C114" s="16">
        <v>0</v>
      </c>
      <c r="D114" s="16">
        <v>13355492.966806073</v>
      </c>
      <c r="E114" s="16">
        <v>1081692.5506754403</v>
      </c>
      <c r="F114" s="16">
        <v>216613.87</v>
      </c>
      <c r="G114" s="16">
        <v>114323.43</v>
      </c>
      <c r="H114" s="16">
        <v>2710449.73</v>
      </c>
      <c r="I114" s="16">
        <v>577148.71</v>
      </c>
      <c r="J114" s="16">
        <v>9730676.3599999975</v>
      </c>
      <c r="K114" s="16">
        <v>0</v>
      </c>
      <c r="L114" s="16">
        <v>0</v>
      </c>
      <c r="M114" s="16">
        <v>167.86999999999998</v>
      </c>
      <c r="N114" s="18">
        <f t="shared" si="3"/>
        <v>77382571.097481504</v>
      </c>
    </row>
    <row r="115" spans="1:14" ht="15" x14ac:dyDescent="0.2">
      <c r="A115" s="17" t="s">
        <v>110</v>
      </c>
      <c r="B115" s="16">
        <v>130489863.39000002</v>
      </c>
      <c r="C115" s="16">
        <v>0</v>
      </c>
      <c r="D115" s="16">
        <v>12100087.2378876</v>
      </c>
      <c r="E115" s="16">
        <v>2897644.2915814277</v>
      </c>
      <c r="F115" s="16">
        <v>224297.8</v>
      </c>
      <c r="G115" s="16">
        <v>190062.7</v>
      </c>
      <c r="H115" s="16">
        <v>7131344.75</v>
      </c>
      <c r="I115" s="16">
        <v>597621.89</v>
      </c>
      <c r="J115" s="16">
        <v>12902407.510000002</v>
      </c>
      <c r="K115" s="16">
        <v>0</v>
      </c>
      <c r="L115" s="16">
        <v>0</v>
      </c>
      <c r="M115" s="16">
        <v>173.84000000000003</v>
      </c>
      <c r="N115" s="18">
        <f t="shared" si="3"/>
        <v>166533503.40946901</v>
      </c>
    </row>
    <row r="116" spans="1:14" ht="15" x14ac:dyDescent="0.2">
      <c r="A116" s="17" t="s">
        <v>111</v>
      </c>
      <c r="B116" s="16">
        <v>71344316.209999993</v>
      </c>
      <c r="C116" s="16">
        <v>0</v>
      </c>
      <c r="D116" s="16">
        <v>18914196.848816961</v>
      </c>
      <c r="E116" s="16">
        <v>1527302.2849223479</v>
      </c>
      <c r="F116" s="16">
        <v>619105.86</v>
      </c>
      <c r="G116" s="16">
        <v>292953.78999999998</v>
      </c>
      <c r="H116" s="16">
        <v>3899007.18</v>
      </c>
      <c r="I116" s="16">
        <v>1649553.41</v>
      </c>
      <c r="J116" s="16">
        <v>17879410.84</v>
      </c>
      <c r="K116" s="16">
        <v>0</v>
      </c>
      <c r="L116" s="16">
        <v>0</v>
      </c>
      <c r="M116" s="16">
        <v>479.86999999999995</v>
      </c>
      <c r="N116" s="18">
        <f t="shared" si="3"/>
        <v>116126326.29373932</v>
      </c>
    </row>
    <row r="117" spans="1:14" ht="15" x14ac:dyDescent="0.2">
      <c r="A117" s="17" t="s">
        <v>112</v>
      </c>
      <c r="B117" s="16">
        <v>38051249.789999999</v>
      </c>
      <c r="C117" s="16">
        <v>0</v>
      </c>
      <c r="D117" s="16">
        <v>3563447.2608787045</v>
      </c>
      <c r="E117" s="16">
        <v>887356.50816312328</v>
      </c>
      <c r="F117" s="16">
        <v>130261.04</v>
      </c>
      <c r="G117" s="16">
        <v>78597.36</v>
      </c>
      <c r="H117" s="16">
        <v>2079522.3</v>
      </c>
      <c r="I117" s="16">
        <v>347069.16</v>
      </c>
      <c r="J117" s="16">
        <v>5108189.8699999992</v>
      </c>
      <c r="K117" s="16">
        <v>0</v>
      </c>
      <c r="L117" s="16">
        <v>0</v>
      </c>
      <c r="M117" s="16">
        <v>100.92999999999999</v>
      </c>
      <c r="N117" s="18">
        <f t="shared" si="3"/>
        <v>50245794.219041817</v>
      </c>
    </row>
    <row r="118" spans="1:14" ht="15" x14ac:dyDescent="0.2">
      <c r="A118" s="17" t="s">
        <v>113</v>
      </c>
      <c r="B118" s="16">
        <v>59922780.25</v>
      </c>
      <c r="C118" s="16">
        <v>0</v>
      </c>
      <c r="D118" s="16">
        <v>33494882.917329982</v>
      </c>
      <c r="E118" s="16">
        <v>1347023.1985695926</v>
      </c>
      <c r="F118" s="16">
        <v>614349.14</v>
      </c>
      <c r="G118" s="16">
        <v>298669.96000000002</v>
      </c>
      <c r="H118" s="16">
        <v>3274813.79</v>
      </c>
      <c r="I118" s="16">
        <v>1636879.54</v>
      </c>
      <c r="J118" s="16">
        <v>14072206.949999997</v>
      </c>
      <c r="K118" s="16">
        <v>0</v>
      </c>
      <c r="L118" s="16">
        <v>0</v>
      </c>
      <c r="M118" s="16">
        <v>476.19000000000005</v>
      </c>
      <c r="N118" s="18">
        <f t="shared" si="3"/>
        <v>114662081.93589959</v>
      </c>
    </row>
    <row r="119" spans="1:14" ht="15" x14ac:dyDescent="0.2">
      <c r="A119" s="17" t="s">
        <v>114</v>
      </c>
      <c r="B119" s="16">
        <v>88149613.519999996</v>
      </c>
      <c r="C119" s="16">
        <v>0</v>
      </c>
      <c r="D119" s="16">
        <v>16088541.867287701</v>
      </c>
      <c r="E119" s="16">
        <v>1956829.8935574088</v>
      </c>
      <c r="F119" s="16">
        <v>493601.54</v>
      </c>
      <c r="G119" s="16">
        <v>210069.3</v>
      </c>
      <c r="H119" s="16">
        <v>4817426.17</v>
      </c>
      <c r="I119" s="16">
        <v>1315158.1299999999</v>
      </c>
      <c r="J119" s="16">
        <v>12998402.439999998</v>
      </c>
      <c r="K119" s="16">
        <v>0</v>
      </c>
      <c r="L119" s="16">
        <v>0</v>
      </c>
      <c r="M119" s="16">
        <v>382.58000000000004</v>
      </c>
      <c r="N119" s="18">
        <f t="shared" si="3"/>
        <v>126030025.4408451</v>
      </c>
    </row>
    <row r="120" spans="1:14" ht="15" x14ac:dyDescent="0.2">
      <c r="A120" s="17" t="s">
        <v>115</v>
      </c>
      <c r="B120" s="16">
        <v>56775933.829999998</v>
      </c>
      <c r="C120" s="16">
        <v>0</v>
      </c>
      <c r="D120" s="16">
        <v>15961192.630760362</v>
      </c>
      <c r="E120" s="16">
        <v>1293739.1970271245</v>
      </c>
      <c r="F120" s="16">
        <v>332604.74</v>
      </c>
      <c r="G120" s="16">
        <v>211498.35</v>
      </c>
      <c r="H120" s="16">
        <v>3102836.86</v>
      </c>
      <c r="I120" s="16">
        <v>886196.25</v>
      </c>
      <c r="J120" s="16">
        <v>13759044.039999999</v>
      </c>
      <c r="K120" s="16">
        <v>0</v>
      </c>
      <c r="L120" s="16">
        <v>0</v>
      </c>
      <c r="M120" s="16">
        <v>257.78999999999996</v>
      </c>
      <c r="N120" s="18">
        <f t="shared" si="3"/>
        <v>92323303.687787458</v>
      </c>
    </row>
    <row r="121" spans="1:14" ht="15" x14ac:dyDescent="0.2">
      <c r="A121" s="17" t="s">
        <v>116</v>
      </c>
      <c r="B121" s="16">
        <v>66545849.32</v>
      </c>
      <c r="C121" s="16">
        <v>0</v>
      </c>
      <c r="D121" s="16">
        <v>19448140.159442224</v>
      </c>
      <c r="E121" s="16">
        <v>1406280.791964066</v>
      </c>
      <c r="F121" s="16">
        <v>139774.49</v>
      </c>
      <c r="G121" s="16">
        <v>77168.320000000007</v>
      </c>
      <c r="H121" s="16">
        <v>3636768.26</v>
      </c>
      <c r="I121" s="16">
        <v>372416.91</v>
      </c>
      <c r="J121" s="16">
        <v>7537765.830000001</v>
      </c>
      <c r="K121" s="16">
        <v>0</v>
      </c>
      <c r="L121" s="16">
        <v>0</v>
      </c>
      <c r="M121" s="16">
        <v>108.30999999999999</v>
      </c>
      <c r="N121" s="18">
        <f t="shared" si="3"/>
        <v>99164272.391406283</v>
      </c>
    </row>
    <row r="122" spans="1:14" ht="15" x14ac:dyDescent="0.2">
      <c r="A122" s="17" t="s">
        <v>117</v>
      </c>
      <c r="B122" s="16">
        <v>200016686.27999997</v>
      </c>
      <c r="C122" s="16">
        <v>0</v>
      </c>
      <c r="D122" s="16">
        <v>4554295.084999999</v>
      </c>
      <c r="E122" s="16">
        <v>7107659.8607524224</v>
      </c>
      <c r="F122" s="16">
        <v>4207870.82</v>
      </c>
      <c r="G122" s="16">
        <v>1988974.5930500668</v>
      </c>
      <c r="H122" s="16">
        <v>10931024.890000001</v>
      </c>
      <c r="I122" s="16">
        <v>11211503.699999999</v>
      </c>
      <c r="J122" s="16">
        <v>36622775.860000007</v>
      </c>
      <c r="K122" s="16">
        <v>0</v>
      </c>
      <c r="L122" s="16">
        <v>0</v>
      </c>
      <c r="M122" s="16">
        <v>3261.7299999999996</v>
      </c>
      <c r="N122" s="18">
        <f t="shared" si="3"/>
        <v>276644052.81880248</v>
      </c>
    </row>
    <row r="123" spans="1:14" ht="15" x14ac:dyDescent="0.2">
      <c r="A123" s="17" t="s">
        <v>118</v>
      </c>
      <c r="B123" s="16">
        <v>501943330.57999998</v>
      </c>
      <c r="C123" s="16">
        <v>0</v>
      </c>
      <c r="D123" s="16">
        <v>9267691.0100000016</v>
      </c>
      <c r="E123" s="16">
        <v>10546905.409173137</v>
      </c>
      <c r="F123" s="16">
        <v>5849306.3399999999</v>
      </c>
      <c r="G123" s="16">
        <v>5075550.4139732253</v>
      </c>
      <c r="H123" s="16">
        <v>27431486.539999999</v>
      </c>
      <c r="I123" s="16">
        <v>15584965.060000001</v>
      </c>
      <c r="J123" s="16">
        <v>48449116.339999996</v>
      </c>
      <c r="K123" s="16">
        <v>0</v>
      </c>
      <c r="L123" s="16">
        <v>0</v>
      </c>
      <c r="M123" s="16">
        <v>4534.0899999999992</v>
      </c>
      <c r="N123" s="18">
        <f t="shared" si="3"/>
        <v>624152885.78314626</v>
      </c>
    </row>
    <row r="124" spans="1:14" ht="15" x14ac:dyDescent="0.2">
      <c r="A124" s="17" t="s">
        <v>119</v>
      </c>
      <c r="B124" s="16">
        <v>383168835.09000003</v>
      </c>
      <c r="C124" s="16">
        <v>0</v>
      </c>
      <c r="D124" s="16">
        <v>3571558.09</v>
      </c>
      <c r="E124" s="16">
        <v>14480975.992352324</v>
      </c>
      <c r="F124" s="16">
        <v>7490375.96</v>
      </c>
      <c r="G124" s="16">
        <v>0</v>
      </c>
      <c r="H124" s="16">
        <v>20940393.280000001</v>
      </c>
      <c r="I124" s="16">
        <v>19957451.510000002</v>
      </c>
      <c r="J124" s="16">
        <v>67798298.719999999</v>
      </c>
      <c r="K124" s="16">
        <v>0</v>
      </c>
      <c r="L124" s="16">
        <v>0</v>
      </c>
      <c r="M124" s="16">
        <v>5806.1799999999994</v>
      </c>
      <c r="N124" s="18">
        <f t="shared" si="3"/>
        <v>517413694.82235235</v>
      </c>
    </row>
    <row r="125" spans="1:14" ht="15" x14ac:dyDescent="0.2">
      <c r="A125" s="17" t="s">
        <v>120</v>
      </c>
      <c r="B125" s="16">
        <v>133831018.11</v>
      </c>
      <c r="C125" s="16">
        <v>0</v>
      </c>
      <c r="D125" s="16">
        <v>16340368.890464678</v>
      </c>
      <c r="E125" s="16">
        <v>2864633.0197754768</v>
      </c>
      <c r="F125" s="16">
        <v>2912578.41</v>
      </c>
      <c r="G125" s="16">
        <v>1333297.01</v>
      </c>
      <c r="H125" s="16">
        <v>7313940.7400000002</v>
      </c>
      <c r="I125" s="16">
        <v>7760310.3899999997</v>
      </c>
      <c r="J125" s="16">
        <v>42342945.320000015</v>
      </c>
      <c r="K125" s="16">
        <v>0</v>
      </c>
      <c r="L125" s="16">
        <v>0</v>
      </c>
      <c r="M125" s="16">
        <v>2257.6799999999998</v>
      </c>
      <c r="N125" s="18">
        <f t="shared" si="3"/>
        <v>214701349.57024017</v>
      </c>
    </row>
    <row r="126" spans="1:14" ht="15" x14ac:dyDescent="0.2">
      <c r="A126" s="17" t="s">
        <v>121</v>
      </c>
      <c r="B126" s="16">
        <v>161524688.37</v>
      </c>
      <c r="C126" s="16">
        <v>0</v>
      </c>
      <c r="D126" s="16">
        <v>19506810.38070121</v>
      </c>
      <c r="E126" s="16">
        <v>3606509.1689116633</v>
      </c>
      <c r="F126" s="16">
        <v>1458118.71</v>
      </c>
      <c r="G126" s="16">
        <v>540178.21</v>
      </c>
      <c r="H126" s="16">
        <v>8827415.4600000009</v>
      </c>
      <c r="I126" s="16">
        <v>3885029.76</v>
      </c>
      <c r="J126" s="16">
        <v>27528920.140000008</v>
      </c>
      <c r="K126" s="16">
        <v>0</v>
      </c>
      <c r="L126" s="16">
        <v>0</v>
      </c>
      <c r="M126" s="16">
        <v>1130.25</v>
      </c>
      <c r="N126" s="18">
        <f t="shared" si="3"/>
        <v>226878800.44961292</v>
      </c>
    </row>
    <row r="127" spans="1:14" ht="15" x14ac:dyDescent="0.2">
      <c r="A127" s="17" t="s">
        <v>122</v>
      </c>
      <c r="B127" s="16">
        <v>78981579.760000005</v>
      </c>
      <c r="C127" s="16">
        <v>0</v>
      </c>
      <c r="D127" s="16">
        <v>8827374.9985044487</v>
      </c>
      <c r="E127" s="16">
        <v>1705190.7855404855</v>
      </c>
      <c r="F127" s="16">
        <v>1547764.65</v>
      </c>
      <c r="G127" s="16">
        <v>544465.34</v>
      </c>
      <c r="H127" s="16">
        <v>4316387.95</v>
      </c>
      <c r="I127" s="16">
        <v>4123883.54</v>
      </c>
      <c r="J127" s="16">
        <v>30626897.889999997</v>
      </c>
      <c r="K127" s="16">
        <v>0</v>
      </c>
      <c r="L127" s="16">
        <v>0</v>
      </c>
      <c r="M127" s="16">
        <v>1199.7199999999998</v>
      </c>
      <c r="N127" s="18">
        <f t="shared" si="3"/>
        <v>130674744.63404496</v>
      </c>
    </row>
    <row r="128" spans="1:14" ht="15" x14ac:dyDescent="0.2">
      <c r="A128" s="17" t="s">
        <v>123</v>
      </c>
      <c r="B128" s="16">
        <v>44122198.990000002</v>
      </c>
      <c r="C128" s="16">
        <v>0</v>
      </c>
      <c r="D128" s="16">
        <v>7894540.3106082734</v>
      </c>
      <c r="E128" s="16">
        <v>1037822.0946934075</v>
      </c>
      <c r="F128" s="16">
        <v>141604</v>
      </c>
      <c r="G128" s="16">
        <v>92887.79</v>
      </c>
      <c r="H128" s="16">
        <v>2411303.1</v>
      </c>
      <c r="I128" s="16">
        <v>377291.47</v>
      </c>
      <c r="J128" s="16">
        <v>6667938.4199999999</v>
      </c>
      <c r="K128" s="16">
        <v>0</v>
      </c>
      <c r="L128" s="16">
        <v>0</v>
      </c>
      <c r="M128" s="16">
        <v>109.72999999999999</v>
      </c>
      <c r="N128" s="18">
        <f t="shared" si="3"/>
        <v>62745695.905301683</v>
      </c>
    </row>
    <row r="129" spans="1:14" ht="15" x14ac:dyDescent="0.2">
      <c r="A129" s="17" t="s">
        <v>124</v>
      </c>
      <c r="B129" s="16">
        <v>247771502.53</v>
      </c>
      <c r="C129" s="16">
        <v>0</v>
      </c>
      <c r="D129" s="16">
        <v>63492689.523383856</v>
      </c>
      <c r="E129" s="16">
        <v>5368063.042482595</v>
      </c>
      <c r="F129" s="16">
        <v>1800968.71</v>
      </c>
      <c r="G129" s="16">
        <v>1133231</v>
      </c>
      <c r="H129" s="16">
        <v>13540852.57</v>
      </c>
      <c r="I129" s="16">
        <v>4798523.59</v>
      </c>
      <c r="J129" s="16">
        <v>43041580.219999991</v>
      </c>
      <c r="K129" s="16">
        <v>0</v>
      </c>
      <c r="L129" s="16">
        <v>0</v>
      </c>
      <c r="M129" s="16">
        <v>1396.0000000000002</v>
      </c>
      <c r="N129" s="18">
        <f t="shared" si="3"/>
        <v>380948807.18586636</v>
      </c>
    </row>
    <row r="130" spans="1:14" ht="15" x14ac:dyDescent="0.2">
      <c r="A130" s="17" t="s">
        <v>125</v>
      </c>
      <c r="B130" s="16">
        <v>74348985.840000004</v>
      </c>
      <c r="C130" s="16">
        <v>0</v>
      </c>
      <c r="D130" s="16">
        <v>20301189.566611625</v>
      </c>
      <c r="E130" s="16">
        <v>1680596.4185966367</v>
      </c>
      <c r="F130" s="16">
        <v>222834.2</v>
      </c>
      <c r="G130" s="16">
        <v>84313.53</v>
      </c>
      <c r="H130" s="16">
        <v>4063214.08</v>
      </c>
      <c r="I130" s="16">
        <v>593722.24</v>
      </c>
      <c r="J130" s="16">
        <v>11319165.710000005</v>
      </c>
      <c r="K130" s="16">
        <v>0</v>
      </c>
      <c r="L130" s="16">
        <v>0</v>
      </c>
      <c r="M130" s="16">
        <v>172.70000000000002</v>
      </c>
      <c r="N130" s="18">
        <f t="shared" si="3"/>
        <v>112614194.28520827</v>
      </c>
    </row>
    <row r="131" spans="1:14" ht="15" x14ac:dyDescent="0.2">
      <c r="A131" s="17" t="s">
        <v>126</v>
      </c>
      <c r="B131" s="16">
        <v>392618852.76999998</v>
      </c>
      <c r="C131" s="16">
        <v>0</v>
      </c>
      <c r="D131" s="16">
        <v>15154135.705</v>
      </c>
      <c r="E131" s="16">
        <v>7917460.145424406</v>
      </c>
      <c r="F131" s="16">
        <v>9839465.5800000001</v>
      </c>
      <c r="G131" s="16">
        <v>1024407.3958201865</v>
      </c>
      <c r="H131" s="16">
        <v>21456842.079999998</v>
      </c>
      <c r="I131" s="16">
        <v>26216395.32</v>
      </c>
      <c r="J131" s="16">
        <v>91667954.99999997</v>
      </c>
      <c r="K131" s="16">
        <v>0</v>
      </c>
      <c r="L131" s="16">
        <v>0</v>
      </c>
      <c r="M131" s="16">
        <v>7627.1</v>
      </c>
      <c r="N131" s="18">
        <f t="shared" si="3"/>
        <v>565903141.09624457</v>
      </c>
    </row>
    <row r="132" spans="1:14" ht="15" x14ac:dyDescent="0.2">
      <c r="A132" s="17" t="s">
        <v>127</v>
      </c>
      <c r="B132" s="16">
        <v>16658381.190000001</v>
      </c>
      <c r="C132" s="16">
        <v>0</v>
      </c>
      <c r="D132" s="16">
        <v>2377505.3576933523</v>
      </c>
      <c r="E132" s="16">
        <v>351170.30966823752</v>
      </c>
      <c r="F132" s="16">
        <v>42078.7</v>
      </c>
      <c r="G132" s="16">
        <v>15719.47</v>
      </c>
      <c r="H132" s="16">
        <v>910389.95</v>
      </c>
      <c r="I132" s="16">
        <v>112115.04</v>
      </c>
      <c r="J132" s="16">
        <v>3255690.5000000009</v>
      </c>
      <c r="K132" s="16">
        <v>0</v>
      </c>
      <c r="L132" s="16">
        <v>0</v>
      </c>
      <c r="M132" s="16">
        <v>32.589999999999996</v>
      </c>
      <c r="N132" s="18">
        <f t="shared" si="3"/>
        <v>23723083.107361589</v>
      </c>
    </row>
    <row r="133" spans="1:14" ht="15" x14ac:dyDescent="0.2">
      <c r="A133" s="17" t="s">
        <v>128</v>
      </c>
      <c r="B133" s="16">
        <v>94988317.370000005</v>
      </c>
      <c r="C133" s="16">
        <v>0</v>
      </c>
      <c r="D133" s="16">
        <v>12278535.73881696</v>
      </c>
      <c r="E133" s="16">
        <v>1963652.5572062603</v>
      </c>
      <c r="F133" s="16">
        <v>152215.15</v>
      </c>
      <c r="G133" s="16">
        <v>115752.47</v>
      </c>
      <c r="H133" s="16">
        <v>5191165.21</v>
      </c>
      <c r="I133" s="16">
        <v>405563.96</v>
      </c>
      <c r="J133" s="16">
        <v>11854695.889999999</v>
      </c>
      <c r="K133" s="16">
        <v>0</v>
      </c>
      <c r="L133" s="16">
        <v>0</v>
      </c>
      <c r="M133" s="16">
        <v>117.95999999999998</v>
      </c>
      <c r="N133" s="18">
        <f t="shared" si="3"/>
        <v>126950016.30602321</v>
      </c>
    </row>
    <row r="134" spans="1:14" ht="15" x14ac:dyDescent="0.2">
      <c r="A134" s="17" t="s">
        <v>129</v>
      </c>
      <c r="B134" s="16">
        <v>182595289.55000001</v>
      </c>
      <c r="C134" s="16">
        <v>0</v>
      </c>
      <c r="D134" s="16">
        <v>40886621.085589334</v>
      </c>
      <c r="E134" s="16">
        <v>3849547.4593862798</v>
      </c>
      <c r="F134" s="16">
        <v>710215.41</v>
      </c>
      <c r="G134" s="16">
        <v>392986.79</v>
      </c>
      <c r="H134" s="16">
        <v>9978935.7200000007</v>
      </c>
      <c r="I134" s="16">
        <v>1892306.84</v>
      </c>
      <c r="J134" s="16">
        <v>26382950.920000002</v>
      </c>
      <c r="K134" s="16">
        <v>0</v>
      </c>
      <c r="L134" s="16">
        <v>0</v>
      </c>
      <c r="M134" s="16">
        <v>550.49</v>
      </c>
      <c r="N134" s="18">
        <f t="shared" si="3"/>
        <v>266689404.26497567</v>
      </c>
    </row>
    <row r="135" spans="1:14" ht="15" x14ac:dyDescent="0.2">
      <c r="A135" s="17" t="s">
        <v>130</v>
      </c>
      <c r="B135" s="16">
        <v>152022539.16</v>
      </c>
      <c r="C135" s="16">
        <v>0</v>
      </c>
      <c r="D135" s="16">
        <v>52753909.714887932</v>
      </c>
      <c r="E135" s="16">
        <v>5816338.5379953673</v>
      </c>
      <c r="F135" s="16">
        <v>1069165.0900000001</v>
      </c>
      <c r="G135" s="16">
        <v>523029.69</v>
      </c>
      <c r="H135" s="16">
        <v>8308117.6399999997</v>
      </c>
      <c r="I135" s="16">
        <v>2848696.85</v>
      </c>
      <c r="J135" s="16">
        <v>28318350.580000002</v>
      </c>
      <c r="K135" s="16">
        <v>0</v>
      </c>
      <c r="L135" s="16">
        <v>0</v>
      </c>
      <c r="M135" s="16">
        <v>828.7299999999999</v>
      </c>
      <c r="N135" s="18">
        <f t="shared" si="3"/>
        <v>251660975.99288329</v>
      </c>
    </row>
    <row r="136" spans="1:14" ht="15" x14ac:dyDescent="0.2">
      <c r="A136" s="17" t="s">
        <v>131</v>
      </c>
      <c r="B136" s="16">
        <v>258467936.79999998</v>
      </c>
      <c r="C136" s="16">
        <v>0</v>
      </c>
      <c r="D136" s="16">
        <v>4979013.8900000006</v>
      </c>
      <c r="E136" s="16">
        <v>9902823.9467079453</v>
      </c>
      <c r="F136" s="16">
        <v>6361202.9699999997</v>
      </c>
      <c r="G136" s="16">
        <v>3666543.5779022789</v>
      </c>
      <c r="H136" s="16">
        <v>14125418.75</v>
      </c>
      <c r="I136" s="16">
        <v>16948868.859999999</v>
      </c>
      <c r="J136" s="16">
        <v>66229836.389999986</v>
      </c>
      <c r="K136" s="16">
        <v>0</v>
      </c>
      <c r="L136" s="16">
        <v>0</v>
      </c>
      <c r="M136" s="16">
        <v>4930.9000000000005</v>
      </c>
      <c r="N136" s="18">
        <f t="shared" ref="N136:N142" si="4">SUM(B136:M136)</f>
        <v>380686576.08461022</v>
      </c>
    </row>
    <row r="137" spans="1:14" ht="15" x14ac:dyDescent="0.2">
      <c r="A137" s="17" t="s">
        <v>132</v>
      </c>
      <c r="B137" s="16">
        <v>42551145.370000005</v>
      </c>
      <c r="C137" s="16">
        <v>0</v>
      </c>
      <c r="D137" s="16">
        <v>7777683.9802956795</v>
      </c>
      <c r="E137" s="16">
        <v>929623.23821399873</v>
      </c>
      <c r="F137" s="16">
        <v>76107.570000000007</v>
      </c>
      <c r="G137" s="16">
        <v>80026.399999999994</v>
      </c>
      <c r="H137" s="16">
        <v>2325444.13</v>
      </c>
      <c r="I137" s="16">
        <v>202781.98</v>
      </c>
      <c r="J137" s="16">
        <v>6173232.540000001</v>
      </c>
      <c r="K137" s="16">
        <v>0</v>
      </c>
      <c r="L137" s="16">
        <v>0</v>
      </c>
      <c r="M137" s="16">
        <v>58.97</v>
      </c>
      <c r="N137" s="18">
        <f t="shared" si="4"/>
        <v>60116104.178509682</v>
      </c>
    </row>
    <row r="138" spans="1:14" ht="15" x14ac:dyDescent="0.2">
      <c r="A138" s="17" t="s">
        <v>133</v>
      </c>
      <c r="B138" s="16">
        <v>92026300.829999998</v>
      </c>
      <c r="C138" s="16">
        <v>0</v>
      </c>
      <c r="D138" s="16">
        <v>35739970.074541509</v>
      </c>
      <c r="E138" s="16">
        <v>1990917.718850479</v>
      </c>
      <c r="F138" s="16">
        <v>662648.17000000004</v>
      </c>
      <c r="G138" s="16">
        <v>327250.82</v>
      </c>
      <c r="H138" s="16">
        <v>5029289.33</v>
      </c>
      <c r="I138" s="16">
        <v>1765568.11</v>
      </c>
      <c r="J138" s="16">
        <v>22791759.640000004</v>
      </c>
      <c r="K138" s="16">
        <v>0</v>
      </c>
      <c r="L138" s="16">
        <v>0</v>
      </c>
      <c r="M138" s="16">
        <v>513.62</v>
      </c>
      <c r="N138" s="18">
        <f t="shared" si="4"/>
        <v>160334218.31339201</v>
      </c>
    </row>
    <row r="139" spans="1:14" ht="15" x14ac:dyDescent="0.2">
      <c r="A139" s="17" t="s">
        <v>134</v>
      </c>
      <c r="B139" s="16">
        <v>405599594.22999996</v>
      </c>
      <c r="C139" s="16">
        <v>0</v>
      </c>
      <c r="D139" s="16">
        <v>5630450.9800000004</v>
      </c>
      <c r="E139" s="16">
        <v>9320315.6960145645</v>
      </c>
      <c r="F139" s="16">
        <v>3408009.46</v>
      </c>
      <c r="G139" s="16">
        <v>3348115.5282848375</v>
      </c>
      <c r="H139" s="16">
        <v>22166246.950000003</v>
      </c>
      <c r="I139" s="16">
        <v>9080343.1099999994</v>
      </c>
      <c r="J139" s="16">
        <v>41393635.679999985</v>
      </c>
      <c r="K139" s="16">
        <v>0</v>
      </c>
      <c r="L139" s="16">
        <v>0</v>
      </c>
      <c r="M139" s="16">
        <v>2641.7099999999996</v>
      </c>
      <c r="N139" s="18">
        <f t="shared" si="4"/>
        <v>499949353.34429938</v>
      </c>
    </row>
    <row r="140" spans="1:14" ht="15" x14ac:dyDescent="0.2">
      <c r="A140" s="17" t="s">
        <v>135</v>
      </c>
      <c r="B140" s="16">
        <v>114262751.72</v>
      </c>
      <c r="C140" s="16">
        <v>0</v>
      </c>
      <c r="D140" s="16">
        <v>2539903.3399999994</v>
      </c>
      <c r="E140" s="16">
        <v>2425592.2776506185</v>
      </c>
      <c r="F140" s="16">
        <v>562025.18000000005</v>
      </c>
      <c r="G140" s="16">
        <v>290095.7</v>
      </c>
      <c r="H140" s="16">
        <v>6244523.9299999997</v>
      </c>
      <c r="I140" s="16">
        <v>1497466.93</v>
      </c>
      <c r="J140" s="16">
        <v>10859025.689999998</v>
      </c>
      <c r="K140" s="16">
        <v>0</v>
      </c>
      <c r="L140" s="16">
        <v>0</v>
      </c>
      <c r="M140" s="16">
        <v>435.63</v>
      </c>
      <c r="N140" s="18">
        <f t="shared" si="4"/>
        <v>138681820.39765063</v>
      </c>
    </row>
    <row r="141" spans="1:14" ht="15" x14ac:dyDescent="0.2">
      <c r="A141" s="17" t="s">
        <v>136</v>
      </c>
      <c r="B141" s="16">
        <v>138579723.06999999</v>
      </c>
      <c r="C141" s="16">
        <v>0</v>
      </c>
      <c r="D141" s="16">
        <v>16094684.215715967</v>
      </c>
      <c r="E141" s="16">
        <v>3000780.9647794939</v>
      </c>
      <c r="F141" s="16">
        <v>810472.51</v>
      </c>
      <c r="G141" s="16">
        <v>282950.49</v>
      </c>
      <c r="H141" s="16">
        <v>7573460.1500000004</v>
      </c>
      <c r="I141" s="16">
        <v>2159433.1</v>
      </c>
      <c r="J141" s="16">
        <v>28386808.36999999</v>
      </c>
      <c r="K141" s="16">
        <v>0</v>
      </c>
      <c r="L141" s="16">
        <v>0</v>
      </c>
      <c r="M141" s="16">
        <v>628.21</v>
      </c>
      <c r="N141" s="18">
        <f t="shared" si="4"/>
        <v>196888941.08049545</v>
      </c>
    </row>
    <row r="142" spans="1:14" ht="15" x14ac:dyDescent="0.2">
      <c r="A142" s="17" t="s">
        <v>137</v>
      </c>
      <c r="B142" s="16">
        <v>131108332.45000002</v>
      </c>
      <c r="C142" s="16">
        <v>0</v>
      </c>
      <c r="D142" s="16">
        <v>15559595.459957724</v>
      </c>
      <c r="E142" s="16">
        <v>5128350.1430644505</v>
      </c>
      <c r="F142" s="16">
        <v>3484482.94</v>
      </c>
      <c r="G142" s="16">
        <v>1044630.35</v>
      </c>
      <c r="H142" s="16">
        <v>7165144.4299999997</v>
      </c>
      <c r="I142" s="16">
        <v>9284099.9800000004</v>
      </c>
      <c r="J142" s="16">
        <v>38539592.749999993</v>
      </c>
      <c r="K142" s="16">
        <v>0</v>
      </c>
      <c r="L142" s="16">
        <v>0</v>
      </c>
      <c r="M142" s="16">
        <v>2701.0000000000005</v>
      </c>
      <c r="N142" s="18">
        <f t="shared" si="4"/>
        <v>211316929.50302216</v>
      </c>
    </row>
    <row r="143" spans="1:14" ht="24.75" customHeight="1" x14ac:dyDescent="0.2">
      <c r="A143" s="24" t="s">
        <v>138</v>
      </c>
      <c r="B143" s="25">
        <f t="shared" ref="B143:I143" si="5">SUM(B8:B142)</f>
        <v>23696132674.509995</v>
      </c>
      <c r="C143" s="25"/>
      <c r="D143" s="25">
        <f t="shared" si="5"/>
        <v>2429266069.485218</v>
      </c>
      <c r="E143" s="25">
        <f t="shared" si="5"/>
        <v>722611928.67999995</v>
      </c>
      <c r="F143" s="25">
        <f t="shared" si="5"/>
        <v>365901810.60999995</v>
      </c>
      <c r="G143" s="25">
        <f t="shared" si="5"/>
        <v>142904287.99000004</v>
      </c>
      <c r="H143" s="25">
        <f t="shared" si="5"/>
        <v>1295007036.1900003</v>
      </c>
      <c r="I143" s="25">
        <f t="shared" si="5"/>
        <v>974913365.63000011</v>
      </c>
      <c r="J143" s="25">
        <f t="shared" ref="J143:N143" si="6">SUM(J8:J142)</f>
        <v>4814187484.0200005</v>
      </c>
      <c r="K143" s="25">
        <f t="shared" si="6"/>
        <v>0</v>
      </c>
      <c r="L143" s="25">
        <f t="shared" si="6"/>
        <v>0</v>
      </c>
      <c r="M143" s="25">
        <f t="shared" si="6"/>
        <v>283626.39</v>
      </c>
      <c r="N143" s="25">
        <f t="shared" si="6"/>
        <v>34441208283.505196</v>
      </c>
    </row>
    <row r="144" spans="1:1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8"/>
      <c r="E145" s="8"/>
      <c r="I145" s="9"/>
      <c r="J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166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118516694.56</v>
      </c>
      <c r="C8" s="16">
        <v>107058.06999999999</v>
      </c>
      <c r="D8" s="16">
        <v>3776208.6483446173</v>
      </c>
      <c r="E8" s="16">
        <v>1179423.7102366947</v>
      </c>
      <c r="F8" s="16">
        <v>319154.32</v>
      </c>
      <c r="G8" s="16">
        <v>172025.96</v>
      </c>
      <c r="H8" s="16">
        <v>5994693.1799999997</v>
      </c>
      <c r="I8" s="16">
        <v>879084.68</v>
      </c>
      <c r="J8" s="16">
        <v>15663787.269999998</v>
      </c>
      <c r="K8" s="16">
        <v>0</v>
      </c>
      <c r="L8" s="16">
        <v>0</v>
      </c>
      <c r="M8" s="16">
        <v>444.71</v>
      </c>
      <c r="N8" s="18">
        <f t="shared" ref="N8:N39" si="0">SUM(B8:M8)</f>
        <v>146608575.10858133</v>
      </c>
      <c r="O8" s="4"/>
    </row>
    <row r="9" spans="1:15" ht="18" customHeight="1" x14ac:dyDescent="0.2">
      <c r="A9" s="17" t="s">
        <v>4</v>
      </c>
      <c r="B9" s="16">
        <v>66897006.650000006</v>
      </c>
      <c r="C9" s="16">
        <v>66743.95</v>
      </c>
      <c r="D9" s="16">
        <v>2780972.0922700153</v>
      </c>
      <c r="E9" s="16">
        <v>715671.17094498768</v>
      </c>
      <c r="F9" s="16">
        <v>223606.26</v>
      </c>
      <c r="G9" s="16">
        <v>121522.93</v>
      </c>
      <c r="H9" s="16">
        <v>3383717.64</v>
      </c>
      <c r="I9" s="16">
        <v>615905.29</v>
      </c>
      <c r="J9" s="16">
        <v>11910625.419999998</v>
      </c>
      <c r="K9" s="16">
        <v>0</v>
      </c>
      <c r="L9" s="16">
        <v>0</v>
      </c>
      <c r="M9" s="16">
        <v>311.57</v>
      </c>
      <c r="N9" s="18">
        <f t="shared" si="0"/>
        <v>86716082.973215029</v>
      </c>
      <c r="O9" s="4"/>
    </row>
    <row r="10" spans="1:15" ht="18" customHeight="1" x14ac:dyDescent="0.2">
      <c r="A10" s="17" t="s">
        <v>5</v>
      </c>
      <c r="B10" s="16">
        <v>56762746.200000003</v>
      </c>
      <c r="C10" s="16">
        <v>49051.199999999997</v>
      </c>
      <c r="D10" s="16">
        <v>1228440.9466217216</v>
      </c>
      <c r="E10" s="16">
        <v>541385.55190583155</v>
      </c>
      <c r="F10" s="16">
        <v>156207.21</v>
      </c>
      <c r="G10" s="16">
        <v>107318.95</v>
      </c>
      <c r="H10" s="16">
        <v>2871116.59</v>
      </c>
      <c r="I10" s="16">
        <v>430260.08</v>
      </c>
      <c r="J10" s="16">
        <v>6917626.2700000005</v>
      </c>
      <c r="K10" s="16">
        <v>0</v>
      </c>
      <c r="L10" s="16">
        <v>0</v>
      </c>
      <c r="M10" s="16">
        <v>217.65000000000003</v>
      </c>
      <c r="N10" s="18">
        <f t="shared" si="0"/>
        <v>69064370.648527563</v>
      </c>
      <c r="O10" s="4"/>
    </row>
    <row r="11" spans="1:15" ht="18" customHeight="1" x14ac:dyDescent="0.2">
      <c r="A11" s="17" t="s">
        <v>6</v>
      </c>
      <c r="B11" s="16">
        <v>609430929.05999994</v>
      </c>
      <c r="C11" s="16">
        <v>568017.6</v>
      </c>
      <c r="D11" s="16">
        <v>4227006.4150712769</v>
      </c>
      <c r="E11" s="16">
        <v>11540151.576512823</v>
      </c>
      <c r="F11" s="16">
        <v>16766504.970000001</v>
      </c>
      <c r="G11" s="16">
        <v>9826274.9213446844</v>
      </c>
      <c r="H11" s="16">
        <v>30825627.100000001</v>
      </c>
      <c r="I11" s="16">
        <v>46181976.460000001</v>
      </c>
      <c r="J11" s="16">
        <v>133460526.90000001</v>
      </c>
      <c r="K11" s="16">
        <v>0</v>
      </c>
      <c r="L11" s="16">
        <v>0</v>
      </c>
      <c r="M11" s="16">
        <v>23363.649999999998</v>
      </c>
      <c r="N11" s="18">
        <f t="shared" si="0"/>
        <v>862850378.65292871</v>
      </c>
      <c r="O11" s="4"/>
    </row>
    <row r="12" spans="1:15" ht="18" customHeight="1" x14ac:dyDescent="0.2">
      <c r="A12" s="17" t="s">
        <v>7</v>
      </c>
      <c r="B12" s="16">
        <v>83288893.550000012</v>
      </c>
      <c r="C12" s="16">
        <v>85256.31</v>
      </c>
      <c r="D12" s="16">
        <v>4525177.2284685792</v>
      </c>
      <c r="E12" s="16">
        <v>927911.84265267232</v>
      </c>
      <c r="F12" s="16">
        <v>573288.39</v>
      </c>
      <c r="G12" s="16">
        <v>293548.89</v>
      </c>
      <c r="H12" s="16">
        <v>4212835.7</v>
      </c>
      <c r="I12" s="16">
        <v>1579076.33</v>
      </c>
      <c r="J12" s="16">
        <v>13687074.779999999</v>
      </c>
      <c r="K12" s="16">
        <v>0</v>
      </c>
      <c r="L12" s="16">
        <v>0</v>
      </c>
      <c r="M12" s="16">
        <v>798.84</v>
      </c>
      <c r="N12" s="18">
        <f t="shared" si="0"/>
        <v>109173861.86112128</v>
      </c>
      <c r="O12" s="4"/>
    </row>
    <row r="13" spans="1:15" ht="18" customHeight="1" x14ac:dyDescent="0.2">
      <c r="A13" s="17" t="s">
        <v>8</v>
      </c>
      <c r="B13" s="16">
        <v>358744797.02000004</v>
      </c>
      <c r="C13" s="16">
        <v>344686.24</v>
      </c>
      <c r="D13" s="16">
        <v>4262286.7531814324</v>
      </c>
      <c r="E13" s="16">
        <v>6899241.91713781</v>
      </c>
      <c r="F13" s="16">
        <v>8153302.7800000003</v>
      </c>
      <c r="G13" s="16">
        <v>0</v>
      </c>
      <c r="H13" s="16">
        <v>18145671.329999998</v>
      </c>
      <c r="I13" s="16">
        <v>22457610.449999999</v>
      </c>
      <c r="J13" s="16">
        <v>100975281.74999999</v>
      </c>
      <c r="K13" s="16">
        <v>0</v>
      </c>
      <c r="L13" s="16">
        <v>0</v>
      </c>
      <c r="M13" s="16">
        <v>11361.38</v>
      </c>
      <c r="N13" s="18">
        <f t="shared" si="0"/>
        <v>519994239.62031925</v>
      </c>
      <c r="O13" s="4"/>
    </row>
    <row r="14" spans="1:15" ht="18" customHeight="1" x14ac:dyDescent="0.2">
      <c r="A14" s="17" t="s">
        <v>9</v>
      </c>
      <c r="B14" s="16">
        <v>127702569.31</v>
      </c>
      <c r="C14" s="16">
        <v>124917.47</v>
      </c>
      <c r="D14" s="16">
        <v>4731983.7264312366</v>
      </c>
      <c r="E14" s="16">
        <v>1349428.6385614437</v>
      </c>
      <c r="F14" s="16">
        <v>371091.24</v>
      </c>
      <c r="G14" s="16">
        <v>205168.58</v>
      </c>
      <c r="H14" s="16">
        <v>6459323.9299999997</v>
      </c>
      <c r="I14" s="16">
        <v>1022140.69</v>
      </c>
      <c r="J14" s="16">
        <v>20796539.449999999</v>
      </c>
      <c r="K14" s="16">
        <v>0</v>
      </c>
      <c r="L14" s="16">
        <v>0</v>
      </c>
      <c r="M14" s="16">
        <v>517.06999999999994</v>
      </c>
      <c r="N14" s="18">
        <f t="shared" si="0"/>
        <v>162763680.10499269</v>
      </c>
      <c r="O14" s="4"/>
    </row>
    <row r="15" spans="1:15" ht="18" customHeight="1" x14ac:dyDescent="0.2">
      <c r="A15" s="17" t="s">
        <v>10</v>
      </c>
      <c r="B15" s="16">
        <v>207897032.28</v>
      </c>
      <c r="C15" s="16">
        <v>203578.63</v>
      </c>
      <c r="D15" s="16">
        <v>6932399.5032511642</v>
      </c>
      <c r="E15" s="16">
        <v>2228965.6170297754</v>
      </c>
      <c r="F15" s="16">
        <v>1382473.46</v>
      </c>
      <c r="G15" s="16">
        <v>659695.89</v>
      </c>
      <c r="H15" s="16">
        <v>10515640.23</v>
      </c>
      <c r="I15" s="16">
        <v>3807910.9</v>
      </c>
      <c r="J15" s="16">
        <v>33656296.18</v>
      </c>
      <c r="K15" s="16">
        <v>0</v>
      </c>
      <c r="L15" s="16">
        <v>0</v>
      </c>
      <c r="M15" s="16">
        <v>1926.42</v>
      </c>
      <c r="N15" s="18">
        <f t="shared" si="0"/>
        <v>267285919.11028093</v>
      </c>
      <c r="O15" s="4"/>
    </row>
    <row r="16" spans="1:15" ht="18" customHeight="1" x14ac:dyDescent="0.2">
      <c r="A16" s="17" t="s">
        <v>11</v>
      </c>
      <c r="B16" s="16">
        <v>386207869.22000003</v>
      </c>
      <c r="C16" s="16">
        <v>376296.05</v>
      </c>
      <c r="D16" s="16">
        <v>9341726.4324378949</v>
      </c>
      <c r="E16" s="16">
        <v>7484086.2718385356</v>
      </c>
      <c r="F16" s="16">
        <v>5156027.3600000003</v>
      </c>
      <c r="G16" s="16">
        <v>3045964.27</v>
      </c>
      <c r="H16" s="16">
        <v>19534781.039999999</v>
      </c>
      <c r="I16" s="16">
        <v>14201858.689999999</v>
      </c>
      <c r="J16" s="16">
        <v>83162964.969999969</v>
      </c>
      <c r="K16" s="16">
        <v>0</v>
      </c>
      <c r="L16" s="16">
        <v>0</v>
      </c>
      <c r="M16" s="16">
        <v>7184.75</v>
      </c>
      <c r="N16" s="18">
        <f t="shared" si="0"/>
        <v>528518759.05427647</v>
      </c>
      <c r="O16" s="4"/>
    </row>
    <row r="17" spans="1:15" ht="15" x14ac:dyDescent="0.2">
      <c r="A17" s="17" t="s">
        <v>12</v>
      </c>
      <c r="B17" s="16">
        <v>140553052.20999998</v>
      </c>
      <c r="C17" s="16">
        <v>135209.1</v>
      </c>
      <c r="D17" s="16">
        <v>4959802.1415595254</v>
      </c>
      <c r="E17" s="16">
        <v>1468254.7574861972</v>
      </c>
      <c r="F17" s="16">
        <v>1058958.02</v>
      </c>
      <c r="G17" s="16">
        <v>441901.55</v>
      </c>
      <c r="H17" s="16">
        <v>7109314.2300000004</v>
      </c>
      <c r="I17" s="16">
        <v>2916813.88</v>
      </c>
      <c r="J17" s="16">
        <v>22778306.770000007</v>
      </c>
      <c r="K17" s="16">
        <v>0</v>
      </c>
      <c r="L17" s="16">
        <v>0</v>
      </c>
      <c r="M17" s="16">
        <v>1475.6000000000001</v>
      </c>
      <c r="N17" s="18">
        <f t="shared" si="0"/>
        <v>181423088.25904569</v>
      </c>
      <c r="O17" s="4"/>
    </row>
    <row r="18" spans="1:15" ht="15" x14ac:dyDescent="0.2">
      <c r="A18" s="17" t="s">
        <v>13</v>
      </c>
      <c r="B18" s="16">
        <v>81586956.680000007</v>
      </c>
      <c r="C18" s="16">
        <v>82895.819999999992</v>
      </c>
      <c r="D18" s="16">
        <v>2417635.2567642778</v>
      </c>
      <c r="E18" s="16">
        <v>932413.24224924704</v>
      </c>
      <c r="F18" s="16">
        <v>713637</v>
      </c>
      <c r="G18" s="16">
        <v>331426.15999999997</v>
      </c>
      <c r="H18" s="16">
        <v>4126750.03</v>
      </c>
      <c r="I18" s="16">
        <v>1965655.18</v>
      </c>
      <c r="J18" s="16">
        <v>18179787.840000004</v>
      </c>
      <c r="K18" s="16">
        <v>0</v>
      </c>
      <c r="L18" s="16">
        <v>0</v>
      </c>
      <c r="M18" s="16">
        <v>994.40000000000009</v>
      </c>
      <c r="N18" s="18">
        <f t="shared" si="0"/>
        <v>110338151.60901354</v>
      </c>
      <c r="O18" s="4"/>
    </row>
    <row r="19" spans="1:15" ht="15" x14ac:dyDescent="0.2">
      <c r="A19" s="17" t="s">
        <v>14</v>
      </c>
      <c r="B19" s="16">
        <v>142584488.64000002</v>
      </c>
      <c r="C19" s="16">
        <v>138676.07</v>
      </c>
      <c r="D19" s="16">
        <v>4416594.5002579968</v>
      </c>
      <c r="E19" s="16">
        <v>1493662.1150953048</v>
      </c>
      <c r="F19" s="16">
        <v>288230.05</v>
      </c>
      <c r="G19" s="16">
        <v>205168.58</v>
      </c>
      <c r="H19" s="16">
        <v>7212066.3200000003</v>
      </c>
      <c r="I19" s="16">
        <v>793906.29</v>
      </c>
      <c r="J19" s="16">
        <v>15979024.470000003</v>
      </c>
      <c r="K19" s="16">
        <v>0</v>
      </c>
      <c r="L19" s="16">
        <v>0</v>
      </c>
      <c r="M19" s="16">
        <v>401.61999999999995</v>
      </c>
      <c r="N19" s="18">
        <f t="shared" si="0"/>
        <v>173112218.65535334</v>
      </c>
      <c r="O19" s="4"/>
    </row>
    <row r="20" spans="1:15" ht="15" x14ac:dyDescent="0.2">
      <c r="A20" s="17" t="s">
        <v>15</v>
      </c>
      <c r="B20" s="16">
        <v>482097972.19999999</v>
      </c>
      <c r="C20" s="16">
        <v>460148.11000000004</v>
      </c>
      <c r="D20" s="16">
        <v>3219100.7826456144</v>
      </c>
      <c r="E20" s="16">
        <v>9244419.7527238335</v>
      </c>
      <c r="F20" s="16">
        <v>9199573.9199999999</v>
      </c>
      <c r="G20" s="16">
        <v>5282801.1016754098</v>
      </c>
      <c r="H20" s="16">
        <v>24384998.539999999</v>
      </c>
      <c r="I20" s="16">
        <v>25339479.350000001</v>
      </c>
      <c r="J20" s="16">
        <v>90600750.150000006</v>
      </c>
      <c r="K20" s="16">
        <v>0</v>
      </c>
      <c r="L20" s="16">
        <v>0</v>
      </c>
      <c r="M20" s="16">
        <v>12819.33</v>
      </c>
      <c r="N20" s="18">
        <f t="shared" si="0"/>
        <v>649842063.23704493</v>
      </c>
      <c r="O20" s="4"/>
    </row>
    <row r="21" spans="1:15" ht="15" x14ac:dyDescent="0.2">
      <c r="A21" s="17" t="s">
        <v>16</v>
      </c>
      <c r="B21" s="16">
        <v>208759461.56</v>
      </c>
      <c r="C21" s="16">
        <v>199893.1</v>
      </c>
      <c r="D21" s="16">
        <v>2818211.7340439903</v>
      </c>
      <c r="E21" s="16">
        <v>2248598.9342552307</v>
      </c>
      <c r="F21" s="16">
        <v>2446189.06</v>
      </c>
      <c r="G21" s="16">
        <v>604462.87325541058</v>
      </c>
      <c r="H21" s="16">
        <v>10559262.77</v>
      </c>
      <c r="I21" s="16">
        <v>6737829.1500000004</v>
      </c>
      <c r="J21" s="16">
        <v>29421085.520000003</v>
      </c>
      <c r="K21" s="16">
        <v>0</v>
      </c>
      <c r="L21" s="16">
        <v>0</v>
      </c>
      <c r="M21" s="16">
        <v>3408.68</v>
      </c>
      <c r="N21" s="18">
        <f t="shared" si="0"/>
        <v>263798403.38155466</v>
      </c>
      <c r="O21" s="4"/>
    </row>
    <row r="22" spans="1:15" ht="15" x14ac:dyDescent="0.2">
      <c r="A22" s="17" t="s">
        <v>17</v>
      </c>
      <c r="B22" s="16">
        <v>155472219.36000001</v>
      </c>
      <c r="C22" s="16">
        <v>153991.94</v>
      </c>
      <c r="D22" s="16">
        <v>3696849.7077911352</v>
      </c>
      <c r="E22" s="16">
        <v>1751128.015868854</v>
      </c>
      <c r="F22" s="16">
        <v>582407.07999999996</v>
      </c>
      <c r="G22" s="16">
        <v>345630.14</v>
      </c>
      <c r="H22" s="16">
        <v>7863940.6600000001</v>
      </c>
      <c r="I22" s="16">
        <v>1604193.03</v>
      </c>
      <c r="J22" s="16">
        <v>22694306.300000001</v>
      </c>
      <c r="K22" s="16">
        <v>0</v>
      </c>
      <c r="L22" s="16">
        <v>0</v>
      </c>
      <c r="M22" s="16">
        <v>811.54000000000008</v>
      </c>
      <c r="N22" s="18">
        <f t="shared" si="0"/>
        <v>194165477.77366</v>
      </c>
      <c r="O22" s="4"/>
    </row>
    <row r="23" spans="1:15" ht="15" x14ac:dyDescent="0.2">
      <c r="A23" s="17" t="s">
        <v>18</v>
      </c>
      <c r="B23" s="16">
        <v>159363179.40000001</v>
      </c>
      <c r="C23" s="16">
        <v>155674.88</v>
      </c>
      <c r="D23" s="16">
        <v>2880000.8801407656</v>
      </c>
      <c r="E23" s="16">
        <v>1711934.8935997847</v>
      </c>
      <c r="F23" s="16">
        <v>558222.72</v>
      </c>
      <c r="G23" s="16">
        <v>418228.25</v>
      </c>
      <c r="H23" s="16">
        <v>8060749.3200000003</v>
      </c>
      <c r="I23" s="16">
        <v>1537579.16</v>
      </c>
      <c r="J23" s="16">
        <v>18335102.030000001</v>
      </c>
      <c r="K23" s="16">
        <v>0</v>
      </c>
      <c r="L23" s="16">
        <v>0</v>
      </c>
      <c r="M23" s="16">
        <v>777.8399999999998</v>
      </c>
      <c r="N23" s="18">
        <f t="shared" si="0"/>
        <v>193021449.37374052</v>
      </c>
      <c r="O23" s="4"/>
    </row>
    <row r="24" spans="1:15" ht="15" x14ac:dyDescent="0.2">
      <c r="A24" s="17" t="s">
        <v>19</v>
      </c>
      <c r="B24" s="16">
        <v>48963634.82</v>
      </c>
      <c r="C24" s="16">
        <v>47627.81</v>
      </c>
      <c r="D24" s="16">
        <v>1863179.4265357458</v>
      </c>
      <c r="E24" s="16">
        <v>549487.60856096109</v>
      </c>
      <c r="F24" s="16">
        <v>580424.76</v>
      </c>
      <c r="G24" s="16">
        <v>133012.43120459808</v>
      </c>
      <c r="H24" s="16">
        <v>2476629.7200000002</v>
      </c>
      <c r="I24" s="16">
        <v>1598732.88</v>
      </c>
      <c r="J24" s="16">
        <v>15676127.109999999</v>
      </c>
      <c r="K24" s="16">
        <v>0</v>
      </c>
      <c r="L24" s="16">
        <v>0</v>
      </c>
      <c r="M24" s="16">
        <v>808.79000000000008</v>
      </c>
      <c r="N24" s="18">
        <f t="shared" si="0"/>
        <v>71889665.356301323</v>
      </c>
      <c r="O24" s="4"/>
    </row>
    <row r="25" spans="1:15" ht="15" x14ac:dyDescent="0.2">
      <c r="A25" s="17" t="s">
        <v>20</v>
      </c>
      <c r="B25" s="16">
        <v>227847514.47</v>
      </c>
      <c r="C25" s="16">
        <v>213274.68</v>
      </c>
      <c r="D25" s="16">
        <v>3602125.7197922827</v>
      </c>
      <c r="E25" s="16">
        <v>2359557.9476116756</v>
      </c>
      <c r="F25" s="16">
        <v>2574247.2599999998</v>
      </c>
      <c r="G25" s="16">
        <v>954823</v>
      </c>
      <c r="H25" s="16">
        <v>11524755.609999999</v>
      </c>
      <c r="I25" s="16">
        <v>7090555.0499999998</v>
      </c>
      <c r="J25" s="16">
        <v>36525396.219999999</v>
      </c>
      <c r="K25" s="16">
        <v>0</v>
      </c>
      <c r="L25" s="16">
        <v>0</v>
      </c>
      <c r="M25" s="16">
        <v>3587.12</v>
      </c>
      <c r="N25" s="18">
        <f t="shared" si="0"/>
        <v>292695837.07740402</v>
      </c>
      <c r="O25" s="4"/>
    </row>
    <row r="26" spans="1:15" ht="15" x14ac:dyDescent="0.2">
      <c r="A26" s="17" t="s">
        <v>21</v>
      </c>
      <c r="B26" s="16">
        <v>80463792.939999983</v>
      </c>
      <c r="C26" s="16">
        <v>78904.3</v>
      </c>
      <c r="D26" s="16">
        <v>7626658.7688188544</v>
      </c>
      <c r="E26" s="16">
        <v>967779.65624111064</v>
      </c>
      <c r="F26" s="16">
        <v>1170761.1499999999</v>
      </c>
      <c r="G26" s="16">
        <v>523968.98</v>
      </c>
      <c r="H26" s="16">
        <v>4069939.28</v>
      </c>
      <c r="I26" s="16">
        <v>3224766.53</v>
      </c>
      <c r="J26" s="16">
        <v>24972578.080000002</v>
      </c>
      <c r="K26" s="16">
        <v>0</v>
      </c>
      <c r="L26" s="16">
        <v>0</v>
      </c>
      <c r="M26" s="16">
        <v>1631.3999999999999</v>
      </c>
      <c r="N26" s="18">
        <f t="shared" si="0"/>
        <v>123100781.08505996</v>
      </c>
      <c r="O26" s="4"/>
    </row>
    <row r="27" spans="1:15" ht="15" x14ac:dyDescent="0.2">
      <c r="A27" s="17" t="s">
        <v>22</v>
      </c>
      <c r="B27" s="16">
        <v>43531189.859999999</v>
      </c>
      <c r="C27" s="16">
        <v>40712.990000000005</v>
      </c>
      <c r="D27" s="16">
        <v>902569.21130967978</v>
      </c>
      <c r="E27" s="16">
        <v>507890.39823301521</v>
      </c>
      <c r="F27" s="16">
        <v>291005.31</v>
      </c>
      <c r="G27" s="16">
        <v>146774.44</v>
      </c>
      <c r="H27" s="16">
        <v>2201851.21</v>
      </c>
      <c r="I27" s="16">
        <v>801550.5</v>
      </c>
      <c r="J27" s="16">
        <v>7257245.9499999993</v>
      </c>
      <c r="K27" s="16">
        <v>0</v>
      </c>
      <c r="L27" s="16">
        <v>0</v>
      </c>
      <c r="M27" s="16">
        <v>405.48</v>
      </c>
      <c r="N27" s="18">
        <f t="shared" si="0"/>
        <v>55681195.3495427</v>
      </c>
      <c r="O27" s="4"/>
    </row>
    <row r="28" spans="1:15" ht="15" x14ac:dyDescent="0.2">
      <c r="A28" s="17" t="s">
        <v>23</v>
      </c>
      <c r="B28" s="16">
        <v>143335174.61999997</v>
      </c>
      <c r="C28" s="16">
        <v>134332.10999999999</v>
      </c>
      <c r="D28" s="16">
        <v>2961878.7743811714</v>
      </c>
      <c r="E28" s="16">
        <v>1472939.0794359944</v>
      </c>
      <c r="F28" s="16">
        <v>400826.11</v>
      </c>
      <c r="G28" s="16">
        <v>224107.22</v>
      </c>
      <c r="H28" s="16">
        <v>7250036.7699999996</v>
      </c>
      <c r="I28" s="16">
        <v>1104042.99</v>
      </c>
      <c r="J28" s="16">
        <v>14845042.620000003</v>
      </c>
      <c r="K28" s="16">
        <v>0</v>
      </c>
      <c r="L28" s="16">
        <v>0</v>
      </c>
      <c r="M28" s="16">
        <v>558.52</v>
      </c>
      <c r="N28" s="18">
        <f t="shared" si="0"/>
        <v>171728938.8138172</v>
      </c>
      <c r="O28" s="4"/>
    </row>
    <row r="29" spans="1:15" ht="15" x14ac:dyDescent="0.2">
      <c r="A29" s="17" t="s">
        <v>24</v>
      </c>
      <c r="B29" s="16">
        <v>91088004.930000022</v>
      </c>
      <c r="C29" s="16">
        <v>80054.48</v>
      </c>
      <c r="D29" s="16">
        <v>3480140.2110350095</v>
      </c>
      <c r="E29" s="16">
        <v>896528.06551705301</v>
      </c>
      <c r="F29" s="16">
        <v>250169.41</v>
      </c>
      <c r="G29" s="16">
        <v>116788.27</v>
      </c>
      <c r="H29" s="16">
        <v>4607322.57</v>
      </c>
      <c r="I29" s="16">
        <v>689071.34</v>
      </c>
      <c r="J29" s="16">
        <v>12968833.399999999</v>
      </c>
      <c r="K29" s="16">
        <v>0</v>
      </c>
      <c r="L29" s="16">
        <v>0</v>
      </c>
      <c r="M29" s="16">
        <v>348.58</v>
      </c>
      <c r="N29" s="18">
        <f t="shared" si="0"/>
        <v>114177261.25655209</v>
      </c>
      <c r="O29" s="4"/>
    </row>
    <row r="30" spans="1:15" ht="15" x14ac:dyDescent="0.2">
      <c r="A30" s="17" t="s">
        <v>25</v>
      </c>
      <c r="B30" s="16">
        <v>28910004.949999996</v>
      </c>
      <c r="C30" s="16">
        <v>27558.159999999996</v>
      </c>
      <c r="D30" s="16">
        <v>1186492.0169498217</v>
      </c>
      <c r="E30" s="16">
        <v>301325.67759246321</v>
      </c>
      <c r="F30" s="16">
        <v>216073.42</v>
      </c>
      <c r="G30" s="16">
        <v>148352.66</v>
      </c>
      <c r="H30" s="16">
        <v>1462297.03</v>
      </c>
      <c r="I30" s="16">
        <v>595156.71</v>
      </c>
      <c r="J30" s="16">
        <v>9796439.5800000001</v>
      </c>
      <c r="K30" s="16">
        <v>0</v>
      </c>
      <c r="L30" s="16">
        <v>0</v>
      </c>
      <c r="M30" s="16">
        <v>301.08000000000004</v>
      </c>
      <c r="N30" s="18">
        <f t="shared" si="0"/>
        <v>42644001.284542285</v>
      </c>
      <c r="O30" s="4"/>
    </row>
    <row r="31" spans="1:15" ht="15" x14ac:dyDescent="0.2">
      <c r="A31" s="17" t="s">
        <v>26</v>
      </c>
      <c r="B31" s="16">
        <v>53020777.239999995</v>
      </c>
      <c r="C31" s="16">
        <v>50447.280000000006</v>
      </c>
      <c r="D31" s="16">
        <v>1324634.3859777537</v>
      </c>
      <c r="E31" s="16">
        <v>542469.32915668865</v>
      </c>
      <c r="F31" s="16">
        <v>258098.71</v>
      </c>
      <c r="G31" s="16">
        <v>83645.649999999994</v>
      </c>
      <c r="H31" s="16">
        <v>2681844.0499999998</v>
      </c>
      <c r="I31" s="16">
        <v>710911.96</v>
      </c>
      <c r="J31" s="16">
        <v>7003014.3900000006</v>
      </c>
      <c r="K31" s="16">
        <v>0</v>
      </c>
      <c r="L31" s="16">
        <v>0</v>
      </c>
      <c r="M31" s="16">
        <v>359.63</v>
      </c>
      <c r="N31" s="18">
        <f t="shared" si="0"/>
        <v>65676202.625134438</v>
      </c>
      <c r="O31" s="4"/>
    </row>
    <row r="32" spans="1:15" ht="15" x14ac:dyDescent="0.2">
      <c r="A32" s="17" t="s">
        <v>27</v>
      </c>
      <c r="B32" s="16">
        <v>242795333.73000002</v>
      </c>
      <c r="C32" s="16">
        <v>230645.05</v>
      </c>
      <c r="D32" s="16">
        <v>3893571.5750473132</v>
      </c>
      <c r="E32" s="16">
        <v>2541412.0094261076</v>
      </c>
      <c r="F32" s="16">
        <v>761212.8</v>
      </c>
      <c r="G32" s="16">
        <v>492404.59</v>
      </c>
      <c r="H32" s="16">
        <v>12280831.289999999</v>
      </c>
      <c r="I32" s="16">
        <v>2096698.86</v>
      </c>
      <c r="J32" s="16">
        <v>21743093.690000001</v>
      </c>
      <c r="K32" s="16">
        <v>0</v>
      </c>
      <c r="L32" s="16">
        <v>0</v>
      </c>
      <c r="M32" s="16">
        <v>1060.7</v>
      </c>
      <c r="N32" s="18">
        <f t="shared" si="0"/>
        <v>286836264.29447347</v>
      </c>
      <c r="O32" s="4"/>
    </row>
    <row r="33" spans="1:15" ht="15" x14ac:dyDescent="0.2">
      <c r="A33" s="17" t="s">
        <v>28</v>
      </c>
      <c r="B33" s="16">
        <v>155761605.94</v>
      </c>
      <c r="C33" s="16">
        <v>149139.82</v>
      </c>
      <c r="D33" s="16">
        <v>4641869.6410445208</v>
      </c>
      <c r="E33" s="16">
        <v>1667027.5965219697</v>
      </c>
      <c r="F33" s="16">
        <v>558619.18000000005</v>
      </c>
      <c r="G33" s="16">
        <v>369303.44</v>
      </c>
      <c r="H33" s="16">
        <v>7878578.1200000001</v>
      </c>
      <c r="I33" s="16">
        <v>1538671.19</v>
      </c>
      <c r="J33" s="16">
        <v>21336670.030000001</v>
      </c>
      <c r="K33" s="16">
        <v>0</v>
      </c>
      <c r="L33" s="16">
        <v>0</v>
      </c>
      <c r="M33" s="16">
        <v>778.4</v>
      </c>
      <c r="N33" s="18">
        <f t="shared" si="0"/>
        <v>193902263.35756651</v>
      </c>
      <c r="O33" s="4"/>
    </row>
    <row r="34" spans="1:15" ht="15" x14ac:dyDescent="0.2">
      <c r="A34" s="17" t="s">
        <v>29</v>
      </c>
      <c r="B34" s="16">
        <v>206696507.79000002</v>
      </c>
      <c r="C34" s="16">
        <v>207938.98</v>
      </c>
      <c r="D34" s="16">
        <v>3340482.6903901109</v>
      </c>
      <c r="E34" s="16">
        <v>4204152.9711290421</v>
      </c>
      <c r="F34" s="16">
        <v>812356.79</v>
      </c>
      <c r="G34" s="16">
        <v>648648.35</v>
      </c>
      <c r="H34" s="16">
        <v>10454916.5</v>
      </c>
      <c r="I34" s="16">
        <v>2237570.81</v>
      </c>
      <c r="J34" s="16">
        <v>27429208.410000008</v>
      </c>
      <c r="K34" s="16">
        <v>0</v>
      </c>
      <c r="L34" s="16">
        <v>0</v>
      </c>
      <c r="M34" s="16">
        <v>1131.98</v>
      </c>
      <c r="N34" s="18">
        <f t="shared" si="0"/>
        <v>256032915.27151912</v>
      </c>
      <c r="O34" s="4"/>
    </row>
    <row r="35" spans="1:15" ht="15" x14ac:dyDescent="0.2">
      <c r="A35" s="17" t="s">
        <v>30</v>
      </c>
      <c r="B35" s="16">
        <v>103789496.72999999</v>
      </c>
      <c r="C35" s="16">
        <v>100192.43</v>
      </c>
      <c r="D35" s="16">
        <v>1932483.1982178737</v>
      </c>
      <c r="E35" s="16">
        <v>1122274.7648353856</v>
      </c>
      <c r="F35" s="16">
        <v>507871.66</v>
      </c>
      <c r="G35" s="16">
        <v>250936.95</v>
      </c>
      <c r="H35" s="16">
        <v>5249776.76</v>
      </c>
      <c r="I35" s="16">
        <v>1398891.27</v>
      </c>
      <c r="J35" s="16">
        <v>10015237.360000001</v>
      </c>
      <c r="K35" s="16">
        <v>0</v>
      </c>
      <c r="L35" s="16">
        <v>0</v>
      </c>
      <c r="M35" s="16">
        <v>707.68000000000006</v>
      </c>
      <c r="N35" s="18">
        <f t="shared" si="0"/>
        <v>124367868.80305326</v>
      </c>
      <c r="O35" s="4"/>
    </row>
    <row r="36" spans="1:15" ht="15" x14ac:dyDescent="0.2">
      <c r="A36" s="17" t="s">
        <v>31</v>
      </c>
      <c r="B36" s="16">
        <v>113029810.54999998</v>
      </c>
      <c r="C36" s="16">
        <v>107924.13</v>
      </c>
      <c r="D36" s="16">
        <v>2853283.3999746758</v>
      </c>
      <c r="E36" s="16">
        <v>1223500.5064628727</v>
      </c>
      <c r="F36" s="16">
        <v>319550.78999999998</v>
      </c>
      <c r="G36" s="16">
        <v>159400.20000000001</v>
      </c>
      <c r="H36" s="16">
        <v>5717161.0899999999</v>
      </c>
      <c r="I36" s="16">
        <v>880176.71</v>
      </c>
      <c r="J36" s="16">
        <v>10597095.620000001</v>
      </c>
      <c r="K36" s="16">
        <v>0</v>
      </c>
      <c r="L36" s="16">
        <v>0</v>
      </c>
      <c r="M36" s="16">
        <v>445.26000000000005</v>
      </c>
      <c r="N36" s="18">
        <f t="shared" si="0"/>
        <v>134888348.25643751</v>
      </c>
      <c r="O36" s="4"/>
    </row>
    <row r="37" spans="1:15" ht="15" x14ac:dyDescent="0.2">
      <c r="A37" s="17" t="s">
        <v>32</v>
      </c>
      <c r="B37" s="16">
        <v>123708461.56</v>
      </c>
      <c r="C37" s="16">
        <v>119865.91</v>
      </c>
      <c r="D37" s="16">
        <v>3432944.3203896815</v>
      </c>
      <c r="E37" s="16">
        <v>1288401.8386539279</v>
      </c>
      <c r="F37" s="16">
        <v>592715.17000000004</v>
      </c>
      <c r="G37" s="16">
        <v>231998.31</v>
      </c>
      <c r="H37" s="16">
        <v>6257297.96</v>
      </c>
      <c r="I37" s="16">
        <v>1632585.83</v>
      </c>
      <c r="J37" s="16">
        <v>16620054.820000004</v>
      </c>
      <c r="K37" s="16">
        <v>0</v>
      </c>
      <c r="L37" s="16">
        <v>0</v>
      </c>
      <c r="M37" s="16">
        <v>825.90000000000009</v>
      </c>
      <c r="N37" s="18">
        <f t="shared" si="0"/>
        <v>153885151.61904362</v>
      </c>
      <c r="O37" s="4"/>
    </row>
    <row r="38" spans="1:15" ht="15" x14ac:dyDescent="0.2">
      <c r="A38" s="17" t="s">
        <v>33</v>
      </c>
      <c r="B38" s="16">
        <v>112173111.69</v>
      </c>
      <c r="C38" s="16">
        <v>109683.56</v>
      </c>
      <c r="D38" s="16">
        <v>780368.94621894788</v>
      </c>
      <c r="E38" s="16">
        <v>1206371.9996494262</v>
      </c>
      <c r="F38" s="16">
        <v>529677.24</v>
      </c>
      <c r="G38" s="16">
        <v>628131.49</v>
      </c>
      <c r="H38" s="16">
        <v>5673828.4000000004</v>
      </c>
      <c r="I38" s="16">
        <v>1458952.96</v>
      </c>
      <c r="J38" s="16">
        <v>27909572.250000011</v>
      </c>
      <c r="K38" s="16">
        <v>0</v>
      </c>
      <c r="L38" s="16">
        <v>0</v>
      </c>
      <c r="M38" s="16">
        <v>738.07</v>
      </c>
      <c r="N38" s="18">
        <f t="shared" si="0"/>
        <v>150470436.60586837</v>
      </c>
      <c r="O38" s="4"/>
    </row>
    <row r="39" spans="1:15" ht="15" x14ac:dyDescent="0.2">
      <c r="A39" s="17" t="s">
        <v>34</v>
      </c>
      <c r="B39" s="16">
        <v>192608252.61000001</v>
      </c>
      <c r="C39" s="16">
        <v>181550.12</v>
      </c>
      <c r="D39" s="16">
        <v>4987796.2831226308</v>
      </c>
      <c r="E39" s="16">
        <v>1967522.3734568313</v>
      </c>
      <c r="F39" s="16">
        <v>674783.43</v>
      </c>
      <c r="G39" s="16">
        <v>386663.86</v>
      </c>
      <c r="H39" s="16">
        <v>9742318.4299999997</v>
      </c>
      <c r="I39" s="16">
        <v>1858636.18</v>
      </c>
      <c r="J39" s="16">
        <v>23472859.559999995</v>
      </c>
      <c r="K39" s="16">
        <v>0</v>
      </c>
      <c r="L39" s="16">
        <v>0</v>
      </c>
      <c r="M39" s="16">
        <v>940.26</v>
      </c>
      <c r="N39" s="18">
        <f t="shared" si="0"/>
        <v>235881323.10657951</v>
      </c>
      <c r="O39" s="4"/>
    </row>
    <row r="40" spans="1:15" ht="15" x14ac:dyDescent="0.2">
      <c r="A40" s="17" t="s">
        <v>35</v>
      </c>
      <c r="B40" s="16">
        <v>125315846.41</v>
      </c>
      <c r="C40" s="16">
        <v>121628.08</v>
      </c>
      <c r="D40" s="16">
        <v>3107485.7001267429</v>
      </c>
      <c r="E40" s="16">
        <v>1326915.4970735526</v>
      </c>
      <c r="F40" s="16">
        <v>360386.68</v>
      </c>
      <c r="G40" s="16">
        <v>170447.74</v>
      </c>
      <c r="H40" s="16">
        <v>6338601.0899999999</v>
      </c>
      <c r="I40" s="16">
        <v>992655.87</v>
      </c>
      <c r="J40" s="16">
        <v>12812627.160000004</v>
      </c>
      <c r="K40" s="16">
        <v>0</v>
      </c>
      <c r="L40" s="16">
        <v>0</v>
      </c>
      <c r="M40" s="16">
        <v>502.15999999999997</v>
      </c>
      <c r="N40" s="18">
        <f t="shared" ref="N40:N71" si="1">SUM(B40:M40)</f>
        <v>150547096.38720027</v>
      </c>
      <c r="O40" s="4"/>
    </row>
    <row r="41" spans="1:15" ht="15" x14ac:dyDescent="0.2">
      <c r="A41" s="17" t="s">
        <v>36</v>
      </c>
      <c r="B41" s="16">
        <v>135020324.82000002</v>
      </c>
      <c r="C41" s="16">
        <v>126021.22</v>
      </c>
      <c r="D41" s="16">
        <v>1549142.6991026057</v>
      </c>
      <c r="E41" s="16">
        <v>1354538.6465619304</v>
      </c>
      <c r="F41" s="16">
        <v>610159.63</v>
      </c>
      <c r="G41" s="16">
        <v>273032.03000000003</v>
      </c>
      <c r="H41" s="16">
        <v>6829463.3399999999</v>
      </c>
      <c r="I41" s="16">
        <v>1680635.18</v>
      </c>
      <c r="J41" s="16">
        <v>13259390.860000001</v>
      </c>
      <c r="K41" s="16">
        <v>0</v>
      </c>
      <c r="L41" s="16">
        <v>0</v>
      </c>
      <c r="M41" s="16">
        <v>850.20999999999981</v>
      </c>
      <c r="N41" s="18">
        <f t="shared" si="1"/>
        <v>160703558.63566458</v>
      </c>
      <c r="O41" s="4"/>
    </row>
    <row r="42" spans="1:15" ht="15" x14ac:dyDescent="0.2">
      <c r="A42" s="17" t="s">
        <v>37</v>
      </c>
      <c r="B42" s="16">
        <v>79773276.479999989</v>
      </c>
      <c r="C42" s="16">
        <v>77636.63</v>
      </c>
      <c r="D42" s="16">
        <v>737003.76509209187</v>
      </c>
      <c r="E42" s="16">
        <v>954198.2760131713</v>
      </c>
      <c r="F42" s="16">
        <v>1657223.71</v>
      </c>
      <c r="G42" s="16">
        <v>0</v>
      </c>
      <c r="H42" s="16">
        <v>4035012.27</v>
      </c>
      <c r="I42" s="16">
        <v>4564688.1399999997</v>
      </c>
      <c r="J42" s="16">
        <v>21220357.870000005</v>
      </c>
      <c r="K42" s="16">
        <v>0</v>
      </c>
      <c r="L42" s="16">
        <v>0</v>
      </c>
      <c r="M42" s="16">
        <v>2309.2699999999995</v>
      </c>
      <c r="N42" s="18">
        <f t="shared" si="1"/>
        <v>113021706.41110523</v>
      </c>
      <c r="O42" s="4"/>
    </row>
    <row r="43" spans="1:15" ht="15" x14ac:dyDescent="0.2">
      <c r="A43" s="17" t="s">
        <v>38</v>
      </c>
      <c r="B43" s="16">
        <v>350813885.84000003</v>
      </c>
      <c r="C43" s="16">
        <v>279865.65000000002</v>
      </c>
      <c r="D43" s="16">
        <v>3056685.7726677884</v>
      </c>
      <c r="E43" s="16">
        <v>3228417.3458252093</v>
      </c>
      <c r="F43" s="16">
        <v>6891354.6799999997</v>
      </c>
      <c r="G43" s="16">
        <v>2157426.5099999998</v>
      </c>
      <c r="H43" s="16">
        <v>17744517.899999999</v>
      </c>
      <c r="I43" s="16">
        <v>18981676.870000001</v>
      </c>
      <c r="J43" s="16">
        <v>67927357.140000015</v>
      </c>
      <c r="K43" s="16">
        <v>0</v>
      </c>
      <c r="L43" s="16">
        <v>0</v>
      </c>
      <c r="M43" s="16">
        <v>9602.8900000000012</v>
      </c>
      <c r="N43" s="18">
        <f t="shared" si="1"/>
        <v>471090790.59849298</v>
      </c>
      <c r="O43" s="4"/>
    </row>
    <row r="44" spans="1:15" ht="15" x14ac:dyDescent="0.2">
      <c r="A44" s="17" t="s">
        <v>39</v>
      </c>
      <c r="B44" s="16">
        <v>414587809.78000003</v>
      </c>
      <c r="C44" s="16">
        <v>402575.63</v>
      </c>
      <c r="D44" s="16">
        <v>3263093.4895071704</v>
      </c>
      <c r="E44" s="16">
        <v>4647757.4971007565</v>
      </c>
      <c r="F44" s="16">
        <v>8671086.0700000003</v>
      </c>
      <c r="G44" s="16">
        <v>3951120.834232334</v>
      </c>
      <c r="H44" s="16">
        <v>20970266.879999999</v>
      </c>
      <c r="I44" s="16">
        <v>23883802.489999998</v>
      </c>
      <c r="J44" s="16">
        <v>86639990.639999986</v>
      </c>
      <c r="K44" s="16">
        <v>0</v>
      </c>
      <c r="L44" s="16">
        <v>0</v>
      </c>
      <c r="M44" s="16">
        <v>12082.89</v>
      </c>
      <c r="N44" s="18">
        <f t="shared" si="1"/>
        <v>567029586.20084035</v>
      </c>
      <c r="O44" s="4"/>
    </row>
    <row r="45" spans="1:15" ht="15" x14ac:dyDescent="0.2">
      <c r="A45" s="17" t="s">
        <v>40</v>
      </c>
      <c r="B45" s="16">
        <v>120293127.00000001</v>
      </c>
      <c r="C45" s="16">
        <v>114232.42</v>
      </c>
      <c r="D45" s="16">
        <v>1557473.7261524259</v>
      </c>
      <c r="E45" s="16">
        <v>1288915.6761298182</v>
      </c>
      <c r="F45" s="16">
        <v>645841.48</v>
      </c>
      <c r="G45" s="16">
        <v>301439.99</v>
      </c>
      <c r="H45" s="16">
        <v>6084546.9100000001</v>
      </c>
      <c r="I45" s="16">
        <v>1778917.94</v>
      </c>
      <c r="J45" s="16">
        <v>12794538.570000002</v>
      </c>
      <c r="K45" s="16">
        <v>0</v>
      </c>
      <c r="L45" s="16">
        <v>0</v>
      </c>
      <c r="M45" s="16">
        <v>899.94</v>
      </c>
      <c r="N45" s="18">
        <f t="shared" si="1"/>
        <v>144859933.65228224</v>
      </c>
      <c r="O45" s="4"/>
    </row>
    <row r="46" spans="1:15" ht="15" x14ac:dyDescent="0.2">
      <c r="A46" s="17" t="s">
        <v>41</v>
      </c>
      <c r="B46" s="16">
        <v>182634444.12</v>
      </c>
      <c r="C46" s="16">
        <v>178001.18000000002</v>
      </c>
      <c r="D46" s="16">
        <v>2587623.33950717</v>
      </c>
      <c r="E46" s="16">
        <v>3621992.1618718319</v>
      </c>
      <c r="F46" s="16">
        <v>5094178.82</v>
      </c>
      <c r="G46" s="16">
        <v>0</v>
      </c>
      <c r="H46" s="16">
        <v>9237833.1999999993</v>
      </c>
      <c r="I46" s="16">
        <v>14031501.9</v>
      </c>
      <c r="J46" s="16">
        <v>55757494.680000015</v>
      </c>
      <c r="K46" s="16">
        <v>0</v>
      </c>
      <c r="L46" s="16">
        <v>0</v>
      </c>
      <c r="M46" s="16">
        <v>7098.57</v>
      </c>
      <c r="N46" s="18">
        <f t="shared" si="1"/>
        <v>273150167.97137898</v>
      </c>
      <c r="O46" s="4"/>
    </row>
    <row r="47" spans="1:15" ht="15" x14ac:dyDescent="0.2">
      <c r="A47" s="17" t="s">
        <v>42</v>
      </c>
      <c r="B47" s="16">
        <v>549917577.71000004</v>
      </c>
      <c r="C47" s="16">
        <v>529564.01</v>
      </c>
      <c r="D47" s="16">
        <v>2798761.0254201926</v>
      </c>
      <c r="E47" s="16">
        <v>10913716.854837056</v>
      </c>
      <c r="F47" s="16">
        <v>15880802.15</v>
      </c>
      <c r="G47" s="16">
        <v>4438879.1927509895</v>
      </c>
      <c r="H47" s="16">
        <v>27815382.149999999</v>
      </c>
      <c r="I47" s="16">
        <v>43742379.969999999</v>
      </c>
      <c r="J47" s="16">
        <v>131920170.99999997</v>
      </c>
      <c r="K47" s="16">
        <v>0</v>
      </c>
      <c r="L47" s="16">
        <v>0</v>
      </c>
      <c r="M47" s="16">
        <v>22129.439999999999</v>
      </c>
      <c r="N47" s="18">
        <f t="shared" si="1"/>
        <v>787979363.50300825</v>
      </c>
      <c r="O47" s="4"/>
    </row>
    <row r="48" spans="1:15" ht="15" x14ac:dyDescent="0.2">
      <c r="A48" s="17" t="s">
        <v>43</v>
      </c>
      <c r="B48" s="16">
        <v>56249872.970000006</v>
      </c>
      <c r="C48" s="16">
        <v>57905.770000000004</v>
      </c>
      <c r="D48" s="16">
        <v>1423895.3312567498</v>
      </c>
      <c r="E48" s="16">
        <v>638729.42111020186</v>
      </c>
      <c r="F48" s="16">
        <v>137969.82</v>
      </c>
      <c r="G48" s="16">
        <v>89958.53</v>
      </c>
      <c r="H48" s="16">
        <v>2845174.95</v>
      </c>
      <c r="I48" s="16">
        <v>380026.67</v>
      </c>
      <c r="J48" s="16">
        <v>7162640.0900000017</v>
      </c>
      <c r="K48" s="16">
        <v>0</v>
      </c>
      <c r="L48" s="16">
        <v>0</v>
      </c>
      <c r="M48" s="16">
        <v>192.23999999999998</v>
      </c>
      <c r="N48" s="18">
        <f t="shared" si="1"/>
        <v>68986365.792366967</v>
      </c>
      <c r="O48" s="4"/>
    </row>
    <row r="49" spans="1:15" ht="15" x14ac:dyDescent="0.2">
      <c r="A49" s="17" t="s">
        <v>44</v>
      </c>
      <c r="B49" s="16">
        <v>98377108.270000011</v>
      </c>
      <c r="C49" s="16">
        <v>94242.02</v>
      </c>
      <c r="D49" s="16">
        <v>2634305.7938996432</v>
      </c>
      <c r="E49" s="16">
        <v>1033714.1775260045</v>
      </c>
      <c r="F49" s="16">
        <v>814735.58</v>
      </c>
      <c r="G49" s="16">
        <v>399289.62</v>
      </c>
      <c r="H49" s="16">
        <v>4976012.72</v>
      </c>
      <c r="I49" s="16">
        <v>2244123</v>
      </c>
      <c r="J49" s="16">
        <v>16777549.559999999</v>
      </c>
      <c r="K49" s="16">
        <v>0</v>
      </c>
      <c r="L49" s="16">
        <v>0</v>
      </c>
      <c r="M49" s="16">
        <v>1135.2900000000002</v>
      </c>
      <c r="N49" s="18">
        <f t="shared" si="1"/>
        <v>127352216.03142565</v>
      </c>
      <c r="O49" s="4"/>
    </row>
    <row r="50" spans="1:15" ht="15" x14ac:dyDescent="0.2">
      <c r="A50" s="17" t="s">
        <v>45</v>
      </c>
      <c r="B50" s="16">
        <v>75194665.189999998</v>
      </c>
      <c r="C50" s="16">
        <v>75011.13</v>
      </c>
      <c r="D50" s="16">
        <v>1864642.7122161556</v>
      </c>
      <c r="E50" s="16">
        <v>840560.70195650693</v>
      </c>
      <c r="F50" s="16">
        <v>228363.84</v>
      </c>
      <c r="G50" s="16">
        <v>112053.61</v>
      </c>
      <c r="H50" s="16">
        <v>3803421.52</v>
      </c>
      <c r="I50" s="16">
        <v>629009.66</v>
      </c>
      <c r="J50" s="16">
        <v>11790150.42</v>
      </c>
      <c r="K50" s="16">
        <v>0</v>
      </c>
      <c r="L50" s="16">
        <v>0</v>
      </c>
      <c r="M50" s="16">
        <v>318.19</v>
      </c>
      <c r="N50" s="18">
        <f t="shared" si="1"/>
        <v>94538196.974172652</v>
      </c>
      <c r="O50" s="4"/>
    </row>
    <row r="51" spans="1:15" ht="15" x14ac:dyDescent="0.2">
      <c r="A51" s="17" t="s">
        <v>46</v>
      </c>
      <c r="B51" s="16">
        <v>72332316.799999997</v>
      </c>
      <c r="C51" s="16">
        <v>73967.48000000001</v>
      </c>
      <c r="D51" s="16">
        <v>2349875.2006213632</v>
      </c>
      <c r="E51" s="16">
        <v>793035.38045983645</v>
      </c>
      <c r="F51" s="16">
        <v>284661.87</v>
      </c>
      <c r="G51" s="16">
        <v>149930.88</v>
      </c>
      <c r="H51" s="16">
        <v>3658641.07</v>
      </c>
      <c r="I51" s="16">
        <v>784078.01</v>
      </c>
      <c r="J51" s="16">
        <v>8276105.0199999986</v>
      </c>
      <c r="K51" s="16">
        <v>0</v>
      </c>
      <c r="L51" s="16">
        <v>0</v>
      </c>
      <c r="M51" s="16">
        <v>396.64</v>
      </c>
      <c r="N51" s="18">
        <f t="shared" si="1"/>
        <v>88703008.351081192</v>
      </c>
      <c r="O51" s="4"/>
    </row>
    <row r="52" spans="1:15" ht="15" x14ac:dyDescent="0.2">
      <c r="A52" s="17" t="s">
        <v>47</v>
      </c>
      <c r="B52" s="16">
        <v>83698619.090000004</v>
      </c>
      <c r="C52" s="16">
        <v>80535.33</v>
      </c>
      <c r="D52" s="16">
        <v>1679860.2931895838</v>
      </c>
      <c r="E52" s="16">
        <v>885563.58127252012</v>
      </c>
      <c r="F52" s="16">
        <v>262063.35999999999</v>
      </c>
      <c r="G52" s="16">
        <v>175182.4</v>
      </c>
      <c r="H52" s="16">
        <v>4233560.03</v>
      </c>
      <c r="I52" s="16">
        <v>721832.26</v>
      </c>
      <c r="J52" s="16">
        <v>11524074.5</v>
      </c>
      <c r="K52" s="16">
        <v>0</v>
      </c>
      <c r="L52" s="16">
        <v>0</v>
      </c>
      <c r="M52" s="16">
        <v>365.15999999999997</v>
      </c>
      <c r="N52" s="18">
        <f t="shared" si="1"/>
        <v>103261656.00446212</v>
      </c>
      <c r="O52" s="4"/>
    </row>
    <row r="53" spans="1:15" ht="15" x14ac:dyDescent="0.2">
      <c r="A53" s="17" t="s">
        <v>48</v>
      </c>
      <c r="B53" s="16">
        <v>30399915.990000002</v>
      </c>
      <c r="C53" s="16">
        <v>29025.280000000002</v>
      </c>
      <c r="D53" s="16">
        <v>1910219.9217355573</v>
      </c>
      <c r="E53" s="16">
        <v>310794.2068804297</v>
      </c>
      <c r="F53" s="16">
        <v>45593.47</v>
      </c>
      <c r="G53" s="16">
        <v>28407.96</v>
      </c>
      <c r="H53" s="16">
        <v>1537658.22</v>
      </c>
      <c r="I53" s="16">
        <v>125583.53</v>
      </c>
      <c r="J53" s="16">
        <v>5497943.5999999996</v>
      </c>
      <c r="K53" s="16">
        <v>0</v>
      </c>
      <c r="L53" s="16">
        <v>0</v>
      </c>
      <c r="M53" s="16">
        <v>63.500000000000007</v>
      </c>
      <c r="N53" s="18">
        <f t="shared" si="1"/>
        <v>39885205.678615995</v>
      </c>
      <c r="O53" s="4"/>
    </row>
    <row r="54" spans="1:15" ht="15" x14ac:dyDescent="0.2">
      <c r="A54" s="17" t="s">
        <v>49</v>
      </c>
      <c r="B54" s="16">
        <v>101895590.56</v>
      </c>
      <c r="C54" s="16">
        <v>100544.85999999999</v>
      </c>
      <c r="D54" s="16">
        <v>3219455.9288944569</v>
      </c>
      <c r="E54" s="16">
        <v>1076396.5744051088</v>
      </c>
      <c r="F54" s="16">
        <v>156603.67000000001</v>
      </c>
      <c r="G54" s="16">
        <v>108897.17</v>
      </c>
      <c r="H54" s="16">
        <v>5153981.08</v>
      </c>
      <c r="I54" s="16">
        <v>431352.11</v>
      </c>
      <c r="J54" s="16">
        <v>12593730.289999999</v>
      </c>
      <c r="K54" s="16">
        <v>0</v>
      </c>
      <c r="L54" s="16">
        <v>0</v>
      </c>
      <c r="M54" s="16">
        <v>218.20000000000002</v>
      </c>
      <c r="N54" s="18">
        <f t="shared" si="1"/>
        <v>124736770.44329958</v>
      </c>
      <c r="O54" s="4"/>
    </row>
    <row r="55" spans="1:15" ht="15" x14ac:dyDescent="0.2">
      <c r="A55" s="17" t="s">
        <v>50</v>
      </c>
      <c r="B55" s="16">
        <v>44496766.829999998</v>
      </c>
      <c r="C55" s="16">
        <v>36967.35</v>
      </c>
      <c r="D55" s="16">
        <v>1180334.3059655218</v>
      </c>
      <c r="E55" s="16">
        <v>404119.83637174882</v>
      </c>
      <c r="F55" s="16">
        <v>289022.98</v>
      </c>
      <c r="G55" s="16">
        <v>149930.88</v>
      </c>
      <c r="H55" s="16">
        <v>2250691.06</v>
      </c>
      <c r="I55" s="16">
        <v>796090.35</v>
      </c>
      <c r="J55" s="16">
        <v>9016597.8500000015</v>
      </c>
      <c r="K55" s="16">
        <v>0</v>
      </c>
      <c r="L55" s="16">
        <v>0</v>
      </c>
      <c r="M55" s="16">
        <v>402.71999999999997</v>
      </c>
      <c r="N55" s="18">
        <f t="shared" si="1"/>
        <v>58620924.162337273</v>
      </c>
      <c r="O55" s="4"/>
    </row>
    <row r="56" spans="1:15" ht="15" x14ac:dyDescent="0.2">
      <c r="A56" s="17" t="s">
        <v>51</v>
      </c>
      <c r="B56" s="16">
        <v>37812223.539999999</v>
      </c>
      <c r="C56" s="16">
        <v>35440.130000000005</v>
      </c>
      <c r="D56" s="16">
        <v>777779.82961760974</v>
      </c>
      <c r="E56" s="16">
        <v>380873.40090813546</v>
      </c>
      <c r="F56" s="16">
        <v>81671.789999999994</v>
      </c>
      <c r="G56" s="16">
        <v>37877.279999999999</v>
      </c>
      <c r="H56" s="16">
        <v>1912580.16</v>
      </c>
      <c r="I56" s="16">
        <v>224958.32</v>
      </c>
      <c r="J56" s="16">
        <v>7393678.6100000003</v>
      </c>
      <c r="K56" s="16">
        <v>0</v>
      </c>
      <c r="L56" s="16">
        <v>0</v>
      </c>
      <c r="M56" s="16">
        <v>113.79</v>
      </c>
      <c r="N56" s="18">
        <f t="shared" si="1"/>
        <v>48657196.850525744</v>
      </c>
      <c r="O56" s="4"/>
    </row>
    <row r="57" spans="1:15" ht="15" x14ac:dyDescent="0.2">
      <c r="A57" s="17" t="s">
        <v>52</v>
      </c>
      <c r="B57" s="16">
        <v>91265648.179999992</v>
      </c>
      <c r="C57" s="16">
        <v>97769.1</v>
      </c>
      <c r="D57" s="16">
        <v>1996132.6572100394</v>
      </c>
      <c r="E57" s="16">
        <v>1122924.2167337728</v>
      </c>
      <c r="F57" s="16">
        <v>419459.97</v>
      </c>
      <c r="G57" s="16">
        <v>198855.7</v>
      </c>
      <c r="H57" s="16">
        <v>4616307.95</v>
      </c>
      <c r="I57" s="16">
        <v>1155368.43</v>
      </c>
      <c r="J57" s="16">
        <v>15496628.760000002</v>
      </c>
      <c r="K57" s="16">
        <v>0</v>
      </c>
      <c r="L57" s="16">
        <v>0</v>
      </c>
      <c r="M57" s="16">
        <v>584.48</v>
      </c>
      <c r="N57" s="18">
        <f t="shared" si="1"/>
        <v>116369679.44394381</v>
      </c>
      <c r="O57" s="4"/>
    </row>
    <row r="58" spans="1:15" ht="15" x14ac:dyDescent="0.2">
      <c r="A58" s="17" t="s">
        <v>53</v>
      </c>
      <c r="B58" s="16">
        <v>78773316.930000007</v>
      </c>
      <c r="C58" s="16">
        <v>78210.359999999986</v>
      </c>
      <c r="D58" s="16">
        <v>1027320.5791039657</v>
      </c>
      <c r="E58" s="16">
        <v>840187.42250033258</v>
      </c>
      <c r="F58" s="16">
        <v>244222.44</v>
      </c>
      <c r="G58" s="16">
        <v>113631.83</v>
      </c>
      <c r="H58" s="16">
        <v>3984433.31</v>
      </c>
      <c r="I58" s="16">
        <v>672690.88</v>
      </c>
      <c r="J58" s="16">
        <v>9178007.6699999981</v>
      </c>
      <c r="K58" s="16">
        <v>0</v>
      </c>
      <c r="L58" s="16">
        <v>0</v>
      </c>
      <c r="M58" s="16">
        <v>340.28000000000003</v>
      </c>
      <c r="N58" s="18">
        <f t="shared" si="1"/>
        <v>94912361.701604292</v>
      </c>
      <c r="O58" s="4"/>
    </row>
    <row r="59" spans="1:15" ht="15" x14ac:dyDescent="0.2">
      <c r="A59" s="17" t="s">
        <v>54</v>
      </c>
      <c r="B59" s="16">
        <v>88354591.160000026</v>
      </c>
      <c r="C59" s="16">
        <v>86996.62</v>
      </c>
      <c r="D59" s="16">
        <v>2186444.0922813178</v>
      </c>
      <c r="E59" s="16">
        <v>955454.00379062688</v>
      </c>
      <c r="F59" s="16">
        <v>237879</v>
      </c>
      <c r="G59" s="16">
        <v>113631.83</v>
      </c>
      <c r="H59" s="16">
        <v>4469063.7699999996</v>
      </c>
      <c r="I59" s="16">
        <v>655218.39</v>
      </c>
      <c r="J59" s="16">
        <v>10204994.199999999</v>
      </c>
      <c r="K59" s="16">
        <v>0</v>
      </c>
      <c r="L59" s="16">
        <v>0</v>
      </c>
      <c r="M59" s="16">
        <v>331.45000000000005</v>
      </c>
      <c r="N59" s="18">
        <f t="shared" si="1"/>
        <v>107264604.51607198</v>
      </c>
      <c r="O59" s="4"/>
    </row>
    <row r="60" spans="1:15" ht="15" x14ac:dyDescent="0.2">
      <c r="A60" s="17" t="s">
        <v>55</v>
      </c>
      <c r="B60" s="16">
        <v>642357963.56000006</v>
      </c>
      <c r="C60" s="16">
        <v>616809.27</v>
      </c>
      <c r="D60" s="16">
        <v>22181258.519278206</v>
      </c>
      <c r="E60" s="16">
        <v>12409799.742686668</v>
      </c>
      <c r="F60" s="16">
        <v>13085327.42</v>
      </c>
      <c r="G60" s="16">
        <v>6252906.9699999997</v>
      </c>
      <c r="H60" s="16">
        <v>32491109.5</v>
      </c>
      <c r="I60" s="16">
        <v>36042471.810000002</v>
      </c>
      <c r="J60" s="16">
        <v>169321699.83999997</v>
      </c>
      <c r="K60" s="16">
        <v>0</v>
      </c>
      <c r="L60" s="16">
        <v>0</v>
      </c>
      <c r="M60" s="16">
        <v>18234.009999999998</v>
      </c>
      <c r="N60" s="18">
        <f t="shared" si="1"/>
        <v>934777580.64196467</v>
      </c>
      <c r="O60" s="4"/>
    </row>
    <row r="61" spans="1:15" ht="15" x14ac:dyDescent="0.2">
      <c r="A61" s="17" t="s">
        <v>56</v>
      </c>
      <c r="B61" s="16">
        <v>94732556.599999994</v>
      </c>
      <c r="C61" s="16">
        <v>96441.32</v>
      </c>
      <c r="D61" s="16">
        <v>1505822.207716892</v>
      </c>
      <c r="E61" s="16">
        <v>1164616.0824591545</v>
      </c>
      <c r="F61" s="16">
        <v>2335971.79</v>
      </c>
      <c r="G61" s="16">
        <v>609109.17693876836</v>
      </c>
      <c r="H61" s="16">
        <v>4791667.6500000004</v>
      </c>
      <c r="I61" s="16">
        <v>6434244.6299999999</v>
      </c>
      <c r="J61" s="16">
        <v>41073366.219999999</v>
      </c>
      <c r="K61" s="16">
        <v>0</v>
      </c>
      <c r="L61" s="16">
        <v>0</v>
      </c>
      <c r="M61" s="16">
        <v>3255.09</v>
      </c>
      <c r="N61" s="18">
        <f t="shared" si="1"/>
        <v>152747050.76711482</v>
      </c>
      <c r="O61" s="4"/>
    </row>
    <row r="62" spans="1:15" ht="15" x14ac:dyDescent="0.2">
      <c r="A62" s="17" t="s">
        <v>57</v>
      </c>
      <c r="B62" s="16">
        <v>633865470.5</v>
      </c>
      <c r="C62" s="16">
        <v>582049.41</v>
      </c>
      <c r="D62" s="16">
        <v>6239974.8499999996</v>
      </c>
      <c r="E62" s="16">
        <v>12536776.399710884</v>
      </c>
      <c r="F62" s="16">
        <v>10474208.91</v>
      </c>
      <c r="G62" s="16">
        <v>0</v>
      </c>
      <c r="H62" s="16">
        <v>32061550.690000001</v>
      </c>
      <c r="I62" s="16">
        <v>28850357.91</v>
      </c>
      <c r="J62" s="16">
        <v>84448891.119999975</v>
      </c>
      <c r="K62" s="16">
        <v>0</v>
      </c>
      <c r="L62" s="16">
        <v>0</v>
      </c>
      <c r="M62" s="16">
        <v>14595.49</v>
      </c>
      <c r="N62" s="18">
        <f t="shared" si="1"/>
        <v>809073875.27971089</v>
      </c>
      <c r="O62" s="4"/>
    </row>
    <row r="63" spans="1:15" ht="15" x14ac:dyDescent="0.2">
      <c r="A63" s="17" t="s">
        <v>58</v>
      </c>
      <c r="B63" s="16">
        <v>95918755.019999996</v>
      </c>
      <c r="C63" s="16">
        <v>87767.069999999992</v>
      </c>
      <c r="D63" s="16">
        <v>2692242.9722283878</v>
      </c>
      <c r="E63" s="16">
        <v>942137.88105554448</v>
      </c>
      <c r="F63" s="16">
        <v>369108.91</v>
      </c>
      <c r="G63" s="16">
        <v>183073.5</v>
      </c>
      <c r="H63" s="16">
        <v>4851666.75</v>
      </c>
      <c r="I63" s="16">
        <v>1016680.54</v>
      </c>
      <c r="J63" s="16">
        <v>11618729.910000006</v>
      </c>
      <c r="K63" s="16">
        <v>0</v>
      </c>
      <c r="L63" s="16">
        <v>0</v>
      </c>
      <c r="M63" s="16">
        <v>514.32000000000005</v>
      </c>
      <c r="N63" s="18">
        <f t="shared" si="1"/>
        <v>117680676.87328394</v>
      </c>
      <c r="O63" s="4"/>
    </row>
    <row r="64" spans="1:15" ht="15" x14ac:dyDescent="0.2">
      <c r="A64" s="17" t="s">
        <v>59</v>
      </c>
      <c r="B64" s="16">
        <v>187055468.69</v>
      </c>
      <c r="C64" s="16">
        <v>185907.74000000002</v>
      </c>
      <c r="D64" s="16">
        <v>6530776.512180889</v>
      </c>
      <c r="E64" s="16">
        <v>2109315.595057487</v>
      </c>
      <c r="F64" s="16">
        <v>675576.36</v>
      </c>
      <c r="G64" s="16">
        <v>312487.53000000003</v>
      </c>
      <c r="H64" s="16">
        <v>9461453.0600000005</v>
      </c>
      <c r="I64" s="16">
        <v>1860820.24</v>
      </c>
      <c r="J64" s="16">
        <v>23873633.559999991</v>
      </c>
      <c r="K64" s="16">
        <v>0</v>
      </c>
      <c r="L64" s="16">
        <v>0</v>
      </c>
      <c r="M64" s="16">
        <v>941.37</v>
      </c>
      <c r="N64" s="18">
        <f t="shared" si="1"/>
        <v>232066380.65723842</v>
      </c>
      <c r="O64" s="4"/>
    </row>
    <row r="65" spans="1:15" ht="15" x14ac:dyDescent="0.2">
      <c r="A65" s="17" t="s">
        <v>60</v>
      </c>
      <c r="B65" s="16">
        <v>104365404.68000001</v>
      </c>
      <c r="C65" s="16">
        <v>101894.48999999999</v>
      </c>
      <c r="D65" s="16">
        <v>2288228.6116581634</v>
      </c>
      <c r="E65" s="16">
        <v>1089648.8131903145</v>
      </c>
      <c r="F65" s="16">
        <v>147088.51</v>
      </c>
      <c r="G65" s="16">
        <v>119944.71</v>
      </c>
      <c r="H65" s="16">
        <v>5278906.76</v>
      </c>
      <c r="I65" s="16">
        <v>405143.37</v>
      </c>
      <c r="J65" s="16">
        <v>13794714.299999997</v>
      </c>
      <c r="K65" s="16">
        <v>0</v>
      </c>
      <c r="L65" s="16">
        <v>0</v>
      </c>
      <c r="M65" s="16">
        <v>204.94</v>
      </c>
      <c r="N65" s="18">
        <f t="shared" si="1"/>
        <v>127591179.18484849</v>
      </c>
      <c r="O65" s="4"/>
    </row>
    <row r="66" spans="1:15" ht="15" x14ac:dyDescent="0.2">
      <c r="A66" s="17" t="s">
        <v>61</v>
      </c>
      <c r="B66" s="16">
        <v>58258387.689999998</v>
      </c>
      <c r="C66" s="16">
        <v>56463.25</v>
      </c>
      <c r="D66" s="16">
        <v>1853854.7089614095</v>
      </c>
      <c r="E66" s="16">
        <v>609722.74568941013</v>
      </c>
      <c r="F66" s="16">
        <v>143916.79</v>
      </c>
      <c r="G66" s="16">
        <v>96271.41</v>
      </c>
      <c r="H66" s="16">
        <v>2946767.63</v>
      </c>
      <c r="I66" s="16">
        <v>396407.13</v>
      </c>
      <c r="J66" s="16">
        <v>6181544.0700000003</v>
      </c>
      <c r="K66" s="16">
        <v>0</v>
      </c>
      <c r="L66" s="16">
        <v>0</v>
      </c>
      <c r="M66" s="16">
        <v>200.51000000000002</v>
      </c>
      <c r="N66" s="18">
        <f t="shared" si="1"/>
        <v>70543535.934650823</v>
      </c>
      <c r="O66" s="4"/>
    </row>
    <row r="67" spans="1:15" ht="15" x14ac:dyDescent="0.2">
      <c r="A67" s="17" t="s">
        <v>62</v>
      </c>
      <c r="B67" s="16">
        <v>269146703.07000005</v>
      </c>
      <c r="C67" s="16">
        <v>258334.35</v>
      </c>
      <c r="D67" s="16">
        <v>1695332.9099999997</v>
      </c>
      <c r="E67" s="16">
        <v>5180593.7616930073</v>
      </c>
      <c r="F67" s="16">
        <v>3867119.63</v>
      </c>
      <c r="G67" s="16">
        <v>2040776.9139024881</v>
      </c>
      <c r="H67" s="16">
        <v>13613709.949999999</v>
      </c>
      <c r="I67" s="16">
        <v>10651667.02</v>
      </c>
      <c r="J67" s="16">
        <v>41711968.180000015</v>
      </c>
      <c r="K67" s="16">
        <v>0</v>
      </c>
      <c r="L67" s="16">
        <v>0</v>
      </c>
      <c r="M67" s="16">
        <v>5388.69</v>
      </c>
      <c r="N67" s="18">
        <f t="shared" si="1"/>
        <v>348171594.47559553</v>
      </c>
      <c r="O67" s="4"/>
    </row>
    <row r="68" spans="1:15" ht="15" x14ac:dyDescent="0.2">
      <c r="A68" s="17" t="s">
        <v>63</v>
      </c>
      <c r="B68" s="16">
        <v>165337149.73999998</v>
      </c>
      <c r="C68" s="16">
        <v>159188.29999999999</v>
      </c>
      <c r="D68" s="16">
        <v>2522670.0300000003</v>
      </c>
      <c r="E68" s="16">
        <v>1770168.7415534158</v>
      </c>
      <c r="F68" s="16">
        <v>3410391.95</v>
      </c>
      <c r="G68" s="16">
        <v>1952621.0037749945</v>
      </c>
      <c r="H68" s="16">
        <v>8362918.7199999997</v>
      </c>
      <c r="I68" s="16">
        <v>9393647.7100000009</v>
      </c>
      <c r="J68" s="16">
        <v>35400136.489999995</v>
      </c>
      <c r="K68" s="16">
        <v>0</v>
      </c>
      <c r="L68" s="16">
        <v>0</v>
      </c>
      <c r="M68" s="16">
        <v>4752.26</v>
      </c>
      <c r="N68" s="18">
        <f t="shared" si="1"/>
        <v>228313644.94532841</v>
      </c>
      <c r="O68" s="4"/>
    </row>
    <row r="69" spans="1:15" ht="15" x14ac:dyDescent="0.2">
      <c r="A69" s="17" t="s">
        <v>64</v>
      </c>
      <c r="B69" s="16">
        <v>511197081.36000001</v>
      </c>
      <c r="C69" s="16">
        <v>499964.99</v>
      </c>
      <c r="D69" s="16">
        <v>1688870.9750712782</v>
      </c>
      <c r="E69" s="16">
        <v>5609975.6255473616</v>
      </c>
      <c r="F69" s="16">
        <v>10065057.02</v>
      </c>
      <c r="G69" s="16">
        <v>1942309.8275317063</v>
      </c>
      <c r="H69" s="16">
        <v>25856860.649999999</v>
      </c>
      <c r="I69" s="16">
        <v>27723382.27</v>
      </c>
      <c r="J69" s="16">
        <v>78412650.419999987</v>
      </c>
      <c r="K69" s="16">
        <v>0</v>
      </c>
      <c r="L69" s="16">
        <v>0</v>
      </c>
      <c r="M69" s="16">
        <v>14025.35</v>
      </c>
      <c r="N69" s="18">
        <f t="shared" si="1"/>
        <v>663010178.48815024</v>
      </c>
      <c r="O69" s="4"/>
    </row>
    <row r="70" spans="1:15" ht="15" x14ac:dyDescent="0.2">
      <c r="A70" s="17" t="s">
        <v>65</v>
      </c>
      <c r="B70" s="16">
        <v>116889253.24000001</v>
      </c>
      <c r="C70" s="16">
        <v>113576.74</v>
      </c>
      <c r="D70" s="16">
        <v>5112003.5738014355</v>
      </c>
      <c r="E70" s="16">
        <v>1416606.6724175909</v>
      </c>
      <c r="F70" s="16">
        <v>2235269.6800000002</v>
      </c>
      <c r="G70" s="16">
        <v>912211.06</v>
      </c>
      <c r="H70" s="16">
        <v>5912375.5700000003</v>
      </c>
      <c r="I70" s="16">
        <v>6156868.8399999999</v>
      </c>
      <c r="J70" s="16">
        <v>32796071.710000005</v>
      </c>
      <c r="K70" s="16">
        <v>0</v>
      </c>
      <c r="L70" s="16">
        <v>0</v>
      </c>
      <c r="M70" s="16">
        <v>3114.76</v>
      </c>
      <c r="N70" s="18">
        <f t="shared" si="1"/>
        <v>171547351.84621906</v>
      </c>
      <c r="O70" s="4"/>
    </row>
    <row r="71" spans="1:15" ht="15" x14ac:dyDescent="0.2">
      <c r="A71" s="17" t="s">
        <v>66</v>
      </c>
      <c r="B71" s="16">
        <v>405250078.70999992</v>
      </c>
      <c r="C71" s="16">
        <v>375124</v>
      </c>
      <c r="D71" s="16">
        <v>2133176.61</v>
      </c>
      <c r="E71" s="16">
        <v>7307718.7595183384</v>
      </c>
      <c r="F71" s="16">
        <v>1407450.76</v>
      </c>
      <c r="G71" s="16">
        <v>703886.04</v>
      </c>
      <c r="H71" s="16">
        <v>20497955.079999998</v>
      </c>
      <c r="I71" s="16">
        <v>3876708.83</v>
      </c>
      <c r="J71" s="16">
        <v>28232788.310000002</v>
      </c>
      <c r="K71" s="16">
        <v>0</v>
      </c>
      <c r="L71" s="16">
        <v>0</v>
      </c>
      <c r="M71" s="16">
        <v>1961.22</v>
      </c>
      <c r="N71" s="18">
        <f t="shared" si="1"/>
        <v>469786848.31951827</v>
      </c>
      <c r="O71" s="4"/>
    </row>
    <row r="72" spans="1:15" ht="15" x14ac:dyDescent="0.2">
      <c r="A72" s="17" t="s">
        <v>67</v>
      </c>
      <c r="B72" s="16">
        <v>2108946188.29</v>
      </c>
      <c r="C72" s="16">
        <v>2008722.78</v>
      </c>
      <c r="D72" s="16">
        <v>9720743.7928949594</v>
      </c>
      <c r="E72" s="16">
        <v>40652517.166456386</v>
      </c>
      <c r="F72" s="16">
        <v>40952853.089999996</v>
      </c>
      <c r="G72" s="16">
        <v>0</v>
      </c>
      <c r="H72" s="16">
        <v>106672611.56</v>
      </c>
      <c r="I72" s="16">
        <v>112801306.65000001</v>
      </c>
      <c r="J72" s="16">
        <v>415724283.2100001</v>
      </c>
      <c r="K72" s="16">
        <v>0</v>
      </c>
      <c r="L72" s="16">
        <v>0</v>
      </c>
      <c r="M72" s="16">
        <v>57066.64</v>
      </c>
      <c r="N72" s="18">
        <f t="shared" ref="N72:N103" si="2">SUM(B72:M72)</f>
        <v>2837536293.1793513</v>
      </c>
      <c r="O72" s="4"/>
    </row>
    <row r="73" spans="1:15" ht="15" x14ac:dyDescent="0.2">
      <c r="A73" s="17" t="s">
        <v>68</v>
      </c>
      <c r="B73" s="16">
        <v>844931429.12999988</v>
      </c>
      <c r="C73" s="16">
        <v>798509.66</v>
      </c>
      <c r="D73" s="16">
        <v>18167780.516894601</v>
      </c>
      <c r="E73" s="16">
        <v>16779368.61960949</v>
      </c>
      <c r="F73" s="16">
        <v>15200468.210000001</v>
      </c>
      <c r="G73" s="16">
        <v>8211192.2719654087</v>
      </c>
      <c r="H73" s="16">
        <v>42737478.390000001</v>
      </c>
      <c r="I73" s="16">
        <v>41868455.369999997</v>
      </c>
      <c r="J73" s="16">
        <v>179613767.24999994</v>
      </c>
      <c r="K73" s="16">
        <v>0</v>
      </c>
      <c r="L73" s="16">
        <v>0</v>
      </c>
      <c r="M73" s="16">
        <v>21181.410000000003</v>
      </c>
      <c r="N73" s="18">
        <f t="shared" si="2"/>
        <v>1168329630.8284693</v>
      </c>
      <c r="O73" s="4"/>
    </row>
    <row r="74" spans="1:15" ht="15" x14ac:dyDescent="0.2">
      <c r="A74" s="17" t="s">
        <v>69</v>
      </c>
      <c r="B74" s="16">
        <v>522683722.58000004</v>
      </c>
      <c r="C74" s="16">
        <v>494866.99000000005</v>
      </c>
      <c r="D74" s="16">
        <v>5170406.2699999996</v>
      </c>
      <c r="E74" s="16">
        <v>9837550.3672361765</v>
      </c>
      <c r="F74" s="16">
        <v>11035999.82</v>
      </c>
      <c r="G74" s="16">
        <v>14422537.095951688</v>
      </c>
      <c r="H74" s="16">
        <v>26437866.469999999</v>
      </c>
      <c r="I74" s="16">
        <v>30397765.350000001</v>
      </c>
      <c r="J74" s="16">
        <v>97592911.490000024</v>
      </c>
      <c r="K74" s="16">
        <v>0</v>
      </c>
      <c r="L74" s="16">
        <v>0</v>
      </c>
      <c r="M74" s="16">
        <v>15378.34</v>
      </c>
      <c r="N74" s="18">
        <f t="shared" si="2"/>
        <v>718089004.77318799</v>
      </c>
      <c r="O74" s="4"/>
    </row>
    <row r="75" spans="1:15" ht="15" x14ac:dyDescent="0.2">
      <c r="A75" s="17" t="s">
        <v>70</v>
      </c>
      <c r="B75" s="16">
        <v>84538126.680000007</v>
      </c>
      <c r="C75" s="16">
        <v>83417.649999999994</v>
      </c>
      <c r="D75" s="16">
        <v>2261600.7402376132</v>
      </c>
      <c r="E75" s="16">
        <v>900479.57567026373</v>
      </c>
      <c r="F75" s="16">
        <v>200611.29</v>
      </c>
      <c r="G75" s="16">
        <v>102584.29</v>
      </c>
      <c r="H75" s="16">
        <v>4276023.17</v>
      </c>
      <c r="I75" s="16">
        <v>552567.51</v>
      </c>
      <c r="J75" s="16">
        <v>11412965.890000001</v>
      </c>
      <c r="K75" s="16">
        <v>0</v>
      </c>
      <c r="L75" s="16">
        <v>0</v>
      </c>
      <c r="M75" s="16">
        <v>279.52</v>
      </c>
      <c r="N75" s="18">
        <f t="shared" si="2"/>
        <v>104328656.3159079</v>
      </c>
      <c r="O75" s="4"/>
    </row>
    <row r="76" spans="1:15" ht="15" x14ac:dyDescent="0.2">
      <c r="A76" s="17" t="s">
        <v>71</v>
      </c>
      <c r="B76" s="16">
        <v>78747530.019999996</v>
      </c>
      <c r="C76" s="16">
        <v>75366.290000000008</v>
      </c>
      <c r="D76" s="16">
        <v>2824816.796028893</v>
      </c>
      <c r="E76" s="16">
        <v>843203.49922205508</v>
      </c>
      <c r="F76" s="16">
        <v>361179.61</v>
      </c>
      <c r="G76" s="16">
        <v>241467.63</v>
      </c>
      <c r="H76" s="16">
        <v>3983128.99</v>
      </c>
      <c r="I76" s="16">
        <v>994839.93</v>
      </c>
      <c r="J76" s="16">
        <v>16253525.199999997</v>
      </c>
      <c r="K76" s="16">
        <v>0</v>
      </c>
      <c r="L76" s="16">
        <v>0</v>
      </c>
      <c r="M76" s="16">
        <v>503.27000000000004</v>
      </c>
      <c r="N76" s="18">
        <f t="shared" si="2"/>
        <v>104325561.23525095</v>
      </c>
      <c r="O76" s="4"/>
    </row>
    <row r="77" spans="1:15" ht="15" x14ac:dyDescent="0.2">
      <c r="A77" s="17" t="s">
        <v>72</v>
      </c>
      <c r="B77" s="16">
        <v>102594702.66</v>
      </c>
      <c r="C77" s="16">
        <v>102307.03</v>
      </c>
      <c r="D77" s="16">
        <v>1819771.1787731459</v>
      </c>
      <c r="E77" s="16">
        <v>1106950.5708167669</v>
      </c>
      <c r="F77" s="16">
        <v>424217.55</v>
      </c>
      <c r="G77" s="16">
        <v>170447.74</v>
      </c>
      <c r="H77" s="16">
        <v>5189342.88</v>
      </c>
      <c r="I77" s="16">
        <v>1168472.8</v>
      </c>
      <c r="J77" s="16">
        <v>10910449.660000004</v>
      </c>
      <c r="K77" s="16">
        <v>0</v>
      </c>
      <c r="L77" s="16">
        <v>0</v>
      </c>
      <c r="M77" s="16">
        <v>591.1099999999999</v>
      </c>
      <c r="N77" s="18">
        <f t="shared" si="2"/>
        <v>123487253.17958991</v>
      </c>
      <c r="O77" s="4"/>
    </row>
    <row r="78" spans="1:15" ht="15" x14ac:dyDescent="0.2">
      <c r="A78" s="17" t="s">
        <v>73</v>
      </c>
      <c r="B78" s="16">
        <v>39832199.149999999</v>
      </c>
      <c r="C78" s="16">
        <v>39305.980000000003</v>
      </c>
      <c r="D78" s="16">
        <v>865490.21157261787</v>
      </c>
      <c r="E78" s="16">
        <v>420779.88064424926</v>
      </c>
      <c r="F78" s="16">
        <v>150656.70000000001</v>
      </c>
      <c r="G78" s="16">
        <v>56815.91</v>
      </c>
      <c r="H78" s="16">
        <v>2014752.55</v>
      </c>
      <c r="I78" s="16">
        <v>414971.65</v>
      </c>
      <c r="J78" s="16">
        <v>4922626.9700000016</v>
      </c>
      <c r="K78" s="16">
        <v>0</v>
      </c>
      <c r="L78" s="16">
        <v>0</v>
      </c>
      <c r="M78" s="16">
        <v>209.91</v>
      </c>
      <c r="N78" s="18">
        <f t="shared" si="2"/>
        <v>48717808.91221685</v>
      </c>
      <c r="O78" s="4"/>
    </row>
    <row r="79" spans="1:15" ht="15" x14ac:dyDescent="0.2">
      <c r="A79" s="17" t="s">
        <v>74</v>
      </c>
      <c r="B79" s="16">
        <v>159529361.77000001</v>
      </c>
      <c r="C79" s="16">
        <v>163592.36000000002</v>
      </c>
      <c r="D79" s="16">
        <v>6084169.1461266708</v>
      </c>
      <c r="E79" s="16">
        <v>1815225.0385830451</v>
      </c>
      <c r="F79" s="16">
        <v>757248.15</v>
      </c>
      <c r="G79" s="16">
        <v>422962.91</v>
      </c>
      <c r="H79" s="16">
        <v>8069154.9900000002</v>
      </c>
      <c r="I79" s="16">
        <v>2085778.55</v>
      </c>
      <c r="J79" s="16">
        <v>25539618.590000004</v>
      </c>
      <c r="K79" s="16">
        <v>0</v>
      </c>
      <c r="L79" s="16">
        <v>0</v>
      </c>
      <c r="M79" s="16">
        <v>1055.1899999999998</v>
      </c>
      <c r="N79" s="18">
        <f t="shared" si="2"/>
        <v>204468166.69470975</v>
      </c>
      <c r="O79" s="4"/>
    </row>
    <row r="80" spans="1:15" ht="15" x14ac:dyDescent="0.2">
      <c r="A80" s="17" t="s">
        <v>75</v>
      </c>
      <c r="B80" s="16">
        <v>99964436.610000014</v>
      </c>
      <c r="C80" s="16">
        <v>99864.58</v>
      </c>
      <c r="D80" s="16">
        <v>3708496.5519749611</v>
      </c>
      <c r="E80" s="16">
        <v>1073208.9384667065</v>
      </c>
      <c r="F80" s="16">
        <v>245015.37</v>
      </c>
      <c r="G80" s="16">
        <v>176760.62</v>
      </c>
      <c r="H80" s="16">
        <v>5056301.38</v>
      </c>
      <c r="I80" s="16">
        <v>674874.95</v>
      </c>
      <c r="J80" s="16">
        <v>16832360.449999999</v>
      </c>
      <c r="K80" s="16">
        <v>0</v>
      </c>
      <c r="L80" s="16">
        <v>0</v>
      </c>
      <c r="M80" s="16">
        <v>341.40000000000003</v>
      </c>
      <c r="N80" s="18">
        <f t="shared" si="2"/>
        <v>127831660.85044171</v>
      </c>
      <c r="O80" s="4"/>
    </row>
    <row r="81" spans="1:15" ht="15" x14ac:dyDescent="0.2">
      <c r="A81" s="17" t="s">
        <v>76</v>
      </c>
      <c r="B81" s="16">
        <v>50479332.800000012</v>
      </c>
      <c r="C81" s="16">
        <v>48329.94</v>
      </c>
      <c r="D81" s="16">
        <v>2307847.1399013614</v>
      </c>
      <c r="E81" s="16">
        <v>571873.34412754618</v>
      </c>
      <c r="F81" s="16">
        <v>636326.31999999995</v>
      </c>
      <c r="G81" s="16">
        <v>364568.78</v>
      </c>
      <c r="H81" s="16">
        <v>2553295.2400000002</v>
      </c>
      <c r="I81" s="16">
        <v>1752709.2</v>
      </c>
      <c r="J81" s="16">
        <v>18716746.710000001</v>
      </c>
      <c r="K81" s="16">
        <v>0</v>
      </c>
      <c r="L81" s="16">
        <v>0</v>
      </c>
      <c r="M81" s="16">
        <v>886.68</v>
      </c>
      <c r="N81" s="18">
        <f t="shared" si="2"/>
        <v>77431916.154028922</v>
      </c>
      <c r="O81" s="4"/>
    </row>
    <row r="82" spans="1:15" ht="15" x14ac:dyDescent="0.2">
      <c r="A82" s="17" t="s">
        <v>77</v>
      </c>
      <c r="B82" s="16">
        <v>773409967.62</v>
      </c>
      <c r="C82" s="16">
        <v>674455.50999999989</v>
      </c>
      <c r="D82" s="16">
        <v>6991649.1399999997</v>
      </c>
      <c r="E82" s="16">
        <v>13528823.462192375</v>
      </c>
      <c r="F82" s="16">
        <v>18339281.629999999</v>
      </c>
      <c r="G82" s="16">
        <v>15156135.089937583</v>
      </c>
      <c r="H82" s="16">
        <v>39119851.189999998</v>
      </c>
      <c r="I82" s="16">
        <v>50514062.07</v>
      </c>
      <c r="J82" s="16">
        <v>160481825.03</v>
      </c>
      <c r="K82" s="16">
        <v>0</v>
      </c>
      <c r="L82" s="16">
        <v>0</v>
      </c>
      <c r="M82" s="16">
        <v>25555.26</v>
      </c>
      <c r="N82" s="18">
        <f t="shared" si="2"/>
        <v>1078241606.00213</v>
      </c>
      <c r="O82" s="4"/>
    </row>
    <row r="83" spans="1:15" ht="15" x14ac:dyDescent="0.2">
      <c r="A83" s="17" t="s">
        <v>78</v>
      </c>
      <c r="B83" s="16">
        <v>233735528.37</v>
      </c>
      <c r="C83" s="16">
        <v>209862.35</v>
      </c>
      <c r="D83" s="16">
        <v>3638350.1846558424</v>
      </c>
      <c r="E83" s="16">
        <v>4186199.4192406307</v>
      </c>
      <c r="F83" s="16">
        <v>2030693.74</v>
      </c>
      <c r="G83" s="16">
        <v>1073189.48</v>
      </c>
      <c r="H83" s="16">
        <v>11822577.25</v>
      </c>
      <c r="I83" s="16">
        <v>5593381.0199999996</v>
      </c>
      <c r="J83" s="16">
        <v>34610036.309999995</v>
      </c>
      <c r="K83" s="16">
        <v>0</v>
      </c>
      <c r="L83" s="16">
        <v>0</v>
      </c>
      <c r="M83" s="16">
        <v>2829.69</v>
      </c>
      <c r="N83" s="18">
        <f t="shared" si="2"/>
        <v>296902647.81389648</v>
      </c>
      <c r="O83" s="4"/>
    </row>
    <row r="84" spans="1:15" ht="15" x14ac:dyDescent="0.2">
      <c r="A84" s="17" t="s">
        <v>79</v>
      </c>
      <c r="B84" s="16">
        <v>83515245.459999993</v>
      </c>
      <c r="C84" s="16">
        <v>78005.45</v>
      </c>
      <c r="D84" s="16">
        <v>1700082.7894859253</v>
      </c>
      <c r="E84" s="16">
        <v>860921.2790820041</v>
      </c>
      <c r="F84" s="16">
        <v>407566.02</v>
      </c>
      <c r="G84" s="16">
        <v>93776.769149317828</v>
      </c>
      <c r="H84" s="16">
        <v>4224284.8099999996</v>
      </c>
      <c r="I84" s="16">
        <v>1122607.51</v>
      </c>
      <c r="J84" s="16">
        <v>14443971.240000002</v>
      </c>
      <c r="K84" s="16">
        <v>0</v>
      </c>
      <c r="L84" s="16">
        <v>0</v>
      </c>
      <c r="M84" s="16">
        <v>567.91000000000008</v>
      </c>
      <c r="N84" s="18">
        <f t="shared" si="2"/>
        <v>106447029.23771724</v>
      </c>
      <c r="O84" s="4"/>
    </row>
    <row r="85" spans="1:15" ht="15" x14ac:dyDescent="0.2">
      <c r="A85" s="17" t="s">
        <v>80</v>
      </c>
      <c r="B85" s="16">
        <v>79449507.349999979</v>
      </c>
      <c r="C85" s="16">
        <v>76612.11</v>
      </c>
      <c r="D85" s="16">
        <v>1795672.5394402177</v>
      </c>
      <c r="E85" s="16">
        <v>847158.07470105658</v>
      </c>
      <c r="F85" s="16">
        <v>192681.99</v>
      </c>
      <c r="G85" s="16">
        <v>102584.29</v>
      </c>
      <c r="H85" s="16">
        <v>4018635.7</v>
      </c>
      <c r="I85" s="16">
        <v>530726.9</v>
      </c>
      <c r="J85" s="16">
        <v>8042390.3900000006</v>
      </c>
      <c r="K85" s="16">
        <v>0</v>
      </c>
      <c r="L85" s="16">
        <v>0</v>
      </c>
      <c r="M85" s="16">
        <v>268.49</v>
      </c>
      <c r="N85" s="18">
        <f t="shared" si="2"/>
        <v>95056237.834141254</v>
      </c>
      <c r="O85" s="4"/>
    </row>
    <row r="86" spans="1:15" ht="15" x14ac:dyDescent="0.2">
      <c r="A86" s="17" t="s">
        <v>81</v>
      </c>
      <c r="B86" s="16">
        <v>945073509.04999983</v>
      </c>
      <c r="C86" s="16">
        <v>915569.77</v>
      </c>
      <c r="D86" s="16">
        <v>5228078.1499999994</v>
      </c>
      <c r="E86" s="16">
        <v>18038576.906126242</v>
      </c>
      <c r="F86" s="16">
        <v>11506603.77</v>
      </c>
      <c r="G86" s="16">
        <v>3357428.1538181431</v>
      </c>
      <c r="H86" s="16">
        <v>47802765.140000001</v>
      </c>
      <c r="I86" s="16">
        <v>31694005.739999998</v>
      </c>
      <c r="J86" s="16">
        <v>71238958.839999989</v>
      </c>
      <c r="K86" s="16">
        <v>0</v>
      </c>
      <c r="L86" s="16">
        <v>0</v>
      </c>
      <c r="M86" s="16">
        <v>16034.109999999999</v>
      </c>
      <c r="N86" s="18">
        <f t="shared" si="2"/>
        <v>1134871529.6299441</v>
      </c>
      <c r="O86" s="4"/>
    </row>
    <row r="87" spans="1:15" ht="15" x14ac:dyDescent="0.2">
      <c r="A87" s="17" t="s">
        <v>82</v>
      </c>
      <c r="B87" s="16">
        <v>132332754.44999997</v>
      </c>
      <c r="C87" s="16">
        <v>117975.33</v>
      </c>
      <c r="D87" s="16">
        <v>2575710.3804675057</v>
      </c>
      <c r="E87" s="16">
        <v>1273574.3485199364</v>
      </c>
      <c r="F87" s="16">
        <v>326687.15999999997</v>
      </c>
      <c r="G87" s="16">
        <v>214637.9</v>
      </c>
      <c r="H87" s="16">
        <v>6693523.3300000001</v>
      </c>
      <c r="I87" s="16">
        <v>899833.26</v>
      </c>
      <c r="J87" s="16">
        <v>15599956.780000001</v>
      </c>
      <c r="K87" s="16">
        <v>0</v>
      </c>
      <c r="L87" s="16">
        <v>0</v>
      </c>
      <c r="M87" s="16">
        <v>455.2</v>
      </c>
      <c r="N87" s="18">
        <f t="shared" si="2"/>
        <v>160035108.13898742</v>
      </c>
      <c r="O87" s="4"/>
    </row>
    <row r="88" spans="1:15" ht="15" x14ac:dyDescent="0.2">
      <c r="A88" s="17" t="s">
        <v>83</v>
      </c>
      <c r="B88" s="16">
        <v>113402288.30999999</v>
      </c>
      <c r="C88" s="16">
        <v>114475.58</v>
      </c>
      <c r="D88" s="16">
        <v>1004225.5422301779</v>
      </c>
      <c r="E88" s="16">
        <v>1292204.7858563147</v>
      </c>
      <c r="F88" s="16">
        <v>1603304.47</v>
      </c>
      <c r="G88" s="16">
        <v>547642.28</v>
      </c>
      <c r="H88" s="16">
        <v>5736001.3899999997</v>
      </c>
      <c r="I88" s="16">
        <v>4416171.97</v>
      </c>
      <c r="J88" s="16">
        <v>23313481.599999994</v>
      </c>
      <c r="K88" s="16">
        <v>0</v>
      </c>
      <c r="L88" s="16">
        <v>0</v>
      </c>
      <c r="M88" s="16">
        <v>2234.13</v>
      </c>
      <c r="N88" s="18">
        <f t="shared" si="2"/>
        <v>151432030.05808645</v>
      </c>
      <c r="O88" s="4"/>
    </row>
    <row r="89" spans="1:15" ht="15" x14ac:dyDescent="0.2">
      <c r="A89" s="17" t="s">
        <v>84</v>
      </c>
      <c r="B89" s="16">
        <v>185574153.25</v>
      </c>
      <c r="C89" s="16">
        <v>175493.16999999998</v>
      </c>
      <c r="D89" s="16">
        <v>2454593.8863918297</v>
      </c>
      <c r="E89" s="16">
        <v>2095614.5043352656</v>
      </c>
      <c r="F89" s="16">
        <v>1348377.47</v>
      </c>
      <c r="G89" s="16">
        <v>639179.03</v>
      </c>
      <c r="H89" s="16">
        <v>9386526.6400000006</v>
      </c>
      <c r="I89" s="16">
        <v>3713996.26</v>
      </c>
      <c r="J89" s="16">
        <v>24667946.199999999</v>
      </c>
      <c r="K89" s="16">
        <v>0</v>
      </c>
      <c r="L89" s="16">
        <v>0</v>
      </c>
      <c r="M89" s="16">
        <v>1878.9099999999999</v>
      </c>
      <c r="N89" s="18">
        <f t="shared" si="2"/>
        <v>230057759.32072702</v>
      </c>
      <c r="O89" s="4"/>
    </row>
    <row r="90" spans="1:15" ht="15" x14ac:dyDescent="0.2">
      <c r="A90" s="17" t="s">
        <v>85</v>
      </c>
      <c r="B90" s="16">
        <v>974493522.13000011</v>
      </c>
      <c r="C90" s="16">
        <v>944373.78</v>
      </c>
      <c r="D90" s="16">
        <v>2869940.6674525938</v>
      </c>
      <c r="E90" s="16">
        <v>18905656.885106727</v>
      </c>
      <c r="F90" s="16">
        <v>18290516.440000001</v>
      </c>
      <c r="G90" s="16">
        <v>5407652.5187312551</v>
      </c>
      <c r="H90" s="16">
        <v>49290858.880000003</v>
      </c>
      <c r="I90" s="16">
        <v>50379742.299999997</v>
      </c>
      <c r="J90" s="16">
        <v>146833553.96000004</v>
      </c>
      <c r="K90" s="16">
        <v>0</v>
      </c>
      <c r="L90" s="16">
        <v>0</v>
      </c>
      <c r="M90" s="16">
        <v>25487.3</v>
      </c>
      <c r="N90" s="18">
        <f t="shared" si="2"/>
        <v>1267441304.8612907</v>
      </c>
      <c r="O90" s="4"/>
    </row>
    <row r="91" spans="1:15" ht="15" x14ac:dyDescent="0.2">
      <c r="A91" s="17" t="s">
        <v>86</v>
      </c>
      <c r="B91" s="16">
        <v>36273603.889999993</v>
      </c>
      <c r="C91" s="16">
        <v>34380.090000000004</v>
      </c>
      <c r="D91" s="16">
        <v>2025293.6853423677</v>
      </c>
      <c r="E91" s="16">
        <v>378683.62773691205</v>
      </c>
      <c r="F91" s="16">
        <v>424614.01</v>
      </c>
      <c r="G91" s="16">
        <v>213059.68</v>
      </c>
      <c r="H91" s="16">
        <v>1834755.24</v>
      </c>
      <c r="I91" s="16">
        <v>1169564.83</v>
      </c>
      <c r="J91" s="16">
        <v>10678618.240000002</v>
      </c>
      <c r="K91" s="16">
        <v>0</v>
      </c>
      <c r="L91" s="16">
        <v>0</v>
      </c>
      <c r="M91" s="16">
        <v>591.66999999999996</v>
      </c>
      <c r="N91" s="18">
        <f t="shared" si="2"/>
        <v>53033164.963079274</v>
      </c>
      <c r="O91" s="4"/>
    </row>
    <row r="92" spans="1:15" ht="15" x14ac:dyDescent="0.2">
      <c r="A92" s="17" t="s">
        <v>87</v>
      </c>
      <c r="B92" s="16">
        <v>52473521.459999993</v>
      </c>
      <c r="C92" s="16">
        <v>51663.040000000008</v>
      </c>
      <c r="D92" s="16">
        <v>243402.49000000002</v>
      </c>
      <c r="E92" s="16">
        <v>554312.87284680374</v>
      </c>
      <c r="F92" s="16">
        <v>90790.48</v>
      </c>
      <c r="G92" s="16">
        <v>66285.23</v>
      </c>
      <c r="H92" s="16">
        <v>2654163.2999999998</v>
      </c>
      <c r="I92" s="16">
        <v>250075.02</v>
      </c>
      <c r="J92" s="16">
        <v>4337646.5599999996</v>
      </c>
      <c r="K92" s="16">
        <v>0</v>
      </c>
      <c r="L92" s="16">
        <v>0</v>
      </c>
      <c r="M92" s="16">
        <v>126.49000000000001</v>
      </c>
      <c r="N92" s="18">
        <f t="shared" si="2"/>
        <v>60721986.942846797</v>
      </c>
      <c r="O92" s="4"/>
    </row>
    <row r="93" spans="1:15" ht="15" x14ac:dyDescent="0.2">
      <c r="A93" s="17" t="s">
        <v>88</v>
      </c>
      <c r="B93" s="16">
        <v>520741107.79999995</v>
      </c>
      <c r="C93" s="16">
        <v>495823.19999999995</v>
      </c>
      <c r="D93" s="16">
        <v>3305778.0165692223</v>
      </c>
      <c r="E93" s="16">
        <v>10122054.539640751</v>
      </c>
      <c r="F93" s="16">
        <v>14823826.449999999</v>
      </c>
      <c r="G93" s="16">
        <v>2917236.2193323746</v>
      </c>
      <c r="H93" s="16">
        <v>26339607.07</v>
      </c>
      <c r="I93" s="16">
        <v>40831026.240000002</v>
      </c>
      <c r="J93" s="16">
        <v>147113902.43999997</v>
      </c>
      <c r="K93" s="16">
        <v>0</v>
      </c>
      <c r="L93" s="16">
        <v>0</v>
      </c>
      <c r="M93" s="16">
        <v>20656.560000000001</v>
      </c>
      <c r="N93" s="18">
        <f t="shared" si="2"/>
        <v>766711018.53554213</v>
      </c>
      <c r="O93" s="4"/>
    </row>
    <row r="94" spans="1:15" ht="15" x14ac:dyDescent="0.2">
      <c r="A94" s="17" t="s">
        <v>89</v>
      </c>
      <c r="B94" s="16">
        <v>356329421.96999997</v>
      </c>
      <c r="C94" s="16">
        <v>344896.61</v>
      </c>
      <c r="D94" s="16">
        <v>5457585.7400000002</v>
      </c>
      <c r="E94" s="16">
        <v>6955777.8300779965</v>
      </c>
      <c r="F94" s="16">
        <v>6703033.7999999998</v>
      </c>
      <c r="G94" s="16">
        <v>3717435.1258999924</v>
      </c>
      <c r="H94" s="16">
        <v>18023499.239999998</v>
      </c>
      <c r="I94" s="16">
        <v>18462962.309999999</v>
      </c>
      <c r="J94" s="16">
        <v>73980298.799999997</v>
      </c>
      <c r="K94" s="16">
        <v>0</v>
      </c>
      <c r="L94" s="16">
        <v>0</v>
      </c>
      <c r="M94" s="16">
        <v>9340.4699999999993</v>
      </c>
      <c r="N94" s="18">
        <f t="shared" si="2"/>
        <v>489984251.89597803</v>
      </c>
      <c r="O94" s="4"/>
    </row>
    <row r="95" spans="1:15" ht="15" x14ac:dyDescent="0.2">
      <c r="A95" s="17" t="s">
        <v>90</v>
      </c>
      <c r="B95" s="16">
        <v>65693616.930000007</v>
      </c>
      <c r="C95" s="16">
        <v>60219.820000000007</v>
      </c>
      <c r="D95" s="16">
        <v>1939195.1775725454</v>
      </c>
      <c r="E95" s="16">
        <v>651901.54154350434</v>
      </c>
      <c r="F95" s="16">
        <v>328669.48</v>
      </c>
      <c r="G95" s="16">
        <v>172025.96</v>
      </c>
      <c r="H95" s="16">
        <v>3322848.98</v>
      </c>
      <c r="I95" s="16">
        <v>905293.41</v>
      </c>
      <c r="J95" s="16">
        <v>11020121.09</v>
      </c>
      <c r="K95" s="16">
        <v>0</v>
      </c>
      <c r="L95" s="16">
        <v>0</v>
      </c>
      <c r="M95" s="16">
        <v>457.96</v>
      </c>
      <c r="N95" s="18">
        <f t="shared" si="2"/>
        <v>84094350.349116042</v>
      </c>
      <c r="O95" s="4"/>
    </row>
    <row r="96" spans="1:15" ht="15" x14ac:dyDescent="0.2">
      <c r="A96" s="17" t="s">
        <v>91</v>
      </c>
      <c r="B96" s="16">
        <v>213148968.80000001</v>
      </c>
      <c r="C96" s="16">
        <v>216468.43000000002</v>
      </c>
      <c r="D96" s="16">
        <v>5457441.060543539</v>
      </c>
      <c r="E96" s="16">
        <v>4199602.0401339382</v>
      </c>
      <c r="F96" s="16">
        <v>1841976.4</v>
      </c>
      <c r="G96" s="16">
        <v>939040.8</v>
      </c>
      <c r="H96" s="16">
        <v>10781288.439999999</v>
      </c>
      <c r="I96" s="16">
        <v>5073574.43</v>
      </c>
      <c r="J96" s="16">
        <v>39436521.229999997</v>
      </c>
      <c r="K96" s="16">
        <v>0</v>
      </c>
      <c r="L96" s="16">
        <v>0</v>
      </c>
      <c r="M96" s="16">
        <v>2566.7199999999998</v>
      </c>
      <c r="N96" s="18">
        <f t="shared" si="2"/>
        <v>281097448.35067755</v>
      </c>
      <c r="O96" s="4"/>
    </row>
    <row r="97" spans="1:15" ht="15" x14ac:dyDescent="0.2">
      <c r="A97" s="17" t="s">
        <v>92</v>
      </c>
      <c r="B97" s="16">
        <v>102907010.95999999</v>
      </c>
      <c r="C97" s="16">
        <v>101380.86</v>
      </c>
      <c r="D97" s="16">
        <v>7831257.8208241416</v>
      </c>
      <c r="E97" s="16">
        <v>1133184.577268827</v>
      </c>
      <c r="F97" s="16">
        <v>850417.43</v>
      </c>
      <c r="G97" s="16">
        <v>481357.05</v>
      </c>
      <c r="H97" s="16">
        <v>5205139.74</v>
      </c>
      <c r="I97" s="16">
        <v>2342405.7599999998</v>
      </c>
      <c r="J97" s="16">
        <v>25509685.640000001</v>
      </c>
      <c r="K97" s="16">
        <v>0</v>
      </c>
      <c r="L97" s="16">
        <v>0</v>
      </c>
      <c r="M97" s="16">
        <v>1185</v>
      </c>
      <c r="N97" s="18">
        <f t="shared" si="2"/>
        <v>146363024.83809298</v>
      </c>
      <c r="O97" s="4"/>
    </row>
    <row r="98" spans="1:15" ht="15" x14ac:dyDescent="0.2">
      <c r="A98" s="17" t="s">
        <v>93</v>
      </c>
      <c r="B98" s="16">
        <v>284524304.37</v>
      </c>
      <c r="C98" s="16">
        <v>282196.08</v>
      </c>
      <c r="D98" s="16">
        <v>6986981.3180703763</v>
      </c>
      <c r="E98" s="16">
        <v>5505138.7794840923</v>
      </c>
      <c r="F98" s="16">
        <v>1977567.43</v>
      </c>
      <c r="G98" s="16">
        <v>1128427.18</v>
      </c>
      <c r="H98" s="16">
        <v>14391524.439999999</v>
      </c>
      <c r="I98" s="16">
        <v>5447048.9100000001</v>
      </c>
      <c r="J98" s="16">
        <v>50042884.229999989</v>
      </c>
      <c r="K98" s="16">
        <v>0</v>
      </c>
      <c r="L98" s="16">
        <v>0</v>
      </c>
      <c r="M98" s="16">
        <v>2755.6499999999996</v>
      </c>
      <c r="N98" s="18">
        <f t="shared" si="2"/>
        <v>370288828.38755441</v>
      </c>
      <c r="O98" s="4"/>
    </row>
    <row r="99" spans="1:15" ht="15" x14ac:dyDescent="0.2">
      <c r="A99" s="17" t="s">
        <v>94</v>
      </c>
      <c r="B99" s="16">
        <v>199092230.97000003</v>
      </c>
      <c r="C99" s="16">
        <v>193112.15</v>
      </c>
      <c r="D99" s="16">
        <v>4638910.8626764296</v>
      </c>
      <c r="E99" s="16">
        <v>2087056.1053175346</v>
      </c>
      <c r="F99" s="16">
        <v>733063.79</v>
      </c>
      <c r="G99" s="16">
        <v>304596.43</v>
      </c>
      <c r="H99" s="16">
        <v>10070284.550000001</v>
      </c>
      <c r="I99" s="16">
        <v>2019164.68</v>
      </c>
      <c r="J99" s="16">
        <v>33290014.419999998</v>
      </c>
      <c r="K99" s="16">
        <v>0</v>
      </c>
      <c r="L99" s="16">
        <v>0</v>
      </c>
      <c r="M99" s="16">
        <v>1021.4800000000001</v>
      </c>
      <c r="N99" s="18">
        <f t="shared" si="2"/>
        <v>252429455.437994</v>
      </c>
      <c r="O99" s="4"/>
    </row>
    <row r="100" spans="1:15" ht="15" x14ac:dyDescent="0.2">
      <c r="A100" s="17" t="s">
        <v>95</v>
      </c>
      <c r="B100" s="16">
        <v>211401188.52000001</v>
      </c>
      <c r="C100" s="16">
        <v>183517.18999999997</v>
      </c>
      <c r="D100" s="16">
        <v>4167931.3310128348</v>
      </c>
      <c r="E100" s="16">
        <v>2085328.4691517374</v>
      </c>
      <c r="F100" s="16">
        <v>823061.34</v>
      </c>
      <c r="G100" s="16">
        <v>402446.06</v>
      </c>
      <c r="H100" s="16">
        <v>10692883.960000001</v>
      </c>
      <c r="I100" s="16">
        <v>2267055.64</v>
      </c>
      <c r="J100" s="16">
        <v>26028456.790000003</v>
      </c>
      <c r="K100" s="16">
        <v>0</v>
      </c>
      <c r="L100" s="16">
        <v>0</v>
      </c>
      <c r="M100" s="16">
        <v>1146.8799999999999</v>
      </c>
      <c r="N100" s="18">
        <f t="shared" si="2"/>
        <v>258053016.18016458</v>
      </c>
      <c r="O100" s="4"/>
    </row>
    <row r="101" spans="1:15" ht="15" x14ac:dyDescent="0.2">
      <c r="A101" s="17" t="s">
        <v>96</v>
      </c>
      <c r="B101" s="16">
        <v>38837969.999999993</v>
      </c>
      <c r="C101" s="16">
        <v>37090.29</v>
      </c>
      <c r="D101" s="16">
        <v>1120491.4946101338</v>
      </c>
      <c r="E101" s="16">
        <v>401920.47409122263</v>
      </c>
      <c r="F101" s="16">
        <v>98323.32</v>
      </c>
      <c r="G101" s="16">
        <v>59972.35</v>
      </c>
      <c r="H101" s="16">
        <v>1964463.45</v>
      </c>
      <c r="I101" s="16">
        <v>270823.59999999998</v>
      </c>
      <c r="J101" s="16">
        <v>5634227.5999999996</v>
      </c>
      <c r="K101" s="16">
        <v>0</v>
      </c>
      <c r="L101" s="16">
        <v>0</v>
      </c>
      <c r="M101" s="16">
        <v>136.99</v>
      </c>
      <c r="N101" s="18">
        <f t="shared" si="2"/>
        <v>48425419.568701357</v>
      </c>
      <c r="O101" s="4"/>
    </row>
    <row r="102" spans="1:15" ht="15" x14ac:dyDescent="0.2">
      <c r="A102" s="17" t="s">
        <v>97</v>
      </c>
      <c r="B102" s="16">
        <v>126536427.37</v>
      </c>
      <c r="C102" s="16">
        <v>122548.79</v>
      </c>
      <c r="D102" s="16">
        <v>6215305.5637154598</v>
      </c>
      <c r="E102" s="16">
        <v>2483174.6147740725</v>
      </c>
      <c r="F102" s="16">
        <v>1903824.94</v>
      </c>
      <c r="G102" s="16">
        <v>1055829.07</v>
      </c>
      <c r="H102" s="16">
        <v>6400339.2999999998</v>
      </c>
      <c r="I102" s="16">
        <v>5243931.21</v>
      </c>
      <c r="J102" s="16">
        <v>37531221.530000001</v>
      </c>
      <c r="K102" s="16">
        <v>0</v>
      </c>
      <c r="L102" s="16">
        <v>0</v>
      </c>
      <c r="M102" s="16">
        <v>2652.9</v>
      </c>
      <c r="N102" s="18">
        <f t="shared" si="2"/>
        <v>187495255.28848955</v>
      </c>
      <c r="O102" s="4"/>
    </row>
    <row r="103" spans="1:15" ht="15" x14ac:dyDescent="0.2">
      <c r="A103" s="17" t="s">
        <v>98</v>
      </c>
      <c r="B103" s="16">
        <v>43912263.280000001</v>
      </c>
      <c r="C103" s="16">
        <v>42472.42</v>
      </c>
      <c r="D103" s="16">
        <v>2054087.968882225</v>
      </c>
      <c r="E103" s="16">
        <v>462833.68183309917</v>
      </c>
      <c r="F103" s="16">
        <v>47179.33</v>
      </c>
      <c r="G103" s="16">
        <v>36299.06</v>
      </c>
      <c r="H103" s="16">
        <v>2221126.29</v>
      </c>
      <c r="I103" s="16">
        <v>129951.65</v>
      </c>
      <c r="J103" s="16">
        <v>7958538.5399999991</v>
      </c>
      <c r="K103" s="16">
        <v>0</v>
      </c>
      <c r="L103" s="16">
        <v>0</v>
      </c>
      <c r="M103" s="16">
        <v>65.72</v>
      </c>
      <c r="N103" s="18">
        <f t="shared" si="2"/>
        <v>56864817.94071532</v>
      </c>
      <c r="O103" s="4"/>
    </row>
    <row r="104" spans="1:15" ht="15" x14ac:dyDescent="0.2">
      <c r="A104" s="17" t="s">
        <v>99</v>
      </c>
      <c r="B104" s="16">
        <v>609296264.01999998</v>
      </c>
      <c r="C104" s="16">
        <v>566831.89999999991</v>
      </c>
      <c r="D104" s="16">
        <v>4433759.867574336</v>
      </c>
      <c r="E104" s="16">
        <v>11370766.430739038</v>
      </c>
      <c r="F104" s="16">
        <v>9668592.0199999996</v>
      </c>
      <c r="G104" s="16">
        <v>2074964.6702891607</v>
      </c>
      <c r="H104" s="16">
        <v>30818815.609999999</v>
      </c>
      <c r="I104" s="16">
        <v>26631351.620000001</v>
      </c>
      <c r="J104" s="16">
        <v>92250579.25</v>
      </c>
      <c r="K104" s="16">
        <v>0</v>
      </c>
      <c r="L104" s="16">
        <v>0</v>
      </c>
      <c r="M104" s="16">
        <v>13472.89</v>
      </c>
      <c r="N104" s="18">
        <f t="shared" ref="N104:N135" si="3">SUM(B104:M104)</f>
        <v>787125398.27860248</v>
      </c>
      <c r="O104" s="4"/>
    </row>
    <row r="105" spans="1:15" ht="15" x14ac:dyDescent="0.2">
      <c r="A105" s="17" t="s">
        <v>100</v>
      </c>
      <c r="B105" s="16">
        <v>104935582.18000001</v>
      </c>
      <c r="C105" s="16">
        <v>95687.27</v>
      </c>
      <c r="D105" s="16">
        <v>1586808.9399999997</v>
      </c>
      <c r="E105" s="16">
        <v>1880655.4624602799</v>
      </c>
      <c r="F105" s="16">
        <v>416684.71</v>
      </c>
      <c r="G105" s="16">
        <v>260406.27</v>
      </c>
      <c r="H105" s="16">
        <v>5307746.91</v>
      </c>
      <c r="I105" s="16">
        <v>1147724.22</v>
      </c>
      <c r="J105" s="16">
        <v>11706695.030000001</v>
      </c>
      <c r="K105" s="16">
        <v>0</v>
      </c>
      <c r="L105" s="16">
        <v>0</v>
      </c>
      <c r="M105" s="16">
        <v>580.61</v>
      </c>
      <c r="N105" s="18">
        <f t="shared" si="3"/>
        <v>127338571.60246027</v>
      </c>
      <c r="O105" s="4"/>
    </row>
    <row r="106" spans="1:15" ht="15" x14ac:dyDescent="0.2">
      <c r="A106" s="17" t="s">
        <v>101</v>
      </c>
      <c r="B106" s="16">
        <v>113304871.04000001</v>
      </c>
      <c r="C106" s="16">
        <v>109317.47</v>
      </c>
      <c r="D106" s="16">
        <v>960700.55999999994</v>
      </c>
      <c r="E106" s="16">
        <v>1325418.8763212934</v>
      </c>
      <c r="F106" s="16">
        <v>2952474.87</v>
      </c>
      <c r="G106" s="16">
        <v>849701.31091780635</v>
      </c>
      <c r="H106" s="16">
        <v>5731073.9199999999</v>
      </c>
      <c r="I106" s="16">
        <v>8132352.2999999998</v>
      </c>
      <c r="J106" s="16">
        <v>30637085.57</v>
      </c>
      <c r="K106" s="16">
        <v>0</v>
      </c>
      <c r="L106" s="16">
        <v>0</v>
      </c>
      <c r="M106" s="16">
        <v>4114.16</v>
      </c>
      <c r="N106" s="18">
        <f t="shared" si="3"/>
        <v>164007110.07723913</v>
      </c>
      <c r="O106" s="4"/>
    </row>
    <row r="107" spans="1:15" ht="15" x14ac:dyDescent="0.2">
      <c r="A107" s="17" t="s">
        <v>102</v>
      </c>
      <c r="B107" s="16">
        <v>158417658.94</v>
      </c>
      <c r="C107" s="16">
        <v>149361.10999999999</v>
      </c>
      <c r="D107" s="16">
        <v>3430804.3080400508</v>
      </c>
      <c r="E107" s="16">
        <v>1612409.9120839452</v>
      </c>
      <c r="F107" s="16">
        <v>164136.51</v>
      </c>
      <c r="G107" s="16">
        <v>159400.20000000001</v>
      </c>
      <c r="H107" s="16">
        <v>8012923.9400000004</v>
      </c>
      <c r="I107" s="16">
        <v>452100.69</v>
      </c>
      <c r="J107" s="16">
        <v>14605133.239999998</v>
      </c>
      <c r="K107" s="16">
        <v>0</v>
      </c>
      <c r="L107" s="16">
        <v>0</v>
      </c>
      <c r="M107" s="16">
        <v>228.69999999999996</v>
      </c>
      <c r="N107" s="18">
        <f t="shared" si="3"/>
        <v>187004157.55012399</v>
      </c>
      <c r="O107" s="4"/>
    </row>
    <row r="108" spans="1:15" ht="15" x14ac:dyDescent="0.2">
      <c r="A108" s="17" t="s">
        <v>103</v>
      </c>
      <c r="B108" s="16">
        <v>57046402.350000001</v>
      </c>
      <c r="C108" s="16">
        <v>51903.45</v>
      </c>
      <c r="D108" s="16">
        <v>1129883.0099873377</v>
      </c>
      <c r="E108" s="16">
        <v>559109.55729172484</v>
      </c>
      <c r="F108" s="16">
        <v>166515.29999999999</v>
      </c>
      <c r="G108" s="16">
        <v>99427.85</v>
      </c>
      <c r="H108" s="16">
        <v>2885464.2</v>
      </c>
      <c r="I108" s="16">
        <v>458652.88</v>
      </c>
      <c r="J108" s="16">
        <v>7882021.330000001</v>
      </c>
      <c r="K108" s="16">
        <v>0</v>
      </c>
      <c r="L108" s="16">
        <v>0</v>
      </c>
      <c r="M108" s="16">
        <v>232.00000000000003</v>
      </c>
      <c r="N108" s="18">
        <f t="shared" si="3"/>
        <v>70279611.92727907</v>
      </c>
      <c r="O108" s="4"/>
    </row>
    <row r="109" spans="1:15" ht="15" x14ac:dyDescent="0.2">
      <c r="A109" s="17" t="s">
        <v>104</v>
      </c>
      <c r="B109" s="16">
        <v>606241946.34000003</v>
      </c>
      <c r="C109" s="16">
        <v>570779.71000000008</v>
      </c>
      <c r="D109" s="16">
        <v>6456909.9663049234</v>
      </c>
      <c r="E109" s="16">
        <v>11569236.145396881</v>
      </c>
      <c r="F109" s="16">
        <v>17001212.25</v>
      </c>
      <c r="G109" s="16">
        <v>9561989.0587597452</v>
      </c>
      <c r="H109" s="16">
        <v>30664325.16</v>
      </c>
      <c r="I109" s="16">
        <v>46828458.609999999</v>
      </c>
      <c r="J109" s="16">
        <v>144775318.87000003</v>
      </c>
      <c r="K109" s="16">
        <v>0</v>
      </c>
      <c r="L109" s="16">
        <v>0</v>
      </c>
      <c r="M109" s="16">
        <v>23690.7</v>
      </c>
      <c r="N109" s="18">
        <f t="shared" si="3"/>
        <v>873693866.81046152</v>
      </c>
      <c r="O109" s="4"/>
    </row>
    <row r="110" spans="1:15" ht="15" x14ac:dyDescent="0.2">
      <c r="A110" s="17" t="s">
        <v>105</v>
      </c>
      <c r="B110" s="16">
        <v>67819605.420000002</v>
      </c>
      <c r="C110" s="16">
        <v>66596.41</v>
      </c>
      <c r="D110" s="16">
        <v>1828048.1806865255</v>
      </c>
      <c r="E110" s="16">
        <v>1351114.4914513729</v>
      </c>
      <c r="F110" s="16">
        <v>649806.13</v>
      </c>
      <c r="G110" s="16">
        <v>333004.38</v>
      </c>
      <c r="H110" s="16">
        <v>3430383.61</v>
      </c>
      <c r="I110" s="16">
        <v>1789838.25</v>
      </c>
      <c r="J110" s="16">
        <v>16735177.599999998</v>
      </c>
      <c r="K110" s="16">
        <v>0</v>
      </c>
      <c r="L110" s="16">
        <v>0</v>
      </c>
      <c r="M110" s="16">
        <v>905.47</v>
      </c>
      <c r="N110" s="18">
        <f t="shared" si="3"/>
        <v>94004479.942137867</v>
      </c>
      <c r="O110" s="4"/>
    </row>
    <row r="111" spans="1:15" ht="15" x14ac:dyDescent="0.2">
      <c r="A111" s="17" t="s">
        <v>106</v>
      </c>
      <c r="B111" s="16">
        <v>82108425.570000008</v>
      </c>
      <c r="C111" s="16">
        <v>81346.75</v>
      </c>
      <c r="D111" s="16">
        <v>2844145.5418781131</v>
      </c>
      <c r="E111" s="16">
        <v>872469.29147572012</v>
      </c>
      <c r="F111" s="16">
        <v>226381.51</v>
      </c>
      <c r="G111" s="16">
        <v>153087.32</v>
      </c>
      <c r="H111" s="16">
        <v>4153126.45</v>
      </c>
      <c r="I111" s="16">
        <v>623549.5</v>
      </c>
      <c r="J111" s="16">
        <v>12974681.239999996</v>
      </c>
      <c r="K111" s="16">
        <v>0</v>
      </c>
      <c r="L111" s="16">
        <v>0</v>
      </c>
      <c r="M111" s="16">
        <v>315.42000000000007</v>
      </c>
      <c r="N111" s="18">
        <f t="shared" si="3"/>
        <v>104037528.59335384</v>
      </c>
      <c r="O111" s="4"/>
    </row>
    <row r="112" spans="1:15" ht="15" x14ac:dyDescent="0.2">
      <c r="A112" s="17" t="s">
        <v>107</v>
      </c>
      <c r="B112" s="16">
        <v>114565565.02999999</v>
      </c>
      <c r="C112" s="16">
        <v>108915.86</v>
      </c>
      <c r="D112" s="16">
        <v>2904659.6814626772</v>
      </c>
      <c r="E112" s="16">
        <v>1187363.2911409582</v>
      </c>
      <c r="F112" s="16">
        <v>275146.71000000002</v>
      </c>
      <c r="G112" s="16">
        <v>173604.18</v>
      </c>
      <c r="H112" s="16">
        <v>5794841.0899999999</v>
      </c>
      <c r="I112" s="16">
        <v>757869.28</v>
      </c>
      <c r="J112" s="16">
        <v>13566351.91</v>
      </c>
      <c r="K112" s="16">
        <v>0</v>
      </c>
      <c r="L112" s="16">
        <v>0</v>
      </c>
      <c r="M112" s="16">
        <v>383.38000000000005</v>
      </c>
      <c r="N112" s="18">
        <f t="shared" si="3"/>
        <v>139334700.41260362</v>
      </c>
      <c r="O112" s="4"/>
    </row>
    <row r="113" spans="1:15" ht="15" x14ac:dyDescent="0.2">
      <c r="A113" s="17" t="s">
        <v>108</v>
      </c>
      <c r="B113" s="16">
        <v>88122508.860000014</v>
      </c>
      <c r="C113" s="16">
        <v>87114.11</v>
      </c>
      <c r="D113" s="16">
        <v>3070605.2946223654</v>
      </c>
      <c r="E113" s="16">
        <v>1015383.8783812597</v>
      </c>
      <c r="F113" s="16">
        <v>387742.77</v>
      </c>
      <c r="G113" s="16">
        <v>236732.97</v>
      </c>
      <c r="H113" s="16">
        <v>4457324.8099999996</v>
      </c>
      <c r="I113" s="16">
        <v>1068005.98</v>
      </c>
      <c r="J113" s="16">
        <v>13531760.580000002</v>
      </c>
      <c r="K113" s="16">
        <v>0</v>
      </c>
      <c r="L113" s="16">
        <v>0</v>
      </c>
      <c r="M113" s="16">
        <v>540.28</v>
      </c>
      <c r="N113" s="18">
        <f t="shared" si="3"/>
        <v>111977719.53300364</v>
      </c>
      <c r="O113" s="4"/>
    </row>
    <row r="114" spans="1:15" ht="15" x14ac:dyDescent="0.2">
      <c r="A114" s="17" t="s">
        <v>109</v>
      </c>
      <c r="B114" s="16">
        <v>59968920.209999993</v>
      </c>
      <c r="C114" s="16">
        <v>58449.45</v>
      </c>
      <c r="D114" s="16">
        <v>1758284.6114961535</v>
      </c>
      <c r="E114" s="16">
        <v>636137.79362330365</v>
      </c>
      <c r="F114" s="16">
        <v>234707.28</v>
      </c>
      <c r="G114" s="16">
        <v>126257.59</v>
      </c>
      <c r="H114" s="16">
        <v>3033288.08</v>
      </c>
      <c r="I114" s="16">
        <v>646482.15</v>
      </c>
      <c r="J114" s="16">
        <v>10016872.729999999</v>
      </c>
      <c r="K114" s="16">
        <v>0</v>
      </c>
      <c r="L114" s="16">
        <v>0</v>
      </c>
      <c r="M114" s="16">
        <v>327.02999999999997</v>
      </c>
      <c r="N114" s="18">
        <f t="shared" si="3"/>
        <v>76479726.92511946</v>
      </c>
      <c r="O114" s="4"/>
    </row>
    <row r="115" spans="1:15" ht="15" x14ac:dyDescent="0.2">
      <c r="A115" s="17" t="s">
        <v>110</v>
      </c>
      <c r="B115" s="16">
        <v>157781581.5</v>
      </c>
      <c r="C115" s="16">
        <v>156603.78</v>
      </c>
      <c r="D115" s="16">
        <v>1958596.3181956995</v>
      </c>
      <c r="E115" s="16">
        <v>1677491.0541749198</v>
      </c>
      <c r="F115" s="16">
        <v>243033.04</v>
      </c>
      <c r="G115" s="16">
        <v>209903.24</v>
      </c>
      <c r="H115" s="16">
        <v>7980750.5099999998</v>
      </c>
      <c r="I115" s="16">
        <v>669414.79</v>
      </c>
      <c r="J115" s="16">
        <v>13281890.070000004</v>
      </c>
      <c r="K115" s="16">
        <v>0</v>
      </c>
      <c r="L115" s="16">
        <v>0</v>
      </c>
      <c r="M115" s="16">
        <v>338.64</v>
      </c>
      <c r="N115" s="18">
        <f t="shared" si="3"/>
        <v>183959602.94237059</v>
      </c>
      <c r="O115" s="4"/>
    </row>
    <row r="116" spans="1:15" ht="15" x14ac:dyDescent="0.2">
      <c r="A116" s="17" t="s">
        <v>111</v>
      </c>
      <c r="B116" s="16">
        <v>86265850.469999999</v>
      </c>
      <c r="C116" s="16">
        <v>82521.53</v>
      </c>
      <c r="D116" s="16">
        <v>2927376.2918007188</v>
      </c>
      <c r="E116" s="16">
        <v>937610.46100430202</v>
      </c>
      <c r="F116" s="16">
        <v>670818.78</v>
      </c>
      <c r="G116" s="16">
        <v>323535.07</v>
      </c>
      <c r="H116" s="16">
        <v>4363413.17</v>
      </c>
      <c r="I116" s="16">
        <v>1847715.87</v>
      </c>
      <c r="J116" s="16">
        <v>18405275.849999998</v>
      </c>
      <c r="K116" s="16">
        <v>0</v>
      </c>
      <c r="L116" s="16">
        <v>0</v>
      </c>
      <c r="M116" s="16">
        <v>934.74</v>
      </c>
      <c r="N116" s="18">
        <f t="shared" si="3"/>
        <v>115825052.23280501</v>
      </c>
      <c r="O116" s="4"/>
    </row>
    <row r="117" spans="1:15" ht="15" x14ac:dyDescent="0.2">
      <c r="A117" s="17" t="s">
        <v>112</v>
      </c>
      <c r="B117" s="16">
        <v>46009599.620000005</v>
      </c>
      <c r="C117" s="16">
        <v>47955.64</v>
      </c>
      <c r="D117" s="16">
        <v>509482.76201022801</v>
      </c>
      <c r="E117" s="16">
        <v>544522.0275137045</v>
      </c>
      <c r="F117" s="16">
        <v>141141.54</v>
      </c>
      <c r="G117" s="16">
        <v>86802.09</v>
      </c>
      <c r="H117" s="16">
        <v>2327211.66</v>
      </c>
      <c r="I117" s="16">
        <v>388762.91</v>
      </c>
      <c r="J117" s="16">
        <v>5258430.7199999988</v>
      </c>
      <c r="K117" s="16">
        <v>0</v>
      </c>
      <c r="L117" s="16">
        <v>0</v>
      </c>
      <c r="M117" s="16">
        <v>196.64999999999998</v>
      </c>
      <c r="N117" s="18">
        <f t="shared" si="3"/>
        <v>55314105.619523935</v>
      </c>
      <c r="O117" s="4"/>
    </row>
    <row r="118" spans="1:15" ht="15" x14ac:dyDescent="0.2">
      <c r="A118" s="17" t="s">
        <v>113</v>
      </c>
      <c r="B118" s="16">
        <v>72455520.980000004</v>
      </c>
      <c r="C118" s="16">
        <v>72762.649999999994</v>
      </c>
      <c r="D118" s="16">
        <v>2439379.3640326876</v>
      </c>
      <c r="E118" s="16">
        <v>852704.88718264294</v>
      </c>
      <c r="F118" s="16">
        <v>665664.73</v>
      </c>
      <c r="G118" s="16">
        <v>329847.94</v>
      </c>
      <c r="H118" s="16">
        <v>3664872.86</v>
      </c>
      <c r="I118" s="16">
        <v>1833519.47</v>
      </c>
      <c r="J118" s="16">
        <v>14486095.419999998</v>
      </c>
      <c r="K118" s="16">
        <v>0</v>
      </c>
      <c r="L118" s="16">
        <v>0</v>
      </c>
      <c r="M118" s="16">
        <v>927.56</v>
      </c>
      <c r="N118" s="18">
        <f t="shared" si="3"/>
        <v>96801295.861215338</v>
      </c>
      <c r="O118" s="4"/>
    </row>
    <row r="119" spans="1:15" ht="15" x14ac:dyDescent="0.2">
      <c r="A119" s="17" t="s">
        <v>114</v>
      </c>
      <c r="B119" s="16">
        <v>106585945.20999999</v>
      </c>
      <c r="C119" s="16">
        <v>105733.01999999999</v>
      </c>
      <c r="D119" s="16">
        <v>1709263.4632669778</v>
      </c>
      <c r="E119" s="16">
        <v>1155690.3790349762</v>
      </c>
      <c r="F119" s="16">
        <v>534831.28</v>
      </c>
      <c r="G119" s="16">
        <v>231998.31</v>
      </c>
      <c r="H119" s="16">
        <v>5391223.9199999999</v>
      </c>
      <c r="I119" s="16">
        <v>1473149.36</v>
      </c>
      <c r="J119" s="16">
        <v>13380708.369999997</v>
      </c>
      <c r="K119" s="16">
        <v>0</v>
      </c>
      <c r="L119" s="16">
        <v>0</v>
      </c>
      <c r="M119" s="16">
        <v>745.24</v>
      </c>
      <c r="N119" s="18">
        <f t="shared" si="3"/>
        <v>130569288.55230196</v>
      </c>
      <c r="O119" s="4"/>
    </row>
    <row r="120" spans="1:15" ht="15" x14ac:dyDescent="0.2">
      <c r="A120" s="17" t="s">
        <v>115</v>
      </c>
      <c r="B120" s="16">
        <v>68650517.370000005</v>
      </c>
      <c r="C120" s="16">
        <v>69902.2</v>
      </c>
      <c r="D120" s="16">
        <v>2221161.0515282694</v>
      </c>
      <c r="E120" s="16">
        <v>798384.12355950428</v>
      </c>
      <c r="F120" s="16">
        <v>360386.68</v>
      </c>
      <c r="G120" s="16">
        <v>233576.53</v>
      </c>
      <c r="H120" s="16">
        <v>3472411.97</v>
      </c>
      <c r="I120" s="16">
        <v>992655.87</v>
      </c>
      <c r="J120" s="16">
        <v>14163721.789999997</v>
      </c>
      <c r="K120" s="16">
        <v>0</v>
      </c>
      <c r="L120" s="16">
        <v>0</v>
      </c>
      <c r="M120" s="16">
        <v>502.15999999999997</v>
      </c>
      <c r="N120" s="18">
        <f t="shared" si="3"/>
        <v>90963219.745087788</v>
      </c>
      <c r="O120" s="4"/>
    </row>
    <row r="121" spans="1:15" ht="15" x14ac:dyDescent="0.2">
      <c r="A121" s="17" t="s">
        <v>116</v>
      </c>
      <c r="B121" s="16">
        <v>80463792.939999998</v>
      </c>
      <c r="C121" s="16">
        <v>76000.13</v>
      </c>
      <c r="D121" s="16">
        <v>2009939.7911888673</v>
      </c>
      <c r="E121" s="16">
        <v>813295.45646025415</v>
      </c>
      <c r="F121" s="16">
        <v>151449.63</v>
      </c>
      <c r="G121" s="16">
        <v>85223.87</v>
      </c>
      <c r="H121" s="16">
        <v>4069939.28</v>
      </c>
      <c r="I121" s="16">
        <v>417155.71</v>
      </c>
      <c r="J121" s="16">
        <v>7759464.790000001</v>
      </c>
      <c r="K121" s="16">
        <v>0</v>
      </c>
      <c r="L121" s="16">
        <v>0</v>
      </c>
      <c r="M121" s="16">
        <v>211.02</v>
      </c>
      <c r="N121" s="18">
        <f t="shared" si="3"/>
        <v>95846472.617649108</v>
      </c>
      <c r="O121" s="4"/>
    </row>
    <row r="122" spans="1:15" ht="15" x14ac:dyDescent="0.2">
      <c r="A122" s="17" t="s">
        <v>117</v>
      </c>
      <c r="B122" s="16">
        <v>241849813.25</v>
      </c>
      <c r="C122" s="16">
        <v>212873.07</v>
      </c>
      <c r="D122" s="16">
        <v>2509806.2100000004</v>
      </c>
      <c r="E122" s="16">
        <v>4365667.8629251691</v>
      </c>
      <c r="F122" s="16">
        <v>4559347.53</v>
      </c>
      <c r="G122" s="16">
        <v>2235340.6751052607</v>
      </c>
      <c r="H122" s="16">
        <v>12233005.91</v>
      </c>
      <c r="I122" s="16">
        <v>12558352.550000001</v>
      </c>
      <c r="J122" s="16">
        <v>37699916.31000001</v>
      </c>
      <c r="K122" s="16">
        <v>0</v>
      </c>
      <c r="L122" s="16">
        <v>0</v>
      </c>
      <c r="M122" s="16">
        <v>6353.3</v>
      </c>
      <c r="N122" s="18">
        <f t="shared" si="3"/>
        <v>318230476.66803044</v>
      </c>
      <c r="O122" s="4"/>
    </row>
    <row r="123" spans="1:15" ht="15" x14ac:dyDescent="0.2">
      <c r="A123" s="17" t="s">
        <v>118</v>
      </c>
      <c r="B123" s="16">
        <v>606923867.17000008</v>
      </c>
      <c r="C123" s="16">
        <v>569798.9</v>
      </c>
      <c r="D123" s="16">
        <v>7251042.1049999995</v>
      </c>
      <c r="E123" s="16">
        <v>6447409.0573131656</v>
      </c>
      <c r="F123" s="16">
        <v>6337889.5300000003</v>
      </c>
      <c r="G123" s="16">
        <v>5645350.7813925259</v>
      </c>
      <c r="H123" s="16">
        <v>30698817.399999999</v>
      </c>
      <c r="I123" s="16">
        <v>17457202.07</v>
      </c>
      <c r="J123" s="16">
        <v>49874090.32</v>
      </c>
      <c r="K123" s="16">
        <v>0</v>
      </c>
      <c r="L123" s="16">
        <v>0</v>
      </c>
      <c r="M123" s="16">
        <v>8831.65</v>
      </c>
      <c r="N123" s="18">
        <f t="shared" si="3"/>
        <v>731214298.98370588</v>
      </c>
      <c r="O123" s="4"/>
    </row>
    <row r="124" spans="1:15" ht="15" x14ac:dyDescent="0.2">
      <c r="A124" s="17" t="s">
        <v>119</v>
      </c>
      <c r="B124" s="16">
        <v>463307901.51999998</v>
      </c>
      <c r="C124" s="16">
        <v>433775.63</v>
      </c>
      <c r="D124" s="16">
        <v>2947319.6499999994</v>
      </c>
      <c r="E124" s="16">
        <v>8635596.6741804034</v>
      </c>
      <c r="F124" s="16">
        <v>8116035.0700000003</v>
      </c>
      <c r="G124" s="16">
        <v>0</v>
      </c>
      <c r="H124" s="16">
        <v>23434577.940000001</v>
      </c>
      <c r="I124" s="16">
        <v>22354959.57</v>
      </c>
      <c r="J124" s="16">
        <v>69792366.319999993</v>
      </c>
      <c r="K124" s="16">
        <v>0</v>
      </c>
      <c r="L124" s="16">
        <v>0</v>
      </c>
      <c r="M124" s="16">
        <v>11309.449999999999</v>
      </c>
      <c r="N124" s="18">
        <f t="shared" si="3"/>
        <v>599033841.82418036</v>
      </c>
      <c r="O124" s="4"/>
    </row>
    <row r="125" spans="1:15" ht="15" x14ac:dyDescent="0.2">
      <c r="A125" s="17" t="s">
        <v>120</v>
      </c>
      <c r="B125" s="16">
        <v>161821532.64999998</v>
      </c>
      <c r="C125" s="16">
        <v>154658.56</v>
      </c>
      <c r="D125" s="16">
        <v>6160941.40180251</v>
      </c>
      <c r="E125" s="16">
        <v>1726016.9850444687</v>
      </c>
      <c r="F125" s="16">
        <v>3155861.42</v>
      </c>
      <c r="G125" s="16">
        <v>1472479.1</v>
      </c>
      <c r="H125" s="16">
        <v>8185095.29</v>
      </c>
      <c r="I125" s="16">
        <v>8692564.0299999993</v>
      </c>
      <c r="J125" s="16">
        <v>43588326.040000014</v>
      </c>
      <c r="K125" s="16">
        <v>0</v>
      </c>
      <c r="L125" s="16">
        <v>0</v>
      </c>
      <c r="M125" s="16">
        <v>4397.58</v>
      </c>
      <c r="N125" s="18">
        <f t="shared" si="3"/>
        <v>234961873.05684698</v>
      </c>
      <c r="O125" s="4"/>
    </row>
    <row r="126" spans="1:15" ht="15" x14ac:dyDescent="0.2">
      <c r="A126" s="17" t="s">
        <v>121</v>
      </c>
      <c r="B126" s="16">
        <v>195307283.81</v>
      </c>
      <c r="C126" s="16">
        <v>194830.61000000002</v>
      </c>
      <c r="D126" s="16">
        <v>2939940.8281183057</v>
      </c>
      <c r="E126" s="16">
        <v>2150763.3500290085</v>
      </c>
      <c r="F126" s="16">
        <v>1579913.03</v>
      </c>
      <c r="G126" s="16">
        <v>596567.1</v>
      </c>
      <c r="H126" s="16">
        <v>9878838.1400000006</v>
      </c>
      <c r="I126" s="16">
        <v>4351742.17</v>
      </c>
      <c r="J126" s="16">
        <v>28338594.250000004</v>
      </c>
      <c r="K126" s="16">
        <v>0</v>
      </c>
      <c r="L126" s="16">
        <v>0</v>
      </c>
      <c r="M126" s="16">
        <v>2201.54</v>
      </c>
      <c r="N126" s="18">
        <f t="shared" si="3"/>
        <v>245340674.82814729</v>
      </c>
      <c r="O126" s="4"/>
    </row>
    <row r="127" spans="1:15" ht="15" x14ac:dyDescent="0.2">
      <c r="A127" s="17" t="s">
        <v>122</v>
      </c>
      <c r="B127" s="16">
        <v>95500433.810000002</v>
      </c>
      <c r="C127" s="16">
        <v>91988.08</v>
      </c>
      <c r="D127" s="16">
        <v>1602475.5830927358</v>
      </c>
      <c r="E127" s="16">
        <v>1084110.8415192722</v>
      </c>
      <c r="F127" s="16">
        <v>1677046.96</v>
      </c>
      <c r="G127" s="16">
        <v>601301.76000000001</v>
      </c>
      <c r="H127" s="16">
        <v>4830507.6500000004</v>
      </c>
      <c r="I127" s="16">
        <v>4619289.68</v>
      </c>
      <c r="J127" s="16">
        <v>31527689.009999998</v>
      </c>
      <c r="K127" s="16">
        <v>0</v>
      </c>
      <c r="L127" s="16">
        <v>0</v>
      </c>
      <c r="M127" s="16">
        <v>2336.9</v>
      </c>
      <c r="N127" s="18">
        <f t="shared" si="3"/>
        <v>141537180.27461201</v>
      </c>
      <c r="O127" s="4"/>
    </row>
    <row r="128" spans="1:15" ht="15" x14ac:dyDescent="0.2">
      <c r="A128" s="17" t="s">
        <v>123</v>
      </c>
      <c r="B128" s="16">
        <v>53350276.819999993</v>
      </c>
      <c r="C128" s="16">
        <v>56080.760000000009</v>
      </c>
      <c r="D128" s="16">
        <v>1132640.9057578039</v>
      </c>
      <c r="E128" s="16">
        <v>611517.26122717652</v>
      </c>
      <c r="F128" s="16">
        <v>153431.95000000001</v>
      </c>
      <c r="G128" s="16">
        <v>102584.29</v>
      </c>
      <c r="H128" s="16">
        <v>2698510.47</v>
      </c>
      <c r="I128" s="16">
        <v>422615.86</v>
      </c>
      <c r="J128" s="16">
        <v>6864054.2500000009</v>
      </c>
      <c r="K128" s="16">
        <v>0</v>
      </c>
      <c r="L128" s="16">
        <v>0</v>
      </c>
      <c r="M128" s="16">
        <v>213.77999999999997</v>
      </c>
      <c r="N128" s="18">
        <f t="shared" si="3"/>
        <v>65391926.346984975</v>
      </c>
      <c r="O128" s="4"/>
    </row>
    <row r="129" spans="1:15" ht="15" x14ac:dyDescent="0.2">
      <c r="A129" s="17" t="s">
        <v>124</v>
      </c>
      <c r="B129" s="16">
        <v>299592462.59000003</v>
      </c>
      <c r="C129" s="16">
        <v>290026.13</v>
      </c>
      <c r="D129" s="16">
        <v>10826669.786519501</v>
      </c>
      <c r="E129" s="16">
        <v>3169922.030678974</v>
      </c>
      <c r="F129" s="16">
        <v>1951400.74</v>
      </c>
      <c r="G129" s="16">
        <v>1251528.32</v>
      </c>
      <c r="H129" s="16">
        <v>15153686.98</v>
      </c>
      <c r="I129" s="16">
        <v>5374974.8899999997</v>
      </c>
      <c r="J129" s="16">
        <v>44307509.060000002</v>
      </c>
      <c r="K129" s="16">
        <v>0</v>
      </c>
      <c r="L129" s="16">
        <v>0</v>
      </c>
      <c r="M129" s="16">
        <v>2719.1900000000005</v>
      </c>
      <c r="N129" s="18">
        <f t="shared" si="3"/>
        <v>381920899.71719855</v>
      </c>
      <c r="O129" s="4"/>
    </row>
    <row r="130" spans="1:15" ht="15" x14ac:dyDescent="0.2">
      <c r="A130" s="17" t="s">
        <v>125</v>
      </c>
      <c r="B130" s="16">
        <v>89898941.310000002</v>
      </c>
      <c r="C130" s="16">
        <v>90824.23</v>
      </c>
      <c r="D130" s="16">
        <v>2898631.2076359172</v>
      </c>
      <c r="E130" s="16">
        <v>977897.25825262209</v>
      </c>
      <c r="F130" s="16">
        <v>241447.18</v>
      </c>
      <c r="G130" s="16">
        <v>93114.97</v>
      </c>
      <c r="H130" s="16">
        <v>4547178.54</v>
      </c>
      <c r="I130" s="16">
        <v>665046.67000000004</v>
      </c>
      <c r="J130" s="16">
        <v>11652082.370000001</v>
      </c>
      <c r="K130" s="16">
        <v>0</v>
      </c>
      <c r="L130" s="16">
        <v>0</v>
      </c>
      <c r="M130" s="16">
        <v>336.43</v>
      </c>
      <c r="N130" s="18">
        <f t="shared" si="3"/>
        <v>111065500.16588858</v>
      </c>
      <c r="O130" s="4"/>
    </row>
    <row r="131" spans="1:15" ht="15" x14ac:dyDescent="0.2">
      <c r="A131" s="17" t="s">
        <v>126</v>
      </c>
      <c r="B131" s="16">
        <v>474734373.30999994</v>
      </c>
      <c r="C131" s="16">
        <v>427164.07</v>
      </c>
      <c r="D131" s="16">
        <v>8927786.1450000014</v>
      </c>
      <c r="E131" s="16">
        <v>4970403.1939131794</v>
      </c>
      <c r="F131" s="16">
        <v>10661340.390000001</v>
      </c>
      <c r="G131" s="16">
        <v>1113082.6988911715</v>
      </c>
      <c r="H131" s="16">
        <v>24012540.329999998</v>
      </c>
      <c r="I131" s="16">
        <v>29365796.379999999</v>
      </c>
      <c r="J131" s="16">
        <v>94364071.329999983</v>
      </c>
      <c r="K131" s="16">
        <v>0</v>
      </c>
      <c r="L131" s="16">
        <v>0</v>
      </c>
      <c r="M131" s="16">
        <v>14856.259999999998</v>
      </c>
      <c r="N131" s="18">
        <f t="shared" si="3"/>
        <v>648591414.1078043</v>
      </c>
      <c r="O131" s="4"/>
    </row>
    <row r="132" spans="1:15" ht="15" x14ac:dyDescent="0.2">
      <c r="A132" s="17" t="s">
        <v>127</v>
      </c>
      <c r="B132" s="16">
        <v>20142451.390000001</v>
      </c>
      <c r="C132" s="16">
        <v>18976.8</v>
      </c>
      <c r="D132" s="16">
        <v>168156.82264561395</v>
      </c>
      <c r="E132" s="16">
        <v>203809.54064424933</v>
      </c>
      <c r="F132" s="16">
        <v>45593.47</v>
      </c>
      <c r="G132" s="16">
        <v>17360.419999999998</v>
      </c>
      <c r="H132" s="16">
        <v>1018825.38</v>
      </c>
      <c r="I132" s="16">
        <v>125583.53</v>
      </c>
      <c r="J132" s="16">
        <v>3351446.06</v>
      </c>
      <c r="K132" s="16">
        <v>0</v>
      </c>
      <c r="L132" s="16">
        <v>0</v>
      </c>
      <c r="M132" s="16">
        <v>63.500000000000007</v>
      </c>
      <c r="N132" s="18">
        <f t="shared" si="3"/>
        <v>25092266.913289867</v>
      </c>
      <c r="O132" s="4"/>
    </row>
    <row r="133" spans="1:15" ht="15" x14ac:dyDescent="0.2">
      <c r="A133" s="17" t="s">
        <v>128</v>
      </c>
      <c r="B133" s="16">
        <v>114854951.58</v>
      </c>
      <c r="C133" s="16">
        <v>106120.96999999999</v>
      </c>
      <c r="D133" s="16">
        <v>2238577.1918007191</v>
      </c>
      <c r="E133" s="16">
        <v>1136264.6510585046</v>
      </c>
      <c r="F133" s="16">
        <v>164929.44</v>
      </c>
      <c r="G133" s="16">
        <v>127835.81</v>
      </c>
      <c r="H133" s="16">
        <v>5809478.5499999998</v>
      </c>
      <c r="I133" s="16">
        <v>454284.75</v>
      </c>
      <c r="J133" s="16">
        <v>12203363.42</v>
      </c>
      <c r="K133" s="16">
        <v>0</v>
      </c>
      <c r="L133" s="16">
        <v>0</v>
      </c>
      <c r="M133" s="16">
        <v>229.81</v>
      </c>
      <c r="N133" s="18">
        <f t="shared" si="3"/>
        <v>137096036.17285922</v>
      </c>
      <c r="O133" s="4"/>
    </row>
    <row r="134" spans="1:15" ht="15" x14ac:dyDescent="0.2">
      <c r="A134" s="17" t="s">
        <v>129</v>
      </c>
      <c r="B134" s="16">
        <v>220784762.96999997</v>
      </c>
      <c r="C134" s="16">
        <v>208023.67999999999</v>
      </c>
      <c r="D134" s="16">
        <v>5118104.2916703951</v>
      </c>
      <c r="E134" s="16">
        <v>2285827.1169166239</v>
      </c>
      <c r="F134" s="16">
        <v>769538.57</v>
      </c>
      <c r="G134" s="16">
        <v>434010.45</v>
      </c>
      <c r="H134" s="16">
        <v>11167514.560000001</v>
      </c>
      <c r="I134" s="16">
        <v>2119631.5</v>
      </c>
      <c r="J134" s="16">
        <v>27158920.060000002</v>
      </c>
      <c r="K134" s="16">
        <v>0</v>
      </c>
      <c r="L134" s="16">
        <v>0</v>
      </c>
      <c r="M134" s="16">
        <v>1072.31</v>
      </c>
      <c r="N134" s="18">
        <f t="shared" si="3"/>
        <v>270047405.50858694</v>
      </c>
      <c r="O134" s="4"/>
    </row>
    <row r="135" spans="1:15" ht="15" x14ac:dyDescent="0.2">
      <c r="A135" s="17" t="s">
        <v>130</v>
      </c>
      <c r="B135" s="16">
        <v>183817777.34</v>
      </c>
      <c r="C135" s="16">
        <v>174299.27</v>
      </c>
      <c r="D135" s="16">
        <v>6953839.9852419384</v>
      </c>
      <c r="E135" s="16">
        <v>3374988.3017527773</v>
      </c>
      <c r="F135" s="16">
        <v>1158470.73</v>
      </c>
      <c r="G135" s="16">
        <v>577628.46</v>
      </c>
      <c r="H135" s="16">
        <v>9297687.3800000008</v>
      </c>
      <c r="I135" s="16">
        <v>3190913.58</v>
      </c>
      <c r="J135" s="16">
        <v>29151243.25</v>
      </c>
      <c r="K135" s="16">
        <v>0</v>
      </c>
      <c r="L135" s="16">
        <v>0</v>
      </c>
      <c r="M135" s="16">
        <v>1614.27</v>
      </c>
      <c r="N135" s="18">
        <f t="shared" si="3"/>
        <v>237698462.56699476</v>
      </c>
      <c r="O135" s="4"/>
    </row>
    <row r="136" spans="1:15" ht="15" x14ac:dyDescent="0.2">
      <c r="A136" s="17" t="s">
        <v>131</v>
      </c>
      <c r="B136" s="16">
        <v>312526036.71999997</v>
      </c>
      <c r="C136" s="16">
        <v>296634.95999999996</v>
      </c>
      <c r="D136" s="16">
        <v>4031866.5700000008</v>
      </c>
      <c r="E136" s="16">
        <v>6468321.8660910456</v>
      </c>
      <c r="F136" s="16">
        <v>6892544.0700000003</v>
      </c>
      <c r="G136" s="16">
        <v>4089708.8052975759</v>
      </c>
      <c r="H136" s="16">
        <v>15807880.119999999</v>
      </c>
      <c r="I136" s="16">
        <v>18984952.960000001</v>
      </c>
      <c r="J136" s="16">
        <v>68177772.75999999</v>
      </c>
      <c r="K136" s="16">
        <v>0</v>
      </c>
      <c r="L136" s="16">
        <v>0</v>
      </c>
      <c r="M136" s="16">
        <v>9604.5399999999991</v>
      </c>
      <c r="N136" s="18">
        <f t="shared" ref="N136:N142" si="4">SUM(B136:M136)</f>
        <v>437285323.37138855</v>
      </c>
      <c r="O136" s="4"/>
    </row>
    <row r="137" spans="1:15" ht="15" x14ac:dyDescent="0.2">
      <c r="A137" s="17" t="s">
        <v>132</v>
      </c>
      <c r="B137" s="16">
        <v>51450640.229999989</v>
      </c>
      <c r="C137" s="16">
        <v>50236.91</v>
      </c>
      <c r="D137" s="16">
        <v>769811.01972575975</v>
      </c>
      <c r="E137" s="16">
        <v>552444.59590128798</v>
      </c>
      <c r="F137" s="16">
        <v>82464.72</v>
      </c>
      <c r="G137" s="16">
        <v>88380.31</v>
      </c>
      <c r="H137" s="16">
        <v>2602424.9500000002</v>
      </c>
      <c r="I137" s="16">
        <v>227142.38</v>
      </c>
      <c r="J137" s="16">
        <v>6354798.1800000016</v>
      </c>
      <c r="K137" s="16">
        <v>0</v>
      </c>
      <c r="L137" s="16">
        <v>0</v>
      </c>
      <c r="M137" s="16">
        <v>114.89000000000001</v>
      </c>
      <c r="N137" s="18">
        <f t="shared" si="4"/>
        <v>62178458.185627043</v>
      </c>
      <c r="O137" s="4"/>
    </row>
    <row r="138" spans="1:15" ht="15" x14ac:dyDescent="0.2">
      <c r="A138" s="17" t="s">
        <v>133</v>
      </c>
      <c r="B138" s="16">
        <v>111273434.61999997</v>
      </c>
      <c r="C138" s="16">
        <v>107568.95999999999</v>
      </c>
      <c r="D138" s="16">
        <v>4741403.1465973267</v>
      </c>
      <c r="E138" s="16">
        <v>1246497.9970748101</v>
      </c>
      <c r="F138" s="16">
        <v>717998.12</v>
      </c>
      <c r="G138" s="16">
        <v>361412.34</v>
      </c>
      <c r="H138" s="16">
        <v>5628321.8300000001</v>
      </c>
      <c r="I138" s="16">
        <v>1977667.52</v>
      </c>
      <c r="J138" s="16">
        <v>23462105.500000004</v>
      </c>
      <c r="K138" s="16">
        <v>0</v>
      </c>
      <c r="L138" s="16">
        <v>0</v>
      </c>
      <c r="M138" s="16">
        <v>1000.48</v>
      </c>
      <c r="N138" s="18">
        <f t="shared" si="4"/>
        <v>149517410.51367211</v>
      </c>
      <c r="O138" s="4"/>
    </row>
    <row r="139" spans="1:15" ht="15" x14ac:dyDescent="0.2">
      <c r="A139" s="17" t="s">
        <v>134</v>
      </c>
      <c r="B139" s="16">
        <v>490430013.31</v>
      </c>
      <c r="C139" s="16">
        <v>503606.81000000006</v>
      </c>
      <c r="D139" s="16">
        <v>4653963.5699999994</v>
      </c>
      <c r="E139" s="16">
        <v>6149967.6702851588</v>
      </c>
      <c r="F139" s="16">
        <v>3692675.03</v>
      </c>
      <c r="G139" s="16">
        <v>3787024.9679496069</v>
      </c>
      <c r="H139" s="16">
        <v>24806441.59</v>
      </c>
      <c r="I139" s="16">
        <v>10171173.6</v>
      </c>
      <c r="J139" s="16">
        <v>42611095.539999984</v>
      </c>
      <c r="K139" s="16">
        <v>0</v>
      </c>
      <c r="L139" s="16">
        <v>0</v>
      </c>
      <c r="M139" s="16">
        <v>5145.6200000000008</v>
      </c>
      <c r="N139" s="18">
        <f t="shared" si="4"/>
        <v>586811107.70823467</v>
      </c>
      <c r="O139" s="4"/>
    </row>
    <row r="140" spans="1:15" ht="15" x14ac:dyDescent="0.2">
      <c r="A140" s="17" t="s">
        <v>135</v>
      </c>
      <c r="B140" s="16">
        <v>138160598.89999998</v>
      </c>
      <c r="C140" s="16">
        <v>131042.72</v>
      </c>
      <c r="D140" s="16">
        <v>1655464.48</v>
      </c>
      <c r="E140" s="16">
        <v>1494274.693369766</v>
      </c>
      <c r="F140" s="16">
        <v>608970.23999999999</v>
      </c>
      <c r="G140" s="16">
        <v>320378.63</v>
      </c>
      <c r="H140" s="16">
        <v>6988301.5499999998</v>
      </c>
      <c r="I140" s="16">
        <v>1677359.09</v>
      </c>
      <c r="J140" s="16">
        <v>11178408.779999997</v>
      </c>
      <c r="K140" s="16">
        <v>0</v>
      </c>
      <c r="L140" s="16">
        <v>0</v>
      </c>
      <c r="M140" s="16">
        <v>848.55999999999983</v>
      </c>
      <c r="N140" s="18">
        <f t="shared" si="4"/>
        <v>162215647.64336976</v>
      </c>
      <c r="O140" s="4"/>
    </row>
    <row r="141" spans="1:15" ht="15" x14ac:dyDescent="0.2">
      <c r="A141" s="17" t="s">
        <v>136</v>
      </c>
      <c r="B141" s="16">
        <v>167563420.69</v>
      </c>
      <c r="C141" s="16">
        <v>162103.39000000001</v>
      </c>
      <c r="D141" s="16">
        <v>3010937.9856573744</v>
      </c>
      <c r="E141" s="16">
        <v>1768307.088426437</v>
      </c>
      <c r="F141" s="16">
        <v>878169.98</v>
      </c>
      <c r="G141" s="16">
        <v>312487.53000000003</v>
      </c>
      <c r="H141" s="16">
        <v>8475525.7400000002</v>
      </c>
      <c r="I141" s="16">
        <v>2418847.9</v>
      </c>
      <c r="J141" s="16">
        <v>29221714.48</v>
      </c>
      <c r="K141" s="16">
        <v>0</v>
      </c>
      <c r="L141" s="16">
        <v>0</v>
      </c>
      <c r="M141" s="16">
        <v>1223.6799999999998</v>
      </c>
      <c r="N141" s="18">
        <f t="shared" si="4"/>
        <v>213812738.46408379</v>
      </c>
      <c r="O141" s="4"/>
    </row>
    <row r="142" spans="1:15" ht="15" x14ac:dyDescent="0.2">
      <c r="A142" s="17" t="s">
        <v>137</v>
      </c>
      <c r="B142" s="16">
        <v>158529402.26000002</v>
      </c>
      <c r="C142" s="16">
        <v>153590.32</v>
      </c>
      <c r="D142" s="16">
        <v>2574142.9592342903</v>
      </c>
      <c r="E142" s="16">
        <v>3049455.1825928087</v>
      </c>
      <c r="F142" s="16">
        <v>3775536.22</v>
      </c>
      <c r="G142" s="16">
        <v>1153678.7</v>
      </c>
      <c r="H142" s="16">
        <v>8018576.0300000003</v>
      </c>
      <c r="I142" s="16">
        <v>10399407.939999999</v>
      </c>
      <c r="J142" s="16">
        <v>39673110.189999998</v>
      </c>
      <c r="K142" s="16">
        <v>0</v>
      </c>
      <c r="L142" s="16">
        <v>0</v>
      </c>
      <c r="M142" s="16">
        <v>5261.08</v>
      </c>
      <c r="N142" s="18">
        <f t="shared" si="4"/>
        <v>227332160.88182712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28652135819.159996</v>
      </c>
      <c r="C143" s="25">
        <f t="shared" si="5"/>
        <v>27320490.07999998</v>
      </c>
      <c r="D143" s="25">
        <f t="shared" si="5"/>
        <v>472303042.96687645</v>
      </c>
      <c r="E143" s="25">
        <f t="shared" si="5"/>
        <v>437381288.08887786</v>
      </c>
      <c r="F143" s="25">
        <f t="shared" si="5"/>
        <v>396465002.89999992</v>
      </c>
      <c r="G143" s="25">
        <f t="shared" si="5"/>
        <v>157821982.95999992</v>
      </c>
      <c r="H143" s="25">
        <f t="shared" si="5"/>
        <v>1449253742.4200003</v>
      </c>
      <c r="I143" s="25">
        <f t="shared" si="5"/>
        <v>1092030656.4099998</v>
      </c>
      <c r="J143" s="25">
        <f t="shared" ref="J143:N143" si="6">SUM(J8:J142)</f>
        <v>4955781232.499999</v>
      </c>
      <c r="K143" s="25">
        <f t="shared" si="6"/>
        <v>0</v>
      </c>
      <c r="L143" s="25">
        <f t="shared" si="6"/>
        <v>0</v>
      </c>
      <c r="M143" s="25">
        <f t="shared" si="6"/>
        <v>552459.65000000026</v>
      </c>
      <c r="N143" s="25">
        <f t="shared" si="6"/>
        <v>37641045717.135757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164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137194587.70999998</v>
      </c>
      <c r="C8" s="16">
        <v>0</v>
      </c>
      <c r="D8" s="16">
        <v>5950912.0735969804</v>
      </c>
      <c r="E8" s="16">
        <v>0</v>
      </c>
      <c r="F8" s="16">
        <v>434175.16</v>
      </c>
      <c r="G8" s="16">
        <v>205828.05</v>
      </c>
      <c r="H8" s="16">
        <v>6703614.6600000001</v>
      </c>
      <c r="I8" s="16">
        <v>983327.32</v>
      </c>
      <c r="J8" s="16">
        <v>8950735.6000000034</v>
      </c>
      <c r="K8" s="16">
        <v>0</v>
      </c>
      <c r="L8" s="16">
        <v>0</v>
      </c>
      <c r="M8" s="16">
        <v>21.139999999999997</v>
      </c>
      <c r="N8" s="18">
        <f t="shared" ref="N8:N39" si="0">SUM(B8:M8)</f>
        <v>160423201.71359694</v>
      </c>
      <c r="O8" s="4"/>
    </row>
    <row r="9" spans="1:15" ht="18" customHeight="1" x14ac:dyDescent="0.2">
      <c r="A9" s="17" t="s">
        <v>4</v>
      </c>
      <c r="B9" s="16">
        <v>77439784.179999992</v>
      </c>
      <c r="C9" s="16">
        <v>0</v>
      </c>
      <c r="D9" s="16">
        <v>4421939.441269761</v>
      </c>
      <c r="E9" s="16">
        <v>0</v>
      </c>
      <c r="F9" s="16">
        <v>304192.28999999998</v>
      </c>
      <c r="G9" s="16">
        <v>145401.47</v>
      </c>
      <c r="H9" s="16">
        <v>3783869.91</v>
      </c>
      <c r="I9" s="16">
        <v>688939.89</v>
      </c>
      <c r="J9" s="16">
        <v>6806071.6000000006</v>
      </c>
      <c r="K9" s="16">
        <v>0</v>
      </c>
      <c r="L9" s="16">
        <v>0</v>
      </c>
      <c r="M9" s="16">
        <v>14.81</v>
      </c>
      <c r="N9" s="18">
        <f t="shared" si="0"/>
        <v>93590213.591269746</v>
      </c>
      <c r="O9" s="4"/>
    </row>
    <row r="10" spans="1:15" ht="18" customHeight="1" x14ac:dyDescent="0.2">
      <c r="A10" s="17" t="s">
        <v>5</v>
      </c>
      <c r="B10" s="16">
        <v>65708393.170000009</v>
      </c>
      <c r="C10" s="16">
        <v>0</v>
      </c>
      <c r="D10" s="16">
        <v>1687409.6952704201</v>
      </c>
      <c r="E10" s="16">
        <v>0</v>
      </c>
      <c r="F10" s="16">
        <v>212503.12</v>
      </c>
      <c r="G10" s="16">
        <v>128406.49</v>
      </c>
      <c r="H10" s="16">
        <v>3210649.6000000001</v>
      </c>
      <c r="I10" s="16">
        <v>481280.7</v>
      </c>
      <c r="J10" s="16">
        <v>3952929.1999999997</v>
      </c>
      <c r="K10" s="16">
        <v>0</v>
      </c>
      <c r="L10" s="16">
        <v>0</v>
      </c>
      <c r="M10" s="16">
        <v>10.35</v>
      </c>
      <c r="N10" s="18">
        <f t="shared" si="0"/>
        <v>75381582.325270429</v>
      </c>
      <c r="O10" s="4"/>
    </row>
    <row r="11" spans="1:15" ht="18" customHeight="1" x14ac:dyDescent="0.2">
      <c r="A11" s="17" t="s">
        <v>6</v>
      </c>
      <c r="B11" s="16">
        <v>705475505.88</v>
      </c>
      <c r="C11" s="16">
        <v>0</v>
      </c>
      <c r="D11" s="16">
        <v>4057159.79745958</v>
      </c>
      <c r="E11" s="16">
        <v>0</v>
      </c>
      <c r="F11" s="16">
        <v>22809028.309999999</v>
      </c>
      <c r="G11" s="16">
        <v>11708705.457834179</v>
      </c>
      <c r="H11" s="16">
        <v>34471009.509999998</v>
      </c>
      <c r="I11" s="16">
        <v>51658276.219999999</v>
      </c>
      <c r="J11" s="16">
        <v>76263158.199999958</v>
      </c>
      <c r="K11" s="16">
        <v>0</v>
      </c>
      <c r="L11" s="16">
        <v>0</v>
      </c>
      <c r="M11" s="16">
        <v>1111.3499999999999</v>
      </c>
      <c r="N11" s="18">
        <f t="shared" si="0"/>
        <v>906443954.72529364</v>
      </c>
      <c r="O11" s="4"/>
    </row>
    <row r="12" spans="1:15" ht="18" customHeight="1" x14ac:dyDescent="0.2">
      <c r="A12" s="17" t="s">
        <v>7</v>
      </c>
      <c r="B12" s="16">
        <v>96414985.719999999</v>
      </c>
      <c r="C12" s="16">
        <v>0</v>
      </c>
      <c r="D12" s="16">
        <v>2896305.7436338002</v>
      </c>
      <c r="E12" s="16">
        <v>0</v>
      </c>
      <c r="F12" s="16">
        <v>779897.25</v>
      </c>
      <c r="G12" s="16">
        <v>351229.51</v>
      </c>
      <c r="H12" s="16">
        <v>4711037.97</v>
      </c>
      <c r="I12" s="16">
        <v>1766324.6</v>
      </c>
      <c r="J12" s="16">
        <v>7821185.6000000034</v>
      </c>
      <c r="K12" s="16">
        <v>0</v>
      </c>
      <c r="L12" s="16">
        <v>0</v>
      </c>
      <c r="M12" s="16">
        <v>37.99</v>
      </c>
      <c r="N12" s="18">
        <f t="shared" si="0"/>
        <v>114741004.38363381</v>
      </c>
      <c r="O12" s="4"/>
    </row>
    <row r="13" spans="1:15" ht="18" customHeight="1" x14ac:dyDescent="0.2">
      <c r="A13" s="17" t="s">
        <v>8</v>
      </c>
      <c r="B13" s="16">
        <v>415281954.16999996</v>
      </c>
      <c r="C13" s="16">
        <v>0</v>
      </c>
      <c r="D13" s="16">
        <v>4172390.7077935203</v>
      </c>
      <c r="E13" s="16">
        <v>0</v>
      </c>
      <c r="F13" s="16">
        <v>11091692.289999999</v>
      </c>
      <c r="G13" s="16">
        <v>0</v>
      </c>
      <c r="H13" s="16">
        <v>20291545.309999999</v>
      </c>
      <c r="I13" s="16">
        <v>25120653.829999998</v>
      </c>
      <c r="J13" s="16">
        <v>57700160.999999978</v>
      </c>
      <c r="K13" s="16">
        <v>0</v>
      </c>
      <c r="L13" s="16">
        <v>0</v>
      </c>
      <c r="M13" s="16">
        <v>540.41999999999996</v>
      </c>
      <c r="N13" s="18">
        <f t="shared" si="0"/>
        <v>533658937.72779351</v>
      </c>
      <c r="O13" s="4"/>
    </row>
    <row r="14" spans="1:15" ht="18" customHeight="1" x14ac:dyDescent="0.2">
      <c r="A14" s="17" t="s">
        <v>9</v>
      </c>
      <c r="B14" s="16">
        <v>147828130.13000003</v>
      </c>
      <c r="C14" s="16">
        <v>0</v>
      </c>
      <c r="D14" s="16">
        <v>7349243.8306351807</v>
      </c>
      <c r="E14" s="16">
        <v>0</v>
      </c>
      <c r="F14" s="16">
        <v>504829.75</v>
      </c>
      <c r="G14" s="16">
        <v>245482.99</v>
      </c>
      <c r="H14" s="16">
        <v>7223191.79</v>
      </c>
      <c r="I14" s="16">
        <v>1143347.05</v>
      </c>
      <c r="J14" s="16">
        <v>11883736.799999999</v>
      </c>
      <c r="K14" s="16">
        <v>0</v>
      </c>
      <c r="L14" s="16">
        <v>0</v>
      </c>
      <c r="M14" s="16">
        <v>24.58</v>
      </c>
      <c r="N14" s="18">
        <f t="shared" si="0"/>
        <v>176177986.92063525</v>
      </c>
      <c r="O14" s="4"/>
    </row>
    <row r="15" spans="1:15" ht="18" customHeight="1" x14ac:dyDescent="0.2">
      <c r="A15" s="17" t="s">
        <v>10</v>
      </c>
      <c r="B15" s="16">
        <v>240661011.82999998</v>
      </c>
      <c r="C15" s="16">
        <v>0</v>
      </c>
      <c r="D15" s="16">
        <v>9315948.5012712609</v>
      </c>
      <c r="E15" s="16">
        <v>0</v>
      </c>
      <c r="F15" s="16">
        <v>1880706.59</v>
      </c>
      <c r="G15" s="16">
        <v>789322.23999999999</v>
      </c>
      <c r="H15" s="16">
        <v>11759200.65</v>
      </c>
      <c r="I15" s="16">
        <v>4259456.3499999996</v>
      </c>
      <c r="J15" s="16">
        <v>19232169.20000001</v>
      </c>
      <c r="K15" s="16">
        <v>0</v>
      </c>
      <c r="L15" s="16">
        <v>0</v>
      </c>
      <c r="M15" s="16">
        <v>91.63</v>
      </c>
      <c r="N15" s="18">
        <f t="shared" si="0"/>
        <v>287897906.99127126</v>
      </c>
      <c r="O15" s="4"/>
    </row>
    <row r="16" spans="1:15" ht="18" customHeight="1" x14ac:dyDescent="0.2">
      <c r="A16" s="17" t="s">
        <v>11</v>
      </c>
      <c r="B16" s="16">
        <v>447073128.25999999</v>
      </c>
      <c r="C16" s="16">
        <v>0</v>
      </c>
      <c r="D16" s="16">
        <v>9029351.0144765582</v>
      </c>
      <c r="E16" s="16">
        <v>0</v>
      </c>
      <c r="F16" s="16">
        <v>7014221.1600000001</v>
      </c>
      <c r="G16" s="16">
        <v>3644478.29</v>
      </c>
      <c r="H16" s="16">
        <v>21844928.600000001</v>
      </c>
      <c r="I16" s="16">
        <v>15885927.699999999</v>
      </c>
      <c r="J16" s="16">
        <v>47521694.20000001</v>
      </c>
      <c r="K16" s="16">
        <v>0</v>
      </c>
      <c r="L16" s="16">
        <v>0</v>
      </c>
      <c r="M16" s="16">
        <v>341.75</v>
      </c>
      <c r="N16" s="18">
        <f t="shared" si="0"/>
        <v>552014070.97447658</v>
      </c>
      <c r="O16" s="4"/>
    </row>
    <row r="17" spans="1:15" ht="15" x14ac:dyDescent="0.2">
      <c r="A17" s="17" t="s">
        <v>12</v>
      </c>
      <c r="B17" s="16">
        <v>162703812.51999998</v>
      </c>
      <c r="C17" s="16">
        <v>0</v>
      </c>
      <c r="D17" s="16">
        <v>7002023.3369708592</v>
      </c>
      <c r="E17" s="16">
        <v>0</v>
      </c>
      <c r="F17" s="16">
        <v>1440598.59</v>
      </c>
      <c r="G17" s="16">
        <v>528732.6</v>
      </c>
      <c r="H17" s="16">
        <v>7950048.7599999998</v>
      </c>
      <c r="I17" s="16">
        <v>3262692.26</v>
      </c>
      <c r="J17" s="16">
        <v>13016175.199999997</v>
      </c>
      <c r="K17" s="16">
        <v>0</v>
      </c>
      <c r="L17" s="16">
        <v>0</v>
      </c>
      <c r="M17" s="16">
        <v>70.19</v>
      </c>
      <c r="N17" s="18">
        <f t="shared" si="0"/>
        <v>195904153.45697081</v>
      </c>
      <c r="O17" s="4"/>
    </row>
    <row r="18" spans="1:15" ht="15" x14ac:dyDescent="0.2">
      <c r="A18" s="17" t="s">
        <v>13</v>
      </c>
      <c r="B18" s="16">
        <v>94444828.460000008</v>
      </c>
      <c r="C18" s="16">
        <v>0</v>
      </c>
      <c r="D18" s="16">
        <v>3015979.5101895798</v>
      </c>
      <c r="E18" s="16">
        <v>0</v>
      </c>
      <c r="F18" s="16">
        <v>970826.45</v>
      </c>
      <c r="G18" s="16">
        <v>396549.45</v>
      </c>
      <c r="H18" s="16">
        <v>4614771.96</v>
      </c>
      <c r="I18" s="16">
        <v>2198744.3199999998</v>
      </c>
      <c r="J18" s="16">
        <v>10388450.199999997</v>
      </c>
      <c r="K18" s="16">
        <v>0</v>
      </c>
      <c r="L18" s="16">
        <v>0</v>
      </c>
      <c r="M18" s="16">
        <v>47.290000000000006</v>
      </c>
      <c r="N18" s="18">
        <f t="shared" si="0"/>
        <v>116030197.64018959</v>
      </c>
      <c r="O18" s="4"/>
    </row>
    <row r="19" spans="1:15" ht="15" x14ac:dyDescent="0.2">
      <c r="A19" s="17" t="s">
        <v>14</v>
      </c>
      <c r="B19" s="16">
        <v>165055397.57999998</v>
      </c>
      <c r="C19" s="16">
        <v>0</v>
      </c>
      <c r="D19" s="16">
        <v>6277193.5265587801</v>
      </c>
      <c r="E19" s="16">
        <v>0</v>
      </c>
      <c r="F19" s="16">
        <v>392106.01</v>
      </c>
      <c r="G19" s="16">
        <v>245482.99</v>
      </c>
      <c r="H19" s="16">
        <v>8064952.1299999999</v>
      </c>
      <c r="I19" s="16">
        <v>888048.4</v>
      </c>
      <c r="J19" s="16">
        <v>9130870.9999999981</v>
      </c>
      <c r="K19" s="16">
        <v>0</v>
      </c>
      <c r="L19" s="16">
        <v>0</v>
      </c>
      <c r="M19" s="16">
        <v>19.09</v>
      </c>
      <c r="N19" s="18">
        <f t="shared" si="0"/>
        <v>190054070.72655877</v>
      </c>
      <c r="O19" s="4"/>
    </row>
    <row r="20" spans="1:15" ht="15" x14ac:dyDescent="0.2">
      <c r="A20" s="17" t="s">
        <v>15</v>
      </c>
      <c r="B20" s="16">
        <v>558075238.07999992</v>
      </c>
      <c r="C20" s="16">
        <v>0</v>
      </c>
      <c r="D20" s="16">
        <v>3436798.3355645398</v>
      </c>
      <c r="E20" s="16">
        <v>0</v>
      </c>
      <c r="F20" s="16">
        <v>12515031.75</v>
      </c>
      <c r="G20" s="16">
        <v>6110138.483689528</v>
      </c>
      <c r="H20" s="16">
        <v>27268723.969999999</v>
      </c>
      <c r="I20" s="16">
        <v>28344257.309999999</v>
      </c>
      <c r="J20" s="16">
        <v>51771857.199999996</v>
      </c>
      <c r="K20" s="16">
        <v>0</v>
      </c>
      <c r="L20" s="16">
        <v>0</v>
      </c>
      <c r="M20" s="16">
        <v>609.78</v>
      </c>
      <c r="N20" s="18">
        <f t="shared" si="0"/>
        <v>687522654.90925395</v>
      </c>
      <c r="O20" s="4"/>
    </row>
    <row r="21" spans="1:15" ht="15" x14ac:dyDescent="0.2">
      <c r="A21" s="17" t="s">
        <v>16</v>
      </c>
      <c r="B21" s="16">
        <v>241659357.51999998</v>
      </c>
      <c r="C21" s="16">
        <v>0</v>
      </c>
      <c r="D21" s="16">
        <v>2862600.3627339001</v>
      </c>
      <c r="E21" s="16">
        <v>0</v>
      </c>
      <c r="F21" s="16">
        <v>3327777.36</v>
      </c>
      <c r="G21" s="16">
        <v>703548.83989702107</v>
      </c>
      <c r="H21" s="16">
        <v>11807981.91</v>
      </c>
      <c r="I21" s="16">
        <v>7536806.9100000001</v>
      </c>
      <c r="J21" s="16">
        <v>16812048.799999993</v>
      </c>
      <c r="K21" s="16">
        <v>0</v>
      </c>
      <c r="L21" s="16">
        <v>0</v>
      </c>
      <c r="M21" s="16">
        <v>162.13</v>
      </c>
      <c r="N21" s="18">
        <f t="shared" si="0"/>
        <v>284710283.83263087</v>
      </c>
      <c r="O21" s="4"/>
    </row>
    <row r="22" spans="1:15" ht="15" x14ac:dyDescent="0.2">
      <c r="A22" s="17" t="s">
        <v>17</v>
      </c>
      <c r="B22" s="16">
        <v>179974197.88000003</v>
      </c>
      <c r="C22" s="16">
        <v>0</v>
      </c>
      <c r="D22" s="16">
        <v>5609574.4183529597</v>
      </c>
      <c r="E22" s="16">
        <v>0</v>
      </c>
      <c r="F22" s="16">
        <v>792302.26</v>
      </c>
      <c r="G22" s="16">
        <v>413544.43</v>
      </c>
      <c r="H22" s="16">
        <v>8793915.9299999997</v>
      </c>
      <c r="I22" s="16">
        <v>1794419.67</v>
      </c>
      <c r="J22" s="16">
        <v>12968175</v>
      </c>
      <c r="K22" s="16">
        <v>0</v>
      </c>
      <c r="L22" s="16">
        <v>0</v>
      </c>
      <c r="M22" s="16">
        <v>38.590000000000003</v>
      </c>
      <c r="N22" s="18">
        <f t="shared" si="0"/>
        <v>210346168.17835298</v>
      </c>
      <c r="O22" s="4"/>
    </row>
    <row r="23" spans="1:15" ht="15" x14ac:dyDescent="0.2">
      <c r="A23" s="17" t="s">
        <v>18</v>
      </c>
      <c r="B23" s="16">
        <v>184478362.10000002</v>
      </c>
      <c r="C23" s="16">
        <v>0</v>
      </c>
      <c r="D23" s="16">
        <v>4220795.1499272604</v>
      </c>
      <c r="E23" s="16">
        <v>0</v>
      </c>
      <c r="F23" s="16">
        <v>759402.03</v>
      </c>
      <c r="G23" s="16">
        <v>500407.64</v>
      </c>
      <c r="H23" s="16">
        <v>9013998.8200000003</v>
      </c>
      <c r="I23" s="16">
        <v>1719906.67</v>
      </c>
      <c r="J23" s="16">
        <v>10477201.199999999</v>
      </c>
      <c r="K23" s="16">
        <v>0</v>
      </c>
      <c r="L23" s="16">
        <v>0</v>
      </c>
      <c r="M23" s="16">
        <v>36.99</v>
      </c>
      <c r="N23" s="18">
        <f t="shared" si="0"/>
        <v>211170110.59992725</v>
      </c>
      <c r="O23" s="4"/>
    </row>
    <row r="24" spans="1:15" ht="15" x14ac:dyDescent="0.2">
      <c r="A24" s="17" t="s">
        <v>19</v>
      </c>
      <c r="B24" s="16">
        <v>56680164.100000001</v>
      </c>
      <c r="C24" s="16">
        <v>0</v>
      </c>
      <c r="D24" s="16">
        <v>2527351.1226650602</v>
      </c>
      <c r="E24" s="16">
        <v>0</v>
      </c>
      <c r="F24" s="16">
        <v>789605.52</v>
      </c>
      <c r="G24" s="16">
        <v>129179.02164500934</v>
      </c>
      <c r="H24" s="16">
        <v>2769511.43</v>
      </c>
      <c r="I24" s="16">
        <v>1788312.05</v>
      </c>
      <c r="J24" s="16">
        <v>8957786.7999999989</v>
      </c>
      <c r="K24" s="16">
        <v>0</v>
      </c>
      <c r="L24" s="16">
        <v>0</v>
      </c>
      <c r="M24" s="16">
        <v>38.46</v>
      </c>
      <c r="N24" s="18">
        <f t="shared" si="0"/>
        <v>73641948.504310071</v>
      </c>
      <c r="O24" s="4"/>
    </row>
    <row r="25" spans="1:15" ht="15" x14ac:dyDescent="0.2">
      <c r="A25" s="17" t="s">
        <v>20</v>
      </c>
      <c r="B25" s="16">
        <v>263755633.12</v>
      </c>
      <c r="C25" s="16">
        <v>0</v>
      </c>
      <c r="D25" s="16">
        <v>2877704.9189120196</v>
      </c>
      <c r="E25" s="16">
        <v>0</v>
      </c>
      <c r="F25" s="16">
        <v>3501986.77</v>
      </c>
      <c r="G25" s="16">
        <v>1142440.0900000001</v>
      </c>
      <c r="H25" s="16">
        <v>12887652.18</v>
      </c>
      <c r="I25" s="16">
        <v>7931359.3600000003</v>
      </c>
      <c r="J25" s="16">
        <v>20871655</v>
      </c>
      <c r="K25" s="16">
        <v>0</v>
      </c>
      <c r="L25" s="16">
        <v>0</v>
      </c>
      <c r="M25" s="16">
        <v>170.62</v>
      </c>
      <c r="N25" s="18">
        <f t="shared" si="0"/>
        <v>312968602.05891204</v>
      </c>
      <c r="O25" s="4"/>
    </row>
    <row r="26" spans="1:15" ht="15" x14ac:dyDescent="0.2">
      <c r="A26" s="17" t="s">
        <v>21</v>
      </c>
      <c r="B26" s="16">
        <v>93144657.319999993</v>
      </c>
      <c r="C26" s="16">
        <v>0</v>
      </c>
      <c r="D26" s="16">
        <v>3045231.2496409398</v>
      </c>
      <c r="E26" s="16">
        <v>0</v>
      </c>
      <c r="F26" s="16">
        <v>1592694.74</v>
      </c>
      <c r="G26" s="16">
        <v>626925.80000000005</v>
      </c>
      <c r="H26" s="16">
        <v>4551242.88</v>
      </c>
      <c r="I26" s="16">
        <v>3607162.21</v>
      </c>
      <c r="J26" s="16">
        <v>14270044.600000005</v>
      </c>
      <c r="K26" s="16">
        <v>0</v>
      </c>
      <c r="L26" s="16">
        <v>0</v>
      </c>
      <c r="M26" s="16">
        <v>77.599999999999994</v>
      </c>
      <c r="N26" s="18">
        <f t="shared" si="0"/>
        <v>120838036.39964092</v>
      </c>
      <c r="O26" s="4"/>
    </row>
    <row r="27" spans="1:15" ht="15" x14ac:dyDescent="0.2">
      <c r="A27" s="17" t="s">
        <v>22</v>
      </c>
      <c r="B27" s="16">
        <v>50391581.280000001</v>
      </c>
      <c r="C27" s="16">
        <v>0</v>
      </c>
      <c r="D27" s="16">
        <v>1302342.3377048001</v>
      </c>
      <c r="E27" s="16">
        <v>0</v>
      </c>
      <c r="F27" s="16">
        <v>395881.45</v>
      </c>
      <c r="G27" s="16">
        <v>175614.76</v>
      </c>
      <c r="H27" s="16">
        <v>2462238.12</v>
      </c>
      <c r="I27" s="16">
        <v>896599.07</v>
      </c>
      <c r="J27" s="16">
        <v>4146997.5999999987</v>
      </c>
      <c r="K27" s="16">
        <v>0</v>
      </c>
      <c r="L27" s="16">
        <v>0</v>
      </c>
      <c r="M27" s="16">
        <v>19.28</v>
      </c>
      <c r="N27" s="18">
        <f t="shared" si="0"/>
        <v>59771273.897704802</v>
      </c>
      <c r="O27" s="4"/>
    </row>
    <row r="28" spans="1:15" ht="15" x14ac:dyDescent="0.2">
      <c r="A28" s="17" t="s">
        <v>23</v>
      </c>
      <c r="B28" s="16">
        <v>165924389.47999996</v>
      </c>
      <c r="C28" s="16">
        <v>0</v>
      </c>
      <c r="D28" s="16">
        <v>5248131.0130349202</v>
      </c>
      <c r="E28" s="16">
        <v>0</v>
      </c>
      <c r="F28" s="16">
        <v>545280.86</v>
      </c>
      <c r="G28" s="16">
        <v>268142.96000000002</v>
      </c>
      <c r="H28" s="16">
        <v>8107412.8899999997</v>
      </c>
      <c r="I28" s="16">
        <v>1234961.3899999999</v>
      </c>
      <c r="J28" s="16">
        <v>8482881.4000000022</v>
      </c>
      <c r="K28" s="16">
        <v>0</v>
      </c>
      <c r="L28" s="16">
        <v>0</v>
      </c>
      <c r="M28" s="16">
        <v>26.560000000000002</v>
      </c>
      <c r="N28" s="18">
        <f t="shared" si="0"/>
        <v>189811226.55303487</v>
      </c>
      <c r="O28" s="4"/>
    </row>
    <row r="29" spans="1:15" ht="15" x14ac:dyDescent="0.2">
      <c r="A29" s="17" t="s">
        <v>24</v>
      </c>
      <c r="B29" s="16">
        <v>105443214.77999997</v>
      </c>
      <c r="C29" s="16">
        <v>0</v>
      </c>
      <c r="D29" s="16">
        <v>4621046.1854560999</v>
      </c>
      <c r="E29" s="16">
        <v>0</v>
      </c>
      <c r="F29" s="16">
        <v>340328.6</v>
      </c>
      <c r="G29" s="16">
        <v>139736.47</v>
      </c>
      <c r="H29" s="16">
        <v>5152176.13</v>
      </c>
      <c r="I29" s="16">
        <v>770782.04</v>
      </c>
      <c r="J29" s="16">
        <v>7410761.799999998</v>
      </c>
      <c r="K29" s="16">
        <v>0</v>
      </c>
      <c r="L29" s="16">
        <v>0</v>
      </c>
      <c r="M29" s="16">
        <v>16.57</v>
      </c>
      <c r="N29" s="18">
        <f t="shared" si="0"/>
        <v>123878062.57545605</v>
      </c>
      <c r="O29" s="4"/>
    </row>
    <row r="30" spans="1:15" ht="15" x14ac:dyDescent="0.2">
      <c r="A30" s="17" t="s">
        <v>25</v>
      </c>
      <c r="B30" s="16">
        <v>33466139.310000002</v>
      </c>
      <c r="C30" s="16">
        <v>0</v>
      </c>
      <c r="D30" s="16">
        <v>2323744.3364114203</v>
      </c>
      <c r="E30" s="16">
        <v>0</v>
      </c>
      <c r="F30" s="16">
        <v>293944.67</v>
      </c>
      <c r="G30" s="16">
        <v>177503.09</v>
      </c>
      <c r="H30" s="16">
        <v>1635225.6000000001</v>
      </c>
      <c r="I30" s="16">
        <v>665730.92000000004</v>
      </c>
      <c r="J30" s="16">
        <v>5597965.3999999985</v>
      </c>
      <c r="K30" s="16">
        <v>0</v>
      </c>
      <c r="L30" s="16">
        <v>0</v>
      </c>
      <c r="M30" s="16">
        <v>14.309999999999999</v>
      </c>
      <c r="N30" s="18">
        <f t="shared" si="0"/>
        <v>44160267.636411428</v>
      </c>
      <c r="O30" s="4"/>
    </row>
    <row r="31" spans="1:15" ht="15" x14ac:dyDescent="0.2">
      <c r="A31" s="17" t="s">
        <v>26</v>
      </c>
      <c r="B31" s="16">
        <v>61376700.600000009</v>
      </c>
      <c r="C31" s="16">
        <v>0</v>
      </c>
      <c r="D31" s="16">
        <v>2100601.7655699402</v>
      </c>
      <c r="E31" s="16">
        <v>0</v>
      </c>
      <c r="F31" s="16">
        <v>351115.56</v>
      </c>
      <c r="G31" s="16">
        <v>100081.53</v>
      </c>
      <c r="H31" s="16">
        <v>2998994.03</v>
      </c>
      <c r="I31" s="16">
        <v>795212.53</v>
      </c>
      <c r="J31" s="16">
        <v>4001722.4000000013</v>
      </c>
      <c r="K31" s="16">
        <v>0</v>
      </c>
      <c r="L31" s="16">
        <v>0</v>
      </c>
      <c r="M31" s="16">
        <v>17.100000000000001</v>
      </c>
      <c r="N31" s="18">
        <f t="shared" si="0"/>
        <v>71724445.515569955</v>
      </c>
      <c r="O31" s="4"/>
    </row>
    <row r="32" spans="1:15" ht="15" x14ac:dyDescent="0.2">
      <c r="A32" s="17" t="s">
        <v>27</v>
      </c>
      <c r="B32" s="16">
        <v>281059186.09000003</v>
      </c>
      <c r="C32" s="16">
        <v>0</v>
      </c>
      <c r="D32" s="16">
        <v>5240635.5476015396</v>
      </c>
      <c r="E32" s="16">
        <v>0</v>
      </c>
      <c r="F32" s="16">
        <v>1035548.22</v>
      </c>
      <c r="G32" s="16">
        <v>589159.18999999994</v>
      </c>
      <c r="H32" s="16">
        <v>13733139.99</v>
      </c>
      <c r="I32" s="16">
        <v>2345327.27</v>
      </c>
      <c r="J32" s="16">
        <v>12424625</v>
      </c>
      <c r="K32" s="16">
        <v>0</v>
      </c>
      <c r="L32" s="16">
        <v>0</v>
      </c>
      <c r="M32" s="16">
        <v>50.45</v>
      </c>
      <c r="N32" s="18">
        <f t="shared" si="0"/>
        <v>316427671.75760156</v>
      </c>
      <c r="O32" s="4"/>
    </row>
    <row r="33" spans="1:15" ht="15" x14ac:dyDescent="0.2">
      <c r="A33" s="17" t="s">
        <v>28</v>
      </c>
      <c r="B33" s="16">
        <v>180309190.89999998</v>
      </c>
      <c r="C33" s="16">
        <v>0</v>
      </c>
      <c r="D33" s="16">
        <v>6092337.9711784208</v>
      </c>
      <c r="E33" s="16">
        <v>0</v>
      </c>
      <c r="F33" s="16">
        <v>759941.37</v>
      </c>
      <c r="G33" s="16">
        <v>441869.39</v>
      </c>
      <c r="H33" s="16">
        <v>8810284.3900000006</v>
      </c>
      <c r="I33" s="16">
        <v>1721128.19</v>
      </c>
      <c r="J33" s="16">
        <v>12192382.800000003</v>
      </c>
      <c r="K33" s="16">
        <v>0</v>
      </c>
      <c r="L33" s="16">
        <v>0</v>
      </c>
      <c r="M33" s="16">
        <v>37.019999999999996</v>
      </c>
      <c r="N33" s="18">
        <f t="shared" si="0"/>
        <v>210327172.03117839</v>
      </c>
      <c r="O33" s="4"/>
    </row>
    <row r="34" spans="1:15" ht="15" x14ac:dyDescent="0.2">
      <c r="A34" s="17" t="s">
        <v>29</v>
      </c>
      <c r="B34" s="16">
        <v>239271288.10999998</v>
      </c>
      <c r="C34" s="16">
        <v>0</v>
      </c>
      <c r="D34" s="16">
        <v>4917723.1038883198</v>
      </c>
      <c r="E34" s="16">
        <v>0</v>
      </c>
      <c r="F34" s="16">
        <v>1105124.1100000001</v>
      </c>
      <c r="G34" s="16">
        <v>776103.93</v>
      </c>
      <c r="H34" s="16">
        <v>11691295.84</v>
      </c>
      <c r="I34" s="16">
        <v>2502903.9500000002</v>
      </c>
      <c r="J34" s="16">
        <v>15673833.4</v>
      </c>
      <c r="K34" s="16">
        <v>0</v>
      </c>
      <c r="L34" s="16">
        <v>0</v>
      </c>
      <c r="M34" s="16">
        <v>53.839999999999996</v>
      </c>
      <c r="N34" s="18">
        <f t="shared" si="0"/>
        <v>275938326.28388828</v>
      </c>
      <c r="O34" s="4"/>
    </row>
    <row r="35" spans="1:15" ht="15" x14ac:dyDescent="0.2">
      <c r="A35" s="17" t="s">
        <v>30</v>
      </c>
      <c r="B35" s="16">
        <v>120146425.51999998</v>
      </c>
      <c r="C35" s="16">
        <v>0</v>
      </c>
      <c r="D35" s="16">
        <v>2543501.8412431399</v>
      </c>
      <c r="E35" s="16">
        <v>0</v>
      </c>
      <c r="F35" s="16">
        <v>690904.83</v>
      </c>
      <c r="G35" s="16">
        <v>300244.58</v>
      </c>
      <c r="H35" s="16">
        <v>5870605.7800000003</v>
      </c>
      <c r="I35" s="16">
        <v>1564773.04</v>
      </c>
      <c r="J35" s="16">
        <v>5722992.7999999998</v>
      </c>
      <c r="K35" s="16">
        <v>0</v>
      </c>
      <c r="L35" s="16">
        <v>0</v>
      </c>
      <c r="M35" s="16">
        <v>33.65</v>
      </c>
      <c r="N35" s="18">
        <f t="shared" si="0"/>
        <v>136839482.04124314</v>
      </c>
      <c r="O35" s="4"/>
    </row>
    <row r="36" spans="1:15" ht="15" x14ac:dyDescent="0.2">
      <c r="A36" s="17" t="s">
        <v>31</v>
      </c>
      <c r="B36" s="16">
        <v>130842986.43000001</v>
      </c>
      <c r="C36" s="16">
        <v>0</v>
      </c>
      <c r="D36" s="16">
        <v>3892747.7417123597</v>
      </c>
      <c r="E36" s="16">
        <v>0</v>
      </c>
      <c r="F36" s="16">
        <v>434714.51</v>
      </c>
      <c r="G36" s="16">
        <v>190721.4</v>
      </c>
      <c r="H36" s="16">
        <v>6393262.1299999999</v>
      </c>
      <c r="I36" s="16">
        <v>984548.84</v>
      </c>
      <c r="J36" s="16">
        <v>6055483.2000000011</v>
      </c>
      <c r="K36" s="16">
        <v>0</v>
      </c>
      <c r="L36" s="16">
        <v>0</v>
      </c>
      <c r="M36" s="16">
        <v>21.18</v>
      </c>
      <c r="N36" s="18">
        <f t="shared" si="0"/>
        <v>148794485.43171236</v>
      </c>
      <c r="O36" s="4"/>
    </row>
    <row r="37" spans="1:15" ht="15" x14ac:dyDescent="0.2">
      <c r="A37" s="17" t="s">
        <v>32</v>
      </c>
      <c r="B37" s="16">
        <v>143204562.41</v>
      </c>
      <c r="C37" s="16">
        <v>0</v>
      </c>
      <c r="D37" s="16">
        <v>5115266.0273260204</v>
      </c>
      <c r="E37" s="16">
        <v>0</v>
      </c>
      <c r="F37" s="16">
        <v>806325.3</v>
      </c>
      <c r="G37" s="16">
        <v>277584.62</v>
      </c>
      <c r="H37" s="16">
        <v>6997274.5999999996</v>
      </c>
      <c r="I37" s="16">
        <v>1826179.31</v>
      </c>
      <c r="J37" s="16">
        <v>9497174.200000003</v>
      </c>
      <c r="K37" s="16">
        <v>0</v>
      </c>
      <c r="L37" s="16">
        <v>0</v>
      </c>
      <c r="M37" s="16">
        <v>39.270000000000003</v>
      </c>
      <c r="N37" s="18">
        <f t="shared" si="0"/>
        <v>167724405.73732606</v>
      </c>
      <c r="O37" s="4"/>
    </row>
    <row r="38" spans="1:15" ht="15" x14ac:dyDescent="0.2">
      <c r="A38" s="17" t="s">
        <v>33</v>
      </c>
      <c r="B38" s="16">
        <v>129851274.27</v>
      </c>
      <c r="C38" s="16">
        <v>0</v>
      </c>
      <c r="D38" s="16">
        <v>834374.61223828001</v>
      </c>
      <c r="E38" s="16">
        <v>0</v>
      </c>
      <c r="F38" s="16">
        <v>720568.97</v>
      </c>
      <c r="G38" s="16">
        <v>751555.63</v>
      </c>
      <c r="H38" s="16">
        <v>6344804.9900000002</v>
      </c>
      <c r="I38" s="16">
        <v>1631956.89</v>
      </c>
      <c r="J38" s="16">
        <v>15948326.999999994</v>
      </c>
      <c r="K38" s="16">
        <v>0</v>
      </c>
      <c r="L38" s="16">
        <v>0</v>
      </c>
      <c r="M38" s="16">
        <v>35.1</v>
      </c>
      <c r="N38" s="18">
        <f t="shared" si="0"/>
        <v>156082897.46223825</v>
      </c>
      <c r="O38" s="4"/>
    </row>
    <row r="39" spans="1:15" ht="15" x14ac:dyDescent="0.2">
      <c r="A39" s="17" t="s">
        <v>34</v>
      </c>
      <c r="B39" s="16">
        <v>222962764.07000002</v>
      </c>
      <c r="C39" s="16">
        <v>0</v>
      </c>
      <c r="D39" s="16">
        <v>6918452.6339255199</v>
      </c>
      <c r="E39" s="16">
        <v>0</v>
      </c>
      <c r="F39" s="16">
        <v>917970.35</v>
      </c>
      <c r="G39" s="16">
        <v>462641.03</v>
      </c>
      <c r="H39" s="16">
        <v>10894427.23</v>
      </c>
      <c r="I39" s="16">
        <v>2079034.9</v>
      </c>
      <c r="J39" s="16">
        <v>13413062.600000005</v>
      </c>
      <c r="K39" s="16">
        <v>0</v>
      </c>
      <c r="L39" s="16">
        <v>0</v>
      </c>
      <c r="M39" s="16">
        <v>44.72</v>
      </c>
      <c r="N39" s="18">
        <f t="shared" si="0"/>
        <v>257648397.53392553</v>
      </c>
      <c r="O39" s="4"/>
    </row>
    <row r="40" spans="1:15" ht="15" x14ac:dyDescent="0.2">
      <c r="A40" s="17" t="s">
        <v>35</v>
      </c>
      <c r="B40" s="16">
        <v>145065266.48000002</v>
      </c>
      <c r="C40" s="16">
        <v>0</v>
      </c>
      <c r="D40" s="16">
        <v>5043925.4623538395</v>
      </c>
      <c r="E40" s="16">
        <v>0</v>
      </c>
      <c r="F40" s="16">
        <v>490267.36</v>
      </c>
      <c r="G40" s="16">
        <v>203939.72</v>
      </c>
      <c r="H40" s="16">
        <v>7088192.4900000002</v>
      </c>
      <c r="I40" s="16">
        <v>1110365.8799999999</v>
      </c>
      <c r="J40" s="16">
        <v>7321501.1999999965</v>
      </c>
      <c r="K40" s="16">
        <v>0</v>
      </c>
      <c r="L40" s="16">
        <v>0</v>
      </c>
      <c r="M40" s="16">
        <v>23.880000000000003</v>
      </c>
      <c r="N40" s="18">
        <f t="shared" ref="N40:N71" si="1">SUM(B40:M40)</f>
        <v>166323482.47235385</v>
      </c>
      <c r="O40" s="4"/>
    </row>
    <row r="41" spans="1:15" ht="15" x14ac:dyDescent="0.2">
      <c r="A41" s="17" t="s">
        <v>36</v>
      </c>
      <c r="B41" s="16">
        <v>156299143.03999999</v>
      </c>
      <c r="C41" s="16">
        <v>0</v>
      </c>
      <c r="D41" s="16">
        <v>2266923.4910496604</v>
      </c>
      <c r="E41" s="16">
        <v>0</v>
      </c>
      <c r="F41" s="16">
        <v>830056.62</v>
      </c>
      <c r="G41" s="16">
        <v>326681.21000000002</v>
      </c>
      <c r="H41" s="16">
        <v>7637103.21</v>
      </c>
      <c r="I41" s="16">
        <v>1879926.39</v>
      </c>
      <c r="J41" s="16">
        <v>7576794.8000000026</v>
      </c>
      <c r="K41" s="16">
        <v>0</v>
      </c>
      <c r="L41" s="16">
        <v>0</v>
      </c>
      <c r="M41" s="16">
        <v>40.430000000000007</v>
      </c>
      <c r="N41" s="18">
        <f t="shared" si="1"/>
        <v>176816669.19104967</v>
      </c>
      <c r="O41" s="4"/>
    </row>
    <row r="42" spans="1:15" ht="15" x14ac:dyDescent="0.2">
      <c r="A42" s="17" t="s">
        <v>37</v>
      </c>
      <c r="B42" s="16">
        <v>92345317.420000017</v>
      </c>
      <c r="C42" s="16">
        <v>0</v>
      </c>
      <c r="D42" s="16">
        <v>806639.89389612002</v>
      </c>
      <c r="E42" s="16">
        <v>0</v>
      </c>
      <c r="F42" s="16">
        <v>2254474.77</v>
      </c>
      <c r="G42" s="16">
        <v>0</v>
      </c>
      <c r="H42" s="16">
        <v>4512185.46</v>
      </c>
      <c r="I42" s="16">
        <v>5105972.92</v>
      </c>
      <c r="J42" s="16">
        <v>12125918.799999993</v>
      </c>
      <c r="K42" s="16">
        <v>0</v>
      </c>
      <c r="L42" s="16">
        <v>0</v>
      </c>
      <c r="M42" s="16">
        <v>109.83</v>
      </c>
      <c r="N42" s="18">
        <f t="shared" si="1"/>
        <v>117150619.09389612</v>
      </c>
      <c r="O42" s="4"/>
    </row>
    <row r="43" spans="1:15" ht="15" x14ac:dyDescent="0.2">
      <c r="A43" s="17" t="s">
        <v>38</v>
      </c>
      <c r="B43" s="16">
        <v>406101153.98999995</v>
      </c>
      <c r="C43" s="16">
        <v>0</v>
      </c>
      <c r="D43" s="16">
        <v>3174985.7304306803</v>
      </c>
      <c r="E43" s="16">
        <v>0</v>
      </c>
      <c r="F43" s="16">
        <v>9374947.5</v>
      </c>
      <c r="G43" s="16">
        <v>2581348.1</v>
      </c>
      <c r="H43" s="16">
        <v>19842952.199999999</v>
      </c>
      <c r="I43" s="16">
        <v>21232540.960000001</v>
      </c>
      <c r="J43" s="16">
        <v>38815632.599999994</v>
      </c>
      <c r="K43" s="16">
        <v>0</v>
      </c>
      <c r="L43" s="16">
        <v>0</v>
      </c>
      <c r="M43" s="16">
        <v>456.78000000000003</v>
      </c>
      <c r="N43" s="18">
        <f t="shared" si="1"/>
        <v>501124017.8604306</v>
      </c>
      <c r="O43" s="4"/>
    </row>
    <row r="44" spans="1:15" ht="15" x14ac:dyDescent="0.2">
      <c r="A44" s="17" t="s">
        <v>39</v>
      </c>
      <c r="B44" s="16">
        <v>479925666.50999999</v>
      </c>
      <c r="C44" s="16">
        <v>0</v>
      </c>
      <c r="D44" s="16">
        <v>4012825.7490737005</v>
      </c>
      <c r="E44" s="16">
        <v>0</v>
      </c>
      <c r="F44" s="16">
        <v>11796080.82</v>
      </c>
      <c r="G44" s="16">
        <v>4701786.0698114177</v>
      </c>
      <c r="H44" s="16">
        <v>23450172.370000001</v>
      </c>
      <c r="I44" s="16">
        <v>26715964.989999998</v>
      </c>
      <c r="J44" s="16">
        <v>49508565.999999985</v>
      </c>
      <c r="K44" s="16">
        <v>0</v>
      </c>
      <c r="L44" s="16">
        <v>0</v>
      </c>
      <c r="M44" s="16">
        <v>574.74</v>
      </c>
      <c r="N44" s="18">
        <f t="shared" si="1"/>
        <v>600111637.24888504</v>
      </c>
      <c r="O44" s="4"/>
    </row>
    <row r="45" spans="1:15" ht="15" x14ac:dyDescent="0.2">
      <c r="A45" s="17" t="s">
        <v>40</v>
      </c>
      <c r="B45" s="16">
        <v>139250980.82999998</v>
      </c>
      <c r="C45" s="16">
        <v>0</v>
      </c>
      <c r="D45" s="16">
        <v>10333995.907639857</v>
      </c>
      <c r="E45" s="16">
        <v>0</v>
      </c>
      <c r="F45" s="16">
        <v>878597.94</v>
      </c>
      <c r="G45" s="16">
        <v>360671.17</v>
      </c>
      <c r="H45" s="16">
        <v>6804094.3300000001</v>
      </c>
      <c r="I45" s="16">
        <v>1989863.61</v>
      </c>
      <c r="J45" s="16">
        <v>7311164.8000000026</v>
      </c>
      <c r="K45" s="16">
        <v>0</v>
      </c>
      <c r="L45" s="16">
        <v>0</v>
      </c>
      <c r="M45" s="16">
        <v>42.800000000000004</v>
      </c>
      <c r="N45" s="18">
        <f t="shared" si="1"/>
        <v>166929411.38763988</v>
      </c>
      <c r="O45" s="4"/>
    </row>
    <row r="46" spans="1:15" ht="15" x14ac:dyDescent="0.2">
      <c r="A46" s="17" t="s">
        <v>41</v>
      </c>
      <c r="B46" s="16">
        <v>211417111.79999998</v>
      </c>
      <c r="C46" s="16">
        <v>0</v>
      </c>
      <c r="D46" s="16">
        <v>5124236.1590737002</v>
      </c>
      <c r="E46" s="16">
        <v>0</v>
      </c>
      <c r="F46" s="16">
        <v>6930082.8700000001</v>
      </c>
      <c r="G46" s="16">
        <v>0</v>
      </c>
      <c r="H46" s="16">
        <v>10330282.5</v>
      </c>
      <c r="I46" s="16">
        <v>15695369.859999999</v>
      </c>
      <c r="J46" s="16">
        <v>31861425.399999995</v>
      </c>
      <c r="K46" s="16">
        <v>0</v>
      </c>
      <c r="L46" s="16">
        <v>0</v>
      </c>
      <c r="M46" s="16">
        <v>337.65</v>
      </c>
      <c r="N46" s="18">
        <f t="shared" si="1"/>
        <v>281358846.23907363</v>
      </c>
      <c r="O46" s="4"/>
    </row>
    <row r="47" spans="1:15" ht="15" x14ac:dyDescent="0.2">
      <c r="A47" s="17" t="s">
        <v>42</v>
      </c>
      <c r="B47" s="16">
        <v>636583020.04999995</v>
      </c>
      <c r="C47" s="16">
        <v>0</v>
      </c>
      <c r="D47" s="16">
        <v>2798585.5650371201</v>
      </c>
      <c r="E47" s="16">
        <v>0</v>
      </c>
      <c r="F47" s="16">
        <v>21604124.800000001</v>
      </c>
      <c r="G47" s="16">
        <v>5353447.4540619925</v>
      </c>
      <c r="H47" s="16">
        <v>31104778.489999998</v>
      </c>
      <c r="I47" s="16">
        <v>48929390.219999999</v>
      </c>
      <c r="J47" s="16">
        <v>75382954.800000012</v>
      </c>
      <c r="K47" s="16">
        <v>0</v>
      </c>
      <c r="L47" s="16">
        <v>0</v>
      </c>
      <c r="M47" s="16">
        <v>1052.6399999999999</v>
      </c>
      <c r="N47" s="18">
        <f t="shared" si="1"/>
        <v>821757354.01909912</v>
      </c>
      <c r="O47" s="4"/>
    </row>
    <row r="48" spans="1:15" ht="15" x14ac:dyDescent="0.2">
      <c r="A48" s="17" t="s">
        <v>43</v>
      </c>
      <c r="B48" s="16">
        <v>65114692.569999993</v>
      </c>
      <c r="C48" s="16">
        <v>0</v>
      </c>
      <c r="D48" s="16">
        <v>2424452.3841175004</v>
      </c>
      <c r="E48" s="16">
        <v>0</v>
      </c>
      <c r="F48" s="16">
        <v>187693.11</v>
      </c>
      <c r="G48" s="16">
        <v>107634.85</v>
      </c>
      <c r="H48" s="16">
        <v>3181640.14</v>
      </c>
      <c r="I48" s="16">
        <v>425090.57</v>
      </c>
      <c r="J48" s="16">
        <v>4092937.1999999983</v>
      </c>
      <c r="K48" s="16">
        <v>0</v>
      </c>
      <c r="L48" s="16">
        <v>0</v>
      </c>
      <c r="M48" s="16">
        <v>9.129999999999999</v>
      </c>
      <c r="N48" s="18">
        <f t="shared" si="1"/>
        <v>75534149.954117477</v>
      </c>
      <c r="O48" s="4"/>
    </row>
    <row r="49" spans="1:15" ht="15" x14ac:dyDescent="0.2">
      <c r="A49" s="17" t="s">
        <v>44</v>
      </c>
      <c r="B49" s="16">
        <v>113881060.06</v>
      </c>
      <c r="C49" s="16">
        <v>0</v>
      </c>
      <c r="D49" s="16">
        <v>3225245.7128228405</v>
      </c>
      <c r="E49" s="16">
        <v>0</v>
      </c>
      <c r="F49" s="16">
        <v>1108360.2</v>
      </c>
      <c r="G49" s="16">
        <v>477747.67</v>
      </c>
      <c r="H49" s="16">
        <v>5564466.9100000001</v>
      </c>
      <c r="I49" s="16">
        <v>2510233.1</v>
      </c>
      <c r="J49" s="16">
        <v>9587171.1999999974</v>
      </c>
      <c r="K49" s="16">
        <v>0</v>
      </c>
      <c r="L49" s="16">
        <v>0</v>
      </c>
      <c r="M49" s="16">
        <v>54</v>
      </c>
      <c r="N49" s="18">
        <f t="shared" si="1"/>
        <v>136354338.85282284</v>
      </c>
      <c r="O49" s="4"/>
    </row>
    <row r="50" spans="1:15" ht="15" x14ac:dyDescent="0.2">
      <c r="A50" s="17" t="s">
        <v>45</v>
      </c>
      <c r="B50" s="16">
        <v>87045130.039999992</v>
      </c>
      <c r="C50" s="16">
        <v>0</v>
      </c>
      <c r="D50" s="16">
        <v>2642592.8658151603</v>
      </c>
      <c r="E50" s="16">
        <v>0</v>
      </c>
      <c r="F50" s="16">
        <v>310664.46000000002</v>
      </c>
      <c r="G50" s="16">
        <v>134071.48000000001</v>
      </c>
      <c r="H50" s="16">
        <v>4253207.21</v>
      </c>
      <c r="I50" s="16">
        <v>703598.18</v>
      </c>
      <c r="J50" s="16">
        <v>6737228.8000000026</v>
      </c>
      <c r="K50" s="16">
        <v>0</v>
      </c>
      <c r="L50" s="16">
        <v>0</v>
      </c>
      <c r="M50" s="16">
        <v>15.129999999999999</v>
      </c>
      <c r="N50" s="18">
        <f t="shared" si="1"/>
        <v>101826508.16581514</v>
      </c>
      <c r="O50" s="4"/>
    </row>
    <row r="51" spans="1:15" ht="15" x14ac:dyDescent="0.2">
      <c r="A51" s="17" t="s">
        <v>46</v>
      </c>
      <c r="B51" s="16">
        <v>83731683.710000008</v>
      </c>
      <c r="C51" s="16">
        <v>0</v>
      </c>
      <c r="D51" s="16">
        <v>3086892.9482720396</v>
      </c>
      <c r="E51" s="16">
        <v>0</v>
      </c>
      <c r="F51" s="16">
        <v>387251.88</v>
      </c>
      <c r="G51" s="16">
        <v>179391.42</v>
      </c>
      <c r="H51" s="16">
        <v>4091305.29</v>
      </c>
      <c r="I51" s="16">
        <v>877054.68</v>
      </c>
      <c r="J51" s="16">
        <v>4729202.8000000007</v>
      </c>
      <c r="K51" s="16">
        <v>0</v>
      </c>
      <c r="L51" s="16">
        <v>0</v>
      </c>
      <c r="M51" s="16">
        <v>18.849999999999998</v>
      </c>
      <c r="N51" s="18">
        <f t="shared" si="1"/>
        <v>97082801.578272045</v>
      </c>
      <c r="O51" s="4"/>
    </row>
    <row r="52" spans="1:15" ht="15" x14ac:dyDescent="0.2">
      <c r="A52" s="17" t="s">
        <v>47</v>
      </c>
      <c r="B52" s="16">
        <v>96889282.839999989</v>
      </c>
      <c r="C52" s="16">
        <v>0</v>
      </c>
      <c r="D52" s="16">
        <v>2652773.7450862397</v>
      </c>
      <c r="E52" s="16">
        <v>0</v>
      </c>
      <c r="F52" s="16">
        <v>356509.04</v>
      </c>
      <c r="G52" s="16">
        <v>209604.71</v>
      </c>
      <c r="H52" s="16">
        <v>4734213.12</v>
      </c>
      <c r="I52" s="16">
        <v>807427.77</v>
      </c>
      <c r="J52" s="16">
        <v>6585185.3999999966</v>
      </c>
      <c r="K52" s="16">
        <v>0</v>
      </c>
      <c r="L52" s="16">
        <v>0</v>
      </c>
      <c r="M52" s="16">
        <v>17.36</v>
      </c>
      <c r="N52" s="18">
        <f t="shared" si="1"/>
        <v>112235013.98508622</v>
      </c>
      <c r="O52" s="4"/>
    </row>
    <row r="53" spans="1:15" ht="15" x14ac:dyDescent="0.2">
      <c r="A53" s="17" t="s">
        <v>48</v>
      </c>
      <c r="B53" s="16">
        <v>35190856.120000005</v>
      </c>
      <c r="C53" s="16">
        <v>0</v>
      </c>
      <c r="D53" s="16">
        <v>3028678.4974703798</v>
      </c>
      <c r="E53" s="16">
        <v>0</v>
      </c>
      <c r="F53" s="16">
        <v>62025.02</v>
      </c>
      <c r="G53" s="16">
        <v>33989.949999999997</v>
      </c>
      <c r="H53" s="16">
        <v>1719498.88</v>
      </c>
      <c r="I53" s="16">
        <v>140475.32999999999</v>
      </c>
      <c r="J53" s="16">
        <v>3141682.0000000009</v>
      </c>
      <c r="K53" s="16">
        <v>0</v>
      </c>
      <c r="L53" s="16">
        <v>0</v>
      </c>
      <c r="M53" s="16">
        <v>3.01</v>
      </c>
      <c r="N53" s="18">
        <f t="shared" si="1"/>
        <v>43317208.807470389</v>
      </c>
      <c r="O53" s="4"/>
    </row>
    <row r="54" spans="1:15" ht="15" x14ac:dyDescent="0.2">
      <c r="A54" s="17" t="s">
        <v>49</v>
      </c>
      <c r="B54" s="16">
        <v>117954045.12</v>
      </c>
      <c r="C54" s="16">
        <v>0</v>
      </c>
      <c r="D54" s="16">
        <v>4333910.6433993801</v>
      </c>
      <c r="E54" s="16">
        <v>0</v>
      </c>
      <c r="F54" s="16">
        <v>213042.47</v>
      </c>
      <c r="G54" s="16">
        <v>130294.82</v>
      </c>
      <c r="H54" s="16">
        <v>5763481.4800000004</v>
      </c>
      <c r="I54" s="16">
        <v>482502.23</v>
      </c>
      <c r="J54" s="16">
        <v>7196417.200000002</v>
      </c>
      <c r="K54" s="16">
        <v>0</v>
      </c>
      <c r="L54" s="16">
        <v>0</v>
      </c>
      <c r="M54" s="16">
        <v>10.370000000000001</v>
      </c>
      <c r="N54" s="18">
        <f t="shared" si="1"/>
        <v>136073704.33339939</v>
      </c>
      <c r="O54" s="4"/>
    </row>
    <row r="55" spans="1:15" ht="15" x14ac:dyDescent="0.2">
      <c r="A55" s="17" t="s">
        <v>50</v>
      </c>
      <c r="B55" s="16">
        <v>51509330.439999998</v>
      </c>
      <c r="C55" s="16">
        <v>0</v>
      </c>
      <c r="D55" s="16">
        <v>1453332.5429884202</v>
      </c>
      <c r="E55" s="16">
        <v>0</v>
      </c>
      <c r="F55" s="16">
        <v>393184.71</v>
      </c>
      <c r="G55" s="16">
        <v>179391.42</v>
      </c>
      <c r="H55" s="16">
        <v>2516853.6800000002</v>
      </c>
      <c r="I55" s="16">
        <v>890491.45</v>
      </c>
      <c r="J55" s="16">
        <v>5152341.6000000006</v>
      </c>
      <c r="K55" s="16">
        <v>0</v>
      </c>
      <c r="L55" s="16">
        <v>0</v>
      </c>
      <c r="M55" s="16">
        <v>19.149999999999999</v>
      </c>
      <c r="N55" s="18">
        <f t="shared" si="1"/>
        <v>62094944.992988423</v>
      </c>
      <c r="O55" s="4"/>
    </row>
    <row r="56" spans="1:15" ht="15" x14ac:dyDescent="0.2">
      <c r="A56" s="17" t="s">
        <v>51</v>
      </c>
      <c r="B56" s="16">
        <v>43771322.190000005</v>
      </c>
      <c r="C56" s="16">
        <v>0</v>
      </c>
      <c r="D56" s="16">
        <v>1464419.3668421002</v>
      </c>
      <c r="E56" s="16">
        <v>0</v>
      </c>
      <c r="F56" s="16">
        <v>111105.69</v>
      </c>
      <c r="G56" s="16">
        <v>45319.94</v>
      </c>
      <c r="H56" s="16">
        <v>2138758.4</v>
      </c>
      <c r="I56" s="16">
        <v>251634.07</v>
      </c>
      <c r="J56" s="16">
        <v>4224959.2</v>
      </c>
      <c r="K56" s="16">
        <v>0</v>
      </c>
      <c r="L56" s="16">
        <v>0</v>
      </c>
      <c r="M56" s="16">
        <v>5.4</v>
      </c>
      <c r="N56" s="18">
        <f t="shared" si="1"/>
        <v>52007524.256842099</v>
      </c>
      <c r="O56" s="4"/>
    </row>
    <row r="57" spans="1:15" ht="15" x14ac:dyDescent="0.2">
      <c r="A57" s="17" t="s">
        <v>52</v>
      </c>
      <c r="B57" s="16">
        <v>105648854.12</v>
      </c>
      <c r="C57" s="16">
        <v>0</v>
      </c>
      <c r="D57" s="16">
        <v>2968879.5645244</v>
      </c>
      <c r="E57" s="16">
        <v>0</v>
      </c>
      <c r="F57" s="16">
        <v>570630.21</v>
      </c>
      <c r="G57" s="16">
        <v>237929.67</v>
      </c>
      <c r="H57" s="16">
        <v>5162224.0999999996</v>
      </c>
      <c r="I57" s="16">
        <v>1292373.05</v>
      </c>
      <c r="J57" s="16">
        <v>8855216.4000000022</v>
      </c>
      <c r="K57" s="16">
        <v>0</v>
      </c>
      <c r="L57" s="16">
        <v>0</v>
      </c>
      <c r="M57" s="16">
        <v>27.79</v>
      </c>
      <c r="N57" s="18">
        <f t="shared" si="1"/>
        <v>124736134.9045244</v>
      </c>
      <c r="O57" s="4"/>
    </row>
    <row r="58" spans="1:15" ht="15" x14ac:dyDescent="0.2">
      <c r="A58" s="17" t="s">
        <v>53</v>
      </c>
      <c r="B58" s="16">
        <v>91187767.13000001</v>
      </c>
      <c r="C58" s="16">
        <v>0</v>
      </c>
      <c r="D58" s="16">
        <v>1734579.5294792599</v>
      </c>
      <c r="E58" s="16">
        <v>0</v>
      </c>
      <c r="F58" s="16">
        <v>332238.38</v>
      </c>
      <c r="G58" s="16">
        <v>135959.81</v>
      </c>
      <c r="H58" s="16">
        <v>4455625.13</v>
      </c>
      <c r="I58" s="16">
        <v>752459.17</v>
      </c>
      <c r="J58" s="16">
        <v>5244575.8</v>
      </c>
      <c r="K58" s="16">
        <v>0</v>
      </c>
      <c r="L58" s="16">
        <v>0</v>
      </c>
      <c r="M58" s="16">
        <v>16.170000000000002</v>
      </c>
      <c r="N58" s="18">
        <f t="shared" si="1"/>
        <v>103843221.11947927</v>
      </c>
      <c r="O58" s="4"/>
    </row>
    <row r="59" spans="1:15" ht="15" x14ac:dyDescent="0.2">
      <c r="A59" s="17" t="s">
        <v>54</v>
      </c>
      <c r="B59" s="16">
        <v>102279022.84</v>
      </c>
      <c r="C59" s="16">
        <v>0</v>
      </c>
      <c r="D59" s="16">
        <v>2926423.4819839797</v>
      </c>
      <c r="E59" s="16">
        <v>0</v>
      </c>
      <c r="F59" s="16">
        <v>323608.81</v>
      </c>
      <c r="G59" s="16">
        <v>135959.81</v>
      </c>
      <c r="H59" s="16">
        <v>4997567.09</v>
      </c>
      <c r="I59" s="16">
        <v>732914.77</v>
      </c>
      <c r="J59" s="16">
        <v>5831425.1999999974</v>
      </c>
      <c r="K59" s="16">
        <v>0</v>
      </c>
      <c r="L59" s="16">
        <v>0</v>
      </c>
      <c r="M59" s="16">
        <v>15.76</v>
      </c>
      <c r="N59" s="18">
        <f t="shared" si="1"/>
        <v>117226937.76198399</v>
      </c>
      <c r="O59" s="4"/>
    </row>
    <row r="60" spans="1:15" ht="15" x14ac:dyDescent="0.2">
      <c r="A60" s="17" t="s">
        <v>55</v>
      </c>
      <c r="B60" s="16">
        <v>743591747.16000009</v>
      </c>
      <c r="C60" s="16">
        <v>0</v>
      </c>
      <c r="D60" s="16">
        <v>21167360.01498688</v>
      </c>
      <c r="E60" s="16">
        <v>0</v>
      </c>
      <c r="F60" s="16">
        <v>17801181.82</v>
      </c>
      <c r="G60" s="16">
        <v>7481566.29</v>
      </c>
      <c r="H60" s="16">
        <v>36333448.82</v>
      </c>
      <c r="I60" s="16">
        <v>40316420.119999997</v>
      </c>
      <c r="J60" s="16">
        <v>96755256.99999997</v>
      </c>
      <c r="K60" s="16">
        <v>0</v>
      </c>
      <c r="L60" s="16">
        <v>0</v>
      </c>
      <c r="M60" s="16">
        <v>867.34</v>
      </c>
      <c r="N60" s="18">
        <f t="shared" si="1"/>
        <v>963447848.56498706</v>
      </c>
      <c r="O60" s="4"/>
    </row>
    <row r="61" spans="1:15" ht="15" x14ac:dyDescent="0.2">
      <c r="A61" s="17" t="s">
        <v>56</v>
      </c>
      <c r="B61" s="16">
        <v>109662137.42999999</v>
      </c>
      <c r="C61" s="16">
        <v>0</v>
      </c>
      <c r="D61" s="16">
        <v>1469612.4530241201</v>
      </c>
      <c r="E61" s="16">
        <v>0</v>
      </c>
      <c r="F61" s="16">
        <v>3177838.61</v>
      </c>
      <c r="G61" s="16">
        <v>726720.01002125035</v>
      </c>
      <c r="H61" s="16">
        <v>5358321.5199999996</v>
      </c>
      <c r="I61" s="16">
        <v>7197223.0700000003</v>
      </c>
      <c r="J61" s="16">
        <v>23470495</v>
      </c>
      <c r="K61" s="16">
        <v>0</v>
      </c>
      <c r="L61" s="16">
        <v>0</v>
      </c>
      <c r="M61" s="16">
        <v>154.82999999999998</v>
      </c>
      <c r="N61" s="18">
        <f t="shared" si="1"/>
        <v>151062502.92304537</v>
      </c>
      <c r="O61" s="4"/>
    </row>
    <row r="62" spans="1:15" ht="15" x14ac:dyDescent="0.2">
      <c r="A62" s="17" t="s">
        <v>57</v>
      </c>
      <c r="B62" s="16">
        <v>733760861.38</v>
      </c>
      <c r="C62" s="16">
        <v>0</v>
      </c>
      <c r="D62" s="16">
        <v>5726045.75</v>
      </c>
      <c r="E62" s="16">
        <v>0</v>
      </c>
      <c r="F62" s="16">
        <v>14249035.68</v>
      </c>
      <c r="G62" s="16">
        <v>0</v>
      </c>
      <c r="H62" s="16">
        <v>35853091.170000002</v>
      </c>
      <c r="I62" s="16">
        <v>32271458.960000001</v>
      </c>
      <c r="J62" s="16">
        <v>48256509.20000001</v>
      </c>
      <c r="K62" s="16">
        <v>0</v>
      </c>
      <c r="L62" s="16">
        <v>0</v>
      </c>
      <c r="M62" s="16">
        <v>694.26</v>
      </c>
      <c r="N62" s="18">
        <f t="shared" si="1"/>
        <v>870117696.39999998</v>
      </c>
      <c r="O62" s="4"/>
    </row>
    <row r="63" spans="1:15" ht="15" x14ac:dyDescent="0.2">
      <c r="A63" s="17" t="s">
        <v>58</v>
      </c>
      <c r="B63" s="16">
        <v>111035277.37</v>
      </c>
      <c r="C63" s="16">
        <v>0</v>
      </c>
      <c r="D63" s="16">
        <v>4407280.1883966802</v>
      </c>
      <c r="E63" s="16">
        <v>0</v>
      </c>
      <c r="F63" s="16">
        <v>502133.01</v>
      </c>
      <c r="G63" s="16">
        <v>219046.36</v>
      </c>
      <c r="H63" s="16">
        <v>5425416.0099999998</v>
      </c>
      <c r="I63" s="16">
        <v>1137239.42</v>
      </c>
      <c r="J63" s="16">
        <v>6639274.2000000002</v>
      </c>
      <c r="K63" s="16">
        <v>0</v>
      </c>
      <c r="L63" s="16">
        <v>0</v>
      </c>
      <c r="M63" s="16">
        <v>24.45</v>
      </c>
      <c r="N63" s="18">
        <f t="shared" si="1"/>
        <v>129365691.0083967</v>
      </c>
      <c r="O63" s="4"/>
    </row>
    <row r="64" spans="1:15" ht="15" x14ac:dyDescent="0.2">
      <c r="A64" s="17" t="s">
        <v>59</v>
      </c>
      <c r="B64" s="16">
        <v>216534877.22999999</v>
      </c>
      <c r="C64" s="16">
        <v>0</v>
      </c>
      <c r="D64" s="16">
        <v>8924438.4552428983</v>
      </c>
      <c r="E64" s="16">
        <v>0</v>
      </c>
      <c r="F64" s="16">
        <v>919049.04</v>
      </c>
      <c r="G64" s="16">
        <v>373889.48</v>
      </c>
      <c r="H64" s="16">
        <v>10580347.23</v>
      </c>
      <c r="I64" s="16">
        <v>2081477.95</v>
      </c>
      <c r="J64" s="16">
        <v>13642076.200000007</v>
      </c>
      <c r="K64" s="16">
        <v>0</v>
      </c>
      <c r="L64" s="16">
        <v>0</v>
      </c>
      <c r="M64" s="16">
        <v>44.77</v>
      </c>
      <c r="N64" s="18">
        <f t="shared" si="1"/>
        <v>253056200.35524288</v>
      </c>
      <c r="O64" s="4"/>
    </row>
    <row r="65" spans="1:15" ht="15" x14ac:dyDescent="0.2">
      <c r="A65" s="17" t="s">
        <v>60</v>
      </c>
      <c r="B65" s="16">
        <v>120813094.91</v>
      </c>
      <c r="C65" s="16">
        <v>0</v>
      </c>
      <c r="D65" s="16">
        <v>3936254.5387200401</v>
      </c>
      <c r="E65" s="16">
        <v>0</v>
      </c>
      <c r="F65" s="16">
        <v>200098.12</v>
      </c>
      <c r="G65" s="16">
        <v>143513.13</v>
      </c>
      <c r="H65" s="16">
        <v>5903180.6399999997</v>
      </c>
      <c r="I65" s="16">
        <v>453185.63</v>
      </c>
      <c r="J65" s="16">
        <v>7882693.8000000035</v>
      </c>
      <c r="K65" s="16">
        <v>0</v>
      </c>
      <c r="L65" s="16">
        <v>0</v>
      </c>
      <c r="M65" s="16">
        <v>9.74</v>
      </c>
      <c r="N65" s="18">
        <f t="shared" si="1"/>
        <v>139332030.50872004</v>
      </c>
      <c r="O65" s="4"/>
    </row>
    <row r="66" spans="1:15" ht="15" x14ac:dyDescent="0.2">
      <c r="A66" s="17" t="s">
        <v>61</v>
      </c>
      <c r="B66" s="16">
        <v>67439743.49000001</v>
      </c>
      <c r="C66" s="16">
        <v>0</v>
      </c>
      <c r="D66" s="16">
        <v>3269852.7045601006</v>
      </c>
      <c r="E66" s="16">
        <v>0</v>
      </c>
      <c r="F66" s="16">
        <v>195783.33</v>
      </c>
      <c r="G66" s="16">
        <v>115188.17</v>
      </c>
      <c r="H66" s="16">
        <v>3295247</v>
      </c>
      <c r="I66" s="16">
        <v>443413.44</v>
      </c>
      <c r="J66" s="16">
        <v>3532310.8000000003</v>
      </c>
      <c r="K66" s="16">
        <v>0</v>
      </c>
      <c r="L66" s="16">
        <v>0</v>
      </c>
      <c r="M66" s="16">
        <v>9.5299999999999994</v>
      </c>
      <c r="N66" s="18">
        <f t="shared" si="1"/>
        <v>78291548.464560106</v>
      </c>
      <c r="O66" s="4"/>
    </row>
    <row r="67" spans="1:15" ht="15" x14ac:dyDescent="0.2">
      <c r="A67" s="17" t="s">
        <v>62</v>
      </c>
      <c r="B67" s="16">
        <v>311563456.06999999</v>
      </c>
      <c r="C67" s="16">
        <v>0</v>
      </c>
      <c r="D67" s="16">
        <v>1806364.7299999997</v>
      </c>
      <c r="E67" s="16">
        <v>0</v>
      </c>
      <c r="F67" s="16">
        <v>5260800.71</v>
      </c>
      <c r="G67" s="16">
        <v>2411597.5207006098</v>
      </c>
      <c r="H67" s="16">
        <v>15223642.449999999</v>
      </c>
      <c r="I67" s="16">
        <v>11914751.15</v>
      </c>
      <c r="J67" s="16">
        <v>23835410.399999995</v>
      </c>
      <c r="K67" s="16">
        <v>0</v>
      </c>
      <c r="L67" s="16">
        <v>0</v>
      </c>
      <c r="M67" s="16">
        <v>256.31</v>
      </c>
      <c r="N67" s="18">
        <f t="shared" si="1"/>
        <v>372016279.34070057</v>
      </c>
      <c r="O67" s="4"/>
    </row>
    <row r="68" spans="1:15" ht="15" x14ac:dyDescent="0.2">
      <c r="A68" s="17" t="s">
        <v>63</v>
      </c>
      <c r="B68" s="16">
        <v>191393813.14000002</v>
      </c>
      <c r="C68" s="16">
        <v>0</v>
      </c>
      <c r="D68" s="16">
        <v>2531092.79</v>
      </c>
      <c r="E68" s="16">
        <v>0</v>
      </c>
      <c r="F68" s="16">
        <v>4639471.7699999996</v>
      </c>
      <c r="G68" s="16">
        <v>2411363.6023321715</v>
      </c>
      <c r="H68" s="16">
        <v>9351902.2300000004</v>
      </c>
      <c r="I68" s="16">
        <v>10507554.789999999</v>
      </c>
      <c r="J68" s="16">
        <v>20228649.399999999</v>
      </c>
      <c r="K68" s="16">
        <v>0</v>
      </c>
      <c r="L68" s="16">
        <v>0</v>
      </c>
      <c r="M68" s="16">
        <v>226.04000000000002</v>
      </c>
      <c r="N68" s="18">
        <f t="shared" si="1"/>
        <v>241064073.76233217</v>
      </c>
      <c r="O68" s="4"/>
    </row>
    <row r="69" spans="1:15" ht="15" x14ac:dyDescent="0.2">
      <c r="A69" s="17" t="s">
        <v>64</v>
      </c>
      <c r="B69" s="16">
        <v>591760283.85000002</v>
      </c>
      <c r="C69" s="16">
        <v>0</v>
      </c>
      <c r="D69" s="16">
        <v>1794868.4674595799</v>
      </c>
      <c r="E69" s="16">
        <v>0</v>
      </c>
      <c r="F69" s="16">
        <v>13692428.51</v>
      </c>
      <c r="G69" s="16">
        <v>2293863.8209968307</v>
      </c>
      <c r="H69" s="16">
        <v>28914645.800000001</v>
      </c>
      <c r="I69" s="16">
        <v>31010845.550000001</v>
      </c>
      <c r="J69" s="16">
        <v>44807228.799999997</v>
      </c>
      <c r="K69" s="16">
        <v>0</v>
      </c>
      <c r="L69" s="16">
        <v>0</v>
      </c>
      <c r="M69" s="16">
        <v>667.14</v>
      </c>
      <c r="N69" s="18">
        <f t="shared" si="1"/>
        <v>714274831.9384563</v>
      </c>
      <c r="O69" s="4"/>
    </row>
    <row r="70" spans="1:15" ht="15" x14ac:dyDescent="0.2">
      <c r="A70" s="17" t="s">
        <v>65</v>
      </c>
      <c r="B70" s="16">
        <v>135310666.28</v>
      </c>
      <c r="C70" s="16">
        <v>0</v>
      </c>
      <c r="D70" s="16">
        <v>6149388.4376359601</v>
      </c>
      <c r="E70" s="16">
        <v>0</v>
      </c>
      <c r="F70" s="16">
        <v>3040844.2</v>
      </c>
      <c r="G70" s="16">
        <v>1091455.1599999999</v>
      </c>
      <c r="H70" s="16">
        <v>6611562.3099999996</v>
      </c>
      <c r="I70" s="16">
        <v>6886955.8099999996</v>
      </c>
      <c r="J70" s="16">
        <v>18740612.399999995</v>
      </c>
      <c r="K70" s="16">
        <v>0</v>
      </c>
      <c r="L70" s="16">
        <v>0</v>
      </c>
      <c r="M70" s="16">
        <v>148.16000000000003</v>
      </c>
      <c r="N70" s="18">
        <f t="shared" si="1"/>
        <v>177831632.75763595</v>
      </c>
      <c r="O70" s="4"/>
    </row>
    <row r="71" spans="1:15" ht="15" x14ac:dyDescent="0.2">
      <c r="A71" s="17" t="s">
        <v>66</v>
      </c>
      <c r="B71" s="16">
        <v>469116335.65999997</v>
      </c>
      <c r="C71" s="16">
        <v>0</v>
      </c>
      <c r="D71" s="16">
        <v>1957876.4999999998</v>
      </c>
      <c r="E71" s="16">
        <v>0</v>
      </c>
      <c r="F71" s="16">
        <v>1914685.51</v>
      </c>
      <c r="G71" s="16">
        <v>842195.5</v>
      </c>
      <c r="H71" s="16">
        <v>22922005.850000001</v>
      </c>
      <c r="I71" s="16">
        <v>4336412.4000000004</v>
      </c>
      <c r="J71" s="16">
        <v>16133021.799999999</v>
      </c>
      <c r="K71" s="16">
        <v>0</v>
      </c>
      <c r="L71" s="16">
        <v>0</v>
      </c>
      <c r="M71" s="16">
        <v>93.28</v>
      </c>
      <c r="N71" s="18">
        <f t="shared" si="1"/>
        <v>517222626.49999994</v>
      </c>
      <c r="O71" s="4"/>
    </row>
    <row r="72" spans="1:15" ht="15" x14ac:dyDescent="0.2">
      <c r="A72" s="17" t="s">
        <v>67</v>
      </c>
      <c r="B72" s="16">
        <v>2441310094.52</v>
      </c>
      <c r="C72" s="16">
        <v>0</v>
      </c>
      <c r="D72" s="16">
        <v>10845692.199525602</v>
      </c>
      <c r="E72" s="16">
        <v>0</v>
      </c>
      <c r="F72" s="16">
        <v>55711955.770000003</v>
      </c>
      <c r="G72" s="16">
        <v>0</v>
      </c>
      <c r="H72" s="16">
        <v>119287519.95</v>
      </c>
      <c r="I72" s="16">
        <v>126177385.73</v>
      </c>
      <c r="J72" s="16">
        <v>237556733.19999996</v>
      </c>
      <c r="K72" s="16">
        <v>0</v>
      </c>
      <c r="L72" s="16">
        <v>0</v>
      </c>
      <c r="M72" s="16">
        <v>2714.51</v>
      </c>
      <c r="N72" s="18">
        <f t="shared" ref="N72:N103" si="2">SUM(B72:M72)</f>
        <v>2990892095.8795257</v>
      </c>
      <c r="O72" s="4"/>
    </row>
    <row r="73" spans="1:15" ht="15" x14ac:dyDescent="0.2">
      <c r="A73" s="17" t="s">
        <v>68</v>
      </c>
      <c r="B73" s="16">
        <v>978090213.25999999</v>
      </c>
      <c r="C73" s="16">
        <v>0</v>
      </c>
      <c r="D73" s="16">
        <v>19073105.152527221</v>
      </c>
      <c r="E73" s="16">
        <v>0</v>
      </c>
      <c r="F73" s="16">
        <v>20678603.579999998</v>
      </c>
      <c r="G73" s="16">
        <v>9751307.7952758372</v>
      </c>
      <c r="H73" s="16">
        <v>47791534.590000004</v>
      </c>
      <c r="I73" s="16">
        <v>46833253.969999999</v>
      </c>
      <c r="J73" s="16">
        <v>102636438.40000002</v>
      </c>
      <c r="K73" s="16">
        <v>0</v>
      </c>
      <c r="L73" s="16">
        <v>0</v>
      </c>
      <c r="M73" s="16">
        <v>1007.5400000000001</v>
      </c>
      <c r="N73" s="18">
        <f t="shared" si="2"/>
        <v>1224855464.2878032</v>
      </c>
      <c r="O73" s="4"/>
    </row>
    <row r="74" spans="1:15" ht="15" x14ac:dyDescent="0.2">
      <c r="A74" s="17" t="s">
        <v>69</v>
      </c>
      <c r="B74" s="16">
        <v>605057187.00999999</v>
      </c>
      <c r="C74" s="16">
        <v>0</v>
      </c>
      <c r="D74" s="16">
        <v>5145154.6100000003</v>
      </c>
      <c r="E74" s="16">
        <v>0</v>
      </c>
      <c r="F74" s="16">
        <v>15013291.84</v>
      </c>
      <c r="G74" s="16">
        <v>16817952.914499938</v>
      </c>
      <c r="H74" s="16">
        <v>29564360.32</v>
      </c>
      <c r="I74" s="16">
        <v>34002359.350000001</v>
      </c>
      <c r="J74" s="16">
        <v>55767377.999999985</v>
      </c>
      <c r="K74" s="16">
        <v>0</v>
      </c>
      <c r="L74" s="16">
        <v>0</v>
      </c>
      <c r="M74" s="16">
        <v>731.5</v>
      </c>
      <c r="N74" s="18">
        <f t="shared" si="2"/>
        <v>761368415.54450011</v>
      </c>
      <c r="O74" s="4"/>
    </row>
    <row r="75" spans="1:15" ht="15" x14ac:dyDescent="0.2">
      <c r="A75" s="17" t="s">
        <v>70</v>
      </c>
      <c r="B75" s="16">
        <v>97861094.409999967</v>
      </c>
      <c r="C75" s="16">
        <v>0</v>
      </c>
      <c r="D75" s="16">
        <v>3371584.7566845398</v>
      </c>
      <c r="E75" s="16">
        <v>0</v>
      </c>
      <c r="F75" s="16">
        <v>272910.09999999998</v>
      </c>
      <c r="G75" s="16">
        <v>122741.5</v>
      </c>
      <c r="H75" s="16">
        <v>4781697.8600000003</v>
      </c>
      <c r="I75" s="16">
        <v>618091.46</v>
      </c>
      <c r="J75" s="16">
        <v>6521694.8000000026</v>
      </c>
      <c r="K75" s="16">
        <v>0</v>
      </c>
      <c r="L75" s="16">
        <v>0</v>
      </c>
      <c r="M75" s="16">
        <v>13.29</v>
      </c>
      <c r="N75" s="18">
        <f t="shared" si="2"/>
        <v>113549828.1766845</v>
      </c>
      <c r="O75" s="4"/>
    </row>
    <row r="76" spans="1:15" ht="15" x14ac:dyDescent="0.2">
      <c r="A76" s="17" t="s">
        <v>71</v>
      </c>
      <c r="B76" s="16">
        <v>91157916.260000005</v>
      </c>
      <c r="C76" s="16">
        <v>0</v>
      </c>
      <c r="D76" s="16">
        <v>4216815.8941653399</v>
      </c>
      <c r="E76" s="16">
        <v>0</v>
      </c>
      <c r="F76" s="16">
        <v>491346.05</v>
      </c>
      <c r="G76" s="16">
        <v>288914.59999999998</v>
      </c>
      <c r="H76" s="16">
        <v>4454166.55</v>
      </c>
      <c r="I76" s="16">
        <v>1112808.93</v>
      </c>
      <c r="J76" s="16">
        <v>9287728.5999999978</v>
      </c>
      <c r="K76" s="16">
        <v>0</v>
      </c>
      <c r="L76" s="16">
        <v>0</v>
      </c>
      <c r="M76" s="16">
        <v>23.93</v>
      </c>
      <c r="N76" s="18">
        <f t="shared" si="2"/>
        <v>111009720.81416534</v>
      </c>
      <c r="O76" s="4"/>
    </row>
    <row r="77" spans="1:15" ht="15" x14ac:dyDescent="0.2">
      <c r="A77" s="17" t="s">
        <v>72</v>
      </c>
      <c r="B77" s="16">
        <v>118763335.33999999</v>
      </c>
      <c r="C77" s="16">
        <v>0</v>
      </c>
      <c r="D77" s="16">
        <v>2407932.9614790599</v>
      </c>
      <c r="E77" s="16">
        <v>0</v>
      </c>
      <c r="F77" s="16">
        <v>577102.39</v>
      </c>
      <c r="G77" s="16">
        <v>203939.72</v>
      </c>
      <c r="H77" s="16">
        <v>5803025.0899999999</v>
      </c>
      <c r="I77" s="16">
        <v>1307031.3400000001</v>
      </c>
      <c r="J77" s="16">
        <v>6234542.5999999987</v>
      </c>
      <c r="K77" s="16">
        <v>0</v>
      </c>
      <c r="L77" s="16">
        <v>0</v>
      </c>
      <c r="M77" s="16">
        <v>28.11</v>
      </c>
      <c r="N77" s="18">
        <f t="shared" si="2"/>
        <v>135296937.55147907</v>
      </c>
      <c r="O77" s="4"/>
    </row>
    <row r="78" spans="1:15" ht="15" x14ac:dyDescent="0.2">
      <c r="A78" s="17" t="s">
        <v>73</v>
      </c>
      <c r="B78" s="16">
        <v>46109640.170000002</v>
      </c>
      <c r="C78" s="16">
        <v>0</v>
      </c>
      <c r="D78" s="16">
        <v>1550794.6326769802</v>
      </c>
      <c r="E78" s="16">
        <v>0</v>
      </c>
      <c r="F78" s="16">
        <v>204952.25</v>
      </c>
      <c r="G78" s="16">
        <v>67979.91</v>
      </c>
      <c r="H78" s="16">
        <v>2253013.5099999998</v>
      </c>
      <c r="I78" s="16">
        <v>464179.36</v>
      </c>
      <c r="J78" s="16">
        <v>2812929.6</v>
      </c>
      <c r="K78" s="16">
        <v>0</v>
      </c>
      <c r="L78" s="16">
        <v>0</v>
      </c>
      <c r="M78" s="16">
        <v>9.9799999999999986</v>
      </c>
      <c r="N78" s="18">
        <f t="shared" si="2"/>
        <v>53463499.412676975</v>
      </c>
      <c r="O78" s="4"/>
    </row>
    <row r="79" spans="1:15" ht="15" x14ac:dyDescent="0.2">
      <c r="A79" s="17" t="s">
        <v>74</v>
      </c>
      <c r="B79" s="16">
        <v>184670734.38</v>
      </c>
      <c r="C79" s="16">
        <v>0</v>
      </c>
      <c r="D79" s="16">
        <v>8849541.1427899189</v>
      </c>
      <c r="E79" s="16">
        <v>0</v>
      </c>
      <c r="F79" s="16">
        <v>1030154.74</v>
      </c>
      <c r="G79" s="16">
        <v>506072.63</v>
      </c>
      <c r="H79" s="16">
        <v>9023398.5299999993</v>
      </c>
      <c r="I79" s="16">
        <v>2333112.0299999998</v>
      </c>
      <c r="J79" s="16">
        <v>14594067.800000003</v>
      </c>
      <c r="K79" s="16">
        <v>0</v>
      </c>
      <c r="L79" s="16">
        <v>0</v>
      </c>
      <c r="M79" s="16">
        <v>50.18</v>
      </c>
      <c r="N79" s="18">
        <f t="shared" si="2"/>
        <v>221007131.43278995</v>
      </c>
      <c r="O79" s="4"/>
    </row>
    <row r="80" spans="1:15" ht="15" x14ac:dyDescent="0.2">
      <c r="A80" s="17" t="s">
        <v>75</v>
      </c>
      <c r="B80" s="16">
        <v>115718546.79999998</v>
      </c>
      <c r="C80" s="16">
        <v>0</v>
      </c>
      <c r="D80" s="16">
        <v>6474684.1991468193</v>
      </c>
      <c r="E80" s="16">
        <v>0</v>
      </c>
      <c r="F80" s="16">
        <v>333317.08</v>
      </c>
      <c r="G80" s="16">
        <v>211493.04</v>
      </c>
      <c r="H80" s="16">
        <v>5654250.3600000003</v>
      </c>
      <c r="I80" s="16">
        <v>754902.22</v>
      </c>
      <c r="J80" s="16">
        <v>9618491.5999999996</v>
      </c>
      <c r="K80" s="16">
        <v>0</v>
      </c>
      <c r="L80" s="16">
        <v>0</v>
      </c>
      <c r="M80" s="16">
        <v>16.23</v>
      </c>
      <c r="N80" s="18">
        <f t="shared" si="2"/>
        <v>138765701.52914679</v>
      </c>
      <c r="O80" s="4"/>
    </row>
    <row r="81" spans="1:15" ht="15" x14ac:dyDescent="0.2">
      <c r="A81" s="17" t="s">
        <v>76</v>
      </c>
      <c r="B81" s="16">
        <v>58434731.739999995</v>
      </c>
      <c r="C81" s="16">
        <v>0</v>
      </c>
      <c r="D81" s="16">
        <v>3074265.3382508201</v>
      </c>
      <c r="E81" s="16">
        <v>0</v>
      </c>
      <c r="F81" s="16">
        <v>865653.59</v>
      </c>
      <c r="G81" s="16">
        <v>436204.4</v>
      </c>
      <c r="H81" s="16">
        <v>2855243.28</v>
      </c>
      <c r="I81" s="16">
        <v>1960547.02</v>
      </c>
      <c r="J81" s="16">
        <v>10695283.799999993</v>
      </c>
      <c r="K81" s="16">
        <v>0</v>
      </c>
      <c r="L81" s="16">
        <v>0</v>
      </c>
      <c r="M81" s="16">
        <v>42.169999999999995</v>
      </c>
      <c r="N81" s="18">
        <f t="shared" si="2"/>
        <v>78321971.338250816</v>
      </c>
      <c r="O81" s="4"/>
    </row>
    <row r="82" spans="1:15" ht="15" x14ac:dyDescent="0.2">
      <c r="A82" s="17" t="s">
        <v>77</v>
      </c>
      <c r="B82" s="16">
        <v>895297173.42999995</v>
      </c>
      <c r="C82" s="16">
        <v>0</v>
      </c>
      <c r="D82" s="16">
        <v>7519576.1799999997</v>
      </c>
      <c r="E82" s="16">
        <v>0</v>
      </c>
      <c r="F82" s="16">
        <v>24948621.949999999</v>
      </c>
      <c r="G82" s="16">
        <v>18149557.919139989</v>
      </c>
      <c r="H82" s="16">
        <v>43746093.409999996</v>
      </c>
      <c r="I82" s="16">
        <v>56504064.390000001</v>
      </c>
      <c r="J82" s="16">
        <v>91703900</v>
      </c>
      <c r="K82" s="16">
        <v>0</v>
      </c>
      <c r="L82" s="16">
        <v>0</v>
      </c>
      <c r="M82" s="16">
        <v>1215.5899999999999</v>
      </c>
      <c r="N82" s="18">
        <f t="shared" si="2"/>
        <v>1137870202.8691399</v>
      </c>
      <c r="O82" s="4"/>
    </row>
    <row r="83" spans="1:15" ht="15" x14ac:dyDescent="0.2">
      <c r="A83" s="17" t="s">
        <v>78</v>
      </c>
      <c r="B83" s="16">
        <v>270571581.24000007</v>
      </c>
      <c r="C83" s="16">
        <v>0</v>
      </c>
      <c r="D83" s="16">
        <v>4708306.0752836205</v>
      </c>
      <c r="E83" s="16">
        <v>0</v>
      </c>
      <c r="F83" s="16">
        <v>2762540.62</v>
      </c>
      <c r="G83" s="16">
        <v>1284064.8899999999</v>
      </c>
      <c r="H83" s="16">
        <v>13220693.67</v>
      </c>
      <c r="I83" s="16">
        <v>6256649.1100000003</v>
      </c>
      <c r="J83" s="16">
        <v>19777163.599999998</v>
      </c>
      <c r="K83" s="16">
        <v>0</v>
      </c>
      <c r="L83" s="16">
        <v>0</v>
      </c>
      <c r="M83" s="16">
        <v>134.59</v>
      </c>
      <c r="N83" s="18">
        <f t="shared" si="2"/>
        <v>318581133.79528373</v>
      </c>
      <c r="O83" s="4"/>
    </row>
    <row r="84" spans="1:15" ht="15" x14ac:dyDescent="0.2">
      <c r="A84" s="17" t="s">
        <v>79</v>
      </c>
      <c r="B84" s="16">
        <v>96677010</v>
      </c>
      <c r="C84" s="16">
        <v>0</v>
      </c>
      <c r="D84" s="16">
        <v>2460008.80607486</v>
      </c>
      <c r="E84" s="16">
        <v>0</v>
      </c>
      <c r="F84" s="16">
        <v>554449.77</v>
      </c>
      <c r="G84" s="16">
        <v>118429.13315635145</v>
      </c>
      <c r="H84" s="16">
        <v>4723841.0199999996</v>
      </c>
      <c r="I84" s="16">
        <v>1255727.31</v>
      </c>
      <c r="J84" s="16">
        <v>8253697.799999998</v>
      </c>
      <c r="K84" s="16">
        <v>0</v>
      </c>
      <c r="L84" s="16">
        <v>0</v>
      </c>
      <c r="M84" s="16">
        <v>27</v>
      </c>
      <c r="N84" s="18">
        <f t="shared" si="2"/>
        <v>114043190.83923119</v>
      </c>
      <c r="O84" s="4"/>
    </row>
    <row r="85" spans="1:15" ht="15" x14ac:dyDescent="0.2">
      <c r="A85" s="17" t="s">
        <v>80</v>
      </c>
      <c r="B85" s="16">
        <v>91970523.200000003</v>
      </c>
      <c r="C85" s="16">
        <v>0</v>
      </c>
      <c r="D85" s="16">
        <v>3385524.3079129802</v>
      </c>
      <c r="E85" s="16">
        <v>0</v>
      </c>
      <c r="F85" s="16">
        <v>262123.14</v>
      </c>
      <c r="G85" s="16">
        <v>122741.5</v>
      </c>
      <c r="H85" s="16">
        <v>4493872.2300000004</v>
      </c>
      <c r="I85" s="16">
        <v>593660.97</v>
      </c>
      <c r="J85" s="16">
        <v>4595651.6000000006</v>
      </c>
      <c r="K85" s="16">
        <v>0</v>
      </c>
      <c r="L85" s="16">
        <v>0</v>
      </c>
      <c r="M85" s="16">
        <v>12.77</v>
      </c>
      <c r="N85" s="18">
        <f t="shared" si="2"/>
        <v>105424109.71791297</v>
      </c>
      <c r="O85" s="4"/>
    </row>
    <row r="86" spans="1:15" ht="15" x14ac:dyDescent="0.2">
      <c r="A86" s="17" t="s">
        <v>81</v>
      </c>
      <c r="B86" s="16">
        <v>1094014399.5</v>
      </c>
      <c r="C86" s="16">
        <v>0</v>
      </c>
      <c r="D86" s="16">
        <v>5708300.0000000009</v>
      </c>
      <c r="E86" s="16">
        <v>0</v>
      </c>
      <c r="F86" s="16">
        <v>15653497.949999999</v>
      </c>
      <c r="G86" s="16">
        <v>4281012.4947091285</v>
      </c>
      <c r="H86" s="16">
        <v>53455832.920000002</v>
      </c>
      <c r="I86" s="16">
        <v>35452309.079999998</v>
      </c>
      <c r="J86" s="16">
        <v>40707976.399999999</v>
      </c>
      <c r="K86" s="16">
        <v>0</v>
      </c>
      <c r="L86" s="16">
        <v>0</v>
      </c>
      <c r="M86" s="16">
        <v>762.68999999999994</v>
      </c>
      <c r="N86" s="18">
        <f t="shared" si="2"/>
        <v>1249274091.0347092</v>
      </c>
      <c r="O86" s="4"/>
    </row>
    <row r="87" spans="1:15" ht="15" x14ac:dyDescent="0.2">
      <c r="A87" s="17" t="s">
        <v>82</v>
      </c>
      <c r="B87" s="16">
        <v>153188019.28</v>
      </c>
      <c r="C87" s="16">
        <v>0</v>
      </c>
      <c r="D87" s="16">
        <v>3505195.4326386605</v>
      </c>
      <c r="E87" s="16">
        <v>0</v>
      </c>
      <c r="F87" s="16">
        <v>444422.77</v>
      </c>
      <c r="G87" s="16">
        <v>256812.98</v>
      </c>
      <c r="H87" s="16">
        <v>7485087.1900000004</v>
      </c>
      <c r="I87" s="16">
        <v>1006536.29</v>
      </c>
      <c r="J87" s="16">
        <v>8914260.9999999981</v>
      </c>
      <c r="K87" s="16">
        <v>0</v>
      </c>
      <c r="L87" s="16">
        <v>0</v>
      </c>
      <c r="M87" s="16">
        <v>21.64</v>
      </c>
      <c r="N87" s="18">
        <f t="shared" si="2"/>
        <v>174800356.58263865</v>
      </c>
      <c r="O87" s="4"/>
    </row>
    <row r="88" spans="1:15" ht="15" x14ac:dyDescent="0.2">
      <c r="A88" s="17" t="s">
        <v>83</v>
      </c>
      <c r="B88" s="16">
        <v>131274165.63</v>
      </c>
      <c r="C88" s="16">
        <v>0</v>
      </c>
      <c r="D88" s="16">
        <v>1394918.9033885801</v>
      </c>
      <c r="E88" s="16">
        <v>0</v>
      </c>
      <c r="F88" s="16">
        <v>2181123.44</v>
      </c>
      <c r="G88" s="16">
        <v>655250.76</v>
      </c>
      <c r="H88" s="16">
        <v>6414330.4400000004</v>
      </c>
      <c r="I88" s="16">
        <v>4939845.57</v>
      </c>
      <c r="J88" s="16">
        <v>13321989.400000002</v>
      </c>
      <c r="K88" s="16">
        <v>0</v>
      </c>
      <c r="L88" s="16">
        <v>0</v>
      </c>
      <c r="M88" s="16">
        <v>106.25999999999999</v>
      </c>
      <c r="N88" s="18">
        <f t="shared" si="2"/>
        <v>160181730.40338856</v>
      </c>
      <c r="O88" s="4"/>
    </row>
    <row r="89" spans="1:15" ht="15" x14ac:dyDescent="0.2">
      <c r="A89" s="17" t="s">
        <v>84</v>
      </c>
      <c r="B89" s="16">
        <v>214820110.70000002</v>
      </c>
      <c r="C89" s="16">
        <v>0</v>
      </c>
      <c r="D89" s="16">
        <v>2940410.1193162999</v>
      </c>
      <c r="E89" s="16">
        <v>0</v>
      </c>
      <c r="F89" s="16">
        <v>1834322.65</v>
      </c>
      <c r="G89" s="16">
        <v>764773.94</v>
      </c>
      <c r="H89" s="16">
        <v>10496560.15</v>
      </c>
      <c r="I89" s="16">
        <v>4154405.24</v>
      </c>
      <c r="J89" s="16">
        <v>14095969.200000007</v>
      </c>
      <c r="K89" s="16">
        <v>0</v>
      </c>
      <c r="L89" s="16">
        <v>0</v>
      </c>
      <c r="M89" s="16">
        <v>89.37</v>
      </c>
      <c r="N89" s="18">
        <f t="shared" si="2"/>
        <v>249106641.36931637</v>
      </c>
      <c r="O89" s="4"/>
    </row>
    <row r="90" spans="1:15" ht="15" x14ac:dyDescent="0.2">
      <c r="A90" s="17" t="s">
        <v>85</v>
      </c>
      <c r="B90" s="16">
        <v>1128070922.77</v>
      </c>
      <c r="C90" s="16">
        <v>0</v>
      </c>
      <c r="D90" s="16">
        <v>3353840.0396223399</v>
      </c>
      <c r="E90" s="16">
        <v>0</v>
      </c>
      <c r="F90" s="16">
        <v>24882282.149999999</v>
      </c>
      <c r="G90" s="16">
        <v>7024051.8591224123</v>
      </c>
      <c r="H90" s="16">
        <v>55119905.909999996</v>
      </c>
      <c r="I90" s="16">
        <v>56353816.869999997</v>
      </c>
      <c r="J90" s="16">
        <v>83904888.000000015</v>
      </c>
      <c r="K90" s="16">
        <v>0</v>
      </c>
      <c r="L90" s="16">
        <v>0</v>
      </c>
      <c r="M90" s="16">
        <v>1212.3599999999999</v>
      </c>
      <c r="N90" s="18">
        <f t="shared" si="2"/>
        <v>1358710919.9587448</v>
      </c>
      <c r="O90" s="4"/>
    </row>
    <row r="91" spans="1:15" ht="15" x14ac:dyDescent="0.2">
      <c r="A91" s="17" t="s">
        <v>86</v>
      </c>
      <c r="B91" s="16">
        <v>41990220.440000005</v>
      </c>
      <c r="C91" s="16">
        <v>0</v>
      </c>
      <c r="D91" s="16">
        <v>3044351.92972448</v>
      </c>
      <c r="E91" s="16">
        <v>0</v>
      </c>
      <c r="F91" s="16">
        <v>577641.74</v>
      </c>
      <c r="G91" s="16">
        <v>254924.65</v>
      </c>
      <c r="H91" s="16">
        <v>2051730.04</v>
      </c>
      <c r="I91" s="16">
        <v>1308252.8700000001</v>
      </c>
      <c r="J91" s="16">
        <v>6102067.5999999987</v>
      </c>
      <c r="K91" s="16">
        <v>0</v>
      </c>
      <c r="L91" s="16">
        <v>0</v>
      </c>
      <c r="M91" s="16">
        <v>28.13</v>
      </c>
      <c r="N91" s="18">
        <f t="shared" si="2"/>
        <v>55329217.399724483</v>
      </c>
      <c r="O91" s="4"/>
    </row>
    <row r="92" spans="1:15" ht="15" x14ac:dyDescent="0.2">
      <c r="A92" s="17" t="s">
        <v>87</v>
      </c>
      <c r="B92" s="16">
        <v>60743198.870000005</v>
      </c>
      <c r="C92" s="16">
        <v>0</v>
      </c>
      <c r="D92" s="16">
        <v>320216.30999999994</v>
      </c>
      <c r="E92" s="16">
        <v>0</v>
      </c>
      <c r="F92" s="16">
        <v>123510.69</v>
      </c>
      <c r="G92" s="16">
        <v>79309.89</v>
      </c>
      <c r="H92" s="16">
        <v>2968039.81</v>
      </c>
      <c r="I92" s="16">
        <v>279729.14</v>
      </c>
      <c r="J92" s="16">
        <v>2478655.1999999993</v>
      </c>
      <c r="K92" s="16">
        <v>0</v>
      </c>
      <c r="L92" s="16">
        <v>0</v>
      </c>
      <c r="M92" s="16">
        <v>6.01</v>
      </c>
      <c r="N92" s="18">
        <f t="shared" si="2"/>
        <v>66992665.920000009</v>
      </c>
      <c r="O92" s="4"/>
    </row>
    <row r="93" spans="1:15" ht="15" x14ac:dyDescent="0.2">
      <c r="A93" s="17" t="s">
        <v>88</v>
      </c>
      <c r="B93" s="16">
        <v>602808421.6500001</v>
      </c>
      <c r="C93" s="16">
        <v>0</v>
      </c>
      <c r="D93" s="16">
        <v>3460700.57824542</v>
      </c>
      <c r="E93" s="16">
        <v>0</v>
      </c>
      <c r="F93" s="16">
        <v>20166222.949999999</v>
      </c>
      <c r="G93" s="16">
        <v>3592976.9132938636</v>
      </c>
      <c r="H93" s="16">
        <v>29454480.93</v>
      </c>
      <c r="I93" s="16">
        <v>45672805.579999998</v>
      </c>
      <c r="J93" s="16">
        <v>84065086.999999985</v>
      </c>
      <c r="K93" s="16">
        <v>0</v>
      </c>
      <c r="L93" s="16">
        <v>0</v>
      </c>
      <c r="M93" s="16">
        <v>982.57</v>
      </c>
      <c r="N93" s="18">
        <f t="shared" si="2"/>
        <v>789221678.17153943</v>
      </c>
      <c r="O93" s="4"/>
    </row>
    <row r="94" spans="1:15" ht="15" x14ac:dyDescent="0.2">
      <c r="A94" s="17" t="s">
        <v>89</v>
      </c>
      <c r="B94" s="16">
        <v>412485922.92000002</v>
      </c>
      <c r="C94" s="16">
        <v>0</v>
      </c>
      <c r="D94" s="16">
        <v>5653059.5800000001</v>
      </c>
      <c r="E94" s="16">
        <v>0</v>
      </c>
      <c r="F94" s="16">
        <v>9118757.1899999995</v>
      </c>
      <c r="G94" s="16">
        <v>4410866.1068853978</v>
      </c>
      <c r="H94" s="16">
        <v>20154925.370000001</v>
      </c>
      <c r="I94" s="16">
        <v>20652316.77</v>
      </c>
      <c r="J94" s="16">
        <v>42274456.399999999</v>
      </c>
      <c r="K94" s="16">
        <v>0</v>
      </c>
      <c r="L94" s="16">
        <v>0</v>
      </c>
      <c r="M94" s="16">
        <v>444.3</v>
      </c>
      <c r="N94" s="18">
        <f t="shared" si="2"/>
        <v>514750748.63688534</v>
      </c>
      <c r="O94" s="4"/>
    </row>
    <row r="95" spans="1:15" ht="15" x14ac:dyDescent="0.2">
      <c r="A95" s="17" t="s">
        <v>90</v>
      </c>
      <c r="B95" s="16">
        <v>76046743.670000002</v>
      </c>
      <c r="C95" s="16">
        <v>0</v>
      </c>
      <c r="D95" s="16">
        <v>2894198.1231130604</v>
      </c>
      <c r="E95" s="16">
        <v>0</v>
      </c>
      <c r="F95" s="16">
        <v>447119.51</v>
      </c>
      <c r="G95" s="16">
        <v>205828.05</v>
      </c>
      <c r="H95" s="16">
        <v>3715803.04</v>
      </c>
      <c r="I95" s="16">
        <v>1012643.91</v>
      </c>
      <c r="J95" s="16">
        <v>6297211.9999999981</v>
      </c>
      <c r="K95" s="16">
        <v>0</v>
      </c>
      <c r="L95" s="16">
        <v>0</v>
      </c>
      <c r="M95" s="16">
        <v>21.77</v>
      </c>
      <c r="N95" s="18">
        <f t="shared" si="2"/>
        <v>90619570.073113069</v>
      </c>
      <c r="O95" s="4"/>
    </row>
    <row r="96" spans="1:15" ht="15" x14ac:dyDescent="0.2">
      <c r="A96" s="17" t="s">
        <v>91</v>
      </c>
      <c r="B96" s="16">
        <v>246740638.56</v>
      </c>
      <c r="C96" s="16">
        <v>0</v>
      </c>
      <c r="D96" s="16">
        <v>8012010.1429593991</v>
      </c>
      <c r="E96" s="16">
        <v>0</v>
      </c>
      <c r="F96" s="16">
        <v>2505810.96</v>
      </c>
      <c r="G96" s="16">
        <v>1123556.78</v>
      </c>
      <c r="H96" s="16">
        <v>12056263.939999999</v>
      </c>
      <c r="I96" s="16">
        <v>5675203.3899999997</v>
      </c>
      <c r="J96" s="16">
        <v>22535155</v>
      </c>
      <c r="K96" s="16">
        <v>0</v>
      </c>
      <c r="L96" s="16">
        <v>0</v>
      </c>
      <c r="M96" s="16">
        <v>122.08</v>
      </c>
      <c r="N96" s="18">
        <f t="shared" si="2"/>
        <v>298648760.85295939</v>
      </c>
      <c r="O96" s="4"/>
    </row>
    <row r="97" spans="1:15" ht="15" x14ac:dyDescent="0.2">
      <c r="A97" s="17" t="s">
        <v>92</v>
      </c>
      <c r="B97" s="16">
        <v>119124862.49000001</v>
      </c>
      <c r="C97" s="16">
        <v>0</v>
      </c>
      <c r="D97" s="16">
        <v>9091370.3809466213</v>
      </c>
      <c r="E97" s="16">
        <v>0</v>
      </c>
      <c r="F97" s="16">
        <v>1156901.53</v>
      </c>
      <c r="G97" s="16">
        <v>575940.87</v>
      </c>
      <c r="H97" s="16">
        <v>5820690.0700000003</v>
      </c>
      <c r="I97" s="16">
        <v>2620170.31</v>
      </c>
      <c r="J97" s="16">
        <v>14576963.200000001</v>
      </c>
      <c r="K97" s="16">
        <v>0</v>
      </c>
      <c r="L97" s="16">
        <v>0</v>
      </c>
      <c r="M97" s="16">
        <v>56.36</v>
      </c>
      <c r="N97" s="18">
        <f t="shared" si="2"/>
        <v>152966955.21094665</v>
      </c>
      <c r="O97" s="4"/>
    </row>
    <row r="98" spans="1:15" ht="15" x14ac:dyDescent="0.2">
      <c r="A98" s="17" t="s">
        <v>93</v>
      </c>
      <c r="B98" s="16">
        <v>329364523.51999998</v>
      </c>
      <c r="C98" s="16">
        <v>0</v>
      </c>
      <c r="D98" s="16">
        <v>10132999.80791058</v>
      </c>
      <c r="E98" s="16">
        <v>0</v>
      </c>
      <c r="F98" s="16">
        <v>2690267.98</v>
      </c>
      <c r="G98" s="16">
        <v>1350156.47</v>
      </c>
      <c r="H98" s="16">
        <v>16093439.859999999</v>
      </c>
      <c r="I98" s="16">
        <v>6092964.8099999996</v>
      </c>
      <c r="J98" s="16">
        <v>28595933.800000008</v>
      </c>
      <c r="K98" s="16">
        <v>0</v>
      </c>
      <c r="L98" s="16">
        <v>0</v>
      </c>
      <c r="M98" s="16">
        <v>131.07</v>
      </c>
      <c r="N98" s="18">
        <f t="shared" si="2"/>
        <v>394320417.31791061</v>
      </c>
      <c r="O98" s="4"/>
    </row>
    <row r="99" spans="1:15" ht="15" x14ac:dyDescent="0.2">
      <c r="A99" s="17" t="s">
        <v>94</v>
      </c>
      <c r="B99" s="16">
        <v>230468598.91</v>
      </c>
      <c r="C99" s="16">
        <v>0</v>
      </c>
      <c r="D99" s="16">
        <v>8287463.4597435202</v>
      </c>
      <c r="E99" s="16">
        <v>0</v>
      </c>
      <c r="F99" s="16">
        <v>997254.51</v>
      </c>
      <c r="G99" s="16">
        <v>364447.83</v>
      </c>
      <c r="H99" s="16">
        <v>11261178.029999999</v>
      </c>
      <c r="I99" s="16">
        <v>2258599.02</v>
      </c>
      <c r="J99" s="16">
        <v>19022865.399999995</v>
      </c>
      <c r="K99" s="16">
        <v>0</v>
      </c>
      <c r="L99" s="16">
        <v>0</v>
      </c>
      <c r="M99" s="16">
        <v>48.58</v>
      </c>
      <c r="N99" s="18">
        <f t="shared" si="2"/>
        <v>272660455.73974353</v>
      </c>
      <c r="O99" s="4"/>
    </row>
    <row r="100" spans="1:15" ht="15" x14ac:dyDescent="0.2">
      <c r="A100" s="17" t="s">
        <v>95</v>
      </c>
      <c r="B100" s="16">
        <v>244717413.06999999</v>
      </c>
      <c r="C100" s="16">
        <v>0</v>
      </c>
      <c r="D100" s="16">
        <v>5987348.6705899602</v>
      </c>
      <c r="E100" s="16">
        <v>0</v>
      </c>
      <c r="F100" s="16">
        <v>1119686.51</v>
      </c>
      <c r="G100" s="16">
        <v>481524.33</v>
      </c>
      <c r="H100" s="16">
        <v>11957404.91</v>
      </c>
      <c r="I100" s="16">
        <v>2535885.11</v>
      </c>
      <c r="J100" s="16">
        <v>14873403.799999993</v>
      </c>
      <c r="K100" s="16">
        <v>0</v>
      </c>
      <c r="L100" s="16">
        <v>0</v>
      </c>
      <c r="M100" s="16">
        <v>54.55</v>
      </c>
      <c r="N100" s="18">
        <f t="shared" si="2"/>
        <v>281672720.95058995</v>
      </c>
      <c r="O100" s="4"/>
    </row>
    <row r="101" spans="1:15" ht="15" x14ac:dyDescent="0.2">
      <c r="A101" s="17" t="s">
        <v>96</v>
      </c>
      <c r="B101" s="16">
        <v>44958723.379999995</v>
      </c>
      <c r="C101" s="16">
        <v>0</v>
      </c>
      <c r="D101" s="16">
        <v>1649682.9571217401</v>
      </c>
      <c r="E101" s="16">
        <v>0</v>
      </c>
      <c r="F101" s="16">
        <v>133758.31</v>
      </c>
      <c r="G101" s="16">
        <v>71756.570000000007</v>
      </c>
      <c r="H101" s="16">
        <v>2196777.31</v>
      </c>
      <c r="I101" s="16">
        <v>302938.11</v>
      </c>
      <c r="J101" s="16">
        <v>3219558.6000000006</v>
      </c>
      <c r="K101" s="16">
        <v>0</v>
      </c>
      <c r="L101" s="16">
        <v>0</v>
      </c>
      <c r="M101" s="16">
        <v>6.51</v>
      </c>
      <c r="N101" s="18">
        <f t="shared" si="2"/>
        <v>52533201.747121736</v>
      </c>
      <c r="O101" s="4"/>
    </row>
    <row r="102" spans="1:15" ht="15" x14ac:dyDescent="0.2">
      <c r="A102" s="17" t="s">
        <v>97</v>
      </c>
      <c r="B102" s="16">
        <v>146478207.56999999</v>
      </c>
      <c r="C102" s="16">
        <v>0</v>
      </c>
      <c r="D102" s="16">
        <v>7326911.2950306004</v>
      </c>
      <c r="E102" s="16">
        <v>0</v>
      </c>
      <c r="F102" s="16">
        <v>2589949.25</v>
      </c>
      <c r="G102" s="16">
        <v>1263293.25</v>
      </c>
      <c r="H102" s="16">
        <v>7157231.75</v>
      </c>
      <c r="I102" s="16">
        <v>5865761.2300000004</v>
      </c>
      <c r="J102" s="16">
        <v>21446412.199999996</v>
      </c>
      <c r="K102" s="16">
        <v>0</v>
      </c>
      <c r="L102" s="16">
        <v>0</v>
      </c>
      <c r="M102" s="16">
        <v>126.19</v>
      </c>
      <c r="N102" s="18">
        <f t="shared" si="2"/>
        <v>192127892.73503056</v>
      </c>
      <c r="O102" s="4"/>
    </row>
    <row r="103" spans="1:15" ht="15" x14ac:dyDescent="0.2">
      <c r="A103" s="17" t="s">
        <v>98</v>
      </c>
      <c r="B103" s="16">
        <v>50832710.769999996</v>
      </c>
      <c r="C103" s="16">
        <v>0</v>
      </c>
      <c r="D103" s="16">
        <v>3460378.2508178595</v>
      </c>
      <c r="E103" s="16">
        <v>0</v>
      </c>
      <c r="F103" s="16">
        <v>64182.41</v>
      </c>
      <c r="G103" s="16">
        <v>43431.61</v>
      </c>
      <c r="H103" s="16">
        <v>2483792.63</v>
      </c>
      <c r="I103" s="16">
        <v>145361.43</v>
      </c>
      <c r="J103" s="16">
        <v>4547736.2</v>
      </c>
      <c r="K103" s="16">
        <v>0</v>
      </c>
      <c r="L103" s="16">
        <v>0</v>
      </c>
      <c r="M103" s="16">
        <v>3.12</v>
      </c>
      <c r="N103" s="18">
        <f t="shared" si="2"/>
        <v>61577596.420817852</v>
      </c>
      <c r="O103" s="4"/>
    </row>
    <row r="104" spans="1:15" ht="15" x14ac:dyDescent="0.2">
      <c r="A104" s="17" t="s">
        <v>99</v>
      </c>
      <c r="B104" s="16">
        <v>705319618.01999998</v>
      </c>
      <c r="C104" s="16">
        <v>0</v>
      </c>
      <c r="D104" s="16">
        <v>5432327.5181049593</v>
      </c>
      <c r="E104" s="16">
        <v>0</v>
      </c>
      <c r="F104" s="16">
        <v>13153080.470000001</v>
      </c>
      <c r="G104" s="16">
        <v>2510648.3896590862</v>
      </c>
      <c r="H104" s="16">
        <v>34463392.5</v>
      </c>
      <c r="I104" s="16">
        <v>29789320.93</v>
      </c>
      <c r="J104" s="16">
        <v>52714616.599999979</v>
      </c>
      <c r="K104" s="16">
        <v>0</v>
      </c>
      <c r="L104" s="16">
        <v>0</v>
      </c>
      <c r="M104" s="16">
        <v>640.86</v>
      </c>
      <c r="N104" s="18">
        <f t="shared" ref="N104:N135" si="3">SUM(B104:M104)</f>
        <v>843383645.28776395</v>
      </c>
      <c r="O104" s="4"/>
    </row>
    <row r="105" spans="1:15" ht="15" x14ac:dyDescent="0.2">
      <c r="A105" s="17" t="s">
        <v>100</v>
      </c>
      <c r="B105" s="16">
        <v>121473130.78</v>
      </c>
      <c r="C105" s="16">
        <v>0</v>
      </c>
      <c r="D105" s="16">
        <v>1555511.41</v>
      </c>
      <c r="E105" s="16">
        <v>0</v>
      </c>
      <c r="F105" s="16">
        <v>566854.78</v>
      </c>
      <c r="G105" s="16">
        <v>311574.57</v>
      </c>
      <c r="H105" s="16">
        <v>5935431.3700000001</v>
      </c>
      <c r="I105" s="16">
        <v>1283822.3799999999</v>
      </c>
      <c r="J105" s="16">
        <v>6689540</v>
      </c>
      <c r="K105" s="16">
        <v>0</v>
      </c>
      <c r="L105" s="16">
        <v>0</v>
      </c>
      <c r="M105" s="16">
        <v>27.61</v>
      </c>
      <c r="N105" s="18">
        <f t="shared" si="3"/>
        <v>137815892.90000001</v>
      </c>
      <c r="O105" s="4"/>
    </row>
    <row r="106" spans="1:15" ht="15" x14ac:dyDescent="0.2">
      <c r="A106" s="17" t="s">
        <v>101</v>
      </c>
      <c r="B106" s="16">
        <v>131161395.69999997</v>
      </c>
      <c r="C106" s="16">
        <v>0</v>
      </c>
      <c r="D106" s="16">
        <v>1029927.72</v>
      </c>
      <c r="E106" s="16">
        <v>0</v>
      </c>
      <c r="F106" s="16">
        <v>4016524.8</v>
      </c>
      <c r="G106" s="16">
        <v>1024838.0223577362</v>
      </c>
      <c r="H106" s="16">
        <v>6408820.2699999996</v>
      </c>
      <c r="I106" s="16">
        <v>9096693.8499999996</v>
      </c>
      <c r="J106" s="16">
        <v>17506906.000000007</v>
      </c>
      <c r="K106" s="16">
        <v>0</v>
      </c>
      <c r="L106" s="16">
        <v>0</v>
      </c>
      <c r="M106" s="16">
        <v>195.69000000000003</v>
      </c>
      <c r="N106" s="18">
        <f t="shared" si="3"/>
        <v>170245302.0523577</v>
      </c>
      <c r="O106" s="4"/>
    </row>
    <row r="107" spans="1:15" ht="15" x14ac:dyDescent="0.2">
      <c r="A107" s="17" t="s">
        <v>102</v>
      </c>
      <c r="B107" s="16">
        <v>183383830.28999999</v>
      </c>
      <c r="C107" s="16">
        <v>0</v>
      </c>
      <c r="D107" s="16">
        <v>5391385.53575172</v>
      </c>
      <c r="E107" s="16">
        <v>0</v>
      </c>
      <c r="F107" s="16">
        <v>223290.08</v>
      </c>
      <c r="G107" s="16">
        <v>190721.4</v>
      </c>
      <c r="H107" s="16">
        <v>8960517.7100000009</v>
      </c>
      <c r="I107" s="16">
        <v>505711.19</v>
      </c>
      <c r="J107" s="16">
        <v>8345790.3999999966</v>
      </c>
      <c r="K107" s="16">
        <v>0</v>
      </c>
      <c r="L107" s="16">
        <v>0</v>
      </c>
      <c r="M107" s="16">
        <v>10.87</v>
      </c>
      <c r="N107" s="18">
        <f t="shared" si="3"/>
        <v>207001257.47575176</v>
      </c>
      <c r="O107" s="4"/>
    </row>
    <row r="108" spans="1:15" ht="15" x14ac:dyDescent="0.2">
      <c r="A108" s="17" t="s">
        <v>103</v>
      </c>
      <c r="B108" s="16">
        <v>66036752.740000002</v>
      </c>
      <c r="C108" s="16">
        <v>0</v>
      </c>
      <c r="D108" s="16">
        <v>1717432.7208561799</v>
      </c>
      <c r="E108" s="16">
        <v>0</v>
      </c>
      <c r="F108" s="16">
        <v>226526.17</v>
      </c>
      <c r="G108" s="16">
        <v>118964.84</v>
      </c>
      <c r="H108" s="16">
        <v>3226693.93</v>
      </c>
      <c r="I108" s="16">
        <v>513040.34</v>
      </c>
      <c r="J108" s="16">
        <v>4504012.1999999983</v>
      </c>
      <c r="K108" s="16">
        <v>0</v>
      </c>
      <c r="L108" s="16">
        <v>0</v>
      </c>
      <c r="M108" s="16">
        <v>11.03</v>
      </c>
      <c r="N108" s="18">
        <f t="shared" si="3"/>
        <v>76343433.970856205</v>
      </c>
      <c r="O108" s="4"/>
    </row>
    <row r="109" spans="1:15" ht="15" x14ac:dyDescent="0.2">
      <c r="A109" s="17" t="s">
        <v>104</v>
      </c>
      <c r="B109" s="16">
        <v>701783948.57999992</v>
      </c>
      <c r="C109" s="16">
        <v>0</v>
      </c>
      <c r="D109" s="16">
        <v>6487309.1048436398</v>
      </c>
      <c r="E109" s="16">
        <v>0</v>
      </c>
      <c r="F109" s="16">
        <v>23128322.34</v>
      </c>
      <c r="G109" s="16">
        <v>11557735.535647567</v>
      </c>
      <c r="H109" s="16">
        <v>34290632.299999997</v>
      </c>
      <c r="I109" s="16">
        <v>52381418.799999997</v>
      </c>
      <c r="J109" s="16">
        <v>82728753.600000024</v>
      </c>
      <c r="K109" s="16">
        <v>0</v>
      </c>
      <c r="L109" s="16">
        <v>0</v>
      </c>
      <c r="M109" s="16">
        <v>1126.8999999999999</v>
      </c>
      <c r="N109" s="18">
        <f t="shared" si="3"/>
        <v>912359247.16049099</v>
      </c>
      <c r="O109" s="4"/>
    </row>
    <row r="110" spans="1:15" ht="15" x14ac:dyDescent="0.2">
      <c r="A110" s="17" t="s">
        <v>105</v>
      </c>
      <c r="B110" s="16">
        <v>78507781.900000006</v>
      </c>
      <c r="C110" s="16">
        <v>0</v>
      </c>
      <c r="D110" s="16">
        <v>3011480.83444086</v>
      </c>
      <c r="E110" s="16">
        <v>0</v>
      </c>
      <c r="F110" s="16">
        <v>883991.42</v>
      </c>
      <c r="G110" s="16">
        <v>398437.78</v>
      </c>
      <c r="H110" s="16">
        <v>3836054.51</v>
      </c>
      <c r="I110" s="16">
        <v>2002078.85</v>
      </c>
      <c r="J110" s="16">
        <v>9562958.5999999978</v>
      </c>
      <c r="K110" s="16">
        <v>0</v>
      </c>
      <c r="L110" s="16">
        <v>0</v>
      </c>
      <c r="M110" s="16">
        <v>43.059999999999995</v>
      </c>
      <c r="N110" s="18">
        <f t="shared" si="3"/>
        <v>98202826.954440862</v>
      </c>
      <c r="O110" s="4"/>
    </row>
    <row r="111" spans="1:15" ht="15" x14ac:dyDescent="0.2">
      <c r="A111" s="17" t="s">
        <v>106</v>
      </c>
      <c r="B111" s="16">
        <v>95048479.350000009</v>
      </c>
      <c r="C111" s="16">
        <v>0</v>
      </c>
      <c r="D111" s="16">
        <v>3945409.7123895395</v>
      </c>
      <c r="E111" s="16">
        <v>0</v>
      </c>
      <c r="F111" s="16">
        <v>307967.71999999997</v>
      </c>
      <c r="G111" s="16">
        <v>183168.08</v>
      </c>
      <c r="H111" s="16">
        <v>4644267.5999999996</v>
      </c>
      <c r="I111" s="16">
        <v>697490.56</v>
      </c>
      <c r="J111" s="16">
        <v>7414103.5999999987</v>
      </c>
      <c r="K111" s="16">
        <v>0</v>
      </c>
      <c r="L111" s="16">
        <v>0</v>
      </c>
      <c r="M111" s="16">
        <v>14.99</v>
      </c>
      <c r="N111" s="18">
        <f t="shared" si="3"/>
        <v>112240901.61238953</v>
      </c>
      <c r="O111" s="4"/>
    </row>
    <row r="112" spans="1:15" ht="15" x14ac:dyDescent="0.2">
      <c r="A112" s="17" t="s">
        <v>107</v>
      </c>
      <c r="B112" s="16">
        <v>132620771.44</v>
      </c>
      <c r="C112" s="16">
        <v>0</v>
      </c>
      <c r="D112" s="16">
        <v>4582619.1602135804</v>
      </c>
      <c r="E112" s="16">
        <v>0</v>
      </c>
      <c r="F112" s="16">
        <v>374307.53</v>
      </c>
      <c r="G112" s="16">
        <v>207716.38</v>
      </c>
      <c r="H112" s="16">
        <v>6480128.4199999999</v>
      </c>
      <c r="I112" s="16">
        <v>847738.09</v>
      </c>
      <c r="J112" s="16">
        <v>7752200.9999999972</v>
      </c>
      <c r="K112" s="16">
        <v>0</v>
      </c>
      <c r="L112" s="16">
        <v>0</v>
      </c>
      <c r="M112" s="16">
        <v>18.22</v>
      </c>
      <c r="N112" s="18">
        <f t="shared" si="3"/>
        <v>152865500.24021357</v>
      </c>
      <c r="O112" s="4"/>
    </row>
    <row r="113" spans="1:15" ht="15" x14ac:dyDescent="0.2">
      <c r="A113" s="17" t="s">
        <v>108</v>
      </c>
      <c r="B113" s="16">
        <v>102010365.01000001</v>
      </c>
      <c r="C113" s="16">
        <v>0</v>
      </c>
      <c r="D113" s="16">
        <v>4576344.2697032597</v>
      </c>
      <c r="E113" s="16">
        <v>0</v>
      </c>
      <c r="F113" s="16">
        <v>527482.37</v>
      </c>
      <c r="G113" s="16">
        <v>283249.61</v>
      </c>
      <c r="H113" s="16">
        <v>4984439.91</v>
      </c>
      <c r="I113" s="16">
        <v>1194651.08</v>
      </c>
      <c r="J113" s="16">
        <v>7732434.6000000034</v>
      </c>
      <c r="K113" s="16">
        <v>0</v>
      </c>
      <c r="L113" s="16">
        <v>0</v>
      </c>
      <c r="M113" s="16">
        <v>25.689999999999998</v>
      </c>
      <c r="N113" s="18">
        <f t="shared" si="3"/>
        <v>121308992.53970326</v>
      </c>
      <c r="O113" s="4"/>
    </row>
    <row r="114" spans="1:15" ht="15" x14ac:dyDescent="0.2">
      <c r="A114" s="17" t="s">
        <v>109</v>
      </c>
      <c r="B114" s="16">
        <v>69419851.049999997</v>
      </c>
      <c r="C114" s="16">
        <v>0</v>
      </c>
      <c r="D114" s="16">
        <v>2793191.5257939408</v>
      </c>
      <c r="E114" s="16">
        <v>0</v>
      </c>
      <c r="F114" s="16">
        <v>319294.03000000003</v>
      </c>
      <c r="G114" s="16">
        <v>151066.46</v>
      </c>
      <c r="H114" s="16">
        <v>3391999.2</v>
      </c>
      <c r="I114" s="16">
        <v>723142.58</v>
      </c>
      <c r="J114" s="16">
        <v>5723927.2000000002</v>
      </c>
      <c r="K114" s="16">
        <v>0</v>
      </c>
      <c r="L114" s="16">
        <v>0</v>
      </c>
      <c r="M114" s="16">
        <v>15.54</v>
      </c>
      <c r="N114" s="18">
        <f t="shared" si="3"/>
        <v>82522487.585793942</v>
      </c>
      <c r="O114" s="4"/>
    </row>
    <row r="115" spans="1:15" ht="15" x14ac:dyDescent="0.2">
      <c r="A115" s="17" t="s">
        <v>110</v>
      </c>
      <c r="B115" s="16">
        <v>182647508.91000003</v>
      </c>
      <c r="C115" s="16">
        <v>0</v>
      </c>
      <c r="D115" s="16">
        <v>3130299.2463769997</v>
      </c>
      <c r="E115" s="16">
        <v>0</v>
      </c>
      <c r="F115" s="16">
        <v>330620.34000000003</v>
      </c>
      <c r="G115" s="16">
        <v>251147.99</v>
      </c>
      <c r="H115" s="16">
        <v>8924539.5</v>
      </c>
      <c r="I115" s="16">
        <v>748794.59</v>
      </c>
      <c r="J115" s="16">
        <v>7589651.4000000013</v>
      </c>
      <c r="K115" s="16">
        <v>0</v>
      </c>
      <c r="L115" s="16">
        <v>0</v>
      </c>
      <c r="M115" s="16">
        <v>16.100000000000001</v>
      </c>
      <c r="N115" s="18">
        <f t="shared" si="3"/>
        <v>203622578.07637703</v>
      </c>
      <c r="O115" s="4"/>
    </row>
    <row r="116" spans="1:15" ht="15" x14ac:dyDescent="0.2">
      <c r="A116" s="17" t="s">
        <v>111</v>
      </c>
      <c r="B116" s="16">
        <v>99861102.560000002</v>
      </c>
      <c r="C116" s="16">
        <v>0</v>
      </c>
      <c r="D116" s="16">
        <v>4526979.4736392004</v>
      </c>
      <c r="E116" s="16">
        <v>0</v>
      </c>
      <c r="F116" s="16">
        <v>912576.87</v>
      </c>
      <c r="G116" s="16">
        <v>387107.8</v>
      </c>
      <c r="H116" s="16">
        <v>4879422.45</v>
      </c>
      <c r="I116" s="16">
        <v>2066819.66</v>
      </c>
      <c r="J116" s="16">
        <v>10517300.399999995</v>
      </c>
      <c r="K116" s="16">
        <v>0</v>
      </c>
      <c r="L116" s="16">
        <v>0</v>
      </c>
      <c r="M116" s="16">
        <v>44.449999999999996</v>
      </c>
      <c r="N116" s="18">
        <f t="shared" si="3"/>
        <v>123151353.6636392</v>
      </c>
      <c r="O116" s="4"/>
    </row>
    <row r="117" spans="1:15" ht="15" x14ac:dyDescent="0.2">
      <c r="A117" s="17" t="s">
        <v>112</v>
      </c>
      <c r="B117" s="16">
        <v>53260581.359999999</v>
      </c>
      <c r="C117" s="16">
        <v>0</v>
      </c>
      <c r="D117" s="16">
        <v>1065892.1097190802</v>
      </c>
      <c r="E117" s="16">
        <v>0</v>
      </c>
      <c r="F117" s="16">
        <v>192007.89</v>
      </c>
      <c r="G117" s="16">
        <v>103858.19</v>
      </c>
      <c r="H117" s="16">
        <v>2602423.46</v>
      </c>
      <c r="I117" s="16">
        <v>434862.77</v>
      </c>
      <c r="J117" s="16">
        <v>3004817.5999999987</v>
      </c>
      <c r="K117" s="16">
        <v>0</v>
      </c>
      <c r="L117" s="16">
        <v>0</v>
      </c>
      <c r="M117" s="16">
        <v>9.35</v>
      </c>
      <c r="N117" s="18">
        <f t="shared" si="3"/>
        <v>60664452.729719087</v>
      </c>
      <c r="O117" s="4"/>
    </row>
    <row r="118" spans="1:15" ht="15" x14ac:dyDescent="0.2">
      <c r="A118" s="17" t="s">
        <v>113</v>
      </c>
      <c r="B118" s="16">
        <v>83874304.520000011</v>
      </c>
      <c r="C118" s="16">
        <v>0</v>
      </c>
      <c r="D118" s="16">
        <v>2747725.0820196802</v>
      </c>
      <c r="E118" s="16">
        <v>0</v>
      </c>
      <c r="F118" s="16">
        <v>905565.34</v>
      </c>
      <c r="G118" s="16">
        <v>394661.12</v>
      </c>
      <c r="H118" s="16">
        <v>4098274.04</v>
      </c>
      <c r="I118" s="16">
        <v>2050939.84</v>
      </c>
      <c r="J118" s="16">
        <v>8277768.8000000035</v>
      </c>
      <c r="K118" s="16">
        <v>0</v>
      </c>
      <c r="L118" s="16">
        <v>0</v>
      </c>
      <c r="M118" s="16">
        <v>44.11</v>
      </c>
      <c r="N118" s="18">
        <f t="shared" si="3"/>
        <v>102349282.85201971</v>
      </c>
      <c r="O118" s="4"/>
    </row>
    <row r="119" spans="1:15" ht="15" x14ac:dyDescent="0.2">
      <c r="A119" s="17" t="s">
        <v>114</v>
      </c>
      <c r="B119" s="16">
        <v>123383586.26999998</v>
      </c>
      <c r="C119" s="16">
        <v>0</v>
      </c>
      <c r="D119" s="16">
        <v>2560550.86383658</v>
      </c>
      <c r="E119" s="16">
        <v>0</v>
      </c>
      <c r="F119" s="16">
        <v>727580.49</v>
      </c>
      <c r="G119" s="16">
        <v>277584.62</v>
      </c>
      <c r="H119" s="16">
        <v>6028780.2199999997</v>
      </c>
      <c r="I119" s="16">
        <v>1647836.71</v>
      </c>
      <c r="J119" s="16">
        <v>7646119.0000000028</v>
      </c>
      <c r="K119" s="16">
        <v>0</v>
      </c>
      <c r="L119" s="16">
        <v>0</v>
      </c>
      <c r="M119" s="16">
        <v>35.440000000000005</v>
      </c>
      <c r="N119" s="18">
        <f t="shared" si="3"/>
        <v>142272073.61383656</v>
      </c>
      <c r="O119" s="4"/>
    </row>
    <row r="120" spans="1:15" ht="15" x14ac:dyDescent="0.2">
      <c r="A120" s="17" t="s">
        <v>115</v>
      </c>
      <c r="B120" s="16">
        <v>79469643.149999991</v>
      </c>
      <c r="C120" s="16">
        <v>0</v>
      </c>
      <c r="D120" s="16">
        <v>3052370.3729446996</v>
      </c>
      <c r="E120" s="16">
        <v>0</v>
      </c>
      <c r="F120" s="16">
        <v>490267.36</v>
      </c>
      <c r="G120" s="16">
        <v>279472.95</v>
      </c>
      <c r="H120" s="16">
        <v>3883053.07</v>
      </c>
      <c r="I120" s="16">
        <v>1110365.8799999999</v>
      </c>
      <c r="J120" s="16">
        <v>8093555.1999999974</v>
      </c>
      <c r="K120" s="16">
        <v>0</v>
      </c>
      <c r="L120" s="16">
        <v>0</v>
      </c>
      <c r="M120" s="16">
        <v>23.880000000000003</v>
      </c>
      <c r="N120" s="18">
        <f t="shared" si="3"/>
        <v>96378751.862944677</v>
      </c>
      <c r="O120" s="4"/>
    </row>
    <row r="121" spans="1:15" ht="15" x14ac:dyDescent="0.2">
      <c r="A121" s="17" t="s">
        <v>116</v>
      </c>
      <c r="B121" s="16">
        <v>93144657.319999993</v>
      </c>
      <c r="C121" s="16">
        <v>0</v>
      </c>
      <c r="D121" s="16">
        <v>2911944.7910894803</v>
      </c>
      <c r="E121" s="16">
        <v>0</v>
      </c>
      <c r="F121" s="16">
        <v>206030.94</v>
      </c>
      <c r="G121" s="16">
        <v>101969.86</v>
      </c>
      <c r="H121" s="16">
        <v>4551242.88</v>
      </c>
      <c r="I121" s="16">
        <v>466622.41</v>
      </c>
      <c r="J121" s="16">
        <v>4433979.8000000017</v>
      </c>
      <c r="K121" s="16">
        <v>0</v>
      </c>
      <c r="L121" s="16">
        <v>0</v>
      </c>
      <c r="M121" s="16">
        <v>10.029999999999999</v>
      </c>
      <c r="N121" s="18">
        <f t="shared" si="3"/>
        <v>105816458.03108945</v>
      </c>
      <c r="O121" s="4"/>
    </row>
    <row r="122" spans="1:15" ht="15" x14ac:dyDescent="0.2">
      <c r="A122" s="17" t="s">
        <v>117</v>
      </c>
      <c r="B122" s="16">
        <v>279964654.28000003</v>
      </c>
      <c r="C122" s="16">
        <v>0</v>
      </c>
      <c r="D122" s="16">
        <v>2552531.34</v>
      </c>
      <c r="E122" s="16">
        <v>0</v>
      </c>
      <c r="F122" s="16">
        <v>6202502.3700000001</v>
      </c>
      <c r="G122" s="16">
        <v>2612138.0094485166</v>
      </c>
      <c r="H122" s="16">
        <v>13679658.869999999</v>
      </c>
      <c r="I122" s="16">
        <v>14047533.140000001</v>
      </c>
      <c r="J122" s="16">
        <v>21542809.20000001</v>
      </c>
      <c r="K122" s="16">
        <v>0</v>
      </c>
      <c r="L122" s="16">
        <v>0</v>
      </c>
      <c r="M122" s="16">
        <v>302.2</v>
      </c>
      <c r="N122" s="18">
        <f t="shared" si="3"/>
        <v>340602129.4094485</v>
      </c>
      <c r="O122" s="4"/>
    </row>
    <row r="123" spans="1:15" ht="15" x14ac:dyDescent="0.2">
      <c r="A123" s="17" t="s">
        <v>118</v>
      </c>
      <c r="B123" s="16">
        <v>702573338.19000006</v>
      </c>
      <c r="C123" s="16">
        <v>0</v>
      </c>
      <c r="D123" s="16">
        <v>7450776.25</v>
      </c>
      <c r="E123" s="16">
        <v>0</v>
      </c>
      <c r="F123" s="16">
        <v>8622017.6500000004</v>
      </c>
      <c r="G123" s="16">
        <v>6686923.4407209828</v>
      </c>
      <c r="H123" s="16">
        <v>34329203.520000003</v>
      </c>
      <c r="I123" s="16">
        <v>19527292.59</v>
      </c>
      <c r="J123" s="16">
        <v>28499480.200000014</v>
      </c>
      <c r="K123" s="16">
        <v>0</v>
      </c>
      <c r="L123" s="16">
        <v>0</v>
      </c>
      <c r="M123" s="16">
        <v>420.09000000000003</v>
      </c>
      <c r="N123" s="18">
        <f t="shared" si="3"/>
        <v>807689451.93072116</v>
      </c>
      <c r="O123" s="4"/>
    </row>
    <row r="124" spans="1:15" ht="15" x14ac:dyDescent="0.2">
      <c r="A124" s="17" t="s">
        <v>119</v>
      </c>
      <c r="B124" s="16">
        <v>536323905.83999997</v>
      </c>
      <c r="C124" s="16">
        <v>0</v>
      </c>
      <c r="D124" s="16">
        <v>3041362.41</v>
      </c>
      <c r="E124" s="16">
        <v>0</v>
      </c>
      <c r="F124" s="16">
        <v>11040993.58</v>
      </c>
      <c r="G124" s="16">
        <v>0</v>
      </c>
      <c r="H124" s="16">
        <v>26205908.359999999</v>
      </c>
      <c r="I124" s="16">
        <v>25005830.52</v>
      </c>
      <c r="J124" s="16">
        <v>39881352.199999996</v>
      </c>
      <c r="K124" s="16">
        <v>0</v>
      </c>
      <c r="L124" s="16">
        <v>0</v>
      </c>
      <c r="M124" s="16">
        <v>537.96</v>
      </c>
      <c r="N124" s="18">
        <f t="shared" si="3"/>
        <v>641499890.87000012</v>
      </c>
      <c r="O124" s="4"/>
    </row>
    <row r="125" spans="1:15" ht="15" x14ac:dyDescent="0.2">
      <c r="A125" s="17" t="s">
        <v>120</v>
      </c>
      <c r="B125" s="16">
        <v>187324144.80999997</v>
      </c>
      <c r="C125" s="16">
        <v>0</v>
      </c>
      <c r="D125" s="16">
        <v>3422682.5586310998</v>
      </c>
      <c r="E125" s="16">
        <v>0</v>
      </c>
      <c r="F125" s="16">
        <v>4293210.34</v>
      </c>
      <c r="G125" s="16">
        <v>1761812.56</v>
      </c>
      <c r="H125" s="16">
        <v>9153049.7200000007</v>
      </c>
      <c r="I125" s="16">
        <v>9723335.9800000004</v>
      </c>
      <c r="J125" s="16">
        <v>24907614.79999999</v>
      </c>
      <c r="K125" s="16">
        <v>0</v>
      </c>
      <c r="L125" s="16">
        <v>0</v>
      </c>
      <c r="M125" s="16">
        <v>209.17000000000002</v>
      </c>
      <c r="N125" s="18">
        <f t="shared" si="3"/>
        <v>240586059.93863103</v>
      </c>
      <c r="O125" s="4"/>
    </row>
    <row r="126" spans="1:15" ht="15" x14ac:dyDescent="0.2">
      <c r="A126" s="17" t="s">
        <v>121</v>
      </c>
      <c r="B126" s="16">
        <v>226087154.85000002</v>
      </c>
      <c r="C126" s="16">
        <v>0</v>
      </c>
      <c r="D126" s="16">
        <v>3544637.7376266597</v>
      </c>
      <c r="E126" s="16">
        <v>0</v>
      </c>
      <c r="F126" s="16">
        <v>2149301.91</v>
      </c>
      <c r="G126" s="16">
        <v>713789.01</v>
      </c>
      <c r="H126" s="16">
        <v>11047091.51</v>
      </c>
      <c r="I126" s="16">
        <v>4867775.6100000003</v>
      </c>
      <c r="J126" s="16">
        <v>16193482.399999993</v>
      </c>
      <c r="K126" s="16">
        <v>0</v>
      </c>
      <c r="L126" s="16">
        <v>0</v>
      </c>
      <c r="M126" s="16">
        <v>104.71000000000001</v>
      </c>
      <c r="N126" s="18">
        <f t="shared" si="3"/>
        <v>264603337.7376267</v>
      </c>
      <c r="O126" s="4"/>
    </row>
    <row r="127" spans="1:15" ht="15" x14ac:dyDescent="0.2">
      <c r="A127" s="17" t="s">
        <v>122</v>
      </c>
      <c r="B127" s="16">
        <v>110551029.93000001</v>
      </c>
      <c r="C127" s="16">
        <v>0</v>
      </c>
      <c r="D127" s="16">
        <v>1743441.5483289603</v>
      </c>
      <c r="E127" s="16">
        <v>0</v>
      </c>
      <c r="F127" s="16">
        <v>2281442.17</v>
      </c>
      <c r="G127" s="16">
        <v>719454</v>
      </c>
      <c r="H127" s="16">
        <v>5401754.6699999999</v>
      </c>
      <c r="I127" s="16">
        <v>5167049.1500000004</v>
      </c>
      <c r="J127" s="16">
        <v>18015822.199999996</v>
      </c>
      <c r="K127" s="16">
        <v>0</v>
      </c>
      <c r="L127" s="16">
        <v>0</v>
      </c>
      <c r="M127" s="16">
        <v>111.15</v>
      </c>
      <c r="N127" s="18">
        <f t="shared" si="3"/>
        <v>143880104.81832898</v>
      </c>
      <c r="O127" s="4"/>
    </row>
    <row r="128" spans="1:15" ht="15" x14ac:dyDescent="0.2">
      <c r="A128" s="17" t="s">
        <v>123</v>
      </c>
      <c r="B128" s="16">
        <v>61758128.340000011</v>
      </c>
      <c r="C128" s="16">
        <v>0</v>
      </c>
      <c r="D128" s="16">
        <v>1715816.89190044</v>
      </c>
      <c r="E128" s="16">
        <v>0</v>
      </c>
      <c r="F128" s="16">
        <v>208727.67999999999</v>
      </c>
      <c r="G128" s="16">
        <v>122741.5</v>
      </c>
      <c r="H128" s="16">
        <v>3017631.39</v>
      </c>
      <c r="I128" s="16">
        <v>472730.03</v>
      </c>
      <c r="J128" s="16">
        <v>3922316.600000001</v>
      </c>
      <c r="K128" s="16">
        <v>0</v>
      </c>
      <c r="L128" s="16">
        <v>0</v>
      </c>
      <c r="M128" s="16">
        <v>10.16</v>
      </c>
      <c r="N128" s="18">
        <f t="shared" si="3"/>
        <v>71218102.591900438</v>
      </c>
      <c r="O128" s="4"/>
    </row>
    <row r="129" spans="1:15" ht="15" x14ac:dyDescent="0.2">
      <c r="A129" s="17" t="s">
        <v>124</v>
      </c>
      <c r="B129" s="16">
        <v>346807380.5</v>
      </c>
      <c r="C129" s="16">
        <v>0</v>
      </c>
      <c r="D129" s="16">
        <v>13448243.483537441</v>
      </c>
      <c r="E129" s="16">
        <v>0</v>
      </c>
      <c r="F129" s="16">
        <v>2654671.0099999998</v>
      </c>
      <c r="G129" s="16">
        <v>1497446.26</v>
      </c>
      <c r="H129" s="16">
        <v>16945734.350000001</v>
      </c>
      <c r="I129" s="16">
        <v>6012344.1799999997</v>
      </c>
      <c r="J129" s="16">
        <v>25318576.599999994</v>
      </c>
      <c r="K129" s="16">
        <v>0</v>
      </c>
      <c r="L129" s="16">
        <v>0</v>
      </c>
      <c r="M129" s="16">
        <v>129.33000000000001</v>
      </c>
      <c r="N129" s="18">
        <f t="shared" si="3"/>
        <v>412684525.7135374</v>
      </c>
      <c r="O129" s="4"/>
    </row>
    <row r="130" spans="1:15" ht="15" x14ac:dyDescent="0.2">
      <c r="A130" s="17" t="s">
        <v>125</v>
      </c>
      <c r="B130" s="16">
        <v>104066758.16</v>
      </c>
      <c r="C130" s="16">
        <v>0</v>
      </c>
      <c r="D130" s="16">
        <v>4980762.794289981</v>
      </c>
      <c r="E130" s="16">
        <v>0</v>
      </c>
      <c r="F130" s="16">
        <v>328462.95</v>
      </c>
      <c r="G130" s="16">
        <v>111411.51</v>
      </c>
      <c r="H130" s="16">
        <v>5084919.58</v>
      </c>
      <c r="I130" s="16">
        <v>743908.49</v>
      </c>
      <c r="J130" s="16">
        <v>6658332.7999999989</v>
      </c>
      <c r="K130" s="16">
        <v>0</v>
      </c>
      <c r="L130" s="16">
        <v>0</v>
      </c>
      <c r="M130" s="16">
        <v>15.99</v>
      </c>
      <c r="N130" s="18">
        <f t="shared" si="3"/>
        <v>121974572.27428997</v>
      </c>
      <c r="O130" s="4"/>
    </row>
    <row r="131" spans="1:15" ht="15" x14ac:dyDescent="0.2">
      <c r="A131" s="17" t="s">
        <v>126</v>
      </c>
      <c r="B131" s="16">
        <v>549551156.99000001</v>
      </c>
      <c r="C131" s="16">
        <v>0</v>
      </c>
      <c r="D131" s="16">
        <v>8063569.835</v>
      </c>
      <c r="E131" s="16">
        <v>0</v>
      </c>
      <c r="F131" s="16">
        <v>14503607.949999999</v>
      </c>
      <c r="G131" s="16">
        <v>1304526.9343570448</v>
      </c>
      <c r="H131" s="16">
        <v>26852219.530000001</v>
      </c>
      <c r="I131" s="16">
        <v>32848018.579999998</v>
      </c>
      <c r="J131" s="16">
        <v>53922326.399999999</v>
      </c>
      <c r="K131" s="16">
        <v>0</v>
      </c>
      <c r="L131" s="16">
        <v>0</v>
      </c>
      <c r="M131" s="16">
        <v>706.67</v>
      </c>
      <c r="N131" s="18">
        <f t="shared" si="3"/>
        <v>687046132.88935709</v>
      </c>
      <c r="O131" s="4"/>
    </row>
    <row r="132" spans="1:15" ht="15" x14ac:dyDescent="0.2">
      <c r="A132" s="17" t="s">
        <v>127</v>
      </c>
      <c r="B132" s="16">
        <v>23316844.300000001</v>
      </c>
      <c r="C132" s="16">
        <v>0</v>
      </c>
      <c r="D132" s="16">
        <v>256607.46556454001</v>
      </c>
      <c r="E132" s="16">
        <v>0</v>
      </c>
      <c r="F132" s="16">
        <v>62025.02</v>
      </c>
      <c r="G132" s="16">
        <v>20771.64</v>
      </c>
      <c r="H132" s="16">
        <v>1139309.81</v>
      </c>
      <c r="I132" s="16">
        <v>140475.32999999999</v>
      </c>
      <c r="J132" s="16">
        <v>1915112.0000000007</v>
      </c>
      <c r="K132" s="16">
        <v>0</v>
      </c>
      <c r="L132" s="16">
        <v>0</v>
      </c>
      <c r="M132" s="16">
        <v>3.01</v>
      </c>
      <c r="N132" s="18">
        <f t="shared" si="3"/>
        <v>26851148.575564541</v>
      </c>
      <c r="O132" s="4"/>
    </row>
    <row r="133" spans="1:15" ht="15" x14ac:dyDescent="0.2">
      <c r="A133" s="17" t="s">
        <v>128</v>
      </c>
      <c r="B133" s="16">
        <v>132955764.5</v>
      </c>
      <c r="C133" s="16">
        <v>0</v>
      </c>
      <c r="D133" s="16">
        <v>3261423.1436391999</v>
      </c>
      <c r="E133" s="16">
        <v>0</v>
      </c>
      <c r="F133" s="16">
        <v>224368.78</v>
      </c>
      <c r="G133" s="16">
        <v>152954.79</v>
      </c>
      <c r="H133" s="16">
        <v>6496496.8799999999</v>
      </c>
      <c r="I133" s="16">
        <v>508154.24</v>
      </c>
      <c r="J133" s="16">
        <v>6973350.3999999966</v>
      </c>
      <c r="K133" s="16">
        <v>0</v>
      </c>
      <c r="L133" s="16">
        <v>0</v>
      </c>
      <c r="M133" s="16">
        <v>10.92</v>
      </c>
      <c r="N133" s="18">
        <f t="shared" si="3"/>
        <v>150572523.6536392</v>
      </c>
      <c r="O133" s="4"/>
    </row>
    <row r="134" spans="1:15" ht="15" x14ac:dyDescent="0.2">
      <c r="A134" s="17" t="s">
        <v>129</v>
      </c>
      <c r="B134" s="16">
        <v>255579812.13999999</v>
      </c>
      <c r="C134" s="16">
        <v>0</v>
      </c>
      <c r="D134" s="16">
        <v>6599034.7313015601</v>
      </c>
      <c r="E134" s="16">
        <v>0</v>
      </c>
      <c r="F134" s="16">
        <v>1046874.53</v>
      </c>
      <c r="G134" s="16">
        <v>519290.95</v>
      </c>
      <c r="H134" s="16">
        <v>12488164.460000001</v>
      </c>
      <c r="I134" s="16">
        <v>2370979.29</v>
      </c>
      <c r="J134" s="16">
        <v>15519382.800000004</v>
      </c>
      <c r="K134" s="16">
        <v>0</v>
      </c>
      <c r="L134" s="16">
        <v>0</v>
      </c>
      <c r="M134" s="16">
        <v>51</v>
      </c>
      <c r="N134" s="18">
        <f t="shared" si="3"/>
        <v>294123589.90130156</v>
      </c>
      <c r="O134" s="4"/>
    </row>
    <row r="135" spans="1:15" ht="15" x14ac:dyDescent="0.2">
      <c r="A135" s="17" t="s">
        <v>130</v>
      </c>
      <c r="B135" s="16">
        <v>212786934.96000004</v>
      </c>
      <c r="C135" s="16">
        <v>0</v>
      </c>
      <c r="D135" s="16">
        <v>9059371.402983401</v>
      </c>
      <c r="E135" s="16">
        <v>0</v>
      </c>
      <c r="F135" s="16">
        <v>1575974.95</v>
      </c>
      <c r="G135" s="16">
        <v>691129.04</v>
      </c>
      <c r="H135" s="16">
        <v>10397214.93</v>
      </c>
      <c r="I135" s="16">
        <v>3569294.94</v>
      </c>
      <c r="J135" s="16">
        <v>16657853.200000001</v>
      </c>
      <c r="K135" s="16">
        <v>0</v>
      </c>
      <c r="L135" s="16">
        <v>0</v>
      </c>
      <c r="M135" s="16">
        <v>76.77000000000001</v>
      </c>
      <c r="N135" s="18">
        <f t="shared" si="3"/>
        <v>254737850.19298342</v>
      </c>
      <c r="O135" s="4"/>
    </row>
    <row r="136" spans="1:15" ht="15" x14ac:dyDescent="0.2">
      <c r="A136" s="17" t="s">
        <v>131</v>
      </c>
      <c r="B136" s="16">
        <v>361779249.03000003</v>
      </c>
      <c r="C136" s="16">
        <v>0</v>
      </c>
      <c r="D136" s="16">
        <v>4113835.7099999995</v>
      </c>
      <c r="E136" s="16">
        <v>0</v>
      </c>
      <c r="F136" s="16">
        <v>9376565.5500000007</v>
      </c>
      <c r="G136" s="16">
        <v>4841549.4190356089</v>
      </c>
      <c r="H136" s="16">
        <v>17677291.18</v>
      </c>
      <c r="I136" s="16">
        <v>21236205.539999999</v>
      </c>
      <c r="J136" s="16">
        <v>38958727.199999996</v>
      </c>
      <c r="K136" s="16">
        <v>0</v>
      </c>
      <c r="L136" s="16">
        <v>0</v>
      </c>
      <c r="M136" s="16">
        <v>456.85</v>
      </c>
      <c r="N136" s="18">
        <f t="shared" ref="N136:N142" si="4">SUM(B136:M136)</f>
        <v>457983880.47903568</v>
      </c>
      <c r="O136" s="4"/>
    </row>
    <row r="137" spans="1:15" ht="15" x14ac:dyDescent="0.2">
      <c r="A137" s="17" t="s">
        <v>132</v>
      </c>
      <c r="B137" s="16">
        <v>59559114.439999998</v>
      </c>
      <c r="C137" s="16">
        <v>0</v>
      </c>
      <c r="D137" s="16">
        <v>1174876.7943136001</v>
      </c>
      <c r="E137" s="16">
        <v>0</v>
      </c>
      <c r="F137" s="16">
        <v>112184.39</v>
      </c>
      <c r="G137" s="16">
        <v>105746.52</v>
      </c>
      <c r="H137" s="16">
        <v>2910182.97</v>
      </c>
      <c r="I137" s="16">
        <v>254077.12</v>
      </c>
      <c r="J137" s="16">
        <v>3631313.2000000007</v>
      </c>
      <c r="K137" s="16">
        <v>0</v>
      </c>
      <c r="L137" s="16">
        <v>0</v>
      </c>
      <c r="M137" s="16">
        <v>5.45</v>
      </c>
      <c r="N137" s="18">
        <f t="shared" si="4"/>
        <v>67747500.884313598</v>
      </c>
      <c r="O137" s="4"/>
    </row>
    <row r="138" spans="1:15" ht="15" x14ac:dyDescent="0.2">
      <c r="A138" s="17" t="s">
        <v>133</v>
      </c>
      <c r="B138" s="16">
        <v>128809810.68000001</v>
      </c>
      <c r="C138" s="16">
        <v>0</v>
      </c>
      <c r="D138" s="16">
        <v>7087906.6788500808</v>
      </c>
      <c r="E138" s="16">
        <v>0</v>
      </c>
      <c r="F138" s="16">
        <v>976759.28</v>
      </c>
      <c r="G138" s="16">
        <v>432427.74</v>
      </c>
      <c r="H138" s="16">
        <v>6293916.9000000004</v>
      </c>
      <c r="I138" s="16">
        <v>2212181.09</v>
      </c>
      <c r="J138" s="16">
        <v>13406917.399999995</v>
      </c>
      <c r="K138" s="16">
        <v>0</v>
      </c>
      <c r="L138" s="16">
        <v>0</v>
      </c>
      <c r="M138" s="16">
        <v>47.58</v>
      </c>
      <c r="N138" s="18">
        <f t="shared" si="4"/>
        <v>159219967.34885013</v>
      </c>
      <c r="O138" s="4"/>
    </row>
    <row r="139" spans="1:15" ht="15" x14ac:dyDescent="0.2">
      <c r="A139" s="17" t="s">
        <v>134</v>
      </c>
      <c r="B139" s="16">
        <v>567720385.0999999</v>
      </c>
      <c r="C139" s="16">
        <v>0</v>
      </c>
      <c r="D139" s="16">
        <v>5184897.5</v>
      </c>
      <c r="E139" s="16">
        <v>0</v>
      </c>
      <c r="F139" s="16">
        <v>5023487.57</v>
      </c>
      <c r="G139" s="16">
        <v>4473798.771700535</v>
      </c>
      <c r="H139" s="16">
        <v>27740006.07</v>
      </c>
      <c r="I139" s="16">
        <v>11377280.300000001</v>
      </c>
      <c r="J139" s="16">
        <v>24349197.400000013</v>
      </c>
      <c r="K139" s="16">
        <v>0</v>
      </c>
      <c r="L139" s="16">
        <v>0</v>
      </c>
      <c r="M139" s="16">
        <v>244.76000000000002</v>
      </c>
      <c r="N139" s="18">
        <f t="shared" si="4"/>
        <v>645869297.47170043</v>
      </c>
      <c r="O139" s="4"/>
    </row>
    <row r="140" spans="1:15" ht="15" x14ac:dyDescent="0.2">
      <c r="A140" s="17" t="s">
        <v>135</v>
      </c>
      <c r="B140" s="16">
        <v>159934315.38000003</v>
      </c>
      <c r="C140" s="16">
        <v>0</v>
      </c>
      <c r="D140" s="16">
        <v>1099738.08</v>
      </c>
      <c r="E140" s="16">
        <v>0</v>
      </c>
      <c r="F140" s="16">
        <v>828438.57</v>
      </c>
      <c r="G140" s="16">
        <v>383331.14</v>
      </c>
      <c r="H140" s="16">
        <v>7814725.3300000001</v>
      </c>
      <c r="I140" s="16">
        <v>1876261.82</v>
      </c>
      <c r="J140" s="16">
        <v>6387662.2000000011</v>
      </c>
      <c r="K140" s="16">
        <v>0</v>
      </c>
      <c r="L140" s="16">
        <v>0</v>
      </c>
      <c r="M140" s="16">
        <v>40.36</v>
      </c>
      <c r="N140" s="18">
        <f t="shared" si="4"/>
        <v>178324512.88000003</v>
      </c>
      <c r="O140" s="4"/>
    </row>
    <row r="141" spans="1:15" ht="15" x14ac:dyDescent="0.2">
      <c r="A141" s="17" t="s">
        <v>136</v>
      </c>
      <c r="B141" s="16">
        <v>193970938.01999998</v>
      </c>
      <c r="C141" s="16">
        <v>0</v>
      </c>
      <c r="D141" s="16">
        <v>5058912.2851593597</v>
      </c>
      <c r="E141" s="16">
        <v>0</v>
      </c>
      <c r="F141" s="16">
        <v>1194655.8899999999</v>
      </c>
      <c r="G141" s="16">
        <v>373889.48</v>
      </c>
      <c r="H141" s="16">
        <v>9477825.9399999995</v>
      </c>
      <c r="I141" s="16">
        <v>2705677.04</v>
      </c>
      <c r="J141" s="16">
        <v>16698122.600000007</v>
      </c>
      <c r="K141" s="16">
        <v>0</v>
      </c>
      <c r="L141" s="16">
        <v>0</v>
      </c>
      <c r="M141" s="16">
        <v>58.2</v>
      </c>
      <c r="N141" s="18">
        <f t="shared" si="4"/>
        <v>229480079.45515928</v>
      </c>
      <c r="O141" s="4"/>
    </row>
    <row r="142" spans="1:15" ht="15" x14ac:dyDescent="0.2">
      <c r="A142" s="17" t="s">
        <v>137</v>
      </c>
      <c r="B142" s="16">
        <v>183513184.06999999</v>
      </c>
      <c r="C142" s="16">
        <v>0</v>
      </c>
      <c r="D142" s="16">
        <v>3822926.4118168997</v>
      </c>
      <c r="E142" s="16">
        <v>0</v>
      </c>
      <c r="F142" s="16">
        <v>5136211.3099999996</v>
      </c>
      <c r="G142" s="16">
        <v>1380369.76</v>
      </c>
      <c r="H142" s="16">
        <v>8966838.1999999993</v>
      </c>
      <c r="I142" s="16">
        <v>11632578.970000001</v>
      </c>
      <c r="J142" s="16">
        <v>22670348.599999998</v>
      </c>
      <c r="K142" s="16">
        <v>0</v>
      </c>
      <c r="L142" s="16">
        <v>0</v>
      </c>
      <c r="M142" s="16">
        <v>250.25</v>
      </c>
      <c r="N142" s="18">
        <f t="shared" si="4"/>
        <v>237122707.57181686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33167630733.170002</v>
      </c>
      <c r="C143" s="25"/>
      <c r="D143" s="25">
        <f t="shared" si="5"/>
        <v>596059950.86794996</v>
      </c>
      <c r="E143" s="25">
        <f t="shared" si="5"/>
        <v>0</v>
      </c>
      <c r="F143" s="25">
        <f t="shared" si="5"/>
        <v>539348032.92999959</v>
      </c>
      <c r="G143" s="25">
        <f t="shared" si="5"/>
        <v>188833072.12000006</v>
      </c>
      <c r="H143" s="25">
        <f t="shared" si="5"/>
        <v>1620639845.3800001</v>
      </c>
      <c r="I143" s="25">
        <f t="shared" si="5"/>
        <v>1221524621.0299995</v>
      </c>
      <c r="J143" s="25">
        <f t="shared" ref="J143:N143" si="6">SUM(J8:J142)</f>
        <v>2831874984.3999982</v>
      </c>
      <c r="K143" s="25">
        <f t="shared" si="6"/>
        <v>0</v>
      </c>
      <c r="L143" s="25">
        <f t="shared" si="6"/>
        <v>0</v>
      </c>
      <c r="M143" s="25">
        <f t="shared" si="6"/>
        <v>26277.879999999997</v>
      </c>
      <c r="N143" s="25">
        <f t="shared" si="6"/>
        <v>40165937517.777939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D145" s="7"/>
      <c r="E145" s="7"/>
      <c r="F145" s="8"/>
      <c r="G145" s="8"/>
      <c r="H145" s="8"/>
      <c r="I145" s="8"/>
      <c r="J145" s="8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3.6640625" style="1" bestFit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163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162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141669319.15000001</v>
      </c>
      <c r="C8" s="16">
        <v>0</v>
      </c>
      <c r="D8" s="16">
        <v>21428392.022864874</v>
      </c>
      <c r="E8" s="16">
        <v>2391407.08</v>
      </c>
      <c r="F8" s="16">
        <v>353662.64</v>
      </c>
      <c r="G8" s="16">
        <v>159840.63</v>
      </c>
      <c r="H8" s="16">
        <v>7169355.0199999996</v>
      </c>
      <c r="I8" s="16">
        <v>1053922.6200000001</v>
      </c>
      <c r="J8" s="16">
        <v>9398272.3800000027</v>
      </c>
      <c r="K8" s="16">
        <v>0</v>
      </c>
      <c r="L8" s="16">
        <v>0</v>
      </c>
      <c r="M8" s="16">
        <v>10.34</v>
      </c>
      <c r="N8" s="18">
        <f t="shared" ref="N8:N39" si="0">SUM(B8:M8)</f>
        <v>183624181.88286489</v>
      </c>
      <c r="O8" s="4"/>
    </row>
    <row r="9" spans="1:15" ht="18" customHeight="1" x14ac:dyDescent="0.2">
      <c r="A9" s="17" t="s">
        <v>4</v>
      </c>
      <c r="B9" s="16">
        <v>79965556.079999998</v>
      </c>
      <c r="C9" s="16">
        <v>0</v>
      </c>
      <c r="D9" s="16">
        <v>23503553.161195423</v>
      </c>
      <c r="E9" s="16">
        <v>1449728.33</v>
      </c>
      <c r="F9" s="16">
        <v>247783.51</v>
      </c>
      <c r="G9" s="16">
        <v>112914.94</v>
      </c>
      <c r="H9" s="16">
        <v>4046758.08</v>
      </c>
      <c r="I9" s="16">
        <v>738400.45</v>
      </c>
      <c r="J9" s="16">
        <v>7146375.1800000006</v>
      </c>
      <c r="K9" s="16">
        <v>0</v>
      </c>
      <c r="L9" s="16">
        <v>0</v>
      </c>
      <c r="M9" s="16">
        <v>7.25</v>
      </c>
      <c r="N9" s="18">
        <f t="shared" si="0"/>
        <v>117211076.98119543</v>
      </c>
      <c r="O9" s="4"/>
    </row>
    <row r="10" spans="1:15" ht="18" customHeight="1" x14ac:dyDescent="0.2">
      <c r="A10" s="17" t="s">
        <v>5</v>
      </c>
      <c r="B10" s="16">
        <v>67851534.649999991</v>
      </c>
      <c r="C10" s="16">
        <v>0</v>
      </c>
      <c r="D10" s="16">
        <v>17308410.906468127</v>
      </c>
      <c r="E10" s="16">
        <v>1110174.19</v>
      </c>
      <c r="F10" s="16">
        <v>173096.99</v>
      </c>
      <c r="G10" s="16">
        <v>99717.09</v>
      </c>
      <c r="H10" s="16">
        <v>3433712.71</v>
      </c>
      <c r="I10" s="16">
        <v>515832.94</v>
      </c>
      <c r="J10" s="16">
        <v>4150575.6599999997</v>
      </c>
      <c r="K10" s="16">
        <v>0</v>
      </c>
      <c r="L10" s="16">
        <v>0</v>
      </c>
      <c r="M10" s="16">
        <v>5.0600000000000005</v>
      </c>
      <c r="N10" s="18">
        <f t="shared" si="0"/>
        <v>94643060.1964681</v>
      </c>
      <c r="O10" s="4"/>
    </row>
    <row r="11" spans="1:15" ht="18" customHeight="1" x14ac:dyDescent="0.2">
      <c r="A11" s="17" t="s">
        <v>6</v>
      </c>
      <c r="B11" s="16">
        <v>728485257.76999986</v>
      </c>
      <c r="C11" s="16">
        <v>0</v>
      </c>
      <c r="D11" s="16">
        <v>6260436.1096463669</v>
      </c>
      <c r="E11" s="16">
        <v>14594512.030000001</v>
      </c>
      <c r="F11" s="16">
        <v>18579370.530000001</v>
      </c>
      <c r="G11" s="16">
        <v>8922015.279577639</v>
      </c>
      <c r="H11" s="16">
        <v>36865917.539999999</v>
      </c>
      <c r="I11" s="16">
        <v>55366941.25</v>
      </c>
      <c r="J11" s="16">
        <v>80076316.109999955</v>
      </c>
      <c r="K11" s="16">
        <v>0</v>
      </c>
      <c r="L11" s="16">
        <v>0</v>
      </c>
      <c r="M11" s="16">
        <v>543.79</v>
      </c>
      <c r="N11" s="18">
        <f t="shared" si="0"/>
        <v>949151310.40922356</v>
      </c>
      <c r="O11" s="4"/>
    </row>
    <row r="12" spans="1:15" ht="18" customHeight="1" x14ac:dyDescent="0.2">
      <c r="A12" s="17" t="s">
        <v>7</v>
      </c>
      <c r="B12" s="16">
        <v>99559651.800000012</v>
      </c>
      <c r="C12" s="16">
        <v>0</v>
      </c>
      <c r="D12" s="16">
        <v>23349579.432742372</v>
      </c>
      <c r="E12" s="16">
        <v>1839094.66</v>
      </c>
      <c r="F12" s="16">
        <v>635274.76</v>
      </c>
      <c r="G12" s="16">
        <v>272755.57</v>
      </c>
      <c r="H12" s="16">
        <v>5038342.0599999996</v>
      </c>
      <c r="I12" s="16">
        <v>1893133.06</v>
      </c>
      <c r="J12" s="16">
        <v>8212244.8800000036</v>
      </c>
      <c r="K12" s="16">
        <v>0</v>
      </c>
      <c r="L12" s="16">
        <v>0</v>
      </c>
      <c r="M12" s="16">
        <v>18.579999999999998</v>
      </c>
      <c r="N12" s="18">
        <f t="shared" si="0"/>
        <v>140800094.80274239</v>
      </c>
      <c r="O12" s="4"/>
    </row>
    <row r="13" spans="1:15" ht="18" customHeight="1" x14ac:dyDescent="0.2">
      <c r="A13" s="17" t="s">
        <v>8</v>
      </c>
      <c r="B13" s="16">
        <v>428826768.49000001</v>
      </c>
      <c r="C13" s="16">
        <v>0</v>
      </c>
      <c r="D13" s="16">
        <v>5375122.1711379485</v>
      </c>
      <c r="E13" s="16">
        <v>8791092.8499999996</v>
      </c>
      <c r="F13" s="16">
        <v>9034872.4299999997</v>
      </c>
      <c r="G13" s="16">
        <v>0</v>
      </c>
      <c r="H13" s="16">
        <v>21701320.82</v>
      </c>
      <c r="I13" s="16">
        <v>26924122.649999999</v>
      </c>
      <c r="J13" s="16">
        <v>60585169.049999975</v>
      </c>
      <c r="K13" s="16">
        <v>0</v>
      </c>
      <c r="L13" s="16">
        <v>0</v>
      </c>
      <c r="M13" s="16">
        <v>264.43</v>
      </c>
      <c r="N13" s="18">
        <f t="shared" si="0"/>
        <v>561238732.89113784</v>
      </c>
      <c r="O13" s="4"/>
    </row>
    <row r="14" spans="1:15" ht="18" customHeight="1" x14ac:dyDescent="0.2">
      <c r="A14" s="17" t="s">
        <v>9</v>
      </c>
      <c r="B14" s="16">
        <v>152649684.63999999</v>
      </c>
      <c r="C14" s="16">
        <v>0</v>
      </c>
      <c r="D14" s="16">
        <v>34817200.681835301</v>
      </c>
      <c r="E14" s="16">
        <v>2728013.14</v>
      </c>
      <c r="F14" s="16">
        <v>411215.2</v>
      </c>
      <c r="G14" s="16">
        <v>190635.62</v>
      </c>
      <c r="H14" s="16">
        <v>7725030.2999999998</v>
      </c>
      <c r="I14" s="16">
        <v>1225430.53</v>
      </c>
      <c r="J14" s="16">
        <v>12477923.639999999</v>
      </c>
      <c r="K14" s="16">
        <v>0</v>
      </c>
      <c r="L14" s="16">
        <v>0</v>
      </c>
      <c r="M14" s="16">
        <v>12.02</v>
      </c>
      <c r="N14" s="18">
        <f t="shared" si="0"/>
        <v>212225145.77183527</v>
      </c>
      <c r="O14" s="4"/>
    </row>
    <row r="15" spans="1:15" ht="18" customHeight="1" x14ac:dyDescent="0.2">
      <c r="A15" s="17" t="s">
        <v>10</v>
      </c>
      <c r="B15" s="16">
        <v>248510398.70000002</v>
      </c>
      <c r="C15" s="16">
        <v>0</v>
      </c>
      <c r="D15" s="16">
        <v>54722713.891633391</v>
      </c>
      <c r="E15" s="16">
        <v>4444558.33</v>
      </c>
      <c r="F15" s="16">
        <v>1531952.35</v>
      </c>
      <c r="G15" s="16">
        <v>612966.81999999995</v>
      </c>
      <c r="H15" s="16">
        <v>12576182.939999999</v>
      </c>
      <c r="I15" s="16">
        <v>4565252.4000000004</v>
      </c>
      <c r="J15" s="16">
        <v>20193777.660000011</v>
      </c>
      <c r="K15" s="16">
        <v>0</v>
      </c>
      <c r="L15" s="16">
        <v>0</v>
      </c>
      <c r="M15" s="16">
        <v>44.83</v>
      </c>
      <c r="N15" s="18">
        <f t="shared" si="0"/>
        <v>347157847.92163342</v>
      </c>
      <c r="O15" s="4"/>
    </row>
    <row r="16" spans="1:15" ht="18" customHeight="1" x14ac:dyDescent="0.2">
      <c r="A16" s="17" t="s">
        <v>11</v>
      </c>
      <c r="B16" s="16">
        <v>461654841.81000006</v>
      </c>
      <c r="C16" s="16">
        <v>0</v>
      </c>
      <c r="D16" s="16">
        <v>13499732.884094246</v>
      </c>
      <c r="E16" s="16">
        <v>9565280.4000000004</v>
      </c>
      <c r="F16" s="16">
        <v>5713518.8899999997</v>
      </c>
      <c r="G16" s="16">
        <v>2830205.67</v>
      </c>
      <c r="H16" s="16">
        <v>23362626.969999999</v>
      </c>
      <c r="I16" s="16">
        <v>17026414.539999999</v>
      </c>
      <c r="J16" s="16">
        <v>49897778.910000011</v>
      </c>
      <c r="K16" s="16">
        <v>0</v>
      </c>
      <c r="L16" s="16">
        <v>0</v>
      </c>
      <c r="M16" s="16">
        <v>167.22</v>
      </c>
      <c r="N16" s="18">
        <f t="shared" si="0"/>
        <v>583550567.29409432</v>
      </c>
      <c r="O16" s="4"/>
    </row>
    <row r="17" spans="1:15" ht="15" x14ac:dyDescent="0.2">
      <c r="A17" s="17" t="s">
        <v>12</v>
      </c>
      <c r="B17" s="16">
        <v>168010551.5</v>
      </c>
      <c r="C17" s="16">
        <v>0</v>
      </c>
      <c r="D17" s="16">
        <v>49588158.826454937</v>
      </c>
      <c r="E17" s="16">
        <v>2966483.31</v>
      </c>
      <c r="F17" s="16">
        <v>1173457.05</v>
      </c>
      <c r="G17" s="16">
        <v>410599.79</v>
      </c>
      <c r="H17" s="16">
        <v>8502386.3900000006</v>
      </c>
      <c r="I17" s="16">
        <v>3496928.35</v>
      </c>
      <c r="J17" s="16">
        <v>13666983.959999997</v>
      </c>
      <c r="K17" s="16">
        <v>0</v>
      </c>
      <c r="L17" s="16">
        <v>0</v>
      </c>
      <c r="M17" s="16">
        <v>34.340000000000003</v>
      </c>
      <c r="N17" s="18">
        <f t="shared" si="0"/>
        <v>247815583.51645496</v>
      </c>
      <c r="O17" s="4"/>
    </row>
    <row r="18" spans="1:15" ht="15" x14ac:dyDescent="0.2">
      <c r="A18" s="17" t="s">
        <v>13</v>
      </c>
      <c r="B18" s="16">
        <v>97525236</v>
      </c>
      <c r="C18" s="16">
        <v>0</v>
      </c>
      <c r="D18" s="16">
        <v>18572398.025760867</v>
      </c>
      <c r="E18" s="16">
        <v>1791732.68</v>
      </c>
      <c r="F18" s="16">
        <v>790798.46</v>
      </c>
      <c r="G18" s="16">
        <v>307949.84000000003</v>
      </c>
      <c r="H18" s="16">
        <v>4935387.88</v>
      </c>
      <c r="I18" s="16">
        <v>2356597.17</v>
      </c>
      <c r="J18" s="16">
        <v>10907872.709999997</v>
      </c>
      <c r="K18" s="16">
        <v>0</v>
      </c>
      <c r="L18" s="16">
        <v>0</v>
      </c>
      <c r="M18" s="16">
        <v>23.13</v>
      </c>
      <c r="N18" s="18">
        <f t="shared" si="0"/>
        <v>137187995.89576086</v>
      </c>
      <c r="O18" s="4"/>
    </row>
    <row r="19" spans="1:15" ht="15" x14ac:dyDescent="0.2">
      <c r="A19" s="17" t="s">
        <v>14</v>
      </c>
      <c r="B19" s="16">
        <v>170438835.71000001</v>
      </c>
      <c r="C19" s="16">
        <v>0</v>
      </c>
      <c r="D19" s="16">
        <v>31317816.213894442</v>
      </c>
      <c r="E19" s="16">
        <v>3033288.8000000003</v>
      </c>
      <c r="F19" s="16">
        <v>319394.71000000002</v>
      </c>
      <c r="G19" s="16">
        <v>190635.62</v>
      </c>
      <c r="H19" s="16">
        <v>8625272.7799999993</v>
      </c>
      <c r="I19" s="16">
        <v>951803.41</v>
      </c>
      <c r="J19" s="16">
        <v>9587414.5499999989</v>
      </c>
      <c r="K19" s="16">
        <v>0</v>
      </c>
      <c r="L19" s="16">
        <v>0</v>
      </c>
      <c r="M19" s="16">
        <v>9.34</v>
      </c>
      <c r="N19" s="18">
        <f t="shared" si="0"/>
        <v>224464471.1338945</v>
      </c>
      <c r="O19" s="4"/>
    </row>
    <row r="20" spans="1:15" ht="15" x14ac:dyDescent="0.2">
      <c r="A20" s="17" t="s">
        <v>15</v>
      </c>
      <c r="B20" s="16">
        <v>576277390.61000001</v>
      </c>
      <c r="C20" s="16">
        <v>0</v>
      </c>
      <c r="D20" s="16">
        <v>4341800.0072062705</v>
      </c>
      <c r="E20" s="16">
        <v>11754640.83</v>
      </c>
      <c r="F20" s="16">
        <v>10194270.84</v>
      </c>
      <c r="G20" s="16">
        <v>4544978.7528869016</v>
      </c>
      <c r="H20" s="16">
        <v>29163245.98</v>
      </c>
      <c r="I20" s="16">
        <v>30379155.940000001</v>
      </c>
      <c r="J20" s="16">
        <v>54360450.059999995</v>
      </c>
      <c r="K20" s="16">
        <v>0</v>
      </c>
      <c r="L20" s="16">
        <v>0</v>
      </c>
      <c r="M20" s="16">
        <v>298.37</v>
      </c>
      <c r="N20" s="18">
        <f t="shared" si="0"/>
        <v>721016231.39009333</v>
      </c>
      <c r="O20" s="4"/>
    </row>
    <row r="21" spans="1:15" ht="15" x14ac:dyDescent="0.2">
      <c r="A21" s="17" t="s">
        <v>16</v>
      </c>
      <c r="B21" s="16">
        <v>249541306.37</v>
      </c>
      <c r="C21" s="16">
        <v>0</v>
      </c>
      <c r="D21" s="16">
        <v>1806358.374953235</v>
      </c>
      <c r="E21" s="16">
        <v>4391335.3</v>
      </c>
      <c r="F21" s="16">
        <v>2710681.39</v>
      </c>
      <c r="G21" s="16">
        <v>596775.62885959016</v>
      </c>
      <c r="H21" s="16">
        <v>12628353.33</v>
      </c>
      <c r="I21" s="16">
        <v>8077891.4100000001</v>
      </c>
      <c r="J21" s="16">
        <v>17652651.239999995</v>
      </c>
      <c r="K21" s="16">
        <v>0</v>
      </c>
      <c r="L21" s="16">
        <v>0</v>
      </c>
      <c r="M21" s="16">
        <v>79.320000000000007</v>
      </c>
      <c r="N21" s="18">
        <f t="shared" si="0"/>
        <v>297405432.36381286</v>
      </c>
      <c r="O21" s="4"/>
    </row>
    <row r="22" spans="1:15" ht="15" x14ac:dyDescent="0.2">
      <c r="A22" s="17" t="s">
        <v>17</v>
      </c>
      <c r="B22" s="16">
        <v>185844226.78999999</v>
      </c>
      <c r="C22" s="16">
        <v>0</v>
      </c>
      <c r="D22" s="16">
        <v>28585675.520305101</v>
      </c>
      <c r="E22" s="16">
        <v>3351456.41</v>
      </c>
      <c r="F22" s="16">
        <v>645379.41</v>
      </c>
      <c r="G22" s="16">
        <v>321147.69</v>
      </c>
      <c r="H22" s="16">
        <v>9404882.0800000001</v>
      </c>
      <c r="I22" s="16">
        <v>1923245.13</v>
      </c>
      <c r="J22" s="16">
        <v>13616583.75</v>
      </c>
      <c r="K22" s="16">
        <v>0</v>
      </c>
      <c r="L22" s="16">
        <v>0</v>
      </c>
      <c r="M22" s="16">
        <v>18.88</v>
      </c>
      <c r="N22" s="18">
        <f t="shared" si="0"/>
        <v>243692615.66030508</v>
      </c>
      <c r="O22" s="4"/>
    </row>
    <row r="23" spans="1:15" ht="15" x14ac:dyDescent="0.2">
      <c r="A23" s="17" t="s">
        <v>18</v>
      </c>
      <c r="B23" s="16">
        <v>190495298.65000004</v>
      </c>
      <c r="C23" s="16">
        <v>0</v>
      </c>
      <c r="D23" s="16">
        <v>21359075.418207794</v>
      </c>
      <c r="E23" s="16">
        <v>3400989.92</v>
      </c>
      <c r="F23" s="16">
        <v>618580.13</v>
      </c>
      <c r="G23" s="16">
        <v>388603.37</v>
      </c>
      <c r="H23" s="16">
        <v>9640255.4499999993</v>
      </c>
      <c r="I23" s="16">
        <v>1843382.67</v>
      </c>
      <c r="J23" s="16">
        <v>11001061.26</v>
      </c>
      <c r="K23" s="16">
        <v>0</v>
      </c>
      <c r="L23" s="16">
        <v>0</v>
      </c>
      <c r="M23" s="16">
        <v>18.09</v>
      </c>
      <c r="N23" s="18">
        <f t="shared" si="0"/>
        <v>238747264.95820779</v>
      </c>
      <c r="O23" s="4"/>
    </row>
    <row r="24" spans="1:15" ht="15" x14ac:dyDescent="0.2">
      <c r="A24" s="17" t="s">
        <v>19</v>
      </c>
      <c r="B24" s="16">
        <v>58528841.309999995</v>
      </c>
      <c r="C24" s="16">
        <v>0</v>
      </c>
      <c r="D24" s="16">
        <v>11538976.90199977</v>
      </c>
      <c r="E24" s="16">
        <v>1041734.06</v>
      </c>
      <c r="F24" s="16">
        <v>643182.74</v>
      </c>
      <c r="G24" s="16">
        <v>94256.987352808181</v>
      </c>
      <c r="H24" s="16">
        <v>2961926.02</v>
      </c>
      <c r="I24" s="16">
        <v>1916699.03</v>
      </c>
      <c r="J24" s="16">
        <v>9405676.1399999987</v>
      </c>
      <c r="K24" s="16">
        <v>0</v>
      </c>
      <c r="L24" s="16">
        <v>0</v>
      </c>
      <c r="M24" s="16">
        <v>18.810000000000002</v>
      </c>
      <c r="N24" s="18">
        <f t="shared" si="0"/>
        <v>86131311.999352559</v>
      </c>
      <c r="O24" s="4"/>
    </row>
    <row r="25" spans="1:15" ht="15" x14ac:dyDescent="0.2">
      <c r="A25" s="17" t="s">
        <v>20</v>
      </c>
      <c r="B25" s="16">
        <v>272358272.94999999</v>
      </c>
      <c r="C25" s="16">
        <v>0</v>
      </c>
      <c r="D25" s="16">
        <v>6421592.5268879719</v>
      </c>
      <c r="E25" s="16">
        <v>4715413.8199999994</v>
      </c>
      <c r="F25" s="16">
        <v>2852585.78</v>
      </c>
      <c r="G25" s="16">
        <v>887188.82</v>
      </c>
      <c r="H25" s="16">
        <v>13783034.77</v>
      </c>
      <c r="I25" s="16">
        <v>8500769.6699999999</v>
      </c>
      <c r="J25" s="16">
        <v>21915237.75</v>
      </c>
      <c r="K25" s="16">
        <v>0</v>
      </c>
      <c r="L25" s="16">
        <v>0</v>
      </c>
      <c r="M25" s="16">
        <v>83.48</v>
      </c>
      <c r="N25" s="18">
        <f t="shared" si="0"/>
        <v>331434179.56688792</v>
      </c>
      <c r="O25" s="4"/>
    </row>
    <row r="26" spans="1:15" ht="15" x14ac:dyDescent="0.2">
      <c r="A26" s="17" t="s">
        <v>21</v>
      </c>
      <c r="B26" s="16">
        <v>96182658.569999993</v>
      </c>
      <c r="C26" s="16">
        <v>0</v>
      </c>
      <c r="D26" s="16">
        <v>9626586.2351471297</v>
      </c>
      <c r="E26" s="16">
        <v>1721977.48</v>
      </c>
      <c r="F26" s="16">
        <v>1297348.81</v>
      </c>
      <c r="G26" s="16">
        <v>486854.03</v>
      </c>
      <c r="H26" s="16">
        <v>4867445.05</v>
      </c>
      <c r="I26" s="16">
        <v>3866128.58</v>
      </c>
      <c r="J26" s="16">
        <v>14983546.830000006</v>
      </c>
      <c r="K26" s="16">
        <v>0</v>
      </c>
      <c r="L26" s="16">
        <v>0</v>
      </c>
      <c r="M26" s="16">
        <v>37.96</v>
      </c>
      <c r="N26" s="18">
        <f t="shared" si="0"/>
        <v>133032583.54514714</v>
      </c>
      <c r="O26" s="4"/>
    </row>
    <row r="27" spans="1:15" ht="15" x14ac:dyDescent="0.2">
      <c r="A27" s="17" t="s">
        <v>22</v>
      </c>
      <c r="B27" s="16">
        <v>52035150.450000003</v>
      </c>
      <c r="C27" s="16">
        <v>0</v>
      </c>
      <c r="D27" s="16">
        <v>8922292.821406519</v>
      </c>
      <c r="E27" s="16">
        <v>900361.11</v>
      </c>
      <c r="F27" s="16">
        <v>322470.03000000003</v>
      </c>
      <c r="G27" s="16">
        <v>136377.79</v>
      </c>
      <c r="H27" s="16">
        <v>2633304.59</v>
      </c>
      <c r="I27" s="16">
        <v>960967.96</v>
      </c>
      <c r="J27" s="16">
        <v>4354347.4799999986</v>
      </c>
      <c r="K27" s="16">
        <v>0</v>
      </c>
      <c r="L27" s="16">
        <v>0</v>
      </c>
      <c r="M27" s="16">
        <v>9.43</v>
      </c>
      <c r="N27" s="18">
        <f t="shared" si="0"/>
        <v>70265281.661406532</v>
      </c>
      <c r="O27" s="4"/>
    </row>
    <row r="28" spans="1:15" ht="15" x14ac:dyDescent="0.2">
      <c r="A28" s="17" t="s">
        <v>23</v>
      </c>
      <c r="B28" s="16">
        <v>171336170.63</v>
      </c>
      <c r="C28" s="16">
        <v>0</v>
      </c>
      <c r="D28" s="16">
        <v>23522871.135406055</v>
      </c>
      <c r="E28" s="16">
        <v>2968992.24</v>
      </c>
      <c r="F28" s="16">
        <v>444165.13</v>
      </c>
      <c r="G28" s="16">
        <v>208232.75</v>
      </c>
      <c r="H28" s="16">
        <v>8670683.5500000007</v>
      </c>
      <c r="I28" s="16">
        <v>1323622.08</v>
      </c>
      <c r="J28" s="16">
        <v>8907025.4700000025</v>
      </c>
      <c r="K28" s="16">
        <v>0</v>
      </c>
      <c r="L28" s="16">
        <v>0</v>
      </c>
      <c r="M28" s="16">
        <v>12.99</v>
      </c>
      <c r="N28" s="18">
        <f t="shared" si="0"/>
        <v>217381775.97540608</v>
      </c>
      <c r="O28" s="4"/>
    </row>
    <row r="29" spans="1:15" ht="15" x14ac:dyDescent="0.2">
      <c r="A29" s="17" t="s">
        <v>24</v>
      </c>
      <c r="B29" s="16">
        <v>108882345.16</v>
      </c>
      <c r="C29" s="16">
        <v>0</v>
      </c>
      <c r="D29" s="16">
        <v>21492518.913390264</v>
      </c>
      <c r="E29" s="16">
        <v>1802730.8099999998</v>
      </c>
      <c r="F29" s="16">
        <v>277218.78999999998</v>
      </c>
      <c r="G29" s="16">
        <v>108515.66</v>
      </c>
      <c r="H29" s="16">
        <v>5510128.75</v>
      </c>
      <c r="I29" s="16">
        <v>826118.23</v>
      </c>
      <c r="J29" s="16">
        <v>7781299.8899999978</v>
      </c>
      <c r="K29" s="16">
        <v>0</v>
      </c>
      <c r="L29" s="16">
        <v>0</v>
      </c>
      <c r="M29" s="16">
        <v>8.1</v>
      </c>
      <c r="N29" s="18">
        <f t="shared" si="0"/>
        <v>146680884.30339023</v>
      </c>
      <c r="O29" s="4"/>
    </row>
    <row r="30" spans="1:15" ht="15" x14ac:dyDescent="0.2">
      <c r="A30" s="17" t="s">
        <v>25</v>
      </c>
      <c r="B30" s="16">
        <v>34557669.129999995</v>
      </c>
      <c r="C30" s="16">
        <v>0</v>
      </c>
      <c r="D30" s="16">
        <v>14137259.327287782</v>
      </c>
      <c r="E30" s="16">
        <v>606171.97</v>
      </c>
      <c r="F30" s="16">
        <v>239436.2</v>
      </c>
      <c r="G30" s="16">
        <v>137844.21</v>
      </c>
      <c r="H30" s="16">
        <v>1748834.55</v>
      </c>
      <c r="I30" s="16">
        <v>713525.25</v>
      </c>
      <c r="J30" s="16">
        <v>5877863.6699999981</v>
      </c>
      <c r="K30" s="16">
        <v>0</v>
      </c>
      <c r="L30" s="16">
        <v>0</v>
      </c>
      <c r="M30" s="16">
        <v>7</v>
      </c>
      <c r="N30" s="18">
        <f t="shared" si="0"/>
        <v>58018611.307287768</v>
      </c>
      <c r="O30" s="4"/>
    </row>
    <row r="31" spans="1:15" ht="15" x14ac:dyDescent="0.2">
      <c r="A31" s="17" t="s">
        <v>26</v>
      </c>
      <c r="B31" s="16">
        <v>63378559.82</v>
      </c>
      <c r="C31" s="16">
        <v>0</v>
      </c>
      <c r="D31" s="16">
        <v>7010269.9164829794</v>
      </c>
      <c r="E31" s="16">
        <v>1110224.8400000001</v>
      </c>
      <c r="F31" s="16">
        <v>286005.44</v>
      </c>
      <c r="G31" s="16">
        <v>77720.67</v>
      </c>
      <c r="H31" s="16">
        <v>3207352.16</v>
      </c>
      <c r="I31" s="16">
        <v>852302.64</v>
      </c>
      <c r="J31" s="16">
        <v>4201808.5200000014</v>
      </c>
      <c r="K31" s="16">
        <v>0</v>
      </c>
      <c r="L31" s="16">
        <v>0</v>
      </c>
      <c r="M31" s="16">
        <v>8.370000000000001</v>
      </c>
      <c r="N31" s="18">
        <f t="shared" si="0"/>
        <v>80124252.376482978</v>
      </c>
      <c r="O31" s="4"/>
    </row>
    <row r="32" spans="1:15" ht="15" x14ac:dyDescent="0.2">
      <c r="A32" s="17" t="s">
        <v>27</v>
      </c>
      <c r="B32" s="16">
        <v>290226197.67000002</v>
      </c>
      <c r="C32" s="16">
        <v>0</v>
      </c>
      <c r="D32" s="16">
        <v>39158953.896976314</v>
      </c>
      <c r="E32" s="16">
        <v>5078211.8899999997</v>
      </c>
      <c r="F32" s="16">
        <v>843518.35</v>
      </c>
      <c r="G32" s="16">
        <v>457525.48</v>
      </c>
      <c r="H32" s="16">
        <v>14687263.689999999</v>
      </c>
      <c r="I32" s="16">
        <v>2513703.65</v>
      </c>
      <c r="J32" s="16">
        <v>13045856.25</v>
      </c>
      <c r="K32" s="16">
        <v>0</v>
      </c>
      <c r="L32" s="16">
        <v>0</v>
      </c>
      <c r="M32" s="16">
        <v>24.68</v>
      </c>
      <c r="N32" s="18">
        <f t="shared" si="0"/>
        <v>366011255.55697632</v>
      </c>
      <c r="O32" s="4"/>
    </row>
    <row r="33" spans="1:15" ht="15" x14ac:dyDescent="0.2">
      <c r="A33" s="17" t="s">
        <v>28</v>
      </c>
      <c r="B33" s="16">
        <v>186190145.97</v>
      </c>
      <c r="C33" s="16">
        <v>0</v>
      </c>
      <c r="D33" s="16">
        <v>24712234.04317233</v>
      </c>
      <c r="E33" s="16">
        <v>3276405.0100000002</v>
      </c>
      <c r="F33" s="16">
        <v>619019.46</v>
      </c>
      <c r="G33" s="16">
        <v>343144.11</v>
      </c>
      <c r="H33" s="16">
        <v>9422387.75</v>
      </c>
      <c r="I33" s="16">
        <v>1844691.89</v>
      </c>
      <c r="J33" s="16">
        <v>12802001.940000003</v>
      </c>
      <c r="K33" s="16">
        <v>0</v>
      </c>
      <c r="L33" s="16">
        <v>0</v>
      </c>
      <c r="M33" s="16">
        <v>18.11</v>
      </c>
      <c r="N33" s="18">
        <f t="shared" si="0"/>
        <v>239210048.28317234</v>
      </c>
      <c r="O33" s="4"/>
    </row>
    <row r="34" spans="1:15" ht="15" x14ac:dyDescent="0.2">
      <c r="A34" s="17" t="s">
        <v>29</v>
      </c>
      <c r="B34" s="16">
        <v>247075347.81999999</v>
      </c>
      <c r="C34" s="16">
        <v>0</v>
      </c>
      <c r="D34" s="16">
        <v>25749428.212617971</v>
      </c>
      <c r="E34" s="16">
        <v>5246150.2700000005</v>
      </c>
      <c r="F34" s="16">
        <v>900192.24</v>
      </c>
      <c r="G34" s="16">
        <v>602701.82999999996</v>
      </c>
      <c r="H34" s="16">
        <v>12503560.369999999</v>
      </c>
      <c r="I34" s="16">
        <v>2682593.11</v>
      </c>
      <c r="J34" s="16">
        <v>16457525.07</v>
      </c>
      <c r="K34" s="16">
        <v>0</v>
      </c>
      <c r="L34" s="16">
        <v>0</v>
      </c>
      <c r="M34" s="16">
        <v>26.34</v>
      </c>
      <c r="N34" s="18">
        <f t="shared" si="0"/>
        <v>311217525.26261795</v>
      </c>
      <c r="O34" s="4"/>
    </row>
    <row r="35" spans="1:15" ht="15" x14ac:dyDescent="0.2">
      <c r="A35" s="17" t="s">
        <v>30</v>
      </c>
      <c r="B35" s="16">
        <v>124065115.01000001</v>
      </c>
      <c r="C35" s="16">
        <v>0</v>
      </c>
      <c r="D35" s="16">
        <v>19237840.037396159</v>
      </c>
      <c r="E35" s="16">
        <v>2196081.81</v>
      </c>
      <c r="F35" s="16">
        <v>562784.9</v>
      </c>
      <c r="G35" s="16">
        <v>233162.02</v>
      </c>
      <c r="H35" s="16">
        <v>6278472.0099999998</v>
      </c>
      <c r="I35" s="16">
        <v>1677111.65</v>
      </c>
      <c r="J35" s="16">
        <v>6009142.4399999995</v>
      </c>
      <c r="K35" s="16">
        <v>0</v>
      </c>
      <c r="L35" s="16">
        <v>0</v>
      </c>
      <c r="M35" s="16">
        <v>16.46</v>
      </c>
      <c r="N35" s="18">
        <f t="shared" si="0"/>
        <v>160259726.33739617</v>
      </c>
      <c r="O35" s="4"/>
    </row>
    <row r="36" spans="1:15" ht="15" x14ac:dyDescent="0.2">
      <c r="A36" s="17" t="s">
        <v>31</v>
      </c>
      <c r="B36" s="16">
        <v>135110554.40000001</v>
      </c>
      <c r="C36" s="16">
        <v>0</v>
      </c>
      <c r="D36" s="16">
        <v>19691546.05639391</v>
      </c>
      <c r="E36" s="16">
        <v>2372798.8400000003</v>
      </c>
      <c r="F36" s="16">
        <v>354101.97</v>
      </c>
      <c r="G36" s="16">
        <v>148109.21</v>
      </c>
      <c r="H36" s="16">
        <v>6837440.4400000004</v>
      </c>
      <c r="I36" s="16">
        <v>1055231.8400000001</v>
      </c>
      <c r="J36" s="16">
        <v>6358257.3600000013</v>
      </c>
      <c r="K36" s="16">
        <v>0</v>
      </c>
      <c r="L36" s="16">
        <v>0</v>
      </c>
      <c r="M36" s="16">
        <v>10.36</v>
      </c>
      <c r="N36" s="18">
        <f t="shared" si="0"/>
        <v>171928050.47639397</v>
      </c>
      <c r="O36" s="4"/>
    </row>
    <row r="37" spans="1:15" ht="15" x14ac:dyDescent="0.2">
      <c r="A37" s="17" t="s">
        <v>32</v>
      </c>
      <c r="B37" s="16">
        <v>147875314.87</v>
      </c>
      <c r="C37" s="16">
        <v>0</v>
      </c>
      <c r="D37" s="16">
        <v>20815756.182469066</v>
      </c>
      <c r="E37" s="16">
        <v>2624584.34</v>
      </c>
      <c r="F37" s="16">
        <v>656802.05000000005</v>
      </c>
      <c r="G37" s="16">
        <v>215564.89</v>
      </c>
      <c r="H37" s="16">
        <v>7483417.2800000003</v>
      </c>
      <c r="I37" s="16">
        <v>1957284.87</v>
      </c>
      <c r="J37" s="16">
        <v>9972032.9100000039</v>
      </c>
      <c r="K37" s="16">
        <v>0</v>
      </c>
      <c r="L37" s="16">
        <v>0</v>
      </c>
      <c r="M37" s="16">
        <v>19.21</v>
      </c>
      <c r="N37" s="18">
        <f t="shared" si="0"/>
        <v>191600776.60246909</v>
      </c>
      <c r="O37" s="4"/>
    </row>
    <row r="38" spans="1:15" ht="15" x14ac:dyDescent="0.2">
      <c r="A38" s="17" t="s">
        <v>33</v>
      </c>
      <c r="B38" s="16">
        <v>134086496.57999998</v>
      </c>
      <c r="C38" s="16">
        <v>0</v>
      </c>
      <c r="D38" s="16">
        <v>2059211.282047122</v>
      </c>
      <c r="E38" s="16">
        <v>2395586.81</v>
      </c>
      <c r="F38" s="16">
        <v>586948.18999999994</v>
      </c>
      <c r="G38" s="16">
        <v>583638.27</v>
      </c>
      <c r="H38" s="16">
        <v>6785616.7000000002</v>
      </c>
      <c r="I38" s="16">
        <v>1749118.79</v>
      </c>
      <c r="J38" s="16">
        <v>16745743.349999994</v>
      </c>
      <c r="K38" s="16">
        <v>0</v>
      </c>
      <c r="L38" s="16">
        <v>0</v>
      </c>
      <c r="M38" s="16">
        <v>17.170000000000002</v>
      </c>
      <c r="N38" s="18">
        <f t="shared" si="0"/>
        <v>164992377.14204708</v>
      </c>
      <c r="O38" s="4"/>
    </row>
    <row r="39" spans="1:15" ht="15" x14ac:dyDescent="0.2">
      <c r="A39" s="17" t="s">
        <v>34</v>
      </c>
      <c r="B39" s="16">
        <v>230234905.81999999</v>
      </c>
      <c r="C39" s="16">
        <v>0</v>
      </c>
      <c r="D39" s="16">
        <v>35247648.135079741</v>
      </c>
      <c r="E39" s="16">
        <v>4006065.69</v>
      </c>
      <c r="F39" s="16">
        <v>747743.87</v>
      </c>
      <c r="G39" s="16">
        <v>359274.81</v>
      </c>
      <c r="H39" s="16">
        <v>11651328.51</v>
      </c>
      <c r="I39" s="16">
        <v>2228293.54</v>
      </c>
      <c r="J39" s="16">
        <v>14083715.730000006</v>
      </c>
      <c r="K39" s="16">
        <v>0</v>
      </c>
      <c r="L39" s="16">
        <v>0</v>
      </c>
      <c r="M39" s="16">
        <v>21.87</v>
      </c>
      <c r="N39" s="18">
        <f t="shared" si="0"/>
        <v>298558997.97507977</v>
      </c>
      <c r="O39" s="4"/>
    </row>
    <row r="40" spans="1:15" ht="15" x14ac:dyDescent="0.2">
      <c r="A40" s="17" t="s">
        <v>35</v>
      </c>
      <c r="B40" s="16">
        <v>149796707.56999999</v>
      </c>
      <c r="C40" s="16">
        <v>0</v>
      </c>
      <c r="D40" s="16">
        <v>28012407.935468711</v>
      </c>
      <c r="E40" s="16">
        <v>2661924.79</v>
      </c>
      <c r="F40" s="16">
        <v>399353.22</v>
      </c>
      <c r="G40" s="16">
        <v>158374.20000000001</v>
      </c>
      <c r="H40" s="16">
        <v>7580651.79</v>
      </c>
      <c r="I40" s="16">
        <v>1190081.57</v>
      </c>
      <c r="J40" s="16">
        <v>7687576.2599999961</v>
      </c>
      <c r="K40" s="16">
        <v>0</v>
      </c>
      <c r="L40" s="16">
        <v>0</v>
      </c>
      <c r="M40" s="16">
        <v>11.68</v>
      </c>
      <c r="N40" s="18">
        <f t="shared" ref="N40:N71" si="1">SUM(B40:M40)</f>
        <v>197487089.01546866</v>
      </c>
      <c r="O40" s="4"/>
    </row>
    <row r="41" spans="1:15" ht="15" x14ac:dyDescent="0.2">
      <c r="A41" s="17" t="s">
        <v>36</v>
      </c>
      <c r="B41" s="16">
        <v>161396987.63</v>
      </c>
      <c r="C41" s="16">
        <v>0</v>
      </c>
      <c r="D41" s="16">
        <v>6624513.8927965574</v>
      </c>
      <c r="E41" s="16">
        <v>2788562.3999999994</v>
      </c>
      <c r="F41" s="16">
        <v>676132.68</v>
      </c>
      <c r="G41" s="16">
        <v>253692.01</v>
      </c>
      <c r="H41" s="16">
        <v>8167698.6299999999</v>
      </c>
      <c r="I41" s="16">
        <v>2014890.58</v>
      </c>
      <c r="J41" s="16">
        <v>7955634.5400000028</v>
      </c>
      <c r="K41" s="16">
        <v>0</v>
      </c>
      <c r="L41" s="16">
        <v>0</v>
      </c>
      <c r="M41" s="16">
        <v>19.77</v>
      </c>
      <c r="N41" s="18">
        <f t="shared" si="1"/>
        <v>189878132.13279656</v>
      </c>
      <c r="O41" s="4"/>
    </row>
    <row r="42" spans="1:15" ht="15" x14ac:dyDescent="0.2">
      <c r="A42" s="17" t="s">
        <v>37</v>
      </c>
      <c r="B42" s="16">
        <v>95357247.430000007</v>
      </c>
      <c r="C42" s="16">
        <v>0</v>
      </c>
      <c r="D42" s="16">
        <v>895327.72029543784</v>
      </c>
      <c r="E42" s="16">
        <v>1697858.3199999998</v>
      </c>
      <c r="F42" s="16">
        <v>1836409.76</v>
      </c>
      <c r="G42" s="16">
        <v>0</v>
      </c>
      <c r="H42" s="16">
        <v>4825674.08</v>
      </c>
      <c r="I42" s="16">
        <v>5472542.3099999996</v>
      </c>
      <c r="J42" s="16">
        <v>12732214.739999993</v>
      </c>
      <c r="K42" s="16">
        <v>0</v>
      </c>
      <c r="L42" s="16">
        <v>0</v>
      </c>
      <c r="M42" s="16">
        <v>53.730000000000004</v>
      </c>
      <c r="N42" s="18">
        <f t="shared" si="1"/>
        <v>122817328.09029545</v>
      </c>
      <c r="O42" s="4"/>
    </row>
    <row r="43" spans="1:15" ht="15" x14ac:dyDescent="0.2">
      <c r="A43" s="17" t="s">
        <v>38</v>
      </c>
      <c r="B43" s="16">
        <v>419346527.78999996</v>
      </c>
      <c r="C43" s="16">
        <v>0</v>
      </c>
      <c r="D43" s="16">
        <v>7676108.9887913829</v>
      </c>
      <c r="E43" s="16">
        <v>6492875.0100000007</v>
      </c>
      <c r="F43" s="16">
        <v>7636477.1500000004</v>
      </c>
      <c r="G43" s="16">
        <v>2004606.82</v>
      </c>
      <c r="H43" s="16">
        <v>21221561.25</v>
      </c>
      <c r="I43" s="16">
        <v>22756873.32</v>
      </c>
      <c r="J43" s="16">
        <v>40756414.229999997</v>
      </c>
      <c r="K43" s="16">
        <v>0</v>
      </c>
      <c r="L43" s="16">
        <v>0</v>
      </c>
      <c r="M43" s="16">
        <v>223.5</v>
      </c>
      <c r="N43" s="18">
        <f t="shared" si="1"/>
        <v>527891668.05879134</v>
      </c>
      <c r="O43" s="4"/>
    </row>
    <row r="44" spans="1:15" ht="15" x14ac:dyDescent="0.2">
      <c r="A44" s="17" t="s">
        <v>39</v>
      </c>
      <c r="B44" s="16">
        <v>495578896.75999999</v>
      </c>
      <c r="C44" s="16">
        <v>0</v>
      </c>
      <c r="D44" s="16">
        <v>4864197.6783025041</v>
      </c>
      <c r="E44" s="16">
        <v>8809537.0899999999</v>
      </c>
      <c r="F44" s="16">
        <v>9608640.6400000006</v>
      </c>
      <c r="G44" s="16">
        <v>3650881.1656066552</v>
      </c>
      <c r="H44" s="16">
        <v>25079396.670000002</v>
      </c>
      <c r="I44" s="16">
        <v>28633964.82</v>
      </c>
      <c r="J44" s="16">
        <v>51983994.299999982</v>
      </c>
      <c r="K44" s="16">
        <v>0</v>
      </c>
      <c r="L44" s="16">
        <v>0</v>
      </c>
      <c r="M44" s="16">
        <v>281.22000000000003</v>
      </c>
      <c r="N44" s="18">
        <f t="shared" si="1"/>
        <v>628209790.34390914</v>
      </c>
      <c r="O44" s="4"/>
    </row>
    <row r="45" spans="1:15" ht="15" x14ac:dyDescent="0.2">
      <c r="A45" s="17" t="s">
        <v>40</v>
      </c>
      <c r="B45" s="16">
        <v>143792783.45000002</v>
      </c>
      <c r="C45" s="16">
        <v>0</v>
      </c>
      <c r="D45" s="16">
        <v>9758049.4572917875</v>
      </c>
      <c r="E45" s="16">
        <v>2515358.0599999996</v>
      </c>
      <c r="F45" s="16">
        <v>715672.6</v>
      </c>
      <c r="G45" s="16">
        <v>280087.71000000002</v>
      </c>
      <c r="H45" s="16">
        <v>7276815.6200000001</v>
      </c>
      <c r="I45" s="16">
        <v>2132720.44</v>
      </c>
      <c r="J45" s="16">
        <v>7676723.0400000028</v>
      </c>
      <c r="K45" s="16">
        <v>0</v>
      </c>
      <c r="L45" s="16">
        <v>0</v>
      </c>
      <c r="M45" s="16">
        <v>20.94</v>
      </c>
      <c r="N45" s="18">
        <f t="shared" si="1"/>
        <v>174148231.3172918</v>
      </c>
      <c r="O45" s="4"/>
    </row>
    <row r="46" spans="1:15" ht="15" x14ac:dyDescent="0.2">
      <c r="A46" s="17" t="s">
        <v>41</v>
      </c>
      <c r="B46" s="16">
        <v>218312681.17000002</v>
      </c>
      <c r="C46" s="16">
        <v>0</v>
      </c>
      <c r="D46" s="16">
        <v>6175089.5583025049</v>
      </c>
      <c r="E46" s="16">
        <v>4524386.07</v>
      </c>
      <c r="F46" s="16">
        <v>5644983.0199999996</v>
      </c>
      <c r="G46" s="16">
        <v>0</v>
      </c>
      <c r="H46" s="16">
        <v>11047989.26</v>
      </c>
      <c r="I46" s="16">
        <v>16822176.120000001</v>
      </c>
      <c r="J46" s="16">
        <v>33454496.669999994</v>
      </c>
      <c r="K46" s="16">
        <v>0</v>
      </c>
      <c r="L46" s="16">
        <v>0</v>
      </c>
      <c r="M46" s="16">
        <v>165.21</v>
      </c>
      <c r="N46" s="18">
        <f t="shared" si="1"/>
        <v>295981967.0783025</v>
      </c>
      <c r="O46" s="4"/>
    </row>
    <row r="47" spans="1:15" ht="15" x14ac:dyDescent="0.2">
      <c r="A47" s="17" t="s">
        <v>42</v>
      </c>
      <c r="B47" s="16">
        <v>657345778.29999995</v>
      </c>
      <c r="C47" s="16">
        <v>0</v>
      </c>
      <c r="D47" s="16">
        <v>4180908.0411150879</v>
      </c>
      <c r="E47" s="16">
        <v>13498996.710000001</v>
      </c>
      <c r="F47" s="16">
        <v>17597901.780000001</v>
      </c>
      <c r="G47" s="16">
        <v>4096387.1890221145</v>
      </c>
      <c r="H47" s="16">
        <v>33265814.239999998</v>
      </c>
      <c r="I47" s="16">
        <v>52442142.32</v>
      </c>
      <c r="J47" s="16">
        <v>79152102.540000007</v>
      </c>
      <c r="K47" s="16">
        <v>0</v>
      </c>
      <c r="L47" s="16">
        <v>0</v>
      </c>
      <c r="M47" s="16">
        <v>515.05999999999995</v>
      </c>
      <c r="N47" s="18">
        <f t="shared" si="1"/>
        <v>861580546.18013704</v>
      </c>
      <c r="O47" s="4"/>
    </row>
    <row r="48" spans="1:15" ht="15" x14ac:dyDescent="0.2">
      <c r="A48" s="17" t="s">
        <v>43</v>
      </c>
      <c r="B48" s="16">
        <v>67238469.970000014</v>
      </c>
      <c r="C48" s="16">
        <v>0</v>
      </c>
      <c r="D48" s="16">
        <v>11772603.129241373</v>
      </c>
      <c r="E48" s="16">
        <v>1247224.21</v>
      </c>
      <c r="F48" s="16">
        <v>152887.70000000001</v>
      </c>
      <c r="G48" s="16">
        <v>83586.39</v>
      </c>
      <c r="H48" s="16">
        <v>3402687.79</v>
      </c>
      <c r="I48" s="16">
        <v>455608.79</v>
      </c>
      <c r="J48" s="16">
        <v>4297584.0599999987</v>
      </c>
      <c r="K48" s="16">
        <v>0</v>
      </c>
      <c r="L48" s="16">
        <v>0</v>
      </c>
      <c r="M48" s="16">
        <v>4.46</v>
      </c>
      <c r="N48" s="18">
        <f t="shared" si="1"/>
        <v>88650656.499241397</v>
      </c>
      <c r="O48" s="4"/>
    </row>
    <row r="49" spans="1:15" ht="15" x14ac:dyDescent="0.2">
      <c r="A49" s="17" t="s">
        <v>44</v>
      </c>
      <c r="B49" s="16">
        <v>117595398.74000001</v>
      </c>
      <c r="C49" s="16">
        <v>0</v>
      </c>
      <c r="D49" s="16">
        <v>19000329.784575563</v>
      </c>
      <c r="E49" s="16">
        <v>417341.87</v>
      </c>
      <c r="F49" s="16">
        <v>902828.24</v>
      </c>
      <c r="G49" s="16">
        <v>371006.24</v>
      </c>
      <c r="H49" s="16">
        <v>5951063.8399999999</v>
      </c>
      <c r="I49" s="16">
        <v>2690448.43</v>
      </c>
      <c r="J49" s="16">
        <v>10066529.759999998</v>
      </c>
      <c r="K49" s="16">
        <v>0</v>
      </c>
      <c r="L49" s="16">
        <v>0</v>
      </c>
      <c r="M49" s="16">
        <v>26.42</v>
      </c>
      <c r="N49" s="18">
        <f t="shared" si="1"/>
        <v>156994973.32457557</v>
      </c>
      <c r="O49" s="4"/>
    </row>
    <row r="50" spans="1:15" ht="15" x14ac:dyDescent="0.2">
      <c r="A50" s="17" t="s">
        <v>45</v>
      </c>
      <c r="B50" s="16">
        <v>89884189.420000002</v>
      </c>
      <c r="C50" s="16">
        <v>0</v>
      </c>
      <c r="D50" s="16">
        <v>12736673.59824313</v>
      </c>
      <c r="E50" s="16">
        <v>1629365.46</v>
      </c>
      <c r="F50" s="16">
        <v>253055.5</v>
      </c>
      <c r="G50" s="16">
        <v>104116.37</v>
      </c>
      <c r="H50" s="16">
        <v>4548703.0599999996</v>
      </c>
      <c r="I50" s="16">
        <v>754111.09</v>
      </c>
      <c r="J50" s="16">
        <v>7074090.240000003</v>
      </c>
      <c r="K50" s="16">
        <v>0</v>
      </c>
      <c r="L50" s="16">
        <v>0</v>
      </c>
      <c r="M50" s="16">
        <v>7.3999999999999995</v>
      </c>
      <c r="N50" s="18">
        <f t="shared" si="1"/>
        <v>116984312.13824315</v>
      </c>
      <c r="O50" s="4"/>
    </row>
    <row r="51" spans="1:15" ht="15" x14ac:dyDescent="0.2">
      <c r="A51" s="17" t="s">
        <v>46</v>
      </c>
      <c r="B51" s="16">
        <v>86462671.879999995</v>
      </c>
      <c r="C51" s="16">
        <v>0</v>
      </c>
      <c r="D51" s="16">
        <v>20223184.498251144</v>
      </c>
      <c r="E51" s="16">
        <v>1596001.8000000003</v>
      </c>
      <c r="F51" s="16">
        <v>315440.71000000002</v>
      </c>
      <c r="G51" s="16">
        <v>139310.64000000001</v>
      </c>
      <c r="H51" s="16">
        <v>4375552.84</v>
      </c>
      <c r="I51" s="16">
        <v>940020.43</v>
      </c>
      <c r="J51" s="16">
        <v>4965662.9400000004</v>
      </c>
      <c r="K51" s="16">
        <v>0</v>
      </c>
      <c r="L51" s="16">
        <v>0</v>
      </c>
      <c r="M51" s="16">
        <v>9.2200000000000006</v>
      </c>
      <c r="N51" s="18">
        <f t="shared" si="1"/>
        <v>119017854.95825113</v>
      </c>
      <c r="O51" s="4"/>
    </row>
    <row r="52" spans="1:15" ht="15" x14ac:dyDescent="0.2">
      <c r="A52" s="17" t="s">
        <v>47</v>
      </c>
      <c r="B52" s="16">
        <v>100049418.59</v>
      </c>
      <c r="C52" s="16">
        <v>0</v>
      </c>
      <c r="D52" s="16">
        <v>16514860.089983974</v>
      </c>
      <c r="E52" s="16">
        <v>1766826.3199999998</v>
      </c>
      <c r="F52" s="16">
        <v>290398.76</v>
      </c>
      <c r="G52" s="16">
        <v>162773.49</v>
      </c>
      <c r="H52" s="16">
        <v>5063127.33</v>
      </c>
      <c r="I52" s="16">
        <v>865394.85</v>
      </c>
      <c r="J52" s="16">
        <v>6914444.6699999962</v>
      </c>
      <c r="K52" s="16">
        <v>0</v>
      </c>
      <c r="L52" s="16">
        <v>0</v>
      </c>
      <c r="M52" s="16">
        <v>8.49</v>
      </c>
      <c r="N52" s="18">
        <f t="shared" si="1"/>
        <v>131627252.58998396</v>
      </c>
      <c r="O52" s="4"/>
    </row>
    <row r="53" spans="1:15" ht="15" x14ac:dyDescent="0.2">
      <c r="A53" s="17" t="s">
        <v>48</v>
      </c>
      <c r="B53" s="16">
        <v>36338639.230000004</v>
      </c>
      <c r="C53" s="16">
        <v>0</v>
      </c>
      <c r="D53" s="16">
        <v>10356276.838199785</v>
      </c>
      <c r="E53" s="16">
        <v>638153.12</v>
      </c>
      <c r="F53" s="16">
        <v>50523.23</v>
      </c>
      <c r="G53" s="16">
        <v>26395.7</v>
      </c>
      <c r="H53" s="16">
        <v>1838962.79</v>
      </c>
      <c r="I53" s="16">
        <v>150560.37</v>
      </c>
      <c r="J53" s="16">
        <v>3298766.100000001</v>
      </c>
      <c r="K53" s="16">
        <v>0</v>
      </c>
      <c r="L53" s="16">
        <v>0</v>
      </c>
      <c r="M53" s="16">
        <v>1.47</v>
      </c>
      <c r="N53" s="18">
        <f t="shared" si="1"/>
        <v>52698278.848199785</v>
      </c>
      <c r="O53" s="4"/>
    </row>
    <row r="54" spans="1:15" ht="15" x14ac:dyDescent="0.2">
      <c r="A54" s="17" t="s">
        <v>49</v>
      </c>
      <c r="B54" s="16">
        <v>121801228.04000001</v>
      </c>
      <c r="C54" s="16">
        <v>0</v>
      </c>
      <c r="D54" s="16">
        <v>18022299.509535633</v>
      </c>
      <c r="E54" s="16">
        <v>2190505.0699999998</v>
      </c>
      <c r="F54" s="16">
        <v>173536.32</v>
      </c>
      <c r="G54" s="16">
        <v>101183.52</v>
      </c>
      <c r="H54" s="16">
        <v>6163905.1500000004</v>
      </c>
      <c r="I54" s="16">
        <v>517142.16</v>
      </c>
      <c r="J54" s="16">
        <v>7556238.0600000024</v>
      </c>
      <c r="K54" s="16">
        <v>0</v>
      </c>
      <c r="L54" s="16">
        <v>0</v>
      </c>
      <c r="M54" s="16">
        <v>5.07</v>
      </c>
      <c r="N54" s="18">
        <f t="shared" si="1"/>
        <v>156526042.89953563</v>
      </c>
      <c r="O54" s="4"/>
    </row>
    <row r="55" spans="1:15" ht="15" x14ac:dyDescent="0.2">
      <c r="A55" s="17" t="s">
        <v>50</v>
      </c>
      <c r="B55" s="16">
        <v>53189356.049999997</v>
      </c>
      <c r="C55" s="16">
        <v>0</v>
      </c>
      <c r="D55" s="16">
        <v>5228105.4448288325</v>
      </c>
      <c r="E55" s="16">
        <v>846794.66</v>
      </c>
      <c r="F55" s="16">
        <v>320273.37</v>
      </c>
      <c r="G55" s="16">
        <v>139310.64000000001</v>
      </c>
      <c r="H55" s="16">
        <v>2691714.62</v>
      </c>
      <c r="I55" s="16">
        <v>954421.85</v>
      </c>
      <c r="J55" s="16">
        <v>5409958.6800000006</v>
      </c>
      <c r="K55" s="16">
        <v>0</v>
      </c>
      <c r="L55" s="16">
        <v>0</v>
      </c>
      <c r="M55" s="16">
        <v>9.370000000000001</v>
      </c>
      <c r="N55" s="18">
        <f t="shared" si="1"/>
        <v>68779944.684828833</v>
      </c>
      <c r="O55" s="4"/>
    </row>
    <row r="56" spans="1:15" ht="15" x14ac:dyDescent="0.2">
      <c r="A56" s="17" t="s">
        <v>51</v>
      </c>
      <c r="B56" s="16">
        <v>45198965.320000008</v>
      </c>
      <c r="C56" s="16">
        <v>0</v>
      </c>
      <c r="D56" s="16">
        <v>5651184.0060791643</v>
      </c>
      <c r="E56" s="16">
        <v>783275.16</v>
      </c>
      <c r="F56" s="16">
        <v>90502.49</v>
      </c>
      <c r="G56" s="16">
        <v>35194.269999999997</v>
      </c>
      <c r="H56" s="16">
        <v>2287350.79</v>
      </c>
      <c r="I56" s="16">
        <v>269699.45</v>
      </c>
      <c r="J56" s="16">
        <v>4436207.16</v>
      </c>
      <c r="K56" s="16">
        <v>0</v>
      </c>
      <c r="L56" s="16">
        <v>0</v>
      </c>
      <c r="M56" s="16">
        <v>2.64</v>
      </c>
      <c r="N56" s="18">
        <f t="shared" si="1"/>
        <v>58752381.286079183</v>
      </c>
      <c r="O56" s="4"/>
    </row>
    <row r="57" spans="1:15" ht="15" x14ac:dyDescent="0.2">
      <c r="A57" s="17" t="s">
        <v>52</v>
      </c>
      <c r="B57" s="16">
        <v>109094691.56</v>
      </c>
      <c r="C57" s="16">
        <v>0</v>
      </c>
      <c r="D57" s="16">
        <v>12551719.792416058</v>
      </c>
      <c r="E57" s="16">
        <v>2084003.21</v>
      </c>
      <c r="F57" s="16">
        <v>464813.76</v>
      </c>
      <c r="G57" s="16">
        <v>184769.9</v>
      </c>
      <c r="H57" s="16">
        <v>5520874.8099999996</v>
      </c>
      <c r="I57" s="16">
        <v>1385155.45</v>
      </c>
      <c r="J57" s="16">
        <v>9297977.2200000025</v>
      </c>
      <c r="K57" s="16">
        <v>0</v>
      </c>
      <c r="L57" s="16">
        <v>0</v>
      </c>
      <c r="M57" s="16">
        <v>13.59</v>
      </c>
      <c r="N57" s="18">
        <f t="shared" si="1"/>
        <v>140584019.2924161</v>
      </c>
      <c r="O57" s="4"/>
    </row>
    <row r="58" spans="1:15" ht="15" x14ac:dyDescent="0.2">
      <c r="A58" s="17" t="s">
        <v>53</v>
      </c>
      <c r="B58" s="16">
        <v>94161942.519999981</v>
      </c>
      <c r="C58" s="16">
        <v>0</v>
      </c>
      <c r="D58" s="16">
        <v>7293809.4737325972</v>
      </c>
      <c r="E58" s="16">
        <v>1701046.06</v>
      </c>
      <c r="F58" s="16">
        <v>270628.8</v>
      </c>
      <c r="G58" s="16">
        <v>105582.8</v>
      </c>
      <c r="H58" s="16">
        <v>4765184.16</v>
      </c>
      <c r="I58" s="16">
        <v>806479.92</v>
      </c>
      <c r="J58" s="16">
        <v>5506804.5899999999</v>
      </c>
      <c r="K58" s="16">
        <v>0</v>
      </c>
      <c r="L58" s="16">
        <v>0</v>
      </c>
      <c r="M58" s="16">
        <v>7.91</v>
      </c>
      <c r="N58" s="18">
        <f t="shared" si="1"/>
        <v>114611486.23373257</v>
      </c>
      <c r="O58" s="4"/>
    </row>
    <row r="59" spans="1:15" ht="15" x14ac:dyDescent="0.2">
      <c r="A59" s="17" t="s">
        <v>54</v>
      </c>
      <c r="B59" s="16">
        <v>105614950.05000001</v>
      </c>
      <c r="C59" s="16">
        <v>0</v>
      </c>
      <c r="D59" s="16">
        <v>20395312.592062425</v>
      </c>
      <c r="E59" s="16">
        <v>1896452.9500000002</v>
      </c>
      <c r="F59" s="16">
        <v>263599.48</v>
      </c>
      <c r="G59" s="16">
        <v>105582.8</v>
      </c>
      <c r="H59" s="16">
        <v>5344778.09</v>
      </c>
      <c r="I59" s="16">
        <v>785532.39</v>
      </c>
      <c r="J59" s="16">
        <v>6122996.4599999972</v>
      </c>
      <c r="K59" s="16">
        <v>0</v>
      </c>
      <c r="L59" s="16">
        <v>0</v>
      </c>
      <c r="M59" s="16">
        <v>7.6999999999999993</v>
      </c>
      <c r="N59" s="18">
        <f t="shared" si="1"/>
        <v>140529212.51206243</v>
      </c>
      <c r="O59" s="4"/>
    </row>
    <row r="60" spans="1:15" ht="15" x14ac:dyDescent="0.2">
      <c r="A60" s="17" t="s">
        <v>55</v>
      </c>
      <c r="B60" s="16">
        <v>767844696.3599999</v>
      </c>
      <c r="C60" s="16">
        <v>0</v>
      </c>
      <c r="D60" s="16">
        <v>36102622.234392509</v>
      </c>
      <c r="E60" s="16">
        <v>4925607.59</v>
      </c>
      <c r="F60" s="16">
        <v>14500168.470000001</v>
      </c>
      <c r="G60" s="16">
        <v>5809986.9800000004</v>
      </c>
      <c r="H60" s="16">
        <v>38857751.700000003</v>
      </c>
      <c r="I60" s="16">
        <v>43210827.520000003</v>
      </c>
      <c r="J60" s="16">
        <v>101593019.84999996</v>
      </c>
      <c r="K60" s="16">
        <v>0</v>
      </c>
      <c r="L60" s="16">
        <v>0</v>
      </c>
      <c r="M60" s="16">
        <v>424.39</v>
      </c>
      <c r="N60" s="18">
        <f t="shared" si="1"/>
        <v>1012845105.0943924</v>
      </c>
      <c r="O60" s="4"/>
    </row>
    <row r="61" spans="1:15" ht="15" x14ac:dyDescent="0.2">
      <c r="A61" s="17" t="s">
        <v>56</v>
      </c>
      <c r="B61" s="16">
        <v>113238871.92000002</v>
      </c>
      <c r="C61" s="16">
        <v>0</v>
      </c>
      <c r="D61" s="16">
        <v>4963934.9968526373</v>
      </c>
      <c r="E61" s="16">
        <v>2083413.39</v>
      </c>
      <c r="F61" s="16">
        <v>2588546.96</v>
      </c>
      <c r="G61" s="16">
        <v>575440.52333883743</v>
      </c>
      <c r="H61" s="16">
        <v>5730596.29</v>
      </c>
      <c r="I61" s="16">
        <v>7713928.0599999996</v>
      </c>
      <c r="J61" s="16">
        <v>24644019.75</v>
      </c>
      <c r="K61" s="16">
        <v>0</v>
      </c>
      <c r="L61" s="16">
        <v>0</v>
      </c>
      <c r="M61" s="16">
        <v>75.75</v>
      </c>
      <c r="N61" s="18">
        <f t="shared" si="1"/>
        <v>161538827.6401915</v>
      </c>
      <c r="O61" s="4"/>
    </row>
    <row r="62" spans="1:15" ht="15" x14ac:dyDescent="0.2">
      <c r="A62" s="17" t="s">
        <v>57</v>
      </c>
      <c r="B62" s="16">
        <v>757693166.91999996</v>
      </c>
      <c r="C62" s="16">
        <v>0</v>
      </c>
      <c r="D62" s="16">
        <v>5605504.5100000007</v>
      </c>
      <c r="E62" s="16">
        <v>15010272.420000002</v>
      </c>
      <c r="F62" s="16">
        <v>11606724.76</v>
      </c>
      <c r="G62" s="16">
        <v>0</v>
      </c>
      <c r="H62" s="16">
        <v>38344020.719999999</v>
      </c>
      <c r="I62" s="16">
        <v>34588300.329999998</v>
      </c>
      <c r="J62" s="16">
        <v>50669334.660000011</v>
      </c>
      <c r="K62" s="16">
        <v>0</v>
      </c>
      <c r="L62" s="16">
        <v>0</v>
      </c>
      <c r="M62" s="16">
        <v>339.70000000000005</v>
      </c>
      <c r="N62" s="18">
        <f t="shared" si="1"/>
        <v>913517664.01999998</v>
      </c>
      <c r="O62" s="4"/>
    </row>
    <row r="63" spans="1:15" ht="15" x14ac:dyDescent="0.2">
      <c r="A63" s="17" t="s">
        <v>58</v>
      </c>
      <c r="B63" s="16">
        <v>114656798.06999999</v>
      </c>
      <c r="C63" s="16">
        <v>0</v>
      </c>
      <c r="D63" s="16">
        <v>20371342.749897279</v>
      </c>
      <c r="E63" s="16">
        <v>1953180.5</v>
      </c>
      <c r="F63" s="16">
        <v>409018.53</v>
      </c>
      <c r="G63" s="16">
        <v>170105.63</v>
      </c>
      <c r="H63" s="16">
        <v>5802352.2400000002</v>
      </c>
      <c r="I63" s="16">
        <v>1218884.42</v>
      </c>
      <c r="J63" s="16">
        <v>6971237.9100000001</v>
      </c>
      <c r="K63" s="16">
        <v>0</v>
      </c>
      <c r="L63" s="16">
        <v>0</v>
      </c>
      <c r="M63" s="16">
        <v>11.96</v>
      </c>
      <c r="N63" s="18">
        <f t="shared" si="1"/>
        <v>151552932.00989726</v>
      </c>
      <c r="O63" s="4"/>
    </row>
    <row r="64" spans="1:15" ht="15" x14ac:dyDescent="0.2">
      <c r="A64" s="17" t="s">
        <v>59</v>
      </c>
      <c r="B64" s="16">
        <v>223597367.36000001</v>
      </c>
      <c r="C64" s="16">
        <v>0</v>
      </c>
      <c r="D64" s="16">
        <v>69463352.084706083</v>
      </c>
      <c r="E64" s="16">
        <v>4042302.1799999997</v>
      </c>
      <c r="F64" s="16">
        <v>748622.54</v>
      </c>
      <c r="G64" s="16">
        <v>290352.71000000002</v>
      </c>
      <c r="H64" s="16">
        <v>11315427.49</v>
      </c>
      <c r="I64" s="16">
        <v>2230911.9900000002</v>
      </c>
      <c r="J64" s="16">
        <v>14324180.010000007</v>
      </c>
      <c r="K64" s="16">
        <v>0</v>
      </c>
      <c r="L64" s="16">
        <v>0</v>
      </c>
      <c r="M64" s="16">
        <v>21.9</v>
      </c>
      <c r="N64" s="18">
        <f t="shared" si="1"/>
        <v>326012538.26470608</v>
      </c>
      <c r="O64" s="4"/>
    </row>
    <row r="65" spans="1:15" ht="15" x14ac:dyDescent="0.2">
      <c r="A65" s="17" t="s">
        <v>60</v>
      </c>
      <c r="B65" s="16">
        <v>124753528.44999999</v>
      </c>
      <c r="C65" s="16">
        <v>0</v>
      </c>
      <c r="D65" s="16">
        <v>17931849.51272634</v>
      </c>
      <c r="E65" s="16">
        <v>2226397.7999999998</v>
      </c>
      <c r="F65" s="16">
        <v>162992.34</v>
      </c>
      <c r="G65" s="16">
        <v>111448.51</v>
      </c>
      <c r="H65" s="16">
        <v>6313310.04</v>
      </c>
      <c r="I65" s="16">
        <v>485720.86</v>
      </c>
      <c r="J65" s="16">
        <v>8276828.4900000039</v>
      </c>
      <c r="K65" s="16">
        <v>0</v>
      </c>
      <c r="L65" s="16">
        <v>0</v>
      </c>
      <c r="M65" s="16">
        <v>4.76</v>
      </c>
      <c r="N65" s="18">
        <f t="shared" si="1"/>
        <v>160262080.76272634</v>
      </c>
      <c r="O65" s="4"/>
    </row>
    <row r="66" spans="1:15" ht="15" x14ac:dyDescent="0.2">
      <c r="A66" s="17" t="s">
        <v>61</v>
      </c>
      <c r="B66" s="16">
        <v>69639354.599999994</v>
      </c>
      <c r="C66" s="16">
        <v>0</v>
      </c>
      <c r="D66" s="16">
        <v>14442810.414439864</v>
      </c>
      <c r="E66" s="16">
        <v>1236231.7499999998</v>
      </c>
      <c r="F66" s="16">
        <v>159477.68</v>
      </c>
      <c r="G66" s="16">
        <v>89452.1</v>
      </c>
      <c r="H66" s="16">
        <v>3524187.59</v>
      </c>
      <c r="I66" s="16">
        <v>475247.1</v>
      </c>
      <c r="J66" s="16">
        <v>3708926.3400000003</v>
      </c>
      <c r="K66" s="16">
        <v>0</v>
      </c>
      <c r="L66" s="16">
        <v>0</v>
      </c>
      <c r="M66" s="16">
        <v>4.66</v>
      </c>
      <c r="N66" s="18">
        <f t="shared" si="1"/>
        <v>93275692.23443985</v>
      </c>
      <c r="O66" s="4"/>
    </row>
    <row r="67" spans="1:15" ht="15" x14ac:dyDescent="0.2">
      <c r="A67" s="17" t="s">
        <v>62</v>
      </c>
      <c r="B67" s="16">
        <v>321725393.35000002</v>
      </c>
      <c r="C67" s="16">
        <v>0</v>
      </c>
      <c r="D67" s="16">
        <v>1602772.5100000002</v>
      </c>
      <c r="E67" s="16">
        <v>6590344.629999999</v>
      </c>
      <c r="F67" s="16">
        <v>4285249</v>
      </c>
      <c r="G67" s="16">
        <v>1870487.9085115711</v>
      </c>
      <c r="H67" s="16">
        <v>16281320.310000001</v>
      </c>
      <c r="I67" s="16">
        <v>12770138.210000001</v>
      </c>
      <c r="J67" s="16">
        <v>25027180.919999994</v>
      </c>
      <c r="K67" s="16">
        <v>0</v>
      </c>
      <c r="L67" s="16">
        <v>0</v>
      </c>
      <c r="M67" s="16">
        <v>125.41</v>
      </c>
      <c r="N67" s="18">
        <f t="shared" si="1"/>
        <v>390153012.24851161</v>
      </c>
      <c r="O67" s="4"/>
    </row>
    <row r="68" spans="1:15" ht="15" x14ac:dyDescent="0.2">
      <c r="A68" s="17" t="s">
        <v>63</v>
      </c>
      <c r="B68" s="16">
        <v>197636303.61000001</v>
      </c>
      <c r="C68" s="16">
        <v>0</v>
      </c>
      <c r="D68" s="16">
        <v>2049415.6899999997</v>
      </c>
      <c r="E68" s="16">
        <v>3491744.96</v>
      </c>
      <c r="F68" s="16">
        <v>3779137.98</v>
      </c>
      <c r="G68" s="16">
        <v>1847907.2259620819</v>
      </c>
      <c r="H68" s="16">
        <v>10001635.029999999</v>
      </c>
      <c r="I68" s="16">
        <v>11261916.02</v>
      </c>
      <c r="J68" s="16">
        <v>21240081.869999997</v>
      </c>
      <c r="K68" s="16">
        <v>0</v>
      </c>
      <c r="L68" s="16">
        <v>0</v>
      </c>
      <c r="M68" s="16">
        <v>110.6</v>
      </c>
      <c r="N68" s="18">
        <f t="shared" si="1"/>
        <v>251308252.98596209</v>
      </c>
      <c r="O68" s="4"/>
    </row>
    <row r="69" spans="1:15" ht="15" x14ac:dyDescent="0.2">
      <c r="A69" s="17" t="s">
        <v>64</v>
      </c>
      <c r="B69" s="16">
        <v>611061106.07000017</v>
      </c>
      <c r="C69" s="16">
        <v>0</v>
      </c>
      <c r="D69" s="16">
        <v>1598655.1796463672</v>
      </c>
      <c r="E69" s="16">
        <v>10918997.800000001</v>
      </c>
      <c r="F69" s="16">
        <v>11153333.640000001</v>
      </c>
      <c r="G69" s="16">
        <v>1842838.9343175665</v>
      </c>
      <c r="H69" s="16">
        <v>30923519.879999999</v>
      </c>
      <c r="I69" s="16">
        <v>33237184.620000001</v>
      </c>
      <c r="J69" s="16">
        <v>47047590.239999995</v>
      </c>
      <c r="K69" s="16">
        <v>0</v>
      </c>
      <c r="L69" s="16">
        <v>0</v>
      </c>
      <c r="M69" s="16">
        <v>326.42999999999995</v>
      </c>
      <c r="N69" s="18">
        <f t="shared" si="1"/>
        <v>747783552.79396403</v>
      </c>
      <c r="O69" s="4"/>
    </row>
    <row r="70" spans="1:15" ht="15" x14ac:dyDescent="0.2">
      <c r="A70" s="17" t="s">
        <v>65</v>
      </c>
      <c r="B70" s="16">
        <v>139723951.82999998</v>
      </c>
      <c r="C70" s="16">
        <v>0</v>
      </c>
      <c r="D70" s="16">
        <v>27122495.848453052</v>
      </c>
      <c r="E70" s="16">
        <v>2484942.6999999997</v>
      </c>
      <c r="F70" s="16">
        <v>2476956.5099999998</v>
      </c>
      <c r="G70" s="16">
        <v>847595.27</v>
      </c>
      <c r="H70" s="16">
        <v>7070907.25</v>
      </c>
      <c r="I70" s="16">
        <v>7381386.0199999996</v>
      </c>
      <c r="J70" s="16">
        <v>19677643.019999996</v>
      </c>
      <c r="K70" s="16">
        <v>0</v>
      </c>
      <c r="L70" s="16">
        <v>0</v>
      </c>
      <c r="M70" s="16">
        <v>72.490000000000009</v>
      </c>
      <c r="N70" s="18">
        <f t="shared" si="1"/>
        <v>206785950.93845302</v>
      </c>
      <c r="O70" s="4"/>
    </row>
    <row r="71" spans="1:15" ht="15" x14ac:dyDescent="0.2">
      <c r="A71" s="17" t="s">
        <v>66</v>
      </c>
      <c r="B71" s="16">
        <v>484417009.32999992</v>
      </c>
      <c r="C71" s="16">
        <v>0</v>
      </c>
      <c r="D71" s="16">
        <v>1591234.1799999997</v>
      </c>
      <c r="E71" s="16">
        <v>2995599.69</v>
      </c>
      <c r="F71" s="16">
        <v>1559630.3</v>
      </c>
      <c r="G71" s="16">
        <v>654026.80000000005</v>
      </c>
      <c r="H71" s="16">
        <v>24514535.239999998</v>
      </c>
      <c r="I71" s="16">
        <v>4647733.3</v>
      </c>
      <c r="J71" s="16">
        <v>16939672.890000001</v>
      </c>
      <c r="K71" s="16">
        <v>0</v>
      </c>
      <c r="L71" s="16">
        <v>0</v>
      </c>
      <c r="M71" s="16">
        <v>45.64</v>
      </c>
      <c r="N71" s="18">
        <f t="shared" si="1"/>
        <v>537319487.37</v>
      </c>
      <c r="O71" s="4"/>
    </row>
    <row r="72" spans="1:15" ht="15" x14ac:dyDescent="0.2">
      <c r="A72" s="17" t="s">
        <v>67</v>
      </c>
      <c r="B72" s="16">
        <v>2520935735.7999997</v>
      </c>
      <c r="C72" s="16">
        <v>0</v>
      </c>
      <c r="D72" s="16">
        <v>11160299.591616441</v>
      </c>
      <c r="E72" s="16">
        <v>51339440.859999999</v>
      </c>
      <c r="F72" s="16">
        <v>45380849.130000003</v>
      </c>
      <c r="G72" s="16">
        <v>0</v>
      </c>
      <c r="H72" s="16">
        <v>127575140.29000001</v>
      </c>
      <c r="I72" s="16">
        <v>135235946.94999999</v>
      </c>
      <c r="J72" s="16">
        <v>249434569.85999995</v>
      </c>
      <c r="K72" s="16">
        <v>0</v>
      </c>
      <c r="L72" s="16">
        <v>0</v>
      </c>
      <c r="M72" s="16">
        <v>1328.22</v>
      </c>
      <c r="N72" s="18">
        <f t="shared" ref="N72:N103" si="2">SUM(B72:M72)</f>
        <v>3141063310.7016163</v>
      </c>
      <c r="O72" s="4"/>
    </row>
    <row r="73" spans="1:15" ht="15" x14ac:dyDescent="0.2">
      <c r="A73" s="17" t="s">
        <v>68</v>
      </c>
      <c r="B73" s="16">
        <v>1009991552.0799999</v>
      </c>
      <c r="C73" s="16">
        <v>0</v>
      </c>
      <c r="D73" s="16">
        <v>23997804.313399449</v>
      </c>
      <c r="E73" s="16">
        <v>20447260.640000001</v>
      </c>
      <c r="F73" s="16">
        <v>16844007.239999998</v>
      </c>
      <c r="G73" s="16">
        <v>7455178.5271100141</v>
      </c>
      <c r="H73" s="16">
        <v>51111899.490000002</v>
      </c>
      <c r="I73" s="16">
        <v>50195519.689999998</v>
      </c>
      <c r="J73" s="16">
        <v>107768260.32000002</v>
      </c>
      <c r="K73" s="16">
        <v>0</v>
      </c>
      <c r="L73" s="16">
        <v>0</v>
      </c>
      <c r="M73" s="16">
        <v>492.98999999999995</v>
      </c>
      <c r="N73" s="18">
        <f t="shared" si="2"/>
        <v>1287811975.2905095</v>
      </c>
      <c r="O73" s="4"/>
    </row>
    <row r="74" spans="1:15" ht="15" x14ac:dyDescent="0.2">
      <c r="A74" s="17" t="s">
        <v>69</v>
      </c>
      <c r="B74" s="16">
        <v>624791700.31999993</v>
      </c>
      <c r="C74" s="16">
        <v>0</v>
      </c>
      <c r="D74" s="16">
        <v>4534521.53</v>
      </c>
      <c r="E74" s="16">
        <v>12666340.48</v>
      </c>
      <c r="F74" s="16">
        <v>12229258.880000001</v>
      </c>
      <c r="G74" s="16">
        <v>12975281.68020707</v>
      </c>
      <c r="H74" s="16">
        <v>31618373.960000001</v>
      </c>
      <c r="I74" s="16">
        <v>36443465.990000002</v>
      </c>
      <c r="J74" s="16">
        <v>58555746.899999984</v>
      </c>
      <c r="K74" s="16">
        <v>0</v>
      </c>
      <c r="L74" s="16">
        <v>0</v>
      </c>
      <c r="M74" s="16">
        <v>357.93</v>
      </c>
      <c r="N74" s="18">
        <f t="shared" si="2"/>
        <v>793815047.6702069</v>
      </c>
      <c r="O74" s="4"/>
    </row>
    <row r="75" spans="1:15" ht="15" x14ac:dyDescent="0.2">
      <c r="A75" s="17" t="s">
        <v>70</v>
      </c>
      <c r="B75" s="16">
        <v>101052926.7</v>
      </c>
      <c r="C75" s="16">
        <v>0</v>
      </c>
      <c r="D75" s="16">
        <v>13613587.663394269</v>
      </c>
      <c r="E75" s="16">
        <v>1817364.7200000002</v>
      </c>
      <c r="F75" s="16">
        <v>222302.23</v>
      </c>
      <c r="G75" s="16">
        <v>95317.81</v>
      </c>
      <c r="H75" s="16">
        <v>5113911.13</v>
      </c>
      <c r="I75" s="16">
        <v>662465.65</v>
      </c>
      <c r="J75" s="16">
        <v>6847779.5400000028</v>
      </c>
      <c r="K75" s="16">
        <v>0</v>
      </c>
      <c r="L75" s="16">
        <v>0</v>
      </c>
      <c r="M75" s="16">
        <v>6.5</v>
      </c>
      <c r="N75" s="18">
        <f t="shared" si="2"/>
        <v>129425661.94339429</v>
      </c>
      <c r="O75" s="4"/>
    </row>
    <row r="76" spans="1:15" ht="15" x14ac:dyDescent="0.2">
      <c r="A76" s="17" t="s">
        <v>71</v>
      </c>
      <c r="B76" s="16">
        <v>94131118.039999992</v>
      </c>
      <c r="C76" s="16">
        <v>0</v>
      </c>
      <c r="D76" s="16">
        <v>20305793.26756319</v>
      </c>
      <c r="E76" s="16">
        <v>1655904.1600000001</v>
      </c>
      <c r="F76" s="16">
        <v>400231.88</v>
      </c>
      <c r="G76" s="16">
        <v>224363.45</v>
      </c>
      <c r="H76" s="16">
        <v>4763624.25</v>
      </c>
      <c r="I76" s="16">
        <v>1192700.01</v>
      </c>
      <c r="J76" s="16">
        <v>9752115.0299999975</v>
      </c>
      <c r="K76" s="16">
        <v>0</v>
      </c>
      <c r="L76" s="16">
        <v>0</v>
      </c>
      <c r="M76" s="16">
        <v>11.7</v>
      </c>
      <c r="N76" s="18">
        <f t="shared" si="2"/>
        <v>132425861.78756319</v>
      </c>
      <c r="O76" s="4"/>
    </row>
    <row r="77" spans="1:15" ht="15" x14ac:dyDescent="0.2">
      <c r="A77" s="17" t="s">
        <v>72</v>
      </c>
      <c r="B77" s="16">
        <v>122636914.01000001</v>
      </c>
      <c r="C77" s="16">
        <v>0</v>
      </c>
      <c r="D77" s="16">
        <v>16311650.931040868</v>
      </c>
      <c r="E77" s="16">
        <v>2222497.3499999996</v>
      </c>
      <c r="F77" s="16">
        <v>470085.75</v>
      </c>
      <c r="G77" s="16">
        <v>158374.20000000001</v>
      </c>
      <c r="H77" s="16">
        <v>6206196.0999999996</v>
      </c>
      <c r="I77" s="16">
        <v>1400866.09</v>
      </c>
      <c r="J77" s="16">
        <v>6546269.7299999986</v>
      </c>
      <c r="K77" s="16">
        <v>0</v>
      </c>
      <c r="L77" s="16">
        <v>0</v>
      </c>
      <c r="M77" s="16">
        <v>13.75</v>
      </c>
      <c r="N77" s="18">
        <f t="shared" si="2"/>
        <v>155952867.91104084</v>
      </c>
      <c r="O77" s="4"/>
    </row>
    <row r="78" spans="1:15" ht="15" x14ac:dyDescent="0.2">
      <c r="A78" s="17" t="s">
        <v>73</v>
      </c>
      <c r="B78" s="16">
        <v>47613549.75</v>
      </c>
      <c r="C78" s="16">
        <v>0</v>
      </c>
      <c r="D78" s="16">
        <v>6632804.0984068755</v>
      </c>
      <c r="E78" s="16">
        <v>856323.04999999993</v>
      </c>
      <c r="F78" s="16">
        <v>166946.34</v>
      </c>
      <c r="G78" s="16">
        <v>52791.4</v>
      </c>
      <c r="H78" s="16">
        <v>2409543.89</v>
      </c>
      <c r="I78" s="16">
        <v>497503.85</v>
      </c>
      <c r="J78" s="16">
        <v>2953576.08</v>
      </c>
      <c r="K78" s="16">
        <v>0</v>
      </c>
      <c r="L78" s="16">
        <v>0</v>
      </c>
      <c r="M78" s="16">
        <v>4.88</v>
      </c>
      <c r="N78" s="18">
        <f t="shared" si="2"/>
        <v>61183043.338406876</v>
      </c>
      <c r="O78" s="4"/>
    </row>
    <row r="79" spans="1:15" ht="15" x14ac:dyDescent="0.2">
      <c r="A79" s="17" t="s">
        <v>74</v>
      </c>
      <c r="B79" s="16">
        <v>190693945.29999998</v>
      </c>
      <c r="C79" s="16">
        <v>0</v>
      </c>
      <c r="D79" s="16">
        <v>41578796.443536803</v>
      </c>
      <c r="E79" s="16">
        <v>3527214.6100000003</v>
      </c>
      <c r="F79" s="16">
        <v>839125.03</v>
      </c>
      <c r="G79" s="16">
        <v>393002.65</v>
      </c>
      <c r="H79" s="16">
        <v>9650308.2100000009</v>
      </c>
      <c r="I79" s="16">
        <v>2500611.44</v>
      </c>
      <c r="J79" s="16">
        <v>15323771.190000003</v>
      </c>
      <c r="K79" s="16">
        <v>0</v>
      </c>
      <c r="L79" s="16">
        <v>0</v>
      </c>
      <c r="M79" s="16">
        <v>24.55</v>
      </c>
      <c r="N79" s="18">
        <f t="shared" si="2"/>
        <v>264506799.42353681</v>
      </c>
      <c r="O79" s="4"/>
    </row>
    <row r="80" spans="1:15" ht="15" x14ac:dyDescent="0.2">
      <c r="A80" s="17" t="s">
        <v>75</v>
      </c>
      <c r="B80" s="16">
        <v>119492816.83999999</v>
      </c>
      <c r="C80" s="16">
        <v>0</v>
      </c>
      <c r="D80" s="16">
        <v>53689402.672678992</v>
      </c>
      <c r="E80" s="16">
        <v>2168372.58</v>
      </c>
      <c r="F80" s="16">
        <v>271507.46999999997</v>
      </c>
      <c r="G80" s="16">
        <v>164239.91</v>
      </c>
      <c r="H80" s="16">
        <v>6047085.0800000001</v>
      </c>
      <c r="I80" s="16">
        <v>809098.36</v>
      </c>
      <c r="J80" s="16">
        <v>10099416.18</v>
      </c>
      <c r="K80" s="16">
        <v>0</v>
      </c>
      <c r="L80" s="16">
        <v>0</v>
      </c>
      <c r="M80" s="16">
        <v>7.9399999999999995</v>
      </c>
      <c r="N80" s="18">
        <f t="shared" si="2"/>
        <v>192741947.03267902</v>
      </c>
      <c r="O80" s="4"/>
    </row>
    <row r="81" spans="1:15" ht="15" x14ac:dyDescent="0.2">
      <c r="A81" s="17" t="s">
        <v>76</v>
      </c>
      <c r="B81" s="16">
        <v>60340635.870000005</v>
      </c>
      <c r="C81" s="16">
        <v>0</v>
      </c>
      <c r="D81" s="16">
        <v>13102644.623728592</v>
      </c>
      <c r="E81" s="16">
        <v>1061765.99</v>
      </c>
      <c r="F81" s="16">
        <v>705128.62</v>
      </c>
      <c r="G81" s="16">
        <v>338744.82</v>
      </c>
      <c r="H81" s="16">
        <v>3053614.18</v>
      </c>
      <c r="I81" s="16">
        <v>2101299.14</v>
      </c>
      <c r="J81" s="16">
        <v>11230047.989999993</v>
      </c>
      <c r="K81" s="16">
        <v>0</v>
      </c>
      <c r="L81" s="16">
        <v>0</v>
      </c>
      <c r="M81" s="16">
        <v>20.63</v>
      </c>
      <c r="N81" s="18">
        <f t="shared" si="2"/>
        <v>91933901.863728583</v>
      </c>
      <c r="O81" s="4"/>
    </row>
    <row r="82" spans="1:15" ht="15" x14ac:dyDescent="0.2">
      <c r="A82" s="17" t="s">
        <v>77</v>
      </c>
      <c r="B82" s="16">
        <v>924498138.79999995</v>
      </c>
      <c r="C82" s="16">
        <v>0</v>
      </c>
      <c r="D82" s="16">
        <v>8044285.8099999987</v>
      </c>
      <c r="E82" s="16">
        <v>17622427.460000001</v>
      </c>
      <c r="F82" s="16">
        <v>20322202.48</v>
      </c>
      <c r="G82" s="16">
        <v>14017513.841707412</v>
      </c>
      <c r="H82" s="16">
        <v>46785397.219999999</v>
      </c>
      <c r="I82" s="16">
        <v>60560619.57</v>
      </c>
      <c r="J82" s="16">
        <v>96289095</v>
      </c>
      <c r="K82" s="16">
        <v>0</v>
      </c>
      <c r="L82" s="16">
        <v>0</v>
      </c>
      <c r="M82" s="16">
        <v>594.79999999999995</v>
      </c>
      <c r="N82" s="18">
        <f t="shared" si="2"/>
        <v>1188140274.9817073</v>
      </c>
      <c r="O82" s="4"/>
    </row>
    <row r="83" spans="1:15" ht="15" x14ac:dyDescent="0.2">
      <c r="A83" s="17" t="s">
        <v>78</v>
      </c>
      <c r="B83" s="16">
        <v>279396529.65999997</v>
      </c>
      <c r="C83" s="16">
        <v>0</v>
      </c>
      <c r="D83" s="16">
        <v>14531508.453422312</v>
      </c>
      <c r="E83" s="16">
        <v>5442631.4299999997</v>
      </c>
      <c r="F83" s="16">
        <v>2250260.9500000002</v>
      </c>
      <c r="G83" s="16">
        <v>997170.91</v>
      </c>
      <c r="H83" s="16">
        <v>14139214.65</v>
      </c>
      <c r="I83" s="16">
        <v>6705828.1600000001</v>
      </c>
      <c r="J83" s="16">
        <v>20766021.779999997</v>
      </c>
      <c r="K83" s="16">
        <v>0</v>
      </c>
      <c r="L83" s="16">
        <v>0</v>
      </c>
      <c r="M83" s="16">
        <v>65.849999999999994</v>
      </c>
      <c r="N83" s="18">
        <f t="shared" si="2"/>
        <v>344229231.84342229</v>
      </c>
      <c r="O83" s="4"/>
    </row>
    <row r="84" spans="1:15" ht="15" x14ac:dyDescent="0.2">
      <c r="A84" s="17" t="s">
        <v>79</v>
      </c>
      <c r="B84" s="16">
        <v>99830222.25</v>
      </c>
      <c r="C84" s="16">
        <v>0</v>
      </c>
      <c r="D84" s="16">
        <v>12142173.227504538</v>
      </c>
      <c r="E84" s="16">
        <v>1725726.57</v>
      </c>
      <c r="F84" s="16">
        <v>451633.78</v>
      </c>
      <c r="G84" s="16">
        <v>102567.43430477707</v>
      </c>
      <c r="H84" s="16">
        <v>5052034.62</v>
      </c>
      <c r="I84" s="16">
        <v>1345878.83</v>
      </c>
      <c r="J84" s="16">
        <v>8666382.6899999976</v>
      </c>
      <c r="K84" s="16">
        <v>0</v>
      </c>
      <c r="L84" s="16">
        <v>0</v>
      </c>
      <c r="M84" s="16">
        <v>13.209999999999999</v>
      </c>
      <c r="N84" s="18">
        <f t="shared" si="2"/>
        <v>129316632.6118093</v>
      </c>
      <c r="O84" s="4"/>
    </row>
    <row r="85" spans="1:15" ht="15" x14ac:dyDescent="0.2">
      <c r="A85" s="17" t="s">
        <v>80</v>
      </c>
      <c r="B85" s="16">
        <v>94970228.929999992</v>
      </c>
      <c r="C85" s="16">
        <v>0</v>
      </c>
      <c r="D85" s="16">
        <v>9907806.8933982719</v>
      </c>
      <c r="E85" s="16">
        <v>1679745.0599999998</v>
      </c>
      <c r="F85" s="16">
        <v>213515.58</v>
      </c>
      <c r="G85" s="16">
        <v>95317.81</v>
      </c>
      <c r="H85" s="16">
        <v>4806088.5199999996</v>
      </c>
      <c r="I85" s="16">
        <v>636281.24</v>
      </c>
      <c r="J85" s="16">
        <v>4825434.1800000006</v>
      </c>
      <c r="K85" s="16">
        <v>0</v>
      </c>
      <c r="L85" s="16">
        <v>0</v>
      </c>
      <c r="M85" s="16">
        <v>6.24</v>
      </c>
      <c r="N85" s="18">
        <f t="shared" si="2"/>
        <v>117134424.45339826</v>
      </c>
      <c r="O85" s="4"/>
    </row>
    <row r="86" spans="1:15" ht="15" x14ac:dyDescent="0.2">
      <c r="A86" s="17" t="s">
        <v>81</v>
      </c>
      <c r="B86" s="16">
        <v>1129696715.4399998</v>
      </c>
      <c r="C86" s="16">
        <v>0</v>
      </c>
      <c r="D86" s="16">
        <v>5538513.459999999</v>
      </c>
      <c r="E86" s="16">
        <v>23305102.720000003</v>
      </c>
      <c r="F86" s="16">
        <v>12750746.529999999</v>
      </c>
      <c r="G86" s="16">
        <v>3529606.1463519624</v>
      </c>
      <c r="H86" s="16">
        <v>57169730.640000001</v>
      </c>
      <c r="I86" s="16">
        <v>37997510.899999999</v>
      </c>
      <c r="J86" s="16">
        <v>42743375.219999999</v>
      </c>
      <c r="K86" s="16">
        <v>0</v>
      </c>
      <c r="L86" s="16">
        <v>0</v>
      </c>
      <c r="M86" s="16">
        <v>373.18</v>
      </c>
      <c r="N86" s="18">
        <f t="shared" si="2"/>
        <v>1312731674.2363522</v>
      </c>
      <c r="O86" s="4"/>
    </row>
    <row r="87" spans="1:15" ht="15" x14ac:dyDescent="0.2">
      <c r="A87" s="17" t="s">
        <v>82</v>
      </c>
      <c r="B87" s="16">
        <v>158184391.58999997</v>
      </c>
      <c r="C87" s="16">
        <v>0</v>
      </c>
      <c r="D87" s="16">
        <v>13410595.578091405</v>
      </c>
      <c r="E87" s="16">
        <v>2645459.79</v>
      </c>
      <c r="F87" s="16">
        <v>362009.96</v>
      </c>
      <c r="G87" s="16">
        <v>199434.18</v>
      </c>
      <c r="H87" s="16">
        <v>8005121.1500000004</v>
      </c>
      <c r="I87" s="16">
        <v>1078797.81</v>
      </c>
      <c r="J87" s="16">
        <v>9359974.0499999989</v>
      </c>
      <c r="K87" s="16">
        <v>0</v>
      </c>
      <c r="L87" s="16">
        <v>0</v>
      </c>
      <c r="M87" s="16">
        <v>10.58</v>
      </c>
      <c r="N87" s="18">
        <f t="shared" si="2"/>
        <v>193245794.68809143</v>
      </c>
      <c r="O87" s="4"/>
    </row>
    <row r="88" spans="1:15" ht="15" x14ac:dyDescent="0.2">
      <c r="A88" s="17" t="s">
        <v>83</v>
      </c>
      <c r="B88" s="16">
        <v>135555796.88</v>
      </c>
      <c r="C88" s="16">
        <v>0</v>
      </c>
      <c r="D88" s="16">
        <v>4531744.110982216</v>
      </c>
      <c r="E88" s="16">
        <v>2478629.15</v>
      </c>
      <c r="F88" s="16">
        <v>1776660.54</v>
      </c>
      <c r="G88" s="16">
        <v>508850.45</v>
      </c>
      <c r="H88" s="16">
        <v>6859972.5</v>
      </c>
      <c r="I88" s="16">
        <v>5294488.3099999996</v>
      </c>
      <c r="J88" s="16">
        <v>13988088.870000003</v>
      </c>
      <c r="K88" s="16">
        <v>0</v>
      </c>
      <c r="L88" s="16">
        <v>0</v>
      </c>
      <c r="M88" s="16">
        <v>51.99</v>
      </c>
      <c r="N88" s="18">
        <f t="shared" si="2"/>
        <v>170994282.80098221</v>
      </c>
      <c r="O88" s="4"/>
    </row>
    <row r="89" spans="1:15" ht="15" x14ac:dyDescent="0.2">
      <c r="A89" s="17" t="s">
        <v>84</v>
      </c>
      <c r="B89" s="16">
        <v>221826672.12</v>
      </c>
      <c r="C89" s="16">
        <v>0</v>
      </c>
      <c r="D89" s="16">
        <v>12932579.911770992</v>
      </c>
      <c r="E89" s="16">
        <v>3868832.2199999997</v>
      </c>
      <c r="F89" s="16">
        <v>1494169.76</v>
      </c>
      <c r="G89" s="16">
        <v>593903.26</v>
      </c>
      <c r="H89" s="16">
        <v>11225819.220000001</v>
      </c>
      <c r="I89" s="16">
        <v>4452659.43</v>
      </c>
      <c r="J89" s="16">
        <v>14800767.660000008</v>
      </c>
      <c r="K89" s="16">
        <v>0</v>
      </c>
      <c r="L89" s="16">
        <v>0</v>
      </c>
      <c r="M89" s="16">
        <v>43.72</v>
      </c>
      <c r="N89" s="18">
        <f t="shared" si="2"/>
        <v>271195447.30177104</v>
      </c>
      <c r="O89" s="4"/>
    </row>
    <row r="90" spans="1:15" ht="15" x14ac:dyDescent="0.2">
      <c r="A90" s="17" t="s">
        <v>85</v>
      </c>
      <c r="B90" s="16">
        <v>1164864024.4599998</v>
      </c>
      <c r="C90" s="16">
        <v>0</v>
      </c>
      <c r="D90" s="16">
        <v>3977952.9389162413</v>
      </c>
      <c r="E90" s="16">
        <v>24036447.390000001</v>
      </c>
      <c r="F90" s="16">
        <v>20268164.579999998</v>
      </c>
      <c r="G90" s="16">
        <v>5773447.8761125207</v>
      </c>
      <c r="H90" s="16">
        <v>58949416.770000003</v>
      </c>
      <c r="I90" s="16">
        <v>60399585.43</v>
      </c>
      <c r="J90" s="16">
        <v>88100132.400000021</v>
      </c>
      <c r="K90" s="16">
        <v>0</v>
      </c>
      <c r="L90" s="16">
        <v>0</v>
      </c>
      <c r="M90" s="16">
        <v>593.21</v>
      </c>
      <c r="N90" s="18">
        <f t="shared" si="2"/>
        <v>1426369765.0550287</v>
      </c>
      <c r="O90" s="4"/>
    </row>
    <row r="91" spans="1:15" ht="15" x14ac:dyDescent="0.2">
      <c r="A91" s="17" t="s">
        <v>86</v>
      </c>
      <c r="B91" s="16">
        <v>43359771.240000002</v>
      </c>
      <c r="C91" s="16">
        <v>0</v>
      </c>
      <c r="D91" s="16">
        <v>19596863.825492747</v>
      </c>
      <c r="E91" s="16">
        <v>757446.66999999993</v>
      </c>
      <c r="F91" s="16">
        <v>470525.08</v>
      </c>
      <c r="G91" s="16">
        <v>197967.75</v>
      </c>
      <c r="H91" s="16">
        <v>2194276.0499999998</v>
      </c>
      <c r="I91" s="16">
        <v>1402175.32</v>
      </c>
      <c r="J91" s="16">
        <v>6407170.9799999986</v>
      </c>
      <c r="K91" s="16">
        <v>0</v>
      </c>
      <c r="L91" s="16">
        <v>0</v>
      </c>
      <c r="M91" s="16">
        <v>13.760000000000002</v>
      </c>
      <c r="N91" s="18">
        <f t="shared" si="2"/>
        <v>74386210.675492749</v>
      </c>
      <c r="O91" s="4"/>
    </row>
    <row r="92" spans="1:15" ht="15" x14ac:dyDescent="0.2">
      <c r="A92" s="17" t="s">
        <v>87</v>
      </c>
      <c r="B92" s="16">
        <v>62724395.840000004</v>
      </c>
      <c r="C92" s="16">
        <v>0</v>
      </c>
      <c r="D92" s="16">
        <v>146164.40000000002</v>
      </c>
      <c r="E92" s="16">
        <v>228784.89</v>
      </c>
      <c r="F92" s="16">
        <v>100607.13</v>
      </c>
      <c r="G92" s="16">
        <v>61589.97</v>
      </c>
      <c r="H92" s="16">
        <v>3174247.36</v>
      </c>
      <c r="I92" s="16">
        <v>299811.53000000003</v>
      </c>
      <c r="J92" s="16">
        <v>2602587.959999999</v>
      </c>
      <c r="K92" s="16">
        <v>0</v>
      </c>
      <c r="L92" s="16">
        <v>0</v>
      </c>
      <c r="M92" s="16">
        <v>2.9400000000000004</v>
      </c>
      <c r="N92" s="18">
        <f t="shared" si="2"/>
        <v>69338192.019999996</v>
      </c>
      <c r="O92" s="4"/>
    </row>
    <row r="93" spans="1:15" ht="15" x14ac:dyDescent="0.2">
      <c r="A93" s="17" t="s">
        <v>88</v>
      </c>
      <c r="B93" s="16">
        <v>622469589.35000002</v>
      </c>
      <c r="C93" s="16">
        <v>0</v>
      </c>
      <c r="D93" s="16">
        <v>4488403.1244518831</v>
      </c>
      <c r="E93" s="16">
        <v>12673429.590000002</v>
      </c>
      <c r="F93" s="16">
        <v>16426641.390000001</v>
      </c>
      <c r="G93" s="16">
        <v>2806662.4243990108</v>
      </c>
      <c r="H93" s="16">
        <v>31500860.600000001</v>
      </c>
      <c r="I93" s="16">
        <v>48951760.07</v>
      </c>
      <c r="J93" s="16">
        <v>88268341.349999979</v>
      </c>
      <c r="K93" s="16">
        <v>0</v>
      </c>
      <c r="L93" s="16">
        <v>0</v>
      </c>
      <c r="M93" s="16">
        <v>480.77</v>
      </c>
      <c r="N93" s="18">
        <f t="shared" si="2"/>
        <v>827586168.66885102</v>
      </c>
      <c r="O93" s="4"/>
    </row>
    <row r="94" spans="1:15" ht="15" x14ac:dyDescent="0.2">
      <c r="A94" s="17" t="s">
        <v>89</v>
      </c>
      <c r="B94" s="16">
        <v>425939542</v>
      </c>
      <c r="C94" s="16">
        <v>0</v>
      </c>
      <c r="D94" s="16">
        <v>5377581.25</v>
      </c>
      <c r="E94" s="16">
        <v>8780946.5299999993</v>
      </c>
      <c r="F94" s="16">
        <v>7427794.2199999997</v>
      </c>
      <c r="G94" s="16">
        <v>3385285.3473780854</v>
      </c>
      <c r="H94" s="16">
        <v>21555209.07</v>
      </c>
      <c r="I94" s="16">
        <v>22134993.510000002</v>
      </c>
      <c r="J94" s="16">
        <v>44388179.219999999</v>
      </c>
      <c r="K94" s="16">
        <v>0</v>
      </c>
      <c r="L94" s="16">
        <v>0</v>
      </c>
      <c r="M94" s="16">
        <v>217.39</v>
      </c>
      <c r="N94" s="18">
        <f t="shared" si="2"/>
        <v>538989748.53737807</v>
      </c>
      <c r="O94" s="4"/>
    </row>
    <row r="95" spans="1:15" ht="15" x14ac:dyDescent="0.2">
      <c r="A95" s="17" t="s">
        <v>90</v>
      </c>
      <c r="B95" s="16">
        <v>78527080.24000001</v>
      </c>
      <c r="C95" s="16">
        <v>0</v>
      </c>
      <c r="D95" s="16">
        <v>10428071.266474966</v>
      </c>
      <c r="E95" s="16">
        <v>1339437.54</v>
      </c>
      <c r="F95" s="16">
        <v>364206.62</v>
      </c>
      <c r="G95" s="16">
        <v>159840.63</v>
      </c>
      <c r="H95" s="16">
        <v>3973962.19</v>
      </c>
      <c r="I95" s="16">
        <v>1085343.92</v>
      </c>
      <c r="J95" s="16">
        <v>6612072.5999999978</v>
      </c>
      <c r="K95" s="16">
        <v>0</v>
      </c>
      <c r="L95" s="16">
        <v>0</v>
      </c>
      <c r="M95" s="16">
        <v>10.649999999999999</v>
      </c>
      <c r="N95" s="18">
        <f t="shared" si="2"/>
        <v>102490025.65647498</v>
      </c>
      <c r="O95" s="4"/>
    </row>
    <row r="96" spans="1:15" ht="15" x14ac:dyDescent="0.2">
      <c r="A96" s="17" t="s">
        <v>91</v>
      </c>
      <c r="B96" s="16">
        <v>254788318.18999997</v>
      </c>
      <c r="C96" s="16">
        <v>0</v>
      </c>
      <c r="D96" s="16">
        <v>31492788.972628802</v>
      </c>
      <c r="E96" s="16">
        <v>1728635.89</v>
      </c>
      <c r="F96" s="16">
        <v>2041138.69</v>
      </c>
      <c r="G96" s="16">
        <v>872524.55</v>
      </c>
      <c r="H96" s="16">
        <v>12893884.99</v>
      </c>
      <c r="I96" s="16">
        <v>6082639.1399999997</v>
      </c>
      <c r="J96" s="16">
        <v>23661912.75</v>
      </c>
      <c r="K96" s="16">
        <v>0</v>
      </c>
      <c r="L96" s="16">
        <v>0</v>
      </c>
      <c r="M96" s="16">
        <v>59.730000000000004</v>
      </c>
      <c r="N96" s="18">
        <f t="shared" si="2"/>
        <v>333561902.90262878</v>
      </c>
      <c r="O96" s="4"/>
    </row>
    <row r="97" spans="1:15" ht="15" x14ac:dyDescent="0.2">
      <c r="A97" s="17" t="s">
        <v>92</v>
      </c>
      <c r="B97" s="16">
        <v>123010232.72000001</v>
      </c>
      <c r="C97" s="16">
        <v>0</v>
      </c>
      <c r="D97" s="16">
        <v>40791157.26825726</v>
      </c>
      <c r="E97" s="16">
        <v>2209685.35</v>
      </c>
      <c r="F97" s="16">
        <v>942368.16</v>
      </c>
      <c r="G97" s="16">
        <v>447260.48</v>
      </c>
      <c r="H97" s="16">
        <v>6225088.3600000003</v>
      </c>
      <c r="I97" s="16">
        <v>2808278.29</v>
      </c>
      <c r="J97" s="16">
        <v>15305811.360000001</v>
      </c>
      <c r="K97" s="16">
        <v>0</v>
      </c>
      <c r="L97" s="16">
        <v>0</v>
      </c>
      <c r="M97" s="16">
        <v>27.57</v>
      </c>
      <c r="N97" s="18">
        <f t="shared" si="2"/>
        <v>191739909.55825728</v>
      </c>
      <c r="O97" s="4"/>
    </row>
    <row r="98" spans="1:15" ht="15" x14ac:dyDescent="0.2">
      <c r="A98" s="17" t="s">
        <v>93</v>
      </c>
      <c r="B98" s="16">
        <v>340107059.44</v>
      </c>
      <c r="C98" s="16">
        <v>0</v>
      </c>
      <c r="D98" s="16">
        <v>42312090.034997515</v>
      </c>
      <c r="E98" s="16">
        <v>7143241.0200000005</v>
      </c>
      <c r="F98" s="16">
        <v>2191390.4</v>
      </c>
      <c r="G98" s="16">
        <v>1048495.88</v>
      </c>
      <c r="H98" s="16">
        <v>17211547.77</v>
      </c>
      <c r="I98" s="16">
        <v>6530392.5999999996</v>
      </c>
      <c r="J98" s="16">
        <v>30025730.49000001</v>
      </c>
      <c r="K98" s="16">
        <v>0</v>
      </c>
      <c r="L98" s="16">
        <v>0</v>
      </c>
      <c r="M98" s="16">
        <v>64.13</v>
      </c>
      <c r="N98" s="18">
        <f t="shared" si="2"/>
        <v>446570011.76499748</v>
      </c>
      <c r="O98" s="4"/>
    </row>
    <row r="99" spans="1:15" ht="15" x14ac:dyDescent="0.2">
      <c r="A99" s="17" t="s">
        <v>94</v>
      </c>
      <c r="B99" s="16">
        <v>237985550.56</v>
      </c>
      <c r="C99" s="16">
        <v>0</v>
      </c>
      <c r="D99" s="16">
        <v>16579338.401505439</v>
      </c>
      <c r="E99" s="16">
        <v>4227144.3999999994</v>
      </c>
      <c r="F99" s="16">
        <v>812325.75</v>
      </c>
      <c r="G99" s="16">
        <v>283020.57</v>
      </c>
      <c r="H99" s="16">
        <v>12043559.689999999</v>
      </c>
      <c r="I99" s="16">
        <v>2420748.98</v>
      </c>
      <c r="J99" s="16">
        <v>19974008.669999994</v>
      </c>
      <c r="K99" s="16">
        <v>0</v>
      </c>
      <c r="L99" s="16">
        <v>0</v>
      </c>
      <c r="M99" s="16">
        <v>23.76</v>
      </c>
      <c r="N99" s="18">
        <f t="shared" si="2"/>
        <v>294325720.78150547</v>
      </c>
      <c r="O99" s="4"/>
    </row>
    <row r="100" spans="1:15" ht="15" x14ac:dyDescent="0.2">
      <c r="A100" s="17" t="s">
        <v>95</v>
      </c>
      <c r="B100" s="16">
        <v>252699103.31</v>
      </c>
      <c r="C100" s="16">
        <v>0</v>
      </c>
      <c r="D100" s="16">
        <v>37568391.131805152</v>
      </c>
      <c r="E100" s="16">
        <v>4147841.12</v>
      </c>
      <c r="F100" s="16">
        <v>912054.22</v>
      </c>
      <c r="G100" s="16">
        <v>373939.09</v>
      </c>
      <c r="H100" s="16">
        <v>12788157.630000001</v>
      </c>
      <c r="I100" s="16">
        <v>2717942.07</v>
      </c>
      <c r="J100" s="16">
        <v>15617073.989999993</v>
      </c>
      <c r="K100" s="16">
        <v>0</v>
      </c>
      <c r="L100" s="16">
        <v>0</v>
      </c>
      <c r="M100" s="16">
        <v>26.68</v>
      </c>
      <c r="N100" s="18">
        <f t="shared" si="2"/>
        <v>326824529.24180514</v>
      </c>
      <c r="O100" s="4"/>
    </row>
    <row r="101" spans="1:15" ht="15" x14ac:dyDescent="0.2">
      <c r="A101" s="17" t="s">
        <v>96</v>
      </c>
      <c r="B101" s="16">
        <v>46425094.719999999</v>
      </c>
      <c r="C101" s="16">
        <v>0</v>
      </c>
      <c r="D101" s="16">
        <v>10791270.56931605</v>
      </c>
      <c r="E101" s="16">
        <v>815418.82</v>
      </c>
      <c r="F101" s="16">
        <v>108954.45</v>
      </c>
      <c r="G101" s="16">
        <v>55724.26</v>
      </c>
      <c r="H101" s="16">
        <v>2349400.62</v>
      </c>
      <c r="I101" s="16">
        <v>324686.71999999997</v>
      </c>
      <c r="J101" s="16">
        <v>3380536.5300000007</v>
      </c>
      <c r="K101" s="16">
        <v>0</v>
      </c>
      <c r="L101" s="16">
        <v>0</v>
      </c>
      <c r="M101" s="16">
        <v>3.1799999999999997</v>
      </c>
      <c r="N101" s="18">
        <f t="shared" si="2"/>
        <v>64251089.869316049</v>
      </c>
      <c r="O101" s="4"/>
    </row>
    <row r="102" spans="1:15" ht="15" x14ac:dyDescent="0.2">
      <c r="A102" s="17" t="s">
        <v>97</v>
      </c>
      <c r="B102" s="16">
        <v>151255733.04999998</v>
      </c>
      <c r="C102" s="16">
        <v>0</v>
      </c>
      <c r="D102" s="16">
        <v>54027245.733984716</v>
      </c>
      <c r="E102" s="16">
        <v>3119609.5300000003</v>
      </c>
      <c r="F102" s="16">
        <v>2109674.56</v>
      </c>
      <c r="G102" s="16">
        <v>981040.2</v>
      </c>
      <c r="H102" s="16">
        <v>7654487.6200000001</v>
      </c>
      <c r="I102" s="16">
        <v>6286877.5599999996</v>
      </c>
      <c r="J102" s="16">
        <v>22518732.809999995</v>
      </c>
      <c r="K102" s="16">
        <v>0</v>
      </c>
      <c r="L102" s="16">
        <v>0</v>
      </c>
      <c r="M102" s="16">
        <v>61.74</v>
      </c>
      <c r="N102" s="18">
        <f t="shared" si="2"/>
        <v>247953462.8039847</v>
      </c>
      <c r="O102" s="4"/>
    </row>
    <row r="103" spans="1:15" ht="15" x14ac:dyDescent="0.2">
      <c r="A103" s="17" t="s">
        <v>98</v>
      </c>
      <c r="B103" s="16">
        <v>52490667.780000009</v>
      </c>
      <c r="C103" s="16">
        <v>0</v>
      </c>
      <c r="D103" s="16">
        <v>12288798.217881484</v>
      </c>
      <c r="E103" s="16">
        <v>930437.48</v>
      </c>
      <c r="F103" s="16">
        <v>52280.56</v>
      </c>
      <c r="G103" s="16">
        <v>33727.839999999997</v>
      </c>
      <c r="H103" s="16">
        <v>2656356.62</v>
      </c>
      <c r="I103" s="16">
        <v>155797.26</v>
      </c>
      <c r="J103" s="16">
        <v>4775123.01</v>
      </c>
      <c r="K103" s="16">
        <v>0</v>
      </c>
      <c r="L103" s="16">
        <v>0</v>
      </c>
      <c r="M103" s="16">
        <v>1.52</v>
      </c>
      <c r="N103" s="18">
        <f t="shared" si="2"/>
        <v>73383190.287881508</v>
      </c>
      <c r="O103" s="4"/>
    </row>
    <row r="104" spans="1:15" ht="15" x14ac:dyDescent="0.2">
      <c r="A104" s="17" t="s">
        <v>99</v>
      </c>
      <c r="B104" s="16">
        <v>728324285.46999991</v>
      </c>
      <c r="C104" s="16">
        <v>0</v>
      </c>
      <c r="D104" s="16">
        <v>11693014.637559906</v>
      </c>
      <c r="E104" s="16">
        <v>14570744.609999998</v>
      </c>
      <c r="F104" s="16">
        <v>10714001.16</v>
      </c>
      <c r="G104" s="16">
        <v>1976222.3676695721</v>
      </c>
      <c r="H104" s="16">
        <v>36857771.340000004</v>
      </c>
      <c r="I104" s="16">
        <v>31927963.969999999</v>
      </c>
      <c r="J104" s="16">
        <v>55350347.429999977</v>
      </c>
      <c r="K104" s="16">
        <v>0</v>
      </c>
      <c r="L104" s="16">
        <v>0</v>
      </c>
      <c r="M104" s="16">
        <v>313.57000000000005</v>
      </c>
      <c r="N104" s="18">
        <f t="shared" ref="N104:N135" si="3">SUM(B104:M104)</f>
        <v>891414664.55522943</v>
      </c>
      <c r="O104" s="4"/>
    </row>
    <row r="105" spans="1:15" ht="15" x14ac:dyDescent="0.2">
      <c r="A105" s="17" t="s">
        <v>100</v>
      </c>
      <c r="B105" s="16">
        <v>125435091.98</v>
      </c>
      <c r="C105" s="16">
        <v>0</v>
      </c>
      <c r="D105" s="16">
        <v>880086.18</v>
      </c>
      <c r="E105" s="16">
        <v>764122.82</v>
      </c>
      <c r="F105" s="16">
        <v>461738.43</v>
      </c>
      <c r="G105" s="16">
        <v>241960.59</v>
      </c>
      <c r="H105" s="16">
        <v>6347801.4299999997</v>
      </c>
      <c r="I105" s="16">
        <v>1375990.9</v>
      </c>
      <c r="J105" s="16">
        <v>7024017</v>
      </c>
      <c r="K105" s="16">
        <v>0</v>
      </c>
      <c r="L105" s="16">
        <v>0</v>
      </c>
      <c r="M105" s="16">
        <v>13.5</v>
      </c>
      <c r="N105" s="18">
        <f t="shared" si="3"/>
        <v>142530822.83000001</v>
      </c>
      <c r="O105" s="4"/>
    </row>
    <row r="106" spans="1:15" ht="15" x14ac:dyDescent="0.2">
      <c r="A106" s="17" t="s">
        <v>101</v>
      </c>
      <c r="B106" s="16">
        <v>135439348.83000001</v>
      </c>
      <c r="C106" s="16">
        <v>0</v>
      </c>
      <c r="D106" s="16">
        <v>1580776.6</v>
      </c>
      <c r="E106" s="16">
        <v>2396459.71</v>
      </c>
      <c r="F106" s="16">
        <v>3271708.97</v>
      </c>
      <c r="G106" s="16">
        <v>793996.93738036742</v>
      </c>
      <c r="H106" s="16">
        <v>6854079.5</v>
      </c>
      <c r="I106" s="16">
        <v>9749766.1699999999</v>
      </c>
      <c r="J106" s="16">
        <v>18382251.300000008</v>
      </c>
      <c r="K106" s="16">
        <v>0</v>
      </c>
      <c r="L106" s="16">
        <v>0</v>
      </c>
      <c r="M106" s="16">
        <v>95.75</v>
      </c>
      <c r="N106" s="18">
        <f t="shared" si="3"/>
        <v>178468483.76738039</v>
      </c>
      <c r="O106" s="4"/>
    </row>
    <row r="107" spans="1:15" ht="15" x14ac:dyDescent="0.2">
      <c r="A107" s="17" t="s">
        <v>102</v>
      </c>
      <c r="B107" s="16">
        <v>189365067.63999999</v>
      </c>
      <c r="C107" s="16">
        <v>0</v>
      </c>
      <c r="D107" s="16">
        <v>13231545.164566372</v>
      </c>
      <c r="E107" s="16">
        <v>3295545.3200000003</v>
      </c>
      <c r="F107" s="16">
        <v>181883.64</v>
      </c>
      <c r="G107" s="16">
        <v>148109.21</v>
      </c>
      <c r="H107" s="16">
        <v>9583058.6799999997</v>
      </c>
      <c r="I107" s="16">
        <v>542017.35</v>
      </c>
      <c r="J107" s="16">
        <v>8763079.9199999962</v>
      </c>
      <c r="K107" s="16">
        <v>0</v>
      </c>
      <c r="L107" s="16">
        <v>0</v>
      </c>
      <c r="M107" s="16">
        <v>5.3199999999999994</v>
      </c>
      <c r="N107" s="18">
        <f t="shared" si="3"/>
        <v>225110312.24456632</v>
      </c>
      <c r="O107" s="4"/>
    </row>
    <row r="108" spans="1:15" ht="15" x14ac:dyDescent="0.2">
      <c r="A108" s="17" t="s">
        <v>103</v>
      </c>
      <c r="B108" s="16">
        <v>68190603.939999998</v>
      </c>
      <c r="C108" s="16">
        <v>0</v>
      </c>
      <c r="D108" s="16">
        <v>6441904.8481969554</v>
      </c>
      <c r="E108" s="16">
        <v>1156964.18</v>
      </c>
      <c r="F108" s="16">
        <v>184519.64</v>
      </c>
      <c r="G108" s="16">
        <v>92384.95</v>
      </c>
      <c r="H108" s="16">
        <v>3450871.74</v>
      </c>
      <c r="I108" s="16">
        <v>549872.67000000004</v>
      </c>
      <c r="J108" s="16">
        <v>4729212.8099999987</v>
      </c>
      <c r="K108" s="16">
        <v>0</v>
      </c>
      <c r="L108" s="16">
        <v>0</v>
      </c>
      <c r="M108" s="16">
        <v>5.3900000000000006</v>
      </c>
      <c r="N108" s="18">
        <f t="shared" si="3"/>
        <v>84796340.168196961</v>
      </c>
      <c r="O108" s="4"/>
    </row>
    <row r="109" spans="1:15" ht="15" x14ac:dyDescent="0.2">
      <c r="A109" s="17" t="s">
        <v>104</v>
      </c>
      <c r="B109" s="16">
        <v>724673296.83999991</v>
      </c>
      <c r="C109" s="16">
        <v>0</v>
      </c>
      <c r="D109" s="16">
        <v>6005846.1365154851</v>
      </c>
      <c r="E109" s="16">
        <v>14629253.300000001</v>
      </c>
      <c r="F109" s="16">
        <v>18839455.359999999</v>
      </c>
      <c r="G109" s="16">
        <v>9090275.4561426155</v>
      </c>
      <c r="H109" s="16">
        <v>36673008.439999998</v>
      </c>
      <c r="I109" s="16">
        <v>56141999.880000003</v>
      </c>
      <c r="J109" s="16">
        <v>86865191.280000031</v>
      </c>
      <c r="K109" s="16">
        <v>0</v>
      </c>
      <c r="L109" s="16">
        <v>0</v>
      </c>
      <c r="M109" s="16">
        <v>551.4</v>
      </c>
      <c r="N109" s="18">
        <f t="shared" si="3"/>
        <v>952918878.09265816</v>
      </c>
      <c r="O109" s="4"/>
    </row>
    <row r="110" spans="1:15" ht="15" x14ac:dyDescent="0.2">
      <c r="A110" s="17" t="s">
        <v>105</v>
      </c>
      <c r="B110" s="16">
        <v>81068387.520000011</v>
      </c>
      <c r="C110" s="16">
        <v>0</v>
      </c>
      <c r="D110" s="16">
        <v>14535966.202070434</v>
      </c>
      <c r="E110" s="16">
        <v>1689725.2400000002</v>
      </c>
      <c r="F110" s="16">
        <v>720065.93</v>
      </c>
      <c r="G110" s="16">
        <v>309416.27</v>
      </c>
      <c r="H110" s="16">
        <v>4102568.26</v>
      </c>
      <c r="I110" s="16">
        <v>2145812.64</v>
      </c>
      <c r="J110" s="16">
        <v>10041106.529999997</v>
      </c>
      <c r="K110" s="16">
        <v>0</v>
      </c>
      <c r="L110" s="16">
        <v>0</v>
      </c>
      <c r="M110" s="16">
        <v>21.060000000000002</v>
      </c>
      <c r="N110" s="18">
        <f t="shared" si="3"/>
        <v>114613069.65207045</v>
      </c>
      <c r="O110" s="4"/>
    </row>
    <row r="111" spans="1:15" ht="15" x14ac:dyDescent="0.2">
      <c r="A111" s="17" t="s">
        <v>106</v>
      </c>
      <c r="B111" s="16">
        <v>98148575.539999992</v>
      </c>
      <c r="C111" s="16">
        <v>0</v>
      </c>
      <c r="D111" s="16">
        <v>16280368.567492519</v>
      </c>
      <c r="E111" s="16">
        <v>1770298.58</v>
      </c>
      <c r="F111" s="16">
        <v>250858.84</v>
      </c>
      <c r="G111" s="16">
        <v>142243.5</v>
      </c>
      <c r="H111" s="16">
        <v>4966932.76</v>
      </c>
      <c r="I111" s="16">
        <v>747564.99</v>
      </c>
      <c r="J111" s="16">
        <v>7784808.7799999984</v>
      </c>
      <c r="K111" s="16">
        <v>0</v>
      </c>
      <c r="L111" s="16">
        <v>0</v>
      </c>
      <c r="M111" s="16">
        <v>7.33</v>
      </c>
      <c r="N111" s="18">
        <f t="shared" si="3"/>
        <v>130091658.88749251</v>
      </c>
      <c r="O111" s="4"/>
    </row>
    <row r="112" spans="1:15" ht="15" x14ac:dyDescent="0.2">
      <c r="A112" s="17" t="s">
        <v>107</v>
      </c>
      <c r="B112" s="16">
        <v>136946323.52999997</v>
      </c>
      <c r="C112" s="16">
        <v>0</v>
      </c>
      <c r="D112" s="16">
        <v>28611975.331268467</v>
      </c>
      <c r="E112" s="16">
        <v>2397529.9899999998</v>
      </c>
      <c r="F112" s="16">
        <v>304896.74</v>
      </c>
      <c r="G112" s="16">
        <v>161307.06</v>
      </c>
      <c r="H112" s="16">
        <v>6930341.8600000003</v>
      </c>
      <c r="I112" s="16">
        <v>908599.13</v>
      </c>
      <c r="J112" s="16">
        <v>8139811.049999997</v>
      </c>
      <c r="K112" s="16">
        <v>0</v>
      </c>
      <c r="L112" s="16">
        <v>0</v>
      </c>
      <c r="M112" s="16">
        <v>8.91</v>
      </c>
      <c r="N112" s="18">
        <f t="shared" si="3"/>
        <v>184400793.60126844</v>
      </c>
      <c r="O112" s="4"/>
    </row>
    <row r="113" spans="1:15" ht="15" x14ac:dyDescent="0.2">
      <c r="A113" s="17" t="s">
        <v>108</v>
      </c>
      <c r="B113" s="16">
        <v>105337529.67999999</v>
      </c>
      <c r="C113" s="16">
        <v>0</v>
      </c>
      <c r="D113" s="16">
        <v>40555503.880970195</v>
      </c>
      <c r="E113" s="16">
        <v>1896944.76</v>
      </c>
      <c r="F113" s="16">
        <v>429667.16</v>
      </c>
      <c r="G113" s="16">
        <v>219964.17</v>
      </c>
      <c r="H113" s="16">
        <v>5330738.88</v>
      </c>
      <c r="I113" s="16">
        <v>1280417.79</v>
      </c>
      <c r="J113" s="16">
        <v>8119056.3300000038</v>
      </c>
      <c r="K113" s="16">
        <v>0</v>
      </c>
      <c r="L113" s="16">
        <v>0</v>
      </c>
      <c r="M113" s="16">
        <v>12.57</v>
      </c>
      <c r="N113" s="18">
        <f t="shared" si="3"/>
        <v>163169835.22097015</v>
      </c>
      <c r="O113" s="4"/>
    </row>
    <row r="114" spans="1:15" ht="15" x14ac:dyDescent="0.2">
      <c r="A114" s="17" t="s">
        <v>109</v>
      </c>
      <c r="B114" s="16">
        <v>71684045.25</v>
      </c>
      <c r="C114" s="16">
        <v>0</v>
      </c>
      <c r="D114" s="16">
        <v>10977606.013720579</v>
      </c>
      <c r="E114" s="16">
        <v>1277723.47</v>
      </c>
      <c r="F114" s="16">
        <v>260084.82</v>
      </c>
      <c r="G114" s="16">
        <v>117314.22</v>
      </c>
      <c r="H114" s="16">
        <v>3627661.75</v>
      </c>
      <c r="I114" s="16">
        <v>775058.62</v>
      </c>
      <c r="J114" s="16">
        <v>6010123.5600000005</v>
      </c>
      <c r="K114" s="16">
        <v>0</v>
      </c>
      <c r="L114" s="16">
        <v>0</v>
      </c>
      <c r="M114" s="16">
        <v>7.6</v>
      </c>
      <c r="N114" s="18">
        <f t="shared" si="3"/>
        <v>94729625.303720564</v>
      </c>
      <c r="O114" s="4"/>
    </row>
    <row r="115" spans="1:15" ht="15" x14ac:dyDescent="0.2">
      <c r="A115" s="17" t="s">
        <v>110</v>
      </c>
      <c r="B115" s="16">
        <v>188604730.39999998</v>
      </c>
      <c r="C115" s="16">
        <v>0</v>
      </c>
      <c r="D115" s="16">
        <v>11150495.785811048</v>
      </c>
      <c r="E115" s="16">
        <v>3406371.17</v>
      </c>
      <c r="F115" s="16">
        <v>269310.8</v>
      </c>
      <c r="G115" s="16">
        <v>195034.9</v>
      </c>
      <c r="H115" s="16">
        <v>9544580.8499999996</v>
      </c>
      <c r="I115" s="16">
        <v>802552.26</v>
      </c>
      <c r="J115" s="16">
        <v>7969133.9700000016</v>
      </c>
      <c r="K115" s="16">
        <v>0</v>
      </c>
      <c r="L115" s="16">
        <v>0</v>
      </c>
      <c r="M115" s="16">
        <v>7.87</v>
      </c>
      <c r="N115" s="18">
        <f t="shared" si="3"/>
        <v>221942218.00581101</v>
      </c>
      <c r="O115" s="4"/>
    </row>
    <row r="116" spans="1:15" ht="15" x14ac:dyDescent="0.2">
      <c r="A116" s="17" t="s">
        <v>111</v>
      </c>
      <c r="B116" s="16">
        <v>103118167.01000002</v>
      </c>
      <c r="C116" s="16">
        <v>0</v>
      </c>
      <c r="D116" s="16">
        <v>17889088.882019076</v>
      </c>
      <c r="E116" s="16">
        <v>1813362.53</v>
      </c>
      <c r="F116" s="16">
        <v>743350.55</v>
      </c>
      <c r="G116" s="16">
        <v>300617.7</v>
      </c>
      <c r="H116" s="16">
        <v>5218425.2300000004</v>
      </c>
      <c r="I116" s="16">
        <v>2215201.34</v>
      </c>
      <c r="J116" s="16">
        <v>11043165.419999994</v>
      </c>
      <c r="K116" s="16">
        <v>0</v>
      </c>
      <c r="L116" s="16">
        <v>0</v>
      </c>
      <c r="M116" s="16">
        <v>21.75</v>
      </c>
      <c r="N116" s="18">
        <f t="shared" si="3"/>
        <v>142341400.4120191</v>
      </c>
      <c r="O116" s="4"/>
    </row>
    <row r="117" spans="1:15" ht="15" x14ac:dyDescent="0.2">
      <c r="A117" s="17" t="s">
        <v>112</v>
      </c>
      <c r="B117" s="16">
        <v>54997725.659999996</v>
      </c>
      <c r="C117" s="16">
        <v>0</v>
      </c>
      <c r="D117" s="16">
        <v>3491291.7762160418</v>
      </c>
      <c r="E117" s="16">
        <v>1029525.99</v>
      </c>
      <c r="F117" s="16">
        <v>156402.35999999999</v>
      </c>
      <c r="G117" s="16">
        <v>80653.53</v>
      </c>
      <c r="H117" s="16">
        <v>2783229.45</v>
      </c>
      <c r="I117" s="16">
        <v>466082.55</v>
      </c>
      <c r="J117" s="16">
        <v>3155058.4799999986</v>
      </c>
      <c r="K117" s="16">
        <v>0</v>
      </c>
      <c r="L117" s="16">
        <v>0</v>
      </c>
      <c r="M117" s="16">
        <v>4.57</v>
      </c>
      <c r="N117" s="18">
        <f t="shared" si="3"/>
        <v>66159974.366216041</v>
      </c>
      <c r="O117" s="4"/>
    </row>
    <row r="118" spans="1:15" ht="15" x14ac:dyDescent="0.2">
      <c r="A118" s="17" t="s">
        <v>113</v>
      </c>
      <c r="B118" s="16">
        <v>86609944.420000002</v>
      </c>
      <c r="C118" s="16">
        <v>0</v>
      </c>
      <c r="D118" s="16">
        <v>32480654.854086231</v>
      </c>
      <c r="E118" s="16">
        <v>1577668.0599999998</v>
      </c>
      <c r="F118" s="16">
        <v>737639.23</v>
      </c>
      <c r="G118" s="16">
        <v>306483.40999999997</v>
      </c>
      <c r="H118" s="16">
        <v>4383005.75</v>
      </c>
      <c r="I118" s="16">
        <v>2198181.4700000002</v>
      </c>
      <c r="J118" s="16">
        <v>8691657.2400000039</v>
      </c>
      <c r="K118" s="16">
        <v>0</v>
      </c>
      <c r="L118" s="16">
        <v>0</v>
      </c>
      <c r="M118" s="16">
        <v>21.58</v>
      </c>
      <c r="N118" s="18">
        <f t="shared" si="3"/>
        <v>136985256.01408625</v>
      </c>
      <c r="O118" s="4"/>
    </row>
    <row r="119" spans="1:15" ht="15" x14ac:dyDescent="0.2">
      <c r="A119" s="17" t="s">
        <v>114</v>
      </c>
      <c r="B119" s="16">
        <v>127407858.79999998</v>
      </c>
      <c r="C119" s="16">
        <v>0</v>
      </c>
      <c r="D119" s="16">
        <v>15752774.825457416</v>
      </c>
      <c r="E119" s="16">
        <v>2300194.4900000002</v>
      </c>
      <c r="F119" s="16">
        <v>592659.51</v>
      </c>
      <c r="G119" s="16">
        <v>215564.89</v>
      </c>
      <c r="H119" s="16">
        <v>6447635.79</v>
      </c>
      <c r="I119" s="16">
        <v>1766138.66</v>
      </c>
      <c r="J119" s="16">
        <v>8028424.950000003</v>
      </c>
      <c r="K119" s="16">
        <v>0</v>
      </c>
      <c r="L119" s="16">
        <v>0</v>
      </c>
      <c r="M119" s="16">
        <v>17.330000000000002</v>
      </c>
      <c r="N119" s="18">
        <f t="shared" si="3"/>
        <v>162511269.24545738</v>
      </c>
      <c r="O119" s="4"/>
    </row>
    <row r="120" spans="1:15" ht="15" x14ac:dyDescent="0.2">
      <c r="A120" s="17" t="s">
        <v>115</v>
      </c>
      <c r="B120" s="16">
        <v>82061620.840000004</v>
      </c>
      <c r="C120" s="16">
        <v>0</v>
      </c>
      <c r="D120" s="16">
        <v>14359959.985236654</v>
      </c>
      <c r="E120" s="16">
        <v>1510013.69</v>
      </c>
      <c r="F120" s="16">
        <v>399353.22</v>
      </c>
      <c r="G120" s="16">
        <v>217031.32</v>
      </c>
      <c r="H120" s="16">
        <v>4152832.08</v>
      </c>
      <c r="I120" s="16">
        <v>1190081.57</v>
      </c>
      <c r="J120" s="16">
        <v>8498232.9599999972</v>
      </c>
      <c r="K120" s="16">
        <v>0</v>
      </c>
      <c r="L120" s="16">
        <v>0</v>
      </c>
      <c r="M120" s="16">
        <v>11.68</v>
      </c>
      <c r="N120" s="18">
        <f t="shared" si="3"/>
        <v>112389137.34523664</v>
      </c>
      <c r="O120" s="4"/>
    </row>
    <row r="121" spans="1:15" ht="15" x14ac:dyDescent="0.2">
      <c r="A121" s="17" t="s">
        <v>116</v>
      </c>
      <c r="B121" s="16">
        <v>96182658.569999993</v>
      </c>
      <c r="C121" s="16">
        <v>0</v>
      </c>
      <c r="D121" s="16">
        <v>18052181.243550003</v>
      </c>
      <c r="E121" s="16">
        <v>1676036.6099999999</v>
      </c>
      <c r="F121" s="16">
        <v>167825</v>
      </c>
      <c r="G121" s="16">
        <v>79187.100000000006</v>
      </c>
      <c r="H121" s="16">
        <v>4867445.05</v>
      </c>
      <c r="I121" s="16">
        <v>500122.29</v>
      </c>
      <c r="J121" s="16">
        <v>4655678.7900000019</v>
      </c>
      <c r="K121" s="16">
        <v>0</v>
      </c>
      <c r="L121" s="16">
        <v>0</v>
      </c>
      <c r="M121" s="16">
        <v>4.9000000000000004</v>
      </c>
      <c r="N121" s="18">
        <f t="shared" si="3"/>
        <v>126181139.55355</v>
      </c>
      <c r="O121" s="4"/>
    </row>
    <row r="122" spans="1:15" ht="15" x14ac:dyDescent="0.2">
      <c r="A122" s="17" t="s">
        <v>117</v>
      </c>
      <c r="B122" s="16">
        <v>289095966.69</v>
      </c>
      <c r="C122" s="16">
        <v>0</v>
      </c>
      <c r="D122" s="16">
        <v>53423399.999999993</v>
      </c>
      <c r="E122" s="16">
        <v>5548746.8899999997</v>
      </c>
      <c r="F122" s="16">
        <v>5052323.5</v>
      </c>
      <c r="G122" s="16">
        <v>2058166.9801492866</v>
      </c>
      <c r="H122" s="16">
        <v>14630066.92</v>
      </c>
      <c r="I122" s="16">
        <v>15056037.460000001</v>
      </c>
      <c r="J122" s="16">
        <v>22619949.660000011</v>
      </c>
      <c r="K122" s="16">
        <v>0</v>
      </c>
      <c r="L122" s="16">
        <v>0</v>
      </c>
      <c r="M122" s="16">
        <v>147.86000000000001</v>
      </c>
      <c r="N122" s="18">
        <f t="shared" si="3"/>
        <v>407484805.96014929</v>
      </c>
      <c r="O122" s="4"/>
    </row>
    <row r="123" spans="1:15" ht="15" x14ac:dyDescent="0.2">
      <c r="A123" s="17" t="s">
        <v>118</v>
      </c>
      <c r="B123" s="16">
        <v>725488433.13</v>
      </c>
      <c r="C123" s="16">
        <v>0</v>
      </c>
      <c r="D123" s="16">
        <v>16477561.339999998</v>
      </c>
      <c r="E123" s="16">
        <v>12587364.100000001</v>
      </c>
      <c r="F123" s="16">
        <v>7023169.0099999998</v>
      </c>
      <c r="G123" s="16">
        <v>5201540.8553164396</v>
      </c>
      <c r="H123" s="16">
        <v>36714259.439999998</v>
      </c>
      <c r="I123" s="16">
        <v>20929201.300000001</v>
      </c>
      <c r="J123" s="16">
        <v>29924454.210000016</v>
      </c>
      <c r="K123" s="16">
        <v>0</v>
      </c>
      <c r="L123" s="16">
        <v>0</v>
      </c>
      <c r="M123" s="16">
        <v>205.55</v>
      </c>
      <c r="N123" s="18">
        <f t="shared" si="3"/>
        <v>854346188.93531632</v>
      </c>
      <c r="O123" s="4"/>
    </row>
    <row r="124" spans="1:15" ht="15" x14ac:dyDescent="0.2">
      <c r="A124" s="17" t="s">
        <v>119</v>
      </c>
      <c r="B124" s="16">
        <v>553816618.06999993</v>
      </c>
      <c r="C124" s="16">
        <v>0</v>
      </c>
      <c r="D124" s="16">
        <v>2650336.4800000004</v>
      </c>
      <c r="E124" s="16">
        <v>11133002.039999999</v>
      </c>
      <c r="F124" s="16">
        <v>8993575.1699999999</v>
      </c>
      <c r="G124" s="16">
        <v>0</v>
      </c>
      <c r="H124" s="16">
        <v>28026590.190000001</v>
      </c>
      <c r="I124" s="16">
        <v>26801055.91</v>
      </c>
      <c r="J124" s="16">
        <v>41875419.809999995</v>
      </c>
      <c r="K124" s="16">
        <v>0</v>
      </c>
      <c r="L124" s="16">
        <v>0</v>
      </c>
      <c r="M124" s="16">
        <v>263.22000000000003</v>
      </c>
      <c r="N124" s="18">
        <f t="shared" si="3"/>
        <v>673296860.88999987</v>
      </c>
      <c r="O124" s="4"/>
    </row>
    <row r="125" spans="1:15" ht="15" x14ac:dyDescent="0.2">
      <c r="A125" s="17" t="s">
        <v>120</v>
      </c>
      <c r="B125" s="16">
        <v>193433899.25999999</v>
      </c>
      <c r="C125" s="16">
        <v>0</v>
      </c>
      <c r="D125" s="16">
        <v>28681066.453104015</v>
      </c>
      <c r="E125" s="16">
        <v>3399388.29</v>
      </c>
      <c r="F125" s="16">
        <v>3497086.53</v>
      </c>
      <c r="G125" s="16">
        <v>1368177.15</v>
      </c>
      <c r="H125" s="16">
        <v>9788967.0500000007</v>
      </c>
      <c r="I125" s="16">
        <v>10421396.369999999</v>
      </c>
      <c r="J125" s="16">
        <v>26152995.539999988</v>
      </c>
      <c r="K125" s="16">
        <v>0</v>
      </c>
      <c r="L125" s="16">
        <v>0</v>
      </c>
      <c r="M125" s="16">
        <v>102.35</v>
      </c>
      <c r="N125" s="18">
        <f t="shared" si="3"/>
        <v>276743078.99310404</v>
      </c>
      <c r="O125" s="4"/>
    </row>
    <row r="126" spans="1:15" ht="15" x14ac:dyDescent="0.2">
      <c r="A126" s="17" t="s">
        <v>121</v>
      </c>
      <c r="B126" s="16">
        <v>233461201.59999999</v>
      </c>
      <c r="C126" s="16">
        <v>0</v>
      </c>
      <c r="D126" s="16">
        <v>21096974.820337612</v>
      </c>
      <c r="E126" s="16">
        <v>4232041.6899999995</v>
      </c>
      <c r="F126" s="16">
        <v>1750739.92</v>
      </c>
      <c r="G126" s="16">
        <v>554309.71</v>
      </c>
      <c r="H126" s="16">
        <v>11814599.289999999</v>
      </c>
      <c r="I126" s="16">
        <v>5217244.29</v>
      </c>
      <c r="J126" s="16">
        <v>17003156.519999992</v>
      </c>
      <c r="K126" s="16">
        <v>0</v>
      </c>
      <c r="L126" s="16">
        <v>0</v>
      </c>
      <c r="M126" s="16">
        <v>51.230000000000004</v>
      </c>
      <c r="N126" s="18">
        <f t="shared" si="3"/>
        <v>295130319.07033765</v>
      </c>
      <c r="O126" s="4"/>
    </row>
    <row r="127" spans="1:15" ht="15" x14ac:dyDescent="0.2">
      <c r="A127" s="17" t="s">
        <v>122</v>
      </c>
      <c r="B127" s="16">
        <v>114156756.5</v>
      </c>
      <c r="C127" s="16">
        <v>0</v>
      </c>
      <c r="D127" s="16">
        <v>8057977.6447975021</v>
      </c>
      <c r="E127" s="16">
        <v>2017489.34</v>
      </c>
      <c r="F127" s="16">
        <v>1858376.38</v>
      </c>
      <c r="G127" s="16">
        <v>558709</v>
      </c>
      <c r="H127" s="16">
        <v>5777047</v>
      </c>
      <c r="I127" s="16">
        <v>5538003.3499999996</v>
      </c>
      <c r="J127" s="16">
        <v>18916613.309999995</v>
      </c>
      <c r="K127" s="16">
        <v>0</v>
      </c>
      <c r="L127" s="16">
        <v>0</v>
      </c>
      <c r="M127" s="16">
        <v>54.38</v>
      </c>
      <c r="N127" s="18">
        <f t="shared" si="3"/>
        <v>156881026.90479749</v>
      </c>
      <c r="O127" s="4"/>
    </row>
    <row r="128" spans="1:15" ht="15" x14ac:dyDescent="0.2">
      <c r="A128" s="17" t="s">
        <v>123</v>
      </c>
      <c r="B128" s="16">
        <v>63772428.209999993</v>
      </c>
      <c r="C128" s="16">
        <v>0</v>
      </c>
      <c r="D128" s="16">
        <v>6730752.191716806</v>
      </c>
      <c r="E128" s="16">
        <v>1201280.81</v>
      </c>
      <c r="F128" s="16">
        <v>170021.66</v>
      </c>
      <c r="G128" s="16">
        <v>95317.81</v>
      </c>
      <c r="H128" s="16">
        <v>3227284.37</v>
      </c>
      <c r="I128" s="16">
        <v>506668.39</v>
      </c>
      <c r="J128" s="16">
        <v>4118432.4300000011</v>
      </c>
      <c r="K128" s="16">
        <v>0</v>
      </c>
      <c r="L128" s="16">
        <v>0</v>
      </c>
      <c r="M128" s="16">
        <v>4.96</v>
      </c>
      <c r="N128" s="18">
        <f t="shared" si="3"/>
        <v>79822190.831716806</v>
      </c>
      <c r="O128" s="4"/>
    </row>
    <row r="129" spans="1:15" ht="15" x14ac:dyDescent="0.2">
      <c r="A129" s="17" t="s">
        <v>124</v>
      </c>
      <c r="B129" s="16">
        <v>358118831.75</v>
      </c>
      <c r="C129" s="16">
        <v>0</v>
      </c>
      <c r="D129" s="16">
        <v>56164912.948026836</v>
      </c>
      <c r="E129" s="16">
        <v>1284353.1200000001</v>
      </c>
      <c r="F129" s="16">
        <v>2162394.46</v>
      </c>
      <c r="G129" s="16">
        <v>1162877.25</v>
      </c>
      <c r="H129" s="16">
        <v>18123056.280000001</v>
      </c>
      <c r="I129" s="16">
        <v>6443984.0300000003</v>
      </c>
      <c r="J129" s="16">
        <v>26584505.429999992</v>
      </c>
      <c r="K129" s="16">
        <v>0</v>
      </c>
      <c r="L129" s="16">
        <v>0</v>
      </c>
      <c r="M129" s="16">
        <v>63.28</v>
      </c>
      <c r="N129" s="18">
        <f t="shared" si="3"/>
        <v>470044978.54802674</v>
      </c>
      <c r="O129" s="4"/>
    </row>
    <row r="130" spans="1:15" ht="15" x14ac:dyDescent="0.2">
      <c r="A130" s="17" t="s">
        <v>125</v>
      </c>
      <c r="B130" s="16">
        <v>107460994.02000003</v>
      </c>
      <c r="C130" s="16">
        <v>0</v>
      </c>
      <c r="D130" s="16">
        <v>16463532.489209324</v>
      </c>
      <c r="E130" s="16">
        <v>1966095.14</v>
      </c>
      <c r="F130" s="16">
        <v>267553.46999999997</v>
      </c>
      <c r="G130" s="16">
        <v>86519.24</v>
      </c>
      <c r="H130" s="16">
        <v>5438199.4800000004</v>
      </c>
      <c r="I130" s="16">
        <v>797315.38</v>
      </c>
      <c r="J130" s="16">
        <v>6991249.4399999985</v>
      </c>
      <c r="K130" s="16">
        <v>0</v>
      </c>
      <c r="L130" s="16">
        <v>0</v>
      </c>
      <c r="M130" s="16">
        <v>7.82</v>
      </c>
      <c r="N130" s="18">
        <f t="shared" si="3"/>
        <v>139471466.47920933</v>
      </c>
      <c r="O130" s="4"/>
    </row>
    <row r="131" spans="1:15" ht="15" x14ac:dyDescent="0.2">
      <c r="A131" s="17" t="s">
        <v>126</v>
      </c>
      <c r="B131" s="16">
        <v>567475288.51999998</v>
      </c>
      <c r="C131" s="16">
        <v>0</v>
      </c>
      <c r="D131" s="16">
        <v>40539193.780000001</v>
      </c>
      <c r="E131" s="16">
        <v>45876414.039999992</v>
      </c>
      <c r="F131" s="16">
        <v>11814089.689999999</v>
      </c>
      <c r="G131" s="16">
        <v>1010698.7026599587</v>
      </c>
      <c r="H131" s="16">
        <v>28717804.48</v>
      </c>
      <c r="I131" s="16">
        <v>35206252.479999997</v>
      </c>
      <c r="J131" s="16">
        <v>56618442.719999999</v>
      </c>
      <c r="K131" s="16">
        <v>0</v>
      </c>
      <c r="L131" s="16">
        <v>0</v>
      </c>
      <c r="M131" s="16">
        <v>345.77</v>
      </c>
      <c r="N131" s="18">
        <f t="shared" si="3"/>
        <v>787258530.18265998</v>
      </c>
      <c r="O131" s="4"/>
    </row>
    <row r="132" spans="1:15" ht="15" x14ac:dyDescent="0.2">
      <c r="A132" s="17" t="s">
        <v>127</v>
      </c>
      <c r="B132" s="16">
        <v>24077345.27</v>
      </c>
      <c r="C132" s="16">
        <v>0</v>
      </c>
      <c r="D132" s="16">
        <v>1598760.3172062708</v>
      </c>
      <c r="E132" s="16">
        <v>418797.86</v>
      </c>
      <c r="F132" s="16">
        <v>50523.23</v>
      </c>
      <c r="G132" s="16">
        <v>16130.71</v>
      </c>
      <c r="H132" s="16">
        <v>1218464.51</v>
      </c>
      <c r="I132" s="16">
        <v>150560.37</v>
      </c>
      <c r="J132" s="16">
        <v>2010867.6000000008</v>
      </c>
      <c r="K132" s="16">
        <v>0</v>
      </c>
      <c r="L132" s="16">
        <v>0</v>
      </c>
      <c r="M132" s="16">
        <v>1.47</v>
      </c>
      <c r="N132" s="18">
        <f t="shared" si="3"/>
        <v>29541451.337206274</v>
      </c>
      <c r="O132" s="4"/>
    </row>
    <row r="133" spans="1:15" ht="15" x14ac:dyDescent="0.2">
      <c r="A133" s="17" t="s">
        <v>128</v>
      </c>
      <c r="B133" s="16">
        <v>137292242.70999998</v>
      </c>
      <c r="C133" s="16">
        <v>0</v>
      </c>
      <c r="D133" s="16">
        <v>10085862.002019078</v>
      </c>
      <c r="E133" s="16">
        <v>469946.67</v>
      </c>
      <c r="F133" s="16">
        <v>182762.31</v>
      </c>
      <c r="G133" s="16">
        <v>118780.65</v>
      </c>
      <c r="H133" s="16">
        <v>6947847.5300000003</v>
      </c>
      <c r="I133" s="16">
        <v>544635.79</v>
      </c>
      <c r="J133" s="16">
        <v>7322017.9199999962</v>
      </c>
      <c r="K133" s="16">
        <v>0</v>
      </c>
      <c r="L133" s="16">
        <v>0</v>
      </c>
      <c r="M133" s="16">
        <v>5.34</v>
      </c>
      <c r="N133" s="18">
        <f t="shared" si="3"/>
        <v>162964100.92201903</v>
      </c>
      <c r="O133" s="4"/>
    </row>
    <row r="134" spans="1:15" ht="15" x14ac:dyDescent="0.2">
      <c r="A134" s="17" t="s">
        <v>129</v>
      </c>
      <c r="B134" s="16">
        <v>263915789.81999999</v>
      </c>
      <c r="C134" s="16">
        <v>0</v>
      </c>
      <c r="D134" s="16">
        <v>39625153.20438049</v>
      </c>
      <c r="E134" s="16">
        <v>4590761.0199999996</v>
      </c>
      <c r="F134" s="16">
        <v>852744.34</v>
      </c>
      <c r="G134" s="16">
        <v>403267.65</v>
      </c>
      <c r="H134" s="16">
        <v>13355792.23</v>
      </c>
      <c r="I134" s="16">
        <v>2541197.2799999998</v>
      </c>
      <c r="J134" s="16">
        <v>16295351.940000005</v>
      </c>
      <c r="K134" s="16">
        <v>0</v>
      </c>
      <c r="L134" s="16">
        <v>0</v>
      </c>
      <c r="M134" s="16">
        <v>24.950000000000003</v>
      </c>
      <c r="N134" s="18">
        <f t="shared" si="3"/>
        <v>341580082.43438041</v>
      </c>
      <c r="O134" s="4"/>
    </row>
    <row r="135" spans="1:15" ht="15" x14ac:dyDescent="0.2">
      <c r="A135" s="17" t="s">
        <v>130</v>
      </c>
      <c r="B135" s="16">
        <v>219727182.40000004</v>
      </c>
      <c r="C135" s="16">
        <v>0</v>
      </c>
      <c r="D135" s="16">
        <v>47273206.628136411</v>
      </c>
      <c r="E135" s="16">
        <v>4459624.7799999993</v>
      </c>
      <c r="F135" s="16">
        <v>1283729.5</v>
      </c>
      <c r="G135" s="16">
        <v>536712.57999999996</v>
      </c>
      <c r="H135" s="16">
        <v>11119571.890000001</v>
      </c>
      <c r="I135" s="16">
        <v>3825542.74</v>
      </c>
      <c r="J135" s="16">
        <v>17490745.859999999</v>
      </c>
      <c r="K135" s="16">
        <v>0</v>
      </c>
      <c r="L135" s="16">
        <v>0</v>
      </c>
      <c r="M135" s="16">
        <v>37.56</v>
      </c>
      <c r="N135" s="18">
        <f t="shared" si="3"/>
        <v>305716353.9381364</v>
      </c>
      <c r="O135" s="4"/>
    </row>
    <row r="136" spans="1:15" ht="15" x14ac:dyDescent="0.2">
      <c r="A136" s="17" t="s">
        <v>131</v>
      </c>
      <c r="B136" s="16">
        <v>373579021.92999995</v>
      </c>
      <c r="C136" s="16">
        <v>0</v>
      </c>
      <c r="D136" s="16">
        <v>3468243.4600000004</v>
      </c>
      <c r="E136" s="16">
        <v>7587893.6099999994</v>
      </c>
      <c r="F136" s="16">
        <v>7637795.1399999997</v>
      </c>
      <c r="G136" s="16">
        <v>3730374.3782314067</v>
      </c>
      <c r="H136" s="16">
        <v>18905438.75</v>
      </c>
      <c r="I136" s="16">
        <v>22760800.98</v>
      </c>
      <c r="J136" s="16">
        <v>40906663.559999995</v>
      </c>
      <c r="K136" s="16">
        <v>0</v>
      </c>
      <c r="L136" s="16">
        <v>0</v>
      </c>
      <c r="M136" s="16">
        <v>223.54000000000002</v>
      </c>
      <c r="N136" s="18">
        <f t="shared" ref="N136:N142" si="4">SUM(B136:M136)</f>
        <v>478576455.34823138</v>
      </c>
      <c r="O136" s="4"/>
    </row>
    <row r="137" spans="1:15" ht="15" x14ac:dyDescent="0.2">
      <c r="A137" s="17" t="s">
        <v>132</v>
      </c>
      <c r="B137" s="16">
        <v>61501691.360000007</v>
      </c>
      <c r="C137" s="16">
        <v>0</v>
      </c>
      <c r="D137" s="16">
        <v>6106993.9621326393</v>
      </c>
      <c r="E137" s="16">
        <v>1097651.5900000001</v>
      </c>
      <c r="F137" s="16">
        <v>91381.15</v>
      </c>
      <c r="G137" s="16">
        <v>82119.960000000006</v>
      </c>
      <c r="H137" s="16">
        <v>3112370.86</v>
      </c>
      <c r="I137" s="16">
        <v>272317.90000000002</v>
      </c>
      <c r="J137" s="16">
        <v>3812878.8600000008</v>
      </c>
      <c r="K137" s="16">
        <v>0</v>
      </c>
      <c r="L137" s="16">
        <v>0</v>
      </c>
      <c r="M137" s="16">
        <v>2.66</v>
      </c>
      <c r="N137" s="18">
        <f t="shared" si="4"/>
        <v>76077408.302132651</v>
      </c>
      <c r="O137" s="4"/>
    </row>
    <row r="138" spans="1:15" ht="15" x14ac:dyDescent="0.2">
      <c r="A138" s="17" t="s">
        <v>133</v>
      </c>
      <c r="B138" s="16">
        <v>133011064.65000001</v>
      </c>
      <c r="C138" s="16">
        <v>0</v>
      </c>
      <c r="D138" s="16">
        <v>32133760.903649181</v>
      </c>
      <c r="E138" s="16">
        <v>2356838.41</v>
      </c>
      <c r="F138" s="16">
        <v>795631.11</v>
      </c>
      <c r="G138" s="16">
        <v>335811.97</v>
      </c>
      <c r="H138" s="16">
        <v>6731193.1100000003</v>
      </c>
      <c r="I138" s="16">
        <v>2370998.6</v>
      </c>
      <c r="J138" s="16">
        <v>14077263.269999994</v>
      </c>
      <c r="K138" s="16">
        <v>0</v>
      </c>
      <c r="L138" s="16">
        <v>0</v>
      </c>
      <c r="M138" s="16">
        <v>23.27</v>
      </c>
      <c r="N138" s="18">
        <f t="shared" si="4"/>
        <v>191812585.2936492</v>
      </c>
      <c r="O138" s="4"/>
    </row>
    <row r="139" spans="1:15" ht="15" x14ac:dyDescent="0.2">
      <c r="A139" s="17" t="s">
        <v>134</v>
      </c>
      <c r="B139" s="16">
        <v>586237123.24000001</v>
      </c>
      <c r="C139" s="16">
        <v>0</v>
      </c>
      <c r="D139" s="16">
        <v>7106645.0600000005</v>
      </c>
      <c r="E139" s="16">
        <v>10854324.950000001</v>
      </c>
      <c r="F139" s="16">
        <v>4091942.7</v>
      </c>
      <c r="G139" s="16">
        <v>3438978.7994437246</v>
      </c>
      <c r="H139" s="16">
        <v>29667270.809999999</v>
      </c>
      <c r="I139" s="16">
        <v>12194081.109999999</v>
      </c>
      <c r="J139" s="16">
        <v>25566657.270000014</v>
      </c>
      <c r="K139" s="16">
        <v>0</v>
      </c>
      <c r="L139" s="16">
        <v>0</v>
      </c>
      <c r="M139" s="16">
        <v>119.75999999999999</v>
      </c>
      <c r="N139" s="18">
        <f t="shared" si="4"/>
        <v>679157143.6994437</v>
      </c>
      <c r="O139" s="4"/>
    </row>
    <row r="140" spans="1:15" ht="15" x14ac:dyDescent="0.2">
      <c r="A140" s="17" t="s">
        <v>135</v>
      </c>
      <c r="B140" s="16">
        <v>165150724.54999998</v>
      </c>
      <c r="C140" s="16">
        <v>0</v>
      </c>
      <c r="D140" s="16">
        <v>1012117.97</v>
      </c>
      <c r="E140" s="16">
        <v>2886488.18</v>
      </c>
      <c r="F140" s="16">
        <v>674814.68</v>
      </c>
      <c r="G140" s="16">
        <v>297684.84999999998</v>
      </c>
      <c r="H140" s="16">
        <v>8357661.2300000004</v>
      </c>
      <c r="I140" s="16">
        <v>2010962.92</v>
      </c>
      <c r="J140" s="16">
        <v>6707045.3100000015</v>
      </c>
      <c r="K140" s="16">
        <v>0</v>
      </c>
      <c r="L140" s="16">
        <v>0</v>
      </c>
      <c r="M140" s="16">
        <v>19.739999999999998</v>
      </c>
      <c r="N140" s="18">
        <f t="shared" si="4"/>
        <v>187097519.42999998</v>
      </c>
      <c r="O140" s="4"/>
    </row>
    <row r="141" spans="1:15" ht="15" x14ac:dyDescent="0.2">
      <c r="A141" s="17" t="s">
        <v>136</v>
      </c>
      <c r="B141" s="16">
        <v>200297483.91000003</v>
      </c>
      <c r="C141" s="16">
        <v>0</v>
      </c>
      <c r="D141" s="16">
        <v>11737630.92436046</v>
      </c>
      <c r="E141" s="16">
        <v>3550967.6399999997</v>
      </c>
      <c r="F141" s="16">
        <v>973121.44</v>
      </c>
      <c r="G141" s="16">
        <v>290352.71000000002</v>
      </c>
      <c r="H141" s="16">
        <v>10136307.43</v>
      </c>
      <c r="I141" s="16">
        <v>2899923.74</v>
      </c>
      <c r="J141" s="16">
        <v>17533028.730000008</v>
      </c>
      <c r="K141" s="16">
        <v>0</v>
      </c>
      <c r="L141" s="16">
        <v>0</v>
      </c>
      <c r="M141" s="16">
        <v>28.47</v>
      </c>
      <c r="N141" s="18">
        <f t="shared" si="4"/>
        <v>247418844.99436051</v>
      </c>
      <c r="O141" s="4"/>
    </row>
    <row r="142" spans="1:15" ht="15" x14ac:dyDescent="0.2">
      <c r="A142" s="17" t="s">
        <v>137</v>
      </c>
      <c r="B142" s="16">
        <v>189498640.38999999</v>
      </c>
      <c r="C142" s="16">
        <v>0</v>
      </c>
      <c r="D142" s="16">
        <v>11644932.011371184</v>
      </c>
      <c r="E142" s="16">
        <v>3909459.62</v>
      </c>
      <c r="F142" s="16">
        <v>4183763.19</v>
      </c>
      <c r="G142" s="16">
        <v>1071958.73</v>
      </c>
      <c r="H142" s="16">
        <v>9589818.3000000007</v>
      </c>
      <c r="I142" s="16">
        <v>12467708.24</v>
      </c>
      <c r="J142" s="16">
        <v>23803866.029999997</v>
      </c>
      <c r="K142" s="16">
        <v>0</v>
      </c>
      <c r="L142" s="16">
        <v>0</v>
      </c>
      <c r="M142" s="16">
        <v>122.44</v>
      </c>
      <c r="N142" s="18">
        <f t="shared" si="4"/>
        <v>256170268.95137119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34249424427.399994</v>
      </c>
      <c r="C143" s="25">
        <f t="shared" si="5"/>
        <v>0</v>
      </c>
      <c r="D143" s="25">
        <f t="shared" si="5"/>
        <v>2337843046.4346218</v>
      </c>
      <c r="E143" s="25">
        <f t="shared" si="5"/>
        <v>656669762.36999989</v>
      </c>
      <c r="F143" s="25">
        <f t="shared" si="5"/>
        <v>439332479.06000006</v>
      </c>
      <c r="G143" s="25">
        <f t="shared" si="5"/>
        <v>146642780.91000006</v>
      </c>
      <c r="H143" s="25">
        <f t="shared" si="5"/>
        <v>1733235427.5399992</v>
      </c>
      <c r="I143" s="25">
        <f t="shared" si="5"/>
        <v>1309220649.1099997</v>
      </c>
      <c r="J143" s="25">
        <f t="shared" ref="J143:N143" si="6">SUM(J8:J142)</f>
        <v>2973468733.6200004</v>
      </c>
      <c r="K143" s="25">
        <f t="shared" si="6"/>
        <v>0</v>
      </c>
      <c r="L143" s="25">
        <f t="shared" si="6"/>
        <v>0</v>
      </c>
      <c r="M143" s="25">
        <f t="shared" si="6"/>
        <v>12857.259999999995</v>
      </c>
      <c r="N143" s="25">
        <f t="shared" si="6"/>
        <v>43845850163.704613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161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160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142234536.31</v>
      </c>
      <c r="C8" s="16">
        <v>0</v>
      </c>
      <c r="D8" s="16">
        <v>4979548.9703177037</v>
      </c>
      <c r="E8" s="16">
        <v>4377810.0699999994</v>
      </c>
      <c r="F8" s="16">
        <v>455478.02</v>
      </c>
      <c r="G8" s="16">
        <v>208710.69</v>
      </c>
      <c r="H8" s="16">
        <v>8098947.5899999999</v>
      </c>
      <c r="I8" s="16">
        <v>1188031.53</v>
      </c>
      <c r="J8" s="16">
        <v>9845809.160000002</v>
      </c>
      <c r="K8" s="16">
        <v>0</v>
      </c>
      <c r="L8" s="16">
        <v>0</v>
      </c>
      <c r="M8" s="16">
        <v>5.74</v>
      </c>
      <c r="N8" s="18">
        <f t="shared" ref="N8:N39" si="0">SUM(B8:M8)</f>
        <v>171388878.08031771</v>
      </c>
      <c r="O8" s="4"/>
    </row>
    <row r="9" spans="1:15" ht="18" customHeight="1" x14ac:dyDescent="0.2">
      <c r="A9" s="17" t="s">
        <v>4</v>
      </c>
      <c r="B9" s="16">
        <v>80284594.13000001</v>
      </c>
      <c r="C9" s="16">
        <v>0</v>
      </c>
      <c r="D9" s="16">
        <v>3795674.0377818244</v>
      </c>
      <c r="E9" s="16">
        <v>2486834.4700000002</v>
      </c>
      <c r="F9" s="16">
        <v>319117.52</v>
      </c>
      <c r="G9" s="16">
        <v>147437.82999999999</v>
      </c>
      <c r="H9" s="16">
        <v>4571468.63</v>
      </c>
      <c r="I9" s="16">
        <v>832359.98</v>
      </c>
      <c r="J9" s="16">
        <v>7486678.7600000007</v>
      </c>
      <c r="K9" s="16">
        <v>0</v>
      </c>
      <c r="L9" s="16">
        <v>0</v>
      </c>
      <c r="M9" s="16">
        <v>4.0199999999999996</v>
      </c>
      <c r="N9" s="18">
        <f t="shared" si="0"/>
        <v>99924169.377781823</v>
      </c>
      <c r="O9" s="4"/>
    </row>
    <row r="10" spans="1:15" ht="18" customHeight="1" x14ac:dyDescent="0.2">
      <c r="A10" s="17" t="s">
        <v>5</v>
      </c>
      <c r="B10" s="16">
        <v>68122241.469999999</v>
      </c>
      <c r="C10" s="16">
        <v>0</v>
      </c>
      <c r="D10" s="16">
        <v>1866291.7586575581</v>
      </c>
      <c r="E10" s="16">
        <v>2091171.31</v>
      </c>
      <c r="F10" s="16">
        <v>222929.61</v>
      </c>
      <c r="G10" s="16">
        <v>130204.84</v>
      </c>
      <c r="H10" s="16">
        <v>3878934.6</v>
      </c>
      <c r="I10" s="16">
        <v>581471.32999999996</v>
      </c>
      <c r="J10" s="16">
        <v>4348222.12</v>
      </c>
      <c r="K10" s="16">
        <v>0</v>
      </c>
      <c r="L10" s="16">
        <v>0</v>
      </c>
      <c r="M10" s="16">
        <v>2.81</v>
      </c>
      <c r="N10" s="18">
        <f t="shared" si="0"/>
        <v>81241469.848657563</v>
      </c>
      <c r="O10" s="4"/>
    </row>
    <row r="11" spans="1:15" ht="18" customHeight="1" x14ac:dyDescent="0.2">
      <c r="A11" s="17" t="s">
        <v>6</v>
      </c>
      <c r="B11" s="16">
        <v>731391690.63999987</v>
      </c>
      <c r="C11" s="16">
        <v>0</v>
      </c>
      <c r="D11" s="16">
        <v>3920395.0549694421</v>
      </c>
      <c r="E11" s="16">
        <v>30662779.609999999</v>
      </c>
      <c r="F11" s="16">
        <v>23928155.91</v>
      </c>
      <c r="G11" s="16">
        <v>11590378.154490437</v>
      </c>
      <c r="H11" s="16">
        <v>41646024.390000001</v>
      </c>
      <c r="I11" s="16">
        <v>62412240.390000001</v>
      </c>
      <c r="J11" s="16">
        <v>83889474.019999951</v>
      </c>
      <c r="K11" s="16">
        <v>0</v>
      </c>
      <c r="L11" s="16">
        <v>0</v>
      </c>
      <c r="M11" s="16">
        <v>302.01</v>
      </c>
      <c r="N11" s="18">
        <f t="shared" si="0"/>
        <v>989441440.17945969</v>
      </c>
      <c r="O11" s="4"/>
    </row>
    <row r="12" spans="1:15" ht="18" customHeight="1" x14ac:dyDescent="0.2">
      <c r="A12" s="17" t="s">
        <v>7</v>
      </c>
      <c r="B12" s="16">
        <v>99956864.310000002</v>
      </c>
      <c r="C12" s="16">
        <v>0</v>
      </c>
      <c r="D12" s="16">
        <v>2509531.70073062</v>
      </c>
      <c r="E12" s="16">
        <v>3101710.11</v>
      </c>
      <c r="F12" s="16">
        <v>818163</v>
      </c>
      <c r="G12" s="16">
        <v>356148.52</v>
      </c>
      <c r="H12" s="16">
        <v>5691623.3300000001</v>
      </c>
      <c r="I12" s="16">
        <v>2134029.31</v>
      </c>
      <c r="J12" s="16">
        <v>8603304.1600000039</v>
      </c>
      <c r="K12" s="16">
        <v>0</v>
      </c>
      <c r="L12" s="16">
        <v>0</v>
      </c>
      <c r="M12" s="16">
        <v>10.31</v>
      </c>
      <c r="N12" s="18">
        <f t="shared" si="0"/>
        <v>123171384.75073063</v>
      </c>
      <c r="O12" s="4"/>
    </row>
    <row r="13" spans="1:15" ht="18" customHeight="1" x14ac:dyDescent="0.2">
      <c r="A13" s="17" t="s">
        <v>8</v>
      </c>
      <c r="B13" s="16">
        <v>430537655.85999995</v>
      </c>
      <c r="C13" s="16">
        <v>0</v>
      </c>
      <c r="D13" s="16">
        <v>4172132.8150582481</v>
      </c>
      <c r="E13" s="16">
        <v>18073629.820000004</v>
      </c>
      <c r="F13" s="16">
        <v>11635907.449999999</v>
      </c>
      <c r="G13" s="16">
        <v>0</v>
      </c>
      <c r="H13" s="16">
        <v>24515156.449999999</v>
      </c>
      <c r="I13" s="16">
        <v>30350147.170000002</v>
      </c>
      <c r="J13" s="16">
        <v>63470177.099999972</v>
      </c>
      <c r="K13" s="16">
        <v>0</v>
      </c>
      <c r="L13" s="16">
        <v>0</v>
      </c>
      <c r="M13" s="16">
        <v>146.86000000000001</v>
      </c>
      <c r="N13" s="18">
        <f t="shared" si="0"/>
        <v>582754953.52505815</v>
      </c>
      <c r="O13" s="4"/>
    </row>
    <row r="14" spans="1:15" ht="18" customHeight="1" x14ac:dyDescent="0.2">
      <c r="A14" s="17" t="s">
        <v>9</v>
      </c>
      <c r="B14" s="16">
        <v>153258710.07999998</v>
      </c>
      <c r="C14" s="16">
        <v>0</v>
      </c>
      <c r="D14" s="16">
        <v>6360777.6218798831</v>
      </c>
      <c r="E14" s="16">
        <v>4741049.95</v>
      </c>
      <c r="F14" s="16">
        <v>529599.28</v>
      </c>
      <c r="G14" s="16">
        <v>248921.01</v>
      </c>
      <c r="H14" s="16">
        <v>8726672.8100000005</v>
      </c>
      <c r="I14" s="16">
        <v>1381363.37</v>
      </c>
      <c r="J14" s="16">
        <v>13072110.479999999</v>
      </c>
      <c r="K14" s="16">
        <v>0</v>
      </c>
      <c r="L14" s="16">
        <v>0</v>
      </c>
      <c r="M14" s="16">
        <v>6.67</v>
      </c>
      <c r="N14" s="18">
        <f t="shared" si="0"/>
        <v>188319211.27187982</v>
      </c>
      <c r="O14" s="4"/>
    </row>
    <row r="15" spans="1:15" ht="18" customHeight="1" x14ac:dyDescent="0.2">
      <c r="A15" s="17" t="s">
        <v>10</v>
      </c>
      <c r="B15" s="16">
        <v>249501879.00999999</v>
      </c>
      <c r="C15" s="16">
        <v>0</v>
      </c>
      <c r="D15" s="16">
        <v>8877056.3732266743</v>
      </c>
      <c r="E15" s="16">
        <v>7719045.3100000005</v>
      </c>
      <c r="F15" s="16">
        <v>1972983.67</v>
      </c>
      <c r="G15" s="16">
        <v>800376.78</v>
      </c>
      <c r="H15" s="16">
        <v>14206835.369999999</v>
      </c>
      <c r="I15" s="16">
        <v>5146168.8899999997</v>
      </c>
      <c r="J15" s="16">
        <v>21155386.120000012</v>
      </c>
      <c r="K15" s="16">
        <v>0</v>
      </c>
      <c r="L15" s="16">
        <v>0</v>
      </c>
      <c r="M15" s="16">
        <v>24.9</v>
      </c>
      <c r="N15" s="18">
        <f t="shared" si="0"/>
        <v>309379756.42322659</v>
      </c>
      <c r="O15" s="4"/>
    </row>
    <row r="16" spans="1:15" ht="18" customHeight="1" x14ac:dyDescent="0.2">
      <c r="A16" s="17" t="s">
        <v>11</v>
      </c>
      <c r="B16" s="16">
        <v>463496703.13999999</v>
      </c>
      <c r="C16" s="16">
        <v>0</v>
      </c>
      <c r="D16" s="16">
        <v>7132233.9875451447</v>
      </c>
      <c r="E16" s="16">
        <v>19468903.149999999</v>
      </c>
      <c r="F16" s="16">
        <v>7358374.7300000004</v>
      </c>
      <c r="G16" s="16">
        <v>3695519.6</v>
      </c>
      <c r="H16" s="16">
        <v>26391870.800000001</v>
      </c>
      <c r="I16" s="16">
        <v>19192981.469999999</v>
      </c>
      <c r="J16" s="16">
        <v>52273863.620000012</v>
      </c>
      <c r="K16" s="16">
        <v>0</v>
      </c>
      <c r="L16" s="16">
        <v>0</v>
      </c>
      <c r="M16" s="16">
        <v>92.87</v>
      </c>
      <c r="N16" s="18">
        <f t="shared" si="0"/>
        <v>599010543.36754513</v>
      </c>
      <c r="O16" s="4"/>
    </row>
    <row r="17" spans="1:15" ht="15" x14ac:dyDescent="0.2">
      <c r="A17" s="17" t="s">
        <v>12</v>
      </c>
      <c r="B17" s="16">
        <v>168680862.07999998</v>
      </c>
      <c r="C17" s="16">
        <v>0</v>
      </c>
      <c r="D17" s="16">
        <v>6675362.5560047142</v>
      </c>
      <c r="E17" s="16">
        <v>5212697.41</v>
      </c>
      <c r="F17" s="16">
        <v>1511281.73</v>
      </c>
      <c r="G17" s="16">
        <v>536137.56000000006</v>
      </c>
      <c r="H17" s="16">
        <v>9604822.4100000001</v>
      </c>
      <c r="I17" s="16">
        <v>3941903.38</v>
      </c>
      <c r="J17" s="16">
        <v>14317792.719999997</v>
      </c>
      <c r="K17" s="16">
        <v>0</v>
      </c>
      <c r="L17" s="16">
        <v>0</v>
      </c>
      <c r="M17" s="16">
        <v>19.07</v>
      </c>
      <c r="N17" s="18">
        <f t="shared" si="0"/>
        <v>210480878.91600466</v>
      </c>
      <c r="O17" s="4"/>
    </row>
    <row r="18" spans="1:15" ht="15" x14ac:dyDescent="0.2">
      <c r="A18" s="17" t="s">
        <v>13</v>
      </c>
      <c r="B18" s="16">
        <v>97914331.780000001</v>
      </c>
      <c r="C18" s="16">
        <v>0</v>
      </c>
      <c r="D18" s="16">
        <v>2859463.1485964423</v>
      </c>
      <c r="E18" s="16">
        <v>3036880.38</v>
      </c>
      <c r="F18" s="16">
        <v>1018460.17</v>
      </c>
      <c r="G18" s="16">
        <v>402103.17</v>
      </c>
      <c r="H18" s="16">
        <v>5575319.9100000001</v>
      </c>
      <c r="I18" s="16">
        <v>2656468.02</v>
      </c>
      <c r="J18" s="16">
        <v>11427295.219999997</v>
      </c>
      <c r="K18" s="16">
        <v>0</v>
      </c>
      <c r="L18" s="16">
        <v>0</v>
      </c>
      <c r="M18" s="16">
        <v>12.84</v>
      </c>
      <c r="N18" s="18">
        <f t="shared" si="0"/>
        <v>124890334.63859643</v>
      </c>
      <c r="O18" s="4"/>
    </row>
    <row r="19" spans="1:15" ht="15" x14ac:dyDescent="0.2">
      <c r="A19" s="17" t="s">
        <v>14</v>
      </c>
      <c r="B19" s="16">
        <v>171118834.38</v>
      </c>
      <c r="C19" s="16">
        <v>0</v>
      </c>
      <c r="D19" s="16">
        <v>5531579.0087555218</v>
      </c>
      <c r="E19" s="16">
        <v>5291485.12</v>
      </c>
      <c r="F19" s="16">
        <v>411344.74</v>
      </c>
      <c r="G19" s="16">
        <v>248921.01</v>
      </c>
      <c r="H19" s="16">
        <v>9743642.4900000002</v>
      </c>
      <c r="I19" s="16">
        <v>1072917.92</v>
      </c>
      <c r="J19" s="16">
        <v>10043958.1</v>
      </c>
      <c r="K19" s="16">
        <v>0</v>
      </c>
      <c r="L19" s="16">
        <v>0</v>
      </c>
      <c r="M19" s="16">
        <v>5.18</v>
      </c>
      <c r="N19" s="18">
        <f t="shared" si="0"/>
        <v>203462687.94875553</v>
      </c>
      <c r="O19" s="4"/>
    </row>
    <row r="20" spans="1:15" ht="15" x14ac:dyDescent="0.2">
      <c r="A20" s="17" t="s">
        <v>15</v>
      </c>
      <c r="B20" s="16">
        <v>578576560.74000001</v>
      </c>
      <c r="C20" s="16">
        <v>0</v>
      </c>
      <c r="D20" s="16">
        <v>3061782.2274437458</v>
      </c>
      <c r="E20" s="16">
        <v>24281474.849999998</v>
      </c>
      <c r="F20" s="16">
        <v>13129083.220000001</v>
      </c>
      <c r="G20" s="16">
        <v>6068291.3400078276</v>
      </c>
      <c r="H20" s="16">
        <v>32944609.399999999</v>
      </c>
      <c r="I20" s="16">
        <v>34244824.450000003</v>
      </c>
      <c r="J20" s="16">
        <v>56949042.919999994</v>
      </c>
      <c r="K20" s="16">
        <v>0</v>
      </c>
      <c r="L20" s="16">
        <v>0</v>
      </c>
      <c r="M20" s="16">
        <v>165.71</v>
      </c>
      <c r="N20" s="18">
        <f t="shared" si="0"/>
        <v>749255834.85745156</v>
      </c>
      <c r="O20" s="4"/>
    </row>
    <row r="21" spans="1:15" ht="15" x14ac:dyDescent="0.2">
      <c r="A21" s="17" t="s">
        <v>16</v>
      </c>
      <c r="B21" s="16">
        <v>250536899.69</v>
      </c>
      <c r="C21" s="16">
        <v>0</v>
      </c>
      <c r="D21" s="16">
        <v>903975.60398360994</v>
      </c>
      <c r="E21" s="16">
        <v>7740695.1600000001</v>
      </c>
      <c r="F21" s="16">
        <v>3491055.14</v>
      </c>
      <c r="G21" s="16">
        <v>773067.04472004902</v>
      </c>
      <c r="H21" s="16">
        <v>14265770.27</v>
      </c>
      <c r="I21" s="16">
        <v>9105782.0600000005</v>
      </c>
      <c r="J21" s="16">
        <v>18493253.679999996</v>
      </c>
      <c r="K21" s="16">
        <v>0</v>
      </c>
      <c r="L21" s="16">
        <v>0</v>
      </c>
      <c r="M21" s="16">
        <v>44.05</v>
      </c>
      <c r="N21" s="18">
        <f t="shared" si="0"/>
        <v>305310542.69870365</v>
      </c>
      <c r="O21" s="4"/>
    </row>
    <row r="22" spans="1:15" ht="15" x14ac:dyDescent="0.2">
      <c r="A22" s="17" t="s">
        <v>17</v>
      </c>
      <c r="B22" s="16">
        <v>186585688.30000001</v>
      </c>
      <c r="C22" s="16">
        <v>0</v>
      </c>
      <c r="D22" s="16">
        <v>4645683.5846895045</v>
      </c>
      <c r="E22" s="16">
        <v>5776803.9799999995</v>
      </c>
      <c r="F22" s="16">
        <v>831176.66</v>
      </c>
      <c r="G22" s="16">
        <v>419336.16</v>
      </c>
      <c r="H22" s="16">
        <v>10624337.449999999</v>
      </c>
      <c r="I22" s="16">
        <v>2167973.0699999998</v>
      </c>
      <c r="J22" s="16">
        <v>14264992.5</v>
      </c>
      <c r="K22" s="16">
        <v>0</v>
      </c>
      <c r="L22" s="16">
        <v>0</v>
      </c>
      <c r="M22" s="16">
        <v>10.48</v>
      </c>
      <c r="N22" s="18">
        <f t="shared" si="0"/>
        <v>225316002.18468946</v>
      </c>
      <c r="O22" s="4"/>
    </row>
    <row r="23" spans="1:15" ht="15" x14ac:dyDescent="0.2">
      <c r="A23" s="17" t="s">
        <v>18</v>
      </c>
      <c r="B23" s="16">
        <v>191255316.47</v>
      </c>
      <c r="C23" s="16">
        <v>0</v>
      </c>
      <c r="D23" s="16">
        <v>3822497.6886410746</v>
      </c>
      <c r="E23" s="16">
        <v>5916020.9799999995</v>
      </c>
      <c r="F23" s="16">
        <v>796662.17</v>
      </c>
      <c r="G23" s="16">
        <v>507415.9</v>
      </c>
      <c r="H23" s="16">
        <v>10890229.789999999</v>
      </c>
      <c r="I23" s="16">
        <v>2077948.32</v>
      </c>
      <c r="J23" s="16">
        <v>11524921.32</v>
      </c>
      <c r="K23" s="16">
        <v>0</v>
      </c>
      <c r="L23" s="16">
        <v>0</v>
      </c>
      <c r="M23" s="16">
        <v>10.040000000000001</v>
      </c>
      <c r="N23" s="18">
        <f t="shared" si="0"/>
        <v>226791022.67864102</v>
      </c>
      <c r="O23" s="4"/>
    </row>
    <row r="24" spans="1:15" ht="15" x14ac:dyDescent="0.2">
      <c r="A24" s="17" t="s">
        <v>19</v>
      </c>
      <c r="B24" s="16">
        <v>58762353.439999998</v>
      </c>
      <c r="C24" s="16">
        <v>0</v>
      </c>
      <c r="D24" s="16">
        <v>2173342.5329812942</v>
      </c>
      <c r="E24" s="16">
        <v>1817430.4000000001</v>
      </c>
      <c r="F24" s="16">
        <v>828347.6</v>
      </c>
      <c r="G24" s="16">
        <v>130806.39088039305</v>
      </c>
      <c r="H24" s="16">
        <v>3345975.13</v>
      </c>
      <c r="I24" s="16">
        <v>2160593.9900000002</v>
      </c>
      <c r="J24" s="16">
        <v>9853565.4799999986</v>
      </c>
      <c r="K24" s="16">
        <v>0</v>
      </c>
      <c r="L24" s="16">
        <v>0</v>
      </c>
      <c r="M24" s="16">
        <v>10.45</v>
      </c>
      <c r="N24" s="18">
        <f t="shared" si="0"/>
        <v>79072425.413861692</v>
      </c>
      <c r="O24" s="4"/>
    </row>
    <row r="25" spans="1:15" ht="15" x14ac:dyDescent="0.2">
      <c r="A25" s="17" t="s">
        <v>20</v>
      </c>
      <c r="B25" s="16">
        <v>273444898.94999999</v>
      </c>
      <c r="C25" s="16">
        <v>0</v>
      </c>
      <c r="D25" s="16">
        <v>2193334.1201013983</v>
      </c>
      <c r="E25" s="16">
        <v>8436000.6600000001</v>
      </c>
      <c r="F25" s="16">
        <v>3673812.16</v>
      </c>
      <c r="G25" s="16">
        <v>1158440.08</v>
      </c>
      <c r="H25" s="16">
        <v>15570169.970000001</v>
      </c>
      <c r="I25" s="16">
        <v>9582470.4900000002</v>
      </c>
      <c r="J25" s="16">
        <v>22958820.5</v>
      </c>
      <c r="K25" s="16">
        <v>0</v>
      </c>
      <c r="L25" s="16">
        <v>0</v>
      </c>
      <c r="M25" s="16">
        <v>46.36</v>
      </c>
      <c r="N25" s="18">
        <f t="shared" si="0"/>
        <v>337017993.29010147</v>
      </c>
      <c r="O25" s="4"/>
    </row>
    <row r="26" spans="1:15" ht="15" x14ac:dyDescent="0.2">
      <c r="A26" s="17" t="s">
        <v>21</v>
      </c>
      <c r="B26" s="16">
        <v>96566397.870000005</v>
      </c>
      <c r="C26" s="16">
        <v>0</v>
      </c>
      <c r="D26" s="16">
        <v>2726207.3005681061</v>
      </c>
      <c r="E26" s="16">
        <v>2988477.21</v>
      </c>
      <c r="F26" s="16">
        <v>1670840.49</v>
      </c>
      <c r="G26" s="16">
        <v>635705.96</v>
      </c>
      <c r="H26" s="16">
        <v>5498567.4800000004</v>
      </c>
      <c r="I26" s="16">
        <v>4358083.37</v>
      </c>
      <c r="J26" s="16">
        <v>15697049.060000006</v>
      </c>
      <c r="K26" s="16">
        <v>0</v>
      </c>
      <c r="L26" s="16">
        <v>0</v>
      </c>
      <c r="M26" s="16">
        <v>21.08</v>
      </c>
      <c r="N26" s="18">
        <f t="shared" si="0"/>
        <v>130141349.8205681</v>
      </c>
      <c r="O26" s="4"/>
    </row>
    <row r="27" spans="1:15" ht="15" x14ac:dyDescent="0.2">
      <c r="A27" s="17" t="s">
        <v>22</v>
      </c>
      <c r="B27" s="16">
        <v>52242754.74000001</v>
      </c>
      <c r="C27" s="16">
        <v>0</v>
      </c>
      <c r="D27" s="16">
        <v>2329312.9480535202</v>
      </c>
      <c r="E27" s="16">
        <v>1611550</v>
      </c>
      <c r="F27" s="16">
        <v>415305.42</v>
      </c>
      <c r="G27" s="16">
        <v>178074.26</v>
      </c>
      <c r="H27" s="16">
        <v>2974744</v>
      </c>
      <c r="I27" s="16">
        <v>1083248.6299999999</v>
      </c>
      <c r="J27" s="16">
        <v>4561697.3599999985</v>
      </c>
      <c r="K27" s="16">
        <v>0</v>
      </c>
      <c r="L27" s="16">
        <v>0</v>
      </c>
      <c r="M27" s="16">
        <v>5.24</v>
      </c>
      <c r="N27" s="18">
        <f t="shared" si="0"/>
        <v>65396692.598053537</v>
      </c>
      <c r="O27" s="4"/>
    </row>
    <row r="28" spans="1:15" ht="15" x14ac:dyDescent="0.2">
      <c r="A28" s="17" t="s">
        <v>23</v>
      </c>
      <c r="B28" s="16">
        <v>172019749.39999998</v>
      </c>
      <c r="C28" s="16">
        <v>0</v>
      </c>
      <c r="D28" s="16">
        <v>4792744.4740161076</v>
      </c>
      <c r="E28" s="16">
        <v>5306748.9399999995</v>
      </c>
      <c r="F28" s="16">
        <v>572035.12</v>
      </c>
      <c r="G28" s="16">
        <v>271898.33</v>
      </c>
      <c r="H28" s="16">
        <v>9794941.3100000005</v>
      </c>
      <c r="I28" s="16">
        <v>1492049.54</v>
      </c>
      <c r="J28" s="16">
        <v>9331169.5400000028</v>
      </c>
      <c r="K28" s="16">
        <v>0</v>
      </c>
      <c r="L28" s="16">
        <v>0</v>
      </c>
      <c r="M28" s="16">
        <v>7.21</v>
      </c>
      <c r="N28" s="18">
        <f t="shared" si="0"/>
        <v>203581343.86401609</v>
      </c>
      <c r="O28" s="4"/>
    </row>
    <row r="29" spans="1:15" ht="15" x14ac:dyDescent="0.2">
      <c r="A29" s="17" t="s">
        <v>24</v>
      </c>
      <c r="B29" s="16">
        <v>109316752.29000002</v>
      </c>
      <c r="C29" s="16">
        <v>0</v>
      </c>
      <c r="D29" s="16">
        <v>4243438.9368973905</v>
      </c>
      <c r="E29" s="16">
        <v>3359085.06</v>
      </c>
      <c r="F29" s="16">
        <v>357026.87</v>
      </c>
      <c r="G29" s="16">
        <v>141693.5</v>
      </c>
      <c r="H29" s="16">
        <v>6224582.7999999998</v>
      </c>
      <c r="I29" s="16">
        <v>931239.62</v>
      </c>
      <c r="J29" s="16">
        <v>8151837.9799999977</v>
      </c>
      <c r="K29" s="16">
        <v>0</v>
      </c>
      <c r="L29" s="16">
        <v>0</v>
      </c>
      <c r="M29" s="16">
        <v>4.49</v>
      </c>
      <c r="N29" s="18">
        <f t="shared" si="0"/>
        <v>132725661.54689743</v>
      </c>
      <c r="O29" s="4"/>
    </row>
    <row r="30" spans="1:15" ht="15" x14ac:dyDescent="0.2">
      <c r="A30" s="17" t="s">
        <v>25</v>
      </c>
      <c r="B30" s="16">
        <v>34695543.659999996</v>
      </c>
      <c r="C30" s="16">
        <v>0</v>
      </c>
      <c r="D30" s="16">
        <v>1740438.2963734581</v>
      </c>
      <c r="E30" s="16">
        <v>1071589.7899999998</v>
      </c>
      <c r="F30" s="16">
        <v>308367.09999999998</v>
      </c>
      <c r="G30" s="16">
        <v>179989.04</v>
      </c>
      <c r="H30" s="16">
        <v>1975591.85</v>
      </c>
      <c r="I30" s="16">
        <v>804319.48</v>
      </c>
      <c r="J30" s="16">
        <v>6157761.9399999976</v>
      </c>
      <c r="K30" s="16">
        <v>0</v>
      </c>
      <c r="L30" s="16">
        <v>0</v>
      </c>
      <c r="M30" s="16">
        <v>3.88</v>
      </c>
      <c r="N30" s="18">
        <f t="shared" si="0"/>
        <v>46933605.036373451</v>
      </c>
      <c r="O30" s="4"/>
    </row>
    <row r="31" spans="1:15" ht="15" x14ac:dyDescent="0.2">
      <c r="A31" s="17" t="s">
        <v>26</v>
      </c>
      <c r="B31" s="16">
        <v>63631420.859999999</v>
      </c>
      <c r="C31" s="16">
        <v>0</v>
      </c>
      <c r="D31" s="16">
        <v>2580144.6232452057</v>
      </c>
      <c r="E31" s="16">
        <v>1964900.9700000002</v>
      </c>
      <c r="F31" s="16">
        <v>368343.09</v>
      </c>
      <c r="G31" s="16">
        <v>101483.18</v>
      </c>
      <c r="H31" s="16">
        <v>3623223.7</v>
      </c>
      <c r="I31" s="16">
        <v>960755.94</v>
      </c>
      <c r="J31" s="16">
        <v>4401894.6400000015</v>
      </c>
      <c r="K31" s="16">
        <v>0</v>
      </c>
      <c r="L31" s="16">
        <v>0</v>
      </c>
      <c r="M31" s="16">
        <v>4.6399999999999997</v>
      </c>
      <c r="N31" s="18">
        <f t="shared" si="0"/>
        <v>77632171.64324522</v>
      </c>
      <c r="O31" s="4"/>
    </row>
    <row r="32" spans="1:15" ht="15" x14ac:dyDescent="0.2">
      <c r="A32" s="17" t="s">
        <v>27</v>
      </c>
      <c r="B32" s="16">
        <v>291384111.23000002</v>
      </c>
      <c r="C32" s="16">
        <v>0</v>
      </c>
      <c r="D32" s="16">
        <v>5680565.5215500463</v>
      </c>
      <c r="E32" s="16">
        <v>8996880.1500000004</v>
      </c>
      <c r="F32" s="16">
        <v>1086357.51</v>
      </c>
      <c r="G32" s="16">
        <v>597410.42000000004</v>
      </c>
      <c r="H32" s="16">
        <v>16591642.98</v>
      </c>
      <c r="I32" s="16">
        <v>2833565.89</v>
      </c>
      <c r="J32" s="16">
        <v>13667087.5</v>
      </c>
      <c r="K32" s="16">
        <v>0</v>
      </c>
      <c r="L32" s="16">
        <v>0</v>
      </c>
      <c r="M32" s="16">
        <v>13.7</v>
      </c>
      <c r="N32" s="18">
        <f t="shared" si="0"/>
        <v>340837634.90155005</v>
      </c>
      <c r="O32" s="4"/>
    </row>
    <row r="33" spans="1:15" ht="15" x14ac:dyDescent="0.2">
      <c r="A33" s="17" t="s">
        <v>28</v>
      </c>
      <c r="B33" s="16">
        <v>186932987.59</v>
      </c>
      <c r="C33" s="16">
        <v>0</v>
      </c>
      <c r="D33" s="16">
        <v>5466323.1441067578</v>
      </c>
      <c r="E33" s="16">
        <v>5774806</v>
      </c>
      <c r="F33" s="16">
        <v>797227.98</v>
      </c>
      <c r="G33" s="16">
        <v>448057.82</v>
      </c>
      <c r="H33" s="16">
        <v>10644112.949999999</v>
      </c>
      <c r="I33" s="16">
        <v>2079424.14</v>
      </c>
      <c r="J33" s="16">
        <v>13411621.080000004</v>
      </c>
      <c r="K33" s="16">
        <v>0</v>
      </c>
      <c r="L33" s="16">
        <v>0</v>
      </c>
      <c r="M33" s="16">
        <v>10.06</v>
      </c>
      <c r="N33" s="18">
        <f t="shared" si="0"/>
        <v>225554570.76410672</v>
      </c>
      <c r="O33" s="4"/>
    </row>
    <row r="34" spans="1:15" ht="15" x14ac:dyDescent="0.2">
      <c r="A34" s="17" t="s">
        <v>29</v>
      </c>
      <c r="B34" s="16">
        <v>248061102.71999997</v>
      </c>
      <c r="C34" s="16">
        <v>0</v>
      </c>
      <c r="D34" s="16">
        <v>4074388.4099727678</v>
      </c>
      <c r="E34" s="16">
        <v>10435427.66</v>
      </c>
      <c r="F34" s="16">
        <v>1159347.1599999999</v>
      </c>
      <c r="G34" s="16">
        <v>786973.35</v>
      </c>
      <c r="H34" s="16">
        <v>14124796.43</v>
      </c>
      <c r="I34" s="16">
        <v>3023946.1</v>
      </c>
      <c r="J34" s="16">
        <v>17241216.740000002</v>
      </c>
      <c r="K34" s="16">
        <v>0</v>
      </c>
      <c r="L34" s="16">
        <v>0</v>
      </c>
      <c r="M34" s="16">
        <v>14.629999999999999</v>
      </c>
      <c r="N34" s="18">
        <f t="shared" si="0"/>
        <v>298907213.19997275</v>
      </c>
      <c r="O34" s="4"/>
    </row>
    <row r="35" spans="1:15" ht="15" x14ac:dyDescent="0.2">
      <c r="A35" s="17" t="s">
        <v>30</v>
      </c>
      <c r="B35" s="16">
        <v>124560096.78</v>
      </c>
      <c r="C35" s="16">
        <v>0</v>
      </c>
      <c r="D35" s="16">
        <v>2036508.2529938864</v>
      </c>
      <c r="E35" s="16">
        <v>3849967.59</v>
      </c>
      <c r="F35" s="16">
        <v>724804.15</v>
      </c>
      <c r="G35" s="16">
        <v>304449.53999999998</v>
      </c>
      <c r="H35" s="16">
        <v>7092550.9500000002</v>
      </c>
      <c r="I35" s="16">
        <v>1890519.74</v>
      </c>
      <c r="J35" s="16">
        <v>6295292.0799999991</v>
      </c>
      <c r="K35" s="16">
        <v>0</v>
      </c>
      <c r="L35" s="16">
        <v>0</v>
      </c>
      <c r="M35" s="16">
        <v>9.14</v>
      </c>
      <c r="N35" s="18">
        <f t="shared" si="0"/>
        <v>146754198.22299391</v>
      </c>
      <c r="O35" s="4"/>
    </row>
    <row r="36" spans="1:15" ht="15" x14ac:dyDescent="0.2">
      <c r="A36" s="17" t="s">
        <v>31</v>
      </c>
      <c r="B36" s="16">
        <v>135649604.06</v>
      </c>
      <c r="C36" s="16">
        <v>0</v>
      </c>
      <c r="D36" s="16">
        <v>3038301.7001755643</v>
      </c>
      <c r="E36" s="16">
        <v>4189660.0700000003</v>
      </c>
      <c r="F36" s="16">
        <v>456043.83</v>
      </c>
      <c r="G36" s="16">
        <v>193392.48</v>
      </c>
      <c r="H36" s="16">
        <v>7723996.3200000003</v>
      </c>
      <c r="I36" s="16">
        <v>1189507.3500000001</v>
      </c>
      <c r="J36" s="16">
        <v>6661031.5200000014</v>
      </c>
      <c r="K36" s="16">
        <v>0</v>
      </c>
      <c r="L36" s="16">
        <v>0</v>
      </c>
      <c r="M36" s="16">
        <v>5.75</v>
      </c>
      <c r="N36" s="18">
        <f t="shared" si="0"/>
        <v>159101543.08017555</v>
      </c>
      <c r="O36" s="4"/>
    </row>
    <row r="37" spans="1:15" ht="15" x14ac:dyDescent="0.2">
      <c r="A37" s="17" t="s">
        <v>32</v>
      </c>
      <c r="B37" s="16">
        <v>148465292.03999999</v>
      </c>
      <c r="C37" s="16">
        <v>0</v>
      </c>
      <c r="D37" s="16">
        <v>4459259.865079998</v>
      </c>
      <c r="E37" s="16">
        <v>4589911.75</v>
      </c>
      <c r="F37" s="16">
        <v>845887.75</v>
      </c>
      <c r="G37" s="16">
        <v>281472.21999999997</v>
      </c>
      <c r="H37" s="16">
        <v>8453731.7799999993</v>
      </c>
      <c r="I37" s="16">
        <v>2206344.27</v>
      </c>
      <c r="J37" s="16">
        <v>10446891.620000005</v>
      </c>
      <c r="K37" s="16">
        <v>0</v>
      </c>
      <c r="L37" s="16">
        <v>0</v>
      </c>
      <c r="M37" s="16">
        <v>10.66</v>
      </c>
      <c r="N37" s="18">
        <f t="shared" si="0"/>
        <v>179748801.95508</v>
      </c>
      <c r="O37" s="4"/>
    </row>
    <row r="38" spans="1:15" ht="15" x14ac:dyDescent="0.2">
      <c r="A38" s="17" t="s">
        <v>33</v>
      </c>
      <c r="B38" s="16">
        <v>134621460.59999999</v>
      </c>
      <c r="C38" s="16">
        <v>0</v>
      </c>
      <c r="D38" s="16">
        <v>611145.79377257195</v>
      </c>
      <c r="E38" s="16">
        <v>4164551.95</v>
      </c>
      <c r="F38" s="16">
        <v>755923.77</v>
      </c>
      <c r="G38" s="16">
        <v>762081.24</v>
      </c>
      <c r="H38" s="16">
        <v>7665453.0099999998</v>
      </c>
      <c r="I38" s="16">
        <v>1971689.6</v>
      </c>
      <c r="J38" s="16">
        <v>17543159.699999996</v>
      </c>
      <c r="K38" s="16">
        <v>0</v>
      </c>
      <c r="L38" s="16">
        <v>0</v>
      </c>
      <c r="M38" s="16">
        <v>9.5300000000000011</v>
      </c>
      <c r="N38" s="18">
        <f t="shared" si="0"/>
        <v>168095475.19377255</v>
      </c>
      <c r="O38" s="4"/>
    </row>
    <row r="39" spans="1:15" ht="15" x14ac:dyDescent="0.2">
      <c r="A39" s="17" t="s">
        <v>34</v>
      </c>
      <c r="B39" s="16">
        <v>231153472.51999998</v>
      </c>
      <c r="C39" s="16">
        <v>0</v>
      </c>
      <c r="D39" s="16">
        <v>6068289.8746050484</v>
      </c>
      <c r="E39" s="16">
        <v>7133504.2700000005</v>
      </c>
      <c r="F39" s="16">
        <v>963010.67</v>
      </c>
      <c r="G39" s="16">
        <v>469120.36</v>
      </c>
      <c r="H39" s="16">
        <v>13162062.52</v>
      </c>
      <c r="I39" s="16">
        <v>2511838.1</v>
      </c>
      <c r="J39" s="16">
        <v>14754368.860000007</v>
      </c>
      <c r="K39" s="16">
        <v>0</v>
      </c>
      <c r="L39" s="16">
        <v>0</v>
      </c>
      <c r="M39" s="16">
        <v>12.14</v>
      </c>
      <c r="N39" s="18">
        <f t="shared" si="0"/>
        <v>276215679.31460506</v>
      </c>
      <c r="O39" s="4"/>
    </row>
    <row r="40" spans="1:15" ht="15" x14ac:dyDescent="0.2">
      <c r="A40" s="17" t="s">
        <v>35</v>
      </c>
      <c r="B40" s="16">
        <v>150394350.50999999</v>
      </c>
      <c r="C40" s="16">
        <v>0</v>
      </c>
      <c r="D40" s="16">
        <v>4524820.2573238164</v>
      </c>
      <c r="E40" s="16">
        <v>4650023.3999999994</v>
      </c>
      <c r="F40" s="16">
        <v>514322.38</v>
      </c>
      <c r="G40" s="16">
        <v>206795.92</v>
      </c>
      <c r="H40" s="16">
        <v>8563573.9000000004</v>
      </c>
      <c r="I40" s="16">
        <v>1341516.3500000001</v>
      </c>
      <c r="J40" s="16">
        <v>8053651.3199999956</v>
      </c>
      <c r="K40" s="16">
        <v>0</v>
      </c>
      <c r="L40" s="16">
        <v>0</v>
      </c>
      <c r="M40" s="16">
        <v>6.48</v>
      </c>
      <c r="N40" s="18">
        <f t="shared" ref="N40:N71" si="1">SUM(B40:M40)</f>
        <v>178249060.51732376</v>
      </c>
      <c r="O40" s="4"/>
    </row>
    <row r="41" spans="1:15" ht="15" x14ac:dyDescent="0.2">
      <c r="A41" s="17" t="s">
        <v>36</v>
      </c>
      <c r="B41" s="16">
        <v>162040912.12</v>
      </c>
      <c r="C41" s="16">
        <v>0</v>
      </c>
      <c r="D41" s="16">
        <v>1911989.4040408339</v>
      </c>
      <c r="E41" s="16">
        <v>4997610.5100000007</v>
      </c>
      <c r="F41" s="16">
        <v>870783.44</v>
      </c>
      <c r="G41" s="16">
        <v>331256.42</v>
      </c>
      <c r="H41" s="16">
        <v>9226738.3800000008</v>
      </c>
      <c r="I41" s="16">
        <v>2271280.16</v>
      </c>
      <c r="J41" s="16">
        <v>8334474.2800000031</v>
      </c>
      <c r="K41" s="16">
        <v>0</v>
      </c>
      <c r="L41" s="16">
        <v>0</v>
      </c>
      <c r="M41" s="16">
        <v>10.98</v>
      </c>
      <c r="N41" s="18">
        <f t="shared" si="1"/>
        <v>189985055.69404081</v>
      </c>
      <c r="O41" s="4"/>
    </row>
    <row r="42" spans="1:15" ht="15" x14ac:dyDescent="0.2">
      <c r="A42" s="17" t="s">
        <v>37</v>
      </c>
      <c r="B42" s="16">
        <v>95737693.610000014</v>
      </c>
      <c r="C42" s="16">
        <v>0</v>
      </c>
      <c r="D42" s="16">
        <v>762820.94068598805</v>
      </c>
      <c r="E42" s="16">
        <v>2961363.5900000003</v>
      </c>
      <c r="F42" s="16">
        <v>2365090.84</v>
      </c>
      <c r="G42" s="16">
        <v>0</v>
      </c>
      <c r="H42" s="16">
        <v>5451380.4000000004</v>
      </c>
      <c r="I42" s="16">
        <v>6168909.0800000001</v>
      </c>
      <c r="J42" s="16">
        <v>13338510.679999992</v>
      </c>
      <c r="K42" s="16">
        <v>0</v>
      </c>
      <c r="L42" s="16">
        <v>0</v>
      </c>
      <c r="M42" s="16">
        <v>29.839999999999996</v>
      </c>
      <c r="N42" s="18">
        <f t="shared" si="1"/>
        <v>126785798.98068601</v>
      </c>
      <c r="O42" s="4"/>
    </row>
    <row r="43" spans="1:15" ht="15" x14ac:dyDescent="0.2">
      <c r="A43" s="17" t="s">
        <v>38</v>
      </c>
      <c r="B43" s="16">
        <v>421019591.90999997</v>
      </c>
      <c r="C43" s="16">
        <v>0</v>
      </c>
      <c r="D43" s="16">
        <v>2500738.1795653319</v>
      </c>
      <c r="E43" s="16">
        <v>12869340.199999999</v>
      </c>
      <c r="F43" s="16">
        <v>9834930.3800000008</v>
      </c>
      <c r="G43" s="16">
        <v>2617500.15</v>
      </c>
      <c r="H43" s="16">
        <v>23973190.32</v>
      </c>
      <c r="I43" s="16">
        <v>25652626.210000001</v>
      </c>
      <c r="J43" s="16">
        <v>42697195.859999999</v>
      </c>
      <c r="K43" s="16">
        <v>0</v>
      </c>
      <c r="L43" s="16">
        <v>0</v>
      </c>
      <c r="M43" s="16">
        <v>124.13</v>
      </c>
      <c r="N43" s="18">
        <f t="shared" si="1"/>
        <v>541165237.33956516</v>
      </c>
      <c r="O43" s="4"/>
    </row>
    <row r="44" spans="1:15" ht="15" x14ac:dyDescent="0.2">
      <c r="A44" s="17" t="s">
        <v>39</v>
      </c>
      <c r="B44" s="16">
        <v>497556104.63</v>
      </c>
      <c r="C44" s="16">
        <v>0</v>
      </c>
      <c r="D44" s="16">
        <v>2868069.0002236301</v>
      </c>
      <c r="E44" s="16">
        <v>15388540.02</v>
      </c>
      <c r="F44" s="16">
        <v>12374856.890000001</v>
      </c>
      <c r="G44" s="16">
        <v>4730829.1843237439</v>
      </c>
      <c r="H44" s="16">
        <v>28331240.210000001</v>
      </c>
      <c r="I44" s="16">
        <v>32277562.300000001</v>
      </c>
      <c r="J44" s="16">
        <v>54459422.599999979</v>
      </c>
      <c r="K44" s="16">
        <v>0</v>
      </c>
      <c r="L44" s="16">
        <v>0</v>
      </c>
      <c r="M44" s="16">
        <v>156.18</v>
      </c>
      <c r="N44" s="18">
        <f t="shared" si="1"/>
        <v>647986781.01454723</v>
      </c>
      <c r="O44" s="4"/>
    </row>
    <row r="45" spans="1:15" ht="15" x14ac:dyDescent="0.2">
      <c r="A45" s="17" t="s">
        <v>40</v>
      </c>
      <c r="B45" s="16">
        <v>144366472.57999998</v>
      </c>
      <c r="C45" s="16">
        <v>0</v>
      </c>
      <c r="D45" s="16">
        <v>1787620.2174078142</v>
      </c>
      <c r="E45" s="16">
        <v>4457618.6500000004</v>
      </c>
      <c r="F45" s="16">
        <v>921706.45</v>
      </c>
      <c r="G45" s="16">
        <v>365722.41</v>
      </c>
      <c r="H45" s="16">
        <v>8220341.7400000002</v>
      </c>
      <c r="I45" s="16">
        <v>2404103.56</v>
      </c>
      <c r="J45" s="16">
        <v>8042281.2800000031</v>
      </c>
      <c r="K45" s="16">
        <v>0</v>
      </c>
      <c r="L45" s="16">
        <v>0</v>
      </c>
      <c r="M45" s="16">
        <v>11.62</v>
      </c>
      <c r="N45" s="18">
        <f t="shared" si="1"/>
        <v>170565878.50740781</v>
      </c>
      <c r="O45" s="4"/>
    </row>
    <row r="46" spans="1:15" ht="15" x14ac:dyDescent="0.2">
      <c r="A46" s="17" t="s">
        <v>41</v>
      </c>
      <c r="B46" s="16">
        <v>219183681.84</v>
      </c>
      <c r="C46" s="16">
        <v>0</v>
      </c>
      <c r="D46" s="16">
        <v>1772853.6302236302</v>
      </c>
      <c r="E46" s="16">
        <v>9209168.379999999</v>
      </c>
      <c r="F46" s="16">
        <v>7270108.1799999997</v>
      </c>
      <c r="G46" s="16">
        <v>0</v>
      </c>
      <c r="H46" s="16">
        <v>12480493.119999999</v>
      </c>
      <c r="I46" s="16">
        <v>18962754.239999998</v>
      </c>
      <c r="J46" s="16">
        <v>35047567.939999998</v>
      </c>
      <c r="K46" s="16">
        <v>0</v>
      </c>
      <c r="L46" s="16">
        <v>0</v>
      </c>
      <c r="M46" s="16">
        <v>91.75</v>
      </c>
      <c r="N46" s="18">
        <f t="shared" si="1"/>
        <v>303926719.08022362</v>
      </c>
      <c r="O46" s="4"/>
    </row>
    <row r="47" spans="1:15" ht="15" x14ac:dyDescent="0.2">
      <c r="A47" s="17" t="s">
        <v>42</v>
      </c>
      <c r="B47" s="16">
        <v>659968386.43000007</v>
      </c>
      <c r="C47" s="16">
        <v>0</v>
      </c>
      <c r="D47" s="16">
        <v>2230145.6484018876</v>
      </c>
      <c r="E47" s="16">
        <v>27713191.870000001</v>
      </c>
      <c r="F47" s="16">
        <v>22664133.670000002</v>
      </c>
      <c r="G47" s="16">
        <v>5362792.1920698527</v>
      </c>
      <c r="H47" s="16">
        <v>37579124.659999996</v>
      </c>
      <c r="I47" s="16">
        <v>59115268.409999996</v>
      </c>
      <c r="J47" s="16">
        <v>82921250.280000001</v>
      </c>
      <c r="K47" s="16">
        <v>0</v>
      </c>
      <c r="L47" s="16">
        <v>0</v>
      </c>
      <c r="M47" s="16">
        <v>286.06</v>
      </c>
      <c r="N47" s="18">
        <f t="shared" si="1"/>
        <v>897554579.22047162</v>
      </c>
      <c r="O47" s="4"/>
    </row>
    <row r="48" spans="1:15" ht="15" x14ac:dyDescent="0.2">
      <c r="A48" s="17" t="s">
        <v>43</v>
      </c>
      <c r="B48" s="16">
        <v>67506730.840000004</v>
      </c>
      <c r="C48" s="16">
        <v>0</v>
      </c>
      <c r="D48" s="16">
        <v>2168697.0481132502</v>
      </c>
      <c r="E48" s="16">
        <v>2095507.2999999996</v>
      </c>
      <c r="F48" s="16">
        <v>196902.29</v>
      </c>
      <c r="G48" s="16">
        <v>109142.29</v>
      </c>
      <c r="H48" s="16">
        <v>3843886.93</v>
      </c>
      <c r="I48" s="16">
        <v>513583.82</v>
      </c>
      <c r="J48" s="16">
        <v>4502230.919999999</v>
      </c>
      <c r="K48" s="16">
        <v>0</v>
      </c>
      <c r="L48" s="16">
        <v>0</v>
      </c>
      <c r="M48" s="16">
        <v>2.4699999999999998</v>
      </c>
      <c r="N48" s="18">
        <f t="shared" si="1"/>
        <v>80936683.908113271</v>
      </c>
      <c r="O48" s="4"/>
    </row>
    <row r="49" spans="1:15" ht="15" x14ac:dyDescent="0.2">
      <c r="A49" s="17" t="s">
        <v>44</v>
      </c>
      <c r="B49" s="16">
        <v>118064568.27000001</v>
      </c>
      <c r="C49" s="16">
        <v>0</v>
      </c>
      <c r="D49" s="16">
        <v>2798900.3527469165</v>
      </c>
      <c r="E49" s="16">
        <v>5295727.25</v>
      </c>
      <c r="F49" s="16">
        <v>1162742.02</v>
      </c>
      <c r="G49" s="16">
        <v>484438.58</v>
      </c>
      <c r="H49" s="16">
        <v>6722690.4000000004</v>
      </c>
      <c r="I49" s="16">
        <v>3032800.99</v>
      </c>
      <c r="J49" s="16">
        <v>10545888.319999998</v>
      </c>
      <c r="K49" s="16">
        <v>0</v>
      </c>
      <c r="L49" s="16">
        <v>0</v>
      </c>
      <c r="M49" s="16">
        <v>14.67</v>
      </c>
      <c r="N49" s="18">
        <f t="shared" si="1"/>
        <v>148107770.8527469</v>
      </c>
      <c r="O49" s="4"/>
    </row>
    <row r="50" spans="1:15" ht="15" x14ac:dyDescent="0.2">
      <c r="A50" s="17" t="s">
        <v>45</v>
      </c>
      <c r="B50" s="16">
        <v>90242799.769999996</v>
      </c>
      <c r="C50" s="16">
        <v>0</v>
      </c>
      <c r="D50" s="16">
        <v>2437738.8863292839</v>
      </c>
      <c r="E50" s="16">
        <v>2795269.56</v>
      </c>
      <c r="F50" s="16">
        <v>325907.25</v>
      </c>
      <c r="G50" s="16">
        <v>135949.17000000001</v>
      </c>
      <c r="H50" s="16">
        <v>5138496.78</v>
      </c>
      <c r="I50" s="16">
        <v>850069.77</v>
      </c>
      <c r="J50" s="16">
        <v>7410951.6800000034</v>
      </c>
      <c r="K50" s="16">
        <v>0</v>
      </c>
      <c r="L50" s="16">
        <v>0</v>
      </c>
      <c r="M50" s="16">
        <v>4.0999999999999996</v>
      </c>
      <c r="N50" s="18">
        <f t="shared" si="1"/>
        <v>109337186.96632928</v>
      </c>
      <c r="O50" s="4"/>
    </row>
    <row r="51" spans="1:15" ht="15" x14ac:dyDescent="0.2">
      <c r="A51" s="17" t="s">
        <v>46</v>
      </c>
      <c r="B51" s="16">
        <v>86807631.439999998</v>
      </c>
      <c r="C51" s="16">
        <v>0</v>
      </c>
      <c r="D51" s="16">
        <v>2830685.1483979961</v>
      </c>
      <c r="E51" s="16">
        <v>2693377.99</v>
      </c>
      <c r="F51" s="16">
        <v>406252.44</v>
      </c>
      <c r="G51" s="16">
        <v>181903.81</v>
      </c>
      <c r="H51" s="16">
        <v>4942895.5599999996</v>
      </c>
      <c r="I51" s="16">
        <v>1059635.58</v>
      </c>
      <c r="J51" s="16">
        <v>5202123.08</v>
      </c>
      <c r="K51" s="16">
        <v>0</v>
      </c>
      <c r="L51" s="16">
        <v>0</v>
      </c>
      <c r="M51" s="16">
        <v>5.1100000000000003</v>
      </c>
      <c r="N51" s="18">
        <f t="shared" si="1"/>
        <v>104124510.15839799</v>
      </c>
      <c r="O51" s="4"/>
    </row>
    <row r="52" spans="1:15" ht="15" x14ac:dyDescent="0.2">
      <c r="A52" s="17" t="s">
        <v>47</v>
      </c>
      <c r="B52" s="16">
        <v>100448585.07999998</v>
      </c>
      <c r="C52" s="16">
        <v>0</v>
      </c>
      <c r="D52" s="16">
        <v>2481831.045862576</v>
      </c>
      <c r="E52" s="16">
        <v>3104040.23</v>
      </c>
      <c r="F52" s="16">
        <v>374001.2</v>
      </c>
      <c r="G52" s="16">
        <v>212540.25</v>
      </c>
      <c r="H52" s="16">
        <v>5719622.3099999996</v>
      </c>
      <c r="I52" s="16">
        <v>975514.09</v>
      </c>
      <c r="J52" s="16">
        <v>7243703.9399999958</v>
      </c>
      <c r="K52" s="16">
        <v>0</v>
      </c>
      <c r="L52" s="16">
        <v>0</v>
      </c>
      <c r="M52" s="16">
        <v>4.71</v>
      </c>
      <c r="N52" s="18">
        <f t="shared" si="1"/>
        <v>120559842.85586256</v>
      </c>
      <c r="O52" s="4"/>
    </row>
    <row r="53" spans="1:15" ht="15" x14ac:dyDescent="0.2">
      <c r="A53" s="17" t="s">
        <v>48</v>
      </c>
      <c r="B53" s="16">
        <v>36483619.25</v>
      </c>
      <c r="C53" s="16">
        <v>0</v>
      </c>
      <c r="D53" s="16">
        <v>2494298.5765723623</v>
      </c>
      <c r="E53" s="16">
        <v>1126822.72</v>
      </c>
      <c r="F53" s="16">
        <v>65068.28</v>
      </c>
      <c r="G53" s="16">
        <v>34465.99</v>
      </c>
      <c r="H53" s="16">
        <v>2077406.29</v>
      </c>
      <c r="I53" s="16">
        <v>169718.79</v>
      </c>
      <c r="J53" s="16">
        <v>3455850.2000000011</v>
      </c>
      <c r="K53" s="16">
        <v>0</v>
      </c>
      <c r="L53" s="16">
        <v>0</v>
      </c>
      <c r="M53" s="16">
        <v>0.80999999999999994</v>
      </c>
      <c r="N53" s="18">
        <f t="shared" si="1"/>
        <v>45907250.906572364</v>
      </c>
      <c r="O53" s="4"/>
    </row>
    <row r="54" spans="1:15" ht="15" x14ac:dyDescent="0.2">
      <c r="A54" s="17" t="s">
        <v>49</v>
      </c>
      <c r="B54" s="16">
        <v>122287177.61000001</v>
      </c>
      <c r="C54" s="16">
        <v>0</v>
      </c>
      <c r="D54" s="16">
        <v>3626421.9692494627</v>
      </c>
      <c r="E54" s="16">
        <v>3785055.21</v>
      </c>
      <c r="F54" s="16">
        <v>223495.42</v>
      </c>
      <c r="G54" s="16">
        <v>132119.60999999999</v>
      </c>
      <c r="H54" s="16">
        <v>6963129.1299999999</v>
      </c>
      <c r="I54" s="16">
        <v>582947.15</v>
      </c>
      <c r="J54" s="16">
        <v>7916058.9200000027</v>
      </c>
      <c r="K54" s="16">
        <v>0</v>
      </c>
      <c r="L54" s="16">
        <v>0</v>
      </c>
      <c r="M54" s="16">
        <v>2.81</v>
      </c>
      <c r="N54" s="18">
        <f t="shared" si="1"/>
        <v>145516407.8292495</v>
      </c>
      <c r="O54" s="4"/>
    </row>
    <row r="55" spans="1:15" ht="15" x14ac:dyDescent="0.2">
      <c r="A55" s="17" t="s">
        <v>50</v>
      </c>
      <c r="B55" s="16">
        <v>53401565.280000001</v>
      </c>
      <c r="C55" s="16">
        <v>0</v>
      </c>
      <c r="D55" s="16">
        <v>1246207.5932257581</v>
      </c>
      <c r="E55" s="16">
        <v>1635708.36</v>
      </c>
      <c r="F55" s="16">
        <v>412476.36</v>
      </c>
      <c r="G55" s="16">
        <v>181903.81</v>
      </c>
      <c r="H55" s="16">
        <v>3040727.59</v>
      </c>
      <c r="I55" s="16">
        <v>1075869.55</v>
      </c>
      <c r="J55" s="16">
        <v>5667575.7600000007</v>
      </c>
      <c r="K55" s="16">
        <v>0</v>
      </c>
      <c r="L55" s="16">
        <v>0</v>
      </c>
      <c r="M55" s="16">
        <v>5.2</v>
      </c>
      <c r="N55" s="18">
        <f t="shared" si="1"/>
        <v>66662039.503225751</v>
      </c>
      <c r="O55" s="4"/>
    </row>
    <row r="56" spans="1:15" ht="15" x14ac:dyDescent="0.2">
      <c r="A56" s="17" t="s">
        <v>51</v>
      </c>
      <c r="B56" s="16">
        <v>45379295.329999998</v>
      </c>
      <c r="C56" s="16">
        <v>0</v>
      </c>
      <c r="D56" s="16">
        <v>1155730.3159387903</v>
      </c>
      <c r="E56" s="16">
        <v>1399941.71</v>
      </c>
      <c r="F56" s="16">
        <v>116557.1</v>
      </c>
      <c r="G56" s="16">
        <v>45954.65</v>
      </c>
      <c r="H56" s="16">
        <v>2583933.16</v>
      </c>
      <c r="I56" s="16">
        <v>304018.01</v>
      </c>
      <c r="J56" s="16">
        <v>4647455.12</v>
      </c>
      <c r="K56" s="16">
        <v>0</v>
      </c>
      <c r="L56" s="16">
        <v>0</v>
      </c>
      <c r="M56" s="16">
        <v>1.46</v>
      </c>
      <c r="N56" s="18">
        <f t="shared" si="1"/>
        <v>55632886.855938785</v>
      </c>
      <c r="O56" s="4"/>
    </row>
    <row r="57" spans="1:15" ht="15" x14ac:dyDescent="0.2">
      <c r="A57" s="17" t="s">
        <v>52</v>
      </c>
      <c r="B57" s="16">
        <v>109529945.92999999</v>
      </c>
      <c r="C57" s="16">
        <v>0</v>
      </c>
      <c r="D57" s="16">
        <v>2862545.7413195604</v>
      </c>
      <c r="E57" s="16">
        <v>3409629.7299999995</v>
      </c>
      <c r="F57" s="16">
        <v>598628.25</v>
      </c>
      <c r="G57" s="16">
        <v>241261.9</v>
      </c>
      <c r="H57" s="16">
        <v>6236722.21</v>
      </c>
      <c r="I57" s="16">
        <v>1561412.87</v>
      </c>
      <c r="J57" s="16">
        <v>9740738.0400000028</v>
      </c>
      <c r="K57" s="16">
        <v>0</v>
      </c>
      <c r="L57" s="16">
        <v>0</v>
      </c>
      <c r="M57" s="16">
        <v>7.54</v>
      </c>
      <c r="N57" s="18">
        <f t="shared" si="1"/>
        <v>134180892.21131958</v>
      </c>
      <c r="O57" s="4"/>
    </row>
    <row r="58" spans="1:15" ht="15" x14ac:dyDescent="0.2">
      <c r="A58" s="17" t="s">
        <v>53</v>
      </c>
      <c r="B58" s="16">
        <v>94537619.799999997</v>
      </c>
      <c r="C58" s="16">
        <v>0</v>
      </c>
      <c r="D58" s="16">
        <v>1301498.270445874</v>
      </c>
      <c r="E58" s="16">
        <v>2927395.8299999996</v>
      </c>
      <c r="F58" s="16">
        <v>348539.7</v>
      </c>
      <c r="G58" s="16">
        <v>137863.94</v>
      </c>
      <c r="H58" s="16">
        <v>5383047.2400000002</v>
      </c>
      <c r="I58" s="16">
        <v>909102.39</v>
      </c>
      <c r="J58" s="16">
        <v>5769033.3799999999</v>
      </c>
      <c r="K58" s="16">
        <v>0</v>
      </c>
      <c r="L58" s="16">
        <v>0</v>
      </c>
      <c r="M58" s="16">
        <v>4.3899999999999997</v>
      </c>
      <c r="N58" s="18">
        <f t="shared" si="1"/>
        <v>111314104.94044586</v>
      </c>
      <c r="O58" s="4"/>
    </row>
    <row r="59" spans="1:15" ht="15" x14ac:dyDescent="0.2">
      <c r="A59" s="17" t="s">
        <v>54</v>
      </c>
      <c r="B59" s="16">
        <v>106036321.34</v>
      </c>
      <c r="C59" s="16">
        <v>0</v>
      </c>
      <c r="D59" s="16">
        <v>2775467.3062890028</v>
      </c>
      <c r="E59" s="16">
        <v>3281606.09</v>
      </c>
      <c r="F59" s="16">
        <v>339486.71999999997</v>
      </c>
      <c r="G59" s="16">
        <v>137863.94</v>
      </c>
      <c r="H59" s="16">
        <v>6037792.4500000002</v>
      </c>
      <c r="I59" s="16">
        <v>885489.34</v>
      </c>
      <c r="J59" s="16">
        <v>6414567.7199999969</v>
      </c>
      <c r="K59" s="16">
        <v>0</v>
      </c>
      <c r="L59" s="16">
        <v>0</v>
      </c>
      <c r="M59" s="16">
        <v>4.2699999999999996</v>
      </c>
      <c r="N59" s="18">
        <f t="shared" si="1"/>
        <v>125908599.17628901</v>
      </c>
      <c r="O59" s="4"/>
    </row>
    <row r="60" spans="1:15" ht="15" x14ac:dyDescent="0.2">
      <c r="A60" s="17" t="s">
        <v>55</v>
      </c>
      <c r="B60" s="16">
        <v>770908161.28999996</v>
      </c>
      <c r="C60" s="16">
        <v>0</v>
      </c>
      <c r="D60" s="16">
        <v>17839970.329715714</v>
      </c>
      <c r="E60" s="16">
        <v>57057293.400000006</v>
      </c>
      <c r="F60" s="16">
        <v>18674598.859999999</v>
      </c>
      <c r="G60" s="16">
        <v>7586346.5099999998</v>
      </c>
      <c r="H60" s="16">
        <v>43896123.649999999</v>
      </c>
      <c r="I60" s="16">
        <v>48709292.840000004</v>
      </c>
      <c r="J60" s="16">
        <v>106430782.69999996</v>
      </c>
      <c r="K60" s="16">
        <v>0</v>
      </c>
      <c r="L60" s="16">
        <v>0</v>
      </c>
      <c r="M60" s="16">
        <v>235.7</v>
      </c>
      <c r="N60" s="18">
        <f t="shared" si="1"/>
        <v>1071102805.2797157</v>
      </c>
      <c r="O60" s="4"/>
    </row>
    <row r="61" spans="1:15" ht="15" x14ac:dyDescent="0.2">
      <c r="A61" s="17" t="s">
        <v>56</v>
      </c>
      <c r="B61" s="16">
        <v>113690660.3</v>
      </c>
      <c r="C61" s="16">
        <v>0</v>
      </c>
      <c r="D61" s="16">
        <v>1374665.9524131878</v>
      </c>
      <c r="E61" s="16">
        <v>3528017.64</v>
      </c>
      <c r="F61" s="16">
        <v>3333759.62</v>
      </c>
      <c r="G61" s="16">
        <v>736016.16518811032</v>
      </c>
      <c r="H61" s="16">
        <v>6473636.5999999996</v>
      </c>
      <c r="I61" s="16">
        <v>8695505.3300000001</v>
      </c>
      <c r="J61" s="16">
        <v>25817544.5</v>
      </c>
      <c r="K61" s="16">
        <v>0</v>
      </c>
      <c r="L61" s="16">
        <v>0</v>
      </c>
      <c r="M61" s="16">
        <v>42.07</v>
      </c>
      <c r="N61" s="18">
        <f t="shared" si="1"/>
        <v>163649848.17760128</v>
      </c>
      <c r="O61" s="4"/>
    </row>
    <row r="62" spans="1:15" ht="15" x14ac:dyDescent="0.2">
      <c r="A62" s="17" t="s">
        <v>57</v>
      </c>
      <c r="B62" s="16">
        <v>760716130.41000009</v>
      </c>
      <c r="C62" s="16">
        <v>0</v>
      </c>
      <c r="D62" s="16">
        <v>4978490.9400000004</v>
      </c>
      <c r="E62" s="16">
        <v>31865897.140000001</v>
      </c>
      <c r="F62" s="16">
        <v>14948166.25</v>
      </c>
      <c r="G62" s="16">
        <v>0</v>
      </c>
      <c r="H62" s="16">
        <v>43315781.310000002</v>
      </c>
      <c r="I62" s="16">
        <v>38989571.5</v>
      </c>
      <c r="J62" s="16">
        <v>53082160.120000012</v>
      </c>
      <c r="K62" s="16">
        <v>0</v>
      </c>
      <c r="L62" s="16">
        <v>0</v>
      </c>
      <c r="M62" s="16">
        <v>188.67</v>
      </c>
      <c r="N62" s="18">
        <f t="shared" si="1"/>
        <v>947896386.34000015</v>
      </c>
      <c r="O62" s="4"/>
    </row>
    <row r="63" spans="1:15" ht="15" x14ac:dyDescent="0.2">
      <c r="A63" s="17" t="s">
        <v>58</v>
      </c>
      <c r="B63" s="16">
        <v>115114243.60000001</v>
      </c>
      <c r="C63" s="16">
        <v>0</v>
      </c>
      <c r="D63" s="16">
        <v>3830941.6463487325</v>
      </c>
      <c r="E63" s="16">
        <v>3545901.3699999996</v>
      </c>
      <c r="F63" s="16">
        <v>526770.23</v>
      </c>
      <c r="G63" s="16">
        <v>222114.13</v>
      </c>
      <c r="H63" s="16">
        <v>6554696.5599999996</v>
      </c>
      <c r="I63" s="16">
        <v>1373984.29</v>
      </c>
      <c r="J63" s="16">
        <v>7303201.6200000001</v>
      </c>
      <c r="K63" s="16">
        <v>0</v>
      </c>
      <c r="L63" s="16">
        <v>0</v>
      </c>
      <c r="M63" s="16">
        <v>6.6400000000000006</v>
      </c>
      <c r="N63" s="18">
        <f t="shared" si="1"/>
        <v>138471860.08634874</v>
      </c>
      <c r="O63" s="4"/>
    </row>
    <row r="64" spans="1:15" ht="15" x14ac:dyDescent="0.2">
      <c r="A64" s="17" t="s">
        <v>59</v>
      </c>
      <c r="B64" s="16">
        <v>224489452.31999999</v>
      </c>
      <c r="C64" s="16">
        <v>0</v>
      </c>
      <c r="D64" s="16">
        <v>9472499.1644027103</v>
      </c>
      <c r="E64" s="16">
        <v>6951949.1500000004</v>
      </c>
      <c r="F64" s="16">
        <v>964142.29</v>
      </c>
      <c r="G64" s="16">
        <v>379125.85</v>
      </c>
      <c r="H64" s="16">
        <v>12782607.91</v>
      </c>
      <c r="I64" s="16">
        <v>2514789.73</v>
      </c>
      <c r="J64" s="16">
        <v>15006283.820000008</v>
      </c>
      <c r="K64" s="16">
        <v>0</v>
      </c>
      <c r="L64" s="16">
        <v>0</v>
      </c>
      <c r="M64" s="16">
        <v>12.15</v>
      </c>
      <c r="N64" s="18">
        <f t="shared" si="1"/>
        <v>272560862.38440269</v>
      </c>
      <c r="O64" s="4"/>
    </row>
    <row r="65" spans="1:15" ht="15" x14ac:dyDescent="0.2">
      <c r="A65" s="17" t="s">
        <v>60</v>
      </c>
      <c r="B65" s="16">
        <v>125251256.74000001</v>
      </c>
      <c r="C65" s="16">
        <v>0</v>
      </c>
      <c r="D65" s="16">
        <v>3150588.8365931967</v>
      </c>
      <c r="E65" s="16">
        <v>3874064.8</v>
      </c>
      <c r="F65" s="16">
        <v>209915.95</v>
      </c>
      <c r="G65" s="16">
        <v>145523.04999999999</v>
      </c>
      <c r="H65" s="16">
        <v>7131906.1500000004</v>
      </c>
      <c r="I65" s="16">
        <v>547527.57999999996</v>
      </c>
      <c r="J65" s="16">
        <v>8670963.1800000034</v>
      </c>
      <c r="K65" s="16">
        <v>0</v>
      </c>
      <c r="L65" s="16">
        <v>0</v>
      </c>
      <c r="M65" s="16">
        <v>2.6399999999999997</v>
      </c>
      <c r="N65" s="18">
        <f t="shared" si="1"/>
        <v>148981748.92659321</v>
      </c>
      <c r="O65" s="4"/>
    </row>
    <row r="66" spans="1:15" ht="15" x14ac:dyDescent="0.2">
      <c r="A66" s="17" t="s">
        <v>61</v>
      </c>
      <c r="B66" s="16">
        <v>69917194.290000007</v>
      </c>
      <c r="C66" s="16">
        <v>0</v>
      </c>
      <c r="D66" s="16">
        <v>2109549.5505069899</v>
      </c>
      <c r="E66" s="16">
        <v>2161555.36</v>
      </c>
      <c r="F66" s="16">
        <v>205389.46</v>
      </c>
      <c r="G66" s="16">
        <v>116801.4</v>
      </c>
      <c r="H66" s="16">
        <v>3981140.64</v>
      </c>
      <c r="I66" s="16">
        <v>535721.05000000005</v>
      </c>
      <c r="J66" s="16">
        <v>3885541.8800000004</v>
      </c>
      <c r="K66" s="16">
        <v>0</v>
      </c>
      <c r="L66" s="16">
        <v>0</v>
      </c>
      <c r="M66" s="16">
        <v>2.58</v>
      </c>
      <c r="N66" s="18">
        <f t="shared" si="1"/>
        <v>82912896.210506991</v>
      </c>
      <c r="O66" s="4"/>
    </row>
    <row r="67" spans="1:15" ht="15" x14ac:dyDescent="0.2">
      <c r="A67" s="17" t="s">
        <v>62</v>
      </c>
      <c r="B67" s="16">
        <v>323008979.00999999</v>
      </c>
      <c r="C67" s="16">
        <v>0</v>
      </c>
      <c r="D67" s="16">
        <v>1257574.3500000001</v>
      </c>
      <c r="E67" s="16">
        <v>13558571.91</v>
      </c>
      <c r="F67" s="16">
        <v>5518922.5</v>
      </c>
      <c r="G67" s="16">
        <v>2410988.9337331755</v>
      </c>
      <c r="H67" s="16">
        <v>18392388.09</v>
      </c>
      <c r="I67" s="16">
        <v>14395105.050000001</v>
      </c>
      <c r="J67" s="16">
        <v>26218951.439999994</v>
      </c>
      <c r="K67" s="16">
        <v>0</v>
      </c>
      <c r="L67" s="16">
        <v>0</v>
      </c>
      <c r="M67" s="16">
        <v>69.64</v>
      </c>
      <c r="N67" s="18">
        <f t="shared" si="1"/>
        <v>404761550.92373317</v>
      </c>
      <c r="O67" s="4"/>
    </row>
    <row r="68" spans="1:15" ht="15" x14ac:dyDescent="0.2">
      <c r="A68" s="17" t="s">
        <v>63</v>
      </c>
      <c r="B68" s="16">
        <v>198424811.88</v>
      </c>
      <c r="C68" s="16">
        <v>0</v>
      </c>
      <c r="D68" s="16">
        <v>1643814.6199999999</v>
      </c>
      <c r="E68" s="16">
        <v>6132904.0899999999</v>
      </c>
      <c r="F68" s="16">
        <v>4867107.99</v>
      </c>
      <c r="G68" s="16">
        <v>2273530.4913840466</v>
      </c>
      <c r="H68" s="16">
        <v>11298466.560000001</v>
      </c>
      <c r="I68" s="16">
        <v>12694965.52</v>
      </c>
      <c r="J68" s="16">
        <v>22251514.339999996</v>
      </c>
      <c r="K68" s="16">
        <v>0</v>
      </c>
      <c r="L68" s="16">
        <v>0</v>
      </c>
      <c r="M68" s="16">
        <v>61.42</v>
      </c>
      <c r="N68" s="18">
        <f t="shared" si="1"/>
        <v>259587176.91138408</v>
      </c>
      <c r="O68" s="4"/>
    </row>
    <row r="69" spans="1:15" ht="15" x14ac:dyDescent="0.2">
      <c r="A69" s="17" t="s">
        <v>64</v>
      </c>
      <c r="B69" s="16">
        <v>613499052.56000006</v>
      </c>
      <c r="C69" s="16">
        <v>0</v>
      </c>
      <c r="D69" s="16">
        <v>1550624.7649694423</v>
      </c>
      <c r="E69" s="16">
        <v>18982317.02</v>
      </c>
      <c r="F69" s="16">
        <v>14364249.09</v>
      </c>
      <c r="G69" s="16">
        <v>2288420.7193597294</v>
      </c>
      <c r="H69" s="16">
        <v>34933123.850000001</v>
      </c>
      <c r="I69" s="16">
        <v>37466529.840000004</v>
      </c>
      <c r="J69" s="16">
        <v>49287951.679999992</v>
      </c>
      <c r="K69" s="16">
        <v>0</v>
      </c>
      <c r="L69" s="16">
        <v>0</v>
      </c>
      <c r="M69" s="16">
        <v>181.29</v>
      </c>
      <c r="N69" s="18">
        <f t="shared" si="1"/>
        <v>772372450.81432927</v>
      </c>
      <c r="O69" s="4"/>
    </row>
    <row r="70" spans="1:15" ht="15" x14ac:dyDescent="0.2">
      <c r="A70" s="17" t="s">
        <v>65</v>
      </c>
      <c r="B70" s="16">
        <v>140281407.59</v>
      </c>
      <c r="C70" s="16">
        <v>0</v>
      </c>
      <c r="D70" s="16">
        <v>5906121.8570512049</v>
      </c>
      <c r="E70" s="16">
        <v>4338160.24</v>
      </c>
      <c r="F70" s="16">
        <v>3190043.58</v>
      </c>
      <c r="G70" s="16">
        <v>1106741.1000000001</v>
      </c>
      <c r="H70" s="16">
        <v>7987734.8899999997</v>
      </c>
      <c r="I70" s="16">
        <v>8320648.1699999999</v>
      </c>
      <c r="J70" s="16">
        <v>20614673.639999997</v>
      </c>
      <c r="K70" s="16">
        <v>0</v>
      </c>
      <c r="L70" s="16">
        <v>0</v>
      </c>
      <c r="M70" s="16">
        <v>40.26</v>
      </c>
      <c r="N70" s="18">
        <f t="shared" si="1"/>
        <v>191745571.32705116</v>
      </c>
      <c r="O70" s="4"/>
    </row>
    <row r="71" spans="1:15" ht="15" x14ac:dyDescent="0.2">
      <c r="A71" s="17" t="s">
        <v>66</v>
      </c>
      <c r="B71" s="16">
        <v>486349684.67999995</v>
      </c>
      <c r="C71" s="16">
        <v>0</v>
      </c>
      <c r="D71" s="16">
        <v>1225035.17</v>
      </c>
      <c r="E71" s="16">
        <v>12142752.090000002</v>
      </c>
      <c r="F71" s="16">
        <v>2008629.78</v>
      </c>
      <c r="G71" s="16">
        <v>853990.54</v>
      </c>
      <c r="H71" s="16">
        <v>27693137.739999998</v>
      </c>
      <c r="I71" s="16">
        <v>5239145.2699999996</v>
      </c>
      <c r="J71" s="16">
        <v>17746323.98</v>
      </c>
      <c r="K71" s="16">
        <v>0</v>
      </c>
      <c r="L71" s="16">
        <v>0</v>
      </c>
      <c r="M71" s="16">
        <v>25.349999999999998</v>
      </c>
      <c r="N71" s="18">
        <f t="shared" si="1"/>
        <v>553258724.5999999</v>
      </c>
      <c r="O71" s="4"/>
    </row>
    <row r="72" spans="1:15" ht="15" x14ac:dyDescent="0.2">
      <c r="A72" s="17" t="s">
        <v>67</v>
      </c>
      <c r="B72" s="16">
        <v>2530993496.5900002</v>
      </c>
      <c r="C72" s="16">
        <v>0</v>
      </c>
      <c r="D72" s="16">
        <v>8215774.4787754407</v>
      </c>
      <c r="E72" s="16">
        <v>106218714.44</v>
      </c>
      <c r="F72" s="16">
        <v>58445469.229999997</v>
      </c>
      <c r="G72" s="16">
        <v>0</v>
      </c>
      <c r="H72" s="16">
        <v>144116782.06999999</v>
      </c>
      <c r="I72" s="16">
        <v>152444369.13999999</v>
      </c>
      <c r="J72" s="16">
        <v>261312406.51999995</v>
      </c>
      <c r="K72" s="16">
        <v>0</v>
      </c>
      <c r="L72" s="16">
        <v>0</v>
      </c>
      <c r="M72" s="16">
        <v>737.68000000000006</v>
      </c>
      <c r="N72" s="18">
        <f t="shared" ref="N72:N103" si="2">SUM(B72:M72)</f>
        <v>3261747750.1487756</v>
      </c>
      <c r="O72" s="4"/>
    </row>
    <row r="73" spans="1:15" ht="15" x14ac:dyDescent="0.2">
      <c r="A73" s="17" t="s">
        <v>68</v>
      </c>
      <c r="B73" s="16">
        <v>1014021108.77</v>
      </c>
      <c r="C73" s="16">
        <v>0</v>
      </c>
      <c r="D73" s="16">
        <v>15473017.828515876</v>
      </c>
      <c r="E73" s="16">
        <v>42535738.560000002</v>
      </c>
      <c r="F73" s="16">
        <v>21693201.640000001</v>
      </c>
      <c r="G73" s="16">
        <v>9736218.1207461748</v>
      </c>
      <c r="H73" s="16">
        <v>57739168.18</v>
      </c>
      <c r="I73" s="16">
        <v>56582768.890000001</v>
      </c>
      <c r="J73" s="16">
        <v>112900082.24000002</v>
      </c>
      <c r="K73" s="16">
        <v>0</v>
      </c>
      <c r="L73" s="16">
        <v>0</v>
      </c>
      <c r="M73" s="16">
        <v>273.8</v>
      </c>
      <c r="N73" s="18">
        <f t="shared" si="2"/>
        <v>1330681578.0292623</v>
      </c>
      <c r="O73" s="4"/>
    </row>
    <row r="74" spans="1:15" ht="15" x14ac:dyDescent="0.2">
      <c r="A74" s="17" t="s">
        <v>69</v>
      </c>
      <c r="B74" s="16">
        <v>627284427.67000008</v>
      </c>
      <c r="C74" s="16">
        <v>0</v>
      </c>
      <c r="D74" s="16">
        <v>3896060.94</v>
      </c>
      <c r="E74" s="16">
        <v>26313992.109999999</v>
      </c>
      <c r="F74" s="16">
        <v>15749920.73</v>
      </c>
      <c r="G74" s="16">
        <v>17107042.939336933</v>
      </c>
      <c r="H74" s="16">
        <v>35718074.07</v>
      </c>
      <c r="I74" s="16">
        <v>41080802.159999996</v>
      </c>
      <c r="J74" s="16">
        <v>61344115.799999982</v>
      </c>
      <c r="K74" s="16">
        <v>0</v>
      </c>
      <c r="L74" s="16">
        <v>0</v>
      </c>
      <c r="M74" s="16">
        <v>198.79000000000002</v>
      </c>
      <c r="N74" s="18">
        <f t="shared" si="2"/>
        <v>828494635.209337</v>
      </c>
      <c r="O74" s="4"/>
    </row>
    <row r="75" spans="1:15" ht="15" x14ac:dyDescent="0.2">
      <c r="A75" s="17" t="s">
        <v>70</v>
      </c>
      <c r="B75" s="16">
        <v>101456096.90000001</v>
      </c>
      <c r="C75" s="16">
        <v>0</v>
      </c>
      <c r="D75" s="16">
        <v>2943986.6279317462</v>
      </c>
      <c r="E75" s="16">
        <v>3140308.0700000003</v>
      </c>
      <c r="F75" s="16">
        <v>286300.46999999997</v>
      </c>
      <c r="G75" s="16">
        <v>124460.5</v>
      </c>
      <c r="H75" s="16">
        <v>5776990.8300000001</v>
      </c>
      <c r="I75" s="16">
        <v>746762.68</v>
      </c>
      <c r="J75" s="16">
        <v>7173864.2800000031</v>
      </c>
      <c r="K75" s="16">
        <v>0</v>
      </c>
      <c r="L75" s="16">
        <v>0</v>
      </c>
      <c r="M75" s="16">
        <v>3.61</v>
      </c>
      <c r="N75" s="18">
        <f t="shared" si="2"/>
        <v>121648773.96793175</v>
      </c>
      <c r="O75" s="4"/>
    </row>
    <row r="76" spans="1:15" ht="15" x14ac:dyDescent="0.2">
      <c r="A76" s="17" t="s">
        <v>71</v>
      </c>
      <c r="B76" s="16">
        <v>94506672.340000004</v>
      </c>
      <c r="C76" s="16">
        <v>0</v>
      </c>
      <c r="D76" s="16">
        <v>3401886.2818876663</v>
      </c>
      <c r="E76" s="16">
        <v>2919480.8099999996</v>
      </c>
      <c r="F76" s="16">
        <v>515454</v>
      </c>
      <c r="G76" s="16">
        <v>292960.88</v>
      </c>
      <c r="H76" s="16">
        <v>5381285.0700000003</v>
      </c>
      <c r="I76" s="16">
        <v>1344467.98</v>
      </c>
      <c r="J76" s="16">
        <v>10216501.459999997</v>
      </c>
      <c r="K76" s="16">
        <v>0</v>
      </c>
      <c r="L76" s="16">
        <v>0</v>
      </c>
      <c r="M76" s="16">
        <v>6.49</v>
      </c>
      <c r="N76" s="18">
        <f t="shared" si="2"/>
        <v>118578715.31188767</v>
      </c>
      <c r="O76" s="4"/>
    </row>
    <row r="77" spans="1:15" ht="15" x14ac:dyDescent="0.2">
      <c r="A77" s="17" t="s">
        <v>72</v>
      </c>
      <c r="B77" s="16">
        <v>123126197.65000001</v>
      </c>
      <c r="C77" s="16">
        <v>0</v>
      </c>
      <c r="D77" s="16">
        <v>2760484.1599198943</v>
      </c>
      <c r="E77" s="16">
        <v>3813768.99</v>
      </c>
      <c r="F77" s="16">
        <v>605417.99</v>
      </c>
      <c r="G77" s="16">
        <v>206795.92</v>
      </c>
      <c r="H77" s="16">
        <v>7010903.5999999996</v>
      </c>
      <c r="I77" s="16">
        <v>1579122.66</v>
      </c>
      <c r="J77" s="16">
        <v>6857996.8599999985</v>
      </c>
      <c r="K77" s="16">
        <v>0</v>
      </c>
      <c r="L77" s="16">
        <v>0</v>
      </c>
      <c r="M77" s="16">
        <v>7.63</v>
      </c>
      <c r="N77" s="18">
        <f t="shared" si="2"/>
        <v>145960695.45991987</v>
      </c>
      <c r="O77" s="4"/>
    </row>
    <row r="78" spans="1:15" ht="15" x14ac:dyDescent="0.2">
      <c r="A78" s="17" t="s">
        <v>73</v>
      </c>
      <c r="B78" s="16">
        <v>47803513.199999996</v>
      </c>
      <c r="C78" s="16">
        <v>0</v>
      </c>
      <c r="D78" s="16">
        <v>2017958.6658097019</v>
      </c>
      <c r="E78" s="16">
        <v>1479627.37</v>
      </c>
      <c r="F78" s="16">
        <v>215008.25</v>
      </c>
      <c r="G78" s="16">
        <v>68931.97</v>
      </c>
      <c r="H78" s="16">
        <v>2721970.06</v>
      </c>
      <c r="I78" s="16">
        <v>560809.92000000004</v>
      </c>
      <c r="J78" s="16">
        <v>3094222.56</v>
      </c>
      <c r="K78" s="16">
        <v>0</v>
      </c>
      <c r="L78" s="16">
        <v>0</v>
      </c>
      <c r="M78" s="16">
        <v>2.71</v>
      </c>
      <c r="N78" s="18">
        <f t="shared" si="2"/>
        <v>57962044.705809698</v>
      </c>
      <c r="O78" s="4"/>
    </row>
    <row r="79" spans="1:15" ht="15" x14ac:dyDescent="0.2">
      <c r="A79" s="17" t="s">
        <v>74</v>
      </c>
      <c r="B79" s="16">
        <v>191454755.69999999</v>
      </c>
      <c r="C79" s="16">
        <v>0</v>
      </c>
      <c r="D79" s="16">
        <v>8026132.2426906079</v>
      </c>
      <c r="E79" s="16">
        <v>5941510.4500000011</v>
      </c>
      <c r="F79" s="16">
        <v>1080699.3999999999</v>
      </c>
      <c r="G79" s="16">
        <v>513160.23</v>
      </c>
      <c r="H79" s="16">
        <v>10901586.02</v>
      </c>
      <c r="I79" s="16">
        <v>2818807.74</v>
      </c>
      <c r="J79" s="16">
        <v>16053474.580000004</v>
      </c>
      <c r="K79" s="16">
        <v>0</v>
      </c>
      <c r="L79" s="16">
        <v>0</v>
      </c>
      <c r="M79" s="16">
        <v>13.629999999999999</v>
      </c>
      <c r="N79" s="18">
        <f t="shared" si="2"/>
        <v>236790139.99269062</v>
      </c>
      <c r="O79" s="4"/>
    </row>
    <row r="80" spans="1:15" ht="15" x14ac:dyDescent="0.2">
      <c r="A80" s="17" t="s">
        <v>75</v>
      </c>
      <c r="B80" s="16">
        <v>119969556.54000001</v>
      </c>
      <c r="C80" s="16">
        <v>0</v>
      </c>
      <c r="D80" s="16">
        <v>5326439.6358019188</v>
      </c>
      <c r="E80" s="16">
        <v>3716447.47</v>
      </c>
      <c r="F80" s="16">
        <v>349671.32</v>
      </c>
      <c r="G80" s="16">
        <v>214455.02</v>
      </c>
      <c r="H80" s="16">
        <v>6831161.9400000004</v>
      </c>
      <c r="I80" s="16">
        <v>912054.02</v>
      </c>
      <c r="J80" s="16">
        <v>10580340.76</v>
      </c>
      <c r="K80" s="16">
        <v>0</v>
      </c>
      <c r="L80" s="16">
        <v>0</v>
      </c>
      <c r="M80" s="16">
        <v>4.41</v>
      </c>
      <c r="N80" s="18">
        <f t="shared" si="2"/>
        <v>147900131.11580193</v>
      </c>
      <c r="O80" s="4"/>
    </row>
    <row r="81" spans="1:15" ht="15" x14ac:dyDescent="0.2">
      <c r="A81" s="17" t="s">
        <v>76</v>
      </c>
      <c r="B81" s="16">
        <v>60581376.489999995</v>
      </c>
      <c r="C81" s="16">
        <v>0</v>
      </c>
      <c r="D81" s="16">
        <v>3173242.2294115182</v>
      </c>
      <c r="E81" s="16">
        <v>1871686.55</v>
      </c>
      <c r="F81" s="16">
        <v>908126.98</v>
      </c>
      <c r="G81" s="16">
        <v>442313.49</v>
      </c>
      <c r="H81" s="16">
        <v>3449551.75</v>
      </c>
      <c r="I81" s="16">
        <v>2368683.9900000002</v>
      </c>
      <c r="J81" s="16">
        <v>11764812.179999992</v>
      </c>
      <c r="K81" s="16">
        <v>0</v>
      </c>
      <c r="L81" s="16">
        <v>0</v>
      </c>
      <c r="M81" s="16">
        <v>11.45</v>
      </c>
      <c r="N81" s="18">
        <f t="shared" si="2"/>
        <v>84559805.109411493</v>
      </c>
      <c r="O81" s="4"/>
    </row>
    <row r="82" spans="1:15" ht="15" x14ac:dyDescent="0.2">
      <c r="A82" s="17" t="s">
        <v>77</v>
      </c>
      <c r="B82" s="16">
        <v>928186602.99000001</v>
      </c>
      <c r="C82" s="16">
        <v>0</v>
      </c>
      <c r="D82" s="16">
        <v>6783417.4699999988</v>
      </c>
      <c r="E82" s="16">
        <v>38794855.879999995</v>
      </c>
      <c r="F82" s="16">
        <v>26172728.960000001</v>
      </c>
      <c r="G82" s="16">
        <v>18699581.669612214</v>
      </c>
      <c r="H82" s="16">
        <v>52851683.170000002</v>
      </c>
      <c r="I82" s="16">
        <v>68266800.75</v>
      </c>
      <c r="J82" s="16">
        <v>100874290</v>
      </c>
      <c r="K82" s="16">
        <v>0</v>
      </c>
      <c r="L82" s="16">
        <v>0</v>
      </c>
      <c r="M82" s="16">
        <v>330.34</v>
      </c>
      <c r="N82" s="18">
        <f t="shared" si="2"/>
        <v>1240630291.2296121</v>
      </c>
      <c r="O82" s="4"/>
    </row>
    <row r="83" spans="1:15" ht="15" x14ac:dyDescent="0.2">
      <c r="A83" s="17" t="s">
        <v>78</v>
      </c>
      <c r="B83" s="16">
        <v>280511236.17000002</v>
      </c>
      <c r="C83" s="16">
        <v>0</v>
      </c>
      <c r="D83" s="16">
        <v>4130381.5951722376</v>
      </c>
      <c r="E83" s="16">
        <v>11737986.290000001</v>
      </c>
      <c r="F83" s="16">
        <v>2898084.99</v>
      </c>
      <c r="G83" s="16">
        <v>1302048.3600000001</v>
      </c>
      <c r="H83" s="16">
        <v>15972532.83</v>
      </c>
      <c r="I83" s="16">
        <v>7559127.3399999999</v>
      </c>
      <c r="J83" s="16">
        <v>21754879.959999997</v>
      </c>
      <c r="K83" s="16">
        <v>0</v>
      </c>
      <c r="L83" s="16">
        <v>0</v>
      </c>
      <c r="M83" s="16">
        <v>36.56</v>
      </c>
      <c r="N83" s="18">
        <f t="shared" si="2"/>
        <v>345866314.09517223</v>
      </c>
      <c r="O83" s="4"/>
    </row>
    <row r="84" spans="1:15" ht="15" x14ac:dyDescent="0.2">
      <c r="A84" s="17" t="s">
        <v>79</v>
      </c>
      <c r="B84" s="16">
        <v>100228514.24000001</v>
      </c>
      <c r="C84" s="16">
        <v>0</v>
      </c>
      <c r="D84" s="16">
        <v>2349355.799614314</v>
      </c>
      <c r="E84" s="16">
        <v>3091455.9299999997</v>
      </c>
      <c r="F84" s="16">
        <v>581653.91</v>
      </c>
      <c r="G84" s="16">
        <v>124536.11270920624</v>
      </c>
      <c r="H84" s="16">
        <v>5707091.2999999998</v>
      </c>
      <c r="I84" s="16">
        <v>1517138.4</v>
      </c>
      <c r="J84" s="16">
        <v>9079067.5799999982</v>
      </c>
      <c r="K84" s="16">
        <v>0</v>
      </c>
      <c r="L84" s="16">
        <v>0</v>
      </c>
      <c r="M84" s="16">
        <v>7.33</v>
      </c>
      <c r="N84" s="18">
        <f t="shared" si="2"/>
        <v>122678820.60232353</v>
      </c>
      <c r="O84" s="4"/>
    </row>
    <row r="85" spans="1:15" ht="15" x14ac:dyDescent="0.2">
      <c r="A85" s="17" t="s">
        <v>80</v>
      </c>
      <c r="B85" s="16">
        <v>95349131.020000011</v>
      </c>
      <c r="C85" s="16">
        <v>0</v>
      </c>
      <c r="D85" s="16">
        <v>2475379.3489661021</v>
      </c>
      <c r="E85" s="16">
        <v>2946848.2800000003</v>
      </c>
      <c r="F85" s="16">
        <v>274984.24</v>
      </c>
      <c r="G85" s="16">
        <v>124460.5</v>
      </c>
      <c r="H85" s="16">
        <v>5429255.3399999999</v>
      </c>
      <c r="I85" s="16">
        <v>717246.37</v>
      </c>
      <c r="J85" s="16">
        <v>5055216.7600000007</v>
      </c>
      <c r="K85" s="16">
        <v>0</v>
      </c>
      <c r="L85" s="16">
        <v>0</v>
      </c>
      <c r="M85" s="16">
        <v>3.46</v>
      </c>
      <c r="N85" s="18">
        <f t="shared" si="2"/>
        <v>112372525.31896612</v>
      </c>
      <c r="O85" s="4"/>
    </row>
    <row r="86" spans="1:15" ht="15" x14ac:dyDescent="0.2">
      <c r="A86" s="17" t="s">
        <v>81</v>
      </c>
      <c r="B86" s="16">
        <v>1134203859.0599999</v>
      </c>
      <c r="C86" s="16">
        <v>0</v>
      </c>
      <c r="D86" s="16">
        <v>2876523.6400000006</v>
      </c>
      <c r="E86" s="16">
        <v>47629386.060000002</v>
      </c>
      <c r="F86" s="16">
        <v>16421538.630000001</v>
      </c>
      <c r="G86" s="16">
        <v>4230789.2778458912</v>
      </c>
      <c r="H86" s="16">
        <v>64582469.539999999</v>
      </c>
      <c r="I86" s="16">
        <v>42832595.240000002</v>
      </c>
      <c r="J86" s="16">
        <v>44778774.039999999</v>
      </c>
      <c r="K86" s="16">
        <v>0</v>
      </c>
      <c r="L86" s="16">
        <v>0</v>
      </c>
      <c r="M86" s="16">
        <v>207.26000000000002</v>
      </c>
      <c r="N86" s="18">
        <f t="shared" si="2"/>
        <v>1357556142.7478459</v>
      </c>
      <c r="O86" s="4"/>
    </row>
    <row r="87" spans="1:15" ht="15" x14ac:dyDescent="0.2">
      <c r="A87" s="17" t="s">
        <v>82</v>
      </c>
      <c r="B87" s="16">
        <v>158815498.84999999</v>
      </c>
      <c r="C87" s="16">
        <v>0</v>
      </c>
      <c r="D87" s="16">
        <v>2696345.8099519345</v>
      </c>
      <c r="E87" s="16">
        <v>4884332.38</v>
      </c>
      <c r="F87" s="16">
        <v>466228.43</v>
      </c>
      <c r="G87" s="16">
        <v>260409.67</v>
      </c>
      <c r="H87" s="16">
        <v>9043080.7799999993</v>
      </c>
      <c r="I87" s="16">
        <v>1216072.03</v>
      </c>
      <c r="J87" s="16">
        <v>9805687.0999999996</v>
      </c>
      <c r="K87" s="16">
        <v>0</v>
      </c>
      <c r="L87" s="16">
        <v>0</v>
      </c>
      <c r="M87" s="16">
        <v>5.8699999999999992</v>
      </c>
      <c r="N87" s="18">
        <f t="shared" si="2"/>
        <v>187187660.91995192</v>
      </c>
      <c r="O87" s="4"/>
    </row>
    <row r="88" spans="1:15" ht="15" x14ac:dyDescent="0.2">
      <c r="A88" s="17" t="s">
        <v>83</v>
      </c>
      <c r="B88" s="16">
        <v>136096622.97000003</v>
      </c>
      <c r="C88" s="16">
        <v>0</v>
      </c>
      <c r="D88" s="16">
        <v>1218447.507646542</v>
      </c>
      <c r="E88" s="16">
        <v>4219830.2</v>
      </c>
      <c r="F88" s="16">
        <v>2288140.5099999998</v>
      </c>
      <c r="G88" s="16">
        <v>664427.62</v>
      </c>
      <c r="H88" s="16">
        <v>7749449.9299999997</v>
      </c>
      <c r="I88" s="16">
        <v>5968198.1600000001</v>
      </c>
      <c r="J88" s="16">
        <v>14654188.340000004</v>
      </c>
      <c r="K88" s="16">
        <v>0</v>
      </c>
      <c r="L88" s="16">
        <v>0</v>
      </c>
      <c r="M88" s="16">
        <v>28.87</v>
      </c>
      <c r="N88" s="18">
        <f t="shared" si="2"/>
        <v>172859334.10764655</v>
      </c>
      <c r="O88" s="4"/>
    </row>
    <row r="89" spans="1:15" ht="15" x14ac:dyDescent="0.2">
      <c r="A89" s="17" t="s">
        <v>84</v>
      </c>
      <c r="B89" s="16">
        <v>222711692.55000001</v>
      </c>
      <c r="C89" s="16">
        <v>0</v>
      </c>
      <c r="D89" s="16">
        <v>2859166.5966373701</v>
      </c>
      <c r="E89" s="16">
        <v>6874828.46</v>
      </c>
      <c r="F89" s="16">
        <v>1924323.91</v>
      </c>
      <c r="G89" s="16">
        <v>775484.68</v>
      </c>
      <c r="H89" s="16">
        <v>12681380.859999999</v>
      </c>
      <c r="I89" s="16">
        <v>5019248.75</v>
      </c>
      <c r="J89" s="16">
        <v>15505566.120000008</v>
      </c>
      <c r="K89" s="16">
        <v>0</v>
      </c>
      <c r="L89" s="16">
        <v>0</v>
      </c>
      <c r="M89" s="16">
        <v>24.28</v>
      </c>
      <c r="N89" s="18">
        <f t="shared" si="2"/>
        <v>268351716.20663741</v>
      </c>
      <c r="O89" s="4"/>
    </row>
    <row r="90" spans="1:15" ht="15" x14ac:dyDescent="0.2">
      <c r="A90" s="17" t="s">
        <v>85</v>
      </c>
      <c r="B90" s="16">
        <v>1169511474.8299999</v>
      </c>
      <c r="C90" s="16">
        <v>0</v>
      </c>
      <c r="D90" s="16">
        <v>2516005.4682519664</v>
      </c>
      <c r="E90" s="16">
        <v>49116026.969999999</v>
      </c>
      <c r="F90" s="16">
        <v>26103134.18</v>
      </c>
      <c r="G90" s="16">
        <v>7888995.6847779565</v>
      </c>
      <c r="H90" s="16">
        <v>66592913.25</v>
      </c>
      <c r="I90" s="16">
        <v>68085275.439999998</v>
      </c>
      <c r="J90" s="16">
        <v>92295376.800000027</v>
      </c>
      <c r="K90" s="16">
        <v>0</v>
      </c>
      <c r="L90" s="16">
        <v>0</v>
      </c>
      <c r="M90" s="16">
        <v>329.46</v>
      </c>
      <c r="N90" s="18">
        <f t="shared" si="2"/>
        <v>1482109532.08303</v>
      </c>
      <c r="O90" s="4"/>
    </row>
    <row r="91" spans="1:15" ht="15" x14ac:dyDescent="0.2">
      <c r="A91" s="17" t="s">
        <v>86</v>
      </c>
      <c r="B91" s="16">
        <v>43532763.420000002</v>
      </c>
      <c r="C91" s="16">
        <v>0</v>
      </c>
      <c r="D91" s="16">
        <v>2816460.9935299526</v>
      </c>
      <c r="E91" s="16">
        <v>1344084.65</v>
      </c>
      <c r="F91" s="16">
        <v>605983.80000000005</v>
      </c>
      <c r="G91" s="16">
        <v>258494.89</v>
      </c>
      <c r="H91" s="16">
        <v>2478790.17</v>
      </c>
      <c r="I91" s="16">
        <v>1580598.47</v>
      </c>
      <c r="J91" s="16">
        <v>6712274.3599999985</v>
      </c>
      <c r="K91" s="16">
        <v>0</v>
      </c>
      <c r="L91" s="16">
        <v>0</v>
      </c>
      <c r="M91" s="16">
        <v>7.6400000000000006</v>
      </c>
      <c r="N91" s="18">
        <f t="shared" si="2"/>
        <v>59329458.393529952</v>
      </c>
      <c r="O91" s="4"/>
    </row>
    <row r="92" spans="1:15" ht="15" x14ac:dyDescent="0.2">
      <c r="A92" s="17" t="s">
        <v>87</v>
      </c>
      <c r="B92" s="16">
        <v>62974646.920000002</v>
      </c>
      <c r="C92" s="16">
        <v>0</v>
      </c>
      <c r="D92" s="16">
        <v>204236.61000000004</v>
      </c>
      <c r="E92" s="16">
        <v>2691859.27</v>
      </c>
      <c r="F92" s="16">
        <v>129570.76</v>
      </c>
      <c r="G92" s="16">
        <v>80420.63</v>
      </c>
      <c r="H92" s="16">
        <v>3585826.47</v>
      </c>
      <c r="I92" s="16">
        <v>337961.77</v>
      </c>
      <c r="J92" s="16">
        <v>2726520.7199999988</v>
      </c>
      <c r="K92" s="16">
        <v>0</v>
      </c>
      <c r="L92" s="16">
        <v>0</v>
      </c>
      <c r="M92" s="16">
        <v>1.63</v>
      </c>
      <c r="N92" s="18">
        <f t="shared" si="2"/>
        <v>72731044.780000001</v>
      </c>
      <c r="O92" s="4"/>
    </row>
    <row r="93" spans="1:15" ht="15" x14ac:dyDescent="0.2">
      <c r="A93" s="17" t="s">
        <v>88</v>
      </c>
      <c r="B93" s="16">
        <v>624953052.20000005</v>
      </c>
      <c r="C93" s="16">
        <v>0</v>
      </c>
      <c r="D93" s="16">
        <v>2705452.743610058</v>
      </c>
      <c r="E93" s="16">
        <v>26227768.419999998</v>
      </c>
      <c r="F93" s="16">
        <v>21155680.989999998</v>
      </c>
      <c r="G93" s="16">
        <v>3592333.0395359294</v>
      </c>
      <c r="H93" s="16">
        <v>35585323.689999998</v>
      </c>
      <c r="I93" s="16">
        <v>55180744.100000001</v>
      </c>
      <c r="J93" s="16">
        <v>92471595.699999973</v>
      </c>
      <c r="K93" s="16">
        <v>0</v>
      </c>
      <c r="L93" s="16">
        <v>0</v>
      </c>
      <c r="M93" s="16">
        <v>267.01</v>
      </c>
      <c r="N93" s="18">
        <f t="shared" si="2"/>
        <v>861872217.8931458</v>
      </c>
      <c r="O93" s="4"/>
    </row>
    <row r="94" spans="1:15" ht="15" x14ac:dyDescent="0.2">
      <c r="A94" s="17" t="s">
        <v>89</v>
      </c>
      <c r="B94" s="16">
        <v>427638910.19999993</v>
      </c>
      <c r="C94" s="16">
        <v>0</v>
      </c>
      <c r="D94" s="16">
        <v>6616202.9199999999</v>
      </c>
      <c r="E94" s="16">
        <v>17956981.219999999</v>
      </c>
      <c r="F94" s="16">
        <v>9566170.0600000005</v>
      </c>
      <c r="G94" s="16">
        <v>4504368.6217900962</v>
      </c>
      <c r="H94" s="16">
        <v>24350099.57</v>
      </c>
      <c r="I94" s="16">
        <v>24951613.82</v>
      </c>
      <c r="J94" s="16">
        <v>46501902.039999999</v>
      </c>
      <c r="K94" s="16">
        <v>0</v>
      </c>
      <c r="L94" s="16">
        <v>0</v>
      </c>
      <c r="M94" s="16">
        <v>120.74000000000001</v>
      </c>
      <c r="N94" s="18">
        <f t="shared" si="2"/>
        <v>562086369.19178998</v>
      </c>
      <c r="O94" s="4"/>
    </row>
    <row r="95" spans="1:15" ht="15" x14ac:dyDescent="0.2">
      <c r="A95" s="17" t="s">
        <v>90</v>
      </c>
      <c r="B95" s="16">
        <v>78840379.24000001</v>
      </c>
      <c r="C95" s="16">
        <v>0</v>
      </c>
      <c r="D95" s="16">
        <v>2486915.051176494</v>
      </c>
      <c r="E95" s="16">
        <v>2428909.92</v>
      </c>
      <c r="F95" s="16">
        <v>469057.48</v>
      </c>
      <c r="G95" s="16">
        <v>208710.69</v>
      </c>
      <c r="H95" s="16">
        <v>4489233.88</v>
      </c>
      <c r="I95" s="16">
        <v>1223451.1100000001</v>
      </c>
      <c r="J95" s="16">
        <v>6926933.1999999974</v>
      </c>
      <c r="K95" s="16">
        <v>0</v>
      </c>
      <c r="L95" s="16">
        <v>0</v>
      </c>
      <c r="M95" s="16">
        <v>5.91</v>
      </c>
      <c r="N95" s="18">
        <f t="shared" si="2"/>
        <v>97073596.481176496</v>
      </c>
      <c r="O95" s="4"/>
    </row>
    <row r="96" spans="1:15" ht="15" x14ac:dyDescent="0.2">
      <c r="A96" s="17" t="s">
        <v>91</v>
      </c>
      <c r="B96" s="16">
        <v>255804845.48999995</v>
      </c>
      <c r="C96" s="16">
        <v>0</v>
      </c>
      <c r="D96" s="16">
        <v>6014465.3135260604</v>
      </c>
      <c r="E96" s="16">
        <v>6393048.7800000003</v>
      </c>
      <c r="F96" s="16">
        <v>2628758.86</v>
      </c>
      <c r="G96" s="16">
        <v>1139292.31</v>
      </c>
      <c r="H96" s="16">
        <v>14565731.300000001</v>
      </c>
      <c r="I96" s="16">
        <v>6856639.1299999999</v>
      </c>
      <c r="J96" s="16">
        <v>24788670.5</v>
      </c>
      <c r="K96" s="16">
        <v>0</v>
      </c>
      <c r="L96" s="16">
        <v>0</v>
      </c>
      <c r="M96" s="16">
        <v>33.17</v>
      </c>
      <c r="N96" s="18">
        <f t="shared" si="2"/>
        <v>318191484.85352606</v>
      </c>
      <c r="O96" s="4"/>
    </row>
    <row r="97" spans="1:15" ht="15" x14ac:dyDescent="0.2">
      <c r="A97" s="17" t="s">
        <v>92</v>
      </c>
      <c r="B97" s="16">
        <v>123501005.84</v>
      </c>
      <c r="C97" s="16">
        <v>0</v>
      </c>
      <c r="D97" s="16">
        <v>8036582.1392959384</v>
      </c>
      <c r="E97" s="16">
        <v>3822473.61</v>
      </c>
      <c r="F97" s="16">
        <v>1213665.03</v>
      </c>
      <c r="G97" s="16">
        <v>584006.98</v>
      </c>
      <c r="H97" s="16">
        <v>7032245.4699999997</v>
      </c>
      <c r="I97" s="16">
        <v>3165624.39</v>
      </c>
      <c r="J97" s="16">
        <v>16034659.520000001</v>
      </c>
      <c r="K97" s="16">
        <v>0</v>
      </c>
      <c r="L97" s="16">
        <v>0</v>
      </c>
      <c r="M97" s="16">
        <v>15.31</v>
      </c>
      <c r="N97" s="18">
        <f t="shared" si="2"/>
        <v>163390278.28929594</v>
      </c>
      <c r="O97" s="4"/>
    </row>
    <row r="98" spans="1:15" ht="15" x14ac:dyDescent="0.2">
      <c r="A98" s="17" t="s">
        <v>93</v>
      </c>
      <c r="B98" s="16">
        <v>341463982.34000003</v>
      </c>
      <c r="C98" s="16">
        <v>0</v>
      </c>
      <c r="D98" s="16">
        <v>7880847.3440543413</v>
      </c>
      <c r="E98" s="16">
        <v>14354713.190000001</v>
      </c>
      <c r="F98" s="16">
        <v>2822266.29</v>
      </c>
      <c r="G98" s="16">
        <v>1369065.55</v>
      </c>
      <c r="H98" s="16">
        <v>19443230.66</v>
      </c>
      <c r="I98" s="16">
        <v>7361368.0599999996</v>
      </c>
      <c r="J98" s="16">
        <v>31455527.180000011</v>
      </c>
      <c r="K98" s="16">
        <v>0</v>
      </c>
      <c r="L98" s="16">
        <v>0</v>
      </c>
      <c r="M98" s="16">
        <v>35.61</v>
      </c>
      <c r="N98" s="18">
        <f t="shared" si="2"/>
        <v>426151036.22405446</v>
      </c>
      <c r="O98" s="4"/>
    </row>
    <row r="99" spans="1:15" ht="15" x14ac:dyDescent="0.2">
      <c r="A99" s="17" t="s">
        <v>94</v>
      </c>
      <c r="B99" s="16">
        <v>238935039.96000001</v>
      </c>
      <c r="C99" s="16">
        <v>0</v>
      </c>
      <c r="D99" s="16">
        <v>6262756.5293632485</v>
      </c>
      <c r="E99" s="16">
        <v>7387548.6600000001</v>
      </c>
      <c r="F99" s="16">
        <v>1046184.92</v>
      </c>
      <c r="G99" s="16">
        <v>369551.96</v>
      </c>
      <c r="H99" s="16">
        <v>13605151.16</v>
      </c>
      <c r="I99" s="16">
        <v>2728782.99</v>
      </c>
      <c r="J99" s="16">
        <v>20925151.939999994</v>
      </c>
      <c r="K99" s="16">
        <v>0</v>
      </c>
      <c r="L99" s="16">
        <v>0</v>
      </c>
      <c r="M99" s="16">
        <v>13.190000000000001</v>
      </c>
      <c r="N99" s="18">
        <f t="shared" si="2"/>
        <v>291260181.30936325</v>
      </c>
      <c r="O99" s="4"/>
    </row>
    <row r="100" spans="1:15" ht="15" x14ac:dyDescent="0.2">
      <c r="A100" s="17" t="s">
        <v>95</v>
      </c>
      <c r="B100" s="16">
        <v>253707295.28999999</v>
      </c>
      <c r="C100" s="16">
        <v>0</v>
      </c>
      <c r="D100" s="16">
        <v>4531405.1147758048</v>
      </c>
      <c r="E100" s="16">
        <v>7790382.9100000001</v>
      </c>
      <c r="F100" s="16">
        <v>1174624.06</v>
      </c>
      <c r="G100" s="16">
        <v>488268.13</v>
      </c>
      <c r="H100" s="16">
        <v>14446295.119999999</v>
      </c>
      <c r="I100" s="16">
        <v>3063793.12</v>
      </c>
      <c r="J100" s="16">
        <v>16360744.179999992</v>
      </c>
      <c r="K100" s="16">
        <v>0</v>
      </c>
      <c r="L100" s="16">
        <v>0</v>
      </c>
      <c r="M100" s="16">
        <v>14.82</v>
      </c>
      <c r="N100" s="18">
        <f t="shared" si="2"/>
        <v>301562822.74477577</v>
      </c>
      <c r="O100" s="4"/>
    </row>
    <row r="101" spans="1:15" ht="15" x14ac:dyDescent="0.2">
      <c r="A101" s="17" t="s">
        <v>96</v>
      </c>
      <c r="B101" s="16">
        <v>46610316.61999999</v>
      </c>
      <c r="C101" s="16">
        <v>0</v>
      </c>
      <c r="D101" s="16">
        <v>1264339.734524026</v>
      </c>
      <c r="E101" s="16">
        <v>1439625.14</v>
      </c>
      <c r="F101" s="16">
        <v>140321.17000000001</v>
      </c>
      <c r="G101" s="16">
        <v>72761.53</v>
      </c>
      <c r="H101" s="16">
        <v>2654028.4900000002</v>
      </c>
      <c r="I101" s="16">
        <v>366002.26</v>
      </c>
      <c r="J101" s="16">
        <v>3541514.4600000009</v>
      </c>
      <c r="K101" s="16">
        <v>0</v>
      </c>
      <c r="L101" s="16">
        <v>0</v>
      </c>
      <c r="M101" s="16">
        <v>1.77</v>
      </c>
      <c r="N101" s="18">
        <f t="shared" si="2"/>
        <v>56088911.174524024</v>
      </c>
      <c r="O101" s="4"/>
    </row>
    <row r="102" spans="1:15" ht="15" x14ac:dyDescent="0.2">
      <c r="A102" s="17" t="s">
        <v>97</v>
      </c>
      <c r="B102" s="16">
        <v>151859197.05000001</v>
      </c>
      <c r="C102" s="16">
        <v>0</v>
      </c>
      <c r="D102" s="16">
        <v>6389074.4013749398</v>
      </c>
      <c r="E102" s="16">
        <v>6377088.7800000003</v>
      </c>
      <c r="F102" s="16">
        <v>2717025.41</v>
      </c>
      <c r="G102" s="16">
        <v>1280985.81</v>
      </c>
      <c r="H102" s="16">
        <v>8646983.4299999997</v>
      </c>
      <c r="I102" s="16">
        <v>7086866.3600000003</v>
      </c>
      <c r="J102" s="16">
        <v>23591053.419999994</v>
      </c>
      <c r="K102" s="16">
        <v>0</v>
      </c>
      <c r="L102" s="16">
        <v>0</v>
      </c>
      <c r="M102" s="16">
        <v>34.29</v>
      </c>
      <c r="N102" s="18">
        <f t="shared" si="2"/>
        <v>207948308.95137495</v>
      </c>
      <c r="O102" s="4"/>
    </row>
    <row r="103" spans="1:15" ht="15" x14ac:dyDescent="0.2">
      <c r="A103" s="17" t="s">
        <v>98</v>
      </c>
      <c r="B103" s="16">
        <v>52700089.469999999</v>
      </c>
      <c r="C103" s="16">
        <v>0</v>
      </c>
      <c r="D103" s="16">
        <v>2658594.9992300142</v>
      </c>
      <c r="E103" s="16">
        <v>1629043.5499999998</v>
      </c>
      <c r="F103" s="16">
        <v>67331.53</v>
      </c>
      <c r="G103" s="16">
        <v>44039.87</v>
      </c>
      <c r="H103" s="16">
        <v>3000785</v>
      </c>
      <c r="I103" s="16">
        <v>175622.05</v>
      </c>
      <c r="J103" s="16">
        <v>5002509.8199999994</v>
      </c>
      <c r="K103" s="16">
        <v>0</v>
      </c>
      <c r="L103" s="16">
        <v>0</v>
      </c>
      <c r="M103" s="16">
        <v>0.84</v>
      </c>
      <c r="N103" s="18">
        <f t="shared" si="2"/>
        <v>65278017.129230008</v>
      </c>
      <c r="O103" s="4"/>
    </row>
    <row r="104" spans="1:15" ht="15" x14ac:dyDescent="0.2">
      <c r="A104" s="17" t="s">
        <v>99</v>
      </c>
      <c r="B104" s="16">
        <v>731230076.12</v>
      </c>
      <c r="C104" s="16">
        <v>0</v>
      </c>
      <c r="D104" s="16">
        <v>4252669.5724743037</v>
      </c>
      <c r="E104" s="16">
        <v>30650468.180000003</v>
      </c>
      <c r="F104" s="16">
        <v>13798437.880000001</v>
      </c>
      <c r="G104" s="16">
        <v>2487671.5458185691</v>
      </c>
      <c r="H104" s="16">
        <v>41636821.93</v>
      </c>
      <c r="I104" s="16">
        <v>35990714.270000003</v>
      </c>
      <c r="J104" s="16">
        <v>57986078.259999976</v>
      </c>
      <c r="K104" s="16">
        <v>0</v>
      </c>
      <c r="L104" s="16">
        <v>0</v>
      </c>
      <c r="M104" s="16">
        <v>174.15</v>
      </c>
      <c r="N104" s="18">
        <f t="shared" ref="N104:N135" si="3">SUM(B104:M104)</f>
        <v>918033111.90829277</v>
      </c>
      <c r="O104" s="4"/>
    </row>
    <row r="105" spans="1:15" ht="15" x14ac:dyDescent="0.2">
      <c r="A105" s="17" t="s">
        <v>100</v>
      </c>
      <c r="B105" s="16">
        <v>125935539.50999999</v>
      </c>
      <c r="C105" s="16">
        <v>0</v>
      </c>
      <c r="D105" s="16">
        <v>1075385.8699999999</v>
      </c>
      <c r="E105" s="16">
        <v>4664331.41</v>
      </c>
      <c r="F105" s="16">
        <v>594667.56999999995</v>
      </c>
      <c r="G105" s="16">
        <v>315938.2</v>
      </c>
      <c r="H105" s="16">
        <v>7170869.7599999998</v>
      </c>
      <c r="I105" s="16">
        <v>1551082.16</v>
      </c>
      <c r="J105" s="16">
        <v>7358494</v>
      </c>
      <c r="K105" s="16">
        <v>0</v>
      </c>
      <c r="L105" s="16">
        <v>0</v>
      </c>
      <c r="M105" s="16">
        <v>7.5</v>
      </c>
      <c r="N105" s="18">
        <f t="shared" si="3"/>
        <v>148666315.97999999</v>
      </c>
      <c r="O105" s="4"/>
    </row>
    <row r="106" spans="1:15" ht="15" x14ac:dyDescent="0.2">
      <c r="A106" s="17" t="s">
        <v>101</v>
      </c>
      <c r="B106" s="16">
        <v>135979710.31999999</v>
      </c>
      <c r="C106" s="16">
        <v>0</v>
      </c>
      <c r="D106" s="16">
        <v>717881.49</v>
      </c>
      <c r="E106" s="16">
        <v>4204726.79</v>
      </c>
      <c r="F106" s="16">
        <v>4213596.05</v>
      </c>
      <c r="G106" s="16">
        <v>1049894.9510319591</v>
      </c>
      <c r="H106" s="16">
        <v>7742792.8300000001</v>
      </c>
      <c r="I106" s="16">
        <v>10990398.539999999</v>
      </c>
      <c r="J106" s="16">
        <v>19257596.600000009</v>
      </c>
      <c r="K106" s="16">
        <v>0</v>
      </c>
      <c r="L106" s="16">
        <v>0</v>
      </c>
      <c r="M106" s="16">
        <v>53.17</v>
      </c>
      <c r="N106" s="18">
        <f t="shared" si="3"/>
        <v>184156650.74103197</v>
      </c>
      <c r="O106" s="4"/>
    </row>
    <row r="107" spans="1:15" ht="15" x14ac:dyDescent="0.2">
      <c r="A107" s="17" t="s">
        <v>102</v>
      </c>
      <c r="B107" s="16">
        <v>190120576.22</v>
      </c>
      <c r="C107" s="16">
        <v>0</v>
      </c>
      <c r="D107" s="16">
        <v>4291087.3011284284</v>
      </c>
      <c r="E107" s="16">
        <v>5867214.9200000009</v>
      </c>
      <c r="F107" s="16">
        <v>234245.83</v>
      </c>
      <c r="G107" s="16">
        <v>193392.48</v>
      </c>
      <c r="H107" s="16">
        <v>10825616.779999999</v>
      </c>
      <c r="I107" s="16">
        <v>610987.65</v>
      </c>
      <c r="J107" s="16">
        <v>9180369.4399999958</v>
      </c>
      <c r="K107" s="16">
        <v>0</v>
      </c>
      <c r="L107" s="16">
        <v>0</v>
      </c>
      <c r="M107" s="16">
        <v>2.95</v>
      </c>
      <c r="N107" s="18">
        <f t="shared" si="3"/>
        <v>221323493.5711284</v>
      </c>
      <c r="O107" s="4"/>
    </row>
    <row r="108" spans="1:15" ht="15" x14ac:dyDescent="0.2">
      <c r="A108" s="17" t="s">
        <v>103</v>
      </c>
      <c r="B108" s="16">
        <v>68462663.560000002</v>
      </c>
      <c r="C108" s="16">
        <v>0</v>
      </c>
      <c r="D108" s="16">
        <v>1486620.2550877822</v>
      </c>
      <c r="E108" s="16">
        <v>2108174</v>
      </c>
      <c r="F108" s="16">
        <v>237640.7</v>
      </c>
      <c r="G108" s="16">
        <v>120630.95</v>
      </c>
      <c r="H108" s="16">
        <v>3898318.5</v>
      </c>
      <c r="I108" s="16">
        <v>619842.54</v>
      </c>
      <c r="J108" s="16">
        <v>4954413.419999999</v>
      </c>
      <c r="K108" s="16">
        <v>0</v>
      </c>
      <c r="L108" s="16">
        <v>0</v>
      </c>
      <c r="M108" s="16">
        <v>2.9899999999999998</v>
      </c>
      <c r="N108" s="18">
        <f t="shared" si="3"/>
        <v>81888306.915087789</v>
      </c>
      <c r="O108" s="4"/>
    </row>
    <row r="109" spans="1:15" ht="15" x14ac:dyDescent="0.2">
      <c r="A109" s="17" t="s">
        <v>104</v>
      </c>
      <c r="B109" s="16">
        <v>727564521.13999999</v>
      </c>
      <c r="C109" s="16">
        <v>0</v>
      </c>
      <c r="D109" s="16">
        <v>4799510.7294488363</v>
      </c>
      <c r="E109" s="16">
        <v>30516306.349999998</v>
      </c>
      <c r="F109" s="16">
        <v>24263116.140000001</v>
      </c>
      <c r="G109" s="16">
        <v>11677195.877856594</v>
      </c>
      <c r="H109" s="16">
        <v>41428102.32</v>
      </c>
      <c r="I109" s="16">
        <v>63285923.210000001</v>
      </c>
      <c r="J109" s="16">
        <v>91001628.960000038</v>
      </c>
      <c r="K109" s="16">
        <v>0</v>
      </c>
      <c r="L109" s="16">
        <v>0</v>
      </c>
      <c r="M109" s="16">
        <v>306.24</v>
      </c>
      <c r="N109" s="18">
        <f t="shared" si="3"/>
        <v>994536610.96730554</v>
      </c>
      <c r="O109" s="4"/>
    </row>
    <row r="110" spans="1:15" ht="15" x14ac:dyDescent="0.2">
      <c r="A110" s="17" t="s">
        <v>105</v>
      </c>
      <c r="B110" s="16">
        <v>81391825.539999992</v>
      </c>
      <c r="C110" s="16">
        <v>0</v>
      </c>
      <c r="D110" s="16">
        <v>3066980.6383577138</v>
      </c>
      <c r="E110" s="16">
        <v>3420092.9</v>
      </c>
      <c r="F110" s="16">
        <v>927364.56</v>
      </c>
      <c r="G110" s="16">
        <v>404017.95</v>
      </c>
      <c r="H110" s="16">
        <v>4634515.2699999996</v>
      </c>
      <c r="I110" s="16">
        <v>2418861.7200000002</v>
      </c>
      <c r="J110" s="16">
        <v>10519254.459999997</v>
      </c>
      <c r="K110" s="16">
        <v>0</v>
      </c>
      <c r="L110" s="16">
        <v>0</v>
      </c>
      <c r="M110" s="16">
        <v>11.690000000000001</v>
      </c>
      <c r="N110" s="18">
        <f t="shared" si="3"/>
        <v>106782924.7283577</v>
      </c>
      <c r="O110" s="4"/>
    </row>
    <row r="111" spans="1:15" ht="15" x14ac:dyDescent="0.2">
      <c r="A111" s="17" t="s">
        <v>106</v>
      </c>
      <c r="B111" s="16">
        <v>98540158.25</v>
      </c>
      <c r="C111" s="16">
        <v>0</v>
      </c>
      <c r="D111" s="16">
        <v>3396071.0365112461</v>
      </c>
      <c r="E111" s="16">
        <v>3050875.7099999995</v>
      </c>
      <c r="F111" s="16">
        <v>323078.19</v>
      </c>
      <c r="G111" s="16">
        <v>185733.37</v>
      </c>
      <c r="H111" s="16">
        <v>5610954.96</v>
      </c>
      <c r="I111" s="16">
        <v>842690.69</v>
      </c>
      <c r="J111" s="16">
        <v>8155513.9599999981</v>
      </c>
      <c r="K111" s="16">
        <v>0</v>
      </c>
      <c r="L111" s="16">
        <v>0</v>
      </c>
      <c r="M111" s="16">
        <v>4.07</v>
      </c>
      <c r="N111" s="18">
        <f t="shared" si="3"/>
        <v>120105080.23651122</v>
      </c>
      <c r="O111" s="4"/>
    </row>
    <row r="112" spans="1:15" ht="15" x14ac:dyDescent="0.2">
      <c r="A112" s="17" t="s">
        <v>107</v>
      </c>
      <c r="B112" s="16">
        <v>137492697.37</v>
      </c>
      <c r="C112" s="16">
        <v>0</v>
      </c>
      <c r="D112" s="16">
        <v>4322013.9867140427</v>
      </c>
      <c r="E112" s="16">
        <v>4245477.2200000007</v>
      </c>
      <c r="F112" s="16">
        <v>392672.97</v>
      </c>
      <c r="G112" s="16">
        <v>210625.47</v>
      </c>
      <c r="H112" s="16">
        <v>7828943.5099999998</v>
      </c>
      <c r="I112" s="16">
        <v>1024216</v>
      </c>
      <c r="J112" s="16">
        <v>8527421.0999999978</v>
      </c>
      <c r="K112" s="16">
        <v>0</v>
      </c>
      <c r="L112" s="16">
        <v>0</v>
      </c>
      <c r="M112" s="16">
        <v>4.9399999999999995</v>
      </c>
      <c r="N112" s="18">
        <f t="shared" si="3"/>
        <v>164044072.56671402</v>
      </c>
      <c r="O112" s="4"/>
    </row>
    <row r="113" spans="1:15" ht="15" x14ac:dyDescent="0.2">
      <c r="A113" s="17" t="s">
        <v>108</v>
      </c>
      <c r="B113" s="16">
        <v>105757794.18000001</v>
      </c>
      <c r="C113" s="16">
        <v>0</v>
      </c>
      <c r="D113" s="16">
        <v>6212332.5745434742</v>
      </c>
      <c r="E113" s="16">
        <v>3273932.88</v>
      </c>
      <c r="F113" s="16">
        <v>553363.35</v>
      </c>
      <c r="G113" s="16">
        <v>287216.55</v>
      </c>
      <c r="H113" s="16">
        <v>6021932.8899999997</v>
      </c>
      <c r="I113" s="16">
        <v>1443347.63</v>
      </c>
      <c r="J113" s="16">
        <v>8505678.0600000042</v>
      </c>
      <c r="K113" s="16">
        <v>0</v>
      </c>
      <c r="L113" s="16">
        <v>0</v>
      </c>
      <c r="M113" s="16">
        <v>6.9799999999999995</v>
      </c>
      <c r="N113" s="18">
        <f t="shared" si="3"/>
        <v>132055605.09454347</v>
      </c>
      <c r="O113" s="4"/>
    </row>
    <row r="114" spans="1:15" ht="15" x14ac:dyDescent="0.2">
      <c r="A114" s="17" t="s">
        <v>109</v>
      </c>
      <c r="B114" s="16">
        <v>71970042.609999999</v>
      </c>
      <c r="C114" s="16">
        <v>0</v>
      </c>
      <c r="D114" s="16">
        <v>2312809.1673428062</v>
      </c>
      <c r="E114" s="16">
        <v>2225884.1000000006</v>
      </c>
      <c r="F114" s="16">
        <v>334960.23</v>
      </c>
      <c r="G114" s="16">
        <v>153182.16</v>
      </c>
      <c r="H114" s="16">
        <v>4098031.46</v>
      </c>
      <c r="I114" s="16">
        <v>873682.82</v>
      </c>
      <c r="J114" s="16">
        <v>6296319.9200000009</v>
      </c>
      <c r="K114" s="16">
        <v>0</v>
      </c>
      <c r="L114" s="16">
        <v>0</v>
      </c>
      <c r="M114" s="16">
        <v>4.21</v>
      </c>
      <c r="N114" s="18">
        <f t="shared" si="3"/>
        <v>88264916.677342787</v>
      </c>
      <c r="O114" s="4"/>
    </row>
    <row r="115" spans="1:15" ht="15" x14ac:dyDescent="0.2">
      <c r="A115" s="17" t="s">
        <v>110</v>
      </c>
      <c r="B115" s="16">
        <v>189357205.49000001</v>
      </c>
      <c r="C115" s="16">
        <v>0</v>
      </c>
      <c r="D115" s="16">
        <v>2526397.2708723005</v>
      </c>
      <c r="E115" s="16">
        <v>5863248.21</v>
      </c>
      <c r="F115" s="16">
        <v>346842.26</v>
      </c>
      <c r="G115" s="16">
        <v>254665.34</v>
      </c>
      <c r="H115" s="16">
        <v>10782149.84</v>
      </c>
      <c r="I115" s="16">
        <v>904674.94</v>
      </c>
      <c r="J115" s="16">
        <v>8348616.5400000019</v>
      </c>
      <c r="K115" s="16">
        <v>0</v>
      </c>
      <c r="L115" s="16">
        <v>0</v>
      </c>
      <c r="M115" s="16">
        <v>4.37</v>
      </c>
      <c r="N115" s="18">
        <f t="shared" si="3"/>
        <v>218383804.2608723</v>
      </c>
      <c r="O115" s="4"/>
    </row>
    <row r="116" spans="1:15" ht="15" x14ac:dyDescent="0.2">
      <c r="A116" s="17" t="s">
        <v>111</v>
      </c>
      <c r="B116" s="16">
        <v>103529576.86000001</v>
      </c>
      <c r="C116" s="16">
        <v>0</v>
      </c>
      <c r="D116" s="16">
        <v>4291864.8465320803</v>
      </c>
      <c r="E116" s="16">
        <v>3198111.65</v>
      </c>
      <c r="F116" s="16">
        <v>957352.56</v>
      </c>
      <c r="G116" s="16">
        <v>392529.28</v>
      </c>
      <c r="H116" s="16">
        <v>5895056.4299999997</v>
      </c>
      <c r="I116" s="16">
        <v>2497079.94</v>
      </c>
      <c r="J116" s="16">
        <v>11569030.439999994</v>
      </c>
      <c r="K116" s="16">
        <v>0</v>
      </c>
      <c r="L116" s="16">
        <v>0</v>
      </c>
      <c r="M116" s="16">
        <v>12.07</v>
      </c>
      <c r="N116" s="18">
        <f t="shared" si="3"/>
        <v>132330614.0765321</v>
      </c>
      <c r="O116" s="4"/>
    </row>
    <row r="117" spans="1:15" ht="15" x14ac:dyDescent="0.2">
      <c r="A117" s="17" t="s">
        <v>112</v>
      </c>
      <c r="B117" s="16">
        <v>55217149.740000002</v>
      </c>
      <c r="C117" s="16">
        <v>0</v>
      </c>
      <c r="D117" s="16">
        <v>682841.25772849214</v>
      </c>
      <c r="E117" s="16">
        <v>1715470.0200000003</v>
      </c>
      <c r="F117" s="16">
        <v>201428.78</v>
      </c>
      <c r="G117" s="16">
        <v>105312.73</v>
      </c>
      <c r="H117" s="16">
        <v>3144108.41</v>
      </c>
      <c r="I117" s="16">
        <v>525390.34</v>
      </c>
      <c r="J117" s="16">
        <v>3305299.3599999985</v>
      </c>
      <c r="K117" s="16">
        <v>0</v>
      </c>
      <c r="L117" s="16">
        <v>0</v>
      </c>
      <c r="M117" s="16">
        <v>2.5300000000000002</v>
      </c>
      <c r="N117" s="18">
        <f t="shared" si="3"/>
        <v>64897003.167728499</v>
      </c>
      <c r="O117" s="4"/>
    </row>
    <row r="118" spans="1:15" ht="15" x14ac:dyDescent="0.2">
      <c r="A118" s="17" t="s">
        <v>113</v>
      </c>
      <c r="B118" s="16">
        <v>86955491.540000007</v>
      </c>
      <c r="C118" s="16">
        <v>0</v>
      </c>
      <c r="D118" s="16">
        <v>3480209.4954764321</v>
      </c>
      <c r="E118" s="16">
        <v>2694888.51</v>
      </c>
      <c r="F118" s="16">
        <v>949997.01</v>
      </c>
      <c r="G118" s="16">
        <v>400188.39</v>
      </c>
      <c r="H118" s="16">
        <v>4951314.83</v>
      </c>
      <c r="I118" s="16">
        <v>2477894.34</v>
      </c>
      <c r="J118" s="16">
        <v>9105545.6800000034</v>
      </c>
      <c r="K118" s="16">
        <v>0</v>
      </c>
      <c r="L118" s="16">
        <v>0</v>
      </c>
      <c r="M118" s="16">
        <v>11.98</v>
      </c>
      <c r="N118" s="18">
        <f t="shared" si="3"/>
        <v>111015541.77547647</v>
      </c>
      <c r="O118" s="4"/>
    </row>
    <row r="119" spans="1:15" ht="15" x14ac:dyDescent="0.2">
      <c r="A119" s="17" t="s">
        <v>114</v>
      </c>
      <c r="B119" s="16">
        <v>127916177.10000002</v>
      </c>
      <c r="C119" s="16">
        <v>0</v>
      </c>
      <c r="D119" s="16">
        <v>2365407.6558417422</v>
      </c>
      <c r="E119" s="16">
        <v>3960832.58</v>
      </c>
      <c r="F119" s="16">
        <v>763279.31</v>
      </c>
      <c r="G119" s="16">
        <v>281472.21999999997</v>
      </c>
      <c r="H119" s="16">
        <v>7283648.8399999999</v>
      </c>
      <c r="I119" s="16">
        <v>1990875.2</v>
      </c>
      <c r="J119" s="16">
        <v>8410730.9000000022</v>
      </c>
      <c r="K119" s="16">
        <v>0</v>
      </c>
      <c r="L119" s="16">
        <v>0</v>
      </c>
      <c r="M119" s="16">
        <v>9.6199999999999992</v>
      </c>
      <c r="N119" s="18">
        <f t="shared" si="3"/>
        <v>152972433.42584178</v>
      </c>
      <c r="O119" s="4"/>
    </row>
    <row r="120" spans="1:15" ht="15" x14ac:dyDescent="0.2">
      <c r="A120" s="17" t="s">
        <v>115</v>
      </c>
      <c r="B120" s="16">
        <v>82389021.549999997</v>
      </c>
      <c r="C120" s="16">
        <v>0</v>
      </c>
      <c r="D120" s="16">
        <v>2464623.7615665304</v>
      </c>
      <c r="E120" s="16">
        <v>2555632.7200000002</v>
      </c>
      <c r="F120" s="16">
        <v>514322.38</v>
      </c>
      <c r="G120" s="16">
        <v>283387</v>
      </c>
      <c r="H120" s="16">
        <v>4691296.4000000004</v>
      </c>
      <c r="I120" s="16">
        <v>1341516.3500000001</v>
      </c>
      <c r="J120" s="16">
        <v>8902910.7199999969</v>
      </c>
      <c r="K120" s="16">
        <v>0</v>
      </c>
      <c r="L120" s="16">
        <v>0</v>
      </c>
      <c r="M120" s="16">
        <v>6.48</v>
      </c>
      <c r="N120" s="18">
        <f t="shared" si="3"/>
        <v>103142717.36156653</v>
      </c>
      <c r="O120" s="4"/>
    </row>
    <row r="121" spans="1:15" ht="15" x14ac:dyDescent="0.2">
      <c r="A121" s="17" t="s">
        <v>116</v>
      </c>
      <c r="B121" s="16">
        <v>96566397.870000005</v>
      </c>
      <c r="C121" s="16">
        <v>0</v>
      </c>
      <c r="D121" s="16">
        <v>2836776.4253434525</v>
      </c>
      <c r="E121" s="16">
        <v>2980453.73</v>
      </c>
      <c r="F121" s="16">
        <v>216139.88</v>
      </c>
      <c r="G121" s="16">
        <v>103397.96</v>
      </c>
      <c r="H121" s="16">
        <v>5498567.4800000004</v>
      </c>
      <c r="I121" s="16">
        <v>563761.55000000005</v>
      </c>
      <c r="J121" s="16">
        <v>4877377.7800000021</v>
      </c>
      <c r="K121" s="16">
        <v>0</v>
      </c>
      <c r="L121" s="16">
        <v>0</v>
      </c>
      <c r="M121" s="16">
        <v>2.7199999999999998</v>
      </c>
      <c r="N121" s="18">
        <f t="shared" si="3"/>
        <v>113642875.39534345</v>
      </c>
      <c r="O121" s="4"/>
    </row>
    <row r="122" spans="1:15" ht="15" x14ac:dyDescent="0.2">
      <c r="A122" s="17" t="s">
        <v>117</v>
      </c>
      <c r="B122" s="16">
        <v>290249370.95000005</v>
      </c>
      <c r="C122" s="16">
        <v>0</v>
      </c>
      <c r="D122" s="16">
        <v>4922055.6150000002</v>
      </c>
      <c r="E122" s="16">
        <v>12135873.299999999</v>
      </c>
      <c r="F122" s="16">
        <v>6506828.8700000001</v>
      </c>
      <c r="G122" s="16">
        <v>2659440.2998572299</v>
      </c>
      <c r="H122" s="16">
        <v>16527029.960000001</v>
      </c>
      <c r="I122" s="16">
        <v>16971879.039999999</v>
      </c>
      <c r="J122" s="16">
        <v>23697090.120000012</v>
      </c>
      <c r="K122" s="16">
        <v>0</v>
      </c>
      <c r="L122" s="16">
        <v>0</v>
      </c>
      <c r="M122" s="16">
        <v>82.12</v>
      </c>
      <c r="N122" s="18">
        <f t="shared" si="3"/>
        <v>373669650.27485734</v>
      </c>
      <c r="O122" s="4"/>
    </row>
    <row r="123" spans="1:15" ht="15" x14ac:dyDescent="0.2">
      <c r="A123" s="17" t="s">
        <v>118</v>
      </c>
      <c r="B123" s="16">
        <v>728382909.6099999</v>
      </c>
      <c r="C123" s="16">
        <v>0</v>
      </c>
      <c r="D123" s="16">
        <v>7578064.4700000007</v>
      </c>
      <c r="E123" s="16">
        <v>22473851.919999998</v>
      </c>
      <c r="F123" s="16">
        <v>9045057.9399999995</v>
      </c>
      <c r="G123" s="16">
        <v>6737373.3461350761</v>
      </c>
      <c r="H123" s="16">
        <v>41474702.009999998</v>
      </c>
      <c r="I123" s="16">
        <v>23592387.68</v>
      </c>
      <c r="J123" s="16">
        <v>31349428.220000017</v>
      </c>
      <c r="K123" s="16">
        <v>0</v>
      </c>
      <c r="L123" s="16">
        <v>0</v>
      </c>
      <c r="M123" s="16">
        <v>114.16</v>
      </c>
      <c r="N123" s="18">
        <f t="shared" si="3"/>
        <v>870633889.35613489</v>
      </c>
      <c r="O123" s="4"/>
    </row>
    <row r="124" spans="1:15" ht="15" x14ac:dyDescent="0.2">
      <c r="A124" s="17" t="s">
        <v>119</v>
      </c>
      <c r="B124" s="16">
        <v>556026176.61000013</v>
      </c>
      <c r="C124" s="16">
        <v>0</v>
      </c>
      <c r="D124" s="16">
        <v>2298550.9</v>
      </c>
      <c r="E124" s="16">
        <v>23312602.09</v>
      </c>
      <c r="F124" s="16">
        <v>11582721.199999999</v>
      </c>
      <c r="G124" s="16">
        <v>0</v>
      </c>
      <c r="H124" s="16">
        <v>31660572.59</v>
      </c>
      <c r="I124" s="16">
        <v>30211420.5</v>
      </c>
      <c r="J124" s="16">
        <v>43869487.419999994</v>
      </c>
      <c r="K124" s="16">
        <v>0</v>
      </c>
      <c r="L124" s="16">
        <v>0</v>
      </c>
      <c r="M124" s="16">
        <v>146.19</v>
      </c>
      <c r="N124" s="18">
        <f t="shared" si="3"/>
        <v>698961677.50000024</v>
      </c>
      <c r="O124" s="4"/>
    </row>
    <row r="125" spans="1:15" ht="15" x14ac:dyDescent="0.2">
      <c r="A125" s="17" t="s">
        <v>120</v>
      </c>
      <c r="B125" s="16">
        <v>194205641.22999996</v>
      </c>
      <c r="C125" s="16">
        <v>0</v>
      </c>
      <c r="D125" s="16">
        <v>19654022.127829891</v>
      </c>
      <c r="E125" s="16">
        <v>5999735.7599999988</v>
      </c>
      <c r="F125" s="16">
        <v>4503857.2</v>
      </c>
      <c r="G125" s="16">
        <v>1786486.94</v>
      </c>
      <c r="H125" s="16">
        <v>11058223.630000001</v>
      </c>
      <c r="I125" s="16">
        <v>11747491.92</v>
      </c>
      <c r="J125" s="16">
        <v>27398376.279999986</v>
      </c>
      <c r="K125" s="16">
        <v>0</v>
      </c>
      <c r="L125" s="16">
        <v>0</v>
      </c>
      <c r="M125" s="16">
        <v>56.84</v>
      </c>
      <c r="N125" s="18">
        <f t="shared" si="3"/>
        <v>276353891.92782974</v>
      </c>
      <c r="O125" s="4"/>
    </row>
    <row r="126" spans="1:15" ht="15" x14ac:dyDescent="0.2">
      <c r="A126" s="17" t="s">
        <v>121</v>
      </c>
      <c r="B126" s="16">
        <v>234392640.21000004</v>
      </c>
      <c r="C126" s="16">
        <v>0</v>
      </c>
      <c r="D126" s="16">
        <v>4032819.0808931338</v>
      </c>
      <c r="E126" s="16">
        <v>7260812.21</v>
      </c>
      <c r="F126" s="16">
        <v>2254757.65</v>
      </c>
      <c r="G126" s="16">
        <v>723785.7</v>
      </c>
      <c r="H126" s="16">
        <v>13346503.300000001</v>
      </c>
      <c r="I126" s="16">
        <v>5881125.04</v>
      </c>
      <c r="J126" s="16">
        <v>17812830.639999993</v>
      </c>
      <c r="K126" s="16">
        <v>0</v>
      </c>
      <c r="L126" s="16">
        <v>0</v>
      </c>
      <c r="M126" s="16">
        <v>28.45</v>
      </c>
      <c r="N126" s="18">
        <f t="shared" si="3"/>
        <v>285705302.28089315</v>
      </c>
      <c r="O126" s="4"/>
    </row>
    <row r="127" spans="1:15" ht="15" x14ac:dyDescent="0.2">
      <c r="A127" s="17" t="s">
        <v>122</v>
      </c>
      <c r="B127" s="16">
        <v>114612206.96000001</v>
      </c>
      <c r="C127" s="16">
        <v>0</v>
      </c>
      <c r="D127" s="16">
        <v>1474732.496571904</v>
      </c>
      <c r="E127" s="16">
        <v>3543148.0900000003</v>
      </c>
      <c r="F127" s="16">
        <v>2393381.4</v>
      </c>
      <c r="G127" s="16">
        <v>729530.04</v>
      </c>
      <c r="H127" s="16">
        <v>6526110.2000000002</v>
      </c>
      <c r="I127" s="16">
        <v>6242699.8499999996</v>
      </c>
      <c r="J127" s="16">
        <v>19817404.419999994</v>
      </c>
      <c r="K127" s="16">
        <v>0</v>
      </c>
      <c r="L127" s="16">
        <v>0</v>
      </c>
      <c r="M127" s="16">
        <v>30.2</v>
      </c>
      <c r="N127" s="18">
        <f t="shared" si="3"/>
        <v>155339243.65657189</v>
      </c>
      <c r="O127" s="4"/>
    </row>
    <row r="128" spans="1:15" ht="15" x14ac:dyDescent="0.2">
      <c r="A128" s="17" t="s">
        <v>123</v>
      </c>
      <c r="B128" s="16">
        <v>64026860.639999993</v>
      </c>
      <c r="C128" s="16">
        <v>0</v>
      </c>
      <c r="D128" s="16">
        <v>1533470.0033271562</v>
      </c>
      <c r="E128" s="16">
        <v>1990400.6599999997</v>
      </c>
      <c r="F128" s="16">
        <v>218968.93</v>
      </c>
      <c r="G128" s="16">
        <v>124460.5</v>
      </c>
      <c r="H128" s="16">
        <v>3645740.36</v>
      </c>
      <c r="I128" s="16">
        <v>571140.62</v>
      </c>
      <c r="J128" s="16">
        <v>4314548.2600000007</v>
      </c>
      <c r="K128" s="16">
        <v>0</v>
      </c>
      <c r="L128" s="16">
        <v>0</v>
      </c>
      <c r="M128" s="16">
        <v>2.75</v>
      </c>
      <c r="N128" s="18">
        <f t="shared" si="3"/>
        <v>76425592.72332716</v>
      </c>
      <c r="O128" s="4"/>
    </row>
    <row r="129" spans="1:15" ht="15" x14ac:dyDescent="0.2">
      <c r="A129" s="17" t="s">
        <v>124</v>
      </c>
      <c r="B129" s="16">
        <v>359547616.08000004</v>
      </c>
      <c r="C129" s="16">
        <v>0</v>
      </c>
      <c r="D129" s="16">
        <v>11946871.085473457</v>
      </c>
      <c r="E129" s="16">
        <v>10616268.49</v>
      </c>
      <c r="F129" s="16">
        <v>2784922.75</v>
      </c>
      <c r="G129" s="16">
        <v>1518418.16</v>
      </c>
      <c r="H129" s="16">
        <v>20472927.140000001</v>
      </c>
      <c r="I129" s="16">
        <v>7263964.2300000004</v>
      </c>
      <c r="J129" s="16">
        <v>27850434.25999999</v>
      </c>
      <c r="K129" s="16">
        <v>0</v>
      </c>
      <c r="L129" s="16">
        <v>0</v>
      </c>
      <c r="M129" s="16">
        <v>35.14</v>
      </c>
      <c r="N129" s="18">
        <f t="shared" si="3"/>
        <v>442001457.33547354</v>
      </c>
      <c r="O129" s="4"/>
    </row>
    <row r="130" spans="1:15" ht="15" x14ac:dyDescent="0.2">
      <c r="A130" s="17" t="s">
        <v>125</v>
      </c>
      <c r="B130" s="16">
        <v>107889730.44</v>
      </c>
      <c r="C130" s="16">
        <v>0</v>
      </c>
      <c r="D130" s="16">
        <v>4092622.1098384028</v>
      </c>
      <c r="E130" s="16">
        <v>3344708.1399999997</v>
      </c>
      <c r="F130" s="16">
        <v>344579.02</v>
      </c>
      <c r="G130" s="16">
        <v>112971.84</v>
      </c>
      <c r="H130" s="16">
        <v>6143327.04</v>
      </c>
      <c r="I130" s="16">
        <v>898771.68</v>
      </c>
      <c r="J130" s="16">
        <v>7324166.0799999982</v>
      </c>
      <c r="K130" s="16">
        <v>0</v>
      </c>
      <c r="L130" s="16">
        <v>0</v>
      </c>
      <c r="M130" s="16">
        <v>4.34</v>
      </c>
      <c r="N130" s="18">
        <f t="shared" si="3"/>
        <v>130150880.68983841</v>
      </c>
      <c r="O130" s="4"/>
    </row>
    <row r="131" spans="1:15" ht="15" x14ac:dyDescent="0.2">
      <c r="A131" s="17" t="s">
        <v>126</v>
      </c>
      <c r="B131" s="16">
        <v>569739340.97000003</v>
      </c>
      <c r="C131" s="16">
        <v>0</v>
      </c>
      <c r="D131" s="16">
        <v>12301239.789999999</v>
      </c>
      <c r="E131" s="16">
        <v>10503265.690000001</v>
      </c>
      <c r="F131" s="16">
        <v>15215229.140000001</v>
      </c>
      <c r="G131" s="16">
        <v>1306012.6016885359</v>
      </c>
      <c r="H131" s="16">
        <v>32441411.079999998</v>
      </c>
      <c r="I131" s="16">
        <v>39686156.450000003</v>
      </c>
      <c r="J131" s="16">
        <v>59314559.039999999</v>
      </c>
      <c r="K131" s="16">
        <v>0</v>
      </c>
      <c r="L131" s="16">
        <v>0</v>
      </c>
      <c r="M131" s="16">
        <v>192.03</v>
      </c>
      <c r="N131" s="18">
        <f t="shared" si="3"/>
        <v>740507406.79168856</v>
      </c>
      <c r="O131" s="4"/>
    </row>
    <row r="132" spans="1:15" ht="15" x14ac:dyDescent="0.2">
      <c r="A132" s="17" t="s">
        <v>127</v>
      </c>
      <c r="B132" s="16">
        <v>24173406.480000004</v>
      </c>
      <c r="C132" s="16">
        <v>0</v>
      </c>
      <c r="D132" s="16">
        <v>250039.69744374606</v>
      </c>
      <c r="E132" s="16">
        <v>745986.92999999993</v>
      </c>
      <c r="F132" s="16">
        <v>65068.28</v>
      </c>
      <c r="G132" s="16">
        <v>21062.55</v>
      </c>
      <c r="H132" s="16">
        <v>1376452.99</v>
      </c>
      <c r="I132" s="16">
        <v>169718.79</v>
      </c>
      <c r="J132" s="16">
        <v>2106623.2000000007</v>
      </c>
      <c r="K132" s="16">
        <v>0</v>
      </c>
      <c r="L132" s="16">
        <v>0</v>
      </c>
      <c r="M132" s="16">
        <v>0.80999999999999994</v>
      </c>
      <c r="N132" s="18">
        <f t="shared" si="3"/>
        <v>28908359.727443747</v>
      </c>
      <c r="O132" s="4"/>
    </row>
    <row r="133" spans="1:15" ht="15" x14ac:dyDescent="0.2">
      <c r="A133" s="17" t="s">
        <v>128</v>
      </c>
      <c r="B133" s="16">
        <v>137839996.66</v>
      </c>
      <c r="C133" s="16">
        <v>0</v>
      </c>
      <c r="D133" s="16">
        <v>2847670.4765320802</v>
      </c>
      <c r="E133" s="16">
        <v>2437765.0999999996</v>
      </c>
      <c r="F133" s="16">
        <v>235377.46</v>
      </c>
      <c r="G133" s="16">
        <v>155096.94</v>
      </c>
      <c r="H133" s="16">
        <v>7848719.0099999998</v>
      </c>
      <c r="I133" s="16">
        <v>613939.28</v>
      </c>
      <c r="J133" s="16">
        <v>7670685.4399999958</v>
      </c>
      <c r="K133" s="16">
        <v>0</v>
      </c>
      <c r="L133" s="16">
        <v>0</v>
      </c>
      <c r="M133" s="16">
        <v>2.96</v>
      </c>
      <c r="N133" s="18">
        <f t="shared" si="3"/>
        <v>159649253.32653207</v>
      </c>
      <c r="O133" s="4"/>
    </row>
    <row r="134" spans="1:15" ht="15" x14ac:dyDescent="0.2">
      <c r="A134" s="17" t="s">
        <v>129</v>
      </c>
      <c r="B134" s="16">
        <v>264968732.91000003</v>
      </c>
      <c r="C134" s="16">
        <v>0</v>
      </c>
      <c r="D134" s="16">
        <v>6383301.2166126445</v>
      </c>
      <c r="E134" s="16">
        <v>8176934.6599999992</v>
      </c>
      <c r="F134" s="16">
        <v>1098239.55</v>
      </c>
      <c r="G134" s="16">
        <v>526563.67000000004</v>
      </c>
      <c r="H134" s="16">
        <v>15087530.33</v>
      </c>
      <c r="I134" s="16">
        <v>2864558.02</v>
      </c>
      <c r="J134" s="16">
        <v>17071321.080000006</v>
      </c>
      <c r="K134" s="16">
        <v>0</v>
      </c>
      <c r="L134" s="16">
        <v>0</v>
      </c>
      <c r="M134" s="16">
        <v>13.85</v>
      </c>
      <c r="N134" s="18">
        <f t="shared" si="3"/>
        <v>316177195.28661269</v>
      </c>
      <c r="O134" s="4"/>
    </row>
    <row r="135" spans="1:15" ht="15" x14ac:dyDescent="0.2">
      <c r="A135" s="17" t="s">
        <v>130</v>
      </c>
      <c r="B135" s="16">
        <v>220603826.50999999</v>
      </c>
      <c r="C135" s="16">
        <v>0</v>
      </c>
      <c r="D135" s="16">
        <v>8029359.1516436609</v>
      </c>
      <c r="E135" s="16">
        <v>9253813.2799999993</v>
      </c>
      <c r="F135" s="16">
        <v>1653300.34</v>
      </c>
      <c r="G135" s="16">
        <v>700808.38</v>
      </c>
      <c r="H135" s="16">
        <v>12561357.289999999</v>
      </c>
      <c r="I135" s="16">
        <v>4312333.09</v>
      </c>
      <c r="J135" s="16">
        <v>18323638.52</v>
      </c>
      <c r="K135" s="16">
        <v>0</v>
      </c>
      <c r="L135" s="16">
        <v>0</v>
      </c>
      <c r="M135" s="16">
        <v>20.85</v>
      </c>
      <c r="N135" s="18">
        <f t="shared" si="3"/>
        <v>275438457.41164368</v>
      </c>
      <c r="O135" s="4"/>
    </row>
    <row r="136" spans="1:15" ht="15" x14ac:dyDescent="0.2">
      <c r="A136" s="17" t="s">
        <v>131</v>
      </c>
      <c r="B136" s="16">
        <v>375069487.70999998</v>
      </c>
      <c r="C136" s="16">
        <v>0</v>
      </c>
      <c r="D136" s="16">
        <v>3312027.85</v>
      </c>
      <c r="E136" s="16">
        <v>15735729.27</v>
      </c>
      <c r="F136" s="16">
        <v>9836627.8100000005</v>
      </c>
      <c r="G136" s="16">
        <v>4951824.2228626739</v>
      </c>
      <c r="H136" s="16">
        <v>21356754.850000001</v>
      </c>
      <c r="I136" s="16">
        <v>25657053.66</v>
      </c>
      <c r="J136" s="16">
        <v>42854599.919999994</v>
      </c>
      <c r="K136" s="16">
        <v>0</v>
      </c>
      <c r="L136" s="16">
        <v>0</v>
      </c>
      <c r="M136" s="16">
        <v>124.14999999999999</v>
      </c>
      <c r="N136" s="18">
        <f t="shared" ref="N136:N142" si="4">SUM(B136:M136)</f>
        <v>498774229.44286269</v>
      </c>
      <c r="O136" s="4"/>
    </row>
    <row r="137" spans="1:15" ht="15" x14ac:dyDescent="0.2">
      <c r="A137" s="17" t="s">
        <v>132</v>
      </c>
      <c r="B137" s="16">
        <v>61747064.259999998</v>
      </c>
      <c r="C137" s="16">
        <v>0</v>
      </c>
      <c r="D137" s="16">
        <v>989905.18373664003</v>
      </c>
      <c r="E137" s="16">
        <v>1909898.5</v>
      </c>
      <c r="F137" s="16">
        <v>117688.73</v>
      </c>
      <c r="G137" s="16">
        <v>107227.51</v>
      </c>
      <c r="H137" s="16">
        <v>3515926.94</v>
      </c>
      <c r="I137" s="16">
        <v>306969.64</v>
      </c>
      <c r="J137" s="16">
        <v>3994444.5200000009</v>
      </c>
      <c r="K137" s="16">
        <v>0</v>
      </c>
      <c r="L137" s="16">
        <v>0</v>
      </c>
      <c r="M137" s="16">
        <v>1.47</v>
      </c>
      <c r="N137" s="18">
        <f t="shared" si="4"/>
        <v>72689126.75373663</v>
      </c>
      <c r="O137" s="4"/>
    </row>
    <row r="138" spans="1:15" ht="15" x14ac:dyDescent="0.2">
      <c r="A138" s="17" t="s">
        <v>133</v>
      </c>
      <c r="B138" s="16">
        <v>133541738.02999999</v>
      </c>
      <c r="C138" s="16">
        <v>0</v>
      </c>
      <c r="D138" s="16">
        <v>7442426.1503453925</v>
      </c>
      <c r="E138" s="16">
        <v>4128039.15</v>
      </c>
      <c r="F138" s="16">
        <v>1024684.09</v>
      </c>
      <c r="G138" s="16">
        <v>438483.93</v>
      </c>
      <c r="H138" s="16">
        <v>7603972.75</v>
      </c>
      <c r="I138" s="16">
        <v>2672701.9900000002</v>
      </c>
      <c r="J138" s="16">
        <v>14747609.139999993</v>
      </c>
      <c r="K138" s="16">
        <v>0</v>
      </c>
      <c r="L138" s="16">
        <v>0</v>
      </c>
      <c r="M138" s="16">
        <v>12.92</v>
      </c>
      <c r="N138" s="18">
        <f t="shared" si="4"/>
        <v>171599668.15034539</v>
      </c>
      <c r="O138" s="4"/>
    </row>
    <row r="139" spans="1:15" ht="15" x14ac:dyDescent="0.2">
      <c r="A139" s="17" t="s">
        <v>134</v>
      </c>
      <c r="B139" s="16">
        <v>588576029.64999998</v>
      </c>
      <c r="C139" s="16">
        <v>0</v>
      </c>
      <c r="D139" s="16">
        <v>6028476.7700000005</v>
      </c>
      <c r="E139" s="16">
        <v>18267526.57</v>
      </c>
      <c r="F139" s="16">
        <v>5269965.57</v>
      </c>
      <c r="G139" s="16">
        <v>4490879.4322376251</v>
      </c>
      <c r="H139" s="16">
        <v>33513987.120000001</v>
      </c>
      <c r="I139" s="16">
        <v>13745746.210000001</v>
      </c>
      <c r="J139" s="16">
        <v>26784117.140000015</v>
      </c>
      <c r="K139" s="16">
        <v>0</v>
      </c>
      <c r="L139" s="16">
        <v>0</v>
      </c>
      <c r="M139" s="16">
        <v>66.509999999999991</v>
      </c>
      <c r="N139" s="18">
        <f t="shared" si="4"/>
        <v>696676794.97223771</v>
      </c>
      <c r="O139" s="4"/>
    </row>
    <row r="140" spans="1:15" ht="15" x14ac:dyDescent="0.2">
      <c r="A140" s="17" t="s">
        <v>135</v>
      </c>
      <c r="B140" s="16">
        <v>165809625.27999997</v>
      </c>
      <c r="C140" s="16">
        <v>0</v>
      </c>
      <c r="D140" s="16">
        <v>853249.66999999993</v>
      </c>
      <c r="E140" s="16">
        <v>5119299.7700000005</v>
      </c>
      <c r="F140" s="16">
        <v>869086.01</v>
      </c>
      <c r="G140" s="16">
        <v>388699.73</v>
      </c>
      <c r="H140" s="16">
        <v>9441331.9100000001</v>
      </c>
      <c r="I140" s="16">
        <v>2266852.71</v>
      </c>
      <c r="J140" s="16">
        <v>7026428.4200000018</v>
      </c>
      <c r="K140" s="16">
        <v>0</v>
      </c>
      <c r="L140" s="16">
        <v>0</v>
      </c>
      <c r="M140" s="16">
        <v>10.96</v>
      </c>
      <c r="N140" s="18">
        <f t="shared" si="4"/>
        <v>191774584.45999995</v>
      </c>
      <c r="O140" s="4"/>
    </row>
    <row r="141" spans="1:15" ht="15" x14ac:dyDescent="0.2">
      <c r="A141" s="17" t="s">
        <v>136</v>
      </c>
      <c r="B141" s="16">
        <v>201096609.45000005</v>
      </c>
      <c r="C141" s="16">
        <v>0</v>
      </c>
      <c r="D141" s="16">
        <v>4074246.6814408642</v>
      </c>
      <c r="E141" s="16">
        <v>6216805.4399999985</v>
      </c>
      <c r="F141" s="16">
        <v>1253271.82</v>
      </c>
      <c r="G141" s="16">
        <v>379125.85</v>
      </c>
      <c r="H141" s="16">
        <v>11450600.84</v>
      </c>
      <c r="I141" s="16">
        <v>3268931.48</v>
      </c>
      <c r="J141" s="16">
        <v>18367934.860000007</v>
      </c>
      <c r="K141" s="16">
        <v>0</v>
      </c>
      <c r="L141" s="16">
        <v>0</v>
      </c>
      <c r="M141" s="16">
        <v>15.809999999999999</v>
      </c>
      <c r="N141" s="18">
        <f t="shared" si="4"/>
        <v>246107542.2314409</v>
      </c>
      <c r="O141" s="4"/>
    </row>
    <row r="142" spans="1:15" ht="15" x14ac:dyDescent="0.2">
      <c r="A142" s="17" t="s">
        <v>137</v>
      </c>
      <c r="B142" s="16">
        <v>190254681.86000001</v>
      </c>
      <c r="C142" s="16">
        <v>0</v>
      </c>
      <c r="D142" s="16">
        <v>2630994.2003653105</v>
      </c>
      <c r="E142" s="16">
        <v>7990168.54</v>
      </c>
      <c r="F142" s="16">
        <v>5388220.1100000003</v>
      </c>
      <c r="G142" s="16">
        <v>1399701.98</v>
      </c>
      <c r="H142" s="16">
        <v>10833252.859999999</v>
      </c>
      <c r="I142" s="16">
        <v>14054191.66</v>
      </c>
      <c r="J142" s="16">
        <v>24937383.459999997</v>
      </c>
      <c r="K142" s="16">
        <v>0</v>
      </c>
      <c r="L142" s="16">
        <v>0</v>
      </c>
      <c r="M142" s="16">
        <v>68</v>
      </c>
      <c r="N142" s="18">
        <f t="shared" si="4"/>
        <v>257488662.67036533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34386069131.420006</v>
      </c>
      <c r="C143" s="25">
        <f t="shared" si="5"/>
        <v>0</v>
      </c>
      <c r="D143" s="25">
        <f t="shared" si="5"/>
        <v>534471656.9306097</v>
      </c>
      <c r="E143" s="25">
        <f t="shared" si="5"/>
        <v>1271054915.7699997</v>
      </c>
      <c r="F143" s="25">
        <f t="shared" si="5"/>
        <v>565811206.20000017</v>
      </c>
      <c r="G143" s="25">
        <f t="shared" si="5"/>
        <v>191477699.58999991</v>
      </c>
      <c r="H143" s="25">
        <f t="shared" si="5"/>
        <v>1957970117.2399995</v>
      </c>
      <c r="I143" s="25">
        <f t="shared" si="5"/>
        <v>1475815568.4599996</v>
      </c>
      <c r="J143" s="25">
        <f t="shared" ref="J143:N143" si="6">SUM(J8:J142)</f>
        <v>3115062482.8399992</v>
      </c>
      <c r="K143" s="25">
        <f t="shared" si="6"/>
        <v>0</v>
      </c>
      <c r="L143" s="25">
        <f t="shared" si="6"/>
        <v>0</v>
      </c>
      <c r="M143" s="25">
        <f t="shared" si="6"/>
        <v>7140.239999999998</v>
      </c>
      <c r="N143" s="25">
        <f t="shared" si="6"/>
        <v>43497739918.69059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4.83203125" style="1" bestFit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159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158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152738183.18000001</v>
      </c>
      <c r="C8" s="16">
        <v>0</v>
      </c>
      <c r="D8" s="16">
        <v>4763973.5972799892</v>
      </c>
      <c r="E8" s="16">
        <v>72002.41</v>
      </c>
      <c r="F8" s="16">
        <v>442182.74</v>
      </c>
      <c r="G8" s="16">
        <v>220264.16</v>
      </c>
      <c r="H8" s="16">
        <v>7827215.8200000003</v>
      </c>
      <c r="I8" s="16">
        <v>1148789.26</v>
      </c>
      <c r="J8" s="16">
        <v>9845809.1500000004</v>
      </c>
      <c r="K8" s="16">
        <v>0</v>
      </c>
      <c r="L8" s="16">
        <v>0</v>
      </c>
      <c r="M8" s="16">
        <v>4.09</v>
      </c>
      <c r="N8" s="18">
        <f t="shared" ref="N8:N39" si="0">SUM(B8:M8)</f>
        <v>177058424.40728</v>
      </c>
      <c r="O8" s="4"/>
    </row>
    <row r="9" spans="1:15" ht="18" customHeight="1" x14ac:dyDescent="0.2">
      <c r="A9" s="17" t="s">
        <v>4</v>
      </c>
      <c r="B9" s="16">
        <v>86213400.489999995</v>
      </c>
      <c r="C9" s="16">
        <v>0</v>
      </c>
      <c r="D9" s="16">
        <v>3897226.48696288</v>
      </c>
      <c r="E9" s="16">
        <v>0</v>
      </c>
      <c r="F9" s="16">
        <v>309802.57</v>
      </c>
      <c r="G9" s="16">
        <v>155599.45000000001</v>
      </c>
      <c r="H9" s="16">
        <v>4418089.04</v>
      </c>
      <c r="I9" s="16">
        <v>804866.02</v>
      </c>
      <c r="J9" s="16">
        <v>7486678.7700000014</v>
      </c>
      <c r="K9" s="16">
        <v>0</v>
      </c>
      <c r="L9" s="16">
        <v>0</v>
      </c>
      <c r="M9" s="16">
        <v>2.86</v>
      </c>
      <c r="N9" s="18">
        <f t="shared" si="0"/>
        <v>103285665.68696287</v>
      </c>
      <c r="O9" s="4"/>
    </row>
    <row r="10" spans="1:15" ht="18" customHeight="1" x14ac:dyDescent="0.2">
      <c r="A10" s="17" t="s">
        <v>5</v>
      </c>
      <c r="B10" s="16">
        <v>73152890.069999993</v>
      </c>
      <c r="C10" s="16">
        <v>0</v>
      </c>
      <c r="D10" s="16">
        <v>1639467.6402487101</v>
      </c>
      <c r="E10" s="16">
        <v>31595.52</v>
      </c>
      <c r="F10" s="16">
        <v>216422.36</v>
      </c>
      <c r="G10" s="16">
        <v>137412.51</v>
      </c>
      <c r="H10" s="16">
        <v>3748790.56</v>
      </c>
      <c r="I10" s="16">
        <v>562264.56000000006</v>
      </c>
      <c r="J10" s="16">
        <v>4348222.1399999997</v>
      </c>
      <c r="K10" s="16">
        <v>0</v>
      </c>
      <c r="L10" s="16">
        <v>0</v>
      </c>
      <c r="M10" s="16">
        <v>2</v>
      </c>
      <c r="N10" s="18">
        <f t="shared" si="0"/>
        <v>83837067.360248715</v>
      </c>
      <c r="O10" s="4"/>
    </row>
    <row r="11" spans="1:15" ht="18" customHeight="1" x14ac:dyDescent="0.2">
      <c r="A11" s="17" t="s">
        <v>6</v>
      </c>
      <c r="B11" s="16">
        <v>785403045.47000003</v>
      </c>
      <c r="C11" s="16">
        <v>0</v>
      </c>
      <c r="D11" s="16">
        <v>4406410.2038662899</v>
      </c>
      <c r="E11" s="16">
        <v>174261.62</v>
      </c>
      <c r="F11" s="16">
        <v>23229699.940000001</v>
      </c>
      <c r="G11" s="16">
        <v>12364576.895014375</v>
      </c>
      <c r="H11" s="16">
        <v>40248738.130000003</v>
      </c>
      <c r="I11" s="16">
        <v>60350680.729999997</v>
      </c>
      <c r="J11" s="16">
        <v>83889474.029999956</v>
      </c>
      <c r="K11" s="16">
        <v>0</v>
      </c>
      <c r="L11" s="16">
        <v>0</v>
      </c>
      <c r="M11" s="16">
        <v>214.91</v>
      </c>
      <c r="N11" s="18">
        <f t="shared" si="0"/>
        <v>1010067101.9288807</v>
      </c>
      <c r="O11" s="4"/>
    </row>
    <row r="12" spans="1:15" ht="18" customHeight="1" x14ac:dyDescent="0.2">
      <c r="A12" s="17" t="s">
        <v>7</v>
      </c>
      <c r="B12" s="16">
        <v>107338416.12</v>
      </c>
      <c r="C12" s="16">
        <v>0</v>
      </c>
      <c r="D12" s="16">
        <v>2620651.8558318997</v>
      </c>
      <c r="E12" s="16">
        <v>8911.51</v>
      </c>
      <c r="F12" s="16">
        <v>794281.06</v>
      </c>
      <c r="G12" s="16">
        <v>375863.62</v>
      </c>
      <c r="H12" s="16">
        <v>5500660.8799999999</v>
      </c>
      <c r="I12" s="16">
        <v>2063539.47</v>
      </c>
      <c r="J12" s="16">
        <v>8603304.1600000039</v>
      </c>
      <c r="K12" s="16">
        <v>0</v>
      </c>
      <c r="L12" s="16">
        <v>0</v>
      </c>
      <c r="M12" s="16">
        <v>7.34</v>
      </c>
      <c r="N12" s="18">
        <f t="shared" si="0"/>
        <v>127305636.01583192</v>
      </c>
      <c r="O12" s="4"/>
    </row>
    <row r="13" spans="1:15" ht="18" customHeight="1" x14ac:dyDescent="0.2">
      <c r="A13" s="17" t="s">
        <v>8</v>
      </c>
      <c r="B13" s="16">
        <v>462331730.63</v>
      </c>
      <c r="C13" s="16">
        <v>0</v>
      </c>
      <c r="D13" s="16">
        <v>4797607.7490027593</v>
      </c>
      <c r="E13" s="16">
        <v>145854.95000000001</v>
      </c>
      <c r="F13" s="16">
        <v>11296258.67</v>
      </c>
      <c r="G13" s="16">
        <v>0</v>
      </c>
      <c r="H13" s="16">
        <v>23692636.370000001</v>
      </c>
      <c r="I13" s="16">
        <v>29347641.27</v>
      </c>
      <c r="J13" s="16">
        <v>63470177.099999972</v>
      </c>
      <c r="K13" s="16">
        <v>0</v>
      </c>
      <c r="L13" s="16">
        <v>0</v>
      </c>
      <c r="M13" s="16">
        <v>104.51</v>
      </c>
      <c r="N13" s="18">
        <f t="shared" si="0"/>
        <v>595082011.2490027</v>
      </c>
      <c r="O13" s="4"/>
    </row>
    <row r="14" spans="1:15" ht="18" customHeight="1" x14ac:dyDescent="0.2">
      <c r="A14" s="17" t="s">
        <v>9</v>
      </c>
      <c r="B14" s="16">
        <v>164576463.15000001</v>
      </c>
      <c r="C14" s="16">
        <v>0</v>
      </c>
      <c r="D14" s="16">
        <v>6450369.2083840892</v>
      </c>
      <c r="E14" s="16">
        <v>12143.54</v>
      </c>
      <c r="F14" s="16">
        <v>514140.43</v>
      </c>
      <c r="G14" s="16">
        <v>262700.38</v>
      </c>
      <c r="H14" s="16">
        <v>8433879.9199999999</v>
      </c>
      <c r="I14" s="16">
        <v>1335735.0900000001</v>
      </c>
      <c r="J14" s="16">
        <v>13072110.489999998</v>
      </c>
      <c r="K14" s="16">
        <v>0</v>
      </c>
      <c r="L14" s="16">
        <v>0</v>
      </c>
      <c r="M14" s="16">
        <v>4.75</v>
      </c>
      <c r="N14" s="18">
        <f t="shared" si="0"/>
        <v>194657546.9583841</v>
      </c>
      <c r="O14" s="4"/>
    </row>
    <row r="15" spans="1:15" ht="18" customHeight="1" x14ac:dyDescent="0.2">
      <c r="A15" s="17" t="s">
        <v>10</v>
      </c>
      <c r="B15" s="16">
        <v>267926937.31999999</v>
      </c>
      <c r="C15" s="16">
        <v>0</v>
      </c>
      <c r="D15" s="16">
        <v>8803611.3189761285</v>
      </c>
      <c r="E15" s="16">
        <v>55081.01</v>
      </c>
      <c r="F15" s="16">
        <v>1915392.85</v>
      </c>
      <c r="G15" s="16">
        <v>844682.75</v>
      </c>
      <c r="H15" s="16">
        <v>13730174.85</v>
      </c>
      <c r="I15" s="16">
        <v>4976184.0599999996</v>
      </c>
      <c r="J15" s="16">
        <v>21155386.13000001</v>
      </c>
      <c r="K15" s="16">
        <v>0</v>
      </c>
      <c r="L15" s="16">
        <v>0</v>
      </c>
      <c r="M15" s="16">
        <v>17.72</v>
      </c>
      <c r="N15" s="18">
        <f t="shared" si="0"/>
        <v>319407468.00897616</v>
      </c>
      <c r="O15" s="4"/>
    </row>
    <row r="16" spans="1:15" ht="18" customHeight="1" x14ac:dyDescent="0.2">
      <c r="A16" s="17" t="s">
        <v>11</v>
      </c>
      <c r="B16" s="16">
        <v>497724716.96999997</v>
      </c>
      <c r="C16" s="16">
        <v>0</v>
      </c>
      <c r="D16" s="16">
        <v>9901991.8913562782</v>
      </c>
      <c r="E16" s="16">
        <v>244170.88</v>
      </c>
      <c r="F16" s="16">
        <v>7143585.9000000004</v>
      </c>
      <c r="G16" s="16">
        <v>3900090.23</v>
      </c>
      <c r="H16" s="16">
        <v>25506384.16</v>
      </c>
      <c r="I16" s="16">
        <v>18559011.66</v>
      </c>
      <c r="J16" s="16">
        <v>52273863.63000001</v>
      </c>
      <c r="K16" s="16">
        <v>0</v>
      </c>
      <c r="L16" s="16">
        <v>0</v>
      </c>
      <c r="M16" s="16">
        <v>66.09</v>
      </c>
      <c r="N16" s="18">
        <f t="shared" si="0"/>
        <v>615253881.41135621</v>
      </c>
      <c r="O16" s="4"/>
    </row>
    <row r="17" spans="1:15" ht="15" x14ac:dyDescent="0.2">
      <c r="A17" s="17" t="s">
        <v>12</v>
      </c>
      <c r="B17" s="16">
        <v>181137500.62</v>
      </c>
      <c r="C17" s="16">
        <v>0</v>
      </c>
      <c r="D17" s="16">
        <v>7023710.3544559292</v>
      </c>
      <c r="E17" s="16">
        <v>0</v>
      </c>
      <c r="F17" s="16">
        <v>1467167.85</v>
      </c>
      <c r="G17" s="16">
        <v>565816.19999999995</v>
      </c>
      <c r="H17" s="16">
        <v>9282566.2899999991</v>
      </c>
      <c r="I17" s="16">
        <v>3811697.05</v>
      </c>
      <c r="J17" s="16">
        <v>14317792.729999997</v>
      </c>
      <c r="K17" s="16">
        <v>0</v>
      </c>
      <c r="L17" s="16">
        <v>0</v>
      </c>
      <c r="M17" s="16">
        <v>13.57</v>
      </c>
      <c r="N17" s="18">
        <f t="shared" si="0"/>
        <v>217606264.66445589</v>
      </c>
      <c r="O17" s="4"/>
    </row>
    <row r="18" spans="1:15" ht="15" x14ac:dyDescent="0.2">
      <c r="A18" s="17" t="s">
        <v>13</v>
      </c>
      <c r="B18" s="16">
        <v>105145047.94</v>
      </c>
      <c r="C18" s="16">
        <v>0</v>
      </c>
      <c r="D18" s="16">
        <v>2774972.1879812898</v>
      </c>
      <c r="E18" s="16">
        <v>44619.54</v>
      </c>
      <c r="F18" s="16">
        <v>988731.61</v>
      </c>
      <c r="G18" s="16">
        <v>424362.15</v>
      </c>
      <c r="H18" s="16">
        <v>5388259.6100000003</v>
      </c>
      <c r="I18" s="16">
        <v>2568721.34</v>
      </c>
      <c r="J18" s="16">
        <v>11427295.209999997</v>
      </c>
      <c r="K18" s="16">
        <v>0</v>
      </c>
      <c r="L18" s="16">
        <v>0</v>
      </c>
      <c r="M18" s="16">
        <v>9.14</v>
      </c>
      <c r="N18" s="18">
        <f t="shared" si="0"/>
        <v>128762018.7279813</v>
      </c>
      <c r="O18" s="4"/>
    </row>
    <row r="19" spans="1:15" ht="15" x14ac:dyDescent="0.2">
      <c r="A19" s="17" t="s">
        <v>14</v>
      </c>
      <c r="B19" s="16">
        <v>183755510.76000002</v>
      </c>
      <c r="C19" s="16">
        <v>0</v>
      </c>
      <c r="D19" s="16">
        <v>5288756.1361758895</v>
      </c>
      <c r="E19" s="16">
        <v>11734.16</v>
      </c>
      <c r="F19" s="16">
        <v>399337.71</v>
      </c>
      <c r="G19" s="16">
        <v>262700.38</v>
      </c>
      <c r="H19" s="16">
        <v>9416728.75</v>
      </c>
      <c r="I19" s="16">
        <v>1037478.01</v>
      </c>
      <c r="J19" s="16">
        <v>10043958.120000001</v>
      </c>
      <c r="K19" s="16">
        <v>0</v>
      </c>
      <c r="L19" s="16">
        <v>0</v>
      </c>
      <c r="M19" s="16">
        <v>3.69</v>
      </c>
      <c r="N19" s="18">
        <f t="shared" si="0"/>
        <v>210216207.71617591</v>
      </c>
      <c r="O19" s="4"/>
    </row>
    <row r="20" spans="1:15" ht="15" x14ac:dyDescent="0.2">
      <c r="A20" s="17" t="s">
        <v>15</v>
      </c>
      <c r="B20" s="16">
        <v>621302919.71000004</v>
      </c>
      <c r="C20" s="16">
        <v>0</v>
      </c>
      <c r="D20" s="16">
        <v>3915969.8428067695</v>
      </c>
      <c r="E20" s="16">
        <v>159023.66</v>
      </c>
      <c r="F20" s="16">
        <v>12745849.07</v>
      </c>
      <c r="G20" s="16">
        <v>6422510.7419228265</v>
      </c>
      <c r="H20" s="16">
        <v>31839268.59</v>
      </c>
      <c r="I20" s="16">
        <v>33113672.16</v>
      </c>
      <c r="J20" s="16">
        <v>56949042.919999994</v>
      </c>
      <c r="K20" s="16">
        <v>0</v>
      </c>
      <c r="L20" s="16">
        <v>0</v>
      </c>
      <c r="M20" s="16">
        <v>117.92</v>
      </c>
      <c r="N20" s="18">
        <f t="shared" si="0"/>
        <v>766448374.61472964</v>
      </c>
      <c r="O20" s="4"/>
    </row>
    <row r="21" spans="1:15" ht="15" x14ac:dyDescent="0.2">
      <c r="A21" s="17" t="s">
        <v>16</v>
      </c>
      <c r="B21" s="16">
        <v>269038391.54999995</v>
      </c>
      <c r="C21" s="16">
        <v>0</v>
      </c>
      <c r="D21" s="16">
        <v>1365208.0203494497</v>
      </c>
      <c r="E21" s="16">
        <v>86231.74</v>
      </c>
      <c r="F21" s="16">
        <v>3389152.25</v>
      </c>
      <c r="G21" s="16">
        <v>830871.27251239098</v>
      </c>
      <c r="H21" s="16">
        <v>13787132.390000001</v>
      </c>
      <c r="I21" s="16">
        <v>8805005.9100000001</v>
      </c>
      <c r="J21" s="16">
        <v>18493253.689999998</v>
      </c>
      <c r="K21" s="16">
        <v>0</v>
      </c>
      <c r="L21" s="16">
        <v>0</v>
      </c>
      <c r="M21" s="16">
        <v>31.35</v>
      </c>
      <c r="N21" s="18">
        <f t="shared" si="0"/>
        <v>315795278.17286181</v>
      </c>
      <c r="O21" s="4"/>
    </row>
    <row r="22" spans="1:15" ht="15" x14ac:dyDescent="0.2">
      <c r="A22" s="17" t="s">
        <v>17</v>
      </c>
      <c r="B22" s="16">
        <v>200364551.20000005</v>
      </c>
      <c r="C22" s="16">
        <v>0</v>
      </c>
      <c r="D22" s="16">
        <v>5143891.2384644793</v>
      </c>
      <c r="E22" s="16">
        <v>174259.91999999998</v>
      </c>
      <c r="F22" s="16">
        <v>806914.85</v>
      </c>
      <c r="G22" s="16">
        <v>442549.1</v>
      </c>
      <c r="H22" s="16">
        <v>10267875.07</v>
      </c>
      <c r="I22" s="16">
        <v>2096362.02</v>
      </c>
      <c r="J22" s="16">
        <v>14264992.5</v>
      </c>
      <c r="K22" s="16">
        <v>0</v>
      </c>
      <c r="L22" s="16">
        <v>0</v>
      </c>
      <c r="M22" s="16">
        <v>7.46</v>
      </c>
      <c r="N22" s="18">
        <f t="shared" si="0"/>
        <v>233561403.35846451</v>
      </c>
      <c r="O22" s="4"/>
    </row>
    <row r="23" spans="1:15" ht="15" x14ac:dyDescent="0.2">
      <c r="A23" s="17" t="s">
        <v>18</v>
      </c>
      <c r="B23" s="16">
        <v>205379019.14999998</v>
      </c>
      <c r="C23" s="16">
        <v>0</v>
      </c>
      <c r="D23" s="16">
        <v>4891655.4851041296</v>
      </c>
      <c r="E23" s="16">
        <v>43562.11</v>
      </c>
      <c r="F23" s="16">
        <v>773407.83</v>
      </c>
      <c r="G23" s="16">
        <v>535504.62</v>
      </c>
      <c r="H23" s="16">
        <v>10524846.33</v>
      </c>
      <c r="I23" s="16">
        <v>2009310.91</v>
      </c>
      <c r="J23" s="16">
        <v>11524921.310000001</v>
      </c>
      <c r="K23" s="16">
        <v>0</v>
      </c>
      <c r="L23" s="16">
        <v>0</v>
      </c>
      <c r="M23" s="16">
        <v>7.15</v>
      </c>
      <c r="N23" s="18">
        <f t="shared" si="0"/>
        <v>235682234.89510417</v>
      </c>
      <c r="O23" s="4"/>
    </row>
    <row r="24" spans="1:15" ht="15" x14ac:dyDescent="0.2">
      <c r="A24" s="17" t="s">
        <v>19</v>
      </c>
      <c r="B24" s="16">
        <v>63101798.909999996</v>
      </c>
      <c r="C24" s="16">
        <v>0</v>
      </c>
      <c r="D24" s="16">
        <v>3071115.0716880304</v>
      </c>
      <c r="E24" s="16">
        <v>41359.68</v>
      </c>
      <c r="F24" s="16">
        <v>804168.37</v>
      </c>
      <c r="G24" s="16">
        <v>179615.56254887994</v>
      </c>
      <c r="H24" s="16">
        <v>3233712.67</v>
      </c>
      <c r="I24" s="16">
        <v>2089226.69</v>
      </c>
      <c r="J24" s="16">
        <v>9853565.4999999981</v>
      </c>
      <c r="K24" s="16">
        <v>0</v>
      </c>
      <c r="L24" s="16">
        <v>0</v>
      </c>
      <c r="M24" s="16">
        <v>7.44</v>
      </c>
      <c r="N24" s="18">
        <f t="shared" si="0"/>
        <v>82374569.894236907</v>
      </c>
      <c r="O24" s="4"/>
    </row>
    <row r="25" spans="1:15" ht="15" x14ac:dyDescent="0.2">
      <c r="A25" s="17" t="s">
        <v>20</v>
      </c>
      <c r="B25" s="16">
        <v>293638086.36000001</v>
      </c>
      <c r="C25" s="16">
        <v>0</v>
      </c>
      <c r="D25" s="16">
        <v>2461563.6785495095</v>
      </c>
      <c r="E25" s="16">
        <v>14398.11</v>
      </c>
      <c r="F25" s="16">
        <v>3566574.64</v>
      </c>
      <c r="G25" s="16">
        <v>1222567.1399999999</v>
      </c>
      <c r="H25" s="16">
        <v>15047767.529999999</v>
      </c>
      <c r="I25" s="16">
        <v>9265948.6899999995</v>
      </c>
      <c r="J25" s="16">
        <v>22958820.490000002</v>
      </c>
      <c r="K25" s="16">
        <v>0</v>
      </c>
      <c r="L25" s="16">
        <v>0</v>
      </c>
      <c r="M25" s="16">
        <v>32.99</v>
      </c>
      <c r="N25" s="18">
        <f t="shared" si="0"/>
        <v>348175759.62854952</v>
      </c>
      <c r="O25" s="4"/>
    </row>
    <row r="26" spans="1:15" ht="15" x14ac:dyDescent="0.2">
      <c r="A26" s="17" t="s">
        <v>21</v>
      </c>
      <c r="B26" s="16">
        <v>103697572.67</v>
      </c>
      <c r="C26" s="16">
        <v>0</v>
      </c>
      <c r="D26" s="16">
        <v>2649184.1950149694</v>
      </c>
      <c r="E26" s="16">
        <v>326520.28000000003</v>
      </c>
      <c r="F26" s="16">
        <v>1622069.14</v>
      </c>
      <c r="G26" s="16">
        <v>670896.35</v>
      </c>
      <c r="H26" s="16">
        <v>5314082.34</v>
      </c>
      <c r="I26" s="16">
        <v>4214130.0599999996</v>
      </c>
      <c r="J26" s="16">
        <v>15697049.060000006</v>
      </c>
      <c r="K26" s="16">
        <v>0</v>
      </c>
      <c r="L26" s="16">
        <v>0</v>
      </c>
      <c r="M26" s="16">
        <v>15</v>
      </c>
      <c r="N26" s="18">
        <f t="shared" si="0"/>
        <v>134191519.09501497</v>
      </c>
      <c r="O26" s="4"/>
    </row>
    <row r="27" spans="1:15" ht="15" x14ac:dyDescent="0.2">
      <c r="A27" s="17" t="s">
        <v>22</v>
      </c>
      <c r="B27" s="16">
        <v>56100744.940000005</v>
      </c>
      <c r="C27" s="16">
        <v>0</v>
      </c>
      <c r="D27" s="16">
        <v>1448467.5697923996</v>
      </c>
      <c r="E27" s="16">
        <v>165878.53</v>
      </c>
      <c r="F27" s="16">
        <v>403182.77</v>
      </c>
      <c r="G27" s="16">
        <v>187931.81</v>
      </c>
      <c r="H27" s="16">
        <v>2874936.9</v>
      </c>
      <c r="I27" s="16">
        <v>1047467.48</v>
      </c>
      <c r="J27" s="16">
        <v>4561697.3699999982</v>
      </c>
      <c r="K27" s="16">
        <v>0</v>
      </c>
      <c r="L27" s="16">
        <v>0</v>
      </c>
      <c r="M27" s="16">
        <v>3.73</v>
      </c>
      <c r="N27" s="18">
        <f t="shared" si="0"/>
        <v>66790311.099792399</v>
      </c>
      <c r="O27" s="4"/>
    </row>
    <row r="28" spans="1:15" ht="15" x14ac:dyDescent="0.2">
      <c r="A28" s="17" t="s">
        <v>23</v>
      </c>
      <c r="B28" s="16">
        <v>184722955.99000001</v>
      </c>
      <c r="C28" s="16">
        <v>0</v>
      </c>
      <c r="D28" s="16">
        <v>4510867.6231684592</v>
      </c>
      <c r="E28" s="16">
        <v>98867.709999999992</v>
      </c>
      <c r="F28" s="16">
        <v>555337.57999999996</v>
      </c>
      <c r="G28" s="16">
        <v>286949.64</v>
      </c>
      <c r="H28" s="16">
        <v>9466306.4100000001</v>
      </c>
      <c r="I28" s="16">
        <v>1442765.15</v>
      </c>
      <c r="J28" s="16">
        <v>9331169.5600000024</v>
      </c>
      <c r="K28" s="16">
        <v>0</v>
      </c>
      <c r="L28" s="16">
        <v>0</v>
      </c>
      <c r="M28" s="16">
        <v>5.13</v>
      </c>
      <c r="N28" s="18">
        <f t="shared" si="0"/>
        <v>210415224.79316849</v>
      </c>
      <c r="O28" s="4"/>
    </row>
    <row r="29" spans="1:15" ht="15" x14ac:dyDescent="0.2">
      <c r="A29" s="17" t="s">
        <v>24</v>
      </c>
      <c r="B29" s="16">
        <v>117389507.28999999</v>
      </c>
      <c r="C29" s="16">
        <v>0</v>
      </c>
      <c r="D29" s="16">
        <v>3954636.8619955494</v>
      </c>
      <c r="E29" s="16">
        <v>63539.87</v>
      </c>
      <c r="F29" s="16">
        <v>346605.35</v>
      </c>
      <c r="G29" s="16">
        <v>149537.14000000001</v>
      </c>
      <c r="H29" s="16">
        <v>6015738.7599999998</v>
      </c>
      <c r="I29" s="16">
        <v>900479.54</v>
      </c>
      <c r="J29" s="16">
        <v>8151837.9999999981</v>
      </c>
      <c r="K29" s="16">
        <v>0</v>
      </c>
      <c r="L29" s="16">
        <v>0</v>
      </c>
      <c r="M29" s="16">
        <v>3.2</v>
      </c>
      <c r="N29" s="18">
        <f t="shared" si="0"/>
        <v>136971886.01199552</v>
      </c>
      <c r="O29" s="4"/>
    </row>
    <row r="30" spans="1:15" ht="15" x14ac:dyDescent="0.2">
      <c r="A30" s="17" t="s">
        <v>25</v>
      </c>
      <c r="B30" s="16">
        <v>37257718.390000001</v>
      </c>
      <c r="C30" s="16">
        <v>0</v>
      </c>
      <c r="D30" s="16">
        <v>1775307.3249942099</v>
      </c>
      <c r="E30" s="16">
        <v>0</v>
      </c>
      <c r="F30" s="16">
        <v>299365.96000000002</v>
      </c>
      <c r="G30" s="16">
        <v>189952.58</v>
      </c>
      <c r="H30" s="16">
        <v>1909307.79</v>
      </c>
      <c r="I30" s="16">
        <v>777751.74</v>
      </c>
      <c r="J30" s="16">
        <v>6157761.9499999974</v>
      </c>
      <c r="K30" s="16">
        <v>0</v>
      </c>
      <c r="L30" s="16">
        <v>0</v>
      </c>
      <c r="M30" s="16">
        <v>2.76</v>
      </c>
      <c r="N30" s="18">
        <f t="shared" si="0"/>
        <v>48367168.494994201</v>
      </c>
      <c r="O30" s="4"/>
    </row>
    <row r="31" spans="1:15" ht="15" x14ac:dyDescent="0.2">
      <c r="A31" s="17" t="s">
        <v>26</v>
      </c>
      <c r="B31" s="16">
        <v>68330434.090000004</v>
      </c>
      <c r="C31" s="16">
        <v>0</v>
      </c>
      <c r="D31" s="16">
        <v>1704570.4310544697</v>
      </c>
      <c r="E31" s="16">
        <v>0</v>
      </c>
      <c r="F31" s="16">
        <v>357591.26</v>
      </c>
      <c r="G31" s="16">
        <v>107100.92</v>
      </c>
      <c r="H31" s="16">
        <v>3501659.14</v>
      </c>
      <c r="I31" s="16">
        <v>929020.88</v>
      </c>
      <c r="J31" s="16">
        <v>4401894.6600000011</v>
      </c>
      <c r="K31" s="16">
        <v>0</v>
      </c>
      <c r="L31" s="16">
        <v>0</v>
      </c>
      <c r="M31" s="16">
        <v>3.3</v>
      </c>
      <c r="N31" s="18">
        <f t="shared" si="0"/>
        <v>79332274.681054473</v>
      </c>
      <c r="O31" s="4"/>
    </row>
    <row r="32" spans="1:15" ht="15" x14ac:dyDescent="0.2">
      <c r="A32" s="17" t="s">
        <v>27</v>
      </c>
      <c r="B32" s="16">
        <v>312902062.30999994</v>
      </c>
      <c r="C32" s="16">
        <v>0</v>
      </c>
      <c r="D32" s="16">
        <v>5796985.9168002699</v>
      </c>
      <c r="E32" s="16">
        <v>78417.02</v>
      </c>
      <c r="F32" s="16">
        <v>1054647.05</v>
      </c>
      <c r="G32" s="16">
        <v>630480.91</v>
      </c>
      <c r="H32" s="16">
        <v>16034968.6</v>
      </c>
      <c r="I32" s="16">
        <v>2739969.43</v>
      </c>
      <c r="J32" s="16">
        <v>13667087.49</v>
      </c>
      <c r="K32" s="16">
        <v>0</v>
      </c>
      <c r="L32" s="16">
        <v>0</v>
      </c>
      <c r="M32" s="16">
        <v>9.75</v>
      </c>
      <c r="N32" s="18">
        <f t="shared" si="0"/>
        <v>352904628.47680026</v>
      </c>
      <c r="O32" s="4"/>
    </row>
    <row r="33" spans="1:15" ht="15" x14ac:dyDescent="0.2">
      <c r="A33" s="17" t="s">
        <v>28</v>
      </c>
      <c r="B33" s="16">
        <v>200737497.63</v>
      </c>
      <c r="C33" s="16">
        <v>0</v>
      </c>
      <c r="D33" s="16">
        <v>5434670.7331027091</v>
      </c>
      <c r="E33" s="16">
        <v>109683.67000000001</v>
      </c>
      <c r="F33" s="16">
        <v>773957.13</v>
      </c>
      <c r="G33" s="16">
        <v>472860.68</v>
      </c>
      <c r="H33" s="16">
        <v>10286987.08</v>
      </c>
      <c r="I33" s="16">
        <v>2010737.98</v>
      </c>
      <c r="J33" s="16">
        <v>13411621.090000004</v>
      </c>
      <c r="K33" s="16">
        <v>0</v>
      </c>
      <c r="L33" s="16">
        <v>0</v>
      </c>
      <c r="M33" s="16">
        <v>7.16</v>
      </c>
      <c r="N33" s="18">
        <f t="shared" si="0"/>
        <v>233238023.1531027</v>
      </c>
      <c r="O33" s="4"/>
    </row>
    <row r="34" spans="1:15" ht="15" x14ac:dyDescent="0.2">
      <c r="A34" s="17" t="s">
        <v>29</v>
      </c>
      <c r="B34" s="16">
        <v>266379763.46000001</v>
      </c>
      <c r="C34" s="16">
        <v>0</v>
      </c>
      <c r="D34" s="16">
        <v>4840417.8362401593</v>
      </c>
      <c r="E34" s="16">
        <v>262537.11</v>
      </c>
      <c r="F34" s="16">
        <v>1125506.1499999999</v>
      </c>
      <c r="G34" s="16">
        <v>830537.35</v>
      </c>
      <c r="H34" s="16">
        <v>13650888.43</v>
      </c>
      <c r="I34" s="16">
        <v>2924061.12</v>
      </c>
      <c r="J34" s="16">
        <v>17241216.740000002</v>
      </c>
      <c r="K34" s="16">
        <v>0</v>
      </c>
      <c r="L34" s="16">
        <v>0</v>
      </c>
      <c r="M34" s="16">
        <v>10.41</v>
      </c>
      <c r="N34" s="18">
        <f t="shared" si="0"/>
        <v>307254938.60624021</v>
      </c>
      <c r="O34" s="4"/>
    </row>
    <row r="35" spans="1:15" ht="15" x14ac:dyDescent="0.2">
      <c r="A35" s="17" t="s">
        <v>30</v>
      </c>
      <c r="B35" s="16">
        <v>133758532.66000003</v>
      </c>
      <c r="C35" s="16">
        <v>0</v>
      </c>
      <c r="D35" s="16">
        <v>2238899.2351010703</v>
      </c>
      <c r="E35" s="16">
        <v>76505.489999999991</v>
      </c>
      <c r="F35" s="16">
        <v>703647.33</v>
      </c>
      <c r="G35" s="16">
        <v>321302.77</v>
      </c>
      <c r="H35" s="16">
        <v>6854585.2800000003</v>
      </c>
      <c r="I35" s="16">
        <v>1828073.35</v>
      </c>
      <c r="J35" s="16">
        <v>6295292.0699999984</v>
      </c>
      <c r="K35" s="16">
        <v>0</v>
      </c>
      <c r="L35" s="16">
        <v>0</v>
      </c>
      <c r="M35" s="16">
        <v>6.51</v>
      </c>
      <c r="N35" s="18">
        <f t="shared" si="0"/>
        <v>152076844.69510111</v>
      </c>
      <c r="O35" s="4"/>
    </row>
    <row r="36" spans="1:15" ht="15" x14ac:dyDescent="0.2">
      <c r="A36" s="17" t="s">
        <v>31</v>
      </c>
      <c r="B36" s="16">
        <v>145666970.96000001</v>
      </c>
      <c r="C36" s="16">
        <v>0</v>
      </c>
      <c r="D36" s="16">
        <v>3406625.7733391798</v>
      </c>
      <c r="E36" s="16">
        <v>45995.659999999996</v>
      </c>
      <c r="F36" s="16">
        <v>442732.04</v>
      </c>
      <c r="G36" s="16">
        <v>204097.99</v>
      </c>
      <c r="H36" s="16">
        <v>7464844.71</v>
      </c>
      <c r="I36" s="16">
        <v>1150216.33</v>
      </c>
      <c r="J36" s="16">
        <v>6661031.5100000016</v>
      </c>
      <c r="K36" s="16">
        <v>0</v>
      </c>
      <c r="L36" s="16">
        <v>0</v>
      </c>
      <c r="M36" s="16">
        <v>4.09</v>
      </c>
      <c r="N36" s="18">
        <f t="shared" si="0"/>
        <v>165042519.0633392</v>
      </c>
      <c r="O36" s="4"/>
    </row>
    <row r="37" spans="1:15" ht="15" x14ac:dyDescent="0.2">
      <c r="A37" s="17" t="s">
        <v>32</v>
      </c>
      <c r="B37" s="16">
        <v>159429063.81999999</v>
      </c>
      <c r="C37" s="16">
        <v>0</v>
      </c>
      <c r="D37" s="16">
        <v>4133062.9132065093</v>
      </c>
      <c r="E37" s="16">
        <v>0</v>
      </c>
      <c r="F37" s="16">
        <v>821196.53</v>
      </c>
      <c r="G37" s="16">
        <v>297053.5</v>
      </c>
      <c r="H37" s="16">
        <v>8170096.46</v>
      </c>
      <c r="I37" s="16">
        <v>2133465.7799999998</v>
      </c>
      <c r="J37" s="16">
        <v>10446891.610000003</v>
      </c>
      <c r="K37" s="16">
        <v>0</v>
      </c>
      <c r="L37" s="16">
        <v>0</v>
      </c>
      <c r="M37" s="16">
        <v>7.59</v>
      </c>
      <c r="N37" s="18">
        <f t="shared" si="0"/>
        <v>185430838.20320654</v>
      </c>
      <c r="O37" s="4"/>
    </row>
    <row r="38" spans="1:15" ht="15" x14ac:dyDescent="0.2">
      <c r="A38" s="17" t="s">
        <v>33</v>
      </c>
      <c r="B38" s="16">
        <v>144562901.79000002</v>
      </c>
      <c r="C38" s="16">
        <v>0</v>
      </c>
      <c r="D38" s="16">
        <v>744392.24067813996</v>
      </c>
      <c r="E38" s="16">
        <v>47105.18</v>
      </c>
      <c r="F38" s="16">
        <v>733858.57</v>
      </c>
      <c r="G38" s="16">
        <v>804267.31</v>
      </c>
      <c r="H38" s="16">
        <v>7408265.6200000001</v>
      </c>
      <c r="I38" s="16">
        <v>1906562.06</v>
      </c>
      <c r="J38" s="16">
        <v>17543159.689999994</v>
      </c>
      <c r="K38" s="16">
        <v>0</v>
      </c>
      <c r="L38" s="16">
        <v>0</v>
      </c>
      <c r="M38" s="16">
        <v>6.78</v>
      </c>
      <c r="N38" s="18">
        <f t="shared" si="0"/>
        <v>173750519.24067816</v>
      </c>
      <c r="O38" s="4"/>
    </row>
    <row r="39" spans="1:15" ht="15" x14ac:dyDescent="0.2">
      <c r="A39" s="17" t="s">
        <v>34</v>
      </c>
      <c r="B39" s="16">
        <v>248223549.20000002</v>
      </c>
      <c r="C39" s="16">
        <v>0</v>
      </c>
      <c r="D39" s="16">
        <v>5601896.6641687583</v>
      </c>
      <c r="E39" s="16">
        <v>40590.71</v>
      </c>
      <c r="F39" s="16">
        <v>934900.66</v>
      </c>
      <c r="G39" s="16">
        <v>495089.17</v>
      </c>
      <c r="H39" s="16">
        <v>12720455.68</v>
      </c>
      <c r="I39" s="16">
        <v>2428868.73</v>
      </c>
      <c r="J39" s="16">
        <v>14754368.850000007</v>
      </c>
      <c r="K39" s="16">
        <v>0</v>
      </c>
      <c r="L39" s="16">
        <v>0</v>
      </c>
      <c r="M39" s="16">
        <v>8.64</v>
      </c>
      <c r="N39" s="18">
        <f t="shared" si="0"/>
        <v>285199728.30416876</v>
      </c>
      <c r="O39" s="4"/>
    </row>
    <row r="40" spans="1:15" ht="15" x14ac:dyDescent="0.2">
      <c r="A40" s="17" t="s">
        <v>35</v>
      </c>
      <c r="B40" s="16">
        <v>161500578.21000001</v>
      </c>
      <c r="C40" s="16">
        <v>0</v>
      </c>
      <c r="D40" s="16">
        <v>3865536.5721789203</v>
      </c>
      <c r="E40" s="16">
        <v>29629.77</v>
      </c>
      <c r="F40" s="16">
        <v>499309.46</v>
      </c>
      <c r="G40" s="16">
        <v>218243.39</v>
      </c>
      <c r="H40" s="16">
        <v>8276253.2199999997</v>
      </c>
      <c r="I40" s="16">
        <v>1297204.27</v>
      </c>
      <c r="J40" s="16">
        <v>8053651.3299999963</v>
      </c>
      <c r="K40" s="16">
        <v>0</v>
      </c>
      <c r="L40" s="16">
        <v>0</v>
      </c>
      <c r="M40" s="16">
        <v>4.6100000000000003</v>
      </c>
      <c r="N40" s="18">
        <f t="shared" ref="N40:N71" si="1">SUM(B40:M40)</f>
        <v>183740410.83217895</v>
      </c>
      <c r="O40" s="4"/>
    </row>
    <row r="41" spans="1:15" ht="15" x14ac:dyDescent="0.2">
      <c r="A41" s="17" t="s">
        <v>36</v>
      </c>
      <c r="B41" s="16">
        <v>174007207.79999998</v>
      </c>
      <c r="C41" s="16">
        <v>0</v>
      </c>
      <c r="D41" s="16">
        <v>1955766.8408853295</v>
      </c>
      <c r="E41" s="16">
        <v>0</v>
      </c>
      <c r="F41" s="16">
        <v>845365.52</v>
      </c>
      <c r="G41" s="16">
        <v>349593.58</v>
      </c>
      <c r="H41" s="16">
        <v>8917167.5399999991</v>
      </c>
      <c r="I41" s="16">
        <v>2196256.7400000002</v>
      </c>
      <c r="J41" s="16">
        <v>8334474.2800000031</v>
      </c>
      <c r="K41" s="16">
        <v>0</v>
      </c>
      <c r="L41" s="16">
        <v>0</v>
      </c>
      <c r="M41" s="16">
        <v>7.82</v>
      </c>
      <c r="N41" s="18">
        <f t="shared" si="1"/>
        <v>196605840.12088534</v>
      </c>
      <c r="O41" s="4"/>
    </row>
    <row r="42" spans="1:15" ht="15" x14ac:dyDescent="0.2">
      <c r="A42" s="17" t="s">
        <v>37</v>
      </c>
      <c r="B42" s="16">
        <v>102807670.75</v>
      </c>
      <c r="C42" s="16">
        <v>0</v>
      </c>
      <c r="D42" s="16">
        <v>878932.39870905993</v>
      </c>
      <c r="E42" s="16">
        <v>124104.32999999999</v>
      </c>
      <c r="F42" s="16">
        <v>2296054.52</v>
      </c>
      <c r="G42" s="16">
        <v>0</v>
      </c>
      <c r="H42" s="16">
        <v>5268478.45</v>
      </c>
      <c r="I42" s="16">
        <v>5965141.7699999996</v>
      </c>
      <c r="J42" s="16">
        <v>13338510.679999992</v>
      </c>
      <c r="K42" s="16">
        <v>0</v>
      </c>
      <c r="L42" s="16">
        <v>0</v>
      </c>
      <c r="M42" s="16">
        <v>21.24</v>
      </c>
      <c r="N42" s="18">
        <f t="shared" si="1"/>
        <v>130678914.13870904</v>
      </c>
      <c r="O42" s="4"/>
    </row>
    <row r="43" spans="1:15" ht="15" x14ac:dyDescent="0.2">
      <c r="A43" s="17" t="s">
        <v>38</v>
      </c>
      <c r="B43" s="16">
        <v>452110782.67000008</v>
      </c>
      <c r="C43" s="16">
        <v>0</v>
      </c>
      <c r="D43" s="16">
        <v>2836222.9372443403</v>
      </c>
      <c r="E43" s="16">
        <v>53230.82</v>
      </c>
      <c r="F43" s="16">
        <v>9547851.5999999996</v>
      </c>
      <c r="G43" s="16">
        <v>2762395.51</v>
      </c>
      <c r="H43" s="16">
        <v>23168854.010000002</v>
      </c>
      <c r="I43" s="16">
        <v>24805285.699999999</v>
      </c>
      <c r="J43" s="16">
        <v>42697195.869999997</v>
      </c>
      <c r="K43" s="16">
        <v>0</v>
      </c>
      <c r="L43" s="16">
        <v>0</v>
      </c>
      <c r="M43" s="16">
        <v>88.33</v>
      </c>
      <c r="N43" s="18">
        <f t="shared" si="1"/>
        <v>557981907.44724441</v>
      </c>
      <c r="O43" s="4"/>
    </row>
    <row r="44" spans="1:15" ht="15" x14ac:dyDescent="0.2">
      <c r="A44" s="17" t="s">
        <v>39</v>
      </c>
      <c r="B44" s="16">
        <v>534299315.78999996</v>
      </c>
      <c r="C44" s="16">
        <v>0</v>
      </c>
      <c r="D44" s="16">
        <v>4784004.7930843504</v>
      </c>
      <c r="E44" s="16">
        <v>139633.30000000002</v>
      </c>
      <c r="F44" s="16">
        <v>12013638.380000001</v>
      </c>
      <c r="G44" s="16">
        <v>4989811.4570871815</v>
      </c>
      <c r="H44" s="16">
        <v>27380684.82</v>
      </c>
      <c r="I44" s="16">
        <v>31211391.300000001</v>
      </c>
      <c r="J44" s="16">
        <v>54459422.609999985</v>
      </c>
      <c r="K44" s="16">
        <v>0</v>
      </c>
      <c r="L44" s="16">
        <v>0</v>
      </c>
      <c r="M44" s="16">
        <v>111.14</v>
      </c>
      <c r="N44" s="18">
        <f t="shared" si="1"/>
        <v>669278013.59017146</v>
      </c>
      <c r="O44" s="4"/>
    </row>
    <row r="45" spans="1:15" ht="15" x14ac:dyDescent="0.2">
      <c r="A45" s="17" t="s">
        <v>40</v>
      </c>
      <c r="B45" s="16">
        <v>155027557.33000001</v>
      </c>
      <c r="C45" s="16">
        <v>0</v>
      </c>
      <c r="D45" s="16">
        <v>2102547.0473654298</v>
      </c>
      <c r="E45" s="16">
        <v>152390.84</v>
      </c>
      <c r="F45" s="16">
        <v>894802.1</v>
      </c>
      <c r="G45" s="16">
        <v>385967.48</v>
      </c>
      <c r="H45" s="16">
        <v>7944537.0099999998</v>
      </c>
      <c r="I45" s="16">
        <v>2324692.81</v>
      </c>
      <c r="J45" s="16">
        <v>8042281.2900000038</v>
      </c>
      <c r="K45" s="16">
        <v>0</v>
      </c>
      <c r="L45" s="16">
        <v>0</v>
      </c>
      <c r="M45" s="16">
        <v>8.27</v>
      </c>
      <c r="N45" s="18">
        <f t="shared" si="1"/>
        <v>176874784.17736542</v>
      </c>
      <c r="O45" s="4"/>
    </row>
    <row r="46" spans="1:15" ht="15" x14ac:dyDescent="0.2">
      <c r="A46" s="17" t="s">
        <v>41</v>
      </c>
      <c r="B46" s="16">
        <v>235369820.92999998</v>
      </c>
      <c r="C46" s="16">
        <v>0</v>
      </c>
      <c r="D46" s="16">
        <v>2141218.85308435</v>
      </c>
      <c r="E46" s="16">
        <v>0</v>
      </c>
      <c r="F46" s="16">
        <v>7057895.8200000003</v>
      </c>
      <c r="G46" s="16">
        <v>0</v>
      </c>
      <c r="H46" s="16">
        <v>12061753.949999999</v>
      </c>
      <c r="I46" s="16">
        <v>18336389.140000001</v>
      </c>
      <c r="J46" s="16">
        <v>35047567.959999993</v>
      </c>
      <c r="K46" s="16">
        <v>0</v>
      </c>
      <c r="L46" s="16">
        <v>0</v>
      </c>
      <c r="M46" s="16">
        <v>65.290000000000006</v>
      </c>
      <c r="N46" s="18">
        <f t="shared" si="1"/>
        <v>310014711.9430843</v>
      </c>
      <c r="O46" s="4"/>
    </row>
    <row r="47" spans="1:15" ht="15" x14ac:dyDescent="0.2">
      <c r="A47" s="17" t="s">
        <v>42</v>
      </c>
      <c r="B47" s="16">
        <v>708705317.87999988</v>
      </c>
      <c r="C47" s="16">
        <v>0</v>
      </c>
      <c r="D47" s="16">
        <v>3240504.6734545599</v>
      </c>
      <c r="E47" s="16">
        <v>220576.72999999998</v>
      </c>
      <c r="F47" s="16">
        <v>22002574.149999999</v>
      </c>
      <c r="G47" s="16">
        <v>5626188.4694013279</v>
      </c>
      <c r="H47" s="16">
        <v>36318288.950000003</v>
      </c>
      <c r="I47" s="16">
        <v>57162612.140000001</v>
      </c>
      <c r="J47" s="16">
        <v>82921250.290000007</v>
      </c>
      <c r="K47" s="16">
        <v>0</v>
      </c>
      <c r="L47" s="16">
        <v>0</v>
      </c>
      <c r="M47" s="16">
        <v>203.56</v>
      </c>
      <c r="N47" s="18">
        <f t="shared" si="1"/>
        <v>916197516.84285569</v>
      </c>
      <c r="O47" s="4"/>
    </row>
    <row r="48" spans="1:15" ht="15" x14ac:dyDescent="0.2">
      <c r="A48" s="17" t="s">
        <v>43</v>
      </c>
      <c r="B48" s="16">
        <v>72491925.590000004</v>
      </c>
      <c r="C48" s="16">
        <v>0</v>
      </c>
      <c r="D48" s="16">
        <v>1625223.3763712498</v>
      </c>
      <c r="E48" s="16">
        <v>22559.4</v>
      </c>
      <c r="F48" s="16">
        <v>191154.77</v>
      </c>
      <c r="G48" s="16">
        <v>115184.01</v>
      </c>
      <c r="H48" s="16">
        <v>3714918.79</v>
      </c>
      <c r="I48" s="16">
        <v>496619.46</v>
      </c>
      <c r="J48" s="16">
        <v>4502230.919999999</v>
      </c>
      <c r="K48" s="16">
        <v>0</v>
      </c>
      <c r="L48" s="16">
        <v>0</v>
      </c>
      <c r="M48" s="16">
        <v>1.76</v>
      </c>
      <c r="N48" s="18">
        <f t="shared" si="1"/>
        <v>83159818.076371267</v>
      </c>
      <c r="O48" s="4"/>
    </row>
    <row r="49" spans="1:15" ht="15" x14ac:dyDescent="0.2">
      <c r="A49" s="17" t="s">
        <v>44</v>
      </c>
      <c r="B49" s="16">
        <v>126783326.51000001</v>
      </c>
      <c r="C49" s="16">
        <v>0</v>
      </c>
      <c r="D49" s="16">
        <v>3091216.4599884199</v>
      </c>
      <c r="E49" s="16">
        <v>6589.37</v>
      </c>
      <c r="F49" s="16">
        <v>1128801.92</v>
      </c>
      <c r="G49" s="16">
        <v>511255.35</v>
      </c>
      <c r="H49" s="16">
        <v>6497134.0999999996</v>
      </c>
      <c r="I49" s="16">
        <v>2932623.53</v>
      </c>
      <c r="J49" s="16">
        <v>10545888.309999999</v>
      </c>
      <c r="K49" s="16">
        <v>0</v>
      </c>
      <c r="L49" s="16">
        <v>0</v>
      </c>
      <c r="M49" s="16">
        <v>10.44</v>
      </c>
      <c r="N49" s="18">
        <f t="shared" si="1"/>
        <v>151496845.98998842</v>
      </c>
      <c r="O49" s="4"/>
    </row>
    <row r="50" spans="1:15" ht="15" x14ac:dyDescent="0.2">
      <c r="A50" s="17" t="s">
        <v>45</v>
      </c>
      <c r="B50" s="16">
        <v>96906993.430000007</v>
      </c>
      <c r="C50" s="16">
        <v>0</v>
      </c>
      <c r="D50" s="16">
        <v>2392994.4269805793</v>
      </c>
      <c r="E50" s="16">
        <v>68590.350000000006</v>
      </c>
      <c r="F50" s="16">
        <v>316394.11</v>
      </c>
      <c r="G50" s="16">
        <v>143474.82</v>
      </c>
      <c r="H50" s="16">
        <v>4966092.54</v>
      </c>
      <c r="I50" s="16">
        <v>821990.83</v>
      </c>
      <c r="J50" s="16">
        <v>7410951.6800000034</v>
      </c>
      <c r="K50" s="16">
        <v>0</v>
      </c>
      <c r="L50" s="16">
        <v>0</v>
      </c>
      <c r="M50" s="16">
        <v>2.92</v>
      </c>
      <c r="N50" s="18">
        <f t="shared" si="1"/>
        <v>113027485.10698059</v>
      </c>
      <c r="O50" s="4"/>
    </row>
    <row r="51" spans="1:15" ht="15" x14ac:dyDescent="0.2">
      <c r="A51" s="17" t="s">
        <v>46</v>
      </c>
      <c r="B51" s="16">
        <v>93218146.959999993</v>
      </c>
      <c r="C51" s="16">
        <v>0</v>
      </c>
      <c r="D51" s="16">
        <v>3026044.68172302</v>
      </c>
      <c r="E51" s="16">
        <v>1233.29</v>
      </c>
      <c r="F51" s="16">
        <v>394394.05</v>
      </c>
      <c r="G51" s="16">
        <v>191973.35</v>
      </c>
      <c r="H51" s="16">
        <v>4777054.04</v>
      </c>
      <c r="I51" s="16">
        <v>1024634.4</v>
      </c>
      <c r="J51" s="16">
        <v>5202123.09</v>
      </c>
      <c r="K51" s="16">
        <v>0</v>
      </c>
      <c r="L51" s="16">
        <v>0</v>
      </c>
      <c r="M51" s="16">
        <v>3.64</v>
      </c>
      <c r="N51" s="18">
        <f t="shared" si="1"/>
        <v>107835607.50172302</v>
      </c>
      <c r="O51" s="4"/>
    </row>
    <row r="52" spans="1:15" ht="15" x14ac:dyDescent="0.2">
      <c r="A52" s="17" t="s">
        <v>47</v>
      </c>
      <c r="B52" s="16">
        <v>107866449.20000002</v>
      </c>
      <c r="C52" s="16">
        <v>0</v>
      </c>
      <c r="D52" s="16">
        <v>3167458.4105151203</v>
      </c>
      <c r="E52" s="16">
        <v>58447.6</v>
      </c>
      <c r="F52" s="16">
        <v>363084.21</v>
      </c>
      <c r="G52" s="16">
        <v>224305.71</v>
      </c>
      <c r="H52" s="16">
        <v>5527720.4400000004</v>
      </c>
      <c r="I52" s="16">
        <v>943291.56</v>
      </c>
      <c r="J52" s="16">
        <v>7243703.9399999958</v>
      </c>
      <c r="K52" s="16">
        <v>0</v>
      </c>
      <c r="L52" s="16">
        <v>0</v>
      </c>
      <c r="M52" s="16">
        <v>3.35</v>
      </c>
      <c r="N52" s="18">
        <f t="shared" si="1"/>
        <v>125394464.42051511</v>
      </c>
      <c r="O52" s="4"/>
    </row>
    <row r="53" spans="1:15" ht="15" x14ac:dyDescent="0.2">
      <c r="A53" s="17" t="s">
        <v>48</v>
      </c>
      <c r="B53" s="16">
        <v>39177838.689999998</v>
      </c>
      <c r="C53" s="16">
        <v>0</v>
      </c>
      <c r="D53" s="16">
        <v>2414570.6103616897</v>
      </c>
      <c r="E53" s="16">
        <v>0</v>
      </c>
      <c r="F53" s="16">
        <v>63168.959999999999</v>
      </c>
      <c r="G53" s="16">
        <v>36373.9</v>
      </c>
      <c r="H53" s="16">
        <v>2007706.21</v>
      </c>
      <c r="I53" s="16">
        <v>164112.75</v>
      </c>
      <c r="J53" s="16">
        <v>3455850.2100000014</v>
      </c>
      <c r="K53" s="16">
        <v>0</v>
      </c>
      <c r="L53" s="16">
        <v>0</v>
      </c>
      <c r="M53" s="16">
        <v>0.57999999999999996</v>
      </c>
      <c r="N53" s="18">
        <f t="shared" si="1"/>
        <v>47319621.910361685</v>
      </c>
      <c r="O53" s="4"/>
    </row>
    <row r="54" spans="1:15" ht="15" x14ac:dyDescent="0.2">
      <c r="A54" s="17" t="s">
        <v>49</v>
      </c>
      <c r="B54" s="16">
        <v>131317764.41000001</v>
      </c>
      <c r="C54" s="16">
        <v>0</v>
      </c>
      <c r="D54" s="16">
        <v>3378247.306401189</v>
      </c>
      <c r="E54" s="16">
        <v>0</v>
      </c>
      <c r="F54" s="16">
        <v>216971.65</v>
      </c>
      <c r="G54" s="16">
        <v>139433.28</v>
      </c>
      <c r="H54" s="16">
        <v>6729505.75</v>
      </c>
      <c r="I54" s="16">
        <v>563691.63</v>
      </c>
      <c r="J54" s="16">
        <v>7916058.9400000032</v>
      </c>
      <c r="K54" s="16">
        <v>0</v>
      </c>
      <c r="L54" s="16">
        <v>0</v>
      </c>
      <c r="M54" s="16">
        <v>2</v>
      </c>
      <c r="N54" s="18">
        <f t="shared" si="1"/>
        <v>150261674.96640119</v>
      </c>
      <c r="O54" s="4"/>
    </row>
    <row r="55" spans="1:15" ht="15" x14ac:dyDescent="0.2">
      <c r="A55" s="17" t="s">
        <v>50</v>
      </c>
      <c r="B55" s="16">
        <v>57345130.600000001</v>
      </c>
      <c r="C55" s="16">
        <v>0</v>
      </c>
      <c r="D55" s="16">
        <v>1166320.5007577098</v>
      </c>
      <c r="E55" s="16">
        <v>0</v>
      </c>
      <c r="F55" s="16">
        <v>400436.3</v>
      </c>
      <c r="G55" s="16">
        <v>191973.35</v>
      </c>
      <c r="H55" s="16">
        <v>2938706.64</v>
      </c>
      <c r="I55" s="16">
        <v>1040332.14</v>
      </c>
      <c r="J55" s="16">
        <v>5667575.7700000005</v>
      </c>
      <c r="K55" s="16">
        <v>0</v>
      </c>
      <c r="L55" s="16">
        <v>0</v>
      </c>
      <c r="M55" s="16">
        <v>3.7</v>
      </c>
      <c r="N55" s="18">
        <f t="shared" si="1"/>
        <v>68750479.000757709</v>
      </c>
      <c r="O55" s="4"/>
    </row>
    <row r="56" spans="1:15" ht="15" x14ac:dyDescent="0.2">
      <c r="A56" s="17" t="s">
        <v>51</v>
      </c>
      <c r="B56" s="16">
        <v>48730437.100000009</v>
      </c>
      <c r="C56" s="16">
        <v>0</v>
      </c>
      <c r="D56" s="16">
        <v>1108986.3122385498</v>
      </c>
      <c r="E56" s="16">
        <v>0</v>
      </c>
      <c r="F56" s="16">
        <v>113154.84</v>
      </c>
      <c r="G56" s="16">
        <v>48498.53</v>
      </c>
      <c r="H56" s="16">
        <v>2497238.35</v>
      </c>
      <c r="I56" s="16">
        <v>293975.89</v>
      </c>
      <c r="J56" s="16">
        <v>4647455.1099999994</v>
      </c>
      <c r="K56" s="16">
        <v>0</v>
      </c>
      <c r="L56" s="16">
        <v>0</v>
      </c>
      <c r="M56" s="16">
        <v>1.04</v>
      </c>
      <c r="N56" s="18">
        <f t="shared" si="1"/>
        <v>57439747.172238566</v>
      </c>
      <c r="O56" s="4"/>
    </row>
    <row r="57" spans="1:15" ht="15" x14ac:dyDescent="0.2">
      <c r="A57" s="17" t="s">
        <v>52</v>
      </c>
      <c r="B57" s="16">
        <v>117618444.70000002</v>
      </c>
      <c r="C57" s="16">
        <v>0</v>
      </c>
      <c r="D57" s="16">
        <v>2817673.7868321994</v>
      </c>
      <c r="E57" s="16">
        <v>61572.46</v>
      </c>
      <c r="F57" s="16">
        <v>581154.47</v>
      </c>
      <c r="G57" s="16">
        <v>254617.29</v>
      </c>
      <c r="H57" s="16">
        <v>6027470.8799999999</v>
      </c>
      <c r="I57" s="16">
        <v>1509837.32</v>
      </c>
      <c r="J57" s="16">
        <v>9740738.0400000028</v>
      </c>
      <c r="K57" s="16">
        <v>0</v>
      </c>
      <c r="L57" s="16">
        <v>0</v>
      </c>
      <c r="M57" s="16">
        <v>5.37</v>
      </c>
      <c r="N57" s="18">
        <f t="shared" si="1"/>
        <v>138611514.31683221</v>
      </c>
      <c r="O57" s="4"/>
    </row>
    <row r="58" spans="1:15" ht="15" x14ac:dyDescent="0.2">
      <c r="A58" s="17" t="s">
        <v>53</v>
      </c>
      <c r="B58" s="16">
        <v>101518974.66000003</v>
      </c>
      <c r="C58" s="16">
        <v>0</v>
      </c>
      <c r="D58" s="16">
        <v>1336456.7304801298</v>
      </c>
      <c r="E58" s="16">
        <v>0</v>
      </c>
      <c r="F58" s="16">
        <v>338365.92</v>
      </c>
      <c r="G58" s="16">
        <v>145495.59</v>
      </c>
      <c r="H58" s="16">
        <v>5202437.9800000004</v>
      </c>
      <c r="I58" s="16">
        <v>879073.52</v>
      </c>
      <c r="J58" s="16">
        <v>5769033.3799999999</v>
      </c>
      <c r="K58" s="16">
        <v>0</v>
      </c>
      <c r="L58" s="16">
        <v>0</v>
      </c>
      <c r="M58" s="16">
        <v>3.13</v>
      </c>
      <c r="N58" s="18">
        <f t="shared" si="1"/>
        <v>115189840.91048016</v>
      </c>
      <c r="O58" s="4"/>
    </row>
    <row r="59" spans="1:15" ht="15" x14ac:dyDescent="0.2">
      <c r="A59" s="17" t="s">
        <v>54</v>
      </c>
      <c r="B59" s="16">
        <v>113866825.06</v>
      </c>
      <c r="C59" s="16">
        <v>0</v>
      </c>
      <c r="D59" s="16">
        <v>2399320.88069849</v>
      </c>
      <c r="E59" s="16">
        <v>44990.16</v>
      </c>
      <c r="F59" s="16">
        <v>329577.2</v>
      </c>
      <c r="G59" s="16">
        <v>145495.59</v>
      </c>
      <c r="H59" s="16">
        <v>5835215.5</v>
      </c>
      <c r="I59" s="16">
        <v>856240.45</v>
      </c>
      <c r="J59" s="16">
        <v>6414567.7299999967</v>
      </c>
      <c r="K59" s="16">
        <v>0</v>
      </c>
      <c r="L59" s="16">
        <v>0</v>
      </c>
      <c r="M59" s="16">
        <v>3.04</v>
      </c>
      <c r="N59" s="18">
        <f t="shared" si="1"/>
        <v>129892235.61069851</v>
      </c>
      <c r="O59" s="4"/>
    </row>
    <row r="60" spans="1:15" ht="15" x14ac:dyDescent="0.2">
      <c r="A60" s="17" t="s">
        <v>55</v>
      </c>
      <c r="B60" s="16">
        <v>827837703.68000007</v>
      </c>
      <c r="C60" s="16">
        <v>0</v>
      </c>
      <c r="D60" s="16">
        <v>23223753.073757436</v>
      </c>
      <c r="E60" s="16">
        <v>683274.52</v>
      </c>
      <c r="F60" s="16">
        <v>18129492.699999999</v>
      </c>
      <c r="G60" s="16">
        <v>8006299.2399999993</v>
      </c>
      <c r="H60" s="16">
        <v>42423343.200000003</v>
      </c>
      <c r="I60" s="16">
        <v>47100359.840000004</v>
      </c>
      <c r="J60" s="16">
        <v>106430782.70999996</v>
      </c>
      <c r="K60" s="16">
        <v>0</v>
      </c>
      <c r="L60" s="16">
        <v>0</v>
      </c>
      <c r="M60" s="16">
        <v>167.73</v>
      </c>
      <c r="N60" s="18">
        <f t="shared" si="1"/>
        <v>1073835176.6937575</v>
      </c>
      <c r="O60" s="4"/>
    </row>
    <row r="61" spans="1:15" ht="15" x14ac:dyDescent="0.2">
      <c r="A61" s="17" t="s">
        <v>56</v>
      </c>
      <c r="B61" s="16">
        <v>122086416.88999999</v>
      </c>
      <c r="C61" s="16">
        <v>0</v>
      </c>
      <c r="D61" s="16">
        <v>1903112.7166730599</v>
      </c>
      <c r="E61" s="16">
        <v>71228.27</v>
      </c>
      <c r="F61" s="16">
        <v>3236448.14</v>
      </c>
      <c r="G61" s="16">
        <v>768110.66190960875</v>
      </c>
      <c r="H61" s="16">
        <v>6256436.4299999997</v>
      </c>
      <c r="I61" s="16">
        <v>8408281.1699999999</v>
      </c>
      <c r="J61" s="16">
        <v>25817544.489999998</v>
      </c>
      <c r="K61" s="16">
        <v>0</v>
      </c>
      <c r="L61" s="16">
        <v>0</v>
      </c>
      <c r="M61" s="16">
        <v>29.94</v>
      </c>
      <c r="N61" s="18">
        <f t="shared" si="1"/>
        <v>168547608.70858264</v>
      </c>
      <c r="O61" s="4"/>
    </row>
    <row r="62" spans="1:15" ht="15" x14ac:dyDescent="0.2">
      <c r="A62" s="17" t="s">
        <v>57</v>
      </c>
      <c r="B62" s="16">
        <v>816893018.13</v>
      </c>
      <c r="C62" s="16">
        <v>0</v>
      </c>
      <c r="D62" s="16">
        <v>6648807.6899999995</v>
      </c>
      <c r="E62" s="16">
        <v>1954498.33</v>
      </c>
      <c r="F62" s="16">
        <v>14511833.59</v>
      </c>
      <c r="G62" s="16">
        <v>0</v>
      </c>
      <c r="H62" s="16">
        <v>41862472.210000001</v>
      </c>
      <c r="I62" s="16">
        <v>37701693.880000003</v>
      </c>
      <c r="J62" s="16">
        <v>53082160.120000012</v>
      </c>
      <c r="K62" s="16">
        <v>0</v>
      </c>
      <c r="L62" s="16">
        <v>0</v>
      </c>
      <c r="M62" s="16">
        <v>134.26</v>
      </c>
      <c r="N62" s="18">
        <f t="shared" si="1"/>
        <v>972654618.21000016</v>
      </c>
      <c r="O62" s="4"/>
    </row>
    <row r="63" spans="1:15" ht="15" x14ac:dyDescent="0.2">
      <c r="A63" s="17" t="s">
        <v>58</v>
      </c>
      <c r="B63" s="16">
        <v>123615128.04000001</v>
      </c>
      <c r="C63" s="16">
        <v>0</v>
      </c>
      <c r="D63" s="16">
        <v>3683776.82727734</v>
      </c>
      <c r="E63" s="16">
        <v>0</v>
      </c>
      <c r="F63" s="16">
        <v>511393.96</v>
      </c>
      <c r="G63" s="16">
        <v>234409.57</v>
      </c>
      <c r="H63" s="16">
        <v>6334776.71</v>
      </c>
      <c r="I63" s="16">
        <v>1328599.76</v>
      </c>
      <c r="J63" s="16">
        <v>7303201.6299999999</v>
      </c>
      <c r="K63" s="16">
        <v>0</v>
      </c>
      <c r="L63" s="16">
        <v>0</v>
      </c>
      <c r="M63" s="16">
        <v>4.7300000000000004</v>
      </c>
      <c r="N63" s="18">
        <f t="shared" si="1"/>
        <v>143011291.22727731</v>
      </c>
      <c r="O63" s="4"/>
    </row>
    <row r="64" spans="1:15" ht="15" x14ac:dyDescent="0.2">
      <c r="A64" s="17" t="s">
        <v>59</v>
      </c>
      <c r="B64" s="16">
        <v>241067408.61000001</v>
      </c>
      <c r="C64" s="16">
        <v>0</v>
      </c>
      <c r="D64" s="16">
        <v>9928833.8161789477</v>
      </c>
      <c r="E64" s="16">
        <v>654038.13</v>
      </c>
      <c r="F64" s="16">
        <v>935999.25</v>
      </c>
      <c r="G64" s="16">
        <v>400112.88</v>
      </c>
      <c r="H64" s="16">
        <v>12353732.34</v>
      </c>
      <c r="I64" s="16">
        <v>2431722.87</v>
      </c>
      <c r="J64" s="16">
        <v>15006283.840000007</v>
      </c>
      <c r="K64" s="16">
        <v>0</v>
      </c>
      <c r="L64" s="16">
        <v>0</v>
      </c>
      <c r="M64" s="16">
        <v>8.65</v>
      </c>
      <c r="N64" s="18">
        <f t="shared" si="1"/>
        <v>282778140.38617897</v>
      </c>
      <c r="O64" s="4"/>
    </row>
    <row r="65" spans="1:15" ht="15" x14ac:dyDescent="0.2">
      <c r="A65" s="17" t="s">
        <v>60</v>
      </c>
      <c r="B65" s="16">
        <v>134500733.03000003</v>
      </c>
      <c r="C65" s="16">
        <v>0</v>
      </c>
      <c r="D65" s="16">
        <v>3281743.4763470194</v>
      </c>
      <c r="E65" s="16">
        <v>0</v>
      </c>
      <c r="F65" s="16">
        <v>203788.57</v>
      </c>
      <c r="G65" s="16">
        <v>153578.68</v>
      </c>
      <c r="H65" s="16">
        <v>6892620.0599999996</v>
      </c>
      <c r="I65" s="16">
        <v>529442.01</v>
      </c>
      <c r="J65" s="16">
        <v>8670963.200000003</v>
      </c>
      <c r="K65" s="16">
        <v>0</v>
      </c>
      <c r="L65" s="16">
        <v>0</v>
      </c>
      <c r="M65" s="16">
        <v>1.88</v>
      </c>
      <c r="N65" s="18">
        <f t="shared" si="1"/>
        <v>154232870.90634704</v>
      </c>
      <c r="O65" s="4"/>
    </row>
    <row r="66" spans="1:15" ht="15" x14ac:dyDescent="0.2">
      <c r="A66" s="17" t="s">
        <v>61</v>
      </c>
      <c r="B66" s="16">
        <v>75080395.399999991</v>
      </c>
      <c r="C66" s="16">
        <v>0</v>
      </c>
      <c r="D66" s="16">
        <v>1930478.9027475496</v>
      </c>
      <c r="E66" s="16">
        <v>7123.4500000000007</v>
      </c>
      <c r="F66" s="16">
        <v>199394.2</v>
      </c>
      <c r="G66" s="16">
        <v>123267.1</v>
      </c>
      <c r="H66" s="16">
        <v>3847567.43</v>
      </c>
      <c r="I66" s="16">
        <v>518025.47</v>
      </c>
      <c r="J66" s="16">
        <v>3885541.9000000004</v>
      </c>
      <c r="K66" s="16">
        <v>0</v>
      </c>
      <c r="L66" s="16">
        <v>0</v>
      </c>
      <c r="M66" s="16">
        <v>1.84</v>
      </c>
      <c r="N66" s="18">
        <f t="shared" si="1"/>
        <v>85591795.692747563</v>
      </c>
      <c r="O66" s="4"/>
    </row>
    <row r="67" spans="1:15" ht="15" x14ac:dyDescent="0.2">
      <c r="A67" s="17" t="s">
        <v>62</v>
      </c>
      <c r="B67" s="16">
        <v>346862343.52999997</v>
      </c>
      <c r="C67" s="16">
        <v>0</v>
      </c>
      <c r="D67" s="16">
        <v>1813033.0499999998</v>
      </c>
      <c r="E67" s="16">
        <v>148882.9</v>
      </c>
      <c r="F67" s="16">
        <v>5357826.74</v>
      </c>
      <c r="G67" s="16">
        <v>2511201.3020336777</v>
      </c>
      <c r="H67" s="16">
        <v>17775296.030000001</v>
      </c>
      <c r="I67" s="16">
        <v>13919615.51</v>
      </c>
      <c r="J67" s="16">
        <v>26218951.439999994</v>
      </c>
      <c r="K67" s="16">
        <v>0</v>
      </c>
      <c r="L67" s="16">
        <v>0</v>
      </c>
      <c r="M67" s="16">
        <v>49.56</v>
      </c>
      <c r="N67" s="18">
        <f t="shared" si="1"/>
        <v>414607200.06203365</v>
      </c>
      <c r="O67" s="4"/>
    </row>
    <row r="68" spans="1:15" ht="15" x14ac:dyDescent="0.2">
      <c r="A68" s="17" t="s">
        <v>63</v>
      </c>
      <c r="B68" s="16">
        <v>213077962.95000002</v>
      </c>
      <c r="C68" s="16">
        <v>0</v>
      </c>
      <c r="D68" s="16">
        <v>2903686.0799999991</v>
      </c>
      <c r="E68" s="16">
        <v>0</v>
      </c>
      <c r="F68" s="16">
        <v>4725038.51</v>
      </c>
      <c r="G68" s="16">
        <v>2484649.885305407</v>
      </c>
      <c r="H68" s="16">
        <v>10919386.15</v>
      </c>
      <c r="I68" s="16">
        <v>12275633.85</v>
      </c>
      <c r="J68" s="16">
        <v>22251514.339999996</v>
      </c>
      <c r="K68" s="16">
        <v>0</v>
      </c>
      <c r="L68" s="16">
        <v>0</v>
      </c>
      <c r="M68" s="16">
        <v>43.71</v>
      </c>
      <c r="N68" s="18">
        <f t="shared" si="1"/>
        <v>268637915.47530538</v>
      </c>
      <c r="O68" s="4"/>
    </row>
    <row r="69" spans="1:15" ht="15" x14ac:dyDescent="0.2">
      <c r="A69" s="17" t="s">
        <v>64</v>
      </c>
      <c r="B69" s="16">
        <v>658804345.82000005</v>
      </c>
      <c r="C69" s="16">
        <v>0</v>
      </c>
      <c r="D69" s="16">
        <v>2184195.1638662899</v>
      </c>
      <c r="E69" s="16">
        <v>0</v>
      </c>
      <c r="F69" s="16">
        <v>13944960.800000001</v>
      </c>
      <c r="G69" s="16">
        <v>2421868.7303756215</v>
      </c>
      <c r="H69" s="16">
        <v>33761065.409999996</v>
      </c>
      <c r="I69" s="16">
        <v>36228960.310000002</v>
      </c>
      <c r="J69" s="16">
        <v>49287951.679999992</v>
      </c>
      <c r="K69" s="16">
        <v>0</v>
      </c>
      <c r="L69" s="16">
        <v>0</v>
      </c>
      <c r="M69" s="16">
        <v>129.01</v>
      </c>
      <c r="N69" s="18">
        <f t="shared" si="1"/>
        <v>796633476.9242419</v>
      </c>
      <c r="O69" s="4"/>
    </row>
    <row r="70" spans="1:15" ht="15" x14ac:dyDescent="0.2">
      <c r="A70" s="17" t="s">
        <v>65</v>
      </c>
      <c r="B70" s="16">
        <v>150640820.99000001</v>
      </c>
      <c r="C70" s="16">
        <v>0</v>
      </c>
      <c r="D70" s="16">
        <v>7075799.6311309785</v>
      </c>
      <c r="E70" s="16">
        <v>149364.5</v>
      </c>
      <c r="F70" s="16">
        <v>3096927.12</v>
      </c>
      <c r="G70" s="16">
        <v>1168006.3</v>
      </c>
      <c r="H70" s="16">
        <v>7719734.46</v>
      </c>
      <c r="I70" s="16">
        <v>8045806.0499999998</v>
      </c>
      <c r="J70" s="16">
        <v>20614673.629999999</v>
      </c>
      <c r="K70" s="16">
        <v>0</v>
      </c>
      <c r="L70" s="16">
        <v>0</v>
      </c>
      <c r="M70" s="16">
        <v>28.65</v>
      </c>
      <c r="N70" s="18">
        <f t="shared" si="1"/>
        <v>198511161.33113104</v>
      </c>
      <c r="O70" s="4"/>
    </row>
    <row r="71" spans="1:15" ht="15" x14ac:dyDescent="0.2">
      <c r="A71" s="17" t="s">
        <v>66</v>
      </c>
      <c r="B71" s="16">
        <v>522265331.18000001</v>
      </c>
      <c r="C71" s="16">
        <v>0</v>
      </c>
      <c r="D71" s="16">
        <v>1832095.38</v>
      </c>
      <c r="E71" s="16">
        <v>116918.24000000002</v>
      </c>
      <c r="F71" s="16">
        <v>1949998.45</v>
      </c>
      <c r="G71" s="16">
        <v>901264.37</v>
      </c>
      <c r="H71" s="16">
        <v>26763991.649999999</v>
      </c>
      <c r="I71" s="16">
        <v>5066089.3</v>
      </c>
      <c r="J71" s="16">
        <v>17746323.989999998</v>
      </c>
      <c r="K71" s="16">
        <v>0</v>
      </c>
      <c r="L71" s="16">
        <v>0</v>
      </c>
      <c r="M71" s="16">
        <v>18.04</v>
      </c>
      <c r="N71" s="18">
        <f t="shared" si="1"/>
        <v>576642030.5999999</v>
      </c>
      <c r="O71" s="4"/>
    </row>
    <row r="72" spans="1:15" ht="15" x14ac:dyDescent="0.2">
      <c r="A72" s="17" t="s">
        <v>67</v>
      </c>
      <c r="B72" s="16">
        <v>2717900716.9400001</v>
      </c>
      <c r="C72" s="16">
        <v>0</v>
      </c>
      <c r="D72" s="16">
        <v>10354931.253942801</v>
      </c>
      <c r="E72" s="16">
        <v>256698.64</v>
      </c>
      <c r="F72" s="16">
        <v>56739462.859999999</v>
      </c>
      <c r="G72" s="16">
        <v>0</v>
      </c>
      <c r="H72" s="16">
        <v>139281448.97</v>
      </c>
      <c r="I72" s="16">
        <v>147408928.02000001</v>
      </c>
      <c r="J72" s="16">
        <v>261312406.52999994</v>
      </c>
      <c r="K72" s="16">
        <v>0</v>
      </c>
      <c r="L72" s="16">
        <v>0</v>
      </c>
      <c r="M72" s="16">
        <v>524.94000000000005</v>
      </c>
      <c r="N72" s="18">
        <f t="shared" ref="N72:N103" si="2">SUM(B72:M72)</f>
        <v>3333255118.1539426</v>
      </c>
      <c r="O72" s="4"/>
    </row>
    <row r="73" spans="1:15" ht="15" x14ac:dyDescent="0.2">
      <c r="A73" s="17" t="s">
        <v>68</v>
      </c>
      <c r="B73" s="16">
        <v>1088903903.6300001</v>
      </c>
      <c r="C73" s="16">
        <v>0</v>
      </c>
      <c r="D73" s="16">
        <v>22163883.215417106</v>
      </c>
      <c r="E73" s="16">
        <v>1492699.22</v>
      </c>
      <c r="F73" s="16">
        <v>21059983.34</v>
      </c>
      <c r="G73" s="16">
        <v>10228919.671613926</v>
      </c>
      <c r="H73" s="16">
        <v>55801932.920000002</v>
      </c>
      <c r="I73" s="16">
        <v>54713764.460000001</v>
      </c>
      <c r="J73" s="16">
        <v>112900082.24000002</v>
      </c>
      <c r="K73" s="16">
        <v>0</v>
      </c>
      <c r="L73" s="16">
        <v>0</v>
      </c>
      <c r="M73" s="16">
        <v>194.84</v>
      </c>
      <c r="N73" s="18">
        <f t="shared" si="2"/>
        <v>1367265363.5370312</v>
      </c>
      <c r="O73" s="4"/>
    </row>
    <row r="74" spans="1:15" ht="15" x14ac:dyDescent="0.2">
      <c r="A74" s="17" t="s">
        <v>69</v>
      </c>
      <c r="B74" s="16">
        <v>673607734.68999982</v>
      </c>
      <c r="C74" s="16">
        <v>0</v>
      </c>
      <c r="D74" s="16">
        <v>4990516.9999999991</v>
      </c>
      <c r="E74" s="16">
        <v>174107.32</v>
      </c>
      <c r="F74" s="16">
        <v>15290185.09</v>
      </c>
      <c r="G74" s="16">
        <v>18274074.263065096</v>
      </c>
      <c r="H74" s="16">
        <v>34519679.380000003</v>
      </c>
      <c r="I74" s="16">
        <v>39723848.399999999</v>
      </c>
      <c r="J74" s="16">
        <v>61344115.799999982</v>
      </c>
      <c r="K74" s="16">
        <v>0</v>
      </c>
      <c r="L74" s="16">
        <v>0</v>
      </c>
      <c r="M74" s="16">
        <v>141.46</v>
      </c>
      <c r="N74" s="18">
        <f t="shared" si="2"/>
        <v>847924403.40306497</v>
      </c>
      <c r="O74" s="4"/>
    </row>
    <row r="75" spans="1:15" ht="15" x14ac:dyDescent="0.2">
      <c r="A75" s="17" t="s">
        <v>70</v>
      </c>
      <c r="B75" s="16">
        <v>108948363.14000002</v>
      </c>
      <c r="C75" s="16">
        <v>0</v>
      </c>
      <c r="D75" s="16">
        <v>2827229.4543667696</v>
      </c>
      <c r="E75" s="16">
        <v>7386.42</v>
      </c>
      <c r="F75" s="16">
        <v>277943.44</v>
      </c>
      <c r="G75" s="16">
        <v>131350.19</v>
      </c>
      <c r="H75" s="16">
        <v>5583164.1699999999</v>
      </c>
      <c r="I75" s="16">
        <v>722096.11</v>
      </c>
      <c r="J75" s="16">
        <v>7173864.2700000033</v>
      </c>
      <c r="K75" s="16">
        <v>0</v>
      </c>
      <c r="L75" s="16">
        <v>0</v>
      </c>
      <c r="M75" s="16">
        <v>2.57</v>
      </c>
      <c r="N75" s="18">
        <f t="shared" si="2"/>
        <v>125671399.76436678</v>
      </c>
      <c r="O75" s="4"/>
    </row>
    <row r="76" spans="1:15" ht="15" x14ac:dyDescent="0.2">
      <c r="A76" s="17" t="s">
        <v>71</v>
      </c>
      <c r="B76" s="16">
        <v>101485741.84</v>
      </c>
      <c r="C76" s="16">
        <v>0</v>
      </c>
      <c r="D76" s="16">
        <v>3808010.1118471697</v>
      </c>
      <c r="E76" s="16">
        <v>39095.69</v>
      </c>
      <c r="F76" s="16">
        <v>500408.05</v>
      </c>
      <c r="G76" s="16">
        <v>309178.14</v>
      </c>
      <c r="H76" s="16">
        <v>5200734.93</v>
      </c>
      <c r="I76" s="16">
        <v>1300058.4099999999</v>
      </c>
      <c r="J76" s="16">
        <v>10216501.479999997</v>
      </c>
      <c r="K76" s="16">
        <v>0</v>
      </c>
      <c r="L76" s="16">
        <v>0</v>
      </c>
      <c r="M76" s="16">
        <v>4.62</v>
      </c>
      <c r="N76" s="18">
        <f t="shared" si="2"/>
        <v>122859733.27184716</v>
      </c>
      <c r="O76" s="4"/>
    </row>
    <row r="77" spans="1:15" ht="15" x14ac:dyDescent="0.2">
      <c r="A77" s="17" t="s">
        <v>72</v>
      </c>
      <c r="B77" s="16">
        <v>132218743.93000001</v>
      </c>
      <c r="C77" s="16">
        <v>0</v>
      </c>
      <c r="D77" s="16">
        <v>2781504.0265450301</v>
      </c>
      <c r="E77" s="16">
        <v>9061.1299999999992</v>
      </c>
      <c r="F77" s="16">
        <v>587746.01</v>
      </c>
      <c r="G77" s="16">
        <v>218243.39</v>
      </c>
      <c r="H77" s="16">
        <v>6775677.3200000003</v>
      </c>
      <c r="I77" s="16">
        <v>1526962.13</v>
      </c>
      <c r="J77" s="16">
        <v>6857996.8699999982</v>
      </c>
      <c r="K77" s="16">
        <v>0</v>
      </c>
      <c r="L77" s="16">
        <v>0</v>
      </c>
      <c r="M77" s="16">
        <v>5.43</v>
      </c>
      <c r="N77" s="18">
        <f t="shared" si="2"/>
        <v>150975940.236545</v>
      </c>
      <c r="O77" s="4"/>
    </row>
    <row r="78" spans="1:15" ht="15" x14ac:dyDescent="0.2">
      <c r="A78" s="17" t="s">
        <v>73</v>
      </c>
      <c r="B78" s="16">
        <v>51333677.100000001</v>
      </c>
      <c r="C78" s="16">
        <v>0</v>
      </c>
      <c r="D78" s="16">
        <v>1467606.9108199896</v>
      </c>
      <c r="E78" s="16">
        <v>0</v>
      </c>
      <c r="F78" s="16">
        <v>208732.22</v>
      </c>
      <c r="G78" s="16">
        <v>72747.8</v>
      </c>
      <c r="H78" s="16">
        <v>2630643.9</v>
      </c>
      <c r="I78" s="16">
        <v>542285.62</v>
      </c>
      <c r="J78" s="16">
        <v>3094222.5799999996</v>
      </c>
      <c r="K78" s="16">
        <v>0</v>
      </c>
      <c r="L78" s="16">
        <v>0</v>
      </c>
      <c r="M78" s="16">
        <v>1.93</v>
      </c>
      <c r="N78" s="18">
        <f t="shared" si="2"/>
        <v>59349918.060819983</v>
      </c>
      <c r="O78" s="4"/>
    </row>
    <row r="79" spans="1:15" ht="15" x14ac:dyDescent="0.2">
      <c r="A79" s="17" t="s">
        <v>74</v>
      </c>
      <c r="B79" s="16">
        <v>205593186.40000001</v>
      </c>
      <c r="C79" s="16">
        <v>0</v>
      </c>
      <c r="D79" s="16">
        <v>9282427.437670961</v>
      </c>
      <c r="E79" s="16">
        <v>98367.13</v>
      </c>
      <c r="F79" s="16">
        <v>1049154.1000000001</v>
      </c>
      <c r="G79" s="16">
        <v>541566.93000000005</v>
      </c>
      <c r="H79" s="16">
        <v>10535821.539999999</v>
      </c>
      <c r="I79" s="16">
        <v>2725698.75</v>
      </c>
      <c r="J79" s="16">
        <v>16053474.570000004</v>
      </c>
      <c r="K79" s="16">
        <v>0</v>
      </c>
      <c r="L79" s="16">
        <v>0</v>
      </c>
      <c r="M79" s="16">
        <v>9.6999999999999993</v>
      </c>
      <c r="N79" s="18">
        <f t="shared" si="2"/>
        <v>245879706.55767095</v>
      </c>
      <c r="O79" s="4"/>
    </row>
    <row r="80" spans="1:15" ht="15" x14ac:dyDescent="0.2">
      <c r="A80" s="17" t="s">
        <v>75</v>
      </c>
      <c r="B80" s="16">
        <v>128828993.11000001</v>
      </c>
      <c r="C80" s="16">
        <v>0</v>
      </c>
      <c r="D80" s="16">
        <v>7117282.5573569089</v>
      </c>
      <c r="E80" s="16">
        <v>0</v>
      </c>
      <c r="F80" s="16">
        <v>339464.52</v>
      </c>
      <c r="G80" s="16">
        <v>226326.48</v>
      </c>
      <c r="H80" s="16">
        <v>6601966.2599999998</v>
      </c>
      <c r="I80" s="16">
        <v>881927.66</v>
      </c>
      <c r="J80" s="16">
        <v>10580340.770000001</v>
      </c>
      <c r="K80" s="16">
        <v>0</v>
      </c>
      <c r="L80" s="16">
        <v>0</v>
      </c>
      <c r="M80" s="16">
        <v>3.14</v>
      </c>
      <c r="N80" s="18">
        <f t="shared" si="2"/>
        <v>154576304.49735689</v>
      </c>
      <c r="O80" s="4"/>
    </row>
    <row r="81" spans="1:15" ht="15" x14ac:dyDescent="0.2">
      <c r="A81" s="17" t="s">
        <v>76</v>
      </c>
      <c r="B81" s="16">
        <v>65055152.020000003</v>
      </c>
      <c r="C81" s="16">
        <v>0</v>
      </c>
      <c r="D81" s="16">
        <v>2918998.0481089097</v>
      </c>
      <c r="E81" s="16">
        <v>62870.479999999996</v>
      </c>
      <c r="F81" s="16">
        <v>881619.02</v>
      </c>
      <c r="G81" s="16">
        <v>466798.36</v>
      </c>
      <c r="H81" s="16">
        <v>3333814.14</v>
      </c>
      <c r="I81" s="16">
        <v>2290443.19</v>
      </c>
      <c r="J81" s="16">
        <v>11764812.189999992</v>
      </c>
      <c r="K81" s="16">
        <v>0</v>
      </c>
      <c r="L81" s="16">
        <v>0</v>
      </c>
      <c r="M81" s="16">
        <v>8.15</v>
      </c>
      <c r="N81" s="18">
        <f t="shared" si="2"/>
        <v>86774515.598108917</v>
      </c>
      <c r="O81" s="4"/>
    </row>
    <row r="82" spans="1:15" ht="15" x14ac:dyDescent="0.2">
      <c r="A82" s="17" t="s">
        <v>77</v>
      </c>
      <c r="B82" s="16">
        <v>996730745.07000005</v>
      </c>
      <c r="C82" s="16">
        <v>0</v>
      </c>
      <c r="D82" s="16">
        <v>8423654.5800000001</v>
      </c>
      <c r="E82" s="16">
        <v>131335.57999999999</v>
      </c>
      <c r="F82" s="16">
        <v>25408754.550000001</v>
      </c>
      <c r="G82" s="16">
        <v>19337274.558028381</v>
      </c>
      <c r="H82" s="16">
        <v>51078430.329999998</v>
      </c>
      <c r="I82" s="16">
        <v>66011857.140000001</v>
      </c>
      <c r="J82" s="16">
        <v>100874290</v>
      </c>
      <c r="K82" s="16">
        <v>0</v>
      </c>
      <c r="L82" s="16">
        <v>0</v>
      </c>
      <c r="M82" s="16">
        <v>235.07</v>
      </c>
      <c r="N82" s="18">
        <f t="shared" si="2"/>
        <v>1267996576.8780284</v>
      </c>
      <c r="O82" s="4"/>
    </row>
    <row r="83" spans="1:15" ht="15" x14ac:dyDescent="0.2">
      <c r="A83" s="17" t="s">
        <v>78</v>
      </c>
      <c r="B83" s="16">
        <v>301226254.00999999</v>
      </c>
      <c r="C83" s="16">
        <v>0</v>
      </c>
      <c r="D83" s="16">
        <v>4182221.4809653102</v>
      </c>
      <c r="E83" s="16">
        <v>188074.45</v>
      </c>
      <c r="F83" s="16">
        <v>2813490.73</v>
      </c>
      <c r="G83" s="16">
        <v>1374125.05</v>
      </c>
      <c r="H83" s="16">
        <v>15436630.51</v>
      </c>
      <c r="I83" s="16">
        <v>7309439.2699999996</v>
      </c>
      <c r="J83" s="16">
        <v>21754879.949999996</v>
      </c>
      <c r="K83" s="16">
        <v>0</v>
      </c>
      <c r="L83" s="16">
        <v>0</v>
      </c>
      <c r="M83" s="16">
        <v>26.02</v>
      </c>
      <c r="N83" s="18">
        <f t="shared" si="2"/>
        <v>354285141.47096527</v>
      </c>
      <c r="O83" s="4"/>
    </row>
    <row r="84" spans="1:15" ht="15" x14ac:dyDescent="0.2">
      <c r="A84" s="17" t="s">
        <v>79</v>
      </c>
      <c r="B84" s="16">
        <v>107630126.70000002</v>
      </c>
      <c r="C84" s="16">
        <v>0</v>
      </c>
      <c r="D84" s="16">
        <v>2756589.3952079294</v>
      </c>
      <c r="E84" s="16">
        <v>27835.97</v>
      </c>
      <c r="F84" s="16">
        <v>564675.6</v>
      </c>
      <c r="G84" s="16">
        <v>122554.60072470848</v>
      </c>
      <c r="H84" s="16">
        <v>5515609.8700000001</v>
      </c>
      <c r="I84" s="16">
        <v>1467025.3</v>
      </c>
      <c r="J84" s="16">
        <v>9079067.5799999982</v>
      </c>
      <c r="K84" s="16">
        <v>0</v>
      </c>
      <c r="L84" s="16">
        <v>0</v>
      </c>
      <c r="M84" s="16">
        <v>5.22</v>
      </c>
      <c r="N84" s="18">
        <f t="shared" si="2"/>
        <v>127163490.23593265</v>
      </c>
      <c r="O84" s="4"/>
    </row>
    <row r="85" spans="1:15" ht="15" x14ac:dyDescent="0.2">
      <c r="A85" s="17" t="s">
        <v>80</v>
      </c>
      <c r="B85" s="16">
        <v>102390413.86999997</v>
      </c>
      <c r="C85" s="16">
        <v>0</v>
      </c>
      <c r="D85" s="16">
        <v>2394954.1267379895</v>
      </c>
      <c r="E85" s="16">
        <v>34276.25</v>
      </c>
      <c r="F85" s="16">
        <v>266957.53000000003</v>
      </c>
      <c r="G85" s="16">
        <v>131350.19</v>
      </c>
      <c r="H85" s="16">
        <v>5247095.72</v>
      </c>
      <c r="I85" s="16">
        <v>693554.76</v>
      </c>
      <c r="J85" s="16">
        <v>5055216.7700000005</v>
      </c>
      <c r="K85" s="16">
        <v>0</v>
      </c>
      <c r="L85" s="16">
        <v>0</v>
      </c>
      <c r="M85" s="16">
        <v>2.46</v>
      </c>
      <c r="N85" s="18">
        <f t="shared" si="2"/>
        <v>116213821.67673795</v>
      </c>
      <c r="O85" s="4"/>
    </row>
    <row r="86" spans="1:15" ht="15" x14ac:dyDescent="0.2">
      <c r="A86" s="17" t="s">
        <v>81</v>
      </c>
      <c r="B86" s="16">
        <v>1217961834.27</v>
      </c>
      <c r="C86" s="16">
        <v>0</v>
      </c>
      <c r="D86" s="16">
        <v>9626924.4699999988</v>
      </c>
      <c r="E86" s="16">
        <v>157579.54</v>
      </c>
      <c r="F86" s="16">
        <v>15942198.66</v>
      </c>
      <c r="G86" s="16">
        <v>4473326.7405463979</v>
      </c>
      <c r="H86" s="16">
        <v>62415631.310000002</v>
      </c>
      <c r="I86" s="16">
        <v>41417777.409999996</v>
      </c>
      <c r="J86" s="16">
        <v>44778774.050000004</v>
      </c>
      <c r="K86" s="16">
        <v>0</v>
      </c>
      <c r="L86" s="16">
        <v>0</v>
      </c>
      <c r="M86" s="16">
        <v>147.49</v>
      </c>
      <c r="N86" s="18">
        <f t="shared" si="2"/>
        <v>1396774193.9405465</v>
      </c>
      <c r="O86" s="4"/>
    </row>
    <row r="87" spans="1:15" ht="15" x14ac:dyDescent="0.2">
      <c r="A87" s="17" t="s">
        <v>82</v>
      </c>
      <c r="B87" s="16">
        <v>170543606.22999999</v>
      </c>
      <c r="C87" s="16">
        <v>0</v>
      </c>
      <c r="D87" s="16">
        <v>2718422.9302548296</v>
      </c>
      <c r="E87" s="16">
        <v>16304.900000000001</v>
      </c>
      <c r="F87" s="16">
        <v>452619.36</v>
      </c>
      <c r="G87" s="16">
        <v>274825.01</v>
      </c>
      <c r="H87" s="16">
        <v>8739671.9299999997</v>
      </c>
      <c r="I87" s="16">
        <v>1175903.55</v>
      </c>
      <c r="J87" s="16">
        <v>9805687.0999999996</v>
      </c>
      <c r="K87" s="16">
        <v>0</v>
      </c>
      <c r="L87" s="16">
        <v>0</v>
      </c>
      <c r="M87" s="16">
        <v>4.18</v>
      </c>
      <c r="N87" s="18">
        <f t="shared" si="2"/>
        <v>193727045.19025484</v>
      </c>
      <c r="O87" s="4"/>
    </row>
    <row r="88" spans="1:15" ht="15" x14ac:dyDescent="0.2">
      <c r="A88" s="17" t="s">
        <v>83</v>
      </c>
      <c r="B88" s="16">
        <v>146147001.03</v>
      </c>
      <c r="C88" s="16">
        <v>0</v>
      </c>
      <c r="D88" s="16">
        <v>2294886.3099057898</v>
      </c>
      <c r="E88" s="16">
        <v>17346.309999999998</v>
      </c>
      <c r="F88" s="16">
        <v>2221350.35</v>
      </c>
      <c r="G88" s="16">
        <v>701207.93</v>
      </c>
      <c r="H88" s="16">
        <v>7489444.3200000003</v>
      </c>
      <c r="I88" s="16">
        <v>5771060.5999999996</v>
      </c>
      <c r="J88" s="16">
        <v>14654188.350000005</v>
      </c>
      <c r="K88" s="16">
        <v>0</v>
      </c>
      <c r="L88" s="16">
        <v>0</v>
      </c>
      <c r="M88" s="16">
        <v>20.55</v>
      </c>
      <c r="N88" s="18">
        <f t="shared" si="2"/>
        <v>179296505.74990579</v>
      </c>
      <c r="O88" s="4"/>
    </row>
    <row r="89" spans="1:15" ht="15" x14ac:dyDescent="0.2">
      <c r="A89" s="17" t="s">
        <v>84</v>
      </c>
      <c r="B89" s="16">
        <v>239158365.91000003</v>
      </c>
      <c r="C89" s="16">
        <v>0</v>
      </c>
      <c r="D89" s="16">
        <v>2974461.1143606501</v>
      </c>
      <c r="E89" s="16">
        <v>682216.73</v>
      </c>
      <c r="F89" s="16">
        <v>1868153.45</v>
      </c>
      <c r="G89" s="16">
        <v>818412.72</v>
      </c>
      <c r="H89" s="16">
        <v>12255901.6</v>
      </c>
      <c r="I89" s="16">
        <v>4853456.26</v>
      </c>
      <c r="J89" s="16">
        <v>15505566.130000006</v>
      </c>
      <c r="K89" s="16">
        <v>0</v>
      </c>
      <c r="L89" s="16">
        <v>0</v>
      </c>
      <c r="M89" s="16">
        <v>17.28</v>
      </c>
      <c r="N89" s="18">
        <f t="shared" si="2"/>
        <v>278116551.19436061</v>
      </c>
      <c r="O89" s="4"/>
    </row>
    <row r="90" spans="1:15" ht="15" x14ac:dyDescent="0.2">
      <c r="A90" s="17" t="s">
        <v>85</v>
      </c>
      <c r="B90" s="16">
        <v>1255876824.72</v>
      </c>
      <c r="C90" s="16">
        <v>0</v>
      </c>
      <c r="D90" s="16">
        <v>3390608.4560506693</v>
      </c>
      <c r="E90" s="16">
        <v>301959.88</v>
      </c>
      <c r="F90" s="16">
        <v>25341191.23</v>
      </c>
      <c r="G90" s="16">
        <v>8546981.1614839509</v>
      </c>
      <c r="H90" s="16">
        <v>64358621.640000001</v>
      </c>
      <c r="I90" s="16">
        <v>65836327.850000001</v>
      </c>
      <c r="J90" s="16">
        <v>92295376.790000021</v>
      </c>
      <c r="K90" s="16">
        <v>0</v>
      </c>
      <c r="L90" s="16">
        <v>0</v>
      </c>
      <c r="M90" s="16">
        <v>234.45</v>
      </c>
      <c r="N90" s="18">
        <f t="shared" si="2"/>
        <v>1515948126.1775348</v>
      </c>
      <c r="O90" s="4"/>
    </row>
    <row r="91" spans="1:15" ht="15" x14ac:dyDescent="0.2">
      <c r="A91" s="17" t="s">
        <v>86</v>
      </c>
      <c r="B91" s="16">
        <v>46747543.650000006</v>
      </c>
      <c r="C91" s="16">
        <v>0</v>
      </c>
      <c r="D91" s="16">
        <v>2753735.0164062399</v>
      </c>
      <c r="E91" s="16">
        <v>0</v>
      </c>
      <c r="F91" s="16">
        <v>588295.30000000005</v>
      </c>
      <c r="G91" s="16">
        <v>272804.24</v>
      </c>
      <c r="H91" s="16">
        <v>2395623.06</v>
      </c>
      <c r="I91" s="16">
        <v>1528389.2</v>
      </c>
      <c r="J91" s="16">
        <v>6712274.3499999987</v>
      </c>
      <c r="K91" s="16">
        <v>0</v>
      </c>
      <c r="L91" s="16">
        <v>0</v>
      </c>
      <c r="M91" s="16">
        <v>5.44</v>
      </c>
      <c r="N91" s="18">
        <f t="shared" si="2"/>
        <v>60998670.256406248</v>
      </c>
      <c r="O91" s="4"/>
    </row>
    <row r="92" spans="1:15" ht="15" x14ac:dyDescent="0.2">
      <c r="A92" s="17" t="s">
        <v>87</v>
      </c>
      <c r="B92" s="16">
        <v>67625159.150000006</v>
      </c>
      <c r="C92" s="16">
        <v>0</v>
      </c>
      <c r="D92" s="16">
        <v>111471.72</v>
      </c>
      <c r="E92" s="16">
        <v>0</v>
      </c>
      <c r="F92" s="16">
        <v>125788.63</v>
      </c>
      <c r="G92" s="16">
        <v>84872.43</v>
      </c>
      <c r="H92" s="16">
        <v>3465516.64</v>
      </c>
      <c r="I92" s="16">
        <v>326798.44</v>
      </c>
      <c r="J92" s="16">
        <v>2726520.7199999988</v>
      </c>
      <c r="K92" s="16">
        <v>0</v>
      </c>
      <c r="L92" s="16">
        <v>0</v>
      </c>
      <c r="M92" s="16">
        <v>1.1599999999999999</v>
      </c>
      <c r="N92" s="18">
        <f t="shared" si="2"/>
        <v>74466128.890000001</v>
      </c>
      <c r="O92" s="4"/>
    </row>
    <row r="93" spans="1:15" ht="15" x14ac:dyDescent="0.2">
      <c r="A93" s="17" t="s">
        <v>88</v>
      </c>
      <c r="B93" s="16">
        <v>671104193.24000001</v>
      </c>
      <c r="C93" s="16">
        <v>0</v>
      </c>
      <c r="D93" s="16">
        <v>3364034.5398612106</v>
      </c>
      <c r="E93" s="16">
        <v>101742.87</v>
      </c>
      <c r="F93" s="16">
        <v>20538152.77</v>
      </c>
      <c r="G93" s="16">
        <v>3800196.6160188494</v>
      </c>
      <c r="H93" s="16">
        <v>34391382.979999997</v>
      </c>
      <c r="I93" s="16">
        <v>53358050.43</v>
      </c>
      <c r="J93" s="16">
        <v>92471595.709999979</v>
      </c>
      <c r="K93" s="16">
        <v>0</v>
      </c>
      <c r="L93" s="16">
        <v>0</v>
      </c>
      <c r="M93" s="16">
        <v>190.01</v>
      </c>
      <c r="N93" s="18">
        <f t="shared" si="2"/>
        <v>879129539.16587996</v>
      </c>
      <c r="O93" s="4"/>
    </row>
    <row r="94" spans="1:15" ht="15" x14ac:dyDescent="0.2">
      <c r="A94" s="17" t="s">
        <v>89</v>
      </c>
      <c r="B94" s="16">
        <v>459218920.25999999</v>
      </c>
      <c r="C94" s="16">
        <v>0</v>
      </c>
      <c r="D94" s="16">
        <v>6409732.3000000017</v>
      </c>
      <c r="E94" s="16">
        <v>311184.36</v>
      </c>
      <c r="F94" s="16">
        <v>9286936.3100000005</v>
      </c>
      <c r="G94" s="16">
        <v>4679480.6320477696</v>
      </c>
      <c r="H94" s="16">
        <v>23533117.390000001</v>
      </c>
      <c r="I94" s="16">
        <v>24127428.690000001</v>
      </c>
      <c r="J94" s="16">
        <v>46501902.039999999</v>
      </c>
      <c r="K94" s="16">
        <v>0</v>
      </c>
      <c r="L94" s="16">
        <v>0</v>
      </c>
      <c r="M94" s="16">
        <v>85.92</v>
      </c>
      <c r="N94" s="18">
        <f t="shared" si="2"/>
        <v>574068787.90204775</v>
      </c>
      <c r="O94" s="4"/>
    </row>
    <row r="95" spans="1:15" ht="15" x14ac:dyDescent="0.2">
      <c r="A95" s="17" t="s">
        <v>90</v>
      </c>
      <c r="B95" s="16">
        <v>84662534.110000014</v>
      </c>
      <c r="C95" s="16">
        <v>0</v>
      </c>
      <c r="D95" s="16">
        <v>2529406.7963120295</v>
      </c>
      <c r="E95" s="16">
        <v>0</v>
      </c>
      <c r="F95" s="16">
        <v>455365.83</v>
      </c>
      <c r="G95" s="16">
        <v>220264.16</v>
      </c>
      <c r="H95" s="16">
        <v>4338613.3899999997</v>
      </c>
      <c r="I95" s="16">
        <v>1183038.8799999999</v>
      </c>
      <c r="J95" s="16">
        <v>6926933.2099999972</v>
      </c>
      <c r="K95" s="16">
        <v>0</v>
      </c>
      <c r="L95" s="16">
        <v>0</v>
      </c>
      <c r="M95" s="16">
        <v>4.21</v>
      </c>
      <c r="N95" s="18">
        <f t="shared" si="2"/>
        <v>100316160.58631203</v>
      </c>
      <c r="O95" s="4"/>
    </row>
    <row r="96" spans="1:15" ht="15" x14ac:dyDescent="0.2">
      <c r="A96" s="17" t="s">
        <v>91</v>
      </c>
      <c r="B96" s="16">
        <v>274695361.26999998</v>
      </c>
      <c r="C96" s="16">
        <v>0</v>
      </c>
      <c r="D96" s="16">
        <v>7034038.0446747001</v>
      </c>
      <c r="E96" s="16">
        <v>0</v>
      </c>
      <c r="F96" s="16">
        <v>2552026.15</v>
      </c>
      <c r="G96" s="16">
        <v>1202359.42</v>
      </c>
      <c r="H96" s="16">
        <v>14077029.279999999</v>
      </c>
      <c r="I96" s="16">
        <v>6630155.1799999997</v>
      </c>
      <c r="J96" s="16">
        <v>24788670.489999998</v>
      </c>
      <c r="K96" s="16">
        <v>0</v>
      </c>
      <c r="L96" s="16">
        <v>0</v>
      </c>
      <c r="M96" s="16">
        <v>23.61</v>
      </c>
      <c r="N96" s="18">
        <f t="shared" si="2"/>
        <v>330979663.44467467</v>
      </c>
      <c r="O96" s="4"/>
    </row>
    <row r="97" spans="1:15" ht="15" x14ac:dyDescent="0.2">
      <c r="A97" s="17" t="s">
        <v>92</v>
      </c>
      <c r="B97" s="16">
        <v>132621230.68000001</v>
      </c>
      <c r="C97" s="16">
        <v>0</v>
      </c>
      <c r="D97" s="16">
        <v>8093960.6783218095</v>
      </c>
      <c r="E97" s="16">
        <v>64432.58</v>
      </c>
      <c r="F97" s="16">
        <v>1178238.5</v>
      </c>
      <c r="G97" s="16">
        <v>616335.5</v>
      </c>
      <c r="H97" s="16">
        <v>6796303.1399999997</v>
      </c>
      <c r="I97" s="16">
        <v>3061059.59</v>
      </c>
      <c r="J97" s="16">
        <v>16034659.520000001</v>
      </c>
      <c r="K97" s="16">
        <v>0</v>
      </c>
      <c r="L97" s="16">
        <v>0</v>
      </c>
      <c r="M97" s="16">
        <v>10.9</v>
      </c>
      <c r="N97" s="18">
        <f t="shared" si="2"/>
        <v>168466231.08832183</v>
      </c>
      <c r="O97" s="4"/>
    </row>
    <row r="98" spans="1:15" ht="15" x14ac:dyDescent="0.2">
      <c r="A98" s="17" t="s">
        <v>93</v>
      </c>
      <c r="B98" s="16">
        <v>366680200.35999995</v>
      </c>
      <c r="C98" s="16">
        <v>0</v>
      </c>
      <c r="D98" s="16">
        <v>9158018.6625167895</v>
      </c>
      <c r="E98" s="16">
        <v>140052.6</v>
      </c>
      <c r="F98" s="16">
        <v>2739885.15</v>
      </c>
      <c r="G98" s="16">
        <v>1444852.08</v>
      </c>
      <c r="H98" s="16">
        <v>18790881.25</v>
      </c>
      <c r="I98" s="16">
        <v>7118212.2400000002</v>
      </c>
      <c r="J98" s="16">
        <v>31455527.180000011</v>
      </c>
      <c r="K98" s="16">
        <v>0</v>
      </c>
      <c r="L98" s="16">
        <v>0</v>
      </c>
      <c r="M98" s="16">
        <v>25.34</v>
      </c>
      <c r="N98" s="18">
        <f t="shared" si="2"/>
        <v>437527654.8625167</v>
      </c>
      <c r="O98" s="4"/>
    </row>
    <row r="99" spans="1:15" ht="15" x14ac:dyDescent="0.2">
      <c r="A99" s="17" t="s">
        <v>94</v>
      </c>
      <c r="B99" s="16">
        <v>256579764.9600001</v>
      </c>
      <c r="C99" s="16">
        <v>0</v>
      </c>
      <c r="D99" s="16">
        <v>5969283.0462277588</v>
      </c>
      <c r="E99" s="16">
        <v>0</v>
      </c>
      <c r="F99" s="16">
        <v>1015647.08</v>
      </c>
      <c r="G99" s="16">
        <v>390009.02</v>
      </c>
      <c r="H99" s="16">
        <v>13148678.029999999</v>
      </c>
      <c r="I99" s="16">
        <v>2638647.64</v>
      </c>
      <c r="J99" s="16">
        <v>20925151.929999992</v>
      </c>
      <c r="K99" s="16">
        <v>0</v>
      </c>
      <c r="L99" s="16">
        <v>0</v>
      </c>
      <c r="M99" s="16">
        <v>9.39</v>
      </c>
      <c r="N99" s="18">
        <f t="shared" si="2"/>
        <v>300667191.09622782</v>
      </c>
      <c r="O99" s="4"/>
    </row>
    <row r="100" spans="1:15" ht="15" x14ac:dyDescent="0.2">
      <c r="A100" s="17" t="s">
        <v>95</v>
      </c>
      <c r="B100" s="16">
        <v>272442912.50999999</v>
      </c>
      <c r="C100" s="16">
        <v>0</v>
      </c>
      <c r="D100" s="16">
        <v>5042513.3975579804</v>
      </c>
      <c r="E100" s="16">
        <v>124526.02</v>
      </c>
      <c r="F100" s="16">
        <v>1140337.1200000001</v>
      </c>
      <c r="G100" s="16">
        <v>515296.9</v>
      </c>
      <c r="H100" s="16">
        <v>13961600.359999999</v>
      </c>
      <c r="I100" s="16">
        <v>2962591.94</v>
      </c>
      <c r="J100" s="16">
        <v>16360744.199999992</v>
      </c>
      <c r="K100" s="16">
        <v>0</v>
      </c>
      <c r="L100" s="16">
        <v>0</v>
      </c>
      <c r="M100" s="16">
        <v>10.55</v>
      </c>
      <c r="N100" s="18">
        <f t="shared" si="2"/>
        <v>312550532.99755794</v>
      </c>
      <c r="O100" s="4"/>
    </row>
    <row r="101" spans="1:15" ht="15" x14ac:dyDescent="0.2">
      <c r="A101" s="17" t="s">
        <v>96</v>
      </c>
      <c r="B101" s="16">
        <v>50052366.059999987</v>
      </c>
      <c r="C101" s="16">
        <v>0</v>
      </c>
      <c r="D101" s="16">
        <v>1299901.5224953699</v>
      </c>
      <c r="E101" s="16">
        <v>10935.66</v>
      </c>
      <c r="F101" s="16">
        <v>136225.24</v>
      </c>
      <c r="G101" s="16">
        <v>76789.34</v>
      </c>
      <c r="H101" s="16">
        <v>2564981.88</v>
      </c>
      <c r="I101" s="16">
        <v>353912.72</v>
      </c>
      <c r="J101" s="16">
        <v>3541514.4600000009</v>
      </c>
      <c r="K101" s="16">
        <v>0</v>
      </c>
      <c r="L101" s="16">
        <v>0</v>
      </c>
      <c r="M101" s="16">
        <v>1.26</v>
      </c>
      <c r="N101" s="18">
        <f t="shared" si="2"/>
        <v>58036628.142495357</v>
      </c>
      <c r="O101" s="4"/>
    </row>
    <row r="102" spans="1:15" ht="15" x14ac:dyDescent="0.2">
      <c r="A102" s="17" t="s">
        <v>97</v>
      </c>
      <c r="B102" s="16">
        <v>163073599.81999999</v>
      </c>
      <c r="C102" s="16">
        <v>0</v>
      </c>
      <c r="D102" s="16">
        <v>7119289.1825703001</v>
      </c>
      <c r="E102" s="16">
        <v>152368.68</v>
      </c>
      <c r="F102" s="16">
        <v>2637716.2200000002</v>
      </c>
      <c r="G102" s="16">
        <v>1351896.56</v>
      </c>
      <c r="H102" s="16">
        <v>8356864.2300000004</v>
      </c>
      <c r="I102" s="16">
        <v>6852777.7000000002</v>
      </c>
      <c r="J102" s="16">
        <v>23591053.429999992</v>
      </c>
      <c r="K102" s="16">
        <v>0</v>
      </c>
      <c r="L102" s="16">
        <v>0</v>
      </c>
      <c r="M102" s="16">
        <v>24.4</v>
      </c>
      <c r="N102" s="18">
        <f t="shared" si="2"/>
        <v>213135590.22257027</v>
      </c>
      <c r="O102" s="4"/>
    </row>
    <row r="103" spans="1:15" ht="15" x14ac:dyDescent="0.2">
      <c r="A103" s="17" t="s">
        <v>98</v>
      </c>
      <c r="B103" s="16">
        <v>56591852.609999999</v>
      </c>
      <c r="C103" s="16">
        <v>0</v>
      </c>
      <c r="D103" s="16">
        <v>2483619.1861044299</v>
      </c>
      <c r="E103" s="16">
        <v>9315.89</v>
      </c>
      <c r="F103" s="16">
        <v>65366.14</v>
      </c>
      <c r="G103" s="16">
        <v>46477.760000000002</v>
      </c>
      <c r="H103" s="16">
        <v>2900104.19</v>
      </c>
      <c r="I103" s="16">
        <v>169821.02</v>
      </c>
      <c r="J103" s="16">
        <v>5002509.8399999989</v>
      </c>
      <c r="K103" s="16">
        <v>0</v>
      </c>
      <c r="L103" s="16">
        <v>0</v>
      </c>
      <c r="M103" s="16">
        <v>0.6</v>
      </c>
      <c r="N103" s="18">
        <f t="shared" si="2"/>
        <v>67269067.236104429</v>
      </c>
      <c r="O103" s="4"/>
    </row>
    <row r="104" spans="1:15" ht="15" x14ac:dyDescent="0.2">
      <c r="A104" s="17" t="s">
        <v>99</v>
      </c>
      <c r="B104" s="16">
        <v>785229496.14999998</v>
      </c>
      <c r="C104" s="16">
        <v>0</v>
      </c>
      <c r="D104" s="16">
        <v>6626113.6089404812</v>
      </c>
      <c r="E104" s="16">
        <v>230484.31</v>
      </c>
      <c r="F104" s="16">
        <v>13395665.460000001</v>
      </c>
      <c r="G104" s="16">
        <v>2617438.2336498927</v>
      </c>
      <c r="H104" s="16">
        <v>40239844.43</v>
      </c>
      <c r="I104" s="16">
        <v>34801892.909999996</v>
      </c>
      <c r="J104" s="16">
        <v>57986078.279999979</v>
      </c>
      <c r="K104" s="16">
        <v>0</v>
      </c>
      <c r="L104" s="16">
        <v>0</v>
      </c>
      <c r="M104" s="16">
        <v>123.93</v>
      </c>
      <c r="N104" s="18">
        <f t="shared" ref="N104:N135" si="3">SUM(B104:M104)</f>
        <v>941127137.31259012</v>
      </c>
      <c r="O104" s="4"/>
    </row>
    <row r="105" spans="1:15" ht="15" x14ac:dyDescent="0.2">
      <c r="A105" s="17" t="s">
        <v>100</v>
      </c>
      <c r="B105" s="16">
        <v>135235548.27999997</v>
      </c>
      <c r="C105" s="16">
        <v>0</v>
      </c>
      <c r="D105" s="16">
        <v>1218899.2599999998</v>
      </c>
      <c r="E105" s="16">
        <v>36720.54</v>
      </c>
      <c r="F105" s="16">
        <v>577309.4</v>
      </c>
      <c r="G105" s="16">
        <v>333427.40000000002</v>
      </c>
      <c r="H105" s="16">
        <v>6930276.3799999999</v>
      </c>
      <c r="I105" s="16">
        <v>1499847.85</v>
      </c>
      <c r="J105" s="16">
        <v>7358494</v>
      </c>
      <c r="K105" s="16">
        <v>0</v>
      </c>
      <c r="L105" s="16">
        <v>0</v>
      </c>
      <c r="M105" s="16">
        <v>5.34</v>
      </c>
      <c r="N105" s="18">
        <f t="shared" si="3"/>
        <v>153190528.44999996</v>
      </c>
      <c r="O105" s="4"/>
    </row>
    <row r="106" spans="1:15" ht="15" x14ac:dyDescent="0.2">
      <c r="A106" s="17" t="s">
        <v>101</v>
      </c>
      <c r="B106" s="16">
        <v>146021454.69999999</v>
      </c>
      <c r="C106" s="16">
        <v>0</v>
      </c>
      <c r="D106" s="16">
        <v>1011739.48</v>
      </c>
      <c r="E106" s="16">
        <v>98777.58</v>
      </c>
      <c r="F106" s="16">
        <v>4090602.39</v>
      </c>
      <c r="G106" s="16">
        <v>1112654.6328627337</v>
      </c>
      <c r="H106" s="16">
        <v>7483010.5700000003</v>
      </c>
      <c r="I106" s="16">
        <v>10627371</v>
      </c>
      <c r="J106" s="16">
        <v>19257596.600000009</v>
      </c>
      <c r="K106" s="16">
        <v>0</v>
      </c>
      <c r="L106" s="16">
        <v>0</v>
      </c>
      <c r="M106" s="16">
        <v>37.840000000000003</v>
      </c>
      <c r="N106" s="18">
        <f t="shared" si="3"/>
        <v>189703244.79286274</v>
      </c>
      <c r="O106" s="4"/>
    </row>
    <row r="107" spans="1:15" ht="15" x14ac:dyDescent="0.2">
      <c r="A107" s="17" t="s">
        <v>102</v>
      </c>
      <c r="B107" s="16">
        <v>204160481.27999997</v>
      </c>
      <c r="C107" s="16">
        <v>0</v>
      </c>
      <c r="D107" s="16">
        <v>4150225.4665668593</v>
      </c>
      <c r="E107" s="16">
        <v>33187.61</v>
      </c>
      <c r="F107" s="16">
        <v>227408.27</v>
      </c>
      <c r="G107" s="16">
        <v>204097.99</v>
      </c>
      <c r="H107" s="16">
        <v>10462401.18</v>
      </c>
      <c r="I107" s="16">
        <v>590805.91</v>
      </c>
      <c r="J107" s="16">
        <v>9180369.4399999958</v>
      </c>
      <c r="K107" s="16">
        <v>0</v>
      </c>
      <c r="L107" s="16">
        <v>0</v>
      </c>
      <c r="M107" s="16">
        <v>2.1</v>
      </c>
      <c r="N107" s="18">
        <f t="shared" si="3"/>
        <v>229008979.24656686</v>
      </c>
      <c r="O107" s="4"/>
    </row>
    <row r="108" spans="1:15" ht="15" x14ac:dyDescent="0.2">
      <c r="A108" s="17" t="s">
        <v>103</v>
      </c>
      <c r="B108" s="16">
        <v>73518451.420000002</v>
      </c>
      <c r="C108" s="16">
        <v>0</v>
      </c>
      <c r="D108" s="16">
        <v>1646891.1066695899</v>
      </c>
      <c r="E108" s="16">
        <v>0</v>
      </c>
      <c r="F108" s="16">
        <v>230704.04</v>
      </c>
      <c r="G108" s="16">
        <v>127308.64</v>
      </c>
      <c r="H108" s="16">
        <v>3767524.1</v>
      </c>
      <c r="I108" s="16">
        <v>599368.31000000006</v>
      </c>
      <c r="J108" s="16">
        <v>4954413.4099999992</v>
      </c>
      <c r="K108" s="16">
        <v>0</v>
      </c>
      <c r="L108" s="16">
        <v>0</v>
      </c>
      <c r="M108" s="16">
        <v>2.13</v>
      </c>
      <c r="N108" s="18">
        <f t="shared" si="3"/>
        <v>84844663.156669587</v>
      </c>
      <c r="O108" s="4"/>
    </row>
    <row r="109" spans="1:15" ht="15" x14ac:dyDescent="0.2">
      <c r="A109" s="17" t="s">
        <v>104</v>
      </c>
      <c r="B109" s="16">
        <v>781293249.56999993</v>
      </c>
      <c r="C109" s="16">
        <v>0</v>
      </c>
      <c r="D109" s="16">
        <v>6686170.0492388196</v>
      </c>
      <c r="E109" s="16">
        <v>207518.46</v>
      </c>
      <c r="F109" s="16">
        <v>23554882.780000001</v>
      </c>
      <c r="G109" s="16">
        <v>12457312.849397577</v>
      </c>
      <c r="H109" s="16">
        <v>40038127.670000002</v>
      </c>
      <c r="I109" s="16">
        <v>61195504.640000001</v>
      </c>
      <c r="J109" s="16">
        <v>91001628.970000044</v>
      </c>
      <c r="K109" s="16">
        <v>0</v>
      </c>
      <c r="L109" s="16">
        <v>0</v>
      </c>
      <c r="M109" s="16">
        <v>217.92</v>
      </c>
      <c r="N109" s="18">
        <f t="shared" si="3"/>
        <v>1016434612.9086362</v>
      </c>
      <c r="O109" s="4"/>
    </row>
    <row r="110" spans="1:15" ht="15" x14ac:dyDescent="0.2">
      <c r="A110" s="17" t="s">
        <v>105</v>
      </c>
      <c r="B110" s="16">
        <v>87402398.060000002</v>
      </c>
      <c r="C110" s="16">
        <v>0</v>
      </c>
      <c r="D110" s="16">
        <v>2537137.5754409297</v>
      </c>
      <c r="E110" s="16">
        <v>77338.47</v>
      </c>
      <c r="F110" s="16">
        <v>900295.06</v>
      </c>
      <c r="G110" s="16">
        <v>426382.92</v>
      </c>
      <c r="H110" s="16">
        <v>4479020.3600000003</v>
      </c>
      <c r="I110" s="16">
        <v>2338963.48</v>
      </c>
      <c r="J110" s="16">
        <v>10519254.459999997</v>
      </c>
      <c r="K110" s="16">
        <v>0</v>
      </c>
      <c r="L110" s="16">
        <v>0</v>
      </c>
      <c r="M110" s="16">
        <v>8.32</v>
      </c>
      <c r="N110" s="18">
        <f t="shared" si="3"/>
        <v>108680798.70544092</v>
      </c>
      <c r="O110" s="4"/>
    </row>
    <row r="111" spans="1:15" ht="15" x14ac:dyDescent="0.2">
      <c r="A111" s="17" t="s">
        <v>106</v>
      </c>
      <c r="B111" s="16">
        <v>105817090.05</v>
      </c>
      <c r="C111" s="16">
        <v>0</v>
      </c>
      <c r="D111" s="16">
        <v>3068624.7480942695</v>
      </c>
      <c r="E111" s="16">
        <v>0</v>
      </c>
      <c r="F111" s="16">
        <v>313647.63</v>
      </c>
      <c r="G111" s="16">
        <v>196014.9</v>
      </c>
      <c r="H111" s="16">
        <v>5422699.0499999998</v>
      </c>
      <c r="I111" s="16">
        <v>814855.49</v>
      </c>
      <c r="J111" s="16">
        <v>8155513.9599999981</v>
      </c>
      <c r="K111" s="16">
        <v>0</v>
      </c>
      <c r="L111" s="16">
        <v>0</v>
      </c>
      <c r="M111" s="16">
        <v>2.9</v>
      </c>
      <c r="N111" s="18">
        <f t="shared" si="3"/>
        <v>123788448.72809426</v>
      </c>
      <c r="O111" s="4"/>
    </row>
    <row r="112" spans="1:15" ht="15" x14ac:dyDescent="0.2">
      <c r="A112" s="17" t="s">
        <v>107</v>
      </c>
      <c r="B112" s="16">
        <v>147646171.87</v>
      </c>
      <c r="C112" s="16">
        <v>0</v>
      </c>
      <c r="D112" s="16">
        <v>4198986.93519329</v>
      </c>
      <c r="E112" s="16">
        <v>31295.379999999997</v>
      </c>
      <c r="F112" s="16">
        <v>381210.96</v>
      </c>
      <c r="G112" s="16">
        <v>222284.94</v>
      </c>
      <c r="H112" s="16">
        <v>7566270.7800000003</v>
      </c>
      <c r="I112" s="16">
        <v>990384.78</v>
      </c>
      <c r="J112" s="16">
        <v>8527421.1099999975</v>
      </c>
      <c r="K112" s="16">
        <v>0</v>
      </c>
      <c r="L112" s="16">
        <v>0</v>
      </c>
      <c r="M112" s="16">
        <v>3.52</v>
      </c>
      <c r="N112" s="18">
        <f t="shared" si="3"/>
        <v>169564030.2751933</v>
      </c>
      <c r="O112" s="4"/>
    </row>
    <row r="113" spans="1:15" ht="15" x14ac:dyDescent="0.2">
      <c r="A113" s="17" t="s">
        <v>108</v>
      </c>
      <c r="B113" s="16">
        <v>113567729.40000001</v>
      </c>
      <c r="C113" s="16">
        <v>0</v>
      </c>
      <c r="D113" s="16">
        <v>4402533.8427921291</v>
      </c>
      <c r="E113" s="16">
        <v>67963.28</v>
      </c>
      <c r="F113" s="16">
        <v>537210.84</v>
      </c>
      <c r="G113" s="16">
        <v>303115.82</v>
      </c>
      <c r="H113" s="16">
        <v>5819888.0599999996</v>
      </c>
      <c r="I113" s="16">
        <v>1395671.93</v>
      </c>
      <c r="J113" s="16">
        <v>8505678.070000004</v>
      </c>
      <c r="K113" s="16">
        <v>0</v>
      </c>
      <c r="L113" s="16">
        <v>0</v>
      </c>
      <c r="M113" s="16">
        <v>4.97</v>
      </c>
      <c r="N113" s="18">
        <f t="shared" si="3"/>
        <v>134599796.21279213</v>
      </c>
      <c r="O113" s="4"/>
    </row>
    <row r="114" spans="1:15" ht="15" x14ac:dyDescent="0.2">
      <c r="A114" s="17" t="s">
        <v>109</v>
      </c>
      <c r="B114" s="16">
        <v>77284841.169999987</v>
      </c>
      <c r="C114" s="16">
        <v>0</v>
      </c>
      <c r="D114" s="16">
        <v>2326474.3633664702</v>
      </c>
      <c r="E114" s="16">
        <v>14044.71</v>
      </c>
      <c r="F114" s="16">
        <v>325182.84000000003</v>
      </c>
      <c r="G114" s="16">
        <v>161661.76999999999</v>
      </c>
      <c r="H114" s="16">
        <v>3960536.38</v>
      </c>
      <c r="I114" s="16">
        <v>844823.91</v>
      </c>
      <c r="J114" s="16">
        <v>6296319.9300000016</v>
      </c>
      <c r="K114" s="16">
        <v>0</v>
      </c>
      <c r="L114" s="16">
        <v>0</v>
      </c>
      <c r="M114" s="16">
        <v>3</v>
      </c>
      <c r="N114" s="18">
        <f t="shared" si="3"/>
        <v>91213888.073366448</v>
      </c>
      <c r="O114" s="4"/>
    </row>
    <row r="115" spans="1:15" ht="15" x14ac:dyDescent="0.2">
      <c r="A115" s="17" t="s">
        <v>110</v>
      </c>
      <c r="B115" s="16">
        <v>203340737.63</v>
      </c>
      <c r="C115" s="16">
        <v>0</v>
      </c>
      <c r="D115" s="16">
        <v>2392353.1306634997</v>
      </c>
      <c r="E115" s="16">
        <v>7298.8099999999995</v>
      </c>
      <c r="F115" s="16">
        <v>336718.04</v>
      </c>
      <c r="G115" s="16">
        <v>268762.69</v>
      </c>
      <c r="H115" s="16">
        <v>10420392.619999999</v>
      </c>
      <c r="I115" s="16">
        <v>874792.32</v>
      </c>
      <c r="J115" s="16">
        <v>8348616.5500000017</v>
      </c>
      <c r="K115" s="16">
        <v>0</v>
      </c>
      <c r="L115" s="16">
        <v>0</v>
      </c>
      <c r="M115" s="16">
        <v>3.11</v>
      </c>
      <c r="N115" s="18">
        <f t="shared" si="3"/>
        <v>225989674.90066352</v>
      </c>
      <c r="O115" s="4"/>
    </row>
    <row r="116" spans="1:15" ht="15" x14ac:dyDescent="0.2">
      <c r="A116" s="17" t="s">
        <v>111</v>
      </c>
      <c r="B116" s="16">
        <v>111174964.14</v>
      </c>
      <c r="C116" s="16">
        <v>0</v>
      </c>
      <c r="D116" s="16">
        <v>3953754.8240795992</v>
      </c>
      <c r="E116" s="16">
        <v>105759.51000000001</v>
      </c>
      <c r="F116" s="16">
        <v>929407.71</v>
      </c>
      <c r="G116" s="16">
        <v>414258.29</v>
      </c>
      <c r="H116" s="16">
        <v>5697268.4900000002</v>
      </c>
      <c r="I116" s="16">
        <v>2414598.06</v>
      </c>
      <c r="J116" s="16">
        <v>11569030.459999993</v>
      </c>
      <c r="K116" s="16">
        <v>0</v>
      </c>
      <c r="L116" s="16">
        <v>0</v>
      </c>
      <c r="M116" s="16">
        <v>8.59</v>
      </c>
      <c r="N116" s="18">
        <f t="shared" si="3"/>
        <v>136259050.0740796</v>
      </c>
      <c r="O116" s="4"/>
    </row>
    <row r="117" spans="1:15" ht="15" x14ac:dyDescent="0.2">
      <c r="A117" s="17" t="s">
        <v>112</v>
      </c>
      <c r="B117" s="16">
        <v>59294791.169999987</v>
      </c>
      <c r="C117" s="16">
        <v>0</v>
      </c>
      <c r="D117" s="16">
        <v>979923.68815853994</v>
      </c>
      <c r="E117" s="16">
        <v>66316.89</v>
      </c>
      <c r="F117" s="16">
        <v>195549.14</v>
      </c>
      <c r="G117" s="16">
        <v>111142.47</v>
      </c>
      <c r="H117" s="16">
        <v>3038618.89</v>
      </c>
      <c r="I117" s="16">
        <v>508036</v>
      </c>
      <c r="J117" s="16">
        <v>3305299.3499999982</v>
      </c>
      <c r="K117" s="16">
        <v>0</v>
      </c>
      <c r="L117" s="16">
        <v>0</v>
      </c>
      <c r="M117" s="16">
        <v>1.8</v>
      </c>
      <c r="N117" s="18">
        <f t="shared" si="3"/>
        <v>67499679.39815852</v>
      </c>
      <c r="O117" s="4"/>
    </row>
    <row r="118" spans="1:15" ht="15" x14ac:dyDescent="0.2">
      <c r="A118" s="17" t="s">
        <v>113</v>
      </c>
      <c r="B118" s="16">
        <v>93376926.160000011</v>
      </c>
      <c r="C118" s="16">
        <v>0</v>
      </c>
      <c r="D118" s="16">
        <v>2968258.1566138398</v>
      </c>
      <c r="E118" s="16">
        <v>114024.21</v>
      </c>
      <c r="F118" s="16">
        <v>922266.87</v>
      </c>
      <c r="G118" s="16">
        <v>422341.38</v>
      </c>
      <c r="H118" s="16">
        <v>4785190.83</v>
      </c>
      <c r="I118" s="16">
        <v>2396046.1800000002</v>
      </c>
      <c r="J118" s="16">
        <v>9105545.6700000037</v>
      </c>
      <c r="K118" s="16">
        <v>0</v>
      </c>
      <c r="L118" s="16">
        <v>0</v>
      </c>
      <c r="M118" s="16">
        <v>8.5299999999999994</v>
      </c>
      <c r="N118" s="18">
        <f t="shared" si="3"/>
        <v>114090607.98661385</v>
      </c>
      <c r="O118" s="4"/>
    </row>
    <row r="119" spans="1:15" ht="15" x14ac:dyDescent="0.2">
      <c r="A119" s="17" t="s">
        <v>114</v>
      </c>
      <c r="B119" s="16">
        <v>137362450.74000001</v>
      </c>
      <c r="C119" s="16">
        <v>0</v>
      </c>
      <c r="D119" s="16">
        <v>2456223.3945297897</v>
      </c>
      <c r="E119" s="16">
        <v>24882.829999999998</v>
      </c>
      <c r="F119" s="16">
        <v>740999.41</v>
      </c>
      <c r="G119" s="16">
        <v>297053.5</v>
      </c>
      <c r="H119" s="16">
        <v>7039271.5499999998</v>
      </c>
      <c r="I119" s="16">
        <v>1925113.93</v>
      </c>
      <c r="J119" s="16">
        <v>8410730.910000002</v>
      </c>
      <c r="K119" s="16">
        <v>0</v>
      </c>
      <c r="L119" s="16">
        <v>0</v>
      </c>
      <c r="M119" s="16">
        <v>6.85</v>
      </c>
      <c r="N119" s="18">
        <f t="shared" si="3"/>
        <v>158256733.11452982</v>
      </c>
      <c r="O119" s="4"/>
    </row>
    <row r="120" spans="1:15" ht="15" x14ac:dyDescent="0.2">
      <c r="A120" s="17" t="s">
        <v>115</v>
      </c>
      <c r="B120" s="16">
        <v>88473234.350000009</v>
      </c>
      <c r="C120" s="16">
        <v>0</v>
      </c>
      <c r="D120" s="16">
        <v>2553280.0619448498</v>
      </c>
      <c r="E120" s="16">
        <v>132783.65</v>
      </c>
      <c r="F120" s="16">
        <v>499309.46</v>
      </c>
      <c r="G120" s="16">
        <v>299074.28000000003</v>
      </c>
      <c r="H120" s="16">
        <v>4533896.41</v>
      </c>
      <c r="I120" s="16">
        <v>1297204.27</v>
      </c>
      <c r="J120" s="16">
        <v>8902910.7399999965</v>
      </c>
      <c r="K120" s="16">
        <v>0</v>
      </c>
      <c r="L120" s="16">
        <v>0</v>
      </c>
      <c r="M120" s="16">
        <v>4.6100000000000003</v>
      </c>
      <c r="N120" s="18">
        <f t="shared" si="3"/>
        <v>106691697.83194485</v>
      </c>
      <c r="O120" s="4"/>
    </row>
    <row r="121" spans="1:15" ht="15" x14ac:dyDescent="0.2">
      <c r="A121" s="17" t="s">
        <v>116</v>
      </c>
      <c r="B121" s="16">
        <v>103697572.67</v>
      </c>
      <c r="C121" s="16">
        <v>0</v>
      </c>
      <c r="D121" s="16">
        <v>2514365.4434637395</v>
      </c>
      <c r="E121" s="16">
        <v>0</v>
      </c>
      <c r="F121" s="16">
        <v>209830.82</v>
      </c>
      <c r="G121" s="16">
        <v>109121.7</v>
      </c>
      <c r="H121" s="16">
        <v>5314082.34</v>
      </c>
      <c r="I121" s="16">
        <v>545139.75</v>
      </c>
      <c r="J121" s="16">
        <v>4877377.7900000028</v>
      </c>
      <c r="K121" s="16">
        <v>0</v>
      </c>
      <c r="L121" s="16">
        <v>0</v>
      </c>
      <c r="M121" s="16">
        <v>1.94</v>
      </c>
      <c r="N121" s="18">
        <f t="shared" si="3"/>
        <v>117267492.45346375</v>
      </c>
      <c r="O121" s="4"/>
    </row>
    <row r="122" spans="1:15" ht="15" x14ac:dyDescent="0.2">
      <c r="A122" s="17" t="s">
        <v>117</v>
      </c>
      <c r="B122" s="16">
        <v>311683524.46999991</v>
      </c>
      <c r="C122" s="16">
        <v>0</v>
      </c>
      <c r="D122" s="16">
        <v>3214260.7600000007</v>
      </c>
      <c r="E122" s="16">
        <v>231776.31</v>
      </c>
      <c r="F122" s="16">
        <v>6316896.4100000001</v>
      </c>
      <c r="G122" s="16">
        <v>2764409.0279177828</v>
      </c>
      <c r="H122" s="16">
        <v>15972523.439999999</v>
      </c>
      <c r="I122" s="16">
        <v>16411275.199999999</v>
      </c>
      <c r="J122" s="16">
        <v>23697090.140000012</v>
      </c>
      <c r="K122" s="16">
        <v>0</v>
      </c>
      <c r="L122" s="16">
        <v>0</v>
      </c>
      <c r="M122" s="16">
        <v>58.44</v>
      </c>
      <c r="N122" s="18">
        <f t="shared" si="3"/>
        <v>380291814.1979177</v>
      </c>
      <c r="O122" s="4"/>
    </row>
    <row r="123" spans="1:15" ht="15" x14ac:dyDescent="0.2">
      <c r="A123" s="17" t="s">
        <v>118</v>
      </c>
      <c r="B123" s="16">
        <v>782172073.86000001</v>
      </c>
      <c r="C123" s="16">
        <v>0</v>
      </c>
      <c r="D123" s="16">
        <v>8758870.2149999999</v>
      </c>
      <c r="E123" s="16">
        <v>466951.4</v>
      </c>
      <c r="F123" s="16">
        <v>8781035.3100000005</v>
      </c>
      <c r="G123" s="16">
        <v>6964364.0164960781</v>
      </c>
      <c r="H123" s="16">
        <v>40083163.859999999</v>
      </c>
      <c r="I123" s="16">
        <v>22813099.600000001</v>
      </c>
      <c r="J123" s="16">
        <v>31349428.210000016</v>
      </c>
      <c r="K123" s="16">
        <v>0</v>
      </c>
      <c r="L123" s="16">
        <v>0</v>
      </c>
      <c r="M123" s="16">
        <v>81.239999999999995</v>
      </c>
      <c r="N123" s="18">
        <f t="shared" si="3"/>
        <v>901389067.71149611</v>
      </c>
      <c r="O123" s="4"/>
    </row>
    <row r="124" spans="1:15" ht="15" x14ac:dyDescent="0.2">
      <c r="A124" s="17" t="s">
        <v>119</v>
      </c>
      <c r="B124" s="16">
        <v>597087248.96000004</v>
      </c>
      <c r="C124" s="16">
        <v>0</v>
      </c>
      <c r="D124" s="16">
        <v>3525956.0000000005</v>
      </c>
      <c r="E124" s="16">
        <v>136288.65</v>
      </c>
      <c r="F124" s="16">
        <v>11244624.91</v>
      </c>
      <c r="G124" s="16">
        <v>0</v>
      </c>
      <c r="H124" s="16">
        <v>30598313.140000001</v>
      </c>
      <c r="I124" s="16">
        <v>29213496.93</v>
      </c>
      <c r="J124" s="16">
        <v>43869487.409999996</v>
      </c>
      <c r="K124" s="16">
        <v>0</v>
      </c>
      <c r="L124" s="16">
        <v>0</v>
      </c>
      <c r="M124" s="16">
        <v>104.03</v>
      </c>
      <c r="N124" s="18">
        <f t="shared" si="3"/>
        <v>715675520.02999985</v>
      </c>
      <c r="O124" s="4"/>
    </row>
    <row r="125" spans="1:15" ht="15" x14ac:dyDescent="0.2">
      <c r="A125" s="17" t="s">
        <v>120</v>
      </c>
      <c r="B125" s="16">
        <v>208547217.61000001</v>
      </c>
      <c r="C125" s="16">
        <v>0</v>
      </c>
      <c r="D125" s="16">
        <v>11321357.016708048</v>
      </c>
      <c r="E125" s="16">
        <v>0</v>
      </c>
      <c r="F125" s="16">
        <v>4372390.9000000004</v>
      </c>
      <c r="G125" s="16">
        <v>1885380.41</v>
      </c>
      <c r="H125" s="16">
        <v>10687203.720000001</v>
      </c>
      <c r="I125" s="16">
        <v>11359456.58</v>
      </c>
      <c r="J125" s="16">
        <v>27398376.289999988</v>
      </c>
      <c r="K125" s="16">
        <v>0</v>
      </c>
      <c r="L125" s="16">
        <v>0</v>
      </c>
      <c r="M125" s="16">
        <v>40.450000000000003</v>
      </c>
      <c r="N125" s="18">
        <f t="shared" si="3"/>
        <v>275571422.97670805</v>
      </c>
      <c r="O125" s="4"/>
    </row>
    <row r="126" spans="1:15" ht="15" x14ac:dyDescent="0.2">
      <c r="A126" s="17" t="s">
        <v>121</v>
      </c>
      <c r="B126" s="16">
        <v>251701920.92000002</v>
      </c>
      <c r="C126" s="16">
        <v>0</v>
      </c>
      <c r="D126" s="16">
        <v>3190084.80664883</v>
      </c>
      <c r="E126" s="16">
        <v>46729.340000000004</v>
      </c>
      <c r="F126" s="16">
        <v>2188941.9300000002</v>
      </c>
      <c r="G126" s="16">
        <v>763851.87</v>
      </c>
      <c r="H126" s="16">
        <v>12898708.199999999</v>
      </c>
      <c r="I126" s="16">
        <v>5686863.6299999999</v>
      </c>
      <c r="J126" s="16">
        <v>17812830.639999993</v>
      </c>
      <c r="K126" s="16">
        <v>0</v>
      </c>
      <c r="L126" s="16">
        <v>0</v>
      </c>
      <c r="M126" s="16">
        <v>20.25</v>
      </c>
      <c r="N126" s="18">
        <f t="shared" si="3"/>
        <v>294289951.58664882</v>
      </c>
      <c r="O126" s="4"/>
    </row>
    <row r="127" spans="1:15" ht="15" x14ac:dyDescent="0.2">
      <c r="A127" s="17" t="s">
        <v>122</v>
      </c>
      <c r="B127" s="16">
        <v>123076017.36000001</v>
      </c>
      <c r="C127" s="16">
        <v>0</v>
      </c>
      <c r="D127" s="16">
        <v>1464657.2812524799</v>
      </c>
      <c r="E127" s="16">
        <v>72130.740000000005</v>
      </c>
      <c r="F127" s="16">
        <v>2323519.2799999998</v>
      </c>
      <c r="G127" s="16">
        <v>769914.19</v>
      </c>
      <c r="H127" s="16">
        <v>6307149.46</v>
      </c>
      <c r="I127" s="16">
        <v>6036495.1399999997</v>
      </c>
      <c r="J127" s="16">
        <v>19817404.429999996</v>
      </c>
      <c r="K127" s="16">
        <v>0</v>
      </c>
      <c r="L127" s="16">
        <v>0</v>
      </c>
      <c r="M127" s="16">
        <v>21.49</v>
      </c>
      <c r="N127" s="18">
        <f t="shared" si="3"/>
        <v>159867309.37125248</v>
      </c>
      <c r="O127" s="4"/>
    </row>
    <row r="128" spans="1:15" ht="15" x14ac:dyDescent="0.2">
      <c r="A128" s="17" t="s">
        <v>123</v>
      </c>
      <c r="B128" s="16">
        <v>68755076.089999989</v>
      </c>
      <c r="C128" s="16">
        <v>0</v>
      </c>
      <c r="D128" s="16">
        <v>1623448.8593072197</v>
      </c>
      <c r="E128" s="16">
        <v>27436.14</v>
      </c>
      <c r="F128" s="16">
        <v>212577.29</v>
      </c>
      <c r="G128" s="16">
        <v>131350.19</v>
      </c>
      <c r="H128" s="16">
        <v>3523420.33</v>
      </c>
      <c r="I128" s="16">
        <v>552275.09</v>
      </c>
      <c r="J128" s="16">
        <v>4314548.2800000012</v>
      </c>
      <c r="K128" s="16">
        <v>0</v>
      </c>
      <c r="L128" s="16">
        <v>0</v>
      </c>
      <c r="M128" s="16">
        <v>1.96</v>
      </c>
      <c r="N128" s="18">
        <f t="shared" si="3"/>
        <v>79140134.229307204</v>
      </c>
      <c r="O128" s="4"/>
    </row>
    <row r="129" spans="1:15" ht="15" x14ac:dyDescent="0.2">
      <c r="A129" s="17" t="s">
        <v>124</v>
      </c>
      <c r="B129" s="16">
        <v>386099262.96000004</v>
      </c>
      <c r="C129" s="16">
        <v>0</v>
      </c>
      <c r="D129" s="16">
        <v>12762550.293100718</v>
      </c>
      <c r="E129" s="16">
        <v>29470.789999999997</v>
      </c>
      <c r="F129" s="16">
        <v>2703631.66</v>
      </c>
      <c r="G129" s="16">
        <v>1602472.31</v>
      </c>
      <c r="H129" s="16">
        <v>19786029.879999999</v>
      </c>
      <c r="I129" s="16">
        <v>7024025.79</v>
      </c>
      <c r="J129" s="16">
        <v>27850434.25999999</v>
      </c>
      <c r="K129" s="16">
        <v>0</v>
      </c>
      <c r="L129" s="16">
        <v>0</v>
      </c>
      <c r="M129" s="16">
        <v>25.01</v>
      </c>
      <c r="N129" s="18">
        <f t="shared" si="3"/>
        <v>457857902.9531008</v>
      </c>
      <c r="O129" s="4"/>
    </row>
    <row r="130" spans="1:15" ht="15" x14ac:dyDescent="0.2">
      <c r="A130" s="17" t="s">
        <v>125</v>
      </c>
      <c r="B130" s="16">
        <v>115857103.59999999</v>
      </c>
      <c r="C130" s="16">
        <v>0</v>
      </c>
      <c r="D130" s="16">
        <v>4210269.2474014899</v>
      </c>
      <c r="E130" s="16">
        <v>5952.37</v>
      </c>
      <c r="F130" s="16">
        <v>334520.86</v>
      </c>
      <c r="G130" s="16">
        <v>119225.56</v>
      </c>
      <c r="H130" s="16">
        <v>5937209.25</v>
      </c>
      <c r="I130" s="16">
        <v>869084.05</v>
      </c>
      <c r="J130" s="16">
        <v>7324166.0699999975</v>
      </c>
      <c r="K130" s="16">
        <v>0</v>
      </c>
      <c r="L130" s="16">
        <v>0</v>
      </c>
      <c r="M130" s="16">
        <v>3.09</v>
      </c>
      <c r="N130" s="18">
        <f t="shared" si="3"/>
        <v>134657534.0974015</v>
      </c>
      <c r="O130" s="4"/>
    </row>
    <row r="131" spans="1:15" ht="15" x14ac:dyDescent="0.2">
      <c r="A131" s="17" t="s">
        <v>126</v>
      </c>
      <c r="B131" s="16">
        <v>611813094.48000002</v>
      </c>
      <c r="C131" s="16">
        <v>0</v>
      </c>
      <c r="D131" s="16">
        <v>7810438.459999999</v>
      </c>
      <c r="E131" s="16">
        <v>128467.20999999999</v>
      </c>
      <c r="F131" s="16">
        <v>14771100.99</v>
      </c>
      <c r="G131" s="16">
        <v>1376661.4412614084</v>
      </c>
      <c r="H131" s="16">
        <v>31352953.32</v>
      </c>
      <c r="I131" s="16">
        <v>38375269.700000003</v>
      </c>
      <c r="J131" s="16">
        <v>59314559.050000004</v>
      </c>
      <c r="K131" s="16">
        <v>0</v>
      </c>
      <c r="L131" s="16">
        <v>0</v>
      </c>
      <c r="M131" s="16">
        <v>136.65</v>
      </c>
      <c r="N131" s="18">
        <f t="shared" si="3"/>
        <v>764942681.30126154</v>
      </c>
      <c r="O131" s="4"/>
    </row>
    <row r="132" spans="1:15" ht="15" x14ac:dyDescent="0.2">
      <c r="A132" s="17" t="s">
        <v>127</v>
      </c>
      <c r="B132" s="16">
        <v>25958549.059999999</v>
      </c>
      <c r="C132" s="16">
        <v>0</v>
      </c>
      <c r="D132" s="16">
        <v>202853.03280676994</v>
      </c>
      <c r="E132" s="16">
        <v>0</v>
      </c>
      <c r="F132" s="16">
        <v>63168.959999999999</v>
      </c>
      <c r="G132" s="16">
        <v>22228.49</v>
      </c>
      <c r="H132" s="16">
        <v>1330270.94</v>
      </c>
      <c r="I132" s="16">
        <v>164112.75</v>
      </c>
      <c r="J132" s="16">
        <v>2106623.2100000009</v>
      </c>
      <c r="K132" s="16">
        <v>0</v>
      </c>
      <c r="L132" s="16">
        <v>0</v>
      </c>
      <c r="M132" s="16">
        <v>0.57999999999999996</v>
      </c>
      <c r="N132" s="18">
        <f t="shared" si="3"/>
        <v>29847807.022806767</v>
      </c>
      <c r="O132" s="4"/>
    </row>
    <row r="133" spans="1:15" ht="15" x14ac:dyDescent="0.2">
      <c r="A133" s="17" t="s">
        <v>128</v>
      </c>
      <c r="B133" s="16">
        <v>148019118.30000001</v>
      </c>
      <c r="C133" s="16">
        <v>0</v>
      </c>
      <c r="D133" s="16">
        <v>2732729.6440795995</v>
      </c>
      <c r="E133" s="16">
        <v>0</v>
      </c>
      <c r="F133" s="16">
        <v>228506.86</v>
      </c>
      <c r="G133" s="16">
        <v>163682.54</v>
      </c>
      <c r="H133" s="16">
        <v>7585382.7800000003</v>
      </c>
      <c r="I133" s="16">
        <v>593660.04</v>
      </c>
      <c r="J133" s="16">
        <v>7670685.4599999972</v>
      </c>
      <c r="K133" s="16">
        <v>0</v>
      </c>
      <c r="L133" s="16">
        <v>0</v>
      </c>
      <c r="M133" s="16">
        <v>2.11</v>
      </c>
      <c r="N133" s="18">
        <f t="shared" si="3"/>
        <v>166993767.73407963</v>
      </c>
      <c r="O133" s="4"/>
    </row>
    <row r="134" spans="1:15" ht="15" x14ac:dyDescent="0.2">
      <c r="A134" s="17" t="s">
        <v>129</v>
      </c>
      <c r="B134" s="16">
        <v>284535977.74000001</v>
      </c>
      <c r="C134" s="16">
        <v>0</v>
      </c>
      <c r="D134" s="16">
        <v>6790297.7166437795</v>
      </c>
      <c r="E134" s="16">
        <v>45064.800000000003</v>
      </c>
      <c r="F134" s="16">
        <v>1066182.25</v>
      </c>
      <c r="G134" s="16">
        <v>555712.34</v>
      </c>
      <c r="H134" s="16">
        <v>14581321.18</v>
      </c>
      <c r="I134" s="16">
        <v>2769937.84</v>
      </c>
      <c r="J134" s="16">
        <v>17071321.090000004</v>
      </c>
      <c r="K134" s="16">
        <v>0</v>
      </c>
      <c r="L134" s="16">
        <v>0</v>
      </c>
      <c r="M134" s="16">
        <v>9.86</v>
      </c>
      <c r="N134" s="18">
        <f t="shared" si="3"/>
        <v>327415824.81664371</v>
      </c>
      <c r="O134" s="4"/>
    </row>
    <row r="135" spans="1:15" ht="15" x14ac:dyDescent="0.2">
      <c r="A135" s="17" t="s">
        <v>130</v>
      </c>
      <c r="B135" s="16">
        <v>236894839.53</v>
      </c>
      <c r="C135" s="16">
        <v>0</v>
      </c>
      <c r="D135" s="16">
        <v>9098738.4218866993</v>
      </c>
      <c r="E135" s="16">
        <v>0</v>
      </c>
      <c r="F135" s="16">
        <v>1605040.98</v>
      </c>
      <c r="G135" s="16">
        <v>739602.6</v>
      </c>
      <c r="H135" s="16">
        <v>12139905.01</v>
      </c>
      <c r="I135" s="16">
        <v>4169890.97</v>
      </c>
      <c r="J135" s="16">
        <v>18323638.530000001</v>
      </c>
      <c r="K135" s="16">
        <v>0</v>
      </c>
      <c r="L135" s="16">
        <v>0</v>
      </c>
      <c r="M135" s="16">
        <v>14.84</v>
      </c>
      <c r="N135" s="18">
        <f t="shared" si="3"/>
        <v>282971670.88188666</v>
      </c>
      <c r="O135" s="4"/>
    </row>
    <row r="136" spans="1:15" ht="15" x14ac:dyDescent="0.2">
      <c r="A136" s="17" t="s">
        <v>131</v>
      </c>
      <c r="B136" s="16">
        <v>402767384.01999998</v>
      </c>
      <c r="C136" s="16">
        <v>0</v>
      </c>
      <c r="D136" s="16">
        <v>4206862.67</v>
      </c>
      <c r="E136" s="16">
        <v>1041166.8900000001</v>
      </c>
      <c r="F136" s="16">
        <v>9549499.4900000002</v>
      </c>
      <c r="G136" s="16">
        <v>5142618.2877237331</v>
      </c>
      <c r="H136" s="16">
        <v>20640203.859999999</v>
      </c>
      <c r="I136" s="16">
        <v>24809566.91</v>
      </c>
      <c r="J136" s="16">
        <v>42854599.929999992</v>
      </c>
      <c r="K136" s="16">
        <v>0</v>
      </c>
      <c r="L136" s="16">
        <v>0</v>
      </c>
      <c r="M136" s="16">
        <v>88.35</v>
      </c>
      <c r="N136" s="18">
        <f t="shared" ref="N136:N142" si="4">SUM(B136:M136)</f>
        <v>511011990.40772378</v>
      </c>
      <c r="O136" s="4"/>
    </row>
    <row r="137" spans="1:15" ht="15" x14ac:dyDescent="0.2">
      <c r="A137" s="17" t="s">
        <v>132</v>
      </c>
      <c r="B137" s="16">
        <v>66306922.75</v>
      </c>
      <c r="C137" s="16">
        <v>0</v>
      </c>
      <c r="D137" s="16">
        <v>1169403.6252367997</v>
      </c>
      <c r="E137" s="16">
        <v>24080.33</v>
      </c>
      <c r="F137" s="16">
        <v>114253.43</v>
      </c>
      <c r="G137" s="16">
        <v>113163.24</v>
      </c>
      <c r="H137" s="16">
        <v>3397962.34</v>
      </c>
      <c r="I137" s="16">
        <v>296830.02</v>
      </c>
      <c r="J137" s="16">
        <v>3994444.5300000012</v>
      </c>
      <c r="K137" s="16">
        <v>0</v>
      </c>
      <c r="L137" s="16">
        <v>0</v>
      </c>
      <c r="M137" s="16">
        <v>1.05</v>
      </c>
      <c r="N137" s="18">
        <f t="shared" si="4"/>
        <v>75417061.315236792</v>
      </c>
      <c r="O137" s="4"/>
    </row>
    <row r="138" spans="1:15" ht="15" x14ac:dyDescent="0.2">
      <c r="A138" s="17" t="s">
        <v>133</v>
      </c>
      <c r="B138" s="16">
        <v>143403444.55000001</v>
      </c>
      <c r="C138" s="16">
        <v>0</v>
      </c>
      <c r="D138" s="16">
        <v>7050023.7001490397</v>
      </c>
      <c r="E138" s="16">
        <v>135951.22999999998</v>
      </c>
      <c r="F138" s="16">
        <v>994773.86</v>
      </c>
      <c r="G138" s="16">
        <v>462756.82</v>
      </c>
      <c r="H138" s="16">
        <v>7348848.1100000003</v>
      </c>
      <c r="I138" s="16">
        <v>2584419.08</v>
      </c>
      <c r="J138" s="16">
        <v>14747609.139999993</v>
      </c>
      <c r="K138" s="16">
        <v>0</v>
      </c>
      <c r="L138" s="16">
        <v>0</v>
      </c>
      <c r="M138" s="16">
        <v>9.1999999999999993</v>
      </c>
      <c r="N138" s="18">
        <f t="shared" si="4"/>
        <v>176727835.69014904</v>
      </c>
      <c r="O138" s="4"/>
    </row>
    <row r="139" spans="1:15" ht="15" x14ac:dyDescent="0.2">
      <c r="A139" s="17" t="s">
        <v>134</v>
      </c>
      <c r="B139" s="16">
        <v>632040823.13999999</v>
      </c>
      <c r="C139" s="16">
        <v>0</v>
      </c>
      <c r="D139" s="16">
        <v>7123012.7199999997</v>
      </c>
      <c r="E139" s="16">
        <v>1407377.19</v>
      </c>
      <c r="F139" s="16">
        <v>5116136.8</v>
      </c>
      <c r="G139" s="16">
        <v>4729159.6390504092</v>
      </c>
      <c r="H139" s="16">
        <v>32389542.819999997</v>
      </c>
      <c r="I139" s="16">
        <v>13291705.799999999</v>
      </c>
      <c r="J139" s="16">
        <v>26784117.150000017</v>
      </c>
      <c r="K139" s="16">
        <v>0</v>
      </c>
      <c r="L139" s="16">
        <v>0</v>
      </c>
      <c r="M139" s="16">
        <v>47.33</v>
      </c>
      <c r="N139" s="18">
        <f t="shared" si="4"/>
        <v>722881922.58905041</v>
      </c>
      <c r="O139" s="4"/>
    </row>
    <row r="140" spans="1:15" ht="15" x14ac:dyDescent="0.2">
      <c r="A140" s="17" t="s">
        <v>135</v>
      </c>
      <c r="B140" s="16">
        <v>178054230.55000001</v>
      </c>
      <c r="C140" s="16">
        <v>0</v>
      </c>
      <c r="D140" s="16">
        <v>1038011.5299999999</v>
      </c>
      <c r="E140" s="16">
        <v>124889.49</v>
      </c>
      <c r="F140" s="16">
        <v>843717.64</v>
      </c>
      <c r="G140" s="16">
        <v>410216.74</v>
      </c>
      <c r="H140" s="16">
        <v>9124561.1300000008</v>
      </c>
      <c r="I140" s="16">
        <v>2191975.54</v>
      </c>
      <c r="J140" s="16">
        <v>7026428.410000002</v>
      </c>
      <c r="K140" s="16">
        <v>0</v>
      </c>
      <c r="L140" s="16">
        <v>0</v>
      </c>
      <c r="M140" s="16">
        <v>7.8</v>
      </c>
      <c r="N140" s="18">
        <f t="shared" si="4"/>
        <v>198814038.83000001</v>
      </c>
      <c r="O140" s="4"/>
    </row>
    <row r="141" spans="1:15" ht="15" x14ac:dyDescent="0.2">
      <c r="A141" s="17" t="s">
        <v>136</v>
      </c>
      <c r="B141" s="16">
        <v>215947065.79000005</v>
      </c>
      <c r="C141" s="16">
        <v>0</v>
      </c>
      <c r="D141" s="16">
        <v>3718771.3447876796</v>
      </c>
      <c r="E141" s="16">
        <v>4829.66</v>
      </c>
      <c r="F141" s="16">
        <v>1216689.17</v>
      </c>
      <c r="G141" s="16">
        <v>400112.88</v>
      </c>
      <c r="H141" s="16">
        <v>11066416.09</v>
      </c>
      <c r="I141" s="16">
        <v>3160954.31</v>
      </c>
      <c r="J141" s="16">
        <v>18367934.850000005</v>
      </c>
      <c r="K141" s="16">
        <v>0</v>
      </c>
      <c r="L141" s="16">
        <v>0</v>
      </c>
      <c r="M141" s="16">
        <v>11.25</v>
      </c>
      <c r="N141" s="18">
        <f t="shared" si="4"/>
        <v>253882785.34478772</v>
      </c>
      <c r="O141" s="4"/>
    </row>
    <row r="142" spans="1:15" ht="15" x14ac:dyDescent="0.2">
      <c r="A142" s="17" t="s">
        <v>137</v>
      </c>
      <c r="B142" s="16">
        <v>204304490.30000001</v>
      </c>
      <c r="C142" s="16">
        <v>0</v>
      </c>
      <c r="D142" s="16">
        <v>3224415.8479159498</v>
      </c>
      <c r="E142" s="16">
        <v>20504.14</v>
      </c>
      <c r="F142" s="16">
        <v>5230939.5199999996</v>
      </c>
      <c r="G142" s="16">
        <v>1477184.43</v>
      </c>
      <c r="H142" s="16">
        <v>10469781.060000001</v>
      </c>
      <c r="I142" s="16">
        <v>13589962.939999999</v>
      </c>
      <c r="J142" s="16">
        <v>24937383.469999995</v>
      </c>
      <c r="K142" s="16">
        <v>0</v>
      </c>
      <c r="L142" s="16">
        <v>0</v>
      </c>
      <c r="M142" s="16">
        <v>48.39</v>
      </c>
      <c r="N142" s="18">
        <f t="shared" si="4"/>
        <v>263254710.09791595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36925389999.459999</v>
      </c>
      <c r="C143" s="25">
        <f t="shared" si="5"/>
        <v>0</v>
      </c>
      <c r="D143" s="25">
        <f t="shared" si="5"/>
        <v>575369785.99476397</v>
      </c>
      <c r="E143" s="25">
        <f t="shared" si="5"/>
        <v>17212965.570000008</v>
      </c>
      <c r="F143" s="25">
        <f t="shared" si="5"/>
        <v>549295340.36999977</v>
      </c>
      <c r="G143" s="25">
        <f t="shared" si="5"/>
        <v>202077213.93000007</v>
      </c>
      <c r="H143" s="25">
        <f t="shared" si="5"/>
        <v>1892277297.9999998</v>
      </c>
      <c r="I143" s="25">
        <f t="shared" si="5"/>
        <v>1427067409.0900002</v>
      </c>
      <c r="J143" s="25">
        <f t="shared" ref="J143:N143" si="6">SUM(J8:J142)</f>
        <v>3115062483.4699993</v>
      </c>
      <c r="K143" s="25">
        <f t="shared" si="6"/>
        <v>0</v>
      </c>
      <c r="L143" s="25">
        <f t="shared" si="6"/>
        <v>0</v>
      </c>
      <c r="M143" s="25">
        <f t="shared" si="6"/>
        <v>5081.3199999999988</v>
      </c>
      <c r="N143" s="25">
        <f t="shared" si="6"/>
        <v>44703757577.204758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156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165504326.07999998</v>
      </c>
      <c r="C8" s="16">
        <v>0</v>
      </c>
      <c r="D8" s="16">
        <v>22906789.647708122</v>
      </c>
      <c r="E8" s="16">
        <v>0</v>
      </c>
      <c r="F8" s="16">
        <v>615190.61</v>
      </c>
      <c r="G8" s="16">
        <v>273354.5</v>
      </c>
      <c r="H8" s="16">
        <v>8513190.1500000004</v>
      </c>
      <c r="I8" s="16">
        <v>1248483.32</v>
      </c>
      <c r="J8" s="16">
        <v>8503198.820000004</v>
      </c>
      <c r="K8" s="16">
        <v>0</v>
      </c>
      <c r="L8" s="16">
        <v>0</v>
      </c>
      <c r="M8" s="16">
        <v>0</v>
      </c>
      <c r="N8" s="18">
        <f t="shared" ref="N8:N39" si="0">SUM(B8:M8)</f>
        <v>207564533.12770811</v>
      </c>
      <c r="O8" s="4"/>
    </row>
    <row r="9" spans="1:15" ht="18" customHeight="1" x14ac:dyDescent="0.2">
      <c r="A9" s="17" t="s">
        <v>4</v>
      </c>
      <c r="B9" s="16">
        <v>93419277.719999999</v>
      </c>
      <c r="C9" s="16">
        <v>0</v>
      </c>
      <c r="D9" s="16">
        <v>20966240.439942308</v>
      </c>
      <c r="E9" s="16">
        <v>0</v>
      </c>
      <c r="F9" s="16">
        <v>431015.53</v>
      </c>
      <c r="G9" s="16">
        <v>193103.64</v>
      </c>
      <c r="H9" s="16">
        <v>4805288.74</v>
      </c>
      <c r="I9" s="16">
        <v>874713.78</v>
      </c>
      <c r="J9" s="16">
        <v>6465768.0200000005</v>
      </c>
      <c r="K9" s="16">
        <v>0</v>
      </c>
      <c r="L9" s="16">
        <v>0</v>
      </c>
      <c r="M9" s="16">
        <v>0</v>
      </c>
      <c r="N9" s="18">
        <f t="shared" si="0"/>
        <v>127155407.86994229</v>
      </c>
      <c r="O9" s="4"/>
    </row>
    <row r="10" spans="1:15" ht="18" customHeight="1" x14ac:dyDescent="0.2">
      <c r="A10" s="17" t="s">
        <v>5</v>
      </c>
      <c r="B10" s="16">
        <v>79267145.389999986</v>
      </c>
      <c r="C10" s="16">
        <v>0</v>
      </c>
      <c r="D10" s="16">
        <v>14571372.615126098</v>
      </c>
      <c r="E10" s="16">
        <v>0</v>
      </c>
      <c r="F10" s="16">
        <v>301099.5</v>
      </c>
      <c r="G10" s="16">
        <v>170533.08</v>
      </c>
      <c r="H10" s="16">
        <v>4077333.19</v>
      </c>
      <c r="I10" s="16">
        <v>611058.92000000004</v>
      </c>
      <c r="J10" s="16">
        <v>3755282.7399999998</v>
      </c>
      <c r="K10" s="16">
        <v>0</v>
      </c>
      <c r="L10" s="16">
        <v>0</v>
      </c>
      <c r="M10" s="16">
        <v>0</v>
      </c>
      <c r="N10" s="18">
        <f t="shared" si="0"/>
        <v>102753825.43512608</v>
      </c>
      <c r="O10" s="4"/>
    </row>
    <row r="11" spans="1:15" ht="18" customHeight="1" x14ac:dyDescent="0.2">
      <c r="A11" s="17" t="s">
        <v>6</v>
      </c>
      <c r="B11" s="16">
        <v>851048500.43000019</v>
      </c>
      <c r="C11" s="16">
        <v>0</v>
      </c>
      <c r="D11" s="16">
        <v>6855510.9077284075</v>
      </c>
      <c r="E11" s="16">
        <v>0</v>
      </c>
      <c r="F11" s="16">
        <v>32318523.140000001</v>
      </c>
      <c r="G11" s="16">
        <v>15174579.969173435</v>
      </c>
      <c r="H11" s="16">
        <v>43776122.829999998</v>
      </c>
      <c r="I11" s="16">
        <v>65588024.18</v>
      </c>
      <c r="J11" s="16">
        <v>72450000.289999962</v>
      </c>
      <c r="K11" s="16">
        <v>0</v>
      </c>
      <c r="L11" s="16">
        <v>0</v>
      </c>
      <c r="M11" s="16">
        <v>0</v>
      </c>
      <c r="N11" s="18">
        <f t="shared" si="0"/>
        <v>1087211261.746902</v>
      </c>
      <c r="O11" s="4"/>
    </row>
    <row r="12" spans="1:15" ht="18" customHeight="1" x14ac:dyDescent="0.2">
      <c r="A12" s="17" t="s">
        <v>7</v>
      </c>
      <c r="B12" s="16">
        <v>116309961.65000001</v>
      </c>
      <c r="C12" s="16">
        <v>0</v>
      </c>
      <c r="D12" s="16">
        <v>22102398.736806769</v>
      </c>
      <c r="E12" s="16">
        <v>0</v>
      </c>
      <c r="F12" s="16">
        <v>1105050.47</v>
      </c>
      <c r="G12" s="16">
        <v>466458.14</v>
      </c>
      <c r="H12" s="16">
        <v>5982736.79</v>
      </c>
      <c r="I12" s="16">
        <v>2242617.2400000002</v>
      </c>
      <c r="J12" s="16">
        <v>7430126.3200000031</v>
      </c>
      <c r="K12" s="16">
        <v>0</v>
      </c>
      <c r="L12" s="16">
        <v>0</v>
      </c>
      <c r="M12" s="16">
        <v>0</v>
      </c>
      <c r="N12" s="18">
        <f t="shared" si="0"/>
        <v>155639349.34680676</v>
      </c>
      <c r="O12" s="4"/>
    </row>
    <row r="13" spans="1:15" ht="18" customHeight="1" x14ac:dyDescent="0.2">
      <c r="A13" s="17" t="s">
        <v>8</v>
      </c>
      <c r="B13" s="16">
        <v>500974281.07999992</v>
      </c>
      <c r="C13" s="16">
        <v>0</v>
      </c>
      <c r="D13" s="16">
        <v>4892872.5616837079</v>
      </c>
      <c r="E13" s="16">
        <v>0</v>
      </c>
      <c r="F13" s="16">
        <v>15716018.640000001</v>
      </c>
      <c r="G13" s="16">
        <v>0</v>
      </c>
      <c r="H13" s="16">
        <v>25769050.359999999</v>
      </c>
      <c r="I13" s="16">
        <v>31894483.739999998</v>
      </c>
      <c r="J13" s="16">
        <v>54815152.949999981</v>
      </c>
      <c r="K13" s="16">
        <v>0</v>
      </c>
      <c r="L13" s="16">
        <v>0</v>
      </c>
      <c r="M13" s="16">
        <v>0</v>
      </c>
      <c r="N13" s="18">
        <f t="shared" si="0"/>
        <v>634061859.33168352</v>
      </c>
      <c r="O13" s="4"/>
    </row>
    <row r="14" spans="1:15" ht="18" customHeight="1" x14ac:dyDescent="0.2">
      <c r="A14" s="17" t="s">
        <v>9</v>
      </c>
      <c r="B14" s="16">
        <v>178332071.68000001</v>
      </c>
      <c r="C14" s="16">
        <v>0</v>
      </c>
      <c r="D14" s="16">
        <v>34909816.989350155</v>
      </c>
      <c r="E14" s="16">
        <v>0</v>
      </c>
      <c r="F14" s="16">
        <v>715302.38</v>
      </c>
      <c r="G14" s="16">
        <v>326019.13</v>
      </c>
      <c r="H14" s="16">
        <v>9173022.0700000003</v>
      </c>
      <c r="I14" s="16">
        <v>1451652.65</v>
      </c>
      <c r="J14" s="16">
        <v>11289549.959999999</v>
      </c>
      <c r="K14" s="16">
        <v>0</v>
      </c>
      <c r="L14" s="16">
        <v>0</v>
      </c>
      <c r="M14" s="16">
        <v>0</v>
      </c>
      <c r="N14" s="18">
        <f t="shared" si="0"/>
        <v>236197434.85935014</v>
      </c>
      <c r="O14" s="4"/>
    </row>
    <row r="15" spans="1:15" ht="18" customHeight="1" x14ac:dyDescent="0.2">
      <c r="A15" s="17" t="s">
        <v>10</v>
      </c>
      <c r="B15" s="16">
        <v>290320771.64999998</v>
      </c>
      <c r="C15" s="16">
        <v>0</v>
      </c>
      <c r="D15" s="16">
        <v>57351783.221087299</v>
      </c>
      <c r="E15" s="16">
        <v>0</v>
      </c>
      <c r="F15" s="16">
        <v>2664807.0499999998</v>
      </c>
      <c r="G15" s="16">
        <v>1048276.89</v>
      </c>
      <c r="H15" s="16">
        <v>14933482.35</v>
      </c>
      <c r="I15" s="16">
        <v>5408026.4900000002</v>
      </c>
      <c r="J15" s="16">
        <v>18270560.74000001</v>
      </c>
      <c r="K15" s="16">
        <v>0</v>
      </c>
      <c r="L15" s="16">
        <v>0</v>
      </c>
      <c r="M15" s="16">
        <v>0</v>
      </c>
      <c r="N15" s="18">
        <f t="shared" si="0"/>
        <v>389997708.39108729</v>
      </c>
      <c r="O15" s="4"/>
    </row>
    <row r="16" spans="1:15" ht="18" customHeight="1" x14ac:dyDescent="0.2">
      <c r="A16" s="17" t="s">
        <v>11</v>
      </c>
      <c r="B16" s="16">
        <v>539325479.38</v>
      </c>
      <c r="C16" s="16">
        <v>0</v>
      </c>
      <c r="D16" s="16">
        <v>14357227.658979526</v>
      </c>
      <c r="E16" s="16">
        <v>0</v>
      </c>
      <c r="F16" s="16">
        <v>9938576.3399999999</v>
      </c>
      <c r="G16" s="16">
        <v>4840130.1500000004</v>
      </c>
      <c r="H16" s="16">
        <v>27741754.34</v>
      </c>
      <c r="I16" s="16">
        <v>20169596.940000001</v>
      </c>
      <c r="J16" s="16">
        <v>45145609.49000001</v>
      </c>
      <c r="K16" s="16">
        <v>0</v>
      </c>
      <c r="L16" s="16">
        <v>0</v>
      </c>
      <c r="M16" s="16">
        <v>0</v>
      </c>
      <c r="N16" s="18">
        <f t="shared" si="0"/>
        <v>661518374.29897964</v>
      </c>
      <c r="O16" s="4"/>
    </row>
    <row r="17" spans="1:15" ht="15" x14ac:dyDescent="0.2">
      <c r="A17" s="17" t="s">
        <v>12</v>
      </c>
      <c r="B17" s="16">
        <v>196277311.56999999</v>
      </c>
      <c r="C17" s="16">
        <v>0</v>
      </c>
      <c r="D17" s="16">
        <v>52499776.991653621</v>
      </c>
      <c r="E17" s="16">
        <v>0</v>
      </c>
      <c r="F17" s="16">
        <v>2041210.1</v>
      </c>
      <c r="G17" s="16">
        <v>702195.05</v>
      </c>
      <c r="H17" s="16">
        <v>10096087</v>
      </c>
      <c r="I17" s="16">
        <v>4142483.15</v>
      </c>
      <c r="J17" s="16">
        <v>12365366.439999998</v>
      </c>
      <c r="K17" s="16">
        <v>0</v>
      </c>
      <c r="L17" s="16">
        <v>0</v>
      </c>
      <c r="M17" s="16">
        <v>0</v>
      </c>
      <c r="N17" s="18">
        <f t="shared" si="0"/>
        <v>278124430.30165362</v>
      </c>
      <c r="O17" s="4"/>
    </row>
    <row r="18" spans="1:15" ht="15" x14ac:dyDescent="0.2">
      <c r="A18" s="17" t="s">
        <v>13</v>
      </c>
      <c r="B18" s="16">
        <v>113933267.68000001</v>
      </c>
      <c r="C18" s="16">
        <v>0</v>
      </c>
      <c r="D18" s="16">
        <v>16099559.680582907</v>
      </c>
      <c r="E18" s="16">
        <v>0</v>
      </c>
      <c r="F18" s="16">
        <v>1375581.5</v>
      </c>
      <c r="G18" s="16">
        <v>526646.29</v>
      </c>
      <c r="H18" s="16">
        <v>5860484.71</v>
      </c>
      <c r="I18" s="16">
        <v>2791639.71</v>
      </c>
      <c r="J18" s="16">
        <v>9869027.6899999976</v>
      </c>
      <c r="K18" s="16">
        <v>0</v>
      </c>
      <c r="L18" s="16">
        <v>0</v>
      </c>
      <c r="M18" s="16">
        <v>0</v>
      </c>
      <c r="N18" s="18">
        <f t="shared" si="0"/>
        <v>150456207.26058292</v>
      </c>
      <c r="O18" s="4"/>
    </row>
    <row r="19" spans="1:15" ht="15" x14ac:dyDescent="0.2">
      <c r="A19" s="17" t="s">
        <v>14</v>
      </c>
      <c r="B19" s="16">
        <v>199114139.93000001</v>
      </c>
      <c r="C19" s="16">
        <v>0</v>
      </c>
      <c r="D19" s="16">
        <v>33496004.686066087</v>
      </c>
      <c r="E19" s="16">
        <v>0</v>
      </c>
      <c r="F19" s="16">
        <v>555582.07999999996</v>
      </c>
      <c r="G19" s="16">
        <v>326019.13</v>
      </c>
      <c r="H19" s="16">
        <v>10242007.41</v>
      </c>
      <c r="I19" s="16">
        <v>1127512.26</v>
      </c>
      <c r="J19" s="16">
        <v>8674327.4499999974</v>
      </c>
      <c r="K19" s="16">
        <v>0</v>
      </c>
      <c r="L19" s="16">
        <v>0</v>
      </c>
      <c r="M19" s="16">
        <v>0</v>
      </c>
      <c r="N19" s="18">
        <f t="shared" si="0"/>
        <v>253535592.94606608</v>
      </c>
      <c r="O19" s="4"/>
    </row>
    <row r="20" spans="1:15" ht="15" x14ac:dyDescent="0.2">
      <c r="A20" s="17" t="s">
        <v>15</v>
      </c>
      <c r="B20" s="16">
        <v>673232579.36000001</v>
      </c>
      <c r="C20" s="16">
        <v>0</v>
      </c>
      <c r="D20" s="16">
        <v>3731224.1676927917</v>
      </c>
      <c r="E20" s="16">
        <v>0</v>
      </c>
      <c r="F20" s="16">
        <v>17732773.960000001</v>
      </c>
      <c r="G20" s="16">
        <v>8015082.7011034787</v>
      </c>
      <c r="H20" s="16">
        <v>34629650.460000001</v>
      </c>
      <c r="I20" s="16">
        <v>35987337.740000002</v>
      </c>
      <c r="J20" s="16">
        <v>49183264.339999996</v>
      </c>
      <c r="K20" s="16">
        <v>0</v>
      </c>
      <c r="L20" s="16">
        <v>0</v>
      </c>
      <c r="M20" s="16">
        <v>0</v>
      </c>
      <c r="N20" s="18">
        <f t="shared" si="0"/>
        <v>822511912.72879636</v>
      </c>
      <c r="O20" s="4"/>
    </row>
    <row r="21" spans="1:15" ht="15" x14ac:dyDescent="0.2">
      <c r="A21" s="17" t="s">
        <v>16</v>
      </c>
      <c r="B21" s="16">
        <v>291525123.31</v>
      </c>
      <c r="C21" s="16">
        <v>0</v>
      </c>
      <c r="D21" s="16">
        <v>3316058.6875314349</v>
      </c>
      <c r="E21" s="16">
        <v>0</v>
      </c>
      <c r="F21" s="16">
        <v>4715187.7</v>
      </c>
      <c r="G21" s="16">
        <v>1033539.3322984546</v>
      </c>
      <c r="H21" s="16">
        <v>14995431.640000001</v>
      </c>
      <c r="I21" s="16">
        <v>9569120.5800000001</v>
      </c>
      <c r="J21" s="16">
        <v>15971446.359999992</v>
      </c>
      <c r="K21" s="16">
        <v>0</v>
      </c>
      <c r="L21" s="16">
        <v>0</v>
      </c>
      <c r="M21" s="16">
        <v>0</v>
      </c>
      <c r="N21" s="18">
        <f t="shared" si="0"/>
        <v>341125907.60982984</v>
      </c>
      <c r="O21" s="4"/>
    </row>
    <row r="22" spans="1:15" ht="15" x14ac:dyDescent="0.2">
      <c r="A22" s="17" t="s">
        <v>17</v>
      </c>
      <c r="B22" s="16">
        <v>217111395.01999998</v>
      </c>
      <c r="C22" s="16">
        <v>0</v>
      </c>
      <c r="D22" s="16">
        <v>25672291.992933583</v>
      </c>
      <c r="E22" s="16">
        <v>0</v>
      </c>
      <c r="F22" s="16">
        <v>1122627.3400000001</v>
      </c>
      <c r="G22" s="16">
        <v>549216.84</v>
      </c>
      <c r="H22" s="16">
        <v>11167747.890000001</v>
      </c>
      <c r="I22" s="16">
        <v>2278288.19</v>
      </c>
      <c r="J22" s="16">
        <v>12319766.25</v>
      </c>
      <c r="K22" s="16">
        <v>0</v>
      </c>
      <c r="L22" s="16">
        <v>0</v>
      </c>
      <c r="M22" s="16">
        <v>0</v>
      </c>
      <c r="N22" s="18">
        <f t="shared" si="0"/>
        <v>270221333.52293354</v>
      </c>
      <c r="O22" s="4"/>
    </row>
    <row r="23" spans="1:15" ht="15" x14ac:dyDescent="0.2">
      <c r="A23" s="17" t="s">
        <v>18</v>
      </c>
      <c r="B23" s="16">
        <v>222544981.58999997</v>
      </c>
      <c r="C23" s="16">
        <v>0</v>
      </c>
      <c r="D23" s="16">
        <v>21785114.044189684</v>
      </c>
      <c r="E23" s="16">
        <v>0</v>
      </c>
      <c r="F23" s="16">
        <v>1076010.4099999999</v>
      </c>
      <c r="G23" s="16">
        <v>664577.46</v>
      </c>
      <c r="H23" s="16">
        <v>11447240.02</v>
      </c>
      <c r="I23" s="16">
        <v>2183682.62</v>
      </c>
      <c r="J23" s="16">
        <v>9953341.1399999987</v>
      </c>
      <c r="K23" s="16">
        <v>0</v>
      </c>
      <c r="L23" s="16">
        <v>0</v>
      </c>
      <c r="M23" s="16">
        <v>0</v>
      </c>
      <c r="N23" s="18">
        <f t="shared" si="0"/>
        <v>269654947.2841897</v>
      </c>
      <c r="O23" s="4"/>
    </row>
    <row r="24" spans="1:15" ht="15" x14ac:dyDescent="0.2">
      <c r="A24" s="17" t="s">
        <v>19</v>
      </c>
      <c r="B24" s="16">
        <v>68375965.219999999</v>
      </c>
      <c r="C24" s="16">
        <v>0</v>
      </c>
      <c r="D24" s="16">
        <v>12745307.41639805</v>
      </c>
      <c r="E24" s="16">
        <v>0</v>
      </c>
      <c r="F24" s="16">
        <v>1118806.28</v>
      </c>
      <c r="G24" s="16">
        <v>234783.45886359035</v>
      </c>
      <c r="H24" s="16">
        <v>3517114.07</v>
      </c>
      <c r="I24" s="16">
        <v>2270533.63</v>
      </c>
      <c r="J24" s="16">
        <v>8509897.459999999</v>
      </c>
      <c r="K24" s="16">
        <v>0</v>
      </c>
      <c r="L24" s="16">
        <v>0</v>
      </c>
      <c r="M24" s="16">
        <v>0</v>
      </c>
      <c r="N24" s="18">
        <f t="shared" si="0"/>
        <v>96772407.535261616</v>
      </c>
      <c r="O24" s="4"/>
    </row>
    <row r="25" spans="1:15" ht="15" x14ac:dyDescent="0.2">
      <c r="A25" s="17" t="s">
        <v>20</v>
      </c>
      <c r="B25" s="16">
        <v>318180906.64999998</v>
      </c>
      <c r="C25" s="16">
        <v>0</v>
      </c>
      <c r="D25" s="16">
        <v>7085649.0412867321</v>
      </c>
      <c r="E25" s="16">
        <v>0</v>
      </c>
      <c r="F25" s="16">
        <v>4962028.1500000004</v>
      </c>
      <c r="G25" s="16">
        <v>1517242.87</v>
      </c>
      <c r="H25" s="16">
        <v>16366548.380000001</v>
      </c>
      <c r="I25" s="16">
        <v>10070064.810000001</v>
      </c>
      <c r="J25" s="16">
        <v>19828072.25</v>
      </c>
      <c r="K25" s="16">
        <v>0</v>
      </c>
      <c r="L25" s="16">
        <v>0</v>
      </c>
      <c r="M25" s="16">
        <v>0</v>
      </c>
      <c r="N25" s="18">
        <f t="shared" si="0"/>
        <v>378010512.15128666</v>
      </c>
      <c r="O25" s="4"/>
    </row>
    <row r="26" spans="1:15" ht="15" x14ac:dyDescent="0.2">
      <c r="A26" s="17" t="s">
        <v>21</v>
      </c>
      <c r="B26" s="16">
        <v>112364809.68000001</v>
      </c>
      <c r="C26" s="16">
        <v>0</v>
      </c>
      <c r="D26" s="16">
        <v>11206094.240976851</v>
      </c>
      <c r="E26" s="16">
        <v>0</v>
      </c>
      <c r="F26" s="16">
        <v>2256717.87</v>
      </c>
      <c r="G26" s="16">
        <v>832602.7</v>
      </c>
      <c r="H26" s="16">
        <v>5779806.5700000003</v>
      </c>
      <c r="I26" s="16">
        <v>4579840.04</v>
      </c>
      <c r="J26" s="16">
        <v>13556542.370000005</v>
      </c>
      <c r="K26" s="16">
        <v>0</v>
      </c>
      <c r="L26" s="16">
        <v>0</v>
      </c>
      <c r="M26" s="16">
        <v>0</v>
      </c>
      <c r="N26" s="18">
        <f t="shared" si="0"/>
        <v>150576413.47097686</v>
      </c>
      <c r="O26" s="4"/>
    </row>
    <row r="27" spans="1:15" ht="15" x14ac:dyDescent="0.2">
      <c r="A27" s="17" t="s">
        <v>22</v>
      </c>
      <c r="B27" s="16">
        <v>60789750.109999992</v>
      </c>
      <c r="C27" s="16">
        <v>0</v>
      </c>
      <c r="D27" s="16">
        <v>9366887.17426892</v>
      </c>
      <c r="E27" s="16">
        <v>0</v>
      </c>
      <c r="F27" s="16">
        <v>560931.56000000006</v>
      </c>
      <c r="G27" s="16">
        <v>233229.07</v>
      </c>
      <c r="H27" s="16">
        <v>3126895.32</v>
      </c>
      <c r="I27" s="16">
        <v>1138368.6399999999</v>
      </c>
      <c r="J27" s="16">
        <v>3939647.7199999988</v>
      </c>
      <c r="K27" s="16">
        <v>0</v>
      </c>
      <c r="L27" s="16">
        <v>0</v>
      </c>
      <c r="M27" s="16">
        <v>0</v>
      </c>
      <c r="N27" s="18">
        <f t="shared" si="0"/>
        <v>79155709.594268903</v>
      </c>
      <c r="O27" s="4"/>
    </row>
    <row r="28" spans="1:15" ht="15" x14ac:dyDescent="0.2">
      <c r="A28" s="17" t="s">
        <v>23</v>
      </c>
      <c r="B28" s="16">
        <v>200162446.01000005</v>
      </c>
      <c r="C28" s="16">
        <v>0</v>
      </c>
      <c r="D28" s="16">
        <v>24070639.607065018</v>
      </c>
      <c r="E28" s="16">
        <v>0</v>
      </c>
      <c r="F28" s="16">
        <v>772618.27</v>
      </c>
      <c r="G28" s="16">
        <v>356113.2</v>
      </c>
      <c r="H28" s="16">
        <v>10295930.050000001</v>
      </c>
      <c r="I28" s="16">
        <v>1567970.97</v>
      </c>
      <c r="J28" s="16">
        <v>8058737.3300000019</v>
      </c>
      <c r="K28" s="16">
        <v>0</v>
      </c>
      <c r="L28" s="16">
        <v>0</v>
      </c>
      <c r="M28" s="16">
        <v>0</v>
      </c>
      <c r="N28" s="18">
        <f t="shared" si="0"/>
        <v>245284455.43706509</v>
      </c>
      <c r="O28" s="4"/>
    </row>
    <row r="29" spans="1:15" ht="15" x14ac:dyDescent="0.2">
      <c r="A29" s="17" t="s">
        <v>24</v>
      </c>
      <c r="B29" s="16">
        <v>127201141.80000004</v>
      </c>
      <c r="C29" s="16">
        <v>0</v>
      </c>
      <c r="D29" s="16">
        <v>24017063.271032065</v>
      </c>
      <c r="E29" s="16">
        <v>0</v>
      </c>
      <c r="F29" s="16">
        <v>482217.73</v>
      </c>
      <c r="G29" s="16">
        <v>185580.12</v>
      </c>
      <c r="H29" s="16">
        <v>6542955.9100000001</v>
      </c>
      <c r="I29" s="16">
        <v>978624.81</v>
      </c>
      <c r="J29" s="16">
        <v>7040223.7099999981</v>
      </c>
      <c r="K29" s="16">
        <v>0</v>
      </c>
      <c r="L29" s="16">
        <v>0</v>
      </c>
      <c r="M29" s="16">
        <v>0</v>
      </c>
      <c r="N29" s="18">
        <f t="shared" si="0"/>
        <v>166447807.35103211</v>
      </c>
      <c r="O29" s="4"/>
    </row>
    <row r="30" spans="1:15" ht="15" x14ac:dyDescent="0.2">
      <c r="A30" s="17" t="s">
        <v>25</v>
      </c>
      <c r="B30" s="16">
        <v>40371788.189999998</v>
      </c>
      <c r="C30" s="16">
        <v>0</v>
      </c>
      <c r="D30" s="16">
        <v>15495002.030403743</v>
      </c>
      <c r="E30" s="16">
        <v>0</v>
      </c>
      <c r="F30" s="16">
        <v>416495.5</v>
      </c>
      <c r="G30" s="16">
        <v>235736.91</v>
      </c>
      <c r="H30" s="16">
        <v>2076638.83</v>
      </c>
      <c r="I30" s="16">
        <v>845246.47</v>
      </c>
      <c r="J30" s="16">
        <v>5318067.129999999</v>
      </c>
      <c r="K30" s="16">
        <v>0</v>
      </c>
      <c r="L30" s="16">
        <v>0</v>
      </c>
      <c r="M30" s="16">
        <v>0</v>
      </c>
      <c r="N30" s="18">
        <f t="shared" si="0"/>
        <v>64758975.060403734</v>
      </c>
      <c r="O30" s="4"/>
    </row>
    <row r="31" spans="1:15" ht="15" x14ac:dyDescent="0.2">
      <c r="A31" s="17" t="s">
        <v>26</v>
      </c>
      <c r="B31" s="16">
        <v>74041619.549999997</v>
      </c>
      <c r="C31" s="16">
        <v>0</v>
      </c>
      <c r="D31" s="16">
        <v>7967377.3235147027</v>
      </c>
      <c r="E31" s="16">
        <v>0</v>
      </c>
      <c r="F31" s="16">
        <v>497501.97</v>
      </c>
      <c r="G31" s="16">
        <v>132915.49</v>
      </c>
      <c r="H31" s="16">
        <v>3808543.27</v>
      </c>
      <c r="I31" s="16">
        <v>1009643.03</v>
      </c>
      <c r="J31" s="16">
        <v>3801636.2800000012</v>
      </c>
      <c r="K31" s="16">
        <v>0</v>
      </c>
      <c r="L31" s="16">
        <v>0</v>
      </c>
      <c r="M31" s="16">
        <v>0</v>
      </c>
      <c r="N31" s="18">
        <f t="shared" si="0"/>
        <v>91259236.913514689</v>
      </c>
      <c r="O31" s="4"/>
    </row>
    <row r="32" spans="1:15" ht="15" x14ac:dyDescent="0.2">
      <c r="A32" s="17" t="s">
        <v>27</v>
      </c>
      <c r="B32" s="16">
        <v>339055001.74000001</v>
      </c>
      <c r="C32" s="16">
        <v>0</v>
      </c>
      <c r="D32" s="16">
        <v>42896014.437568843</v>
      </c>
      <c r="E32" s="16">
        <v>0</v>
      </c>
      <c r="F32" s="16">
        <v>1467286.93</v>
      </c>
      <c r="G32" s="16">
        <v>782445.91</v>
      </c>
      <c r="H32" s="16">
        <v>17440267.390000001</v>
      </c>
      <c r="I32" s="16">
        <v>2977749.03</v>
      </c>
      <c r="J32" s="16">
        <v>11803393.75</v>
      </c>
      <c r="K32" s="16">
        <v>0</v>
      </c>
      <c r="L32" s="16">
        <v>0</v>
      </c>
      <c r="M32" s="16">
        <v>0</v>
      </c>
      <c r="N32" s="18">
        <f t="shared" si="0"/>
        <v>416422159.18756884</v>
      </c>
      <c r="O32" s="4"/>
    </row>
    <row r="33" spans="1:15" ht="15" x14ac:dyDescent="0.2">
      <c r="A33" s="17" t="s">
        <v>28</v>
      </c>
      <c r="B33" s="16">
        <v>217515512.97999999</v>
      </c>
      <c r="C33" s="16">
        <v>0</v>
      </c>
      <c r="D33" s="16">
        <v>25529270.043134294</v>
      </c>
      <c r="E33" s="16">
        <v>0</v>
      </c>
      <c r="F33" s="16">
        <v>1076774.6299999999</v>
      </c>
      <c r="G33" s="16">
        <v>586834.43000000005</v>
      </c>
      <c r="H33" s="16">
        <v>11188534.859999999</v>
      </c>
      <c r="I33" s="16">
        <v>2185233.5299999998</v>
      </c>
      <c r="J33" s="16">
        <v>11582763.660000002</v>
      </c>
      <c r="K33" s="16">
        <v>0</v>
      </c>
      <c r="L33" s="16">
        <v>0</v>
      </c>
      <c r="M33" s="16">
        <v>0</v>
      </c>
      <c r="N33" s="18">
        <f t="shared" si="0"/>
        <v>269664924.13313431</v>
      </c>
      <c r="O33" s="4"/>
    </row>
    <row r="34" spans="1:15" ht="15" x14ac:dyDescent="0.2">
      <c r="A34" s="17" t="s">
        <v>29</v>
      </c>
      <c r="B34" s="16">
        <v>288644282.12</v>
      </c>
      <c r="C34" s="16">
        <v>0</v>
      </c>
      <c r="D34" s="16">
        <v>23090705.573846128</v>
      </c>
      <c r="E34" s="16">
        <v>0</v>
      </c>
      <c r="F34" s="16">
        <v>1565870.27</v>
      </c>
      <c r="G34" s="16">
        <v>1030722.02</v>
      </c>
      <c r="H34" s="16">
        <v>14847247.300000001</v>
      </c>
      <c r="I34" s="16">
        <v>3177816.54</v>
      </c>
      <c r="J34" s="16">
        <v>14890141.73</v>
      </c>
      <c r="K34" s="16">
        <v>0</v>
      </c>
      <c r="L34" s="16">
        <v>0</v>
      </c>
      <c r="M34" s="16">
        <v>0</v>
      </c>
      <c r="N34" s="18">
        <f t="shared" si="0"/>
        <v>347246785.55384612</v>
      </c>
      <c r="O34" s="4"/>
    </row>
    <row r="35" spans="1:15" ht="15" x14ac:dyDescent="0.2">
      <c r="A35" s="17" t="s">
        <v>30</v>
      </c>
      <c r="B35" s="16">
        <v>144938320.91999999</v>
      </c>
      <c r="C35" s="16">
        <v>0</v>
      </c>
      <c r="D35" s="16">
        <v>20847253.49372948</v>
      </c>
      <c r="E35" s="16">
        <v>0</v>
      </c>
      <c r="F35" s="16">
        <v>978955.5</v>
      </c>
      <c r="G35" s="16">
        <v>398746.47</v>
      </c>
      <c r="H35" s="16">
        <v>7455318.6299999999</v>
      </c>
      <c r="I35" s="16">
        <v>1986716.93</v>
      </c>
      <c r="J35" s="16">
        <v>5436843.1600000001</v>
      </c>
      <c r="K35" s="16">
        <v>0</v>
      </c>
      <c r="L35" s="16">
        <v>0</v>
      </c>
      <c r="M35" s="16">
        <v>0</v>
      </c>
      <c r="N35" s="18">
        <f t="shared" si="0"/>
        <v>182042155.10372946</v>
      </c>
      <c r="O35" s="4"/>
    </row>
    <row r="36" spans="1:15" ht="15" x14ac:dyDescent="0.2">
      <c r="A36" s="17" t="s">
        <v>31</v>
      </c>
      <c r="B36" s="16">
        <v>157842088.75</v>
      </c>
      <c r="C36" s="16">
        <v>0</v>
      </c>
      <c r="D36" s="16">
        <v>19191786.306419596</v>
      </c>
      <c r="E36" s="16">
        <v>0</v>
      </c>
      <c r="F36" s="16">
        <v>615954.81999999995</v>
      </c>
      <c r="G36" s="16">
        <v>253291.78</v>
      </c>
      <c r="H36" s="16">
        <v>8119060.9800000004</v>
      </c>
      <c r="I36" s="16">
        <v>1250034.23</v>
      </c>
      <c r="J36" s="16">
        <v>5752709.040000001</v>
      </c>
      <c r="K36" s="16">
        <v>0</v>
      </c>
      <c r="L36" s="16">
        <v>0</v>
      </c>
      <c r="M36" s="16">
        <v>0</v>
      </c>
      <c r="N36" s="18">
        <f t="shared" si="0"/>
        <v>193024925.90641958</v>
      </c>
      <c r="O36" s="4"/>
    </row>
    <row r="37" spans="1:15" ht="15" x14ac:dyDescent="0.2">
      <c r="A37" s="17" t="s">
        <v>32</v>
      </c>
      <c r="B37" s="16">
        <v>172754443.06999999</v>
      </c>
      <c r="C37" s="16">
        <v>0</v>
      </c>
      <c r="D37" s="16">
        <v>21958114.215999834</v>
      </c>
      <c r="E37" s="16">
        <v>0</v>
      </c>
      <c r="F37" s="16">
        <v>1142496.8500000001</v>
      </c>
      <c r="G37" s="16">
        <v>368652.4</v>
      </c>
      <c r="H37" s="16">
        <v>8886120.7300000004</v>
      </c>
      <c r="I37" s="16">
        <v>2318611.87</v>
      </c>
      <c r="J37" s="16">
        <v>9022315.4900000021</v>
      </c>
      <c r="K37" s="16">
        <v>0</v>
      </c>
      <c r="L37" s="16">
        <v>0</v>
      </c>
      <c r="M37" s="16">
        <v>0</v>
      </c>
      <c r="N37" s="18">
        <f t="shared" si="0"/>
        <v>216450754.62599984</v>
      </c>
      <c r="O37" s="4"/>
    </row>
    <row r="38" spans="1:15" ht="15" x14ac:dyDescent="0.2">
      <c r="A38" s="17" t="s">
        <v>33</v>
      </c>
      <c r="B38" s="16">
        <v>156645739.41999999</v>
      </c>
      <c r="C38" s="16">
        <v>0</v>
      </c>
      <c r="D38" s="16">
        <v>2173696.1044897623</v>
      </c>
      <c r="E38" s="16">
        <v>0</v>
      </c>
      <c r="F38" s="16">
        <v>1020987.15</v>
      </c>
      <c r="G38" s="16">
        <v>998120.1</v>
      </c>
      <c r="H38" s="16">
        <v>8057523.3099999996</v>
      </c>
      <c r="I38" s="16">
        <v>2072017.03</v>
      </c>
      <c r="J38" s="16">
        <v>15150910.649999995</v>
      </c>
      <c r="K38" s="16">
        <v>0</v>
      </c>
      <c r="L38" s="16">
        <v>0</v>
      </c>
      <c r="M38" s="16">
        <v>0</v>
      </c>
      <c r="N38" s="18">
        <f t="shared" si="0"/>
        <v>186118993.76448977</v>
      </c>
      <c r="O38" s="4"/>
    </row>
    <row r="39" spans="1:15" ht="15" x14ac:dyDescent="0.2">
      <c r="A39" s="17" t="s">
        <v>34</v>
      </c>
      <c r="B39" s="16">
        <v>268970537.52999997</v>
      </c>
      <c r="C39" s="16">
        <v>0</v>
      </c>
      <c r="D39" s="16">
        <v>30967568.265841514</v>
      </c>
      <c r="E39" s="16">
        <v>0</v>
      </c>
      <c r="F39" s="16">
        <v>1300688.73</v>
      </c>
      <c r="G39" s="16">
        <v>614420.67000000004</v>
      </c>
      <c r="H39" s="16">
        <v>13835271.77</v>
      </c>
      <c r="I39" s="16">
        <v>2639650.44</v>
      </c>
      <c r="J39" s="16">
        <v>12742409.470000004</v>
      </c>
      <c r="K39" s="16">
        <v>0</v>
      </c>
      <c r="L39" s="16">
        <v>0</v>
      </c>
      <c r="M39" s="16">
        <v>0</v>
      </c>
      <c r="N39" s="18">
        <f t="shared" si="0"/>
        <v>331070546.8758415</v>
      </c>
      <c r="O39" s="4"/>
    </row>
    <row r="40" spans="1:15" ht="15" x14ac:dyDescent="0.2">
      <c r="A40" s="17" t="s">
        <v>35</v>
      </c>
      <c r="B40" s="16">
        <v>174999098.49000001</v>
      </c>
      <c r="C40" s="16">
        <v>0</v>
      </c>
      <c r="D40" s="16">
        <v>25192889.18397864</v>
      </c>
      <c r="E40" s="16">
        <v>0</v>
      </c>
      <c r="F40" s="16">
        <v>694668.65</v>
      </c>
      <c r="G40" s="16">
        <v>270846.65999999997</v>
      </c>
      <c r="H40" s="16">
        <v>9001581.0299999993</v>
      </c>
      <c r="I40" s="16">
        <v>1409778.06</v>
      </c>
      <c r="J40" s="16">
        <v>6955426.1399999969</v>
      </c>
      <c r="K40" s="16">
        <v>0</v>
      </c>
      <c r="L40" s="16">
        <v>0</v>
      </c>
      <c r="M40" s="16">
        <v>0</v>
      </c>
      <c r="N40" s="18">
        <f t="shared" ref="N40:N71" si="1">SUM(B40:M40)</f>
        <v>218524288.21397865</v>
      </c>
      <c r="O40" s="4"/>
    </row>
    <row r="41" spans="1:15" ht="15" x14ac:dyDescent="0.2">
      <c r="A41" s="17" t="s">
        <v>36</v>
      </c>
      <c r="B41" s="16">
        <v>188551055.56</v>
      </c>
      <c r="C41" s="16">
        <v>0</v>
      </c>
      <c r="D41" s="16">
        <v>8166362.9584696395</v>
      </c>
      <c r="E41" s="16">
        <v>0</v>
      </c>
      <c r="F41" s="16">
        <v>1176122.18</v>
      </c>
      <c r="G41" s="16">
        <v>433856.23</v>
      </c>
      <c r="H41" s="16">
        <v>9698664.8399999999</v>
      </c>
      <c r="I41" s="16">
        <v>2386851.96</v>
      </c>
      <c r="J41" s="16">
        <v>7197955.0600000024</v>
      </c>
      <c r="K41" s="16">
        <v>0</v>
      </c>
      <c r="L41" s="16">
        <v>0</v>
      </c>
      <c r="M41" s="16">
        <v>0</v>
      </c>
      <c r="N41" s="18">
        <f t="shared" si="1"/>
        <v>217610868.78846964</v>
      </c>
      <c r="O41" s="4"/>
    </row>
    <row r="42" spans="1:15" ht="15" x14ac:dyDescent="0.2">
      <c r="A42" s="17" t="s">
        <v>37</v>
      </c>
      <c r="B42" s="16">
        <v>111400528.12</v>
      </c>
      <c r="C42" s="16">
        <v>0</v>
      </c>
      <c r="D42" s="16">
        <v>984795.47319999814</v>
      </c>
      <c r="E42" s="16">
        <v>0</v>
      </c>
      <c r="F42" s="16">
        <v>3194405.92</v>
      </c>
      <c r="G42" s="16">
        <v>0</v>
      </c>
      <c r="H42" s="16">
        <v>5730205.9800000004</v>
      </c>
      <c r="I42" s="16">
        <v>6482807.7800000003</v>
      </c>
      <c r="J42" s="16">
        <v>11519622.859999994</v>
      </c>
      <c r="K42" s="16">
        <v>0</v>
      </c>
      <c r="L42" s="16">
        <v>0</v>
      </c>
      <c r="M42" s="16">
        <v>0</v>
      </c>
      <c r="N42" s="18">
        <f t="shared" si="1"/>
        <v>139312366.13319999</v>
      </c>
      <c r="O42" s="4"/>
    </row>
    <row r="43" spans="1:15" ht="15" x14ac:dyDescent="0.2">
      <c r="A43" s="17" t="s">
        <v>38</v>
      </c>
      <c r="B43" s="16">
        <v>489899047.19000006</v>
      </c>
      <c r="C43" s="16">
        <v>0</v>
      </c>
      <c r="D43" s="16">
        <v>13525350.096585222</v>
      </c>
      <c r="E43" s="16">
        <v>0</v>
      </c>
      <c r="F43" s="16">
        <v>13283532.02</v>
      </c>
      <c r="G43" s="16">
        <v>3428216.53</v>
      </c>
      <c r="H43" s="16">
        <v>25199363.91</v>
      </c>
      <c r="I43" s="16">
        <v>26957934.170000002</v>
      </c>
      <c r="J43" s="16">
        <v>36874850.969999991</v>
      </c>
      <c r="K43" s="16">
        <v>0</v>
      </c>
      <c r="L43" s="16">
        <v>0</v>
      </c>
      <c r="M43" s="16">
        <v>0</v>
      </c>
      <c r="N43" s="18">
        <f t="shared" si="1"/>
        <v>609168294.88658524</v>
      </c>
      <c r="O43" s="4"/>
    </row>
    <row r="44" spans="1:15" ht="15" x14ac:dyDescent="0.2">
      <c r="A44" s="17" t="s">
        <v>39</v>
      </c>
      <c r="B44" s="16">
        <v>578957051.55000007</v>
      </c>
      <c r="C44" s="16">
        <v>0</v>
      </c>
      <c r="D44" s="16">
        <v>5153650.9103731047</v>
      </c>
      <c r="E44" s="16">
        <v>0</v>
      </c>
      <c r="F44" s="16">
        <v>16714079.439999999</v>
      </c>
      <c r="G44" s="16">
        <v>6174383.1389809586</v>
      </c>
      <c r="H44" s="16">
        <v>29780318.030000001</v>
      </c>
      <c r="I44" s="16">
        <v>33919973.439999998</v>
      </c>
      <c r="J44" s="16">
        <v>47033137.699999988</v>
      </c>
      <c r="K44" s="16">
        <v>0</v>
      </c>
      <c r="L44" s="16">
        <v>0</v>
      </c>
      <c r="M44" s="16">
        <v>0</v>
      </c>
      <c r="N44" s="18">
        <f t="shared" si="1"/>
        <v>717732594.20935416</v>
      </c>
      <c r="O44" s="4"/>
    </row>
    <row r="45" spans="1:15" ht="15" x14ac:dyDescent="0.2">
      <c r="A45" s="17" t="s">
        <v>40</v>
      </c>
      <c r="B45" s="16">
        <v>167985050.39999998</v>
      </c>
      <c r="C45" s="16">
        <v>0</v>
      </c>
      <c r="D45" s="16">
        <v>9568503.5478124712</v>
      </c>
      <c r="E45" s="16">
        <v>0</v>
      </c>
      <c r="F45" s="16">
        <v>1244901.25</v>
      </c>
      <c r="G45" s="16">
        <v>478997.34</v>
      </c>
      <c r="H45" s="16">
        <v>8640793.3300000001</v>
      </c>
      <c r="I45" s="16">
        <v>2526433.94</v>
      </c>
      <c r="J45" s="16">
        <v>6945606.5600000024</v>
      </c>
      <c r="K45" s="16">
        <v>0</v>
      </c>
      <c r="L45" s="16">
        <v>0</v>
      </c>
      <c r="M45" s="16">
        <v>0</v>
      </c>
      <c r="N45" s="18">
        <f t="shared" si="1"/>
        <v>197390286.36781245</v>
      </c>
      <c r="O45" s="4"/>
    </row>
    <row r="46" spans="1:15" ht="15" x14ac:dyDescent="0.2">
      <c r="A46" s="17" t="s">
        <v>41</v>
      </c>
      <c r="B46" s="16">
        <v>255042470.63999999</v>
      </c>
      <c r="C46" s="16">
        <v>0</v>
      </c>
      <c r="D46" s="16">
        <v>6859821.5403731056</v>
      </c>
      <c r="E46" s="16">
        <v>0</v>
      </c>
      <c r="F46" s="16">
        <v>9819359.2799999993</v>
      </c>
      <c r="G46" s="16">
        <v>0</v>
      </c>
      <c r="H46" s="16">
        <v>13118841.66</v>
      </c>
      <c r="I46" s="16">
        <v>19927654.829999998</v>
      </c>
      <c r="J46" s="16">
        <v>30268354.129999995</v>
      </c>
      <c r="K46" s="16">
        <v>0</v>
      </c>
      <c r="L46" s="16">
        <v>0</v>
      </c>
      <c r="M46" s="16">
        <v>0</v>
      </c>
      <c r="N46" s="18">
        <f t="shared" si="1"/>
        <v>335036502.08037311</v>
      </c>
      <c r="O46" s="4"/>
    </row>
    <row r="47" spans="1:15" ht="15" x14ac:dyDescent="0.2">
      <c r="A47" s="17" t="s">
        <v>42</v>
      </c>
      <c r="B47" s="16">
        <v>767940233.38000011</v>
      </c>
      <c r="C47" s="16">
        <v>0</v>
      </c>
      <c r="D47" s="16">
        <v>4454454.9084776472</v>
      </c>
      <c r="E47" s="16">
        <v>0</v>
      </c>
      <c r="F47" s="16">
        <v>30611273.66</v>
      </c>
      <c r="G47" s="16">
        <v>6978414.5099244732</v>
      </c>
      <c r="H47" s="16">
        <v>39501210.530000001</v>
      </c>
      <c r="I47" s="16">
        <v>62123289.109999999</v>
      </c>
      <c r="J47" s="16">
        <v>71613807.060000017</v>
      </c>
      <c r="K47" s="16">
        <v>0</v>
      </c>
      <c r="L47" s="16">
        <v>0</v>
      </c>
      <c r="M47" s="16">
        <v>0</v>
      </c>
      <c r="N47" s="18">
        <f t="shared" si="1"/>
        <v>983222683.15840232</v>
      </c>
      <c r="O47" s="4"/>
    </row>
    <row r="48" spans="1:15" ht="15" x14ac:dyDescent="0.2">
      <c r="A48" s="17" t="s">
        <v>43</v>
      </c>
      <c r="B48" s="16">
        <v>78550936.239999995</v>
      </c>
      <c r="C48" s="16">
        <v>0</v>
      </c>
      <c r="D48" s="16">
        <v>13289051.429956377</v>
      </c>
      <c r="E48" s="16">
        <v>0</v>
      </c>
      <c r="F48" s="16">
        <v>265945.75</v>
      </c>
      <c r="G48" s="16">
        <v>142946.85</v>
      </c>
      <c r="H48" s="16">
        <v>4040492.92</v>
      </c>
      <c r="I48" s="16">
        <v>539717.01</v>
      </c>
      <c r="J48" s="16">
        <v>3888290.3399999985</v>
      </c>
      <c r="K48" s="16">
        <v>0</v>
      </c>
      <c r="L48" s="16">
        <v>0</v>
      </c>
      <c r="M48" s="16">
        <v>0</v>
      </c>
      <c r="N48" s="18">
        <f t="shared" si="1"/>
        <v>100717380.53995638</v>
      </c>
      <c r="O48" s="4"/>
    </row>
    <row r="49" spans="1:15" ht="15" x14ac:dyDescent="0.2">
      <c r="A49" s="17" t="s">
        <v>44</v>
      </c>
      <c r="B49" s="16">
        <v>137380114</v>
      </c>
      <c r="C49" s="16">
        <v>0</v>
      </c>
      <c r="D49" s="16">
        <v>18384088.650807489</v>
      </c>
      <c r="E49" s="16">
        <v>0</v>
      </c>
      <c r="F49" s="16">
        <v>1570455.54</v>
      </c>
      <c r="G49" s="16">
        <v>634483.38</v>
      </c>
      <c r="H49" s="16">
        <v>7066540.5599999996</v>
      </c>
      <c r="I49" s="16">
        <v>3187122.01</v>
      </c>
      <c r="J49" s="16">
        <v>9107812.6399999969</v>
      </c>
      <c r="K49" s="16">
        <v>0</v>
      </c>
      <c r="L49" s="16">
        <v>0</v>
      </c>
      <c r="M49" s="16">
        <v>0</v>
      </c>
      <c r="N49" s="18">
        <f t="shared" si="1"/>
        <v>177330616.78080747</v>
      </c>
      <c r="O49" s="4"/>
    </row>
    <row r="50" spans="1:15" ht="15" x14ac:dyDescent="0.2">
      <c r="A50" s="17" t="s">
        <v>45</v>
      </c>
      <c r="B50" s="16">
        <v>105006661.14</v>
      </c>
      <c r="C50" s="16">
        <v>0</v>
      </c>
      <c r="D50" s="16">
        <v>14765316.780055216</v>
      </c>
      <c r="E50" s="16">
        <v>0</v>
      </c>
      <c r="F50" s="16">
        <v>440186.08</v>
      </c>
      <c r="G50" s="16">
        <v>178056.6</v>
      </c>
      <c r="H50" s="16">
        <v>5401319.0800000001</v>
      </c>
      <c r="I50" s="16">
        <v>893324.71</v>
      </c>
      <c r="J50" s="16">
        <v>6400367.3600000022</v>
      </c>
      <c r="K50" s="16">
        <v>0</v>
      </c>
      <c r="L50" s="16">
        <v>0</v>
      </c>
      <c r="M50" s="16">
        <v>0</v>
      </c>
      <c r="N50" s="18">
        <f t="shared" si="1"/>
        <v>133085231.75005519</v>
      </c>
      <c r="O50" s="4"/>
    </row>
    <row r="51" spans="1:15" ht="15" x14ac:dyDescent="0.2">
      <c r="A51" s="17" t="s">
        <v>46</v>
      </c>
      <c r="B51" s="16">
        <v>101009494</v>
      </c>
      <c r="C51" s="16">
        <v>0</v>
      </c>
      <c r="D51" s="16">
        <v>18074200.434872665</v>
      </c>
      <c r="E51" s="16">
        <v>0</v>
      </c>
      <c r="F51" s="16">
        <v>548704.17000000004</v>
      </c>
      <c r="G51" s="16">
        <v>238244.75</v>
      </c>
      <c r="H51" s="16">
        <v>5195713.3099999996</v>
      </c>
      <c r="I51" s="16">
        <v>1113554.06</v>
      </c>
      <c r="J51" s="16">
        <v>4492742.6600000011</v>
      </c>
      <c r="K51" s="16">
        <v>0</v>
      </c>
      <c r="L51" s="16">
        <v>0</v>
      </c>
      <c r="M51" s="16">
        <v>0</v>
      </c>
      <c r="N51" s="18">
        <f t="shared" si="1"/>
        <v>130672653.38487266</v>
      </c>
      <c r="O51" s="4"/>
    </row>
    <row r="52" spans="1:15" ht="15" x14ac:dyDescent="0.2">
      <c r="A52" s="17" t="s">
        <v>47</v>
      </c>
      <c r="B52" s="16">
        <v>116882128.70999998</v>
      </c>
      <c r="C52" s="16">
        <v>0</v>
      </c>
      <c r="D52" s="16">
        <v>14316575.470365098</v>
      </c>
      <c r="E52" s="16">
        <v>0</v>
      </c>
      <c r="F52" s="16">
        <v>505144.09</v>
      </c>
      <c r="G52" s="16">
        <v>278370.18</v>
      </c>
      <c r="H52" s="16">
        <v>6012167.8399999999</v>
      </c>
      <c r="I52" s="16">
        <v>1025152.14</v>
      </c>
      <c r="J52" s="16">
        <v>6255926.1299999971</v>
      </c>
      <c r="K52" s="16">
        <v>0</v>
      </c>
      <c r="L52" s="16">
        <v>0</v>
      </c>
      <c r="M52" s="16">
        <v>0</v>
      </c>
      <c r="N52" s="18">
        <f t="shared" si="1"/>
        <v>145275464.56036505</v>
      </c>
      <c r="O52" s="4"/>
    </row>
    <row r="53" spans="1:15" ht="15" x14ac:dyDescent="0.2">
      <c r="A53" s="17" t="s">
        <v>48</v>
      </c>
      <c r="B53" s="16">
        <v>42452395.710000001</v>
      </c>
      <c r="C53" s="16">
        <v>0</v>
      </c>
      <c r="D53" s="16">
        <v>12480078.129372228</v>
      </c>
      <c r="E53" s="16">
        <v>0</v>
      </c>
      <c r="F53" s="16">
        <v>87884.37</v>
      </c>
      <c r="G53" s="16">
        <v>45141.11</v>
      </c>
      <c r="H53" s="16">
        <v>2183660.85</v>
      </c>
      <c r="I53" s="16">
        <v>178354.76</v>
      </c>
      <c r="J53" s="16">
        <v>2984597.9000000008</v>
      </c>
      <c r="K53" s="16">
        <v>0</v>
      </c>
      <c r="L53" s="16">
        <v>0</v>
      </c>
      <c r="M53" s="16">
        <v>0</v>
      </c>
      <c r="N53" s="18">
        <f t="shared" si="1"/>
        <v>60412112.829372227</v>
      </c>
      <c r="O53" s="4"/>
    </row>
    <row r="54" spans="1:15" ht="15" x14ac:dyDescent="0.2">
      <c r="A54" s="17" t="s">
        <v>49</v>
      </c>
      <c r="B54" s="16">
        <v>142293548.68000001</v>
      </c>
      <c r="C54" s="16">
        <v>0</v>
      </c>
      <c r="D54" s="16">
        <v>21168591.041910078</v>
      </c>
      <c r="E54" s="16">
        <v>0</v>
      </c>
      <c r="F54" s="16">
        <v>301863.71000000002</v>
      </c>
      <c r="G54" s="16">
        <v>173040.92</v>
      </c>
      <c r="H54" s="16">
        <v>7319277.1799999997</v>
      </c>
      <c r="I54" s="16">
        <v>612609.82999999996</v>
      </c>
      <c r="J54" s="16">
        <v>6836596.3400000017</v>
      </c>
      <c r="K54" s="16">
        <v>0</v>
      </c>
      <c r="L54" s="16">
        <v>0</v>
      </c>
      <c r="M54" s="16">
        <v>0</v>
      </c>
      <c r="N54" s="18">
        <f t="shared" si="1"/>
        <v>178705527.70191011</v>
      </c>
      <c r="O54" s="4"/>
    </row>
    <row r="55" spans="1:15" ht="15" x14ac:dyDescent="0.2">
      <c r="A55" s="17" t="s">
        <v>50</v>
      </c>
      <c r="B55" s="16">
        <v>62138143.830000006</v>
      </c>
      <c r="C55" s="16">
        <v>0</v>
      </c>
      <c r="D55" s="16">
        <v>5698475.9745707931</v>
      </c>
      <c r="E55" s="16">
        <v>0</v>
      </c>
      <c r="F55" s="16">
        <v>557110.5</v>
      </c>
      <c r="G55" s="16">
        <v>238244.75</v>
      </c>
      <c r="H55" s="16">
        <v>3196253.82</v>
      </c>
      <c r="I55" s="16">
        <v>1130614.08</v>
      </c>
      <c r="J55" s="16">
        <v>4894724.5200000005</v>
      </c>
      <c r="K55" s="16">
        <v>0</v>
      </c>
      <c r="L55" s="16">
        <v>0</v>
      </c>
      <c r="M55" s="16">
        <v>0</v>
      </c>
      <c r="N55" s="18">
        <f t="shared" si="1"/>
        <v>77853567.474570781</v>
      </c>
      <c r="O55" s="4"/>
    </row>
    <row r="56" spans="1:15" ht="15" x14ac:dyDescent="0.2">
      <c r="A56" s="17" t="s">
        <v>51</v>
      </c>
      <c r="B56" s="16">
        <v>52803418.180000007</v>
      </c>
      <c r="C56" s="16">
        <v>0</v>
      </c>
      <c r="D56" s="16">
        <v>6553385.3169889655</v>
      </c>
      <c r="E56" s="16">
        <v>0</v>
      </c>
      <c r="F56" s="16">
        <v>157427.66</v>
      </c>
      <c r="G56" s="16">
        <v>60188.15</v>
      </c>
      <c r="H56" s="16">
        <v>2716095.41</v>
      </c>
      <c r="I56" s="16">
        <v>319487.65999999997</v>
      </c>
      <c r="J56" s="16">
        <v>4013711.2399999998</v>
      </c>
      <c r="K56" s="16">
        <v>0</v>
      </c>
      <c r="L56" s="16">
        <v>0</v>
      </c>
      <c r="M56" s="16">
        <v>0</v>
      </c>
      <c r="N56" s="18">
        <f t="shared" si="1"/>
        <v>66623713.616988964</v>
      </c>
      <c r="O56" s="4"/>
    </row>
    <row r="57" spans="1:15" ht="15" x14ac:dyDescent="0.2">
      <c r="A57" s="17" t="s">
        <v>52</v>
      </c>
      <c r="B57" s="16">
        <v>127449214.22999999</v>
      </c>
      <c r="C57" s="16">
        <v>0</v>
      </c>
      <c r="D57" s="16">
        <v>12624234.795583261</v>
      </c>
      <c r="E57" s="16">
        <v>0</v>
      </c>
      <c r="F57" s="16">
        <v>808536.23</v>
      </c>
      <c r="G57" s="16">
        <v>315987.77</v>
      </c>
      <c r="H57" s="16">
        <v>6555716.2199999997</v>
      </c>
      <c r="I57" s="16">
        <v>1640863.79</v>
      </c>
      <c r="J57" s="16">
        <v>8412455.5800000019</v>
      </c>
      <c r="K57" s="16">
        <v>0</v>
      </c>
      <c r="L57" s="16">
        <v>0</v>
      </c>
      <c r="M57" s="16">
        <v>0</v>
      </c>
      <c r="N57" s="18">
        <f t="shared" si="1"/>
        <v>157807008.61558324</v>
      </c>
      <c r="O57" s="4"/>
    </row>
    <row r="58" spans="1:15" ht="15" x14ac:dyDescent="0.2">
      <c r="A58" s="17" t="s">
        <v>53</v>
      </c>
      <c r="B58" s="16">
        <v>110004120.38</v>
      </c>
      <c r="C58" s="16">
        <v>0</v>
      </c>
      <c r="D58" s="16">
        <v>8122245.6018904792</v>
      </c>
      <c r="E58" s="16">
        <v>0</v>
      </c>
      <c r="F58" s="16">
        <v>470754.55</v>
      </c>
      <c r="G58" s="16">
        <v>180564.44</v>
      </c>
      <c r="H58" s="16">
        <v>5658377.7400000002</v>
      </c>
      <c r="I58" s="16">
        <v>955361.15</v>
      </c>
      <c r="J58" s="16">
        <v>4982347.01</v>
      </c>
      <c r="K58" s="16">
        <v>0</v>
      </c>
      <c r="L58" s="16">
        <v>0</v>
      </c>
      <c r="M58" s="16">
        <v>0</v>
      </c>
      <c r="N58" s="18">
        <f t="shared" si="1"/>
        <v>130373770.87189047</v>
      </c>
      <c r="O58" s="4"/>
    </row>
    <row r="59" spans="1:15" ht="15" x14ac:dyDescent="0.2">
      <c r="A59" s="17" t="s">
        <v>54</v>
      </c>
      <c r="B59" s="16">
        <v>123384027.21000001</v>
      </c>
      <c r="C59" s="16">
        <v>0</v>
      </c>
      <c r="D59" s="16">
        <v>19445146.373311669</v>
      </c>
      <c r="E59" s="16">
        <v>0</v>
      </c>
      <c r="F59" s="16">
        <v>458527.16</v>
      </c>
      <c r="G59" s="16">
        <v>180564.44</v>
      </c>
      <c r="H59" s="16">
        <v>6346611.6600000001</v>
      </c>
      <c r="I59" s="16">
        <v>930546.57</v>
      </c>
      <c r="J59" s="16">
        <v>5539853.9399999976</v>
      </c>
      <c r="K59" s="16">
        <v>0</v>
      </c>
      <c r="L59" s="16">
        <v>0</v>
      </c>
      <c r="M59" s="16">
        <v>0</v>
      </c>
      <c r="N59" s="18">
        <f t="shared" si="1"/>
        <v>156285277.35331166</v>
      </c>
      <c r="O59" s="4"/>
    </row>
    <row r="60" spans="1:15" ht="15" x14ac:dyDescent="0.2">
      <c r="A60" s="17" t="s">
        <v>55</v>
      </c>
      <c r="B60" s="16">
        <v>897029926.71000004</v>
      </c>
      <c r="C60" s="16">
        <v>0</v>
      </c>
      <c r="D60" s="16">
        <v>38801846.118341953</v>
      </c>
      <c r="E60" s="16">
        <v>0</v>
      </c>
      <c r="F60" s="16">
        <v>25222815.239999998</v>
      </c>
      <c r="G60" s="16">
        <v>9936059.9000000004</v>
      </c>
      <c r="H60" s="16">
        <v>46141309.5</v>
      </c>
      <c r="I60" s="16">
        <v>51187815.979999997</v>
      </c>
      <c r="J60" s="16">
        <v>91917494.149999976</v>
      </c>
      <c r="K60" s="16">
        <v>0</v>
      </c>
      <c r="L60" s="16">
        <v>0</v>
      </c>
      <c r="M60" s="16">
        <v>0</v>
      </c>
      <c r="N60" s="18">
        <f t="shared" si="1"/>
        <v>1160237267.5983419</v>
      </c>
      <c r="O60" s="4"/>
    </row>
    <row r="61" spans="1:15" ht="15" x14ac:dyDescent="0.2">
      <c r="A61" s="17" t="s">
        <v>56</v>
      </c>
      <c r="B61" s="16">
        <v>132290627.88</v>
      </c>
      <c r="C61" s="16">
        <v>0</v>
      </c>
      <c r="D61" s="16">
        <v>5300529.2754211985</v>
      </c>
      <c r="E61" s="16">
        <v>0</v>
      </c>
      <c r="F61" s="16">
        <v>4502736.7699999996</v>
      </c>
      <c r="G61" s="16">
        <v>931000.15837097622</v>
      </c>
      <c r="H61" s="16">
        <v>6804748.2300000004</v>
      </c>
      <c r="I61" s="16">
        <v>9137967.3300000001</v>
      </c>
      <c r="J61" s="16">
        <v>22296970.25</v>
      </c>
      <c r="K61" s="16">
        <v>0</v>
      </c>
      <c r="L61" s="16">
        <v>0</v>
      </c>
      <c r="M61" s="16">
        <v>0</v>
      </c>
      <c r="N61" s="18">
        <f t="shared" si="1"/>
        <v>181264579.89379218</v>
      </c>
      <c r="O61" s="4"/>
    </row>
    <row r="62" spans="1:15" ht="15" x14ac:dyDescent="0.2">
      <c r="A62" s="17" t="s">
        <v>57</v>
      </c>
      <c r="B62" s="16">
        <v>885170463.84000003</v>
      </c>
      <c r="C62" s="16">
        <v>0</v>
      </c>
      <c r="D62" s="16">
        <v>6480147.0099999998</v>
      </c>
      <c r="E62" s="16">
        <v>0</v>
      </c>
      <c r="F62" s="16">
        <v>20189715.370000001</v>
      </c>
      <c r="G62" s="16">
        <v>0</v>
      </c>
      <c r="H62" s="16">
        <v>45531283.979999997</v>
      </c>
      <c r="I62" s="16">
        <v>40973516.450000003</v>
      </c>
      <c r="J62" s="16">
        <v>45843683.74000001</v>
      </c>
      <c r="K62" s="16">
        <v>0</v>
      </c>
      <c r="L62" s="16">
        <v>0</v>
      </c>
      <c r="M62" s="16">
        <v>0</v>
      </c>
      <c r="N62" s="18">
        <f t="shared" si="1"/>
        <v>1044188810.3900001</v>
      </c>
      <c r="O62" s="4"/>
    </row>
    <row r="63" spans="1:15" ht="15" x14ac:dyDescent="0.2">
      <c r="A63" s="17" t="s">
        <v>58</v>
      </c>
      <c r="B63" s="16">
        <v>133947111.57999998</v>
      </c>
      <c r="C63" s="16">
        <v>0</v>
      </c>
      <c r="D63" s="16">
        <v>19545051.218999121</v>
      </c>
      <c r="E63" s="16">
        <v>0</v>
      </c>
      <c r="F63" s="16">
        <v>711481.32</v>
      </c>
      <c r="G63" s="16">
        <v>290909.38</v>
      </c>
      <c r="H63" s="16">
        <v>6889954.2300000004</v>
      </c>
      <c r="I63" s="16">
        <v>1443898.1</v>
      </c>
      <c r="J63" s="16">
        <v>6307310.4900000002</v>
      </c>
      <c r="K63" s="16">
        <v>0</v>
      </c>
      <c r="L63" s="16">
        <v>0</v>
      </c>
      <c r="M63" s="16">
        <v>0</v>
      </c>
      <c r="N63" s="18">
        <f t="shared" si="1"/>
        <v>169135716.31899908</v>
      </c>
      <c r="O63" s="4"/>
    </row>
    <row r="64" spans="1:15" ht="15" x14ac:dyDescent="0.2">
      <c r="A64" s="17" t="s">
        <v>59</v>
      </c>
      <c r="B64" s="16">
        <v>261216273.32999998</v>
      </c>
      <c r="C64" s="16">
        <v>0</v>
      </c>
      <c r="D64" s="16">
        <v>65213971.58652629</v>
      </c>
      <c r="E64" s="16">
        <v>0</v>
      </c>
      <c r="F64" s="16">
        <v>1302217.1499999999</v>
      </c>
      <c r="G64" s="16">
        <v>496552.21</v>
      </c>
      <c r="H64" s="16">
        <v>13436408.93</v>
      </c>
      <c r="I64" s="16">
        <v>2642752.2599999998</v>
      </c>
      <c r="J64" s="16">
        <v>12959972.390000006</v>
      </c>
      <c r="K64" s="16">
        <v>0</v>
      </c>
      <c r="L64" s="16">
        <v>0</v>
      </c>
      <c r="M64" s="16">
        <v>0</v>
      </c>
      <c r="N64" s="18">
        <f t="shared" si="1"/>
        <v>357268147.8565262</v>
      </c>
      <c r="O64" s="4"/>
    </row>
    <row r="65" spans="1:15" ht="15" x14ac:dyDescent="0.2">
      <c r="A65" s="17" t="s">
        <v>60</v>
      </c>
      <c r="B65" s="16">
        <v>145742555.75</v>
      </c>
      <c r="C65" s="16">
        <v>0</v>
      </c>
      <c r="D65" s="16">
        <v>17737921.777171865</v>
      </c>
      <c r="E65" s="16">
        <v>0</v>
      </c>
      <c r="F65" s="16">
        <v>283522.63</v>
      </c>
      <c r="G65" s="16">
        <v>190595.8</v>
      </c>
      <c r="H65" s="16">
        <v>7496686.7599999998</v>
      </c>
      <c r="I65" s="16">
        <v>575387.96</v>
      </c>
      <c r="J65" s="16">
        <v>7488559.1100000031</v>
      </c>
      <c r="K65" s="16">
        <v>0</v>
      </c>
      <c r="L65" s="16">
        <v>0</v>
      </c>
      <c r="M65" s="16">
        <v>0</v>
      </c>
      <c r="N65" s="18">
        <f t="shared" si="1"/>
        <v>179515229.78717187</v>
      </c>
      <c r="O65" s="4"/>
    </row>
    <row r="66" spans="1:15" ht="15" x14ac:dyDescent="0.2">
      <c r="A66" s="17" t="s">
        <v>61</v>
      </c>
      <c r="B66" s="16">
        <v>81355755.229999989</v>
      </c>
      <c r="C66" s="16">
        <v>0</v>
      </c>
      <c r="D66" s="16">
        <v>12308823.536433665</v>
      </c>
      <c r="E66" s="16">
        <v>0</v>
      </c>
      <c r="F66" s="16">
        <v>277408.93</v>
      </c>
      <c r="G66" s="16">
        <v>152978.21</v>
      </c>
      <c r="H66" s="16">
        <v>4184766.83</v>
      </c>
      <c r="I66" s="16">
        <v>562980.68000000005</v>
      </c>
      <c r="J66" s="16">
        <v>3355695.2600000002</v>
      </c>
      <c r="K66" s="16">
        <v>0</v>
      </c>
      <c r="L66" s="16">
        <v>0</v>
      </c>
      <c r="M66" s="16">
        <v>0</v>
      </c>
      <c r="N66" s="18">
        <f t="shared" si="1"/>
        <v>102198408.67643367</v>
      </c>
      <c r="O66" s="4"/>
    </row>
    <row r="67" spans="1:15" ht="15" x14ac:dyDescent="0.2">
      <c r="A67" s="17" t="s">
        <v>62</v>
      </c>
      <c r="B67" s="16">
        <v>375853746.71000004</v>
      </c>
      <c r="C67" s="16">
        <v>0</v>
      </c>
      <c r="D67" s="16">
        <v>1660796.1900000002</v>
      </c>
      <c r="E67" s="16">
        <v>0</v>
      </c>
      <c r="F67" s="16">
        <v>7454123.3099999996</v>
      </c>
      <c r="G67" s="16">
        <v>3064980.898790231</v>
      </c>
      <c r="H67" s="16">
        <v>19333116.48</v>
      </c>
      <c r="I67" s="16">
        <v>15127585.43</v>
      </c>
      <c r="J67" s="16">
        <v>22643639.879999995</v>
      </c>
      <c r="K67" s="16">
        <v>0</v>
      </c>
      <c r="L67" s="16">
        <v>0</v>
      </c>
      <c r="M67" s="16">
        <v>0</v>
      </c>
      <c r="N67" s="18">
        <f t="shared" si="1"/>
        <v>445137988.8987903</v>
      </c>
      <c r="O67" s="4"/>
    </row>
    <row r="68" spans="1:15" ht="15" x14ac:dyDescent="0.2">
      <c r="A68" s="17" t="s">
        <v>63</v>
      </c>
      <c r="B68" s="16">
        <v>230887417.53000003</v>
      </c>
      <c r="C68" s="16">
        <v>0</v>
      </c>
      <c r="D68" s="16">
        <v>2689461.3800000004</v>
      </c>
      <c r="E68" s="16">
        <v>0</v>
      </c>
      <c r="F68" s="16">
        <v>6573751.1500000004</v>
      </c>
      <c r="G68" s="16">
        <v>3122642.6610951959</v>
      </c>
      <c r="H68" s="16">
        <v>11876357.16</v>
      </c>
      <c r="I68" s="16">
        <v>13340936.01</v>
      </c>
      <c r="J68" s="16">
        <v>19217216.93</v>
      </c>
      <c r="K68" s="16">
        <v>0</v>
      </c>
      <c r="L68" s="16">
        <v>0</v>
      </c>
      <c r="M68" s="16">
        <v>0</v>
      </c>
      <c r="N68" s="18">
        <f t="shared" si="1"/>
        <v>287707782.82109523</v>
      </c>
      <c r="O68" s="4"/>
    </row>
    <row r="69" spans="1:15" ht="15" x14ac:dyDescent="0.2">
      <c r="A69" s="17" t="s">
        <v>64</v>
      </c>
      <c r="B69" s="16">
        <v>713868444.76999998</v>
      </c>
      <c r="C69" s="16">
        <v>0</v>
      </c>
      <c r="D69" s="16">
        <v>2590650.4577284069</v>
      </c>
      <c r="E69" s="16">
        <v>0</v>
      </c>
      <c r="F69" s="16">
        <v>19401048.640000001</v>
      </c>
      <c r="G69" s="16">
        <v>3289741.0579639059</v>
      </c>
      <c r="H69" s="16">
        <v>36719872.850000001</v>
      </c>
      <c r="I69" s="16">
        <v>39372976.350000001</v>
      </c>
      <c r="J69" s="16">
        <v>42566867.359999999</v>
      </c>
      <c r="K69" s="16">
        <v>0</v>
      </c>
      <c r="L69" s="16">
        <v>0</v>
      </c>
      <c r="M69" s="16">
        <v>0</v>
      </c>
      <c r="N69" s="18">
        <f t="shared" si="1"/>
        <v>857809601.48569226</v>
      </c>
      <c r="O69" s="4"/>
    </row>
    <row r="70" spans="1:15" ht="15" x14ac:dyDescent="0.2">
      <c r="A70" s="17" t="s">
        <v>65</v>
      </c>
      <c r="B70" s="16">
        <v>163231662.46000001</v>
      </c>
      <c r="C70" s="16">
        <v>0</v>
      </c>
      <c r="D70" s="16">
        <v>24989841.803135537</v>
      </c>
      <c r="E70" s="16">
        <v>0</v>
      </c>
      <c r="F70" s="16">
        <v>4308626.9400000004</v>
      </c>
      <c r="G70" s="16">
        <v>1449531.2</v>
      </c>
      <c r="H70" s="16">
        <v>8396289.1699999999</v>
      </c>
      <c r="I70" s="16">
        <v>8744035.9499999993</v>
      </c>
      <c r="J70" s="16">
        <v>17803581.779999994</v>
      </c>
      <c r="K70" s="16">
        <v>0</v>
      </c>
      <c r="L70" s="16">
        <v>0</v>
      </c>
      <c r="M70" s="16">
        <v>0</v>
      </c>
      <c r="N70" s="18">
        <f t="shared" si="1"/>
        <v>228923569.30313551</v>
      </c>
      <c r="O70" s="4"/>
    </row>
    <row r="71" spans="1:15" ht="15" x14ac:dyDescent="0.2">
      <c r="A71" s="17" t="s">
        <v>66</v>
      </c>
      <c r="B71" s="16">
        <v>565917243.9799999</v>
      </c>
      <c r="C71" s="16">
        <v>0</v>
      </c>
      <c r="D71" s="16">
        <v>1609259.96</v>
      </c>
      <c r="E71" s="16">
        <v>0</v>
      </c>
      <c r="F71" s="16">
        <v>2712952.4</v>
      </c>
      <c r="G71" s="16">
        <v>1118496.3999999999</v>
      </c>
      <c r="H71" s="16">
        <v>29109578.100000001</v>
      </c>
      <c r="I71" s="16">
        <v>5505733.8799999999</v>
      </c>
      <c r="J71" s="16">
        <v>15326370.709999999</v>
      </c>
      <c r="K71" s="16">
        <v>0</v>
      </c>
      <c r="L71" s="16">
        <v>0</v>
      </c>
      <c r="M71" s="16">
        <v>0</v>
      </c>
      <c r="N71" s="18">
        <f t="shared" si="1"/>
        <v>621299635.42999995</v>
      </c>
      <c r="O71" s="4"/>
    </row>
    <row r="72" spans="1:15" ht="15" x14ac:dyDescent="0.2">
      <c r="A72" s="17" t="s">
        <v>67</v>
      </c>
      <c r="B72" s="16">
        <v>2945067940.3199997</v>
      </c>
      <c r="C72" s="16">
        <v>0</v>
      </c>
      <c r="D72" s="16">
        <v>12975043.287349241</v>
      </c>
      <c r="E72" s="16">
        <v>0</v>
      </c>
      <c r="F72" s="16">
        <v>78939273.469999999</v>
      </c>
      <c r="G72" s="16">
        <v>0</v>
      </c>
      <c r="H72" s="16">
        <v>151488024.28</v>
      </c>
      <c r="I72" s="16">
        <v>160201346.83000001</v>
      </c>
      <c r="J72" s="16">
        <v>225678896.53999996</v>
      </c>
      <c r="K72" s="16">
        <v>0</v>
      </c>
      <c r="L72" s="16">
        <v>0</v>
      </c>
      <c r="M72" s="16">
        <v>0</v>
      </c>
      <c r="N72" s="18">
        <f t="shared" ref="N72:N103" si="2">SUM(B72:M72)</f>
        <v>3574350524.7273488</v>
      </c>
      <c r="O72" s="4"/>
    </row>
    <row r="73" spans="1:15" ht="15" x14ac:dyDescent="0.2">
      <c r="A73" s="17" t="s">
        <v>68</v>
      </c>
      <c r="B73" s="16">
        <v>1179916527.7399998</v>
      </c>
      <c r="C73" s="16">
        <v>0</v>
      </c>
      <c r="D73" s="16">
        <v>25186492.167095818</v>
      </c>
      <c r="E73" s="16">
        <v>0</v>
      </c>
      <c r="F73" s="16">
        <v>29299885.960000001</v>
      </c>
      <c r="G73" s="16">
        <v>12699557.045929488</v>
      </c>
      <c r="H73" s="16">
        <v>60692393.939999998</v>
      </c>
      <c r="I73" s="16">
        <v>59461925.909999996</v>
      </c>
      <c r="J73" s="16">
        <v>97504616.480000019</v>
      </c>
      <c r="K73" s="16">
        <v>0</v>
      </c>
      <c r="L73" s="16">
        <v>0</v>
      </c>
      <c r="M73" s="16">
        <v>0</v>
      </c>
      <c r="N73" s="18">
        <f t="shared" si="2"/>
        <v>1464761399.2430253</v>
      </c>
      <c r="O73" s="4"/>
    </row>
    <row r="74" spans="1:15" ht="15" x14ac:dyDescent="0.2">
      <c r="A74" s="17" t="s">
        <v>69</v>
      </c>
      <c r="B74" s="16">
        <v>729909128.53999996</v>
      </c>
      <c r="C74" s="16">
        <v>0</v>
      </c>
      <c r="D74" s="16">
        <v>5092798.9300000006</v>
      </c>
      <c r="E74" s="16">
        <v>0</v>
      </c>
      <c r="F74" s="16">
        <v>21272603.690000001</v>
      </c>
      <c r="G74" s="16">
        <v>22540741.329225134</v>
      </c>
      <c r="H74" s="16">
        <v>37544971.469999999</v>
      </c>
      <c r="I74" s="16">
        <v>43171157.270000003</v>
      </c>
      <c r="J74" s="16">
        <v>52979009.099999987</v>
      </c>
      <c r="K74" s="16">
        <v>0</v>
      </c>
      <c r="L74" s="16">
        <v>0</v>
      </c>
      <c r="M74" s="16">
        <v>0</v>
      </c>
      <c r="N74" s="18">
        <f t="shared" si="2"/>
        <v>912510410.32922518</v>
      </c>
      <c r="O74" s="4"/>
    </row>
    <row r="75" spans="1:15" ht="15" x14ac:dyDescent="0.2">
      <c r="A75" s="17" t="s">
        <v>70</v>
      </c>
      <c r="B75" s="16">
        <v>118054471.02000001</v>
      </c>
      <c r="C75" s="16">
        <v>0</v>
      </c>
      <c r="D75" s="16">
        <v>14627111.928440794</v>
      </c>
      <c r="E75" s="16">
        <v>0</v>
      </c>
      <c r="F75" s="16">
        <v>386691.24</v>
      </c>
      <c r="G75" s="16">
        <v>163009.56</v>
      </c>
      <c r="H75" s="16">
        <v>6072470.6399999997</v>
      </c>
      <c r="I75" s="16">
        <v>784760.94</v>
      </c>
      <c r="J75" s="16">
        <v>6195610.0600000024</v>
      </c>
      <c r="K75" s="16">
        <v>0</v>
      </c>
      <c r="L75" s="16">
        <v>0</v>
      </c>
      <c r="M75" s="16">
        <v>0</v>
      </c>
      <c r="N75" s="18">
        <f t="shared" si="2"/>
        <v>146284125.38844079</v>
      </c>
      <c r="O75" s="4"/>
    </row>
    <row r="76" spans="1:15" ht="15" x14ac:dyDescent="0.2">
      <c r="A76" s="17" t="s">
        <v>71</v>
      </c>
      <c r="B76" s="16">
        <v>109968109.87</v>
      </c>
      <c r="C76" s="16">
        <v>0</v>
      </c>
      <c r="D76" s="16">
        <v>20066892.746560115</v>
      </c>
      <c r="E76" s="16">
        <v>0</v>
      </c>
      <c r="F76" s="16">
        <v>696197.08</v>
      </c>
      <c r="G76" s="16">
        <v>383699.44</v>
      </c>
      <c r="H76" s="16">
        <v>5656525.4299999997</v>
      </c>
      <c r="I76" s="16">
        <v>1412879.88</v>
      </c>
      <c r="J76" s="16">
        <v>8823342.1699999981</v>
      </c>
      <c r="K76" s="16">
        <v>0</v>
      </c>
      <c r="L76" s="16">
        <v>0</v>
      </c>
      <c r="M76" s="16">
        <v>0</v>
      </c>
      <c r="N76" s="18">
        <f t="shared" si="2"/>
        <v>147007646.6165601</v>
      </c>
      <c r="O76" s="4"/>
    </row>
    <row r="77" spans="1:15" ht="15" x14ac:dyDescent="0.2">
      <c r="A77" s="17" t="s">
        <v>72</v>
      </c>
      <c r="B77" s="16">
        <v>143269833.74000001</v>
      </c>
      <c r="C77" s="16">
        <v>0</v>
      </c>
      <c r="D77" s="16">
        <v>18734173.469771147</v>
      </c>
      <c r="E77" s="16">
        <v>0</v>
      </c>
      <c r="F77" s="16">
        <v>817706.78</v>
      </c>
      <c r="G77" s="16">
        <v>270846.65999999997</v>
      </c>
      <c r="H77" s="16">
        <v>7369495.21</v>
      </c>
      <c r="I77" s="16">
        <v>1659474.72</v>
      </c>
      <c r="J77" s="16">
        <v>5922815.4699999988</v>
      </c>
      <c r="K77" s="16">
        <v>0</v>
      </c>
      <c r="L77" s="16">
        <v>0</v>
      </c>
      <c r="M77" s="16">
        <v>0</v>
      </c>
      <c r="N77" s="18">
        <f t="shared" si="2"/>
        <v>178044346.04977116</v>
      </c>
      <c r="O77" s="4"/>
    </row>
    <row r="78" spans="1:15" ht="15" x14ac:dyDescent="0.2">
      <c r="A78" s="17" t="s">
        <v>73</v>
      </c>
      <c r="B78" s="16">
        <v>55624241.830000006</v>
      </c>
      <c r="C78" s="16">
        <v>0</v>
      </c>
      <c r="D78" s="16">
        <v>7387060.5662901169</v>
      </c>
      <c r="E78" s="16">
        <v>0</v>
      </c>
      <c r="F78" s="16">
        <v>290400.53000000003</v>
      </c>
      <c r="G78" s="16">
        <v>90282.22</v>
      </c>
      <c r="H78" s="16">
        <v>2861192.57</v>
      </c>
      <c r="I78" s="16">
        <v>589346.16</v>
      </c>
      <c r="J78" s="16">
        <v>2672283.12</v>
      </c>
      <c r="K78" s="16">
        <v>0</v>
      </c>
      <c r="L78" s="16">
        <v>0</v>
      </c>
      <c r="M78" s="16">
        <v>0</v>
      </c>
      <c r="N78" s="18">
        <f t="shared" si="2"/>
        <v>69514806.996290118</v>
      </c>
      <c r="O78" s="4"/>
    </row>
    <row r="79" spans="1:15" ht="15" x14ac:dyDescent="0.2">
      <c r="A79" s="17" t="s">
        <v>74</v>
      </c>
      <c r="B79" s="16">
        <v>222777049.37</v>
      </c>
      <c r="C79" s="16">
        <v>0</v>
      </c>
      <c r="D79" s="16">
        <v>50247608.776385769</v>
      </c>
      <c r="E79" s="16">
        <v>0</v>
      </c>
      <c r="F79" s="16">
        <v>1459644.81</v>
      </c>
      <c r="G79" s="16">
        <v>672100.97</v>
      </c>
      <c r="H79" s="16">
        <v>11459177.09</v>
      </c>
      <c r="I79" s="16">
        <v>2962239.92</v>
      </c>
      <c r="J79" s="16">
        <v>13864364.410000002</v>
      </c>
      <c r="K79" s="16">
        <v>0</v>
      </c>
      <c r="L79" s="16">
        <v>0</v>
      </c>
      <c r="M79" s="16">
        <v>0</v>
      </c>
      <c r="N79" s="18">
        <f t="shared" si="2"/>
        <v>303442185.34638584</v>
      </c>
      <c r="O79" s="4"/>
    </row>
    <row r="80" spans="1:15" ht="15" x14ac:dyDescent="0.2">
      <c r="A80" s="17" t="s">
        <v>75</v>
      </c>
      <c r="B80" s="16">
        <v>139596761.22999999</v>
      </c>
      <c r="C80" s="16">
        <v>0</v>
      </c>
      <c r="D80" s="16">
        <v>49692413.389080152</v>
      </c>
      <c r="E80" s="16">
        <v>0</v>
      </c>
      <c r="F80" s="16">
        <v>472282.98</v>
      </c>
      <c r="G80" s="16">
        <v>280878.02</v>
      </c>
      <c r="H80" s="16">
        <v>7180560.1799999997</v>
      </c>
      <c r="I80" s="16">
        <v>958462.97</v>
      </c>
      <c r="J80" s="16">
        <v>9137567.0199999996</v>
      </c>
      <c r="K80" s="16">
        <v>0</v>
      </c>
      <c r="L80" s="16">
        <v>0</v>
      </c>
      <c r="M80" s="16">
        <v>0</v>
      </c>
      <c r="N80" s="18">
        <f t="shared" si="2"/>
        <v>207318925.78908014</v>
      </c>
      <c r="O80" s="4"/>
    </row>
    <row r="81" spans="1:15" ht="15" x14ac:dyDescent="0.2">
      <c r="A81" s="17" t="s">
        <v>76</v>
      </c>
      <c r="B81" s="16">
        <v>70492583.260000005</v>
      </c>
      <c r="C81" s="16">
        <v>0</v>
      </c>
      <c r="D81" s="16">
        <v>13394479.434481755</v>
      </c>
      <c r="E81" s="16">
        <v>0</v>
      </c>
      <c r="F81" s="16">
        <v>1226560.17</v>
      </c>
      <c r="G81" s="16">
        <v>579310.91</v>
      </c>
      <c r="H81" s="16">
        <v>3625988.4</v>
      </c>
      <c r="I81" s="16">
        <v>2489212.08</v>
      </c>
      <c r="J81" s="16">
        <v>10160519.609999994</v>
      </c>
      <c r="K81" s="16">
        <v>0</v>
      </c>
      <c r="L81" s="16">
        <v>0</v>
      </c>
      <c r="M81" s="16">
        <v>0</v>
      </c>
      <c r="N81" s="18">
        <f t="shared" si="2"/>
        <v>101968653.86448176</v>
      </c>
      <c r="O81" s="4"/>
    </row>
    <row r="82" spans="1:15" ht="15" x14ac:dyDescent="0.2">
      <c r="A82" s="17" t="s">
        <v>77</v>
      </c>
      <c r="B82" s="16">
        <v>1080039364.28</v>
      </c>
      <c r="C82" s="16">
        <v>0</v>
      </c>
      <c r="D82" s="16">
        <v>6781171.040000001</v>
      </c>
      <c r="E82" s="16">
        <v>0</v>
      </c>
      <c r="F82" s="16">
        <v>35350151.93</v>
      </c>
      <c r="G82" s="16">
        <v>24519299.142210979</v>
      </c>
      <c r="H82" s="16">
        <v>55554925.310000002</v>
      </c>
      <c r="I82" s="16">
        <v>71740487.920000002</v>
      </c>
      <c r="J82" s="16">
        <v>87118705</v>
      </c>
      <c r="K82" s="16">
        <v>0</v>
      </c>
      <c r="L82" s="16">
        <v>0</v>
      </c>
      <c r="M82" s="16">
        <v>0</v>
      </c>
      <c r="N82" s="18">
        <f t="shared" si="2"/>
        <v>1361104104.622211</v>
      </c>
      <c r="O82" s="4"/>
    </row>
    <row r="83" spans="1:15" ht="15" x14ac:dyDescent="0.2">
      <c r="A83" s="17" t="s">
        <v>78</v>
      </c>
      <c r="B83" s="16">
        <v>326403307.52999997</v>
      </c>
      <c r="C83" s="16">
        <v>0</v>
      </c>
      <c r="D83" s="16">
        <v>14332330.980301874</v>
      </c>
      <c r="E83" s="16">
        <v>0</v>
      </c>
      <c r="F83" s="16">
        <v>3914293.58</v>
      </c>
      <c r="G83" s="16">
        <v>1705330.83</v>
      </c>
      <c r="H83" s="16">
        <v>16789491.170000002</v>
      </c>
      <c r="I83" s="16">
        <v>7943765.9000000004</v>
      </c>
      <c r="J83" s="16">
        <v>18788305.419999998</v>
      </c>
      <c r="K83" s="16">
        <v>0</v>
      </c>
      <c r="L83" s="16">
        <v>0</v>
      </c>
      <c r="M83" s="16">
        <v>0</v>
      </c>
      <c r="N83" s="18">
        <f t="shared" si="2"/>
        <v>389876825.4103018</v>
      </c>
      <c r="O83" s="4"/>
    </row>
    <row r="84" spans="1:15" ht="15" x14ac:dyDescent="0.2">
      <c r="A84" s="17" t="s">
        <v>79</v>
      </c>
      <c r="B84" s="16">
        <v>116626053.92000002</v>
      </c>
      <c r="C84" s="16">
        <v>0</v>
      </c>
      <c r="D84" s="16">
        <v>11767050.907055218</v>
      </c>
      <c r="E84" s="16">
        <v>0</v>
      </c>
      <c r="F84" s="16">
        <v>785609.87</v>
      </c>
      <c r="G84" s="16">
        <v>150214.82362485639</v>
      </c>
      <c r="H84" s="16">
        <v>5998995.9000000004</v>
      </c>
      <c r="I84" s="16">
        <v>1594336.46</v>
      </c>
      <c r="J84" s="16">
        <v>7841012.9099999983</v>
      </c>
      <c r="K84" s="16">
        <v>0</v>
      </c>
      <c r="L84" s="16">
        <v>0</v>
      </c>
      <c r="M84" s="16">
        <v>0</v>
      </c>
      <c r="N84" s="18">
        <f t="shared" si="2"/>
        <v>144763274.79068008</v>
      </c>
      <c r="O84" s="4"/>
    </row>
    <row r="85" spans="1:15" ht="15" x14ac:dyDescent="0.2">
      <c r="A85" s="17" t="s">
        <v>80</v>
      </c>
      <c r="B85" s="16">
        <v>110948396.11999997</v>
      </c>
      <c r="C85" s="16">
        <v>0</v>
      </c>
      <c r="D85" s="16">
        <v>10791198.005849518</v>
      </c>
      <c r="E85" s="16">
        <v>0</v>
      </c>
      <c r="F85" s="16">
        <v>371407</v>
      </c>
      <c r="G85" s="16">
        <v>163009.56</v>
      </c>
      <c r="H85" s="16">
        <v>5706949.2699999996</v>
      </c>
      <c r="I85" s="16">
        <v>753742.72</v>
      </c>
      <c r="J85" s="16">
        <v>4365869.0200000005</v>
      </c>
      <c r="K85" s="16">
        <v>0</v>
      </c>
      <c r="L85" s="16">
        <v>0</v>
      </c>
      <c r="M85" s="16">
        <v>0</v>
      </c>
      <c r="N85" s="18">
        <f t="shared" si="2"/>
        <v>133100571.69584948</v>
      </c>
      <c r="O85" s="4"/>
    </row>
    <row r="86" spans="1:15" ht="15" x14ac:dyDescent="0.2">
      <c r="A86" s="17" t="s">
        <v>81</v>
      </c>
      <c r="B86" s="16">
        <v>1319761361.51</v>
      </c>
      <c r="C86" s="16">
        <v>0</v>
      </c>
      <c r="D86" s="16">
        <v>8464665.1600000001</v>
      </c>
      <c r="E86" s="16">
        <v>0</v>
      </c>
      <c r="F86" s="16">
        <v>22179723.27</v>
      </c>
      <c r="G86" s="16">
        <v>5400875.1295014359</v>
      </c>
      <c r="H86" s="16">
        <v>67885714.430000007</v>
      </c>
      <c r="I86" s="16">
        <v>45012088.57</v>
      </c>
      <c r="J86" s="16">
        <v>38672577.579999998</v>
      </c>
      <c r="K86" s="16">
        <v>0</v>
      </c>
      <c r="L86" s="16">
        <v>0</v>
      </c>
      <c r="M86" s="16">
        <v>0</v>
      </c>
      <c r="N86" s="18">
        <f t="shared" si="2"/>
        <v>1507377005.6495013</v>
      </c>
      <c r="O86" s="4"/>
    </row>
    <row r="87" spans="1:15" ht="15" x14ac:dyDescent="0.2">
      <c r="A87" s="17" t="s">
        <v>82</v>
      </c>
      <c r="B87" s="16">
        <v>184797959.68999994</v>
      </c>
      <c r="C87" s="16">
        <v>0</v>
      </c>
      <c r="D87" s="16">
        <v>12764474.346046491</v>
      </c>
      <c r="E87" s="16">
        <v>0</v>
      </c>
      <c r="F87" s="16">
        <v>629710.64</v>
      </c>
      <c r="G87" s="16">
        <v>341066.17</v>
      </c>
      <c r="H87" s="16">
        <v>9505613.5800000001</v>
      </c>
      <c r="I87" s="16">
        <v>1277950.6200000001</v>
      </c>
      <c r="J87" s="16">
        <v>8468547.9499999974</v>
      </c>
      <c r="K87" s="16">
        <v>0</v>
      </c>
      <c r="L87" s="16">
        <v>0</v>
      </c>
      <c r="M87" s="16">
        <v>0</v>
      </c>
      <c r="N87" s="18">
        <f t="shared" si="2"/>
        <v>217785322.99604639</v>
      </c>
      <c r="O87" s="4"/>
    </row>
    <row r="88" spans="1:15" ht="15" x14ac:dyDescent="0.2">
      <c r="A88" s="17" t="s">
        <v>83</v>
      </c>
      <c r="B88" s="16">
        <v>158362240.63999999</v>
      </c>
      <c r="C88" s="16">
        <v>0</v>
      </c>
      <c r="D88" s="16">
        <v>6894151.0302662579</v>
      </c>
      <c r="E88" s="16">
        <v>0</v>
      </c>
      <c r="F88" s="16">
        <v>3090473.1</v>
      </c>
      <c r="G88" s="16">
        <v>870220.29</v>
      </c>
      <c r="H88" s="16">
        <v>8145816.4800000004</v>
      </c>
      <c r="I88" s="16">
        <v>6271883.8899999997</v>
      </c>
      <c r="J88" s="16">
        <v>12655889.930000002</v>
      </c>
      <c r="K88" s="16">
        <v>0</v>
      </c>
      <c r="L88" s="16">
        <v>0</v>
      </c>
      <c r="M88" s="16">
        <v>0</v>
      </c>
      <c r="N88" s="18">
        <f t="shared" si="2"/>
        <v>196290675.36026621</v>
      </c>
      <c r="O88" s="4"/>
    </row>
    <row r="89" spans="1:15" ht="15" x14ac:dyDescent="0.2">
      <c r="A89" s="17" t="s">
        <v>84</v>
      </c>
      <c r="B89" s="16">
        <v>259147669.30999994</v>
      </c>
      <c r="C89" s="16">
        <v>0</v>
      </c>
      <c r="D89" s="16">
        <v>11761291.937520398</v>
      </c>
      <c r="E89" s="16">
        <v>0</v>
      </c>
      <c r="F89" s="16">
        <v>2599084.8199999998</v>
      </c>
      <c r="G89" s="16">
        <v>1015674.98</v>
      </c>
      <c r="H89" s="16">
        <v>13330004.34</v>
      </c>
      <c r="I89" s="16">
        <v>5274648.1500000004</v>
      </c>
      <c r="J89" s="16">
        <v>13391170.740000006</v>
      </c>
      <c r="K89" s="16">
        <v>0</v>
      </c>
      <c r="L89" s="16">
        <v>0</v>
      </c>
      <c r="M89" s="16">
        <v>0</v>
      </c>
      <c r="N89" s="18">
        <f t="shared" si="2"/>
        <v>306519544.2775203</v>
      </c>
      <c r="O89" s="4"/>
    </row>
    <row r="90" spans="1:15" ht="15" x14ac:dyDescent="0.2">
      <c r="A90" s="17" t="s">
        <v>85</v>
      </c>
      <c r="B90" s="16">
        <v>1360845357.7700002</v>
      </c>
      <c r="C90" s="16">
        <v>0</v>
      </c>
      <c r="D90" s="16">
        <v>4300933.9799791612</v>
      </c>
      <c r="E90" s="16">
        <v>0</v>
      </c>
      <c r="F90" s="16">
        <v>35256153.859999999</v>
      </c>
      <c r="G90" s="16">
        <v>10200528.97553236</v>
      </c>
      <c r="H90" s="16">
        <v>69998987.730000004</v>
      </c>
      <c r="I90" s="16">
        <v>71549725.879999995</v>
      </c>
      <c r="J90" s="16">
        <v>79709643.600000009</v>
      </c>
      <c r="K90" s="16">
        <v>0</v>
      </c>
      <c r="L90" s="16">
        <v>0</v>
      </c>
      <c r="M90" s="16">
        <v>0</v>
      </c>
      <c r="N90" s="18">
        <f t="shared" si="2"/>
        <v>1631861331.7955117</v>
      </c>
      <c r="O90" s="4"/>
    </row>
    <row r="91" spans="1:15" ht="15" x14ac:dyDescent="0.2">
      <c r="A91" s="17" t="s">
        <v>86</v>
      </c>
      <c r="B91" s="16">
        <v>50654790.770000003</v>
      </c>
      <c r="C91" s="16">
        <v>0</v>
      </c>
      <c r="D91" s="16">
        <v>17140022.238430995</v>
      </c>
      <c r="E91" s="16">
        <v>0</v>
      </c>
      <c r="F91" s="16">
        <v>818470.99</v>
      </c>
      <c r="G91" s="16">
        <v>338558.33</v>
      </c>
      <c r="H91" s="16">
        <v>2605574.59</v>
      </c>
      <c r="I91" s="16">
        <v>1661025.63</v>
      </c>
      <c r="J91" s="16">
        <v>5796964.2199999988</v>
      </c>
      <c r="K91" s="16">
        <v>0</v>
      </c>
      <c r="L91" s="16">
        <v>0</v>
      </c>
      <c r="M91" s="16">
        <v>0</v>
      </c>
      <c r="N91" s="18">
        <f t="shared" si="2"/>
        <v>79015406.768430993</v>
      </c>
      <c r="O91" s="4"/>
    </row>
    <row r="92" spans="1:15" ht="15" x14ac:dyDescent="0.2">
      <c r="A92" s="17" t="s">
        <v>87</v>
      </c>
      <c r="B92" s="16">
        <v>73277396.420000002</v>
      </c>
      <c r="C92" s="16">
        <v>0</v>
      </c>
      <c r="D92" s="16">
        <v>222921.99</v>
      </c>
      <c r="E92" s="16">
        <v>0</v>
      </c>
      <c r="F92" s="16">
        <v>175004.53</v>
      </c>
      <c r="G92" s="16">
        <v>105329.26</v>
      </c>
      <c r="H92" s="16">
        <v>3769233.26</v>
      </c>
      <c r="I92" s="16">
        <v>355158.61</v>
      </c>
      <c r="J92" s="16">
        <v>2354722.4399999995</v>
      </c>
      <c r="K92" s="16">
        <v>0</v>
      </c>
      <c r="L92" s="16">
        <v>0</v>
      </c>
      <c r="M92" s="16">
        <v>0</v>
      </c>
      <c r="N92" s="18">
        <f t="shared" si="2"/>
        <v>80259766.510000005</v>
      </c>
      <c r="O92" s="4"/>
    </row>
    <row r="93" spans="1:15" ht="15" x14ac:dyDescent="0.2">
      <c r="A93" s="17" t="s">
        <v>88</v>
      </c>
      <c r="B93" s="16">
        <v>727196336.45000005</v>
      </c>
      <c r="C93" s="16">
        <v>0</v>
      </c>
      <c r="D93" s="16">
        <v>4321008.0386598427</v>
      </c>
      <c r="E93" s="16">
        <v>0</v>
      </c>
      <c r="F93" s="16">
        <v>28573884.609999999</v>
      </c>
      <c r="G93" s="16">
        <v>4626193.5659023095</v>
      </c>
      <c r="H93" s="16">
        <v>37405431.219999999</v>
      </c>
      <c r="I93" s="16">
        <v>57988560.509999998</v>
      </c>
      <c r="J93" s="16">
        <v>79861832.649999991</v>
      </c>
      <c r="K93" s="16">
        <v>0</v>
      </c>
      <c r="L93" s="16">
        <v>0</v>
      </c>
      <c r="M93" s="16">
        <v>0</v>
      </c>
      <c r="N93" s="18">
        <f t="shared" si="2"/>
        <v>939973247.04456222</v>
      </c>
      <c r="O93" s="4"/>
    </row>
    <row r="94" spans="1:15" ht="15" x14ac:dyDescent="0.2">
      <c r="A94" s="17" t="s">
        <v>89</v>
      </c>
      <c r="B94" s="16">
        <v>497601296.20999992</v>
      </c>
      <c r="C94" s="16">
        <v>0</v>
      </c>
      <c r="D94" s="16">
        <v>6734560.8500000006</v>
      </c>
      <c r="E94" s="16">
        <v>0</v>
      </c>
      <c r="F94" s="16">
        <v>12920531.35</v>
      </c>
      <c r="G94" s="16">
        <v>5839467.3063533828</v>
      </c>
      <c r="H94" s="16">
        <v>25595551.199999999</v>
      </c>
      <c r="I94" s="16">
        <v>26221251.469999999</v>
      </c>
      <c r="J94" s="16">
        <v>40160733.579999998</v>
      </c>
      <c r="K94" s="16">
        <v>0</v>
      </c>
      <c r="L94" s="16">
        <v>0</v>
      </c>
      <c r="M94" s="16">
        <v>0</v>
      </c>
      <c r="N94" s="18">
        <f t="shared" si="2"/>
        <v>615073391.96635342</v>
      </c>
      <c r="O94" s="4"/>
    </row>
    <row r="95" spans="1:15" ht="15" x14ac:dyDescent="0.2">
      <c r="A95" s="17" t="s">
        <v>90</v>
      </c>
      <c r="B95" s="16">
        <v>91738787.040000021</v>
      </c>
      <c r="C95" s="16">
        <v>0</v>
      </c>
      <c r="D95" s="16">
        <v>10532377.54869725</v>
      </c>
      <c r="E95" s="16">
        <v>0</v>
      </c>
      <c r="F95" s="16">
        <v>633531.69999999995</v>
      </c>
      <c r="G95" s="16">
        <v>273354.5</v>
      </c>
      <c r="H95" s="16">
        <v>4718847.88</v>
      </c>
      <c r="I95" s="16">
        <v>1285705.18</v>
      </c>
      <c r="J95" s="16">
        <v>5982351.3999999985</v>
      </c>
      <c r="K95" s="16">
        <v>0</v>
      </c>
      <c r="L95" s="16">
        <v>0</v>
      </c>
      <c r="M95" s="16">
        <v>0</v>
      </c>
      <c r="N95" s="18">
        <f t="shared" si="2"/>
        <v>115164955.24869728</v>
      </c>
      <c r="O95" s="4"/>
    </row>
    <row r="96" spans="1:15" ht="15" x14ac:dyDescent="0.2">
      <c r="A96" s="17" t="s">
        <v>91</v>
      </c>
      <c r="B96" s="16">
        <v>297654913.16999996</v>
      </c>
      <c r="C96" s="16">
        <v>0</v>
      </c>
      <c r="D96" s="16">
        <v>27963549.544826008</v>
      </c>
      <c r="E96" s="16">
        <v>0</v>
      </c>
      <c r="F96" s="16">
        <v>3550528.69</v>
      </c>
      <c r="G96" s="16">
        <v>1492164.48</v>
      </c>
      <c r="H96" s="16">
        <v>15310734.98</v>
      </c>
      <c r="I96" s="16">
        <v>7205532.2800000003</v>
      </c>
      <c r="J96" s="16">
        <v>21408397.25</v>
      </c>
      <c r="K96" s="16">
        <v>0</v>
      </c>
      <c r="L96" s="16">
        <v>0</v>
      </c>
      <c r="M96" s="16">
        <v>0</v>
      </c>
      <c r="N96" s="18">
        <f t="shared" si="2"/>
        <v>374585820.39482599</v>
      </c>
      <c r="O96" s="4"/>
    </row>
    <row r="97" spans="1:15" ht="15" x14ac:dyDescent="0.2">
      <c r="A97" s="17" t="s">
        <v>92</v>
      </c>
      <c r="B97" s="16">
        <v>143705961.10999998</v>
      </c>
      <c r="C97" s="16">
        <v>0</v>
      </c>
      <c r="D97" s="16">
        <v>39892301.107630827</v>
      </c>
      <c r="E97" s="16">
        <v>0</v>
      </c>
      <c r="F97" s="16">
        <v>1639234.62</v>
      </c>
      <c r="G97" s="16">
        <v>764891.03</v>
      </c>
      <c r="H97" s="16">
        <v>7391928.6699999999</v>
      </c>
      <c r="I97" s="16">
        <v>3326703.99</v>
      </c>
      <c r="J97" s="16">
        <v>13848115.040000001</v>
      </c>
      <c r="K97" s="16">
        <v>0</v>
      </c>
      <c r="L97" s="16">
        <v>0</v>
      </c>
      <c r="M97" s="16">
        <v>0</v>
      </c>
      <c r="N97" s="18">
        <f t="shared" si="2"/>
        <v>210569135.5676308</v>
      </c>
      <c r="O97" s="4"/>
    </row>
    <row r="98" spans="1:15" ht="15" x14ac:dyDescent="0.2">
      <c r="A98" s="17" t="s">
        <v>93</v>
      </c>
      <c r="B98" s="16">
        <v>397328017.04999995</v>
      </c>
      <c r="C98" s="16">
        <v>0</v>
      </c>
      <c r="D98" s="16">
        <v>39332626.992317557</v>
      </c>
      <c r="E98" s="16">
        <v>0</v>
      </c>
      <c r="F98" s="16">
        <v>3811889.18</v>
      </c>
      <c r="G98" s="16">
        <v>1793105.21</v>
      </c>
      <c r="H98" s="16">
        <v>20437707.219999999</v>
      </c>
      <c r="I98" s="16">
        <v>7735943.8300000001</v>
      </c>
      <c r="J98" s="16">
        <v>27166137.110000007</v>
      </c>
      <c r="K98" s="16">
        <v>0</v>
      </c>
      <c r="L98" s="16">
        <v>0</v>
      </c>
      <c r="M98" s="16">
        <v>0</v>
      </c>
      <c r="N98" s="18">
        <f t="shared" si="2"/>
        <v>497605426.59231752</v>
      </c>
      <c r="O98" s="4"/>
    </row>
    <row r="99" spans="1:15" ht="15" x14ac:dyDescent="0.2">
      <c r="A99" s="17" t="s">
        <v>94</v>
      </c>
      <c r="B99" s="16">
        <v>278025181.42999995</v>
      </c>
      <c r="C99" s="16">
        <v>0</v>
      </c>
      <c r="D99" s="16">
        <v>23204873.381151214</v>
      </c>
      <c r="E99" s="16">
        <v>0</v>
      </c>
      <c r="F99" s="16">
        <v>1413027.88</v>
      </c>
      <c r="G99" s="16">
        <v>484013.01</v>
      </c>
      <c r="H99" s="16">
        <v>14301023.369999999</v>
      </c>
      <c r="I99" s="16">
        <v>2867634.35</v>
      </c>
      <c r="J99" s="16">
        <v>18071722.129999995</v>
      </c>
      <c r="K99" s="16">
        <v>0</v>
      </c>
      <c r="L99" s="16">
        <v>0</v>
      </c>
      <c r="M99" s="16">
        <v>0</v>
      </c>
      <c r="N99" s="18">
        <f t="shared" si="2"/>
        <v>338367475.55115116</v>
      </c>
      <c r="O99" s="4"/>
    </row>
    <row r="100" spans="1:15" ht="15" x14ac:dyDescent="0.2">
      <c r="A100" s="17" t="s">
        <v>95</v>
      </c>
      <c r="B100" s="16">
        <v>295214200.49000007</v>
      </c>
      <c r="C100" s="16">
        <v>0</v>
      </c>
      <c r="D100" s="16">
        <v>36575163.67213963</v>
      </c>
      <c r="E100" s="16">
        <v>0</v>
      </c>
      <c r="F100" s="16">
        <v>1586503.99</v>
      </c>
      <c r="G100" s="16">
        <v>639499.06000000006</v>
      </c>
      <c r="H100" s="16">
        <v>15185189.92</v>
      </c>
      <c r="I100" s="16">
        <v>3219691.14</v>
      </c>
      <c r="J100" s="16">
        <v>14129733.609999994</v>
      </c>
      <c r="K100" s="16">
        <v>0</v>
      </c>
      <c r="L100" s="16">
        <v>0</v>
      </c>
      <c r="M100" s="16">
        <v>0</v>
      </c>
      <c r="N100" s="18">
        <f t="shared" si="2"/>
        <v>366549981.88213974</v>
      </c>
      <c r="O100" s="4"/>
    </row>
    <row r="101" spans="1:15" ht="15" x14ac:dyDescent="0.2">
      <c r="A101" s="17" t="s">
        <v>96</v>
      </c>
      <c r="B101" s="16">
        <v>54235836.409999996</v>
      </c>
      <c r="C101" s="16">
        <v>0</v>
      </c>
      <c r="D101" s="16">
        <v>13274538.109096169</v>
      </c>
      <c r="E101" s="16">
        <v>0</v>
      </c>
      <c r="F101" s="16">
        <v>189524.56</v>
      </c>
      <c r="G101" s="16">
        <v>95297.9</v>
      </c>
      <c r="H101" s="16">
        <v>2789775.95</v>
      </c>
      <c r="I101" s="16">
        <v>384625.91999999998</v>
      </c>
      <c r="J101" s="16">
        <v>3058580.6700000004</v>
      </c>
      <c r="K101" s="16">
        <v>0</v>
      </c>
      <c r="L101" s="16">
        <v>0</v>
      </c>
      <c r="M101" s="16">
        <v>0</v>
      </c>
      <c r="N101" s="18">
        <f t="shared" si="2"/>
        <v>74028179.519096181</v>
      </c>
      <c r="O101" s="4"/>
    </row>
    <row r="102" spans="1:15" ht="15" x14ac:dyDescent="0.2">
      <c r="A102" s="17" t="s">
        <v>97</v>
      </c>
      <c r="B102" s="16">
        <v>176703596.19</v>
      </c>
      <c r="C102" s="16">
        <v>0</v>
      </c>
      <c r="D102" s="16">
        <v>50438401.704407491</v>
      </c>
      <c r="E102" s="16">
        <v>0</v>
      </c>
      <c r="F102" s="16">
        <v>3669745.75</v>
      </c>
      <c r="G102" s="16">
        <v>1677744.59</v>
      </c>
      <c r="H102" s="16">
        <v>9089256.7599999998</v>
      </c>
      <c r="I102" s="16">
        <v>7447474.3899999997</v>
      </c>
      <c r="J102" s="16">
        <v>20374091.589999996</v>
      </c>
      <c r="K102" s="16">
        <v>0</v>
      </c>
      <c r="L102" s="16">
        <v>0</v>
      </c>
      <c r="M102" s="16">
        <v>0</v>
      </c>
      <c r="N102" s="18">
        <f t="shared" si="2"/>
        <v>269400310.97440743</v>
      </c>
      <c r="O102" s="4"/>
    </row>
    <row r="103" spans="1:15" ht="15" x14ac:dyDescent="0.2">
      <c r="A103" s="17" t="s">
        <v>98</v>
      </c>
      <c r="B103" s="16">
        <v>61321905.479999989</v>
      </c>
      <c r="C103" s="16">
        <v>0</v>
      </c>
      <c r="D103" s="16">
        <v>13838905.952966172</v>
      </c>
      <c r="E103" s="16">
        <v>0</v>
      </c>
      <c r="F103" s="16">
        <v>90941.22</v>
      </c>
      <c r="G103" s="16">
        <v>57680.31</v>
      </c>
      <c r="H103" s="16">
        <v>3154268.26</v>
      </c>
      <c r="I103" s="16">
        <v>184558.4</v>
      </c>
      <c r="J103" s="16">
        <v>4320349.3900000006</v>
      </c>
      <c r="K103" s="16">
        <v>0</v>
      </c>
      <c r="L103" s="16">
        <v>0</v>
      </c>
      <c r="M103" s="16">
        <v>0</v>
      </c>
      <c r="N103" s="18">
        <f t="shared" si="2"/>
        <v>82968609.012966171</v>
      </c>
      <c r="O103" s="4"/>
    </row>
    <row r="104" spans="1:15" ht="15" x14ac:dyDescent="0.2">
      <c r="A104" s="17" t="s">
        <v>99</v>
      </c>
      <c r="B104" s="16">
        <v>850860445.52999997</v>
      </c>
      <c r="C104" s="16">
        <v>0</v>
      </c>
      <c r="D104" s="16">
        <v>14020586.549964385</v>
      </c>
      <c r="E104" s="16">
        <v>0</v>
      </c>
      <c r="F104" s="16">
        <v>18636836.699999999</v>
      </c>
      <c r="G104" s="16">
        <v>3224251.8381279772</v>
      </c>
      <c r="H104" s="16">
        <v>43766449.689999998</v>
      </c>
      <c r="I104" s="16">
        <v>37822065.399999999</v>
      </c>
      <c r="J104" s="16">
        <v>50078885.769999981</v>
      </c>
      <c r="K104" s="16">
        <v>0</v>
      </c>
      <c r="L104" s="16">
        <v>0</v>
      </c>
      <c r="M104" s="16">
        <v>0</v>
      </c>
      <c r="N104" s="18">
        <f t="shared" ref="N104:N135" si="3">SUM(B104:M104)</f>
        <v>1018409521.4780923</v>
      </c>
      <c r="O104" s="4"/>
    </row>
    <row r="105" spans="1:15" ht="15" x14ac:dyDescent="0.2">
      <c r="A105" s="17" t="s">
        <v>100</v>
      </c>
      <c r="B105" s="16">
        <v>146538788.26999998</v>
      </c>
      <c r="C105" s="16">
        <v>0</v>
      </c>
      <c r="D105" s="16">
        <v>1635821.0399999998</v>
      </c>
      <c r="E105" s="16">
        <v>0</v>
      </c>
      <c r="F105" s="16">
        <v>803186.75</v>
      </c>
      <c r="G105" s="16">
        <v>413793.51</v>
      </c>
      <c r="H105" s="16">
        <v>7537643.2699999996</v>
      </c>
      <c r="I105" s="16">
        <v>1630007.41</v>
      </c>
      <c r="J105" s="16">
        <v>6355063</v>
      </c>
      <c r="K105" s="16">
        <v>0</v>
      </c>
      <c r="L105" s="16">
        <v>0</v>
      </c>
      <c r="M105" s="16">
        <v>0</v>
      </c>
      <c r="N105" s="18">
        <f t="shared" si="3"/>
        <v>164914303.24999997</v>
      </c>
      <c r="O105" s="4"/>
    </row>
    <row r="106" spans="1:15" ht="15" x14ac:dyDescent="0.2">
      <c r="A106" s="17" t="s">
        <v>101</v>
      </c>
      <c r="B106" s="16">
        <v>158226200.91</v>
      </c>
      <c r="C106" s="16">
        <v>0</v>
      </c>
      <c r="D106" s="16">
        <v>1000023.4299999999</v>
      </c>
      <c r="E106" s="16">
        <v>0</v>
      </c>
      <c r="F106" s="16">
        <v>5691086.3499999996</v>
      </c>
      <c r="G106" s="16">
        <v>1352170.1661489611</v>
      </c>
      <c r="H106" s="16">
        <v>8138818.8899999997</v>
      </c>
      <c r="I106" s="16">
        <v>11549633.859999999</v>
      </c>
      <c r="J106" s="16">
        <v>16631560.700000007</v>
      </c>
      <c r="K106" s="16">
        <v>0</v>
      </c>
      <c r="L106" s="16">
        <v>0</v>
      </c>
      <c r="M106" s="16">
        <v>0</v>
      </c>
      <c r="N106" s="18">
        <f t="shared" si="3"/>
        <v>202589494.30614898</v>
      </c>
      <c r="O106" s="4"/>
    </row>
    <row r="107" spans="1:15" ht="15" x14ac:dyDescent="0.2">
      <c r="A107" s="17" t="s">
        <v>102</v>
      </c>
      <c r="B107" s="16">
        <v>221224596.01999998</v>
      </c>
      <c r="C107" s="16">
        <v>0</v>
      </c>
      <c r="D107" s="16">
        <v>17129905.994743742</v>
      </c>
      <c r="E107" s="16">
        <v>0</v>
      </c>
      <c r="F107" s="16">
        <v>316383.74</v>
      </c>
      <c r="G107" s="16">
        <v>253291.78</v>
      </c>
      <c r="H107" s="16">
        <v>11379322.199999999</v>
      </c>
      <c r="I107" s="16">
        <v>642077.13</v>
      </c>
      <c r="J107" s="16">
        <v>7928500.8799999971</v>
      </c>
      <c r="K107" s="16">
        <v>0</v>
      </c>
      <c r="L107" s="16">
        <v>0</v>
      </c>
      <c r="M107" s="16">
        <v>0</v>
      </c>
      <c r="N107" s="18">
        <f t="shared" si="3"/>
        <v>258874077.7447437</v>
      </c>
      <c r="O107" s="4"/>
    </row>
    <row r="108" spans="1:15" ht="15" x14ac:dyDescent="0.2">
      <c r="A108" s="17" t="s">
        <v>103</v>
      </c>
      <c r="B108" s="16">
        <v>79663261.069999993</v>
      </c>
      <c r="C108" s="16">
        <v>0</v>
      </c>
      <c r="D108" s="16">
        <v>7301472.9732097983</v>
      </c>
      <c r="E108" s="16">
        <v>0</v>
      </c>
      <c r="F108" s="16">
        <v>320969.01</v>
      </c>
      <c r="G108" s="16">
        <v>157993.89000000001</v>
      </c>
      <c r="H108" s="16">
        <v>4097708.54</v>
      </c>
      <c r="I108" s="16">
        <v>651382.6</v>
      </c>
      <c r="J108" s="16">
        <v>4278811.589999998</v>
      </c>
      <c r="K108" s="16">
        <v>0</v>
      </c>
      <c r="L108" s="16">
        <v>0</v>
      </c>
      <c r="M108" s="16">
        <v>0</v>
      </c>
      <c r="N108" s="18">
        <f t="shared" si="3"/>
        <v>96471599.673209801</v>
      </c>
      <c r="O108" s="4"/>
    </row>
    <row r="109" spans="1:15" ht="15" x14ac:dyDescent="0.2">
      <c r="A109" s="17" t="s">
        <v>104</v>
      </c>
      <c r="B109" s="16">
        <v>846595200.12000012</v>
      </c>
      <c r="C109" s="16">
        <v>0</v>
      </c>
      <c r="D109" s="16">
        <v>7481883.343217806</v>
      </c>
      <c r="E109" s="16">
        <v>0</v>
      </c>
      <c r="F109" s="16">
        <v>32770936.620000001</v>
      </c>
      <c r="G109" s="16">
        <v>15470099.536069019</v>
      </c>
      <c r="H109" s="16">
        <v>43547054.549999997</v>
      </c>
      <c r="I109" s="16">
        <v>66506163.460000001</v>
      </c>
      <c r="J109" s="16">
        <v>78592315.920000017</v>
      </c>
      <c r="K109" s="16">
        <v>0</v>
      </c>
      <c r="L109" s="16">
        <v>0</v>
      </c>
      <c r="M109" s="16">
        <v>0</v>
      </c>
      <c r="N109" s="18">
        <f t="shared" si="3"/>
        <v>1090963653.5492871</v>
      </c>
      <c r="O109" s="4"/>
    </row>
    <row r="110" spans="1:15" ht="15" x14ac:dyDescent="0.2">
      <c r="A110" s="17" t="s">
        <v>105</v>
      </c>
      <c r="B110" s="16">
        <v>94707653.920000002</v>
      </c>
      <c r="C110" s="16">
        <v>0</v>
      </c>
      <c r="D110" s="16">
        <v>16383678.978129121</v>
      </c>
      <c r="E110" s="16">
        <v>0</v>
      </c>
      <c r="F110" s="16">
        <v>1252543.3700000001</v>
      </c>
      <c r="G110" s="16">
        <v>529154.12</v>
      </c>
      <c r="H110" s="16">
        <v>4871560.07</v>
      </c>
      <c r="I110" s="16">
        <v>2541943.0499999998</v>
      </c>
      <c r="J110" s="16">
        <v>9084810.6699999981</v>
      </c>
      <c r="K110" s="16">
        <v>0</v>
      </c>
      <c r="L110" s="16">
        <v>0</v>
      </c>
      <c r="M110" s="16">
        <v>0</v>
      </c>
      <c r="N110" s="18">
        <f t="shared" si="3"/>
        <v>129371344.17812914</v>
      </c>
      <c r="O110" s="4"/>
    </row>
    <row r="111" spans="1:15" ht="15" x14ac:dyDescent="0.2">
      <c r="A111" s="17" t="s">
        <v>106</v>
      </c>
      <c r="B111" s="16">
        <v>114661480.30000001</v>
      </c>
      <c r="C111" s="16">
        <v>0</v>
      </c>
      <c r="D111" s="16">
        <v>16977018.354829043</v>
      </c>
      <c r="E111" s="16">
        <v>0</v>
      </c>
      <c r="F111" s="16">
        <v>436365.02</v>
      </c>
      <c r="G111" s="16">
        <v>243260.43</v>
      </c>
      <c r="H111" s="16">
        <v>5897942.4199999999</v>
      </c>
      <c r="I111" s="16">
        <v>885570.15</v>
      </c>
      <c r="J111" s="16">
        <v>7043398.419999999</v>
      </c>
      <c r="K111" s="16">
        <v>0</v>
      </c>
      <c r="L111" s="16">
        <v>0</v>
      </c>
      <c r="M111" s="16">
        <v>0</v>
      </c>
      <c r="N111" s="18">
        <f t="shared" si="3"/>
        <v>146145035.09482905</v>
      </c>
      <c r="O111" s="4"/>
    </row>
    <row r="112" spans="1:15" ht="15" x14ac:dyDescent="0.2">
      <c r="A112" s="17" t="s">
        <v>107</v>
      </c>
      <c r="B112" s="16">
        <v>159986714.97000003</v>
      </c>
      <c r="C112" s="16">
        <v>0</v>
      </c>
      <c r="D112" s="16">
        <v>32916160.447402507</v>
      </c>
      <c r="E112" s="16">
        <v>0</v>
      </c>
      <c r="F112" s="16">
        <v>530363.07999999996</v>
      </c>
      <c r="G112" s="16">
        <v>275862.34000000003</v>
      </c>
      <c r="H112" s="16">
        <v>8229375.9800000004</v>
      </c>
      <c r="I112" s="16">
        <v>1076332.2</v>
      </c>
      <c r="J112" s="16">
        <v>7364590.9499999974</v>
      </c>
      <c r="K112" s="16">
        <v>0</v>
      </c>
      <c r="L112" s="16">
        <v>0</v>
      </c>
      <c r="M112" s="16">
        <v>0</v>
      </c>
      <c r="N112" s="18">
        <f t="shared" si="3"/>
        <v>210379399.96740252</v>
      </c>
      <c r="O112" s="4"/>
    </row>
    <row r="113" spans="1:15" ht="15" x14ac:dyDescent="0.2">
      <c r="A113" s="17" t="s">
        <v>108</v>
      </c>
      <c r="B113" s="16">
        <v>123059932.62</v>
      </c>
      <c r="C113" s="16">
        <v>0</v>
      </c>
      <c r="D113" s="16">
        <v>44705117.978040077</v>
      </c>
      <c r="E113" s="16">
        <v>0</v>
      </c>
      <c r="F113" s="16">
        <v>747399.28</v>
      </c>
      <c r="G113" s="16">
        <v>376175.92</v>
      </c>
      <c r="H113" s="16">
        <v>6329940.9199999999</v>
      </c>
      <c r="I113" s="16">
        <v>1516790.91</v>
      </c>
      <c r="J113" s="16">
        <v>7345812.8700000029</v>
      </c>
      <c r="K113" s="16">
        <v>0</v>
      </c>
      <c r="L113" s="16">
        <v>0</v>
      </c>
      <c r="M113" s="16">
        <v>0</v>
      </c>
      <c r="N113" s="18">
        <f t="shared" si="3"/>
        <v>184081170.49804005</v>
      </c>
      <c r="O113" s="4"/>
    </row>
    <row r="114" spans="1:15" ht="15" x14ac:dyDescent="0.2">
      <c r="A114" s="17" t="s">
        <v>109</v>
      </c>
      <c r="B114" s="16">
        <v>83744452.74000001</v>
      </c>
      <c r="C114" s="16">
        <v>0</v>
      </c>
      <c r="D114" s="16">
        <v>12943981.449664304</v>
      </c>
      <c r="E114" s="16">
        <v>0</v>
      </c>
      <c r="F114" s="16">
        <v>452413.47</v>
      </c>
      <c r="G114" s="16">
        <v>200627.16</v>
      </c>
      <c r="H114" s="16">
        <v>4307636.3499999996</v>
      </c>
      <c r="I114" s="16">
        <v>918139.28</v>
      </c>
      <c r="J114" s="16">
        <v>5437730.8399999999</v>
      </c>
      <c r="K114" s="16">
        <v>0</v>
      </c>
      <c r="L114" s="16">
        <v>0</v>
      </c>
      <c r="M114" s="16">
        <v>0</v>
      </c>
      <c r="N114" s="18">
        <f t="shared" si="3"/>
        <v>108004981.28966431</v>
      </c>
      <c r="O114" s="4"/>
    </row>
    <row r="115" spans="1:15" ht="15" x14ac:dyDescent="0.2">
      <c r="A115" s="17" t="s">
        <v>110</v>
      </c>
      <c r="B115" s="16">
        <v>220336336.66000003</v>
      </c>
      <c r="C115" s="16">
        <v>0</v>
      </c>
      <c r="D115" s="16">
        <v>10055991.754837053</v>
      </c>
      <c r="E115" s="16">
        <v>0</v>
      </c>
      <c r="F115" s="16">
        <v>468461.92</v>
      </c>
      <c r="G115" s="16">
        <v>333542.65000000002</v>
      </c>
      <c r="H115" s="16">
        <v>11333632.029999999</v>
      </c>
      <c r="I115" s="16">
        <v>950708.41</v>
      </c>
      <c r="J115" s="16">
        <v>7210168.830000001</v>
      </c>
      <c r="K115" s="16">
        <v>0</v>
      </c>
      <c r="L115" s="16">
        <v>0</v>
      </c>
      <c r="M115" s="16">
        <v>0</v>
      </c>
      <c r="N115" s="18">
        <f t="shared" si="3"/>
        <v>250688842.2548371</v>
      </c>
      <c r="O115" s="4"/>
    </row>
    <row r="116" spans="1:15" ht="15" x14ac:dyDescent="0.2">
      <c r="A116" s="17" t="s">
        <v>111</v>
      </c>
      <c r="B116" s="16">
        <v>120467175.52000001</v>
      </c>
      <c r="C116" s="16">
        <v>0</v>
      </c>
      <c r="D116" s="16">
        <v>18171933.722628683</v>
      </c>
      <c r="E116" s="16">
        <v>0</v>
      </c>
      <c r="F116" s="16">
        <v>1293046.6100000001</v>
      </c>
      <c r="G116" s="16">
        <v>514107.09</v>
      </c>
      <c r="H116" s="16">
        <v>6196575.0199999996</v>
      </c>
      <c r="I116" s="16">
        <v>2624141.33</v>
      </c>
      <c r="J116" s="16">
        <v>9991435.3799999952</v>
      </c>
      <c r="K116" s="16">
        <v>0</v>
      </c>
      <c r="L116" s="16">
        <v>0</v>
      </c>
      <c r="M116" s="16">
        <v>0</v>
      </c>
      <c r="N116" s="18">
        <f t="shared" si="3"/>
        <v>159258414.67262873</v>
      </c>
      <c r="O116" s="4"/>
    </row>
    <row r="117" spans="1:15" ht="15" x14ac:dyDescent="0.2">
      <c r="A117" s="17" t="s">
        <v>112</v>
      </c>
      <c r="B117" s="16">
        <v>64250760.700000003</v>
      </c>
      <c r="C117" s="16">
        <v>0</v>
      </c>
      <c r="D117" s="16">
        <v>3351682.2326090815</v>
      </c>
      <c r="E117" s="16">
        <v>0</v>
      </c>
      <c r="F117" s="16">
        <v>272059.45</v>
      </c>
      <c r="G117" s="16">
        <v>137931.17000000001</v>
      </c>
      <c r="H117" s="16">
        <v>3304922.33</v>
      </c>
      <c r="I117" s="16">
        <v>552124.30000000005</v>
      </c>
      <c r="J117" s="16">
        <v>2854576.7199999988</v>
      </c>
      <c r="K117" s="16">
        <v>0</v>
      </c>
      <c r="L117" s="16">
        <v>0</v>
      </c>
      <c r="M117" s="16">
        <v>0</v>
      </c>
      <c r="N117" s="18">
        <f t="shared" si="3"/>
        <v>74724056.90260908</v>
      </c>
      <c r="O117" s="4"/>
    </row>
    <row r="118" spans="1:15" ht="15" x14ac:dyDescent="0.2">
      <c r="A118" s="17" t="s">
        <v>113</v>
      </c>
      <c r="B118" s="16">
        <v>101181544.25</v>
      </c>
      <c r="C118" s="16">
        <v>0</v>
      </c>
      <c r="D118" s="16">
        <v>34120163.314162076</v>
      </c>
      <c r="E118" s="16">
        <v>0</v>
      </c>
      <c r="F118" s="16">
        <v>1283111.8500000001</v>
      </c>
      <c r="G118" s="16">
        <v>524138.45</v>
      </c>
      <c r="H118" s="16">
        <v>5204563.21</v>
      </c>
      <c r="I118" s="16">
        <v>2603979.4900000002</v>
      </c>
      <c r="J118" s="16">
        <v>7863880.3600000031</v>
      </c>
      <c r="K118" s="16">
        <v>0</v>
      </c>
      <c r="L118" s="16">
        <v>0</v>
      </c>
      <c r="M118" s="16">
        <v>0</v>
      </c>
      <c r="N118" s="18">
        <f t="shared" si="3"/>
        <v>152781380.92416209</v>
      </c>
      <c r="O118" s="4"/>
    </row>
    <row r="119" spans="1:15" ht="15" x14ac:dyDescent="0.2">
      <c r="A119" s="17" t="s">
        <v>114</v>
      </c>
      <c r="B119" s="16">
        <v>148843461.20000002</v>
      </c>
      <c r="C119" s="16">
        <v>0</v>
      </c>
      <c r="D119" s="16">
        <v>14589490.622565459</v>
      </c>
      <c r="E119" s="16">
        <v>0</v>
      </c>
      <c r="F119" s="16">
        <v>1030921.91</v>
      </c>
      <c r="G119" s="16">
        <v>368652.4</v>
      </c>
      <c r="H119" s="16">
        <v>7656190.7400000002</v>
      </c>
      <c r="I119" s="16">
        <v>2092178.87</v>
      </c>
      <c r="J119" s="16">
        <v>7263813.0500000026</v>
      </c>
      <c r="K119" s="16">
        <v>0</v>
      </c>
      <c r="L119" s="16">
        <v>0</v>
      </c>
      <c r="M119" s="16">
        <v>0</v>
      </c>
      <c r="N119" s="18">
        <f t="shared" si="3"/>
        <v>181844708.79256549</v>
      </c>
      <c r="O119" s="4"/>
    </row>
    <row r="120" spans="1:15" ht="15" x14ac:dyDescent="0.2">
      <c r="A120" s="17" t="s">
        <v>115</v>
      </c>
      <c r="B120" s="16">
        <v>95867992.719999999</v>
      </c>
      <c r="C120" s="16">
        <v>0</v>
      </c>
      <c r="D120" s="16">
        <v>15847405.708505258</v>
      </c>
      <c r="E120" s="16">
        <v>0</v>
      </c>
      <c r="F120" s="16">
        <v>694668.65</v>
      </c>
      <c r="G120" s="16">
        <v>371160.24</v>
      </c>
      <c r="H120" s="16">
        <v>4931245.43</v>
      </c>
      <c r="I120" s="16">
        <v>1409778.06</v>
      </c>
      <c r="J120" s="16">
        <v>7688877.4399999976</v>
      </c>
      <c r="K120" s="16">
        <v>0</v>
      </c>
      <c r="L120" s="16">
        <v>0</v>
      </c>
      <c r="M120" s="16">
        <v>0</v>
      </c>
      <c r="N120" s="18">
        <f t="shared" si="3"/>
        <v>126811128.24850526</v>
      </c>
      <c r="O120" s="4"/>
    </row>
    <row r="121" spans="1:15" ht="15" x14ac:dyDescent="0.2">
      <c r="A121" s="17" t="s">
        <v>116</v>
      </c>
      <c r="B121" s="16">
        <v>112364809.68000001</v>
      </c>
      <c r="C121" s="16">
        <v>0</v>
      </c>
      <c r="D121" s="16">
        <v>16909369.279858243</v>
      </c>
      <c r="E121" s="16">
        <v>0</v>
      </c>
      <c r="F121" s="16">
        <v>291928.96000000002</v>
      </c>
      <c r="G121" s="16">
        <v>135423.32999999999</v>
      </c>
      <c r="H121" s="16">
        <v>5779806.5700000003</v>
      </c>
      <c r="I121" s="16">
        <v>592447.98</v>
      </c>
      <c r="J121" s="16">
        <v>4212280.8100000015</v>
      </c>
      <c r="K121" s="16">
        <v>0</v>
      </c>
      <c r="L121" s="16">
        <v>0</v>
      </c>
      <c r="M121" s="16">
        <v>0</v>
      </c>
      <c r="N121" s="18">
        <f t="shared" si="3"/>
        <v>140286066.60985824</v>
      </c>
      <c r="O121" s="4"/>
    </row>
    <row r="122" spans="1:15" ht="15" x14ac:dyDescent="0.2">
      <c r="A122" s="17" t="s">
        <v>117</v>
      </c>
      <c r="B122" s="16">
        <v>337734616.17999995</v>
      </c>
      <c r="C122" s="16">
        <v>0</v>
      </c>
      <c r="D122" s="16">
        <v>2972004.3200000003</v>
      </c>
      <c r="E122" s="16">
        <v>0</v>
      </c>
      <c r="F122" s="16">
        <v>8788437.3599999994</v>
      </c>
      <c r="G122" s="16">
        <v>3478306.4292469621</v>
      </c>
      <c r="H122" s="16">
        <v>17372349.559999999</v>
      </c>
      <c r="I122" s="16">
        <v>17835475.949999999</v>
      </c>
      <c r="J122" s="16">
        <v>20465668.74000001</v>
      </c>
      <c r="K122" s="16">
        <v>0</v>
      </c>
      <c r="L122" s="16">
        <v>0</v>
      </c>
      <c r="M122" s="16">
        <v>0</v>
      </c>
      <c r="N122" s="18">
        <f t="shared" si="3"/>
        <v>408646858.53924692</v>
      </c>
      <c r="O122" s="4"/>
    </row>
    <row r="123" spans="1:15" ht="15" x14ac:dyDescent="0.2">
      <c r="A123" s="17" t="s">
        <v>118</v>
      </c>
      <c r="B123" s="16">
        <v>847547478.18000007</v>
      </c>
      <c r="C123" s="16">
        <v>0</v>
      </c>
      <c r="D123" s="16">
        <v>8660345.7400000002</v>
      </c>
      <c r="E123" s="16">
        <v>0</v>
      </c>
      <c r="F123" s="16">
        <v>12216692.15</v>
      </c>
      <c r="G123" s="16">
        <v>8671582.0641591661</v>
      </c>
      <c r="H123" s="16">
        <v>43596037.700000003</v>
      </c>
      <c r="I123" s="16">
        <v>24792862.48</v>
      </c>
      <c r="J123" s="16">
        <v>27074506.190000013</v>
      </c>
      <c r="K123" s="16">
        <v>0</v>
      </c>
      <c r="L123" s="16">
        <v>0</v>
      </c>
      <c r="M123" s="16">
        <v>0</v>
      </c>
      <c r="N123" s="18">
        <f t="shared" si="3"/>
        <v>972559504.50415933</v>
      </c>
      <c r="O123" s="4"/>
    </row>
    <row r="124" spans="1:15" ht="15" x14ac:dyDescent="0.2">
      <c r="A124" s="17" t="s">
        <v>119</v>
      </c>
      <c r="B124" s="16">
        <v>646992917.55999994</v>
      </c>
      <c r="C124" s="16">
        <v>0</v>
      </c>
      <c r="D124" s="16">
        <v>3387508.0499999993</v>
      </c>
      <c r="E124" s="16">
        <v>0</v>
      </c>
      <c r="F124" s="16">
        <v>15644182.720000001</v>
      </c>
      <c r="G124" s="16">
        <v>0</v>
      </c>
      <c r="H124" s="16">
        <v>33279938.120000001</v>
      </c>
      <c r="I124" s="16">
        <v>31748698.109999999</v>
      </c>
      <c r="J124" s="16">
        <v>37887284.589999996</v>
      </c>
      <c r="K124" s="16">
        <v>0</v>
      </c>
      <c r="L124" s="16">
        <v>0</v>
      </c>
      <c r="M124" s="16">
        <v>0</v>
      </c>
      <c r="N124" s="18">
        <f t="shared" si="3"/>
        <v>768940529.14999998</v>
      </c>
      <c r="O124" s="4"/>
    </row>
    <row r="125" spans="1:15" ht="15" x14ac:dyDescent="0.2">
      <c r="A125" s="17" t="s">
        <v>120</v>
      </c>
      <c r="B125" s="16">
        <v>225977983.97000003</v>
      </c>
      <c r="C125" s="16">
        <v>0</v>
      </c>
      <c r="D125" s="16">
        <v>20032863.593895815</v>
      </c>
      <c r="E125" s="16">
        <v>0</v>
      </c>
      <c r="F125" s="16">
        <v>6083127.0800000001</v>
      </c>
      <c r="G125" s="16">
        <v>2339814.21</v>
      </c>
      <c r="H125" s="16">
        <v>11623826.35</v>
      </c>
      <c r="I125" s="16">
        <v>12345251.18</v>
      </c>
      <c r="J125" s="16">
        <v>23662234.059999991</v>
      </c>
      <c r="K125" s="16">
        <v>0</v>
      </c>
      <c r="L125" s="16">
        <v>0</v>
      </c>
      <c r="M125" s="16">
        <v>0</v>
      </c>
      <c r="N125" s="18">
        <f t="shared" si="3"/>
        <v>302065100.44389588</v>
      </c>
      <c r="O125" s="4"/>
    </row>
    <row r="126" spans="1:15" ht="15" x14ac:dyDescent="0.2">
      <c r="A126" s="17" t="s">
        <v>121</v>
      </c>
      <c r="B126" s="16">
        <v>272739638.05999994</v>
      </c>
      <c r="C126" s="16">
        <v>0</v>
      </c>
      <c r="D126" s="16">
        <v>18540729.932636689</v>
      </c>
      <c r="E126" s="16">
        <v>0</v>
      </c>
      <c r="F126" s="16">
        <v>3045384.6</v>
      </c>
      <c r="G126" s="16">
        <v>947963.31</v>
      </c>
      <c r="H126" s="16">
        <v>14029146.279999999</v>
      </c>
      <c r="I126" s="16">
        <v>6180380.1500000004</v>
      </c>
      <c r="J126" s="16">
        <v>15383808.279999994</v>
      </c>
      <c r="K126" s="16">
        <v>0</v>
      </c>
      <c r="L126" s="16">
        <v>0</v>
      </c>
      <c r="M126" s="16">
        <v>0</v>
      </c>
      <c r="N126" s="18">
        <f t="shared" si="3"/>
        <v>330867050.61263657</v>
      </c>
      <c r="O126" s="4"/>
    </row>
    <row r="127" spans="1:15" ht="15" x14ac:dyDescent="0.2">
      <c r="A127" s="17" t="s">
        <v>122</v>
      </c>
      <c r="B127" s="16">
        <v>133362941.00999999</v>
      </c>
      <c r="C127" s="16">
        <v>0</v>
      </c>
      <c r="D127" s="16">
        <v>6621500.0961139845</v>
      </c>
      <c r="E127" s="16">
        <v>0</v>
      </c>
      <c r="F127" s="16">
        <v>3232616.52</v>
      </c>
      <c r="G127" s="16">
        <v>955486.83</v>
      </c>
      <c r="H127" s="16">
        <v>6859905.7400000002</v>
      </c>
      <c r="I127" s="16">
        <v>6560353.3300000001</v>
      </c>
      <c r="J127" s="16">
        <v>17115031.089999996</v>
      </c>
      <c r="K127" s="16">
        <v>0</v>
      </c>
      <c r="L127" s="16">
        <v>0</v>
      </c>
      <c r="M127" s="16">
        <v>0</v>
      </c>
      <c r="N127" s="18">
        <f t="shared" si="3"/>
        <v>174707834.61611402</v>
      </c>
      <c r="O127" s="4"/>
    </row>
    <row r="128" spans="1:15" ht="15" x14ac:dyDescent="0.2">
      <c r="A128" s="17" t="s">
        <v>123</v>
      </c>
      <c r="B128" s="16">
        <v>74501753.930000007</v>
      </c>
      <c r="C128" s="16">
        <v>0</v>
      </c>
      <c r="D128" s="16">
        <v>7833496.1458575269</v>
      </c>
      <c r="E128" s="16">
        <v>0</v>
      </c>
      <c r="F128" s="16">
        <v>295750.02</v>
      </c>
      <c r="G128" s="16">
        <v>163009.56</v>
      </c>
      <c r="H128" s="16">
        <v>3832211.6</v>
      </c>
      <c r="I128" s="16">
        <v>600202.54</v>
      </c>
      <c r="J128" s="16">
        <v>3726200.7700000009</v>
      </c>
      <c r="K128" s="16">
        <v>0</v>
      </c>
      <c r="L128" s="16">
        <v>0</v>
      </c>
      <c r="M128" s="16">
        <v>0</v>
      </c>
      <c r="N128" s="18">
        <f t="shared" si="3"/>
        <v>90952624.56585753</v>
      </c>
      <c r="O128" s="4"/>
    </row>
    <row r="129" spans="1:15" ht="15" x14ac:dyDescent="0.2">
      <c r="A129" s="17" t="s">
        <v>124</v>
      </c>
      <c r="B129" s="16">
        <v>418370161.22000003</v>
      </c>
      <c r="C129" s="16">
        <v>0</v>
      </c>
      <c r="D129" s="16">
        <v>63103387.247073583</v>
      </c>
      <c r="E129" s="16">
        <v>0</v>
      </c>
      <c r="F129" s="16">
        <v>3761451.19</v>
      </c>
      <c r="G129" s="16">
        <v>1988716.69</v>
      </c>
      <c r="H129" s="16">
        <v>21520070.309999999</v>
      </c>
      <c r="I129" s="16">
        <v>7633583.71</v>
      </c>
      <c r="J129" s="16">
        <v>24052647.769999996</v>
      </c>
      <c r="K129" s="16">
        <v>0</v>
      </c>
      <c r="L129" s="16">
        <v>0</v>
      </c>
      <c r="M129" s="16">
        <v>0</v>
      </c>
      <c r="N129" s="18">
        <f t="shared" si="3"/>
        <v>540430018.13707364</v>
      </c>
      <c r="O129" s="4"/>
    </row>
    <row r="130" spans="1:15" ht="15" x14ac:dyDescent="0.2">
      <c r="A130" s="17" t="s">
        <v>125</v>
      </c>
      <c r="B130" s="16">
        <v>125540656.94000001</v>
      </c>
      <c r="C130" s="16">
        <v>0</v>
      </c>
      <c r="D130" s="16">
        <v>19771563.22068657</v>
      </c>
      <c r="E130" s="16">
        <v>0</v>
      </c>
      <c r="F130" s="16">
        <v>465405.07</v>
      </c>
      <c r="G130" s="16">
        <v>147962.53</v>
      </c>
      <c r="H130" s="16">
        <v>6457544.0999999996</v>
      </c>
      <c r="I130" s="16">
        <v>944504.77</v>
      </c>
      <c r="J130" s="16">
        <v>6325416.1599999992</v>
      </c>
      <c r="K130" s="16">
        <v>0</v>
      </c>
      <c r="L130" s="16">
        <v>0</v>
      </c>
      <c r="M130" s="16">
        <v>0</v>
      </c>
      <c r="N130" s="18">
        <f t="shared" si="3"/>
        <v>159653052.79068658</v>
      </c>
      <c r="O130" s="4"/>
    </row>
    <row r="131" spans="1:15" ht="15" x14ac:dyDescent="0.2">
      <c r="A131" s="17" t="s">
        <v>126</v>
      </c>
      <c r="B131" s="16">
        <v>662949576.80999994</v>
      </c>
      <c r="C131" s="16">
        <v>0</v>
      </c>
      <c r="D131" s="16">
        <v>12580812.285000002</v>
      </c>
      <c r="E131" s="16">
        <v>0</v>
      </c>
      <c r="F131" s="16">
        <v>20550423.41</v>
      </c>
      <c r="G131" s="16">
        <v>1713231.3528073616</v>
      </c>
      <c r="H131" s="16">
        <v>34100714.700000003</v>
      </c>
      <c r="I131" s="16">
        <v>41705546.420000002</v>
      </c>
      <c r="J131" s="16">
        <v>51226210.079999998</v>
      </c>
      <c r="K131" s="16">
        <v>0</v>
      </c>
      <c r="L131" s="16">
        <v>0</v>
      </c>
      <c r="M131" s="16">
        <v>0</v>
      </c>
      <c r="N131" s="18">
        <f t="shared" si="3"/>
        <v>824826515.05780733</v>
      </c>
      <c r="O131" s="4"/>
    </row>
    <row r="132" spans="1:15" ht="15" x14ac:dyDescent="0.2">
      <c r="A132" s="17" t="s">
        <v>127</v>
      </c>
      <c r="B132" s="16">
        <v>28128213.159999996</v>
      </c>
      <c r="C132" s="16">
        <v>0</v>
      </c>
      <c r="D132" s="16">
        <v>2096295.1376927912</v>
      </c>
      <c r="E132" s="16">
        <v>0</v>
      </c>
      <c r="F132" s="16">
        <v>87884.37</v>
      </c>
      <c r="G132" s="16">
        <v>27586.23</v>
      </c>
      <c r="H132" s="16">
        <v>1446855.4</v>
      </c>
      <c r="I132" s="16">
        <v>178354.76</v>
      </c>
      <c r="J132" s="16">
        <v>1819356.4000000006</v>
      </c>
      <c r="K132" s="16">
        <v>0</v>
      </c>
      <c r="L132" s="16">
        <v>0</v>
      </c>
      <c r="M132" s="16">
        <v>0</v>
      </c>
      <c r="N132" s="18">
        <f t="shared" si="3"/>
        <v>33784545.457692787</v>
      </c>
      <c r="O132" s="4"/>
    </row>
    <row r="133" spans="1:15" ht="15" x14ac:dyDescent="0.2">
      <c r="A133" s="17" t="s">
        <v>128</v>
      </c>
      <c r="B133" s="16">
        <v>160390832.99999997</v>
      </c>
      <c r="C133" s="16">
        <v>0</v>
      </c>
      <c r="D133" s="16">
        <v>12758663.70262868</v>
      </c>
      <c r="E133" s="16">
        <v>0</v>
      </c>
      <c r="F133" s="16">
        <v>317912.15999999997</v>
      </c>
      <c r="G133" s="16">
        <v>203135</v>
      </c>
      <c r="H133" s="16">
        <v>8250162.9500000002</v>
      </c>
      <c r="I133" s="16">
        <v>645178.96</v>
      </c>
      <c r="J133" s="16">
        <v>6624682.8799999971</v>
      </c>
      <c r="K133" s="16">
        <v>0</v>
      </c>
      <c r="L133" s="16">
        <v>0</v>
      </c>
      <c r="M133" s="16">
        <v>0</v>
      </c>
      <c r="N133" s="18">
        <f t="shared" si="3"/>
        <v>189190568.65262863</v>
      </c>
      <c r="O133" s="4"/>
    </row>
    <row r="134" spans="1:15" ht="15" x14ac:dyDescent="0.2">
      <c r="A134" s="17" t="s">
        <v>129</v>
      </c>
      <c r="B134" s="16">
        <v>308318026.75</v>
      </c>
      <c r="C134" s="16">
        <v>0</v>
      </c>
      <c r="D134" s="16">
        <v>41115108.716115773</v>
      </c>
      <c r="E134" s="16">
        <v>0</v>
      </c>
      <c r="F134" s="16">
        <v>1483335.38</v>
      </c>
      <c r="G134" s="16">
        <v>689655.85</v>
      </c>
      <c r="H134" s="16">
        <v>15859222.84</v>
      </c>
      <c r="I134" s="16">
        <v>3010318.16</v>
      </c>
      <c r="J134" s="16">
        <v>14743413.660000004</v>
      </c>
      <c r="K134" s="16">
        <v>0</v>
      </c>
      <c r="L134" s="16">
        <v>0</v>
      </c>
      <c r="M134" s="16">
        <v>0</v>
      </c>
      <c r="N134" s="18">
        <f t="shared" si="3"/>
        <v>385219081.35611582</v>
      </c>
      <c r="O134" s="4"/>
    </row>
    <row r="135" spans="1:15" ht="15" x14ac:dyDescent="0.2">
      <c r="A135" s="17" t="s">
        <v>130</v>
      </c>
      <c r="B135" s="16">
        <v>256694953.12</v>
      </c>
      <c r="C135" s="16">
        <v>0</v>
      </c>
      <c r="D135" s="16">
        <v>50074163.911645614</v>
      </c>
      <c r="E135" s="16">
        <v>0</v>
      </c>
      <c r="F135" s="16">
        <v>2233027.2999999998</v>
      </c>
      <c r="G135" s="16">
        <v>917869.24</v>
      </c>
      <c r="H135" s="16">
        <v>13203841.84</v>
      </c>
      <c r="I135" s="16">
        <v>4531761.8</v>
      </c>
      <c r="J135" s="16">
        <v>15824960.540000001</v>
      </c>
      <c r="K135" s="16">
        <v>0</v>
      </c>
      <c r="L135" s="16">
        <v>0</v>
      </c>
      <c r="M135" s="16">
        <v>0</v>
      </c>
      <c r="N135" s="18">
        <f t="shared" si="3"/>
        <v>343480577.75164562</v>
      </c>
      <c r="O135" s="4"/>
    </row>
    <row r="136" spans="1:15" ht="15" x14ac:dyDescent="0.2">
      <c r="A136" s="17" t="s">
        <v>131</v>
      </c>
      <c r="B136" s="16">
        <v>436431435.01000005</v>
      </c>
      <c r="C136" s="16">
        <v>0</v>
      </c>
      <c r="D136" s="16">
        <v>3983079.7800000003</v>
      </c>
      <c r="E136" s="16">
        <v>0</v>
      </c>
      <c r="F136" s="16">
        <v>13285824.66</v>
      </c>
      <c r="G136" s="16">
        <v>6374913.5694664298</v>
      </c>
      <c r="H136" s="16">
        <v>22449103.780000001</v>
      </c>
      <c r="I136" s="16">
        <v>26962586.91</v>
      </c>
      <c r="J136" s="16">
        <v>37010790.839999996</v>
      </c>
      <c r="K136" s="16">
        <v>0</v>
      </c>
      <c r="L136" s="16">
        <v>0</v>
      </c>
      <c r="M136" s="16">
        <v>0</v>
      </c>
      <c r="N136" s="18">
        <f t="shared" ref="N136:N142" si="4">SUM(B136:M136)</f>
        <v>546497734.54946649</v>
      </c>
      <c r="O136" s="4"/>
    </row>
    <row r="137" spans="1:15" ht="15" x14ac:dyDescent="0.2">
      <c r="A137" s="17" t="s">
        <v>132</v>
      </c>
      <c r="B137" s="16">
        <v>71848979.319999993</v>
      </c>
      <c r="C137" s="16">
        <v>0</v>
      </c>
      <c r="D137" s="16">
        <v>5703909.5346094407</v>
      </c>
      <c r="E137" s="16">
        <v>0</v>
      </c>
      <c r="F137" s="16">
        <v>158956.07999999999</v>
      </c>
      <c r="G137" s="16">
        <v>140439.01</v>
      </c>
      <c r="H137" s="16">
        <v>3695758.52</v>
      </c>
      <c r="I137" s="16">
        <v>322589.48</v>
      </c>
      <c r="J137" s="16">
        <v>3449747.5400000005</v>
      </c>
      <c r="K137" s="16">
        <v>0</v>
      </c>
      <c r="L137" s="16">
        <v>0</v>
      </c>
      <c r="M137" s="16">
        <v>0</v>
      </c>
      <c r="N137" s="18">
        <f t="shared" si="4"/>
        <v>85320379.48460944</v>
      </c>
      <c r="O137" s="4"/>
    </row>
    <row r="138" spans="1:15" ht="15" x14ac:dyDescent="0.2">
      <c r="A138" s="17" t="s">
        <v>133</v>
      </c>
      <c r="B138" s="16">
        <v>155389372.58000001</v>
      </c>
      <c r="C138" s="16">
        <v>0</v>
      </c>
      <c r="D138" s="16">
        <v>33602085.397120237</v>
      </c>
      <c r="E138" s="16">
        <v>0</v>
      </c>
      <c r="F138" s="16">
        <v>1383987.83</v>
      </c>
      <c r="G138" s="16">
        <v>574295.23</v>
      </c>
      <c r="H138" s="16">
        <v>7992898.4800000004</v>
      </c>
      <c r="I138" s="16">
        <v>2808699.73</v>
      </c>
      <c r="J138" s="16">
        <v>12736571.529999996</v>
      </c>
      <c r="K138" s="16">
        <v>0</v>
      </c>
      <c r="L138" s="16">
        <v>0</v>
      </c>
      <c r="M138" s="16">
        <v>0</v>
      </c>
      <c r="N138" s="18">
        <f t="shared" si="4"/>
        <v>214487910.77712023</v>
      </c>
      <c r="O138" s="4"/>
    </row>
    <row r="139" spans="1:15" ht="15" x14ac:dyDescent="0.2">
      <c r="A139" s="17" t="s">
        <v>134</v>
      </c>
      <c r="B139" s="16">
        <v>684867976.80999994</v>
      </c>
      <c r="C139" s="16">
        <v>0</v>
      </c>
      <c r="D139" s="16">
        <v>6302014.7400000002</v>
      </c>
      <c r="E139" s="16">
        <v>0</v>
      </c>
      <c r="F139" s="16">
        <v>7117870.0499999998</v>
      </c>
      <c r="G139" s="16">
        <v>5950317.8791294796</v>
      </c>
      <c r="H139" s="16">
        <v>35228150.530000001</v>
      </c>
      <c r="I139" s="16">
        <v>14445184.630000001</v>
      </c>
      <c r="J139" s="16">
        <v>23131737.530000012</v>
      </c>
      <c r="K139" s="16">
        <v>0</v>
      </c>
      <c r="L139" s="16">
        <v>0</v>
      </c>
      <c r="M139" s="16">
        <v>0</v>
      </c>
      <c r="N139" s="18">
        <f t="shared" si="4"/>
        <v>777043252.16912937</v>
      </c>
      <c r="O139" s="4"/>
    </row>
    <row r="140" spans="1:15" ht="15" x14ac:dyDescent="0.2">
      <c r="A140" s="17" t="s">
        <v>135</v>
      </c>
      <c r="B140" s="16">
        <v>192936336.04000002</v>
      </c>
      <c r="C140" s="16">
        <v>0</v>
      </c>
      <c r="D140" s="16">
        <v>1176227.9100000001</v>
      </c>
      <c r="E140" s="16">
        <v>0</v>
      </c>
      <c r="F140" s="16">
        <v>1173829.54</v>
      </c>
      <c r="G140" s="16">
        <v>509091.41</v>
      </c>
      <c r="H140" s="16">
        <v>9924234.3300000001</v>
      </c>
      <c r="I140" s="16">
        <v>2382199.2200000002</v>
      </c>
      <c r="J140" s="16">
        <v>6068279.0900000008</v>
      </c>
      <c r="K140" s="16">
        <v>0</v>
      </c>
      <c r="L140" s="16">
        <v>0</v>
      </c>
      <c r="M140" s="16">
        <v>0</v>
      </c>
      <c r="N140" s="18">
        <f t="shared" si="4"/>
        <v>214170197.54000002</v>
      </c>
      <c r="O140" s="4"/>
    </row>
    <row r="141" spans="1:15" ht="15" x14ac:dyDescent="0.2">
      <c r="A141" s="17" t="s">
        <v>136</v>
      </c>
      <c r="B141" s="16">
        <v>233996325.29000002</v>
      </c>
      <c r="C141" s="16">
        <v>0</v>
      </c>
      <c r="D141" s="16">
        <v>15718677.249072146</v>
      </c>
      <c r="E141" s="16">
        <v>0</v>
      </c>
      <c r="F141" s="16">
        <v>1692729.45</v>
      </c>
      <c r="G141" s="16">
        <v>496552.21</v>
      </c>
      <c r="H141" s="16">
        <v>12036272.76</v>
      </c>
      <c r="I141" s="16">
        <v>3435267.76</v>
      </c>
      <c r="J141" s="16">
        <v>15863216.470000006</v>
      </c>
      <c r="K141" s="16">
        <v>0</v>
      </c>
      <c r="L141" s="16">
        <v>0</v>
      </c>
      <c r="M141" s="16">
        <v>0</v>
      </c>
      <c r="N141" s="18">
        <f t="shared" si="4"/>
        <v>283239041.18907213</v>
      </c>
      <c r="O141" s="4"/>
    </row>
    <row r="142" spans="1:15" ht="15" x14ac:dyDescent="0.2">
      <c r="A142" s="17" t="s">
        <v>137</v>
      </c>
      <c r="B142" s="16">
        <v>221380641.58999997</v>
      </c>
      <c r="C142" s="16">
        <v>0</v>
      </c>
      <c r="D142" s="16">
        <v>17731909.498403382</v>
      </c>
      <c r="E142" s="16">
        <v>0</v>
      </c>
      <c r="F142" s="16">
        <v>7277590.3499999996</v>
      </c>
      <c r="G142" s="16">
        <v>1833230.64</v>
      </c>
      <c r="H142" s="16">
        <v>11387348.85</v>
      </c>
      <c r="I142" s="16">
        <v>14769325</v>
      </c>
      <c r="J142" s="16">
        <v>21536831.169999998</v>
      </c>
      <c r="K142" s="16">
        <v>0</v>
      </c>
      <c r="L142" s="16">
        <v>0</v>
      </c>
      <c r="M142" s="16">
        <v>0</v>
      </c>
      <c r="N142" s="18">
        <f t="shared" si="4"/>
        <v>295916877.09840333</v>
      </c>
      <c r="O142" s="4"/>
    </row>
    <row r="143" spans="1:15" ht="24.75" customHeight="1" x14ac:dyDescent="0.2">
      <c r="A143" s="19" t="s">
        <v>138</v>
      </c>
      <c r="B143" s="20">
        <f t="shared" ref="B143:I143" si="5">SUM(B8:B142)</f>
        <v>40011683134.309982</v>
      </c>
      <c r="C143" s="20"/>
      <c r="D143" s="20">
        <f t="shared" si="5"/>
        <v>2319918617.103466</v>
      </c>
      <c r="E143" s="20">
        <f t="shared" si="5"/>
        <v>0</v>
      </c>
      <c r="F143" s="20">
        <f t="shared" si="5"/>
        <v>764211944.90000021</v>
      </c>
      <c r="G143" s="20">
        <f t="shared" si="5"/>
        <v>250783945.39999995</v>
      </c>
      <c r="H143" s="20">
        <f t="shared" si="5"/>
        <v>2058115789.0899999</v>
      </c>
      <c r="I143" s="20">
        <f t="shared" si="5"/>
        <v>1550910952.3800008</v>
      </c>
      <c r="J143" s="20">
        <f t="shared" ref="J143:N143" si="6">SUM(J8:J142)</f>
        <v>2690281235.1800008</v>
      </c>
      <c r="K143" s="20">
        <f t="shared" si="6"/>
        <v>0</v>
      </c>
      <c r="L143" s="20">
        <f t="shared" si="6"/>
        <v>0</v>
      </c>
      <c r="M143" s="20">
        <f t="shared" si="6"/>
        <v>0</v>
      </c>
      <c r="N143" s="20">
        <f t="shared" si="6"/>
        <v>49645905618.36348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155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170421562.67999998</v>
      </c>
      <c r="C8" s="16">
        <v>0</v>
      </c>
      <c r="D8" s="16">
        <v>6175580.9064121777</v>
      </c>
      <c r="E8" s="16">
        <v>4024186.6100000003</v>
      </c>
      <c r="F8" s="16">
        <v>535011.25262171996</v>
      </c>
      <c r="G8" s="16">
        <v>257834.68</v>
      </c>
      <c r="H8" s="16">
        <v>8997786.5800000001</v>
      </c>
      <c r="I8" s="16">
        <v>1320366.93</v>
      </c>
      <c r="J8" s="16">
        <v>9398272.370000001</v>
      </c>
      <c r="K8" s="16">
        <v>0</v>
      </c>
      <c r="L8" s="16">
        <v>0</v>
      </c>
      <c r="M8" s="16">
        <v>4.09</v>
      </c>
      <c r="N8" s="18">
        <f t="shared" ref="N8:N39" si="0">SUM(B8:M8)</f>
        <v>201130606.09903392</v>
      </c>
      <c r="O8" s="4"/>
    </row>
    <row r="9" spans="1:15" ht="18" customHeight="1" x14ac:dyDescent="0.2">
      <c r="A9" s="17" t="s">
        <v>4</v>
      </c>
      <c r="B9" s="16">
        <v>96194822.659999996</v>
      </c>
      <c r="C9" s="16">
        <v>0</v>
      </c>
      <c r="D9" s="16">
        <v>4194162.7428524476</v>
      </c>
      <c r="E9" s="16">
        <v>2264200.5100000002</v>
      </c>
      <c r="F9" s="16">
        <v>374840.18196105602</v>
      </c>
      <c r="G9" s="16">
        <v>182140.09</v>
      </c>
      <c r="H9" s="16">
        <v>5078820.26</v>
      </c>
      <c r="I9" s="16">
        <v>925076.96</v>
      </c>
      <c r="J9" s="16">
        <v>7146375.1800000016</v>
      </c>
      <c r="K9" s="16">
        <v>0</v>
      </c>
      <c r="L9" s="16">
        <v>0</v>
      </c>
      <c r="M9" s="16">
        <v>2.86</v>
      </c>
      <c r="N9" s="18">
        <f t="shared" si="0"/>
        <v>116360441.44481352</v>
      </c>
      <c r="O9" s="4"/>
    </row>
    <row r="10" spans="1:15" ht="18" customHeight="1" x14ac:dyDescent="0.2">
      <c r="A10" s="17" t="s">
        <v>5</v>
      </c>
      <c r="B10" s="16">
        <v>81622221.639999986</v>
      </c>
      <c r="C10" s="16">
        <v>0</v>
      </c>
      <c r="D10" s="16">
        <v>2358564.7669440908</v>
      </c>
      <c r="E10" s="16">
        <v>1928424.8299999998</v>
      </c>
      <c r="F10" s="16">
        <v>261856.43917137597</v>
      </c>
      <c r="G10" s="16">
        <v>160850.99</v>
      </c>
      <c r="H10" s="16">
        <v>4309427.28</v>
      </c>
      <c r="I10" s="16">
        <v>646241.69999999995</v>
      </c>
      <c r="J10" s="16">
        <v>4150575.6699999995</v>
      </c>
      <c r="K10" s="16">
        <v>0</v>
      </c>
      <c r="L10" s="16">
        <v>0</v>
      </c>
      <c r="M10" s="16">
        <v>2</v>
      </c>
      <c r="N10" s="18">
        <f t="shared" si="0"/>
        <v>95438165.316115454</v>
      </c>
      <c r="O10" s="4"/>
    </row>
    <row r="11" spans="1:15" ht="18" customHeight="1" x14ac:dyDescent="0.2">
      <c r="A11" s="17" t="s">
        <v>6</v>
      </c>
      <c r="B11" s="16">
        <v>876333681.50999987</v>
      </c>
      <c r="C11" s="16">
        <v>0</v>
      </c>
      <c r="D11" s="16">
        <v>5098291.2923974087</v>
      </c>
      <c r="E11" s="16">
        <v>20654798.330000002</v>
      </c>
      <c r="F11" s="16">
        <v>28106367.544562157</v>
      </c>
      <c r="G11" s="16">
        <v>14660048.864809861</v>
      </c>
      <c r="H11" s="16">
        <v>46267991.630000003</v>
      </c>
      <c r="I11" s="16">
        <v>69364369.769999996</v>
      </c>
      <c r="J11" s="16">
        <v>80076316.10999997</v>
      </c>
      <c r="K11" s="16">
        <v>0</v>
      </c>
      <c r="L11" s="16">
        <v>0</v>
      </c>
      <c r="M11" s="16">
        <v>214.91</v>
      </c>
      <c r="N11" s="18">
        <f t="shared" si="0"/>
        <v>1140562079.9617693</v>
      </c>
      <c r="O11" s="4"/>
    </row>
    <row r="12" spans="1:15" ht="18" customHeight="1" x14ac:dyDescent="0.2">
      <c r="A12" s="17" t="s">
        <v>7</v>
      </c>
      <c r="B12" s="16">
        <v>119765603.04000001</v>
      </c>
      <c r="C12" s="16">
        <v>0</v>
      </c>
      <c r="D12" s="16">
        <v>3076007.8610489904</v>
      </c>
      <c r="E12" s="16">
        <v>2820208.34</v>
      </c>
      <c r="F12" s="16">
        <v>961026.42396398413</v>
      </c>
      <c r="G12" s="16">
        <v>439974.77</v>
      </c>
      <c r="H12" s="16">
        <v>6323292.1900000004</v>
      </c>
      <c r="I12" s="16">
        <v>2371739.86</v>
      </c>
      <c r="J12" s="16">
        <v>8212244.8700000029</v>
      </c>
      <c r="K12" s="16">
        <v>0</v>
      </c>
      <c r="L12" s="16">
        <v>0</v>
      </c>
      <c r="M12" s="16">
        <v>7.34</v>
      </c>
      <c r="N12" s="18">
        <f t="shared" si="0"/>
        <v>143970104.69501299</v>
      </c>
      <c r="O12" s="4"/>
    </row>
    <row r="13" spans="1:15" ht="18" customHeight="1" x14ac:dyDescent="0.2">
      <c r="A13" s="17" t="s">
        <v>8</v>
      </c>
      <c r="B13" s="16">
        <v>515858539.04999995</v>
      </c>
      <c r="C13" s="16">
        <v>0</v>
      </c>
      <c r="D13" s="16">
        <v>5295178.6060265955</v>
      </c>
      <c r="E13" s="16">
        <v>12170728.160000002</v>
      </c>
      <c r="F13" s="16">
        <v>13667709.826292761</v>
      </c>
      <c r="G13" s="16">
        <v>0</v>
      </c>
      <c r="H13" s="16">
        <v>27235902.34</v>
      </c>
      <c r="I13" s="16">
        <v>33730864.609999999</v>
      </c>
      <c r="J13" s="16">
        <v>60585169.049999975</v>
      </c>
      <c r="K13" s="16">
        <v>0</v>
      </c>
      <c r="L13" s="16">
        <v>0</v>
      </c>
      <c r="M13" s="16">
        <v>104.51</v>
      </c>
      <c r="N13" s="18">
        <f t="shared" si="0"/>
        <v>668544196.15231931</v>
      </c>
      <c r="O13" s="4"/>
    </row>
    <row r="14" spans="1:15" ht="18" customHeight="1" x14ac:dyDescent="0.2">
      <c r="A14" s="17" t="s">
        <v>9</v>
      </c>
      <c r="B14" s="16">
        <v>183630428.61000001</v>
      </c>
      <c r="C14" s="16">
        <v>0</v>
      </c>
      <c r="D14" s="16">
        <v>7473314.0188087877</v>
      </c>
      <c r="E14" s="16">
        <v>4323685.2299999995</v>
      </c>
      <c r="F14" s="16">
        <v>622075.19559494394</v>
      </c>
      <c r="G14" s="16">
        <v>307509.25</v>
      </c>
      <c r="H14" s="16">
        <v>9695178.1199999992</v>
      </c>
      <c r="I14" s="16">
        <v>1535234.1</v>
      </c>
      <c r="J14" s="16">
        <v>12477923.639999999</v>
      </c>
      <c r="K14" s="16">
        <v>0</v>
      </c>
      <c r="L14" s="16">
        <v>0</v>
      </c>
      <c r="M14" s="16">
        <v>4.75</v>
      </c>
      <c r="N14" s="18">
        <f t="shared" si="0"/>
        <v>220065352.91440371</v>
      </c>
      <c r="O14" s="4"/>
    </row>
    <row r="15" spans="1:15" ht="18" customHeight="1" x14ac:dyDescent="0.2">
      <c r="A15" s="17" t="s">
        <v>10</v>
      </c>
      <c r="B15" s="16">
        <v>298946382.61000001</v>
      </c>
      <c r="C15" s="16">
        <v>0</v>
      </c>
      <c r="D15" s="16">
        <v>9045249.779515272</v>
      </c>
      <c r="E15" s="16">
        <v>7043826.0799999991</v>
      </c>
      <c r="F15" s="16">
        <v>2317495.947691848</v>
      </c>
      <c r="G15" s="16">
        <v>988760.51</v>
      </c>
      <c r="H15" s="16">
        <v>15783541.16</v>
      </c>
      <c r="I15" s="16">
        <v>5719403.1100000003</v>
      </c>
      <c r="J15" s="16">
        <v>20193777.660000011</v>
      </c>
      <c r="K15" s="16">
        <v>0</v>
      </c>
      <c r="L15" s="16">
        <v>0</v>
      </c>
      <c r="M15" s="16">
        <v>17.72</v>
      </c>
      <c r="N15" s="18">
        <f t="shared" si="0"/>
        <v>360038454.57720721</v>
      </c>
      <c r="O15" s="4"/>
    </row>
    <row r="16" spans="1:15" ht="18" customHeight="1" x14ac:dyDescent="0.2">
      <c r="A16" s="17" t="s">
        <v>11</v>
      </c>
      <c r="B16" s="16">
        <v>555349175.34000003</v>
      </c>
      <c r="C16" s="16">
        <v>0</v>
      </c>
      <c r="D16" s="16">
        <v>10946074.361050589</v>
      </c>
      <c r="E16" s="16">
        <v>13125879.77</v>
      </c>
      <c r="F16" s="16">
        <v>8643256.3234105185</v>
      </c>
      <c r="G16" s="16">
        <v>4565329.5999999996</v>
      </c>
      <c r="H16" s="16">
        <v>29320898.579999998</v>
      </c>
      <c r="I16" s="16">
        <v>21330896.879999999</v>
      </c>
      <c r="J16" s="16">
        <v>49897778.910000011</v>
      </c>
      <c r="K16" s="16">
        <v>0</v>
      </c>
      <c r="L16" s="16">
        <v>0</v>
      </c>
      <c r="M16" s="16">
        <v>66.09</v>
      </c>
      <c r="N16" s="18">
        <f t="shared" si="0"/>
        <v>693179355.85446119</v>
      </c>
      <c r="O16" s="4"/>
    </row>
    <row r="17" spans="1:15" ht="15" x14ac:dyDescent="0.2">
      <c r="A17" s="17" t="s">
        <v>12</v>
      </c>
      <c r="B17" s="16">
        <v>202108832.76999998</v>
      </c>
      <c r="C17" s="16">
        <v>0</v>
      </c>
      <c r="D17" s="16">
        <v>7445869.2369068526</v>
      </c>
      <c r="E17" s="16">
        <v>4757167.88</v>
      </c>
      <c r="F17" s="16">
        <v>1775173.982301384</v>
      </c>
      <c r="G17" s="16">
        <v>662327.61</v>
      </c>
      <c r="H17" s="16">
        <v>10670786.689999999</v>
      </c>
      <c r="I17" s="16">
        <v>4380993.8899999997</v>
      </c>
      <c r="J17" s="16">
        <v>13666983.959999997</v>
      </c>
      <c r="K17" s="16">
        <v>0</v>
      </c>
      <c r="L17" s="16">
        <v>0</v>
      </c>
      <c r="M17" s="16">
        <v>13.57</v>
      </c>
      <c r="N17" s="18">
        <f t="shared" si="0"/>
        <v>245468149.58920822</v>
      </c>
      <c r="O17" s="4"/>
    </row>
    <row r="18" spans="1:15" ht="15" x14ac:dyDescent="0.2">
      <c r="A18" s="17" t="s">
        <v>13</v>
      </c>
      <c r="B18" s="16">
        <v>117318296.01000001</v>
      </c>
      <c r="C18" s="16">
        <v>0</v>
      </c>
      <c r="D18" s="16">
        <v>3618584.6017389083</v>
      </c>
      <c r="E18" s="16">
        <v>2771600.4699999997</v>
      </c>
      <c r="F18" s="16">
        <v>1196298.4530671998</v>
      </c>
      <c r="G18" s="16">
        <v>496745.71</v>
      </c>
      <c r="H18" s="16">
        <v>6194081.1600000001</v>
      </c>
      <c r="I18" s="16">
        <v>2952373.27</v>
      </c>
      <c r="J18" s="16">
        <v>10907872.709999997</v>
      </c>
      <c r="K18" s="16">
        <v>0</v>
      </c>
      <c r="L18" s="16">
        <v>0</v>
      </c>
      <c r="M18" s="16">
        <v>9.14</v>
      </c>
      <c r="N18" s="18">
        <f t="shared" si="0"/>
        <v>145455861.52480611</v>
      </c>
      <c r="O18" s="4"/>
    </row>
    <row r="19" spans="1:15" ht="15" x14ac:dyDescent="0.2">
      <c r="A19" s="17" t="s">
        <v>14</v>
      </c>
      <c r="B19" s="16">
        <v>205029945.05000001</v>
      </c>
      <c r="C19" s="16">
        <v>0</v>
      </c>
      <c r="D19" s="16">
        <v>6069857.7040155688</v>
      </c>
      <c r="E19" s="16">
        <v>4827471.78</v>
      </c>
      <c r="F19" s="16">
        <v>483171.652988808</v>
      </c>
      <c r="G19" s="16">
        <v>307509.25</v>
      </c>
      <c r="H19" s="16">
        <v>10825013.33</v>
      </c>
      <c r="I19" s="16">
        <v>1192430.76</v>
      </c>
      <c r="J19" s="16">
        <v>9587414.5599999987</v>
      </c>
      <c r="K19" s="16">
        <v>0</v>
      </c>
      <c r="L19" s="16">
        <v>0</v>
      </c>
      <c r="M19" s="16">
        <v>3.69</v>
      </c>
      <c r="N19" s="18">
        <f t="shared" si="0"/>
        <v>238322817.77700442</v>
      </c>
      <c r="O19" s="4"/>
    </row>
    <row r="20" spans="1:15" ht="15" x14ac:dyDescent="0.2">
      <c r="A20" s="17" t="s">
        <v>15</v>
      </c>
      <c r="B20" s="16">
        <v>693234738.69000006</v>
      </c>
      <c r="C20" s="16">
        <v>0</v>
      </c>
      <c r="D20" s="16">
        <v>3204381.2826108169</v>
      </c>
      <c r="E20" s="16">
        <v>16346859.49</v>
      </c>
      <c r="F20" s="16">
        <v>15421616.280539615</v>
      </c>
      <c r="G20" s="16">
        <v>7507044.4159380337</v>
      </c>
      <c r="H20" s="16">
        <v>36600874.490000002</v>
      </c>
      <c r="I20" s="16">
        <v>38059371.859999999</v>
      </c>
      <c r="J20" s="16">
        <v>54360450.059999987</v>
      </c>
      <c r="K20" s="16">
        <v>0</v>
      </c>
      <c r="L20" s="16">
        <v>0</v>
      </c>
      <c r="M20" s="16">
        <v>117.92</v>
      </c>
      <c r="N20" s="18">
        <f t="shared" si="0"/>
        <v>864735454.48908842</v>
      </c>
      <c r="O20" s="4"/>
    </row>
    <row r="21" spans="1:15" ht="15" x14ac:dyDescent="0.2">
      <c r="A21" s="17" t="s">
        <v>16</v>
      </c>
      <c r="B21" s="16">
        <v>300186516.34000003</v>
      </c>
      <c r="C21" s="16">
        <v>0</v>
      </c>
      <c r="D21" s="16">
        <v>7377335.3645648453</v>
      </c>
      <c r="E21" s="16">
        <v>7079774.4299999997</v>
      </c>
      <c r="F21" s="16">
        <v>4100645.2530136798</v>
      </c>
      <c r="G21" s="16">
        <v>973346.74347026763</v>
      </c>
      <c r="H21" s="16">
        <v>15849016.789999999</v>
      </c>
      <c r="I21" s="16">
        <v>10120079.49</v>
      </c>
      <c r="J21" s="16">
        <v>17652651.239999995</v>
      </c>
      <c r="K21" s="16">
        <v>0</v>
      </c>
      <c r="L21" s="16">
        <v>0</v>
      </c>
      <c r="M21" s="16">
        <v>31.35</v>
      </c>
      <c r="N21" s="18">
        <f t="shared" si="0"/>
        <v>363339397.00104886</v>
      </c>
      <c r="O21" s="4"/>
    </row>
    <row r="22" spans="1:15" ht="15" x14ac:dyDescent="0.2">
      <c r="A22" s="17" t="s">
        <v>17</v>
      </c>
      <c r="B22" s="16">
        <v>223561909.77999997</v>
      </c>
      <c r="C22" s="16">
        <v>0</v>
      </c>
      <c r="D22" s="16">
        <v>5237510.3641338069</v>
      </c>
      <c r="E22" s="16">
        <v>5316953.75</v>
      </c>
      <c r="F22" s="16">
        <v>976312.45975317596</v>
      </c>
      <c r="G22" s="16">
        <v>518034.81</v>
      </c>
      <c r="H22" s="16">
        <v>11803449.75</v>
      </c>
      <c r="I22" s="16">
        <v>2409464.63</v>
      </c>
      <c r="J22" s="16">
        <v>13616583.75</v>
      </c>
      <c r="K22" s="16">
        <v>0</v>
      </c>
      <c r="L22" s="16">
        <v>0</v>
      </c>
      <c r="M22" s="16">
        <v>7.46</v>
      </c>
      <c r="N22" s="18">
        <f t="shared" si="0"/>
        <v>263440226.75388697</v>
      </c>
      <c r="O22" s="4"/>
    </row>
    <row r="23" spans="1:15" ht="15" x14ac:dyDescent="0.2">
      <c r="A23" s="17" t="s">
        <v>18</v>
      </c>
      <c r="B23" s="16">
        <v>229156931.59</v>
      </c>
      <c r="C23" s="16">
        <v>0</v>
      </c>
      <c r="D23" s="16">
        <v>4524595.6926240725</v>
      </c>
      <c r="E23" s="16">
        <v>5403844.1099999994</v>
      </c>
      <c r="F23" s="16">
        <v>935771.23439923208</v>
      </c>
      <c r="G23" s="16">
        <v>626845.77</v>
      </c>
      <c r="H23" s="16">
        <v>12098851.41</v>
      </c>
      <c r="I23" s="16">
        <v>2309411.98</v>
      </c>
      <c r="J23" s="16">
        <v>11001061.25</v>
      </c>
      <c r="K23" s="16">
        <v>0</v>
      </c>
      <c r="L23" s="16">
        <v>0</v>
      </c>
      <c r="M23" s="16">
        <v>7.15</v>
      </c>
      <c r="N23" s="18">
        <f t="shared" si="0"/>
        <v>266057320.18702331</v>
      </c>
      <c r="O23" s="4"/>
    </row>
    <row r="24" spans="1:15" ht="15" x14ac:dyDescent="0.2">
      <c r="A24" s="17" t="s">
        <v>19</v>
      </c>
      <c r="B24" s="16">
        <v>70407457.75999999</v>
      </c>
      <c r="C24" s="16">
        <v>0</v>
      </c>
      <c r="D24" s="16">
        <v>3063563.472412263</v>
      </c>
      <c r="E24" s="16">
        <v>1663565.2200000002</v>
      </c>
      <c r="F24" s="16">
        <v>972989.40849465597</v>
      </c>
      <c r="G24" s="16">
        <v>238600.17780015565</v>
      </c>
      <c r="H24" s="16">
        <v>3717318.8</v>
      </c>
      <c r="I24" s="16">
        <v>2401263.59</v>
      </c>
      <c r="J24" s="16">
        <v>9405676.1499999985</v>
      </c>
      <c r="K24" s="16">
        <v>0</v>
      </c>
      <c r="L24" s="16">
        <v>0</v>
      </c>
      <c r="M24" s="16">
        <v>7.44</v>
      </c>
      <c r="N24" s="18">
        <f t="shared" si="0"/>
        <v>91870442.018707037</v>
      </c>
      <c r="O24" s="4"/>
    </row>
    <row r="25" spans="1:15" ht="15" x14ac:dyDescent="0.2">
      <c r="A25" s="17" t="s">
        <v>20</v>
      </c>
      <c r="B25" s="16">
        <v>327634259.54000002</v>
      </c>
      <c r="C25" s="16">
        <v>0</v>
      </c>
      <c r="D25" s="16">
        <v>12326809.758439772</v>
      </c>
      <c r="E25" s="16">
        <v>7713243.2299999995</v>
      </c>
      <c r="F25" s="16">
        <v>4315314.3643140718</v>
      </c>
      <c r="G25" s="16">
        <v>1431100.73</v>
      </c>
      <c r="H25" s="16">
        <v>17298181.620000001</v>
      </c>
      <c r="I25" s="16">
        <v>10649866.470000001</v>
      </c>
      <c r="J25" s="16">
        <v>21915237.75</v>
      </c>
      <c r="K25" s="16">
        <v>0</v>
      </c>
      <c r="L25" s="16">
        <v>0</v>
      </c>
      <c r="M25" s="16">
        <v>32.99</v>
      </c>
      <c r="N25" s="18">
        <f t="shared" si="0"/>
        <v>403284046.45275396</v>
      </c>
      <c r="O25" s="4"/>
    </row>
    <row r="26" spans="1:15" ht="15" x14ac:dyDescent="0.2">
      <c r="A26" s="17" t="s">
        <v>21</v>
      </c>
      <c r="B26" s="16">
        <v>115703238.17999999</v>
      </c>
      <c r="C26" s="16">
        <v>0</v>
      </c>
      <c r="D26" s="16">
        <v>3460469.4674040368</v>
      </c>
      <c r="E26" s="16">
        <v>2782063.53</v>
      </c>
      <c r="F26" s="16">
        <v>1962594.0732819119</v>
      </c>
      <c r="G26" s="16">
        <v>785331.31</v>
      </c>
      <c r="H26" s="16">
        <v>6108810.5700000003</v>
      </c>
      <c r="I26" s="16">
        <v>4843532.37</v>
      </c>
      <c r="J26" s="16">
        <v>14983546.830000004</v>
      </c>
      <c r="K26" s="16">
        <v>0</v>
      </c>
      <c r="L26" s="16">
        <v>0</v>
      </c>
      <c r="M26" s="16">
        <v>15</v>
      </c>
      <c r="N26" s="18">
        <f t="shared" si="0"/>
        <v>150629601.33068597</v>
      </c>
      <c r="O26" s="4"/>
    </row>
    <row r="27" spans="1:15" ht="15" x14ac:dyDescent="0.2">
      <c r="A27" s="17" t="s">
        <v>22</v>
      </c>
      <c r="B27" s="16">
        <v>62595851.479999997</v>
      </c>
      <c r="C27" s="16">
        <v>0</v>
      </c>
      <c r="D27" s="16">
        <v>1409331.2239560396</v>
      </c>
      <c r="E27" s="16">
        <v>1489323.31</v>
      </c>
      <c r="F27" s="16">
        <v>487823.92475073604</v>
      </c>
      <c r="G27" s="16">
        <v>219987.39</v>
      </c>
      <c r="H27" s="16">
        <v>3304887.62</v>
      </c>
      <c r="I27" s="16">
        <v>1203912.21</v>
      </c>
      <c r="J27" s="16">
        <v>4354347.4899999993</v>
      </c>
      <c r="K27" s="16">
        <v>0</v>
      </c>
      <c r="L27" s="16">
        <v>0</v>
      </c>
      <c r="M27" s="16">
        <v>3.73</v>
      </c>
      <c r="N27" s="18">
        <f t="shared" si="0"/>
        <v>75065468.378706768</v>
      </c>
      <c r="O27" s="4"/>
    </row>
    <row r="28" spans="1:15" ht="15" x14ac:dyDescent="0.2">
      <c r="A28" s="17" t="s">
        <v>23</v>
      </c>
      <c r="B28" s="16">
        <v>206109396.96000001</v>
      </c>
      <c r="C28" s="16">
        <v>0</v>
      </c>
      <c r="D28" s="16">
        <v>4711450.8787805643</v>
      </c>
      <c r="E28" s="16">
        <v>4871984.2400000012</v>
      </c>
      <c r="F28" s="16">
        <v>671920.96447274403</v>
      </c>
      <c r="G28" s="16">
        <v>335894.72</v>
      </c>
      <c r="H28" s="16">
        <v>10882005.4</v>
      </c>
      <c r="I28" s="16">
        <v>1658249.65</v>
      </c>
      <c r="J28" s="16">
        <v>8907025.4700000007</v>
      </c>
      <c r="K28" s="16">
        <v>0</v>
      </c>
      <c r="L28" s="16">
        <v>0</v>
      </c>
      <c r="M28" s="16">
        <v>5.13</v>
      </c>
      <c r="N28" s="18">
        <f t="shared" si="0"/>
        <v>238147933.41325334</v>
      </c>
      <c r="O28" s="4"/>
    </row>
    <row r="29" spans="1:15" ht="15" x14ac:dyDescent="0.2">
      <c r="A29" s="17" t="s">
        <v>24</v>
      </c>
      <c r="B29" s="16">
        <v>130980366.95</v>
      </c>
      <c r="C29" s="16">
        <v>0</v>
      </c>
      <c r="D29" s="16">
        <v>4792600.7534596538</v>
      </c>
      <c r="E29" s="16">
        <v>3094235.96</v>
      </c>
      <c r="F29" s="16">
        <v>419369.06882522407</v>
      </c>
      <c r="G29" s="16">
        <v>175043.73</v>
      </c>
      <c r="H29" s="16">
        <v>6915400.6699999999</v>
      </c>
      <c r="I29" s="16">
        <v>1034970.85</v>
      </c>
      <c r="J29" s="16">
        <v>7781299.8999999976</v>
      </c>
      <c r="K29" s="16">
        <v>0</v>
      </c>
      <c r="L29" s="16">
        <v>0</v>
      </c>
      <c r="M29" s="16">
        <v>3.2</v>
      </c>
      <c r="N29" s="18">
        <f t="shared" si="0"/>
        <v>155193291.08228484</v>
      </c>
      <c r="O29" s="4"/>
    </row>
    <row r="30" spans="1:15" ht="15" x14ac:dyDescent="0.2">
      <c r="A30" s="17" t="s">
        <v>25</v>
      </c>
      <c r="B30" s="16">
        <v>41571259.149999999</v>
      </c>
      <c r="C30" s="16">
        <v>0</v>
      </c>
      <c r="D30" s="16">
        <v>2067126.1687996411</v>
      </c>
      <c r="E30" s="16">
        <v>978489.91999999993</v>
      </c>
      <c r="F30" s="16">
        <v>362212.58717868</v>
      </c>
      <c r="G30" s="16">
        <v>222352.84</v>
      </c>
      <c r="H30" s="16">
        <v>2194847.37</v>
      </c>
      <c r="I30" s="16">
        <v>893913.02</v>
      </c>
      <c r="J30" s="16">
        <v>5877863.6799999978</v>
      </c>
      <c r="K30" s="16">
        <v>0</v>
      </c>
      <c r="L30" s="16">
        <v>0</v>
      </c>
      <c r="M30" s="16">
        <v>2.76</v>
      </c>
      <c r="N30" s="18">
        <f t="shared" si="0"/>
        <v>54168067.495978318</v>
      </c>
      <c r="O30" s="4"/>
    </row>
    <row r="31" spans="1:15" ht="15" x14ac:dyDescent="0.2">
      <c r="A31" s="17" t="s">
        <v>26</v>
      </c>
      <c r="B31" s="16">
        <v>76241442.189999998</v>
      </c>
      <c r="C31" s="16">
        <v>0</v>
      </c>
      <c r="D31" s="16">
        <v>1844255.3244969866</v>
      </c>
      <c r="E31" s="16">
        <v>1794544.7499999998</v>
      </c>
      <c r="F31" s="16">
        <v>432661.27385930403</v>
      </c>
      <c r="G31" s="16">
        <v>125369.15</v>
      </c>
      <c r="H31" s="16">
        <v>4025337.02</v>
      </c>
      <c r="I31" s="16">
        <v>1067775</v>
      </c>
      <c r="J31" s="16">
        <v>4201808.5200000014</v>
      </c>
      <c r="K31" s="16">
        <v>0</v>
      </c>
      <c r="L31" s="16">
        <v>0</v>
      </c>
      <c r="M31" s="16">
        <v>3.3</v>
      </c>
      <c r="N31" s="18">
        <f t="shared" si="0"/>
        <v>89733196.528356284</v>
      </c>
      <c r="O31" s="4"/>
    </row>
    <row r="32" spans="1:15" ht="15" x14ac:dyDescent="0.2">
      <c r="A32" s="17" t="s">
        <v>27</v>
      </c>
      <c r="B32" s="16">
        <v>349128537.01999998</v>
      </c>
      <c r="C32" s="16">
        <v>0</v>
      </c>
      <c r="D32" s="16">
        <v>5676269.0557271671</v>
      </c>
      <c r="E32" s="16">
        <v>8229515.9600000009</v>
      </c>
      <c r="F32" s="16">
        <v>1276051.68327168</v>
      </c>
      <c r="G32" s="16">
        <v>738022.2</v>
      </c>
      <c r="H32" s="16">
        <v>18433019.949999999</v>
      </c>
      <c r="I32" s="16">
        <v>3149198.15</v>
      </c>
      <c r="J32" s="16">
        <v>13045856.24</v>
      </c>
      <c r="K32" s="16">
        <v>0</v>
      </c>
      <c r="L32" s="16">
        <v>0</v>
      </c>
      <c r="M32" s="16">
        <v>9.75</v>
      </c>
      <c r="N32" s="18">
        <f t="shared" si="0"/>
        <v>399676480.00899881</v>
      </c>
      <c r="O32" s="4"/>
    </row>
    <row r="33" spans="1:15" ht="15" x14ac:dyDescent="0.2">
      <c r="A33" s="17" t="s">
        <v>28</v>
      </c>
      <c r="B33" s="16">
        <v>223978034.37</v>
      </c>
      <c r="C33" s="16">
        <v>0</v>
      </c>
      <c r="D33" s="16">
        <v>6907194.8812574903</v>
      </c>
      <c r="E33" s="16">
        <v>5283880.4400000004</v>
      </c>
      <c r="F33" s="16">
        <v>936435.84465093596</v>
      </c>
      <c r="G33" s="16">
        <v>553516.65</v>
      </c>
      <c r="H33" s="16">
        <v>11825419.98</v>
      </c>
      <c r="I33" s="16">
        <v>2311052.19</v>
      </c>
      <c r="J33" s="16">
        <v>12802001.940000003</v>
      </c>
      <c r="K33" s="16">
        <v>0</v>
      </c>
      <c r="L33" s="16">
        <v>0</v>
      </c>
      <c r="M33" s="16">
        <v>7.16</v>
      </c>
      <c r="N33" s="18">
        <f t="shared" si="0"/>
        <v>264597543.45590842</v>
      </c>
      <c r="O33" s="4"/>
    </row>
    <row r="34" spans="1:15" ht="15" x14ac:dyDescent="0.2">
      <c r="A34" s="17" t="s">
        <v>29</v>
      </c>
      <c r="B34" s="16">
        <v>297220083.55000001</v>
      </c>
      <c r="C34" s="16">
        <v>0</v>
      </c>
      <c r="D34" s="16">
        <v>4878320.249717135</v>
      </c>
      <c r="E34" s="16">
        <v>7042705.8000000007</v>
      </c>
      <c r="F34" s="16">
        <v>1361786.405741496</v>
      </c>
      <c r="G34" s="16">
        <v>972202.31</v>
      </c>
      <c r="H34" s="16">
        <v>15692397.35</v>
      </c>
      <c r="I34" s="16">
        <v>3360784.91</v>
      </c>
      <c r="J34" s="16">
        <v>16457525.060000001</v>
      </c>
      <c r="K34" s="16">
        <v>0</v>
      </c>
      <c r="L34" s="16">
        <v>0</v>
      </c>
      <c r="M34" s="16">
        <v>10.41</v>
      </c>
      <c r="N34" s="18">
        <f t="shared" si="0"/>
        <v>346985816.04545873</v>
      </c>
      <c r="O34" s="4"/>
    </row>
    <row r="35" spans="1:15" ht="15" x14ac:dyDescent="0.2">
      <c r="A35" s="17" t="s">
        <v>30</v>
      </c>
      <c r="B35" s="16">
        <v>149244528.71000001</v>
      </c>
      <c r="C35" s="16">
        <v>0</v>
      </c>
      <c r="D35" s="16">
        <v>2659848.6172228465</v>
      </c>
      <c r="E35" s="16">
        <v>3523241.6500000004</v>
      </c>
      <c r="F35" s="16">
        <v>851365.73243282398</v>
      </c>
      <c r="G35" s="16">
        <v>376107.46</v>
      </c>
      <c r="H35" s="16">
        <v>7879697.8300000001</v>
      </c>
      <c r="I35" s="16">
        <v>2101105.64</v>
      </c>
      <c r="J35" s="16">
        <v>6009142.4299999988</v>
      </c>
      <c r="K35" s="16">
        <v>0</v>
      </c>
      <c r="L35" s="16">
        <v>0</v>
      </c>
      <c r="M35" s="16">
        <v>6.51</v>
      </c>
      <c r="N35" s="18">
        <f t="shared" si="0"/>
        <v>172645044.57965568</v>
      </c>
      <c r="O35" s="4"/>
    </row>
    <row r="36" spans="1:15" ht="15" x14ac:dyDescent="0.2">
      <c r="A36" s="17" t="s">
        <v>31</v>
      </c>
      <c r="B36" s="16">
        <v>162531675.54000002</v>
      </c>
      <c r="C36" s="16">
        <v>0</v>
      </c>
      <c r="D36" s="16">
        <v>3905875.4165966772</v>
      </c>
      <c r="E36" s="16">
        <v>3828454.6600000006</v>
      </c>
      <c r="F36" s="16">
        <v>535675.86287342396</v>
      </c>
      <c r="G36" s="16">
        <v>238911.03</v>
      </c>
      <c r="H36" s="16">
        <v>8581222.3900000006</v>
      </c>
      <c r="I36" s="16">
        <v>1322007.1399999999</v>
      </c>
      <c r="J36" s="16">
        <v>6358257.3600000013</v>
      </c>
      <c r="K36" s="16">
        <v>0</v>
      </c>
      <c r="L36" s="16">
        <v>0</v>
      </c>
      <c r="M36" s="16">
        <v>4.09</v>
      </c>
      <c r="N36" s="18">
        <f t="shared" si="0"/>
        <v>187302083.48947015</v>
      </c>
      <c r="O36" s="4"/>
    </row>
    <row r="37" spans="1:15" ht="15" x14ac:dyDescent="0.2">
      <c r="A37" s="17" t="s">
        <v>32</v>
      </c>
      <c r="B37" s="16">
        <v>177887085.17999998</v>
      </c>
      <c r="C37" s="16">
        <v>0</v>
      </c>
      <c r="D37" s="16">
        <v>4891993.2542794701</v>
      </c>
      <c r="E37" s="16">
        <v>4187044.77</v>
      </c>
      <c r="F37" s="16">
        <v>993592.32629748003</v>
      </c>
      <c r="G37" s="16">
        <v>347722</v>
      </c>
      <c r="H37" s="16">
        <v>9391945.4900000002</v>
      </c>
      <c r="I37" s="16">
        <v>2452110.02</v>
      </c>
      <c r="J37" s="16">
        <v>9972032.9000000041</v>
      </c>
      <c r="K37" s="16">
        <v>0</v>
      </c>
      <c r="L37" s="16">
        <v>0</v>
      </c>
      <c r="M37" s="16">
        <v>7.59</v>
      </c>
      <c r="N37" s="18">
        <f t="shared" si="0"/>
        <v>210123533.53057697</v>
      </c>
      <c r="O37" s="4"/>
    </row>
    <row r="38" spans="1:15" ht="15" x14ac:dyDescent="0.2">
      <c r="A38" s="17" t="s">
        <v>33</v>
      </c>
      <c r="B38" s="16">
        <v>161299781.91</v>
      </c>
      <c r="C38" s="16">
        <v>0</v>
      </c>
      <c r="D38" s="16">
        <v>1005340.0705252939</v>
      </c>
      <c r="E38" s="16">
        <v>3810023.3399999994</v>
      </c>
      <c r="F38" s="16">
        <v>887919.29627654399</v>
      </c>
      <c r="G38" s="16">
        <v>941451.39</v>
      </c>
      <c r="H38" s="16">
        <v>8516181.8200000003</v>
      </c>
      <c r="I38" s="16">
        <v>2191317.0499999998</v>
      </c>
      <c r="J38" s="16">
        <v>16745743.349999994</v>
      </c>
      <c r="K38" s="16">
        <v>0</v>
      </c>
      <c r="L38" s="16">
        <v>0</v>
      </c>
      <c r="M38" s="16">
        <v>6.78</v>
      </c>
      <c r="N38" s="18">
        <f t="shared" si="0"/>
        <v>195397765.00680181</v>
      </c>
      <c r="O38" s="4"/>
    </row>
    <row r="39" spans="1:15" ht="15" x14ac:dyDescent="0.2">
      <c r="A39" s="17" t="s">
        <v>34</v>
      </c>
      <c r="B39" s="16">
        <v>276961819.72999996</v>
      </c>
      <c r="C39" s="16">
        <v>0</v>
      </c>
      <c r="D39" s="16">
        <v>7346609.2281551957</v>
      </c>
      <c r="E39" s="16">
        <v>6524829.4400000004</v>
      </c>
      <c r="F39" s="16">
        <v>1131166.648400208</v>
      </c>
      <c r="G39" s="16">
        <v>579536.66</v>
      </c>
      <c r="H39" s="16">
        <v>14622817.119999999</v>
      </c>
      <c r="I39" s="16">
        <v>2791632.95</v>
      </c>
      <c r="J39" s="16">
        <v>14083715.730000006</v>
      </c>
      <c r="K39" s="16">
        <v>0</v>
      </c>
      <c r="L39" s="16">
        <v>0</v>
      </c>
      <c r="M39" s="16">
        <v>8.64</v>
      </c>
      <c r="N39" s="18">
        <f t="shared" si="0"/>
        <v>324042136.14655536</v>
      </c>
      <c r="O39" s="4"/>
    </row>
    <row r="40" spans="1:15" ht="15" x14ac:dyDescent="0.2">
      <c r="A40" s="17" t="s">
        <v>35</v>
      </c>
      <c r="B40" s="16">
        <v>180198430.72000003</v>
      </c>
      <c r="C40" s="16">
        <v>0</v>
      </c>
      <c r="D40" s="16">
        <v>5064755.9991893303</v>
      </c>
      <c r="E40" s="16">
        <v>4246419.26</v>
      </c>
      <c r="F40" s="16">
        <v>604130.71879893588</v>
      </c>
      <c r="G40" s="16">
        <v>255469.22</v>
      </c>
      <c r="H40" s="16">
        <v>9513978.1400000006</v>
      </c>
      <c r="I40" s="16">
        <v>1490948.5</v>
      </c>
      <c r="J40" s="16">
        <v>7687576.259999997</v>
      </c>
      <c r="K40" s="16">
        <v>0</v>
      </c>
      <c r="L40" s="16">
        <v>0</v>
      </c>
      <c r="M40" s="16">
        <v>4.6100000000000003</v>
      </c>
      <c r="N40" s="18">
        <f t="shared" ref="N40:N71" si="1">SUM(B40:M40)</f>
        <v>209061713.42798829</v>
      </c>
      <c r="O40" s="4"/>
    </row>
    <row r="41" spans="1:15" ht="15" x14ac:dyDescent="0.2">
      <c r="A41" s="17" t="s">
        <v>36</v>
      </c>
      <c r="B41" s="16">
        <v>194153024.88000003</v>
      </c>
      <c r="C41" s="16">
        <v>0</v>
      </c>
      <c r="D41" s="16">
        <v>2437700.9902605927</v>
      </c>
      <c r="E41" s="16">
        <v>4569906.84</v>
      </c>
      <c r="F41" s="16">
        <v>1022835.1773724561</v>
      </c>
      <c r="G41" s="16">
        <v>409223.85</v>
      </c>
      <c r="H41" s="16">
        <v>10250742.07</v>
      </c>
      <c r="I41" s="16">
        <v>2524279.15</v>
      </c>
      <c r="J41" s="16">
        <v>7955634.5300000021</v>
      </c>
      <c r="K41" s="16">
        <v>0</v>
      </c>
      <c r="L41" s="16">
        <v>0</v>
      </c>
      <c r="M41" s="16">
        <v>7.82</v>
      </c>
      <c r="N41" s="18">
        <f t="shared" si="1"/>
        <v>223323355.30763307</v>
      </c>
      <c r="O41" s="4"/>
    </row>
    <row r="42" spans="1:15" ht="15" x14ac:dyDescent="0.2">
      <c r="A42" s="17" t="s">
        <v>37</v>
      </c>
      <c r="B42" s="16">
        <v>114710307.2</v>
      </c>
      <c r="C42" s="16">
        <v>0</v>
      </c>
      <c r="D42" s="16">
        <v>700292.50016382604</v>
      </c>
      <c r="E42" s="16">
        <v>2723824.43</v>
      </c>
      <c r="F42" s="16">
        <v>2778070.8521227199</v>
      </c>
      <c r="G42" s="16">
        <v>0</v>
      </c>
      <c r="H42" s="16">
        <v>6056386.5700000003</v>
      </c>
      <c r="I42" s="16">
        <v>6856066.8200000003</v>
      </c>
      <c r="J42" s="16">
        <v>12732214.729999995</v>
      </c>
      <c r="K42" s="16">
        <v>0</v>
      </c>
      <c r="L42" s="16">
        <v>0</v>
      </c>
      <c r="M42" s="16">
        <v>21.24</v>
      </c>
      <c r="N42" s="18">
        <f t="shared" si="1"/>
        <v>146557184.34228656</v>
      </c>
      <c r="O42" s="4"/>
    </row>
    <row r="43" spans="1:15" ht="15" x14ac:dyDescent="0.2">
      <c r="A43" s="17" t="s">
        <v>38</v>
      </c>
      <c r="B43" s="16">
        <v>504454253.01999998</v>
      </c>
      <c r="C43" s="16">
        <v>0</v>
      </c>
      <c r="D43" s="16">
        <v>3755905.9671103139</v>
      </c>
      <c r="E43" s="16">
        <v>11881035.399999999</v>
      </c>
      <c r="F43" s="16">
        <v>11552255.395118928</v>
      </c>
      <c r="G43" s="16">
        <v>3233578.02</v>
      </c>
      <c r="H43" s="16">
        <v>26633787.620000001</v>
      </c>
      <c r="I43" s="16">
        <v>28510084.539999999</v>
      </c>
      <c r="J43" s="16">
        <v>40756414.229999997</v>
      </c>
      <c r="K43" s="16">
        <v>0</v>
      </c>
      <c r="L43" s="16">
        <v>0</v>
      </c>
      <c r="M43" s="16">
        <v>88.33</v>
      </c>
      <c r="N43" s="18">
        <f t="shared" si="1"/>
        <v>630777402.52222919</v>
      </c>
      <c r="O43" s="4"/>
    </row>
    <row r="44" spans="1:15" ht="15" x14ac:dyDescent="0.2">
      <c r="A44" s="17" t="s">
        <v>39</v>
      </c>
      <c r="B44" s="16">
        <v>596158226.19000006</v>
      </c>
      <c r="C44" s="16">
        <v>0</v>
      </c>
      <c r="D44" s="16">
        <v>4588895.6388501348</v>
      </c>
      <c r="E44" s="16">
        <v>14053900.229999999</v>
      </c>
      <c r="F44" s="16">
        <v>14535690.815018184</v>
      </c>
      <c r="G44" s="16">
        <v>5886966.3826498147</v>
      </c>
      <c r="H44" s="16">
        <v>31475503.460000001</v>
      </c>
      <c r="I44" s="16">
        <v>35872975.439999998</v>
      </c>
      <c r="J44" s="16">
        <v>51983994.299999982</v>
      </c>
      <c r="K44" s="16">
        <v>0</v>
      </c>
      <c r="L44" s="16">
        <v>0</v>
      </c>
      <c r="M44" s="16">
        <v>111.14</v>
      </c>
      <c r="N44" s="18">
        <f t="shared" si="1"/>
        <v>754556263.59651816</v>
      </c>
      <c r="O44" s="4"/>
    </row>
    <row r="45" spans="1:15" ht="15" x14ac:dyDescent="0.2">
      <c r="A45" s="17" t="s">
        <v>40</v>
      </c>
      <c r="B45" s="16">
        <v>172975990.91</v>
      </c>
      <c r="C45" s="16">
        <v>0</v>
      </c>
      <c r="D45" s="16">
        <v>2511572.9670268032</v>
      </c>
      <c r="E45" s="16">
        <v>4105333.54</v>
      </c>
      <c r="F45" s="16">
        <v>1082650.1000258159</v>
      </c>
      <c r="G45" s="16">
        <v>451802.05</v>
      </c>
      <c r="H45" s="16">
        <v>9132653.3200000003</v>
      </c>
      <c r="I45" s="16">
        <v>2671897.81</v>
      </c>
      <c r="J45" s="16">
        <v>7676723.0500000026</v>
      </c>
      <c r="K45" s="16">
        <v>0</v>
      </c>
      <c r="L45" s="16">
        <v>0</v>
      </c>
      <c r="M45" s="16">
        <v>8.27</v>
      </c>
      <c r="N45" s="18">
        <f t="shared" si="1"/>
        <v>200608632.01705262</v>
      </c>
      <c r="O45" s="4"/>
    </row>
    <row r="46" spans="1:15" ht="15" x14ac:dyDescent="0.2">
      <c r="A46" s="17" t="s">
        <v>41</v>
      </c>
      <c r="B46" s="16">
        <v>262619941.28</v>
      </c>
      <c r="C46" s="16">
        <v>0</v>
      </c>
      <c r="D46" s="16">
        <v>2013872.9988501349</v>
      </c>
      <c r="E46" s="16">
        <v>6181457.4500000011</v>
      </c>
      <c r="F46" s="16">
        <v>8539577.1241446957</v>
      </c>
      <c r="G46" s="16">
        <v>0</v>
      </c>
      <c r="H46" s="16">
        <v>13865605.65</v>
      </c>
      <c r="I46" s="16">
        <v>21075024.530000001</v>
      </c>
      <c r="J46" s="16">
        <v>33454496.679999992</v>
      </c>
      <c r="K46" s="16">
        <v>0</v>
      </c>
      <c r="L46" s="16">
        <v>0</v>
      </c>
      <c r="M46" s="16">
        <v>65.290000000000006</v>
      </c>
      <c r="N46" s="18">
        <f t="shared" si="1"/>
        <v>347750041.00299478</v>
      </c>
      <c r="O46" s="4"/>
    </row>
    <row r="47" spans="1:15" ht="15" x14ac:dyDescent="0.2">
      <c r="A47" s="17" t="s">
        <v>42</v>
      </c>
      <c r="B47" s="16">
        <v>790756216.06999993</v>
      </c>
      <c r="C47" s="16">
        <v>0</v>
      </c>
      <c r="D47" s="16">
        <v>3467865.1620193762</v>
      </c>
      <c r="E47" s="16">
        <v>18639387.629999999</v>
      </c>
      <c r="F47" s="16">
        <v>26621628.242255427</v>
      </c>
      <c r="G47" s="16">
        <v>6625246.3982194886</v>
      </c>
      <c r="H47" s="16">
        <v>41749738.439999998</v>
      </c>
      <c r="I47" s="16">
        <v>65700146.5</v>
      </c>
      <c r="J47" s="16">
        <v>79152102.540000007</v>
      </c>
      <c r="K47" s="16">
        <v>0</v>
      </c>
      <c r="L47" s="16">
        <v>0</v>
      </c>
      <c r="M47" s="16">
        <v>203.56</v>
      </c>
      <c r="N47" s="18">
        <f t="shared" si="1"/>
        <v>1032712534.5424941</v>
      </c>
      <c r="O47" s="4"/>
    </row>
    <row r="48" spans="1:15" ht="15" x14ac:dyDescent="0.2">
      <c r="A48" s="17" t="s">
        <v>43</v>
      </c>
      <c r="B48" s="16">
        <v>80884733.530000001</v>
      </c>
      <c r="C48" s="16">
        <v>0</v>
      </c>
      <c r="D48" s="16">
        <v>2244380.1984546245</v>
      </c>
      <c r="E48" s="16">
        <v>1909719.22</v>
      </c>
      <c r="F48" s="16">
        <v>231284.367592992</v>
      </c>
      <c r="G48" s="16">
        <v>134830.98000000001</v>
      </c>
      <c r="H48" s="16">
        <v>4270489.95</v>
      </c>
      <c r="I48" s="16">
        <v>570792.17000000004</v>
      </c>
      <c r="J48" s="16">
        <v>4297584.0599999987</v>
      </c>
      <c r="K48" s="16">
        <v>0</v>
      </c>
      <c r="L48" s="16">
        <v>0</v>
      </c>
      <c r="M48" s="16">
        <v>1.76</v>
      </c>
      <c r="N48" s="18">
        <f t="shared" si="1"/>
        <v>94543816.236047626</v>
      </c>
      <c r="O48" s="4"/>
    </row>
    <row r="49" spans="1:15" ht="15" x14ac:dyDescent="0.2">
      <c r="A49" s="17" t="s">
        <v>44</v>
      </c>
      <c r="B49" s="16">
        <v>141461762.73000002</v>
      </c>
      <c r="C49" s="16">
        <v>0</v>
      </c>
      <c r="D49" s="16">
        <v>3317176.217599282</v>
      </c>
      <c r="E49" s="16">
        <v>1817329.0899999999</v>
      </c>
      <c r="F49" s="16">
        <v>1365774.0672517198</v>
      </c>
      <c r="G49" s="16">
        <v>598460.31000000006</v>
      </c>
      <c r="H49" s="16">
        <v>7468789.3399999999</v>
      </c>
      <c r="I49" s="16">
        <v>3370626.15</v>
      </c>
      <c r="J49" s="16">
        <v>10066529.749999998</v>
      </c>
      <c r="K49" s="16">
        <v>0</v>
      </c>
      <c r="L49" s="16">
        <v>0</v>
      </c>
      <c r="M49" s="16">
        <v>10.44</v>
      </c>
      <c r="N49" s="18">
        <f t="shared" si="1"/>
        <v>169466458.09485102</v>
      </c>
      <c r="O49" s="4"/>
    </row>
    <row r="50" spans="1:15" ht="15" x14ac:dyDescent="0.2">
      <c r="A50" s="17" t="s">
        <v>45</v>
      </c>
      <c r="B50" s="16">
        <v>108126474.45000002</v>
      </c>
      <c r="C50" s="16">
        <v>0</v>
      </c>
      <c r="D50" s="16">
        <v>3164349.3260556175</v>
      </c>
      <c r="E50" s="16">
        <v>2550881.52</v>
      </c>
      <c r="F50" s="16">
        <v>382815.504981504</v>
      </c>
      <c r="G50" s="16">
        <v>167947.36</v>
      </c>
      <c r="H50" s="16">
        <v>5708778.4299999997</v>
      </c>
      <c r="I50" s="16">
        <v>944759.45</v>
      </c>
      <c r="J50" s="16">
        <v>7074090.240000003</v>
      </c>
      <c r="K50" s="16">
        <v>0</v>
      </c>
      <c r="L50" s="16">
        <v>0</v>
      </c>
      <c r="M50" s="16">
        <v>2.92</v>
      </c>
      <c r="N50" s="18">
        <f t="shared" si="1"/>
        <v>128120099.20103714</v>
      </c>
      <c r="O50" s="4"/>
    </row>
    <row r="51" spans="1:15" ht="15" x14ac:dyDescent="0.2">
      <c r="A51" s="17" t="s">
        <v>46</v>
      </c>
      <c r="B51" s="16">
        <v>104010548.98999999</v>
      </c>
      <c r="C51" s="16">
        <v>0</v>
      </c>
      <c r="D51" s="16">
        <v>3887434.3725099415</v>
      </c>
      <c r="E51" s="16">
        <v>2448269.2799999998</v>
      </c>
      <c r="F51" s="16">
        <v>477190.16072347201</v>
      </c>
      <c r="G51" s="16">
        <v>224718.3</v>
      </c>
      <c r="H51" s="16">
        <v>5491468.96</v>
      </c>
      <c r="I51" s="16">
        <v>1177668.8899999999</v>
      </c>
      <c r="J51" s="16">
        <v>4965662.9400000004</v>
      </c>
      <c r="K51" s="16">
        <v>0</v>
      </c>
      <c r="L51" s="16">
        <v>0</v>
      </c>
      <c r="M51" s="16">
        <v>3.64</v>
      </c>
      <c r="N51" s="18">
        <f t="shared" si="1"/>
        <v>122682965.5332334</v>
      </c>
      <c r="O51" s="4"/>
    </row>
    <row r="52" spans="1:15" ht="15" x14ac:dyDescent="0.2">
      <c r="A52" s="17" t="s">
        <v>47</v>
      </c>
      <c r="B52" s="16">
        <v>120354769.55000001</v>
      </c>
      <c r="C52" s="16">
        <v>0</v>
      </c>
      <c r="D52" s="16">
        <v>3448301.5570913516</v>
      </c>
      <c r="E52" s="16">
        <v>2840588.38</v>
      </c>
      <c r="F52" s="16">
        <v>439307.37637634407</v>
      </c>
      <c r="G52" s="16">
        <v>262565.59000000003</v>
      </c>
      <c r="H52" s="16">
        <v>6354398.5499999998</v>
      </c>
      <c r="I52" s="16">
        <v>1084177.07</v>
      </c>
      <c r="J52" s="16">
        <v>6914444.6699999981</v>
      </c>
      <c r="K52" s="16">
        <v>0</v>
      </c>
      <c r="L52" s="16">
        <v>0</v>
      </c>
      <c r="M52" s="16">
        <v>3.35</v>
      </c>
      <c r="N52" s="18">
        <f t="shared" si="1"/>
        <v>141698556.09346768</v>
      </c>
      <c r="O52" s="4"/>
    </row>
    <row r="53" spans="1:15" ht="15" x14ac:dyDescent="0.2">
      <c r="A53" s="17" t="s">
        <v>48</v>
      </c>
      <c r="B53" s="16">
        <v>43713682.850000001</v>
      </c>
      <c r="C53" s="16">
        <v>0</v>
      </c>
      <c r="D53" s="16">
        <v>2830888.1361697484</v>
      </c>
      <c r="E53" s="16">
        <v>1028917.55</v>
      </c>
      <c r="F53" s="16">
        <v>76430.178945959997</v>
      </c>
      <c r="G53" s="16">
        <v>42578.2</v>
      </c>
      <c r="H53" s="16">
        <v>2307961.41</v>
      </c>
      <c r="I53" s="16">
        <v>188623.85</v>
      </c>
      <c r="J53" s="16">
        <v>3298766.100000001</v>
      </c>
      <c r="K53" s="16">
        <v>0</v>
      </c>
      <c r="L53" s="16">
        <v>0</v>
      </c>
      <c r="M53" s="16">
        <v>0.57999999999999996</v>
      </c>
      <c r="N53" s="18">
        <f t="shared" si="1"/>
        <v>53487848.855115712</v>
      </c>
      <c r="O53" s="4"/>
    </row>
    <row r="54" spans="1:15" ht="15" x14ac:dyDescent="0.2">
      <c r="A54" s="17" t="s">
        <v>49</v>
      </c>
      <c r="B54" s="16">
        <v>146521178.64999998</v>
      </c>
      <c r="C54" s="16">
        <v>0</v>
      </c>
      <c r="D54" s="16">
        <v>4544751.2032626988</v>
      </c>
      <c r="E54" s="16">
        <v>3448764.8999999994</v>
      </c>
      <c r="F54" s="16">
        <v>262521.04942308</v>
      </c>
      <c r="G54" s="16">
        <v>163216.45000000001</v>
      </c>
      <c r="H54" s="16">
        <v>7735912.4900000002</v>
      </c>
      <c r="I54" s="16">
        <v>647881.91</v>
      </c>
      <c r="J54" s="16">
        <v>7556238.0700000012</v>
      </c>
      <c r="K54" s="16">
        <v>0</v>
      </c>
      <c r="L54" s="16">
        <v>0</v>
      </c>
      <c r="M54" s="16">
        <v>2</v>
      </c>
      <c r="N54" s="18">
        <f t="shared" si="1"/>
        <v>170880466.72268572</v>
      </c>
      <c r="O54" s="4"/>
    </row>
    <row r="55" spans="1:15" ht="15" x14ac:dyDescent="0.2">
      <c r="A55" s="17" t="s">
        <v>50</v>
      </c>
      <c r="B55" s="16">
        <v>63984306.810000002</v>
      </c>
      <c r="C55" s="16">
        <v>0</v>
      </c>
      <c r="D55" s="16">
        <v>1329480.0332329909</v>
      </c>
      <c r="E55" s="16">
        <v>1506040.51</v>
      </c>
      <c r="F55" s="16">
        <v>484500.87349221599</v>
      </c>
      <c r="G55" s="16">
        <v>224718.3</v>
      </c>
      <c r="H55" s="16">
        <v>3378194.22</v>
      </c>
      <c r="I55" s="16">
        <v>1195711.17</v>
      </c>
      <c r="J55" s="16">
        <v>5409958.6800000006</v>
      </c>
      <c r="K55" s="16">
        <v>0</v>
      </c>
      <c r="L55" s="16">
        <v>0</v>
      </c>
      <c r="M55" s="16">
        <v>3.7</v>
      </c>
      <c r="N55" s="18">
        <f t="shared" si="1"/>
        <v>77512914.296725214</v>
      </c>
      <c r="O55" s="4"/>
    </row>
    <row r="56" spans="1:15" ht="15" x14ac:dyDescent="0.2">
      <c r="A56" s="17" t="s">
        <v>51</v>
      </c>
      <c r="B56" s="16">
        <v>54372240.579999998</v>
      </c>
      <c r="C56" s="16">
        <v>0</v>
      </c>
      <c r="D56" s="16">
        <v>1298577.2159099546</v>
      </c>
      <c r="E56" s="16">
        <v>1279795.01</v>
      </c>
      <c r="F56" s="16">
        <v>136909.71185102398</v>
      </c>
      <c r="G56" s="16">
        <v>56770.94</v>
      </c>
      <c r="H56" s="16">
        <v>2870703.74</v>
      </c>
      <c r="I56" s="16">
        <v>337882.72</v>
      </c>
      <c r="J56" s="16">
        <v>4436207.16</v>
      </c>
      <c r="K56" s="16">
        <v>0</v>
      </c>
      <c r="L56" s="16">
        <v>0</v>
      </c>
      <c r="M56" s="16">
        <v>1.04</v>
      </c>
      <c r="N56" s="18">
        <f t="shared" si="1"/>
        <v>64789088.117760979</v>
      </c>
      <c r="O56" s="4"/>
    </row>
    <row r="57" spans="1:15" ht="15" x14ac:dyDescent="0.2">
      <c r="A57" s="17" t="s">
        <v>52</v>
      </c>
      <c r="B57" s="16">
        <v>131235809.75999999</v>
      </c>
      <c r="C57" s="16">
        <v>0</v>
      </c>
      <c r="D57" s="16">
        <v>3458383.7904236196</v>
      </c>
      <c r="E57" s="16">
        <v>3102248.62</v>
      </c>
      <c r="F57" s="16">
        <v>703157.64630283206</v>
      </c>
      <c r="G57" s="16">
        <v>298047.42</v>
      </c>
      <c r="H57" s="16">
        <v>6928887.3399999999</v>
      </c>
      <c r="I57" s="16">
        <v>1735339.4</v>
      </c>
      <c r="J57" s="16">
        <v>9297977.2100000009</v>
      </c>
      <c r="K57" s="16">
        <v>0</v>
      </c>
      <c r="L57" s="16">
        <v>0</v>
      </c>
      <c r="M57" s="16">
        <v>5.37</v>
      </c>
      <c r="N57" s="18">
        <f t="shared" si="1"/>
        <v>156759856.55672646</v>
      </c>
      <c r="O57" s="4"/>
    </row>
    <row r="58" spans="1:15" ht="15" x14ac:dyDescent="0.2">
      <c r="A58" s="17" t="s">
        <v>53</v>
      </c>
      <c r="B58" s="16">
        <v>113272411.31999999</v>
      </c>
      <c r="C58" s="16">
        <v>0</v>
      </c>
      <c r="D58" s="16">
        <v>1597184.5169936726</v>
      </c>
      <c r="E58" s="16">
        <v>2666166.8899999997</v>
      </c>
      <c r="F58" s="16">
        <v>409399.91504966398</v>
      </c>
      <c r="G58" s="16">
        <v>170312.81</v>
      </c>
      <c r="H58" s="16">
        <v>5980469.6500000004</v>
      </c>
      <c r="I58" s="16">
        <v>1010367.74</v>
      </c>
      <c r="J58" s="16">
        <v>5506804.5899999999</v>
      </c>
      <c r="K58" s="16">
        <v>0</v>
      </c>
      <c r="L58" s="16">
        <v>0</v>
      </c>
      <c r="M58" s="16">
        <v>3.13</v>
      </c>
      <c r="N58" s="18">
        <f t="shared" si="1"/>
        <v>130613120.56204332</v>
      </c>
      <c r="O58" s="4"/>
    </row>
    <row r="59" spans="1:15" ht="15" x14ac:dyDescent="0.2">
      <c r="A59" s="17" t="s">
        <v>54</v>
      </c>
      <c r="B59" s="16">
        <v>127049843.52000001</v>
      </c>
      <c r="C59" s="16">
        <v>0</v>
      </c>
      <c r="D59" s="16">
        <v>3242130.0128210285</v>
      </c>
      <c r="E59" s="16">
        <v>3001027.77</v>
      </c>
      <c r="F59" s="16">
        <v>398766.15102239995</v>
      </c>
      <c r="G59" s="16">
        <v>170312.81</v>
      </c>
      <c r="H59" s="16">
        <v>6707879.9199999999</v>
      </c>
      <c r="I59" s="16">
        <v>984124.42</v>
      </c>
      <c r="J59" s="16">
        <v>6122996.4599999981</v>
      </c>
      <c r="K59" s="16">
        <v>0</v>
      </c>
      <c r="L59" s="16">
        <v>0</v>
      </c>
      <c r="M59" s="16">
        <v>3.04</v>
      </c>
      <c r="N59" s="18">
        <f t="shared" si="1"/>
        <v>147677084.10384342</v>
      </c>
      <c r="O59" s="4"/>
    </row>
    <row r="60" spans="1:15" ht="15" x14ac:dyDescent="0.2">
      <c r="A60" s="17" t="s">
        <v>55</v>
      </c>
      <c r="B60" s="16">
        <v>923681244.61999989</v>
      </c>
      <c r="C60" s="16">
        <v>0</v>
      </c>
      <c r="D60" s="16">
        <v>22600936.404085822</v>
      </c>
      <c r="E60" s="16">
        <v>37904359.550000004</v>
      </c>
      <c r="F60" s="16">
        <v>21935461.357490521</v>
      </c>
      <c r="G60" s="16">
        <v>9371935.6999999993</v>
      </c>
      <c r="H60" s="16">
        <v>48767811.850000001</v>
      </c>
      <c r="I60" s="16">
        <v>54135044.32</v>
      </c>
      <c r="J60" s="16">
        <v>101593019.85999997</v>
      </c>
      <c r="K60" s="16">
        <v>0</v>
      </c>
      <c r="L60" s="16">
        <v>0</v>
      </c>
      <c r="M60" s="16">
        <v>167.73</v>
      </c>
      <c r="N60" s="18">
        <f t="shared" si="1"/>
        <v>1219989981.3915763</v>
      </c>
      <c r="O60" s="4"/>
    </row>
    <row r="61" spans="1:15" ht="15" x14ac:dyDescent="0.2">
      <c r="A61" s="17" t="s">
        <v>56</v>
      </c>
      <c r="B61" s="16">
        <v>136221064.88</v>
      </c>
      <c r="C61" s="16">
        <v>0</v>
      </c>
      <c r="D61" s="16">
        <v>1874002.0750082256</v>
      </c>
      <c r="E61" s="16">
        <v>3219674.16</v>
      </c>
      <c r="F61" s="16">
        <v>3915883.6030399674</v>
      </c>
      <c r="G61" s="16">
        <v>907219.02364432847</v>
      </c>
      <c r="H61" s="16">
        <v>7192095</v>
      </c>
      <c r="I61" s="16">
        <v>9664101.8399999999</v>
      </c>
      <c r="J61" s="16">
        <v>24644019.740000002</v>
      </c>
      <c r="K61" s="16">
        <v>0</v>
      </c>
      <c r="L61" s="16">
        <v>0</v>
      </c>
      <c r="M61" s="16">
        <v>29.94</v>
      </c>
      <c r="N61" s="18">
        <f t="shared" si="1"/>
        <v>187638090.26169252</v>
      </c>
      <c r="O61" s="4"/>
    </row>
    <row r="62" spans="1:15" ht="15" x14ac:dyDescent="0.2">
      <c r="A62" s="17" t="s">
        <v>57</v>
      </c>
      <c r="B62" s="16">
        <v>911469429.72000003</v>
      </c>
      <c r="C62" s="16">
        <v>0</v>
      </c>
      <c r="D62" s="16">
        <v>6968104.6400000006</v>
      </c>
      <c r="E62" s="16">
        <v>21844679.34</v>
      </c>
      <c r="F62" s="16">
        <v>17558338.239767976</v>
      </c>
      <c r="G62" s="16">
        <v>0</v>
      </c>
      <c r="H62" s="16">
        <v>48123061.840000004</v>
      </c>
      <c r="I62" s="16">
        <v>43332638.57</v>
      </c>
      <c r="J62" s="16">
        <v>50669334.660000011</v>
      </c>
      <c r="K62" s="16">
        <v>0</v>
      </c>
      <c r="L62" s="16">
        <v>0</v>
      </c>
      <c r="M62" s="16">
        <v>134.26</v>
      </c>
      <c r="N62" s="18">
        <f t="shared" si="1"/>
        <v>1099965721.2697682</v>
      </c>
      <c r="O62" s="4"/>
    </row>
    <row r="63" spans="1:15" ht="15" x14ac:dyDescent="0.2">
      <c r="A63" s="17" t="s">
        <v>58</v>
      </c>
      <c r="B63" s="16">
        <v>137926763.71000001</v>
      </c>
      <c r="C63" s="16">
        <v>0</v>
      </c>
      <c r="D63" s="16">
        <v>4514629.1673196135</v>
      </c>
      <c r="E63" s="16">
        <v>3246472.5300000003</v>
      </c>
      <c r="F63" s="16">
        <v>618752.14433642407</v>
      </c>
      <c r="G63" s="16">
        <v>274392.87</v>
      </c>
      <c r="H63" s="16">
        <v>7282151.1799999997</v>
      </c>
      <c r="I63" s="16">
        <v>1527033.06</v>
      </c>
      <c r="J63" s="16">
        <v>6971237.9100000001</v>
      </c>
      <c r="K63" s="16">
        <v>0</v>
      </c>
      <c r="L63" s="16">
        <v>0</v>
      </c>
      <c r="M63" s="16">
        <v>4.7300000000000004</v>
      </c>
      <c r="N63" s="18">
        <f t="shared" si="1"/>
        <v>162361437.30165607</v>
      </c>
      <c r="O63" s="4"/>
    </row>
    <row r="64" spans="1:15" ht="15" x14ac:dyDescent="0.2">
      <c r="A64" s="17" t="s">
        <v>59</v>
      </c>
      <c r="B64" s="16">
        <v>268977171.51999998</v>
      </c>
      <c r="C64" s="16">
        <v>0</v>
      </c>
      <c r="D64" s="16">
        <v>9489031.3394167945</v>
      </c>
      <c r="E64" s="16">
        <v>6433590.7399999993</v>
      </c>
      <c r="F64" s="16">
        <v>1132495.868903616</v>
      </c>
      <c r="G64" s="16">
        <v>468360.24</v>
      </c>
      <c r="H64" s="16">
        <v>14201249.810000001</v>
      </c>
      <c r="I64" s="16">
        <v>2794913.36</v>
      </c>
      <c r="J64" s="16">
        <v>14324180.010000005</v>
      </c>
      <c r="K64" s="16">
        <v>0</v>
      </c>
      <c r="L64" s="16">
        <v>0</v>
      </c>
      <c r="M64" s="16">
        <v>8.65</v>
      </c>
      <c r="N64" s="18">
        <f t="shared" si="1"/>
        <v>317821001.53832042</v>
      </c>
      <c r="O64" s="4"/>
    </row>
    <row r="65" spans="1:15" ht="15" x14ac:dyDescent="0.2">
      <c r="A65" s="17" t="s">
        <v>60</v>
      </c>
      <c r="B65" s="16">
        <v>150072657.87999997</v>
      </c>
      <c r="C65" s="16">
        <v>0</v>
      </c>
      <c r="D65" s="16">
        <v>3493935.438140342</v>
      </c>
      <c r="E65" s="16">
        <v>3532358.37</v>
      </c>
      <c r="F65" s="16">
        <v>246570.40338218401</v>
      </c>
      <c r="G65" s="16">
        <v>179774.64</v>
      </c>
      <c r="H65" s="16">
        <v>7923420.7599999998</v>
      </c>
      <c r="I65" s="16">
        <v>608516.93999999994</v>
      </c>
      <c r="J65" s="16">
        <v>8276828.4900000039</v>
      </c>
      <c r="K65" s="16">
        <v>0</v>
      </c>
      <c r="L65" s="16">
        <v>0</v>
      </c>
      <c r="M65" s="16">
        <v>1.88</v>
      </c>
      <c r="N65" s="18">
        <f t="shared" si="1"/>
        <v>174334064.80152246</v>
      </c>
      <c r="O65" s="4"/>
    </row>
    <row r="66" spans="1:15" ht="15" x14ac:dyDescent="0.2">
      <c r="A66" s="17" t="s">
        <v>61</v>
      </c>
      <c r="B66" s="16">
        <v>83772885.409999996</v>
      </c>
      <c r="C66" s="16">
        <v>0</v>
      </c>
      <c r="D66" s="16">
        <v>1814123.6921988549</v>
      </c>
      <c r="E66" s="16">
        <v>1972702.27</v>
      </c>
      <c r="F66" s="16">
        <v>241253.521368552</v>
      </c>
      <c r="G66" s="16">
        <v>144292.79999999999</v>
      </c>
      <c r="H66" s="16">
        <v>4422976.37</v>
      </c>
      <c r="I66" s="16">
        <v>595395.28</v>
      </c>
      <c r="J66" s="16">
        <v>3708926.3500000006</v>
      </c>
      <c r="K66" s="16">
        <v>0</v>
      </c>
      <c r="L66" s="16">
        <v>0</v>
      </c>
      <c r="M66" s="16">
        <v>1.84</v>
      </c>
      <c r="N66" s="18">
        <f t="shared" si="1"/>
        <v>96672557.533567399</v>
      </c>
      <c r="O66" s="4"/>
    </row>
    <row r="67" spans="1:15" ht="15" x14ac:dyDescent="0.2">
      <c r="A67" s="17" t="s">
        <v>62</v>
      </c>
      <c r="B67" s="16">
        <v>387020595.66000003</v>
      </c>
      <c r="C67" s="16">
        <v>0</v>
      </c>
      <c r="D67" s="16">
        <v>1846381.06</v>
      </c>
      <c r="E67" s="16">
        <v>9140650.8200000003</v>
      </c>
      <c r="F67" s="16">
        <v>6482608.3951208163</v>
      </c>
      <c r="G67" s="16">
        <v>2950050.5814418234</v>
      </c>
      <c r="H67" s="16">
        <v>20433615.710000001</v>
      </c>
      <c r="I67" s="16">
        <v>15998582.710000001</v>
      </c>
      <c r="J67" s="16">
        <v>25027180.909999993</v>
      </c>
      <c r="K67" s="16">
        <v>0</v>
      </c>
      <c r="L67" s="16">
        <v>0</v>
      </c>
      <c r="M67" s="16">
        <v>49.56</v>
      </c>
      <c r="N67" s="18">
        <f t="shared" si="1"/>
        <v>468899715.40656257</v>
      </c>
      <c r="O67" s="4"/>
    </row>
    <row r="68" spans="1:15" ht="15" x14ac:dyDescent="0.2">
      <c r="A68" s="17" t="s">
        <v>63</v>
      </c>
      <c r="B68" s="16">
        <v>237747226.50000003</v>
      </c>
      <c r="C68" s="16">
        <v>0</v>
      </c>
      <c r="D68" s="16">
        <v>3216220.79</v>
      </c>
      <c r="E68" s="16">
        <v>5596012.0800000001</v>
      </c>
      <c r="F68" s="16">
        <v>5716977.3851578077</v>
      </c>
      <c r="G68" s="16">
        <v>2988137.8230147958</v>
      </c>
      <c r="H68" s="16">
        <v>12552395.189999999</v>
      </c>
      <c r="I68" s="16">
        <v>14109063.82</v>
      </c>
      <c r="J68" s="16">
        <v>21240081.869999997</v>
      </c>
      <c r="K68" s="16">
        <v>0</v>
      </c>
      <c r="L68" s="16">
        <v>0</v>
      </c>
      <c r="M68" s="16">
        <v>43.71</v>
      </c>
      <c r="N68" s="18">
        <f t="shared" si="1"/>
        <v>303166159.1681726</v>
      </c>
      <c r="O68" s="4"/>
    </row>
    <row r="69" spans="1:15" ht="15" x14ac:dyDescent="0.2">
      <c r="A69" s="17" t="s">
        <v>64</v>
      </c>
      <c r="B69" s="16">
        <v>735077920.95000005</v>
      </c>
      <c r="C69" s="16">
        <v>0</v>
      </c>
      <c r="D69" s="16">
        <v>2170285.512397409</v>
      </c>
      <c r="E69" s="16">
        <v>17302010.180000003</v>
      </c>
      <c r="F69" s="16">
        <v>16872460.460009448</v>
      </c>
      <c r="G69" s="16">
        <v>3122320.0467587314</v>
      </c>
      <c r="H69" s="16">
        <v>38810078.640000001</v>
      </c>
      <c r="I69" s="16">
        <v>41639944.560000002</v>
      </c>
      <c r="J69" s="16">
        <v>47047590.239999995</v>
      </c>
      <c r="K69" s="16">
        <v>0</v>
      </c>
      <c r="L69" s="16">
        <v>0</v>
      </c>
      <c r="M69" s="16">
        <v>129.01</v>
      </c>
      <c r="N69" s="18">
        <f t="shared" si="1"/>
        <v>902042739.59916568</v>
      </c>
      <c r="O69" s="4"/>
    </row>
    <row r="70" spans="1:15" ht="15" x14ac:dyDescent="0.2">
      <c r="A70" s="17" t="s">
        <v>65</v>
      </c>
      <c r="B70" s="16">
        <v>168081376.82999998</v>
      </c>
      <c r="C70" s="16">
        <v>0</v>
      </c>
      <c r="D70" s="16">
        <v>6797219.2918034568</v>
      </c>
      <c r="E70" s="16">
        <v>3976165.0599999996</v>
      </c>
      <c r="F70" s="16">
        <v>3747072.5991071519</v>
      </c>
      <c r="G70" s="16">
        <v>1367233.43</v>
      </c>
      <c r="H70" s="16">
        <v>8874231.25</v>
      </c>
      <c r="I70" s="16">
        <v>9247489.1600000001</v>
      </c>
      <c r="J70" s="16">
        <v>19677643.009999998</v>
      </c>
      <c r="K70" s="16">
        <v>0</v>
      </c>
      <c r="L70" s="16">
        <v>0</v>
      </c>
      <c r="M70" s="16">
        <v>28.65</v>
      </c>
      <c r="N70" s="18">
        <f t="shared" si="1"/>
        <v>221768459.28091058</v>
      </c>
      <c r="O70" s="4"/>
    </row>
    <row r="71" spans="1:15" ht="15" x14ac:dyDescent="0.2">
      <c r="A71" s="17" t="s">
        <v>66</v>
      </c>
      <c r="B71" s="16">
        <v>582730997.84000003</v>
      </c>
      <c r="C71" s="16">
        <v>0</v>
      </c>
      <c r="D71" s="16">
        <v>2152257.41</v>
      </c>
      <c r="E71" s="16">
        <v>14565.85</v>
      </c>
      <c r="F71" s="16">
        <v>2359366.3935492001</v>
      </c>
      <c r="G71" s="16">
        <v>1054993.27</v>
      </c>
      <c r="H71" s="16">
        <v>30766582.98</v>
      </c>
      <c r="I71" s="16">
        <v>5822736.1699999999</v>
      </c>
      <c r="J71" s="16">
        <v>16939672.890000001</v>
      </c>
      <c r="K71" s="16">
        <v>0</v>
      </c>
      <c r="L71" s="16">
        <v>0</v>
      </c>
      <c r="M71" s="16">
        <v>18.04</v>
      </c>
      <c r="N71" s="18">
        <f t="shared" si="1"/>
        <v>641841190.84354913</v>
      </c>
      <c r="O71" s="4"/>
    </row>
    <row r="72" spans="1:15" ht="15" x14ac:dyDescent="0.2">
      <c r="A72" s="17" t="s">
        <v>67</v>
      </c>
      <c r="B72" s="16">
        <v>3032567743.3499999</v>
      </c>
      <c r="C72" s="16">
        <v>0</v>
      </c>
      <c r="D72" s="16">
        <v>11818461.569703883</v>
      </c>
      <c r="E72" s="16">
        <v>71418364.030000001</v>
      </c>
      <c r="F72" s="16">
        <v>68650915.949764669</v>
      </c>
      <c r="G72" s="16">
        <v>0</v>
      </c>
      <c r="H72" s="16">
        <v>160111179.02000001</v>
      </c>
      <c r="I72" s="16">
        <v>169425220.50999999</v>
      </c>
      <c r="J72" s="16">
        <v>249434569.85999995</v>
      </c>
      <c r="K72" s="16">
        <v>0</v>
      </c>
      <c r="L72" s="16">
        <v>0</v>
      </c>
      <c r="M72" s="16">
        <v>524.94000000000005</v>
      </c>
      <c r="N72" s="18">
        <f t="shared" ref="N72:N103" si="2">SUM(B72:M72)</f>
        <v>3763426979.2294693</v>
      </c>
      <c r="O72" s="4"/>
    </row>
    <row r="73" spans="1:15" ht="15" x14ac:dyDescent="0.2">
      <c r="A73" s="17" t="s">
        <v>68</v>
      </c>
      <c r="B73" s="16">
        <v>1214972582.7600002</v>
      </c>
      <c r="C73" s="16">
        <v>0</v>
      </c>
      <c r="D73" s="16">
        <v>20700217.755269729</v>
      </c>
      <c r="E73" s="16">
        <v>28851109.240000002</v>
      </c>
      <c r="F73" s="16">
        <v>25481157.050331358</v>
      </c>
      <c r="G73" s="16">
        <v>11986213.042879233</v>
      </c>
      <c r="H73" s="16">
        <v>64147187.850000001</v>
      </c>
      <c r="I73" s="16">
        <v>62885550.649999999</v>
      </c>
      <c r="J73" s="16">
        <v>107768260.31000003</v>
      </c>
      <c r="K73" s="16">
        <v>0</v>
      </c>
      <c r="L73" s="16">
        <v>0</v>
      </c>
      <c r="M73" s="16">
        <v>194.84</v>
      </c>
      <c r="N73" s="18">
        <f t="shared" si="2"/>
        <v>1536792473.4984806</v>
      </c>
      <c r="O73" s="4"/>
    </row>
    <row r="74" spans="1:15" ht="15" x14ac:dyDescent="0.2">
      <c r="A74" s="17" t="s">
        <v>69</v>
      </c>
      <c r="B74" s="16">
        <v>751595183.44000006</v>
      </c>
      <c r="C74" s="16">
        <v>0</v>
      </c>
      <c r="D74" s="16">
        <v>5254920.6500000004</v>
      </c>
      <c r="E74" s="16">
        <v>17727745.289999999</v>
      </c>
      <c r="F74" s="16">
        <v>18500090.966432542</v>
      </c>
      <c r="G74" s="16">
        <v>21373954.731646467</v>
      </c>
      <c r="H74" s="16">
        <v>39682144.359999999</v>
      </c>
      <c r="I74" s="16">
        <v>45656812.409999996</v>
      </c>
      <c r="J74" s="16">
        <v>58555746.889999986</v>
      </c>
      <c r="K74" s="16">
        <v>0</v>
      </c>
      <c r="L74" s="16">
        <v>0</v>
      </c>
      <c r="M74" s="16">
        <v>141.46</v>
      </c>
      <c r="N74" s="18">
        <f t="shared" si="2"/>
        <v>958346740.19807899</v>
      </c>
      <c r="O74" s="4"/>
    </row>
    <row r="75" spans="1:15" ht="15" x14ac:dyDescent="0.2">
      <c r="A75" s="17" t="s">
        <v>70</v>
      </c>
      <c r="B75" s="16">
        <v>121561942.89999998</v>
      </c>
      <c r="C75" s="16">
        <v>0</v>
      </c>
      <c r="D75" s="16">
        <v>3207655.2716868166</v>
      </c>
      <c r="E75" s="16">
        <v>2861283.0300000003</v>
      </c>
      <c r="F75" s="16">
        <v>336292.78736222401</v>
      </c>
      <c r="G75" s="16">
        <v>153754.62</v>
      </c>
      <c r="H75" s="16">
        <v>6418133.96</v>
      </c>
      <c r="I75" s="16">
        <v>829944.93</v>
      </c>
      <c r="J75" s="16">
        <v>6847779.5400000028</v>
      </c>
      <c r="K75" s="16">
        <v>0</v>
      </c>
      <c r="L75" s="16">
        <v>0</v>
      </c>
      <c r="M75" s="16">
        <v>2.57</v>
      </c>
      <c r="N75" s="18">
        <f t="shared" si="2"/>
        <v>142216789.60904902</v>
      </c>
      <c r="O75" s="4"/>
    </row>
    <row r="76" spans="1:15" ht="15" x14ac:dyDescent="0.2">
      <c r="A76" s="17" t="s">
        <v>71</v>
      </c>
      <c r="B76" s="16">
        <v>113235330.89999998</v>
      </c>
      <c r="C76" s="16">
        <v>0</v>
      </c>
      <c r="D76" s="16">
        <v>4375840.4978276566</v>
      </c>
      <c r="E76" s="16">
        <v>2674371</v>
      </c>
      <c r="F76" s="16">
        <v>605459.93930234399</v>
      </c>
      <c r="G76" s="16">
        <v>361914.73</v>
      </c>
      <c r="H76" s="16">
        <v>5978511.9000000004</v>
      </c>
      <c r="I76" s="16">
        <v>1494228.92</v>
      </c>
      <c r="J76" s="16">
        <v>9752115.0399999991</v>
      </c>
      <c r="K76" s="16">
        <v>0</v>
      </c>
      <c r="L76" s="16">
        <v>0</v>
      </c>
      <c r="M76" s="16">
        <v>4.62</v>
      </c>
      <c r="N76" s="18">
        <f t="shared" si="2"/>
        <v>138477777.54712999</v>
      </c>
      <c r="O76" s="4"/>
    </row>
    <row r="77" spans="1:15" ht="15" x14ac:dyDescent="0.2">
      <c r="A77" s="17" t="s">
        <v>72</v>
      </c>
      <c r="B77" s="16">
        <v>147526469.75</v>
      </c>
      <c r="C77" s="16">
        <v>0</v>
      </c>
      <c r="D77" s="16">
        <v>2961061.2216719626</v>
      </c>
      <c r="E77" s="16">
        <v>3478545.71</v>
      </c>
      <c r="F77" s="16">
        <v>711132.96932328003</v>
      </c>
      <c r="G77" s="16">
        <v>255469.22</v>
      </c>
      <c r="H77" s="16">
        <v>7788989.0800000001</v>
      </c>
      <c r="I77" s="16">
        <v>1755021.89</v>
      </c>
      <c r="J77" s="16">
        <v>6546269.7399999984</v>
      </c>
      <c r="K77" s="16">
        <v>0</v>
      </c>
      <c r="L77" s="16">
        <v>0</v>
      </c>
      <c r="M77" s="16">
        <v>5.43</v>
      </c>
      <c r="N77" s="18">
        <f t="shared" si="2"/>
        <v>171022965.01099527</v>
      </c>
      <c r="O77" s="4"/>
    </row>
    <row r="78" spans="1:15" ht="15" x14ac:dyDescent="0.2">
      <c r="A78" s="17" t="s">
        <v>73</v>
      </c>
      <c r="B78" s="16">
        <v>57276872.709999993</v>
      </c>
      <c r="C78" s="16">
        <v>0</v>
      </c>
      <c r="D78" s="16">
        <v>2159559.8690461786</v>
      </c>
      <c r="E78" s="16">
        <v>1348163.2399999998</v>
      </c>
      <c r="F78" s="16">
        <v>252551.89564751997</v>
      </c>
      <c r="G78" s="16">
        <v>85156.41</v>
      </c>
      <c r="H78" s="16">
        <v>3024060.27</v>
      </c>
      <c r="I78" s="16">
        <v>623278.80000000005</v>
      </c>
      <c r="J78" s="16">
        <v>2953576.08</v>
      </c>
      <c r="K78" s="16">
        <v>0</v>
      </c>
      <c r="L78" s="16">
        <v>0</v>
      </c>
      <c r="M78" s="16">
        <v>1.93</v>
      </c>
      <c r="N78" s="18">
        <f t="shared" si="2"/>
        <v>67723221.204693705</v>
      </c>
      <c r="O78" s="4"/>
    </row>
    <row r="79" spans="1:15" ht="15" x14ac:dyDescent="0.2">
      <c r="A79" s="17" t="s">
        <v>74</v>
      </c>
      <c r="B79" s="16">
        <v>229395894.21000001</v>
      </c>
      <c r="C79" s="16">
        <v>0</v>
      </c>
      <c r="D79" s="16">
        <v>9672177.9481858145</v>
      </c>
      <c r="E79" s="16">
        <v>5412198.1600000001</v>
      </c>
      <c r="F79" s="16">
        <v>1269405.58075464</v>
      </c>
      <c r="G79" s="16">
        <v>633942.14</v>
      </c>
      <c r="H79" s="16">
        <v>12111467.970000001</v>
      </c>
      <c r="I79" s="16">
        <v>3132796.08</v>
      </c>
      <c r="J79" s="16">
        <v>15323771.180000002</v>
      </c>
      <c r="K79" s="16">
        <v>0</v>
      </c>
      <c r="L79" s="16">
        <v>0</v>
      </c>
      <c r="M79" s="16">
        <v>9.6999999999999993</v>
      </c>
      <c r="N79" s="18">
        <f t="shared" si="2"/>
        <v>276951662.96894044</v>
      </c>
      <c r="O79" s="4"/>
    </row>
    <row r="80" spans="1:15" ht="15" x14ac:dyDescent="0.2">
      <c r="A80" s="17" t="s">
        <v>75</v>
      </c>
      <c r="B80" s="16">
        <v>143744267.96999997</v>
      </c>
      <c r="C80" s="16">
        <v>0</v>
      </c>
      <c r="D80" s="16">
        <v>13181383.200027313</v>
      </c>
      <c r="E80" s="16">
        <v>3383402.9299999997</v>
      </c>
      <c r="F80" s="16">
        <v>410729.13555307203</v>
      </c>
      <c r="G80" s="16">
        <v>264931.03999999998</v>
      </c>
      <c r="H80" s="16">
        <v>7589299.2999999998</v>
      </c>
      <c r="I80" s="16">
        <v>1013648.16</v>
      </c>
      <c r="J80" s="16">
        <v>10099416.189999999</v>
      </c>
      <c r="K80" s="16">
        <v>0</v>
      </c>
      <c r="L80" s="16">
        <v>0</v>
      </c>
      <c r="M80" s="16">
        <v>3.14</v>
      </c>
      <c r="N80" s="18">
        <f t="shared" si="2"/>
        <v>179687081.06558034</v>
      </c>
      <c r="O80" s="4"/>
    </row>
    <row r="81" spans="1:15" ht="15" x14ac:dyDescent="0.2">
      <c r="A81" s="17" t="s">
        <v>76</v>
      </c>
      <c r="B81" s="16">
        <v>72586961.829999998</v>
      </c>
      <c r="C81" s="16">
        <v>0</v>
      </c>
      <c r="D81" s="16">
        <v>3613463.5587665108</v>
      </c>
      <c r="E81" s="16">
        <v>1718208.9000000001</v>
      </c>
      <c r="F81" s="16">
        <v>1066699.4539849202</v>
      </c>
      <c r="G81" s="16">
        <v>546420.28</v>
      </c>
      <c r="H81" s="16">
        <v>3832390.58</v>
      </c>
      <c r="I81" s="16">
        <v>2632532.83</v>
      </c>
      <c r="J81" s="16">
        <v>11230047.989999995</v>
      </c>
      <c r="K81" s="16">
        <v>0</v>
      </c>
      <c r="L81" s="16">
        <v>0</v>
      </c>
      <c r="M81" s="16">
        <v>8.15</v>
      </c>
      <c r="N81" s="18">
        <f t="shared" si="2"/>
        <v>97226733.572751433</v>
      </c>
      <c r="O81" s="4"/>
    </row>
    <row r="82" spans="1:15" ht="15" x14ac:dyDescent="0.2">
      <c r="A82" s="17" t="s">
        <v>77</v>
      </c>
      <c r="B82" s="16">
        <v>1112128006.5799999</v>
      </c>
      <c r="C82" s="16">
        <v>0</v>
      </c>
      <c r="D82" s="16">
        <v>8460970.9099999983</v>
      </c>
      <c r="E82" s="16">
        <v>26198590.48</v>
      </c>
      <c r="F82" s="16">
        <v>30742876.413071927</v>
      </c>
      <c r="G82" s="16">
        <v>22904769.298260592</v>
      </c>
      <c r="H82" s="16">
        <v>58717279.030000001</v>
      </c>
      <c r="I82" s="16">
        <v>75871072.420000002</v>
      </c>
      <c r="J82" s="16">
        <v>96289095</v>
      </c>
      <c r="K82" s="16">
        <v>0</v>
      </c>
      <c r="L82" s="16">
        <v>0</v>
      </c>
      <c r="M82" s="16">
        <v>235.07</v>
      </c>
      <c r="N82" s="18">
        <f t="shared" si="2"/>
        <v>1431312895.2013326</v>
      </c>
      <c r="O82" s="4"/>
    </row>
    <row r="83" spans="1:15" ht="15" x14ac:dyDescent="0.2">
      <c r="A83" s="17" t="s">
        <v>78</v>
      </c>
      <c r="B83" s="16">
        <v>336100953.11000001</v>
      </c>
      <c r="C83" s="16">
        <v>0</v>
      </c>
      <c r="D83" s="16">
        <v>4642730.3892769506</v>
      </c>
      <c r="E83" s="16">
        <v>7953846.0300000003</v>
      </c>
      <c r="F83" s="16">
        <v>3404133.7092278879</v>
      </c>
      <c r="G83" s="16">
        <v>1608509.91</v>
      </c>
      <c r="H83" s="16">
        <v>17745199.59</v>
      </c>
      <c r="I83" s="16">
        <v>8401142.1600000001</v>
      </c>
      <c r="J83" s="16">
        <v>20766021.77</v>
      </c>
      <c r="K83" s="16">
        <v>0</v>
      </c>
      <c r="L83" s="16">
        <v>0</v>
      </c>
      <c r="M83" s="16">
        <v>26.02</v>
      </c>
      <c r="N83" s="18">
        <f t="shared" si="2"/>
        <v>400622562.68850476</v>
      </c>
      <c r="O83" s="4"/>
    </row>
    <row r="84" spans="1:15" ht="15" x14ac:dyDescent="0.2">
      <c r="A84" s="17" t="s">
        <v>79</v>
      </c>
      <c r="B84" s="16">
        <v>120091086.64</v>
      </c>
      <c r="C84" s="16">
        <v>0</v>
      </c>
      <c r="D84" s="16">
        <v>2827611.3356460528</v>
      </c>
      <c r="E84" s="16">
        <v>2830083.9699999997</v>
      </c>
      <c r="F84" s="16">
        <v>683219.338751712</v>
      </c>
      <c r="G84" s="16">
        <v>139606.93275009264</v>
      </c>
      <c r="H84" s="16">
        <v>6340476.8200000003</v>
      </c>
      <c r="I84" s="16">
        <v>1686133.18</v>
      </c>
      <c r="J84" s="16">
        <v>8666382.6899999976</v>
      </c>
      <c r="K84" s="16">
        <v>0</v>
      </c>
      <c r="L84" s="16">
        <v>0</v>
      </c>
      <c r="M84" s="16">
        <v>5.22</v>
      </c>
      <c r="N84" s="18">
        <f t="shared" si="2"/>
        <v>143264606.12714785</v>
      </c>
      <c r="O84" s="4"/>
    </row>
    <row r="85" spans="1:15" ht="15" x14ac:dyDescent="0.2">
      <c r="A85" s="17" t="s">
        <v>80</v>
      </c>
      <c r="B85" s="16">
        <v>114244742.05999999</v>
      </c>
      <c r="C85" s="16">
        <v>0</v>
      </c>
      <c r="D85" s="16">
        <v>2942293.849913978</v>
      </c>
      <c r="E85" s="16">
        <v>2695457.7700000005</v>
      </c>
      <c r="F85" s="16">
        <v>323000.582328144</v>
      </c>
      <c r="G85" s="16">
        <v>153754.62</v>
      </c>
      <c r="H85" s="16">
        <v>6031806.0199999996</v>
      </c>
      <c r="I85" s="16">
        <v>797140.78</v>
      </c>
      <c r="J85" s="16">
        <v>4825434.1800000006</v>
      </c>
      <c r="K85" s="16">
        <v>0</v>
      </c>
      <c r="L85" s="16">
        <v>0</v>
      </c>
      <c r="M85" s="16">
        <v>2.46</v>
      </c>
      <c r="N85" s="18">
        <f t="shared" si="2"/>
        <v>132013632.32224211</v>
      </c>
      <c r="O85" s="4"/>
    </row>
    <row r="86" spans="1:15" ht="15" x14ac:dyDescent="0.2">
      <c r="A86" s="17" t="s">
        <v>81</v>
      </c>
      <c r="B86" s="16">
        <v>1358972293.6600001</v>
      </c>
      <c r="C86" s="16">
        <v>0</v>
      </c>
      <c r="D86" s="16">
        <v>3421621.7600000007</v>
      </c>
      <c r="E86" s="16">
        <v>32018051.379999999</v>
      </c>
      <c r="F86" s="16">
        <v>19288983.33520519</v>
      </c>
      <c r="G86" s="16">
        <v>5130183.4988681991</v>
      </c>
      <c r="H86" s="16">
        <v>71749973.819999993</v>
      </c>
      <c r="I86" s="16">
        <v>47603738.560000002</v>
      </c>
      <c r="J86" s="16">
        <v>42743375.219999999</v>
      </c>
      <c r="K86" s="16">
        <v>0</v>
      </c>
      <c r="L86" s="16">
        <v>0</v>
      </c>
      <c r="M86" s="16">
        <v>147.49</v>
      </c>
      <c r="N86" s="18">
        <f t="shared" si="2"/>
        <v>1580928368.7240734</v>
      </c>
      <c r="O86" s="4"/>
    </row>
    <row r="87" spans="1:15" ht="15" x14ac:dyDescent="0.2">
      <c r="A87" s="17" t="s">
        <v>82</v>
      </c>
      <c r="B87" s="16">
        <v>190288422.18000001</v>
      </c>
      <c r="C87" s="16">
        <v>0</v>
      </c>
      <c r="D87" s="16">
        <v>3301618.4977465426</v>
      </c>
      <c r="E87" s="16">
        <v>4481301.0100000007</v>
      </c>
      <c r="F87" s="16">
        <v>547638.84740409593</v>
      </c>
      <c r="G87" s="16">
        <v>321701.98</v>
      </c>
      <c r="H87" s="16">
        <v>10046701.75</v>
      </c>
      <c r="I87" s="16">
        <v>1351530.87</v>
      </c>
      <c r="J87" s="16">
        <v>9359974.0500000007</v>
      </c>
      <c r="K87" s="16">
        <v>0</v>
      </c>
      <c r="L87" s="16">
        <v>0</v>
      </c>
      <c r="M87" s="16">
        <v>4.18</v>
      </c>
      <c r="N87" s="18">
        <f t="shared" si="2"/>
        <v>219698893.36515066</v>
      </c>
      <c r="O87" s="4"/>
    </row>
    <row r="88" spans="1:15" ht="15" x14ac:dyDescent="0.2">
      <c r="A88" s="17" t="s">
        <v>83</v>
      </c>
      <c r="B88" s="16">
        <v>163067281.44</v>
      </c>
      <c r="C88" s="16">
        <v>0</v>
      </c>
      <c r="D88" s="16">
        <v>1301008.2394903589</v>
      </c>
      <c r="E88" s="16">
        <v>3841104.08</v>
      </c>
      <c r="F88" s="16">
        <v>2687683.8578909761</v>
      </c>
      <c r="G88" s="16">
        <v>820813.15</v>
      </c>
      <c r="H88" s="16">
        <v>8609500.9000000004</v>
      </c>
      <c r="I88" s="16">
        <v>6632998.6100000003</v>
      </c>
      <c r="J88" s="16">
        <v>13988088.870000003</v>
      </c>
      <c r="K88" s="16">
        <v>0</v>
      </c>
      <c r="L88" s="16">
        <v>0</v>
      </c>
      <c r="M88" s="16">
        <v>20.55</v>
      </c>
      <c r="N88" s="18">
        <f t="shared" si="2"/>
        <v>200948499.69738138</v>
      </c>
      <c r="O88" s="4"/>
    </row>
    <row r="89" spans="1:15" ht="15" x14ac:dyDescent="0.2">
      <c r="A89" s="17" t="s">
        <v>84</v>
      </c>
      <c r="B89" s="16">
        <v>266847107.99000007</v>
      </c>
      <c r="C89" s="16">
        <v>0</v>
      </c>
      <c r="D89" s="16">
        <v>3183728.8008843642</v>
      </c>
      <c r="E89" s="16">
        <v>6397285.5599999996</v>
      </c>
      <c r="F89" s="16">
        <v>2260339.4660453037</v>
      </c>
      <c r="G89" s="16">
        <v>958009.58</v>
      </c>
      <c r="H89" s="16">
        <v>14088788.35</v>
      </c>
      <c r="I89" s="16">
        <v>5578345.2699999996</v>
      </c>
      <c r="J89" s="16">
        <v>14800767.660000008</v>
      </c>
      <c r="K89" s="16">
        <v>0</v>
      </c>
      <c r="L89" s="16">
        <v>0</v>
      </c>
      <c r="M89" s="16">
        <v>17.28</v>
      </c>
      <c r="N89" s="18">
        <f t="shared" si="2"/>
        <v>314114389.95692974</v>
      </c>
      <c r="O89" s="4"/>
    </row>
    <row r="90" spans="1:15" ht="15" x14ac:dyDescent="0.2">
      <c r="A90" s="17" t="s">
        <v>85</v>
      </c>
      <c r="B90" s="16">
        <v>1401276921.05</v>
      </c>
      <c r="C90" s="16">
        <v>0</v>
      </c>
      <c r="D90" s="16">
        <v>3505700.5631850068</v>
      </c>
      <c r="E90" s="16">
        <v>33039475.280000001</v>
      </c>
      <c r="F90" s="16">
        <v>30661129.352112338</v>
      </c>
      <c r="G90" s="16">
        <v>9012363.454411108</v>
      </c>
      <c r="H90" s="16">
        <v>73983541</v>
      </c>
      <c r="I90" s="16">
        <v>75669326.909999996</v>
      </c>
      <c r="J90" s="16">
        <v>88100132.400000021</v>
      </c>
      <c r="K90" s="16">
        <v>0</v>
      </c>
      <c r="L90" s="16">
        <v>0</v>
      </c>
      <c r="M90" s="16">
        <v>234.45</v>
      </c>
      <c r="N90" s="18">
        <f t="shared" si="2"/>
        <v>1715248824.4597085</v>
      </c>
      <c r="O90" s="4"/>
    </row>
    <row r="91" spans="1:15" ht="15" x14ac:dyDescent="0.2">
      <c r="A91" s="17" t="s">
        <v>86</v>
      </c>
      <c r="B91" s="16">
        <v>52159776.159999996</v>
      </c>
      <c r="C91" s="16">
        <v>0</v>
      </c>
      <c r="D91" s="16">
        <v>2567090.8585523041</v>
      </c>
      <c r="E91" s="16">
        <v>1227718.81</v>
      </c>
      <c r="F91" s="16">
        <v>711797.57957498403</v>
      </c>
      <c r="G91" s="16">
        <v>319336.53000000003</v>
      </c>
      <c r="H91" s="16">
        <v>2753891.74</v>
      </c>
      <c r="I91" s="16">
        <v>1756662.1</v>
      </c>
      <c r="J91" s="16">
        <v>6407170.9699999988</v>
      </c>
      <c r="K91" s="16">
        <v>0</v>
      </c>
      <c r="L91" s="16">
        <v>0</v>
      </c>
      <c r="M91" s="16">
        <v>5.44</v>
      </c>
      <c r="N91" s="18">
        <f t="shared" si="2"/>
        <v>67903450.188127294</v>
      </c>
      <c r="O91" s="4"/>
    </row>
    <row r="92" spans="1:15" ht="15" x14ac:dyDescent="0.2">
      <c r="A92" s="17" t="s">
        <v>87</v>
      </c>
      <c r="B92" s="16">
        <v>75454513.520000011</v>
      </c>
      <c r="C92" s="16">
        <v>0</v>
      </c>
      <c r="D92" s="16">
        <v>234655.09999999998</v>
      </c>
      <c r="E92" s="16">
        <v>1158324.3</v>
      </c>
      <c r="F92" s="16">
        <v>152195.747640216</v>
      </c>
      <c r="G92" s="16">
        <v>99349.14</v>
      </c>
      <c r="H92" s="16">
        <v>3983789.37</v>
      </c>
      <c r="I92" s="16">
        <v>375607.49</v>
      </c>
      <c r="J92" s="16">
        <v>2602587.9499999988</v>
      </c>
      <c r="K92" s="16">
        <v>0</v>
      </c>
      <c r="L92" s="16">
        <v>0</v>
      </c>
      <c r="M92" s="16">
        <v>1.1599999999999999</v>
      </c>
      <c r="N92" s="18">
        <f t="shared" si="2"/>
        <v>84061023.777640224</v>
      </c>
      <c r="O92" s="4"/>
    </row>
    <row r="93" spans="1:15" ht="15" x14ac:dyDescent="0.2">
      <c r="A93" s="17" t="s">
        <v>88</v>
      </c>
      <c r="B93" s="16">
        <v>748801792.57999992</v>
      </c>
      <c r="C93" s="16">
        <v>0</v>
      </c>
      <c r="D93" s="16">
        <v>4055149.7268803408</v>
      </c>
      <c r="E93" s="16">
        <v>17640458.619999997</v>
      </c>
      <c r="F93" s="16">
        <v>24849777.311212558</v>
      </c>
      <c r="G93" s="16">
        <v>4328723.5470064273</v>
      </c>
      <c r="H93" s="16">
        <v>39534661.060000002</v>
      </c>
      <c r="I93" s="16">
        <v>61327353.649999999</v>
      </c>
      <c r="J93" s="16">
        <v>88268341.359999985</v>
      </c>
      <c r="K93" s="16">
        <v>0</v>
      </c>
      <c r="L93" s="16">
        <v>0</v>
      </c>
      <c r="M93" s="16">
        <v>190.01</v>
      </c>
      <c r="N93" s="18">
        <f t="shared" si="2"/>
        <v>988806447.86509919</v>
      </c>
      <c r="O93" s="4"/>
    </row>
    <row r="94" spans="1:15" ht="15" x14ac:dyDescent="0.2">
      <c r="A94" s="17" t="s">
        <v>89</v>
      </c>
      <c r="B94" s="16">
        <v>512385340.67000002</v>
      </c>
      <c r="C94" s="16">
        <v>0</v>
      </c>
      <c r="D94" s="16">
        <v>6571010.5800000001</v>
      </c>
      <c r="E94" s="16">
        <v>12150214.76</v>
      </c>
      <c r="F94" s="16">
        <v>11236565.525559528</v>
      </c>
      <c r="G94" s="16">
        <v>5480665.4714508019</v>
      </c>
      <c r="H94" s="16">
        <v>27052527.09</v>
      </c>
      <c r="I94" s="16">
        <v>27730986.039999999</v>
      </c>
      <c r="J94" s="16">
        <v>44388179.219999999</v>
      </c>
      <c r="K94" s="16">
        <v>0</v>
      </c>
      <c r="L94" s="16">
        <v>0</v>
      </c>
      <c r="M94" s="16">
        <v>85.92</v>
      </c>
      <c r="N94" s="18">
        <f t="shared" si="2"/>
        <v>646995575.27701032</v>
      </c>
      <c r="O94" s="4"/>
    </row>
    <row r="95" spans="1:15" ht="15" x14ac:dyDescent="0.2">
      <c r="A95" s="17" t="s">
        <v>90</v>
      </c>
      <c r="B95" s="16">
        <v>94464403.540000021</v>
      </c>
      <c r="C95" s="16">
        <v>0</v>
      </c>
      <c r="D95" s="16">
        <v>2931874.1880426621</v>
      </c>
      <c r="E95" s="16">
        <v>2223470.5</v>
      </c>
      <c r="F95" s="16">
        <v>550961.89866261603</v>
      </c>
      <c r="G95" s="16">
        <v>257834.68</v>
      </c>
      <c r="H95" s="16">
        <v>4987458.92</v>
      </c>
      <c r="I95" s="16">
        <v>1359731.91</v>
      </c>
      <c r="J95" s="16">
        <v>6612072.5999999978</v>
      </c>
      <c r="K95" s="16">
        <v>0</v>
      </c>
      <c r="L95" s="16">
        <v>0</v>
      </c>
      <c r="M95" s="16">
        <v>4.21</v>
      </c>
      <c r="N95" s="18">
        <f t="shared" si="2"/>
        <v>113387812.44670528</v>
      </c>
      <c r="O95" s="4"/>
    </row>
    <row r="96" spans="1:15" ht="15" x14ac:dyDescent="0.2">
      <c r="A96" s="17" t="s">
        <v>91</v>
      </c>
      <c r="B96" s="16">
        <v>306498426.06000006</v>
      </c>
      <c r="C96" s="16">
        <v>0</v>
      </c>
      <c r="D96" s="16">
        <v>6991553.1990428697</v>
      </c>
      <c r="E96" s="16">
        <v>0</v>
      </c>
      <c r="F96" s="16">
        <v>3087779.2294167839</v>
      </c>
      <c r="G96" s="16">
        <v>1407446.17</v>
      </c>
      <c r="H96" s="16">
        <v>16182268.140000001</v>
      </c>
      <c r="I96" s="16">
        <v>7620403.4500000002</v>
      </c>
      <c r="J96" s="16">
        <v>23661912.75</v>
      </c>
      <c r="K96" s="16">
        <v>0</v>
      </c>
      <c r="L96" s="16">
        <v>0</v>
      </c>
      <c r="M96" s="16">
        <v>23.61</v>
      </c>
      <c r="N96" s="18">
        <f t="shared" si="2"/>
        <v>365449812.60845971</v>
      </c>
      <c r="O96" s="4"/>
    </row>
    <row r="97" spans="1:15" ht="15" x14ac:dyDescent="0.2">
      <c r="A97" s="17" t="s">
        <v>92</v>
      </c>
      <c r="B97" s="16">
        <v>147975554.69999999</v>
      </c>
      <c r="C97" s="16">
        <v>0</v>
      </c>
      <c r="D97" s="16">
        <v>11069277.8629956</v>
      </c>
      <c r="E97" s="16">
        <v>3495385.75</v>
      </c>
      <c r="F97" s="16">
        <v>1425588.9899050798</v>
      </c>
      <c r="G97" s="16">
        <v>721464</v>
      </c>
      <c r="H97" s="16">
        <v>7812699.5199999996</v>
      </c>
      <c r="I97" s="16">
        <v>3518244.81</v>
      </c>
      <c r="J97" s="16">
        <v>15305811.360000003</v>
      </c>
      <c r="K97" s="16">
        <v>0</v>
      </c>
      <c r="L97" s="16">
        <v>0</v>
      </c>
      <c r="M97" s="16">
        <v>10.9</v>
      </c>
      <c r="N97" s="18">
        <f t="shared" si="2"/>
        <v>191324037.89290071</v>
      </c>
      <c r="O97" s="4"/>
    </row>
    <row r="98" spans="1:15" ht="15" x14ac:dyDescent="0.2">
      <c r="A98" s="17" t="s">
        <v>93</v>
      </c>
      <c r="B98" s="16">
        <v>409132879.94999999</v>
      </c>
      <c r="C98" s="16">
        <v>0</v>
      </c>
      <c r="D98" s="16">
        <v>9430642.4213534575</v>
      </c>
      <c r="E98" s="16">
        <v>9648450.4199999999</v>
      </c>
      <c r="F98" s="16">
        <v>3315075.9354995517</v>
      </c>
      <c r="G98" s="16">
        <v>1691300.86</v>
      </c>
      <c r="H98" s="16">
        <v>21601083.09</v>
      </c>
      <c r="I98" s="16">
        <v>8181354.3700000001</v>
      </c>
      <c r="J98" s="16">
        <v>30025730.49000001</v>
      </c>
      <c r="K98" s="16">
        <v>0</v>
      </c>
      <c r="L98" s="16">
        <v>0</v>
      </c>
      <c r="M98" s="16">
        <v>25.34</v>
      </c>
      <c r="N98" s="18">
        <f t="shared" si="2"/>
        <v>493026542.87685299</v>
      </c>
      <c r="O98" s="4"/>
    </row>
    <row r="99" spans="1:15" ht="15" x14ac:dyDescent="0.2">
      <c r="A99" s="17" t="s">
        <v>94</v>
      </c>
      <c r="B99" s="16">
        <v>286285482.72000003</v>
      </c>
      <c r="C99" s="16">
        <v>0</v>
      </c>
      <c r="D99" s="16">
        <v>7166676.5446990943</v>
      </c>
      <c r="E99" s="16">
        <v>6738488.79</v>
      </c>
      <c r="F99" s="16">
        <v>1228864.3554006962</v>
      </c>
      <c r="G99" s="16">
        <v>456532.96</v>
      </c>
      <c r="H99" s="16">
        <v>15115080.710000001</v>
      </c>
      <c r="I99" s="16">
        <v>3032743.43</v>
      </c>
      <c r="J99" s="16">
        <v>19974008.659999993</v>
      </c>
      <c r="K99" s="16">
        <v>0</v>
      </c>
      <c r="L99" s="16">
        <v>0</v>
      </c>
      <c r="M99" s="16">
        <v>9.39</v>
      </c>
      <c r="N99" s="18">
        <f t="shared" si="2"/>
        <v>339997887.56009972</v>
      </c>
      <c r="O99" s="4"/>
    </row>
    <row r="100" spans="1:15" ht="15" x14ac:dyDescent="0.2">
      <c r="A100" s="17" t="s">
        <v>95</v>
      </c>
      <c r="B100" s="16">
        <v>303985198.29999995</v>
      </c>
      <c r="C100" s="16">
        <v>0</v>
      </c>
      <c r="D100" s="16">
        <v>6057626.9289601576</v>
      </c>
      <c r="E100" s="16">
        <v>7173828.6099999994</v>
      </c>
      <c r="F100" s="16">
        <v>1379730.8825375042</v>
      </c>
      <c r="G100" s="16">
        <v>603191.22</v>
      </c>
      <c r="H100" s="16">
        <v>16049576.67</v>
      </c>
      <c r="I100" s="16">
        <v>3405070.5</v>
      </c>
      <c r="J100" s="16">
        <v>15617073.989999993</v>
      </c>
      <c r="K100" s="16">
        <v>0</v>
      </c>
      <c r="L100" s="16">
        <v>0</v>
      </c>
      <c r="M100" s="16">
        <v>10.55</v>
      </c>
      <c r="N100" s="18">
        <f t="shared" si="2"/>
        <v>354271307.65149766</v>
      </c>
      <c r="O100" s="4"/>
    </row>
    <row r="101" spans="1:15" ht="15" x14ac:dyDescent="0.2">
      <c r="A101" s="17" t="s">
        <v>96</v>
      </c>
      <c r="B101" s="16">
        <v>55847216.879999988</v>
      </c>
      <c r="C101" s="16">
        <v>0</v>
      </c>
      <c r="D101" s="16">
        <v>1802773.1935448768</v>
      </c>
      <c r="E101" s="16">
        <v>1316286.4799999997</v>
      </c>
      <c r="F101" s="16">
        <v>164823.34242259199</v>
      </c>
      <c r="G101" s="16">
        <v>89887.32</v>
      </c>
      <c r="H101" s="16">
        <v>2948578.4</v>
      </c>
      <c r="I101" s="16">
        <v>406771.43</v>
      </c>
      <c r="J101" s="16">
        <v>3380536.5300000007</v>
      </c>
      <c r="K101" s="16">
        <v>0</v>
      </c>
      <c r="L101" s="16">
        <v>0</v>
      </c>
      <c r="M101" s="16">
        <v>1.26</v>
      </c>
      <c r="N101" s="18">
        <f t="shared" si="2"/>
        <v>65956874.835967451</v>
      </c>
      <c r="O101" s="4"/>
    </row>
    <row r="102" spans="1:15" ht="15" x14ac:dyDescent="0.2">
      <c r="A102" s="17" t="s">
        <v>97</v>
      </c>
      <c r="B102" s="16">
        <v>181953570.09000003</v>
      </c>
      <c r="C102" s="16">
        <v>0</v>
      </c>
      <c r="D102" s="16">
        <v>8222962.4472716283</v>
      </c>
      <c r="E102" s="16">
        <v>4336345.16</v>
      </c>
      <c r="F102" s="16">
        <v>3191458.4286826081</v>
      </c>
      <c r="G102" s="16">
        <v>1582489.9</v>
      </c>
      <c r="H102" s="16">
        <v>9606644.6400000006</v>
      </c>
      <c r="I102" s="16">
        <v>7876275.7999999998</v>
      </c>
      <c r="J102" s="16">
        <v>22518732.819999997</v>
      </c>
      <c r="K102" s="16">
        <v>0</v>
      </c>
      <c r="L102" s="16">
        <v>0</v>
      </c>
      <c r="M102" s="16">
        <v>24.4</v>
      </c>
      <c r="N102" s="18">
        <f t="shared" si="2"/>
        <v>239288503.68595424</v>
      </c>
      <c r="O102" s="4"/>
    </row>
    <row r="103" spans="1:15" ht="15" x14ac:dyDescent="0.2">
      <c r="A103" s="17" t="s">
        <v>98</v>
      </c>
      <c r="B103" s="16">
        <v>63143817.479999989</v>
      </c>
      <c r="C103" s="16">
        <v>0</v>
      </c>
      <c r="D103" s="16">
        <v>3009638.4319987022</v>
      </c>
      <c r="E103" s="16">
        <v>1488968.89</v>
      </c>
      <c r="F103" s="16">
        <v>79088.619952776004</v>
      </c>
      <c r="G103" s="16">
        <v>54405.48</v>
      </c>
      <c r="H103" s="16">
        <v>3333818.71</v>
      </c>
      <c r="I103" s="16">
        <v>195184.68</v>
      </c>
      <c r="J103" s="16">
        <v>4775123.0199999996</v>
      </c>
      <c r="K103" s="16">
        <v>0</v>
      </c>
      <c r="L103" s="16">
        <v>0</v>
      </c>
      <c r="M103" s="16">
        <v>0.6</v>
      </c>
      <c r="N103" s="18">
        <f t="shared" si="2"/>
        <v>76080045.911951467</v>
      </c>
      <c r="O103" s="4"/>
    </row>
    <row r="104" spans="1:15" ht="15" x14ac:dyDescent="0.2">
      <c r="A104" s="17" t="s">
        <v>99</v>
      </c>
      <c r="B104" s="16">
        <v>876140039.37</v>
      </c>
      <c r="C104" s="16">
        <v>0</v>
      </c>
      <c r="D104" s="16">
        <v>18217544.010213409</v>
      </c>
      <c r="E104" s="16">
        <v>20658396.069999997</v>
      </c>
      <c r="F104" s="16">
        <v>16207850.208305446</v>
      </c>
      <c r="G104" s="16">
        <v>3078704.9638851704</v>
      </c>
      <c r="H104" s="16">
        <v>46257767.859999999</v>
      </c>
      <c r="I104" s="16">
        <v>39999737.189999998</v>
      </c>
      <c r="J104" s="16">
        <v>55350347.439999983</v>
      </c>
      <c r="K104" s="16">
        <v>0</v>
      </c>
      <c r="L104" s="16">
        <v>0</v>
      </c>
      <c r="M104" s="16">
        <v>123.93</v>
      </c>
      <c r="N104" s="18">
        <f t="shared" ref="N104:N135" si="3">SUM(B104:M104)</f>
        <v>1075910511.0424042</v>
      </c>
      <c r="O104" s="4"/>
    </row>
    <row r="105" spans="1:15" ht="15" x14ac:dyDescent="0.2">
      <c r="A105" s="17" t="s">
        <v>100</v>
      </c>
      <c r="B105" s="16">
        <v>150892546.94</v>
      </c>
      <c r="C105" s="16">
        <v>0</v>
      </c>
      <c r="D105" s="16">
        <v>1126852.9900000002</v>
      </c>
      <c r="E105" s="16">
        <v>2193214.52</v>
      </c>
      <c r="F105" s="16">
        <v>698505.37454090407</v>
      </c>
      <c r="G105" s="16">
        <v>390300.2</v>
      </c>
      <c r="H105" s="16">
        <v>7966708.6299999999</v>
      </c>
      <c r="I105" s="16">
        <v>1723857.95</v>
      </c>
      <c r="J105" s="16">
        <v>7024017</v>
      </c>
      <c r="K105" s="16">
        <v>0</v>
      </c>
      <c r="L105" s="16">
        <v>0</v>
      </c>
      <c r="M105" s="16">
        <v>5.34</v>
      </c>
      <c r="N105" s="18">
        <f t="shared" si="3"/>
        <v>172016008.94454089</v>
      </c>
      <c r="O105" s="4"/>
    </row>
    <row r="106" spans="1:15" ht="15" x14ac:dyDescent="0.2">
      <c r="A106" s="17" t="s">
        <v>101</v>
      </c>
      <c r="B106" s="16">
        <v>162927199.88</v>
      </c>
      <c r="C106" s="16">
        <v>0</v>
      </c>
      <c r="D106" s="16">
        <v>816790.77</v>
      </c>
      <c r="E106" s="16">
        <v>3845865.5599999996</v>
      </c>
      <c r="F106" s="16">
        <v>4949352.5444396883</v>
      </c>
      <c r="G106" s="16">
        <v>1303087.3876496181</v>
      </c>
      <c r="H106" s="16">
        <v>8602104.9800000004</v>
      </c>
      <c r="I106" s="16">
        <v>12214624.300000001</v>
      </c>
      <c r="J106" s="16">
        <v>18382251.300000008</v>
      </c>
      <c r="K106" s="16">
        <v>0</v>
      </c>
      <c r="L106" s="16">
        <v>0</v>
      </c>
      <c r="M106" s="16">
        <v>37.840000000000003</v>
      </c>
      <c r="N106" s="18">
        <f t="shared" si="3"/>
        <v>213041314.56208935</v>
      </c>
      <c r="O106" s="4"/>
    </row>
    <row r="107" spans="1:15" ht="15" x14ac:dyDescent="0.2">
      <c r="A107" s="17" t="s">
        <v>102</v>
      </c>
      <c r="B107" s="16">
        <v>227797316.60000002</v>
      </c>
      <c r="C107" s="16">
        <v>0</v>
      </c>
      <c r="D107" s="16">
        <v>4955701.8557892041</v>
      </c>
      <c r="E107" s="16">
        <v>5365766.120000001</v>
      </c>
      <c r="F107" s="16">
        <v>275148.64420545602</v>
      </c>
      <c r="G107" s="16">
        <v>238911.03</v>
      </c>
      <c r="H107" s="16">
        <v>12027067.5</v>
      </c>
      <c r="I107" s="16">
        <v>679045.85</v>
      </c>
      <c r="J107" s="16">
        <v>8763079.9199999981</v>
      </c>
      <c r="K107" s="16">
        <v>0</v>
      </c>
      <c r="L107" s="16">
        <v>0</v>
      </c>
      <c r="M107" s="16">
        <v>2.1</v>
      </c>
      <c r="N107" s="18">
        <f t="shared" si="3"/>
        <v>260102039.61999467</v>
      </c>
      <c r="O107" s="4"/>
    </row>
    <row r="108" spans="1:15" ht="15" x14ac:dyDescent="0.2">
      <c r="A108" s="17" t="s">
        <v>103</v>
      </c>
      <c r="B108" s="16">
        <v>82030106.179999992</v>
      </c>
      <c r="C108" s="16">
        <v>0</v>
      </c>
      <c r="D108" s="16">
        <v>1898180.3432983386</v>
      </c>
      <c r="E108" s="16">
        <v>1930796.2999999998</v>
      </c>
      <c r="F108" s="16">
        <v>279136.30571568001</v>
      </c>
      <c r="G108" s="16">
        <v>149023.71</v>
      </c>
      <c r="H108" s="16">
        <v>4330962.45</v>
      </c>
      <c r="I108" s="16">
        <v>688887.1</v>
      </c>
      <c r="J108" s="16">
        <v>4729212.8099999996</v>
      </c>
      <c r="K108" s="16">
        <v>0</v>
      </c>
      <c r="L108" s="16">
        <v>0</v>
      </c>
      <c r="M108" s="16">
        <v>2.13</v>
      </c>
      <c r="N108" s="18">
        <f t="shared" si="3"/>
        <v>96036307.329014003</v>
      </c>
      <c r="O108" s="4"/>
    </row>
    <row r="109" spans="1:15" ht="15" x14ac:dyDescent="0.2">
      <c r="A109" s="17" t="s">
        <v>104</v>
      </c>
      <c r="B109" s="16">
        <v>871748070.8599999</v>
      </c>
      <c r="C109" s="16">
        <v>0</v>
      </c>
      <c r="D109" s="16">
        <v>8207944.4850571221</v>
      </c>
      <c r="E109" s="16">
        <v>20555709.290000003</v>
      </c>
      <c r="F109" s="16">
        <v>28499816.813570928</v>
      </c>
      <c r="G109" s="16">
        <v>14602633.110780803</v>
      </c>
      <c r="H109" s="16">
        <v>46025884.090000004</v>
      </c>
      <c r="I109" s="16">
        <v>70335372.530000001</v>
      </c>
      <c r="J109" s="16">
        <v>86865191.280000031</v>
      </c>
      <c r="K109" s="16">
        <v>0</v>
      </c>
      <c r="L109" s="16">
        <v>0</v>
      </c>
      <c r="M109" s="16">
        <v>217.92</v>
      </c>
      <c r="N109" s="18">
        <f t="shared" si="3"/>
        <v>1146840840.3794088</v>
      </c>
      <c r="O109" s="4"/>
    </row>
    <row r="110" spans="1:15" ht="15" x14ac:dyDescent="0.2">
      <c r="A110" s="17" t="s">
        <v>105</v>
      </c>
      <c r="B110" s="16">
        <v>97521477.299999997</v>
      </c>
      <c r="C110" s="16">
        <v>0</v>
      </c>
      <c r="D110" s="16">
        <v>3074394.2992753526</v>
      </c>
      <c r="E110" s="16">
        <v>2303240.1799999997</v>
      </c>
      <c r="F110" s="16">
        <v>1089296.2025428559</v>
      </c>
      <c r="G110" s="16">
        <v>499111.16</v>
      </c>
      <c r="H110" s="16">
        <v>5148863.95</v>
      </c>
      <c r="I110" s="16">
        <v>2688299.88</v>
      </c>
      <c r="J110" s="16">
        <v>10041106.529999997</v>
      </c>
      <c r="K110" s="16">
        <v>0</v>
      </c>
      <c r="L110" s="16">
        <v>0</v>
      </c>
      <c r="M110" s="16">
        <v>8.32</v>
      </c>
      <c r="N110" s="18">
        <f t="shared" si="3"/>
        <v>122365797.8218182</v>
      </c>
      <c r="O110" s="4"/>
    </row>
    <row r="111" spans="1:15" ht="15" x14ac:dyDescent="0.2">
      <c r="A111" s="17" t="s">
        <v>106</v>
      </c>
      <c r="B111" s="16">
        <v>118068144.31</v>
      </c>
      <c r="C111" s="16">
        <v>0</v>
      </c>
      <c r="D111" s="16">
        <v>3966872.5809645662</v>
      </c>
      <c r="E111" s="16">
        <v>2779047.19</v>
      </c>
      <c r="F111" s="16">
        <v>379492.45372298395</v>
      </c>
      <c r="G111" s="16">
        <v>229449.21</v>
      </c>
      <c r="H111" s="16">
        <v>6233671.0700000003</v>
      </c>
      <c r="I111" s="16">
        <v>936558.41</v>
      </c>
      <c r="J111" s="16">
        <v>7784808.7699999986</v>
      </c>
      <c r="K111" s="16">
        <v>0</v>
      </c>
      <c r="L111" s="16">
        <v>0</v>
      </c>
      <c r="M111" s="16">
        <v>2.9</v>
      </c>
      <c r="N111" s="18">
        <f t="shared" si="3"/>
        <v>140378046.89468756</v>
      </c>
      <c r="O111" s="4"/>
    </row>
    <row r="112" spans="1:15" ht="15" x14ac:dyDescent="0.2">
      <c r="A112" s="17" t="s">
        <v>107</v>
      </c>
      <c r="B112" s="16">
        <v>164740019.88999999</v>
      </c>
      <c r="C112" s="16">
        <v>0</v>
      </c>
      <c r="D112" s="16">
        <v>5006018.427844109</v>
      </c>
      <c r="E112" s="16">
        <v>3883284.6399999997</v>
      </c>
      <c r="F112" s="16">
        <v>461239.514682576</v>
      </c>
      <c r="G112" s="16">
        <v>260200.13</v>
      </c>
      <c r="H112" s="16">
        <v>8697816.8599999994</v>
      </c>
      <c r="I112" s="16">
        <v>1138303.92</v>
      </c>
      <c r="J112" s="16">
        <v>8139811.049999997</v>
      </c>
      <c r="K112" s="16">
        <v>0</v>
      </c>
      <c r="L112" s="16">
        <v>0</v>
      </c>
      <c r="M112" s="16">
        <v>3.52</v>
      </c>
      <c r="N112" s="18">
        <f t="shared" si="3"/>
        <v>192326697.9525266</v>
      </c>
      <c r="O112" s="4"/>
    </row>
    <row r="113" spans="1:15" ht="15" x14ac:dyDescent="0.2">
      <c r="A113" s="17" t="s">
        <v>108</v>
      </c>
      <c r="B113" s="16">
        <v>126716119.84999998</v>
      </c>
      <c r="C113" s="16">
        <v>0</v>
      </c>
      <c r="D113" s="16">
        <v>5224921.4848088725</v>
      </c>
      <c r="E113" s="16">
        <v>2992845.7100000004</v>
      </c>
      <c r="F113" s="16">
        <v>649988.82616651198</v>
      </c>
      <c r="G113" s="16">
        <v>354818.36</v>
      </c>
      <c r="H113" s="16">
        <v>6690260.2300000004</v>
      </c>
      <c r="I113" s="16">
        <v>1604122.81</v>
      </c>
      <c r="J113" s="16">
        <v>8119056.3300000019</v>
      </c>
      <c r="K113" s="16">
        <v>0</v>
      </c>
      <c r="L113" s="16">
        <v>0</v>
      </c>
      <c r="M113" s="16">
        <v>4.97</v>
      </c>
      <c r="N113" s="18">
        <f t="shared" si="3"/>
        <v>152352138.57097539</v>
      </c>
      <c r="O113" s="4"/>
    </row>
    <row r="114" spans="1:15" ht="15" x14ac:dyDescent="0.2">
      <c r="A114" s="17" t="s">
        <v>109</v>
      </c>
      <c r="B114" s="16">
        <v>86232552.580000013</v>
      </c>
      <c r="C114" s="16">
        <v>0</v>
      </c>
      <c r="D114" s="16">
        <v>2678675.342312187</v>
      </c>
      <c r="E114" s="16">
        <v>2029712.03</v>
      </c>
      <c r="F114" s="16">
        <v>393449.26900876802</v>
      </c>
      <c r="G114" s="16">
        <v>189236.46</v>
      </c>
      <c r="H114" s="16">
        <v>4552839.99</v>
      </c>
      <c r="I114" s="16">
        <v>971002.76</v>
      </c>
      <c r="J114" s="16">
        <v>6010123.5700000012</v>
      </c>
      <c r="K114" s="16">
        <v>0</v>
      </c>
      <c r="L114" s="16">
        <v>0</v>
      </c>
      <c r="M114" s="16">
        <v>3</v>
      </c>
      <c r="N114" s="18">
        <f t="shared" si="3"/>
        <v>103057595.00132097</v>
      </c>
      <c r="O114" s="4"/>
    </row>
    <row r="115" spans="1:15" ht="15" x14ac:dyDescent="0.2">
      <c r="A115" s="17" t="s">
        <v>110</v>
      </c>
      <c r="B115" s="16">
        <v>226882666.47999996</v>
      </c>
      <c r="C115" s="16">
        <v>0</v>
      </c>
      <c r="D115" s="16">
        <v>2816323.7827233495</v>
      </c>
      <c r="E115" s="16">
        <v>5342338.16</v>
      </c>
      <c r="F115" s="16">
        <v>407406.08429455198</v>
      </c>
      <c r="G115" s="16">
        <v>314605.62</v>
      </c>
      <c r="H115" s="16">
        <v>11978776.51</v>
      </c>
      <c r="I115" s="16">
        <v>1005447.12</v>
      </c>
      <c r="J115" s="16">
        <v>7969133.9800000014</v>
      </c>
      <c r="K115" s="16">
        <v>0</v>
      </c>
      <c r="L115" s="16">
        <v>0</v>
      </c>
      <c r="M115" s="16">
        <v>3.11</v>
      </c>
      <c r="N115" s="18">
        <f t="shared" si="3"/>
        <v>256716700.84701785</v>
      </c>
      <c r="O115" s="4"/>
    </row>
    <row r="116" spans="1:15" ht="15" x14ac:dyDescent="0.2">
      <c r="A116" s="17" t="s">
        <v>111</v>
      </c>
      <c r="B116" s="16">
        <v>124046330.34</v>
      </c>
      <c r="C116" s="16">
        <v>0</v>
      </c>
      <c r="D116" s="16">
        <v>4022714.9129351596</v>
      </c>
      <c r="E116" s="16">
        <v>2936747.7</v>
      </c>
      <c r="F116" s="16">
        <v>1124520.545883168</v>
      </c>
      <c r="G116" s="16">
        <v>484918.43</v>
      </c>
      <c r="H116" s="16">
        <v>6549302.7400000002</v>
      </c>
      <c r="I116" s="16">
        <v>2775230.87</v>
      </c>
      <c r="J116" s="16">
        <v>11043165.429999996</v>
      </c>
      <c r="K116" s="16">
        <v>0</v>
      </c>
      <c r="L116" s="16">
        <v>0</v>
      </c>
      <c r="M116" s="16">
        <v>8.59</v>
      </c>
      <c r="N116" s="18">
        <f t="shared" si="3"/>
        <v>152982939.55881834</v>
      </c>
      <c r="O116" s="4"/>
    </row>
    <row r="117" spans="1:15" ht="15" x14ac:dyDescent="0.2">
      <c r="A117" s="17" t="s">
        <v>112</v>
      </c>
      <c r="B117" s="16">
        <v>66159690.810000002</v>
      </c>
      <c r="C117" s="16">
        <v>0</v>
      </c>
      <c r="D117" s="16">
        <v>820447.54666613392</v>
      </c>
      <c r="E117" s="16">
        <v>1575146.8599999999</v>
      </c>
      <c r="F117" s="16">
        <v>236601.24960662398</v>
      </c>
      <c r="G117" s="16">
        <v>130100.07</v>
      </c>
      <c r="H117" s="16">
        <v>3493048.47</v>
      </c>
      <c r="I117" s="16">
        <v>583913.81999999995</v>
      </c>
      <c r="J117" s="16">
        <v>3155058.4699999988</v>
      </c>
      <c r="K117" s="16">
        <v>0</v>
      </c>
      <c r="L117" s="16">
        <v>0</v>
      </c>
      <c r="M117" s="16">
        <v>1.8</v>
      </c>
      <c r="N117" s="18">
        <f t="shared" si="3"/>
        <v>76154009.096272737</v>
      </c>
      <c r="O117" s="4"/>
    </row>
    <row r="118" spans="1:15" ht="15" x14ac:dyDescent="0.2">
      <c r="A118" s="17" t="s">
        <v>113</v>
      </c>
      <c r="B118" s="16">
        <v>104187710.94999999</v>
      </c>
      <c r="C118" s="16">
        <v>0</v>
      </c>
      <c r="D118" s="16">
        <v>3557434.4645962641</v>
      </c>
      <c r="E118" s="16">
        <v>2475143.96</v>
      </c>
      <c r="F118" s="16">
        <v>1115880.6126110158</v>
      </c>
      <c r="G118" s="16">
        <v>494380.25</v>
      </c>
      <c r="H118" s="16">
        <v>5500822.6299999999</v>
      </c>
      <c r="I118" s="16">
        <v>2753908.18</v>
      </c>
      <c r="J118" s="16">
        <v>8691657.2400000039</v>
      </c>
      <c r="K118" s="16">
        <v>0</v>
      </c>
      <c r="L118" s="16">
        <v>0</v>
      </c>
      <c r="M118" s="16">
        <v>8.5299999999999994</v>
      </c>
      <c r="N118" s="18">
        <f t="shared" si="3"/>
        <v>128776946.81720728</v>
      </c>
      <c r="O118" s="4"/>
    </row>
    <row r="119" spans="1:15" ht="15" x14ac:dyDescent="0.2">
      <c r="A119" s="17" t="s">
        <v>114</v>
      </c>
      <c r="B119" s="16">
        <v>153265693.15000001</v>
      </c>
      <c r="C119" s="16">
        <v>0</v>
      </c>
      <c r="D119" s="16">
        <v>2863885.0351207587</v>
      </c>
      <c r="E119" s="16">
        <v>3610729.0599999996</v>
      </c>
      <c r="F119" s="16">
        <v>896559.22954869596</v>
      </c>
      <c r="G119" s="16">
        <v>347722</v>
      </c>
      <c r="H119" s="16">
        <v>8092004.1799999997</v>
      </c>
      <c r="I119" s="16">
        <v>2212639.75</v>
      </c>
      <c r="J119" s="16">
        <v>8028424.950000002</v>
      </c>
      <c r="K119" s="16">
        <v>0</v>
      </c>
      <c r="L119" s="16">
        <v>0</v>
      </c>
      <c r="M119" s="16">
        <v>6.85</v>
      </c>
      <c r="N119" s="18">
        <f t="shared" si="3"/>
        <v>179317664.20466945</v>
      </c>
      <c r="O119" s="4"/>
    </row>
    <row r="120" spans="1:15" ht="15" x14ac:dyDescent="0.2">
      <c r="A120" s="17" t="s">
        <v>115</v>
      </c>
      <c r="B120" s="16">
        <v>98716290.500000015</v>
      </c>
      <c r="C120" s="16">
        <v>0</v>
      </c>
      <c r="D120" s="16">
        <v>2875972.4900471848</v>
      </c>
      <c r="E120" s="16">
        <v>2340846.75</v>
      </c>
      <c r="F120" s="16">
        <v>604130.71879893588</v>
      </c>
      <c r="G120" s="16">
        <v>350087.45</v>
      </c>
      <c r="H120" s="16">
        <v>5211946.78</v>
      </c>
      <c r="I120" s="16">
        <v>1490948.5</v>
      </c>
      <c r="J120" s="16">
        <v>8498232.9699999988</v>
      </c>
      <c r="K120" s="16">
        <v>0</v>
      </c>
      <c r="L120" s="16">
        <v>0</v>
      </c>
      <c r="M120" s="16">
        <v>4.6100000000000003</v>
      </c>
      <c r="N120" s="18">
        <f t="shared" si="3"/>
        <v>120088460.76884614</v>
      </c>
      <c r="O120" s="4"/>
    </row>
    <row r="121" spans="1:15" ht="15" x14ac:dyDescent="0.2">
      <c r="A121" s="17" t="s">
        <v>116</v>
      </c>
      <c r="B121" s="16">
        <v>115703238.18000001</v>
      </c>
      <c r="C121" s="16">
        <v>0</v>
      </c>
      <c r="D121" s="16">
        <v>2805012.9782230537</v>
      </c>
      <c r="E121" s="16">
        <v>2723382.86</v>
      </c>
      <c r="F121" s="16">
        <v>253881.11615092799</v>
      </c>
      <c r="G121" s="16">
        <v>127734.61</v>
      </c>
      <c r="H121" s="16">
        <v>6108810.5700000003</v>
      </c>
      <c r="I121" s="16">
        <v>626559.22</v>
      </c>
      <c r="J121" s="16">
        <v>4655678.8000000007</v>
      </c>
      <c r="K121" s="16">
        <v>0</v>
      </c>
      <c r="L121" s="16">
        <v>0</v>
      </c>
      <c r="M121" s="16">
        <v>1.94</v>
      </c>
      <c r="N121" s="18">
        <f t="shared" si="3"/>
        <v>133004300.27437399</v>
      </c>
      <c r="O121" s="4"/>
    </row>
    <row r="122" spans="1:15" ht="15" x14ac:dyDescent="0.2">
      <c r="A122" s="17" t="s">
        <v>117</v>
      </c>
      <c r="B122" s="16">
        <v>347768922.00999999</v>
      </c>
      <c r="C122" s="16">
        <v>0</v>
      </c>
      <c r="D122" s="16">
        <v>4843134.75</v>
      </c>
      <c r="E122" s="16">
        <v>8222514.8499999996</v>
      </c>
      <c r="F122" s="16">
        <v>7643017.8945959993</v>
      </c>
      <c r="G122" s="16">
        <v>3251495.723320215</v>
      </c>
      <c r="H122" s="16">
        <v>18361236.039999999</v>
      </c>
      <c r="I122" s="16">
        <v>18862384.780000001</v>
      </c>
      <c r="J122" s="16">
        <v>22619949.670000009</v>
      </c>
      <c r="K122" s="16">
        <v>0</v>
      </c>
      <c r="L122" s="16">
        <v>0</v>
      </c>
      <c r="M122" s="16">
        <v>58.44</v>
      </c>
      <c r="N122" s="18">
        <f t="shared" si="3"/>
        <v>431572714.15791619</v>
      </c>
      <c r="O122" s="4"/>
    </row>
    <row r="123" spans="1:15" ht="15" x14ac:dyDescent="0.2">
      <c r="A123" s="17" t="s">
        <v>118</v>
      </c>
      <c r="B123" s="16">
        <v>872728641.71000004</v>
      </c>
      <c r="C123" s="16">
        <v>0</v>
      </c>
      <c r="D123" s="16">
        <v>9632081.9050000012</v>
      </c>
      <c r="E123" s="16">
        <v>20639666.219999999</v>
      </c>
      <c r="F123" s="16">
        <v>10624459.483740143</v>
      </c>
      <c r="G123" s="16">
        <v>8233441.9609009735</v>
      </c>
      <c r="H123" s="16">
        <v>46077655.509999998</v>
      </c>
      <c r="I123" s="16">
        <v>26220355.050000001</v>
      </c>
      <c r="J123" s="16">
        <v>29924454.20000001</v>
      </c>
      <c r="K123" s="16">
        <v>0</v>
      </c>
      <c r="L123" s="16">
        <v>0</v>
      </c>
      <c r="M123" s="16">
        <v>81.239999999999995</v>
      </c>
      <c r="N123" s="18">
        <f t="shared" si="3"/>
        <v>1024080837.2796412</v>
      </c>
      <c r="O123" s="4"/>
    </row>
    <row r="124" spans="1:15" ht="15" x14ac:dyDescent="0.2">
      <c r="A124" s="17" t="s">
        <v>119</v>
      </c>
      <c r="B124" s="16">
        <v>666215480.18000007</v>
      </c>
      <c r="C124" s="16">
        <v>0</v>
      </c>
      <c r="D124" s="16">
        <v>3899189.85</v>
      </c>
      <c r="E124" s="16">
        <v>15701348.439999998</v>
      </c>
      <c r="F124" s="16">
        <v>13605236.462632585</v>
      </c>
      <c r="G124" s="16">
        <v>0</v>
      </c>
      <c r="H124" s="16">
        <v>35174332.460000001</v>
      </c>
      <c r="I124" s="16">
        <v>33576685.119999997</v>
      </c>
      <c r="J124" s="16">
        <v>41875419.799999997</v>
      </c>
      <c r="K124" s="16">
        <v>0</v>
      </c>
      <c r="L124" s="16">
        <v>0</v>
      </c>
      <c r="M124" s="16">
        <v>104.03</v>
      </c>
      <c r="N124" s="18">
        <f t="shared" si="3"/>
        <v>810047796.34263253</v>
      </c>
      <c r="O124" s="4"/>
    </row>
    <row r="125" spans="1:15" ht="15" x14ac:dyDescent="0.2">
      <c r="A125" s="17" t="s">
        <v>120</v>
      </c>
      <c r="B125" s="16">
        <v>232691930.63000005</v>
      </c>
      <c r="C125" s="16">
        <v>0</v>
      </c>
      <c r="D125" s="16">
        <v>16310769.355105907</v>
      </c>
      <c r="E125" s="16">
        <v>5477022.2699999996</v>
      </c>
      <c r="F125" s="16">
        <v>5290297.6035638405</v>
      </c>
      <c r="G125" s="16">
        <v>2206970.2200000002</v>
      </c>
      <c r="H125" s="16">
        <v>12285489.57</v>
      </c>
      <c r="I125" s="16">
        <v>13056050.68</v>
      </c>
      <c r="J125" s="16">
        <v>26152995.54999999</v>
      </c>
      <c r="K125" s="16">
        <v>0</v>
      </c>
      <c r="L125" s="16">
        <v>0</v>
      </c>
      <c r="M125" s="16">
        <v>40.450000000000003</v>
      </c>
      <c r="N125" s="18">
        <f t="shared" si="3"/>
        <v>313471566.32866985</v>
      </c>
      <c r="O125" s="4"/>
    </row>
    <row r="126" spans="1:15" ht="15" x14ac:dyDescent="0.2">
      <c r="A126" s="17" t="s">
        <v>121</v>
      </c>
      <c r="B126" s="16">
        <v>280842902.61000001</v>
      </c>
      <c r="C126" s="16">
        <v>0</v>
      </c>
      <c r="D126" s="16">
        <v>3970968.0246939426</v>
      </c>
      <c r="E126" s="16">
        <v>6621817.7200000007</v>
      </c>
      <c r="F126" s="16">
        <v>2648471.85304044</v>
      </c>
      <c r="G126" s="16">
        <v>894142.27</v>
      </c>
      <c r="H126" s="16">
        <v>14827727.550000001</v>
      </c>
      <c r="I126" s="16">
        <v>6536226.3799999999</v>
      </c>
      <c r="J126" s="16">
        <v>17003156.519999996</v>
      </c>
      <c r="K126" s="16">
        <v>0</v>
      </c>
      <c r="L126" s="16">
        <v>0</v>
      </c>
      <c r="M126" s="16">
        <v>20.25</v>
      </c>
      <c r="N126" s="18">
        <f t="shared" si="3"/>
        <v>333345433.17773443</v>
      </c>
      <c r="O126" s="4"/>
    </row>
    <row r="127" spans="1:15" ht="15" x14ac:dyDescent="0.2">
      <c r="A127" s="17" t="s">
        <v>122</v>
      </c>
      <c r="B127" s="16">
        <v>137325237.05000001</v>
      </c>
      <c r="C127" s="16">
        <v>0</v>
      </c>
      <c r="D127" s="16">
        <v>1771720.5380286081</v>
      </c>
      <c r="E127" s="16">
        <v>3244671.04</v>
      </c>
      <c r="F127" s="16">
        <v>2811301.3647079198</v>
      </c>
      <c r="G127" s="16">
        <v>901238.64</v>
      </c>
      <c r="H127" s="16">
        <v>7250392.2400000002</v>
      </c>
      <c r="I127" s="16">
        <v>6938077.1799999997</v>
      </c>
      <c r="J127" s="16">
        <v>18916613.319999997</v>
      </c>
      <c r="K127" s="16">
        <v>0</v>
      </c>
      <c r="L127" s="16">
        <v>0</v>
      </c>
      <c r="M127" s="16">
        <v>21.49</v>
      </c>
      <c r="N127" s="18">
        <f t="shared" si="3"/>
        <v>179159272.86273652</v>
      </c>
      <c r="O127" s="4"/>
    </row>
    <row r="128" spans="1:15" ht="15" x14ac:dyDescent="0.2">
      <c r="A128" s="17" t="s">
        <v>123</v>
      </c>
      <c r="B128" s="16">
        <v>76715247.439999998</v>
      </c>
      <c r="C128" s="16">
        <v>0</v>
      </c>
      <c r="D128" s="16">
        <v>1728277.251672762</v>
      </c>
      <c r="E128" s="16">
        <v>1809570.5099999998</v>
      </c>
      <c r="F128" s="16">
        <v>257204.16740944798</v>
      </c>
      <c r="G128" s="16">
        <v>153754.62</v>
      </c>
      <c r="H128" s="16">
        <v>4050352.63</v>
      </c>
      <c r="I128" s="16">
        <v>634760.25</v>
      </c>
      <c r="J128" s="16">
        <v>4118432.4400000009</v>
      </c>
      <c r="K128" s="16">
        <v>0</v>
      </c>
      <c r="L128" s="16">
        <v>0</v>
      </c>
      <c r="M128" s="16">
        <v>1.96</v>
      </c>
      <c r="N128" s="18">
        <f t="shared" si="3"/>
        <v>89467601.269082204</v>
      </c>
      <c r="O128" s="4"/>
    </row>
    <row r="129" spans="1:15" ht="15" x14ac:dyDescent="0.2">
      <c r="A129" s="17" t="s">
        <v>124</v>
      </c>
      <c r="B129" s="16">
        <v>430800199.33000004</v>
      </c>
      <c r="C129" s="16">
        <v>0</v>
      </c>
      <c r="D129" s="16">
        <v>13810193.751369111</v>
      </c>
      <c r="E129" s="16">
        <v>8902826.290000001</v>
      </c>
      <c r="F129" s="16">
        <v>3271211.6588870883</v>
      </c>
      <c r="G129" s="16">
        <v>1875806.41</v>
      </c>
      <c r="H129" s="16">
        <v>22745057.550000001</v>
      </c>
      <c r="I129" s="16">
        <v>8073100.6900000004</v>
      </c>
      <c r="J129" s="16">
        <v>26584505.419999987</v>
      </c>
      <c r="K129" s="16">
        <v>0</v>
      </c>
      <c r="L129" s="16">
        <v>0</v>
      </c>
      <c r="M129" s="16">
        <v>25.01</v>
      </c>
      <c r="N129" s="18">
        <f t="shared" si="3"/>
        <v>516062926.11025631</v>
      </c>
      <c r="O129" s="4"/>
    </row>
    <row r="130" spans="1:15" ht="15" x14ac:dyDescent="0.2">
      <c r="A130" s="17" t="s">
        <v>125</v>
      </c>
      <c r="B130" s="16">
        <v>129270548.06999999</v>
      </c>
      <c r="C130" s="16">
        <v>0</v>
      </c>
      <c r="D130" s="16">
        <v>4505844.7926373286</v>
      </c>
      <c r="E130" s="16">
        <v>3044312.8699999996</v>
      </c>
      <c r="F130" s="16">
        <v>404747.64328773605</v>
      </c>
      <c r="G130" s="16">
        <v>139561.89000000001</v>
      </c>
      <c r="H130" s="16">
        <v>6825126.96</v>
      </c>
      <c r="I130" s="16">
        <v>998886.29</v>
      </c>
      <c r="J130" s="16">
        <v>6991249.4299999978</v>
      </c>
      <c r="K130" s="16">
        <v>0</v>
      </c>
      <c r="L130" s="16">
        <v>0</v>
      </c>
      <c r="M130" s="16">
        <v>3.09</v>
      </c>
      <c r="N130" s="18">
        <f t="shared" si="3"/>
        <v>152180281.03592506</v>
      </c>
      <c r="O130" s="4"/>
    </row>
    <row r="131" spans="1:15" ht="15" x14ac:dyDescent="0.2">
      <c r="A131" s="17" t="s">
        <v>126</v>
      </c>
      <c r="B131" s="16">
        <v>682646221.70000005</v>
      </c>
      <c r="C131" s="16">
        <v>0</v>
      </c>
      <c r="D131" s="16">
        <v>7658547.6400000006</v>
      </c>
      <c r="E131" s="16">
        <v>36263392.789999999</v>
      </c>
      <c r="F131" s="16">
        <v>17872034.278572265</v>
      </c>
      <c r="G131" s="16">
        <v>1635756.5864676186</v>
      </c>
      <c r="H131" s="16">
        <v>36041830.119999997</v>
      </c>
      <c r="I131" s="16">
        <v>44106816.450000003</v>
      </c>
      <c r="J131" s="16">
        <v>56618442.719999999</v>
      </c>
      <c r="K131" s="16">
        <v>0</v>
      </c>
      <c r="L131" s="16">
        <v>0</v>
      </c>
      <c r="M131" s="16">
        <v>136.65</v>
      </c>
      <c r="N131" s="18">
        <f t="shared" si="3"/>
        <v>882843178.93504</v>
      </c>
      <c r="O131" s="4"/>
    </row>
    <row r="132" spans="1:15" ht="15" x14ac:dyDescent="0.2">
      <c r="A132" s="17" t="s">
        <v>127</v>
      </c>
      <c r="B132" s="16">
        <v>28963919.869999997</v>
      </c>
      <c r="C132" s="16">
        <v>0</v>
      </c>
      <c r="D132" s="16">
        <v>225337.562610817</v>
      </c>
      <c r="E132" s="16">
        <v>681742.73</v>
      </c>
      <c r="F132" s="16">
        <v>76430.178945959997</v>
      </c>
      <c r="G132" s="16">
        <v>26020.01</v>
      </c>
      <c r="H132" s="16">
        <v>1529214.77</v>
      </c>
      <c r="I132" s="16">
        <v>188623.85</v>
      </c>
      <c r="J132" s="16">
        <v>2010867.6000000006</v>
      </c>
      <c r="K132" s="16">
        <v>0</v>
      </c>
      <c r="L132" s="16">
        <v>0</v>
      </c>
      <c r="M132" s="16">
        <v>0.57999999999999996</v>
      </c>
      <c r="N132" s="18">
        <f t="shared" si="3"/>
        <v>33702157.151556775</v>
      </c>
      <c r="O132" s="4"/>
    </row>
    <row r="133" spans="1:15" ht="15" x14ac:dyDescent="0.2">
      <c r="A133" s="17" t="s">
        <v>128</v>
      </c>
      <c r="B133" s="16">
        <v>165156144.54999998</v>
      </c>
      <c r="C133" s="16">
        <v>0</v>
      </c>
      <c r="D133" s="16">
        <v>3471840.4829351599</v>
      </c>
      <c r="E133" s="16">
        <v>731917.53</v>
      </c>
      <c r="F133" s="16">
        <v>276477.86470886396</v>
      </c>
      <c r="G133" s="16">
        <v>191601.92000000001</v>
      </c>
      <c r="H133" s="16">
        <v>8719787.0800000001</v>
      </c>
      <c r="I133" s="16">
        <v>682326.27</v>
      </c>
      <c r="J133" s="16">
        <v>7322017.9299999978</v>
      </c>
      <c r="K133" s="16">
        <v>0</v>
      </c>
      <c r="L133" s="16">
        <v>0</v>
      </c>
      <c r="M133" s="16">
        <v>2.11</v>
      </c>
      <c r="N133" s="18">
        <f t="shared" si="3"/>
        <v>186552115.73764405</v>
      </c>
      <c r="O133" s="4"/>
    </row>
    <row r="134" spans="1:15" ht="15" x14ac:dyDescent="0.2">
      <c r="A134" s="17" t="s">
        <v>129</v>
      </c>
      <c r="B134" s="16">
        <v>317478347.34999996</v>
      </c>
      <c r="C134" s="16">
        <v>0</v>
      </c>
      <c r="D134" s="16">
        <v>7483606.6094043367</v>
      </c>
      <c r="E134" s="16">
        <v>7481366.7800000012</v>
      </c>
      <c r="F134" s="16">
        <v>1290008.498557464</v>
      </c>
      <c r="G134" s="16">
        <v>650500.32999999996</v>
      </c>
      <c r="H134" s="16">
        <v>16761977.58</v>
      </c>
      <c r="I134" s="16">
        <v>3183642.51</v>
      </c>
      <c r="J134" s="16">
        <v>16295351.940000003</v>
      </c>
      <c r="K134" s="16">
        <v>0</v>
      </c>
      <c r="L134" s="16">
        <v>0</v>
      </c>
      <c r="M134" s="16">
        <v>9.86</v>
      </c>
      <c r="N134" s="18">
        <f t="shared" si="3"/>
        <v>370624811.45796174</v>
      </c>
      <c r="O134" s="4"/>
    </row>
    <row r="135" spans="1:15" ht="15" x14ac:dyDescent="0.2">
      <c r="A135" s="17" t="s">
        <v>130</v>
      </c>
      <c r="B135" s="16">
        <v>264321520.10999998</v>
      </c>
      <c r="C135" s="16">
        <v>0</v>
      </c>
      <c r="D135" s="16">
        <v>9785108.5351480693</v>
      </c>
      <c r="E135" s="16">
        <v>6221508.6299999999</v>
      </c>
      <c r="F135" s="16">
        <v>1941991.1554790882</v>
      </c>
      <c r="G135" s="16">
        <v>865756.81</v>
      </c>
      <c r="H135" s="16">
        <v>13955444.300000001</v>
      </c>
      <c r="I135" s="16">
        <v>4792685.9400000004</v>
      </c>
      <c r="J135" s="16">
        <v>17490745.859999999</v>
      </c>
      <c r="K135" s="16">
        <v>0</v>
      </c>
      <c r="L135" s="16">
        <v>0</v>
      </c>
      <c r="M135" s="16">
        <v>14.84</v>
      </c>
      <c r="N135" s="18">
        <f t="shared" si="3"/>
        <v>319374776.18062711</v>
      </c>
      <c r="O135" s="4"/>
    </row>
    <row r="136" spans="1:15" ht="15" x14ac:dyDescent="0.2">
      <c r="A136" s="17" t="s">
        <v>131</v>
      </c>
      <c r="B136" s="16">
        <v>449398084.8300001</v>
      </c>
      <c r="C136" s="16">
        <v>0</v>
      </c>
      <c r="D136" s="16">
        <v>3949163.9199999995</v>
      </c>
      <c r="E136" s="16">
        <v>10749586.57</v>
      </c>
      <c r="F136" s="16">
        <v>11554249.22587404</v>
      </c>
      <c r="G136" s="16">
        <v>6027320.5797231989</v>
      </c>
      <c r="H136" s="16">
        <v>23726974.399999999</v>
      </c>
      <c r="I136" s="16">
        <v>28515005.170000002</v>
      </c>
      <c r="J136" s="16">
        <v>40906663.569999993</v>
      </c>
      <c r="K136" s="16">
        <v>0</v>
      </c>
      <c r="L136" s="16">
        <v>0</v>
      </c>
      <c r="M136" s="16">
        <v>88.35</v>
      </c>
      <c r="N136" s="18">
        <f t="shared" ref="N136:N142" si="4">SUM(B136:M136)</f>
        <v>574827136.61559737</v>
      </c>
      <c r="O136" s="4"/>
    </row>
    <row r="137" spans="1:15" ht="15" x14ac:dyDescent="0.2">
      <c r="A137" s="17" t="s">
        <v>132</v>
      </c>
      <c r="B137" s="16">
        <v>73983657.269999996</v>
      </c>
      <c r="C137" s="16">
        <v>0</v>
      </c>
      <c r="D137" s="16">
        <v>2250140.5949412799</v>
      </c>
      <c r="E137" s="16">
        <v>1748058.71</v>
      </c>
      <c r="F137" s="16">
        <v>138238.93235443198</v>
      </c>
      <c r="G137" s="16">
        <v>132465.51999999999</v>
      </c>
      <c r="H137" s="16">
        <v>3906132.23</v>
      </c>
      <c r="I137" s="16">
        <v>341163.13</v>
      </c>
      <c r="J137" s="16">
        <v>3812878.8600000003</v>
      </c>
      <c r="K137" s="16">
        <v>0</v>
      </c>
      <c r="L137" s="16">
        <v>0</v>
      </c>
      <c r="M137" s="16">
        <v>1.05</v>
      </c>
      <c r="N137" s="18">
        <f t="shared" si="4"/>
        <v>86312736.29729569</v>
      </c>
      <c r="O137" s="4"/>
    </row>
    <row r="138" spans="1:15" ht="15" x14ac:dyDescent="0.2">
      <c r="A138" s="17" t="s">
        <v>133</v>
      </c>
      <c r="B138" s="16">
        <v>160006087.62</v>
      </c>
      <c r="C138" s="16">
        <v>0</v>
      </c>
      <c r="D138" s="16">
        <v>7327718.1348361829</v>
      </c>
      <c r="E138" s="16">
        <v>3799173.0299999993</v>
      </c>
      <c r="F138" s="16">
        <v>1203609.165835944</v>
      </c>
      <c r="G138" s="16">
        <v>541689.37</v>
      </c>
      <c r="H138" s="16">
        <v>8447878.3399999999</v>
      </c>
      <c r="I138" s="16">
        <v>2970415.55</v>
      </c>
      <c r="J138" s="16">
        <v>14077263.269999994</v>
      </c>
      <c r="K138" s="16">
        <v>0</v>
      </c>
      <c r="L138" s="16">
        <v>0</v>
      </c>
      <c r="M138" s="16">
        <v>9.1999999999999993</v>
      </c>
      <c r="N138" s="18">
        <f t="shared" si="4"/>
        <v>198373843.68067214</v>
      </c>
      <c r="O138" s="4"/>
    </row>
    <row r="139" spans="1:15" ht="15" x14ac:dyDescent="0.2">
      <c r="A139" s="17" t="s">
        <v>134</v>
      </c>
      <c r="B139" s="16">
        <v>705215831.02999997</v>
      </c>
      <c r="C139" s="16">
        <v>0</v>
      </c>
      <c r="D139" s="16">
        <v>7090855.1199999992</v>
      </c>
      <c r="E139" s="16">
        <v>16779871.620000001</v>
      </c>
      <c r="F139" s="16">
        <v>6190179.8843710562</v>
      </c>
      <c r="G139" s="16">
        <v>5650307.9122521821</v>
      </c>
      <c r="H139" s="16">
        <v>37233442.960000001</v>
      </c>
      <c r="I139" s="16">
        <v>15276891.460000001</v>
      </c>
      <c r="J139" s="16">
        <v>25566657.270000011</v>
      </c>
      <c r="K139" s="16">
        <v>0</v>
      </c>
      <c r="L139" s="16">
        <v>0</v>
      </c>
      <c r="M139" s="16">
        <v>47.33</v>
      </c>
      <c r="N139" s="18">
        <f t="shared" si="4"/>
        <v>819004084.58662331</v>
      </c>
      <c r="O139" s="4"/>
    </row>
    <row r="140" spans="1:15" ht="15" x14ac:dyDescent="0.2">
      <c r="A140" s="17" t="s">
        <v>135</v>
      </c>
      <c r="B140" s="16">
        <v>198668594.78</v>
      </c>
      <c r="C140" s="16">
        <v>0</v>
      </c>
      <c r="D140" s="16">
        <v>1266886.73</v>
      </c>
      <c r="E140" s="16">
        <v>4697171.74</v>
      </c>
      <c r="F140" s="16">
        <v>1020841.3466173438</v>
      </c>
      <c r="G140" s="16">
        <v>480187.52</v>
      </c>
      <c r="H140" s="16">
        <v>10489151.65</v>
      </c>
      <c r="I140" s="16">
        <v>2519358.52</v>
      </c>
      <c r="J140" s="16">
        <v>6707045.3000000017</v>
      </c>
      <c r="K140" s="16">
        <v>0</v>
      </c>
      <c r="L140" s="16">
        <v>0</v>
      </c>
      <c r="M140" s="16">
        <v>7.8</v>
      </c>
      <c r="N140" s="18">
        <f t="shared" si="4"/>
        <v>225849245.38661739</v>
      </c>
      <c r="O140" s="4"/>
    </row>
    <row r="141" spans="1:15" ht="15" x14ac:dyDescent="0.2">
      <c r="A141" s="17" t="s">
        <v>136</v>
      </c>
      <c r="B141" s="16">
        <v>240948501.88999996</v>
      </c>
      <c r="C141" s="16">
        <v>0</v>
      </c>
      <c r="D141" s="16">
        <v>4648835.498268527</v>
      </c>
      <c r="E141" s="16">
        <v>5671766.8899999997</v>
      </c>
      <c r="F141" s="16">
        <v>1472111.7075243602</v>
      </c>
      <c r="G141" s="16">
        <v>468360.24</v>
      </c>
      <c r="H141" s="16">
        <v>12721413.67</v>
      </c>
      <c r="I141" s="16">
        <v>3633059.33</v>
      </c>
      <c r="J141" s="16">
        <v>17533028.720000006</v>
      </c>
      <c r="K141" s="16">
        <v>0</v>
      </c>
      <c r="L141" s="16">
        <v>0</v>
      </c>
      <c r="M141" s="16">
        <v>11.25</v>
      </c>
      <c r="N141" s="18">
        <f t="shared" si="4"/>
        <v>287097089.19579285</v>
      </c>
      <c r="O141" s="4"/>
    </row>
    <row r="142" spans="1:15" ht="15" x14ac:dyDescent="0.2">
      <c r="A142" s="17" t="s">
        <v>137</v>
      </c>
      <c r="B142" s="16">
        <v>227957998.34000003</v>
      </c>
      <c r="C142" s="16">
        <v>0</v>
      </c>
      <c r="D142" s="16">
        <v>3149750.990524495</v>
      </c>
      <c r="E142" s="16">
        <v>5369747.5099999998</v>
      </c>
      <c r="F142" s="16">
        <v>6329083.4269771921</v>
      </c>
      <c r="G142" s="16">
        <v>1729148.16</v>
      </c>
      <c r="H142" s="16">
        <v>12035551.050000001</v>
      </c>
      <c r="I142" s="16">
        <v>15619694.810000001</v>
      </c>
      <c r="J142" s="16">
        <v>23803866.029999997</v>
      </c>
      <c r="K142" s="16">
        <v>0</v>
      </c>
      <c r="L142" s="16">
        <v>0</v>
      </c>
      <c r="M142" s="16">
        <v>48.39</v>
      </c>
      <c r="N142" s="18">
        <f t="shared" si="4"/>
        <v>295994888.70750165</v>
      </c>
      <c r="O142" s="4"/>
    </row>
    <row r="143" spans="1:15" ht="24.75" customHeight="1" x14ac:dyDescent="0.2">
      <c r="A143" s="24" t="s">
        <v>138</v>
      </c>
      <c r="B143" s="25">
        <f>SUM(B8:B142)</f>
        <v>41200455163.840004</v>
      </c>
      <c r="C143" s="25"/>
      <c r="D143" s="25">
        <f t="shared" ref="D143:L143" si="5">SUM(D8:D142)</f>
        <v>662287259.23596919</v>
      </c>
      <c r="E143" s="25">
        <f t="shared" si="5"/>
        <v>980188806.33999956</v>
      </c>
      <c r="F143" s="25">
        <f t="shared" si="5"/>
        <v>664610251.70400012</v>
      </c>
      <c r="G143" s="25">
        <f t="shared" si="5"/>
        <v>236545575.39000008</v>
      </c>
      <c r="H143" s="25">
        <f t="shared" si="5"/>
        <v>2175269940.3899999</v>
      </c>
      <c r="I143" s="25">
        <f t="shared" si="5"/>
        <v>1640207372.1999998</v>
      </c>
      <c r="J143" s="25">
        <f t="shared" si="5"/>
        <v>2973468733.6200008</v>
      </c>
      <c r="K143" s="25">
        <f t="shared" si="5"/>
        <v>0</v>
      </c>
      <c r="L143" s="25">
        <f t="shared" si="5"/>
        <v>0</v>
      </c>
      <c r="M143" s="25">
        <f t="shared" ref="M143" si="6">SUM(M8:M142)</f>
        <v>5081.3199999999988</v>
      </c>
      <c r="N143" s="25">
        <f>SUM(N8:N142)</f>
        <v>50533038184.039955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44AEAC"/>
  </sheetPr>
  <dimension ref="A1:O275"/>
  <sheetViews>
    <sheetView showGridLines="0" tabSelected="1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153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175416591.96999997</v>
      </c>
      <c r="C8" s="16">
        <v>0</v>
      </c>
      <c r="D8" s="16">
        <v>23150176.324914966</v>
      </c>
      <c r="E8" s="16">
        <v>2716525.76</v>
      </c>
      <c r="F8" s="16">
        <v>629969.09</v>
      </c>
      <c r="G8" s="16">
        <v>279542.65999999997</v>
      </c>
      <c r="H8" s="16">
        <v>8885642.1899999995</v>
      </c>
      <c r="I8" s="16">
        <v>1304821.57</v>
      </c>
      <c r="J8" s="16">
        <v>8950735.6000000015</v>
      </c>
      <c r="K8" s="16">
        <v>0</v>
      </c>
      <c r="L8" s="16">
        <v>0</v>
      </c>
      <c r="M8" s="16">
        <v>39.680000000000007</v>
      </c>
      <c r="N8" s="18">
        <f t="shared" ref="N8:N39" si="0">SUM(B8:M8)</f>
        <v>221334044.84491491</v>
      </c>
      <c r="O8" s="4"/>
    </row>
    <row r="9" spans="1:15" ht="18" customHeight="1" x14ac:dyDescent="0.2">
      <c r="A9" s="17" t="s">
        <v>4</v>
      </c>
      <c r="B9" s="16">
        <v>99014277.819999993</v>
      </c>
      <c r="C9" s="16">
        <v>0</v>
      </c>
      <c r="D9" s="16">
        <v>23032412.195288636</v>
      </c>
      <c r="E9" s="16">
        <v>1519107.09</v>
      </c>
      <c r="F9" s="16">
        <v>441369.64</v>
      </c>
      <c r="G9" s="16">
        <v>197475.09</v>
      </c>
      <c r="H9" s="16">
        <v>5015520.1100000003</v>
      </c>
      <c r="I9" s="16">
        <v>914185.55</v>
      </c>
      <c r="J9" s="16">
        <v>6806071.6200000001</v>
      </c>
      <c r="K9" s="16">
        <v>0</v>
      </c>
      <c r="L9" s="16">
        <v>0</v>
      </c>
      <c r="M9" s="16">
        <v>27.79</v>
      </c>
      <c r="N9" s="18">
        <f t="shared" si="0"/>
        <v>136940446.90528861</v>
      </c>
      <c r="O9" s="4"/>
    </row>
    <row r="10" spans="1:15" ht="18" customHeight="1" x14ac:dyDescent="0.2">
      <c r="A10" s="17" t="s">
        <v>5</v>
      </c>
      <c r="B10" s="16">
        <v>84014556.169999987</v>
      </c>
      <c r="C10" s="16">
        <v>0</v>
      </c>
      <c r="D10" s="16">
        <v>16023222.152421124</v>
      </c>
      <c r="E10" s="16">
        <v>1300216.1099999999</v>
      </c>
      <c r="F10" s="16">
        <v>308332.69</v>
      </c>
      <c r="G10" s="16">
        <v>174393.59</v>
      </c>
      <c r="H10" s="16">
        <v>4255716.5</v>
      </c>
      <c r="I10" s="16">
        <v>638633.17000000004</v>
      </c>
      <c r="J10" s="16">
        <v>3952929.2299999995</v>
      </c>
      <c r="K10" s="16">
        <v>0</v>
      </c>
      <c r="L10" s="16">
        <v>0</v>
      </c>
      <c r="M10" s="16">
        <v>19.420000000000002</v>
      </c>
      <c r="N10" s="18">
        <f t="shared" si="0"/>
        <v>110668019.03242111</v>
      </c>
      <c r="O10" s="4"/>
    </row>
    <row r="11" spans="1:15" ht="18" customHeight="1" x14ac:dyDescent="0.2">
      <c r="A11" s="17" t="s">
        <v>6</v>
      </c>
      <c r="B11" s="16">
        <v>902018884.30999994</v>
      </c>
      <c r="C11" s="16">
        <v>0</v>
      </c>
      <c r="D11" s="16">
        <v>6955235.8374238703</v>
      </c>
      <c r="E11" s="16">
        <v>22438485.419999998</v>
      </c>
      <c r="F11" s="16">
        <v>33094898.030000001</v>
      </c>
      <c r="G11" s="16">
        <v>15734917.629465263</v>
      </c>
      <c r="H11" s="16">
        <v>45691328.07</v>
      </c>
      <c r="I11" s="16">
        <v>68547707.310000002</v>
      </c>
      <c r="J11" s="16">
        <v>76263158.209999979</v>
      </c>
      <c r="K11" s="16">
        <v>0</v>
      </c>
      <c r="L11" s="16">
        <v>0</v>
      </c>
      <c r="M11" s="16">
        <v>2084.8200000000002</v>
      </c>
      <c r="N11" s="18">
        <f t="shared" si="0"/>
        <v>1170746699.636889</v>
      </c>
      <c r="O11" s="4"/>
    </row>
    <row r="12" spans="1:15" ht="18" customHeight="1" x14ac:dyDescent="0.2">
      <c r="A12" s="17" t="s">
        <v>7</v>
      </c>
      <c r="B12" s="16">
        <v>123275914.08999997</v>
      </c>
      <c r="C12" s="16">
        <v>0</v>
      </c>
      <c r="D12" s="16">
        <v>20624773.148245696</v>
      </c>
      <c r="E12" s="16">
        <v>1893036.2</v>
      </c>
      <c r="F12" s="16">
        <v>1131596.6499999999</v>
      </c>
      <c r="G12" s="16">
        <v>477017.75</v>
      </c>
      <c r="H12" s="16">
        <v>6244481.5</v>
      </c>
      <c r="I12" s="16">
        <v>2343816.14</v>
      </c>
      <c r="J12" s="16">
        <v>7821185.6000000024</v>
      </c>
      <c r="K12" s="16">
        <v>0</v>
      </c>
      <c r="L12" s="16">
        <v>0</v>
      </c>
      <c r="M12" s="16">
        <v>71.27</v>
      </c>
      <c r="N12" s="18">
        <f t="shared" si="0"/>
        <v>163811892.34824565</v>
      </c>
      <c r="O12" s="4"/>
    </row>
    <row r="13" spans="1:15" ht="18" customHeight="1" x14ac:dyDescent="0.2">
      <c r="A13" s="17" t="s">
        <v>8</v>
      </c>
      <c r="B13" s="16">
        <v>530978271.90999997</v>
      </c>
      <c r="C13" s="16">
        <v>0</v>
      </c>
      <c r="D13" s="16">
        <v>6038245.6983082788</v>
      </c>
      <c r="E13" s="16">
        <v>13231044.449999999</v>
      </c>
      <c r="F13" s="16">
        <v>16093558.24</v>
      </c>
      <c r="G13" s="16">
        <v>0</v>
      </c>
      <c r="H13" s="16">
        <v>26896446.23</v>
      </c>
      <c r="I13" s="16">
        <v>33333733.760000002</v>
      </c>
      <c r="J13" s="16">
        <v>57700160.999999985</v>
      </c>
      <c r="K13" s="16">
        <v>0</v>
      </c>
      <c r="L13" s="16">
        <v>0</v>
      </c>
      <c r="M13" s="16">
        <v>1013.8199999999999</v>
      </c>
      <c r="N13" s="18">
        <f t="shared" si="0"/>
        <v>684272475.10830832</v>
      </c>
      <c r="O13" s="4"/>
    </row>
    <row r="14" spans="1:15" ht="18" customHeight="1" x14ac:dyDescent="0.2">
      <c r="A14" s="17" t="s">
        <v>9</v>
      </c>
      <c r="B14" s="16">
        <v>189012607.69</v>
      </c>
      <c r="C14" s="16">
        <v>0</v>
      </c>
      <c r="D14" s="16">
        <v>35215922.117477268</v>
      </c>
      <c r="E14" s="16">
        <v>2904067.9799999995</v>
      </c>
      <c r="F14" s="16">
        <v>732485.8</v>
      </c>
      <c r="G14" s="16">
        <v>333399.5</v>
      </c>
      <c r="H14" s="16">
        <v>9574341.7599999998</v>
      </c>
      <c r="I14" s="16">
        <v>1517159</v>
      </c>
      <c r="J14" s="16">
        <v>11883736.809999999</v>
      </c>
      <c r="K14" s="16">
        <v>0</v>
      </c>
      <c r="L14" s="16">
        <v>0</v>
      </c>
      <c r="M14" s="16">
        <v>46.13</v>
      </c>
      <c r="N14" s="18">
        <f t="shared" si="0"/>
        <v>251173766.78747725</v>
      </c>
      <c r="O14" s="4"/>
    </row>
    <row r="15" spans="1:15" ht="18" customHeight="1" x14ac:dyDescent="0.2">
      <c r="A15" s="17" t="s">
        <v>10</v>
      </c>
      <c r="B15" s="16">
        <v>307708454.20000005</v>
      </c>
      <c r="C15" s="16">
        <v>0</v>
      </c>
      <c r="D15" s="16">
        <v>57104508.186953396</v>
      </c>
      <c r="E15" s="16">
        <v>4739797.459999999</v>
      </c>
      <c r="F15" s="16">
        <v>2728822.64</v>
      </c>
      <c r="G15" s="16">
        <v>1072007.6399999999</v>
      </c>
      <c r="H15" s="16">
        <v>15586822.16</v>
      </c>
      <c r="I15" s="16">
        <v>5652065.6299999999</v>
      </c>
      <c r="J15" s="16">
        <v>19232169.220000006</v>
      </c>
      <c r="K15" s="16">
        <v>0</v>
      </c>
      <c r="L15" s="16">
        <v>0</v>
      </c>
      <c r="M15" s="16">
        <v>171.9</v>
      </c>
      <c r="N15" s="18">
        <f t="shared" si="0"/>
        <v>413824819.03695345</v>
      </c>
      <c r="O15" s="4"/>
    </row>
    <row r="16" spans="1:15" ht="18" customHeight="1" x14ac:dyDescent="0.2">
      <c r="A16" s="17" t="s">
        <v>11</v>
      </c>
      <c r="B16" s="16">
        <v>571626372.59000003</v>
      </c>
      <c r="C16" s="16">
        <v>0</v>
      </c>
      <c r="D16" s="16">
        <v>14581304.39796884</v>
      </c>
      <c r="E16" s="16">
        <v>14244397.25</v>
      </c>
      <c r="F16" s="16">
        <v>10177326.76</v>
      </c>
      <c r="G16" s="16">
        <v>4949700.33</v>
      </c>
      <c r="H16" s="16">
        <v>28955456.010000002</v>
      </c>
      <c r="I16" s="16">
        <v>21079757.239999998</v>
      </c>
      <c r="J16" s="16">
        <v>47521694.230000004</v>
      </c>
      <c r="K16" s="16">
        <v>0</v>
      </c>
      <c r="L16" s="16">
        <v>0</v>
      </c>
      <c r="M16" s="16">
        <v>641.12</v>
      </c>
      <c r="N16" s="18">
        <f t="shared" si="0"/>
        <v>713136649.92796898</v>
      </c>
      <c r="O16" s="4"/>
    </row>
    <row r="17" spans="1:15" ht="15" x14ac:dyDescent="0.2">
      <c r="A17" s="17" t="s">
        <v>12</v>
      </c>
      <c r="B17" s="16">
        <v>208032610.94</v>
      </c>
      <c r="C17" s="16">
        <v>0</v>
      </c>
      <c r="D17" s="16">
        <v>51231447.044892788</v>
      </c>
      <c r="E17" s="16">
        <v>3191699.39</v>
      </c>
      <c r="F17" s="16">
        <v>2090245.27</v>
      </c>
      <c r="G17" s="16">
        <v>718091.24</v>
      </c>
      <c r="H17" s="16">
        <v>10537790.779999999</v>
      </c>
      <c r="I17" s="16">
        <v>4329414.1900000004</v>
      </c>
      <c r="J17" s="16">
        <v>13016175.229999999</v>
      </c>
      <c r="K17" s="16">
        <v>0</v>
      </c>
      <c r="L17" s="16">
        <v>0</v>
      </c>
      <c r="M17" s="16">
        <v>131.66999999999999</v>
      </c>
      <c r="N17" s="18">
        <f t="shared" si="0"/>
        <v>293147605.75489283</v>
      </c>
      <c r="O17" s="4"/>
    </row>
    <row r="18" spans="1:15" ht="15" x14ac:dyDescent="0.2">
      <c r="A18" s="17" t="s">
        <v>13</v>
      </c>
      <c r="B18" s="16">
        <v>120756876.88000001</v>
      </c>
      <c r="C18" s="16">
        <v>0</v>
      </c>
      <c r="D18" s="16">
        <v>17141505.277268868</v>
      </c>
      <c r="E18" s="16">
        <v>1870620.0899999999</v>
      </c>
      <c r="F18" s="16">
        <v>1408626.54</v>
      </c>
      <c r="G18" s="16">
        <v>538568.43000000005</v>
      </c>
      <c r="H18" s="16">
        <v>6116880.9000000004</v>
      </c>
      <c r="I18" s="16">
        <v>2917613.46</v>
      </c>
      <c r="J18" s="16">
        <v>10388450.199999997</v>
      </c>
      <c r="K18" s="16">
        <v>0</v>
      </c>
      <c r="L18" s="16">
        <v>0</v>
      </c>
      <c r="M18" s="16">
        <v>88.72</v>
      </c>
      <c r="N18" s="18">
        <f t="shared" si="0"/>
        <v>161139230.49726889</v>
      </c>
      <c r="O18" s="4"/>
    </row>
    <row r="19" spans="1:15" ht="15" x14ac:dyDescent="0.2">
      <c r="A19" s="17" t="s">
        <v>14</v>
      </c>
      <c r="B19" s="16">
        <v>211039340.59999999</v>
      </c>
      <c r="C19" s="16">
        <v>0</v>
      </c>
      <c r="D19" s="16">
        <v>32886839.132352665</v>
      </c>
      <c r="E19" s="16">
        <v>3241082.29</v>
      </c>
      <c r="F19" s="16">
        <v>568928.6</v>
      </c>
      <c r="G19" s="16">
        <v>333399.5</v>
      </c>
      <c r="H19" s="16">
        <v>10690095.210000001</v>
      </c>
      <c r="I19" s="16">
        <v>1178391.6599999999</v>
      </c>
      <c r="J19" s="16">
        <v>9130871.0299999993</v>
      </c>
      <c r="K19" s="16">
        <v>0</v>
      </c>
      <c r="L19" s="16">
        <v>0</v>
      </c>
      <c r="M19" s="16">
        <v>35.83</v>
      </c>
      <c r="N19" s="18">
        <f t="shared" si="0"/>
        <v>269068983.85235262</v>
      </c>
      <c r="O19" s="4"/>
    </row>
    <row r="20" spans="1:15" ht="15" x14ac:dyDescent="0.2">
      <c r="A20" s="17" t="s">
        <v>15</v>
      </c>
      <c r="B20" s="16">
        <v>713553340.16000009</v>
      </c>
      <c r="C20" s="16">
        <v>0</v>
      </c>
      <c r="D20" s="16">
        <v>4441137.6566453101</v>
      </c>
      <c r="E20" s="16">
        <v>17753535.16</v>
      </c>
      <c r="F20" s="16">
        <v>18158761.260000002</v>
      </c>
      <c r="G20" s="16">
        <v>8228971.1462445175</v>
      </c>
      <c r="H20" s="16">
        <v>36144697.560000002</v>
      </c>
      <c r="I20" s="16">
        <v>37611279.270000003</v>
      </c>
      <c r="J20" s="16">
        <v>51771857.209999993</v>
      </c>
      <c r="K20" s="16">
        <v>0</v>
      </c>
      <c r="L20" s="16">
        <v>0</v>
      </c>
      <c r="M20" s="16">
        <v>1143.92</v>
      </c>
      <c r="N20" s="18">
        <f t="shared" si="0"/>
        <v>887664723.3428899</v>
      </c>
      <c r="O20" s="4"/>
    </row>
    <row r="21" spans="1:15" ht="15" x14ac:dyDescent="0.2">
      <c r="A21" s="17" t="s">
        <v>16</v>
      </c>
      <c r="B21" s="16">
        <v>308984936.06999999</v>
      </c>
      <c r="C21" s="16">
        <v>0</v>
      </c>
      <c r="D21" s="16">
        <v>2332930.0651733503</v>
      </c>
      <c r="E21" s="16">
        <v>4775364.76</v>
      </c>
      <c r="F21" s="16">
        <v>4828458.75</v>
      </c>
      <c r="G21" s="16">
        <v>1031429.245442056</v>
      </c>
      <c r="H21" s="16">
        <v>15651481.73</v>
      </c>
      <c r="I21" s="16">
        <v>10000930.58</v>
      </c>
      <c r="J21" s="16">
        <v>16812048.829999994</v>
      </c>
      <c r="K21" s="16">
        <v>0</v>
      </c>
      <c r="L21" s="16">
        <v>0</v>
      </c>
      <c r="M21" s="16">
        <v>304.16000000000003</v>
      </c>
      <c r="N21" s="18">
        <f t="shared" si="0"/>
        <v>364417884.19061536</v>
      </c>
      <c r="O21" s="4"/>
    </row>
    <row r="22" spans="1:15" ht="15" x14ac:dyDescent="0.2">
      <c r="A22" s="17" t="s">
        <v>17</v>
      </c>
      <c r="B22" s="16">
        <v>230114474.31</v>
      </c>
      <c r="C22" s="16">
        <v>0</v>
      </c>
      <c r="D22" s="16">
        <v>27475530.907793436</v>
      </c>
      <c r="E22" s="16">
        <v>3581367.8</v>
      </c>
      <c r="F22" s="16">
        <v>1149595.77</v>
      </c>
      <c r="G22" s="16">
        <v>561649.93000000005</v>
      </c>
      <c r="H22" s="16">
        <v>11656336.83</v>
      </c>
      <c r="I22" s="16">
        <v>2381096.7599999998</v>
      </c>
      <c r="J22" s="16">
        <v>12968175.01</v>
      </c>
      <c r="K22" s="16">
        <v>0</v>
      </c>
      <c r="L22" s="16">
        <v>0</v>
      </c>
      <c r="M22" s="16">
        <v>72.41</v>
      </c>
      <c r="N22" s="18">
        <f t="shared" si="0"/>
        <v>289888299.72779346</v>
      </c>
      <c r="O22" s="4"/>
    </row>
    <row r="23" spans="1:15" ht="15" x14ac:dyDescent="0.2">
      <c r="A23" s="17" t="s">
        <v>18</v>
      </c>
      <c r="B23" s="16">
        <v>235873485.33999997</v>
      </c>
      <c r="C23" s="16">
        <v>0</v>
      </c>
      <c r="D23" s="16">
        <v>21113696.935337391</v>
      </c>
      <c r="E23" s="16">
        <v>3642100.6100000003</v>
      </c>
      <c r="F23" s="16">
        <v>1101858.98</v>
      </c>
      <c r="G23" s="16">
        <v>679622.07</v>
      </c>
      <c r="H23" s="16">
        <v>11948056.73</v>
      </c>
      <c r="I23" s="16">
        <v>2282222.08</v>
      </c>
      <c r="J23" s="16">
        <v>10477201.199999999</v>
      </c>
      <c r="K23" s="16">
        <v>0</v>
      </c>
      <c r="L23" s="16">
        <v>0</v>
      </c>
      <c r="M23" s="16">
        <v>69.400000000000006</v>
      </c>
      <c r="N23" s="18">
        <f t="shared" si="0"/>
        <v>287118313.34533733</v>
      </c>
      <c r="O23" s="4"/>
    </row>
    <row r="24" spans="1:15" ht="15" x14ac:dyDescent="0.2">
      <c r="A24" s="17" t="s">
        <v>19</v>
      </c>
      <c r="B24" s="16">
        <v>72471089.270000011</v>
      </c>
      <c r="C24" s="16">
        <v>0</v>
      </c>
      <c r="D24" s="16">
        <v>11878659.745839087</v>
      </c>
      <c r="E24" s="16">
        <v>1127817.3499999999</v>
      </c>
      <c r="F24" s="16">
        <v>1145682.92</v>
      </c>
      <c r="G24" s="16">
        <v>199912.53727781086</v>
      </c>
      <c r="H24" s="16">
        <v>3670987.8</v>
      </c>
      <c r="I24" s="16">
        <v>2372992.2799999998</v>
      </c>
      <c r="J24" s="16">
        <v>8957786.8300000001</v>
      </c>
      <c r="K24" s="16">
        <v>0</v>
      </c>
      <c r="L24" s="16">
        <v>0</v>
      </c>
      <c r="M24" s="16">
        <v>72.17</v>
      </c>
      <c r="N24" s="18">
        <f t="shared" si="0"/>
        <v>101825000.90311691</v>
      </c>
      <c r="O24" s="4"/>
    </row>
    <row r="25" spans="1:15" ht="15" x14ac:dyDescent="0.2">
      <c r="A25" s="17" t="s">
        <v>20</v>
      </c>
      <c r="B25" s="16">
        <v>337237168.34000003</v>
      </c>
      <c r="C25" s="16">
        <v>0</v>
      </c>
      <c r="D25" s="16">
        <v>7152199.0513235293</v>
      </c>
      <c r="E25" s="16">
        <v>5182312.05</v>
      </c>
      <c r="F25" s="16">
        <v>5081228.96</v>
      </c>
      <c r="G25" s="16">
        <v>1551590</v>
      </c>
      <c r="H25" s="16">
        <v>17082584.82</v>
      </c>
      <c r="I25" s="16">
        <v>10524480.1</v>
      </c>
      <c r="J25" s="16">
        <v>20871655</v>
      </c>
      <c r="K25" s="16">
        <v>0</v>
      </c>
      <c r="L25" s="16">
        <v>0</v>
      </c>
      <c r="M25" s="16">
        <v>320.08</v>
      </c>
      <c r="N25" s="18">
        <f t="shared" si="0"/>
        <v>404683538.40132356</v>
      </c>
      <c r="O25" s="4"/>
    </row>
    <row r="26" spans="1:15" ht="15" x14ac:dyDescent="0.2">
      <c r="A26" s="17" t="s">
        <v>21</v>
      </c>
      <c r="B26" s="16">
        <v>119094481.97</v>
      </c>
      <c r="C26" s="16">
        <v>0</v>
      </c>
      <c r="D26" s="16">
        <v>11605252.981769908</v>
      </c>
      <c r="E26" s="16">
        <v>1965470.4400000002</v>
      </c>
      <c r="F26" s="16">
        <v>2310930.09</v>
      </c>
      <c r="G26" s="16">
        <v>851451.04</v>
      </c>
      <c r="H26" s="16">
        <v>6032673.0899999999</v>
      </c>
      <c r="I26" s="16">
        <v>4786506.97</v>
      </c>
      <c r="J26" s="16">
        <v>14270044.600000003</v>
      </c>
      <c r="K26" s="16">
        <v>0</v>
      </c>
      <c r="L26" s="16">
        <v>0</v>
      </c>
      <c r="M26" s="16">
        <v>145.57</v>
      </c>
      <c r="N26" s="18">
        <f t="shared" si="0"/>
        <v>160916956.75176987</v>
      </c>
      <c r="O26" s="4"/>
    </row>
    <row r="27" spans="1:15" ht="15" x14ac:dyDescent="0.2">
      <c r="A27" s="17" t="s">
        <v>22</v>
      </c>
      <c r="B27" s="16">
        <v>64430526.039999984</v>
      </c>
      <c r="C27" s="16">
        <v>0</v>
      </c>
      <c r="D27" s="16">
        <v>8908172.6063771993</v>
      </c>
      <c r="E27" s="16">
        <v>1027451.3899999999</v>
      </c>
      <c r="F27" s="16">
        <v>574406.6</v>
      </c>
      <c r="G27" s="16">
        <v>238508.88</v>
      </c>
      <c r="H27" s="16">
        <v>3263696.98</v>
      </c>
      <c r="I27" s="16">
        <v>1189737.93</v>
      </c>
      <c r="J27" s="16">
        <v>4146997.6299999994</v>
      </c>
      <c r="K27" s="16">
        <v>0</v>
      </c>
      <c r="L27" s="16">
        <v>0</v>
      </c>
      <c r="M27" s="16">
        <v>36.18</v>
      </c>
      <c r="N27" s="18">
        <f t="shared" si="0"/>
        <v>83779534.23637718</v>
      </c>
      <c r="O27" s="4"/>
    </row>
    <row r="28" spans="1:15" ht="15" x14ac:dyDescent="0.2">
      <c r="A28" s="17" t="s">
        <v>23</v>
      </c>
      <c r="B28" s="16">
        <v>212150431.06999999</v>
      </c>
      <c r="C28" s="16">
        <v>0</v>
      </c>
      <c r="D28" s="16">
        <v>23305966.628055379</v>
      </c>
      <c r="E28" s="16">
        <v>3299206.75</v>
      </c>
      <c r="F28" s="16">
        <v>791178.57</v>
      </c>
      <c r="G28" s="16">
        <v>364174.84</v>
      </c>
      <c r="H28" s="16">
        <v>10746376.949999999</v>
      </c>
      <c r="I28" s="16">
        <v>1638726.23</v>
      </c>
      <c r="J28" s="16">
        <v>8482881.4300000016</v>
      </c>
      <c r="K28" s="16">
        <v>0</v>
      </c>
      <c r="L28" s="16">
        <v>0</v>
      </c>
      <c r="M28" s="16">
        <v>49.830000000000005</v>
      </c>
      <c r="N28" s="18">
        <f t="shared" si="0"/>
        <v>260778992.29805538</v>
      </c>
      <c r="O28" s="4"/>
    </row>
    <row r="29" spans="1:15" ht="15" x14ac:dyDescent="0.2">
      <c r="A29" s="17" t="s">
        <v>24</v>
      </c>
      <c r="B29" s="16">
        <v>134819380.98000002</v>
      </c>
      <c r="C29" s="16">
        <v>0</v>
      </c>
      <c r="D29" s="16">
        <v>22877124.974361651</v>
      </c>
      <c r="E29" s="16">
        <v>2103105.11</v>
      </c>
      <c r="F29" s="16">
        <v>493801.86</v>
      </c>
      <c r="G29" s="16">
        <v>189781.26</v>
      </c>
      <c r="H29" s="16">
        <v>6829210.21</v>
      </c>
      <c r="I29" s="16">
        <v>1022785.61</v>
      </c>
      <c r="J29" s="16">
        <v>7410761.8399999989</v>
      </c>
      <c r="K29" s="16">
        <v>0</v>
      </c>
      <c r="L29" s="16">
        <v>0</v>
      </c>
      <c r="M29" s="16">
        <v>31.099999999999998</v>
      </c>
      <c r="N29" s="18">
        <f t="shared" si="0"/>
        <v>175745982.94436172</v>
      </c>
      <c r="O29" s="4"/>
    </row>
    <row r="30" spans="1:15" ht="15" x14ac:dyDescent="0.2">
      <c r="A30" s="17" t="s">
        <v>25</v>
      </c>
      <c r="B30" s="16">
        <v>42789706.280000001</v>
      </c>
      <c r="C30" s="16">
        <v>0</v>
      </c>
      <c r="D30" s="16">
        <v>15039131.195407627</v>
      </c>
      <c r="E30" s="16">
        <v>656492.64</v>
      </c>
      <c r="F30" s="16">
        <v>426500.81</v>
      </c>
      <c r="G30" s="16">
        <v>241073.49</v>
      </c>
      <c r="H30" s="16">
        <v>2167491.77</v>
      </c>
      <c r="I30" s="16">
        <v>883388.52</v>
      </c>
      <c r="J30" s="16">
        <v>5597965.4299999997</v>
      </c>
      <c r="K30" s="16">
        <v>0</v>
      </c>
      <c r="L30" s="16">
        <v>0</v>
      </c>
      <c r="M30" s="16">
        <v>26.85</v>
      </c>
      <c r="N30" s="18">
        <f t="shared" si="0"/>
        <v>67801776.985407636</v>
      </c>
      <c r="O30" s="4"/>
    </row>
    <row r="31" spans="1:15" ht="15" x14ac:dyDescent="0.2">
      <c r="A31" s="17" t="s">
        <v>26</v>
      </c>
      <c r="B31" s="16">
        <v>78476066.930000007</v>
      </c>
      <c r="C31" s="16">
        <v>0</v>
      </c>
      <c r="D31" s="16">
        <v>8354739.3736384083</v>
      </c>
      <c r="E31" s="16">
        <v>1204003.6100000001</v>
      </c>
      <c r="F31" s="16">
        <v>509453.26</v>
      </c>
      <c r="G31" s="16">
        <v>135924.41</v>
      </c>
      <c r="H31" s="16">
        <v>3975167.02</v>
      </c>
      <c r="I31" s="16">
        <v>1055203.53</v>
      </c>
      <c r="J31" s="16">
        <v>4001722.4300000006</v>
      </c>
      <c r="K31" s="16">
        <v>0</v>
      </c>
      <c r="L31" s="16">
        <v>0</v>
      </c>
      <c r="M31" s="16">
        <v>32.08</v>
      </c>
      <c r="N31" s="18">
        <f t="shared" si="0"/>
        <v>97712312.643638417</v>
      </c>
      <c r="O31" s="4"/>
    </row>
    <row r="32" spans="1:15" ht="15" x14ac:dyDescent="0.2">
      <c r="A32" s="17" t="s">
        <v>27</v>
      </c>
      <c r="B32" s="16">
        <v>359361439.69</v>
      </c>
      <c r="C32" s="16">
        <v>0</v>
      </c>
      <c r="D32" s="16">
        <v>41446663.997375809</v>
      </c>
      <c r="E32" s="16">
        <v>5542462.7699999996</v>
      </c>
      <c r="F32" s="16">
        <v>1502534.97</v>
      </c>
      <c r="G32" s="16">
        <v>800158.81</v>
      </c>
      <c r="H32" s="16">
        <v>18203279.030000001</v>
      </c>
      <c r="I32" s="16">
        <v>3112121.02</v>
      </c>
      <c r="J32" s="16">
        <v>12424625</v>
      </c>
      <c r="K32" s="16">
        <v>0</v>
      </c>
      <c r="L32" s="16">
        <v>0</v>
      </c>
      <c r="M32" s="16">
        <v>94.64</v>
      </c>
      <c r="N32" s="18">
        <f t="shared" si="0"/>
        <v>442393379.92737579</v>
      </c>
      <c r="O32" s="4"/>
    </row>
    <row r="33" spans="1:15" ht="15" x14ac:dyDescent="0.2">
      <c r="A33" s="17" t="s">
        <v>28</v>
      </c>
      <c r="B33" s="16">
        <v>230542795.44999999</v>
      </c>
      <c r="C33" s="16">
        <v>0</v>
      </c>
      <c r="D33" s="16">
        <v>25265666.355983123</v>
      </c>
      <c r="E33" s="16">
        <v>3575608.23</v>
      </c>
      <c r="F33" s="16">
        <v>1102641.55</v>
      </c>
      <c r="G33" s="16">
        <v>600119.11</v>
      </c>
      <c r="H33" s="16">
        <v>11678033.23</v>
      </c>
      <c r="I33" s="16">
        <v>2283842.98</v>
      </c>
      <c r="J33" s="16">
        <v>12192382.83</v>
      </c>
      <c r="K33" s="16">
        <v>0</v>
      </c>
      <c r="L33" s="16">
        <v>0</v>
      </c>
      <c r="M33" s="16">
        <v>69.459999999999994</v>
      </c>
      <c r="N33" s="18">
        <f t="shared" si="0"/>
        <v>287241159.19598311</v>
      </c>
      <c r="O33" s="4"/>
    </row>
    <row r="34" spans="1:15" ht="15" x14ac:dyDescent="0.2">
      <c r="A34" s="17" t="s">
        <v>29</v>
      </c>
      <c r="B34" s="16">
        <v>305931557.60000002</v>
      </c>
      <c r="C34" s="16">
        <v>0</v>
      </c>
      <c r="D34" s="16">
        <v>23881802.759520479</v>
      </c>
      <c r="E34" s="16">
        <v>7737363.1499999994</v>
      </c>
      <c r="F34" s="16">
        <v>1603486.54</v>
      </c>
      <c r="G34" s="16">
        <v>1054055.3500000001</v>
      </c>
      <c r="H34" s="16">
        <v>15496814.33</v>
      </c>
      <c r="I34" s="16">
        <v>3321216.65</v>
      </c>
      <c r="J34" s="16">
        <v>15673833.4</v>
      </c>
      <c r="K34" s="16">
        <v>0</v>
      </c>
      <c r="L34" s="16">
        <v>0</v>
      </c>
      <c r="M34" s="16">
        <v>101</v>
      </c>
      <c r="N34" s="18">
        <f t="shared" si="0"/>
        <v>374700230.77952045</v>
      </c>
      <c r="O34" s="4"/>
    </row>
    <row r="35" spans="1:15" ht="15" x14ac:dyDescent="0.2">
      <c r="A35" s="17" t="s">
        <v>30</v>
      </c>
      <c r="B35" s="16">
        <v>153618862.48000002</v>
      </c>
      <c r="C35" s="16">
        <v>0</v>
      </c>
      <c r="D35" s="16">
        <v>19881951.196278207</v>
      </c>
      <c r="E35" s="16">
        <v>2381686.0300000003</v>
      </c>
      <c r="F35" s="16">
        <v>1002472.55</v>
      </c>
      <c r="G35" s="16">
        <v>407773.24</v>
      </c>
      <c r="H35" s="16">
        <v>7781488.7999999998</v>
      </c>
      <c r="I35" s="16">
        <v>2076368.24</v>
      </c>
      <c r="J35" s="16">
        <v>5722992.7999999998</v>
      </c>
      <c r="K35" s="16">
        <v>0</v>
      </c>
      <c r="L35" s="16">
        <v>0</v>
      </c>
      <c r="M35" s="16">
        <v>63.15</v>
      </c>
      <c r="N35" s="18">
        <f t="shared" si="0"/>
        <v>192873658.4862783</v>
      </c>
      <c r="O35" s="4"/>
    </row>
    <row r="36" spans="1:15" ht="15" x14ac:dyDescent="0.2">
      <c r="A36" s="17" t="s">
        <v>31</v>
      </c>
      <c r="B36" s="16">
        <v>167295453.44</v>
      </c>
      <c r="C36" s="16">
        <v>0</v>
      </c>
      <c r="D36" s="16">
        <v>20449625.252167534</v>
      </c>
      <c r="E36" s="16">
        <v>2574237.4400000004</v>
      </c>
      <c r="F36" s="16">
        <v>630751.66</v>
      </c>
      <c r="G36" s="16">
        <v>259025.77</v>
      </c>
      <c r="H36" s="16">
        <v>8474269.8699999992</v>
      </c>
      <c r="I36" s="16">
        <v>1306442.47</v>
      </c>
      <c r="J36" s="16">
        <v>6055483.2000000011</v>
      </c>
      <c r="K36" s="16">
        <v>0</v>
      </c>
      <c r="L36" s="16">
        <v>0</v>
      </c>
      <c r="M36" s="16">
        <v>39.72</v>
      </c>
      <c r="N36" s="18">
        <f t="shared" si="0"/>
        <v>207045328.82216752</v>
      </c>
      <c r="O36" s="4"/>
    </row>
    <row r="37" spans="1:15" ht="15" x14ac:dyDescent="0.2">
      <c r="A37" s="17" t="s">
        <v>32</v>
      </c>
      <c r="B37" s="16">
        <v>183100927.74000001</v>
      </c>
      <c r="C37" s="16">
        <v>0</v>
      </c>
      <c r="D37" s="16">
        <v>21393947.527794525</v>
      </c>
      <c r="E37" s="16">
        <v>2809189.95</v>
      </c>
      <c r="F37" s="16">
        <v>1169942.6000000001</v>
      </c>
      <c r="G37" s="16">
        <v>376997.9</v>
      </c>
      <c r="H37" s="16">
        <v>9274888.4900000002</v>
      </c>
      <c r="I37" s="16">
        <v>2423240.0699999998</v>
      </c>
      <c r="J37" s="16">
        <v>9497174.200000003</v>
      </c>
      <c r="K37" s="16">
        <v>0</v>
      </c>
      <c r="L37" s="16">
        <v>0</v>
      </c>
      <c r="M37" s="16">
        <v>73.69</v>
      </c>
      <c r="N37" s="18">
        <f t="shared" si="0"/>
        <v>230046382.16779453</v>
      </c>
      <c r="O37" s="4"/>
    </row>
    <row r="38" spans="1:15" ht="15" x14ac:dyDescent="0.2">
      <c r="A38" s="17" t="s">
        <v>33</v>
      </c>
      <c r="B38" s="16">
        <v>166027453.24000001</v>
      </c>
      <c r="C38" s="16">
        <v>0</v>
      </c>
      <c r="D38" s="16">
        <v>2036843.7039844198</v>
      </c>
      <c r="E38" s="16">
        <v>2561351.15</v>
      </c>
      <c r="F38" s="16">
        <v>1045513.92</v>
      </c>
      <c r="G38" s="16">
        <v>1020715.4</v>
      </c>
      <c r="H38" s="16">
        <v>8410039.9299999997</v>
      </c>
      <c r="I38" s="16">
        <v>2165517.54</v>
      </c>
      <c r="J38" s="16">
        <v>15948326.999999996</v>
      </c>
      <c r="K38" s="16">
        <v>0</v>
      </c>
      <c r="L38" s="16">
        <v>0</v>
      </c>
      <c r="M38" s="16">
        <v>65.849999999999994</v>
      </c>
      <c r="N38" s="18">
        <f t="shared" si="0"/>
        <v>199215827.73398441</v>
      </c>
      <c r="O38" s="4"/>
    </row>
    <row r="39" spans="1:15" ht="15" x14ac:dyDescent="0.2">
      <c r="A39" s="17" t="s">
        <v>34</v>
      </c>
      <c r="B39" s="16">
        <v>285079527.24000001</v>
      </c>
      <c r="C39" s="16">
        <v>0</v>
      </c>
      <c r="D39" s="16">
        <v>32647021.148806281</v>
      </c>
      <c r="E39" s="16">
        <v>4387947.13</v>
      </c>
      <c r="F39" s="16">
        <v>1331934.6499999999</v>
      </c>
      <c r="G39" s="16">
        <v>628329.82999999996</v>
      </c>
      <c r="H39" s="16">
        <v>14440564.869999999</v>
      </c>
      <c r="I39" s="16">
        <v>2758765.61</v>
      </c>
      <c r="J39" s="16">
        <v>13413062.600000003</v>
      </c>
      <c r="K39" s="16">
        <v>0</v>
      </c>
      <c r="L39" s="16">
        <v>0</v>
      </c>
      <c r="M39" s="16">
        <v>83.89</v>
      </c>
      <c r="N39" s="18">
        <f t="shared" si="0"/>
        <v>354687236.96880627</v>
      </c>
      <c r="O39" s="4"/>
    </row>
    <row r="40" spans="1:15" ht="15" x14ac:dyDescent="0.2">
      <c r="A40" s="17" t="s">
        <v>35</v>
      </c>
      <c r="B40" s="16">
        <v>185480018.46000004</v>
      </c>
      <c r="C40" s="16">
        <v>0</v>
      </c>
      <c r="D40" s="16">
        <v>26266016.018636759</v>
      </c>
      <c r="E40" s="16">
        <v>2854643.04</v>
      </c>
      <c r="F40" s="16">
        <v>711356.4</v>
      </c>
      <c r="G40" s="16">
        <v>276978.05</v>
      </c>
      <c r="H40" s="16">
        <v>9395400.1699999999</v>
      </c>
      <c r="I40" s="16">
        <v>1473394.8</v>
      </c>
      <c r="J40" s="16">
        <v>7321501.2199999988</v>
      </c>
      <c r="K40" s="16">
        <v>0</v>
      </c>
      <c r="L40" s="16">
        <v>0</v>
      </c>
      <c r="M40" s="16">
        <v>44.8</v>
      </c>
      <c r="N40" s="18">
        <f t="shared" ref="N40:N71" si="1">SUM(B40:M40)</f>
        <v>233779352.95863682</v>
      </c>
      <c r="O40" s="4"/>
    </row>
    <row r="41" spans="1:15" ht="15" x14ac:dyDescent="0.2">
      <c r="A41" s="17" t="s">
        <v>36</v>
      </c>
      <c r="B41" s="16">
        <v>199843619.61000001</v>
      </c>
      <c r="C41" s="16">
        <v>0</v>
      </c>
      <c r="D41" s="16">
        <v>7918979.4336809879</v>
      </c>
      <c r="E41" s="16">
        <v>3066061.4200000004</v>
      </c>
      <c r="F41" s="16">
        <v>1204375.69</v>
      </c>
      <c r="G41" s="16">
        <v>443677.8</v>
      </c>
      <c r="H41" s="16">
        <v>10122981.4</v>
      </c>
      <c r="I41" s="16">
        <v>2494559.5099999998</v>
      </c>
      <c r="J41" s="16">
        <v>7576794.8000000017</v>
      </c>
      <c r="K41" s="16">
        <v>0</v>
      </c>
      <c r="L41" s="16">
        <v>0</v>
      </c>
      <c r="M41" s="16">
        <v>75.860000000000014</v>
      </c>
      <c r="N41" s="18">
        <f t="shared" si="1"/>
        <v>232671125.52368101</v>
      </c>
      <c r="O41" s="4"/>
    </row>
    <row r="42" spans="1:15" ht="15" x14ac:dyDescent="0.2">
      <c r="A42" s="17" t="s">
        <v>37</v>
      </c>
      <c r="B42" s="16">
        <v>118072448.31999999</v>
      </c>
      <c r="C42" s="16">
        <v>0</v>
      </c>
      <c r="D42" s="16">
        <v>1336744.8201771798</v>
      </c>
      <c r="E42" s="16">
        <v>1865835.3199999998</v>
      </c>
      <c r="F42" s="16">
        <v>3271143.85</v>
      </c>
      <c r="G42" s="16">
        <v>0</v>
      </c>
      <c r="H42" s="16">
        <v>5980902.4699999997</v>
      </c>
      <c r="I42" s="16">
        <v>6775346.8099999996</v>
      </c>
      <c r="J42" s="16">
        <v>12125918.799999997</v>
      </c>
      <c r="K42" s="16">
        <v>0</v>
      </c>
      <c r="L42" s="16">
        <v>0</v>
      </c>
      <c r="M42" s="16">
        <v>206.06</v>
      </c>
      <c r="N42" s="18">
        <f t="shared" si="1"/>
        <v>149428546.45017713</v>
      </c>
      <c r="O42" s="4"/>
    </row>
    <row r="43" spans="1:15" ht="15" x14ac:dyDescent="0.2">
      <c r="A43" s="17" t="s">
        <v>38</v>
      </c>
      <c r="B43" s="16">
        <v>519239728.10000002</v>
      </c>
      <c r="C43" s="16">
        <v>0</v>
      </c>
      <c r="D43" s="16">
        <v>7995367.1371830208</v>
      </c>
      <c r="E43" s="16">
        <v>7983812.0099999998</v>
      </c>
      <c r="F43" s="16">
        <v>13602636.970000001</v>
      </c>
      <c r="G43" s="16">
        <v>3505824.01</v>
      </c>
      <c r="H43" s="16">
        <v>26301836</v>
      </c>
      <c r="I43" s="16">
        <v>28174420.629999999</v>
      </c>
      <c r="J43" s="16">
        <v>38815632.619999997</v>
      </c>
      <c r="K43" s="16">
        <v>0</v>
      </c>
      <c r="L43" s="16">
        <v>0</v>
      </c>
      <c r="M43" s="16">
        <v>856.90000000000009</v>
      </c>
      <c r="N43" s="18">
        <f t="shared" si="1"/>
        <v>645620114.37718296</v>
      </c>
      <c r="O43" s="4"/>
    </row>
    <row r="44" spans="1:15" ht="15" x14ac:dyDescent="0.2">
      <c r="A44" s="17" t="s">
        <v>39</v>
      </c>
      <c r="B44" s="16">
        <v>613631530.31999993</v>
      </c>
      <c r="C44" s="16">
        <v>0</v>
      </c>
      <c r="D44" s="16">
        <v>4337921.65162805</v>
      </c>
      <c r="E44" s="16">
        <v>9477386.6000000015</v>
      </c>
      <c r="F44" s="16">
        <v>17115595.050000001</v>
      </c>
      <c r="G44" s="16">
        <v>6334363.4504074436</v>
      </c>
      <c r="H44" s="16">
        <v>31083206.859999999</v>
      </c>
      <c r="I44" s="16">
        <v>35450624.409999996</v>
      </c>
      <c r="J44" s="16">
        <v>49508566.029999994</v>
      </c>
      <c r="K44" s="16">
        <v>0</v>
      </c>
      <c r="L44" s="16">
        <v>0</v>
      </c>
      <c r="M44" s="16">
        <v>1078.2</v>
      </c>
      <c r="N44" s="18">
        <f t="shared" si="1"/>
        <v>766940272.57203531</v>
      </c>
      <c r="O44" s="4"/>
    </row>
    <row r="45" spans="1:15" ht="15" x14ac:dyDescent="0.2">
      <c r="A45" s="17" t="s">
        <v>40</v>
      </c>
      <c r="B45" s="16">
        <v>178045890.09999996</v>
      </c>
      <c r="C45" s="16">
        <v>0</v>
      </c>
      <c r="D45" s="16">
        <v>10161753.21237129</v>
      </c>
      <c r="E45" s="16">
        <v>2781952.22</v>
      </c>
      <c r="F45" s="16">
        <v>1274807.02</v>
      </c>
      <c r="G45" s="16">
        <v>489840.81</v>
      </c>
      <c r="H45" s="16">
        <v>9018828.0099999998</v>
      </c>
      <c r="I45" s="16">
        <v>2640440.1800000002</v>
      </c>
      <c r="J45" s="16">
        <v>7311164.8300000019</v>
      </c>
      <c r="K45" s="16">
        <v>0</v>
      </c>
      <c r="L45" s="16">
        <v>0</v>
      </c>
      <c r="M45" s="16">
        <v>80.289999999999992</v>
      </c>
      <c r="N45" s="18">
        <f t="shared" si="1"/>
        <v>211724756.67237127</v>
      </c>
      <c r="O45" s="4"/>
    </row>
    <row r="46" spans="1:15" ht="15" x14ac:dyDescent="0.2">
      <c r="A46" s="17" t="s">
        <v>41</v>
      </c>
      <c r="B46" s="16">
        <v>270317290.60000002</v>
      </c>
      <c r="C46" s="16">
        <v>0</v>
      </c>
      <c r="D46" s="16">
        <v>6263974.3416280504</v>
      </c>
      <c r="E46" s="16">
        <v>6702624.2800000003</v>
      </c>
      <c r="F46" s="16">
        <v>10055245.789999999</v>
      </c>
      <c r="G46" s="16">
        <v>0</v>
      </c>
      <c r="H46" s="16">
        <v>13692790.949999999</v>
      </c>
      <c r="I46" s="16">
        <v>20826897.399999999</v>
      </c>
      <c r="J46" s="16">
        <v>31861425.429999992</v>
      </c>
      <c r="K46" s="16">
        <v>0</v>
      </c>
      <c r="L46" s="16">
        <v>0</v>
      </c>
      <c r="M46" s="16">
        <v>633.41999999999996</v>
      </c>
      <c r="N46" s="18">
        <f t="shared" si="1"/>
        <v>359720882.21162808</v>
      </c>
      <c r="O46" s="4"/>
    </row>
    <row r="47" spans="1:15" ht="15" x14ac:dyDescent="0.2">
      <c r="A47" s="17" t="s">
        <v>42</v>
      </c>
      <c r="B47" s="16">
        <v>813933156.7900002</v>
      </c>
      <c r="C47" s="16">
        <v>0</v>
      </c>
      <c r="D47" s="16">
        <v>5625662.5931636803</v>
      </c>
      <c r="E47" s="16">
        <v>20243066.119999997</v>
      </c>
      <c r="F47" s="16">
        <v>31346635.98</v>
      </c>
      <c r="G47" s="16">
        <v>7134762.141107047</v>
      </c>
      <c r="H47" s="16">
        <v>41229388.369999997</v>
      </c>
      <c r="I47" s="16">
        <v>64926624.829999998</v>
      </c>
      <c r="J47" s="16">
        <v>75382954.820000008</v>
      </c>
      <c r="K47" s="16">
        <v>0</v>
      </c>
      <c r="L47" s="16">
        <v>0</v>
      </c>
      <c r="M47" s="16">
        <v>1974.69</v>
      </c>
      <c r="N47" s="18">
        <f t="shared" si="1"/>
        <v>1059824226.3342712</v>
      </c>
      <c r="O47" s="4"/>
    </row>
    <row r="48" spans="1:15" ht="15" x14ac:dyDescent="0.2">
      <c r="A48" s="17" t="s">
        <v>43</v>
      </c>
      <c r="B48" s="16">
        <v>83255452.379999995</v>
      </c>
      <c r="C48" s="16">
        <v>0</v>
      </c>
      <c r="D48" s="16">
        <v>12224771.119738748</v>
      </c>
      <c r="E48" s="16">
        <v>1287436.4100000001</v>
      </c>
      <c r="F48" s="16">
        <v>272334.46000000002</v>
      </c>
      <c r="G48" s="16">
        <v>146182.85999999999</v>
      </c>
      <c r="H48" s="16">
        <v>4217264.47</v>
      </c>
      <c r="I48" s="16">
        <v>564071.93999999994</v>
      </c>
      <c r="J48" s="16">
        <v>4092937.1999999988</v>
      </c>
      <c r="K48" s="16">
        <v>0</v>
      </c>
      <c r="L48" s="16">
        <v>0</v>
      </c>
      <c r="M48" s="16">
        <v>17.14</v>
      </c>
      <c r="N48" s="18">
        <f t="shared" si="1"/>
        <v>106060467.97973873</v>
      </c>
      <c r="O48" s="4"/>
    </row>
    <row r="49" spans="1:15" ht="15" x14ac:dyDescent="0.2">
      <c r="A49" s="17" t="s">
        <v>44</v>
      </c>
      <c r="B49" s="16">
        <v>145607984.82999998</v>
      </c>
      <c r="C49" s="16">
        <v>0</v>
      </c>
      <c r="D49" s="16">
        <v>19008488.350815251</v>
      </c>
      <c r="E49" s="16">
        <v>2236019.4299999997</v>
      </c>
      <c r="F49" s="16">
        <v>1608181.96</v>
      </c>
      <c r="G49" s="16">
        <v>648846.73</v>
      </c>
      <c r="H49" s="16">
        <v>7375701.6900000004</v>
      </c>
      <c r="I49" s="16">
        <v>3330942.03</v>
      </c>
      <c r="J49" s="16">
        <v>9587171.1999999993</v>
      </c>
      <c r="K49" s="16">
        <v>0</v>
      </c>
      <c r="L49" s="16">
        <v>0</v>
      </c>
      <c r="M49" s="16">
        <v>101.3</v>
      </c>
      <c r="N49" s="18">
        <f t="shared" si="1"/>
        <v>189403437.52081522</v>
      </c>
      <c r="O49" s="4"/>
    </row>
    <row r="50" spans="1:15" ht="15" x14ac:dyDescent="0.2">
      <c r="A50" s="17" t="s">
        <v>45</v>
      </c>
      <c r="B50" s="16">
        <v>111295644.49000001</v>
      </c>
      <c r="C50" s="16">
        <v>0</v>
      </c>
      <c r="D50" s="16">
        <v>13674596.572591739</v>
      </c>
      <c r="E50" s="16">
        <v>1726032.6400000001</v>
      </c>
      <c r="F50" s="16">
        <v>450760.49</v>
      </c>
      <c r="G50" s="16">
        <v>182087.42</v>
      </c>
      <c r="H50" s="16">
        <v>5637626.7699999996</v>
      </c>
      <c r="I50" s="16">
        <v>933636.31</v>
      </c>
      <c r="J50" s="16">
        <v>6737228.8000000017</v>
      </c>
      <c r="K50" s="16">
        <v>0</v>
      </c>
      <c r="L50" s="16">
        <v>0</v>
      </c>
      <c r="M50" s="16">
        <v>28.380000000000003</v>
      </c>
      <c r="N50" s="18">
        <f t="shared" si="1"/>
        <v>140637641.87259173</v>
      </c>
      <c r="O50" s="4"/>
    </row>
    <row r="51" spans="1:15" ht="15" x14ac:dyDescent="0.2">
      <c r="A51" s="17" t="s">
        <v>46</v>
      </c>
      <c r="B51" s="16">
        <v>107059081.88999999</v>
      </c>
      <c r="C51" s="16">
        <v>0</v>
      </c>
      <c r="D51" s="16">
        <v>19945527.426519059</v>
      </c>
      <c r="E51" s="16">
        <v>1643173.0100000002</v>
      </c>
      <c r="F51" s="16">
        <v>561885.47</v>
      </c>
      <c r="G51" s="16">
        <v>243638.1</v>
      </c>
      <c r="H51" s="16">
        <v>5423025.75</v>
      </c>
      <c r="I51" s="16">
        <v>1163803.5900000001</v>
      </c>
      <c r="J51" s="16">
        <v>4729202.82</v>
      </c>
      <c r="K51" s="16">
        <v>0</v>
      </c>
      <c r="L51" s="16">
        <v>0</v>
      </c>
      <c r="M51" s="16">
        <v>35.379999999999995</v>
      </c>
      <c r="N51" s="18">
        <f t="shared" si="1"/>
        <v>140769373.43651906</v>
      </c>
      <c r="O51" s="4"/>
    </row>
    <row r="52" spans="1:15" ht="15" x14ac:dyDescent="0.2">
      <c r="A52" s="17" t="s">
        <v>47</v>
      </c>
      <c r="B52" s="16">
        <v>123882349</v>
      </c>
      <c r="C52" s="16">
        <v>0</v>
      </c>
      <c r="D52" s="16">
        <v>14252894.432145359</v>
      </c>
      <c r="E52" s="16">
        <v>1914872.34</v>
      </c>
      <c r="F52" s="16">
        <v>517278.96</v>
      </c>
      <c r="G52" s="16">
        <v>284671.88</v>
      </c>
      <c r="H52" s="16">
        <v>6275200.1699999999</v>
      </c>
      <c r="I52" s="16">
        <v>1071412.5</v>
      </c>
      <c r="J52" s="16">
        <v>6585185.4099999983</v>
      </c>
      <c r="K52" s="16">
        <v>0</v>
      </c>
      <c r="L52" s="16">
        <v>0</v>
      </c>
      <c r="M52" s="16">
        <v>32.57</v>
      </c>
      <c r="N52" s="18">
        <f t="shared" si="1"/>
        <v>154783897.26214534</v>
      </c>
      <c r="O52" s="4"/>
    </row>
    <row r="53" spans="1:15" ht="15" x14ac:dyDescent="0.2">
      <c r="A53" s="17" t="s">
        <v>48</v>
      </c>
      <c r="B53" s="16">
        <v>44994924.019999996</v>
      </c>
      <c r="C53" s="16">
        <v>0</v>
      </c>
      <c r="D53" s="16">
        <v>12185992.121410066</v>
      </c>
      <c r="E53" s="16">
        <v>690325.77</v>
      </c>
      <c r="F53" s="16">
        <v>89995.58</v>
      </c>
      <c r="G53" s="16">
        <v>46163.01</v>
      </c>
      <c r="H53" s="16">
        <v>2279196.0099999998</v>
      </c>
      <c r="I53" s="16">
        <v>186403.08</v>
      </c>
      <c r="J53" s="16">
        <v>3141682.0200000005</v>
      </c>
      <c r="K53" s="16">
        <v>0</v>
      </c>
      <c r="L53" s="16">
        <v>0</v>
      </c>
      <c r="M53" s="16">
        <v>5.66</v>
      </c>
      <c r="N53" s="18">
        <f t="shared" si="1"/>
        <v>63614687.271410055</v>
      </c>
      <c r="O53" s="4"/>
    </row>
    <row r="54" spans="1:15" ht="15" x14ac:dyDescent="0.2">
      <c r="A54" s="17" t="s">
        <v>49</v>
      </c>
      <c r="B54" s="16">
        <v>150815691.42000002</v>
      </c>
      <c r="C54" s="16">
        <v>0</v>
      </c>
      <c r="D54" s="16">
        <v>19868338.923278563</v>
      </c>
      <c r="E54" s="16">
        <v>2313860.0699999998</v>
      </c>
      <c r="F54" s="16">
        <v>309115.26</v>
      </c>
      <c r="G54" s="16">
        <v>176958.2</v>
      </c>
      <c r="H54" s="16">
        <v>7639495.5300000003</v>
      </c>
      <c r="I54" s="16">
        <v>640254.06000000006</v>
      </c>
      <c r="J54" s="16">
        <v>7196417.2300000004</v>
      </c>
      <c r="K54" s="16">
        <v>0</v>
      </c>
      <c r="L54" s="16">
        <v>0</v>
      </c>
      <c r="M54" s="16">
        <v>19.46</v>
      </c>
      <c r="N54" s="18">
        <f t="shared" si="1"/>
        <v>188960150.15327856</v>
      </c>
      <c r="O54" s="4"/>
    </row>
    <row r="55" spans="1:15" ht="15" x14ac:dyDescent="0.2">
      <c r="A55" s="17" t="s">
        <v>50</v>
      </c>
      <c r="B55" s="16">
        <v>65859676.79999999</v>
      </c>
      <c r="C55" s="16">
        <v>0</v>
      </c>
      <c r="D55" s="16">
        <v>5308318.2964481292</v>
      </c>
      <c r="E55" s="16">
        <v>1010439.13</v>
      </c>
      <c r="F55" s="16">
        <v>570493.74</v>
      </c>
      <c r="G55" s="16">
        <v>243638.1</v>
      </c>
      <c r="H55" s="16">
        <v>3336089.92</v>
      </c>
      <c r="I55" s="16">
        <v>1181633.45</v>
      </c>
      <c r="J55" s="16">
        <v>5152341.6100000013</v>
      </c>
      <c r="K55" s="16">
        <v>0</v>
      </c>
      <c r="L55" s="16">
        <v>0</v>
      </c>
      <c r="M55" s="16">
        <v>35.93</v>
      </c>
      <c r="N55" s="18">
        <f t="shared" si="1"/>
        <v>82662666.976448119</v>
      </c>
      <c r="O55" s="4"/>
    </row>
    <row r="56" spans="1:15" ht="15" x14ac:dyDescent="0.2">
      <c r="A56" s="17" t="s">
        <v>51</v>
      </c>
      <c r="B56" s="16">
        <v>55965882.439999998</v>
      </c>
      <c r="C56" s="16">
        <v>0</v>
      </c>
      <c r="D56" s="16">
        <v>6994289.9625906497</v>
      </c>
      <c r="E56" s="16">
        <v>858645.54</v>
      </c>
      <c r="F56" s="16">
        <v>161209.48000000001</v>
      </c>
      <c r="G56" s="16">
        <v>61550.68</v>
      </c>
      <c r="H56" s="16">
        <v>2834924.57</v>
      </c>
      <c r="I56" s="16">
        <v>333904.65000000002</v>
      </c>
      <c r="J56" s="16">
        <v>4224959.2</v>
      </c>
      <c r="K56" s="16">
        <v>0</v>
      </c>
      <c r="L56" s="16">
        <v>0</v>
      </c>
      <c r="M56" s="16">
        <v>10.14</v>
      </c>
      <c r="N56" s="18">
        <f t="shared" si="1"/>
        <v>71435376.662590653</v>
      </c>
      <c r="O56" s="4"/>
    </row>
    <row r="57" spans="1:15" ht="15" x14ac:dyDescent="0.2">
      <c r="A57" s="17" t="s">
        <v>52</v>
      </c>
      <c r="B57" s="16">
        <v>135082310.77999997</v>
      </c>
      <c r="C57" s="16">
        <v>0</v>
      </c>
      <c r="D57" s="16">
        <v>13136302.698996596</v>
      </c>
      <c r="E57" s="16">
        <v>2107267.11</v>
      </c>
      <c r="F57" s="16">
        <v>827959.37</v>
      </c>
      <c r="G57" s="16">
        <v>323141.06</v>
      </c>
      <c r="H57" s="16">
        <v>6842528.79</v>
      </c>
      <c r="I57" s="16">
        <v>1714908.35</v>
      </c>
      <c r="J57" s="16">
        <v>8855216.4100000001</v>
      </c>
      <c r="K57" s="16">
        <v>0</v>
      </c>
      <c r="L57" s="16">
        <v>0</v>
      </c>
      <c r="M57" s="16">
        <v>52.15</v>
      </c>
      <c r="N57" s="18">
        <f t="shared" si="1"/>
        <v>168889686.71899658</v>
      </c>
      <c r="O57" s="4"/>
    </row>
    <row r="58" spans="1:15" ht="15" x14ac:dyDescent="0.2">
      <c r="A58" s="17" t="s">
        <v>53</v>
      </c>
      <c r="B58" s="16">
        <v>116592407.92000002</v>
      </c>
      <c r="C58" s="16">
        <v>0</v>
      </c>
      <c r="D58" s="16">
        <v>8058611.2514653895</v>
      </c>
      <c r="E58" s="16">
        <v>1788796.0799999998</v>
      </c>
      <c r="F58" s="16">
        <v>482063.3</v>
      </c>
      <c r="G58" s="16">
        <v>184652.03</v>
      </c>
      <c r="H58" s="16">
        <v>5905931.75</v>
      </c>
      <c r="I58" s="16">
        <v>998472.16</v>
      </c>
      <c r="J58" s="16">
        <v>5244575.8</v>
      </c>
      <c r="K58" s="16">
        <v>0</v>
      </c>
      <c r="L58" s="16">
        <v>0</v>
      </c>
      <c r="M58" s="16">
        <v>30.36</v>
      </c>
      <c r="N58" s="18">
        <f t="shared" si="1"/>
        <v>139255540.65146542</v>
      </c>
      <c r="O58" s="4"/>
    </row>
    <row r="59" spans="1:15" ht="15" x14ac:dyDescent="0.2">
      <c r="A59" s="17" t="s">
        <v>54</v>
      </c>
      <c r="B59" s="16">
        <v>130773654.49000001</v>
      </c>
      <c r="C59" s="16">
        <v>0</v>
      </c>
      <c r="D59" s="16">
        <v>20569168.346420471</v>
      </c>
      <c r="E59" s="16">
        <v>2024234.55</v>
      </c>
      <c r="F59" s="16">
        <v>469542.18</v>
      </c>
      <c r="G59" s="16">
        <v>184652.03</v>
      </c>
      <c r="H59" s="16">
        <v>6624275.9000000004</v>
      </c>
      <c r="I59" s="16">
        <v>972537.82</v>
      </c>
      <c r="J59" s="16">
        <v>5831425.2199999988</v>
      </c>
      <c r="K59" s="16">
        <v>0</v>
      </c>
      <c r="L59" s="16">
        <v>0</v>
      </c>
      <c r="M59" s="16">
        <v>29.56</v>
      </c>
      <c r="N59" s="18">
        <f t="shared" si="1"/>
        <v>167449520.0964205</v>
      </c>
      <c r="O59" s="4"/>
    </row>
    <row r="60" spans="1:15" ht="15" x14ac:dyDescent="0.2">
      <c r="A60" s="17" t="s">
        <v>55</v>
      </c>
      <c r="B60" s="16">
        <v>950754197.04999995</v>
      </c>
      <c r="C60" s="16">
        <v>0</v>
      </c>
      <c r="D60" s="16">
        <v>39319714.988472313</v>
      </c>
      <c r="E60" s="16">
        <v>23733947.760000002</v>
      </c>
      <c r="F60" s="16">
        <v>25828732.789999999</v>
      </c>
      <c r="G60" s="16">
        <v>10160991.02</v>
      </c>
      <c r="H60" s="16">
        <v>48159991.649999999</v>
      </c>
      <c r="I60" s="16">
        <v>53497684.549999997</v>
      </c>
      <c r="J60" s="16">
        <v>96755257.019999996</v>
      </c>
      <c r="K60" s="16">
        <v>0</v>
      </c>
      <c r="L60" s="16">
        <v>0</v>
      </c>
      <c r="M60" s="16">
        <v>1627.09</v>
      </c>
      <c r="N60" s="18">
        <f t="shared" si="1"/>
        <v>1248212143.9184721</v>
      </c>
      <c r="O60" s="4"/>
    </row>
    <row r="61" spans="1:15" ht="15" x14ac:dyDescent="0.2">
      <c r="A61" s="17" t="s">
        <v>56</v>
      </c>
      <c r="B61" s="16">
        <v>140213682.91</v>
      </c>
      <c r="C61" s="16">
        <v>0</v>
      </c>
      <c r="D61" s="16">
        <v>5509459.6140691796</v>
      </c>
      <c r="E61" s="16">
        <v>2186811.75</v>
      </c>
      <c r="F61" s="16">
        <v>4610904.21</v>
      </c>
      <c r="G61" s="16">
        <v>977828.32152674627</v>
      </c>
      <c r="H61" s="16">
        <v>7102455.9500000002</v>
      </c>
      <c r="I61" s="16">
        <v>9550321.3900000006</v>
      </c>
      <c r="J61" s="16">
        <v>23470495</v>
      </c>
      <c r="K61" s="16">
        <v>0</v>
      </c>
      <c r="L61" s="16">
        <v>0</v>
      </c>
      <c r="M61" s="16">
        <v>290.45999999999998</v>
      </c>
      <c r="N61" s="18">
        <f t="shared" si="1"/>
        <v>193622249.60559592</v>
      </c>
      <c r="O61" s="4"/>
    </row>
    <row r="62" spans="1:15" ht="15" x14ac:dyDescent="0.2">
      <c r="A62" s="17" t="s">
        <v>57</v>
      </c>
      <c r="B62" s="16">
        <v>938184455.76000011</v>
      </c>
      <c r="C62" s="16">
        <v>0</v>
      </c>
      <c r="D62" s="16">
        <v>6475092.9200000009</v>
      </c>
      <c r="E62" s="16">
        <v>23972144.260000002</v>
      </c>
      <c r="F62" s="16">
        <v>20674724.780000001</v>
      </c>
      <c r="G62" s="16">
        <v>0</v>
      </c>
      <c r="H62" s="16">
        <v>47523277.509999998</v>
      </c>
      <c r="I62" s="16">
        <v>42822461.090000004</v>
      </c>
      <c r="J62" s="16">
        <v>48256509.20000001</v>
      </c>
      <c r="K62" s="16">
        <v>0</v>
      </c>
      <c r="L62" s="16">
        <v>0</v>
      </c>
      <c r="M62" s="16">
        <v>1302.4100000000001</v>
      </c>
      <c r="N62" s="18">
        <f t="shared" si="1"/>
        <v>1127909967.9300001</v>
      </c>
      <c r="O62" s="4"/>
    </row>
    <row r="63" spans="1:15" ht="15" x14ac:dyDescent="0.2">
      <c r="A63" s="17" t="s">
        <v>58</v>
      </c>
      <c r="B63" s="16">
        <v>141969375.52000001</v>
      </c>
      <c r="C63" s="16">
        <v>0</v>
      </c>
      <c r="D63" s="16">
        <v>20207201.809782021</v>
      </c>
      <c r="E63" s="16">
        <v>2178137.21</v>
      </c>
      <c r="F63" s="16">
        <v>728572.95</v>
      </c>
      <c r="G63" s="16">
        <v>297494.94</v>
      </c>
      <c r="H63" s="16">
        <v>7191389.7000000002</v>
      </c>
      <c r="I63" s="16">
        <v>1509054.52</v>
      </c>
      <c r="J63" s="16">
        <v>6639274.21</v>
      </c>
      <c r="K63" s="16">
        <v>0</v>
      </c>
      <c r="L63" s="16">
        <v>0</v>
      </c>
      <c r="M63" s="16">
        <v>45.89</v>
      </c>
      <c r="N63" s="18">
        <f t="shared" si="1"/>
        <v>180720546.74978203</v>
      </c>
      <c r="O63" s="4"/>
    </row>
    <row r="64" spans="1:15" ht="15" x14ac:dyDescent="0.2">
      <c r="A64" s="17" t="s">
        <v>59</v>
      </c>
      <c r="B64" s="16">
        <v>276860850.25999999</v>
      </c>
      <c r="C64" s="16">
        <v>0</v>
      </c>
      <c r="D64" s="16">
        <v>66217438.731411844</v>
      </c>
      <c r="E64" s="16">
        <v>4440068.8400000008</v>
      </c>
      <c r="F64" s="16">
        <v>1333499.79</v>
      </c>
      <c r="G64" s="16">
        <v>507793.09</v>
      </c>
      <c r="H64" s="16">
        <v>14024251.779999999</v>
      </c>
      <c r="I64" s="16">
        <v>2762007.41</v>
      </c>
      <c r="J64" s="16">
        <v>13642076.230000002</v>
      </c>
      <c r="K64" s="16">
        <v>0</v>
      </c>
      <c r="L64" s="16">
        <v>0</v>
      </c>
      <c r="M64" s="16">
        <v>83.990000000000009</v>
      </c>
      <c r="N64" s="18">
        <f t="shared" si="1"/>
        <v>379788070.1214118</v>
      </c>
      <c r="O64" s="4"/>
    </row>
    <row r="65" spans="1:15" ht="15" x14ac:dyDescent="0.2">
      <c r="A65" s="17" t="s">
        <v>60</v>
      </c>
      <c r="B65" s="16">
        <v>154471263.94999999</v>
      </c>
      <c r="C65" s="16">
        <v>0</v>
      </c>
      <c r="D65" s="16">
        <v>17164829.120391052</v>
      </c>
      <c r="E65" s="16">
        <v>2369944.9700000002</v>
      </c>
      <c r="F65" s="16">
        <v>290333.58</v>
      </c>
      <c r="G65" s="16">
        <v>194910.48</v>
      </c>
      <c r="H65" s="16">
        <v>7824666.7800000003</v>
      </c>
      <c r="I65" s="16">
        <v>601352.55000000005</v>
      </c>
      <c r="J65" s="16">
        <v>7882693.8300000019</v>
      </c>
      <c r="K65" s="16">
        <v>0</v>
      </c>
      <c r="L65" s="16">
        <v>0</v>
      </c>
      <c r="M65" s="16">
        <v>18.279999999999998</v>
      </c>
      <c r="N65" s="18">
        <f t="shared" si="1"/>
        <v>190800013.54039106</v>
      </c>
      <c r="O65" s="4"/>
    </row>
    <row r="66" spans="1:15" ht="15" x14ac:dyDescent="0.2">
      <c r="A66" s="17" t="s">
        <v>61</v>
      </c>
      <c r="B66" s="16">
        <v>86228255.549999982</v>
      </c>
      <c r="C66" s="16">
        <v>0</v>
      </c>
      <c r="D66" s="16">
        <v>14869072.086617652</v>
      </c>
      <c r="E66" s="16">
        <v>1325382.5499999998</v>
      </c>
      <c r="F66" s="16">
        <v>284073.01</v>
      </c>
      <c r="G66" s="16">
        <v>156441.31</v>
      </c>
      <c r="H66" s="16">
        <v>4367850.37</v>
      </c>
      <c r="I66" s="16">
        <v>588385.38</v>
      </c>
      <c r="J66" s="16">
        <v>3532310.8300000005</v>
      </c>
      <c r="K66" s="16">
        <v>0</v>
      </c>
      <c r="L66" s="16">
        <v>0</v>
      </c>
      <c r="M66" s="16">
        <v>17.89</v>
      </c>
      <c r="N66" s="18">
        <f t="shared" si="1"/>
        <v>111351788.97661763</v>
      </c>
      <c r="O66" s="4"/>
    </row>
    <row r="67" spans="1:15" ht="15" x14ac:dyDescent="0.2">
      <c r="A67" s="17" t="s">
        <v>62</v>
      </c>
      <c r="B67" s="16">
        <v>398364108.61000001</v>
      </c>
      <c r="C67" s="16">
        <v>0</v>
      </c>
      <c r="D67" s="16">
        <v>1607862.8199999998</v>
      </c>
      <c r="E67" s="16">
        <v>9929326.1500000004</v>
      </c>
      <c r="F67" s="16">
        <v>7633190.71</v>
      </c>
      <c r="G67" s="16">
        <v>3264349.5885761757</v>
      </c>
      <c r="H67" s="16">
        <v>20178940.260000002</v>
      </c>
      <c r="I67" s="16">
        <v>15810223.15</v>
      </c>
      <c r="J67" s="16">
        <v>23835410.399999995</v>
      </c>
      <c r="K67" s="16">
        <v>0</v>
      </c>
      <c r="L67" s="16">
        <v>0</v>
      </c>
      <c r="M67" s="16">
        <v>480.84</v>
      </c>
      <c r="N67" s="18">
        <f t="shared" si="1"/>
        <v>480623892.52857608</v>
      </c>
      <c r="O67" s="4"/>
    </row>
    <row r="68" spans="1:15" ht="15" x14ac:dyDescent="0.2">
      <c r="A68" s="17" t="s">
        <v>63</v>
      </c>
      <c r="B68" s="16">
        <v>244715560.44</v>
      </c>
      <c r="C68" s="16">
        <v>0</v>
      </c>
      <c r="D68" s="16">
        <v>3268826.9699999997</v>
      </c>
      <c r="E68" s="16">
        <v>3754500.34</v>
      </c>
      <c r="F68" s="16">
        <v>6731669.7300000004</v>
      </c>
      <c r="G68" s="16">
        <v>3214339.9742740891</v>
      </c>
      <c r="H68" s="16">
        <v>12395947.75</v>
      </c>
      <c r="I68" s="16">
        <v>13942950.539999999</v>
      </c>
      <c r="J68" s="16">
        <v>20228649.409999996</v>
      </c>
      <c r="K68" s="16">
        <v>0</v>
      </c>
      <c r="L68" s="16">
        <v>0</v>
      </c>
      <c r="M68" s="16">
        <v>424.06</v>
      </c>
      <c r="N68" s="18">
        <f t="shared" si="1"/>
        <v>308252869.21427411</v>
      </c>
      <c r="O68" s="4"/>
    </row>
    <row r="69" spans="1:15" ht="15" x14ac:dyDescent="0.2">
      <c r="A69" s="17" t="s">
        <v>64</v>
      </c>
      <c r="B69" s="16">
        <v>756622939.55000007</v>
      </c>
      <c r="C69" s="16">
        <v>0</v>
      </c>
      <c r="D69" s="16">
        <v>2061600.0774238699</v>
      </c>
      <c r="E69" s="16">
        <v>11608338.549999999</v>
      </c>
      <c r="F69" s="16">
        <v>19867112.23</v>
      </c>
      <c r="G69" s="16">
        <v>3077695.6292345184</v>
      </c>
      <c r="H69" s="16">
        <v>38326367.18</v>
      </c>
      <c r="I69" s="16">
        <v>41149696.039999999</v>
      </c>
      <c r="J69" s="16">
        <v>44807228.809999995</v>
      </c>
      <c r="K69" s="16">
        <v>0</v>
      </c>
      <c r="L69" s="16">
        <v>0</v>
      </c>
      <c r="M69" s="16">
        <v>1251.53</v>
      </c>
      <c r="N69" s="18">
        <f t="shared" si="1"/>
        <v>917522229.59665823</v>
      </c>
      <c r="O69" s="4"/>
    </row>
    <row r="70" spans="1:15" ht="15" x14ac:dyDescent="0.2">
      <c r="A70" s="17" t="s">
        <v>65</v>
      </c>
      <c r="B70" s="16">
        <v>173007815.63</v>
      </c>
      <c r="C70" s="16">
        <v>0</v>
      </c>
      <c r="D70" s="16">
        <v>25886802.157042932</v>
      </c>
      <c r="E70" s="16">
        <v>2695731.08</v>
      </c>
      <c r="F70" s="16">
        <v>4412131.3499999996</v>
      </c>
      <c r="G70" s="16">
        <v>1482345.49</v>
      </c>
      <c r="H70" s="16">
        <v>8763626.8000000007</v>
      </c>
      <c r="I70" s="16">
        <v>9138613.7100000009</v>
      </c>
      <c r="J70" s="16">
        <v>18740612.399999999</v>
      </c>
      <c r="K70" s="16">
        <v>0</v>
      </c>
      <c r="L70" s="16">
        <v>0</v>
      </c>
      <c r="M70" s="16">
        <v>277.94</v>
      </c>
      <c r="N70" s="18">
        <f t="shared" si="1"/>
        <v>244127956.55704296</v>
      </c>
      <c r="O70" s="4"/>
    </row>
    <row r="71" spans="1:15" ht="15" x14ac:dyDescent="0.2">
      <c r="A71" s="17" t="s">
        <v>66</v>
      </c>
      <c r="B71" s="16">
        <v>599810751.99000001</v>
      </c>
      <c r="C71" s="16">
        <v>0</v>
      </c>
      <c r="D71" s="16">
        <v>2194033.1399999997</v>
      </c>
      <c r="E71" s="16">
        <v>14912037.860000001</v>
      </c>
      <c r="F71" s="16">
        <v>2778124.56</v>
      </c>
      <c r="G71" s="16">
        <v>1143816.76</v>
      </c>
      <c r="H71" s="16">
        <v>30383122.050000001</v>
      </c>
      <c r="I71" s="16">
        <v>5754182.0999999996</v>
      </c>
      <c r="J71" s="16">
        <v>16133021.829999998</v>
      </c>
      <c r="K71" s="16">
        <v>0</v>
      </c>
      <c r="L71" s="16">
        <v>0</v>
      </c>
      <c r="M71" s="16">
        <v>175</v>
      </c>
      <c r="N71" s="18">
        <f t="shared" si="1"/>
        <v>673109265.28999996</v>
      </c>
      <c r="O71" s="4"/>
    </row>
    <row r="72" spans="1:15" ht="15" x14ac:dyDescent="0.2">
      <c r="A72" s="17" t="s">
        <v>67</v>
      </c>
      <c r="B72" s="16">
        <v>3121451828.3800006</v>
      </c>
      <c r="C72" s="16">
        <v>0</v>
      </c>
      <c r="D72" s="16">
        <v>12629917.620828401</v>
      </c>
      <c r="E72" s="16">
        <v>77481742.969999999</v>
      </c>
      <c r="F72" s="16">
        <v>80835599.930000007</v>
      </c>
      <c r="G72" s="16">
        <v>0</v>
      </c>
      <c r="H72" s="16">
        <v>158115624.88</v>
      </c>
      <c r="I72" s="16">
        <v>167430490.09999999</v>
      </c>
      <c r="J72" s="16">
        <v>237556733.21999997</v>
      </c>
      <c r="K72" s="16">
        <v>0</v>
      </c>
      <c r="L72" s="16">
        <v>0</v>
      </c>
      <c r="M72" s="16">
        <v>5092.2800000000007</v>
      </c>
      <c r="N72" s="18">
        <f t="shared" ref="N72:N103" si="2">SUM(B72:M72)</f>
        <v>3855507029.3808289</v>
      </c>
      <c r="O72" s="4"/>
    </row>
    <row r="73" spans="1:15" ht="15" x14ac:dyDescent="0.2">
      <c r="A73" s="17" t="s">
        <v>68</v>
      </c>
      <c r="B73" s="16">
        <v>1250583238.6699998</v>
      </c>
      <c r="C73" s="16">
        <v>0</v>
      </c>
      <c r="D73" s="16">
        <v>26598342.484926328</v>
      </c>
      <c r="E73" s="16">
        <v>31611338.350000001</v>
      </c>
      <c r="F73" s="16">
        <v>30003745.34</v>
      </c>
      <c r="G73" s="16">
        <v>13034832.456402592</v>
      </c>
      <c r="H73" s="16">
        <v>63347685.990000002</v>
      </c>
      <c r="I73" s="16">
        <v>62145166.659999996</v>
      </c>
      <c r="J73" s="16">
        <v>102636438.40000002</v>
      </c>
      <c r="K73" s="16">
        <v>0</v>
      </c>
      <c r="L73" s="16">
        <v>0</v>
      </c>
      <c r="M73" s="16">
        <v>1890.1</v>
      </c>
      <c r="N73" s="18">
        <f t="shared" si="2"/>
        <v>1579962678.4513285</v>
      </c>
      <c r="O73" s="4"/>
    </row>
    <row r="74" spans="1:15" ht="15" x14ac:dyDescent="0.2">
      <c r="A74" s="17" t="s">
        <v>69</v>
      </c>
      <c r="B74" s="16">
        <v>773624320.39999998</v>
      </c>
      <c r="C74" s="16">
        <v>0</v>
      </c>
      <c r="D74" s="16">
        <v>5513496.5300000003</v>
      </c>
      <c r="E74" s="16">
        <v>19257358.370000001</v>
      </c>
      <c r="F74" s="16">
        <v>21783626.899999999</v>
      </c>
      <c r="G74" s="16">
        <v>23425761.36860045</v>
      </c>
      <c r="H74" s="16">
        <v>39187563.859999999</v>
      </c>
      <c r="I74" s="16">
        <v>45119271.240000002</v>
      </c>
      <c r="J74" s="16">
        <v>55767377.999999993</v>
      </c>
      <c r="K74" s="16">
        <v>0</v>
      </c>
      <c r="L74" s="16">
        <v>0</v>
      </c>
      <c r="M74" s="16">
        <v>1372.27</v>
      </c>
      <c r="N74" s="18">
        <f t="shared" si="2"/>
        <v>983680148.93860042</v>
      </c>
      <c r="O74" s="4"/>
    </row>
    <row r="75" spans="1:15" ht="15" x14ac:dyDescent="0.2">
      <c r="A75" s="17" t="s">
        <v>70</v>
      </c>
      <c r="B75" s="16">
        <v>125124904.39000002</v>
      </c>
      <c r="C75" s="16">
        <v>0</v>
      </c>
      <c r="D75" s="16">
        <v>14322701.721325304</v>
      </c>
      <c r="E75" s="16">
        <v>1919704.21</v>
      </c>
      <c r="F75" s="16">
        <v>395980.57</v>
      </c>
      <c r="G75" s="16">
        <v>166699.75</v>
      </c>
      <c r="H75" s="16">
        <v>6338141.21</v>
      </c>
      <c r="I75" s="16">
        <v>820173.56</v>
      </c>
      <c r="J75" s="16">
        <v>6521694.8000000007</v>
      </c>
      <c r="K75" s="16">
        <v>0</v>
      </c>
      <c r="L75" s="16">
        <v>0</v>
      </c>
      <c r="M75" s="16">
        <v>24.94</v>
      </c>
      <c r="N75" s="18">
        <f t="shared" si="2"/>
        <v>155610025.15132535</v>
      </c>
      <c r="O75" s="4"/>
    </row>
    <row r="76" spans="1:15" ht="15" x14ac:dyDescent="0.2">
      <c r="A76" s="17" t="s">
        <v>71</v>
      </c>
      <c r="B76" s="16">
        <v>116554240.68000001</v>
      </c>
      <c r="C76" s="16">
        <v>0</v>
      </c>
      <c r="D76" s="16">
        <v>21456101.10076651</v>
      </c>
      <c r="E76" s="16">
        <v>1799627.82</v>
      </c>
      <c r="F76" s="16">
        <v>712921.54</v>
      </c>
      <c r="G76" s="16">
        <v>392385.57</v>
      </c>
      <c r="H76" s="16">
        <v>5903998.4100000001</v>
      </c>
      <c r="I76" s="16">
        <v>1476636.59</v>
      </c>
      <c r="J76" s="16">
        <v>9287728.629999999</v>
      </c>
      <c r="K76" s="16">
        <v>0</v>
      </c>
      <c r="L76" s="16">
        <v>0</v>
      </c>
      <c r="M76" s="16">
        <v>44.9</v>
      </c>
      <c r="N76" s="18">
        <f t="shared" si="2"/>
        <v>157583685.2407665</v>
      </c>
      <c r="O76" s="4"/>
    </row>
    <row r="77" spans="1:15" ht="15" x14ac:dyDescent="0.2">
      <c r="A77" s="17" t="s">
        <v>72</v>
      </c>
      <c r="B77" s="16">
        <v>151850447.45000002</v>
      </c>
      <c r="C77" s="16">
        <v>0</v>
      </c>
      <c r="D77" s="16">
        <v>18209189.442910086</v>
      </c>
      <c r="E77" s="16">
        <v>2337996.6199999996</v>
      </c>
      <c r="F77" s="16">
        <v>837350.22</v>
      </c>
      <c r="G77" s="16">
        <v>276978.05</v>
      </c>
      <c r="H77" s="16">
        <v>7691910.5999999996</v>
      </c>
      <c r="I77" s="16">
        <v>1734359.11</v>
      </c>
      <c r="J77" s="16">
        <v>6234542.6199999992</v>
      </c>
      <c r="K77" s="16">
        <v>0</v>
      </c>
      <c r="L77" s="16">
        <v>0</v>
      </c>
      <c r="M77" s="16">
        <v>52.74</v>
      </c>
      <c r="N77" s="18">
        <f t="shared" si="2"/>
        <v>189172826.85291013</v>
      </c>
      <c r="O77" s="4"/>
    </row>
    <row r="78" spans="1:15" ht="15" x14ac:dyDescent="0.2">
      <c r="A78" s="17" t="s">
        <v>73</v>
      </c>
      <c r="B78" s="16">
        <v>58955648.869999997</v>
      </c>
      <c r="C78" s="16">
        <v>0</v>
      </c>
      <c r="D78" s="16">
        <v>6971843.8055349682</v>
      </c>
      <c r="E78" s="16">
        <v>904515.44</v>
      </c>
      <c r="F78" s="16">
        <v>297376.71000000002</v>
      </c>
      <c r="G78" s="16">
        <v>92326.02</v>
      </c>
      <c r="H78" s="16">
        <v>2986369.74</v>
      </c>
      <c r="I78" s="16">
        <v>615940.62</v>
      </c>
      <c r="J78" s="16">
        <v>2812929.63</v>
      </c>
      <c r="K78" s="16">
        <v>0</v>
      </c>
      <c r="L78" s="16">
        <v>0</v>
      </c>
      <c r="M78" s="16">
        <v>18.73</v>
      </c>
      <c r="N78" s="18">
        <f t="shared" si="2"/>
        <v>73636969.565534949</v>
      </c>
      <c r="O78" s="4"/>
    </row>
    <row r="79" spans="1:15" ht="15" x14ac:dyDescent="0.2">
      <c r="A79" s="17" t="s">
        <v>74</v>
      </c>
      <c r="B79" s="16">
        <v>236119451.91999999</v>
      </c>
      <c r="C79" s="16">
        <v>0</v>
      </c>
      <c r="D79" s="16">
        <v>46814562.362812869</v>
      </c>
      <c r="E79" s="16">
        <v>3649643.24</v>
      </c>
      <c r="F79" s="16">
        <v>1494709.27</v>
      </c>
      <c r="G79" s="16">
        <v>687315.9</v>
      </c>
      <c r="H79" s="16">
        <v>11960516.050000001</v>
      </c>
      <c r="I79" s="16">
        <v>3095912.06</v>
      </c>
      <c r="J79" s="16">
        <v>14594067.800000001</v>
      </c>
      <c r="K79" s="16">
        <v>0</v>
      </c>
      <c r="L79" s="16">
        <v>0</v>
      </c>
      <c r="M79" s="16">
        <v>94.15</v>
      </c>
      <c r="N79" s="18">
        <f t="shared" si="2"/>
        <v>318416272.7528128</v>
      </c>
      <c r="O79" s="4"/>
    </row>
    <row r="80" spans="1:15" ht="15" x14ac:dyDescent="0.2">
      <c r="A80" s="17" t="s">
        <v>75</v>
      </c>
      <c r="B80" s="16">
        <v>147957389.94</v>
      </c>
      <c r="C80" s="16">
        <v>0</v>
      </c>
      <c r="D80" s="16">
        <v>52289424.612245716</v>
      </c>
      <c r="E80" s="16">
        <v>2270007.14</v>
      </c>
      <c r="F80" s="16">
        <v>483628.44</v>
      </c>
      <c r="G80" s="16">
        <v>287236.5</v>
      </c>
      <c r="H80" s="16">
        <v>7494709.6600000001</v>
      </c>
      <c r="I80" s="16">
        <v>1001713.95</v>
      </c>
      <c r="J80" s="16">
        <v>9618491.6300000008</v>
      </c>
      <c r="K80" s="16">
        <v>0</v>
      </c>
      <c r="L80" s="16">
        <v>0</v>
      </c>
      <c r="M80" s="16">
        <v>30.46</v>
      </c>
      <c r="N80" s="18">
        <f t="shared" si="2"/>
        <v>221402632.33224568</v>
      </c>
      <c r="O80" s="4"/>
    </row>
    <row r="81" spans="1:15" ht="15" x14ac:dyDescent="0.2">
      <c r="A81" s="17" t="s">
        <v>76</v>
      </c>
      <c r="B81" s="16">
        <v>74714474.289999992</v>
      </c>
      <c r="C81" s="16">
        <v>0</v>
      </c>
      <c r="D81" s="16">
        <v>13581944.394501727</v>
      </c>
      <c r="E81" s="16">
        <v>1165221.8400000001</v>
      </c>
      <c r="F81" s="16">
        <v>1256025.33</v>
      </c>
      <c r="G81" s="16">
        <v>592425.27</v>
      </c>
      <c r="H81" s="16">
        <v>3784625.38</v>
      </c>
      <c r="I81" s="16">
        <v>2601538.67</v>
      </c>
      <c r="J81" s="16">
        <v>10695283.809999997</v>
      </c>
      <c r="K81" s="16">
        <v>0</v>
      </c>
      <c r="L81" s="16">
        <v>0</v>
      </c>
      <c r="M81" s="16">
        <v>79.11</v>
      </c>
      <c r="N81" s="18">
        <f t="shared" si="2"/>
        <v>108391618.09450172</v>
      </c>
      <c r="O81" s="4"/>
    </row>
    <row r="82" spans="1:15" ht="15" x14ac:dyDescent="0.2">
      <c r="A82" s="17" t="s">
        <v>77</v>
      </c>
      <c r="B82" s="16">
        <v>1144724304.0600002</v>
      </c>
      <c r="C82" s="16">
        <v>0</v>
      </c>
      <c r="D82" s="16">
        <v>8679333.6999999993</v>
      </c>
      <c r="E82" s="16">
        <v>28440481.140000001</v>
      </c>
      <c r="F82" s="16">
        <v>36199354.420000002</v>
      </c>
      <c r="G82" s="16">
        <v>25022558.290094584</v>
      </c>
      <c r="H82" s="16">
        <v>57985453.119999997</v>
      </c>
      <c r="I82" s="16">
        <v>74977803.189999998</v>
      </c>
      <c r="J82" s="16">
        <v>91703900.010000005</v>
      </c>
      <c r="K82" s="16">
        <v>0</v>
      </c>
      <c r="L82" s="16">
        <v>0</v>
      </c>
      <c r="M82" s="16">
        <v>2280.39</v>
      </c>
      <c r="N82" s="18">
        <f t="shared" si="2"/>
        <v>1467735468.3200951</v>
      </c>
      <c r="O82" s="4"/>
    </row>
    <row r="83" spans="1:15" ht="15" x14ac:dyDescent="0.2">
      <c r="A83" s="17" t="s">
        <v>78</v>
      </c>
      <c r="B83" s="16">
        <v>345952019.32999998</v>
      </c>
      <c r="C83" s="16">
        <v>0</v>
      </c>
      <c r="D83" s="16">
        <v>14353349.720070932</v>
      </c>
      <c r="E83" s="16">
        <v>8674347.5199999996</v>
      </c>
      <c r="F83" s="16">
        <v>4008325.08</v>
      </c>
      <c r="G83" s="16">
        <v>1743935.87</v>
      </c>
      <c r="H83" s="16">
        <v>17524031.359999999</v>
      </c>
      <c r="I83" s="16">
        <v>8302231.1900000004</v>
      </c>
      <c r="J83" s="16">
        <v>19777163.599999998</v>
      </c>
      <c r="K83" s="16">
        <v>0</v>
      </c>
      <c r="L83" s="16">
        <v>0</v>
      </c>
      <c r="M83" s="16">
        <v>252.49</v>
      </c>
      <c r="N83" s="18">
        <f t="shared" si="2"/>
        <v>420335656.16007096</v>
      </c>
      <c r="O83" s="4"/>
    </row>
    <row r="84" spans="1:15" ht="15" x14ac:dyDescent="0.2">
      <c r="A84" s="17" t="s">
        <v>79</v>
      </c>
      <c r="B84" s="16">
        <v>123610937.58000001</v>
      </c>
      <c r="C84" s="16">
        <v>0</v>
      </c>
      <c r="D84" s="16">
        <v>11680617.217148786</v>
      </c>
      <c r="E84" s="16">
        <v>1904116.33</v>
      </c>
      <c r="F84" s="16">
        <v>804482.26</v>
      </c>
      <c r="G84" s="16">
        <v>156047.8225936527</v>
      </c>
      <c r="H84" s="16">
        <v>6261451.9500000002</v>
      </c>
      <c r="I84" s="16">
        <v>1666281.46</v>
      </c>
      <c r="J84" s="16">
        <v>8253697.8199999994</v>
      </c>
      <c r="K84" s="16">
        <v>0</v>
      </c>
      <c r="L84" s="16">
        <v>0</v>
      </c>
      <c r="M84" s="16">
        <v>50.67</v>
      </c>
      <c r="N84" s="18">
        <f t="shared" si="2"/>
        <v>154337683.10974243</v>
      </c>
      <c r="O84" s="4"/>
    </row>
    <row r="85" spans="1:15" ht="15" x14ac:dyDescent="0.2">
      <c r="A85" s="17" t="s">
        <v>80</v>
      </c>
      <c r="B85" s="16">
        <v>117593237.53999999</v>
      </c>
      <c r="C85" s="16">
        <v>0</v>
      </c>
      <c r="D85" s="16">
        <v>11290794.608288966</v>
      </c>
      <c r="E85" s="16">
        <v>1815238.17</v>
      </c>
      <c r="F85" s="16">
        <v>380329.16</v>
      </c>
      <c r="G85" s="16">
        <v>166699.75</v>
      </c>
      <c r="H85" s="16">
        <v>5956628.2800000003</v>
      </c>
      <c r="I85" s="16">
        <v>787755.63</v>
      </c>
      <c r="J85" s="16">
        <v>4595651.62</v>
      </c>
      <c r="K85" s="16">
        <v>0</v>
      </c>
      <c r="L85" s="16">
        <v>0</v>
      </c>
      <c r="M85" s="16">
        <v>23.94</v>
      </c>
      <c r="N85" s="18">
        <f t="shared" si="2"/>
        <v>142586358.69828895</v>
      </c>
      <c r="O85" s="4"/>
    </row>
    <row r="86" spans="1:15" ht="15" x14ac:dyDescent="0.2">
      <c r="A86" s="17" t="s">
        <v>81</v>
      </c>
      <c r="B86" s="16">
        <v>1398803558.5</v>
      </c>
      <c r="C86" s="16">
        <v>0</v>
      </c>
      <c r="D86" s="16">
        <v>4898804.91</v>
      </c>
      <c r="E86" s="16">
        <v>34756280.899999999</v>
      </c>
      <c r="F86" s="16">
        <v>22712537.850000001</v>
      </c>
      <c r="G86" s="16">
        <v>5532389.9298426397</v>
      </c>
      <c r="H86" s="16">
        <v>70855714.230000004</v>
      </c>
      <c r="I86" s="16">
        <v>47043275.219999999</v>
      </c>
      <c r="J86" s="16">
        <v>40707976.43</v>
      </c>
      <c r="K86" s="16">
        <v>0</v>
      </c>
      <c r="L86" s="16">
        <v>0</v>
      </c>
      <c r="M86" s="16">
        <v>1430.78</v>
      </c>
      <c r="N86" s="18">
        <f t="shared" si="2"/>
        <v>1625311968.7498429</v>
      </c>
      <c r="O86" s="4"/>
    </row>
    <row r="87" spans="1:15" ht="15" x14ac:dyDescent="0.2">
      <c r="A87" s="17" t="s">
        <v>82</v>
      </c>
      <c r="B87" s="16">
        <v>195865746</v>
      </c>
      <c r="C87" s="16">
        <v>0</v>
      </c>
      <c r="D87" s="16">
        <v>13491497.120539488</v>
      </c>
      <c r="E87" s="16">
        <v>3010385.3800000004</v>
      </c>
      <c r="F87" s="16">
        <v>644837.92000000004</v>
      </c>
      <c r="G87" s="16">
        <v>348787.17</v>
      </c>
      <c r="H87" s="16">
        <v>9921484.1500000004</v>
      </c>
      <c r="I87" s="16">
        <v>1335618.6100000001</v>
      </c>
      <c r="J87" s="16">
        <v>8914261.0099999998</v>
      </c>
      <c r="K87" s="16">
        <v>0</v>
      </c>
      <c r="L87" s="16">
        <v>0</v>
      </c>
      <c r="M87" s="16">
        <v>40.61</v>
      </c>
      <c r="N87" s="18">
        <f t="shared" si="2"/>
        <v>233532657.97053948</v>
      </c>
      <c r="O87" s="4"/>
    </row>
    <row r="88" spans="1:15" ht="15" x14ac:dyDescent="0.2">
      <c r="A88" s="17" t="s">
        <v>83</v>
      </c>
      <c r="B88" s="16">
        <v>167846757.89000002</v>
      </c>
      <c r="C88" s="16">
        <v>0</v>
      </c>
      <c r="D88" s="16">
        <v>4129628.7492923685</v>
      </c>
      <c r="E88" s="16">
        <v>2579755.0200000005</v>
      </c>
      <c r="F88" s="16">
        <v>3164714.29</v>
      </c>
      <c r="G88" s="16">
        <v>889920.21</v>
      </c>
      <c r="H88" s="16">
        <v>8502195.9299999997</v>
      </c>
      <c r="I88" s="16">
        <v>6554904.9000000004</v>
      </c>
      <c r="J88" s="16">
        <v>13321989.430000002</v>
      </c>
      <c r="K88" s="16">
        <v>0</v>
      </c>
      <c r="L88" s="16">
        <v>0</v>
      </c>
      <c r="M88" s="16">
        <v>199.36</v>
      </c>
      <c r="N88" s="18">
        <f t="shared" si="2"/>
        <v>206990065.77929243</v>
      </c>
      <c r="O88" s="4"/>
    </row>
    <row r="89" spans="1:15" ht="15" x14ac:dyDescent="0.2">
      <c r="A89" s="17" t="s">
        <v>84</v>
      </c>
      <c r="B89" s="16">
        <v>274668354.88</v>
      </c>
      <c r="C89" s="16">
        <v>0</v>
      </c>
      <c r="D89" s="16">
        <v>12777931.023206947</v>
      </c>
      <c r="E89" s="16">
        <v>4336623.22</v>
      </c>
      <c r="F89" s="16">
        <v>2661521.59</v>
      </c>
      <c r="G89" s="16">
        <v>1038667.68</v>
      </c>
      <c r="H89" s="16">
        <v>13913191.99</v>
      </c>
      <c r="I89" s="16">
        <v>5512668.54</v>
      </c>
      <c r="J89" s="16">
        <v>14095969.220000003</v>
      </c>
      <c r="K89" s="16">
        <v>0</v>
      </c>
      <c r="L89" s="16">
        <v>0</v>
      </c>
      <c r="M89" s="16">
        <v>167.66</v>
      </c>
      <c r="N89" s="18">
        <f t="shared" si="2"/>
        <v>329005095.80320704</v>
      </c>
      <c r="O89" s="4"/>
    </row>
    <row r="90" spans="1:15" ht="15" x14ac:dyDescent="0.2">
      <c r="A90" s="17" t="s">
        <v>85</v>
      </c>
      <c r="B90" s="16">
        <v>1442348127.8599999</v>
      </c>
      <c r="C90" s="16">
        <v>0</v>
      </c>
      <c r="D90" s="16">
        <v>5100718.7971270103</v>
      </c>
      <c r="E90" s="16">
        <v>35879297.920000002</v>
      </c>
      <c r="F90" s="16">
        <v>36103098.270000003</v>
      </c>
      <c r="G90" s="16">
        <v>9417489.8961606175</v>
      </c>
      <c r="H90" s="16">
        <v>73061443.219999999</v>
      </c>
      <c r="I90" s="16">
        <v>74778432.939999998</v>
      </c>
      <c r="J90" s="16">
        <v>83904888</v>
      </c>
      <c r="K90" s="16">
        <v>0</v>
      </c>
      <c r="L90" s="16">
        <v>0</v>
      </c>
      <c r="M90" s="16">
        <v>2274.33</v>
      </c>
      <c r="N90" s="18">
        <f t="shared" si="2"/>
        <v>1760595771.2332876</v>
      </c>
      <c r="O90" s="4"/>
    </row>
    <row r="91" spans="1:15" ht="15" x14ac:dyDescent="0.2">
      <c r="A91" s="17" t="s">
        <v>86</v>
      </c>
      <c r="B91" s="16">
        <v>53688571.019999996</v>
      </c>
      <c r="C91" s="16">
        <v>0</v>
      </c>
      <c r="D91" s="16">
        <v>18520123.730418716</v>
      </c>
      <c r="E91" s="16">
        <v>823706.34</v>
      </c>
      <c r="F91" s="16">
        <v>838132.79</v>
      </c>
      <c r="G91" s="16">
        <v>346222.56</v>
      </c>
      <c r="H91" s="16">
        <v>2719568.47</v>
      </c>
      <c r="I91" s="16">
        <v>1735980.01</v>
      </c>
      <c r="J91" s="16">
        <v>6102067.5999999987</v>
      </c>
      <c r="K91" s="16">
        <v>0</v>
      </c>
      <c r="L91" s="16">
        <v>0</v>
      </c>
      <c r="M91" s="16">
        <v>52.79</v>
      </c>
      <c r="N91" s="18">
        <f t="shared" si="2"/>
        <v>84774425.310418725</v>
      </c>
      <c r="O91" s="4"/>
    </row>
    <row r="92" spans="1:15" ht="15" x14ac:dyDescent="0.2">
      <c r="A92" s="17" t="s">
        <v>87</v>
      </c>
      <c r="B92" s="16">
        <v>77666073.459999993</v>
      </c>
      <c r="C92" s="16">
        <v>0</v>
      </c>
      <c r="D92" s="16">
        <v>175249.56</v>
      </c>
      <c r="E92" s="16">
        <v>1191576.44</v>
      </c>
      <c r="F92" s="16">
        <v>179208.59</v>
      </c>
      <c r="G92" s="16">
        <v>107713.69</v>
      </c>
      <c r="H92" s="16">
        <v>3934137.2</v>
      </c>
      <c r="I92" s="16">
        <v>371185.27</v>
      </c>
      <c r="J92" s="16">
        <v>2478655.1999999993</v>
      </c>
      <c r="K92" s="16">
        <v>0</v>
      </c>
      <c r="L92" s="16">
        <v>0</v>
      </c>
      <c r="M92" s="16">
        <v>11.28</v>
      </c>
      <c r="N92" s="18">
        <f t="shared" si="2"/>
        <v>86103810.689999998</v>
      </c>
      <c r="O92" s="4"/>
    </row>
    <row r="93" spans="1:15" ht="15" x14ac:dyDescent="0.2">
      <c r="A93" s="17" t="s">
        <v>88</v>
      </c>
      <c r="B93" s="16">
        <v>770749055.71000004</v>
      </c>
      <c r="C93" s="16">
        <v>0</v>
      </c>
      <c r="D93" s="16">
        <v>4988032.83750863</v>
      </c>
      <c r="E93" s="16">
        <v>19142319.789999999</v>
      </c>
      <c r="F93" s="16">
        <v>29260303.559999999</v>
      </c>
      <c r="G93" s="16">
        <v>4702815.0825441349</v>
      </c>
      <c r="H93" s="16">
        <v>39041918.719999999</v>
      </c>
      <c r="I93" s="16">
        <v>60605315.109999999</v>
      </c>
      <c r="J93" s="16">
        <v>84065087.030000001</v>
      </c>
      <c r="K93" s="16">
        <v>0</v>
      </c>
      <c r="L93" s="16">
        <v>0</v>
      </c>
      <c r="M93" s="16">
        <v>1843.26</v>
      </c>
      <c r="N93" s="18">
        <f t="shared" si="2"/>
        <v>1012556691.1000527</v>
      </c>
      <c r="O93" s="4"/>
    </row>
    <row r="94" spans="1:15" ht="15" x14ac:dyDescent="0.2">
      <c r="A94" s="17" t="s">
        <v>89</v>
      </c>
      <c r="B94" s="16">
        <v>527403274.66999996</v>
      </c>
      <c r="C94" s="16">
        <v>0</v>
      </c>
      <c r="D94" s="16">
        <v>6724080.7700000005</v>
      </c>
      <c r="E94" s="16">
        <v>13236250.16</v>
      </c>
      <c r="F94" s="16">
        <v>13230916.08</v>
      </c>
      <c r="G94" s="16">
        <v>5977867.7936755782</v>
      </c>
      <c r="H94" s="16">
        <v>26715356.489999998</v>
      </c>
      <c r="I94" s="16">
        <v>27404494.859999999</v>
      </c>
      <c r="J94" s="16">
        <v>42274456.420000002</v>
      </c>
      <c r="K94" s="16">
        <v>0</v>
      </c>
      <c r="L94" s="16">
        <v>0</v>
      </c>
      <c r="M94" s="16">
        <v>833.4799999999999</v>
      </c>
      <c r="N94" s="18">
        <f t="shared" si="2"/>
        <v>662967530.72367549</v>
      </c>
      <c r="O94" s="4"/>
    </row>
    <row r="95" spans="1:15" ht="15" x14ac:dyDescent="0.2">
      <c r="A95" s="17" t="s">
        <v>90</v>
      </c>
      <c r="B95" s="16">
        <v>97233140.37999998</v>
      </c>
      <c r="C95" s="16">
        <v>0</v>
      </c>
      <c r="D95" s="16">
        <v>11159221.649711087</v>
      </c>
      <c r="E95" s="16">
        <v>1491780.33</v>
      </c>
      <c r="F95" s="16">
        <v>648750.77</v>
      </c>
      <c r="G95" s="16">
        <v>279542.65999999997</v>
      </c>
      <c r="H95" s="16">
        <v>4925297.46</v>
      </c>
      <c r="I95" s="16">
        <v>1343723.09</v>
      </c>
      <c r="J95" s="16">
        <v>6297212.0199999996</v>
      </c>
      <c r="K95" s="16">
        <v>0</v>
      </c>
      <c r="L95" s="16">
        <v>0</v>
      </c>
      <c r="M95" s="16">
        <v>40.86</v>
      </c>
      <c r="N95" s="18">
        <f t="shared" si="2"/>
        <v>123378709.21971105</v>
      </c>
      <c r="O95" s="4"/>
    </row>
    <row r="96" spans="1:15" ht="15" x14ac:dyDescent="0.2">
      <c r="A96" s="17" t="s">
        <v>91</v>
      </c>
      <c r="B96" s="16">
        <v>315481846.87</v>
      </c>
      <c r="C96" s="16">
        <v>0</v>
      </c>
      <c r="D96" s="16">
        <v>27826546.613774098</v>
      </c>
      <c r="E96" s="16">
        <v>7822497.3399999999</v>
      </c>
      <c r="F96" s="16">
        <v>3635821.61</v>
      </c>
      <c r="G96" s="16">
        <v>1525943.88</v>
      </c>
      <c r="H96" s="16">
        <v>15980579.59</v>
      </c>
      <c r="I96" s="16">
        <v>7530684.5199999996</v>
      </c>
      <c r="J96" s="16">
        <v>22535155</v>
      </c>
      <c r="K96" s="16">
        <v>0</v>
      </c>
      <c r="L96" s="16">
        <v>0</v>
      </c>
      <c r="M96" s="16">
        <v>229.04000000000002</v>
      </c>
      <c r="N96" s="18">
        <f t="shared" si="2"/>
        <v>402339304.46377409</v>
      </c>
      <c r="O96" s="4"/>
    </row>
    <row r="97" spans="1:15" ht="15" x14ac:dyDescent="0.2">
      <c r="A97" s="17" t="s">
        <v>92</v>
      </c>
      <c r="B97" s="16">
        <v>152312695.03999999</v>
      </c>
      <c r="C97" s="16">
        <v>0</v>
      </c>
      <c r="D97" s="16">
        <v>40616582.728390418</v>
      </c>
      <c r="E97" s="16">
        <v>2373803.6399999997</v>
      </c>
      <c r="F97" s="16">
        <v>1678613.29</v>
      </c>
      <c r="G97" s="16">
        <v>782206.53</v>
      </c>
      <c r="H97" s="16">
        <v>7715325.5199999996</v>
      </c>
      <c r="I97" s="16">
        <v>3476822.7</v>
      </c>
      <c r="J97" s="16">
        <v>14576963.210000001</v>
      </c>
      <c r="K97" s="16">
        <v>0</v>
      </c>
      <c r="L97" s="16">
        <v>0</v>
      </c>
      <c r="M97" s="16">
        <v>105.74000000000001</v>
      </c>
      <c r="N97" s="18">
        <f t="shared" si="2"/>
        <v>223533118.39839041</v>
      </c>
      <c r="O97" s="4"/>
    </row>
    <row r="98" spans="1:15" ht="15" x14ac:dyDescent="0.2">
      <c r="A98" s="17" t="s">
        <v>93</v>
      </c>
      <c r="B98" s="16">
        <v>421124500.49000001</v>
      </c>
      <c r="C98" s="16">
        <v>0</v>
      </c>
      <c r="D98" s="16">
        <v>43987147.044625364</v>
      </c>
      <c r="E98" s="16">
        <v>10472087.9</v>
      </c>
      <c r="F98" s="16">
        <v>3903460.66</v>
      </c>
      <c r="G98" s="16">
        <v>1833697.27</v>
      </c>
      <c r="H98" s="16">
        <v>21331856.850000001</v>
      </c>
      <c r="I98" s="16">
        <v>8085031.0700000003</v>
      </c>
      <c r="J98" s="16">
        <v>28595933.82</v>
      </c>
      <c r="K98" s="16">
        <v>0</v>
      </c>
      <c r="L98" s="16">
        <v>0</v>
      </c>
      <c r="M98" s="16">
        <v>245.89000000000001</v>
      </c>
      <c r="N98" s="18">
        <f t="shared" si="2"/>
        <v>539333960.99462533</v>
      </c>
      <c r="O98" s="4"/>
    </row>
    <row r="99" spans="1:15" ht="15" x14ac:dyDescent="0.2">
      <c r="A99" s="17" t="s">
        <v>94</v>
      </c>
      <c r="B99" s="16">
        <v>294676465.35000002</v>
      </c>
      <c r="C99" s="16">
        <v>0</v>
      </c>
      <c r="D99" s="16">
        <v>21797024.872483272</v>
      </c>
      <c r="E99" s="16">
        <v>4521015.68</v>
      </c>
      <c r="F99" s="16">
        <v>1446972.48</v>
      </c>
      <c r="G99" s="16">
        <v>494970.03</v>
      </c>
      <c r="H99" s="16">
        <v>14926693.1</v>
      </c>
      <c r="I99" s="16">
        <v>2997037.38</v>
      </c>
      <c r="J99" s="16">
        <v>19022865.399999995</v>
      </c>
      <c r="K99" s="16">
        <v>0</v>
      </c>
      <c r="L99" s="16">
        <v>0</v>
      </c>
      <c r="M99" s="16">
        <v>91.14</v>
      </c>
      <c r="N99" s="18">
        <f t="shared" si="2"/>
        <v>359883135.43248326</v>
      </c>
      <c r="O99" s="4"/>
    </row>
    <row r="100" spans="1:15" ht="15" x14ac:dyDescent="0.2">
      <c r="A100" s="17" t="s">
        <v>95</v>
      </c>
      <c r="B100" s="16">
        <v>312894956.77999997</v>
      </c>
      <c r="C100" s="16">
        <v>0</v>
      </c>
      <c r="D100" s="16">
        <v>36481329.823823936</v>
      </c>
      <c r="E100" s="16">
        <v>4819276.67</v>
      </c>
      <c r="F100" s="16">
        <v>1624615.94</v>
      </c>
      <c r="G100" s="16">
        <v>653975.94999999995</v>
      </c>
      <c r="H100" s="16">
        <v>15849541.93</v>
      </c>
      <c r="I100" s="16">
        <v>3364980.86</v>
      </c>
      <c r="J100" s="16">
        <v>14873403.829999996</v>
      </c>
      <c r="K100" s="16">
        <v>0</v>
      </c>
      <c r="L100" s="16">
        <v>0</v>
      </c>
      <c r="M100" s="16">
        <v>102.34</v>
      </c>
      <c r="N100" s="18">
        <f t="shared" si="2"/>
        <v>390562184.12382388</v>
      </c>
      <c r="O100" s="4"/>
    </row>
    <row r="101" spans="1:15" ht="15" x14ac:dyDescent="0.2">
      <c r="A101" s="17" t="s">
        <v>96</v>
      </c>
      <c r="B101" s="16">
        <v>57484090.050000004</v>
      </c>
      <c r="C101" s="16">
        <v>0</v>
      </c>
      <c r="D101" s="16">
        <v>11379937.76121111</v>
      </c>
      <c r="E101" s="16">
        <v>885946.47</v>
      </c>
      <c r="F101" s="16">
        <v>194077.43</v>
      </c>
      <c r="G101" s="16">
        <v>97455.24</v>
      </c>
      <c r="H101" s="16">
        <v>2911828.64</v>
      </c>
      <c r="I101" s="16">
        <v>401982.3</v>
      </c>
      <c r="J101" s="16">
        <v>3219558.61</v>
      </c>
      <c r="K101" s="16">
        <v>0</v>
      </c>
      <c r="L101" s="16">
        <v>0</v>
      </c>
      <c r="M101" s="16">
        <v>12.22</v>
      </c>
      <c r="N101" s="18">
        <f t="shared" si="2"/>
        <v>76574888.721211106</v>
      </c>
      <c r="O101" s="4"/>
    </row>
    <row r="102" spans="1:15" ht="15" x14ac:dyDescent="0.2">
      <c r="A102" s="17" t="s">
        <v>97</v>
      </c>
      <c r="B102" s="16">
        <v>187286600.71999997</v>
      </c>
      <c r="C102" s="16">
        <v>0</v>
      </c>
      <c r="D102" s="16">
        <v>51665884.260460891</v>
      </c>
      <c r="E102" s="16">
        <v>4723678.16</v>
      </c>
      <c r="F102" s="16">
        <v>3757902.58</v>
      </c>
      <c r="G102" s="16">
        <v>1715725.14</v>
      </c>
      <c r="H102" s="16">
        <v>9486911.7100000009</v>
      </c>
      <c r="I102" s="16">
        <v>7783544.3499999996</v>
      </c>
      <c r="J102" s="16">
        <v>21446412.229999997</v>
      </c>
      <c r="K102" s="16">
        <v>0</v>
      </c>
      <c r="L102" s="16">
        <v>0</v>
      </c>
      <c r="M102" s="16">
        <v>236.72</v>
      </c>
      <c r="N102" s="18">
        <f t="shared" si="2"/>
        <v>287866895.87046087</v>
      </c>
      <c r="O102" s="4"/>
    </row>
    <row r="103" spans="1:15" ht="15" x14ac:dyDescent="0.2">
      <c r="A103" s="17" t="s">
        <v>98</v>
      </c>
      <c r="B103" s="16">
        <v>64994552.899999991</v>
      </c>
      <c r="C103" s="16">
        <v>0</v>
      </c>
      <c r="D103" s="16">
        <v>14309326.806088287</v>
      </c>
      <c r="E103" s="16">
        <v>1002322.06</v>
      </c>
      <c r="F103" s="16">
        <v>93125.86</v>
      </c>
      <c r="G103" s="16">
        <v>58986.07</v>
      </c>
      <c r="H103" s="16">
        <v>3292267.49</v>
      </c>
      <c r="I103" s="16">
        <v>192886.67</v>
      </c>
      <c r="J103" s="16">
        <v>4547736.2299999995</v>
      </c>
      <c r="K103" s="16">
        <v>0</v>
      </c>
      <c r="L103" s="16">
        <v>0</v>
      </c>
      <c r="M103" s="16">
        <v>5.8599999999999994</v>
      </c>
      <c r="N103" s="18">
        <f t="shared" si="2"/>
        <v>88491209.946088269</v>
      </c>
      <c r="O103" s="4"/>
    </row>
    <row r="104" spans="1:15" ht="15" x14ac:dyDescent="0.2">
      <c r="A104" s="17" t="s">
        <v>99</v>
      </c>
      <c r="B104" s="16">
        <v>901819566.54000008</v>
      </c>
      <c r="C104" s="16">
        <v>0</v>
      </c>
      <c r="D104" s="16">
        <v>12110885.619221441</v>
      </c>
      <c r="E104" s="16">
        <v>22411806.439999998</v>
      </c>
      <c r="F104" s="16">
        <v>19084541.93</v>
      </c>
      <c r="G104" s="16">
        <v>3331396.6501236465</v>
      </c>
      <c r="H104" s="16">
        <v>45681231.729999997</v>
      </c>
      <c r="I104" s="16">
        <v>39528799.670000002</v>
      </c>
      <c r="J104" s="16">
        <v>52714616.629999988</v>
      </c>
      <c r="K104" s="16">
        <v>0</v>
      </c>
      <c r="L104" s="16">
        <v>0</v>
      </c>
      <c r="M104" s="16">
        <v>1202.23</v>
      </c>
      <c r="N104" s="18">
        <f t="shared" ref="N104:N135" si="3">SUM(B104:M104)</f>
        <v>1096684047.4393449</v>
      </c>
      <c r="O104" s="4"/>
    </row>
    <row r="105" spans="1:15" ht="15" x14ac:dyDescent="0.2">
      <c r="A105" s="17" t="s">
        <v>100</v>
      </c>
      <c r="B105" s="16">
        <v>155315183.81999999</v>
      </c>
      <c r="C105" s="16">
        <v>0</v>
      </c>
      <c r="D105" s="16">
        <v>1419385.3200000003</v>
      </c>
      <c r="E105" s="16">
        <v>3885493.33</v>
      </c>
      <c r="F105" s="16">
        <v>822481.38</v>
      </c>
      <c r="G105" s="16">
        <v>423160.91</v>
      </c>
      <c r="H105" s="16">
        <v>7867415.1399999997</v>
      </c>
      <c r="I105" s="16">
        <v>1703562.08</v>
      </c>
      <c r="J105" s="16">
        <v>6689540.0099999998</v>
      </c>
      <c r="K105" s="16">
        <v>0</v>
      </c>
      <c r="L105" s="16">
        <v>0</v>
      </c>
      <c r="M105" s="16">
        <v>51.81</v>
      </c>
      <c r="N105" s="18">
        <f t="shared" si="3"/>
        <v>178126273.79999998</v>
      </c>
      <c r="O105" s="4"/>
    </row>
    <row r="106" spans="1:15" ht="15" x14ac:dyDescent="0.2">
      <c r="A106" s="17" t="s">
        <v>101</v>
      </c>
      <c r="B106" s="16">
        <v>167702570.59</v>
      </c>
      <c r="C106" s="16">
        <v>0</v>
      </c>
      <c r="D106" s="16">
        <v>1639330.2899999996</v>
      </c>
      <c r="E106" s="16">
        <v>2586473.5999999996</v>
      </c>
      <c r="F106" s="16">
        <v>5827801.0300000003</v>
      </c>
      <c r="G106" s="16">
        <v>1408443.0621996403</v>
      </c>
      <c r="H106" s="16">
        <v>8494892.1899999995</v>
      </c>
      <c r="I106" s="16">
        <v>12070815.24</v>
      </c>
      <c r="J106" s="16">
        <v>17506906.020000003</v>
      </c>
      <c r="K106" s="16">
        <v>0</v>
      </c>
      <c r="L106" s="16">
        <v>0</v>
      </c>
      <c r="M106" s="16">
        <v>367.12</v>
      </c>
      <c r="N106" s="18">
        <f t="shared" si="3"/>
        <v>217237599.14219967</v>
      </c>
      <c r="O106" s="4"/>
    </row>
    <row r="107" spans="1:15" ht="15" x14ac:dyDescent="0.2">
      <c r="A107" s="17" t="s">
        <v>102</v>
      </c>
      <c r="B107" s="16">
        <v>234474020.17999998</v>
      </c>
      <c r="C107" s="16">
        <v>0</v>
      </c>
      <c r="D107" s="16">
        <v>16070487.180250574</v>
      </c>
      <c r="E107" s="16">
        <v>3605687.7199999997</v>
      </c>
      <c r="F107" s="16">
        <v>323984.09999999998</v>
      </c>
      <c r="G107" s="16">
        <v>259025.77</v>
      </c>
      <c r="H107" s="16">
        <v>11877167.51</v>
      </c>
      <c r="I107" s="16">
        <v>671051.1</v>
      </c>
      <c r="J107" s="16">
        <v>8345790.4099999983</v>
      </c>
      <c r="K107" s="16">
        <v>0</v>
      </c>
      <c r="L107" s="16">
        <v>0</v>
      </c>
      <c r="M107" s="16">
        <v>20.400000000000002</v>
      </c>
      <c r="N107" s="18">
        <f t="shared" si="3"/>
        <v>275627234.37025052</v>
      </c>
      <c r="O107" s="4"/>
    </row>
    <row r="108" spans="1:15" ht="15" x14ac:dyDescent="0.2">
      <c r="A108" s="17" t="s">
        <v>103</v>
      </c>
      <c r="B108" s="16">
        <v>84434395.699999988</v>
      </c>
      <c r="C108" s="16">
        <v>0</v>
      </c>
      <c r="D108" s="16">
        <v>7363001.1710837679</v>
      </c>
      <c r="E108" s="16">
        <v>1295418.0900000001</v>
      </c>
      <c r="F108" s="16">
        <v>328679.52</v>
      </c>
      <c r="G108" s="16">
        <v>161570.53</v>
      </c>
      <c r="H108" s="16">
        <v>4276983.2699999996</v>
      </c>
      <c r="I108" s="16">
        <v>680776.47</v>
      </c>
      <c r="J108" s="16">
        <v>4504012.1999999993</v>
      </c>
      <c r="K108" s="16">
        <v>0</v>
      </c>
      <c r="L108" s="16">
        <v>0</v>
      </c>
      <c r="M108" s="16">
        <v>20.7</v>
      </c>
      <c r="N108" s="18">
        <f t="shared" si="3"/>
        <v>103044857.65108375</v>
      </c>
      <c r="O108" s="4"/>
    </row>
    <row r="109" spans="1:15" ht="15" x14ac:dyDescent="0.2">
      <c r="A109" s="17" t="s">
        <v>104</v>
      </c>
      <c r="B109" s="16">
        <v>897298870.1400001</v>
      </c>
      <c r="C109" s="16">
        <v>0</v>
      </c>
      <c r="D109" s="16">
        <v>8724367.9505664613</v>
      </c>
      <c r="E109" s="16">
        <v>22339311.830000002</v>
      </c>
      <c r="F109" s="16">
        <v>33558179.649999999</v>
      </c>
      <c r="G109" s="16">
        <v>15941553.110970557</v>
      </c>
      <c r="H109" s="16">
        <v>45452238.049999997</v>
      </c>
      <c r="I109" s="16">
        <v>69507277.950000003</v>
      </c>
      <c r="J109" s="16">
        <v>82728753.610000014</v>
      </c>
      <c r="K109" s="16">
        <v>0</v>
      </c>
      <c r="L109" s="16">
        <v>0</v>
      </c>
      <c r="M109" s="16">
        <v>2114.0099999999998</v>
      </c>
      <c r="N109" s="18">
        <f t="shared" si="3"/>
        <v>1175552666.3015373</v>
      </c>
      <c r="O109" s="4"/>
    </row>
    <row r="110" spans="1:15" ht="15" x14ac:dyDescent="0.2">
      <c r="A110" s="17" t="s">
        <v>105</v>
      </c>
      <c r="B110" s="16">
        <v>100379816.51000001</v>
      </c>
      <c r="C110" s="16">
        <v>0</v>
      </c>
      <c r="D110" s="16">
        <v>14753556.320347793</v>
      </c>
      <c r="E110" s="16">
        <v>2514395.5500000003</v>
      </c>
      <c r="F110" s="16">
        <v>1282632.72</v>
      </c>
      <c r="G110" s="16">
        <v>541133.04</v>
      </c>
      <c r="H110" s="16">
        <v>5084690.8099999996</v>
      </c>
      <c r="I110" s="16">
        <v>2656649.14</v>
      </c>
      <c r="J110" s="16">
        <v>9562958.6099999994</v>
      </c>
      <c r="K110" s="16">
        <v>0</v>
      </c>
      <c r="L110" s="16">
        <v>0</v>
      </c>
      <c r="M110" s="16">
        <v>80.789999999999992</v>
      </c>
      <c r="N110" s="18">
        <f t="shared" si="3"/>
        <v>136775913.4903478</v>
      </c>
      <c r="O110" s="4"/>
    </row>
    <row r="111" spans="1:15" ht="15" x14ac:dyDescent="0.2">
      <c r="A111" s="17" t="s">
        <v>106</v>
      </c>
      <c r="B111" s="16">
        <v>121528703.09</v>
      </c>
      <c r="C111" s="16">
        <v>0</v>
      </c>
      <c r="D111" s="16">
        <v>16738664.716257805</v>
      </c>
      <c r="E111" s="16">
        <v>1864530.22</v>
      </c>
      <c r="F111" s="16">
        <v>446847.64</v>
      </c>
      <c r="G111" s="16">
        <v>248767.32</v>
      </c>
      <c r="H111" s="16">
        <v>6155977.3799999999</v>
      </c>
      <c r="I111" s="16">
        <v>925531.82</v>
      </c>
      <c r="J111" s="16">
        <v>7414103.5999999996</v>
      </c>
      <c r="K111" s="16">
        <v>0</v>
      </c>
      <c r="L111" s="16">
        <v>0</v>
      </c>
      <c r="M111" s="16">
        <v>28.139999999999997</v>
      </c>
      <c r="N111" s="18">
        <f t="shared" si="3"/>
        <v>155323153.92625776</v>
      </c>
      <c r="O111" s="4"/>
    </row>
    <row r="112" spans="1:15" ht="15" x14ac:dyDescent="0.2">
      <c r="A112" s="17" t="s">
        <v>107</v>
      </c>
      <c r="B112" s="16">
        <v>169568524.08000001</v>
      </c>
      <c r="C112" s="16">
        <v>0</v>
      </c>
      <c r="D112" s="16">
        <v>31569237.818904873</v>
      </c>
      <c r="E112" s="16">
        <v>2618557.06</v>
      </c>
      <c r="F112" s="16">
        <v>543103.78</v>
      </c>
      <c r="G112" s="16">
        <v>282107.27</v>
      </c>
      <c r="H112" s="16">
        <v>8589411.1600000001</v>
      </c>
      <c r="I112" s="16">
        <v>1124902.08</v>
      </c>
      <c r="J112" s="16">
        <v>7752201.0299999984</v>
      </c>
      <c r="K112" s="16">
        <v>0</v>
      </c>
      <c r="L112" s="16">
        <v>0</v>
      </c>
      <c r="M112" s="16">
        <v>34.200000000000003</v>
      </c>
      <c r="N112" s="18">
        <f t="shared" si="3"/>
        <v>222048078.4789049</v>
      </c>
      <c r="O112" s="4"/>
    </row>
    <row r="113" spans="1:15" ht="15" x14ac:dyDescent="0.2">
      <c r="A113" s="17" t="s">
        <v>108</v>
      </c>
      <c r="B113" s="16">
        <v>130430149.44000001</v>
      </c>
      <c r="C113" s="16">
        <v>0</v>
      </c>
      <c r="D113" s="16">
        <v>42339936.28840138</v>
      </c>
      <c r="E113" s="16">
        <v>2023281.82</v>
      </c>
      <c r="F113" s="16">
        <v>765353.75</v>
      </c>
      <c r="G113" s="16">
        <v>384691.74</v>
      </c>
      <c r="H113" s="16">
        <v>6606875.8200000003</v>
      </c>
      <c r="I113" s="16">
        <v>1585236.65</v>
      </c>
      <c r="J113" s="16">
        <v>7732434.6100000013</v>
      </c>
      <c r="K113" s="16">
        <v>0</v>
      </c>
      <c r="L113" s="16">
        <v>0</v>
      </c>
      <c r="M113" s="16">
        <v>48.21</v>
      </c>
      <c r="N113" s="18">
        <f t="shared" si="3"/>
        <v>191868008.32840142</v>
      </c>
      <c r="O113" s="4"/>
    </row>
    <row r="114" spans="1:15" ht="15" x14ac:dyDescent="0.2">
      <c r="A114" s="17" t="s">
        <v>109</v>
      </c>
      <c r="B114" s="16">
        <v>88760015.189999998</v>
      </c>
      <c r="C114" s="16">
        <v>0</v>
      </c>
      <c r="D114" s="16">
        <v>12214404.710574409</v>
      </c>
      <c r="E114" s="16">
        <v>1361783.07</v>
      </c>
      <c r="F114" s="16">
        <v>463281.61</v>
      </c>
      <c r="G114" s="16">
        <v>205168.93</v>
      </c>
      <c r="H114" s="16">
        <v>4496095.42</v>
      </c>
      <c r="I114" s="16">
        <v>959570.65</v>
      </c>
      <c r="J114" s="16">
        <v>5723927.2299999995</v>
      </c>
      <c r="K114" s="16">
        <v>0</v>
      </c>
      <c r="L114" s="16">
        <v>0</v>
      </c>
      <c r="M114" s="16">
        <v>29.17</v>
      </c>
      <c r="N114" s="18">
        <f t="shared" si="3"/>
        <v>114184275.98057441</v>
      </c>
      <c r="O114" s="4"/>
    </row>
    <row r="115" spans="1:15" ht="15" x14ac:dyDescent="0.2">
      <c r="A115" s="17" t="s">
        <v>110</v>
      </c>
      <c r="B115" s="16">
        <v>233532561.84999996</v>
      </c>
      <c r="C115" s="16">
        <v>0</v>
      </c>
      <c r="D115" s="16">
        <v>10569887.655740501</v>
      </c>
      <c r="E115" s="16">
        <v>3591497.25</v>
      </c>
      <c r="F115" s="16">
        <v>479715.59</v>
      </c>
      <c r="G115" s="16">
        <v>341093.34</v>
      </c>
      <c r="H115" s="16">
        <v>11829478.390000001</v>
      </c>
      <c r="I115" s="16">
        <v>993609.47</v>
      </c>
      <c r="J115" s="16">
        <v>7589651.4300000016</v>
      </c>
      <c r="K115" s="16">
        <v>0</v>
      </c>
      <c r="L115" s="16">
        <v>0</v>
      </c>
      <c r="M115" s="16">
        <v>30.21</v>
      </c>
      <c r="N115" s="18">
        <f t="shared" si="3"/>
        <v>268927525.18574041</v>
      </c>
      <c r="O115" s="4"/>
    </row>
    <row r="116" spans="1:15" ht="15" x14ac:dyDescent="0.2">
      <c r="A116" s="17" t="s">
        <v>111</v>
      </c>
      <c r="B116" s="16">
        <v>127682108.84999999</v>
      </c>
      <c r="C116" s="16">
        <v>0</v>
      </c>
      <c r="D116" s="16">
        <v>17182703.505238798</v>
      </c>
      <c r="E116" s="16">
        <v>1997919.8299999998</v>
      </c>
      <c r="F116" s="16">
        <v>1324108.94</v>
      </c>
      <c r="G116" s="16">
        <v>525745.37</v>
      </c>
      <c r="H116" s="16">
        <v>6467675.1600000001</v>
      </c>
      <c r="I116" s="16">
        <v>2742556.65</v>
      </c>
      <c r="J116" s="16">
        <v>10517300.429999998</v>
      </c>
      <c r="K116" s="16">
        <v>0</v>
      </c>
      <c r="L116" s="16">
        <v>0</v>
      </c>
      <c r="M116" s="16">
        <v>83.4</v>
      </c>
      <c r="N116" s="18">
        <f t="shared" si="3"/>
        <v>168440202.13523883</v>
      </c>
      <c r="O116" s="4"/>
    </row>
    <row r="117" spans="1:15" ht="15" x14ac:dyDescent="0.2">
      <c r="A117" s="17" t="s">
        <v>112</v>
      </c>
      <c r="B117" s="16">
        <v>68098820.99000001</v>
      </c>
      <c r="C117" s="16">
        <v>0</v>
      </c>
      <c r="D117" s="16">
        <v>3731511.27342562</v>
      </c>
      <c r="E117" s="16">
        <v>1066150.5900000001</v>
      </c>
      <c r="F117" s="16">
        <v>278595.02</v>
      </c>
      <c r="G117" s="16">
        <v>141053.64000000001</v>
      </c>
      <c r="H117" s="16">
        <v>3449512.68</v>
      </c>
      <c r="I117" s="16">
        <v>577039.11</v>
      </c>
      <c r="J117" s="16">
        <v>3004817.5999999996</v>
      </c>
      <c r="K117" s="16">
        <v>0</v>
      </c>
      <c r="L117" s="16">
        <v>0</v>
      </c>
      <c r="M117" s="16">
        <v>17.54</v>
      </c>
      <c r="N117" s="18">
        <f t="shared" si="3"/>
        <v>80347518.44342564</v>
      </c>
      <c r="O117" s="4"/>
    </row>
    <row r="118" spans="1:15" ht="15" x14ac:dyDescent="0.2">
      <c r="A118" s="17" t="s">
        <v>113</v>
      </c>
      <c r="B118" s="16">
        <v>107241436.41000001</v>
      </c>
      <c r="C118" s="16">
        <v>0</v>
      </c>
      <c r="D118" s="16">
        <v>32607848.37404152</v>
      </c>
      <c r="E118" s="16">
        <v>1691590.89</v>
      </c>
      <c r="F118" s="16">
        <v>1313935.53</v>
      </c>
      <c r="G118" s="16">
        <v>536003.81999999995</v>
      </c>
      <c r="H118" s="16">
        <v>5432262.8300000001</v>
      </c>
      <c r="I118" s="16">
        <v>2721485</v>
      </c>
      <c r="J118" s="16">
        <v>8277768.8000000026</v>
      </c>
      <c r="K118" s="16">
        <v>0</v>
      </c>
      <c r="L118" s="16">
        <v>0</v>
      </c>
      <c r="M118" s="16">
        <v>82.76</v>
      </c>
      <c r="N118" s="18">
        <f t="shared" si="3"/>
        <v>159822414.41404152</v>
      </c>
      <c r="O118" s="4"/>
    </row>
    <row r="119" spans="1:15" ht="15" x14ac:dyDescent="0.2">
      <c r="A119" s="17" t="s">
        <v>114</v>
      </c>
      <c r="B119" s="16">
        <v>157757886.59999999</v>
      </c>
      <c r="C119" s="16">
        <v>0</v>
      </c>
      <c r="D119" s="16">
        <v>15702460.65316437</v>
      </c>
      <c r="E119" s="16">
        <v>2435045.31</v>
      </c>
      <c r="F119" s="16">
        <v>1055687.33</v>
      </c>
      <c r="G119" s="16">
        <v>376997.9</v>
      </c>
      <c r="H119" s="16">
        <v>7991149.0599999996</v>
      </c>
      <c r="I119" s="16">
        <v>2186589.2000000002</v>
      </c>
      <c r="J119" s="16">
        <v>7646119.0200000023</v>
      </c>
      <c r="K119" s="16">
        <v>0</v>
      </c>
      <c r="L119" s="16">
        <v>0</v>
      </c>
      <c r="M119" s="16">
        <v>66.489999999999995</v>
      </c>
      <c r="N119" s="18">
        <f t="shared" si="3"/>
        <v>195152001.56316438</v>
      </c>
      <c r="O119" s="4"/>
    </row>
    <row r="120" spans="1:15" ht="15" x14ac:dyDescent="0.2">
      <c r="A120" s="17" t="s">
        <v>115</v>
      </c>
      <c r="B120" s="16">
        <v>101609649.5</v>
      </c>
      <c r="C120" s="16">
        <v>0</v>
      </c>
      <c r="D120" s="16">
        <v>15431440.424459552</v>
      </c>
      <c r="E120" s="16">
        <v>1583627.96</v>
      </c>
      <c r="F120" s="16">
        <v>711356.4</v>
      </c>
      <c r="G120" s="16">
        <v>379562.51</v>
      </c>
      <c r="H120" s="16">
        <v>5146987.4000000004</v>
      </c>
      <c r="I120" s="16">
        <v>1473394.8</v>
      </c>
      <c r="J120" s="16">
        <v>8093555.2299999986</v>
      </c>
      <c r="K120" s="16">
        <v>0</v>
      </c>
      <c r="L120" s="16">
        <v>0</v>
      </c>
      <c r="M120" s="16">
        <v>44.8</v>
      </c>
      <c r="N120" s="18">
        <f t="shared" si="3"/>
        <v>134429619.02445957</v>
      </c>
      <c r="O120" s="4"/>
    </row>
    <row r="121" spans="1:15" ht="15" x14ac:dyDescent="0.2">
      <c r="A121" s="17" t="s">
        <v>116</v>
      </c>
      <c r="B121" s="16">
        <v>119094481.97</v>
      </c>
      <c r="C121" s="16">
        <v>0</v>
      </c>
      <c r="D121" s="16">
        <v>18081411.610341217</v>
      </c>
      <c r="E121" s="16">
        <v>1827183.6600000001</v>
      </c>
      <c r="F121" s="16">
        <v>298941.84999999998</v>
      </c>
      <c r="G121" s="16">
        <v>138489.01999999999</v>
      </c>
      <c r="H121" s="16">
        <v>6032673.0899999999</v>
      </c>
      <c r="I121" s="16">
        <v>619182.41</v>
      </c>
      <c r="J121" s="16">
        <v>4433979.830000001</v>
      </c>
      <c r="K121" s="16">
        <v>0</v>
      </c>
      <c r="L121" s="16">
        <v>0</v>
      </c>
      <c r="M121" s="16">
        <v>18.830000000000002</v>
      </c>
      <c r="N121" s="18">
        <f t="shared" si="3"/>
        <v>150526362.27034125</v>
      </c>
      <c r="O121" s="4"/>
    </row>
    <row r="122" spans="1:15" ht="15" x14ac:dyDescent="0.2">
      <c r="A122" s="17" t="s">
        <v>117</v>
      </c>
      <c r="B122" s="16">
        <v>357961974.57999998</v>
      </c>
      <c r="C122" s="16">
        <v>0</v>
      </c>
      <c r="D122" s="16">
        <v>37831667.094999991</v>
      </c>
      <c r="E122" s="16">
        <v>8974162.9800000004</v>
      </c>
      <c r="F122" s="16">
        <v>8999558.4600000009</v>
      </c>
      <c r="G122" s="16">
        <v>3515425.9041512776</v>
      </c>
      <c r="H122" s="16">
        <v>18132389.800000001</v>
      </c>
      <c r="I122" s="16">
        <v>18640308.210000001</v>
      </c>
      <c r="J122" s="16">
        <v>21542809.230000004</v>
      </c>
      <c r="K122" s="16">
        <v>0</v>
      </c>
      <c r="L122" s="16">
        <v>0</v>
      </c>
      <c r="M122" s="16">
        <v>566.93000000000006</v>
      </c>
      <c r="N122" s="18">
        <f t="shared" si="3"/>
        <v>475598863.18915123</v>
      </c>
      <c r="O122" s="4"/>
    </row>
    <row r="123" spans="1:15" ht="15" x14ac:dyDescent="0.2">
      <c r="A123" s="17" t="s">
        <v>118</v>
      </c>
      <c r="B123" s="16">
        <v>898308181.36000013</v>
      </c>
      <c r="C123" s="16">
        <v>0</v>
      </c>
      <c r="D123" s="16">
        <v>15087084.23</v>
      </c>
      <c r="E123" s="16">
        <v>13998648.460000001</v>
      </c>
      <c r="F123" s="16">
        <v>12510168.83</v>
      </c>
      <c r="G123" s="16">
        <v>9008918.2072779369</v>
      </c>
      <c r="H123" s="16">
        <v>45503364.219999999</v>
      </c>
      <c r="I123" s="16">
        <v>25911649.300000001</v>
      </c>
      <c r="J123" s="16">
        <v>28499480.20000001</v>
      </c>
      <c r="K123" s="16">
        <v>0</v>
      </c>
      <c r="L123" s="16">
        <v>0</v>
      </c>
      <c r="M123" s="16">
        <v>788.08</v>
      </c>
      <c r="N123" s="18">
        <f t="shared" si="3"/>
        <v>1048828282.8872782</v>
      </c>
      <c r="O123" s="4"/>
    </row>
    <row r="124" spans="1:15" ht="15" x14ac:dyDescent="0.2">
      <c r="A124" s="17" t="s">
        <v>119</v>
      </c>
      <c r="B124" s="16">
        <v>685742151.4000001</v>
      </c>
      <c r="C124" s="16">
        <v>0</v>
      </c>
      <c r="D124" s="16">
        <v>4007933.3699999992</v>
      </c>
      <c r="E124" s="16">
        <v>17059776.280000001</v>
      </c>
      <c r="F124" s="16">
        <v>16019996.630000001</v>
      </c>
      <c r="G124" s="16">
        <v>0</v>
      </c>
      <c r="H124" s="16">
        <v>34735935.310000002</v>
      </c>
      <c r="I124" s="16">
        <v>33181369.5</v>
      </c>
      <c r="J124" s="16">
        <v>39881352.199999996</v>
      </c>
      <c r="K124" s="16">
        <v>0</v>
      </c>
      <c r="L124" s="16">
        <v>0</v>
      </c>
      <c r="M124" s="16">
        <v>1009.18</v>
      </c>
      <c r="N124" s="18">
        <f t="shared" si="3"/>
        <v>830629523.87</v>
      </c>
      <c r="O124" s="4"/>
    </row>
    <row r="125" spans="1:15" ht="15" x14ac:dyDescent="0.2">
      <c r="A125" s="17" t="s">
        <v>120</v>
      </c>
      <c r="B125" s="16">
        <v>239512094.62999997</v>
      </c>
      <c r="C125" s="16">
        <v>0</v>
      </c>
      <c r="D125" s="16">
        <v>10790476.80474915</v>
      </c>
      <c r="E125" s="16">
        <v>3674667.19</v>
      </c>
      <c r="F125" s="16">
        <v>6229259.5899999999</v>
      </c>
      <c r="G125" s="16">
        <v>2392782.59</v>
      </c>
      <c r="H125" s="16">
        <v>12132368.720000001</v>
      </c>
      <c r="I125" s="16">
        <v>12902335.07</v>
      </c>
      <c r="J125" s="16">
        <v>24907614.829999998</v>
      </c>
      <c r="K125" s="16">
        <v>0</v>
      </c>
      <c r="L125" s="16">
        <v>0</v>
      </c>
      <c r="M125" s="16">
        <v>392.40999999999997</v>
      </c>
      <c r="N125" s="18">
        <f t="shared" si="3"/>
        <v>312541991.83474916</v>
      </c>
      <c r="O125" s="4"/>
    </row>
    <row r="126" spans="1:15" ht="15" x14ac:dyDescent="0.2">
      <c r="A126" s="17" t="s">
        <v>121</v>
      </c>
      <c r="B126" s="16">
        <v>289074364.05999994</v>
      </c>
      <c r="C126" s="16">
        <v>0</v>
      </c>
      <c r="D126" s="16">
        <v>19290533.774721488</v>
      </c>
      <c r="E126" s="16">
        <v>4454912.97</v>
      </c>
      <c r="F126" s="16">
        <v>3118542.65</v>
      </c>
      <c r="G126" s="16">
        <v>969423.17</v>
      </c>
      <c r="H126" s="16">
        <v>14642921.380000001</v>
      </c>
      <c r="I126" s="16">
        <v>6459272.0199999996</v>
      </c>
      <c r="J126" s="16">
        <v>16193482.409999996</v>
      </c>
      <c r="K126" s="16">
        <v>0</v>
      </c>
      <c r="L126" s="16">
        <v>0</v>
      </c>
      <c r="M126" s="16">
        <v>196.45</v>
      </c>
      <c r="N126" s="18">
        <f t="shared" si="3"/>
        <v>354203648.88472146</v>
      </c>
      <c r="O126" s="4"/>
    </row>
    <row r="127" spans="1:15" ht="15" x14ac:dyDescent="0.2">
      <c r="A127" s="17" t="s">
        <v>122</v>
      </c>
      <c r="B127" s="16">
        <v>141350218.22999999</v>
      </c>
      <c r="C127" s="16">
        <v>0</v>
      </c>
      <c r="D127" s="16">
        <v>7315038.0861574393</v>
      </c>
      <c r="E127" s="16">
        <v>2188290.1</v>
      </c>
      <c r="F127" s="16">
        <v>3310272.37</v>
      </c>
      <c r="G127" s="16">
        <v>977117.01</v>
      </c>
      <c r="H127" s="16">
        <v>7160026.5899999999</v>
      </c>
      <c r="I127" s="16">
        <v>6856391.6299999999</v>
      </c>
      <c r="J127" s="16">
        <v>18015822.23</v>
      </c>
      <c r="K127" s="16">
        <v>0</v>
      </c>
      <c r="L127" s="16">
        <v>0</v>
      </c>
      <c r="M127" s="16">
        <v>208.52</v>
      </c>
      <c r="N127" s="18">
        <f t="shared" si="3"/>
        <v>187173384.76615742</v>
      </c>
      <c r="O127" s="4"/>
    </row>
    <row r="128" spans="1:15" ht="15" x14ac:dyDescent="0.2">
      <c r="A128" s="17" t="s">
        <v>123</v>
      </c>
      <c r="B128" s="16">
        <v>78963759.319999993</v>
      </c>
      <c r="C128" s="16">
        <v>0</v>
      </c>
      <c r="D128" s="16">
        <v>7411359.9977716589</v>
      </c>
      <c r="E128" s="16">
        <v>1218014.8399999999</v>
      </c>
      <c r="F128" s="16">
        <v>302854.7</v>
      </c>
      <c r="G128" s="16">
        <v>166699.75</v>
      </c>
      <c r="H128" s="16">
        <v>3999870.85</v>
      </c>
      <c r="I128" s="16">
        <v>627286.89</v>
      </c>
      <c r="J128" s="16">
        <v>3922316.6300000008</v>
      </c>
      <c r="K128" s="16">
        <v>0</v>
      </c>
      <c r="L128" s="16">
        <v>0</v>
      </c>
      <c r="M128" s="16">
        <v>19.07</v>
      </c>
      <c r="N128" s="18">
        <f t="shared" si="3"/>
        <v>96612182.047771648</v>
      </c>
      <c r="O128" s="4"/>
    </row>
    <row r="129" spans="1:15" ht="15" x14ac:dyDescent="0.2">
      <c r="A129" s="17" t="s">
        <v>124</v>
      </c>
      <c r="B129" s="16">
        <v>443426885.61999989</v>
      </c>
      <c r="C129" s="16">
        <v>0</v>
      </c>
      <c r="D129" s="16">
        <v>61382558.757902153</v>
      </c>
      <c r="E129" s="16">
        <v>6808924.3000000007</v>
      </c>
      <c r="F129" s="16">
        <v>3851811.02</v>
      </c>
      <c r="G129" s="16">
        <v>2033736.97</v>
      </c>
      <c r="H129" s="16">
        <v>22461573.32</v>
      </c>
      <c r="I129" s="16">
        <v>7978051.9100000001</v>
      </c>
      <c r="J129" s="16">
        <v>25318576.600000001</v>
      </c>
      <c r="K129" s="16">
        <v>0</v>
      </c>
      <c r="L129" s="16">
        <v>0</v>
      </c>
      <c r="M129" s="16">
        <v>242.64</v>
      </c>
      <c r="N129" s="18">
        <f t="shared" si="3"/>
        <v>573262361.13790202</v>
      </c>
      <c r="O129" s="4"/>
    </row>
    <row r="130" spans="1:15" ht="15" x14ac:dyDescent="0.2">
      <c r="A130" s="17" t="s">
        <v>125</v>
      </c>
      <c r="B130" s="16">
        <v>133059447.55000001</v>
      </c>
      <c r="C130" s="16">
        <v>0</v>
      </c>
      <c r="D130" s="16">
        <v>19222181.344029464</v>
      </c>
      <c r="E130" s="16">
        <v>2044447.5499999998</v>
      </c>
      <c r="F130" s="16">
        <v>476585.31</v>
      </c>
      <c r="G130" s="16">
        <v>151312.07999999999</v>
      </c>
      <c r="H130" s="16">
        <v>6740061.6299999999</v>
      </c>
      <c r="I130" s="16">
        <v>987125.89</v>
      </c>
      <c r="J130" s="16">
        <v>6658332.7999999989</v>
      </c>
      <c r="K130" s="16">
        <v>0</v>
      </c>
      <c r="L130" s="16">
        <v>0</v>
      </c>
      <c r="M130" s="16">
        <v>30.01</v>
      </c>
      <c r="N130" s="18">
        <f t="shared" si="3"/>
        <v>169339524.16402948</v>
      </c>
      <c r="O130" s="4"/>
    </row>
    <row r="131" spans="1:15" ht="15" x14ac:dyDescent="0.2">
      <c r="A131" s="17" t="s">
        <v>126</v>
      </c>
      <c r="B131" s="16">
        <v>702654475.4000001</v>
      </c>
      <c r="C131" s="16">
        <v>0</v>
      </c>
      <c r="D131" s="16">
        <v>32400921.210000001</v>
      </c>
      <c r="E131" s="16">
        <v>10831015.59</v>
      </c>
      <c r="F131" s="16">
        <v>21044097.960000001</v>
      </c>
      <c r="G131" s="16">
        <v>1806612.6855043999</v>
      </c>
      <c r="H131" s="16">
        <v>35592620.859999999</v>
      </c>
      <c r="I131" s="16">
        <v>43587524.170000002</v>
      </c>
      <c r="J131" s="16">
        <v>53922326.420000002</v>
      </c>
      <c r="K131" s="16">
        <v>0</v>
      </c>
      <c r="L131" s="16">
        <v>0</v>
      </c>
      <c r="M131" s="16">
        <v>1325.67</v>
      </c>
      <c r="N131" s="18">
        <f t="shared" si="3"/>
        <v>901840919.96550453</v>
      </c>
      <c r="O131" s="4"/>
    </row>
    <row r="132" spans="1:15" ht="15" x14ac:dyDescent="0.2">
      <c r="A132" s="17" t="s">
        <v>127</v>
      </c>
      <c r="B132" s="16">
        <v>29812847.82</v>
      </c>
      <c r="C132" s="16">
        <v>0</v>
      </c>
      <c r="D132" s="16">
        <v>1810554.8766453101</v>
      </c>
      <c r="E132" s="16">
        <v>457397.75</v>
      </c>
      <c r="F132" s="16">
        <v>89995.58</v>
      </c>
      <c r="G132" s="16">
        <v>28210.73</v>
      </c>
      <c r="H132" s="16">
        <v>1510155.32</v>
      </c>
      <c r="I132" s="16">
        <v>186403.08</v>
      </c>
      <c r="J132" s="16">
        <v>1915112.0200000005</v>
      </c>
      <c r="K132" s="16">
        <v>0</v>
      </c>
      <c r="L132" s="16">
        <v>0</v>
      </c>
      <c r="M132" s="16">
        <v>5.66</v>
      </c>
      <c r="N132" s="18">
        <f t="shared" si="3"/>
        <v>35810682.836645305</v>
      </c>
      <c r="O132" s="4"/>
    </row>
    <row r="133" spans="1:15" ht="15" x14ac:dyDescent="0.2">
      <c r="A133" s="17" t="s">
        <v>128</v>
      </c>
      <c r="B133" s="16">
        <v>169996845.25</v>
      </c>
      <c r="C133" s="16">
        <v>0</v>
      </c>
      <c r="D133" s="16">
        <v>11353397.725238796</v>
      </c>
      <c r="E133" s="16">
        <v>2608143.14</v>
      </c>
      <c r="F133" s="16">
        <v>325549.24</v>
      </c>
      <c r="G133" s="16">
        <v>207733.54</v>
      </c>
      <c r="H133" s="16">
        <v>8611107.5600000005</v>
      </c>
      <c r="I133" s="16">
        <v>674292.89</v>
      </c>
      <c r="J133" s="16">
        <v>6973350.4299999978</v>
      </c>
      <c r="K133" s="16">
        <v>0</v>
      </c>
      <c r="L133" s="16">
        <v>0</v>
      </c>
      <c r="M133" s="16">
        <v>20.5</v>
      </c>
      <c r="N133" s="18">
        <f t="shared" si="3"/>
        <v>200750440.27523878</v>
      </c>
      <c r="O133" s="4"/>
    </row>
    <row r="134" spans="1:15" ht="15" x14ac:dyDescent="0.2">
      <c r="A134" s="17" t="s">
        <v>129</v>
      </c>
      <c r="B134" s="16">
        <v>326783587.94999999</v>
      </c>
      <c r="C134" s="16">
        <v>0</v>
      </c>
      <c r="D134" s="16">
        <v>39700928.85758134</v>
      </c>
      <c r="E134" s="16">
        <v>5033258.1300000008</v>
      </c>
      <c r="F134" s="16">
        <v>1518968.95</v>
      </c>
      <c r="G134" s="16">
        <v>705268.18</v>
      </c>
      <c r="H134" s="16">
        <v>16553063.789999999</v>
      </c>
      <c r="I134" s="16">
        <v>3146159.85</v>
      </c>
      <c r="J134" s="16">
        <v>15519382.83</v>
      </c>
      <c r="K134" s="16">
        <v>0</v>
      </c>
      <c r="L134" s="16">
        <v>0</v>
      </c>
      <c r="M134" s="16">
        <v>95.679999999999993</v>
      </c>
      <c r="N134" s="18">
        <f t="shared" si="3"/>
        <v>408960714.21758133</v>
      </c>
      <c r="O134" s="4"/>
    </row>
    <row r="135" spans="1:15" ht="15" x14ac:dyDescent="0.2">
      <c r="A135" s="17" t="s">
        <v>130</v>
      </c>
      <c r="B135" s="16">
        <v>272068742.40999997</v>
      </c>
      <c r="C135" s="16">
        <v>0</v>
      </c>
      <c r="D135" s="16">
        <v>48960284.775410108</v>
      </c>
      <c r="E135" s="16">
        <v>6746052.2199999997</v>
      </c>
      <c r="F135" s="16">
        <v>2286670.42</v>
      </c>
      <c r="G135" s="16">
        <v>938647.83</v>
      </c>
      <c r="H135" s="16">
        <v>13781509.890000001</v>
      </c>
      <c r="I135" s="16">
        <v>4736259.18</v>
      </c>
      <c r="J135" s="16">
        <v>16657853.23</v>
      </c>
      <c r="K135" s="16">
        <v>0</v>
      </c>
      <c r="L135" s="16">
        <v>0</v>
      </c>
      <c r="M135" s="16">
        <v>144.04</v>
      </c>
      <c r="N135" s="18">
        <f t="shared" si="3"/>
        <v>366176163.99541014</v>
      </c>
      <c r="O135" s="4"/>
    </row>
    <row r="136" spans="1:15" ht="15" x14ac:dyDescent="0.2">
      <c r="A136" s="17" t="s">
        <v>131</v>
      </c>
      <c r="B136" s="16">
        <v>462569872.19000006</v>
      </c>
      <c r="C136" s="16">
        <v>0</v>
      </c>
      <c r="D136" s="16">
        <v>4599301.4300000006</v>
      </c>
      <c r="E136" s="16">
        <v>11748877.67</v>
      </c>
      <c r="F136" s="16">
        <v>13604984.68</v>
      </c>
      <c r="G136" s="16">
        <v>6653088.036822455</v>
      </c>
      <c r="H136" s="16">
        <v>23431252</v>
      </c>
      <c r="I136" s="16">
        <v>28179283.32</v>
      </c>
      <c r="J136" s="16">
        <v>38958727.229999997</v>
      </c>
      <c r="K136" s="16">
        <v>0</v>
      </c>
      <c r="L136" s="16">
        <v>0</v>
      </c>
      <c r="M136" s="16">
        <v>857.05000000000007</v>
      </c>
      <c r="N136" s="18">
        <f t="shared" ref="N136:N142" si="4">SUM(B136:M136)</f>
        <v>589746243.60682249</v>
      </c>
      <c r="O136" s="4"/>
    </row>
    <row r="137" spans="1:15" ht="15" x14ac:dyDescent="0.2">
      <c r="A137" s="17" t="s">
        <v>132</v>
      </c>
      <c r="B137" s="16">
        <v>76152106.670000002</v>
      </c>
      <c r="C137" s="16">
        <v>0</v>
      </c>
      <c r="D137" s="16">
        <v>6316361.1197103988</v>
      </c>
      <c r="E137" s="16">
        <v>1182040.3599999999</v>
      </c>
      <c r="F137" s="16">
        <v>162774.62</v>
      </c>
      <c r="G137" s="16">
        <v>143618.25</v>
      </c>
      <c r="H137" s="16">
        <v>3857447.95</v>
      </c>
      <c r="I137" s="16">
        <v>337146.44</v>
      </c>
      <c r="J137" s="16">
        <v>3631313.2200000007</v>
      </c>
      <c r="K137" s="16">
        <v>0</v>
      </c>
      <c r="L137" s="16">
        <v>0</v>
      </c>
      <c r="M137" s="16">
        <v>10.24</v>
      </c>
      <c r="N137" s="18">
        <f t="shared" si="4"/>
        <v>91782818.869710401</v>
      </c>
      <c r="O137" s="4"/>
    </row>
    <row r="138" spans="1:15" ht="15" x14ac:dyDescent="0.2">
      <c r="A138" s="17" t="s">
        <v>133</v>
      </c>
      <c r="B138" s="16">
        <v>164695840.98000002</v>
      </c>
      <c r="C138" s="16">
        <v>0</v>
      </c>
      <c r="D138" s="16">
        <v>35360232.830647111</v>
      </c>
      <c r="E138" s="16">
        <v>2587269.2999999998</v>
      </c>
      <c r="F138" s="16">
        <v>1417234.81</v>
      </c>
      <c r="G138" s="16">
        <v>587296.05000000005</v>
      </c>
      <c r="H138" s="16">
        <v>8342587.7599999998</v>
      </c>
      <c r="I138" s="16">
        <v>2935443.32</v>
      </c>
      <c r="J138" s="16">
        <v>13406917.409999996</v>
      </c>
      <c r="K138" s="16">
        <v>0</v>
      </c>
      <c r="L138" s="16">
        <v>0</v>
      </c>
      <c r="M138" s="16">
        <v>89.27</v>
      </c>
      <c r="N138" s="18">
        <f t="shared" si="4"/>
        <v>229332911.73064715</v>
      </c>
      <c r="O138" s="4"/>
    </row>
    <row r="139" spans="1:15" ht="15" x14ac:dyDescent="0.2">
      <c r="A139" s="17" t="s">
        <v>134</v>
      </c>
      <c r="B139" s="16">
        <v>725885596.47000003</v>
      </c>
      <c r="C139" s="16">
        <v>0</v>
      </c>
      <c r="D139" s="16">
        <v>9851305.8900000006</v>
      </c>
      <c r="E139" s="16">
        <v>11529384.140000001</v>
      </c>
      <c r="F139" s="16">
        <v>7288859.7800000003</v>
      </c>
      <c r="G139" s="16">
        <v>6177169.5794801628</v>
      </c>
      <c r="H139" s="16">
        <v>36769382.009999998</v>
      </c>
      <c r="I139" s="16">
        <v>15097028.710000001</v>
      </c>
      <c r="J139" s="16">
        <v>24349197.420000009</v>
      </c>
      <c r="K139" s="16">
        <v>0</v>
      </c>
      <c r="L139" s="16">
        <v>0</v>
      </c>
      <c r="M139" s="16">
        <v>459.15999999999997</v>
      </c>
      <c r="N139" s="18">
        <f t="shared" si="4"/>
        <v>836948383.15948009</v>
      </c>
      <c r="O139" s="4"/>
    </row>
    <row r="140" spans="1:15" ht="15" x14ac:dyDescent="0.2">
      <c r="A140" s="17" t="s">
        <v>135</v>
      </c>
      <c r="B140" s="16">
        <v>204491540.12</v>
      </c>
      <c r="C140" s="16">
        <v>0</v>
      </c>
      <c r="D140" s="16">
        <v>1424220.3</v>
      </c>
      <c r="E140" s="16">
        <v>3175760.8000000003</v>
      </c>
      <c r="F140" s="16">
        <v>1202027.98</v>
      </c>
      <c r="G140" s="16">
        <v>520616.15</v>
      </c>
      <c r="H140" s="16">
        <v>10358419.560000001</v>
      </c>
      <c r="I140" s="16">
        <v>2489696.8199999998</v>
      </c>
      <c r="J140" s="16">
        <v>6387662.2000000002</v>
      </c>
      <c r="K140" s="16">
        <v>0</v>
      </c>
      <c r="L140" s="16">
        <v>0</v>
      </c>
      <c r="M140" s="16">
        <v>75.709999999999994</v>
      </c>
      <c r="N140" s="18">
        <f t="shared" si="4"/>
        <v>230050019.64000002</v>
      </c>
      <c r="O140" s="4"/>
    </row>
    <row r="141" spans="1:15" ht="15" x14ac:dyDescent="0.2">
      <c r="A141" s="17" t="s">
        <v>136</v>
      </c>
      <c r="B141" s="16">
        <v>248010664.67000002</v>
      </c>
      <c r="C141" s="16">
        <v>0</v>
      </c>
      <c r="D141" s="16">
        <v>14754726.502763035</v>
      </c>
      <c r="E141" s="16">
        <v>3806567.3000000003</v>
      </c>
      <c r="F141" s="16">
        <v>1733393.21</v>
      </c>
      <c r="G141" s="16">
        <v>507793.09</v>
      </c>
      <c r="H141" s="16">
        <v>12562859.65</v>
      </c>
      <c r="I141" s="16">
        <v>3590285.45</v>
      </c>
      <c r="J141" s="16">
        <v>16698122.600000005</v>
      </c>
      <c r="K141" s="16">
        <v>0</v>
      </c>
      <c r="L141" s="16">
        <v>0</v>
      </c>
      <c r="M141" s="16">
        <v>109.18</v>
      </c>
      <c r="N141" s="18">
        <f t="shared" si="4"/>
        <v>301664521.65276307</v>
      </c>
      <c r="O141" s="4"/>
    </row>
    <row r="142" spans="1:15" ht="15" x14ac:dyDescent="0.2">
      <c r="A142" s="17" t="s">
        <v>137</v>
      </c>
      <c r="B142" s="16">
        <v>234639411.51999998</v>
      </c>
      <c r="C142" s="16">
        <v>0</v>
      </c>
      <c r="D142" s="16">
        <v>16797181.659122847</v>
      </c>
      <c r="E142" s="16">
        <v>5822224.6200000001</v>
      </c>
      <c r="F142" s="16">
        <v>7452416.9699999997</v>
      </c>
      <c r="G142" s="16">
        <v>1874731.06</v>
      </c>
      <c r="H142" s="16">
        <v>11885545.33</v>
      </c>
      <c r="I142" s="16">
        <v>15435796.09</v>
      </c>
      <c r="J142" s="16">
        <v>22670348.629999995</v>
      </c>
      <c r="K142" s="16">
        <v>0</v>
      </c>
      <c r="L142" s="16">
        <v>0</v>
      </c>
      <c r="M142" s="16">
        <v>469.46</v>
      </c>
      <c r="N142" s="18">
        <f t="shared" si="4"/>
        <v>316578125.33912277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42408034044.510017</v>
      </c>
      <c r="C143" s="25">
        <f t="shared" si="5"/>
        <v>0</v>
      </c>
      <c r="D143" s="25">
        <f t="shared" si="5"/>
        <v>2373728768.6227412</v>
      </c>
      <c r="E143" s="25">
        <f t="shared" si="5"/>
        <v>871810539.90999973</v>
      </c>
      <c r="F143" s="25">
        <f t="shared" si="5"/>
        <v>782570301.1700002</v>
      </c>
      <c r="G143" s="25">
        <f t="shared" si="5"/>
        <v>256461156.78000015</v>
      </c>
      <c r="H143" s="25">
        <f t="shared" si="5"/>
        <v>2148158348.5599999</v>
      </c>
      <c r="I143" s="25">
        <f t="shared" si="5"/>
        <v>1620896365.72</v>
      </c>
      <c r="J143" s="25">
        <f t="shared" ref="J143:N143" si="6">SUM(J8:J142)</f>
        <v>2831874986.4399991</v>
      </c>
      <c r="K143" s="25">
        <f t="shared" si="6"/>
        <v>0</v>
      </c>
      <c r="L143" s="25">
        <f t="shared" si="6"/>
        <v>0</v>
      </c>
      <c r="M143" s="25">
        <f t="shared" si="6"/>
        <v>49297.200000000004</v>
      </c>
      <c r="N143" s="25">
        <f t="shared" si="6"/>
        <v>53293583808.91272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3.6640625" style="1" bestFit="1" customWidth="1"/>
    <col min="3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6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176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177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1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f>ENERO!B8+FEBRERO!B8+MARZO!B8+ABRIL!B8+MAYO!B8+JUNIO!B8+JULIO!B8+AGOSTO!B8+SEPTIEMBRE!B8+OCTUBRE!B8+NOVIEMBRE!B8+DICIEMBRE!B8</f>
        <v>1590186775.8800001</v>
      </c>
      <c r="C8" s="16">
        <f>ENERO!C8+FEBRERO!C8+MARZO!C8+ABRIL!C8+MAYO!C8+JUNIO!C8+JULIO!C8+AGOSTO!C8+SEPTIEMBRE!C8+OCTUBRE!C8+NOVIEMBRE!C8+DICIEMBRE!C8</f>
        <v>107058.06999999999</v>
      </c>
      <c r="D8" s="16">
        <f>ENERO!D8+FEBRERO!D8+MARZO!D8+ABRIL!D8+MAYO!D8+JUNIO!D8+JULIO!D8+AGOSTO!D8+SEPTIEMBRE!D8+OCTUBRE!D8+NOVIEMBRE!D8+DICIEMBRE!D8</f>
        <v>126035145.58761983</v>
      </c>
      <c r="E8" s="16">
        <f>ENERO!E8+FEBRERO!E8+MARZO!E8+ABRIL!E8+MAYO!E8+JUNIO!E8+JULIO!E8+AGOSTO!E8+SEPTIEMBRE!E8+OCTUBRE!E8+NOVIEMBRE!E8+DICIEMBRE!E8</f>
        <v>16742407.973629026</v>
      </c>
      <c r="F8" s="16">
        <f>ENERO!F8+FEBRERO!F8+MARZO!F8+ABRIL!F8+MAYO!F8+JUNIO!F8+JULIO!F8+AGOSTO!F8+SEPTIEMBRE!F8+OCTUBRE!F8+NOVIEMBRE!F8+DICIEMBRE!F8</f>
        <v>5226324.1874695625</v>
      </c>
      <c r="G8" s="16">
        <f>ENERO!G8+FEBRERO!G8+MARZO!G8+ABRIL!G8+MAYO!G8+JUNIO!G8+JULIO!G8+AGOSTO!G8+SEPTIEMBRE!G8+OCTUBRE!G8+NOVIEMBRE!G8+DICIEMBRE!G8</f>
        <v>2501622.4299999997</v>
      </c>
      <c r="H8" s="16">
        <f>ENERO!H8+FEBRERO!H8+MARZO!H8+ABRIL!H8+MAYO!H8+JUNIO!H8+JULIO!H8+AGOSTO!H8+SEPTIEMBRE!H8+OCTUBRE!H8+NOVIEMBRE!H8+DICIEMBRE!H8</f>
        <v>82529311.739999995</v>
      </c>
      <c r="I8" s="16">
        <f>ENERO!I8+FEBRERO!I8+MARZO!I8+ABRIL!I8+MAYO!I8+JUNIO!I8+JULIO!I8+AGOSTO!I8+SEPTIEMBRE!I8+OCTUBRE!I8+NOVIEMBRE!I8+DICIEMBRE!I8</f>
        <v>12159600.66</v>
      </c>
      <c r="J8" s="16">
        <f>ENERO!J8+FEBRERO!J8+MARZO!J8+ABRIL!J8+MAYO!J8+JUNIO!J8+JULIO!J8+AGOSTO!J8+SEPTIEMBRE!J8+OCTUBRE!J8+NOVIEMBRE!J8+DICIEMBRE!J8</f>
        <v>109646511.01000002</v>
      </c>
      <c r="K8" s="16">
        <f>ENERO!K8+FEBRERO!K8+MARZO!K8+ABRIL!K8+MAYO!K8+JUNIO!K8+JULIO!K8+AGOSTO!K8+SEPTIEMBRE!K8+OCTUBRE!K8+NOVIEMBRE!K8+DICIEMBRE!K8</f>
        <v>0</v>
      </c>
      <c r="L8" s="16">
        <f>ENERO!L8+FEBRERO!L8+MARZO!L8+ABRIL!L8+MAYO!L8+JUNIO!L8+JULIO!L8+AGOSTO!L8+SEPTIEMBRE!L8+OCTUBRE!L8+NOVIEMBRE!L8+DICIEMBRE!L8</f>
        <v>0</v>
      </c>
      <c r="M8" s="16">
        <f>ENERO!M8+FEBRERO!M8+MARZO!M8+ABRIL!M8+MAYO!M8+JUNIO!M8+JULIO!M8+AGOSTO!M8+SEPTIEMBRE!M8+OCTUBRE!M8+NOVIEMBRE!M8+DICIEMBRE!M8</f>
        <v>1630.51</v>
      </c>
      <c r="N8" s="18">
        <f t="shared" ref="N8:N39" si="0">SUM(B8:M8)</f>
        <v>1945136388.0487185</v>
      </c>
      <c r="O8" s="4"/>
    </row>
    <row r="9" spans="1:15" ht="18" customHeight="1" x14ac:dyDescent="0.2">
      <c r="A9" s="17" t="s">
        <v>4</v>
      </c>
      <c r="B9" s="16">
        <f>ENERO!B9+FEBRERO!B9+MARZO!B9+ABRIL!B9+MAYO!B9+JUNIO!B9+JULIO!B9+AGOSTO!B9+SEPTIEMBRE!B9+OCTUBRE!B9+NOVIEMBRE!B9+DICIEMBRE!B9</f>
        <v>897584392.74000001</v>
      </c>
      <c r="C9" s="16">
        <f>ENERO!C9+FEBRERO!C9+MARZO!C9+ABRIL!C9+MAYO!C9+JUNIO!C9+JULIO!C9+AGOSTO!C9+SEPTIEMBRE!C9+OCTUBRE!C9+NOVIEMBRE!C9+DICIEMBRE!C9</f>
        <v>66743.95</v>
      </c>
      <c r="D9" s="16">
        <f>ENERO!D9+FEBRERO!D9+MARZO!D9+ABRIL!D9+MAYO!D9+JUNIO!D9+JULIO!D9+AGOSTO!D9+SEPTIEMBRE!D9+OCTUBRE!D9+NOVIEMBRE!D9+DICIEMBRE!D9</f>
        <v>114762167.45959869</v>
      </c>
      <c r="E9" s="16">
        <f>ENERO!E9+FEBRERO!E9+MARZO!E9+ABRIL!E9+MAYO!E9+JUNIO!E9+JULIO!E9+AGOSTO!E9+SEPTIEMBRE!E9+OCTUBRE!E9+NOVIEMBRE!E9+DICIEMBRE!E9</f>
        <v>9670607.1250262819</v>
      </c>
      <c r="F9" s="16">
        <f>ENERO!F9+FEBRERO!F9+MARZO!F9+ABRIL!F9+MAYO!F9+JUNIO!F9+JULIO!F9+AGOSTO!F9+SEPTIEMBRE!F9+OCTUBRE!F9+NOVIEMBRE!F9+DICIEMBRE!F9</f>
        <v>3661673.0888358173</v>
      </c>
      <c r="G9" s="16">
        <f>ENERO!G9+FEBRERO!G9+MARZO!G9+ABRIL!G9+MAYO!G9+JUNIO!G9+JULIO!G9+AGOSTO!G9+SEPTIEMBRE!G9+OCTUBRE!G9+NOVIEMBRE!G9+DICIEMBRE!G9</f>
        <v>1767201.17</v>
      </c>
      <c r="H9" s="16">
        <f>ENERO!H9+FEBRERO!H9+MARZO!H9+ABRIL!H9+MAYO!H9+JUNIO!H9+JULIO!H9+AGOSTO!H9+SEPTIEMBRE!H9+OCTUBRE!H9+NOVIEMBRE!H9+DICIEMBRE!H9</f>
        <v>46876400.659999996</v>
      </c>
      <c r="I9" s="16">
        <f>ENERO!I9+FEBRERO!I9+MARZO!I9+ABRIL!I9+MAYO!I9+JUNIO!I9+JULIO!I9+AGOSTO!I9+SEPTIEMBRE!I9+OCTUBRE!I9+NOVIEMBRE!I9+DICIEMBRE!I9</f>
        <v>8519273.0300000012</v>
      </c>
      <c r="J9" s="16">
        <f>ENERO!J9+FEBRERO!J9+MARZO!J9+ABRIL!J9+MAYO!J9+JUNIO!J9+JULIO!J9+AGOSTO!J9+SEPTIEMBRE!J9+OCTUBRE!J9+NOVIEMBRE!J9+DICIEMBRE!J9</f>
        <v>83374377.480000004</v>
      </c>
      <c r="K9" s="16">
        <f>ENERO!K9+FEBRERO!K9+MARZO!K9+ABRIL!K9+MAYO!K9+JUNIO!K9+JULIO!K9+AGOSTO!K9+SEPTIEMBRE!K9+OCTUBRE!K9+NOVIEMBRE!K9+DICIEMBRE!K9</f>
        <v>0</v>
      </c>
      <c r="L9" s="16">
        <f>ENERO!L9+FEBRERO!L9+MARZO!L9+ABRIL!L9+MAYO!L9+JUNIO!L9+JULIO!L9+AGOSTO!L9+SEPTIEMBRE!L9+OCTUBRE!L9+NOVIEMBRE!L9+DICIEMBRE!L9</f>
        <v>0</v>
      </c>
      <c r="M9" s="16">
        <f>ENERO!M9+FEBRERO!M9+MARZO!M9+ABRIL!M9+MAYO!M9+JUNIO!M9+JULIO!M9+AGOSTO!M9+SEPTIEMBRE!M9+OCTUBRE!M9+NOVIEMBRE!M9+DICIEMBRE!M9</f>
        <v>1142.2999999999995</v>
      </c>
      <c r="N9" s="18">
        <f t="shared" si="0"/>
        <v>1166283979.0034606</v>
      </c>
      <c r="O9" s="4"/>
    </row>
    <row r="10" spans="1:15" ht="18" customHeight="1" x14ac:dyDescent="0.2">
      <c r="A10" s="17" t="s">
        <v>5</v>
      </c>
      <c r="B10" s="16">
        <f>ENERO!B10+FEBRERO!B10+MARZO!B10+ABRIL!B10+MAYO!B10+JUNIO!B10+JULIO!B10+AGOSTO!B10+SEPTIEMBRE!B10+OCTUBRE!B10+NOVIEMBRE!B10+DICIEMBRE!B10</f>
        <v>761608891.54999995</v>
      </c>
      <c r="C10" s="16">
        <f>ENERO!C10+FEBRERO!C10+MARZO!C10+ABRIL!C10+MAYO!C10+JUNIO!C10+JULIO!C10+AGOSTO!C10+SEPTIEMBRE!C10+OCTUBRE!C10+NOVIEMBRE!C10+DICIEMBRE!C10</f>
        <v>49051.199999999997</v>
      </c>
      <c r="D10" s="16">
        <f>ENERO!D10+FEBRERO!D10+MARZO!D10+ABRIL!D10+MAYO!D10+JUNIO!D10+JULIO!D10+AGOSTO!D10+SEPTIEMBRE!D10+OCTUBRE!D10+NOVIEMBRE!D10+DICIEMBRE!D10</f>
        <v>79342019.449697182</v>
      </c>
      <c r="E10" s="16">
        <f>ENERO!E10+FEBRERO!E10+MARZO!E10+ABRIL!E10+MAYO!E10+JUNIO!E10+JULIO!E10+AGOSTO!E10+SEPTIEMBRE!E10+OCTUBRE!E10+NOVIEMBRE!E10+DICIEMBRE!E10</f>
        <v>7910638.2860509865</v>
      </c>
      <c r="F10" s="16">
        <f>ENERO!F10+FEBRERO!F10+MARZO!F10+ABRIL!F10+MAYO!F10+JUNIO!F10+JULIO!F10+AGOSTO!F10+SEPTIEMBRE!F10+OCTUBRE!F10+NOVIEMBRE!F10+DICIEMBRE!F10</f>
        <v>2557977.2824136741</v>
      </c>
      <c r="G10" s="16">
        <f>ENERO!G10+FEBRERO!G10+MARZO!G10+ABRIL!G10+MAYO!G10+JUNIO!G10+JULIO!G10+AGOSTO!G10+SEPTIEMBRE!G10+OCTUBRE!G10+NOVIEMBRE!G10+DICIEMBRE!G10</f>
        <v>1560645.21</v>
      </c>
      <c r="H10" s="16">
        <f>ENERO!H10+FEBRERO!H10+MARZO!H10+ABRIL!H10+MAYO!H10+JUNIO!H10+JULIO!H10+AGOSTO!H10+SEPTIEMBRE!H10+OCTUBRE!H10+NOVIEMBRE!H10+DICIEMBRE!H10</f>
        <v>39423829.240000002</v>
      </c>
      <c r="I10" s="16">
        <f>ENERO!I10+FEBRERO!I10+MARZO!I10+ABRIL!I10+MAYO!I10+JUNIO!I10+JULIO!I10+AGOSTO!I10+SEPTIEMBRE!I10+OCTUBRE!I10+NOVIEMBRE!I10+DICIEMBRE!I10</f>
        <v>5951407.040000001</v>
      </c>
      <c r="J10" s="16">
        <f>ENERO!J10+FEBRERO!J10+MARZO!J10+ABRIL!J10+MAYO!J10+JUNIO!J10+JULIO!J10+AGOSTO!J10+SEPTIEMBRE!J10+OCTUBRE!J10+NOVIEMBRE!J10+DICIEMBRE!J10</f>
        <v>48423383.259999998</v>
      </c>
      <c r="K10" s="16">
        <f>ENERO!K10+FEBRERO!K10+MARZO!K10+ABRIL!K10+MAYO!K10+JUNIO!K10+JULIO!K10+AGOSTO!K10+SEPTIEMBRE!K10+OCTUBRE!K10+NOVIEMBRE!K10+DICIEMBRE!K10</f>
        <v>0</v>
      </c>
      <c r="L10" s="16">
        <f>ENERO!L10+FEBRERO!L10+MARZO!L10+ABRIL!L10+MAYO!L10+JUNIO!L10+JULIO!L10+AGOSTO!L10+SEPTIEMBRE!L10+OCTUBRE!L10+NOVIEMBRE!L10+DICIEMBRE!L10</f>
        <v>0</v>
      </c>
      <c r="M10" s="16">
        <f>ENERO!M10+FEBRERO!M10+MARZO!M10+ABRIL!M10+MAYO!M10+JUNIO!M10+JULIO!M10+AGOSTO!M10+SEPTIEMBRE!M10+OCTUBRE!M10+NOVIEMBRE!M10+DICIEMBRE!M10</f>
        <v>797.99</v>
      </c>
      <c r="N10" s="18">
        <f t="shared" si="0"/>
        <v>946828640.5081619</v>
      </c>
      <c r="O10" s="4"/>
    </row>
    <row r="11" spans="1:15" ht="18" customHeight="1" x14ac:dyDescent="0.2">
      <c r="A11" s="17" t="s">
        <v>6</v>
      </c>
      <c r="B11" s="16">
        <f>ENERO!B11+FEBRERO!B11+MARZO!B11+ABRIL!B11+MAYO!B11+JUNIO!B11+JULIO!B11+AGOSTO!B11+SEPTIEMBRE!B11+OCTUBRE!B11+NOVIEMBRE!B11+DICIEMBRE!B11</f>
        <v>8176983063.3400002</v>
      </c>
      <c r="C11" s="16">
        <f>ENERO!C11+FEBRERO!C11+MARZO!C11+ABRIL!C11+MAYO!C11+JUNIO!C11+JULIO!C11+AGOSTO!C11+SEPTIEMBRE!C11+OCTUBRE!C11+NOVIEMBRE!C11+DICIEMBRE!C11</f>
        <v>568017.6</v>
      </c>
      <c r="D11" s="16">
        <f>ENERO!D11+FEBRERO!D11+MARZO!D11+ABRIL!D11+MAYO!D11+JUNIO!D11+JULIO!D11+AGOSTO!D11+SEPTIEMBRE!D11+OCTUBRE!D11+NOVIEMBRE!D11+DICIEMBRE!D11</f>
        <v>60717225.94961872</v>
      </c>
      <c r="E11" s="16">
        <f>ENERO!E11+FEBRERO!E11+MARZO!E11+ABRIL!E11+MAYO!E11+JUNIO!E11+JULIO!E11+AGOSTO!E11+SEPTIEMBRE!E11+OCTUBRE!E11+NOVIEMBRE!E11+DICIEMBRE!E11</f>
        <v>119037218.9706201</v>
      </c>
      <c r="F11" s="16">
        <f>ENERO!F11+FEBRERO!F11+MARZO!F11+ABRIL!F11+MAYO!F11+JUNIO!F11+JULIO!F11+AGOSTO!F11+SEPTIEMBRE!F11+OCTUBRE!F11+NOVIEMBRE!F11+DICIEMBRE!F11</f>
        <v>274560561.66054392</v>
      </c>
      <c r="G11" s="16">
        <f>ENERO!G11+FEBRERO!G11+MARZO!G11+ABRIL!G11+MAYO!G11+JUNIO!G11+JULIO!G11+AGOSTO!G11+SEPTIEMBRE!G11+OCTUBRE!G11+NOVIEMBRE!G11+DICIEMBRE!G11</f>
        <v>141416680.46962798</v>
      </c>
      <c r="H11" s="16">
        <f>ENERO!H11+FEBRERO!H11+MARZO!H11+ABRIL!H11+MAYO!H11+JUNIO!H11+JULIO!H11+AGOSTO!H11+SEPTIEMBRE!H11+OCTUBRE!H11+NOVIEMBRE!H11+DICIEMBRE!H11</f>
        <v>425189451.38999993</v>
      </c>
      <c r="I11" s="16">
        <f>ENERO!I11+FEBRERO!I11+MARZO!I11+ABRIL!I11+MAYO!I11+JUNIO!I11+JULIO!I11+AGOSTO!I11+SEPTIEMBRE!I11+OCTUBRE!I11+NOVIEMBRE!I11+DICIEMBRE!I11</f>
        <v>638794424.80999994</v>
      </c>
      <c r="J11" s="16">
        <f>ENERO!J11+FEBRERO!J11+MARZO!J11+ABRIL!J11+MAYO!J11+JUNIO!J11+JULIO!J11+AGOSTO!J11+SEPTIEMBRE!J11+OCTUBRE!J11+NOVIEMBRE!J11+DICIEMBRE!J11</f>
        <v>934223688.15999961</v>
      </c>
      <c r="K11" s="16">
        <f>ENERO!K11+FEBRERO!K11+MARZO!K11+ABRIL!K11+MAYO!K11+JUNIO!K11+JULIO!K11+AGOSTO!K11+SEPTIEMBRE!K11+OCTUBRE!K11+NOVIEMBRE!K11+DICIEMBRE!K11</f>
        <v>0</v>
      </c>
      <c r="L11" s="16">
        <f>ENERO!L11+FEBRERO!L11+MARZO!L11+ABRIL!L11+MAYO!L11+JUNIO!L11+JULIO!L11+AGOSTO!L11+SEPTIEMBRE!L11+OCTUBRE!L11+NOVIEMBRE!L11+DICIEMBRE!L11</f>
        <v>0</v>
      </c>
      <c r="M11" s="16">
        <f>ENERO!M11+FEBRERO!M11+MARZO!M11+ABRIL!M11+MAYO!M11+JUNIO!M11+JULIO!M11+AGOSTO!M11+SEPTIEMBRE!M11+OCTUBRE!M11+NOVIEMBRE!M11+DICIEMBRE!M11</f>
        <v>85667.180000000008</v>
      </c>
      <c r="N11" s="18">
        <f t="shared" si="0"/>
        <v>10771575999.530409</v>
      </c>
      <c r="O11" s="4"/>
    </row>
    <row r="12" spans="1:15" ht="18" customHeight="1" x14ac:dyDescent="0.2">
      <c r="A12" s="17" t="s">
        <v>7</v>
      </c>
      <c r="B12" s="16">
        <f>ENERO!B12+FEBRERO!B12+MARZO!B12+ABRIL!B12+MAYO!B12+JUNIO!B12+JULIO!B12+AGOSTO!B12+SEPTIEMBRE!B12+OCTUBRE!B12+NOVIEMBRE!B12+DICIEMBRE!B12</f>
        <v>1117521017.6599998</v>
      </c>
      <c r="C12" s="16">
        <f>ENERO!C12+FEBRERO!C12+MARZO!C12+ABRIL!C12+MAYO!C12+JUNIO!C12+JULIO!C12+AGOSTO!C12+SEPTIEMBRE!C12+OCTUBRE!C12+NOVIEMBRE!C12+DICIEMBRE!C12</f>
        <v>85256.31</v>
      </c>
      <c r="D12" s="16">
        <f>ENERO!D12+FEBRERO!D12+MARZO!D12+ABRIL!D12+MAYO!D12+JUNIO!D12+JULIO!D12+AGOSTO!D12+SEPTIEMBRE!D12+OCTUBRE!D12+NOVIEMBRE!D12+DICIEMBRE!D12</f>
        <v>109587926.58855245</v>
      </c>
      <c r="E12" s="16">
        <f>ENERO!E12+FEBRERO!E12+MARZO!E12+ABRIL!E12+MAYO!E12+JUNIO!E12+JULIO!E12+AGOSTO!E12+SEPTIEMBRE!E12+OCTUBRE!E12+NOVIEMBRE!E12+DICIEMBRE!E12</f>
        <v>12168825.855355503</v>
      </c>
      <c r="F12" s="16">
        <f>ENERO!F12+FEBRERO!F12+MARZO!F12+ABRIL!F12+MAYO!F12+JUNIO!F12+JULIO!F12+AGOSTO!F12+SEPTIEMBRE!F12+OCTUBRE!F12+NOVIEMBRE!F12+DICIEMBRE!F12</f>
        <v>9387906.6118024699</v>
      </c>
      <c r="G12" s="16">
        <f>ENERO!G12+FEBRERO!G12+MARZO!G12+ABRIL!G12+MAYO!G12+JUNIO!G12+JULIO!G12+AGOSTO!G12+SEPTIEMBRE!G12+OCTUBRE!G12+NOVIEMBRE!G12+DICIEMBRE!G12</f>
        <v>4268823.6100000003</v>
      </c>
      <c r="H12" s="16">
        <f>ENERO!H12+FEBRERO!H12+MARZO!H12+ABRIL!H12+MAYO!H12+JUNIO!H12+JULIO!H12+AGOSTO!H12+SEPTIEMBRE!H12+OCTUBRE!H12+NOVIEMBRE!H12+DICIEMBRE!H12</f>
        <v>58462578.979999997</v>
      </c>
      <c r="I12" s="16">
        <f>ENERO!I12+FEBRERO!I12+MARZO!I12+ABRIL!I12+MAYO!I12+JUNIO!I12+JULIO!I12+AGOSTO!I12+SEPTIEMBRE!I12+OCTUBRE!I12+NOVIEMBRE!I12+DICIEMBRE!I12</f>
        <v>21841965.900000002</v>
      </c>
      <c r="J12" s="16">
        <f>ENERO!J12+FEBRERO!J12+MARZO!J12+ABRIL!J12+MAYO!J12+JUNIO!J12+JULIO!J12+AGOSTO!J12+SEPTIEMBRE!J12+OCTUBRE!J12+NOVIEMBRE!J12+DICIEMBRE!J12</f>
        <v>95809523.560000032</v>
      </c>
      <c r="K12" s="16">
        <f>ENERO!K12+FEBRERO!K12+MARZO!K12+ABRIL!K12+MAYO!K12+JUNIO!K12+JULIO!K12+AGOSTO!K12+SEPTIEMBRE!K12+OCTUBRE!K12+NOVIEMBRE!K12+DICIEMBRE!K12</f>
        <v>0</v>
      </c>
      <c r="L12" s="16">
        <f>ENERO!L12+FEBRERO!L12+MARZO!L12+ABRIL!L12+MAYO!L12+JUNIO!L12+JULIO!L12+AGOSTO!L12+SEPTIEMBRE!L12+OCTUBRE!L12+NOVIEMBRE!L12+DICIEMBRE!L12</f>
        <v>0</v>
      </c>
      <c r="M12" s="16">
        <f>ENERO!M12+FEBRERO!M12+MARZO!M12+ABRIL!M12+MAYO!M12+JUNIO!M12+JULIO!M12+AGOSTO!M12+SEPTIEMBRE!M12+OCTUBRE!M12+NOVIEMBRE!M12+DICIEMBRE!M12</f>
        <v>2928.93</v>
      </c>
      <c r="N12" s="18">
        <f t="shared" si="0"/>
        <v>1429136754.0057104</v>
      </c>
      <c r="O12" s="4"/>
    </row>
    <row r="13" spans="1:15" ht="18" customHeight="1" x14ac:dyDescent="0.2">
      <c r="A13" s="17" t="s">
        <v>8</v>
      </c>
      <c r="B13" s="16">
        <f>ENERO!B13+FEBRERO!B13+MARZO!B13+ABRIL!B13+MAYO!B13+JUNIO!B13+JULIO!B13+AGOSTO!B13+SEPTIEMBRE!B13+OCTUBRE!B13+NOVIEMBRE!B13+DICIEMBRE!B13</f>
        <v>4813425097.7999992</v>
      </c>
      <c r="C13" s="16">
        <f>ENERO!C13+FEBRERO!C13+MARZO!C13+ABRIL!C13+MAYO!C13+JUNIO!C13+JULIO!C13+AGOSTO!C13+SEPTIEMBRE!C13+OCTUBRE!C13+NOVIEMBRE!C13+DICIEMBRE!C13</f>
        <v>344686.24</v>
      </c>
      <c r="D13" s="16">
        <f>ENERO!D13+FEBRERO!D13+MARZO!D13+ABRIL!D13+MAYO!D13+JUNIO!D13+JULIO!D13+AGOSTO!D13+SEPTIEMBRE!D13+OCTUBRE!D13+NOVIEMBRE!D13+DICIEMBRE!D13</f>
        <v>58924774.129800767</v>
      </c>
      <c r="E13" s="16">
        <f>ENERO!E13+FEBRERO!E13+MARZO!E13+ABRIL!E13+MAYO!E13+JUNIO!E13+JULIO!E13+AGOSTO!E13+SEPTIEMBRE!E13+OCTUBRE!E13+NOVIEMBRE!E13+DICIEMBRE!E13</f>
        <v>70819298.470958978</v>
      </c>
      <c r="F13" s="16">
        <f>ENERO!F13+FEBRERO!F13+MARZO!F13+ABRIL!F13+MAYO!F13+JUNIO!F13+JULIO!F13+AGOSTO!F13+SEPTIEMBRE!F13+OCTUBRE!F13+NOVIEMBRE!F13+DICIEMBRE!F13</f>
        <v>133514730.42100815</v>
      </c>
      <c r="G13" s="16">
        <f>ENERO!G13+FEBRERO!G13+MARZO!G13+ABRIL!G13+MAYO!G13+JUNIO!G13+JULIO!G13+AGOSTO!G13+SEPTIEMBRE!G13+OCTUBRE!G13+NOVIEMBRE!G13+DICIEMBRE!G13</f>
        <v>0</v>
      </c>
      <c r="H13" s="16">
        <f>ENERO!H13+FEBRERO!H13+MARZO!H13+ABRIL!H13+MAYO!H13+JUNIO!H13+JULIO!H13+AGOSTO!H13+SEPTIEMBRE!H13+OCTUBRE!H13+NOVIEMBRE!H13+DICIEMBRE!H13</f>
        <v>250768145.21999997</v>
      </c>
      <c r="I13" s="16">
        <f>ENERO!I13+FEBRERO!I13+MARZO!I13+ABRIL!I13+MAYO!I13+JUNIO!I13+JULIO!I13+AGOSTO!I13+SEPTIEMBRE!I13+OCTUBRE!I13+NOVIEMBRE!I13+DICIEMBRE!I13</f>
        <v>310636257.89999998</v>
      </c>
      <c r="J13" s="16">
        <f>ENERO!J13+FEBRERO!J13+MARZO!J13+ABRIL!J13+MAYO!J13+JUNIO!J13+JULIO!J13+AGOSTO!J13+SEPTIEMBRE!J13+OCTUBRE!J13+NOVIEMBRE!J13+DICIEMBRE!J13</f>
        <v>706826972.26999974</v>
      </c>
      <c r="K13" s="16">
        <f>ENERO!K13+FEBRERO!K13+MARZO!K13+ABRIL!K13+MAYO!K13+JUNIO!K13+JULIO!K13+AGOSTO!K13+SEPTIEMBRE!K13+OCTUBRE!K13+NOVIEMBRE!K13+DICIEMBRE!K13</f>
        <v>0</v>
      </c>
      <c r="L13" s="16">
        <f>ENERO!L13+FEBRERO!L13+MARZO!L13+ABRIL!L13+MAYO!L13+JUNIO!L13+JULIO!L13+AGOSTO!L13+SEPTIEMBRE!L13+OCTUBRE!L13+NOVIEMBRE!L13+DICIEMBRE!L13</f>
        <v>0</v>
      </c>
      <c r="M13" s="16">
        <f>ENERO!M13+FEBRERO!M13+MARZO!M13+ABRIL!M13+MAYO!M13+JUNIO!M13+JULIO!M13+AGOSTO!M13+SEPTIEMBRE!M13+OCTUBRE!M13+NOVIEMBRE!M13+DICIEMBRE!M13</f>
        <v>41658.57</v>
      </c>
      <c r="N13" s="18">
        <f t="shared" si="0"/>
        <v>6345301621.0217657</v>
      </c>
      <c r="O13" s="4"/>
    </row>
    <row r="14" spans="1:15" ht="18" customHeight="1" x14ac:dyDescent="0.2">
      <c r="A14" s="17" t="s">
        <v>9</v>
      </c>
      <c r="B14" s="16">
        <f>ENERO!B14+FEBRERO!B14+MARZO!B14+ABRIL!B14+MAYO!B14+JUNIO!B14+JULIO!B14+AGOSTO!B14+SEPTIEMBRE!B14+OCTUBRE!B14+NOVIEMBRE!B14+DICIEMBRE!B14</f>
        <v>1713437399.75</v>
      </c>
      <c r="C14" s="16">
        <f>ENERO!C14+FEBRERO!C14+MARZO!C14+ABRIL!C14+MAYO!C14+JUNIO!C14+JULIO!C14+AGOSTO!C14+SEPTIEMBRE!C14+OCTUBRE!C14+NOVIEMBRE!C14+DICIEMBRE!C14</f>
        <v>124917.47</v>
      </c>
      <c r="D14" s="16">
        <f>ENERO!D14+FEBRERO!D14+MARZO!D14+ABRIL!D14+MAYO!D14+JUNIO!D14+JULIO!D14+AGOSTO!D14+SEPTIEMBRE!D14+OCTUBRE!D14+NOVIEMBRE!D14+DICIEMBRE!D14</f>
        <v>184356046.16433743</v>
      </c>
      <c r="E14" s="16">
        <f>ENERO!E14+FEBRERO!E14+MARZO!E14+ABRIL!E14+MAYO!E14+JUNIO!E14+JULIO!E14+AGOSTO!E14+SEPTIEMBRE!E14+OCTUBRE!E14+NOVIEMBRE!E14+DICIEMBRE!E14</f>
        <v>18370048.676532444</v>
      </c>
      <c r="F14" s="16">
        <f>ENERO!F14+FEBRERO!F14+MARZO!F14+ABRIL!F14+MAYO!F14+JUNIO!F14+JULIO!F14+AGOSTO!F14+SEPTIEMBRE!F14+OCTUBRE!F14+NOVIEMBRE!F14+DICIEMBRE!F14</f>
        <v>6076819.2025360391</v>
      </c>
      <c r="G14" s="16">
        <f>ENERO!G14+FEBRERO!G14+MARZO!G14+ABRIL!G14+MAYO!G14+JUNIO!G14+JULIO!G14+AGOSTO!G14+SEPTIEMBRE!G14+OCTUBRE!G14+NOVIEMBRE!G14+DICIEMBRE!G14</f>
        <v>2983586.4</v>
      </c>
      <c r="H14" s="16">
        <f>ENERO!H14+FEBRERO!H14+MARZO!H14+ABRIL!H14+MAYO!H14+JUNIO!H14+JULIO!H14+AGOSTO!H14+SEPTIEMBRE!H14+OCTUBRE!H14+NOVIEMBRE!H14+DICIEMBRE!H14</f>
        <v>89368882.530000016</v>
      </c>
      <c r="I14" s="16">
        <f>ENERO!I14+FEBRERO!I14+MARZO!I14+ABRIL!I14+MAYO!I14+JUNIO!I14+JULIO!I14+AGOSTO!I14+SEPTIEMBRE!I14+OCTUBRE!I14+NOVIEMBRE!I14+DICIEMBRE!I14</f>
        <v>14138367.960000001</v>
      </c>
      <c r="J14" s="16">
        <f>ENERO!J14+FEBRERO!J14+MARZO!J14+ABRIL!J14+MAYO!J14+JUNIO!J14+JULIO!J14+AGOSTO!J14+SEPTIEMBRE!J14+OCTUBRE!J14+NOVIEMBRE!J14+DICIEMBRE!J14</f>
        <v>145575775.94999999</v>
      </c>
      <c r="K14" s="16">
        <f>ENERO!K14+FEBRERO!K14+MARZO!K14+ABRIL!K14+MAYO!K14+JUNIO!K14+JULIO!K14+AGOSTO!K14+SEPTIEMBRE!K14+OCTUBRE!K14+NOVIEMBRE!K14+DICIEMBRE!K14</f>
        <v>0</v>
      </c>
      <c r="L14" s="16">
        <f>ENERO!L14+FEBRERO!L14+MARZO!L14+ABRIL!L14+MAYO!L14+JUNIO!L14+JULIO!L14+AGOSTO!L14+SEPTIEMBRE!L14+OCTUBRE!L14+NOVIEMBRE!L14+DICIEMBRE!L14</f>
        <v>0</v>
      </c>
      <c r="M14" s="16">
        <f>ENERO!M14+FEBRERO!M14+MARZO!M14+ABRIL!M14+MAYO!M14+JUNIO!M14+JULIO!M14+AGOSTO!M14+SEPTIEMBRE!M14+OCTUBRE!M14+NOVIEMBRE!M14+DICIEMBRE!M14</f>
        <v>1895.8400000000001</v>
      </c>
      <c r="N14" s="18">
        <f t="shared" si="0"/>
        <v>2174433739.9434061</v>
      </c>
      <c r="O14" s="4"/>
    </row>
    <row r="15" spans="1:15" ht="18" customHeight="1" x14ac:dyDescent="0.2">
      <c r="A15" s="17" t="s">
        <v>10</v>
      </c>
      <c r="B15" s="16">
        <f>ENERO!B15+FEBRERO!B15+MARZO!B15+ABRIL!B15+MAYO!B15+JUNIO!B15+JULIO!B15+AGOSTO!B15+SEPTIEMBRE!B15+OCTUBRE!B15+NOVIEMBRE!B15+DICIEMBRE!B15</f>
        <v>2789439181.5500002</v>
      </c>
      <c r="C15" s="16">
        <f>ENERO!C15+FEBRERO!C15+MARZO!C15+ABRIL!C15+MAYO!C15+JUNIO!C15+JULIO!C15+AGOSTO!C15+SEPTIEMBRE!C15+OCTUBRE!C15+NOVIEMBRE!C15+DICIEMBRE!C15</f>
        <v>203578.63</v>
      </c>
      <c r="D15" s="16">
        <f>ENERO!D15+FEBRERO!D15+MARZO!D15+ABRIL!D15+MAYO!D15+JUNIO!D15+JULIO!D15+AGOSTO!D15+SEPTIEMBRE!D15+OCTUBRE!D15+NOVIEMBRE!D15+DICIEMBRE!D15</f>
        <v>284003059.23767757</v>
      </c>
      <c r="E15" s="16">
        <f>ENERO!E15+FEBRERO!E15+MARZO!E15+ABRIL!E15+MAYO!E15+JUNIO!E15+JULIO!E15+AGOSTO!E15+SEPTIEMBRE!E15+OCTUBRE!E15+NOVIEMBRE!E15+DICIEMBRE!E15</f>
        <v>29999033.989272051</v>
      </c>
      <c r="F15" s="16">
        <f>ENERO!F15+FEBRERO!F15+MARZO!F15+ABRIL!F15+MAYO!F15+JUNIO!F15+JULIO!F15+AGOSTO!F15+SEPTIEMBRE!F15+OCTUBRE!F15+NOVIEMBRE!F15+DICIEMBRE!F15</f>
        <v>22638748.576082438</v>
      </c>
      <c r="G15" s="16">
        <f>ENERO!G15+FEBRERO!G15+MARZO!G15+ABRIL!G15+MAYO!G15+JUNIO!G15+JULIO!G15+AGOSTO!G15+SEPTIEMBRE!G15+OCTUBRE!G15+NOVIEMBRE!G15+DICIEMBRE!G15</f>
        <v>9593377.790000001</v>
      </c>
      <c r="H15" s="16">
        <f>ENERO!H15+FEBRERO!H15+MARZO!H15+ABRIL!H15+MAYO!H15+JUNIO!H15+JULIO!H15+AGOSTO!H15+SEPTIEMBRE!H15+OCTUBRE!H15+NOVIEMBRE!H15+DICIEMBRE!H15</f>
        <v>145500607.37</v>
      </c>
      <c r="I15" s="16">
        <f>ENERO!I15+FEBRERO!I15+MARZO!I15+ABRIL!I15+MAYO!I15+JUNIO!I15+JULIO!I15+AGOSTO!I15+SEPTIEMBRE!I15+OCTUBRE!I15+NOVIEMBRE!I15+DICIEMBRE!I15</f>
        <v>52671462.750000007</v>
      </c>
      <c r="J15" s="16">
        <f>ENERO!J15+FEBRERO!J15+MARZO!J15+ABRIL!J15+MAYO!J15+JUNIO!J15+JULIO!J15+AGOSTO!J15+SEPTIEMBRE!J15+OCTUBRE!J15+NOVIEMBRE!J15+DICIEMBRE!J15</f>
        <v>235594072.98000005</v>
      </c>
      <c r="K15" s="16">
        <f>ENERO!K15+FEBRERO!K15+MARZO!K15+ABRIL!K15+MAYO!K15+JUNIO!K15+JULIO!K15+AGOSTO!K15+SEPTIEMBRE!K15+OCTUBRE!K15+NOVIEMBRE!K15+DICIEMBRE!K15</f>
        <v>0</v>
      </c>
      <c r="L15" s="16">
        <f>ENERO!L15+FEBRERO!L15+MARZO!L15+ABRIL!L15+MAYO!L15+JUNIO!L15+JULIO!L15+AGOSTO!L15+SEPTIEMBRE!L15+OCTUBRE!L15+NOVIEMBRE!L15+DICIEMBRE!L15</f>
        <v>0</v>
      </c>
      <c r="M15" s="16">
        <f>ENERO!M15+FEBRERO!M15+MARZO!M15+ABRIL!M15+MAYO!M15+JUNIO!M15+JULIO!M15+AGOSTO!M15+SEPTIEMBRE!M15+OCTUBRE!M15+NOVIEMBRE!M15+DICIEMBRE!M15</f>
        <v>7063.46</v>
      </c>
      <c r="N15" s="18">
        <f t="shared" si="0"/>
        <v>3569650186.3330321</v>
      </c>
      <c r="O15" s="4"/>
    </row>
    <row r="16" spans="1:15" ht="18" customHeight="1" x14ac:dyDescent="0.2">
      <c r="A16" s="17" t="s">
        <v>11</v>
      </c>
      <c r="B16" s="16">
        <f>ENERO!B16+FEBRERO!B16+MARZO!B16+ABRIL!B16+MAYO!B16+JUNIO!B16+JULIO!B16+AGOSTO!B16+SEPTIEMBRE!B16+OCTUBRE!B16+NOVIEMBRE!B16+DICIEMBRE!B16</f>
        <v>5181908326.25</v>
      </c>
      <c r="C16" s="16">
        <f>ENERO!C16+FEBRERO!C16+MARZO!C16+ABRIL!C16+MAYO!C16+JUNIO!C16+JULIO!C16+AGOSTO!C16+SEPTIEMBRE!C16+OCTUBRE!C16+NOVIEMBRE!C16+DICIEMBRE!C16</f>
        <v>376296.05</v>
      </c>
      <c r="D16" s="16">
        <f>ENERO!D16+FEBRERO!D16+MARZO!D16+ABRIL!D16+MAYO!D16+JUNIO!D16+JULIO!D16+AGOSTO!D16+SEPTIEMBRE!D16+OCTUBRE!D16+NOVIEMBRE!D16+DICIEMBRE!D16</f>
        <v>131256051.35221937</v>
      </c>
      <c r="E16" s="16">
        <f>ENERO!E16+FEBRERO!E16+MARZO!E16+ABRIL!E16+MAYO!E16+JUNIO!E16+JULIO!E16+AGOSTO!E16+SEPTIEMBRE!E16+OCTUBRE!E16+NOVIEMBRE!E16+DICIEMBRE!E16</f>
        <v>76692339.038613021</v>
      </c>
      <c r="F16" s="16">
        <f>ENERO!F16+FEBRERO!F16+MARZO!F16+ABRIL!F16+MAYO!F16+JUNIO!F16+JULIO!F16+AGOSTO!F16+SEPTIEMBRE!F16+OCTUBRE!F16+NOVIEMBRE!F16+DICIEMBRE!F16</f>
        <v>84432728.851293996</v>
      </c>
      <c r="G16" s="16">
        <f>ENERO!G16+FEBRERO!G16+MARZO!G16+ABRIL!G16+MAYO!G16+JUNIO!G16+JULIO!G16+AGOSTO!G16+SEPTIEMBRE!G16+OCTUBRE!G16+NOVIEMBRE!G16+DICIEMBRE!G16</f>
        <v>44294782.650000006</v>
      </c>
      <c r="H16" s="16">
        <f>ENERO!H16+FEBRERO!H16+MARZO!H16+ABRIL!H16+MAYO!H16+JUNIO!H16+JULIO!H16+AGOSTO!H16+SEPTIEMBRE!H16+OCTUBRE!H16+NOVIEMBRE!H16+DICIEMBRE!H16</f>
        <v>270207224.64999998</v>
      </c>
      <c r="I16" s="16">
        <f>ENERO!I16+FEBRERO!I16+MARZO!I16+ABRIL!I16+MAYO!I16+JUNIO!I16+JULIO!I16+AGOSTO!I16+SEPTIEMBRE!I16+OCTUBRE!I16+NOVIEMBRE!I16+DICIEMBRE!I16</f>
        <v>196441747.34999999</v>
      </c>
      <c r="J16" s="16">
        <f>ENERO!J16+FEBRERO!J16+MARZO!J16+ABRIL!J16+MAYO!J16+JUNIO!J16+JULIO!J16+AGOSTO!J16+SEPTIEMBRE!J16+OCTUBRE!J16+NOVIEMBRE!J16+DICIEMBRE!J16</f>
        <v>582140754.37</v>
      </c>
      <c r="K16" s="16">
        <f>ENERO!K16+FEBRERO!K16+MARZO!K16+ABRIL!K16+MAYO!K16+JUNIO!K16+JULIO!K16+AGOSTO!K16+SEPTIEMBRE!K16+OCTUBRE!K16+NOVIEMBRE!K16+DICIEMBRE!K16</f>
        <v>0</v>
      </c>
      <c r="L16" s="16">
        <f>ENERO!L16+FEBRERO!L16+MARZO!L16+ABRIL!L16+MAYO!L16+JUNIO!L16+JULIO!L16+AGOSTO!L16+SEPTIEMBRE!L16+OCTUBRE!L16+NOVIEMBRE!L16+DICIEMBRE!L16</f>
        <v>0</v>
      </c>
      <c r="M16" s="16">
        <f>ENERO!M16+FEBRERO!M16+MARZO!M16+ABRIL!M16+MAYO!M16+JUNIO!M16+JULIO!M16+AGOSTO!M16+SEPTIEMBRE!M16+OCTUBRE!M16+NOVIEMBRE!M16+DICIEMBRE!M16</f>
        <v>26344.18</v>
      </c>
      <c r="N16" s="18">
        <f t="shared" si="0"/>
        <v>6567776594.7421265</v>
      </c>
      <c r="O16" s="4"/>
    </row>
    <row r="17" spans="1:15" ht="18" customHeight="1" x14ac:dyDescent="0.2">
      <c r="A17" s="17" t="s">
        <v>12</v>
      </c>
      <c r="B17" s="16">
        <f>ENERO!B17+FEBRERO!B17+MARZO!B17+ABRIL!B17+MAYO!B17+JUNIO!B17+JULIO!B17+AGOSTO!B17+SEPTIEMBRE!B17+OCTUBRE!B17+NOVIEMBRE!B17+DICIEMBRE!B17</f>
        <v>1885857564.47</v>
      </c>
      <c r="C17" s="16">
        <f>ENERO!C17+FEBRERO!C17+MARZO!C17+ABRIL!C17+MAYO!C17+JUNIO!C17+JULIO!C17+AGOSTO!C17+SEPTIEMBRE!C17+OCTUBRE!C17+NOVIEMBRE!C17+DICIEMBRE!C17</f>
        <v>135209.1</v>
      </c>
      <c r="D17" s="16">
        <f>ENERO!D17+FEBRERO!D17+MARZO!D17+ABRIL!D17+MAYO!D17+JUNIO!D17+JULIO!D17+AGOSTO!D17+SEPTIEMBRE!D17+OCTUBRE!D17+NOVIEMBRE!D17+DICIEMBRE!D17</f>
        <v>248461238.08800018</v>
      </c>
      <c r="E17" s="16">
        <f>ENERO!E17+FEBRERO!E17+MARZO!E17+ABRIL!E17+MAYO!E17+JUNIO!E17+JULIO!E17+AGOSTO!E17+SEPTIEMBRE!E17+OCTUBRE!E17+NOVIEMBRE!E17+DICIEMBRE!E17</f>
        <v>20099033.481973425</v>
      </c>
      <c r="F17" s="16">
        <f>ENERO!F17+FEBRERO!F17+MARZO!F17+ABRIL!F17+MAYO!F17+JUNIO!F17+JULIO!F17+AGOSTO!F17+SEPTIEMBRE!F17+OCTUBRE!F17+NOVIEMBRE!F17+DICIEMBRE!F17</f>
        <v>17341008.709256154</v>
      </c>
      <c r="G17" s="16">
        <f>ENERO!G17+FEBRERO!G17+MARZO!G17+ABRIL!G17+MAYO!G17+JUNIO!G17+JULIO!G17+AGOSTO!G17+SEPTIEMBRE!G17+OCTUBRE!G17+NOVIEMBRE!G17+DICIEMBRE!G17</f>
        <v>6426186.1000000006</v>
      </c>
      <c r="H17" s="16">
        <f>ENERO!H17+FEBRERO!H17+MARZO!H17+ABRIL!H17+MAYO!H17+JUNIO!H17+JULIO!H17+AGOSTO!H17+SEPTIEMBRE!H17+OCTUBRE!H17+NOVIEMBRE!H17+DICIEMBRE!H17</f>
        <v>98256352.24000001</v>
      </c>
      <c r="I17" s="16">
        <f>ENERO!I17+FEBRERO!I17+MARZO!I17+ABRIL!I17+MAYO!I17+JUNIO!I17+JULIO!I17+AGOSTO!I17+SEPTIEMBRE!I17+OCTUBRE!I17+NOVIEMBRE!I17+DICIEMBRE!I17</f>
        <v>40345706.019999996</v>
      </c>
      <c r="J17" s="16">
        <f>ENERO!J17+FEBRERO!J17+MARZO!J17+ABRIL!J17+MAYO!J17+JUNIO!J17+JULIO!J17+AGOSTO!J17+SEPTIEMBRE!J17+OCTUBRE!J17+NOVIEMBRE!J17+DICIEMBRE!J17</f>
        <v>159448146.73000002</v>
      </c>
      <c r="K17" s="16">
        <f>ENERO!K17+FEBRERO!K17+MARZO!K17+ABRIL!K17+MAYO!K17+JUNIO!K17+JULIO!K17+AGOSTO!K17+SEPTIEMBRE!K17+OCTUBRE!K17+NOVIEMBRE!K17+DICIEMBRE!K17</f>
        <v>0</v>
      </c>
      <c r="L17" s="16">
        <f>ENERO!L17+FEBRERO!L17+MARZO!L17+ABRIL!L17+MAYO!L17+JUNIO!L17+JULIO!L17+AGOSTO!L17+SEPTIEMBRE!L17+OCTUBRE!L17+NOVIEMBRE!L17+DICIEMBRE!L17</f>
        <v>0</v>
      </c>
      <c r="M17" s="16">
        <f>ENERO!M17+FEBRERO!M17+MARZO!M17+ABRIL!M17+MAYO!M17+JUNIO!M17+JULIO!M17+AGOSTO!M17+SEPTIEMBRE!M17+OCTUBRE!M17+NOVIEMBRE!M17+DICIEMBRE!M17</f>
        <v>5410.48</v>
      </c>
      <c r="N17" s="18">
        <f t="shared" si="0"/>
        <v>2476375855.41923</v>
      </c>
      <c r="O17" s="4"/>
    </row>
    <row r="18" spans="1:15" ht="18" customHeight="1" x14ac:dyDescent="0.2">
      <c r="A18" s="17" t="s">
        <v>13</v>
      </c>
      <c r="B18" s="16">
        <f>ENERO!B18+FEBRERO!B18+MARZO!B18+ABRIL!B18+MAYO!B18+JUNIO!B18+JULIO!B18+AGOSTO!B18+SEPTIEMBRE!B18+OCTUBRE!B18+NOVIEMBRE!B18+DICIEMBRE!B18</f>
        <v>1094685437.2600002</v>
      </c>
      <c r="C18" s="16">
        <f>ENERO!C18+FEBRERO!C18+MARZO!C18+ABRIL!C18+MAYO!C18+JUNIO!C18+JULIO!C18+AGOSTO!C18+SEPTIEMBRE!C18+OCTUBRE!C18+NOVIEMBRE!C18+DICIEMBRE!C18</f>
        <v>82895.819999999992</v>
      </c>
      <c r="D18" s="16">
        <f>ENERO!D18+FEBRERO!D18+MARZO!D18+ABRIL!D18+MAYO!D18+JUNIO!D18+JULIO!D18+AGOSTO!D18+SEPTIEMBRE!D18+OCTUBRE!D18+NOVIEMBRE!D18+DICIEMBRE!D18</f>
        <v>92095008.701598242</v>
      </c>
      <c r="E18" s="16">
        <f>ENERO!E18+FEBRERO!E18+MARZO!E18+ABRIL!E18+MAYO!E18+JUNIO!E18+JULIO!E18+AGOSTO!E18+SEPTIEMBRE!E18+OCTUBRE!E18+NOVIEMBRE!E18+DICIEMBRE!E18</f>
        <v>11982364.215806119</v>
      </c>
      <c r="F18" s="16">
        <f>ENERO!F18+FEBRERO!F18+MARZO!F18+ABRIL!F18+MAYO!F18+JUNIO!F18+JULIO!F18+AGOSTO!F18+SEPTIEMBRE!F18+OCTUBRE!F18+NOVIEMBRE!F18+DICIEMBRE!F18</f>
        <v>11686190.80564623</v>
      </c>
      <c r="G18" s="16">
        <f>ENERO!G18+FEBRERO!G18+MARZO!G18+ABRIL!G18+MAYO!G18+JUNIO!G18+JULIO!G18+AGOSTO!G18+SEPTIEMBRE!G18+OCTUBRE!G18+NOVIEMBRE!G18+DICIEMBRE!G18</f>
        <v>4819639.5599999996</v>
      </c>
      <c r="H18" s="16">
        <f>ENERO!H18+FEBRERO!H18+MARZO!H18+ABRIL!H18+MAYO!H18+JUNIO!H18+JULIO!H18+AGOSTO!H18+SEPTIEMBRE!H18+OCTUBRE!H18+NOVIEMBRE!H18+DICIEMBRE!H18</f>
        <v>57239299.670000009</v>
      </c>
      <c r="I18" s="16">
        <f>ENERO!I18+FEBRERO!I18+MARZO!I18+ABRIL!I18+MAYO!I18+JUNIO!I18+JULIO!I18+AGOSTO!I18+SEPTIEMBRE!I18+OCTUBRE!I18+NOVIEMBRE!I18+DICIEMBRE!I18</f>
        <v>27189169.170000002</v>
      </c>
      <c r="J18" s="16">
        <f>ENERO!J18+FEBRERO!J18+MARZO!J18+ABRIL!J18+MAYO!J18+JUNIO!J18+JULIO!J18+AGOSTO!J18+SEPTIEMBRE!J18+OCTUBRE!J18+NOVIEMBRE!J18+DICIEMBRE!J18</f>
        <v>127258514.94999999</v>
      </c>
      <c r="K18" s="16">
        <f>ENERO!K18+FEBRERO!K18+MARZO!K18+ABRIL!K18+MAYO!K18+JUNIO!K18+JULIO!K18+AGOSTO!K18+SEPTIEMBRE!K18+OCTUBRE!K18+NOVIEMBRE!K18+DICIEMBRE!K18</f>
        <v>0</v>
      </c>
      <c r="L18" s="16">
        <f>ENERO!L18+FEBRERO!L18+MARZO!L18+ABRIL!L18+MAYO!L18+JUNIO!L18+JULIO!L18+AGOSTO!L18+SEPTIEMBRE!L18+OCTUBRE!L18+NOVIEMBRE!L18+DICIEMBRE!L18</f>
        <v>0</v>
      </c>
      <c r="M18" s="16">
        <f>ENERO!M18+FEBRERO!M18+MARZO!M18+ABRIL!M18+MAYO!M18+JUNIO!M18+JULIO!M18+AGOSTO!M18+SEPTIEMBRE!M18+OCTUBRE!M18+NOVIEMBRE!M18+DICIEMBRE!M18</f>
        <v>3646.02</v>
      </c>
      <c r="N18" s="18">
        <f t="shared" si="0"/>
        <v>1427042166.1730506</v>
      </c>
      <c r="O18" s="4"/>
    </row>
    <row r="19" spans="1:15" ht="18" customHeight="1" x14ac:dyDescent="0.2">
      <c r="A19" s="17" t="s">
        <v>14</v>
      </c>
      <c r="B19" s="16">
        <f>ENERO!B19+FEBRERO!B19+MARZO!B19+ABRIL!B19+MAYO!B19+JUNIO!B19+JULIO!B19+AGOSTO!B19+SEPTIEMBRE!B19+OCTUBRE!B19+NOVIEMBRE!B19+DICIEMBRE!B19</f>
        <v>1913114174.8299997</v>
      </c>
      <c r="C19" s="16">
        <f>ENERO!C19+FEBRERO!C19+MARZO!C19+ABRIL!C19+MAYO!C19+JUNIO!C19+JULIO!C19+AGOSTO!C19+SEPTIEMBRE!C19+OCTUBRE!C19+NOVIEMBRE!C19+DICIEMBRE!C19</f>
        <v>138676.07</v>
      </c>
      <c r="D19" s="16">
        <f>ENERO!D19+FEBRERO!D19+MARZO!D19+ABRIL!D19+MAYO!D19+JUNIO!D19+JULIO!D19+AGOSTO!D19+SEPTIEMBRE!D19+OCTUBRE!D19+NOVIEMBRE!D19+DICIEMBRE!D19</f>
        <v>168006775.25090218</v>
      </c>
      <c r="E19" s="16">
        <f>ENERO!E19+FEBRERO!E19+MARZO!E19+ABRIL!E19+MAYO!E19+JUNIO!E19+JULIO!E19+AGOSTO!E19+SEPTIEMBRE!E19+OCTUBRE!E19+NOVIEMBRE!E19+DICIEMBRE!E19</f>
        <v>20464819.431344703</v>
      </c>
      <c r="F19" s="16">
        <f>ENERO!F19+FEBRERO!F19+MARZO!F19+ABRIL!F19+MAYO!F19+JUNIO!F19+JULIO!F19+AGOSTO!F19+SEPTIEMBRE!F19+OCTUBRE!F19+NOVIEMBRE!F19+DICIEMBRE!F19</f>
        <v>4719922.5847582258</v>
      </c>
      <c r="G19" s="16">
        <f>ENERO!G19+FEBRERO!G19+MARZO!G19+ABRIL!G19+MAYO!G19+JUNIO!G19+JULIO!G19+AGOSTO!G19+SEPTIEMBRE!G19+OCTUBRE!G19+NOVIEMBRE!G19+DICIEMBRE!G19</f>
        <v>2983586.4</v>
      </c>
      <c r="H19" s="16">
        <f>ENERO!H19+FEBRERO!H19+MARZO!H19+ABRIL!H19+MAYO!H19+JUNIO!H19+JULIO!H19+AGOSTO!H19+SEPTIEMBRE!H19+OCTUBRE!H19+NOVIEMBRE!H19+DICIEMBRE!H19</f>
        <v>99746550.849999994</v>
      </c>
      <c r="I19" s="16">
        <f>ENERO!I19+FEBRERO!I19+MARZO!I19+ABRIL!I19+MAYO!I19+JUNIO!I19+JULIO!I19+AGOSTO!I19+SEPTIEMBRE!I19+OCTUBRE!I19+NOVIEMBRE!I19+DICIEMBRE!I19</f>
        <v>10981403.34</v>
      </c>
      <c r="J19" s="16">
        <f>ENERO!J19+FEBRERO!J19+MARZO!J19+ABRIL!J19+MAYO!J19+JUNIO!J19+JULIO!J19+AGOSTO!J19+SEPTIEMBRE!J19+OCTUBRE!J19+NOVIEMBRE!J19+DICIEMBRE!J19</f>
        <v>111853170.43000001</v>
      </c>
      <c r="K19" s="16">
        <f>ENERO!K19+FEBRERO!K19+MARZO!K19+ABRIL!K19+MAYO!K19+JUNIO!K19+JULIO!K19+AGOSTO!K19+SEPTIEMBRE!K19+OCTUBRE!K19+NOVIEMBRE!K19+DICIEMBRE!K19</f>
        <v>0</v>
      </c>
      <c r="L19" s="16">
        <f>ENERO!L19+FEBRERO!L19+MARZO!L19+ABRIL!L19+MAYO!L19+JUNIO!L19+JULIO!L19+AGOSTO!L19+SEPTIEMBRE!L19+OCTUBRE!L19+NOVIEMBRE!L19+DICIEMBRE!L19</f>
        <v>0</v>
      </c>
      <c r="M19" s="16">
        <f>ENERO!M19+FEBRERO!M19+MARZO!M19+ABRIL!M19+MAYO!M19+JUNIO!M19+JULIO!M19+AGOSTO!M19+SEPTIEMBRE!M19+OCTUBRE!M19+NOVIEMBRE!M19+DICIEMBRE!M19</f>
        <v>1472.4899999999998</v>
      </c>
      <c r="N19" s="18">
        <f t="shared" si="0"/>
        <v>2332010551.6770048</v>
      </c>
      <c r="O19" s="4"/>
    </row>
    <row r="20" spans="1:15" ht="18" customHeight="1" x14ac:dyDescent="0.2">
      <c r="A20" s="17" t="s">
        <v>15</v>
      </c>
      <c r="B20" s="16">
        <f>ENERO!B20+FEBRERO!B20+MARZO!B20+ABRIL!B20+MAYO!B20+JUNIO!B20+JULIO!B20+AGOSTO!B20+SEPTIEMBRE!B20+OCTUBRE!B20+NOVIEMBRE!B20+DICIEMBRE!B20</f>
        <v>6468504904.6499996</v>
      </c>
      <c r="C20" s="16">
        <f>ENERO!C20+FEBRERO!C20+MARZO!C20+ABRIL!C20+MAYO!C20+JUNIO!C20+JULIO!C20+AGOSTO!C20+SEPTIEMBRE!C20+OCTUBRE!C20+NOVIEMBRE!C20+DICIEMBRE!C20</f>
        <v>460148.11000000004</v>
      </c>
      <c r="D20" s="16">
        <f>ENERO!D20+FEBRERO!D20+MARZO!D20+ABRIL!D20+MAYO!D20+JUNIO!D20+JULIO!D20+AGOSTO!D20+SEPTIEMBRE!D20+OCTUBRE!D20+NOVIEMBRE!D20+DICIEMBRE!D20</f>
        <v>43301476.228426591</v>
      </c>
      <c r="E20" s="16">
        <f>ENERO!E20+FEBRERO!E20+MARZO!E20+ABRIL!E20+MAYO!E20+JUNIO!E20+JULIO!E20+AGOSTO!E20+SEPTIEMBRE!E20+OCTUBRE!E20+NOVIEMBRE!E20+DICIEMBRE!E20</f>
        <v>94904774.642311186</v>
      </c>
      <c r="F20" s="16">
        <f>ENERO!F20+FEBRERO!F20+MARZO!F20+ABRIL!F20+MAYO!F20+JUNIO!F20+JULIO!F20+AGOSTO!F20+SEPTIEMBRE!F20+OCTUBRE!F20+NOVIEMBRE!F20+DICIEMBRE!F20</f>
        <v>150647984.64940837</v>
      </c>
      <c r="G20" s="16">
        <f>ENERO!G20+FEBRERO!G20+MARZO!G20+ABRIL!G20+MAYO!G20+JUNIO!G20+JULIO!G20+AGOSTO!G20+SEPTIEMBRE!G20+OCTUBRE!G20+NOVIEMBRE!G20+DICIEMBRE!G20</f>
        <v>74389181.167896539</v>
      </c>
      <c r="H20" s="16">
        <f>ENERO!H20+FEBRERO!H20+MARZO!H20+ABRIL!H20+MAYO!H20+JUNIO!H20+JULIO!H20+AGOSTO!H20+SEPTIEMBRE!H20+OCTUBRE!H20+NOVIEMBRE!H20+DICIEMBRE!H20</f>
        <v>336852277.42000002</v>
      </c>
      <c r="I20" s="16">
        <f>ENERO!I20+FEBRERO!I20+MARZO!I20+ABRIL!I20+MAYO!I20+JUNIO!I20+JULIO!I20+AGOSTO!I20+SEPTIEMBRE!I20+OCTUBRE!I20+NOVIEMBRE!I20+DICIEMBRE!I20</f>
        <v>350498600.92999995</v>
      </c>
      <c r="J20" s="16">
        <f>ENERO!J20+FEBRERO!J20+MARZO!J20+ABRIL!J20+MAYO!J20+JUNIO!J20+JULIO!J20+AGOSTO!J20+SEPTIEMBRE!J20+OCTUBRE!J20+NOVIEMBRE!J20+DICIEMBRE!J20</f>
        <v>634205250.88999999</v>
      </c>
      <c r="K20" s="16">
        <f>ENERO!K20+FEBRERO!K20+MARZO!K20+ABRIL!K20+MAYO!K20+JUNIO!K20+JULIO!K20+AGOSTO!K20+SEPTIEMBRE!K20+OCTUBRE!K20+NOVIEMBRE!K20+DICIEMBRE!K20</f>
        <v>0</v>
      </c>
      <c r="L20" s="16">
        <f>ENERO!L20+FEBRERO!L20+MARZO!L20+ABRIL!L20+MAYO!L20+JUNIO!L20+JULIO!L20+AGOSTO!L20+SEPTIEMBRE!L20+OCTUBRE!L20+NOVIEMBRE!L20+DICIEMBRE!L20</f>
        <v>0</v>
      </c>
      <c r="M20" s="16">
        <f>ENERO!M20+FEBRERO!M20+MARZO!M20+ABRIL!M20+MAYO!M20+JUNIO!M20+JULIO!M20+AGOSTO!M20+SEPTIEMBRE!M20+OCTUBRE!M20+NOVIEMBRE!M20+DICIEMBRE!M20</f>
        <v>47004.419999999991</v>
      </c>
      <c r="N20" s="18">
        <f t="shared" si="0"/>
        <v>8153811603.1080427</v>
      </c>
      <c r="O20" s="4"/>
    </row>
    <row r="21" spans="1:15" ht="18" customHeight="1" x14ac:dyDescent="0.2">
      <c r="A21" s="17" t="s">
        <v>16</v>
      </c>
      <c r="B21" s="16">
        <f>ENERO!B21+FEBRERO!B21+MARZO!B21+ABRIL!B21+MAYO!B21+JUNIO!B21+JULIO!B21+AGOSTO!B21+SEPTIEMBRE!B21+OCTUBRE!B21+NOVIEMBRE!B21+DICIEMBRE!B21</f>
        <v>2801010746.8100004</v>
      </c>
      <c r="C21" s="16">
        <f>ENERO!C21+FEBRERO!C21+MARZO!C21+ABRIL!C21+MAYO!C21+JUNIO!C21+JULIO!C21+AGOSTO!C21+SEPTIEMBRE!C21+OCTUBRE!C21+NOVIEMBRE!C21+DICIEMBRE!C21</f>
        <v>199893.1</v>
      </c>
      <c r="D21" s="16">
        <f>ENERO!D21+FEBRERO!D21+MARZO!D21+ABRIL!D21+MAYO!D21+JUNIO!D21+JULIO!D21+AGOSTO!D21+SEPTIEMBRE!D21+OCTUBRE!D21+NOVIEMBRE!D21+DICIEMBRE!D21</f>
        <v>34856731.531019837</v>
      </c>
      <c r="E21" s="16">
        <f>ENERO!E21+FEBRERO!E21+MARZO!E21+ABRIL!E21+MAYO!E21+JUNIO!E21+JULIO!E21+AGOSTO!E21+SEPTIEMBRE!E21+OCTUBRE!E21+NOVIEMBRE!E21+DICIEMBRE!E21</f>
        <v>30023848.569922902</v>
      </c>
      <c r="F21" s="16">
        <f>ENERO!F21+FEBRERO!F21+MARZO!F21+ABRIL!F21+MAYO!F21+JUNIO!F21+JULIO!F21+AGOSTO!F21+SEPTIEMBRE!F21+OCTUBRE!F21+NOVIEMBRE!F21+DICIEMBRE!F21</f>
        <v>40057665.271909572</v>
      </c>
      <c r="G21" s="16">
        <f>ENERO!G21+FEBRERO!G21+MARZO!G21+ABRIL!G21+MAYO!G21+JUNIO!G21+JULIO!G21+AGOSTO!G21+SEPTIEMBRE!G21+OCTUBRE!G21+NOVIEMBRE!G21+DICIEMBRE!G21</f>
        <v>9140077.1714826226</v>
      </c>
      <c r="H21" s="16">
        <f>ENERO!H21+FEBRERO!H21+MARZO!H21+ABRIL!H21+MAYO!H21+JUNIO!H21+JULIO!H21+AGOSTO!H21+SEPTIEMBRE!H21+OCTUBRE!H21+NOVIEMBRE!H21+DICIEMBRE!H21</f>
        <v>145894327.28999996</v>
      </c>
      <c r="I21" s="16">
        <f>ENERO!I21+FEBRERO!I21+MARZO!I21+ABRIL!I21+MAYO!I21+JUNIO!I21+JULIO!I21+AGOSTO!I21+SEPTIEMBRE!I21+OCTUBRE!I21+NOVIEMBRE!I21+DICIEMBRE!I21</f>
        <v>93198429.939999983</v>
      </c>
      <c r="J21" s="16">
        <f>ENERO!J21+FEBRERO!J21+MARZO!J21+ABRIL!J21+MAYO!J21+JUNIO!J21+JULIO!J21+AGOSTO!J21+SEPTIEMBRE!J21+OCTUBRE!J21+NOVIEMBRE!J21+DICIEMBRE!J21</f>
        <v>205947598.21999997</v>
      </c>
      <c r="K21" s="16">
        <f>ENERO!K21+FEBRERO!K21+MARZO!K21+ABRIL!K21+MAYO!K21+JUNIO!K21+JULIO!K21+AGOSTO!K21+SEPTIEMBRE!K21+OCTUBRE!K21+NOVIEMBRE!K21+DICIEMBRE!K21</f>
        <v>0</v>
      </c>
      <c r="L21" s="16">
        <f>ENERO!L21+FEBRERO!L21+MARZO!L21+ABRIL!L21+MAYO!L21+JUNIO!L21+JULIO!L21+AGOSTO!L21+SEPTIEMBRE!L21+OCTUBRE!L21+NOVIEMBRE!L21+DICIEMBRE!L21</f>
        <v>0</v>
      </c>
      <c r="M21" s="16">
        <f>ENERO!M21+FEBRERO!M21+MARZO!M21+ABRIL!M21+MAYO!M21+JUNIO!M21+JULIO!M21+AGOSTO!M21+SEPTIEMBRE!M21+OCTUBRE!M21+NOVIEMBRE!M21+DICIEMBRE!M21</f>
        <v>12498.439999999999</v>
      </c>
      <c r="N21" s="18">
        <f t="shared" si="0"/>
        <v>3360341816.3443351</v>
      </c>
      <c r="O21" s="4"/>
    </row>
    <row r="22" spans="1:15" ht="18" customHeight="1" x14ac:dyDescent="0.2">
      <c r="A22" s="17" t="s">
        <v>17</v>
      </c>
      <c r="B22" s="16">
        <f>ENERO!B22+FEBRERO!B22+MARZO!B22+ABRIL!B22+MAYO!B22+JUNIO!B22+JULIO!B22+AGOSTO!B22+SEPTIEMBRE!B22+OCTUBRE!B22+NOVIEMBRE!B22+DICIEMBRE!B22</f>
        <v>2086034108.2</v>
      </c>
      <c r="C22" s="16">
        <f>ENERO!C22+FEBRERO!C22+MARZO!C22+ABRIL!C22+MAYO!C22+JUNIO!C22+JULIO!C22+AGOSTO!C22+SEPTIEMBRE!C22+OCTUBRE!C22+NOVIEMBRE!C22+DICIEMBRE!C22</f>
        <v>153991.94</v>
      </c>
      <c r="D22" s="16">
        <f>ENERO!D22+FEBRERO!D22+MARZO!D22+ABRIL!D22+MAYO!D22+JUNIO!D22+JULIO!D22+AGOSTO!D22+SEPTIEMBRE!D22+OCTUBRE!D22+NOVIEMBRE!D22+DICIEMBRE!D22</f>
        <v>144576996.03080145</v>
      </c>
      <c r="E22" s="16">
        <f>ENERO!E22+FEBRERO!E22+MARZO!E22+ABRIL!E22+MAYO!E22+JUNIO!E22+JULIO!E22+AGOSTO!E22+SEPTIEMBRE!E22+OCTUBRE!E22+NOVIEMBRE!E22+DICIEMBRE!E22</f>
        <v>22801702.785740059</v>
      </c>
      <c r="F22" s="16">
        <f>ENERO!F22+FEBRERO!F22+MARZO!F22+ABRIL!F22+MAYO!F22+JUNIO!F22+JULIO!F22+AGOSTO!F22+SEPTIEMBRE!F22+OCTUBRE!F22+NOVIEMBRE!F22+DICIEMBRE!F22</f>
        <v>9537230.1477301717</v>
      </c>
      <c r="G22" s="16">
        <f>ENERO!G22+FEBRERO!G22+MARZO!G22+ABRIL!G22+MAYO!G22+JUNIO!G22+JULIO!G22+AGOSTO!G22+SEPTIEMBRE!G22+OCTUBRE!G22+NOVIEMBRE!G22+DICIEMBRE!G22</f>
        <v>5026195.54</v>
      </c>
      <c r="H22" s="16">
        <f>ENERO!H22+FEBRERO!H22+MARZO!H22+ABRIL!H22+MAYO!H22+JUNIO!H22+JULIO!H22+AGOSTO!H22+SEPTIEMBRE!H22+OCTUBRE!H22+NOVIEMBRE!H22+DICIEMBRE!H22</f>
        <v>108891161.31</v>
      </c>
      <c r="I22" s="16">
        <f>ENERO!I22+FEBRERO!I22+MARZO!I22+ABRIL!I22+MAYO!I22+JUNIO!I22+JULIO!I22+AGOSTO!I22+SEPTIEMBRE!I22+OCTUBRE!I22+NOVIEMBRE!I22+DICIEMBRE!I22</f>
        <v>22189383.049999997</v>
      </c>
      <c r="J22" s="16">
        <f>ENERO!J22+FEBRERO!J22+MARZO!J22+ABRIL!J22+MAYO!J22+JUNIO!J22+JULIO!J22+AGOSTO!J22+SEPTIEMBRE!J22+OCTUBRE!J22+NOVIEMBRE!J22+DICIEMBRE!J22</f>
        <v>158860143.91999999</v>
      </c>
      <c r="K22" s="16">
        <f>ENERO!K22+FEBRERO!K22+MARZO!K22+ABRIL!K22+MAYO!K22+JUNIO!K22+JULIO!K22+AGOSTO!K22+SEPTIEMBRE!K22+OCTUBRE!K22+NOVIEMBRE!K22+DICIEMBRE!K22</f>
        <v>0</v>
      </c>
      <c r="L22" s="16">
        <f>ENERO!L22+FEBRERO!L22+MARZO!L22+ABRIL!L22+MAYO!L22+JUNIO!L22+JULIO!L22+AGOSTO!L22+SEPTIEMBRE!L22+OCTUBRE!L22+NOVIEMBRE!L22+DICIEMBRE!L22</f>
        <v>0</v>
      </c>
      <c r="M22" s="16">
        <f>ENERO!M22+FEBRERO!M22+MARZO!M22+ABRIL!M22+MAYO!M22+JUNIO!M22+JULIO!M22+AGOSTO!M22+SEPTIEMBRE!M22+OCTUBRE!M22+NOVIEMBRE!M22+DICIEMBRE!M22</f>
        <v>2975.5600000000004</v>
      </c>
      <c r="N22" s="18">
        <f t="shared" si="0"/>
        <v>2558073888.484272</v>
      </c>
      <c r="O22" s="4"/>
    </row>
    <row r="23" spans="1:15" ht="18" customHeight="1" x14ac:dyDescent="0.2">
      <c r="A23" s="17" t="s">
        <v>18</v>
      </c>
      <c r="B23" s="16">
        <f>ENERO!B23+FEBRERO!B23+MARZO!B23+ABRIL!B23+MAYO!B23+JUNIO!B23+JULIO!B23+AGOSTO!B23+SEPTIEMBRE!B23+OCTUBRE!B23+NOVIEMBRE!B23+DICIEMBRE!B23</f>
        <v>2138240704.2499998</v>
      </c>
      <c r="C23" s="16">
        <f>ENERO!C23+FEBRERO!C23+MARZO!C23+ABRIL!C23+MAYO!C23+JUNIO!C23+JULIO!C23+AGOSTO!C23+SEPTIEMBRE!C23+OCTUBRE!C23+NOVIEMBRE!C23+DICIEMBRE!C23</f>
        <v>155674.88</v>
      </c>
      <c r="D23" s="16">
        <f>ENERO!D23+FEBRERO!D23+MARZO!D23+ABRIL!D23+MAYO!D23+JUNIO!D23+JULIO!D23+AGOSTO!D23+SEPTIEMBRE!D23+OCTUBRE!D23+NOVIEMBRE!D23+DICIEMBRE!D23</f>
        <v>115078684.29718335</v>
      </c>
      <c r="E23" s="16">
        <f>ENERO!E23+FEBRERO!E23+MARZO!E23+ABRIL!E23+MAYO!E23+JUNIO!E23+JULIO!E23+AGOSTO!E23+SEPTIEMBRE!E23+OCTUBRE!E23+NOVIEMBRE!E23+DICIEMBRE!E23</f>
        <v>22999486.655218028</v>
      </c>
      <c r="F23" s="16">
        <f>ENERO!F23+FEBRERO!F23+MARZO!F23+ABRIL!F23+MAYO!F23+JUNIO!F23+JULIO!F23+AGOSTO!F23+SEPTIEMBRE!F23+OCTUBRE!F23+NOVIEMBRE!F23+DICIEMBRE!F23</f>
        <v>9141198.1176610496</v>
      </c>
      <c r="G23" s="16">
        <f>ENERO!G23+FEBRERO!G23+MARZO!G23+ABRIL!G23+MAYO!G23+JUNIO!G23+JULIO!G23+AGOSTO!G23+SEPTIEMBRE!G23+OCTUBRE!G23+NOVIEMBRE!G23+DICIEMBRE!G23</f>
        <v>6081926.1099999994</v>
      </c>
      <c r="H23" s="16">
        <f>ENERO!H23+FEBRERO!H23+MARZO!H23+ABRIL!H23+MAYO!H23+JUNIO!H23+JULIO!H23+AGOSTO!H23+SEPTIEMBRE!H23+OCTUBRE!H23+NOVIEMBRE!H23+DICIEMBRE!H23</f>
        <v>111515773.8</v>
      </c>
      <c r="I23" s="16">
        <f>ENERO!I23+FEBRERO!I23+MARZO!I23+ABRIL!I23+MAYO!I23+JUNIO!I23+JULIO!I23+AGOSTO!I23+SEPTIEMBRE!I23+OCTUBRE!I23+NOVIEMBRE!I23+DICIEMBRE!I23</f>
        <v>21267972.329999998</v>
      </c>
      <c r="J23" s="16">
        <f>ENERO!J23+FEBRERO!J23+MARZO!J23+ABRIL!J23+MAYO!J23+JUNIO!J23+JULIO!J23+AGOSTO!J23+SEPTIEMBRE!J23+OCTUBRE!J23+NOVIEMBRE!J23+DICIEMBRE!J23</f>
        <v>128345714.50000003</v>
      </c>
      <c r="K23" s="16">
        <f>ENERO!K23+FEBRERO!K23+MARZO!K23+ABRIL!K23+MAYO!K23+JUNIO!K23+JULIO!K23+AGOSTO!K23+SEPTIEMBRE!K23+OCTUBRE!K23+NOVIEMBRE!K23+DICIEMBRE!K23</f>
        <v>0</v>
      </c>
      <c r="L23" s="16">
        <f>ENERO!L23+FEBRERO!L23+MARZO!L23+ABRIL!L23+MAYO!L23+JUNIO!L23+JULIO!L23+AGOSTO!L23+SEPTIEMBRE!L23+OCTUBRE!L23+NOVIEMBRE!L23+DICIEMBRE!L23</f>
        <v>0</v>
      </c>
      <c r="M23" s="16">
        <f>ENERO!M23+FEBRERO!M23+MARZO!M23+ABRIL!M23+MAYO!M23+JUNIO!M23+JULIO!M23+AGOSTO!M23+SEPTIEMBRE!M23+OCTUBRE!M23+NOVIEMBRE!M23+DICIEMBRE!M23</f>
        <v>2851.97</v>
      </c>
      <c r="N23" s="18">
        <f t="shared" si="0"/>
        <v>2552829986.9100623</v>
      </c>
      <c r="O23" s="4"/>
    </row>
    <row r="24" spans="1:15" ht="18" customHeight="1" x14ac:dyDescent="0.2">
      <c r="A24" s="17" t="s">
        <v>19</v>
      </c>
      <c r="B24" s="16">
        <f>ENERO!B24+FEBRERO!B24+MARZO!B24+ABRIL!B24+MAYO!B24+JUNIO!B24+JULIO!B24+AGOSTO!B24+SEPTIEMBRE!B24+OCTUBRE!B24+NOVIEMBRE!B24+DICIEMBRE!B24</f>
        <v>656965036.78999996</v>
      </c>
      <c r="C24" s="16">
        <f>ENERO!C24+FEBRERO!C24+MARZO!C24+ABRIL!C24+MAYO!C24+JUNIO!C24+JULIO!C24+AGOSTO!C24+SEPTIEMBRE!C24+OCTUBRE!C24+NOVIEMBRE!C24+DICIEMBRE!C24</f>
        <v>47627.81</v>
      </c>
      <c r="D24" s="16">
        <f>ENERO!D24+FEBRERO!D24+MARZO!D24+ABRIL!D24+MAYO!D24+JUNIO!D24+JULIO!D24+AGOSTO!D24+SEPTIEMBRE!D24+OCTUBRE!D24+NOVIEMBRE!D24+DICIEMBRE!D24</f>
        <v>66073596.649907082</v>
      </c>
      <c r="E24" s="16">
        <f>ENERO!E24+FEBRERO!E24+MARZO!E24+ABRIL!E24+MAYO!E24+JUNIO!E24+JULIO!E24+AGOSTO!E24+SEPTIEMBRE!E24+OCTUBRE!E24+NOVIEMBRE!E24+DICIEMBRE!E24</f>
        <v>7123473.7648726143</v>
      </c>
      <c r="F24" s="16">
        <f>ENERO!F24+FEBRERO!F24+MARZO!F24+ABRIL!F24+MAYO!F24+JUNIO!F24+JULIO!F24+AGOSTO!F24+SEPTIEMBRE!F24+OCTUBRE!F24+NOVIEMBRE!F24+DICIEMBRE!F24</f>
        <v>9504768.5116589312</v>
      </c>
      <c r="G24" s="16">
        <f>ENERO!G24+FEBRERO!G24+MARZO!G24+ABRIL!G24+MAYO!G24+JUNIO!G24+JULIO!G24+AGOSTO!G24+SEPTIEMBRE!G24+OCTUBRE!G24+NOVIEMBRE!G24+DICIEMBRE!G24</f>
        <v>1813888.2008603071</v>
      </c>
      <c r="H24" s="16">
        <f>ENERO!H24+FEBRERO!H24+MARZO!H24+ABRIL!H24+MAYO!H24+JUNIO!H24+JULIO!H24+AGOSTO!H24+SEPTIEMBRE!H24+OCTUBRE!H24+NOVIEMBRE!H24+DICIEMBRE!H24</f>
        <v>34253343.68</v>
      </c>
      <c r="I24" s="16">
        <f>ENERO!I24+FEBRERO!I24+MARZO!I24+ABRIL!I24+MAYO!I24+JUNIO!I24+JULIO!I24+AGOSTO!I24+SEPTIEMBRE!I24+OCTUBRE!I24+NOVIEMBRE!I24+DICIEMBRE!I24</f>
        <v>22113857.600000001</v>
      </c>
      <c r="J24" s="16">
        <f>ENERO!J24+FEBRERO!J24+MARZO!J24+ABRIL!J24+MAYO!J24+JUNIO!J24+JULIO!J24+AGOSTO!J24+SEPTIEMBRE!J24+OCTUBRE!J24+NOVIEMBRE!J24+DICIEMBRE!J24</f>
        <v>109732888.95999999</v>
      </c>
      <c r="K24" s="16">
        <f>ENERO!K24+FEBRERO!K24+MARZO!K24+ABRIL!K24+MAYO!K24+JUNIO!K24+JULIO!K24+AGOSTO!K24+SEPTIEMBRE!K24+OCTUBRE!K24+NOVIEMBRE!K24+DICIEMBRE!K24</f>
        <v>0</v>
      </c>
      <c r="L24" s="16">
        <f>ENERO!L24+FEBRERO!L24+MARZO!L24+ABRIL!L24+MAYO!L24+JUNIO!L24+JULIO!L24+AGOSTO!L24+SEPTIEMBRE!L24+OCTUBRE!L24+NOVIEMBRE!L24+DICIEMBRE!L24</f>
        <v>0</v>
      </c>
      <c r="M24" s="16">
        <f>ENERO!M24+FEBRERO!M24+MARZO!M24+ABRIL!M24+MAYO!M24+JUNIO!M24+JULIO!M24+AGOSTO!M24+SEPTIEMBRE!M24+OCTUBRE!M24+NOVIEMBRE!M24+DICIEMBRE!M24</f>
        <v>2965.48</v>
      </c>
      <c r="N24" s="18">
        <f t="shared" si="0"/>
        <v>907631447.44729888</v>
      </c>
      <c r="O24" s="4"/>
    </row>
    <row r="25" spans="1:15" ht="18" customHeight="1" x14ac:dyDescent="0.2">
      <c r="A25" s="17" t="s">
        <v>20</v>
      </c>
      <c r="B25" s="16">
        <f>ENERO!B25+FEBRERO!B25+MARZO!B25+ABRIL!B25+MAYO!B25+JUNIO!B25+JULIO!B25+AGOSTO!B25+SEPTIEMBRE!B25+OCTUBRE!B25+NOVIEMBRE!B25+DICIEMBRE!B25</f>
        <v>3057122929.0700002</v>
      </c>
      <c r="C25" s="16">
        <f>ENERO!C25+FEBRERO!C25+MARZO!C25+ABRIL!C25+MAYO!C25+JUNIO!C25+JULIO!C25+AGOSTO!C25+SEPTIEMBRE!C25+OCTUBRE!C25+NOVIEMBRE!C25+DICIEMBRE!C25</f>
        <v>213274.68</v>
      </c>
      <c r="D25" s="16">
        <f>ENERO!D25+FEBRERO!D25+MARZO!D25+ABRIL!D25+MAYO!D25+JUNIO!D25+JULIO!D25+AGOSTO!D25+SEPTIEMBRE!D25+OCTUBRE!D25+NOVIEMBRE!D25+DICIEMBRE!D25</f>
        <v>56512262.853792772</v>
      </c>
      <c r="E25" s="16">
        <f>ENERO!E25+FEBRERO!E25+MARZO!E25+ABRIL!E25+MAYO!E25+JUNIO!E25+JULIO!E25+AGOSTO!E25+SEPTIEMBRE!E25+OCTUBRE!E25+NOVIEMBRE!E25+DICIEMBRE!E25</f>
        <v>32370066.061787758</v>
      </c>
      <c r="F25" s="16">
        <f>ENERO!F25+FEBRERO!F25+MARZO!F25+ABRIL!F25+MAYO!F25+JUNIO!F25+JULIO!F25+AGOSTO!F25+SEPTIEMBRE!F25+OCTUBRE!F25+NOVIEMBRE!F25+DICIEMBRE!F25</f>
        <v>42154687.282111645</v>
      </c>
      <c r="G25" s="16">
        <f>ENERO!G25+FEBRERO!G25+MARZO!G25+ABRIL!G25+MAYO!G25+JUNIO!G25+JULIO!G25+AGOSTO!G25+SEPTIEMBRE!G25+OCTUBRE!G25+NOVIEMBRE!G25+DICIEMBRE!G25</f>
        <v>13885152.07</v>
      </c>
      <c r="H25" s="16">
        <f>ENERO!H25+FEBRERO!H25+MARZO!H25+ABRIL!H25+MAYO!H25+JUNIO!H25+JULIO!H25+AGOSTO!H25+SEPTIEMBRE!H25+OCTUBRE!H25+NOVIEMBRE!H25+DICIEMBRE!H25</f>
        <v>159007456.42999998</v>
      </c>
      <c r="I25" s="16">
        <f>ENERO!I25+FEBRERO!I25+MARZO!I25+ABRIL!I25+MAYO!I25+JUNIO!I25+JULIO!I25+AGOSTO!I25+SEPTIEMBRE!I25+OCTUBRE!I25+NOVIEMBRE!I25+DICIEMBRE!I25</f>
        <v>98077375.25999999</v>
      </c>
      <c r="J25" s="16">
        <f>ENERO!J25+FEBRERO!J25+MARZO!J25+ABRIL!J25+MAYO!J25+JUNIO!J25+JULIO!J25+AGOSTO!J25+SEPTIEMBRE!J25+OCTUBRE!J25+NOVIEMBRE!J25+DICIEMBRE!J25</f>
        <v>255677773.64000002</v>
      </c>
      <c r="K25" s="16">
        <f>ENERO!K25+FEBRERO!K25+MARZO!K25+ABRIL!K25+MAYO!K25+JUNIO!K25+JULIO!K25+AGOSTO!K25+SEPTIEMBRE!K25+OCTUBRE!K25+NOVIEMBRE!K25+DICIEMBRE!K25</f>
        <v>0</v>
      </c>
      <c r="L25" s="16">
        <f>ENERO!L25+FEBRERO!L25+MARZO!L25+ABRIL!L25+MAYO!L25+JUNIO!L25+JULIO!L25+AGOSTO!L25+SEPTIEMBRE!L25+OCTUBRE!L25+NOVIEMBRE!L25+DICIEMBRE!L25</f>
        <v>0</v>
      </c>
      <c r="M25" s="16">
        <f>ENERO!M25+FEBRERO!M25+MARZO!M25+ABRIL!M25+MAYO!M25+JUNIO!M25+JULIO!M25+AGOSTO!M25+SEPTIEMBRE!M25+OCTUBRE!M25+NOVIEMBRE!M25+DICIEMBRE!M25</f>
        <v>13152.720000000001</v>
      </c>
      <c r="N25" s="18">
        <f t="shared" si="0"/>
        <v>3715034130.0676918</v>
      </c>
      <c r="O25" s="4"/>
    </row>
    <row r="26" spans="1:15" ht="18" customHeight="1" x14ac:dyDescent="0.2">
      <c r="A26" s="17" t="s">
        <v>21</v>
      </c>
      <c r="B26" s="16">
        <f>ENERO!B26+FEBRERO!B26+MARZO!B26+ABRIL!B26+MAYO!B26+JUNIO!B26+JULIO!B26+AGOSTO!B26+SEPTIEMBRE!B26+OCTUBRE!B26+NOVIEMBRE!B26+DICIEMBRE!B26</f>
        <v>1079615492.0099998</v>
      </c>
      <c r="C26" s="16">
        <f>ENERO!C26+FEBRERO!C26+MARZO!C26+ABRIL!C26+MAYO!C26+JUNIO!C26+JULIO!C26+AGOSTO!C26+SEPTIEMBRE!C26+OCTUBRE!C26+NOVIEMBRE!C26+DICIEMBRE!C26</f>
        <v>78904.3</v>
      </c>
      <c r="D26" s="16">
        <f>ENERO!D26+FEBRERO!D26+MARZO!D26+ABRIL!D26+MAYO!D26+JUNIO!D26+JULIO!D26+AGOSTO!D26+SEPTIEMBRE!D26+OCTUBRE!D26+NOVIEMBRE!D26+DICIEMBRE!D26</f>
        <v>67997326.693997085</v>
      </c>
      <c r="E26" s="16">
        <f>ENERO!E26+FEBRERO!E26+MARZO!E26+ABRIL!E26+MAYO!E26+JUNIO!E26+JULIO!E26+AGOSTO!E26+SEPTIEMBRE!E26+OCTUBRE!E26+NOVIEMBRE!E26+DICIEMBRE!E26</f>
        <v>12214184.239297394</v>
      </c>
      <c r="F26" s="16">
        <f>ENERO!F26+FEBRERO!F26+MARZO!F26+ABRIL!F26+MAYO!F26+JUNIO!F26+JULIO!F26+AGOSTO!F26+SEPTIEMBRE!F26+OCTUBRE!F26+NOVIEMBRE!F26+DICIEMBRE!F26</f>
        <v>19171845.293674059</v>
      </c>
      <c r="G26" s="16">
        <f>ENERO!G26+FEBRERO!G26+MARZO!G26+ABRIL!G26+MAYO!G26+JUNIO!G26+JULIO!G26+AGOSTO!G26+SEPTIEMBRE!G26+OCTUBRE!G26+NOVIEMBRE!G26+DICIEMBRE!G26</f>
        <v>7619620.6299999999</v>
      </c>
      <c r="H26" s="16">
        <f>ENERO!H26+FEBRERO!H26+MARZO!H26+ABRIL!H26+MAYO!H26+JUNIO!H26+JULIO!H26+AGOSTO!H26+SEPTIEMBRE!H26+OCTUBRE!H26+NOVIEMBRE!H26+DICIEMBRE!H26</f>
        <v>56319266.930000007</v>
      </c>
      <c r="I26" s="16">
        <f>ENERO!I26+FEBRERO!I26+MARZO!I26+ABRIL!I26+MAYO!I26+JUNIO!I26+JULIO!I26+AGOSTO!I26+SEPTIEMBRE!I26+OCTUBRE!I26+NOVIEMBRE!I26+DICIEMBRE!I26</f>
        <v>44605342.549999997</v>
      </c>
      <c r="J26" s="16">
        <f>ENERO!J26+FEBRERO!J26+MARZO!J26+ABRIL!J26+MAYO!J26+JUNIO!J26+JULIO!J26+AGOSTO!J26+SEPTIEMBRE!J26+OCTUBRE!J26+NOVIEMBRE!J26+DICIEMBRE!J26</f>
        <v>174808046.45000005</v>
      </c>
      <c r="K26" s="16">
        <f>ENERO!K26+FEBRERO!K26+MARZO!K26+ABRIL!K26+MAYO!K26+JUNIO!K26+JULIO!K26+AGOSTO!K26+SEPTIEMBRE!K26+OCTUBRE!K26+NOVIEMBRE!K26+DICIEMBRE!K26</f>
        <v>0</v>
      </c>
      <c r="L26" s="16">
        <f>ENERO!L26+FEBRERO!L26+MARZO!L26+ABRIL!L26+MAYO!L26+JUNIO!L26+JULIO!L26+AGOSTO!L26+SEPTIEMBRE!L26+OCTUBRE!L26+NOVIEMBRE!L26+DICIEMBRE!L26</f>
        <v>0</v>
      </c>
      <c r="M26" s="16">
        <f>ENERO!M26+FEBRERO!M26+MARZO!M26+ABRIL!M26+MAYO!M26+JUNIO!M26+JULIO!M26+AGOSTO!M26+SEPTIEMBRE!M26+OCTUBRE!M26+NOVIEMBRE!M26+DICIEMBRE!M26</f>
        <v>5981.7199999999993</v>
      </c>
      <c r="N26" s="18">
        <f t="shared" si="0"/>
        <v>1462436010.8169684</v>
      </c>
      <c r="O26" s="4"/>
    </row>
    <row r="27" spans="1:15" ht="18" customHeight="1" x14ac:dyDescent="0.2">
      <c r="A27" s="17" t="s">
        <v>22</v>
      </c>
      <c r="B27" s="16">
        <f>ENERO!B27+FEBRERO!B27+MARZO!B27+ABRIL!B27+MAYO!B27+JUNIO!B27+JULIO!B27+AGOSTO!B27+SEPTIEMBRE!B27+OCTUBRE!B27+NOVIEMBRE!B27+DICIEMBRE!B27</f>
        <v>584075709.63</v>
      </c>
      <c r="C27" s="16">
        <f>ENERO!C27+FEBRERO!C27+MARZO!C27+ABRIL!C27+MAYO!C27+JUNIO!C27+JULIO!C27+AGOSTO!C27+SEPTIEMBRE!C27+OCTUBRE!C27+NOVIEMBRE!C27+DICIEMBRE!C27</f>
        <v>40712.990000000005</v>
      </c>
      <c r="D27" s="16">
        <f>ENERO!D27+FEBRERO!D27+MARZO!D27+ABRIL!D27+MAYO!D27+JUNIO!D27+JULIO!D27+AGOSTO!D27+SEPTIEMBRE!D27+OCTUBRE!D27+NOVIEMBRE!D27+DICIEMBRE!D27</f>
        <v>46962472.59215901</v>
      </c>
      <c r="E27" s="16">
        <f>ENERO!E27+FEBRERO!E27+MARZO!E27+ABRIL!E27+MAYO!E27+JUNIO!E27+JULIO!E27+AGOSTO!E27+SEPTIEMBRE!E27+OCTUBRE!E27+NOVIEMBRE!E27+DICIEMBRE!E27</f>
        <v>6456088.7505153203</v>
      </c>
      <c r="F27" s="16">
        <f>ENERO!F27+FEBRERO!F27+MARZO!F27+ABRIL!F27+MAYO!F27+JUNIO!F27+JULIO!F27+AGOSTO!F27+SEPTIEMBRE!F27+OCTUBRE!F27+NOVIEMBRE!F27+DICIEMBRE!F27</f>
        <v>4765368.8752579615</v>
      </c>
      <c r="G27" s="16">
        <f>ENERO!G27+FEBRERO!G27+MARZO!G27+ABRIL!G27+MAYO!G27+JUNIO!G27+JULIO!G27+AGOSTO!G27+SEPTIEMBRE!G27+OCTUBRE!G27+NOVIEMBRE!G27+DICIEMBRE!G27</f>
        <v>2134411.8199999998</v>
      </c>
      <c r="H27" s="16">
        <f>ENERO!H27+FEBRERO!H27+MARZO!H27+ABRIL!H27+MAYO!H27+JUNIO!H27+JULIO!H27+AGOSTO!H27+SEPTIEMBRE!H27+OCTUBRE!H27+NOVIEMBRE!H27+DICIEMBRE!H27</f>
        <v>30377443.280000001</v>
      </c>
      <c r="I27" s="16">
        <f>ENERO!I27+FEBRERO!I27+MARZO!I27+ABRIL!I27+MAYO!I27+JUNIO!I27+JULIO!I27+AGOSTO!I27+SEPTIEMBRE!I27+OCTUBRE!I27+NOVIEMBRE!I27+DICIEMBRE!I27</f>
        <v>11087138.990000002</v>
      </c>
      <c r="J27" s="16">
        <f>ENERO!J27+FEBRERO!J27+MARZO!J27+ABRIL!J27+MAYO!J27+JUNIO!J27+JULIO!J27+AGOSTO!J27+SEPTIEMBRE!J27+OCTUBRE!J27+NOVIEMBRE!J27+DICIEMBRE!J27</f>
        <v>50800721.109999999</v>
      </c>
      <c r="K27" s="16">
        <f>ENERO!K27+FEBRERO!K27+MARZO!K27+ABRIL!K27+MAYO!K27+JUNIO!K27+JULIO!K27+AGOSTO!K27+SEPTIEMBRE!K27+OCTUBRE!K27+NOVIEMBRE!K27+DICIEMBRE!K27</f>
        <v>0</v>
      </c>
      <c r="L27" s="16">
        <f>ENERO!L27+FEBRERO!L27+MARZO!L27+ABRIL!L27+MAYO!L27+JUNIO!L27+JULIO!L27+AGOSTO!L27+SEPTIEMBRE!L27+OCTUBRE!L27+NOVIEMBRE!L27+DICIEMBRE!L27</f>
        <v>0</v>
      </c>
      <c r="M27" s="16">
        <f>ENERO!M27+FEBRERO!M27+MARZO!M27+ABRIL!M27+MAYO!M27+JUNIO!M27+JULIO!M27+AGOSTO!M27+SEPTIEMBRE!M27+OCTUBRE!M27+NOVIEMBRE!M27+DICIEMBRE!M27</f>
        <v>1486.7000000000003</v>
      </c>
      <c r="N27" s="18">
        <f t="shared" si="0"/>
        <v>736701554.73793244</v>
      </c>
      <c r="O27" s="4"/>
    </row>
    <row r="28" spans="1:15" ht="18" customHeight="1" x14ac:dyDescent="0.2">
      <c r="A28" s="17" t="s">
        <v>23</v>
      </c>
      <c r="B28" s="16">
        <f>ENERO!B28+FEBRERO!B28+MARZO!B28+ABRIL!B28+MAYO!B28+JUNIO!B28+JULIO!B28+AGOSTO!B28+SEPTIEMBRE!B28+OCTUBRE!B28+NOVIEMBRE!B28+DICIEMBRE!B28</f>
        <v>1923186434.1499999</v>
      </c>
      <c r="C28" s="16">
        <f>ENERO!C28+FEBRERO!C28+MARZO!C28+ABRIL!C28+MAYO!C28+JUNIO!C28+JULIO!C28+AGOSTO!C28+SEPTIEMBRE!C28+OCTUBRE!C28+NOVIEMBRE!C28+DICIEMBRE!C28</f>
        <v>134332.10999999999</v>
      </c>
      <c r="D28" s="16">
        <f>ENERO!D28+FEBRERO!D28+MARZO!D28+ABRIL!D28+MAYO!D28+JUNIO!D28+JULIO!D28+AGOSTO!D28+SEPTIEMBRE!D28+OCTUBRE!D28+NOVIEMBRE!D28+DICIEMBRE!D28</f>
        <v>127150025.05197315</v>
      </c>
      <c r="E28" s="16">
        <f>ENERO!E28+FEBRERO!E28+MARZO!E28+ABRIL!E28+MAYO!E28+JUNIO!E28+JULIO!E28+AGOSTO!E28+SEPTIEMBRE!E28+OCTUBRE!E28+NOVIEMBRE!E28+DICIEMBRE!E28</f>
        <v>20504633.626781896</v>
      </c>
      <c r="F28" s="16">
        <f>ENERO!F28+FEBRERO!F28+MARZO!F28+ABRIL!F28+MAYO!F28+JUNIO!F28+JULIO!F28+AGOSTO!F28+SEPTIEMBRE!F28+OCTUBRE!F28+NOVIEMBRE!F28+DICIEMBRE!F28</f>
        <v>6563743.8036046298</v>
      </c>
      <c r="G28" s="16">
        <f>ENERO!G28+FEBRERO!G28+MARZO!G28+ABRIL!G28+MAYO!G28+JUNIO!G28+JULIO!G28+AGOSTO!G28+SEPTIEMBRE!G28+OCTUBRE!G28+NOVIEMBRE!G28+DICIEMBRE!G28</f>
        <v>3258994.3600000003</v>
      </c>
      <c r="H28" s="16">
        <f>ENERO!H28+FEBRERO!H28+MARZO!H28+ABRIL!H28+MAYO!H28+JUNIO!H28+JULIO!H28+AGOSTO!H28+SEPTIEMBRE!H28+OCTUBRE!H28+NOVIEMBRE!H28+DICIEMBRE!H28</f>
        <v>100036631.05</v>
      </c>
      <c r="I28" s="16">
        <f>ENERO!I28+FEBRERO!I28+MARZO!I28+ABRIL!I28+MAYO!I28+JUNIO!I28+JULIO!I28+AGOSTO!I28+SEPTIEMBRE!I28+OCTUBRE!I28+NOVIEMBRE!I28+DICIEMBRE!I28</f>
        <v>15271250.010000002</v>
      </c>
      <c r="J28" s="16">
        <f>ENERO!J28+FEBRERO!J28+MARZO!J28+ABRIL!J28+MAYO!J28+JUNIO!J28+JULIO!J28+AGOSTO!J28+SEPTIEMBRE!J28+OCTUBRE!J28+NOVIEMBRE!J28+DICIEMBRE!J28</f>
        <v>103915297.66000003</v>
      </c>
      <c r="K28" s="16">
        <f>ENERO!K28+FEBRERO!K28+MARZO!K28+ABRIL!K28+MAYO!K28+JUNIO!K28+JULIO!K28+AGOSTO!K28+SEPTIEMBRE!K28+OCTUBRE!K28+NOVIEMBRE!K28+DICIEMBRE!K28</f>
        <v>0</v>
      </c>
      <c r="L28" s="16">
        <f>ENERO!L28+FEBRERO!L28+MARZO!L28+ABRIL!L28+MAYO!L28+JUNIO!L28+JULIO!L28+AGOSTO!L28+SEPTIEMBRE!L28+OCTUBRE!L28+NOVIEMBRE!L28+DICIEMBRE!L28</f>
        <v>0</v>
      </c>
      <c r="M28" s="16">
        <f>ENERO!M28+FEBRERO!M28+MARZO!M28+ABRIL!M28+MAYO!M28+JUNIO!M28+JULIO!M28+AGOSTO!M28+SEPTIEMBRE!M28+OCTUBRE!M28+NOVIEMBRE!M28+DICIEMBRE!M28</f>
        <v>2047.8000000000002</v>
      </c>
      <c r="N28" s="18">
        <f t="shared" si="0"/>
        <v>2300023389.6223598</v>
      </c>
      <c r="O28" s="4"/>
    </row>
    <row r="29" spans="1:15" ht="18" customHeight="1" x14ac:dyDescent="0.2">
      <c r="A29" s="17" t="s">
        <v>24</v>
      </c>
      <c r="B29" s="16">
        <f>ENERO!B29+FEBRERO!B29+MARZO!B29+ABRIL!B29+MAYO!B29+JUNIO!B29+JULIO!B29+AGOSTO!B29+SEPTIEMBRE!B29+OCTUBRE!B29+NOVIEMBRE!B29+DICIEMBRE!B29</f>
        <v>1222164872.3599999</v>
      </c>
      <c r="C29" s="16">
        <f>ENERO!C29+FEBRERO!C29+MARZO!C29+ABRIL!C29+MAYO!C29+JUNIO!C29+JULIO!C29+AGOSTO!C29+SEPTIEMBRE!C29+OCTUBRE!C29+NOVIEMBRE!C29+DICIEMBRE!C29</f>
        <v>80054.48</v>
      </c>
      <c r="D29" s="16">
        <f>ENERO!D29+FEBRERO!D29+MARZO!D29+ABRIL!D29+MAYO!D29+JUNIO!D29+JULIO!D29+AGOSTO!D29+SEPTIEMBRE!D29+OCTUBRE!D29+NOVIEMBRE!D29+DICIEMBRE!D29</f>
        <v>120530452.89692789</v>
      </c>
      <c r="E29" s="16">
        <f>ENERO!E29+FEBRERO!E29+MARZO!E29+ABRIL!E29+MAYO!E29+JUNIO!E29+JULIO!E29+AGOSTO!E29+SEPTIEMBRE!E29+OCTUBRE!E29+NOVIEMBRE!E29+DICIEMBRE!E29</f>
        <v>12800604.220950298</v>
      </c>
      <c r="F29" s="16">
        <f>ENERO!F29+FEBRERO!F29+MARZO!F29+ABRIL!F29+MAYO!F29+JUNIO!F29+JULIO!F29+AGOSTO!F29+SEPTIEMBRE!F29+OCTUBRE!F29+NOVIEMBRE!F29+DICIEMBRE!F29</f>
        <v>4096659.0721904272</v>
      </c>
      <c r="G29" s="16">
        <f>ENERO!G29+FEBRERO!G29+MARZO!G29+ABRIL!G29+MAYO!G29+JUNIO!G29+JULIO!G29+AGOSTO!G29+SEPTIEMBRE!G29+OCTUBRE!G29+NOVIEMBRE!G29+DICIEMBRE!G29</f>
        <v>1698349.18</v>
      </c>
      <c r="H29" s="16">
        <f>ENERO!H29+FEBRERO!H29+MARZO!H29+ABRIL!H29+MAYO!H29+JUNIO!H29+JULIO!H29+AGOSTO!H29+SEPTIEMBRE!H29+OCTUBRE!H29+NOVIEMBRE!H29+DICIEMBRE!H29</f>
        <v>63326132.589999996</v>
      </c>
      <c r="I29" s="16">
        <f>ENERO!I29+FEBRERO!I29+MARZO!I29+ABRIL!I29+MAYO!I29+JUNIO!I29+JULIO!I29+AGOSTO!I29+SEPTIEMBRE!I29+OCTUBRE!I29+NOVIEMBRE!I29+DICIEMBRE!I29</f>
        <v>9531314.2999999989</v>
      </c>
      <c r="J29" s="16">
        <f>ENERO!J29+FEBRERO!J29+MARZO!J29+ABRIL!J29+MAYO!J29+JUNIO!J29+JULIO!J29+AGOSTO!J29+SEPTIEMBRE!J29+OCTUBRE!J29+NOVIEMBRE!J29+DICIEMBRE!J29</f>
        <v>90781832.799999982</v>
      </c>
      <c r="K29" s="16">
        <f>ENERO!K29+FEBRERO!K29+MARZO!K29+ABRIL!K29+MAYO!K29+JUNIO!K29+JULIO!K29+AGOSTO!K29+SEPTIEMBRE!K29+OCTUBRE!K29+NOVIEMBRE!K29+DICIEMBRE!K29</f>
        <v>0</v>
      </c>
      <c r="L29" s="16">
        <f>ENERO!L29+FEBRERO!L29+MARZO!L29+ABRIL!L29+MAYO!L29+JUNIO!L29+JULIO!L29+AGOSTO!L29+SEPTIEMBRE!L29+OCTUBRE!L29+NOVIEMBRE!L29+DICIEMBRE!L29</f>
        <v>0</v>
      </c>
      <c r="M29" s="16">
        <f>ENERO!M29+FEBRERO!M29+MARZO!M29+ABRIL!M29+MAYO!M29+JUNIO!M29+JULIO!M29+AGOSTO!M29+SEPTIEMBRE!M29+OCTUBRE!M29+NOVIEMBRE!M29+DICIEMBRE!M29</f>
        <v>1277.9999999999998</v>
      </c>
      <c r="N29" s="18">
        <f t="shared" si="0"/>
        <v>1525011549.9000685</v>
      </c>
      <c r="O29" s="4"/>
    </row>
    <row r="30" spans="1:15" ht="18" customHeight="1" x14ac:dyDescent="0.2">
      <c r="A30" s="17" t="s">
        <v>25</v>
      </c>
      <c r="B30" s="16">
        <f>ENERO!B30+FEBRERO!B30+MARZO!B30+ABRIL!B30+MAYO!B30+JUNIO!B30+JULIO!B30+AGOSTO!B30+SEPTIEMBRE!B30+OCTUBRE!B30+NOVIEMBRE!B30+DICIEMBRE!B30</f>
        <v>387897314.73000002</v>
      </c>
      <c r="C30" s="16">
        <f>ENERO!C30+FEBRERO!C30+MARZO!C30+ABRIL!C30+MAYO!C30+JUNIO!C30+JULIO!C30+AGOSTO!C30+SEPTIEMBRE!C30+OCTUBRE!C30+NOVIEMBRE!C30+DICIEMBRE!C30</f>
        <v>27558.159999999996</v>
      </c>
      <c r="D30" s="16">
        <f>ENERO!D30+FEBRERO!D30+MARZO!D30+ABRIL!D30+MAYO!D30+JUNIO!D30+JULIO!D30+AGOSTO!D30+SEPTIEMBRE!D30+OCTUBRE!D30+NOVIEMBRE!D30+DICIEMBRE!D30</f>
        <v>72201728.576999441</v>
      </c>
      <c r="E30" s="16">
        <f>ENERO!E30+FEBRERO!E30+MARZO!E30+ABRIL!E30+MAYO!E30+JUNIO!E30+JULIO!E30+AGOSTO!E30+SEPTIEMBRE!E30+OCTUBRE!E30+NOVIEMBRE!E30+DICIEMBRE!E30</f>
        <v>4124257.9449259122</v>
      </c>
      <c r="F30" s="16">
        <f>ENERO!F30+FEBRERO!F30+MARZO!F30+ABRIL!F30+MAYO!F30+JUNIO!F30+JULIO!F30+AGOSTO!F30+SEPTIEMBRE!F30+OCTUBRE!F30+NOVIEMBRE!F30+DICIEMBRE!F30</f>
        <v>3538318.8417651076</v>
      </c>
      <c r="G30" s="16">
        <f>ENERO!G30+FEBRERO!G30+MARZO!G30+ABRIL!G30+MAYO!G30+JUNIO!G30+JULIO!G30+AGOSTO!G30+SEPTIEMBRE!G30+OCTUBRE!G30+NOVIEMBRE!G30+DICIEMBRE!G30</f>
        <v>2157362.4700000002</v>
      </c>
      <c r="H30" s="16">
        <f>ENERO!H30+FEBRERO!H30+MARZO!H30+ABRIL!H30+MAYO!H30+JUNIO!H30+JULIO!H30+AGOSTO!H30+SEPTIEMBRE!H30+OCTUBRE!H30+NOVIEMBRE!H30+DICIEMBRE!H30</f>
        <v>20198398.390000001</v>
      </c>
      <c r="I30" s="16">
        <f>ENERO!I30+FEBRERO!I30+MARZO!I30+ABRIL!I30+MAYO!I30+JUNIO!I30+JULIO!I30+AGOSTO!I30+SEPTIEMBRE!I30+OCTUBRE!I30+NOVIEMBRE!I30+DICIEMBRE!I30</f>
        <v>8232276.2300000004</v>
      </c>
      <c r="J30" s="16">
        <f>ENERO!J30+FEBRERO!J30+MARZO!J30+ABRIL!J30+MAYO!J30+JUNIO!J30+JULIO!J30+AGOSTO!J30+SEPTIEMBRE!J30+OCTUBRE!J30+NOVIEMBRE!J30+DICIEMBRE!J30</f>
        <v>68575076.599999994</v>
      </c>
      <c r="K30" s="16">
        <f>ENERO!K30+FEBRERO!K30+MARZO!K30+ABRIL!K30+MAYO!K30+JUNIO!K30+JULIO!K30+AGOSTO!K30+SEPTIEMBRE!K30+OCTUBRE!K30+NOVIEMBRE!K30+DICIEMBRE!K30</f>
        <v>0</v>
      </c>
      <c r="L30" s="16">
        <f>ENERO!L30+FEBRERO!L30+MARZO!L30+ABRIL!L30+MAYO!L30+JUNIO!L30+JULIO!L30+AGOSTO!L30+SEPTIEMBRE!L30+OCTUBRE!L30+NOVIEMBRE!L30+DICIEMBRE!L30</f>
        <v>0</v>
      </c>
      <c r="M30" s="16">
        <f>ENERO!M30+FEBRERO!M30+MARZO!M30+ABRIL!M30+MAYO!M30+JUNIO!M30+JULIO!M30+AGOSTO!M30+SEPTIEMBRE!M30+OCTUBRE!M30+NOVIEMBRE!M30+DICIEMBRE!M30</f>
        <v>1103.83</v>
      </c>
      <c r="N30" s="18">
        <f t="shared" si="0"/>
        <v>566953395.77369058</v>
      </c>
      <c r="O30" s="4"/>
    </row>
    <row r="31" spans="1:15" ht="18" customHeight="1" x14ac:dyDescent="0.2">
      <c r="A31" s="17" t="s">
        <v>26</v>
      </c>
      <c r="B31" s="16">
        <f>ENERO!B31+FEBRERO!B31+MARZO!B31+ABRIL!B31+MAYO!B31+JUNIO!B31+JULIO!B31+AGOSTO!B31+SEPTIEMBRE!B31+OCTUBRE!B31+NOVIEMBRE!B31+DICIEMBRE!B31</f>
        <v>711401369.69000006</v>
      </c>
      <c r="C31" s="16">
        <f>ENERO!C31+FEBRERO!C31+MARZO!C31+ABRIL!C31+MAYO!C31+JUNIO!C31+JULIO!C31+AGOSTO!C31+SEPTIEMBRE!C31+OCTUBRE!C31+NOVIEMBRE!C31+DICIEMBRE!C31</f>
        <v>50447.280000000006</v>
      </c>
      <c r="D31" s="16">
        <f>ENERO!D31+FEBRERO!D31+MARZO!D31+ABRIL!D31+MAYO!D31+JUNIO!D31+JULIO!D31+AGOSTO!D31+SEPTIEMBRE!D31+OCTUBRE!D31+NOVIEMBRE!D31+DICIEMBRE!D31</f>
        <v>43792550.360390514</v>
      </c>
      <c r="E31" s="16">
        <f>ENERO!E31+FEBRERO!E31+MARZO!E31+ABRIL!E31+MAYO!E31+JUNIO!E31+JULIO!E31+AGOSTO!E31+SEPTIEMBRE!E31+OCTUBRE!E31+NOVIEMBRE!E31+DICIEMBRE!E31</f>
        <v>7549709.4146792358</v>
      </c>
      <c r="F31" s="16">
        <f>ENERO!F31+FEBRERO!F31+MARZO!F31+ABRIL!F31+MAYO!F31+JUNIO!F31+JULIO!F31+AGOSTO!F31+SEPTIEMBRE!F31+OCTUBRE!F31+NOVIEMBRE!F31+DICIEMBRE!F31</f>
        <v>4226505.6264753854</v>
      </c>
      <c r="G31" s="16">
        <f>ENERO!G31+FEBRERO!G31+MARZO!G31+ABRIL!G31+MAYO!G31+JUNIO!G31+JULIO!G31+AGOSTO!G31+SEPTIEMBRE!G31+OCTUBRE!G31+NOVIEMBRE!G31+DICIEMBRE!G31</f>
        <v>1216385.2</v>
      </c>
      <c r="H31" s="16">
        <f>ENERO!H31+FEBRERO!H31+MARZO!H31+ABRIL!H31+MAYO!H31+JUNIO!H31+JULIO!H31+AGOSTO!H31+SEPTIEMBRE!H31+OCTUBRE!H31+NOVIEMBRE!H31+DICIEMBRE!H31</f>
        <v>37039376.129999995</v>
      </c>
      <c r="I31" s="16">
        <f>ENERO!I31+FEBRERO!I31+MARZO!I31+ABRIL!I31+MAYO!I31+JUNIO!I31+JULIO!I31+AGOSTO!I31+SEPTIEMBRE!I31+OCTUBRE!I31+NOVIEMBRE!I31+DICIEMBRE!I31</f>
        <v>9833416.1899999995</v>
      </c>
      <c r="J31" s="16">
        <f>ENERO!J31+FEBRERO!J31+MARZO!J31+ABRIL!J31+MAYO!J31+JUNIO!J31+JULIO!J31+AGOSTO!J31+SEPTIEMBRE!J31+OCTUBRE!J31+NOVIEMBRE!J31+DICIEMBRE!J31</f>
        <v>49021099.940000013</v>
      </c>
      <c r="K31" s="16">
        <f>ENERO!K31+FEBRERO!K31+MARZO!K31+ABRIL!K31+MAYO!K31+JUNIO!K31+JULIO!K31+AGOSTO!K31+SEPTIEMBRE!K31+OCTUBRE!K31+NOVIEMBRE!K31+DICIEMBRE!K31</f>
        <v>0</v>
      </c>
      <c r="L31" s="16">
        <f>ENERO!L31+FEBRERO!L31+MARZO!L31+ABRIL!L31+MAYO!L31+JUNIO!L31+JULIO!L31+AGOSTO!L31+SEPTIEMBRE!L31+OCTUBRE!L31+NOVIEMBRE!L31+DICIEMBRE!L31</f>
        <v>0</v>
      </c>
      <c r="M31" s="16">
        <f>ENERO!M31+FEBRERO!M31+MARZO!M31+ABRIL!M31+MAYO!M31+JUNIO!M31+JULIO!M31+AGOSTO!M31+SEPTIEMBRE!M31+OCTUBRE!M31+NOVIEMBRE!M31+DICIEMBRE!M31</f>
        <v>1318.5799999999997</v>
      </c>
      <c r="N31" s="18">
        <f t="shared" si="0"/>
        <v>864132178.4115454</v>
      </c>
      <c r="O31" s="4"/>
    </row>
    <row r="32" spans="1:15" ht="18" customHeight="1" x14ac:dyDescent="0.2">
      <c r="A32" s="17" t="s">
        <v>27</v>
      </c>
      <c r="B32" s="16">
        <f>ENERO!B32+FEBRERO!B32+MARZO!B32+ABRIL!B32+MAYO!B32+JUNIO!B32+JULIO!B32+AGOSTO!B32+SEPTIEMBRE!B32+OCTUBRE!B32+NOVIEMBRE!B32+DICIEMBRE!B32</f>
        <v>3257683909.9800005</v>
      </c>
      <c r="C32" s="16">
        <f>ENERO!C32+FEBRERO!C32+MARZO!C32+ABRIL!C32+MAYO!C32+JUNIO!C32+JULIO!C32+AGOSTO!C32+SEPTIEMBRE!C32+OCTUBRE!C32+NOVIEMBRE!C32+DICIEMBRE!C32</f>
        <v>230645.05</v>
      </c>
      <c r="D32" s="16">
        <f>ENERO!D32+FEBRERO!D32+MARZO!D32+ABRIL!D32+MAYO!D32+JUNIO!D32+JULIO!D32+AGOSTO!D32+SEPTIEMBRE!D32+OCTUBRE!D32+NOVIEMBRE!D32+DICIEMBRE!D32</f>
        <v>204438340.03942221</v>
      </c>
      <c r="E32" s="16">
        <f>ENERO!E32+FEBRERO!E32+MARZO!E32+ABRIL!E32+MAYO!E32+JUNIO!E32+JULIO!E32+AGOSTO!E32+SEPTIEMBRE!E32+OCTUBRE!E32+NOVIEMBRE!E32+DICIEMBRE!E32</f>
        <v>34735219.671082243</v>
      </c>
      <c r="F32" s="16">
        <f>ENERO!F32+FEBRERO!F32+MARZO!F32+ABRIL!F32+MAYO!F32+JUNIO!F32+JULIO!F32+AGOSTO!F32+SEPTIEMBRE!F32+OCTUBRE!F32+NOVIEMBRE!F32+DICIEMBRE!F32</f>
        <v>12465270.181355976</v>
      </c>
      <c r="G32" s="16">
        <f>ENERO!G32+FEBRERO!G32+MARZO!G32+ABRIL!G32+MAYO!G32+JUNIO!G32+JULIO!G32+AGOSTO!G32+SEPTIEMBRE!G32+OCTUBRE!G32+NOVIEMBRE!G32+DICIEMBRE!G32</f>
        <v>7160607.370000001</v>
      </c>
      <c r="H32" s="16">
        <f>ENERO!H32+FEBRERO!H32+MARZO!H32+ABRIL!H32+MAYO!H32+JUNIO!H32+JULIO!H32+AGOSTO!H32+SEPTIEMBRE!H32+OCTUBRE!H32+NOVIEMBRE!H32+DICIEMBRE!H32</f>
        <v>169595581.81</v>
      </c>
      <c r="I32" s="16">
        <f>ENERO!I32+FEBRERO!I32+MARZO!I32+ABRIL!I32+MAYO!I32+JUNIO!I32+JULIO!I32+AGOSTO!I32+SEPTIEMBRE!I32+OCTUBRE!I32+NOVIEMBRE!I32+DICIEMBRE!I32</f>
        <v>29001780.459999997</v>
      </c>
      <c r="J32" s="16">
        <f>ENERO!J32+FEBRERO!J32+MARZO!J32+ABRIL!J32+MAYO!J32+JUNIO!J32+JULIO!J32+AGOSTO!J32+SEPTIEMBRE!J32+OCTUBRE!J32+NOVIEMBRE!J32+DICIEMBRE!J32</f>
        <v>152201656.06</v>
      </c>
      <c r="K32" s="16">
        <f>ENERO!K32+FEBRERO!K32+MARZO!K32+ABRIL!K32+MAYO!K32+JUNIO!K32+JULIO!K32+AGOSTO!K32+SEPTIEMBRE!K32+OCTUBRE!K32+NOVIEMBRE!K32+DICIEMBRE!K32</f>
        <v>0</v>
      </c>
      <c r="L32" s="16">
        <f>ENERO!L32+FEBRERO!L32+MARZO!L32+ABRIL!L32+MAYO!L32+JUNIO!L32+JULIO!L32+AGOSTO!L32+SEPTIEMBRE!L32+OCTUBRE!L32+NOVIEMBRE!L32+DICIEMBRE!L32</f>
        <v>0</v>
      </c>
      <c r="M32" s="16">
        <f>ENERO!M32+FEBRERO!M32+MARZO!M32+ABRIL!M32+MAYO!M32+JUNIO!M32+JULIO!M32+AGOSTO!M32+SEPTIEMBRE!M32+OCTUBRE!M32+NOVIEMBRE!M32+DICIEMBRE!M32</f>
        <v>3889.1499999999987</v>
      </c>
      <c r="N32" s="18">
        <f t="shared" si="0"/>
        <v>3867516899.7718606</v>
      </c>
      <c r="O32" s="4"/>
    </row>
    <row r="33" spans="1:15" ht="18" customHeight="1" x14ac:dyDescent="0.2">
      <c r="A33" s="17" t="s">
        <v>28</v>
      </c>
      <c r="B33" s="16">
        <f>ENERO!B33+FEBRERO!B33+MARZO!B33+ABRIL!B33+MAYO!B33+JUNIO!B33+JULIO!B33+AGOSTO!B33+SEPTIEMBRE!B33+OCTUBRE!B33+NOVIEMBRE!B33+DICIEMBRE!B33</f>
        <v>2089916925.5800002</v>
      </c>
      <c r="C33" s="16">
        <f>ENERO!C33+FEBRERO!C33+MARZO!C33+ABRIL!C33+MAYO!C33+JUNIO!C33+JULIO!C33+AGOSTO!C33+SEPTIEMBRE!C33+OCTUBRE!C33+NOVIEMBRE!C33+DICIEMBRE!C33</f>
        <v>149139.82</v>
      </c>
      <c r="D33" s="16">
        <f>ENERO!D33+FEBRERO!D33+MARZO!D33+ABRIL!D33+MAYO!D33+JUNIO!D33+JULIO!D33+AGOSTO!D33+SEPTIEMBRE!D33+OCTUBRE!D33+NOVIEMBRE!D33+DICIEMBRE!D33</f>
        <v>140476818.96585748</v>
      </c>
      <c r="E33" s="16">
        <f>ENERO!E33+FEBRERO!E33+MARZO!E33+ABRIL!E33+MAYO!E33+JUNIO!E33+JULIO!E33+AGOSTO!E33+SEPTIEMBRE!E33+OCTUBRE!E33+NOVIEMBRE!E33+DICIEMBRE!E33</f>
        <v>22447555.26203046</v>
      </c>
      <c r="F33" s="16">
        <f>ENERO!F33+FEBRERO!F33+MARZO!F33+ABRIL!F33+MAYO!F33+JUNIO!F33+JULIO!F33+AGOSTO!F33+SEPTIEMBRE!F33+OCTUBRE!F33+NOVIEMBRE!F33+DICIEMBRE!F33</f>
        <v>9147690.4548752978</v>
      </c>
      <c r="G33" s="16">
        <f>ENERO!G33+FEBRERO!G33+MARZO!G33+ABRIL!G33+MAYO!G33+JUNIO!G33+JULIO!G33+AGOSTO!G33+SEPTIEMBRE!G33+OCTUBRE!G33+NOVIEMBRE!G33+DICIEMBRE!G33</f>
        <v>5370455.5200000005</v>
      </c>
      <c r="H33" s="16">
        <f>ENERO!H33+FEBRERO!H33+MARZO!H33+ABRIL!H33+MAYO!H33+JUNIO!H33+JULIO!H33+AGOSTO!H33+SEPTIEMBRE!H33+OCTUBRE!H33+NOVIEMBRE!H33+DICIEMBRE!H33</f>
        <v>108855777.65000001</v>
      </c>
      <c r="I33" s="16">
        <f>ENERO!I33+FEBRERO!I33+MARZO!I33+ABRIL!I33+MAYO!I33+JUNIO!I33+JULIO!I33+AGOSTO!I33+SEPTIEMBRE!I33+OCTUBRE!I33+NOVIEMBRE!I33+DICIEMBRE!I33</f>
        <v>21283077.43</v>
      </c>
      <c r="J33" s="16">
        <f>ENERO!J33+FEBRERO!J33+MARZO!J33+ABRIL!J33+MAYO!J33+JUNIO!J33+JULIO!J33+AGOSTO!J33+SEPTIEMBRE!J33+OCTUBRE!J33+NOVIEMBRE!J33+DICIEMBRE!J33</f>
        <v>149356689.74000001</v>
      </c>
      <c r="K33" s="16">
        <f>ENERO!K33+FEBRERO!K33+MARZO!K33+ABRIL!K33+MAYO!K33+JUNIO!K33+JULIO!K33+AGOSTO!K33+SEPTIEMBRE!K33+OCTUBRE!K33+NOVIEMBRE!K33+DICIEMBRE!K33</f>
        <v>0</v>
      </c>
      <c r="L33" s="16">
        <f>ENERO!L33+FEBRERO!L33+MARZO!L33+ABRIL!L33+MAYO!L33+JUNIO!L33+JULIO!L33+AGOSTO!L33+SEPTIEMBRE!L33+OCTUBRE!L33+NOVIEMBRE!L33+DICIEMBRE!L33</f>
        <v>0</v>
      </c>
      <c r="M33" s="16">
        <f>ENERO!M33+FEBRERO!M33+MARZO!M33+ABRIL!M33+MAYO!M33+JUNIO!M33+JULIO!M33+AGOSTO!M33+SEPTIEMBRE!M33+OCTUBRE!M33+NOVIEMBRE!M33+DICIEMBRE!M33</f>
        <v>2854.08</v>
      </c>
      <c r="N33" s="18">
        <f t="shared" si="0"/>
        <v>2547006984.5027637</v>
      </c>
      <c r="O33" s="4"/>
    </row>
    <row r="34" spans="1:15" ht="18" customHeight="1" x14ac:dyDescent="0.2">
      <c r="A34" s="17" t="s">
        <v>29</v>
      </c>
      <c r="B34" s="16">
        <f>ENERO!B34+FEBRERO!B34+MARZO!B34+ABRIL!B34+MAYO!B34+JUNIO!B34+JULIO!B34+AGOSTO!B34+SEPTIEMBRE!B34+OCTUBRE!B34+NOVIEMBRE!B34+DICIEMBRE!B34</f>
        <v>2773331255.4200001</v>
      </c>
      <c r="C34" s="16">
        <f>ENERO!C34+FEBRERO!C34+MARZO!C34+ABRIL!C34+MAYO!C34+JUNIO!C34+JULIO!C34+AGOSTO!C34+SEPTIEMBRE!C34+OCTUBRE!C34+NOVIEMBRE!C34+DICIEMBRE!C34</f>
        <v>207938.98</v>
      </c>
      <c r="D34" s="16">
        <f>ENERO!D34+FEBRERO!D34+MARZO!D34+ABRIL!D34+MAYO!D34+JUNIO!D34+JULIO!D34+AGOSTO!D34+SEPTIEMBRE!D34+OCTUBRE!D34+NOVIEMBRE!D34+DICIEMBRE!D34</f>
        <v>130566156.2868959</v>
      </c>
      <c r="E34" s="16">
        <f>ENERO!E34+FEBRERO!E34+MARZO!E34+ABRIL!E34+MAYO!E34+JUNIO!E34+JULIO!E34+AGOSTO!E34+SEPTIEMBRE!E34+OCTUBRE!E34+NOVIEMBRE!E34+DICIEMBRE!E34</f>
        <v>41867235.971254088</v>
      </c>
      <c r="F34" s="16">
        <f>ENERO!F34+FEBRERO!F34+MARZO!F34+ABRIL!F34+MAYO!F34+JUNIO!F34+JULIO!F34+AGOSTO!F34+SEPTIEMBRE!F34+OCTUBRE!F34+NOVIEMBRE!F34+DICIEMBRE!F34</f>
        <v>13302780.531993955</v>
      </c>
      <c r="G34" s="16">
        <f>ENERO!G34+FEBRERO!G34+MARZO!G34+ABRIL!G34+MAYO!G34+JUNIO!G34+JULIO!G34+AGOSTO!G34+SEPTIEMBRE!G34+OCTUBRE!G34+NOVIEMBRE!G34+DICIEMBRE!G34</f>
        <v>9432723.1500000004</v>
      </c>
      <c r="H34" s="16">
        <f>ENERO!H34+FEBRERO!H34+MARZO!H34+ABRIL!H34+MAYO!H34+JUNIO!H34+JULIO!H34+AGOSTO!H34+SEPTIEMBRE!H34+OCTUBRE!H34+NOVIEMBRE!H34+DICIEMBRE!H34</f>
        <v>144916865.88</v>
      </c>
      <c r="I34" s="16">
        <f>ENERO!I34+FEBRERO!I34+MARZO!I34+ABRIL!I34+MAYO!I34+JUNIO!I34+JULIO!I34+AGOSTO!I34+SEPTIEMBRE!I34+OCTUBRE!I34+NOVIEMBRE!I34+DICIEMBRE!I34</f>
        <v>30950337.580000002</v>
      </c>
      <c r="J34" s="16">
        <f>ENERO!J34+FEBRERO!J34+MARZO!J34+ABRIL!J34+MAYO!J34+JUNIO!J34+JULIO!J34+AGOSTO!J34+SEPTIEMBRE!J34+OCTUBRE!J34+NOVIEMBRE!J34+DICIEMBRE!J34</f>
        <v>192004459.01000005</v>
      </c>
      <c r="K34" s="16">
        <f>ENERO!K34+FEBRERO!K34+MARZO!K34+ABRIL!K34+MAYO!K34+JUNIO!K34+JULIO!K34+AGOSTO!K34+SEPTIEMBRE!K34+OCTUBRE!K34+NOVIEMBRE!K34+DICIEMBRE!K34</f>
        <v>0</v>
      </c>
      <c r="L34" s="16">
        <f>ENERO!L34+FEBRERO!L34+MARZO!L34+ABRIL!L34+MAYO!L34+JUNIO!L34+JULIO!L34+AGOSTO!L34+SEPTIEMBRE!L34+OCTUBRE!L34+NOVIEMBRE!L34+DICIEMBRE!L34</f>
        <v>0</v>
      </c>
      <c r="M34" s="16">
        <f>ENERO!M34+FEBRERO!M34+MARZO!M34+ABRIL!M34+MAYO!M34+JUNIO!M34+JULIO!M34+AGOSTO!M34+SEPTIEMBRE!M34+OCTUBRE!M34+NOVIEMBRE!M34+DICIEMBRE!M34</f>
        <v>4150.5</v>
      </c>
      <c r="N34" s="18">
        <f t="shared" si="0"/>
        <v>3336583903.3101439</v>
      </c>
      <c r="O34" s="4"/>
    </row>
    <row r="35" spans="1:15" ht="18" customHeight="1" x14ac:dyDescent="0.2">
      <c r="A35" s="17" t="s">
        <v>30</v>
      </c>
      <c r="B35" s="16">
        <f>ENERO!B35+FEBRERO!B35+MARZO!B35+ABRIL!B35+MAYO!B35+JUNIO!B35+JULIO!B35+AGOSTO!B35+SEPTIEMBRE!B35+OCTUBRE!B35+NOVIEMBRE!B35+DICIEMBRE!B35</f>
        <v>1392585962.73</v>
      </c>
      <c r="C35" s="16">
        <f>ENERO!C35+FEBRERO!C35+MARZO!C35+ABRIL!C35+MAYO!C35+JUNIO!C35+JULIO!C35+AGOSTO!C35+SEPTIEMBRE!C35+OCTUBRE!C35+NOVIEMBRE!C35+DICIEMBRE!C35</f>
        <v>100192.43</v>
      </c>
      <c r="D35" s="16">
        <f>ENERO!D35+FEBRERO!D35+MARZO!D35+ABRIL!D35+MAYO!D35+JUNIO!D35+JULIO!D35+AGOSTO!D35+SEPTIEMBRE!D35+OCTUBRE!D35+NOVIEMBRE!D35+DICIEMBRE!D35</f>
        <v>96530874.228734046</v>
      </c>
      <c r="E35" s="16">
        <f>ENERO!E35+FEBRERO!E35+MARZO!E35+ABRIL!E35+MAYO!E35+JUNIO!E35+JULIO!E35+AGOSTO!E35+SEPTIEMBRE!E35+OCTUBRE!E35+NOVIEMBRE!E35+DICIEMBRE!E35</f>
        <v>15003960.744898178</v>
      </c>
      <c r="F35" s="16">
        <f>ENERO!F35+FEBRERO!F35+MARZO!F35+ABRIL!F35+MAYO!F35+JUNIO!F35+JULIO!F35+AGOSTO!F35+SEPTIEMBRE!F35+OCTUBRE!F35+NOVIEMBRE!F35+DICIEMBRE!F35</f>
        <v>8316672.4414515644</v>
      </c>
      <c r="G35" s="16">
        <f>ENERO!G35+FEBRERO!G35+MARZO!G35+ABRIL!G35+MAYO!G35+JUNIO!G35+JULIO!G35+AGOSTO!G35+SEPTIEMBRE!G35+OCTUBRE!G35+NOVIEMBRE!G35+DICIEMBRE!G35</f>
        <v>3649155.6500000004</v>
      </c>
      <c r="H35" s="16">
        <f>ENERO!H35+FEBRERO!H35+MARZO!H35+ABRIL!H35+MAYO!H35+JUNIO!H35+JULIO!H35+AGOSTO!H35+SEPTIEMBRE!H35+OCTUBRE!H35+NOVIEMBRE!H35+DICIEMBRE!H35</f>
        <v>72572244.930000007</v>
      </c>
      <c r="I35" s="16">
        <f>ENERO!I35+FEBRERO!I35+MARZO!I35+ABRIL!I35+MAYO!I35+JUNIO!I35+JULIO!I35+AGOSTO!I35+SEPTIEMBRE!I35+OCTUBRE!I35+NOVIEMBRE!I35+DICIEMBRE!I35</f>
        <v>19349625.389999997</v>
      </c>
      <c r="J35" s="16">
        <f>ENERO!J35+FEBRERO!J35+MARZO!J35+ABRIL!J35+MAYO!J35+JUNIO!J35+JULIO!J35+AGOSTO!J35+SEPTIEMBRE!J35+OCTUBRE!J35+NOVIEMBRE!J35+DICIEMBRE!J35</f>
        <v>70106661.640000001</v>
      </c>
      <c r="K35" s="16">
        <f>ENERO!K35+FEBRERO!K35+MARZO!K35+ABRIL!K35+MAYO!K35+JUNIO!K35+JULIO!K35+AGOSTO!K35+SEPTIEMBRE!K35+OCTUBRE!K35+NOVIEMBRE!K35+DICIEMBRE!K35</f>
        <v>0</v>
      </c>
      <c r="L35" s="16">
        <f>ENERO!L35+FEBRERO!L35+MARZO!L35+ABRIL!L35+MAYO!L35+JUNIO!L35+JULIO!L35+AGOSTO!L35+SEPTIEMBRE!L35+OCTUBRE!L35+NOVIEMBRE!L35+DICIEMBRE!L35</f>
        <v>0</v>
      </c>
      <c r="M35" s="16">
        <f>ENERO!M35+FEBRERO!M35+MARZO!M35+ABRIL!M35+MAYO!M35+JUNIO!M35+JULIO!M35+AGOSTO!M35+SEPTIEMBRE!M35+OCTUBRE!M35+NOVIEMBRE!M35+DICIEMBRE!M35</f>
        <v>2594.7700000000004</v>
      </c>
      <c r="N35" s="18">
        <f t="shared" si="0"/>
        <v>1678217944.9550841</v>
      </c>
      <c r="O35" s="4"/>
    </row>
    <row r="36" spans="1:15" ht="18" customHeight="1" x14ac:dyDescent="0.2">
      <c r="A36" s="17" t="s">
        <v>31</v>
      </c>
      <c r="B36" s="16">
        <f>ENERO!B36+FEBRERO!B36+MARZO!B36+ABRIL!B36+MAYO!B36+JUNIO!B36+JULIO!B36+AGOSTO!B36+SEPTIEMBRE!B36+OCTUBRE!B36+NOVIEMBRE!B36+DICIEMBRE!B36</f>
        <v>1516567017.7</v>
      </c>
      <c r="C36" s="16">
        <f>ENERO!C36+FEBRERO!C36+MARZO!C36+ABRIL!C36+MAYO!C36+JUNIO!C36+JULIO!C36+AGOSTO!C36+SEPTIEMBRE!C36+OCTUBRE!C36+NOVIEMBRE!C36+DICIEMBRE!C36</f>
        <v>107924.13</v>
      </c>
      <c r="D36" s="16">
        <f>ENERO!D36+FEBRERO!D36+MARZO!D36+ABRIL!D36+MAYO!D36+JUNIO!D36+JULIO!D36+AGOSTO!D36+SEPTIEMBRE!D36+OCTUBRE!D36+NOVIEMBRE!D36+DICIEMBRE!D36</f>
        <v>103192972.73661678</v>
      </c>
      <c r="E36" s="16">
        <f>ENERO!E36+FEBRERO!E36+MARZO!E36+ABRIL!E36+MAYO!E36+JUNIO!E36+JULIO!E36+AGOSTO!E36+SEPTIEMBRE!E36+OCTUBRE!E36+NOVIEMBRE!E36+DICIEMBRE!E36</f>
        <v>16231695.230301704</v>
      </c>
      <c r="F36" s="16">
        <f>ENERO!F36+FEBRERO!F36+MARZO!F36+ABRIL!F36+MAYO!F36+JUNIO!F36+JULIO!F36+AGOSTO!F36+SEPTIEMBRE!F36+OCTUBRE!F36+NOVIEMBRE!F36+DICIEMBRE!F36</f>
        <v>5232816.514683811</v>
      </c>
      <c r="G36" s="16">
        <f>ENERO!G36+FEBRERO!G36+MARZO!G36+ABRIL!G36+MAYO!G36+JUNIO!G36+JULIO!G36+AGOSTO!G36+SEPTIEMBRE!G36+OCTUBRE!G36+NOVIEMBRE!G36+DICIEMBRE!G36</f>
        <v>2318017.12</v>
      </c>
      <c r="H36" s="16">
        <f>ENERO!H36+FEBRERO!H36+MARZO!H36+ABRIL!H36+MAYO!H36+JUNIO!H36+JULIO!H36+AGOSTO!H36+SEPTIEMBRE!H36+OCTUBRE!H36+NOVIEMBRE!H36+DICIEMBRE!H36</f>
        <v>78978251.780000001</v>
      </c>
      <c r="I36" s="16">
        <f>ENERO!I36+FEBRERO!I36+MARZO!I36+ABRIL!I36+MAYO!I36+JUNIO!I36+JULIO!I36+AGOSTO!I36+SEPTIEMBRE!I36+OCTUBRE!I36+NOVIEMBRE!I36+DICIEMBRE!I36</f>
        <v>12174705.750000002</v>
      </c>
      <c r="J36" s="16">
        <f>ENERO!J36+FEBRERO!J36+MARZO!J36+ABRIL!J36+MAYO!J36+JUNIO!J36+JULIO!J36+AGOSTO!J36+SEPTIEMBRE!J36+OCTUBRE!J36+NOVIEMBRE!J36+DICIEMBRE!J36</f>
        <v>74179669.270000011</v>
      </c>
      <c r="K36" s="16">
        <f>ENERO!K36+FEBRERO!K36+MARZO!K36+ABRIL!K36+MAYO!K36+JUNIO!K36+JULIO!K36+AGOSTO!K36+SEPTIEMBRE!K36+OCTUBRE!K36+NOVIEMBRE!K36+DICIEMBRE!K36</f>
        <v>0</v>
      </c>
      <c r="L36" s="16">
        <f>ENERO!L36+FEBRERO!L36+MARZO!L36+ABRIL!L36+MAYO!L36+JUNIO!L36+JULIO!L36+AGOSTO!L36+SEPTIEMBRE!L36+OCTUBRE!L36+NOVIEMBRE!L36+DICIEMBRE!L36</f>
        <v>0</v>
      </c>
      <c r="M36" s="16">
        <f>ENERO!M36+FEBRERO!M36+MARZO!M36+ABRIL!M36+MAYO!M36+JUNIO!M36+JULIO!M36+AGOSTO!M36+SEPTIEMBRE!M36+OCTUBRE!M36+NOVIEMBRE!M36+DICIEMBRE!M36</f>
        <v>1632.5399999999997</v>
      </c>
      <c r="N36" s="18">
        <f t="shared" si="0"/>
        <v>1808984702.7716022</v>
      </c>
      <c r="O36" s="4"/>
    </row>
    <row r="37" spans="1:15" ht="18" customHeight="1" x14ac:dyDescent="0.2">
      <c r="A37" s="17" t="s">
        <v>32</v>
      </c>
      <c r="B37" s="16">
        <f>ENERO!B37+FEBRERO!B37+MARZO!B37+ABRIL!B37+MAYO!B37+JUNIO!B37+JULIO!B37+AGOSTO!B37+SEPTIEMBRE!B37+OCTUBRE!B37+NOVIEMBRE!B37+DICIEMBRE!B37</f>
        <v>1659846829.01</v>
      </c>
      <c r="C37" s="16">
        <f>ENERO!C37+FEBRERO!C37+MARZO!C37+ABRIL!C37+MAYO!C37+JUNIO!C37+JULIO!C37+AGOSTO!C37+SEPTIEMBRE!C37+OCTUBRE!C37+NOVIEMBRE!C37+DICIEMBRE!C37</f>
        <v>119865.91</v>
      </c>
      <c r="D37" s="16">
        <f>ENERO!D37+FEBRERO!D37+MARZO!D37+ABRIL!D37+MAYO!D37+JUNIO!D37+JULIO!D37+AGOSTO!D37+SEPTIEMBRE!D37+OCTUBRE!D37+NOVIEMBRE!D37+DICIEMBRE!D37</f>
        <v>116689586.74229912</v>
      </c>
      <c r="E37" s="16">
        <f>ENERO!E37+FEBRERO!E37+MARZO!E37+ABRIL!E37+MAYO!E37+JUNIO!E37+JULIO!E37+AGOSTO!E37+SEPTIEMBRE!E37+OCTUBRE!E37+NOVIEMBRE!E37+DICIEMBRE!E37</f>
        <v>17717321.999073919</v>
      </c>
      <c r="F37" s="16">
        <f>ENERO!F37+FEBRERO!F37+MARZO!F37+ABRIL!F37+MAYO!F37+JUNIO!F37+JULIO!F37+AGOSTO!F37+SEPTIEMBRE!F37+OCTUBRE!F37+NOVIEMBRE!F37+DICIEMBRE!F37</f>
        <v>9706030.6753006168</v>
      </c>
      <c r="G37" s="16">
        <f>ENERO!G37+FEBRERO!G37+MARZO!G37+ABRIL!G37+MAYO!G37+JUNIO!G37+JULIO!G37+AGOSTO!G37+SEPTIEMBRE!G37+OCTUBRE!G37+NOVIEMBRE!G37+DICIEMBRE!G37</f>
        <v>3373747.6900000004</v>
      </c>
      <c r="H37" s="16">
        <f>ENERO!H37+FEBRERO!H37+MARZO!H37+ABRIL!H37+MAYO!H37+JUNIO!H37+JULIO!H37+AGOSTO!H37+SEPTIEMBRE!H37+OCTUBRE!H37+NOVIEMBRE!H37+DICIEMBRE!H37</f>
        <v>86520698.939999998</v>
      </c>
      <c r="I37" s="16">
        <f>ENERO!I37+FEBRERO!I37+MARZO!I37+ABRIL!I37+MAYO!I37+JUNIO!I37+JULIO!I37+AGOSTO!I37+SEPTIEMBRE!I37+OCTUBRE!I37+NOVIEMBRE!I37+DICIEMBRE!I37</f>
        <v>22582115.5</v>
      </c>
      <c r="J37" s="16">
        <f>ENERO!J37+FEBRERO!J37+MARZO!J37+ABRIL!J37+MAYO!J37+JUNIO!J37+JULIO!J37+AGOSTO!J37+SEPTIEMBRE!J37+OCTUBRE!J37+NOVIEMBRE!J37+DICIEMBRE!J37</f>
        <v>116340383.84000002</v>
      </c>
      <c r="K37" s="16">
        <f>ENERO!K37+FEBRERO!K37+MARZO!K37+ABRIL!K37+MAYO!K37+JUNIO!K37+JULIO!K37+AGOSTO!K37+SEPTIEMBRE!K37+OCTUBRE!K37+NOVIEMBRE!K37+DICIEMBRE!K37</f>
        <v>0</v>
      </c>
      <c r="L37" s="16">
        <f>ENERO!L37+FEBRERO!L37+MARZO!L37+ABRIL!L37+MAYO!L37+JUNIO!L37+JULIO!L37+AGOSTO!L37+SEPTIEMBRE!L37+OCTUBRE!L37+NOVIEMBRE!L37+DICIEMBRE!L37</f>
        <v>0</v>
      </c>
      <c r="M37" s="16">
        <f>ENERO!M37+FEBRERO!M37+MARZO!M37+ABRIL!M37+MAYO!M37+JUNIO!M37+JULIO!M37+AGOSTO!M37+SEPTIEMBRE!M37+OCTUBRE!M37+NOVIEMBRE!M37+DICIEMBRE!M37</f>
        <v>3028.23</v>
      </c>
      <c r="N37" s="18">
        <f t="shared" si="0"/>
        <v>2032899608.5366738</v>
      </c>
      <c r="O37" s="4"/>
    </row>
    <row r="38" spans="1:15" ht="18" customHeight="1" x14ac:dyDescent="0.2">
      <c r="A38" s="17" t="s">
        <v>33</v>
      </c>
      <c r="B38" s="16">
        <f>ENERO!B38+FEBRERO!B38+MARZO!B38+ABRIL!B38+MAYO!B38+JUNIO!B38+JULIO!B38+AGOSTO!B38+SEPTIEMBRE!B38+OCTUBRE!B38+NOVIEMBRE!B38+DICIEMBRE!B38</f>
        <v>1505072340.0200002</v>
      </c>
      <c r="C38" s="16">
        <f>ENERO!C38+FEBRERO!C38+MARZO!C38+ABRIL!C38+MAYO!C38+JUNIO!C38+JULIO!C38+AGOSTO!C38+SEPTIEMBRE!C38+OCTUBRE!C38+NOVIEMBRE!C38+DICIEMBRE!C38</f>
        <v>109683.56</v>
      </c>
      <c r="D38" s="16">
        <f>ENERO!D38+FEBRERO!D38+MARZO!D38+ABRIL!D38+MAYO!D38+JUNIO!D38+JULIO!D38+AGOSTO!D38+SEPTIEMBRE!D38+OCTUBRE!D38+NOVIEMBRE!D38+DICIEMBRE!D38</f>
        <v>15087993.727177337</v>
      </c>
      <c r="E38" s="16">
        <f>ENERO!E38+FEBRERO!E38+MARZO!E38+ABRIL!E38+MAYO!E38+JUNIO!E38+JULIO!E38+AGOSTO!E38+SEPTIEMBRE!E38+OCTUBRE!E38+NOVIEMBRE!E38+DICIEMBRE!E38</f>
        <v>16215109.029226756</v>
      </c>
      <c r="F38" s="16">
        <f>ENERO!F38+FEBRERO!F38+MARZO!F38+ABRIL!F38+MAYO!F38+JUNIO!F38+JULIO!F38+AGOSTO!F38+SEPTIEMBRE!F38+OCTUBRE!F38+NOVIEMBRE!F38+DICIEMBRE!F38</f>
        <v>8673750.4982352015</v>
      </c>
      <c r="G38" s="16">
        <f>ENERO!G38+FEBRERO!G38+MARZO!G38+ABRIL!G38+MAYO!G38+JUNIO!G38+JULIO!G38+AGOSTO!G38+SEPTIEMBRE!G38+OCTUBRE!G38+NOVIEMBRE!G38+DICIEMBRE!G38</f>
        <v>9134364.5</v>
      </c>
      <c r="H38" s="16">
        <f>ENERO!H38+FEBRERO!H38+MARZO!H38+ABRIL!H38+MAYO!H38+JUNIO!H38+JULIO!H38+AGOSTO!H38+SEPTIEMBRE!H38+OCTUBRE!H38+NOVIEMBRE!H38+DICIEMBRE!H38</f>
        <v>78499050.689999998</v>
      </c>
      <c r="I38" s="16">
        <f>ENERO!I38+FEBRERO!I38+MARZO!I38+ABRIL!I38+MAYO!I38+JUNIO!I38+JULIO!I38+AGOSTO!I38+SEPTIEMBRE!I38+OCTUBRE!I38+NOVIEMBRE!I38+DICIEMBRE!I38</f>
        <v>20180405.569999997</v>
      </c>
      <c r="J38" s="16">
        <f>ENERO!J38+FEBRERO!J38+MARZO!J38+ABRIL!J38+MAYO!J38+JUNIO!J38+JULIO!J38+AGOSTO!J38+SEPTIEMBRE!J38+OCTUBRE!J38+NOVIEMBRE!J38+DICIEMBRE!J38</f>
        <v>195367005.79000002</v>
      </c>
      <c r="K38" s="16">
        <f>ENERO!K38+FEBRERO!K38+MARZO!K38+ABRIL!K38+MAYO!K38+JUNIO!K38+JULIO!K38+AGOSTO!K38+SEPTIEMBRE!K38+OCTUBRE!K38+NOVIEMBRE!K38+DICIEMBRE!K38</f>
        <v>0</v>
      </c>
      <c r="L38" s="16">
        <f>ENERO!L38+FEBRERO!L38+MARZO!L38+ABRIL!L38+MAYO!L38+JUNIO!L38+JULIO!L38+AGOSTO!L38+SEPTIEMBRE!L38+OCTUBRE!L38+NOVIEMBRE!L38+DICIEMBRE!L38</f>
        <v>0</v>
      </c>
      <c r="M38" s="16">
        <f>ENERO!M38+FEBRERO!M38+MARZO!M38+ABRIL!M38+MAYO!M38+JUNIO!M38+JULIO!M38+AGOSTO!M38+SEPTIEMBRE!M38+OCTUBRE!M38+NOVIEMBRE!M38+DICIEMBRE!M38</f>
        <v>2706.1300000000006</v>
      </c>
      <c r="N38" s="18">
        <f t="shared" si="0"/>
        <v>1848342409.5146396</v>
      </c>
      <c r="O38" s="4"/>
    </row>
    <row r="39" spans="1:15" ht="18" customHeight="1" x14ac:dyDescent="0.2">
      <c r="A39" s="17" t="s">
        <v>34</v>
      </c>
      <c r="B39" s="16">
        <f>ENERO!B39+FEBRERO!B39+MARZO!B39+ABRIL!B39+MAYO!B39+JUNIO!B39+JULIO!B39+AGOSTO!B39+SEPTIEMBRE!B39+OCTUBRE!B39+NOVIEMBRE!B39+DICIEMBRE!B39</f>
        <v>2584303395.8500004</v>
      </c>
      <c r="C39" s="16">
        <f>ENERO!C39+FEBRERO!C39+MARZO!C39+ABRIL!C39+MAYO!C39+JUNIO!C39+JULIO!C39+AGOSTO!C39+SEPTIEMBRE!C39+OCTUBRE!C39+NOVIEMBRE!C39+DICIEMBRE!C39</f>
        <v>181550.12</v>
      </c>
      <c r="D39" s="16">
        <f>ENERO!D39+FEBRERO!D39+MARZO!D39+ABRIL!D39+MAYO!D39+JUNIO!D39+JULIO!D39+AGOSTO!D39+SEPTIEMBRE!D39+OCTUBRE!D39+NOVIEMBRE!D39+DICIEMBRE!D39</f>
        <v>173933888.07120323</v>
      </c>
      <c r="E39" s="16">
        <f>ENERO!E39+FEBRERO!E39+MARZO!E39+ABRIL!E39+MAYO!E39+JUNIO!E39+JULIO!E39+AGOSTO!E39+SEPTIEMBRE!E39+OCTUBRE!E39+NOVIEMBRE!E39+DICIEMBRE!E39</f>
        <v>27419917.307422854</v>
      </c>
      <c r="F39" s="16">
        <f>ENERO!F39+FEBRERO!F39+MARZO!F39+ABRIL!F39+MAYO!F39+JUNIO!F39+JULIO!F39+AGOSTO!F39+SEPTIEMBRE!F39+OCTUBRE!F39+NOVIEMBRE!F39+DICIEMBRE!F39</f>
        <v>11049942.638649933</v>
      </c>
      <c r="G39" s="16">
        <f>ENERO!G39+FEBRERO!G39+MARZO!G39+ABRIL!G39+MAYO!G39+JUNIO!G39+JULIO!G39+AGOSTO!G39+SEPTIEMBRE!G39+OCTUBRE!G39+NOVIEMBRE!G39+DICIEMBRE!G39</f>
        <v>5622912.8200000003</v>
      </c>
      <c r="H39" s="16">
        <f>ENERO!H39+FEBRERO!H39+MARZO!H39+ABRIL!H39+MAYO!H39+JUNIO!H39+JULIO!H39+AGOSTO!H39+SEPTIEMBRE!H39+OCTUBRE!H39+NOVIEMBRE!H39+DICIEMBRE!H39</f>
        <v>134473520.72999999</v>
      </c>
      <c r="I39" s="16">
        <f>ENERO!I39+FEBRERO!I39+MARZO!I39+ABRIL!I39+MAYO!I39+JUNIO!I39+JULIO!I39+AGOSTO!I39+SEPTIEMBRE!I39+OCTUBRE!I39+NOVIEMBRE!I39+DICIEMBRE!I39</f>
        <v>25708869.959999997</v>
      </c>
      <c r="J39" s="16">
        <f>ENERO!J39+FEBRERO!J39+MARZO!J39+ABRIL!J39+MAYO!J39+JUNIO!J39+JULIO!J39+AGOSTO!J39+SEPTIEMBRE!J39+OCTUBRE!J39+NOVIEMBRE!J39+DICIEMBRE!J39</f>
        <v>164310016.86000004</v>
      </c>
      <c r="K39" s="16">
        <f>ENERO!K39+FEBRERO!K39+MARZO!K39+ABRIL!K39+MAYO!K39+JUNIO!K39+JULIO!K39+AGOSTO!K39+SEPTIEMBRE!K39+OCTUBRE!K39+NOVIEMBRE!K39+DICIEMBRE!K39</f>
        <v>0</v>
      </c>
      <c r="L39" s="16">
        <f>ENERO!L39+FEBRERO!L39+MARZO!L39+ABRIL!L39+MAYO!L39+JUNIO!L39+JULIO!L39+AGOSTO!L39+SEPTIEMBRE!L39+OCTUBRE!L39+NOVIEMBRE!L39+DICIEMBRE!L39</f>
        <v>0</v>
      </c>
      <c r="M39" s="16">
        <f>ENERO!M39+FEBRERO!M39+MARZO!M39+ABRIL!M39+MAYO!M39+JUNIO!M39+JULIO!M39+AGOSTO!M39+SEPTIEMBRE!M39+OCTUBRE!M39+NOVIEMBRE!M39+DICIEMBRE!M39</f>
        <v>3447.5299999999993</v>
      </c>
      <c r="N39" s="18">
        <f t="shared" si="0"/>
        <v>3127007461.8872766</v>
      </c>
      <c r="O39" s="4"/>
    </row>
    <row r="40" spans="1:15" ht="18" customHeight="1" x14ac:dyDescent="0.2">
      <c r="A40" s="17" t="s">
        <v>35</v>
      </c>
      <c r="B40" s="16">
        <f>ENERO!B40+FEBRERO!B40+MARZO!B40+ABRIL!B40+MAYO!B40+JUNIO!B40+JULIO!B40+AGOSTO!B40+SEPTIEMBRE!B40+OCTUBRE!B40+NOVIEMBRE!B40+DICIEMBRE!B40</f>
        <v>1681413766.1000001</v>
      </c>
      <c r="C40" s="16">
        <f>ENERO!C40+FEBRERO!C40+MARZO!C40+ABRIL!C40+MAYO!C40+JUNIO!C40+JULIO!C40+AGOSTO!C40+SEPTIEMBRE!C40+OCTUBRE!C40+NOVIEMBRE!C40+DICIEMBRE!C40</f>
        <v>121628.08</v>
      </c>
      <c r="D40" s="16">
        <f>ENERO!D40+FEBRERO!D40+MARZO!D40+ABRIL!D40+MAYO!D40+JUNIO!D40+JULIO!D40+AGOSTO!D40+SEPTIEMBRE!D40+OCTUBRE!D40+NOVIEMBRE!D40+DICIEMBRE!D40</f>
        <v>133772616.45220084</v>
      </c>
      <c r="E40" s="16">
        <f>ENERO!E40+FEBRERO!E40+MARZO!E40+ABRIL!E40+MAYO!E40+JUNIO!E40+JULIO!E40+AGOSTO!E40+SEPTIEMBRE!E40+OCTUBRE!E40+NOVIEMBRE!E40+DICIEMBRE!E40</f>
        <v>18020263.167417232</v>
      </c>
      <c r="F40" s="16">
        <f>ENERO!F40+FEBRERO!F40+MARZO!F40+ABRIL!F40+MAYO!F40+JUNIO!F40+JULIO!F40+AGOSTO!F40+SEPTIEMBRE!F40+OCTUBRE!F40+NOVIEMBRE!F40+DICIEMBRE!F40</f>
        <v>5901526.3277513459</v>
      </c>
      <c r="G40" s="16">
        <f>ENERO!G40+FEBRERO!G40+MARZO!G40+ABRIL!G40+MAYO!G40+JUNIO!G40+JULIO!G40+AGOSTO!G40+SEPTIEMBRE!G40+OCTUBRE!G40+NOVIEMBRE!G40+DICIEMBRE!G40</f>
        <v>2478671.7699999996</v>
      </c>
      <c r="H40" s="16">
        <f>ENERO!H40+FEBRERO!H40+MARZO!H40+ABRIL!H40+MAYO!H40+JUNIO!H40+JULIO!H40+AGOSTO!H40+SEPTIEMBRE!H40+OCTUBRE!H40+NOVIEMBRE!H40+DICIEMBRE!H40</f>
        <v>87654374.859999999</v>
      </c>
      <c r="I40" s="16">
        <f>ENERO!I40+FEBRERO!I40+MARZO!I40+ABRIL!I40+MAYO!I40+JUNIO!I40+JULIO!I40+AGOSTO!I40+SEPTIEMBRE!I40+OCTUBRE!I40+NOVIEMBRE!I40+DICIEMBRE!I40</f>
        <v>13730530.430000002</v>
      </c>
      <c r="J40" s="16">
        <f>ENERO!J40+FEBRERO!J40+MARZO!J40+ABRIL!J40+MAYO!J40+JUNIO!J40+JULIO!J40+AGOSTO!J40+SEPTIEMBRE!J40+OCTUBRE!J40+NOVIEMBRE!J40+DICIEMBRE!J40</f>
        <v>89688389.949999973</v>
      </c>
      <c r="K40" s="16">
        <f>ENERO!K40+FEBRERO!K40+MARZO!K40+ABRIL!K40+MAYO!K40+JUNIO!K40+JULIO!K40+AGOSTO!K40+SEPTIEMBRE!K40+OCTUBRE!K40+NOVIEMBRE!K40+DICIEMBRE!K40</f>
        <v>0</v>
      </c>
      <c r="L40" s="16">
        <f>ENERO!L40+FEBRERO!L40+MARZO!L40+ABRIL!L40+MAYO!L40+JUNIO!L40+JULIO!L40+AGOSTO!L40+SEPTIEMBRE!L40+OCTUBRE!L40+NOVIEMBRE!L40+DICIEMBRE!L40</f>
        <v>0</v>
      </c>
      <c r="M40" s="16">
        <f>ENERO!M40+FEBRERO!M40+MARZO!M40+ABRIL!M40+MAYO!M40+JUNIO!M40+JULIO!M40+AGOSTO!M40+SEPTIEMBRE!M40+OCTUBRE!M40+NOVIEMBRE!M40+DICIEMBRE!M40</f>
        <v>1841.1599999999999</v>
      </c>
      <c r="N40" s="18">
        <f t="shared" ref="N40:N71" si="1">SUM(B40:M40)</f>
        <v>2032783608.2973697</v>
      </c>
      <c r="O40" s="4"/>
    </row>
    <row r="41" spans="1:15" ht="18" customHeight="1" x14ac:dyDescent="0.2">
      <c r="A41" s="17" t="s">
        <v>36</v>
      </c>
      <c r="B41" s="16">
        <f>ENERO!B41+FEBRERO!B41+MARZO!B41+ABRIL!B41+MAYO!B41+JUNIO!B41+JULIO!B41+AGOSTO!B41+SEPTIEMBRE!B41+OCTUBRE!B41+NOVIEMBRE!B41+DICIEMBRE!B41</f>
        <v>1811622706.5799999</v>
      </c>
      <c r="C41" s="16">
        <f>ENERO!C41+FEBRERO!C41+MARZO!C41+ABRIL!C41+MAYO!C41+JUNIO!C41+JULIO!C41+AGOSTO!C41+SEPTIEMBRE!C41+OCTUBRE!C41+NOVIEMBRE!C41+DICIEMBRE!C41</f>
        <v>126021.22</v>
      </c>
      <c r="D41" s="16">
        <f>ENERO!D41+FEBRERO!D41+MARZO!D41+ABRIL!D41+MAYO!D41+JUNIO!D41+JULIO!D41+AGOSTO!D41+SEPTIEMBRE!D41+OCTUBRE!D41+NOVIEMBRE!D41+DICIEMBRE!D41</f>
        <v>44887516.502879277</v>
      </c>
      <c r="E41" s="16">
        <f>ENERO!E41+FEBRERO!E41+MARZO!E41+ABRIL!E41+MAYO!E41+JUNIO!E41+JULIO!E41+AGOSTO!E41+SEPTIEMBRE!E41+OCTUBRE!E41+NOVIEMBRE!E41+DICIEMBRE!E41</f>
        <v>19108775.738129836</v>
      </c>
      <c r="F41" s="16">
        <f>ENERO!F41+FEBRERO!F41+MARZO!F41+ABRIL!F41+MAYO!F41+JUNIO!F41+JULIO!F41+AGOSTO!F41+SEPTIEMBRE!F41+OCTUBRE!F41+NOVIEMBRE!F41+DICIEMBRE!F41</f>
        <v>9991693.1227275226</v>
      </c>
      <c r="G41" s="16">
        <f>ENERO!G41+FEBRERO!G41+MARZO!G41+ABRIL!G41+MAYO!G41+JUNIO!G41+JULIO!G41+AGOSTO!G41+SEPTIEMBRE!G41+OCTUBRE!G41+NOVIEMBRE!G41+DICIEMBRE!G41</f>
        <v>3970464.97</v>
      </c>
      <c r="H41" s="16">
        <f>ENERO!H41+FEBRERO!H41+MARZO!H41+ABRIL!H41+MAYO!H41+JUNIO!H41+JULIO!H41+AGOSTO!H41+SEPTIEMBRE!H41+OCTUBRE!H41+NOVIEMBRE!H41+DICIEMBRE!H41</f>
        <v>94209510.49000001</v>
      </c>
      <c r="I41" s="16">
        <f>ENERO!I41+FEBRERO!I41+MARZO!I41+ABRIL!I41+MAYO!I41+JUNIO!I41+JULIO!I41+AGOSTO!I41+SEPTIEMBRE!I41+OCTUBRE!I41+NOVIEMBRE!I41+DICIEMBRE!I41</f>
        <v>23246739.659999996</v>
      </c>
      <c r="J41" s="16">
        <f>ENERO!J41+FEBRERO!J41+MARZO!J41+ABRIL!J41+MAYO!J41+JUNIO!J41+JULIO!J41+AGOSTO!J41+SEPTIEMBRE!J41+OCTUBRE!J41+NOVIEMBRE!J41+DICIEMBRE!J41</f>
        <v>92815736.210000008</v>
      </c>
      <c r="K41" s="16">
        <f>ENERO!K41+FEBRERO!K41+MARZO!K41+ABRIL!K41+MAYO!K41+JUNIO!K41+JULIO!K41+AGOSTO!K41+SEPTIEMBRE!K41+OCTUBRE!K41+NOVIEMBRE!K41+DICIEMBRE!K41</f>
        <v>0</v>
      </c>
      <c r="L41" s="16">
        <f>ENERO!L41+FEBRERO!L41+MARZO!L41+ABRIL!L41+MAYO!L41+JUNIO!L41+JULIO!L41+AGOSTO!L41+SEPTIEMBRE!L41+OCTUBRE!L41+NOVIEMBRE!L41+DICIEMBRE!L41</f>
        <v>0</v>
      </c>
      <c r="M41" s="16">
        <f>ENERO!M41+FEBRERO!M41+MARZO!M41+ABRIL!M41+MAYO!M41+JUNIO!M41+JULIO!M41+AGOSTO!M41+SEPTIEMBRE!M41+OCTUBRE!M41+NOVIEMBRE!M41+DICIEMBRE!M41</f>
        <v>3117.3600000000006</v>
      </c>
      <c r="N41" s="18">
        <f t="shared" si="1"/>
        <v>2099982281.8537369</v>
      </c>
      <c r="O41" s="4"/>
    </row>
    <row r="42" spans="1:15" ht="18" customHeight="1" x14ac:dyDescent="0.2">
      <c r="A42" s="17" t="s">
        <v>37</v>
      </c>
      <c r="B42" s="16">
        <f>ENERO!B42+FEBRERO!B42+MARZO!B42+ABRIL!B42+MAYO!B42+JUNIO!B42+JULIO!B42+AGOSTO!B42+SEPTIEMBRE!B42+OCTUBRE!B42+NOVIEMBRE!B42+DICIEMBRE!B42</f>
        <v>1070350551.1000001</v>
      </c>
      <c r="C42" s="16">
        <f>ENERO!C42+FEBRERO!C42+MARZO!C42+ABRIL!C42+MAYO!C42+JUNIO!C42+JULIO!C42+AGOSTO!C42+SEPTIEMBRE!C42+OCTUBRE!C42+NOVIEMBRE!C42+DICIEMBRE!C42</f>
        <v>77636.63</v>
      </c>
      <c r="D42" s="16">
        <f>ENERO!D42+FEBRERO!D42+MARZO!D42+ABRIL!D42+MAYO!D42+JUNIO!D42+JULIO!D42+AGOSTO!D42+SEPTIEMBRE!D42+OCTUBRE!D42+NOVIEMBRE!D42+DICIEMBRE!D42</f>
        <v>10001422.330303732</v>
      </c>
      <c r="E42" s="16">
        <f>ENERO!E42+FEBRERO!E42+MARZO!E42+ABRIL!E42+MAYO!E42+JUNIO!E42+JULIO!E42+AGOSTO!E42+SEPTIEMBRE!E42+OCTUBRE!E42+NOVIEMBRE!E42+DICIEMBRE!E42</f>
        <v>11765624.27812558</v>
      </c>
      <c r="F42" s="16">
        <f>ENERO!F42+FEBRERO!F42+MARZO!F42+ABRIL!F42+MAYO!F42+JUNIO!F42+JULIO!F42+AGOSTO!F42+SEPTIEMBRE!F42+OCTUBRE!F42+NOVIEMBRE!F42+DICIEMBRE!F42</f>
        <v>27137932.035556238</v>
      </c>
      <c r="G42" s="16">
        <f>ENERO!G42+FEBRERO!G42+MARZO!G42+ABRIL!G42+MAYO!G42+JUNIO!G42+JULIO!G42+AGOSTO!G42+SEPTIEMBRE!G42+OCTUBRE!G42+NOVIEMBRE!G42+DICIEMBRE!G42</f>
        <v>0</v>
      </c>
      <c r="H42" s="16">
        <f>ENERO!H42+FEBRERO!H42+MARZO!H42+ABRIL!H42+MAYO!H42+JUNIO!H42+JULIO!H42+AGOSTO!H42+SEPTIEMBRE!H42+OCTUBRE!H42+NOVIEMBRE!H42+DICIEMBRE!H42</f>
        <v>55808593.330000006</v>
      </c>
      <c r="I42" s="16">
        <f>ENERO!I42+FEBRERO!I42+MARZO!I42+ABRIL!I42+MAYO!I42+JUNIO!I42+JULIO!I42+AGOSTO!I42+SEPTIEMBRE!I42+OCTUBRE!I42+NOVIEMBRE!I42+DICIEMBRE!I42</f>
        <v>63139292.880000003</v>
      </c>
      <c r="J42" s="16">
        <f>ENERO!J42+FEBRERO!J42+MARZO!J42+ABRIL!J42+MAYO!J42+JUNIO!J42+JULIO!J42+AGOSTO!J42+SEPTIEMBRE!J42+OCTUBRE!J42+NOVIEMBRE!J42+DICIEMBRE!J42</f>
        <v>148542505.19999999</v>
      </c>
      <c r="K42" s="16">
        <f>ENERO!K42+FEBRERO!K42+MARZO!K42+ABRIL!K42+MAYO!K42+JUNIO!K42+JULIO!K42+AGOSTO!K42+SEPTIEMBRE!K42+OCTUBRE!K42+NOVIEMBRE!K42+DICIEMBRE!K42</f>
        <v>0</v>
      </c>
      <c r="L42" s="16">
        <f>ENERO!L42+FEBRERO!L42+MARZO!L42+ABRIL!L42+MAYO!L42+JUNIO!L42+JULIO!L42+AGOSTO!L42+SEPTIEMBRE!L42+OCTUBRE!L42+NOVIEMBRE!L42+DICIEMBRE!L42</f>
        <v>0</v>
      </c>
      <c r="M42" s="16">
        <f>ENERO!M42+FEBRERO!M42+MARZO!M42+ABRIL!M42+MAYO!M42+JUNIO!M42+JULIO!M42+AGOSTO!M42+SEPTIEMBRE!M42+OCTUBRE!M42+NOVIEMBRE!M42+DICIEMBRE!M42</f>
        <v>8467.2699999999986</v>
      </c>
      <c r="N42" s="18">
        <f t="shared" si="1"/>
        <v>1386832025.0539858</v>
      </c>
      <c r="O42" s="4"/>
    </row>
    <row r="43" spans="1:15" ht="18" customHeight="1" x14ac:dyDescent="0.2">
      <c r="A43" s="17" t="s">
        <v>38</v>
      </c>
      <c r="B43" s="16">
        <f>ENERO!B43+FEBRERO!B43+MARZO!B43+ABRIL!B43+MAYO!B43+JUNIO!B43+JULIO!B43+AGOSTO!B43+SEPTIEMBRE!B43+OCTUBRE!B43+NOVIEMBRE!B43+DICIEMBRE!B43</f>
        <v>4707012831.1800003</v>
      </c>
      <c r="C43" s="16">
        <f>ENERO!C43+FEBRERO!C43+MARZO!C43+ABRIL!C43+MAYO!C43+JUNIO!C43+JULIO!C43+AGOSTO!C43+SEPTIEMBRE!C43+OCTUBRE!C43+NOVIEMBRE!C43+DICIEMBRE!C43</f>
        <v>279865.65000000002</v>
      </c>
      <c r="D43" s="16">
        <f>ENERO!D43+FEBRERO!D43+MARZO!D43+ABRIL!D43+MAYO!D43+JUNIO!D43+JULIO!D43+AGOSTO!D43+SEPTIEMBRE!D43+OCTUBRE!D43+NOVIEMBRE!D43+DICIEMBRE!D43</f>
        <v>63662315.586568967</v>
      </c>
      <c r="E43" s="16">
        <f>ENERO!E43+FEBRERO!E43+MARZO!E43+ABRIL!E43+MAYO!E43+JUNIO!E43+JULIO!E43+AGOSTO!E43+SEPTIEMBRE!E43+OCTUBRE!E43+NOVIEMBRE!E43+DICIEMBRE!E43</f>
        <v>47695547.585880093</v>
      </c>
      <c r="F43" s="16">
        <f>ENERO!F43+FEBRERO!F43+MARZO!F43+ABRIL!F43+MAYO!F43+JUNIO!F43+JULIO!F43+AGOSTO!F43+SEPTIEMBRE!F43+OCTUBRE!F43+NOVIEMBRE!F43+DICIEMBRE!F43</f>
        <v>112849649.60805705</v>
      </c>
      <c r="G43" s="16">
        <f>ENERO!G43+FEBRERO!G43+MARZO!G43+ABRIL!G43+MAYO!G43+JUNIO!G43+JULIO!G43+AGOSTO!G43+SEPTIEMBRE!G43+OCTUBRE!G43+NOVIEMBRE!G43+DICIEMBRE!G43</f>
        <v>31373558.490000002</v>
      </c>
      <c r="H43" s="16">
        <f>ENERO!H43+FEBRERO!H43+MARZO!H43+ABRIL!H43+MAYO!H43+JUNIO!H43+JULIO!H43+AGOSTO!H43+SEPTIEMBRE!H43+OCTUBRE!H43+NOVIEMBRE!H43+DICIEMBRE!H43</f>
        <v>242574342.47</v>
      </c>
      <c r="I43" s="16">
        <f>ENERO!I43+FEBRERO!I43+MARZO!I43+ABRIL!I43+MAYO!I43+JUNIO!I43+JULIO!I43+AGOSTO!I43+SEPTIEMBRE!I43+OCTUBRE!I43+NOVIEMBRE!I43+DICIEMBRE!I43</f>
        <v>262556743.68999997</v>
      </c>
      <c r="J43" s="16">
        <f>ENERO!J43+FEBRERO!J43+MARZO!J43+ABRIL!J43+MAYO!J43+JUNIO!J43+JULIO!J43+AGOSTO!J43+SEPTIEMBRE!J43+OCTUBRE!J43+NOVIEMBRE!J43+DICIEMBRE!J43</f>
        <v>475491499.66000003</v>
      </c>
      <c r="K43" s="16">
        <f>ENERO!K43+FEBRERO!K43+MARZO!K43+ABRIL!K43+MAYO!K43+JUNIO!K43+JULIO!K43+AGOSTO!K43+SEPTIEMBRE!K43+OCTUBRE!K43+NOVIEMBRE!K43+DICIEMBRE!K43</f>
        <v>0</v>
      </c>
      <c r="L43" s="16">
        <f>ENERO!L43+FEBRERO!L43+MARZO!L43+ABRIL!L43+MAYO!L43+JUNIO!L43+JULIO!L43+AGOSTO!L43+SEPTIEMBRE!L43+OCTUBRE!L43+NOVIEMBRE!L43+DICIEMBRE!L43</f>
        <v>0</v>
      </c>
      <c r="M43" s="16">
        <f>ENERO!M43+FEBRERO!M43+MARZO!M43+ABRIL!M43+MAYO!M43+JUNIO!M43+JULIO!M43+AGOSTO!M43+SEPTIEMBRE!M43+OCTUBRE!M43+NOVIEMBRE!M43+DICIEMBRE!M43</f>
        <v>35210.740000000005</v>
      </c>
      <c r="N43" s="18">
        <f t="shared" si="1"/>
        <v>5943531564.6605053</v>
      </c>
      <c r="O43" s="4"/>
    </row>
    <row r="44" spans="1:15" ht="18" customHeight="1" x14ac:dyDescent="0.2">
      <c r="A44" s="17" t="s">
        <v>39</v>
      </c>
      <c r="B44" s="16">
        <f>ENERO!B44+FEBRERO!B44+MARZO!B44+ABRIL!B44+MAYO!B44+JUNIO!B44+JULIO!B44+AGOSTO!B44+SEPTIEMBRE!B44+OCTUBRE!B44+NOVIEMBRE!B44+DICIEMBRE!B44</f>
        <v>5562693550.8500004</v>
      </c>
      <c r="C44" s="16">
        <f>ENERO!C44+FEBRERO!C44+MARZO!C44+ABRIL!C44+MAYO!C44+JUNIO!C44+JULIO!C44+AGOSTO!C44+SEPTIEMBRE!C44+OCTUBRE!C44+NOVIEMBRE!C44+DICIEMBRE!C44</f>
        <v>402575.63</v>
      </c>
      <c r="D44" s="16">
        <f>ENERO!D44+FEBRERO!D44+MARZO!D44+ABRIL!D44+MAYO!D44+JUNIO!D44+JULIO!D44+AGOSTO!D44+SEPTIEMBRE!D44+OCTUBRE!D44+NOVIEMBRE!D44+DICIEMBRE!D44</f>
        <v>47951921.967453234</v>
      </c>
      <c r="E44" s="16">
        <f>ENERO!E44+FEBRERO!E44+MARZO!E44+ABRIL!E44+MAYO!E44+JUNIO!E44+JULIO!E44+AGOSTO!E44+SEPTIEMBRE!E44+OCTUBRE!E44+NOVIEMBRE!E44+DICIEMBRE!E44</f>
        <v>59976546.524560049</v>
      </c>
      <c r="F44" s="16">
        <f>ENERO!F44+FEBRERO!F44+MARZO!F44+ABRIL!F44+MAYO!F44+JUNIO!F44+JULIO!F44+AGOSTO!F44+SEPTIEMBRE!F44+OCTUBRE!F44+NOVIEMBRE!F44+DICIEMBRE!F44</f>
        <v>141993711.09281594</v>
      </c>
      <c r="G44" s="16">
        <f>ENERO!G44+FEBRERO!G44+MARZO!G44+ABRIL!G44+MAYO!G44+JUNIO!G44+JULIO!G44+AGOSTO!G44+SEPTIEMBRE!G44+OCTUBRE!G44+NOVIEMBRE!G44+DICIEMBRE!G44</f>
        <v>57102014.822987877</v>
      </c>
      <c r="H44" s="16">
        <f>ENERO!H44+FEBRERO!H44+MARZO!H44+ABRIL!H44+MAYO!H44+JUNIO!H44+JULIO!H44+AGOSTO!H44+SEPTIEMBRE!H44+OCTUBRE!H44+NOVIEMBRE!H44+DICIEMBRE!H44</f>
        <v>289999459.50999999</v>
      </c>
      <c r="I44" s="16">
        <f>ENERO!I44+FEBRERO!I44+MARZO!I44+ABRIL!I44+MAYO!I44+JUNIO!I44+JULIO!I44+AGOSTO!I44+SEPTIEMBRE!I44+OCTUBRE!I44+NOVIEMBRE!I44+DICIEMBRE!I44</f>
        <v>330363510.63999999</v>
      </c>
      <c r="J44" s="16">
        <f>ENERO!J44+FEBRERO!J44+MARZO!J44+ABRIL!J44+MAYO!J44+JUNIO!J44+JULIO!J44+AGOSTO!J44+SEPTIEMBRE!J44+OCTUBRE!J44+NOVIEMBRE!J44+DICIEMBRE!J44</f>
        <v>606479933.97999978</v>
      </c>
      <c r="K44" s="16">
        <f>ENERO!K44+FEBRERO!K44+MARZO!K44+ABRIL!K44+MAYO!K44+JUNIO!K44+JULIO!K44+AGOSTO!K44+SEPTIEMBRE!K44+OCTUBRE!K44+NOVIEMBRE!K44+DICIEMBRE!K44</f>
        <v>0</v>
      </c>
      <c r="L44" s="16">
        <f>ENERO!L44+FEBRERO!L44+MARZO!L44+ABRIL!L44+MAYO!L44+JUNIO!L44+JULIO!L44+AGOSTO!L44+SEPTIEMBRE!L44+OCTUBRE!L44+NOVIEMBRE!L44+DICIEMBRE!L44</f>
        <v>0</v>
      </c>
      <c r="M44" s="16">
        <f>ENERO!M44+FEBRERO!M44+MARZO!M44+ABRIL!M44+MAYO!M44+JUNIO!M44+JULIO!M44+AGOSTO!M44+SEPTIEMBRE!M44+OCTUBRE!M44+NOVIEMBRE!M44+DICIEMBRE!M44</f>
        <v>44304.14</v>
      </c>
      <c r="N44" s="18">
        <f t="shared" si="1"/>
        <v>7097007529.1578178</v>
      </c>
      <c r="O44" s="4"/>
    </row>
    <row r="45" spans="1:15" ht="18" customHeight="1" x14ac:dyDescent="0.2">
      <c r="A45" s="17" t="s">
        <v>40</v>
      </c>
      <c r="B45" s="16">
        <f>ENERO!B45+FEBRERO!B45+MARZO!B45+ABRIL!B45+MAYO!B45+JUNIO!B45+JULIO!B45+AGOSTO!B45+SEPTIEMBRE!B45+OCTUBRE!B45+NOVIEMBRE!B45+DICIEMBRE!B45</f>
        <v>1614021893.3599999</v>
      </c>
      <c r="C45" s="16">
        <f>ENERO!C45+FEBRERO!C45+MARZO!C45+ABRIL!C45+MAYO!C45+JUNIO!C45+JULIO!C45+AGOSTO!C45+SEPTIEMBRE!C45+OCTUBRE!C45+NOVIEMBRE!C45+DICIEMBRE!C45</f>
        <v>114232.42</v>
      </c>
      <c r="D45" s="16">
        <f>ENERO!D45+FEBRERO!D45+MARZO!D45+ABRIL!D45+MAYO!D45+JUNIO!D45+JULIO!D45+AGOSTO!D45+SEPTIEMBRE!D45+OCTUBRE!D45+NOVIEMBRE!D45+DICIEMBRE!D45</f>
        <v>62954536.655623913</v>
      </c>
      <c r="E45" s="16">
        <f>ENERO!E45+FEBRERO!E45+MARZO!E45+ABRIL!E45+MAYO!E45+JUNIO!E45+JULIO!E45+AGOSTO!E45+SEPTIEMBRE!E45+OCTUBRE!E45+NOVIEMBRE!E45+DICIEMBRE!E45</f>
        <v>17416065.19381886</v>
      </c>
      <c r="F45" s="16">
        <f>ENERO!F45+FEBRERO!F45+MARZO!F45+ABRIL!F45+MAYO!F45+JUNIO!F45+JULIO!F45+AGOSTO!F45+SEPTIEMBRE!F45+OCTUBRE!F45+NOVIEMBRE!F45+DICIEMBRE!F45</f>
        <v>10576002.652009834</v>
      </c>
      <c r="G45" s="16">
        <f>ENERO!G45+FEBRERO!G45+MARZO!G45+ABRIL!G45+MAYO!G45+JUNIO!G45+JULIO!G45+AGOSTO!G45+SEPTIEMBRE!G45+OCTUBRE!G45+NOVIEMBRE!G45+DICIEMBRE!G45</f>
        <v>4383576.9499999993</v>
      </c>
      <c r="H45" s="16">
        <f>ENERO!H45+FEBRERO!H45+MARZO!H45+ABRIL!H45+MAYO!H45+JUNIO!H45+JULIO!H45+AGOSTO!H45+SEPTIEMBRE!H45+OCTUBRE!H45+NOVIEMBRE!H45+DICIEMBRE!H45</f>
        <v>84024364.780000001</v>
      </c>
      <c r="I45" s="16">
        <f>ENERO!I45+FEBRERO!I45+MARZO!I45+ABRIL!I45+MAYO!I45+JUNIO!I45+JULIO!I45+AGOSTO!I45+SEPTIEMBRE!I45+OCTUBRE!I45+NOVIEMBRE!I45+DICIEMBRE!I45</f>
        <v>24606198.109999999</v>
      </c>
      <c r="J45" s="16">
        <f>ENERO!J45+FEBRERO!J45+MARZO!J45+ABRIL!J45+MAYO!J45+JUNIO!J45+JULIO!J45+AGOSTO!J45+SEPTIEMBRE!J45+OCTUBRE!J45+NOVIEMBRE!J45+DICIEMBRE!J45</f>
        <v>89561769.330000013</v>
      </c>
      <c r="K45" s="16">
        <f>ENERO!K45+FEBRERO!K45+MARZO!K45+ABRIL!K45+MAYO!K45+JUNIO!K45+JULIO!K45+AGOSTO!K45+SEPTIEMBRE!K45+OCTUBRE!K45+NOVIEMBRE!K45+DICIEMBRE!K45</f>
        <v>0</v>
      </c>
      <c r="L45" s="16">
        <f>ENERO!L45+FEBRERO!L45+MARZO!L45+ABRIL!L45+MAYO!L45+JUNIO!L45+JULIO!L45+AGOSTO!L45+SEPTIEMBRE!L45+OCTUBRE!L45+NOVIEMBRE!L45+DICIEMBRE!L45</f>
        <v>0</v>
      </c>
      <c r="M45" s="16">
        <f>ENERO!M45+FEBRERO!M45+MARZO!M45+ABRIL!M45+MAYO!M45+JUNIO!M45+JULIO!M45+AGOSTO!M45+SEPTIEMBRE!M45+OCTUBRE!M45+NOVIEMBRE!M45+DICIEMBRE!M45</f>
        <v>3299.69</v>
      </c>
      <c r="N45" s="18">
        <f t="shared" si="1"/>
        <v>1907661939.1414523</v>
      </c>
      <c r="O45" s="4"/>
    </row>
    <row r="46" spans="1:15" ht="18" customHeight="1" x14ac:dyDescent="0.2">
      <c r="A46" s="17" t="s">
        <v>41</v>
      </c>
      <c r="B46" s="16">
        <f>ENERO!B46+FEBRERO!B46+MARZO!B46+ABRIL!B46+MAYO!B46+JUNIO!B46+JULIO!B46+AGOSTO!B46+SEPTIEMBRE!B46+OCTUBRE!B46+NOVIEMBRE!B46+DICIEMBRE!B46</f>
        <v>2450480744.0300002</v>
      </c>
      <c r="C46" s="16">
        <f>ENERO!C46+FEBRERO!C46+MARZO!C46+ABRIL!C46+MAYO!C46+JUNIO!C46+JULIO!C46+AGOSTO!C46+SEPTIEMBRE!C46+OCTUBRE!C46+NOVIEMBRE!C46+DICIEMBRE!C46</f>
        <v>178001.18000000002</v>
      </c>
      <c r="D46" s="16">
        <f>ENERO!D46+FEBRERO!D46+MARZO!D46+ABRIL!D46+MAYO!D46+JUNIO!D46+JULIO!D46+AGOSTO!D46+SEPTIEMBRE!D46+OCTUBRE!D46+NOVIEMBRE!D46+DICIEMBRE!D46</f>
        <v>44374521.327453233</v>
      </c>
      <c r="E46" s="16">
        <f>ENERO!E46+FEBRERO!E46+MARZO!E46+ABRIL!E46+MAYO!E46+JUNIO!E46+JULIO!E46+AGOSTO!E46+SEPTIEMBRE!E46+OCTUBRE!E46+NOVIEMBRE!E46+DICIEMBRE!E46</f>
        <v>36186485.655665949</v>
      </c>
      <c r="F46" s="16">
        <f>ENERO!F46+FEBRERO!F46+MARZO!F46+ABRIL!F46+MAYO!F46+JUNIO!F46+JULIO!F46+AGOSTO!F46+SEPTIEMBRE!F46+OCTUBRE!F46+NOVIEMBRE!F46+DICIEMBRE!F46</f>
        <v>83419925.635871321</v>
      </c>
      <c r="G46" s="16">
        <f>ENERO!G46+FEBRERO!G46+MARZO!G46+ABRIL!G46+MAYO!G46+JUNIO!G46+JULIO!G46+AGOSTO!G46+SEPTIEMBRE!G46+OCTUBRE!G46+NOVIEMBRE!G46+DICIEMBRE!G46</f>
        <v>0</v>
      </c>
      <c r="H46" s="16">
        <f>ENERO!H46+FEBRERO!H46+MARZO!H46+ABRIL!H46+MAYO!H46+JUNIO!H46+JULIO!H46+AGOSTO!H46+SEPTIEMBRE!H46+OCTUBRE!H46+NOVIEMBRE!H46+DICIEMBRE!H46</f>
        <v>127781217.82000001</v>
      </c>
      <c r="I46" s="16">
        <f>ENERO!I46+FEBRERO!I46+MARZO!I46+ABRIL!I46+MAYO!I46+JUNIO!I46+JULIO!I46+AGOSTO!I46+SEPTIEMBRE!I46+OCTUBRE!I46+NOVIEMBRE!I46+DICIEMBRE!I46</f>
        <v>194085352.67000002</v>
      </c>
      <c r="J46" s="16">
        <f>ENERO!J46+FEBRERO!J46+MARZO!J46+ABRIL!J46+MAYO!J46+JUNIO!J46+JULIO!J46+AGOSTO!J46+SEPTIEMBRE!J46+OCTUBRE!J46+NOVIEMBRE!J46+DICIEMBRE!J46</f>
        <v>390302461.87</v>
      </c>
      <c r="K46" s="16">
        <f>ENERO!K46+FEBRERO!K46+MARZO!K46+ABRIL!K46+MAYO!K46+JUNIO!K46+JULIO!K46+AGOSTO!K46+SEPTIEMBRE!K46+OCTUBRE!K46+NOVIEMBRE!K46+DICIEMBRE!K46</f>
        <v>0</v>
      </c>
      <c r="L46" s="16">
        <f>ENERO!L46+FEBRERO!L46+MARZO!L46+ABRIL!L46+MAYO!L46+JUNIO!L46+JULIO!L46+AGOSTO!L46+SEPTIEMBRE!L46+OCTUBRE!L46+NOVIEMBRE!L46+DICIEMBRE!L46</f>
        <v>0</v>
      </c>
      <c r="M46" s="16">
        <f>ENERO!M46+FEBRERO!M46+MARZO!M46+ABRIL!M46+MAYO!M46+JUNIO!M46+JULIO!M46+AGOSTO!M46+SEPTIEMBRE!M46+OCTUBRE!M46+NOVIEMBRE!M46+DICIEMBRE!M46</f>
        <v>26028.15</v>
      </c>
      <c r="N46" s="18">
        <f t="shared" si="1"/>
        <v>3326834738.3389907</v>
      </c>
      <c r="O46" s="4"/>
    </row>
    <row r="47" spans="1:15" ht="18" customHeight="1" x14ac:dyDescent="0.2">
      <c r="A47" s="17" t="s">
        <v>42</v>
      </c>
      <c r="B47" s="16">
        <f>ENERO!B47+FEBRERO!B47+MARZO!B47+ABRIL!B47+MAYO!B47+JUNIO!B47+JULIO!B47+AGOSTO!B47+SEPTIEMBRE!B47+OCTUBRE!B47+NOVIEMBRE!B47+DICIEMBRE!B47</f>
        <v>7378468182.2900009</v>
      </c>
      <c r="C47" s="16">
        <f>ENERO!C47+FEBRERO!C47+MARZO!C47+ABRIL!C47+MAYO!C47+JUNIO!C47+JULIO!C47+AGOSTO!C47+SEPTIEMBRE!C47+OCTUBRE!C47+NOVIEMBRE!C47+DICIEMBRE!C47</f>
        <v>529564.01</v>
      </c>
      <c r="D47" s="16">
        <f>ENERO!D47+FEBRERO!D47+MARZO!D47+ABRIL!D47+MAYO!D47+JUNIO!D47+JULIO!D47+AGOSTO!D47+SEPTIEMBRE!D47+OCTUBRE!D47+NOVIEMBRE!D47+DICIEMBRE!D47</f>
        <v>42826293.927606001</v>
      </c>
      <c r="E47" s="16">
        <f>ENERO!E47+FEBRERO!E47+MARZO!E47+ABRIL!E47+MAYO!E47+JUNIO!E47+JULIO!E47+AGOSTO!E47+SEPTIEMBRE!E47+OCTUBRE!E47+NOVIEMBRE!E47+DICIEMBRE!E47</f>
        <v>108921717.54000682</v>
      </c>
      <c r="F47" s="16">
        <f>ENERO!F47+FEBRERO!F47+MARZO!F47+ABRIL!F47+MAYO!F47+JUNIO!F47+JULIO!F47+AGOSTO!F47+SEPTIEMBRE!F47+OCTUBRE!F47+NOVIEMBRE!F47+DICIEMBRE!F47</f>
        <v>260056700.35391402</v>
      </c>
      <c r="G47" s="16">
        <f>ENERO!G47+FEBRERO!G47+MARZO!G47+ABRIL!G47+MAYO!G47+JUNIO!G47+JULIO!G47+AGOSTO!G47+SEPTIEMBRE!G47+OCTUBRE!G47+NOVIEMBRE!G47+DICIEMBRE!G47</f>
        <v>64479160.743495911</v>
      </c>
      <c r="H47" s="16">
        <f>ENERO!H47+FEBRERO!H47+MARZO!H47+ABRIL!H47+MAYO!H47+JUNIO!H47+JULIO!H47+AGOSTO!H47+SEPTIEMBRE!H47+OCTUBRE!H47+NOVIEMBRE!H47+DICIEMBRE!H47</f>
        <v>384456307.16000003</v>
      </c>
      <c r="I47" s="16">
        <f>ENERO!I47+FEBRERO!I47+MARZO!I47+ABRIL!I47+MAYO!I47+JUNIO!I47+JULIO!I47+AGOSTO!I47+SEPTIEMBRE!I47+OCTUBRE!I47+NOVIEMBRE!I47+DICIEMBRE!I47</f>
        <v>605049644.83000004</v>
      </c>
      <c r="J47" s="16">
        <f>ENERO!J47+FEBRERO!J47+MARZO!J47+ABRIL!J47+MAYO!J47+JUNIO!J47+JULIO!J47+AGOSTO!J47+SEPTIEMBRE!J47+OCTUBRE!J47+NOVIEMBRE!J47+DICIEMBRE!J47</f>
        <v>923441196.60000002</v>
      </c>
      <c r="K47" s="16">
        <f>ENERO!K47+FEBRERO!K47+MARZO!K47+ABRIL!K47+MAYO!K47+JUNIO!K47+JULIO!K47+AGOSTO!K47+SEPTIEMBRE!K47+OCTUBRE!K47+NOVIEMBRE!K47+DICIEMBRE!K47</f>
        <v>0</v>
      </c>
      <c r="L47" s="16">
        <f>ENERO!L47+FEBRERO!L47+MARZO!L47+ABRIL!L47+MAYO!L47+JUNIO!L47+JULIO!L47+AGOSTO!L47+SEPTIEMBRE!L47+OCTUBRE!L47+NOVIEMBRE!L47+DICIEMBRE!L47</f>
        <v>0</v>
      </c>
      <c r="M47" s="16">
        <f>ENERO!M47+FEBRERO!M47+MARZO!M47+ABRIL!M47+MAYO!M47+JUNIO!M47+JULIO!M47+AGOSTO!M47+SEPTIEMBRE!M47+OCTUBRE!M47+NOVIEMBRE!M47+DICIEMBRE!M47</f>
        <v>81141.739999999991</v>
      </c>
      <c r="N47" s="18">
        <f t="shared" si="1"/>
        <v>9768309909.1950245</v>
      </c>
      <c r="O47" s="4"/>
    </row>
    <row r="48" spans="1:15" ht="18" customHeight="1" x14ac:dyDescent="0.2">
      <c r="A48" s="17" t="s">
        <v>43</v>
      </c>
      <c r="B48" s="16">
        <f>ENERO!B48+FEBRERO!B48+MARZO!B48+ABRIL!B48+MAYO!B48+JUNIO!B48+JULIO!B48+AGOSTO!B48+SEPTIEMBRE!B48+OCTUBRE!B48+NOVIEMBRE!B48+DICIEMBRE!B48</f>
        <v>754727462.57000005</v>
      </c>
      <c r="C48" s="16">
        <f>ENERO!C48+FEBRERO!C48+MARZO!C48+ABRIL!C48+MAYO!C48+JUNIO!C48+JULIO!C48+AGOSTO!C48+SEPTIEMBRE!C48+OCTUBRE!C48+NOVIEMBRE!C48+DICIEMBRE!C48</f>
        <v>57905.770000000004</v>
      </c>
      <c r="D48" s="16">
        <f>ENERO!D48+FEBRERO!D48+MARZO!D48+ABRIL!D48+MAYO!D48+JUNIO!D48+JULIO!D48+AGOSTO!D48+SEPTIEMBRE!D48+OCTUBRE!D48+NOVIEMBRE!D48+DICIEMBRE!D48</f>
        <v>62718664.770609185</v>
      </c>
      <c r="E48" s="16">
        <f>ENERO!E48+FEBRERO!E48+MARZO!E48+ABRIL!E48+MAYO!E48+JUNIO!E48+JULIO!E48+AGOSTO!E48+SEPTIEMBRE!E48+OCTUBRE!E48+NOVIEMBRE!E48+DICIEMBRE!E48</f>
        <v>8272729.103035843</v>
      </c>
      <c r="F48" s="16">
        <f>ENERO!F48+FEBRERO!F48+MARZO!F48+ABRIL!F48+MAYO!F48+JUNIO!F48+JULIO!F48+AGOSTO!F48+SEPTIEMBRE!F48+OCTUBRE!F48+NOVIEMBRE!F48+DICIEMBRE!F48</f>
        <v>2259330.1805582708</v>
      </c>
      <c r="G48" s="16">
        <f>ENERO!G48+FEBRERO!G48+MARZO!G48+ABRIL!G48+MAYO!G48+JUNIO!G48+JULIO!G48+AGOSTO!G48+SEPTIEMBRE!G48+OCTUBRE!G48+NOVIEMBRE!G48+DICIEMBRE!G48</f>
        <v>1308187.8900000001</v>
      </c>
      <c r="H48" s="16">
        <f>ENERO!H48+FEBRERO!H48+MARZO!H48+ABRIL!H48+MAYO!H48+JUNIO!H48+JULIO!H48+AGOSTO!H48+SEPTIEMBRE!H48+OCTUBRE!H48+NOVIEMBRE!H48+DICIEMBRE!H48</f>
        <v>39498365.049999997</v>
      </c>
      <c r="I48" s="16">
        <f>ENERO!I48+FEBRERO!I48+MARZO!I48+ABRIL!I48+MAYO!I48+JUNIO!I48+JULIO!I48+AGOSTO!I48+SEPTIEMBRE!I48+OCTUBRE!I48+NOVIEMBRE!I48+DICIEMBRE!I48</f>
        <v>5256572.7199999988</v>
      </c>
      <c r="J48" s="16">
        <f>ENERO!J48+FEBRERO!J48+MARZO!J48+ABRIL!J48+MAYO!J48+JUNIO!J48+JULIO!J48+AGOSTO!J48+SEPTIEMBRE!J48+OCTUBRE!J48+NOVIEMBRE!J48+DICIEMBRE!J48</f>
        <v>50138480.699999996</v>
      </c>
      <c r="K48" s="16">
        <f>ENERO!K48+FEBRERO!K48+MARZO!K48+ABRIL!K48+MAYO!K48+JUNIO!K48+JULIO!K48+AGOSTO!K48+SEPTIEMBRE!K48+OCTUBRE!K48+NOVIEMBRE!K48+DICIEMBRE!K48</f>
        <v>0</v>
      </c>
      <c r="L48" s="16">
        <f>ENERO!L48+FEBRERO!L48+MARZO!L48+ABRIL!L48+MAYO!L48+JUNIO!L48+JULIO!L48+AGOSTO!L48+SEPTIEMBRE!L48+OCTUBRE!L48+NOVIEMBRE!L48+DICIEMBRE!L48</f>
        <v>0</v>
      </c>
      <c r="M48" s="16">
        <f>ENERO!M48+FEBRERO!M48+MARZO!M48+ABRIL!M48+MAYO!M48+JUNIO!M48+JULIO!M48+AGOSTO!M48+SEPTIEMBRE!M48+OCTUBRE!M48+NOVIEMBRE!M48+DICIEMBRE!M48</f>
        <v>704.71</v>
      </c>
      <c r="N48" s="18">
        <f t="shared" si="1"/>
        <v>924238403.46420336</v>
      </c>
      <c r="O48" s="4"/>
    </row>
    <row r="49" spans="1:15" ht="18" customHeight="1" x14ac:dyDescent="0.2">
      <c r="A49" s="17" t="s">
        <v>44</v>
      </c>
      <c r="B49" s="16">
        <f>ENERO!B49+FEBRERO!B49+MARZO!B49+ABRIL!B49+MAYO!B49+JUNIO!B49+JULIO!B49+AGOSTO!B49+SEPTIEMBRE!B49+OCTUBRE!B49+NOVIEMBRE!B49+DICIEMBRE!B49</f>
        <v>1319965741.71</v>
      </c>
      <c r="C49" s="16">
        <f>ENERO!C49+FEBRERO!C49+MARZO!C49+ABRIL!C49+MAYO!C49+JUNIO!C49+JULIO!C49+AGOSTO!C49+SEPTIEMBRE!C49+OCTUBRE!C49+NOVIEMBRE!C49+DICIEMBRE!C49</f>
        <v>94242.02</v>
      </c>
      <c r="D49" s="16">
        <f>ENERO!D49+FEBRERO!D49+MARZO!D49+ABRIL!D49+MAYO!D49+JUNIO!D49+JULIO!D49+AGOSTO!D49+SEPTIEMBRE!D49+OCTUBRE!D49+NOVIEMBRE!D49+DICIEMBRE!D49</f>
        <v>96919669.371863604</v>
      </c>
      <c r="E49" s="16">
        <f>ENERO!E49+FEBRERO!E49+MARZO!E49+ABRIL!E49+MAYO!E49+JUNIO!E49+JULIO!E49+AGOSTO!E49+SEPTIEMBRE!E49+OCTUBRE!E49+NOVIEMBRE!E49+DICIEMBRE!E49</f>
        <v>12551379.114679245</v>
      </c>
      <c r="F49" s="16">
        <f>ENERO!F49+FEBRERO!F49+MARZO!F49+ABRIL!F49+MAYO!F49+JUNIO!F49+JULIO!F49+AGOSTO!F49+SEPTIEMBRE!F49+OCTUBRE!F49+NOVIEMBRE!F49+DICIEMBRE!F49</f>
        <v>13341734.505279444</v>
      </c>
      <c r="G49" s="16">
        <f>ENERO!G49+FEBRERO!G49+MARZO!G49+ABRIL!G49+MAYO!G49+JUNIO!G49+JULIO!G49+AGOSTO!G49+SEPTIEMBRE!G49+OCTUBRE!G49+NOVIEMBRE!G49+DICIEMBRE!G49</f>
        <v>5806518.1500000004</v>
      </c>
      <c r="H49" s="16">
        <f>ENERO!H49+FEBRERO!H49+MARZO!H49+ABRIL!H49+MAYO!H49+JUNIO!H49+JULIO!H49+AGOSTO!H49+SEPTIEMBRE!H49+OCTUBRE!H49+NOVIEMBRE!H49+DICIEMBRE!H49</f>
        <v>68754150.689999998</v>
      </c>
      <c r="I49" s="16">
        <f>ENERO!I49+FEBRERO!I49+MARZO!I49+ABRIL!I49+MAYO!I49+JUNIO!I49+JULIO!I49+AGOSTO!I49+SEPTIEMBRE!I49+OCTUBRE!I49+NOVIEMBRE!I49+DICIEMBRE!I49</f>
        <v>31040968.149999999</v>
      </c>
      <c r="J49" s="16">
        <f>ENERO!J49+FEBRERO!J49+MARZO!J49+ABRIL!J49+MAYO!J49+JUNIO!J49+JULIO!J49+AGOSTO!J49+SEPTIEMBRE!J49+OCTUBRE!J49+NOVIEMBRE!J49+DICIEMBRE!J49</f>
        <v>117442847.06</v>
      </c>
      <c r="K49" s="16">
        <f>ENERO!K49+FEBRERO!K49+MARZO!K49+ABRIL!K49+MAYO!K49+JUNIO!K49+JULIO!K49+AGOSTO!K49+SEPTIEMBRE!K49+OCTUBRE!K49+NOVIEMBRE!K49+DICIEMBRE!K49</f>
        <v>0</v>
      </c>
      <c r="L49" s="16">
        <f>ENERO!L49+FEBRERO!L49+MARZO!L49+ABRIL!L49+MAYO!L49+JUNIO!L49+JULIO!L49+AGOSTO!L49+SEPTIEMBRE!L49+OCTUBRE!L49+NOVIEMBRE!L49+DICIEMBRE!L49</f>
        <v>0</v>
      </c>
      <c r="M49" s="16">
        <f>ENERO!M49+FEBRERO!M49+MARZO!M49+ABRIL!M49+MAYO!M49+JUNIO!M49+JULIO!M49+AGOSTO!M49+SEPTIEMBRE!M49+OCTUBRE!M49+NOVIEMBRE!M49+DICIEMBRE!M49</f>
        <v>4162.68</v>
      </c>
      <c r="N49" s="18">
        <f t="shared" si="1"/>
        <v>1665921413.4518228</v>
      </c>
      <c r="O49" s="4"/>
    </row>
    <row r="50" spans="1:15" ht="18" customHeight="1" x14ac:dyDescent="0.2">
      <c r="A50" s="17" t="s">
        <v>45</v>
      </c>
      <c r="B50" s="16">
        <f>ENERO!B50+FEBRERO!B50+MARZO!B50+ABRIL!B50+MAYO!B50+JUNIO!B50+JULIO!B50+AGOSTO!B50+SEPTIEMBRE!B50+OCTUBRE!B50+NOVIEMBRE!B50+DICIEMBRE!B50</f>
        <v>1008917457.89</v>
      </c>
      <c r="C50" s="16">
        <f>ENERO!C50+FEBRERO!C50+MARZO!C50+ABRIL!C50+MAYO!C50+JUNIO!C50+JULIO!C50+AGOSTO!C50+SEPTIEMBRE!C50+OCTUBRE!C50+NOVIEMBRE!C50+DICIEMBRE!C50</f>
        <v>75011.13</v>
      </c>
      <c r="D50" s="16">
        <f>ENERO!D50+FEBRERO!D50+MARZO!D50+ABRIL!D50+MAYO!D50+JUNIO!D50+JULIO!D50+AGOSTO!D50+SEPTIEMBRE!D50+OCTUBRE!D50+NOVIEMBRE!D50+DICIEMBRE!D50</f>
        <v>72850902.852930799</v>
      </c>
      <c r="E50" s="16">
        <f>ENERO!E50+FEBRERO!E50+MARZO!E50+ABRIL!E50+MAYO!E50+JUNIO!E50+JULIO!E50+AGOSTO!E50+SEPTIEMBRE!E50+OCTUBRE!E50+NOVIEMBRE!E50+DICIEMBRE!E50</f>
        <v>10998760.650310682</v>
      </c>
      <c r="F50" s="16">
        <f>ENERO!F50+FEBRERO!F50+MARZO!F50+ABRIL!F50+MAYO!F50+JUNIO!F50+JULIO!F50+AGOSTO!F50+SEPTIEMBRE!F50+OCTUBRE!F50+NOVIEMBRE!F50+DICIEMBRE!F50</f>
        <v>3739581.0354067925</v>
      </c>
      <c r="G50" s="16">
        <f>ENERO!G50+FEBRERO!G50+MARZO!G50+ABRIL!G50+MAYO!G50+JUNIO!G50+JULIO!G50+AGOSTO!G50+SEPTIEMBRE!G50+OCTUBRE!G50+NOVIEMBRE!G50+DICIEMBRE!G50</f>
        <v>1629497.17</v>
      </c>
      <c r="H50" s="16">
        <f>ENERO!H50+FEBRERO!H50+MARZO!H50+ABRIL!H50+MAYO!H50+JUNIO!H50+JULIO!H50+AGOSTO!H50+SEPTIEMBRE!H50+OCTUBRE!H50+NOVIEMBRE!H50+DICIEMBRE!H50</f>
        <v>52690244.379999995</v>
      </c>
      <c r="I50" s="16">
        <f>ENERO!I50+FEBRERO!I50+MARZO!I50+ABRIL!I50+MAYO!I50+JUNIO!I50+JULIO!I50+AGOSTO!I50+SEPTIEMBRE!I50+OCTUBRE!I50+NOVIEMBRE!I50+DICIEMBRE!I50</f>
        <v>8700534.1500000004</v>
      </c>
      <c r="J50" s="16">
        <f>ENERO!J50+FEBRERO!J50+MARZO!J50+ABRIL!J50+MAYO!J50+JUNIO!J50+JULIO!J50+AGOSTO!J50+SEPTIEMBRE!J50+OCTUBRE!J50+NOVIEMBRE!J50+DICIEMBRE!J50</f>
        <v>82531052.850000024</v>
      </c>
      <c r="K50" s="16">
        <f>ENERO!K50+FEBRERO!K50+MARZO!K50+ABRIL!K50+MAYO!K50+JUNIO!K50+JULIO!K50+AGOSTO!K50+SEPTIEMBRE!K50+OCTUBRE!K50+NOVIEMBRE!K50+DICIEMBRE!K50</f>
        <v>0</v>
      </c>
      <c r="L50" s="16">
        <f>ENERO!L50+FEBRERO!L50+MARZO!L50+ABRIL!L50+MAYO!L50+JUNIO!L50+JULIO!L50+AGOSTO!L50+SEPTIEMBRE!L50+OCTUBRE!L50+NOVIEMBRE!L50+DICIEMBRE!L50</f>
        <v>0</v>
      </c>
      <c r="M50" s="16">
        <f>ENERO!M50+FEBRERO!M50+MARZO!M50+ABRIL!M50+MAYO!M50+JUNIO!M50+JULIO!M50+AGOSTO!M50+SEPTIEMBRE!M50+OCTUBRE!M50+NOVIEMBRE!M50+DICIEMBRE!M50</f>
        <v>1166.5800000000004</v>
      </c>
      <c r="N50" s="18">
        <f t="shared" si="1"/>
        <v>1242134208.6886482</v>
      </c>
      <c r="O50" s="4"/>
    </row>
    <row r="51" spans="1:15" ht="18" customHeight="1" x14ac:dyDescent="0.2">
      <c r="A51" s="17" t="s">
        <v>46</v>
      </c>
      <c r="B51" s="16">
        <f>ENERO!B51+FEBRERO!B51+MARZO!B51+ABRIL!B51+MAYO!B51+JUNIO!B51+JULIO!B51+AGOSTO!B51+SEPTIEMBRE!B51+OCTUBRE!B51+NOVIEMBRE!B51+DICIEMBRE!B51</f>
        <v>970512163.56000006</v>
      </c>
      <c r="C51" s="16">
        <f>ENERO!C51+FEBRERO!C51+MARZO!C51+ABRIL!C51+MAYO!C51+JUNIO!C51+JULIO!C51+AGOSTO!C51+SEPTIEMBRE!C51+OCTUBRE!C51+NOVIEMBRE!C51+DICIEMBRE!C51</f>
        <v>73967.48000000001</v>
      </c>
      <c r="D51" s="16">
        <f>ENERO!D51+FEBRERO!D51+MARZO!D51+ABRIL!D51+MAYO!D51+JUNIO!D51+JULIO!D51+AGOSTO!D51+SEPTIEMBRE!D51+OCTUBRE!D51+NOVIEMBRE!D51+DICIEMBRE!D51</f>
        <v>100857449.45656756</v>
      </c>
      <c r="E51" s="16">
        <f>ENERO!E51+FEBRERO!E51+MARZO!E51+ABRIL!E51+MAYO!E51+JUNIO!E51+JULIO!E51+AGOSTO!E51+SEPTIEMBRE!E51+OCTUBRE!E51+NOVIEMBRE!E51+DICIEMBRE!E51</f>
        <v>10543811.236900821</v>
      </c>
      <c r="F51" s="16">
        <f>ENERO!F51+FEBRERO!F51+MARZO!F51+ABRIL!F51+MAYO!F51+JUNIO!F51+JULIO!F51+AGOSTO!F51+SEPTIEMBRE!F51+OCTUBRE!F51+NOVIEMBRE!F51+DICIEMBRE!F51</f>
        <v>4661491.6298299944</v>
      </c>
      <c r="G51" s="16">
        <f>ENERO!G51+FEBRERO!G51+MARZO!G51+ABRIL!G51+MAYO!G51+JUNIO!G51+JULIO!G51+AGOSTO!G51+SEPTIEMBRE!G51+OCTUBRE!G51+NOVIEMBRE!G51+DICIEMBRE!G51</f>
        <v>2180313.13</v>
      </c>
      <c r="H51" s="16">
        <f>ENERO!H51+FEBRERO!H51+MARZO!H51+ABRIL!H51+MAYO!H51+JUNIO!H51+JULIO!H51+AGOSTO!H51+SEPTIEMBRE!H51+OCTUBRE!H51+NOVIEMBRE!H51+DICIEMBRE!H51</f>
        <v>50768478.770000003</v>
      </c>
      <c r="I51" s="16">
        <f>ENERO!I51+FEBRERO!I51+MARZO!I51+ABRIL!I51+MAYO!I51+JUNIO!I51+JULIO!I51+AGOSTO!I51+SEPTIEMBRE!I51+OCTUBRE!I51+NOVIEMBRE!I51+DICIEMBRE!I51</f>
        <v>10845457.49</v>
      </c>
      <c r="J51" s="16">
        <f>ENERO!J51+FEBRERO!J51+MARZO!J51+ABRIL!J51+MAYO!J51+JUNIO!J51+JULIO!J51+AGOSTO!J51+SEPTIEMBRE!J51+OCTUBRE!J51+NOVIEMBRE!J51+DICIEMBRE!J51</f>
        <v>57932734.670000002</v>
      </c>
      <c r="K51" s="16">
        <f>ENERO!K51+FEBRERO!K51+MARZO!K51+ABRIL!K51+MAYO!K51+JUNIO!K51+JULIO!K51+AGOSTO!K51+SEPTIEMBRE!K51+OCTUBRE!K51+NOVIEMBRE!K51+DICIEMBRE!K51</f>
        <v>0</v>
      </c>
      <c r="L51" s="16">
        <f>ENERO!L51+FEBRERO!L51+MARZO!L51+ABRIL!L51+MAYO!L51+JUNIO!L51+JULIO!L51+AGOSTO!L51+SEPTIEMBRE!L51+OCTUBRE!L51+NOVIEMBRE!L51+DICIEMBRE!L51</f>
        <v>0</v>
      </c>
      <c r="M51" s="16">
        <f>ENERO!M51+FEBRERO!M51+MARZO!M51+ABRIL!M51+MAYO!M51+JUNIO!M51+JULIO!M51+AGOSTO!M51+SEPTIEMBRE!M51+OCTUBRE!M51+NOVIEMBRE!M51+DICIEMBRE!M51</f>
        <v>1454.2400000000002</v>
      </c>
      <c r="N51" s="18">
        <f t="shared" si="1"/>
        <v>1208377321.6632986</v>
      </c>
      <c r="O51" s="4"/>
    </row>
    <row r="52" spans="1:15" ht="18" customHeight="1" x14ac:dyDescent="0.2">
      <c r="A52" s="17" t="s">
        <v>47</v>
      </c>
      <c r="B52" s="16">
        <f>ENERO!B52+FEBRERO!B52+MARZO!B52+ABRIL!B52+MAYO!B52+JUNIO!B52+JULIO!B52+AGOSTO!B52+SEPTIEMBRE!B52+OCTUBRE!B52+NOVIEMBRE!B52+DICIEMBRE!B52</f>
        <v>1123018472.1600001</v>
      </c>
      <c r="C52" s="16">
        <f>ENERO!C52+FEBRERO!C52+MARZO!C52+ABRIL!C52+MAYO!C52+JUNIO!C52+JULIO!C52+AGOSTO!C52+SEPTIEMBRE!C52+OCTUBRE!C52+NOVIEMBRE!C52+DICIEMBRE!C52</f>
        <v>80535.33</v>
      </c>
      <c r="D52" s="16">
        <f>ENERO!D52+FEBRERO!D52+MARZO!D52+ABRIL!D52+MAYO!D52+JUNIO!D52+JULIO!D52+AGOSTO!D52+SEPTIEMBRE!D52+OCTUBRE!D52+NOVIEMBRE!D52+DICIEMBRE!D52</f>
        <v>77207671.484861806</v>
      </c>
      <c r="E52" s="16">
        <f>ENERO!E52+FEBRERO!E52+MARZO!E52+ABRIL!E52+MAYO!E52+JUNIO!E52+JULIO!E52+AGOSTO!E52+SEPTIEMBRE!E52+OCTUBRE!E52+NOVIEMBRE!E52+DICIEMBRE!E52</f>
        <v>12060709.270940222</v>
      </c>
      <c r="F52" s="16">
        <f>ENERO!F52+FEBRERO!F52+MARZO!F52+ABRIL!F52+MAYO!F52+JUNIO!F52+JULIO!F52+AGOSTO!F52+SEPTIEMBRE!F52+OCTUBRE!F52+NOVIEMBRE!F52+DICIEMBRE!F52</f>
        <v>4291428.8986178646</v>
      </c>
      <c r="G52" s="16">
        <f>ENERO!G52+FEBRERO!G52+MARZO!G52+ABRIL!G52+MAYO!G52+JUNIO!G52+JULIO!G52+AGOSTO!G52+SEPTIEMBRE!G52+OCTUBRE!G52+NOVIEMBRE!G52+DICIEMBRE!G52</f>
        <v>2547523.77</v>
      </c>
      <c r="H52" s="16">
        <f>ENERO!H52+FEBRERO!H52+MARZO!H52+ABRIL!H52+MAYO!H52+JUNIO!H52+JULIO!H52+AGOSTO!H52+SEPTIEMBRE!H52+OCTUBRE!H52+NOVIEMBRE!H52+DICIEMBRE!H52</f>
        <v>58512032.890000001</v>
      </c>
      <c r="I52" s="16">
        <f>ENERO!I52+FEBRERO!I52+MARZO!I52+ABRIL!I52+MAYO!I52+JUNIO!I52+JULIO!I52+AGOSTO!I52+SEPTIEMBRE!I52+OCTUBRE!I52+NOVIEMBRE!I52+DICIEMBRE!I52</f>
        <v>9984467.1199999992</v>
      </c>
      <c r="J52" s="16">
        <f>ENERO!J52+FEBRERO!J52+MARZO!J52+ABRIL!J52+MAYO!J52+JUNIO!J52+JULIO!J52+AGOSTO!J52+SEPTIEMBRE!J52+OCTUBRE!J52+NOVIEMBRE!J52+DICIEMBRE!J52</f>
        <v>80668521.299999982</v>
      </c>
      <c r="K52" s="16">
        <f>ENERO!K52+FEBRERO!K52+MARZO!K52+ABRIL!K52+MAYO!K52+JUNIO!K52+JULIO!K52+AGOSTO!K52+SEPTIEMBRE!K52+OCTUBRE!K52+NOVIEMBRE!K52+DICIEMBRE!K52</f>
        <v>0</v>
      </c>
      <c r="L52" s="16">
        <f>ENERO!L52+FEBRERO!L52+MARZO!L52+ABRIL!L52+MAYO!L52+JUNIO!L52+JULIO!L52+AGOSTO!L52+SEPTIEMBRE!L52+OCTUBRE!L52+NOVIEMBRE!L52+DICIEMBRE!L52</f>
        <v>0</v>
      </c>
      <c r="M52" s="16">
        <f>ENERO!M52+FEBRERO!M52+MARZO!M52+ABRIL!M52+MAYO!M52+JUNIO!M52+JULIO!M52+AGOSTO!M52+SEPTIEMBRE!M52+OCTUBRE!M52+NOVIEMBRE!M52+DICIEMBRE!M52</f>
        <v>1338.7999999999995</v>
      </c>
      <c r="N52" s="18">
        <f t="shared" si="1"/>
        <v>1368372701.02442</v>
      </c>
      <c r="O52" s="4"/>
    </row>
    <row r="53" spans="1:15" ht="18" customHeight="1" x14ac:dyDescent="0.2">
      <c r="A53" s="17" t="s">
        <v>48</v>
      </c>
      <c r="B53" s="16">
        <f>ENERO!B53+FEBRERO!B53+MARZO!B53+ABRIL!B53+MAYO!B53+JUNIO!B53+JULIO!B53+AGOSTO!B53+SEPTIEMBRE!B53+OCTUBRE!B53+NOVIEMBRE!B53+DICIEMBRE!B53</f>
        <v>407888058.49000001</v>
      </c>
      <c r="C53" s="16">
        <f>ENERO!C53+FEBRERO!C53+MARZO!C53+ABRIL!C53+MAYO!C53+JUNIO!C53+JULIO!C53+AGOSTO!C53+SEPTIEMBRE!C53+OCTUBRE!C53+NOVIEMBRE!C53+DICIEMBRE!C53</f>
        <v>29025.280000000002</v>
      </c>
      <c r="D53" s="16">
        <f>ENERO!D53+FEBRERO!D53+MARZO!D53+ABRIL!D53+MAYO!D53+JUNIO!D53+JULIO!D53+AGOSTO!D53+SEPTIEMBRE!D53+OCTUBRE!D53+NOVIEMBRE!D53+DICIEMBRE!D53</f>
        <v>64426217.840500794</v>
      </c>
      <c r="E53" s="16">
        <f>ENERO!E53+FEBRERO!E53+MARZO!E53+ABRIL!E53+MAYO!E53+JUNIO!E53+JULIO!E53+AGOSTO!E53+SEPTIEMBRE!E53+OCTUBRE!E53+NOVIEMBRE!E53+DICIEMBRE!E53</f>
        <v>4332095.0881430823</v>
      </c>
      <c r="F53" s="16">
        <f>ENERO!F53+FEBRERO!F53+MARZO!F53+ABRIL!F53+MAYO!F53+JUNIO!F53+JULIO!F53+AGOSTO!F53+SEPTIEMBRE!F53+OCTUBRE!F53+NOVIEMBRE!F53+DICIEMBRE!F53</f>
        <v>746617.68963850883</v>
      </c>
      <c r="G53" s="16">
        <f>ENERO!G53+FEBRERO!G53+MARZO!G53+ABRIL!G53+MAYO!G53+JUNIO!G53+JULIO!G53+AGOSTO!G53+SEPTIEMBRE!G53+OCTUBRE!G53+NOVIEMBRE!G53+DICIEMBRE!G53</f>
        <v>413111.97000000003</v>
      </c>
      <c r="H53" s="16">
        <f>ENERO!H53+FEBRERO!H53+MARZO!H53+ABRIL!H53+MAYO!H53+JUNIO!H53+JULIO!H53+AGOSTO!H53+SEPTIEMBRE!H53+OCTUBRE!H53+NOVIEMBRE!H53+DICIEMBRE!H53</f>
        <v>21241517.839999996</v>
      </c>
      <c r="I53" s="16">
        <f>ENERO!I53+FEBRERO!I53+MARZO!I53+ABRIL!I53+MAYO!I53+JUNIO!I53+JULIO!I53+AGOSTO!I53+SEPTIEMBRE!I53+OCTUBRE!I53+NOVIEMBRE!I53+DICIEMBRE!I53</f>
        <v>1737085.8100000003</v>
      </c>
      <c r="J53" s="16">
        <f>ENERO!J53+FEBRERO!J53+MARZO!J53+ABRIL!J53+MAYO!J53+JUNIO!J53+JULIO!J53+AGOSTO!J53+SEPTIEMBRE!J53+OCTUBRE!J53+NOVIEMBRE!J53+DICIEMBRE!J53</f>
        <v>38485604.850000001</v>
      </c>
      <c r="K53" s="16">
        <f>ENERO!K53+FEBRERO!K53+MARZO!K53+ABRIL!K53+MAYO!K53+JUNIO!K53+JULIO!K53+AGOSTO!K53+SEPTIEMBRE!K53+OCTUBRE!K53+NOVIEMBRE!K53+DICIEMBRE!K53</f>
        <v>0</v>
      </c>
      <c r="L53" s="16">
        <f>ENERO!L53+FEBRERO!L53+MARZO!L53+ABRIL!L53+MAYO!L53+JUNIO!L53+JULIO!L53+AGOSTO!L53+SEPTIEMBRE!L53+OCTUBRE!L53+NOVIEMBRE!L53+DICIEMBRE!L53</f>
        <v>0</v>
      </c>
      <c r="M53" s="16">
        <f>ENERO!M53+FEBRERO!M53+MARZO!M53+ABRIL!M53+MAYO!M53+JUNIO!M53+JULIO!M53+AGOSTO!M53+SEPTIEMBRE!M53+OCTUBRE!M53+NOVIEMBRE!M53+DICIEMBRE!M53</f>
        <v>232.76000000000002</v>
      </c>
      <c r="N53" s="18">
        <f t="shared" si="1"/>
        <v>539299567.61828232</v>
      </c>
      <c r="O53" s="4"/>
    </row>
    <row r="54" spans="1:15" ht="18" customHeight="1" x14ac:dyDescent="0.2">
      <c r="A54" s="17" t="s">
        <v>49</v>
      </c>
      <c r="B54" s="16">
        <f>ENERO!B54+FEBRERO!B54+MARZO!B54+ABRIL!B54+MAYO!B54+JUNIO!B54+JULIO!B54+AGOSTO!B54+SEPTIEMBRE!B54+OCTUBRE!B54+NOVIEMBRE!B54+DICIEMBRE!B54</f>
        <v>1367174651.98</v>
      </c>
      <c r="C54" s="16">
        <f>ENERO!C54+FEBRERO!C54+MARZO!C54+ABRIL!C54+MAYO!C54+JUNIO!C54+JULIO!C54+AGOSTO!C54+SEPTIEMBRE!C54+OCTUBRE!C54+NOVIEMBRE!C54+DICIEMBRE!C54</f>
        <v>100544.85999999999</v>
      </c>
      <c r="D54" s="16">
        <f>ENERO!D54+FEBRERO!D54+MARZO!D54+ABRIL!D54+MAYO!D54+JUNIO!D54+JULIO!D54+AGOSTO!D54+SEPTIEMBRE!D54+OCTUBRE!D54+NOVIEMBRE!D54+DICIEMBRE!D54</f>
        <v>104684405.13025036</v>
      </c>
      <c r="E54" s="16">
        <f>ENERO!E54+FEBRERO!E54+MARZO!E54+ABRIL!E54+MAYO!E54+JUNIO!E54+JULIO!E54+AGOSTO!E54+SEPTIEMBRE!E54+OCTUBRE!E54+NOVIEMBRE!E54+DICIEMBRE!E54</f>
        <v>14675047.88659865</v>
      </c>
      <c r="F54" s="16">
        <f>ENERO!F54+FEBRERO!F54+MARZO!F54+ABRIL!F54+MAYO!F54+JUNIO!F54+JULIO!F54+AGOSTO!F54+SEPTIEMBRE!F54+OCTUBRE!F54+NOVIEMBRE!F54+DICIEMBRE!F54</f>
        <v>2564469.5996279223</v>
      </c>
      <c r="G54" s="16">
        <f>ENERO!G54+FEBRERO!G54+MARZO!G54+ABRIL!G54+MAYO!G54+JUNIO!G54+JULIO!G54+AGOSTO!G54+SEPTIEMBRE!G54+OCTUBRE!G54+NOVIEMBRE!G54+DICIEMBRE!G54</f>
        <v>1583595.8699999999</v>
      </c>
      <c r="H54" s="16">
        <f>ENERO!H54+FEBRERO!H54+MARZO!H54+ABRIL!H54+MAYO!H54+JUNIO!H54+JULIO!H54+AGOSTO!H54+SEPTIEMBRE!H54+OCTUBRE!H54+NOVIEMBRE!H54+DICIEMBRE!H54</f>
        <v>71349004.960000008</v>
      </c>
      <c r="I54" s="16">
        <f>ENERO!I54+FEBRERO!I54+MARZO!I54+ABRIL!I54+MAYO!I54+JUNIO!I54+JULIO!I54+AGOSTO!I54+SEPTIEMBRE!I54+OCTUBRE!I54+NOVIEMBRE!I54+DICIEMBRE!I54</f>
        <v>5966512.1400000006</v>
      </c>
      <c r="J54" s="16">
        <f>ENERO!J54+FEBRERO!J54+MARZO!J54+ABRIL!J54+MAYO!J54+JUNIO!J54+JULIO!J54+AGOSTO!J54+SEPTIEMBRE!J54+OCTUBRE!J54+NOVIEMBRE!J54+DICIEMBRE!J54</f>
        <v>88156111.320000023</v>
      </c>
      <c r="K54" s="16">
        <f>ENERO!K54+FEBRERO!K54+MARZO!K54+ABRIL!K54+MAYO!K54+JUNIO!K54+JULIO!K54+AGOSTO!K54+SEPTIEMBRE!K54+OCTUBRE!K54+NOVIEMBRE!K54+DICIEMBRE!K54</f>
        <v>0</v>
      </c>
      <c r="L54" s="16">
        <f>ENERO!L54+FEBRERO!L54+MARZO!L54+ABRIL!L54+MAYO!L54+JUNIO!L54+JULIO!L54+AGOSTO!L54+SEPTIEMBRE!L54+OCTUBRE!L54+NOVIEMBRE!L54+DICIEMBRE!L54</f>
        <v>0</v>
      </c>
      <c r="M54" s="16">
        <f>ENERO!M54+FEBRERO!M54+MARZO!M54+ABRIL!M54+MAYO!M54+JUNIO!M54+JULIO!M54+AGOSTO!M54+SEPTIEMBRE!M54+OCTUBRE!M54+NOVIEMBRE!M54+DICIEMBRE!M54</f>
        <v>799.96000000000015</v>
      </c>
      <c r="N54" s="18">
        <f t="shared" si="1"/>
        <v>1656255143.7064769</v>
      </c>
      <c r="O54" s="4"/>
    </row>
    <row r="55" spans="1:15" ht="18" customHeight="1" x14ac:dyDescent="0.2">
      <c r="A55" s="17" t="s">
        <v>50</v>
      </c>
      <c r="B55" s="16">
        <f>ENERO!B55+FEBRERO!B55+MARZO!B55+ABRIL!B55+MAYO!B55+JUNIO!B55+JULIO!B55+AGOSTO!B55+SEPTIEMBRE!B55+OCTUBRE!B55+NOVIEMBRE!B55+DICIEMBRE!B55</f>
        <v>597031249.37</v>
      </c>
      <c r="C55" s="16">
        <f>ENERO!C55+FEBRERO!C55+MARZO!C55+ABRIL!C55+MAYO!C55+JUNIO!C55+JULIO!C55+AGOSTO!C55+SEPTIEMBRE!C55+OCTUBRE!C55+NOVIEMBRE!C55+DICIEMBRE!C55</f>
        <v>36967.35</v>
      </c>
      <c r="D55" s="16">
        <f>ENERO!D55+FEBRERO!D55+MARZO!D55+ABRIL!D55+MAYO!D55+JUNIO!D55+JULIO!D55+AGOSTO!D55+SEPTIEMBRE!D55+OCTUBRE!D55+NOVIEMBRE!D55+DICIEMBRE!D55</f>
        <v>31531716.409363281</v>
      </c>
      <c r="E55" s="16">
        <f>ENERO!E55+FEBRERO!E55+MARZO!E55+ABRIL!E55+MAYO!E55+JUNIO!E55+JULIO!E55+AGOSTO!E55+SEPTIEMBRE!E55+OCTUBRE!E55+NOVIEMBRE!E55+DICIEMBRE!E55</f>
        <v>6087480.1507712826</v>
      </c>
      <c r="F55" s="16">
        <f>ENERO!F55+FEBRERO!F55+MARZO!F55+ABRIL!F55+MAYO!F55+JUNIO!F55+JULIO!F55+AGOSTO!F55+SEPTIEMBRE!F55+OCTUBRE!F55+NOVIEMBRE!F55+DICIEMBRE!F55</f>
        <v>4732907.2291867221</v>
      </c>
      <c r="G55" s="16">
        <f>ENERO!G55+FEBRERO!G55+MARZO!G55+ABRIL!G55+MAYO!G55+JUNIO!G55+JULIO!G55+AGOSTO!G55+SEPTIEMBRE!G55+OCTUBRE!G55+NOVIEMBRE!G55+DICIEMBRE!G55</f>
        <v>2180313.13</v>
      </c>
      <c r="H55" s="16">
        <f>ENERO!H55+FEBRERO!H55+MARZO!H55+ABRIL!H55+MAYO!H55+JUNIO!H55+JULIO!H55+AGOSTO!H55+SEPTIEMBRE!H55+OCTUBRE!H55+NOVIEMBRE!H55+DICIEMBRE!H55</f>
        <v>30835889.109999999</v>
      </c>
      <c r="I55" s="16">
        <f>ENERO!I55+FEBRERO!I55+MARZO!I55+ABRIL!I55+MAYO!I55+JUNIO!I55+JULIO!I55+AGOSTO!I55+SEPTIEMBRE!I55+OCTUBRE!I55+NOVIEMBRE!I55+DICIEMBRE!I55</f>
        <v>11011613.499999998</v>
      </c>
      <c r="J55" s="16">
        <f>ENERO!J55+FEBRERO!J55+MARZO!J55+ABRIL!J55+MAYO!J55+JUNIO!J55+JULIO!J55+AGOSTO!J55+SEPTIEMBRE!J55+OCTUBRE!J55+NOVIEMBRE!J55+DICIEMBRE!J55</f>
        <v>63116184.800000004</v>
      </c>
      <c r="K55" s="16">
        <f>ENERO!K55+FEBRERO!K55+MARZO!K55+ABRIL!K55+MAYO!K55+JUNIO!K55+JULIO!K55+AGOSTO!K55+SEPTIEMBRE!K55+OCTUBRE!K55+NOVIEMBRE!K55+DICIEMBRE!K55</f>
        <v>0</v>
      </c>
      <c r="L55" s="16">
        <f>ENERO!L55+FEBRERO!L55+MARZO!L55+ABRIL!L55+MAYO!L55+JUNIO!L55+JULIO!L55+AGOSTO!L55+SEPTIEMBRE!L55+OCTUBRE!L55+NOVIEMBRE!L55+DICIEMBRE!L55</f>
        <v>0</v>
      </c>
      <c r="M55" s="16">
        <f>ENERO!M55+FEBRERO!M55+MARZO!M55+ABRIL!M55+MAYO!M55+JUNIO!M55+JULIO!M55+AGOSTO!M55+SEPTIEMBRE!M55+OCTUBRE!M55+NOVIEMBRE!M55+DICIEMBRE!M55</f>
        <v>1476.5700000000002</v>
      </c>
      <c r="N55" s="18">
        <f t="shared" si="1"/>
        <v>746565797.61932135</v>
      </c>
      <c r="O55" s="4"/>
    </row>
    <row r="56" spans="1:15" ht="18" customHeight="1" x14ac:dyDescent="0.2">
      <c r="A56" s="17" t="s">
        <v>51</v>
      </c>
      <c r="B56" s="16">
        <f>ENERO!B56+FEBRERO!B56+MARZO!B56+ABRIL!B56+MAYO!B56+JUNIO!B56+JULIO!B56+AGOSTO!B56+SEPTIEMBRE!B56+OCTUBRE!B56+NOVIEMBRE!B56+DICIEMBRE!B56</f>
        <v>507342008.62</v>
      </c>
      <c r="C56" s="16">
        <f>ENERO!C56+FEBRERO!C56+MARZO!C56+ABRIL!C56+MAYO!C56+JUNIO!C56+JULIO!C56+AGOSTO!C56+SEPTIEMBRE!C56+OCTUBRE!C56+NOVIEMBRE!C56+DICIEMBRE!C56</f>
        <v>35440.130000000005</v>
      </c>
      <c r="D56" s="16">
        <f>ENERO!D56+FEBRERO!D56+MARZO!D56+ABRIL!D56+MAYO!D56+JUNIO!D56+JULIO!D56+AGOSTO!D56+SEPTIEMBRE!D56+OCTUBRE!D56+NOVIEMBRE!D56+DICIEMBRE!D56</f>
        <v>34345782.123568431</v>
      </c>
      <c r="E56" s="16">
        <f>ENERO!E56+FEBRERO!E56+MARZO!E56+ABRIL!E56+MAYO!E56+JUNIO!E56+JULIO!E56+AGOSTO!E56+SEPTIEMBRE!E56+OCTUBRE!E56+NOVIEMBRE!E56+DICIEMBRE!E56</f>
        <v>5358368.9459078675</v>
      </c>
      <c r="F56" s="16">
        <f>ENERO!F56+FEBRERO!F56+MARZO!F56+ABRIL!F56+MAYO!F56+JUNIO!F56+JULIO!F56+AGOSTO!F56+SEPTIEMBRE!F56+OCTUBRE!F56+NOVIEMBRE!F56+DICIEMBRE!F56</f>
        <v>1337419.5861350682</v>
      </c>
      <c r="G56" s="16">
        <f>ENERO!G56+FEBRERO!G56+MARZO!G56+ABRIL!G56+MAYO!G56+JUNIO!G56+JULIO!G56+AGOSTO!G56+SEPTIEMBRE!G56+OCTUBRE!G56+NOVIEMBRE!G56+DICIEMBRE!G56</f>
        <v>550815.97000000009</v>
      </c>
      <c r="H56" s="16">
        <f>ENERO!H56+FEBRERO!H56+MARZO!H56+ABRIL!H56+MAYO!H56+JUNIO!H56+JULIO!H56+AGOSTO!H56+SEPTIEMBRE!H56+OCTUBRE!H56+NOVIEMBRE!H56+DICIEMBRE!H56</f>
        <v>26390082.18</v>
      </c>
      <c r="I56" s="16">
        <f>ENERO!I56+FEBRERO!I56+MARZO!I56+ABRIL!I56+MAYO!I56+JUNIO!I56+JULIO!I56+AGOSTO!I56+SEPTIEMBRE!I56+OCTUBRE!I56+NOVIEMBRE!I56+DICIEMBRE!I56</f>
        <v>3111649.3699999996</v>
      </c>
      <c r="J56" s="16">
        <f>ENERO!J56+FEBRERO!J56+MARZO!J56+ABRIL!J56+MAYO!J56+JUNIO!J56+JULIO!J56+AGOSTO!J56+SEPTIEMBRE!J56+OCTUBRE!J56+NOVIEMBRE!J56+DICIEMBRE!J56</f>
        <v>51755750.230000004</v>
      </c>
      <c r="K56" s="16">
        <f>ENERO!K56+FEBRERO!K56+MARZO!K56+ABRIL!K56+MAYO!K56+JUNIO!K56+JULIO!K56+AGOSTO!K56+SEPTIEMBRE!K56+OCTUBRE!K56+NOVIEMBRE!K56+DICIEMBRE!K56</f>
        <v>0</v>
      </c>
      <c r="L56" s="16">
        <f>ENERO!L56+FEBRERO!L56+MARZO!L56+ABRIL!L56+MAYO!L56+JUNIO!L56+JULIO!L56+AGOSTO!L56+SEPTIEMBRE!L56+OCTUBRE!L56+NOVIEMBRE!L56+DICIEMBRE!L56</f>
        <v>0</v>
      </c>
      <c r="M56" s="16">
        <f>ENERO!M56+FEBRERO!M56+MARZO!M56+ABRIL!M56+MAYO!M56+JUNIO!M56+JULIO!M56+AGOSTO!M56+SEPTIEMBRE!M56+OCTUBRE!M56+NOVIEMBRE!M56+DICIEMBRE!M56</f>
        <v>417.07999999999993</v>
      </c>
      <c r="N56" s="18">
        <f t="shared" si="1"/>
        <v>630227734.23561132</v>
      </c>
      <c r="O56" s="4"/>
    </row>
    <row r="57" spans="1:15" ht="18" customHeight="1" x14ac:dyDescent="0.2">
      <c r="A57" s="17" t="s">
        <v>52</v>
      </c>
      <c r="B57" s="16">
        <f>ENERO!B57+FEBRERO!B57+MARZO!B57+ABRIL!B57+MAYO!B57+JUNIO!B57+JULIO!B57+AGOSTO!B57+SEPTIEMBRE!B57+OCTUBRE!B57+NOVIEMBRE!B57+DICIEMBRE!B57</f>
        <v>1224548384.03</v>
      </c>
      <c r="C57" s="16">
        <f>ENERO!C57+FEBRERO!C57+MARZO!C57+ABRIL!C57+MAYO!C57+JUNIO!C57+JULIO!C57+AGOSTO!C57+SEPTIEMBRE!C57+OCTUBRE!C57+NOVIEMBRE!C57+DICIEMBRE!C57</f>
        <v>97769.1</v>
      </c>
      <c r="D57" s="16">
        <f>ENERO!D57+FEBRERO!D57+MARZO!D57+ABRIL!D57+MAYO!D57+JUNIO!D57+JULIO!D57+AGOSTO!D57+SEPTIEMBRE!D57+OCTUBRE!D57+NOVIEMBRE!D57+DICIEMBRE!D57</f>
        <v>71438535.112417191</v>
      </c>
      <c r="E57" s="16">
        <f>ENERO!E57+FEBRERO!E57+MARZO!E57+ABRIL!E57+MAYO!E57+JUNIO!E57+JULIO!E57+AGOSTO!E57+SEPTIEMBRE!E57+OCTUBRE!E57+NOVIEMBRE!E57+DICIEMBRE!E57</f>
        <v>13697187.452612448</v>
      </c>
      <c r="F57" s="16">
        <f>ENERO!F57+FEBRERO!F57+MARZO!F57+ABRIL!F57+MAYO!F57+JUNIO!F57+JULIO!F57+AGOSTO!F57+SEPTIEMBRE!F57+OCTUBRE!F57+NOVIEMBRE!F57+DICIEMBRE!F57</f>
        <v>6868883.2426742828</v>
      </c>
      <c r="G57" s="16">
        <f>ENERO!G57+FEBRERO!G57+MARZO!G57+ABRIL!G57+MAYO!G57+JUNIO!G57+JULIO!G57+AGOSTO!G57+SEPTIEMBRE!G57+OCTUBRE!G57+NOVIEMBRE!G57+DICIEMBRE!G57</f>
        <v>2891783.73</v>
      </c>
      <c r="H57" s="16">
        <f>ENERO!H57+FEBRERO!H57+MARZO!H57+ABRIL!H57+MAYO!H57+JUNIO!H57+JULIO!H57+AGOSTO!H57+SEPTIEMBRE!H57+OCTUBRE!H57+NOVIEMBRE!H57+DICIEMBRE!H57</f>
        <v>64263079.659999989</v>
      </c>
      <c r="I57" s="16">
        <f>ENERO!I57+FEBRERO!I57+MARZO!I57+ABRIL!I57+MAYO!I57+JUNIO!I57+JULIO!I57+AGOSTO!I57+SEPTIEMBRE!I57+OCTUBRE!I57+NOVIEMBRE!I57+DICIEMBRE!I57</f>
        <v>15981189.43</v>
      </c>
      <c r="J57" s="16">
        <f>ENERO!J57+FEBRERO!J57+MARZO!J57+ABRIL!J57+MAYO!J57+JUNIO!J57+JULIO!J57+AGOSTO!J57+SEPTIEMBRE!J57+OCTUBRE!J57+NOVIEMBRE!J57+DICIEMBRE!J57</f>
        <v>108476401.05000001</v>
      </c>
      <c r="K57" s="16">
        <f>ENERO!K57+FEBRERO!K57+MARZO!K57+ABRIL!K57+MAYO!K57+JUNIO!K57+JULIO!K57+AGOSTO!K57+SEPTIEMBRE!K57+OCTUBRE!K57+NOVIEMBRE!K57+DICIEMBRE!K57</f>
        <v>0</v>
      </c>
      <c r="L57" s="16">
        <f>ENERO!L57+FEBRERO!L57+MARZO!L57+ABRIL!L57+MAYO!L57+JUNIO!L57+JULIO!L57+AGOSTO!L57+SEPTIEMBRE!L57+OCTUBRE!L57+NOVIEMBRE!L57+DICIEMBRE!L57</f>
        <v>0</v>
      </c>
      <c r="M57" s="16">
        <f>ENERO!M57+FEBRERO!M57+MARZO!M57+ABRIL!M57+MAYO!M57+JUNIO!M57+JULIO!M57+AGOSTO!M57+SEPTIEMBRE!M57+OCTUBRE!M57+NOVIEMBRE!M57+DICIEMBRE!M57</f>
        <v>2142.96</v>
      </c>
      <c r="N57" s="18">
        <f t="shared" si="1"/>
        <v>1508265355.767704</v>
      </c>
      <c r="O57" s="4"/>
    </row>
    <row r="58" spans="1:15" ht="18" customHeight="1" x14ac:dyDescent="0.2">
      <c r="A58" s="17" t="s">
        <v>53</v>
      </c>
      <c r="B58" s="16">
        <f>ENERO!B58+FEBRERO!B58+MARZO!B58+ABRIL!B58+MAYO!B58+JUNIO!B58+JULIO!B58+AGOSTO!B58+SEPTIEMBRE!B58+OCTUBRE!B58+NOVIEMBRE!B58+DICIEMBRE!B58</f>
        <v>1056933686.6100001</v>
      </c>
      <c r="C58" s="16">
        <f>ENERO!C58+FEBRERO!C58+MARZO!C58+ABRIL!C58+MAYO!C58+JUNIO!C58+JULIO!C58+AGOSTO!C58+SEPTIEMBRE!C58+OCTUBRE!C58+NOVIEMBRE!C58+DICIEMBRE!C58</f>
        <v>78210.359999999986</v>
      </c>
      <c r="D58" s="16">
        <f>ENERO!D58+FEBRERO!D58+MARZO!D58+ABRIL!D58+MAYO!D58+JUNIO!D58+JULIO!D58+AGOSTO!D58+SEPTIEMBRE!D58+OCTUBRE!D58+NOVIEMBRE!D58+DICIEMBRE!D58</f>
        <v>41805151.358201325</v>
      </c>
      <c r="E58" s="16">
        <f>ENERO!E58+FEBRERO!E58+MARZO!E58+ABRIL!E58+MAYO!E58+JUNIO!E58+JULIO!E58+AGOSTO!E58+SEPTIEMBRE!E58+OCTUBRE!E58+NOVIEMBRE!E58+DICIEMBRE!E58</f>
        <v>11370901.977129878</v>
      </c>
      <c r="F58" s="16">
        <f>ENERO!F58+FEBRERO!F58+MARZO!F58+ABRIL!F58+MAYO!F58+JUNIO!F58+JULIO!F58+AGOSTO!F58+SEPTIEMBRE!F58+OCTUBRE!F58+NOVIEMBRE!F58+DICIEMBRE!F58</f>
        <v>3999274.1439767079</v>
      </c>
      <c r="G58" s="16">
        <f>ENERO!G58+FEBRERO!G58+MARZO!G58+ABRIL!G58+MAYO!G58+JUNIO!G58+JULIO!G58+AGOSTO!G58+SEPTIEMBRE!G58+OCTUBRE!G58+NOVIEMBRE!G58+DICIEMBRE!G58</f>
        <v>1652447.84</v>
      </c>
      <c r="H58" s="16">
        <f>ENERO!H58+FEBRERO!H58+MARZO!H58+ABRIL!H58+MAYO!H58+JUNIO!H58+JULIO!H58+AGOSTO!H58+SEPTIEMBRE!H58+OCTUBRE!H58+NOVIEMBRE!H58+DICIEMBRE!H58</f>
        <v>55180696.379999995</v>
      </c>
      <c r="I58" s="16">
        <f>ENERO!I58+FEBRERO!I58+MARZO!I58+ABRIL!I58+MAYO!I58+JUNIO!I58+JULIO!I58+AGOSTO!I58+SEPTIEMBRE!I58+OCTUBRE!I58+NOVIEMBRE!I58+DICIEMBRE!I58</f>
        <v>9304737.8900000006</v>
      </c>
      <c r="J58" s="16">
        <f>ENERO!J58+FEBRERO!J58+MARZO!J58+ABRIL!J58+MAYO!J58+JUNIO!J58+JULIO!J58+AGOSTO!J58+SEPTIEMBRE!J58+OCTUBRE!J58+NOVIEMBRE!J58+DICIEMBRE!J58</f>
        <v>64246053.609999999</v>
      </c>
      <c r="K58" s="16">
        <f>ENERO!K58+FEBRERO!K58+MARZO!K58+ABRIL!K58+MAYO!K58+JUNIO!K58+JULIO!K58+AGOSTO!K58+SEPTIEMBRE!K58+OCTUBRE!K58+NOVIEMBRE!K58+DICIEMBRE!K58</f>
        <v>0</v>
      </c>
      <c r="L58" s="16">
        <f>ENERO!L58+FEBRERO!L58+MARZO!L58+ABRIL!L58+MAYO!L58+JUNIO!L58+JULIO!L58+AGOSTO!L58+SEPTIEMBRE!L58+OCTUBRE!L58+NOVIEMBRE!L58+DICIEMBRE!L58</f>
        <v>0</v>
      </c>
      <c r="M58" s="16">
        <f>ENERO!M58+FEBRERO!M58+MARZO!M58+ABRIL!M58+MAYO!M58+JUNIO!M58+JULIO!M58+AGOSTO!M58+SEPTIEMBRE!M58+OCTUBRE!M58+NOVIEMBRE!M58+DICIEMBRE!M58</f>
        <v>1247.6300000000003</v>
      </c>
      <c r="N58" s="18">
        <f t="shared" si="1"/>
        <v>1244572407.7993083</v>
      </c>
      <c r="O58" s="4"/>
    </row>
    <row r="59" spans="1:15" ht="18" customHeight="1" x14ac:dyDescent="0.2">
      <c r="A59" s="17" t="s">
        <v>54</v>
      </c>
      <c r="B59" s="16">
        <f>ENERO!B59+FEBRERO!B59+MARZO!B59+ABRIL!B59+MAYO!B59+JUNIO!B59+JULIO!B59+AGOSTO!B59+SEPTIEMBRE!B59+OCTUBRE!B59+NOVIEMBRE!B59+DICIEMBRE!B59</f>
        <v>1185489546.3300002</v>
      </c>
      <c r="C59" s="16">
        <f>ENERO!C59+FEBRERO!C59+MARZO!C59+ABRIL!C59+MAYO!C59+JUNIO!C59+JULIO!C59+AGOSTO!C59+SEPTIEMBRE!C59+OCTUBRE!C59+NOVIEMBRE!C59+DICIEMBRE!C59</f>
        <v>86996.62</v>
      </c>
      <c r="D59" s="16">
        <f>ENERO!D59+FEBRERO!D59+MARZO!D59+ABRIL!D59+MAYO!D59+JUNIO!D59+JULIO!D59+AGOSTO!D59+SEPTIEMBRE!D59+OCTUBRE!D59+NOVIEMBRE!D59+DICIEMBRE!D59</f>
        <v>99296463.842035905</v>
      </c>
      <c r="E59" s="16">
        <f>ENERO!E59+FEBRERO!E59+MARZO!E59+ABRIL!E59+MAYO!E59+JUNIO!E59+JULIO!E59+AGOSTO!E59+SEPTIEMBRE!E59+OCTUBRE!E59+NOVIEMBRE!E59+DICIEMBRE!E59</f>
        <v>12813577.664683092</v>
      </c>
      <c r="F59" s="16">
        <f>ENERO!F59+FEBRERO!F59+MARZO!F59+ABRIL!F59+MAYO!F59+JUNIO!F59+JULIO!F59+AGOSTO!F59+SEPTIEMBRE!F59+OCTUBRE!F59+NOVIEMBRE!F59+DICIEMBRE!F59</f>
        <v>3895396.8985487428</v>
      </c>
      <c r="G59" s="16">
        <f>ENERO!G59+FEBRERO!G59+MARZO!G59+ABRIL!G59+MAYO!G59+JUNIO!G59+JULIO!G59+AGOSTO!G59+SEPTIEMBRE!G59+OCTUBRE!G59+NOVIEMBRE!G59+DICIEMBRE!G59</f>
        <v>1652447.84</v>
      </c>
      <c r="H59" s="16">
        <f>ENERO!H59+FEBRERO!H59+MARZO!H59+ABRIL!H59+MAYO!H59+JUNIO!H59+JULIO!H59+AGOSTO!H59+SEPTIEMBRE!H59+OCTUBRE!H59+NOVIEMBRE!H59+DICIEMBRE!H59</f>
        <v>61858718.839999996</v>
      </c>
      <c r="I59" s="16">
        <f>ENERO!I59+FEBRERO!I59+MARZO!I59+ABRIL!I59+MAYO!I59+JUNIO!I59+JULIO!I59+AGOSTO!I59+SEPTIEMBRE!I59+OCTUBRE!I59+NOVIEMBRE!I59+DICIEMBRE!I59</f>
        <v>9063056.3800000008</v>
      </c>
      <c r="J59" s="16">
        <f>ENERO!J59+FEBRERO!J59+MARZO!J59+ABRIL!J59+MAYO!J59+JUNIO!J59+JULIO!J59+AGOSTO!J59+SEPTIEMBRE!J59+OCTUBRE!J59+NOVIEMBRE!J59+DICIEMBRE!J59</f>
        <v>71434958.999999985</v>
      </c>
      <c r="K59" s="16">
        <f>ENERO!K59+FEBRERO!K59+MARZO!K59+ABRIL!K59+MAYO!K59+JUNIO!K59+JULIO!K59+AGOSTO!K59+SEPTIEMBRE!K59+OCTUBRE!K59+NOVIEMBRE!K59+DICIEMBRE!K59</f>
        <v>0</v>
      </c>
      <c r="L59" s="16">
        <f>ENERO!L59+FEBRERO!L59+MARZO!L59+ABRIL!L59+MAYO!L59+JUNIO!L59+JULIO!L59+AGOSTO!L59+SEPTIEMBRE!L59+OCTUBRE!L59+NOVIEMBRE!L59+DICIEMBRE!L59</f>
        <v>0</v>
      </c>
      <c r="M59" s="16">
        <f>ENERO!M59+FEBRERO!M59+MARZO!M59+ABRIL!M59+MAYO!M59+JUNIO!M59+JULIO!M59+AGOSTO!M59+SEPTIEMBRE!M59+OCTUBRE!M59+NOVIEMBRE!M59+DICIEMBRE!M59</f>
        <v>1215.2199999999998</v>
      </c>
      <c r="N59" s="18">
        <f t="shared" si="1"/>
        <v>1445592378.635268</v>
      </c>
      <c r="O59" s="4"/>
    </row>
    <row r="60" spans="1:15" ht="18" customHeight="1" x14ac:dyDescent="0.2">
      <c r="A60" s="17" t="s">
        <v>55</v>
      </c>
      <c r="B60" s="16">
        <f>ENERO!B60+FEBRERO!B60+MARZO!B60+ABRIL!B60+MAYO!B60+JUNIO!B60+JULIO!B60+AGOSTO!B60+SEPTIEMBRE!B60+OCTUBRE!B60+NOVIEMBRE!B60+DICIEMBRE!B60</f>
        <v>8618778500.1199989</v>
      </c>
      <c r="C60" s="16">
        <f>ENERO!C60+FEBRERO!C60+MARZO!C60+ABRIL!C60+MAYO!C60+JUNIO!C60+JULIO!C60+AGOSTO!C60+SEPTIEMBRE!C60+OCTUBRE!C60+NOVIEMBRE!C60+DICIEMBRE!C60</f>
        <v>616809.27</v>
      </c>
      <c r="D60" s="16">
        <f>ENERO!D60+FEBRERO!D60+MARZO!D60+ABRIL!D60+MAYO!D60+JUNIO!D60+JULIO!D60+AGOSTO!D60+SEPTIEMBRE!D60+OCTUBRE!D60+NOVIEMBRE!D60+DICIEMBRE!D60</f>
        <v>325207666.89596426</v>
      </c>
      <c r="E60" s="16">
        <f>ENERO!E60+FEBRERO!E60+MARZO!E60+ABRIL!E60+MAYO!E60+JUNIO!E60+JULIO!E60+AGOSTO!E60+SEPTIEMBRE!E60+OCTUBRE!E60+NOVIEMBRE!E60+DICIEMBRE!E60</f>
        <v>157305550.88253054</v>
      </c>
      <c r="F60" s="16">
        <f>ENERO!F60+FEBRERO!F60+MARZO!F60+ABRIL!F60+MAYO!F60+JUNIO!F60+JULIO!F60+AGOSTO!F60+SEPTIEMBRE!F60+OCTUBRE!F60+NOVIEMBRE!F60+DICIEMBRE!F60</f>
        <v>214279293.86625206</v>
      </c>
      <c r="G60" s="16">
        <f>ENERO!G60+FEBRERO!G60+MARZO!G60+ABRIL!G60+MAYO!G60+JUNIO!G60+JULIO!G60+AGOSTO!G60+SEPTIEMBRE!G60+OCTUBRE!G60+NOVIEMBRE!G60+DICIEMBRE!G60</f>
        <v>90930533.200000003</v>
      </c>
      <c r="H60" s="16">
        <f>ENERO!H60+FEBRERO!H60+MARZO!H60+ABRIL!H60+MAYO!H60+JUNIO!H60+JULIO!H60+AGOSTO!H60+SEPTIEMBRE!H60+OCTUBRE!H60+NOVIEMBRE!H60+DICIEMBRE!H60</f>
        <v>449000709.09000003</v>
      </c>
      <c r="I60" s="16">
        <f>ENERO!I60+FEBRERO!I60+MARZO!I60+ABRIL!I60+MAYO!I60+JUNIO!I60+JULIO!I60+AGOSTO!I60+SEPTIEMBRE!I60+OCTUBRE!I60+NOVIEMBRE!I60+DICIEMBRE!I60</f>
        <v>498543627.11000001</v>
      </c>
      <c r="J60" s="16">
        <f>ENERO!J60+FEBRERO!J60+MARZO!J60+ABRIL!J60+MAYO!J60+JUNIO!J60+JULIO!J60+AGOSTO!J60+SEPTIEMBRE!J60+OCTUBRE!J60+NOVIEMBRE!J60+DICIEMBRE!J60</f>
        <v>1185251898.5599997</v>
      </c>
      <c r="K60" s="16">
        <f>ENERO!K60+FEBRERO!K60+MARZO!K60+ABRIL!K60+MAYO!K60+JUNIO!K60+JULIO!K60+AGOSTO!K60+SEPTIEMBRE!K60+OCTUBRE!K60+NOVIEMBRE!K60+DICIEMBRE!K60</f>
        <v>0</v>
      </c>
      <c r="L60" s="16">
        <f>ENERO!L60+FEBRERO!L60+MARZO!L60+ABRIL!L60+MAYO!L60+JUNIO!L60+JULIO!L60+AGOSTO!L60+SEPTIEMBRE!L60+OCTUBRE!L60+NOVIEMBRE!L60+DICIEMBRE!L60</f>
        <v>0</v>
      </c>
      <c r="M60" s="16">
        <f>ENERO!M60+FEBRERO!M60+MARZO!M60+ABRIL!M60+MAYO!M60+JUNIO!M60+JULIO!M60+AGOSTO!M60+SEPTIEMBRE!M60+OCTUBRE!M60+NOVIEMBRE!M60+DICIEMBRE!M60</f>
        <v>66858.409999999989</v>
      </c>
      <c r="N60" s="18">
        <f t="shared" si="1"/>
        <v>11539981447.404747</v>
      </c>
      <c r="O60" s="4"/>
    </row>
    <row r="61" spans="1:15" ht="18" customHeight="1" x14ac:dyDescent="0.2">
      <c r="A61" s="17" t="s">
        <v>56</v>
      </c>
      <c r="B61" s="16">
        <f>ENERO!B61+FEBRERO!B61+MARZO!B61+ABRIL!B61+MAYO!B61+JUNIO!B61+JULIO!B61+AGOSTO!B61+SEPTIEMBRE!B61+OCTUBRE!B61+NOVIEMBRE!B61+DICIEMBRE!B61</f>
        <v>1271065307.05</v>
      </c>
      <c r="C61" s="16">
        <f>ENERO!C61+FEBRERO!C61+MARZO!C61+ABRIL!C61+MAYO!C61+JUNIO!C61+JULIO!C61+AGOSTO!C61+SEPTIEMBRE!C61+OCTUBRE!C61+NOVIEMBRE!C61+DICIEMBRE!C61</f>
        <v>96441.32</v>
      </c>
      <c r="D61" s="16">
        <f>ENERO!D61+FEBRERO!D61+MARZO!D61+ABRIL!D61+MAYO!D61+JUNIO!D61+JULIO!D61+AGOSTO!D61+SEPTIEMBRE!D61+OCTUBRE!D61+NOVIEMBRE!D61+DICIEMBRE!D61</f>
        <v>34369192.848045297</v>
      </c>
      <c r="E61" s="16">
        <f>ENERO!E61+FEBRERO!E61+MARZO!E61+ABRIL!E61+MAYO!E61+JUNIO!E61+JULIO!E61+AGOSTO!E61+SEPTIEMBRE!E61+OCTUBRE!E61+NOVIEMBRE!E61+DICIEMBRE!E61</f>
        <v>14042284.341466676</v>
      </c>
      <c r="F61" s="16">
        <f>ENERO!F61+FEBRERO!F61+MARZO!F61+ABRIL!F61+MAYO!F61+JUNIO!F61+JULIO!F61+AGOSTO!F61+SEPTIEMBRE!F61+OCTUBRE!F61+NOVIEMBRE!F61+DICIEMBRE!F61</f>
        <v>38252797.996348649</v>
      </c>
      <c r="G61" s="16">
        <f>ENERO!G61+FEBRERO!G61+MARZO!G61+ABRIL!G61+MAYO!G61+JUNIO!G61+JULIO!G61+AGOSTO!G61+SEPTIEMBRE!G61+OCTUBRE!G61+NOVIEMBRE!G61+DICIEMBRE!G61</f>
        <v>8877608.8614666983</v>
      </c>
      <c r="H61" s="16">
        <f>ENERO!H61+FEBRERO!H61+MARZO!H61+ABRIL!H61+MAYO!H61+JUNIO!H61+JULIO!H61+AGOSTO!H61+SEPTIEMBRE!H61+OCTUBRE!H61+NOVIEMBRE!H61+DICIEMBRE!H61</f>
        <v>66470669.049999997</v>
      </c>
      <c r="I61" s="16">
        <f>ENERO!I61+FEBRERO!I61+MARZO!I61+ABRIL!I61+MAYO!I61+JUNIO!I61+JULIO!I61+AGOSTO!I61+SEPTIEMBRE!I61+OCTUBRE!I61+NOVIEMBRE!I61+DICIEMBRE!I61</f>
        <v>88999213.790000007</v>
      </c>
      <c r="J61" s="16">
        <f>ENERO!J61+FEBRERO!J61+MARZO!J61+ABRIL!J61+MAYO!J61+JUNIO!J61+JULIO!J61+AGOSTO!J61+SEPTIEMBRE!J61+OCTUBRE!J61+NOVIEMBRE!J61+DICIEMBRE!J61</f>
        <v>287513563.65999997</v>
      </c>
      <c r="K61" s="16">
        <f>ENERO!K61+FEBRERO!K61+MARZO!K61+ABRIL!K61+MAYO!K61+JUNIO!K61+JULIO!K61+AGOSTO!K61+SEPTIEMBRE!K61+OCTUBRE!K61+NOVIEMBRE!K61+DICIEMBRE!K61</f>
        <v>0</v>
      </c>
      <c r="L61" s="16">
        <f>ENERO!L61+FEBRERO!L61+MARZO!L61+ABRIL!L61+MAYO!L61+JUNIO!L61+JULIO!L61+AGOSTO!L61+SEPTIEMBRE!L61+OCTUBRE!L61+NOVIEMBRE!L61+DICIEMBRE!L61</f>
        <v>0</v>
      </c>
      <c r="M61" s="16">
        <f>ENERO!M61+FEBRERO!M61+MARZO!M61+ABRIL!M61+MAYO!M61+JUNIO!M61+JULIO!M61+AGOSTO!M61+SEPTIEMBRE!M61+OCTUBRE!M61+NOVIEMBRE!M61+DICIEMBRE!M61</f>
        <v>11935.31</v>
      </c>
      <c r="N61" s="18">
        <f t="shared" si="1"/>
        <v>1809699014.2273269</v>
      </c>
      <c r="O61" s="4"/>
    </row>
    <row r="62" spans="1:15" ht="18" customHeight="1" x14ac:dyDescent="0.2">
      <c r="A62" s="17" t="s">
        <v>57</v>
      </c>
      <c r="B62" s="16">
        <f>ENERO!B62+FEBRERO!B62+MARZO!B62+ABRIL!B62+MAYO!B62+JUNIO!B62+JULIO!B62+AGOSTO!B62+SEPTIEMBRE!B62+OCTUBRE!B62+NOVIEMBRE!B62+DICIEMBRE!B62</f>
        <v>8504831260.8600016</v>
      </c>
      <c r="C62" s="16">
        <f>ENERO!C62+FEBRERO!C62+MARZO!C62+ABRIL!C62+MAYO!C62+JUNIO!C62+JULIO!C62+AGOSTO!C62+SEPTIEMBRE!C62+OCTUBRE!C62+NOVIEMBRE!C62+DICIEMBRE!C62</f>
        <v>582049.41</v>
      </c>
      <c r="D62" s="16">
        <f>ENERO!D62+FEBRERO!D62+MARZO!D62+ABRIL!D62+MAYO!D62+JUNIO!D62+JULIO!D62+AGOSTO!D62+SEPTIEMBRE!D62+OCTUBRE!D62+NOVIEMBRE!D62+DICIEMBRE!D62</f>
        <v>70590386.929999992</v>
      </c>
      <c r="E62" s="16">
        <f>ENERO!E62+FEBRERO!E62+MARZO!E62+ABRIL!E62+MAYO!E62+JUNIO!E62+JULIO!E62+AGOSTO!E62+SEPTIEMBRE!E62+OCTUBRE!E62+NOVIEMBRE!E62+DICIEMBRE!E62</f>
        <v>126614662.75829481</v>
      </c>
      <c r="F62" s="16">
        <f>ENERO!F62+FEBRERO!F62+MARZO!F62+ABRIL!F62+MAYO!F62+JUNIO!F62+JULIO!F62+AGOSTO!F62+SEPTIEMBRE!F62+OCTUBRE!F62+NOVIEMBRE!F62+DICIEMBRE!F62</f>
        <v>171520820.0032154</v>
      </c>
      <c r="G62" s="16">
        <f>ENERO!G62+FEBRERO!G62+MARZO!G62+ABRIL!G62+MAYO!G62+JUNIO!G62+JULIO!G62+AGOSTO!G62+SEPTIEMBRE!G62+OCTUBRE!G62+NOVIEMBRE!G62+DICIEMBRE!G62</f>
        <v>0</v>
      </c>
      <c r="H62" s="16">
        <f>ENERO!H62+FEBRERO!H62+MARZO!H62+ABRIL!H62+MAYO!H62+JUNIO!H62+JULIO!H62+AGOSTO!H62+SEPTIEMBRE!H62+OCTUBRE!H62+NOVIEMBRE!H62+DICIEMBRE!H62</f>
        <v>441831997.54000008</v>
      </c>
      <c r="I62" s="16">
        <f>ENERO!I62+FEBRERO!I62+MARZO!I62+ABRIL!I62+MAYO!I62+JUNIO!I62+JULIO!I62+AGOSTO!I62+SEPTIEMBRE!I62+OCTUBRE!I62+NOVIEMBRE!I62+DICIEMBRE!I62</f>
        <v>399061478.11000001</v>
      </c>
      <c r="J62" s="16">
        <f>ENERO!J62+FEBRERO!J62+MARZO!J62+ABRIL!J62+MAYO!J62+JUNIO!J62+JULIO!J62+AGOSTO!J62+SEPTIEMBRE!J62+OCTUBRE!J62+NOVIEMBRE!J62+DICIEMBRE!J62</f>
        <v>591142237.7700001</v>
      </c>
      <c r="K62" s="16">
        <f>ENERO!K62+FEBRERO!K62+MARZO!K62+ABRIL!K62+MAYO!K62+JUNIO!K62+JULIO!K62+AGOSTO!K62+SEPTIEMBRE!K62+OCTUBRE!K62+NOVIEMBRE!K62+DICIEMBRE!K62</f>
        <v>0</v>
      </c>
      <c r="L62" s="16">
        <f>ENERO!L62+FEBRERO!L62+MARZO!L62+ABRIL!L62+MAYO!L62+JUNIO!L62+JULIO!L62+AGOSTO!L62+SEPTIEMBRE!L62+OCTUBRE!L62+NOVIEMBRE!L62+DICIEMBRE!L62</f>
        <v>0</v>
      </c>
      <c r="M62" s="16">
        <f>ENERO!M62+FEBRERO!M62+MARZO!M62+ABRIL!M62+MAYO!M62+JUNIO!M62+JULIO!M62+AGOSTO!M62+SEPTIEMBRE!M62+OCTUBRE!M62+NOVIEMBRE!M62+DICIEMBRE!M62</f>
        <v>53517.08</v>
      </c>
      <c r="N62" s="18">
        <f t="shared" si="1"/>
        <v>10306228410.461514</v>
      </c>
      <c r="O62" s="4"/>
    </row>
    <row r="63" spans="1:15" ht="18" customHeight="1" x14ac:dyDescent="0.2">
      <c r="A63" s="17" t="s">
        <v>58</v>
      </c>
      <c r="B63" s="16">
        <f>ENERO!B63+FEBRERO!B63+MARZO!B63+ABRIL!B63+MAYO!B63+JUNIO!B63+JULIO!B63+AGOSTO!B63+SEPTIEMBRE!B63+OCTUBRE!B63+NOVIEMBRE!B63+DICIEMBRE!B63</f>
        <v>1286981014.6400001</v>
      </c>
      <c r="C63" s="16">
        <f>ENERO!C63+FEBRERO!C63+MARZO!C63+ABRIL!C63+MAYO!C63+JUNIO!C63+JULIO!C63+AGOSTO!C63+SEPTIEMBRE!C63+OCTUBRE!C63+NOVIEMBRE!C63+DICIEMBRE!C63</f>
        <v>87767.069999999992</v>
      </c>
      <c r="D63" s="16">
        <f>ENERO!D63+FEBRERO!D63+MARZO!D63+ABRIL!D63+MAYO!D63+JUNIO!D63+JULIO!D63+AGOSTO!D63+SEPTIEMBRE!D63+OCTUBRE!D63+NOVIEMBRE!D63+DICIEMBRE!D63</f>
        <v>105002336.61609334</v>
      </c>
      <c r="E63" s="16">
        <f>ENERO!E63+FEBRERO!E63+MARZO!E63+ABRIL!E63+MAYO!E63+JUNIO!E63+JULIO!E63+AGOSTO!E63+SEPTIEMBRE!E63+OCTUBRE!E63+NOVIEMBRE!E63+DICIEMBRE!E63</f>
        <v>13489960.342381522</v>
      </c>
      <c r="F63" s="16">
        <f>ENERO!F63+FEBRERO!F63+MARZO!F63+ABRIL!F63+MAYO!F63+JUNIO!F63+JULIO!F63+AGOSTO!F63+SEPTIEMBRE!F63+OCTUBRE!F63+NOVIEMBRE!F63+DICIEMBRE!F63</f>
        <v>6044357.546464799</v>
      </c>
      <c r="G63" s="16">
        <f>ENERO!G63+FEBRERO!G63+MARZO!G63+ABRIL!G63+MAYO!G63+JUNIO!G63+JULIO!G63+AGOSTO!G63+SEPTIEMBRE!G63+OCTUBRE!G63+NOVIEMBRE!G63+DICIEMBRE!G63</f>
        <v>2662277.1</v>
      </c>
      <c r="H63" s="16">
        <f>ENERO!H63+FEBRERO!H63+MARZO!H63+ABRIL!H63+MAYO!H63+JUNIO!H63+JULIO!H63+AGOSTO!H63+SEPTIEMBRE!H63+OCTUBRE!H63+NOVIEMBRE!H63+DICIEMBRE!H63</f>
        <v>66845180.270000003</v>
      </c>
      <c r="I63" s="16">
        <f>ENERO!I63+FEBRERO!I63+MARZO!I63+ABRIL!I63+MAYO!I63+JUNIO!I63+JULIO!I63+AGOSTO!I63+SEPTIEMBRE!I63+OCTUBRE!I63+NOVIEMBRE!I63+DICIEMBRE!I63</f>
        <v>14062842.49</v>
      </c>
      <c r="J63" s="16">
        <f>ENERO!J63+FEBRERO!J63+MARZO!J63+ABRIL!J63+MAYO!J63+JUNIO!J63+JULIO!J63+AGOSTO!J63+SEPTIEMBRE!J63+OCTUBRE!J63+NOVIEMBRE!J63+DICIEMBRE!J63</f>
        <v>81331109.150000006</v>
      </c>
      <c r="K63" s="16">
        <f>ENERO!K63+FEBRERO!K63+MARZO!K63+ABRIL!K63+MAYO!K63+JUNIO!K63+JULIO!K63+AGOSTO!K63+SEPTIEMBRE!K63+OCTUBRE!K63+NOVIEMBRE!K63+DICIEMBRE!K63</f>
        <v>0</v>
      </c>
      <c r="L63" s="16">
        <f>ENERO!L63+FEBRERO!L63+MARZO!L63+ABRIL!L63+MAYO!L63+JUNIO!L63+JULIO!L63+AGOSTO!L63+SEPTIEMBRE!L63+OCTUBRE!L63+NOVIEMBRE!L63+DICIEMBRE!L63</f>
        <v>0</v>
      </c>
      <c r="M63" s="16">
        <f>ENERO!M63+FEBRERO!M63+MARZO!M63+ABRIL!M63+MAYO!M63+JUNIO!M63+JULIO!M63+AGOSTO!M63+SEPTIEMBRE!M63+OCTUBRE!M63+NOVIEMBRE!M63+DICIEMBRE!M63</f>
        <v>1885.7600000000004</v>
      </c>
      <c r="N63" s="18">
        <f t="shared" si="1"/>
        <v>1576508730.9849396</v>
      </c>
      <c r="O63" s="4"/>
    </row>
    <row r="64" spans="1:15" ht="18" customHeight="1" x14ac:dyDescent="0.2">
      <c r="A64" s="17" t="s">
        <v>59</v>
      </c>
      <c r="B64" s="16">
        <f>ENERO!B64+FEBRERO!B64+MARZO!B64+ABRIL!B64+MAYO!B64+JUNIO!B64+JULIO!B64+AGOSTO!B64+SEPTIEMBRE!B64+OCTUBRE!B64+NOVIEMBRE!B64+DICIEMBRE!B64</f>
        <v>2509799431.6799994</v>
      </c>
      <c r="C64" s="16">
        <f>ENERO!C64+FEBRERO!C64+MARZO!C64+ABRIL!C64+MAYO!C64+JUNIO!C64+JULIO!C64+AGOSTO!C64+SEPTIEMBRE!C64+OCTUBRE!C64+NOVIEMBRE!C64+DICIEMBRE!C64</f>
        <v>185907.74000000002</v>
      </c>
      <c r="D64" s="16">
        <f>ENERO!D64+FEBRERO!D64+MARZO!D64+ABRIL!D64+MAYO!D64+JUNIO!D64+JULIO!D64+AGOSTO!D64+SEPTIEMBRE!D64+OCTUBRE!D64+NOVIEMBRE!D64+DICIEMBRE!D64</f>
        <v>323937967.61456776</v>
      </c>
      <c r="E64" s="16">
        <f>ENERO!E64+FEBRERO!E64+MARZO!E64+ABRIL!E64+MAYO!E64+JUNIO!E64+JULIO!E64+AGOSTO!E64+SEPTIEMBRE!E64+OCTUBRE!E64+NOVIEMBRE!E64+DICIEMBRE!E64</f>
        <v>28071720.933690939</v>
      </c>
      <c r="F64" s="16">
        <f>ENERO!F64+FEBRERO!F64+MARZO!F64+ABRIL!F64+MAYO!F64+JUNIO!F64+JULIO!F64+AGOSTO!F64+SEPTIEMBRE!F64+OCTUBRE!F64+NOVIEMBRE!F64+DICIEMBRE!F64</f>
        <v>11062927.283078428</v>
      </c>
      <c r="G64" s="16">
        <f>ENERO!G64+FEBRERO!G64+MARZO!G64+ABRIL!G64+MAYO!G64+JUNIO!G64+JULIO!G64+AGOSTO!G64+SEPTIEMBRE!G64+OCTUBRE!G64+NOVIEMBRE!G64+DICIEMBRE!G64</f>
        <v>4544231.59</v>
      </c>
      <c r="H64" s="16">
        <f>ENERO!H64+FEBRERO!H64+MARZO!H64+ABRIL!H64+MAYO!H64+JUNIO!H64+JULIO!H64+AGOSTO!H64+SEPTIEMBRE!H64+OCTUBRE!H64+NOVIEMBRE!H64+DICIEMBRE!H64</f>
        <v>131041085.36000001</v>
      </c>
      <c r="I64" s="16">
        <f>ENERO!I64+FEBRERO!I64+MARZO!I64+ABRIL!I64+MAYO!I64+JUNIO!I64+JULIO!I64+AGOSTO!I64+SEPTIEMBRE!I64+OCTUBRE!I64+NOVIEMBRE!I64+DICIEMBRE!I64</f>
        <v>25739080.169999998</v>
      </c>
      <c r="J64" s="16">
        <f>ENERO!J64+FEBRERO!J64+MARZO!J64+ABRIL!J64+MAYO!J64+JUNIO!J64+JULIO!J64+AGOSTO!J64+SEPTIEMBRE!J64+OCTUBRE!J64+NOVIEMBRE!J64+DICIEMBRE!J64</f>
        <v>167115434.04999998</v>
      </c>
      <c r="K64" s="16">
        <f>ENERO!K64+FEBRERO!K64+MARZO!K64+ABRIL!K64+MAYO!K64+JUNIO!K64+JULIO!K64+AGOSTO!K64+SEPTIEMBRE!K64+OCTUBRE!K64+NOVIEMBRE!K64+DICIEMBRE!K64</f>
        <v>0</v>
      </c>
      <c r="L64" s="16">
        <f>ENERO!L64+FEBRERO!L64+MARZO!L64+ABRIL!L64+MAYO!L64+JUNIO!L64+JULIO!L64+AGOSTO!L64+SEPTIEMBRE!L64+OCTUBRE!L64+NOVIEMBRE!L64+DICIEMBRE!L64</f>
        <v>0</v>
      </c>
      <c r="M64" s="16">
        <f>ENERO!M64+FEBRERO!M64+MARZO!M64+ABRIL!M64+MAYO!M64+JUNIO!M64+JULIO!M64+AGOSTO!M64+SEPTIEMBRE!M64+OCTUBRE!M64+NOVIEMBRE!M64+DICIEMBRE!M64</f>
        <v>3451.5600000000004</v>
      </c>
      <c r="N64" s="18">
        <f t="shared" si="1"/>
        <v>3201501237.9813366</v>
      </c>
      <c r="O64" s="4"/>
    </row>
    <row r="65" spans="1:15" ht="18" customHeight="1" x14ac:dyDescent="0.2">
      <c r="A65" s="17" t="s">
        <v>60</v>
      </c>
      <c r="B65" s="16">
        <f>ENERO!B65+FEBRERO!B65+MARZO!B65+ABRIL!B65+MAYO!B65+JUNIO!B65+JULIO!B65+AGOSTO!B65+SEPTIEMBRE!B65+OCTUBRE!B65+NOVIEMBRE!B65+DICIEMBRE!B65</f>
        <v>1400313154.0999999</v>
      </c>
      <c r="C65" s="16">
        <f>ENERO!C65+FEBRERO!C65+MARZO!C65+ABRIL!C65+MAYO!C65+JUNIO!C65+JULIO!C65+AGOSTO!C65+SEPTIEMBRE!C65+OCTUBRE!C65+NOVIEMBRE!C65+DICIEMBRE!C65</f>
        <v>101894.48999999999</v>
      </c>
      <c r="D65" s="16">
        <f>ENERO!D65+FEBRERO!D65+MARZO!D65+ABRIL!D65+MAYO!D65+JUNIO!D65+JULIO!D65+AGOSTO!D65+SEPTIEMBRE!D65+OCTUBRE!D65+NOVIEMBRE!D65+DICIEMBRE!D65</f>
        <v>93135902.515549541</v>
      </c>
      <c r="E65" s="16">
        <f>ENERO!E65+FEBRERO!E65+MARZO!E65+ABRIL!E65+MAYO!E65+JUNIO!E65+JULIO!E65+AGOSTO!E65+SEPTIEMBRE!E65+OCTUBRE!E65+NOVIEMBRE!E65+DICIEMBRE!E65</f>
        <v>14977805.604210505</v>
      </c>
      <c r="F65" s="16">
        <f>ENERO!F65+FEBRERO!F65+MARZO!F65+ABRIL!F65+MAYO!F65+JUNIO!F65+JULIO!F65+AGOSTO!F65+SEPTIEMBRE!F65+OCTUBRE!F65+NOVIEMBRE!F65+DICIEMBRE!F65</f>
        <v>2408653.7464859723</v>
      </c>
      <c r="G65" s="16">
        <f>ENERO!G65+FEBRERO!G65+MARZO!G65+ABRIL!G65+MAYO!G65+JUNIO!G65+JULIO!G65+AGOSTO!G65+SEPTIEMBRE!G65+OCTUBRE!G65+NOVIEMBRE!G65+DICIEMBRE!G65</f>
        <v>1744250.5099999998</v>
      </c>
      <c r="H65" s="16">
        <f>ENERO!H65+FEBRERO!H65+MARZO!H65+ABRIL!H65+MAYO!H65+JUNIO!H65+JULIO!H65+AGOSTO!H65+SEPTIEMBRE!H65+OCTUBRE!H65+NOVIEMBRE!H65+DICIEMBRE!H65</f>
        <v>73028031.5</v>
      </c>
      <c r="I65" s="16">
        <f>ENERO!I65+FEBRERO!I65+MARZO!I65+ABRIL!I65+MAYO!I65+JUNIO!I65+JULIO!I65+AGOSTO!I65+SEPTIEMBRE!I65+OCTUBRE!I65+NOVIEMBRE!I65+DICIEMBRE!I65</f>
        <v>5603989.8700000001</v>
      </c>
      <c r="J65" s="16">
        <f>ENERO!J65+FEBRERO!J65+MARZO!J65+ABRIL!J65+MAYO!J65+JUNIO!J65+JULIO!J65+AGOSTO!J65+SEPTIEMBRE!J65+OCTUBRE!J65+NOVIEMBRE!J65+DICIEMBRE!J65</f>
        <v>96562999.600000009</v>
      </c>
      <c r="K65" s="16">
        <f>ENERO!K65+FEBRERO!K65+MARZO!K65+ABRIL!K65+MAYO!K65+JUNIO!K65+JULIO!K65+AGOSTO!K65+SEPTIEMBRE!K65+OCTUBRE!K65+NOVIEMBRE!K65+DICIEMBRE!K65</f>
        <v>0</v>
      </c>
      <c r="L65" s="16">
        <f>ENERO!L65+FEBRERO!L65+MARZO!L65+ABRIL!L65+MAYO!L65+JUNIO!L65+JULIO!L65+AGOSTO!L65+SEPTIEMBRE!L65+OCTUBRE!L65+NOVIEMBRE!L65+DICIEMBRE!L65</f>
        <v>0</v>
      </c>
      <c r="M65" s="16">
        <f>ENERO!M65+FEBRERO!M65+MARZO!M65+ABRIL!M65+MAYO!M65+JUNIO!M65+JULIO!M65+AGOSTO!M65+SEPTIEMBRE!M65+OCTUBRE!M65+NOVIEMBRE!M65+DICIEMBRE!M65</f>
        <v>751.33999999999992</v>
      </c>
      <c r="N65" s="18">
        <f t="shared" si="1"/>
        <v>1687877433.2762456</v>
      </c>
      <c r="O65" s="4"/>
    </row>
    <row r="66" spans="1:15" ht="18" customHeight="1" x14ac:dyDescent="0.2">
      <c r="A66" s="17" t="s">
        <v>61</v>
      </c>
      <c r="B66" s="16">
        <f>ENERO!B66+FEBRERO!B66+MARZO!B66+ABRIL!B66+MAYO!B66+JUNIO!B66+JULIO!B66+AGOSTO!B66+SEPTIEMBRE!B66+OCTUBRE!B66+NOVIEMBRE!B66+DICIEMBRE!B66</f>
        <v>781676522.74999988</v>
      </c>
      <c r="C66" s="16">
        <f>ENERO!C66+FEBRERO!C66+MARZO!C66+ABRIL!C66+MAYO!C66+JUNIO!C66+JULIO!C66+AGOSTO!C66+SEPTIEMBRE!C66+OCTUBRE!C66+NOVIEMBRE!C66+DICIEMBRE!C66</f>
        <v>56463.25</v>
      </c>
      <c r="D66" s="16">
        <f>ENERO!D66+FEBRERO!D66+MARZO!D66+ABRIL!D66+MAYO!D66+JUNIO!D66+JULIO!D66+AGOSTO!D66+SEPTIEMBRE!D66+OCTUBRE!D66+NOVIEMBRE!D66+DICIEMBRE!D66</f>
        <v>69667693.281099215</v>
      </c>
      <c r="E66" s="16">
        <f>ENERO!E66+FEBRERO!E66+MARZO!E66+ABRIL!E66+MAYO!E66+JUNIO!E66+JULIO!E66+AGOSTO!E66+SEPTIEMBRE!E66+OCTUBRE!E66+NOVIEMBRE!E66+DICIEMBRE!E66</f>
        <v>8357552.1475896137</v>
      </c>
      <c r="F66" s="16">
        <f>ENERO!F66+FEBRERO!F66+MARZO!F66+ABRIL!F66+MAYO!F66+JUNIO!F66+JULIO!F66+AGOSTO!F66+SEPTIEMBRE!F66+OCTUBRE!F66+NOVIEMBRE!F66+DICIEMBRE!F66</f>
        <v>2356715.0887719891</v>
      </c>
      <c r="G66" s="16">
        <f>ENERO!G66+FEBRERO!G66+MARZO!G66+ABRIL!G66+MAYO!G66+JUNIO!G66+JULIO!G66+AGOSTO!G66+SEPTIEMBRE!G66+OCTUBRE!G66+NOVIEMBRE!G66+DICIEMBRE!G66</f>
        <v>1399990.56</v>
      </c>
      <c r="H66" s="16">
        <f>ENERO!H66+FEBRERO!H66+MARZO!H66+ABRIL!H66+MAYO!H66+JUNIO!H66+JULIO!H66+AGOSTO!H66+SEPTIEMBRE!H66+OCTUBRE!H66+NOVIEMBRE!H66+DICIEMBRE!H66</f>
        <v>40746115.279999994</v>
      </c>
      <c r="I66" s="16">
        <f>ENERO!I66+FEBRERO!I66+MARZO!I66+ABRIL!I66+MAYO!I66+JUNIO!I66+JULIO!I66+AGOSTO!I66+SEPTIEMBRE!I66+OCTUBRE!I66+NOVIEMBRE!I66+DICIEMBRE!I66</f>
        <v>5483149.1299999999</v>
      </c>
      <c r="J66" s="16">
        <f>ENERO!J66+FEBRERO!J66+MARZO!J66+ABRIL!J66+MAYO!J66+JUNIO!J66+JULIO!J66+AGOSTO!J66+SEPTIEMBRE!J66+OCTUBRE!J66+NOVIEMBRE!J66+DICIEMBRE!J66</f>
        <v>43270807.839999996</v>
      </c>
      <c r="K66" s="16">
        <f>ENERO!K66+FEBRERO!K66+MARZO!K66+ABRIL!K66+MAYO!K66+JUNIO!K66+JULIO!K66+AGOSTO!K66+SEPTIEMBRE!K66+OCTUBRE!K66+NOVIEMBRE!K66+DICIEMBRE!K66</f>
        <v>0</v>
      </c>
      <c r="L66" s="16">
        <f>ENERO!L66+FEBRERO!L66+MARZO!L66+ABRIL!L66+MAYO!L66+JUNIO!L66+JULIO!L66+AGOSTO!L66+SEPTIEMBRE!L66+OCTUBRE!L66+NOVIEMBRE!L66+DICIEMBRE!L66</f>
        <v>0</v>
      </c>
      <c r="M66" s="16">
        <f>ENERO!M66+FEBRERO!M66+MARZO!M66+ABRIL!M66+MAYO!M66+JUNIO!M66+JULIO!M66+AGOSTO!M66+SEPTIEMBRE!M66+OCTUBRE!M66+NOVIEMBRE!M66+DICIEMBRE!M66</f>
        <v>735.13</v>
      </c>
      <c r="N66" s="18">
        <f t="shared" si="1"/>
        <v>953015744.45746052</v>
      </c>
      <c r="O66" s="4"/>
    </row>
    <row r="67" spans="1:15" ht="18" customHeight="1" x14ac:dyDescent="0.2">
      <c r="A67" s="17" t="s">
        <v>62</v>
      </c>
      <c r="B67" s="16">
        <f>ENERO!B67+FEBRERO!B67+MARZO!B67+ABRIL!B67+MAYO!B67+JUNIO!B67+JULIO!B67+AGOSTO!B67+SEPTIEMBRE!B67+OCTUBRE!B67+NOVIEMBRE!B67+DICIEMBRE!B67</f>
        <v>3611250968.02</v>
      </c>
      <c r="C67" s="16">
        <f>ENERO!C67+FEBRERO!C67+MARZO!C67+ABRIL!C67+MAYO!C67+JUNIO!C67+JULIO!C67+AGOSTO!C67+SEPTIEMBRE!C67+OCTUBRE!C67+NOVIEMBRE!C67+DICIEMBRE!C67</f>
        <v>258334.35</v>
      </c>
      <c r="D67" s="16">
        <f>ENERO!D67+FEBRERO!D67+MARZO!D67+ABRIL!D67+MAYO!D67+JUNIO!D67+JULIO!D67+AGOSTO!D67+SEPTIEMBRE!D67+OCTUBRE!D67+NOVIEMBRE!D67+DICIEMBRE!D67</f>
        <v>20084314.68</v>
      </c>
      <c r="E67" s="16">
        <f>ENERO!E67+FEBRERO!E67+MARZO!E67+ABRIL!E67+MAYO!E67+JUNIO!E67+JULIO!E67+AGOSTO!E67+SEPTIEMBRE!E67+OCTUBRE!E67+NOVIEMBRE!E67+DICIEMBRE!E67</f>
        <v>53172096.095176913</v>
      </c>
      <c r="F67" s="16">
        <f>ENERO!F67+FEBRERO!F67+MARZO!F67+ABRIL!F67+MAYO!F67+JUNIO!F67+JULIO!F67+AGOSTO!F67+SEPTIEMBRE!F67+OCTUBRE!F67+NOVIEMBRE!F67+DICIEMBRE!F67</f>
        <v>63326169.707774058</v>
      </c>
      <c r="G67" s="16">
        <f>ENERO!G67+FEBRERO!G67+MARZO!G67+ABRIL!G67+MAYO!G67+JUNIO!G67+JULIO!G67+AGOSTO!G67+SEPTIEMBRE!G67+OCTUBRE!G67+NOVIEMBRE!G67+DICIEMBRE!G67</f>
        <v>29141054.498336356</v>
      </c>
      <c r="H67" s="16">
        <f>ENERO!H67+FEBRERO!H67+MARZO!H67+ABRIL!H67+MAYO!H67+JUNIO!H67+JULIO!H67+AGOSTO!H67+SEPTIEMBRE!H67+OCTUBRE!H67+NOVIEMBRE!H67+DICIEMBRE!H67</f>
        <v>188125420.49000001</v>
      </c>
      <c r="I67" s="16">
        <f>ENERO!I67+FEBRERO!I67+MARZO!I67+ABRIL!I67+MAYO!I67+JUNIO!I67+JULIO!I67+AGOSTO!I67+SEPTIEMBRE!I67+OCTUBRE!I67+NOVIEMBRE!I67+DICIEMBRE!I67</f>
        <v>147335086.76000002</v>
      </c>
      <c r="J67" s="16">
        <f>ENERO!J67+FEBRERO!J67+MARZO!J67+ABRIL!J67+MAYO!J67+JUNIO!J67+JULIO!J67+AGOSTO!J67+SEPTIEMBRE!J67+OCTUBRE!J67+NOVIEMBRE!J67+DICIEMBRE!J67</f>
        <v>291983777.38</v>
      </c>
      <c r="K67" s="16">
        <f>ENERO!K67+FEBRERO!K67+MARZO!K67+ABRIL!K67+MAYO!K67+JUNIO!K67+JULIO!K67+AGOSTO!K67+SEPTIEMBRE!K67+OCTUBRE!K67+NOVIEMBRE!K67+DICIEMBRE!K67</f>
        <v>0</v>
      </c>
      <c r="L67" s="16">
        <f>ENERO!L67+FEBRERO!L67+MARZO!L67+ABRIL!L67+MAYO!L67+JUNIO!L67+JULIO!L67+AGOSTO!L67+SEPTIEMBRE!L67+OCTUBRE!L67+NOVIEMBRE!L67+DICIEMBRE!L67</f>
        <v>0</v>
      </c>
      <c r="M67" s="16">
        <f>ENERO!M67+FEBRERO!M67+MARZO!M67+ABRIL!M67+MAYO!M67+JUNIO!M67+JULIO!M67+AGOSTO!M67+SEPTIEMBRE!M67+OCTUBRE!M67+NOVIEMBRE!M67+DICIEMBRE!M67</f>
        <v>19758.540000000005</v>
      </c>
      <c r="N67" s="18">
        <f t="shared" si="1"/>
        <v>4404696980.521287</v>
      </c>
      <c r="O67" s="4"/>
    </row>
    <row r="68" spans="1:15" ht="18" customHeight="1" x14ac:dyDescent="0.2">
      <c r="A68" s="17" t="s">
        <v>63</v>
      </c>
      <c r="B68" s="16">
        <f>ENERO!B68+FEBRERO!B68+MARZO!B68+ABRIL!B68+MAYO!B68+JUNIO!B68+JULIO!B68+AGOSTO!B68+SEPTIEMBRE!B68+OCTUBRE!B68+NOVIEMBRE!B68+DICIEMBRE!B68</f>
        <v>2218395897.9500003</v>
      </c>
      <c r="C68" s="16">
        <f>ENERO!C68+FEBRERO!C68+MARZO!C68+ABRIL!C68+MAYO!C68+JUNIO!C68+JULIO!C68+AGOSTO!C68+SEPTIEMBRE!C68+OCTUBRE!C68+NOVIEMBRE!C68+DICIEMBRE!C68</f>
        <v>159188.29999999999</v>
      </c>
      <c r="D68" s="16">
        <f>ENERO!D68+FEBRERO!D68+MARZO!D68+ABRIL!D68+MAYO!D68+JUNIO!D68+JULIO!D68+AGOSTO!D68+SEPTIEMBRE!D68+OCTUBRE!D68+NOVIEMBRE!D68+DICIEMBRE!D68</f>
        <v>30871957.969999995</v>
      </c>
      <c r="E68" s="16">
        <f>ENERO!E68+FEBRERO!E68+MARZO!E68+ABRIL!E68+MAYO!E68+JUNIO!E68+JULIO!E68+AGOSTO!E68+SEPTIEMBRE!E68+OCTUBRE!E68+NOVIEMBRE!E68+DICIEMBRE!E68</f>
        <v>23693604.385895647</v>
      </c>
      <c r="F68" s="16">
        <f>ENERO!F68+FEBRERO!F68+MARZO!F68+ABRIL!F68+MAYO!F68+JUNIO!F68+JULIO!F68+AGOSTO!F68+SEPTIEMBRE!F68+OCTUBRE!F68+NOVIEMBRE!F68+DICIEMBRE!F68</f>
        <v>55847007.566960469</v>
      </c>
      <c r="G68" s="16">
        <f>ENERO!G68+FEBRERO!G68+MARZO!G68+ABRIL!G68+MAYO!G68+JUNIO!G68+JULIO!G68+AGOSTO!G68+SEPTIEMBRE!G68+OCTUBRE!G68+NOVIEMBRE!G68+DICIEMBRE!G68</f>
        <v>28385648.651169334</v>
      </c>
      <c r="H68" s="16">
        <f>ENERO!H68+FEBRERO!H68+MARZO!H68+ABRIL!H68+MAYO!H68+JUNIO!H68+JULIO!H68+AGOSTO!H68+SEPTIEMBRE!H68+OCTUBRE!H68+NOVIEMBRE!H68+DICIEMBRE!H68</f>
        <v>115588524.77</v>
      </c>
      <c r="I68" s="16">
        <f>ENERO!I68+FEBRERO!I68+MARZO!I68+ABRIL!I68+MAYO!I68+JUNIO!I68+JULIO!I68+AGOSTO!I68+SEPTIEMBRE!I68+OCTUBRE!I68+NOVIEMBRE!I68+DICIEMBRE!I68</f>
        <v>129934018.5</v>
      </c>
      <c r="J68" s="16">
        <f>ENERO!J68+FEBRERO!J68+MARZO!J68+ABRIL!J68+MAYO!J68+JUNIO!J68+JULIO!J68+AGOSTO!J68+SEPTIEMBRE!J68+OCTUBRE!J68+NOVIEMBRE!J68+DICIEMBRE!J68</f>
        <v>247800955.31</v>
      </c>
      <c r="K68" s="16">
        <f>ENERO!K68+FEBRERO!K68+MARZO!K68+ABRIL!K68+MAYO!K68+JUNIO!K68+JULIO!K68+AGOSTO!K68+SEPTIEMBRE!K68+OCTUBRE!K68+NOVIEMBRE!K68+DICIEMBRE!K68</f>
        <v>0</v>
      </c>
      <c r="L68" s="16">
        <f>ENERO!L68+FEBRERO!L68+MARZO!L68+ABRIL!L68+MAYO!L68+JUNIO!L68+JULIO!L68+AGOSTO!L68+SEPTIEMBRE!L68+OCTUBRE!L68+NOVIEMBRE!L68+DICIEMBRE!L68</f>
        <v>0</v>
      </c>
      <c r="M68" s="16">
        <f>ENERO!M68+FEBRERO!M68+MARZO!M68+ABRIL!M68+MAYO!M68+JUNIO!M68+JULIO!M68+AGOSTO!M68+SEPTIEMBRE!M68+OCTUBRE!M68+NOVIEMBRE!M68+DICIEMBRE!M68</f>
        <v>17424.949999999997</v>
      </c>
      <c r="N68" s="18">
        <f t="shared" si="1"/>
        <v>2850694228.3540254</v>
      </c>
      <c r="O68" s="4"/>
    </row>
    <row r="69" spans="1:15" ht="18" customHeight="1" x14ac:dyDescent="0.2">
      <c r="A69" s="17" t="s">
        <v>64</v>
      </c>
      <c r="B69" s="16">
        <f>ENERO!B69+FEBRERO!B69+MARZO!B69+ABRIL!B69+MAYO!B69+JUNIO!B69+JULIO!B69+AGOSTO!B69+SEPTIEMBRE!B69+OCTUBRE!B69+NOVIEMBRE!B69+DICIEMBRE!B69</f>
        <v>6858939507.3899994</v>
      </c>
      <c r="C69" s="16">
        <f>ENERO!C69+FEBRERO!C69+MARZO!C69+ABRIL!C69+MAYO!C69+JUNIO!C69+JULIO!C69+AGOSTO!C69+SEPTIEMBRE!C69+OCTUBRE!C69+NOVIEMBRE!C69+DICIEMBRE!C69</f>
        <v>499964.99</v>
      </c>
      <c r="D69" s="16">
        <f>ENERO!D69+FEBRERO!D69+MARZO!D69+ABRIL!D69+MAYO!D69+JUNIO!D69+JULIO!D69+AGOSTO!D69+SEPTIEMBRE!D69+OCTUBRE!D69+NOVIEMBRE!D69+DICIEMBRE!D69</f>
        <v>22174602.969618715</v>
      </c>
      <c r="E69" s="16">
        <f>ENERO!E69+FEBRERO!E69+MARZO!E69+ABRIL!E69+MAYO!E69+JUNIO!E69+JULIO!E69+AGOSTO!E69+SEPTIEMBRE!E69+OCTUBRE!E69+NOVIEMBRE!E69+DICIEMBRE!E69</f>
        <v>73683372.723567903</v>
      </c>
      <c r="F69" s="16">
        <f>ENERO!F69+FEBRERO!F69+MARZO!F69+ABRIL!F69+MAYO!F69+JUNIO!F69+JULIO!F69+AGOSTO!F69+SEPTIEMBRE!F69+OCTUBRE!F69+NOVIEMBRE!F69+DICIEMBRE!F69</f>
        <v>164820737.23811153</v>
      </c>
      <c r="G69" s="16">
        <f>ENERO!G69+FEBRERO!G69+MARZO!G69+ABRIL!G69+MAYO!G69+JUNIO!G69+JULIO!G69+AGOSTO!G69+SEPTIEMBRE!G69+OCTUBRE!G69+NOVIEMBRE!G69+DICIEMBRE!G69</f>
        <v>28572969.597255215</v>
      </c>
      <c r="H69" s="16">
        <f>ENERO!H69+FEBRERO!H69+MARZO!H69+ABRIL!H69+MAYO!H69+JUNIO!H69+JULIO!H69+AGOSTO!H69+SEPTIEMBRE!H69+OCTUBRE!H69+NOVIEMBRE!H69+DICIEMBRE!H69</f>
        <v>357742364.04000002</v>
      </c>
      <c r="I69" s="16">
        <f>ENERO!I69+FEBRERO!I69+MARZO!I69+ABRIL!I69+MAYO!I69+JUNIO!I69+JULIO!I69+AGOSTO!I69+SEPTIEMBRE!I69+OCTUBRE!I69+NOVIEMBRE!I69+DICIEMBRE!I69</f>
        <v>383473021.11000007</v>
      </c>
      <c r="J69" s="16">
        <f>ENERO!J69+FEBRERO!J69+MARZO!J69+ABRIL!J69+MAYO!J69+JUNIO!J69+JULIO!J69+AGOSTO!J69+SEPTIEMBRE!J69+OCTUBRE!J69+NOVIEMBRE!J69+DICIEMBRE!J69</f>
        <v>548888552.91999996</v>
      </c>
      <c r="K69" s="16">
        <f>ENERO!K69+FEBRERO!K69+MARZO!K69+ABRIL!K69+MAYO!K69+JUNIO!K69+JULIO!K69+AGOSTO!K69+SEPTIEMBRE!K69+OCTUBRE!K69+NOVIEMBRE!K69+DICIEMBRE!K69</f>
        <v>0</v>
      </c>
      <c r="L69" s="16">
        <f>ENERO!L69+FEBRERO!L69+MARZO!L69+ABRIL!L69+MAYO!L69+JUNIO!L69+JULIO!L69+AGOSTO!L69+SEPTIEMBRE!L69+OCTUBRE!L69+NOVIEMBRE!L69+DICIEMBRE!L69</f>
        <v>0</v>
      </c>
      <c r="M69" s="16">
        <f>ENERO!M69+FEBRERO!M69+MARZO!M69+ABRIL!M69+MAYO!M69+JUNIO!M69+JULIO!M69+AGOSTO!M69+SEPTIEMBRE!M69+OCTUBRE!M69+NOVIEMBRE!M69+DICIEMBRE!M69</f>
        <v>51426.530000000006</v>
      </c>
      <c r="N69" s="18">
        <f t="shared" si="1"/>
        <v>8438846519.5085516</v>
      </c>
      <c r="O69" s="4"/>
    </row>
    <row r="70" spans="1:15" ht="18" customHeight="1" x14ac:dyDescent="0.2">
      <c r="A70" s="17" t="s">
        <v>65</v>
      </c>
      <c r="B70" s="16">
        <f>ENERO!B70+FEBRERO!B70+MARZO!B70+ABRIL!B70+MAYO!B70+JUNIO!B70+JULIO!B70+AGOSTO!B70+SEPTIEMBRE!B70+OCTUBRE!B70+NOVIEMBRE!B70+DICIEMBRE!B70</f>
        <v>1568350732.6399999</v>
      </c>
      <c r="C70" s="16">
        <f>ENERO!C70+FEBRERO!C70+MARZO!C70+ABRIL!C70+MAYO!C70+JUNIO!C70+JULIO!C70+AGOSTO!C70+SEPTIEMBRE!C70+OCTUBRE!C70+NOVIEMBRE!C70+DICIEMBRE!C70</f>
        <v>113576.74</v>
      </c>
      <c r="D70" s="16">
        <f>ENERO!D70+FEBRERO!D70+MARZO!D70+ABRIL!D70+MAYO!D70+JUNIO!D70+JULIO!D70+AGOSTO!D70+SEPTIEMBRE!D70+OCTUBRE!D70+NOVIEMBRE!D70+DICIEMBRE!D70</f>
        <v>149431437.68104622</v>
      </c>
      <c r="E70" s="16">
        <f>ENERO!E70+FEBRERO!E70+MARZO!E70+ABRIL!E70+MAYO!E70+JUNIO!E70+JULIO!E70+AGOSTO!E70+SEPTIEMBRE!E70+OCTUBRE!E70+NOVIEMBRE!E70+DICIEMBRE!E70</f>
        <v>17163903.01598531</v>
      </c>
      <c r="F70" s="16">
        <f>ENERO!F70+FEBRERO!F70+MARZO!F70+ABRIL!F70+MAYO!F70+JUNIO!F70+JULIO!F70+AGOSTO!F70+SEPTIEMBRE!F70+OCTUBRE!F70+NOVIEMBRE!F70+DICIEMBRE!F70</f>
        <v>36603746.613929689</v>
      </c>
      <c r="G70" s="16">
        <f>ENERO!G70+FEBRERO!G70+MARZO!G70+ABRIL!G70+MAYO!G70+JUNIO!G70+JULIO!G70+AGOSTO!G70+SEPTIEMBRE!G70+OCTUBRE!G70+NOVIEMBRE!G70+DICIEMBRE!G70</f>
        <v>13265484.119999999</v>
      </c>
      <c r="H70" s="16">
        <f>ENERO!H70+FEBRERO!H70+MARZO!H70+ABRIL!H70+MAYO!H70+JUNIO!H70+JULIO!H70+AGOSTO!H70+SEPTIEMBRE!H70+OCTUBRE!H70+NOVIEMBRE!H70+DICIEMBRE!H70</f>
        <v>81766142.049999997</v>
      </c>
      <c r="I70" s="16">
        <f>ENERO!I70+FEBRERO!I70+MARZO!I70+ABRIL!I70+MAYO!I70+JUNIO!I70+JULIO!I70+AGOSTO!I70+SEPTIEMBRE!I70+OCTUBRE!I70+NOVIEMBRE!I70+DICIEMBRE!I70</f>
        <v>85162519.900000006</v>
      </c>
      <c r="J70" s="16">
        <f>ENERO!J70+FEBRERO!J70+MARZO!J70+ABRIL!J70+MAYO!J70+JUNIO!J70+JULIO!J70+AGOSTO!J70+SEPTIEMBRE!J70+OCTUBRE!J70+NOVIEMBRE!J70+DICIEMBRE!J70</f>
        <v>229572501.88999999</v>
      </c>
      <c r="K70" s="16">
        <f>ENERO!K70+FEBRERO!K70+MARZO!K70+ABRIL!K70+MAYO!K70+JUNIO!K70+JULIO!K70+AGOSTO!K70+SEPTIEMBRE!K70+OCTUBRE!K70+NOVIEMBRE!K70+DICIEMBRE!K70</f>
        <v>0</v>
      </c>
      <c r="L70" s="16">
        <f>ENERO!L70+FEBRERO!L70+MARZO!L70+ABRIL!L70+MAYO!L70+JUNIO!L70+JULIO!L70+AGOSTO!L70+SEPTIEMBRE!L70+OCTUBRE!L70+NOVIEMBRE!L70+DICIEMBRE!L70</f>
        <v>0</v>
      </c>
      <c r="M70" s="16">
        <f>ENERO!M70+FEBRERO!M70+MARZO!M70+ABRIL!M70+MAYO!M70+JUNIO!M70+JULIO!M70+AGOSTO!M70+SEPTIEMBRE!M70+OCTUBRE!M70+NOVIEMBRE!M70+DICIEMBRE!M70</f>
        <v>11420.77</v>
      </c>
      <c r="N70" s="18">
        <f t="shared" si="1"/>
        <v>2181441465.4209609</v>
      </c>
      <c r="O70" s="4"/>
    </row>
    <row r="71" spans="1:15" ht="18" customHeight="1" x14ac:dyDescent="0.2">
      <c r="A71" s="17" t="s">
        <v>66</v>
      </c>
      <c r="B71" s="16">
        <f>ENERO!B71+FEBRERO!B71+MARZO!B71+ABRIL!B71+MAYO!B71+JUNIO!B71+JULIO!B71+AGOSTO!B71+SEPTIEMBRE!B71+OCTUBRE!B71+NOVIEMBRE!B71+DICIEMBRE!B71</f>
        <v>5437405408.7799988</v>
      </c>
      <c r="C71" s="16">
        <f>ENERO!C71+FEBRERO!C71+MARZO!C71+ABRIL!C71+MAYO!C71+JUNIO!C71+JULIO!C71+AGOSTO!C71+SEPTIEMBRE!C71+OCTUBRE!C71+NOVIEMBRE!C71+DICIEMBRE!C71</f>
        <v>375124</v>
      </c>
      <c r="D71" s="16">
        <f>ENERO!D71+FEBRERO!D71+MARZO!D71+ABRIL!D71+MAYO!D71+JUNIO!D71+JULIO!D71+AGOSTO!D71+SEPTIEMBRE!D71+OCTUBRE!D71+NOVIEMBRE!D71+DICIEMBRE!D71</f>
        <v>24449690.060000002</v>
      </c>
      <c r="E71" s="16">
        <f>ENERO!E71+FEBRERO!E71+MARZO!E71+ABRIL!E71+MAYO!E71+JUNIO!E71+JULIO!E71+AGOSTO!E71+SEPTIEMBRE!E71+OCTUBRE!E71+NOVIEMBRE!E71+DICIEMBRE!E71</f>
        <v>50007259.846516818</v>
      </c>
      <c r="F71" s="16">
        <f>ENERO!F71+FEBRERO!F71+MARZO!F71+ABRIL!F71+MAYO!F71+JUNIO!F71+JULIO!F71+AGOSTO!F71+SEPTIEMBRE!F71+OCTUBRE!F71+NOVIEMBRE!F71+DICIEMBRE!F71</f>
        <v>23047765.240580056</v>
      </c>
      <c r="G71" s="16">
        <f>ENERO!G71+FEBRERO!G71+MARZO!G71+ABRIL!G71+MAYO!G71+JUNIO!G71+JULIO!G71+AGOSTO!G71+SEPTIEMBRE!G71+OCTUBRE!G71+NOVIEMBRE!G71+DICIEMBRE!G71</f>
        <v>10235996.389999999</v>
      </c>
      <c r="H71" s="16">
        <f>ENERO!H71+FEBRERO!H71+MARZO!H71+ABRIL!H71+MAYO!H71+JUNIO!H71+JULIO!H71+AGOSTO!H71+SEPTIEMBRE!H71+OCTUBRE!H71+NOVIEMBRE!H71+DICIEMBRE!H71</f>
        <v>282616111.47000003</v>
      </c>
      <c r="I71" s="16">
        <f>ENERO!I71+FEBRERO!I71+MARZO!I71+ABRIL!I71+MAYO!I71+JUNIO!I71+JULIO!I71+AGOSTO!I71+SEPTIEMBRE!I71+OCTUBRE!I71+NOVIEMBRE!I71+DICIEMBRE!I71</f>
        <v>53623083.649999999</v>
      </c>
      <c r="J71" s="16">
        <f>ENERO!J71+FEBRERO!J71+MARZO!J71+ABRIL!J71+MAYO!J71+JUNIO!J71+JULIO!J71+AGOSTO!J71+SEPTIEMBRE!J71+OCTUBRE!J71+NOVIEMBRE!J71+DICIEMBRE!J71</f>
        <v>197629517.54000002</v>
      </c>
      <c r="K71" s="16">
        <f>ENERO!K71+FEBRERO!K71+MARZO!K71+ABRIL!K71+MAYO!K71+JUNIO!K71+JULIO!K71+AGOSTO!K71+SEPTIEMBRE!K71+OCTUBRE!K71+NOVIEMBRE!K71+DICIEMBRE!K71</f>
        <v>0</v>
      </c>
      <c r="L71" s="16">
        <f>ENERO!L71+FEBRERO!L71+MARZO!L71+ABRIL!L71+MAYO!L71+JUNIO!L71+JULIO!L71+AGOSTO!L71+SEPTIEMBRE!L71+OCTUBRE!L71+NOVIEMBRE!L71+DICIEMBRE!L71</f>
        <v>0</v>
      </c>
      <c r="M71" s="16">
        <f>ENERO!M71+FEBRERO!M71+MARZO!M71+ABRIL!M71+MAYO!M71+JUNIO!M71+JULIO!M71+AGOSTO!M71+SEPTIEMBRE!M71+OCTUBRE!M71+NOVIEMBRE!M71+DICIEMBRE!M71</f>
        <v>7191.1100000000006</v>
      </c>
      <c r="N71" s="18">
        <f t="shared" si="1"/>
        <v>6079397148.0870953</v>
      </c>
      <c r="O71" s="4"/>
    </row>
    <row r="72" spans="1:15" ht="18" customHeight="1" x14ac:dyDescent="0.2">
      <c r="A72" s="17" t="s">
        <v>67</v>
      </c>
      <c r="B72" s="16">
        <f>ENERO!B72+FEBRERO!B72+MARZO!B72+ABRIL!B72+MAYO!B72+JUNIO!B72+JULIO!B72+AGOSTO!B72+SEPTIEMBRE!B72+OCTUBRE!B72+NOVIEMBRE!B72+DICIEMBRE!B72</f>
        <v>28296590213.689999</v>
      </c>
      <c r="C72" s="16">
        <f>ENERO!C72+FEBRERO!C72+MARZO!C72+ABRIL!C72+MAYO!C72+JUNIO!C72+JULIO!C72+AGOSTO!C72+SEPTIEMBRE!C72+OCTUBRE!C72+NOVIEMBRE!C72+DICIEMBRE!C72</f>
        <v>2008722.78</v>
      </c>
      <c r="D72" s="16">
        <f>ENERO!D72+FEBRERO!D72+MARZO!D72+ABRIL!D72+MAYO!D72+JUNIO!D72+JULIO!D72+AGOSTO!D72+SEPTIEMBRE!D72+OCTUBRE!D72+NOVIEMBRE!D72+DICIEMBRE!D72</f>
        <v>127565279.01813915</v>
      </c>
      <c r="E72" s="16">
        <f>ENERO!E72+FEBRERO!E72+MARZO!E72+ABRIL!E72+MAYO!E72+JUNIO!E72+JULIO!E72+AGOSTO!E72+SEPTIEMBRE!E72+OCTUBRE!E72+NOVIEMBRE!E72+DICIEMBRE!E72</f>
        <v>414463901.73383129</v>
      </c>
      <c r="F72" s="16">
        <f>ENERO!F72+FEBRERO!F72+MARZO!F72+ABRIL!F72+MAYO!F72+JUNIO!F72+JULIO!F72+AGOSTO!F72+SEPTIEMBRE!F72+OCTUBRE!F72+NOVIEMBRE!F72+DICIEMBRE!F72</f>
        <v>670625053.4057374</v>
      </c>
      <c r="G72" s="16">
        <f>ENERO!G72+FEBRERO!G72+MARZO!G72+ABRIL!G72+MAYO!G72+JUNIO!G72+JULIO!G72+AGOSTO!G72+SEPTIEMBRE!G72+OCTUBRE!G72+NOVIEMBRE!G72+DICIEMBRE!G72</f>
        <v>0</v>
      </c>
      <c r="H72" s="16">
        <f>ENERO!H72+FEBRERO!H72+MARZO!H72+ABRIL!H72+MAYO!H72+JUNIO!H72+JULIO!H72+AGOSTO!H72+SEPTIEMBRE!H72+OCTUBRE!H72+NOVIEMBRE!H72+DICIEMBRE!H72</f>
        <v>1473371569.1399999</v>
      </c>
      <c r="I72" s="16">
        <f>ENERO!I72+FEBRERO!I72+MARZO!I72+ABRIL!I72+MAYO!I72+JUNIO!I72+JULIO!I72+AGOSTO!I72+SEPTIEMBRE!I72+OCTUBRE!I72+NOVIEMBRE!I72+DICIEMBRE!I72</f>
        <v>1560280683.5999999</v>
      </c>
      <c r="J72" s="16">
        <f>ENERO!J72+FEBRERO!J72+MARZO!J72+ABRIL!J72+MAYO!J72+JUNIO!J72+JULIO!J72+AGOSTO!J72+SEPTIEMBRE!J72+OCTUBRE!J72+NOVIEMBRE!J72+DICIEMBRE!J72</f>
        <v>2910069982.0299997</v>
      </c>
      <c r="K72" s="16">
        <f>ENERO!K72+FEBRERO!K72+MARZO!K72+ABRIL!K72+MAYO!K72+JUNIO!K72+JULIO!K72+AGOSTO!K72+SEPTIEMBRE!K72+OCTUBRE!K72+NOVIEMBRE!K72+DICIEMBRE!K72</f>
        <v>0</v>
      </c>
      <c r="L72" s="16">
        <f>ENERO!L72+FEBRERO!L72+MARZO!L72+ABRIL!L72+MAYO!L72+JUNIO!L72+JULIO!L72+AGOSTO!L72+SEPTIEMBRE!L72+OCTUBRE!L72+NOVIEMBRE!L72+DICIEMBRE!L72</f>
        <v>0</v>
      </c>
      <c r="M72" s="16">
        <f>ENERO!M72+FEBRERO!M72+MARZO!M72+ABRIL!M72+MAYO!M72+JUNIO!M72+JULIO!M72+AGOSTO!M72+SEPTIEMBRE!M72+OCTUBRE!M72+NOVIEMBRE!M72+DICIEMBRE!M72</f>
        <v>209245.71000000002</v>
      </c>
      <c r="N72" s="18">
        <f t="shared" ref="N72:N103" si="2">SUM(B72:M72)</f>
        <v>35455184651.107704</v>
      </c>
      <c r="O72" s="4"/>
    </row>
    <row r="73" spans="1:15" ht="18" customHeight="1" x14ac:dyDescent="0.2">
      <c r="A73" s="17" t="s">
        <v>68</v>
      </c>
      <c r="B73" s="16">
        <f>ENERO!B73+FEBRERO!B73+MARZO!B73+ABRIL!B73+MAYO!B73+JUNIO!B73+JULIO!B73+AGOSTO!B73+SEPTIEMBRE!B73+OCTUBRE!B73+NOVIEMBRE!B73+DICIEMBRE!B73</f>
        <v>11336789217.82</v>
      </c>
      <c r="C73" s="16">
        <f>ENERO!C73+FEBRERO!C73+MARZO!C73+ABRIL!C73+MAYO!C73+JUNIO!C73+JULIO!C73+AGOSTO!C73+SEPTIEMBRE!C73+OCTUBRE!C73+NOVIEMBRE!C73+DICIEMBRE!C73</f>
        <v>798509.66</v>
      </c>
      <c r="D73" s="16">
        <f>ENERO!D73+FEBRERO!D73+MARZO!D73+ABRIL!D73+MAYO!D73+JUNIO!D73+JULIO!D73+AGOSTO!D73+SEPTIEMBRE!D73+OCTUBRE!D73+NOVIEMBRE!D73+DICIEMBRE!D73</f>
        <v>252827658.93500948</v>
      </c>
      <c r="E73" s="16">
        <f>ENERO!E73+FEBRERO!E73+MARZO!E73+ABRIL!E73+MAYO!E73+JUNIO!E73+JULIO!E73+AGOSTO!E73+SEPTIEMBRE!E73+OCTUBRE!E73+NOVIEMBRE!E73+DICIEMBRE!E73</f>
        <v>168379684.66926634</v>
      </c>
      <c r="F73" s="16">
        <f>ENERO!F73+FEBRERO!F73+MARZO!F73+ABRIL!F73+MAYO!F73+JUNIO!F73+JULIO!F73+AGOSTO!F73+SEPTIEMBRE!F73+OCTUBRE!F73+NOVIEMBRE!F73+DICIEMBRE!F73</f>
        <v>248915865.06426463</v>
      </c>
      <c r="G73" s="16">
        <f>ENERO!G73+FEBRERO!G73+MARZO!G73+ABRIL!G73+MAYO!G73+JUNIO!G73+JULIO!G73+AGOSTO!G73+SEPTIEMBRE!G73+OCTUBRE!G73+NOVIEMBRE!G73+DICIEMBRE!G73</f>
        <v>117420104.1455664</v>
      </c>
      <c r="H73" s="16">
        <f>ENERO!H73+FEBRERO!H73+MARZO!H73+ABRIL!H73+MAYO!H73+JUNIO!H73+JULIO!H73+AGOSTO!H73+SEPTIEMBRE!H73+OCTUBRE!H73+NOVIEMBRE!H73+DICIEMBRE!H73</f>
        <v>590003453.90999997</v>
      </c>
      <c r="I73" s="16">
        <f>ENERO!I73+FEBRERO!I73+MARZO!I73+ABRIL!I73+MAYO!I73+JUNIO!I73+JULIO!I73+AGOSTO!I73+SEPTIEMBRE!I73+OCTUBRE!I73+NOVIEMBRE!I73+DICIEMBRE!I73</f>
        <v>579129303.53999996</v>
      </c>
      <c r="J73" s="16">
        <f>ENERO!J73+FEBRERO!J73+MARZO!J73+ABRIL!J73+MAYO!J73+JUNIO!J73+JULIO!J73+AGOSTO!J73+SEPTIEMBRE!J73+OCTUBRE!J73+NOVIEMBRE!J73+DICIEMBRE!J73</f>
        <v>1257296370.49</v>
      </c>
      <c r="K73" s="16">
        <f>ENERO!K73+FEBRERO!K73+MARZO!K73+ABRIL!K73+MAYO!K73+JUNIO!K73+JULIO!K73+AGOSTO!K73+SEPTIEMBRE!K73+OCTUBRE!K73+NOVIEMBRE!K73+DICIEMBRE!K73</f>
        <v>0</v>
      </c>
      <c r="L73" s="16">
        <f>ENERO!L73+FEBRERO!L73+MARZO!L73+ABRIL!L73+MAYO!L73+JUNIO!L73+JULIO!L73+AGOSTO!L73+SEPTIEMBRE!L73+OCTUBRE!L73+NOVIEMBRE!L73+DICIEMBRE!L73</f>
        <v>0</v>
      </c>
      <c r="M73" s="16">
        <f>ENERO!M73+FEBRERO!M73+MARZO!M73+ABRIL!M73+MAYO!M73+JUNIO!M73+JULIO!M73+AGOSTO!M73+SEPTIEMBRE!M73+OCTUBRE!M73+NOVIEMBRE!M73+DICIEMBRE!M73</f>
        <v>77665.61</v>
      </c>
      <c r="N73" s="18">
        <f t="shared" si="2"/>
        <v>14551637833.844107</v>
      </c>
      <c r="O73" s="4"/>
    </row>
    <row r="74" spans="1:15" ht="18" customHeight="1" x14ac:dyDescent="0.2">
      <c r="A74" s="17" t="s">
        <v>69</v>
      </c>
      <c r="B74" s="16">
        <f>ENERO!B74+FEBRERO!B74+MARZO!B74+ABRIL!B74+MAYO!B74+JUNIO!B74+JULIO!B74+AGOSTO!B74+SEPTIEMBRE!B74+OCTUBRE!B74+NOVIEMBRE!B74+DICIEMBRE!B74</f>
        <v>7013060452.7999992</v>
      </c>
      <c r="C74" s="16">
        <f>ENERO!C74+FEBRERO!C74+MARZO!C74+ABRIL!C74+MAYO!C74+JUNIO!C74+JULIO!C74+AGOSTO!C74+SEPTIEMBRE!C74+OCTUBRE!C74+NOVIEMBRE!C74+DICIEMBRE!C74</f>
        <v>494866.99000000005</v>
      </c>
      <c r="D74" s="16">
        <f>ENERO!D74+FEBRERO!D74+MARZO!D74+ABRIL!D74+MAYO!D74+JUNIO!D74+JULIO!D74+AGOSTO!D74+SEPTIEMBRE!D74+OCTUBRE!D74+NOVIEMBRE!D74+DICIEMBRE!D74</f>
        <v>59164718.459999993</v>
      </c>
      <c r="E74" s="16">
        <f>ENERO!E74+FEBRERO!E74+MARZO!E74+ABRIL!E74+MAYO!E74+JUNIO!E74+JULIO!E74+AGOSTO!E74+SEPTIEMBRE!E74+OCTUBRE!E74+NOVIEMBRE!E74+DICIEMBRE!E74</f>
        <v>102497423.82625683</v>
      </c>
      <c r="F74" s="16">
        <f>ENERO!F74+FEBRERO!F74+MARZO!F74+ABRIL!F74+MAYO!F74+JUNIO!F74+JULIO!F74+AGOSTO!F74+SEPTIEMBRE!F74+OCTUBRE!F74+NOVIEMBRE!F74+DICIEMBRE!F74</f>
        <v>180720449.13580465</v>
      </c>
      <c r="G74" s="16">
        <f>ENERO!G74+FEBRERO!G74+MARZO!G74+ABRIL!G74+MAYO!G74+JUNIO!G74+JULIO!G74+AGOSTO!G74+SEPTIEMBRE!G74+OCTUBRE!G74+NOVIEMBRE!G74+DICIEMBRE!G74</f>
        <v>207310866.74844655</v>
      </c>
      <c r="H74" s="16">
        <f>ENERO!H74+FEBRERO!H74+MARZO!H74+ABRIL!H74+MAYO!H74+JUNIO!H74+JULIO!H74+AGOSTO!H74+SEPTIEMBRE!H74+OCTUBRE!H74+NOVIEMBRE!H74+DICIEMBRE!H74</f>
        <v>365024227.05000007</v>
      </c>
      <c r="I74" s="16">
        <f>ENERO!I74+FEBRERO!I74+MARZO!I74+ABRIL!I74+MAYO!I74+JUNIO!I74+JULIO!I74+AGOSTO!I74+SEPTIEMBRE!I74+OCTUBRE!I74+NOVIEMBRE!I74+DICIEMBRE!I74</f>
        <v>420465396.28999996</v>
      </c>
      <c r="J74" s="16">
        <f>ENERO!J74+FEBRERO!J74+MARZO!J74+ABRIL!J74+MAYO!J74+JUNIO!J74+JULIO!J74+AGOSTO!J74+SEPTIEMBRE!J74+OCTUBRE!J74+NOVIEMBRE!J74+DICIEMBRE!J74</f>
        <v>683150380.49000001</v>
      </c>
      <c r="K74" s="16">
        <f>ENERO!K74+FEBRERO!K74+MARZO!K74+ABRIL!K74+MAYO!K74+JUNIO!K74+JULIO!K74+AGOSTO!K74+SEPTIEMBRE!K74+OCTUBRE!K74+NOVIEMBRE!K74+DICIEMBRE!K74</f>
        <v>0</v>
      </c>
      <c r="L74" s="16">
        <f>ENERO!L74+FEBRERO!L74+MARZO!L74+ABRIL!L74+MAYO!L74+JUNIO!L74+JULIO!L74+AGOSTO!L74+SEPTIEMBRE!L74+OCTUBRE!L74+NOVIEMBRE!L74+DICIEMBRE!L74</f>
        <v>0</v>
      </c>
      <c r="M74" s="16">
        <f>ENERO!M74+FEBRERO!M74+MARZO!M74+ABRIL!M74+MAYO!M74+JUNIO!M74+JULIO!M74+AGOSTO!M74+SEPTIEMBRE!M74+OCTUBRE!M74+NOVIEMBRE!M74+DICIEMBRE!M74</f>
        <v>56387.57</v>
      </c>
      <c r="N74" s="18">
        <f t="shared" si="2"/>
        <v>9031945169.360508</v>
      </c>
      <c r="O74" s="4"/>
    </row>
    <row r="75" spans="1:15" ht="18" customHeight="1" x14ac:dyDescent="0.2">
      <c r="A75" s="17" t="s">
        <v>70</v>
      </c>
      <c r="B75" s="16">
        <f>ENERO!B75+FEBRERO!B75+MARZO!B75+ABRIL!B75+MAYO!B75+JUNIO!B75+JULIO!B75+AGOSTO!B75+SEPTIEMBRE!B75+OCTUBRE!B75+NOVIEMBRE!B75+DICIEMBRE!B75</f>
        <v>1134282487.4300001</v>
      </c>
      <c r="C75" s="16">
        <f>ENERO!C75+FEBRERO!C75+MARZO!C75+ABRIL!C75+MAYO!C75+JUNIO!C75+JULIO!C75+AGOSTO!C75+SEPTIEMBRE!C75+OCTUBRE!C75+NOVIEMBRE!C75+DICIEMBRE!C75</f>
        <v>83417.649999999994</v>
      </c>
      <c r="D75" s="16">
        <f>ENERO!D75+FEBRERO!D75+MARZO!D75+ABRIL!D75+MAYO!D75+JUNIO!D75+JULIO!D75+AGOSTO!D75+SEPTIEMBRE!D75+OCTUBRE!D75+NOVIEMBRE!D75+DICIEMBRE!D75</f>
        <v>76692599.602678612</v>
      </c>
      <c r="E75" s="16">
        <f>ENERO!E75+FEBRERO!E75+MARZO!E75+ABRIL!E75+MAYO!E75+JUNIO!E75+JULIO!E75+AGOSTO!E75+SEPTIEMBRE!E75+OCTUBRE!E75+NOVIEMBRE!E75+DICIEMBRE!E75</f>
        <v>12190121.252225988</v>
      </c>
      <c r="F75" s="16">
        <f>ENERO!F75+FEBRERO!F75+MARZO!F75+ABRIL!F75+MAYO!F75+JUNIO!F75+JULIO!F75+AGOSTO!F75+SEPTIEMBRE!F75+OCTUBRE!F75+NOVIEMBRE!F75+DICIEMBRE!F75</f>
        <v>3285118.0604094397</v>
      </c>
      <c r="G75" s="16">
        <f>ENERO!G75+FEBRERO!G75+MARZO!G75+ABRIL!G75+MAYO!G75+JUNIO!G75+JULIO!G75+AGOSTO!G75+SEPTIEMBRE!G75+OCTUBRE!G75+NOVIEMBRE!G75+DICIEMBRE!G75</f>
        <v>1491793.2000000002</v>
      </c>
      <c r="H75" s="16">
        <f>ENERO!H75+FEBRERO!H75+MARZO!H75+ABRIL!H75+MAYO!H75+JUNIO!H75+JULIO!H75+AGOSTO!H75+SEPTIEMBRE!H75+OCTUBRE!H75+NOVIEMBRE!H75+DICIEMBRE!H75</f>
        <v>59195024.440000005</v>
      </c>
      <c r="I75" s="16">
        <f>ENERO!I75+FEBRERO!I75+MARZO!I75+ABRIL!I75+MAYO!I75+JUNIO!I75+JULIO!I75+AGOSTO!I75+SEPTIEMBRE!I75+OCTUBRE!I75+NOVIEMBRE!I75+DICIEMBRE!I75</f>
        <v>7643177.5600000005</v>
      </c>
      <c r="J75" s="16">
        <f>ENERO!J75+FEBRERO!J75+MARZO!J75+ABRIL!J75+MAYO!J75+JUNIO!J75+JULIO!J75+AGOSTO!J75+SEPTIEMBRE!J75+OCTUBRE!J75+NOVIEMBRE!J75+DICIEMBRE!J75</f>
        <v>79890761.300000012</v>
      </c>
      <c r="K75" s="16">
        <f>ENERO!K75+FEBRERO!K75+MARZO!K75+ABRIL!K75+MAYO!K75+JUNIO!K75+JULIO!K75+AGOSTO!K75+SEPTIEMBRE!K75+OCTUBRE!K75+NOVIEMBRE!K75+DICIEMBRE!K75</f>
        <v>0</v>
      </c>
      <c r="L75" s="16">
        <f>ENERO!L75+FEBRERO!L75+MARZO!L75+ABRIL!L75+MAYO!L75+JUNIO!L75+JULIO!L75+AGOSTO!L75+SEPTIEMBRE!L75+OCTUBRE!L75+NOVIEMBRE!L75+DICIEMBRE!L75</f>
        <v>0</v>
      </c>
      <c r="M75" s="16">
        <f>ENERO!M75+FEBRERO!M75+MARZO!M75+ABRIL!M75+MAYO!M75+JUNIO!M75+JULIO!M75+AGOSTO!M75+SEPTIEMBRE!M75+OCTUBRE!M75+NOVIEMBRE!M75+DICIEMBRE!M75</f>
        <v>1024.8500000000001</v>
      </c>
      <c r="N75" s="18">
        <f t="shared" si="2"/>
        <v>1374755525.345314</v>
      </c>
      <c r="O75" s="4"/>
    </row>
    <row r="76" spans="1:15" ht="18" customHeight="1" x14ac:dyDescent="0.2">
      <c r="A76" s="17" t="s">
        <v>71</v>
      </c>
      <c r="B76" s="16">
        <f>ENERO!B76+FEBRERO!B76+MARZO!B76+ABRIL!B76+MAYO!B76+JUNIO!B76+JULIO!B76+AGOSTO!B76+SEPTIEMBRE!B76+OCTUBRE!B76+NOVIEMBRE!B76+DICIEMBRE!B76</f>
        <v>1056587692.97</v>
      </c>
      <c r="C76" s="16">
        <f>ENERO!C76+FEBRERO!C76+MARZO!C76+ABRIL!C76+MAYO!C76+JUNIO!C76+JULIO!C76+AGOSTO!C76+SEPTIEMBRE!C76+OCTUBRE!C76+NOVIEMBRE!C76+DICIEMBRE!C76</f>
        <v>75366.290000000008</v>
      </c>
      <c r="D76" s="16">
        <f>ENERO!D76+FEBRERO!D76+MARZO!D76+ABRIL!D76+MAYO!D76+JUNIO!D76+JULIO!D76+AGOSTO!D76+SEPTIEMBRE!D76+OCTUBRE!D76+NOVIEMBRE!D76+DICIEMBRE!D76</f>
        <v>106870614.25641429</v>
      </c>
      <c r="E76" s="16">
        <f>ENERO!E76+FEBRERO!E76+MARZO!E76+ABRIL!E76+MAYO!E76+JUNIO!E76+JULIO!E76+AGOSTO!E76+SEPTIEMBRE!E76+OCTUBRE!E76+NOVIEMBRE!E76+DICIEMBRE!E76</f>
        <v>11326561.69562408</v>
      </c>
      <c r="F76" s="16">
        <f>ENERO!F76+FEBRERO!F76+MARZO!F76+ABRIL!F76+MAYO!F76+JUNIO!F76+JULIO!F76+AGOSTO!F76+SEPTIEMBRE!F76+OCTUBRE!F76+NOVIEMBRE!F76+DICIEMBRE!F76</f>
        <v>5914510.9721798394</v>
      </c>
      <c r="G76" s="16">
        <f>ENERO!G76+FEBRERO!G76+MARZO!G76+ABRIL!G76+MAYO!G76+JUNIO!G76+JULIO!G76+AGOSTO!G76+SEPTIEMBRE!G76+OCTUBRE!G76+NOVIEMBRE!G76+DICIEMBRE!G76</f>
        <v>3511451.68</v>
      </c>
      <c r="H76" s="16">
        <f>ENERO!H76+FEBRERO!H76+MARZO!H76+ABRIL!H76+MAYO!H76+JUNIO!H76+JULIO!H76+AGOSTO!H76+SEPTIEMBRE!H76+OCTUBRE!H76+NOVIEMBRE!H76+DICIEMBRE!H76</f>
        <v>55032059.519999996</v>
      </c>
      <c r="I76" s="16">
        <f>ENERO!I76+FEBRERO!I76+MARZO!I76+ABRIL!I76+MAYO!I76+JUNIO!I76+JULIO!I76+AGOSTO!I76+SEPTIEMBRE!I76+OCTUBRE!I76+NOVIEMBRE!I76+DICIEMBRE!I76</f>
        <v>13760740.630000001</v>
      </c>
      <c r="J76" s="16">
        <f>ENERO!J76+FEBRERO!J76+MARZO!J76+ABRIL!J76+MAYO!J76+JUNIO!J76+JULIO!J76+AGOSTO!J76+SEPTIEMBRE!J76+OCTUBRE!J76+NOVIEMBRE!J76+DICIEMBRE!J76</f>
        <v>113774675.83999997</v>
      </c>
      <c r="K76" s="16">
        <f>ENERO!K76+FEBRERO!K76+MARZO!K76+ABRIL!K76+MAYO!K76+JUNIO!K76+JULIO!K76+AGOSTO!K76+SEPTIEMBRE!K76+OCTUBRE!K76+NOVIEMBRE!K76+DICIEMBRE!K76</f>
        <v>0</v>
      </c>
      <c r="L76" s="16">
        <f>ENERO!L76+FEBRERO!L76+MARZO!L76+ABRIL!L76+MAYO!L76+JUNIO!L76+JULIO!L76+AGOSTO!L76+SEPTIEMBRE!L76+OCTUBRE!L76+NOVIEMBRE!L76+DICIEMBRE!L76</f>
        <v>0</v>
      </c>
      <c r="M76" s="16">
        <f>ENERO!M76+FEBRERO!M76+MARZO!M76+ABRIL!M76+MAYO!M76+JUNIO!M76+JULIO!M76+AGOSTO!M76+SEPTIEMBRE!M76+OCTUBRE!M76+NOVIEMBRE!M76+DICIEMBRE!M76</f>
        <v>1845.1899999999998</v>
      </c>
      <c r="N76" s="18">
        <f t="shared" si="2"/>
        <v>1366855519.0442183</v>
      </c>
      <c r="O76" s="4"/>
    </row>
    <row r="77" spans="1:15" ht="18" customHeight="1" x14ac:dyDescent="0.2">
      <c r="A77" s="17" t="s">
        <v>72</v>
      </c>
      <c r="B77" s="16">
        <f>ENERO!B77+FEBRERO!B77+MARZO!B77+ABRIL!B77+MAYO!B77+JUNIO!B77+JULIO!B77+AGOSTO!B77+SEPTIEMBRE!B77+OCTUBRE!B77+NOVIEMBRE!B77+DICIEMBRE!B77</f>
        <v>1376554924.01</v>
      </c>
      <c r="C77" s="16">
        <f>ENERO!C77+FEBRERO!C77+MARZO!C77+ABRIL!C77+MAYO!C77+JUNIO!C77+JULIO!C77+AGOSTO!C77+SEPTIEMBRE!C77+OCTUBRE!C77+NOVIEMBRE!C77+DICIEMBRE!C77</f>
        <v>102307.03</v>
      </c>
      <c r="D77" s="16">
        <f>ENERO!D77+FEBRERO!D77+MARZO!D77+ABRIL!D77+MAYO!D77+JUNIO!D77+JULIO!D77+AGOSTO!D77+SEPTIEMBRE!D77+OCTUBRE!D77+NOVIEMBRE!D77+DICIEMBRE!D77</f>
        <v>88772284.99239026</v>
      </c>
      <c r="E77" s="16">
        <f>ENERO!E77+FEBRERO!E77+MARZO!E77+ABRIL!E77+MAYO!E77+JUNIO!E77+JULIO!E77+AGOSTO!E77+SEPTIEMBRE!E77+OCTUBRE!E77+NOVIEMBRE!E77+DICIEMBRE!E77</f>
        <v>14862055.949004794</v>
      </c>
      <c r="F77" s="16">
        <f>ENERO!F77+FEBRERO!F77+MARZO!F77+ABRIL!F77+MAYO!F77+JUNIO!F77+JULIO!F77+AGOSTO!F77+SEPTIEMBRE!F77+OCTUBRE!F77+NOVIEMBRE!F77+DICIEMBRE!F77</f>
        <v>6946791.1892452575</v>
      </c>
      <c r="G77" s="16">
        <f>ENERO!G77+FEBRERO!G77+MARZO!G77+ABRIL!G77+MAYO!G77+JUNIO!G77+JULIO!G77+AGOSTO!G77+SEPTIEMBRE!G77+OCTUBRE!G77+NOVIEMBRE!G77+DICIEMBRE!G77</f>
        <v>2478671.7699999996</v>
      </c>
      <c r="H77" s="16">
        <f>ENERO!H77+FEBRERO!H77+MARZO!H77+ABRIL!H77+MAYO!H77+JUNIO!H77+JULIO!H77+AGOSTO!H77+SEPTIEMBRE!H77+OCTUBRE!H77+NOVIEMBRE!H77+DICIEMBRE!H77</f>
        <v>71888213.609999999</v>
      </c>
      <c r="I77" s="16">
        <f>ENERO!I77+FEBRERO!I77+MARZO!I77+ABRIL!I77+MAYO!I77+JUNIO!I77+JULIO!I77+AGOSTO!I77+SEPTIEMBRE!I77+OCTUBRE!I77+NOVIEMBRE!I77+DICIEMBRE!I77</f>
        <v>16162450.560000001</v>
      </c>
      <c r="J77" s="16">
        <f>ENERO!J77+FEBRERO!J77+MARZO!J77+ABRIL!J77+MAYO!J77+JUNIO!J77+JULIO!J77+AGOSTO!J77+SEPTIEMBRE!J77+OCTUBRE!J77+NOVIEMBRE!J77+DICIEMBRE!J77</f>
        <v>76373147.230000004</v>
      </c>
      <c r="K77" s="16">
        <f>ENERO!K77+FEBRERO!K77+MARZO!K77+ABRIL!K77+MAYO!K77+JUNIO!K77+JULIO!K77+AGOSTO!K77+SEPTIEMBRE!K77+OCTUBRE!K77+NOVIEMBRE!K77+DICIEMBRE!K77</f>
        <v>0</v>
      </c>
      <c r="L77" s="16">
        <f>ENERO!L77+FEBRERO!L77+MARZO!L77+ABRIL!L77+MAYO!L77+JUNIO!L77+JULIO!L77+AGOSTO!L77+SEPTIEMBRE!L77+OCTUBRE!L77+NOVIEMBRE!L77+DICIEMBRE!L77</f>
        <v>0</v>
      </c>
      <c r="M77" s="16">
        <f>ENERO!M77+FEBRERO!M77+MARZO!M77+ABRIL!M77+MAYO!M77+JUNIO!M77+JULIO!M77+AGOSTO!M77+SEPTIEMBRE!M77+OCTUBRE!M77+NOVIEMBRE!M77+DICIEMBRE!M77</f>
        <v>2167.3099999999995</v>
      </c>
      <c r="N77" s="18">
        <f t="shared" si="2"/>
        <v>1654143013.65064</v>
      </c>
      <c r="O77" s="4"/>
    </row>
    <row r="78" spans="1:15" ht="18" customHeight="1" x14ac:dyDescent="0.2">
      <c r="A78" s="17" t="s">
        <v>73</v>
      </c>
      <c r="B78" s="16">
        <f>ENERO!B78+FEBRERO!B78+MARZO!B78+ABRIL!B78+MAYO!B78+JUNIO!B78+JULIO!B78+AGOSTO!B78+SEPTIEMBRE!B78+OCTUBRE!B78+NOVIEMBRE!B78+DICIEMBRE!B78</f>
        <v>534444844</v>
      </c>
      <c r="C78" s="16">
        <f>ENERO!C78+FEBRERO!C78+MARZO!C78+ABRIL!C78+MAYO!C78+JUNIO!C78+JULIO!C78+AGOSTO!C78+SEPTIEMBRE!C78+OCTUBRE!C78+NOVIEMBRE!C78+DICIEMBRE!C78</f>
        <v>39305.980000000003</v>
      </c>
      <c r="D78" s="16">
        <f>ENERO!D78+FEBRERO!D78+MARZO!D78+ABRIL!D78+MAYO!D78+JUNIO!D78+JULIO!D78+AGOSTO!D78+SEPTIEMBRE!D78+OCTUBRE!D78+NOVIEMBRE!D78+DICIEMBRE!D78</f>
        <v>38550177.650356166</v>
      </c>
      <c r="E78" s="16">
        <f>ENERO!E78+FEBRERO!E78+MARZO!E78+ABRIL!E78+MAYO!E78+JUNIO!E78+JULIO!E78+AGOSTO!E78+SEPTIEMBRE!E78+OCTUBRE!E78+NOVIEMBRE!E78+DICIEMBRE!E78</f>
        <v>5736720.0403124858</v>
      </c>
      <c r="F78" s="16">
        <f>ENERO!F78+FEBRERO!F78+MARZO!F78+ABRIL!F78+MAYO!F78+JUNIO!F78+JULIO!F78+AGOSTO!F78+SEPTIEMBRE!F78+OCTUBRE!F78+NOVIEMBRE!F78+DICIEMBRE!F78</f>
        <v>2467084.6814142037</v>
      </c>
      <c r="G78" s="16">
        <f>ENERO!G78+FEBRERO!G78+MARZO!G78+ABRIL!G78+MAYO!G78+JUNIO!G78+JULIO!G78+AGOSTO!G78+SEPTIEMBRE!G78+OCTUBRE!G78+NOVIEMBRE!G78+DICIEMBRE!G78</f>
        <v>826223.92</v>
      </c>
      <c r="H78" s="16">
        <f>ENERO!H78+FEBRERO!H78+MARZO!H78+ABRIL!H78+MAYO!H78+JUNIO!H78+JULIO!H78+AGOSTO!H78+SEPTIEMBRE!H78+OCTUBRE!H78+NOVIEMBRE!H78+DICIEMBRE!H78</f>
        <v>27891258.850000001</v>
      </c>
      <c r="I78" s="16">
        <f>ENERO!I78+FEBRERO!I78+MARZO!I78+ABRIL!I78+MAYO!I78+JUNIO!I78+JULIO!I78+AGOSTO!I78+SEPTIEMBRE!I78+OCTUBRE!I78+NOVIEMBRE!I78+DICIEMBRE!I78</f>
        <v>5739935.7299999995</v>
      </c>
      <c r="J78" s="16">
        <f>ENERO!J78+FEBRERO!J78+MARZO!J78+ABRIL!J78+MAYO!J78+JUNIO!J78+JULIO!J78+AGOSTO!J78+SEPTIEMBRE!J78+OCTUBRE!J78+NOVIEMBRE!J78+DICIEMBRE!J78</f>
        <v>34458388.110000007</v>
      </c>
      <c r="K78" s="16">
        <f>ENERO!K78+FEBRERO!K78+MARZO!K78+ABRIL!K78+MAYO!K78+JUNIO!K78+JULIO!K78+AGOSTO!K78+SEPTIEMBRE!K78+OCTUBRE!K78+NOVIEMBRE!K78+DICIEMBRE!K78</f>
        <v>0</v>
      </c>
      <c r="L78" s="16">
        <f>ENERO!L78+FEBRERO!L78+MARZO!L78+ABRIL!L78+MAYO!L78+JUNIO!L78+JULIO!L78+AGOSTO!L78+SEPTIEMBRE!L78+OCTUBRE!L78+NOVIEMBRE!L78+DICIEMBRE!L78</f>
        <v>0</v>
      </c>
      <c r="M78" s="16">
        <f>ENERO!M78+FEBRERO!M78+MARZO!M78+ABRIL!M78+MAYO!M78+JUNIO!M78+JULIO!M78+AGOSTO!M78+SEPTIEMBRE!M78+OCTUBRE!M78+NOVIEMBRE!M78+DICIEMBRE!M78</f>
        <v>769.57999999999993</v>
      </c>
      <c r="N78" s="18">
        <f t="shared" si="2"/>
        <v>650154708.54208302</v>
      </c>
      <c r="O78" s="4"/>
    </row>
    <row r="79" spans="1:15" ht="18" customHeight="1" x14ac:dyDescent="0.2">
      <c r="A79" s="17" t="s">
        <v>74</v>
      </c>
      <c r="B79" s="16">
        <f>ENERO!B79+FEBRERO!B79+MARZO!B79+ABRIL!B79+MAYO!B79+JUNIO!B79+JULIO!B79+AGOSTO!B79+SEPTIEMBRE!B79+OCTUBRE!B79+NOVIEMBRE!B79+DICIEMBRE!B79</f>
        <v>2140470441.0900002</v>
      </c>
      <c r="C79" s="16">
        <f>ENERO!C79+FEBRERO!C79+MARZO!C79+ABRIL!C79+MAYO!C79+JUNIO!C79+JULIO!C79+AGOSTO!C79+SEPTIEMBRE!C79+OCTUBRE!C79+NOVIEMBRE!C79+DICIEMBRE!C79</f>
        <v>163592.36000000002</v>
      </c>
      <c r="D79" s="16">
        <f>ENERO!D79+FEBRERO!D79+MARZO!D79+ABRIL!D79+MAYO!D79+JUNIO!D79+JULIO!D79+AGOSTO!D79+SEPTIEMBRE!D79+OCTUBRE!D79+NOVIEMBRE!D79+DICIEMBRE!D79</f>
        <v>242583965.37263489</v>
      </c>
      <c r="E79" s="16">
        <f>ENERO!E79+FEBRERO!E79+MARZO!E79+ABRIL!E79+MAYO!E79+JUNIO!E79+JULIO!E79+AGOSTO!E79+SEPTIEMBRE!E79+OCTUBRE!E79+NOVIEMBRE!E79+DICIEMBRE!E79</f>
        <v>23471593.60021428</v>
      </c>
      <c r="F79" s="16">
        <f>ENERO!F79+FEBRERO!F79+MARZO!F79+ABRIL!F79+MAYO!F79+JUNIO!F79+JULIO!F79+AGOSTO!F79+SEPTIEMBRE!F79+OCTUBRE!F79+NOVIEMBRE!F79+DICIEMBRE!F79</f>
        <v>12400346.909213496</v>
      </c>
      <c r="G79" s="16">
        <f>ENERO!G79+FEBRERO!G79+MARZO!G79+ABRIL!G79+MAYO!G79+JUNIO!G79+JULIO!G79+AGOSTO!G79+SEPTIEMBRE!G79+OCTUBRE!G79+NOVIEMBRE!G79+DICIEMBRE!G79</f>
        <v>6150778.0800000001</v>
      </c>
      <c r="H79" s="16">
        <f>ENERO!H79+FEBRERO!H79+MARZO!H79+ABRIL!H79+MAYO!H79+JUNIO!H79+JULIO!H79+AGOSTO!H79+SEPTIEMBRE!H79+OCTUBRE!H79+NOVIEMBRE!H79+DICIEMBRE!H79</f>
        <v>111991340.16000001</v>
      </c>
      <c r="I79" s="16">
        <f>ENERO!I79+FEBRERO!I79+MARZO!I79+ABRIL!I79+MAYO!I79+JUNIO!I79+JULIO!I79+AGOSTO!I79+SEPTIEMBRE!I79+OCTUBRE!I79+NOVIEMBRE!I79+DICIEMBRE!I79</f>
        <v>28850729.52</v>
      </c>
      <c r="J79" s="16">
        <f>ENERO!J79+FEBRERO!J79+MARZO!J79+ABRIL!J79+MAYO!J79+JUNIO!J79+JULIO!J79+AGOSTO!J79+SEPTIEMBRE!J79+OCTUBRE!J79+NOVIEMBRE!J79+DICIEMBRE!J79</f>
        <v>178777330.35000002</v>
      </c>
      <c r="K79" s="16">
        <f>ENERO!K79+FEBRERO!K79+MARZO!K79+ABRIL!K79+MAYO!K79+JUNIO!K79+JULIO!K79+AGOSTO!K79+SEPTIEMBRE!K79+OCTUBRE!K79+NOVIEMBRE!K79+DICIEMBRE!K79</f>
        <v>0</v>
      </c>
      <c r="L79" s="16">
        <f>ENERO!L79+FEBRERO!L79+MARZO!L79+ABRIL!L79+MAYO!L79+JUNIO!L79+JULIO!L79+AGOSTO!L79+SEPTIEMBRE!L79+OCTUBRE!L79+NOVIEMBRE!L79+DICIEMBRE!L79</f>
        <v>0</v>
      </c>
      <c r="M79" s="16">
        <f>ENERO!M79+FEBRERO!M79+MARZO!M79+ABRIL!M79+MAYO!M79+JUNIO!M79+JULIO!M79+AGOSTO!M79+SEPTIEMBRE!M79+OCTUBRE!M79+NOVIEMBRE!M79+DICIEMBRE!M79</f>
        <v>3868.9199999999992</v>
      </c>
      <c r="N79" s="18">
        <f t="shared" si="2"/>
        <v>2744863986.3620625</v>
      </c>
      <c r="O79" s="4"/>
    </row>
    <row r="80" spans="1:15" ht="18" customHeight="1" x14ac:dyDescent="0.2">
      <c r="A80" s="17" t="s">
        <v>75</v>
      </c>
      <c r="B80" s="16">
        <f>ENERO!B80+FEBRERO!B80+MARZO!B80+ABRIL!B80+MAYO!B80+JUNIO!B80+JULIO!B80+AGOSTO!B80+SEPTIEMBRE!B80+OCTUBRE!B80+NOVIEMBRE!B80+DICIEMBRE!B80</f>
        <v>1341263572.5599999</v>
      </c>
      <c r="C80" s="16">
        <f>ENERO!C80+FEBRERO!C80+MARZO!C80+ABRIL!C80+MAYO!C80+JUNIO!C80+JULIO!C80+AGOSTO!C80+SEPTIEMBRE!C80+OCTUBRE!C80+NOVIEMBRE!C80+DICIEMBRE!C80</f>
        <v>99864.58</v>
      </c>
      <c r="D80" s="16">
        <f>ENERO!D80+FEBRERO!D80+MARZO!D80+ABRIL!D80+MAYO!D80+JUNIO!D80+JULIO!D80+AGOSTO!D80+SEPTIEMBRE!D80+OCTUBRE!D80+NOVIEMBRE!D80+DICIEMBRE!D80</f>
        <v>252286086.55827934</v>
      </c>
      <c r="E80" s="16">
        <f>ENERO!E80+FEBRERO!E80+MARZO!E80+ABRIL!E80+MAYO!E80+JUNIO!E80+JULIO!E80+AGOSTO!E80+SEPTIEMBRE!E80+OCTUBRE!E80+NOVIEMBRE!E80+DICIEMBRE!E80</f>
        <v>14459483.697598608</v>
      </c>
      <c r="F80" s="16">
        <f>ENERO!F80+FEBRERO!F80+MARZO!F80+ABRIL!F80+MAYO!F80+JUNIO!F80+JULIO!F80+AGOSTO!F80+SEPTIEMBRE!F80+OCTUBRE!F80+NOVIEMBRE!F80+DICIEMBRE!F80</f>
        <v>4012258.8184052049</v>
      </c>
      <c r="G80" s="16">
        <f>ENERO!G80+FEBRERO!G80+MARZO!G80+ABRIL!G80+MAYO!G80+JUNIO!G80+JULIO!G80+AGOSTO!G80+SEPTIEMBRE!G80+OCTUBRE!G80+NOVIEMBRE!G80+DICIEMBRE!G80</f>
        <v>2570474.42</v>
      </c>
      <c r="H80" s="16">
        <f>ENERO!H80+FEBRERO!H80+MARZO!H80+ABRIL!H80+MAYO!H80+JUNIO!H80+JULIO!H80+AGOSTO!H80+SEPTIEMBRE!H80+OCTUBRE!H80+NOVIEMBRE!H80+DICIEMBRE!H80</f>
        <v>70053542.809999987</v>
      </c>
      <c r="I80" s="16">
        <f>ENERO!I80+FEBRERO!I80+MARZO!I80+ABRIL!I80+MAYO!I80+JUNIO!I80+JULIO!I80+AGOSTO!I80+SEPTIEMBRE!I80+OCTUBRE!I80+NOVIEMBRE!I80+DICIEMBRE!I80</f>
        <v>9334948.0899999999</v>
      </c>
      <c r="J80" s="16">
        <f>ENERO!J80+FEBRERO!J80+MARZO!J80+ABRIL!J80+MAYO!J80+JUNIO!J80+JULIO!J80+AGOSTO!J80+SEPTIEMBRE!J80+OCTUBRE!J80+NOVIEMBRE!J80+DICIEMBRE!J80</f>
        <v>117826522.60999998</v>
      </c>
      <c r="K80" s="16">
        <f>ENERO!K80+FEBRERO!K80+MARZO!K80+ABRIL!K80+MAYO!K80+JUNIO!K80+JULIO!K80+AGOSTO!K80+SEPTIEMBRE!K80+OCTUBRE!K80+NOVIEMBRE!K80+DICIEMBRE!K80</f>
        <v>0</v>
      </c>
      <c r="L80" s="16">
        <f>ENERO!L80+FEBRERO!L80+MARZO!L80+ABRIL!L80+MAYO!L80+JUNIO!L80+JULIO!L80+AGOSTO!L80+SEPTIEMBRE!L80+OCTUBRE!L80+NOVIEMBRE!L80+DICIEMBRE!L80</f>
        <v>0</v>
      </c>
      <c r="M80" s="16">
        <f>ENERO!M80+FEBRERO!M80+MARZO!M80+ABRIL!M80+MAYO!M80+JUNIO!M80+JULIO!M80+AGOSTO!M80+SEPTIEMBRE!M80+OCTUBRE!M80+NOVIEMBRE!M80+DICIEMBRE!M80</f>
        <v>1251.7000000000005</v>
      </c>
      <c r="N80" s="18">
        <f t="shared" si="2"/>
        <v>1811908005.8442829</v>
      </c>
      <c r="O80" s="4"/>
    </row>
    <row r="81" spans="1:15" ht="18" customHeight="1" x14ac:dyDescent="0.2">
      <c r="A81" s="17" t="s">
        <v>76</v>
      </c>
      <c r="B81" s="16">
        <f>ENERO!B81+FEBRERO!B81+MARZO!B81+ABRIL!B81+MAYO!B81+JUNIO!B81+JULIO!B81+AGOSTO!B81+SEPTIEMBRE!B81+OCTUBRE!B81+NOVIEMBRE!B81+DICIEMBRE!B81</f>
        <v>677301774.13999999</v>
      </c>
      <c r="C81" s="16">
        <f>ENERO!C81+FEBRERO!C81+MARZO!C81+ABRIL!C81+MAYO!C81+JUNIO!C81+JULIO!C81+AGOSTO!C81+SEPTIEMBRE!C81+OCTUBRE!C81+NOVIEMBRE!C81+DICIEMBRE!C81</f>
        <v>48329.94</v>
      </c>
      <c r="D81" s="16">
        <f>ENERO!D81+FEBRERO!D81+MARZO!D81+ABRIL!D81+MAYO!D81+JUNIO!D81+JULIO!D81+AGOSTO!D81+SEPTIEMBRE!D81+OCTUBRE!D81+NOVIEMBRE!D81+DICIEMBRE!D81</f>
        <v>75058232.772450626</v>
      </c>
      <c r="E81" s="16">
        <f>ENERO!E81+FEBRERO!E81+MARZO!E81+ABRIL!E81+MAYO!E81+JUNIO!E81+JULIO!E81+AGOSTO!E81+SEPTIEMBRE!E81+OCTUBRE!E81+NOVIEMBRE!E81+DICIEMBRE!E81</f>
        <v>7346539.7362431679</v>
      </c>
      <c r="F81" s="16">
        <f>ENERO!F81+FEBRERO!F81+MARZO!F81+ABRIL!F81+MAYO!F81+JUNIO!F81+JULIO!F81+AGOSTO!F81+SEPTIEMBRE!F81+OCTUBRE!F81+NOVIEMBRE!F81+DICIEMBRE!F81</f>
        <v>10420186.788867885</v>
      </c>
      <c r="G81" s="16">
        <f>ENERO!G81+FEBRERO!G81+MARZO!G81+ABRIL!G81+MAYO!G81+JUNIO!G81+JULIO!G81+AGOSTO!G81+SEPTIEMBRE!G81+OCTUBRE!G81+NOVIEMBRE!G81+DICIEMBRE!G81</f>
        <v>5301603.51</v>
      </c>
      <c r="H81" s="16">
        <f>ENERO!H81+FEBRERO!H81+MARZO!H81+ABRIL!H81+MAYO!H81+JUNIO!H81+JULIO!H81+AGOSTO!H81+SEPTIEMBRE!H81+OCTUBRE!H81+NOVIEMBRE!H81+DICIEMBRE!H81</f>
        <v>35277901.210000001</v>
      </c>
      <c r="I81" s="16">
        <f>ENERO!I81+FEBRERO!I81+MARZO!I81+ABRIL!I81+MAYO!I81+JUNIO!I81+JULIO!I81+AGOSTO!I81+SEPTIEMBRE!I81+OCTUBRE!I81+NOVIEMBRE!I81+DICIEMBRE!I81</f>
        <v>24243675.850000001</v>
      </c>
      <c r="J81" s="16">
        <f>ENERO!J81+FEBRERO!J81+MARZO!J81+ABRIL!J81+MAYO!J81+JUNIO!J81+JULIO!J81+AGOSTO!J81+SEPTIEMBRE!J81+OCTUBRE!J81+NOVIEMBRE!J81+DICIEMBRE!J81</f>
        <v>131017226.77999997</v>
      </c>
      <c r="K81" s="16">
        <f>ENERO!K81+FEBRERO!K81+MARZO!K81+ABRIL!K81+MAYO!K81+JUNIO!K81+JULIO!K81+AGOSTO!K81+SEPTIEMBRE!K81+OCTUBRE!K81+NOVIEMBRE!K81+DICIEMBRE!K81</f>
        <v>0</v>
      </c>
      <c r="L81" s="16">
        <f>ENERO!L81+FEBRERO!L81+MARZO!L81+ABRIL!L81+MAYO!L81+JUNIO!L81+JULIO!L81+AGOSTO!L81+SEPTIEMBRE!L81+OCTUBRE!L81+NOVIEMBRE!L81+DICIEMBRE!L81</f>
        <v>0</v>
      </c>
      <c r="M81" s="16">
        <f>ENERO!M81+FEBRERO!M81+MARZO!M81+ABRIL!M81+MAYO!M81+JUNIO!M81+JULIO!M81+AGOSTO!M81+SEPTIEMBRE!M81+OCTUBRE!M81+NOVIEMBRE!M81+DICIEMBRE!M81</f>
        <v>3251.07</v>
      </c>
      <c r="N81" s="18">
        <f t="shared" si="2"/>
        <v>966018721.79756165</v>
      </c>
      <c r="O81" s="4"/>
    </row>
    <row r="82" spans="1:15" ht="18" customHeight="1" x14ac:dyDescent="0.2">
      <c r="A82" s="17" t="s">
        <v>77</v>
      </c>
      <c r="B82" s="16">
        <f>ENERO!B82+FEBRERO!B82+MARZO!B82+ABRIL!B82+MAYO!B82+JUNIO!B82+JULIO!B82+AGOSTO!B82+SEPTIEMBRE!B82+OCTUBRE!B82+NOVIEMBRE!B82+DICIEMBRE!B82</f>
        <v>10377156630.859999</v>
      </c>
      <c r="C82" s="16">
        <f>ENERO!C82+FEBRERO!C82+MARZO!C82+ABRIL!C82+MAYO!C82+JUNIO!C82+JULIO!C82+AGOSTO!C82+SEPTIEMBRE!C82+OCTUBRE!C82+NOVIEMBRE!C82+DICIEMBRE!C82</f>
        <v>674455.50999999989</v>
      </c>
      <c r="D82" s="16">
        <f>ENERO!D82+FEBRERO!D82+MARZO!D82+ABRIL!D82+MAYO!D82+JUNIO!D82+JULIO!D82+AGOSTO!D82+SEPTIEMBRE!D82+OCTUBRE!D82+NOVIEMBRE!D82+DICIEMBRE!D82</f>
        <v>91401016.200000003</v>
      </c>
      <c r="E82" s="16">
        <f>ENERO!E82+FEBRERO!E82+MARZO!E82+ABRIL!E82+MAYO!E82+JUNIO!E82+JULIO!E82+AGOSTO!E82+SEPTIEMBRE!E82+OCTUBRE!E82+NOVIEMBRE!E82+DICIEMBRE!E82</f>
        <v>147239410.31063801</v>
      </c>
      <c r="F82" s="16">
        <f>ENERO!F82+FEBRERO!F82+MARZO!F82+ABRIL!F82+MAYO!F82+JUNIO!F82+JULIO!F82+AGOSTO!F82+SEPTIEMBRE!F82+OCTUBRE!F82+NOVIEMBRE!F82+DICIEMBRE!F82</f>
        <v>300315627.81946534</v>
      </c>
      <c r="G82" s="16">
        <f>ENERO!G82+FEBRERO!G82+MARZO!G82+ABRIL!G82+MAYO!G82+JUNIO!G82+JULIO!G82+AGOSTO!G82+SEPTIEMBRE!G82+OCTUBRE!G82+NOVIEMBRE!G82+DICIEMBRE!G82</f>
        <v>222035346.13447046</v>
      </c>
      <c r="H82" s="16">
        <f>ENERO!H82+FEBRERO!H82+MARZO!H82+ABRIL!H82+MAYO!H82+JUNIO!H82+JULIO!H82+AGOSTO!H82+SEPTIEMBRE!H82+OCTUBRE!H82+NOVIEMBRE!H82+DICIEMBRE!H82</f>
        <v>537445277.13999999</v>
      </c>
      <c r="I82" s="16">
        <f>ENERO!I82+FEBRERO!I82+MARZO!I82+ABRIL!I82+MAYO!I82+JUNIO!I82+JULIO!I82+AGOSTO!I82+SEPTIEMBRE!I82+OCTUBRE!I82+NOVIEMBRE!I82+DICIEMBRE!I82</f>
        <v>698716332.64999986</v>
      </c>
      <c r="J82" s="16">
        <f>ENERO!J82+FEBRERO!J82+MARZO!J82+ABRIL!J82+MAYO!J82+JUNIO!J82+JULIO!J82+AGOSTO!J82+SEPTIEMBRE!J82+OCTUBRE!J82+NOVIEMBRE!J82+DICIEMBRE!J82</f>
        <v>1123372775.1100001</v>
      </c>
      <c r="K82" s="16">
        <f>ENERO!K82+FEBRERO!K82+MARZO!K82+ABRIL!K82+MAYO!K82+JUNIO!K82+JULIO!K82+AGOSTO!K82+SEPTIEMBRE!K82+OCTUBRE!K82+NOVIEMBRE!K82+DICIEMBRE!K82</f>
        <v>0</v>
      </c>
      <c r="L82" s="16">
        <f>ENERO!L82+FEBRERO!L82+MARZO!L82+ABRIL!L82+MAYO!L82+JUNIO!L82+JULIO!L82+AGOSTO!L82+SEPTIEMBRE!L82+OCTUBRE!L82+NOVIEMBRE!L82+DICIEMBRE!L82</f>
        <v>0</v>
      </c>
      <c r="M82" s="16">
        <f>ENERO!M82+FEBRERO!M82+MARZO!M82+ABRIL!M82+MAYO!M82+JUNIO!M82+JULIO!M82+AGOSTO!M82+SEPTIEMBRE!M82+OCTUBRE!M82+NOVIEMBRE!M82+DICIEMBRE!M82</f>
        <v>93703.150000000009</v>
      </c>
      <c r="N82" s="18">
        <f t="shared" si="2"/>
        <v>13498450574.884573</v>
      </c>
      <c r="O82" s="4"/>
    </row>
    <row r="83" spans="1:15" ht="18" customHeight="1" x14ac:dyDescent="0.2">
      <c r="A83" s="17" t="s">
        <v>78</v>
      </c>
      <c r="B83" s="16">
        <f>ENERO!B83+FEBRERO!B83+MARZO!B83+ABRIL!B83+MAYO!B83+JUNIO!B83+JULIO!B83+AGOSTO!B83+SEPTIEMBRE!B83+OCTUBRE!B83+NOVIEMBRE!B83+DICIEMBRE!B83</f>
        <v>3136124810.5799999</v>
      </c>
      <c r="C83" s="16">
        <f>ENERO!C83+FEBRERO!C83+MARZO!C83+ABRIL!C83+MAYO!C83+JUNIO!C83+JULIO!C83+AGOSTO!C83+SEPTIEMBRE!C83+OCTUBRE!C83+NOVIEMBRE!C83+DICIEMBRE!C83</f>
        <v>209862.35</v>
      </c>
      <c r="D83" s="16">
        <f>ENERO!D83+FEBRERO!D83+MARZO!D83+ABRIL!D83+MAYO!D83+JUNIO!D83+JULIO!D83+AGOSTO!D83+SEPTIEMBRE!D83+OCTUBRE!D83+NOVIEMBRE!D83+DICIEMBRE!D83</f>
        <v>92087860.14720428</v>
      </c>
      <c r="E83" s="16">
        <f>ENERO!E83+FEBRERO!E83+MARZO!E83+ABRIL!E83+MAYO!E83+JUNIO!E83+JULIO!E83+AGOSTO!E83+SEPTIEMBRE!E83+OCTUBRE!E83+NOVIEMBRE!E83+DICIEMBRE!E83</f>
        <v>45187617.581785485</v>
      </c>
      <c r="F83" s="16">
        <f>ENERO!F83+FEBRERO!F83+MARZO!F83+ABRIL!F83+MAYO!F83+JUNIO!F83+JULIO!F83+AGOSTO!F83+SEPTIEMBRE!F83+OCTUBRE!F83+NOVIEMBRE!F83+DICIEMBRE!F83</f>
        <v>33253705.251377769</v>
      </c>
      <c r="G83" s="16">
        <f>ENERO!G83+FEBRERO!G83+MARZO!G83+ABRIL!G83+MAYO!G83+JUNIO!G83+JULIO!G83+AGOSTO!G83+SEPTIEMBRE!G83+OCTUBRE!G83+NOVIEMBRE!G83+DICIEMBRE!G83</f>
        <v>15606451.91</v>
      </c>
      <c r="H83" s="16">
        <f>ENERO!H83+FEBRERO!H83+MARZO!H83+ABRIL!H83+MAYO!H83+JUNIO!H83+JULIO!H83+AGOSTO!H83+SEPTIEMBRE!H83+OCTUBRE!H83+NOVIEMBRE!H83+DICIEMBRE!H83</f>
        <v>162703094.04000002</v>
      </c>
      <c r="I83" s="16">
        <f>ENERO!I83+FEBRERO!I83+MARZO!I83+ABRIL!I83+MAYO!I83+JUNIO!I83+JULIO!I83+AGOSTO!I83+SEPTIEMBRE!I83+OCTUBRE!I83+NOVIEMBRE!I83+DICIEMBRE!I83</f>
        <v>77368291.409999996</v>
      </c>
      <c r="J83" s="16">
        <f>ENERO!J83+FEBRERO!J83+MARZO!J83+ABRIL!J83+MAYO!J83+JUNIO!J83+JULIO!J83+AGOSTO!J83+SEPTIEMBRE!J83+OCTUBRE!J83+NOVIEMBRE!J83+DICIEMBRE!J83</f>
        <v>242270254.07999998</v>
      </c>
      <c r="K83" s="16">
        <f>ENERO!K83+FEBRERO!K83+MARZO!K83+ABRIL!K83+MAYO!K83+JUNIO!K83+JULIO!K83+AGOSTO!K83+SEPTIEMBRE!K83+OCTUBRE!K83+NOVIEMBRE!K83+DICIEMBRE!K83</f>
        <v>0</v>
      </c>
      <c r="L83" s="16">
        <f>ENERO!L83+FEBRERO!L83+MARZO!L83+ABRIL!L83+MAYO!L83+JUNIO!L83+JULIO!L83+AGOSTO!L83+SEPTIEMBRE!L83+OCTUBRE!L83+NOVIEMBRE!L83+DICIEMBRE!L83</f>
        <v>0</v>
      </c>
      <c r="M83" s="16">
        <f>ENERO!M83+FEBRERO!M83+MARZO!M83+ABRIL!M83+MAYO!M83+JUNIO!M83+JULIO!M83+AGOSTO!M83+SEPTIEMBRE!M83+OCTUBRE!M83+NOVIEMBRE!M83+DICIEMBRE!M83</f>
        <v>10375.480000000001</v>
      </c>
      <c r="N83" s="18">
        <f t="shared" si="2"/>
        <v>3804822322.8303671</v>
      </c>
      <c r="O83" s="4"/>
    </row>
    <row r="84" spans="1:15" ht="18" customHeight="1" x14ac:dyDescent="0.2">
      <c r="A84" s="17" t="s">
        <v>79</v>
      </c>
      <c r="B84" s="16">
        <f>ENERO!B84+FEBRERO!B84+MARZO!B84+ABRIL!B84+MAYO!B84+JUNIO!B84+JULIO!B84+AGOSTO!B84+SEPTIEMBRE!B84+OCTUBRE!B84+NOVIEMBRE!B84+DICIEMBRE!B84</f>
        <v>1120558072.8900001</v>
      </c>
      <c r="C84" s="16">
        <f>ENERO!C84+FEBRERO!C84+MARZO!C84+ABRIL!C84+MAYO!C84+JUNIO!C84+JULIO!C84+AGOSTO!C84+SEPTIEMBRE!C84+OCTUBRE!C84+NOVIEMBRE!C84+DICIEMBRE!C84</f>
        <v>78005.45</v>
      </c>
      <c r="D84" s="16">
        <f>ENERO!D84+FEBRERO!D84+MARZO!D84+ABRIL!D84+MAYO!D84+JUNIO!D84+JULIO!D84+AGOSTO!D84+SEPTIEMBRE!D84+OCTUBRE!D84+NOVIEMBRE!D84+DICIEMBRE!D84</f>
        <v>65433731.412171468</v>
      </c>
      <c r="E84" s="16">
        <f>ENERO!E84+FEBRERO!E84+MARZO!E84+ABRIL!E84+MAYO!E84+JUNIO!E84+JULIO!E84+AGOSTO!E84+SEPTIEMBRE!E84+OCTUBRE!E84+NOVIEMBRE!E84+DICIEMBRE!E84</f>
        <v>11883922.22101956</v>
      </c>
      <c r="F84" s="16">
        <f>ENERO!F84+FEBRERO!F84+MARZO!F84+ABRIL!F84+MAYO!F84+JUNIO!F84+JULIO!F84+AGOSTO!F84+SEPTIEMBRE!F84+OCTUBRE!F84+NOVIEMBRE!F84+DICIEMBRE!F84</f>
        <v>6674113.3762468453</v>
      </c>
      <c r="G84" s="16">
        <f>ENERO!G84+FEBRERO!G84+MARZO!G84+ABRIL!G84+MAYO!G84+JUNIO!G84+JULIO!G84+AGOSTO!G84+SEPTIEMBRE!G84+OCTUBRE!G84+NOVIEMBRE!G84+DICIEMBRE!G84</f>
        <v>1419969.192599827</v>
      </c>
      <c r="H84" s="16">
        <f>ENERO!H84+FEBRERO!H84+MARZO!H84+ABRIL!H84+MAYO!H84+JUNIO!H84+JULIO!H84+AGOSTO!H84+SEPTIEMBRE!H84+OCTUBRE!H84+NOVIEMBRE!H84+DICIEMBRE!H84</f>
        <v>58274810.549999997</v>
      </c>
      <c r="I84" s="16">
        <f>ENERO!I84+FEBRERO!I84+MARZO!I84+ABRIL!I84+MAYO!I84+JUNIO!I84+JULIO!I84+AGOSTO!I84+SEPTIEMBRE!I84+OCTUBRE!I84+NOVIEMBRE!I84+DICIEMBRE!I84</f>
        <v>15528036.610000003</v>
      </c>
      <c r="J84" s="16">
        <f>ENERO!J84+FEBRERO!J84+MARZO!J84+ABRIL!J84+MAYO!J84+JUNIO!J84+JULIO!J84+AGOSTO!J84+SEPTIEMBRE!J84+OCTUBRE!J84+NOVIEMBRE!J84+DICIEMBRE!J84</f>
        <v>101107798.35999998</v>
      </c>
      <c r="K84" s="16">
        <f>ENERO!K84+FEBRERO!K84+MARZO!K84+ABRIL!K84+MAYO!K84+JUNIO!K84+JULIO!K84+AGOSTO!K84+SEPTIEMBRE!K84+OCTUBRE!K84+NOVIEMBRE!K84+DICIEMBRE!K84</f>
        <v>0</v>
      </c>
      <c r="L84" s="16">
        <f>ENERO!L84+FEBRERO!L84+MARZO!L84+ABRIL!L84+MAYO!L84+JUNIO!L84+JULIO!L84+AGOSTO!L84+SEPTIEMBRE!L84+OCTUBRE!L84+NOVIEMBRE!L84+DICIEMBRE!L84</f>
        <v>0</v>
      </c>
      <c r="M84" s="16">
        <f>ENERO!M84+FEBRERO!M84+MARZO!M84+ABRIL!M84+MAYO!M84+JUNIO!M84+JULIO!M84+AGOSTO!M84+SEPTIEMBRE!M84+OCTUBRE!M84+NOVIEMBRE!M84+DICIEMBRE!M84</f>
        <v>2082.23</v>
      </c>
      <c r="N84" s="18">
        <f t="shared" si="2"/>
        <v>1380960542.2920375</v>
      </c>
      <c r="O84" s="4"/>
    </row>
    <row r="85" spans="1:15" ht="18" customHeight="1" x14ac:dyDescent="0.2">
      <c r="A85" s="17" t="s">
        <v>80</v>
      </c>
      <c r="B85" s="16">
        <f>ENERO!B85+FEBRERO!B85+MARZO!B85+ABRIL!B85+MAYO!B85+JUNIO!B85+JULIO!B85+AGOSTO!B85+SEPTIEMBRE!B85+OCTUBRE!B85+NOVIEMBRE!B85+DICIEMBRE!B85</f>
        <v>1066006408.7499999</v>
      </c>
      <c r="C85" s="16">
        <f>ENERO!C85+FEBRERO!C85+MARZO!C85+ABRIL!C85+MAYO!C85+JUNIO!C85+JULIO!C85+AGOSTO!C85+SEPTIEMBRE!C85+OCTUBRE!C85+NOVIEMBRE!C85+DICIEMBRE!C85</f>
        <v>76612.11</v>
      </c>
      <c r="D85" s="16">
        <f>ENERO!D85+FEBRERO!D85+MARZO!D85+ABRIL!D85+MAYO!D85+JUNIO!D85+JULIO!D85+AGOSTO!D85+SEPTIEMBRE!D85+OCTUBRE!D85+NOVIEMBRE!D85+DICIEMBRE!D85</f>
        <v>61389875.050564632</v>
      </c>
      <c r="E85" s="16">
        <f>ENERO!E85+FEBRERO!E85+MARZO!E85+ABRIL!E85+MAYO!E85+JUNIO!E85+JULIO!E85+AGOSTO!E85+SEPTIEMBRE!E85+OCTUBRE!E85+NOVIEMBRE!E85+DICIEMBRE!E85</f>
        <v>11436437.206856174</v>
      </c>
      <c r="F85" s="16">
        <f>ENERO!F85+FEBRERO!F85+MARZO!F85+ABRIL!F85+MAYO!F85+JUNIO!F85+JULIO!F85+AGOSTO!F85+SEPTIEMBRE!F85+OCTUBRE!F85+NOVIEMBRE!F85+DICIEMBRE!F85</f>
        <v>3155271.4761244818</v>
      </c>
      <c r="G85" s="16">
        <f>ENERO!G85+FEBRERO!G85+MARZO!G85+ABRIL!G85+MAYO!G85+JUNIO!G85+JULIO!G85+AGOSTO!G85+SEPTIEMBRE!G85+OCTUBRE!G85+NOVIEMBRE!G85+DICIEMBRE!G85</f>
        <v>1491793.2000000002</v>
      </c>
      <c r="H85" s="16">
        <f>ENERO!H85+FEBRERO!H85+MARZO!H85+ABRIL!H85+MAYO!H85+JUNIO!H85+JULIO!H85+AGOSTO!H85+SEPTIEMBRE!H85+OCTUBRE!H85+NOVIEMBRE!H85+DICIEMBRE!H85</f>
        <v>55549221.739999995</v>
      </c>
      <c r="I85" s="16">
        <f>ENERO!I85+FEBRERO!I85+MARZO!I85+ABRIL!I85+MAYO!I85+JUNIO!I85+JULIO!I85+AGOSTO!I85+SEPTIEMBRE!I85+OCTUBRE!I85+NOVIEMBRE!I85+DICIEMBRE!I85</f>
        <v>7341075.6799999997</v>
      </c>
      <c r="J85" s="16">
        <f>ENERO!J85+FEBRERO!J85+MARZO!J85+ABRIL!J85+MAYO!J85+JUNIO!J85+JULIO!J85+AGOSTO!J85+SEPTIEMBRE!J85+OCTUBRE!J85+NOVIEMBRE!J85+DICIEMBRE!J85</f>
        <v>56296732.400000006</v>
      </c>
      <c r="K85" s="16">
        <f>ENERO!K85+FEBRERO!K85+MARZO!K85+ABRIL!K85+MAYO!K85+JUNIO!K85+JULIO!K85+AGOSTO!K85+SEPTIEMBRE!K85+OCTUBRE!K85+NOVIEMBRE!K85+DICIEMBRE!K85</f>
        <v>0</v>
      </c>
      <c r="L85" s="16">
        <f>ENERO!L85+FEBRERO!L85+MARZO!L85+ABRIL!L85+MAYO!L85+JUNIO!L85+JULIO!L85+AGOSTO!L85+SEPTIEMBRE!L85+OCTUBRE!L85+NOVIEMBRE!L85+DICIEMBRE!L85</f>
        <v>0</v>
      </c>
      <c r="M85" s="16">
        <f>ENERO!M85+FEBRERO!M85+MARZO!M85+ABRIL!M85+MAYO!M85+JUNIO!M85+JULIO!M85+AGOSTO!M85+SEPTIEMBRE!M85+OCTUBRE!M85+NOVIEMBRE!M85+DICIEMBRE!M85</f>
        <v>984.32000000000016</v>
      </c>
      <c r="N85" s="18">
        <f t="shared" si="2"/>
        <v>1262744411.9335454</v>
      </c>
      <c r="O85" s="4"/>
    </row>
    <row r="86" spans="1:15" ht="18" customHeight="1" x14ac:dyDescent="0.2">
      <c r="A86" s="17" t="s">
        <v>81</v>
      </c>
      <c r="B86" s="16">
        <f>ENERO!B86+FEBRERO!B86+MARZO!B86+ABRIL!B86+MAYO!B86+JUNIO!B86+JULIO!B86+AGOSTO!B86+SEPTIEMBRE!B86+OCTUBRE!B86+NOVIEMBRE!B86+DICIEMBRE!B86</f>
        <v>12680436303.35</v>
      </c>
      <c r="C86" s="16">
        <f>ENERO!C86+FEBRERO!C86+MARZO!C86+ABRIL!C86+MAYO!C86+JUNIO!C86+JULIO!C86+AGOSTO!C86+SEPTIEMBRE!C86+OCTUBRE!C86+NOVIEMBRE!C86+DICIEMBRE!C86</f>
        <v>915569.77</v>
      </c>
      <c r="D86" s="16">
        <f>ENERO!D86+FEBRERO!D86+MARZO!D86+ABRIL!D86+MAYO!D86+JUNIO!D86+JULIO!D86+AGOSTO!D86+SEPTIEMBRE!D86+OCTUBRE!D86+NOVIEMBRE!D86+DICIEMBRE!D86</f>
        <v>60571653.379999995</v>
      </c>
      <c r="E86" s="16">
        <f>ENERO!E86+FEBRERO!E86+MARZO!E86+ABRIL!E86+MAYO!E86+JUNIO!E86+JULIO!E86+AGOSTO!E86+SEPTIEMBRE!E86+OCTUBRE!E86+NOVIEMBRE!E86+DICIEMBRE!E86</f>
        <v>186466243.25786605</v>
      </c>
      <c r="F86" s="16">
        <f>ENERO!F86+FEBRERO!F86+MARZO!F86+ABRIL!F86+MAYO!F86+JUNIO!F86+JULIO!F86+AGOSTO!F86+SEPTIEMBRE!F86+OCTUBRE!F86+NOVIEMBRE!F86+DICIEMBRE!F86</f>
        <v>188426842.74911693</v>
      </c>
      <c r="G86" s="16">
        <f>ENERO!G86+FEBRERO!G86+MARZO!G86+ABRIL!G86+MAYO!G86+JUNIO!G86+JULIO!G86+AGOSTO!G86+SEPTIEMBRE!G86+OCTUBRE!G86+NOVIEMBRE!G86+DICIEMBRE!G86</f>
        <v>49555207.641306221</v>
      </c>
      <c r="H86" s="16">
        <f>ENERO!H86+FEBRERO!H86+MARZO!H86+ABRIL!H86+MAYO!H86+JUNIO!H86+JULIO!H86+AGOSTO!H86+SEPTIEMBRE!H86+OCTUBRE!H86+NOVIEMBRE!H86+DICIEMBRE!H86</f>
        <v>660969895.53999996</v>
      </c>
      <c r="I86" s="16">
        <f>ENERO!I86+FEBRERO!I86+MARZO!I86+ABRIL!I86+MAYO!I86+JUNIO!I86+JULIO!I86+AGOSTO!I86+SEPTIEMBRE!I86+OCTUBRE!I86+NOVIEMBRE!I86+DICIEMBRE!I86</f>
        <v>438395142.84000003</v>
      </c>
      <c r="J86" s="16">
        <f>ENERO!J86+FEBRERO!J86+MARZO!J86+ABRIL!J86+MAYO!J86+JUNIO!J86+JULIO!J86+AGOSTO!J86+SEPTIEMBRE!J86+OCTUBRE!J86+NOVIEMBRE!J86+DICIEMBRE!J86</f>
        <v>498672711.37000006</v>
      </c>
      <c r="K86" s="16">
        <f>ENERO!K86+FEBRERO!K86+MARZO!K86+ABRIL!K86+MAYO!K86+JUNIO!K86+JULIO!K86+AGOSTO!K86+SEPTIEMBRE!K86+OCTUBRE!K86+NOVIEMBRE!K86+DICIEMBRE!K86</f>
        <v>0</v>
      </c>
      <c r="L86" s="16">
        <f>ENERO!L86+FEBRERO!L86+MARZO!L86+ABRIL!L86+MAYO!L86+JUNIO!L86+JULIO!L86+AGOSTO!L86+SEPTIEMBRE!L86+OCTUBRE!L86+NOVIEMBRE!L86+DICIEMBRE!L86</f>
        <v>0</v>
      </c>
      <c r="M86" s="16">
        <f>ENERO!M86+FEBRERO!M86+MARZO!M86+ABRIL!M86+MAYO!M86+JUNIO!M86+JULIO!M86+AGOSTO!M86+SEPTIEMBRE!M86+OCTUBRE!M86+NOVIEMBRE!M86+DICIEMBRE!M86</f>
        <v>58792.020000000004</v>
      </c>
      <c r="N86" s="18">
        <f t="shared" si="2"/>
        <v>14764468361.918291</v>
      </c>
      <c r="O86" s="4"/>
    </row>
    <row r="87" spans="1:15" ht="18" customHeight="1" x14ac:dyDescent="0.2">
      <c r="A87" s="17" t="s">
        <v>82</v>
      </c>
      <c r="B87" s="16">
        <f>ENERO!B87+FEBRERO!B87+MARZO!B87+ABRIL!B87+MAYO!B87+JUNIO!B87+JULIO!B87+AGOSTO!B87+SEPTIEMBRE!B87+OCTUBRE!B87+NOVIEMBRE!B87+DICIEMBRE!B87</f>
        <v>1775562480.3299997</v>
      </c>
      <c r="C87" s="16">
        <f>ENERO!C87+FEBRERO!C87+MARZO!C87+ABRIL!C87+MAYO!C87+JUNIO!C87+JULIO!C87+AGOSTO!C87+SEPTIEMBRE!C87+OCTUBRE!C87+NOVIEMBRE!C87+DICIEMBRE!C87</f>
        <v>117975.33</v>
      </c>
      <c r="D87" s="16">
        <f>ENERO!D87+FEBRERO!D87+MARZO!D87+ABRIL!D87+MAYO!D87+JUNIO!D87+JULIO!D87+AGOSTO!D87+SEPTIEMBRE!D87+OCTUBRE!D87+NOVIEMBRE!D87+DICIEMBRE!D87</f>
        <v>74494160.907028228</v>
      </c>
      <c r="E87" s="16">
        <f>ENERO!E87+FEBRERO!E87+MARZO!E87+ABRIL!E87+MAYO!E87+JUNIO!E87+JULIO!E87+AGOSTO!E87+SEPTIEMBRE!E87+OCTUBRE!E87+NOVIEMBRE!E87+DICIEMBRE!E87</f>
        <v>18494629.587957628</v>
      </c>
      <c r="F87" s="16">
        <f>ENERO!F87+FEBRERO!F87+MARZO!F87+ABRIL!F87+MAYO!F87+JUNIO!F87+JULIO!F87+AGOSTO!F87+SEPTIEMBRE!F87+OCTUBRE!F87+NOVIEMBRE!F87+DICIEMBRE!F87</f>
        <v>5349678.4345402727</v>
      </c>
      <c r="G87" s="16">
        <f>ENERO!G87+FEBRERO!G87+MARZO!G87+ABRIL!G87+MAYO!G87+JUNIO!G87+JULIO!G87+AGOSTO!G87+SEPTIEMBRE!G87+OCTUBRE!G87+NOVIEMBRE!G87+DICIEMBRE!G87</f>
        <v>3121290.3799999994</v>
      </c>
      <c r="H87" s="16">
        <f>ENERO!H87+FEBRERO!H87+MARZO!H87+ABRIL!H87+MAYO!H87+JUNIO!H87+JULIO!H87+AGOSTO!H87+SEPTIEMBRE!H87+OCTUBRE!H87+NOVIEMBRE!H87+DICIEMBRE!H87</f>
        <v>92077739.079999998</v>
      </c>
      <c r="I87" s="16">
        <f>ENERO!I87+FEBRERO!I87+MARZO!I87+ABRIL!I87+MAYO!I87+JUNIO!I87+JULIO!I87+AGOSTO!I87+SEPTIEMBRE!I87+OCTUBRE!I87+NOVIEMBRE!I87+DICIEMBRE!I87</f>
        <v>12446597.449999999</v>
      </c>
      <c r="J87" s="16">
        <f>ENERO!J87+FEBRERO!J87+MARZO!J87+ABRIL!J87+MAYO!J87+JUNIO!J87+JULIO!J87+AGOSTO!J87+SEPTIEMBRE!J87+OCTUBRE!J87+NOVIEMBRE!J87+DICIEMBRE!J87</f>
        <v>109199697.38</v>
      </c>
      <c r="K87" s="16">
        <f>ENERO!K87+FEBRERO!K87+MARZO!K87+ABRIL!K87+MAYO!K87+JUNIO!K87+JULIO!K87+AGOSTO!K87+SEPTIEMBRE!K87+OCTUBRE!K87+NOVIEMBRE!K87+DICIEMBRE!K87</f>
        <v>0</v>
      </c>
      <c r="L87" s="16">
        <f>ENERO!L87+FEBRERO!L87+MARZO!L87+ABRIL!L87+MAYO!L87+JUNIO!L87+JULIO!L87+AGOSTO!L87+SEPTIEMBRE!L87+OCTUBRE!L87+NOVIEMBRE!L87+DICIEMBRE!L87</f>
        <v>0</v>
      </c>
      <c r="M87" s="16">
        <f>ENERO!M87+FEBRERO!M87+MARZO!M87+ABRIL!M87+MAYO!M87+JUNIO!M87+JULIO!M87+AGOSTO!M87+SEPTIEMBRE!M87+OCTUBRE!M87+NOVIEMBRE!M87+DICIEMBRE!M87</f>
        <v>1668.95</v>
      </c>
      <c r="N87" s="18">
        <f t="shared" si="2"/>
        <v>2090865917.8295257</v>
      </c>
      <c r="O87" s="4"/>
    </row>
    <row r="88" spans="1:15" ht="18" customHeight="1" x14ac:dyDescent="0.2">
      <c r="A88" s="17" t="s">
        <v>83</v>
      </c>
      <c r="B88" s="16">
        <f>ENERO!B88+FEBRERO!B88+MARZO!B88+ABRIL!B88+MAYO!B88+JUNIO!B88+JULIO!B88+AGOSTO!B88+SEPTIEMBRE!B88+OCTUBRE!B88+NOVIEMBRE!B88+DICIEMBRE!B88</f>
        <v>1521564703.6100001</v>
      </c>
      <c r="C88" s="16">
        <f>ENERO!C88+FEBRERO!C88+MARZO!C88+ABRIL!C88+MAYO!C88+JUNIO!C88+JULIO!C88+AGOSTO!C88+SEPTIEMBRE!C88+OCTUBRE!C88+NOVIEMBRE!C88+DICIEMBRE!C88</f>
        <v>114475.58</v>
      </c>
      <c r="D88" s="16">
        <f>ENERO!D88+FEBRERO!D88+MARZO!D88+ABRIL!D88+MAYO!D88+JUNIO!D88+JULIO!D88+AGOSTO!D88+SEPTIEMBRE!D88+OCTUBRE!D88+NOVIEMBRE!D88+DICIEMBRE!D88</f>
        <v>30286180.856012151</v>
      </c>
      <c r="E88" s="16">
        <f>ENERO!E88+FEBRERO!E88+MARZO!E88+ABRIL!E88+MAYO!E88+JUNIO!E88+JULIO!E88+AGOSTO!E88+SEPTIEMBRE!E88+OCTUBRE!E88+NOVIEMBRE!E88+DICIEMBRE!E88</f>
        <v>16549316.821807019</v>
      </c>
      <c r="F88" s="16">
        <f>ENERO!F88+FEBRERO!F88+MARZO!F88+ABRIL!F88+MAYO!F88+JUNIO!F88+JULIO!F88+AGOSTO!F88+SEPTIEMBRE!F88+OCTUBRE!F88+NOVIEMBRE!F88+DICIEMBRE!F88</f>
        <v>26254975.394418523</v>
      </c>
      <c r="G88" s="16">
        <f>ENERO!G88+FEBRERO!G88+MARZO!G88+ABRIL!G88+MAYO!G88+JUNIO!G88+JULIO!G88+AGOSTO!G88+SEPTIEMBRE!G88+OCTUBRE!G88+NOVIEMBRE!G88+DICIEMBRE!G88</f>
        <v>7963880.6100000003</v>
      </c>
      <c r="H88" s="16">
        <f>ENERO!H88+FEBRERO!H88+MARZO!H88+ABRIL!H88+MAYO!H88+JUNIO!H88+JULIO!H88+AGOSTO!H88+SEPTIEMBRE!H88+OCTUBRE!H88+NOVIEMBRE!H88+DICIEMBRE!H88</f>
        <v>79525554.170000017</v>
      </c>
      <c r="I88" s="16">
        <f>ENERO!I88+FEBRERO!I88+MARZO!I88+ABRIL!I88+MAYO!I88+JUNIO!I88+JULIO!I88+AGOSTO!I88+SEPTIEMBRE!I88+OCTUBRE!I88+NOVIEMBRE!I88+DICIEMBRE!I88</f>
        <v>61085000.079999998</v>
      </c>
      <c r="J88" s="16">
        <f>ENERO!J88+FEBRERO!J88+MARZO!J88+ABRIL!J88+MAYO!J88+JUNIO!J88+JULIO!J88+AGOSTO!J88+SEPTIEMBRE!J88+OCTUBRE!J88+NOVIEMBRE!J88+DICIEMBRE!J88</f>
        <v>163194370.63000003</v>
      </c>
      <c r="K88" s="16">
        <f>ENERO!K88+FEBRERO!K88+MARZO!K88+ABRIL!K88+MAYO!K88+JUNIO!K88+JULIO!K88+AGOSTO!K88+SEPTIEMBRE!K88+OCTUBRE!K88+NOVIEMBRE!K88+DICIEMBRE!K88</f>
        <v>0</v>
      </c>
      <c r="L88" s="16">
        <f>ENERO!L88+FEBRERO!L88+MARZO!L88+ABRIL!L88+MAYO!L88+JUNIO!L88+JULIO!L88+AGOSTO!L88+SEPTIEMBRE!L88+OCTUBRE!L88+NOVIEMBRE!L88+DICIEMBRE!L88</f>
        <v>0</v>
      </c>
      <c r="M88" s="16">
        <f>ENERO!M88+FEBRERO!M88+MARZO!M88+ABRIL!M88+MAYO!M88+JUNIO!M88+JULIO!M88+AGOSTO!M88+SEPTIEMBRE!M88+OCTUBRE!M88+NOVIEMBRE!M88+DICIEMBRE!M88</f>
        <v>8191.76</v>
      </c>
      <c r="N88" s="18">
        <f t="shared" si="2"/>
        <v>1906546649.5122375</v>
      </c>
      <c r="O88" s="4"/>
    </row>
    <row r="89" spans="1:15" ht="18" customHeight="1" x14ac:dyDescent="0.2">
      <c r="A89" s="17" t="s">
        <v>84</v>
      </c>
      <c r="B89" s="16">
        <f>ENERO!B89+FEBRERO!B89+MARZO!B89+ABRIL!B89+MAYO!B89+JUNIO!B89+JULIO!B89+AGOSTO!B89+SEPTIEMBRE!B89+OCTUBRE!B89+NOVIEMBRE!B89+DICIEMBRE!B89</f>
        <v>2489924019.1500006</v>
      </c>
      <c r="C89" s="16">
        <f>ENERO!C89+FEBRERO!C89+MARZO!C89+ABRIL!C89+MAYO!C89+JUNIO!C89+JULIO!C89+AGOSTO!C89+SEPTIEMBRE!C89+OCTUBRE!C89+NOVIEMBRE!C89+DICIEMBRE!C89</f>
        <v>175493.16999999998</v>
      </c>
      <c r="D89" s="16">
        <f>ENERO!D89+FEBRERO!D89+MARZO!D89+ABRIL!D89+MAYO!D89+JUNIO!D89+JULIO!D89+AGOSTO!D89+SEPTIEMBRE!D89+OCTUBRE!D89+NOVIEMBRE!D89+DICIEMBRE!D89</f>
        <v>71264695.867482886</v>
      </c>
      <c r="E89" s="16">
        <f>ENERO!E89+FEBRERO!E89+MARZO!E89+ABRIL!E89+MAYO!E89+JUNIO!E89+JULIO!E89+AGOSTO!E89+SEPTIEMBRE!E89+OCTUBRE!E89+NOVIEMBRE!E89+DICIEMBRE!E89</f>
        <v>27503774.706717178</v>
      </c>
      <c r="F89" s="16">
        <f>ENERO!F89+FEBRERO!F89+MARZO!F89+ABRIL!F89+MAYO!F89+JUNIO!F89+JULIO!F89+AGOSTO!F89+SEPTIEMBRE!F89+OCTUBRE!F89+NOVIEMBRE!F89+DICIEMBRE!F89</f>
        <v>22080408.33565712</v>
      </c>
      <c r="G89" s="16">
        <f>ENERO!G89+FEBRERO!G89+MARZO!G89+ABRIL!G89+MAYO!G89+JUNIO!G89+JULIO!G89+AGOSTO!G89+SEPTIEMBRE!G89+OCTUBRE!G89+NOVIEMBRE!G89+DICIEMBRE!G89</f>
        <v>9295019.1500000004</v>
      </c>
      <c r="H89" s="16">
        <f>ENERO!H89+FEBRERO!H89+MARZO!H89+ABRIL!H89+MAYO!H89+JUNIO!H89+JULIO!H89+AGOSTO!H89+SEPTIEMBRE!H89+OCTUBRE!H89+NOVIEMBRE!H89+DICIEMBRE!H89</f>
        <v>129589075.43999998</v>
      </c>
      <c r="I89" s="16">
        <f>ENERO!I89+FEBRERO!I89+MARZO!I89+ABRIL!I89+MAYO!I89+JUNIO!I89+JULIO!I89+AGOSTO!I89+SEPTIEMBRE!I89+OCTUBRE!I89+NOVIEMBRE!I89+DICIEMBRE!I89</f>
        <v>51372424.68</v>
      </c>
      <c r="J89" s="16">
        <f>ENERO!J89+FEBRERO!J89+MARZO!J89+ABRIL!J89+MAYO!J89+JUNIO!J89+JULIO!J89+AGOSTO!J89+SEPTIEMBRE!J89+OCTUBRE!J89+NOVIEMBRE!J89+DICIEMBRE!J89</f>
        <v>172675622.99000004</v>
      </c>
      <c r="K89" s="16">
        <f>ENERO!K89+FEBRERO!K89+MARZO!K89+ABRIL!K89+MAYO!K89+JUNIO!K89+JULIO!K89+AGOSTO!K89+SEPTIEMBRE!K89+OCTUBRE!K89+NOVIEMBRE!K89+DICIEMBRE!K89</f>
        <v>0</v>
      </c>
      <c r="L89" s="16">
        <f>ENERO!L89+FEBRERO!L89+MARZO!L89+ABRIL!L89+MAYO!L89+JUNIO!L89+JULIO!L89+AGOSTO!L89+SEPTIEMBRE!L89+OCTUBRE!L89+NOVIEMBRE!L89+DICIEMBRE!L89</f>
        <v>0</v>
      </c>
      <c r="M89" s="16">
        <f>ENERO!M89+FEBRERO!M89+MARZO!M89+ABRIL!M89+MAYO!M89+JUNIO!M89+JULIO!M89+AGOSTO!M89+SEPTIEMBRE!M89+OCTUBRE!M89+NOVIEMBRE!M89+DICIEMBRE!M89</f>
        <v>6889.2599999999993</v>
      </c>
      <c r="N89" s="18">
        <f t="shared" si="2"/>
        <v>2973887422.7498579</v>
      </c>
      <c r="O89" s="4"/>
    </row>
    <row r="90" spans="1:15" ht="18" customHeight="1" x14ac:dyDescent="0.2">
      <c r="A90" s="17" t="s">
        <v>85</v>
      </c>
      <c r="B90" s="16">
        <f>ENERO!B90+FEBRERO!B90+MARZO!B90+ABRIL!B90+MAYO!B90+JUNIO!B90+JULIO!B90+AGOSTO!B90+SEPTIEMBRE!B90+OCTUBRE!B90+NOVIEMBRE!B90+DICIEMBRE!B90</f>
        <v>13075176604.74</v>
      </c>
      <c r="C90" s="16">
        <f>ENERO!C90+FEBRERO!C90+MARZO!C90+ABRIL!C90+MAYO!C90+JUNIO!C90+JULIO!C90+AGOSTO!C90+SEPTIEMBRE!C90+OCTUBRE!C90+NOVIEMBRE!C90+DICIEMBRE!C90</f>
        <v>944373.78</v>
      </c>
      <c r="D90" s="16">
        <f>ENERO!D90+FEBRERO!D90+MARZO!D90+ABRIL!D90+MAYO!D90+JUNIO!D90+JULIO!D90+AGOSTO!D90+SEPTIEMBRE!D90+OCTUBRE!D90+NOVIEMBRE!D90+DICIEMBRE!D90</f>
        <v>41862267.924526066</v>
      </c>
      <c r="E90" s="16">
        <f>ENERO!E90+FEBRERO!E90+MARZO!E90+ABRIL!E90+MAYO!E90+JUNIO!E90+JULIO!E90+AGOSTO!E90+SEPTIEMBRE!E90+OCTUBRE!E90+NOVIEMBRE!E90+DICIEMBRE!E90</f>
        <v>192809337.41743833</v>
      </c>
      <c r="F90" s="16">
        <f>ENERO!F90+FEBRERO!F90+MARZO!F90+ABRIL!F90+MAYO!F90+JUNIO!F90+JULIO!F90+AGOSTO!F90+SEPTIEMBRE!F90+OCTUBRE!F90+NOVIEMBRE!F90+DICIEMBRE!F90</f>
        <v>299517071.46211278</v>
      </c>
      <c r="G90" s="16">
        <f>ENERO!G90+FEBRERO!G90+MARZO!G90+ABRIL!G90+MAYO!G90+JUNIO!G90+JULIO!G90+AGOSTO!G90+SEPTIEMBRE!G90+OCTUBRE!G90+NOVIEMBRE!G90+DICIEMBRE!G90</f>
        <v>86454507.482266769</v>
      </c>
      <c r="H90" s="16">
        <f>ENERO!H90+FEBRERO!H90+MARZO!H90+ABRIL!H90+MAYO!H90+JUNIO!H90+JULIO!H90+AGOSTO!H90+SEPTIEMBRE!H90+OCTUBRE!H90+NOVIEMBRE!H90+DICIEMBRE!H90</f>
        <v>681559811.62</v>
      </c>
      <c r="I90" s="16">
        <f>ENERO!I90+FEBRERO!I90+MARZO!I90+ABRIL!I90+MAYO!I90+JUNIO!I90+JULIO!I90+AGOSTO!I90+SEPTIEMBRE!I90+OCTUBRE!I90+NOVIEMBRE!I90+DICIEMBRE!I90</f>
        <v>696858406.1099999</v>
      </c>
      <c r="J90" s="16">
        <f>ENERO!J90+FEBRERO!J90+MARZO!J90+ABRIL!J90+MAYO!J90+JUNIO!J90+JULIO!J90+AGOSTO!J90+SEPTIEMBRE!J90+OCTUBRE!J90+NOVIEMBRE!J90+DICIEMBRE!J90</f>
        <v>1027834877.9000001</v>
      </c>
      <c r="K90" s="16">
        <f>ENERO!K90+FEBRERO!K90+MARZO!K90+ABRIL!K90+MAYO!K90+JUNIO!K90+JULIO!K90+AGOSTO!K90+SEPTIEMBRE!K90+OCTUBRE!K90+NOVIEMBRE!K90+DICIEMBRE!K90</f>
        <v>0</v>
      </c>
      <c r="L90" s="16">
        <f>ENERO!L90+FEBRERO!L90+MARZO!L90+ABRIL!L90+MAYO!L90+JUNIO!L90+JULIO!L90+AGOSTO!L90+SEPTIEMBRE!L90+OCTUBRE!L90+NOVIEMBRE!L90+DICIEMBRE!L90</f>
        <v>0</v>
      </c>
      <c r="M90" s="16">
        <f>ENERO!M90+FEBRERO!M90+MARZO!M90+ABRIL!M90+MAYO!M90+JUNIO!M90+JULIO!M90+AGOSTO!M90+SEPTIEMBRE!M90+OCTUBRE!M90+NOVIEMBRE!M90+DICIEMBRE!M90</f>
        <v>93453.98000000001</v>
      </c>
      <c r="N90" s="18">
        <f t="shared" si="2"/>
        <v>16103110712.416346</v>
      </c>
      <c r="O90" s="4"/>
    </row>
    <row r="91" spans="1:15" ht="18" customHeight="1" x14ac:dyDescent="0.2">
      <c r="A91" s="17" t="s">
        <v>86</v>
      </c>
      <c r="B91" s="16">
        <f>ENERO!B91+FEBRERO!B91+MARZO!B91+ABRIL!B91+MAYO!B91+JUNIO!B91+JULIO!B91+AGOSTO!B91+SEPTIEMBRE!B91+OCTUBRE!B91+NOVIEMBRE!B91+DICIEMBRE!B91</f>
        <v>486697721.43999994</v>
      </c>
      <c r="C91" s="16">
        <f>ENERO!C91+FEBRERO!C91+MARZO!C91+ABRIL!C91+MAYO!C91+JUNIO!C91+JULIO!C91+AGOSTO!C91+SEPTIEMBRE!C91+OCTUBRE!C91+NOVIEMBRE!C91+DICIEMBRE!C91</f>
        <v>34380.090000000004</v>
      </c>
      <c r="D91" s="16">
        <f>ENERO!D91+FEBRERO!D91+MARZO!D91+ABRIL!D91+MAYO!D91+JUNIO!D91+JULIO!D91+AGOSTO!D91+SEPTIEMBRE!D91+OCTUBRE!D91+NOVIEMBRE!D91+DICIEMBRE!D91</f>
        <v>90275045.351396039</v>
      </c>
      <c r="E91" s="16">
        <f>ENERO!E91+FEBRERO!E91+MARZO!E91+ABRIL!E91+MAYO!E91+JUNIO!E91+JULIO!E91+AGOSTO!E91+SEPTIEMBRE!E91+OCTUBRE!E91+NOVIEMBRE!E91+DICIEMBRE!E91</f>
        <v>5168235.5755163264</v>
      </c>
      <c r="F91" s="16">
        <f>ENERO!F91+FEBRERO!F91+MARZO!F91+ABRIL!F91+MAYO!F91+JUNIO!F91+JULIO!F91+AGOSTO!F91+SEPTIEMBRE!F91+OCTUBRE!F91+NOVIEMBRE!F91+DICIEMBRE!F91</f>
        <v>6953283.5064595053</v>
      </c>
      <c r="G91" s="16">
        <f>ENERO!G91+FEBRERO!G91+MARZO!G91+ABRIL!G91+MAYO!G91+JUNIO!G91+JULIO!G91+AGOSTO!G91+SEPTIEMBRE!G91+OCTUBRE!G91+NOVIEMBRE!G91+DICIEMBRE!G91</f>
        <v>3098339.72</v>
      </c>
      <c r="H91" s="16">
        <f>ENERO!H91+FEBRERO!H91+MARZO!H91+ABRIL!H91+MAYO!H91+JUNIO!H91+JULIO!H91+AGOSTO!H91+SEPTIEMBRE!H91+OCTUBRE!H91+NOVIEMBRE!H91+DICIEMBRE!H91</f>
        <v>25333941.719999999</v>
      </c>
      <c r="I91" s="16">
        <f>ENERO!I91+FEBRERO!I91+MARZO!I91+ABRIL!I91+MAYO!I91+JUNIO!I91+JULIO!I91+AGOSTO!I91+SEPTIEMBRE!I91+OCTUBRE!I91+NOVIEMBRE!I91+DICIEMBRE!I91</f>
        <v>16177555.66</v>
      </c>
      <c r="J91" s="16">
        <f>ENERO!J91+FEBRERO!J91+MARZO!J91+ABRIL!J91+MAYO!J91+JUNIO!J91+JULIO!J91+AGOSTO!J91+SEPTIEMBRE!J91+OCTUBRE!J91+NOVIEMBRE!J91+DICIEMBRE!J91</f>
        <v>74750327.909999996</v>
      </c>
      <c r="K91" s="16">
        <f>ENERO!K91+FEBRERO!K91+MARZO!K91+ABRIL!K91+MAYO!K91+JUNIO!K91+JULIO!K91+AGOSTO!K91+SEPTIEMBRE!K91+OCTUBRE!K91+NOVIEMBRE!K91+DICIEMBRE!K91</f>
        <v>0</v>
      </c>
      <c r="L91" s="16">
        <f>ENERO!L91+FEBRERO!L91+MARZO!L91+ABRIL!L91+MAYO!L91+JUNIO!L91+JULIO!L91+AGOSTO!L91+SEPTIEMBRE!L91+OCTUBRE!L91+NOVIEMBRE!L91+DICIEMBRE!L91</f>
        <v>0</v>
      </c>
      <c r="M91" s="16">
        <f>ENERO!M91+FEBRERO!M91+MARZO!M91+ABRIL!M91+MAYO!M91+JUNIO!M91+JULIO!M91+AGOSTO!M91+SEPTIEMBRE!M91+OCTUBRE!M91+NOVIEMBRE!M91+DICIEMBRE!M91</f>
        <v>2169.3200000000002</v>
      </c>
      <c r="N91" s="18">
        <f t="shared" si="2"/>
        <v>708491000.2933718</v>
      </c>
      <c r="O91" s="4"/>
    </row>
    <row r="92" spans="1:15" ht="18" customHeight="1" x14ac:dyDescent="0.2">
      <c r="A92" s="17" t="s">
        <v>87</v>
      </c>
      <c r="B92" s="16">
        <f>ENERO!B92+FEBRERO!B92+MARZO!B92+ABRIL!B92+MAYO!B92+JUNIO!B92+JULIO!B92+AGOSTO!B92+SEPTIEMBRE!B92+OCTUBRE!B92+NOVIEMBRE!B92+DICIEMBRE!B92</f>
        <v>704058615.86000001</v>
      </c>
      <c r="C92" s="16">
        <f>ENERO!C92+FEBRERO!C92+MARZO!C92+ABRIL!C92+MAYO!C92+JUNIO!C92+JULIO!C92+AGOSTO!C92+SEPTIEMBRE!C92+OCTUBRE!C92+NOVIEMBRE!C92+DICIEMBRE!C92</f>
        <v>51663.040000000008</v>
      </c>
      <c r="D92" s="16">
        <f>ENERO!D92+FEBRERO!D92+MARZO!D92+ABRIL!D92+MAYO!D92+JUNIO!D92+JULIO!D92+AGOSTO!D92+SEPTIEMBRE!D92+OCTUBRE!D92+NOVIEMBRE!D92+DICIEMBRE!D92</f>
        <v>2904488.54</v>
      </c>
      <c r="E92" s="16">
        <f>ENERO!E92+FEBRERO!E92+MARZO!E92+ABRIL!E92+MAYO!E92+JUNIO!E92+JULIO!E92+AGOSTO!E92+SEPTIEMBRE!E92+OCTUBRE!E92+NOVIEMBRE!E92+DICIEMBRE!E92</f>
        <v>6780872.3286118116</v>
      </c>
      <c r="F92" s="16">
        <f>ENERO!F92+FEBRERO!F92+MARZO!F92+ABRIL!F92+MAYO!F92+JUNIO!F92+JULIO!F92+AGOSTO!F92+SEPTIEMBRE!F92+OCTUBRE!F92+NOVIEMBRE!F92+DICIEMBRE!F92</f>
        <v>1486743.1120627702</v>
      </c>
      <c r="G92" s="16">
        <f>ENERO!G92+FEBRERO!G92+MARZO!G92+ABRIL!G92+MAYO!G92+JUNIO!G92+JULIO!G92+AGOSTO!G92+SEPTIEMBRE!G92+OCTUBRE!G92+NOVIEMBRE!G92+DICIEMBRE!G92</f>
        <v>963927.92000000016</v>
      </c>
      <c r="H92" s="16">
        <f>ENERO!H92+FEBRERO!H92+MARZO!H92+ABRIL!H92+MAYO!H92+JUNIO!H92+JULIO!H92+AGOSTO!H92+SEPTIEMBRE!H92+OCTUBRE!H92+NOVIEMBRE!H92+DICIEMBRE!H92</f>
        <v>36737519.109999999</v>
      </c>
      <c r="I92" s="16">
        <f>ENERO!I92+FEBRERO!I92+MARZO!I92+ABRIL!I92+MAYO!I92+JUNIO!I92+JULIO!I92+AGOSTO!I92+SEPTIEMBRE!I92+OCTUBRE!I92+NOVIEMBRE!I92+DICIEMBRE!I92</f>
        <v>3459066.5400000005</v>
      </c>
      <c r="J92" s="16">
        <f>ENERO!J92+FEBRERO!J92+MARZO!J92+ABRIL!J92+MAYO!J92+JUNIO!J92+JULIO!J92+AGOSTO!J92+SEPTIEMBRE!J92+OCTUBRE!J92+NOVIEMBRE!J92+DICIEMBRE!J92</f>
        <v>30363526.129999988</v>
      </c>
      <c r="K92" s="16">
        <f>ENERO!K92+FEBRERO!K92+MARZO!K92+ABRIL!K92+MAYO!K92+JUNIO!K92+JULIO!K92+AGOSTO!K92+SEPTIEMBRE!K92+OCTUBRE!K92+NOVIEMBRE!K92+DICIEMBRE!K92</f>
        <v>0</v>
      </c>
      <c r="L92" s="16">
        <f>ENERO!L92+FEBRERO!L92+MARZO!L92+ABRIL!L92+MAYO!L92+JUNIO!L92+JULIO!L92+AGOSTO!L92+SEPTIEMBRE!L92+OCTUBRE!L92+NOVIEMBRE!L92+DICIEMBRE!L92</f>
        <v>0</v>
      </c>
      <c r="M92" s="16">
        <f>ENERO!M92+FEBRERO!M92+MARZO!M92+ABRIL!M92+MAYO!M92+JUNIO!M92+JULIO!M92+AGOSTO!M92+SEPTIEMBRE!M92+OCTUBRE!M92+NOVIEMBRE!M92+DICIEMBRE!M92</f>
        <v>463.69</v>
      </c>
      <c r="N92" s="18">
        <f t="shared" si="2"/>
        <v>786806886.27067459</v>
      </c>
      <c r="O92" s="4"/>
    </row>
    <row r="93" spans="1:15" ht="18" customHeight="1" x14ac:dyDescent="0.2">
      <c r="A93" s="17" t="s">
        <v>88</v>
      </c>
      <c r="B93" s="16">
        <f>ENERO!B93+FEBRERO!B93+MARZO!B93+ABRIL!B93+MAYO!B93+JUNIO!B93+JULIO!B93+AGOSTO!B93+SEPTIEMBRE!B93+OCTUBRE!B93+NOVIEMBRE!B93+DICIEMBRE!B93</f>
        <v>6986995598.539999</v>
      </c>
      <c r="C93" s="16">
        <f>ENERO!C93+FEBRERO!C93+MARZO!C93+ABRIL!C93+MAYO!C93+JUNIO!C93+JULIO!C93+AGOSTO!C93+SEPTIEMBRE!C93+OCTUBRE!C93+NOVIEMBRE!C93+DICIEMBRE!C93</f>
        <v>495823.19999999995</v>
      </c>
      <c r="D93" s="16">
        <f>ENERO!D93+FEBRERO!D93+MARZO!D93+ABRIL!D93+MAYO!D93+JUNIO!D93+JULIO!D93+AGOSTO!D93+SEPTIEMBRE!D93+OCTUBRE!D93+NOVIEMBRE!D93+DICIEMBRE!D93</f>
        <v>45270816.190486684</v>
      </c>
      <c r="E93" s="16">
        <f>ENERO!E93+FEBRERO!E93+MARZO!E93+ABRIL!E93+MAYO!E93+JUNIO!E93+JULIO!E93+AGOSTO!E93+SEPTIEMBRE!E93+OCTUBRE!E93+NOVIEMBRE!E93+DICIEMBRE!E93</f>
        <v>102471142.97895232</v>
      </c>
      <c r="F93" s="16">
        <f>ENERO!F93+FEBRERO!F93+MARZO!F93+ABRIL!F93+MAYO!F93+JUNIO!F93+JULIO!F93+AGOSTO!F93+SEPTIEMBRE!F93+OCTUBRE!F93+NOVIEMBRE!F93+DICIEMBRE!F93</f>
        <v>242748153.22072914</v>
      </c>
      <c r="G93" s="16">
        <f>ENERO!G93+FEBRERO!G93+MARZO!G93+ABRIL!G93+MAYO!G93+JUNIO!G93+JULIO!G93+AGOSTO!G93+SEPTIEMBRE!G93+OCTUBRE!G93+NOVIEMBRE!G93+DICIEMBRE!G93</f>
        <v>42760113.86014799</v>
      </c>
      <c r="H93" s="16">
        <f>ENERO!H93+FEBRERO!H93+MARZO!H93+ABRIL!H93+MAYO!H93+JUNIO!H93+JULIO!H93+AGOSTO!H93+SEPTIEMBRE!H93+OCTUBRE!H93+NOVIEMBRE!H93+DICIEMBRE!H93</f>
        <v>363797079.05999994</v>
      </c>
      <c r="I93" s="16">
        <f>ENERO!I93+FEBRERO!I93+MARZO!I93+ABRIL!I93+MAYO!I93+JUNIO!I93+JULIO!I93+AGOSTO!I93+SEPTIEMBRE!I93+OCTUBRE!I93+NOVIEMBRE!I93+DICIEMBRE!I93</f>
        <v>564779464.25999999</v>
      </c>
      <c r="J93" s="16">
        <f>ENERO!J93+FEBRERO!J93+MARZO!J93+ABRIL!J93+MAYO!J93+JUNIO!J93+JULIO!J93+AGOSTO!J93+SEPTIEMBRE!J93+OCTUBRE!J93+NOVIEMBRE!J93+DICIEMBRE!J93</f>
        <v>1029797316.3699999</v>
      </c>
      <c r="K93" s="16">
        <f>ENERO!K93+FEBRERO!K93+MARZO!K93+ABRIL!K93+MAYO!K93+JUNIO!K93+JULIO!K93+AGOSTO!K93+SEPTIEMBRE!K93+OCTUBRE!K93+NOVIEMBRE!K93+DICIEMBRE!K93</f>
        <v>0</v>
      </c>
      <c r="L93" s="16">
        <f>ENERO!L93+FEBRERO!L93+MARZO!L93+ABRIL!L93+MAYO!L93+JUNIO!L93+JULIO!L93+AGOSTO!L93+SEPTIEMBRE!L93+OCTUBRE!L93+NOVIEMBRE!L93+DICIEMBRE!L93</f>
        <v>0</v>
      </c>
      <c r="M93" s="16">
        <f>ENERO!M93+FEBRERO!M93+MARZO!M93+ABRIL!M93+MAYO!M93+JUNIO!M93+JULIO!M93+AGOSTO!M93+SEPTIEMBRE!M93+OCTUBRE!M93+NOVIEMBRE!M93+DICIEMBRE!M93</f>
        <v>75741.099999999991</v>
      </c>
      <c r="N93" s="18">
        <f t="shared" si="2"/>
        <v>9379191248.7803173</v>
      </c>
      <c r="O93" s="4"/>
    </row>
    <row r="94" spans="1:15" ht="18" customHeight="1" x14ac:dyDescent="0.2">
      <c r="A94" s="17" t="s">
        <v>89</v>
      </c>
      <c r="B94" s="16">
        <f>ENERO!B94+FEBRERO!B94+MARZO!B94+ABRIL!B94+MAYO!B94+JUNIO!B94+JULIO!B94+AGOSTO!B94+SEPTIEMBRE!B94+OCTUBRE!B94+NOVIEMBRE!B94+DICIEMBRE!B94</f>
        <v>4781017026.7800007</v>
      </c>
      <c r="C94" s="16">
        <f>ENERO!C94+FEBRERO!C94+MARZO!C94+ABRIL!C94+MAYO!C94+JUNIO!C94+JULIO!C94+AGOSTO!C94+SEPTIEMBRE!C94+OCTUBRE!C94+NOVIEMBRE!C94+DICIEMBRE!C94</f>
        <v>344896.61</v>
      </c>
      <c r="D94" s="16">
        <f>ENERO!D94+FEBRERO!D94+MARZO!D94+ABRIL!D94+MAYO!D94+JUNIO!D94+JULIO!D94+AGOSTO!D94+SEPTIEMBRE!D94+OCTUBRE!D94+NOVIEMBRE!D94+DICIEMBRE!D94</f>
        <v>71275487.480000004</v>
      </c>
      <c r="E94" s="16">
        <f>ENERO!E94+FEBRERO!E94+MARZO!E94+ABRIL!E94+MAYO!E94+JUNIO!E94+JULIO!E94+AGOSTO!E94+SEPTIEMBRE!E94+OCTUBRE!E94+NOVIEMBRE!E94+DICIEMBRE!E94</f>
        <v>70902922.528001457</v>
      </c>
      <c r="F94" s="16">
        <f>ENERO!F94+FEBRERO!F94+MARZO!F94+ABRIL!F94+MAYO!F94+JUNIO!F94+JULIO!F94+AGOSTO!F94+SEPTIEMBRE!F94+OCTUBRE!F94+NOVIEMBRE!F94+DICIEMBRE!F94</f>
        <v>109765793.69128931</v>
      </c>
      <c r="G94" s="16">
        <f>ENERO!G94+FEBRERO!G94+MARZO!G94+ABRIL!G94+MAYO!G94+JUNIO!G94+JULIO!G94+AGOSTO!G94+SEPTIEMBRE!G94+OCTUBRE!G94+NOVIEMBRE!G94+DICIEMBRE!G94</f>
        <v>53669442.775307082</v>
      </c>
      <c r="H94" s="16">
        <f>ENERO!H94+FEBRERO!H94+MARZO!H94+ABRIL!H94+MAYO!H94+JUNIO!H94+JULIO!H94+AGOSTO!H94+SEPTIEMBRE!H94+OCTUBRE!H94+NOVIEMBRE!H94+DICIEMBRE!H94</f>
        <v>249197020.61999997</v>
      </c>
      <c r="I94" s="16">
        <f>ENERO!I94+FEBRERO!I94+MARZO!I94+ABRIL!I94+MAYO!I94+JUNIO!I94+JULIO!I94+AGOSTO!I94+SEPTIEMBRE!I94+OCTUBRE!I94+NOVIEMBRE!I94+DICIEMBRE!I94</f>
        <v>255381824.08999997</v>
      </c>
      <c r="J94" s="16">
        <f>ENERO!J94+FEBRERO!J94+MARZO!J94+ABRIL!J94+MAYO!J94+JUNIO!J94+JULIO!J94+AGOSTO!J94+SEPTIEMBRE!J94+OCTUBRE!J94+NOVIEMBRE!J94+DICIEMBRE!J94</f>
        <v>517862091.19999999</v>
      </c>
      <c r="K94" s="16">
        <f>ENERO!K94+FEBRERO!K94+MARZO!K94+ABRIL!K94+MAYO!K94+JUNIO!K94+JULIO!K94+AGOSTO!K94+SEPTIEMBRE!K94+OCTUBRE!K94+NOVIEMBRE!K94+DICIEMBRE!K94</f>
        <v>0</v>
      </c>
      <c r="L94" s="16">
        <f>ENERO!L94+FEBRERO!L94+MARZO!L94+ABRIL!L94+MAYO!L94+JUNIO!L94+JULIO!L94+AGOSTO!L94+SEPTIEMBRE!L94+OCTUBRE!L94+NOVIEMBRE!L94+DICIEMBRE!L94</f>
        <v>0</v>
      </c>
      <c r="M94" s="16">
        <f>ENERO!M94+FEBRERO!M94+MARZO!M94+ABRIL!M94+MAYO!M94+JUNIO!M94+JULIO!M94+AGOSTO!M94+SEPTIEMBRE!M94+OCTUBRE!M94+NOVIEMBRE!M94+DICIEMBRE!M94</f>
        <v>34248.509999999995</v>
      </c>
      <c r="N94" s="18">
        <f t="shared" si="2"/>
        <v>6109450754.2845974</v>
      </c>
      <c r="O94" s="4"/>
    </row>
    <row r="95" spans="1:15" ht="18" customHeight="1" x14ac:dyDescent="0.2">
      <c r="A95" s="17" t="s">
        <v>90</v>
      </c>
      <c r="B95" s="16">
        <f>ENERO!B95+FEBRERO!B95+MARZO!B95+ABRIL!B95+MAYO!B95+JUNIO!B95+JULIO!B95+AGOSTO!B95+SEPTIEMBRE!B95+OCTUBRE!B95+NOVIEMBRE!B95+DICIEMBRE!B95</f>
        <v>881438022.81000006</v>
      </c>
      <c r="C95" s="16">
        <f>ENERO!C95+FEBRERO!C95+MARZO!C95+ABRIL!C95+MAYO!C95+JUNIO!C95+JULIO!C95+AGOSTO!C95+SEPTIEMBRE!C95+OCTUBRE!C95+NOVIEMBRE!C95+DICIEMBRE!C95</f>
        <v>60219.820000000007</v>
      </c>
      <c r="D95" s="16">
        <f>ENERO!D95+FEBRERO!D95+MARZO!D95+ABRIL!D95+MAYO!D95+JUNIO!D95+JULIO!D95+AGOSTO!D95+SEPTIEMBRE!D95+OCTUBRE!D95+NOVIEMBRE!D95+DICIEMBRE!D95</f>
        <v>61619620.878889069</v>
      </c>
      <c r="E95" s="16">
        <f>ENERO!E95+FEBRERO!E95+MARZO!E95+ABRIL!E95+MAYO!E95+JUNIO!E95+JULIO!E95+AGOSTO!E95+SEPTIEMBRE!E95+OCTUBRE!E95+NOVIEMBRE!E95+DICIEMBRE!E95</f>
        <v>9250090.6885706298</v>
      </c>
      <c r="F95" s="16">
        <f>ENERO!F95+FEBRERO!F95+MARZO!F95+ABRIL!F95+MAYO!F95+JUNIO!F95+JULIO!F95+AGOSTO!F95+SEPTIEMBRE!F95+OCTUBRE!F95+NOVIEMBRE!F95+DICIEMBRE!F95</f>
        <v>5382140.0606115125</v>
      </c>
      <c r="G95" s="16">
        <f>ENERO!G95+FEBRERO!G95+MARZO!G95+ABRIL!G95+MAYO!G95+JUNIO!G95+JULIO!G95+AGOSTO!G95+SEPTIEMBRE!G95+OCTUBRE!G95+NOVIEMBRE!G95+DICIEMBRE!G95</f>
        <v>2501622.4299999997</v>
      </c>
      <c r="H95" s="16">
        <f>ENERO!H95+FEBRERO!H95+MARZO!H95+ABRIL!H95+MAYO!H95+JUNIO!H95+JULIO!H95+AGOSTO!H95+SEPTIEMBRE!H95+OCTUBRE!H95+NOVIEMBRE!H95+DICIEMBRE!H95</f>
        <v>45786529.490000002</v>
      </c>
      <c r="I95" s="16">
        <f>ENERO!I95+FEBRERO!I95+MARZO!I95+ABRIL!I95+MAYO!I95+JUNIO!I95+JULIO!I95+AGOSTO!I95+SEPTIEMBRE!I95+OCTUBRE!I95+NOVIEMBRE!I95+DICIEMBRE!I95</f>
        <v>12522122.92</v>
      </c>
      <c r="J95" s="16">
        <f>ENERO!J95+FEBRERO!J95+MARZO!J95+ABRIL!J95+MAYO!J95+JUNIO!J95+JULIO!J95+AGOSTO!J95+SEPTIEMBRE!J95+OCTUBRE!J95+NOVIEMBRE!J95+DICIEMBRE!J95</f>
        <v>77140847.289999977</v>
      </c>
      <c r="K95" s="16">
        <f>ENERO!K95+FEBRERO!K95+MARZO!K95+ABRIL!K95+MAYO!K95+JUNIO!K95+JULIO!K95+AGOSTO!K95+SEPTIEMBRE!K95+OCTUBRE!K95+NOVIEMBRE!K95+DICIEMBRE!K95</f>
        <v>0</v>
      </c>
      <c r="L95" s="16">
        <f>ENERO!L95+FEBRERO!L95+MARZO!L95+ABRIL!L95+MAYO!L95+JUNIO!L95+JULIO!L95+AGOSTO!L95+SEPTIEMBRE!L95+OCTUBRE!L95+NOVIEMBRE!L95+DICIEMBRE!L95</f>
        <v>0</v>
      </c>
      <c r="M95" s="16">
        <f>ENERO!M95+FEBRERO!M95+MARZO!M95+ABRIL!M95+MAYO!M95+JUNIO!M95+JULIO!M95+AGOSTO!M95+SEPTIEMBRE!M95+OCTUBRE!M95+NOVIEMBRE!M95+DICIEMBRE!M95</f>
        <v>1679.0700000000002</v>
      </c>
      <c r="N95" s="18">
        <f t="shared" si="2"/>
        <v>1095702895.4580712</v>
      </c>
      <c r="O95" s="4"/>
    </row>
    <row r="96" spans="1:15" ht="18" customHeight="1" x14ac:dyDescent="0.2">
      <c r="A96" s="17" t="s">
        <v>91</v>
      </c>
      <c r="B96" s="16">
        <f>ENERO!B96+FEBRERO!B96+MARZO!B96+ABRIL!B96+MAYO!B96+JUNIO!B96+JULIO!B96+AGOSTO!B96+SEPTIEMBRE!B96+OCTUBRE!B96+NOVIEMBRE!B96+DICIEMBRE!B96</f>
        <v>2859906553.3399997</v>
      </c>
      <c r="C96" s="16">
        <f>ENERO!C96+FEBRERO!C96+MARZO!C96+ABRIL!C96+MAYO!C96+JUNIO!C96+JULIO!C96+AGOSTO!C96+SEPTIEMBRE!C96+OCTUBRE!C96+NOVIEMBRE!C96+DICIEMBRE!C96</f>
        <v>216468.43000000002</v>
      </c>
      <c r="D96" s="16">
        <f>ENERO!D96+FEBRERO!D96+MARZO!D96+ABRIL!D96+MAYO!D96+JUNIO!D96+JULIO!D96+AGOSTO!D96+SEPTIEMBRE!D96+OCTUBRE!D96+NOVIEMBRE!D96+DICIEMBRE!D96</f>
        <v>165594019.24183846</v>
      </c>
      <c r="E96" s="16">
        <f>ENERO!E96+FEBRERO!E96+MARZO!E96+ABRIL!E96+MAYO!E96+JUNIO!E96+JULIO!E96+AGOSTO!E96+SEPTIEMBRE!E96+OCTUBRE!E96+NOVIEMBRE!E96+DICIEMBRE!E96</f>
        <v>27367629.68557696</v>
      </c>
      <c r="F96" s="16">
        <f>ENERO!F96+FEBRERO!F96+MARZO!F96+ABRIL!F96+MAYO!F96+JUNIO!F96+JULIO!F96+AGOSTO!F96+SEPTIEMBRE!F96+OCTUBRE!F96+NOVIEMBRE!F96+DICIEMBRE!F96</f>
        <v>30163357.007395763</v>
      </c>
      <c r="G96" s="16">
        <f>ENERO!G96+FEBRERO!G96+MARZO!G96+ABRIL!G96+MAYO!G96+JUNIO!G96+JULIO!G96+AGOSTO!G96+SEPTIEMBRE!G96+OCTUBRE!G96+NOVIEMBRE!G96+DICIEMBRE!G96</f>
        <v>13655645.420000002</v>
      </c>
      <c r="H96" s="16">
        <f>ENERO!H96+FEBRERO!H96+MARZO!H96+ABRIL!H96+MAYO!H96+JUNIO!H96+JULIO!H96+AGOSTO!H96+SEPTIEMBRE!H96+OCTUBRE!H96+NOVIEMBRE!H96+DICIEMBRE!H96</f>
        <v>149535172.78999999</v>
      </c>
      <c r="I96" s="16">
        <f>ENERO!I96+FEBRERO!I96+MARZO!I96+ABRIL!I96+MAYO!I96+JUNIO!I96+JULIO!I96+AGOSTO!I96+SEPTIEMBRE!I96+OCTUBRE!I96+NOVIEMBRE!I96+DICIEMBRE!I96</f>
        <v>70178266.680000007</v>
      </c>
      <c r="J96" s="16">
        <f>ENERO!J96+FEBRERO!J96+MARZO!J96+ABRIL!J96+MAYO!J96+JUNIO!J96+JULIO!J96+AGOSTO!J96+SEPTIEMBRE!J96+OCTUBRE!J96+NOVIEMBRE!J96+DICIEMBRE!J96</f>
        <v>276055648.68000001</v>
      </c>
      <c r="K96" s="16">
        <f>ENERO!K96+FEBRERO!K96+MARZO!K96+ABRIL!K96+MAYO!K96+JUNIO!K96+JULIO!K96+AGOSTO!K96+SEPTIEMBRE!K96+OCTUBRE!K96+NOVIEMBRE!K96+DICIEMBRE!K96</f>
        <v>0</v>
      </c>
      <c r="L96" s="16">
        <f>ENERO!L96+FEBRERO!L96+MARZO!L96+ABRIL!L96+MAYO!L96+JUNIO!L96+JULIO!L96+AGOSTO!L96+SEPTIEMBRE!L96+OCTUBRE!L96+NOVIEMBRE!L96+DICIEMBRE!L96</f>
        <v>0</v>
      </c>
      <c r="M96" s="16">
        <f>ENERO!M96+FEBRERO!M96+MARZO!M96+ABRIL!M96+MAYO!M96+JUNIO!M96+JULIO!M96+AGOSTO!M96+SEPTIEMBRE!M96+OCTUBRE!M96+NOVIEMBRE!M96+DICIEMBRE!M96</f>
        <v>9411.2700000000023</v>
      </c>
      <c r="N96" s="18">
        <f t="shared" si="2"/>
        <v>3592682172.5448103</v>
      </c>
      <c r="O96" s="4"/>
    </row>
    <row r="97" spans="1:15" ht="18" customHeight="1" x14ac:dyDescent="0.2">
      <c r="A97" s="17" t="s">
        <v>92</v>
      </c>
      <c r="B97" s="16">
        <f>ENERO!B97+FEBRERO!B97+MARZO!B97+ABRIL!B97+MAYO!B97+JUNIO!B97+JULIO!B97+AGOSTO!B97+SEPTIEMBRE!B97+OCTUBRE!B97+NOVIEMBRE!B97+DICIEMBRE!B97</f>
        <v>1380745291.4799998</v>
      </c>
      <c r="C97" s="16">
        <f>ENERO!C97+FEBRERO!C97+MARZO!C97+ABRIL!C97+MAYO!C97+JUNIO!C97+JULIO!C97+AGOSTO!C97+SEPTIEMBRE!C97+OCTUBRE!C97+NOVIEMBRE!C97+DICIEMBRE!C97</f>
        <v>101380.86</v>
      </c>
      <c r="D97" s="16">
        <f>ENERO!D97+FEBRERO!D97+MARZO!D97+ABRIL!D97+MAYO!D97+JUNIO!D97+JULIO!D97+AGOSTO!D97+SEPTIEMBRE!D97+OCTUBRE!D97+NOVIEMBRE!D97+DICIEMBRE!D97</f>
        <v>223371215.1754798</v>
      </c>
      <c r="E97" s="16">
        <f>ENERO!E97+FEBRERO!E97+MARZO!E97+ABRIL!E97+MAYO!E97+JUNIO!E97+JULIO!E97+AGOSTO!E97+SEPTIEMBRE!E97+OCTUBRE!E97+NOVIEMBRE!E97+DICIEMBRE!E97</f>
        <v>14975513.754154705</v>
      </c>
      <c r="F97" s="16">
        <f>ENERO!F97+FEBRERO!F97+MARZO!F97+ABRIL!F97+MAYO!F97+JUNIO!F97+JULIO!F97+AGOSTO!F97+SEPTIEMBRE!F97+OCTUBRE!F97+NOVIEMBRE!F97+DICIEMBRE!F97</f>
        <v>13926044.054561757</v>
      </c>
      <c r="G97" s="16">
        <f>ENERO!G97+FEBRERO!G97+MARZO!G97+ABRIL!G97+MAYO!G97+JUNIO!G97+JULIO!G97+AGOSTO!G97+SEPTIEMBRE!G97+OCTUBRE!G97+NOVIEMBRE!G97+DICIEMBRE!G97</f>
        <v>6999952.6900000004</v>
      </c>
      <c r="H97" s="16">
        <f>ENERO!H97+FEBRERO!H97+MARZO!H97+ABRIL!H97+MAYO!H97+JUNIO!H97+JULIO!H97+AGOSTO!H97+SEPTIEMBRE!H97+OCTUBRE!H97+NOVIEMBRE!H97+DICIEMBRE!H97</f>
        <v>72049713.140000001</v>
      </c>
      <c r="I97" s="16">
        <f>ENERO!I97+FEBRERO!I97+MARZO!I97+ABRIL!I97+MAYO!I97+JUNIO!I97+JULIO!I97+AGOSTO!I97+SEPTIEMBRE!I97+OCTUBRE!I97+NOVIEMBRE!I97+DICIEMBRE!I97</f>
        <v>32400426.589999996</v>
      </c>
      <c r="J97" s="16">
        <f>ENERO!J97+FEBRERO!J97+MARZO!J97+ABRIL!J97+MAYO!J97+JUNIO!J97+JULIO!J97+AGOSTO!J97+SEPTIEMBRE!J97+OCTUBRE!J97+NOVIEMBRE!J97+DICIEMBRE!J97</f>
        <v>178567799.35000002</v>
      </c>
      <c r="K97" s="16">
        <f>ENERO!K97+FEBRERO!K97+MARZO!K97+ABRIL!K97+MAYO!K97+JUNIO!K97+JULIO!K97+AGOSTO!K97+SEPTIEMBRE!K97+OCTUBRE!K97+NOVIEMBRE!K97+DICIEMBRE!K97</f>
        <v>0</v>
      </c>
      <c r="L97" s="16">
        <f>ENERO!L97+FEBRERO!L97+MARZO!L97+ABRIL!L97+MAYO!L97+JUNIO!L97+JULIO!L97+AGOSTO!L97+SEPTIEMBRE!L97+OCTUBRE!L97+NOVIEMBRE!L97+DICIEMBRE!L97</f>
        <v>0</v>
      </c>
      <c r="M97" s="16">
        <f>ENERO!M97+FEBRERO!M97+MARZO!M97+ABRIL!M97+MAYO!M97+JUNIO!M97+JULIO!M97+AGOSTO!M97+SEPTIEMBRE!M97+OCTUBRE!M97+NOVIEMBRE!M97+DICIEMBRE!M97</f>
        <v>4344.9699999999993</v>
      </c>
      <c r="N97" s="18">
        <f t="shared" si="2"/>
        <v>1923141682.0641963</v>
      </c>
      <c r="O97" s="4"/>
    </row>
    <row r="98" spans="1:15" ht="18" customHeight="1" x14ac:dyDescent="0.2">
      <c r="A98" s="17" t="s">
        <v>93</v>
      </c>
      <c r="B98" s="16">
        <f>ENERO!B98+FEBRERO!B98+MARZO!B98+ABRIL!B98+MAYO!B98+JUNIO!B98+JULIO!B98+AGOSTO!B98+SEPTIEMBRE!B98+OCTUBRE!B98+NOVIEMBRE!B98+DICIEMBRE!B98</f>
        <v>3817578509.7299995</v>
      </c>
      <c r="C98" s="16">
        <f>ENERO!C98+FEBRERO!C98+MARZO!C98+ABRIL!C98+MAYO!C98+JUNIO!C98+JULIO!C98+AGOSTO!C98+SEPTIEMBRE!C98+OCTUBRE!C98+NOVIEMBRE!C98+DICIEMBRE!C98</f>
        <v>282196.08</v>
      </c>
      <c r="D98" s="16">
        <f>ENERO!D98+FEBRERO!D98+MARZO!D98+ABRIL!D98+MAYO!D98+JUNIO!D98+JULIO!D98+AGOSTO!D98+SEPTIEMBRE!D98+OCTUBRE!D98+NOVIEMBRE!D98+DICIEMBRE!D98</f>
        <v>229171898.97239476</v>
      </c>
      <c r="E98" s="16">
        <f>ENERO!E98+FEBRERO!E98+MARZO!E98+ABRIL!E98+MAYO!E98+JUNIO!E98+JULIO!E98+AGOSTO!E98+SEPTIEMBRE!E98+OCTUBRE!E98+NOVIEMBRE!E98+DICIEMBRE!E98</f>
        <v>56680787.889110163</v>
      </c>
      <c r="F98" s="16">
        <f>ENERO!F98+FEBRERO!F98+MARZO!F98+ABRIL!F98+MAYO!F98+JUNIO!F98+JULIO!F98+AGOSTO!F98+SEPTIEMBRE!F98+OCTUBRE!F98+NOVIEMBRE!F98+DICIEMBRE!F98</f>
        <v>32383733.264668547</v>
      </c>
      <c r="G98" s="16">
        <f>ENERO!G98+FEBRERO!G98+MARZO!G98+ABRIL!G98+MAYO!G98+JUNIO!G98+JULIO!G98+AGOSTO!G98+SEPTIEMBRE!G98+OCTUBRE!G98+NOVIEMBRE!G98+DICIEMBRE!G98</f>
        <v>16409725.18</v>
      </c>
      <c r="H98" s="16">
        <f>ENERO!H98+FEBRERO!H98+MARZO!H98+ABRIL!H98+MAYO!H98+JUNIO!H98+JULIO!H98+AGOSTO!H98+SEPTIEMBRE!H98+OCTUBRE!H98+NOVIEMBRE!H98+DICIEMBRE!H98</f>
        <v>199295569.57999998</v>
      </c>
      <c r="I98" s="16">
        <f>ENERO!I98+FEBRERO!I98+MARZO!I98+ABRIL!I98+MAYO!I98+JUNIO!I98+JULIO!I98+AGOSTO!I98+SEPTIEMBRE!I98+OCTUBRE!I98+NOVIEMBRE!I98+DICIEMBRE!I98</f>
        <v>75344208.830000013</v>
      </c>
      <c r="J98" s="16">
        <f>ENERO!J98+FEBRERO!J98+MARZO!J98+ABRIL!J98+MAYO!J98+JUNIO!J98+JULIO!J98+AGOSTO!J98+SEPTIEMBRE!J98+OCTUBRE!J98+NOVIEMBRE!J98+DICIEMBRE!J98</f>
        <v>350300189.31999999</v>
      </c>
      <c r="K98" s="16">
        <f>ENERO!K98+FEBRERO!K98+MARZO!K98+ABRIL!K98+MAYO!K98+JUNIO!K98+JULIO!K98+AGOSTO!K98+SEPTIEMBRE!K98+OCTUBRE!K98+NOVIEMBRE!K98+DICIEMBRE!K98</f>
        <v>0</v>
      </c>
      <c r="L98" s="16">
        <f>ENERO!L98+FEBRERO!L98+MARZO!L98+ABRIL!L98+MAYO!L98+JUNIO!L98+JULIO!L98+AGOSTO!L98+SEPTIEMBRE!L98+OCTUBRE!L98+NOVIEMBRE!L98+DICIEMBRE!L98</f>
        <v>0</v>
      </c>
      <c r="M98" s="16">
        <f>ENERO!M98+FEBRERO!M98+MARZO!M98+ABRIL!M98+MAYO!M98+JUNIO!M98+JULIO!M98+AGOSTO!M98+SEPTIEMBRE!M98+OCTUBRE!M98+NOVIEMBRE!M98+DICIEMBRE!M98</f>
        <v>10104.029999999999</v>
      </c>
      <c r="N98" s="18">
        <f t="shared" si="2"/>
        <v>4777456922.8761721</v>
      </c>
      <c r="O98" s="4"/>
    </row>
    <row r="99" spans="1:15" ht="18" customHeight="1" x14ac:dyDescent="0.2">
      <c r="A99" s="17" t="s">
        <v>94</v>
      </c>
      <c r="B99" s="16">
        <f>ENERO!B99+FEBRERO!B99+MARZO!B99+ABRIL!B99+MAYO!B99+JUNIO!B99+JULIO!B99+AGOSTO!B99+SEPTIEMBRE!B99+OCTUBRE!B99+NOVIEMBRE!B99+DICIEMBRE!B99</f>
        <v>2671301574.9100003</v>
      </c>
      <c r="C99" s="16">
        <f>ENERO!C99+FEBRERO!C99+MARZO!C99+ABRIL!C99+MAYO!C99+JUNIO!C99+JULIO!C99+AGOSTO!C99+SEPTIEMBRE!C99+OCTUBRE!C99+NOVIEMBRE!C99+DICIEMBRE!C99</f>
        <v>193112.15</v>
      </c>
      <c r="D99" s="16">
        <f>ENERO!D99+FEBRERO!D99+MARZO!D99+ABRIL!D99+MAYO!D99+JUNIO!D99+JULIO!D99+AGOSTO!D99+SEPTIEMBRE!D99+OCTUBRE!D99+NOVIEMBRE!D99+DICIEMBRE!D99</f>
        <v>126117560.22234605</v>
      </c>
      <c r="E99" s="16">
        <f>ENERO!E99+FEBRERO!E99+MARZO!E99+ABRIL!E99+MAYO!E99+JUNIO!E99+JULIO!E99+AGOSTO!E99+SEPTIEMBRE!E99+OCTUBRE!E99+NOVIEMBRE!E99+DICIEMBRE!E99</f>
        <v>28535368.856909268</v>
      </c>
      <c r="F99" s="16">
        <f>ENERO!F99+FEBRERO!F99+MARZO!F99+ABRIL!F99+MAYO!F99+JUNIO!F99+JULIO!F99+AGOSTO!F99+SEPTIEMBRE!F99+OCTUBRE!F99+NOVIEMBRE!F99+DICIEMBRE!F99</f>
        <v>12004314.889144376</v>
      </c>
      <c r="G99" s="16">
        <f>ENERO!G99+FEBRERO!G99+MARZO!G99+ABRIL!G99+MAYO!G99+JUNIO!G99+JULIO!G99+AGOSTO!G99+SEPTIEMBRE!G99+OCTUBRE!G99+NOVIEMBRE!G99+DICIEMBRE!G99</f>
        <v>4429478.26</v>
      </c>
      <c r="H99" s="16">
        <f>ENERO!H99+FEBRERO!H99+MARZO!H99+ABRIL!H99+MAYO!H99+JUNIO!H99+JULIO!H99+AGOSTO!H99+SEPTIEMBRE!H99+OCTUBRE!H99+NOVIEMBRE!H99+DICIEMBRE!H99</f>
        <v>139252948.37</v>
      </c>
      <c r="I99" s="16">
        <f>ENERO!I99+FEBRERO!I99+MARZO!I99+ABRIL!I99+MAYO!I99+JUNIO!I99+JULIO!I99+AGOSTO!I99+SEPTIEMBRE!I99+OCTUBRE!I99+NOVIEMBRE!I99+DICIEMBRE!I99</f>
        <v>27929318.77</v>
      </c>
      <c r="J99" s="16">
        <f>ENERO!J99+FEBRERO!J99+MARZO!J99+ABRIL!J99+MAYO!J99+JUNIO!J99+JULIO!J99+AGOSTO!J99+SEPTIEMBRE!J99+OCTUBRE!J99+NOVIEMBRE!J99+DICIEMBRE!J99</f>
        <v>233030101.04999995</v>
      </c>
      <c r="K99" s="16">
        <f>ENERO!K99+FEBRERO!K99+MARZO!K99+ABRIL!K99+MAYO!K99+JUNIO!K99+JULIO!K99+AGOSTO!K99+SEPTIEMBRE!K99+OCTUBRE!K99+NOVIEMBRE!K99+DICIEMBRE!K99</f>
        <v>0</v>
      </c>
      <c r="L99" s="16">
        <f>ENERO!L99+FEBRERO!L99+MARZO!L99+ABRIL!L99+MAYO!L99+JUNIO!L99+JULIO!L99+AGOSTO!L99+SEPTIEMBRE!L99+OCTUBRE!L99+NOVIEMBRE!L99+DICIEMBRE!L99</f>
        <v>0</v>
      </c>
      <c r="M99" s="16">
        <f>ENERO!M99+FEBRERO!M99+MARZO!M99+ABRIL!M99+MAYO!M99+JUNIO!M99+JULIO!M99+AGOSTO!M99+SEPTIEMBRE!M99+OCTUBRE!M99+NOVIEMBRE!M99+DICIEMBRE!M99</f>
        <v>3745.3199999999997</v>
      </c>
      <c r="N99" s="18">
        <f t="shared" si="2"/>
        <v>3242797522.7984004</v>
      </c>
      <c r="O99" s="4"/>
    </row>
    <row r="100" spans="1:15" ht="18" customHeight="1" x14ac:dyDescent="0.2">
      <c r="A100" s="17" t="s">
        <v>95</v>
      </c>
      <c r="B100" s="16">
        <f>ENERO!B100+FEBRERO!B100+MARZO!B100+ABRIL!B100+MAYO!B100+JUNIO!B100+JULIO!B100+AGOSTO!B100+SEPTIEMBRE!B100+OCTUBRE!B100+NOVIEMBRE!B100+DICIEMBRE!B100</f>
        <v>2836455873.1899996</v>
      </c>
      <c r="C100" s="16">
        <f>ENERO!C100+FEBRERO!C100+MARZO!C100+ABRIL!C100+MAYO!C100+JUNIO!C100+JULIO!C100+AGOSTO!C100+SEPTIEMBRE!C100+OCTUBRE!C100+NOVIEMBRE!C100+DICIEMBRE!C100</f>
        <v>183517.18999999997</v>
      </c>
      <c r="D100" s="16">
        <f>ENERO!D100+FEBRERO!D100+MARZO!D100+ABRIL!D100+MAYO!D100+JUNIO!D100+JULIO!D100+AGOSTO!D100+SEPTIEMBRE!D100+OCTUBRE!D100+NOVIEMBRE!D100+DICIEMBRE!D100</f>
        <v>184323184.24836224</v>
      </c>
      <c r="E100" s="16">
        <f>ENERO!E100+FEBRERO!E100+MARZO!E100+ABRIL!E100+MAYO!E100+JUNIO!E100+JULIO!E100+AGOSTO!E100+SEPTIEMBRE!E100+OCTUBRE!E100+NOVIEMBRE!E100+DICIEMBRE!E100</f>
        <v>29537469.743027382</v>
      </c>
      <c r="F100" s="16">
        <f>ENERO!F100+FEBRERO!F100+MARZO!F100+ABRIL!F100+MAYO!F100+JUNIO!F100+JULIO!F100+AGOSTO!F100+SEPTIEMBRE!F100+OCTUBRE!F100+NOVIEMBRE!F100+DICIEMBRE!F100</f>
        <v>13478073.386778651</v>
      </c>
      <c r="G100" s="16">
        <f>ENERO!G100+FEBRERO!G100+MARZO!G100+ABRIL!G100+MAYO!G100+JUNIO!G100+JULIO!G100+AGOSTO!G100+SEPTIEMBRE!G100+OCTUBRE!G100+NOVIEMBRE!G100+DICIEMBRE!G100</f>
        <v>5852419.4699999997</v>
      </c>
      <c r="H100" s="16">
        <f>ENERO!H100+FEBRERO!H100+MARZO!H100+ABRIL!H100+MAYO!H100+JUNIO!H100+JULIO!H100+AGOSTO!H100+SEPTIEMBRE!H100+OCTUBRE!H100+NOVIEMBRE!H100+DICIEMBRE!H100</f>
        <v>146864685.96000001</v>
      </c>
      <c r="I100" s="16">
        <f>ENERO!I100+FEBRERO!I100+MARZO!I100+ABRIL!I100+MAYO!I100+JUNIO!I100+JULIO!I100+AGOSTO!I100+SEPTIEMBRE!I100+OCTUBRE!I100+NOVIEMBRE!I100+DICIEMBRE!I100</f>
        <v>31358175.120000001</v>
      </c>
      <c r="J100" s="16">
        <f>ENERO!J100+FEBRERO!J100+MARZO!J100+ABRIL!J100+MAYO!J100+JUNIO!J100+JULIO!J100+AGOSTO!J100+SEPTIEMBRE!J100+OCTUBRE!J100+NOVIEMBRE!J100+DICIEMBRE!J100</f>
        <v>182199197.02999994</v>
      </c>
      <c r="K100" s="16">
        <f>ENERO!K100+FEBRERO!K100+MARZO!K100+ABRIL!K100+MAYO!K100+JUNIO!K100+JULIO!K100+AGOSTO!K100+SEPTIEMBRE!K100+OCTUBRE!K100+NOVIEMBRE!K100+DICIEMBRE!K100</f>
        <v>0</v>
      </c>
      <c r="L100" s="16">
        <f>ENERO!L100+FEBRERO!L100+MARZO!L100+ABRIL!L100+MAYO!L100+JUNIO!L100+JULIO!L100+AGOSTO!L100+SEPTIEMBRE!L100+OCTUBRE!L100+NOVIEMBRE!L100+DICIEMBRE!L100</f>
        <v>0</v>
      </c>
      <c r="M100" s="16">
        <f>ENERO!M100+FEBRERO!M100+MARZO!M100+ABRIL!M100+MAYO!M100+JUNIO!M100+JULIO!M100+AGOSTO!M100+SEPTIEMBRE!M100+OCTUBRE!M100+NOVIEMBRE!M100+DICIEMBRE!M100</f>
        <v>4205.17</v>
      </c>
      <c r="N100" s="18">
        <f t="shared" si="2"/>
        <v>3430256800.5081673</v>
      </c>
      <c r="O100" s="4"/>
    </row>
    <row r="101" spans="1:15" ht="18" customHeight="1" x14ac:dyDescent="0.2">
      <c r="A101" s="17" t="s">
        <v>96</v>
      </c>
      <c r="B101" s="16">
        <f>ENERO!B101+FEBRERO!B101+MARZO!B101+ABRIL!B101+MAYO!B101+JUNIO!B101+JULIO!B101+AGOSTO!B101+SEPTIEMBRE!B101+OCTUBRE!B101+NOVIEMBRE!B101+DICIEMBRE!B101</f>
        <v>521104866.81999999</v>
      </c>
      <c r="C101" s="16">
        <f>ENERO!C101+FEBRERO!C101+MARZO!C101+ABRIL!C101+MAYO!C101+JUNIO!C101+JULIO!C101+AGOSTO!C101+SEPTIEMBRE!C101+OCTUBRE!C101+NOVIEMBRE!C101+DICIEMBRE!C101</f>
        <v>37090.29</v>
      </c>
      <c r="D101" s="16">
        <f>ENERO!D101+FEBRERO!D101+MARZO!D101+ABRIL!D101+MAYO!D101+JUNIO!D101+JULIO!D101+AGOSTO!D101+SEPTIEMBRE!D101+OCTUBRE!D101+NOVIEMBRE!D101+DICIEMBRE!D101</f>
        <v>56120807.485597447</v>
      </c>
      <c r="E101" s="16">
        <f>ENERO!E101+FEBRERO!E101+MARZO!E101+ABRIL!E101+MAYO!E101+JUNIO!E101+JULIO!E101+AGOSTO!E101+SEPTIEMBRE!E101+OCTUBRE!E101+NOVIEMBRE!E101+DICIEMBRE!E101</f>
        <v>5556475.4609532682</v>
      </c>
      <c r="F101" s="16">
        <f>ENERO!F101+FEBRERO!F101+MARZO!F101+ABRIL!F101+MAYO!F101+JUNIO!F101+JULIO!F101+AGOSTO!F101+SEPTIEMBRE!F101+OCTUBRE!F101+NOVIEMBRE!F101+DICIEMBRE!F101</f>
        <v>1610097.3591334803</v>
      </c>
      <c r="G101" s="16">
        <f>ENERO!G101+FEBRERO!G101+MARZO!G101+ABRIL!G101+MAYO!G101+JUNIO!G101+JULIO!G101+AGOSTO!G101+SEPTIEMBRE!G101+OCTUBRE!G101+NOVIEMBRE!G101+DICIEMBRE!G101</f>
        <v>872125.26</v>
      </c>
      <c r="H101" s="16">
        <f>ENERO!H101+FEBRERO!H101+MARZO!H101+ABRIL!H101+MAYO!H101+JUNIO!H101+JULIO!H101+AGOSTO!H101+SEPTIEMBRE!H101+OCTUBRE!H101+NOVIEMBRE!H101+DICIEMBRE!H101</f>
        <v>27137884.640000001</v>
      </c>
      <c r="I101" s="16">
        <f>ENERO!I101+FEBRERO!I101+MARZO!I101+ABRIL!I101+MAYO!I101+JUNIO!I101+JULIO!I101+AGOSTO!I101+SEPTIEMBRE!I101+OCTUBRE!I101+NOVIEMBRE!I101+DICIEMBRE!I101</f>
        <v>3746063.31</v>
      </c>
      <c r="J101" s="16">
        <f>ENERO!J101+FEBRERO!J101+MARZO!J101+ABRIL!J101+MAYO!J101+JUNIO!J101+JULIO!J101+AGOSTO!J101+SEPTIEMBRE!J101+OCTUBRE!J101+NOVIEMBRE!J101+DICIEMBRE!J101</f>
        <v>39439593.039999999</v>
      </c>
      <c r="K101" s="16">
        <f>ENERO!K101+FEBRERO!K101+MARZO!K101+ABRIL!K101+MAYO!K101+JUNIO!K101+JULIO!K101+AGOSTO!K101+SEPTIEMBRE!K101+OCTUBRE!K101+NOVIEMBRE!K101+DICIEMBRE!K101</f>
        <v>0</v>
      </c>
      <c r="L101" s="16">
        <f>ENERO!L101+FEBRERO!L101+MARZO!L101+ABRIL!L101+MAYO!L101+JUNIO!L101+JULIO!L101+AGOSTO!L101+SEPTIEMBRE!L101+OCTUBRE!L101+NOVIEMBRE!L101+DICIEMBRE!L101</f>
        <v>0</v>
      </c>
      <c r="M101" s="16">
        <f>ENERO!M101+FEBRERO!M101+MARZO!M101+ABRIL!M101+MAYO!M101+JUNIO!M101+JULIO!M101+AGOSTO!M101+SEPTIEMBRE!M101+OCTUBRE!M101+NOVIEMBRE!M101+DICIEMBRE!M101</f>
        <v>502.21000000000004</v>
      </c>
      <c r="N101" s="18">
        <f t="shared" si="2"/>
        <v>655625505.87568414</v>
      </c>
      <c r="O101" s="4"/>
    </row>
    <row r="102" spans="1:15" ht="18" customHeight="1" x14ac:dyDescent="0.2">
      <c r="A102" s="17" t="s">
        <v>97</v>
      </c>
      <c r="B102" s="16">
        <f>ENERO!B102+FEBRERO!B102+MARZO!B102+ABRIL!B102+MAYO!B102+JUNIO!B102+JULIO!B102+AGOSTO!B102+SEPTIEMBRE!B102+OCTUBRE!B102+NOVIEMBRE!B102+DICIEMBRE!B102</f>
        <v>1697790798.3999999</v>
      </c>
      <c r="C102" s="16">
        <f>ENERO!C102+FEBRERO!C102+MARZO!C102+ABRIL!C102+MAYO!C102+JUNIO!C102+JULIO!C102+AGOSTO!C102+SEPTIEMBRE!C102+OCTUBRE!C102+NOVIEMBRE!C102+DICIEMBRE!C102</f>
        <v>122548.79</v>
      </c>
      <c r="D102" s="16">
        <f>ENERO!D102+FEBRERO!D102+MARZO!D102+ABRIL!D102+MAYO!D102+JUNIO!D102+JULIO!D102+AGOSTO!D102+SEPTIEMBRE!D102+OCTUBRE!D102+NOVIEMBRE!D102+DICIEMBRE!D102</f>
        <v>257741327.31125614</v>
      </c>
      <c r="E102" s="16">
        <f>ENERO!E102+FEBRERO!E102+MARZO!E102+ABRIL!E102+MAYO!E102+JUNIO!E102+JULIO!E102+AGOSTO!E102+SEPTIEMBRE!E102+OCTUBRE!E102+NOVIEMBRE!E102+DICIEMBRE!E102</f>
        <v>25283020.959284596</v>
      </c>
      <c r="F102" s="16">
        <f>ENERO!F102+FEBRERO!F102+MARZO!F102+ABRIL!F102+MAYO!F102+JUNIO!F102+JULIO!F102+AGOSTO!F102+SEPTIEMBRE!F102+OCTUBRE!F102+NOVIEMBRE!F102+DICIEMBRE!F102</f>
        <v>31176160.202818431</v>
      </c>
      <c r="G102" s="16">
        <f>ENERO!G102+FEBRERO!G102+MARZO!G102+ABRIL!G102+MAYO!G102+JUNIO!G102+JULIO!G102+AGOSTO!G102+SEPTIEMBRE!G102+OCTUBRE!G102+NOVIEMBRE!G102+DICIEMBRE!G102</f>
        <v>15353994.600000001</v>
      </c>
      <c r="H102" s="16">
        <f>ENERO!H102+FEBRERO!H102+MARZO!H102+ABRIL!H102+MAYO!H102+JUNIO!H102+JULIO!H102+AGOSTO!H102+SEPTIEMBRE!H102+OCTUBRE!H102+NOVIEMBRE!H102+DICIEMBRE!H102</f>
        <v>88495902.950000018</v>
      </c>
      <c r="I102" s="16">
        <f>ENERO!I102+FEBRERO!I102+MARZO!I102+ABRIL!I102+MAYO!I102+JUNIO!I102+JULIO!I102+AGOSTO!I102+SEPTIEMBRE!I102+OCTUBRE!I102+NOVIEMBRE!I102+DICIEMBRE!I102</f>
        <v>72534661.329999998</v>
      </c>
      <c r="J102" s="16">
        <f>ENERO!J102+FEBRERO!J102+MARZO!J102+ABRIL!J102+MAYO!J102+JUNIO!J102+JULIO!J102+AGOSTO!J102+SEPTIEMBRE!J102+OCTUBRE!J102+NOVIEMBRE!J102+DICIEMBRE!J102</f>
        <v>262718550.01999998</v>
      </c>
      <c r="K102" s="16">
        <f>ENERO!K102+FEBRERO!K102+MARZO!K102+ABRIL!K102+MAYO!K102+JUNIO!K102+JULIO!K102+AGOSTO!K102+SEPTIEMBRE!K102+OCTUBRE!K102+NOVIEMBRE!K102+DICIEMBRE!K102</f>
        <v>0</v>
      </c>
      <c r="L102" s="16">
        <f>ENERO!L102+FEBRERO!L102+MARZO!L102+ABRIL!L102+MAYO!L102+JUNIO!L102+JULIO!L102+AGOSTO!L102+SEPTIEMBRE!L102+OCTUBRE!L102+NOVIEMBRE!L102+DICIEMBRE!L102</f>
        <v>0</v>
      </c>
      <c r="M102" s="16">
        <f>ENERO!M102+FEBRERO!M102+MARZO!M102+ABRIL!M102+MAYO!M102+JUNIO!M102+JULIO!M102+AGOSTO!M102+SEPTIEMBRE!M102+OCTUBRE!M102+NOVIEMBRE!M102+DICIEMBRE!M102</f>
        <v>9727.2699999999986</v>
      </c>
      <c r="N102" s="18">
        <f t="shared" si="2"/>
        <v>2451226691.8333588</v>
      </c>
      <c r="O102" s="4"/>
    </row>
    <row r="103" spans="1:15" ht="18" customHeight="1" x14ac:dyDescent="0.2">
      <c r="A103" s="17" t="s">
        <v>98</v>
      </c>
      <c r="B103" s="16">
        <f>ENERO!B103+FEBRERO!B103+MARZO!B103+ABRIL!B103+MAYO!B103+JUNIO!B103+JULIO!B103+AGOSTO!B103+SEPTIEMBRE!B103+OCTUBRE!B103+NOVIEMBRE!B103+DICIEMBRE!B103</f>
        <v>589188726.7700001</v>
      </c>
      <c r="C103" s="16">
        <f>ENERO!C103+FEBRERO!C103+MARZO!C103+ABRIL!C103+MAYO!C103+JUNIO!C103+JULIO!C103+AGOSTO!C103+SEPTIEMBRE!C103+OCTUBRE!C103+NOVIEMBRE!C103+DICIEMBRE!C103</f>
        <v>42472.42</v>
      </c>
      <c r="D103" s="16">
        <f>ENERO!D103+FEBRERO!D103+MARZO!D103+ABRIL!D103+MAYO!D103+JUNIO!D103+JULIO!D103+AGOSTO!D103+SEPTIEMBRE!D103+OCTUBRE!D103+NOVIEMBRE!D103+DICIEMBRE!D103</f>
        <v>72838063.741048083</v>
      </c>
      <c r="E103" s="16">
        <f>ENERO!E103+FEBRERO!E103+MARZO!E103+ABRIL!E103+MAYO!E103+JUNIO!E103+JULIO!E103+AGOSTO!E103+SEPTIEMBRE!E103+OCTUBRE!E103+NOVIEMBRE!E103+DICIEMBRE!E103</f>
        <v>6308830.1294349842</v>
      </c>
      <c r="F103" s="16">
        <f>ENERO!F103+FEBRERO!F103+MARZO!F103+ABRIL!F103+MAYO!F103+JUNIO!F103+JULIO!F103+AGOSTO!F103+SEPTIEMBRE!F103+OCTUBRE!F103+NOVIEMBRE!F103+DICIEMBRE!F103</f>
        <v>772587.00849550054</v>
      </c>
      <c r="G103" s="16">
        <f>ENERO!G103+FEBRERO!G103+MARZO!G103+ABRIL!G103+MAYO!G103+JUNIO!G103+JULIO!G103+AGOSTO!G103+SEPTIEMBRE!G103+OCTUBRE!G103+NOVIEMBRE!G103+DICIEMBRE!G103</f>
        <v>527865.29999999993</v>
      </c>
      <c r="H103" s="16">
        <f>ENERO!H103+FEBRERO!H103+MARZO!H103+ABRIL!H103+MAYO!H103+JUNIO!H103+JULIO!H103+AGOSTO!H103+SEPTIEMBRE!H103+OCTUBRE!H103+NOVIEMBRE!H103+DICIEMBRE!H103</f>
        <v>30708368.000000007</v>
      </c>
      <c r="I103" s="16">
        <f>ENERO!I103+FEBRERO!I103+MARZO!I103+ABRIL!I103+MAYO!I103+JUNIO!I103+JULIO!I103+AGOSTO!I103+SEPTIEMBRE!I103+OCTUBRE!I103+NOVIEMBRE!I103+DICIEMBRE!I103</f>
        <v>1797506.19</v>
      </c>
      <c r="J103" s="16">
        <f>ENERO!J103+FEBRERO!J103+MARZO!J103+ABRIL!J103+MAYO!J103+JUNIO!J103+JULIO!J103+AGOSTO!J103+SEPTIEMBRE!J103+OCTUBRE!J103+NOVIEMBRE!J103+DICIEMBRE!J103</f>
        <v>55709769.079999991</v>
      </c>
      <c r="K103" s="16">
        <f>ENERO!K103+FEBRERO!K103+MARZO!K103+ABRIL!K103+MAYO!K103+JUNIO!K103+JULIO!K103+AGOSTO!K103+SEPTIEMBRE!K103+OCTUBRE!K103+NOVIEMBRE!K103+DICIEMBRE!K103</f>
        <v>0</v>
      </c>
      <c r="L103" s="16">
        <f>ENERO!L103+FEBRERO!L103+MARZO!L103+ABRIL!L103+MAYO!L103+JUNIO!L103+JULIO!L103+AGOSTO!L103+SEPTIEMBRE!L103+OCTUBRE!L103+NOVIEMBRE!L103+DICIEMBRE!L103</f>
        <v>0</v>
      </c>
      <c r="M103" s="16">
        <f>ENERO!M103+FEBRERO!M103+MARZO!M103+ABRIL!M103+MAYO!M103+JUNIO!M103+JULIO!M103+AGOSTO!M103+SEPTIEMBRE!M103+OCTUBRE!M103+NOVIEMBRE!M103+DICIEMBRE!M103</f>
        <v>240.87</v>
      </c>
      <c r="N103" s="18">
        <f t="shared" si="2"/>
        <v>757894429.50897861</v>
      </c>
      <c r="O103" s="4"/>
    </row>
    <row r="104" spans="1:15" ht="18" customHeight="1" x14ac:dyDescent="0.2">
      <c r="A104" s="17" t="s">
        <v>99</v>
      </c>
      <c r="B104" s="16">
        <f>ENERO!B104+FEBRERO!B104+MARZO!B104+ABRIL!B104+MAYO!B104+JUNIO!B104+JULIO!B104+AGOSTO!B104+SEPTIEMBRE!B104+OCTUBRE!B104+NOVIEMBRE!B104+DICIEMBRE!B104</f>
        <v>8175176207.7299986</v>
      </c>
      <c r="C104" s="16">
        <f>ENERO!C104+FEBRERO!C104+MARZO!C104+ABRIL!C104+MAYO!C104+JUNIO!C104+JULIO!C104+AGOSTO!C104+SEPTIEMBRE!C104+OCTUBRE!C104+NOVIEMBRE!C104+DICIEMBRE!C104</f>
        <v>566831.89999999991</v>
      </c>
      <c r="D104" s="16">
        <f>ENERO!D104+FEBRERO!D104+MARZO!D104+ABRIL!D104+MAYO!D104+JUNIO!D104+JULIO!D104+AGOSTO!D104+SEPTIEMBRE!D104+OCTUBRE!D104+NOVIEMBRE!D104+DICIEMBRE!D104</f>
        <v>106734404.21880788</v>
      </c>
      <c r="E104" s="16">
        <f>ENERO!E104+FEBRERO!E104+MARZO!E104+ABRIL!E104+MAYO!E104+JUNIO!E104+JULIO!E104+AGOSTO!E104+SEPTIEMBRE!E104+OCTUBRE!E104+NOVIEMBRE!E104+DICIEMBRE!E104</f>
        <v>118818311.03365219</v>
      </c>
      <c r="F104" s="16">
        <f>ENERO!F104+FEBRERO!F104+MARZO!F104+ABRIL!F104+MAYO!F104+JUNIO!F104+JULIO!F104+AGOSTO!F104+SEPTIEMBRE!F104+OCTUBRE!F104+NOVIEMBRE!F104+DICIEMBRE!F104</f>
        <v>158328408.99386361</v>
      </c>
      <c r="G104" s="16">
        <f>ENERO!G104+FEBRERO!G104+MARZO!G104+ABRIL!G104+MAYO!G104+JUNIO!G104+JULIO!G104+AGOSTO!G104+SEPTIEMBRE!G104+OCTUBRE!G104+NOVIEMBRE!G104+DICIEMBRE!G104</f>
        <v>30015571.357869066</v>
      </c>
      <c r="H104" s="16">
        <f>ENERO!H104+FEBRERO!H104+MARZO!H104+ABRIL!H104+MAYO!H104+JUNIO!H104+JULIO!H104+AGOSTO!H104+SEPTIEMBRE!H104+OCTUBRE!H104+NOVIEMBRE!H104+DICIEMBRE!H104</f>
        <v>425046381.40000004</v>
      </c>
      <c r="I104" s="16">
        <f>ENERO!I104+FEBRERO!I104+MARZO!I104+ABRIL!I104+MAYO!I104+JUNIO!I104+JULIO!I104+AGOSTO!I104+SEPTIEMBRE!I104+OCTUBRE!I104+NOVIEMBRE!I104+DICIEMBRE!I104</f>
        <v>368367927.13999999</v>
      </c>
      <c r="J104" s="16">
        <f>ENERO!J104+FEBRERO!J104+MARZO!J104+ABRIL!J104+MAYO!J104+JUNIO!J104+JULIO!J104+AGOSTO!J104+SEPTIEMBRE!J104+OCTUBRE!J104+NOVIEMBRE!J104+DICIEMBRE!J104</f>
        <v>645754054.03999984</v>
      </c>
      <c r="K104" s="16">
        <f>ENERO!K104+FEBRERO!K104+MARZO!K104+ABRIL!K104+MAYO!K104+JUNIO!K104+JULIO!K104+AGOSTO!K104+SEPTIEMBRE!K104+OCTUBRE!K104+NOVIEMBRE!K104+DICIEMBRE!K104</f>
        <v>0</v>
      </c>
      <c r="L104" s="16">
        <f>ENERO!L104+FEBRERO!L104+MARZO!L104+ABRIL!L104+MAYO!L104+JUNIO!L104+JULIO!L104+AGOSTO!L104+SEPTIEMBRE!L104+OCTUBRE!L104+NOVIEMBRE!L104+DICIEMBRE!L104</f>
        <v>0</v>
      </c>
      <c r="M104" s="16">
        <f>ENERO!M104+FEBRERO!M104+MARZO!M104+ABRIL!M104+MAYO!M104+JUNIO!M104+JULIO!M104+AGOSTO!M104+SEPTIEMBRE!M104+OCTUBRE!M104+NOVIEMBRE!M104+DICIEMBRE!M104</f>
        <v>49400.800000000003</v>
      </c>
      <c r="N104" s="18">
        <f t="shared" ref="N104:N135" si="3">SUM(B104:M104)</f>
        <v>10028857498.614189</v>
      </c>
      <c r="O104" s="4"/>
    </row>
    <row r="105" spans="1:15" ht="18" customHeight="1" x14ac:dyDescent="0.2">
      <c r="A105" s="17" t="s">
        <v>100</v>
      </c>
      <c r="B105" s="16">
        <f>ENERO!B105+FEBRERO!B105+MARZO!B105+ABRIL!B105+MAYO!B105+JUNIO!B105+JULIO!B105+AGOSTO!B105+SEPTIEMBRE!B105+OCTUBRE!B105+NOVIEMBRE!B105+DICIEMBRE!B105</f>
        <v>1407963457.98</v>
      </c>
      <c r="C105" s="16">
        <f>ENERO!C105+FEBRERO!C105+MARZO!C105+ABRIL!C105+MAYO!C105+JUNIO!C105+JULIO!C105+AGOSTO!C105+SEPTIEMBRE!C105+OCTUBRE!C105+NOVIEMBRE!C105+DICIEMBRE!C105</f>
        <v>95687.27</v>
      </c>
      <c r="D105" s="16">
        <f>ENERO!D105+FEBRERO!D105+MARZO!D105+ABRIL!D105+MAYO!D105+JUNIO!D105+JULIO!D105+AGOSTO!D105+SEPTIEMBRE!D105+OCTUBRE!D105+NOVIEMBRE!D105+DICIEMBRE!D105</f>
        <v>17846733.18</v>
      </c>
      <c r="E105" s="16">
        <f>ENERO!E105+FEBRERO!E105+MARZO!E105+ABRIL!E105+MAYO!E105+JUNIO!E105+JULIO!E105+AGOSTO!E105+SEPTIEMBRE!E105+OCTUBRE!E105+NOVIEMBRE!E105+DICIEMBRE!E105</f>
        <v>16617887.026693128</v>
      </c>
      <c r="F105" s="16">
        <f>ENERO!F105+FEBRERO!F105+MARZO!F105+ABRIL!F105+MAYO!F105+JUNIO!F105+JULIO!F105+AGOSTO!F105+SEPTIEMBRE!F105+OCTUBRE!F105+NOVIEMBRE!F105+DICIEMBRE!F105</f>
        <v>6823436.9321745476</v>
      </c>
      <c r="G105" s="16">
        <f>ENERO!G105+FEBRERO!G105+MARZO!G105+ABRIL!G105+MAYO!G105+JUNIO!G105+JULIO!G105+AGOSTO!G105+SEPTIEMBRE!G105+OCTUBRE!G105+NOVIEMBRE!G105+DICIEMBRE!G105</f>
        <v>3786859.66</v>
      </c>
      <c r="H105" s="16">
        <f>ENERO!H105+FEBRERO!H105+MARZO!H105+ABRIL!H105+MAYO!H105+JUNIO!H105+JULIO!H105+AGOSTO!H105+SEPTIEMBRE!H105+OCTUBRE!H105+NOVIEMBRE!H105+DICIEMBRE!H105</f>
        <v>73113647.719999999</v>
      </c>
      <c r="I105" s="16">
        <f>ENERO!I105+FEBRERO!I105+MARZO!I105+ABRIL!I105+MAYO!I105+JUNIO!I105+JULIO!I105+AGOSTO!I105+SEPTIEMBRE!I105+OCTUBRE!I105+NOVIEMBRE!I105+DICIEMBRE!I105</f>
        <v>15875453.779999999</v>
      </c>
      <c r="J105" s="16">
        <f>ENERO!J105+FEBRERO!J105+MARZO!J105+ABRIL!J105+MAYO!J105+JUNIO!J105+JULIO!J105+AGOSTO!J105+SEPTIEMBRE!J105+OCTUBRE!J105+NOVIEMBRE!J105+DICIEMBRE!J105</f>
        <v>81946865.120000005</v>
      </c>
      <c r="K105" s="16">
        <f>ENERO!K105+FEBRERO!K105+MARZO!K105+ABRIL!K105+MAYO!K105+JUNIO!K105+JULIO!K105+AGOSTO!K105+SEPTIEMBRE!K105+OCTUBRE!K105+NOVIEMBRE!K105+DICIEMBRE!K105</f>
        <v>0</v>
      </c>
      <c r="L105" s="16">
        <f>ENERO!L105+FEBRERO!L105+MARZO!L105+ABRIL!L105+MAYO!L105+JUNIO!L105+JULIO!L105+AGOSTO!L105+SEPTIEMBRE!L105+OCTUBRE!L105+NOVIEMBRE!L105+DICIEMBRE!L105</f>
        <v>0</v>
      </c>
      <c r="M105" s="16">
        <f>ENERO!M105+FEBRERO!M105+MARZO!M105+ABRIL!M105+MAYO!M105+JUNIO!M105+JULIO!M105+AGOSTO!M105+SEPTIEMBRE!M105+OCTUBRE!M105+NOVIEMBRE!M105+DICIEMBRE!M105</f>
        <v>2128.8700000000003</v>
      </c>
      <c r="N105" s="18">
        <f t="shared" si="3"/>
        <v>1624072157.5388675</v>
      </c>
      <c r="O105" s="4"/>
    </row>
    <row r="106" spans="1:15" ht="18" customHeight="1" x14ac:dyDescent="0.2">
      <c r="A106" s="17" t="s">
        <v>101</v>
      </c>
      <c r="B106" s="16">
        <f>ENERO!B106+FEBRERO!B106+MARZO!B106+ABRIL!B106+MAYO!B106+JUNIO!B106+JULIO!B106+AGOSTO!B106+SEPTIEMBRE!B106+OCTUBRE!B106+NOVIEMBRE!B106+DICIEMBRE!B106</f>
        <v>1520257616.4800003</v>
      </c>
      <c r="C106" s="16">
        <f>ENERO!C106+FEBRERO!C106+MARZO!C106+ABRIL!C106+MAYO!C106+JUNIO!C106+JULIO!C106+AGOSTO!C106+SEPTIEMBRE!C106+OCTUBRE!C106+NOVIEMBRE!C106+DICIEMBRE!C106</f>
        <v>109317.47</v>
      </c>
      <c r="D106" s="16">
        <f>ENERO!D106+FEBRERO!D106+MARZO!D106+ABRIL!D106+MAYO!D106+JUNIO!D106+JULIO!D106+AGOSTO!D106+SEPTIEMBRE!D106+OCTUBRE!D106+NOVIEMBRE!D106+DICIEMBRE!D106</f>
        <v>12135341.779999997</v>
      </c>
      <c r="E106" s="16">
        <f>ENERO!E106+FEBRERO!E106+MARZO!E106+ABRIL!E106+MAYO!E106+JUNIO!E106+JULIO!E106+AGOSTO!E106+SEPTIEMBRE!E106+OCTUBRE!E106+NOVIEMBRE!E106+DICIEMBRE!E106</f>
        <v>16485527.901907833</v>
      </c>
      <c r="F106" s="16">
        <f>ENERO!F106+FEBRERO!F106+MARZO!F106+ABRIL!F106+MAYO!F106+JUNIO!F106+JULIO!F106+AGOSTO!F106+SEPTIEMBRE!F106+OCTUBRE!F106+NOVIEMBRE!F106+DICIEMBRE!F106</f>
        <v>48348368.434504144</v>
      </c>
      <c r="G106" s="16">
        <f>ENERO!G106+FEBRERO!G106+MARZO!G106+ABRIL!G106+MAYO!G106+JUNIO!G106+JULIO!G106+AGOSTO!G106+SEPTIEMBRE!G106+OCTUBRE!G106+NOVIEMBRE!G106+DICIEMBRE!G106</f>
        <v>12517024.122064579</v>
      </c>
      <c r="H106" s="16">
        <f>ENERO!H106+FEBRERO!H106+MARZO!H106+ABRIL!H106+MAYO!H106+JUNIO!H106+JULIO!H106+AGOSTO!H106+SEPTIEMBRE!H106+OCTUBRE!H106+NOVIEMBRE!H106+DICIEMBRE!H106</f>
        <v>79222830.349999994</v>
      </c>
      <c r="I106" s="16">
        <f>ENERO!I106+FEBRERO!I106+MARZO!I106+ABRIL!I106+MAYO!I106+JUNIO!I106+JULIO!I106+AGOSTO!I106+SEPTIEMBRE!I106+OCTUBRE!I106+NOVIEMBRE!I106+DICIEMBRE!I106</f>
        <v>112487634.93999998</v>
      </c>
      <c r="J106" s="16">
        <f>ENERO!J106+FEBRERO!J106+MARZO!J106+ABRIL!J106+MAYO!J106+JUNIO!J106+JULIO!J106+AGOSTO!J106+SEPTIEMBRE!J106+OCTUBRE!J106+NOVIEMBRE!J106+DICIEMBRE!J106</f>
        <v>214459598.76000011</v>
      </c>
      <c r="K106" s="16">
        <f>ENERO!K106+FEBRERO!K106+MARZO!K106+ABRIL!K106+MAYO!K106+JUNIO!K106+JULIO!K106+AGOSTO!K106+SEPTIEMBRE!K106+OCTUBRE!K106+NOVIEMBRE!K106+DICIEMBRE!K106</f>
        <v>0</v>
      </c>
      <c r="L106" s="16">
        <f>ENERO!L106+FEBRERO!L106+MARZO!L106+ABRIL!L106+MAYO!L106+JUNIO!L106+JULIO!L106+AGOSTO!L106+SEPTIEMBRE!L106+OCTUBRE!L106+NOVIEMBRE!L106+DICIEMBRE!L106</f>
        <v>0</v>
      </c>
      <c r="M106" s="16">
        <f>ENERO!M106+FEBRERO!M106+MARZO!M106+ABRIL!M106+MAYO!M106+JUNIO!M106+JULIO!M106+AGOSTO!M106+SEPTIEMBRE!M106+OCTUBRE!M106+NOVIEMBRE!M106+DICIEMBRE!M106</f>
        <v>15085.260000000002</v>
      </c>
      <c r="N106" s="18">
        <f t="shared" si="3"/>
        <v>2016038345.4984767</v>
      </c>
      <c r="O106" s="4"/>
    </row>
    <row r="107" spans="1:15" ht="18" customHeight="1" x14ac:dyDescent="0.2">
      <c r="A107" s="17" t="s">
        <v>102</v>
      </c>
      <c r="B107" s="16">
        <f>ENERO!B107+FEBRERO!B107+MARZO!B107+ABRIL!B107+MAYO!B107+JUNIO!B107+JULIO!B107+AGOSTO!B107+SEPTIEMBRE!B107+OCTUBRE!B107+NOVIEMBRE!B107+DICIEMBRE!B107</f>
        <v>2125554270.74</v>
      </c>
      <c r="C107" s="16">
        <f>ENERO!C107+FEBRERO!C107+MARZO!C107+ABRIL!C107+MAYO!C107+JUNIO!C107+JULIO!C107+AGOSTO!C107+SEPTIEMBRE!C107+OCTUBRE!C107+NOVIEMBRE!C107+DICIEMBRE!C107</f>
        <v>149361.10999999999</v>
      </c>
      <c r="D107" s="16">
        <f>ENERO!D107+FEBRERO!D107+MARZO!D107+ABRIL!D107+MAYO!D107+JUNIO!D107+JULIO!D107+AGOSTO!D107+SEPTIEMBRE!D107+OCTUBRE!D107+NOVIEMBRE!D107+DICIEMBRE!D107</f>
        <v>93479155.119445473</v>
      </c>
      <c r="E107" s="16">
        <f>ENERO!E107+FEBRERO!E107+MARZO!E107+ABRIL!E107+MAYO!E107+JUNIO!E107+JULIO!E107+AGOSTO!E107+SEPTIEMBRE!E107+OCTUBRE!E107+NOVIEMBRE!E107+DICIEMBRE!E107</f>
        <v>22543412.290897608</v>
      </c>
      <c r="F107" s="16">
        <f>ENERO!F107+FEBRERO!F107+MARZO!F107+ABRIL!F107+MAYO!F107+JUNIO!F107+JULIO!F107+AGOSTO!F107+SEPTIEMBRE!F107+OCTUBRE!F107+NOVIEMBRE!F107+DICIEMBRE!F107</f>
        <v>2687823.8366986322</v>
      </c>
      <c r="G107" s="16">
        <f>ENERO!G107+FEBRERO!G107+MARZO!G107+ABRIL!G107+MAYO!G107+JUNIO!G107+JULIO!G107+AGOSTO!G107+SEPTIEMBRE!G107+OCTUBRE!G107+NOVIEMBRE!G107+DICIEMBRE!G107</f>
        <v>2318017.12</v>
      </c>
      <c r="H107" s="16">
        <f>ENERO!H107+FEBRERO!H107+MARZO!H107+ABRIL!H107+MAYO!H107+JUNIO!H107+JULIO!H107+AGOSTO!H107+SEPTIEMBRE!H107+OCTUBRE!H107+NOVIEMBRE!H107+DICIEMBRE!H107</f>
        <v>110604424.74000001</v>
      </c>
      <c r="I107" s="16">
        <f>ENERO!I107+FEBRERO!I107+MARZO!I107+ABRIL!I107+MAYO!I107+JUNIO!I107+JULIO!I107+AGOSTO!I107+SEPTIEMBRE!I107+OCTUBRE!I107+NOVIEMBRE!I107+DICIEMBRE!I107</f>
        <v>6253508.9099999992</v>
      </c>
      <c r="J107" s="16">
        <f>ENERO!J107+FEBRERO!J107+MARZO!J107+ABRIL!J107+MAYO!J107+JUNIO!J107+JULIO!J107+AGOSTO!J107+SEPTIEMBRE!J107+OCTUBRE!J107+NOVIEMBRE!J107+DICIEMBRE!J107</f>
        <v>102235932.58999997</v>
      </c>
      <c r="K107" s="16">
        <f>ENERO!K107+FEBRERO!K107+MARZO!K107+ABRIL!K107+MAYO!K107+JUNIO!K107+JULIO!K107+AGOSTO!K107+SEPTIEMBRE!K107+OCTUBRE!K107+NOVIEMBRE!K107+DICIEMBRE!K107</f>
        <v>0</v>
      </c>
      <c r="L107" s="16">
        <f>ENERO!L107+FEBRERO!L107+MARZO!L107+ABRIL!L107+MAYO!L107+JUNIO!L107+JULIO!L107+AGOSTO!L107+SEPTIEMBRE!L107+OCTUBRE!L107+NOVIEMBRE!L107+DICIEMBRE!L107</f>
        <v>0</v>
      </c>
      <c r="M107" s="16">
        <f>ENERO!M107+FEBRERO!M107+MARZO!M107+ABRIL!M107+MAYO!M107+JUNIO!M107+JULIO!M107+AGOSTO!M107+SEPTIEMBRE!M107+OCTUBRE!M107+NOVIEMBRE!M107+DICIEMBRE!M107</f>
        <v>838.46</v>
      </c>
      <c r="N107" s="18">
        <f t="shared" si="3"/>
        <v>2465826744.9170408</v>
      </c>
      <c r="O107" s="4"/>
    </row>
    <row r="108" spans="1:15" ht="18" customHeight="1" x14ac:dyDescent="0.2">
      <c r="A108" s="17" t="s">
        <v>103</v>
      </c>
      <c r="B108" s="16">
        <f>ENERO!B108+FEBRERO!B108+MARZO!B108+ABRIL!B108+MAYO!B108+JUNIO!B108+JULIO!B108+AGOSTO!B108+SEPTIEMBRE!B108+OCTUBRE!B108+NOVIEMBRE!B108+DICIEMBRE!B108</f>
        <v>765414821.68999982</v>
      </c>
      <c r="C108" s="16">
        <f>ENERO!C108+FEBRERO!C108+MARZO!C108+ABRIL!C108+MAYO!C108+JUNIO!C108+JULIO!C108+AGOSTO!C108+SEPTIEMBRE!C108+OCTUBRE!C108+NOVIEMBRE!C108+DICIEMBRE!C108</f>
        <v>51903.45</v>
      </c>
      <c r="D108" s="16">
        <f>ENERO!D108+FEBRERO!D108+MARZO!D108+ABRIL!D108+MAYO!D108+JUNIO!D108+JULIO!D108+AGOSTO!D108+SEPTIEMBRE!D108+OCTUBRE!D108+NOVIEMBRE!D108+DICIEMBRE!D108</f>
        <v>39551172.463823721</v>
      </c>
      <c r="E108" s="16">
        <f>ENERO!E108+FEBRERO!E108+MARZO!E108+ABRIL!E108+MAYO!E108+JUNIO!E108+JULIO!E108+AGOSTO!E108+SEPTIEMBRE!E108+OCTUBRE!E108+NOVIEMBRE!E108+DICIEMBRE!E108</f>
        <v>8011015.7002121173</v>
      </c>
      <c r="F108" s="16">
        <f>ENERO!F108+FEBRERO!F108+MARZO!F108+ABRIL!F108+MAYO!F108+JUNIO!F108+JULIO!F108+AGOSTO!F108+SEPTIEMBRE!F108+OCTUBRE!F108+NOVIEMBRE!F108+DICIEMBRE!F108</f>
        <v>2726777.8199841199</v>
      </c>
      <c r="G108" s="16">
        <f>ENERO!G108+FEBRERO!G108+MARZO!G108+ABRIL!G108+MAYO!G108+JUNIO!G108+JULIO!G108+AGOSTO!G108+SEPTIEMBRE!G108+OCTUBRE!G108+NOVIEMBRE!G108+DICIEMBRE!G108</f>
        <v>1445891.8599999999</v>
      </c>
      <c r="H108" s="16">
        <f>ENERO!H108+FEBRERO!H108+MARZO!H108+ABRIL!H108+MAYO!H108+JUNIO!H108+JULIO!H108+AGOSTO!H108+SEPTIEMBRE!H108+OCTUBRE!H108+NOVIEMBRE!H108+DICIEMBRE!H108</f>
        <v>39741622.010000005</v>
      </c>
      <c r="I108" s="16">
        <f>ENERO!I108+FEBRERO!I108+MARZO!I108+ABRIL!I108+MAYO!I108+JUNIO!I108+JULIO!I108+AGOSTO!I108+SEPTIEMBRE!I108+OCTUBRE!I108+NOVIEMBRE!I108+DICIEMBRE!I108</f>
        <v>6344139.4699999988</v>
      </c>
      <c r="J108" s="16">
        <f>ENERO!J108+FEBRERO!J108+MARZO!J108+ABRIL!J108+MAYO!J108+JUNIO!J108+JULIO!J108+AGOSTO!J108+SEPTIEMBRE!J108+OCTUBRE!J108+NOVIEMBRE!J108+DICIEMBRE!J108</f>
        <v>55174149.399999991</v>
      </c>
      <c r="K108" s="16">
        <f>ENERO!K108+FEBRERO!K108+MARZO!K108+ABRIL!K108+MAYO!K108+JUNIO!K108+JULIO!K108+AGOSTO!K108+SEPTIEMBRE!K108+OCTUBRE!K108+NOVIEMBRE!K108+DICIEMBRE!K108</f>
        <v>0</v>
      </c>
      <c r="L108" s="16">
        <f>ENERO!L108+FEBRERO!L108+MARZO!L108+ABRIL!L108+MAYO!L108+JUNIO!L108+JULIO!L108+AGOSTO!L108+SEPTIEMBRE!L108+OCTUBRE!L108+NOVIEMBRE!L108+DICIEMBRE!L108</f>
        <v>0</v>
      </c>
      <c r="M108" s="16">
        <f>ENERO!M108+FEBRERO!M108+MARZO!M108+ABRIL!M108+MAYO!M108+JUNIO!M108+JULIO!M108+AGOSTO!M108+SEPTIEMBRE!M108+OCTUBRE!M108+NOVIEMBRE!M108+DICIEMBRE!M108</f>
        <v>850.59</v>
      </c>
      <c r="N108" s="18">
        <f t="shared" si="3"/>
        <v>918462344.45401978</v>
      </c>
      <c r="O108" s="4"/>
    </row>
    <row r="109" spans="1:15" ht="18" customHeight="1" x14ac:dyDescent="0.2">
      <c r="A109" s="17" t="s">
        <v>104</v>
      </c>
      <c r="B109" s="16">
        <f>ENERO!B109+FEBRERO!B109+MARZO!B109+ABRIL!B109+MAYO!B109+JUNIO!B109+JULIO!B109+AGOSTO!B109+SEPTIEMBRE!B109+OCTUBRE!B109+NOVIEMBRE!B109+DICIEMBRE!B109</f>
        <v>8134195183.0999994</v>
      </c>
      <c r="C109" s="16">
        <f>ENERO!C109+FEBRERO!C109+MARZO!C109+ABRIL!C109+MAYO!C109+JUNIO!C109+JULIO!C109+AGOSTO!C109+SEPTIEMBRE!C109+OCTUBRE!C109+NOVIEMBRE!C109+DICIEMBRE!C109</f>
        <v>570779.71000000008</v>
      </c>
      <c r="D109" s="16">
        <f>ENERO!D109+FEBRERO!D109+MARZO!D109+ABRIL!D109+MAYO!D109+JUNIO!D109+JULIO!D109+AGOSTO!D109+SEPTIEMBRE!D109+OCTUBRE!D109+NOVIEMBRE!D109+DICIEMBRE!D109</f>
        <v>84799614.216967434</v>
      </c>
      <c r="E109" s="16">
        <f>ENERO!E109+FEBRERO!E109+MARZO!E109+ABRIL!E109+MAYO!E109+JUNIO!E109+JULIO!E109+AGOSTO!E109+SEPTIEMBRE!E109+OCTUBRE!E109+NOVIEMBRE!E109+DICIEMBRE!E109</f>
        <v>118880796.87255493</v>
      </c>
      <c r="F109" s="16">
        <f>ENERO!F109+FEBRERO!F109+MARZO!F109+ABRIL!F109+MAYO!F109+JUNIO!F109+JULIO!F109+AGOSTO!F109+SEPTIEMBRE!F109+OCTUBRE!F109+NOVIEMBRE!F109+DICIEMBRE!F109</f>
        <v>278404019.98137861</v>
      </c>
      <c r="G109" s="16">
        <f>ENERO!G109+FEBRERO!G109+MARZO!G109+ABRIL!G109+MAYO!G109+JUNIO!G109+JULIO!G109+AGOSTO!G109+SEPTIEMBRE!G109+OCTUBRE!G109+NOVIEMBRE!G109+DICIEMBRE!G109</f>
        <v>140537993.9017626</v>
      </c>
      <c r="H109" s="16">
        <f>ENERO!H109+FEBRERO!H109+MARZO!H109+ABRIL!H109+MAYO!H109+JUNIO!H109+JULIO!H109+AGOSTO!H109+SEPTIEMBRE!H109+OCTUBRE!H109+NOVIEMBRE!H109+DICIEMBRE!H109</f>
        <v>423230214.47000009</v>
      </c>
      <c r="I109" s="16">
        <f>ENERO!I109+FEBRERO!I109+MARZO!I109+ABRIL!I109+MAYO!I109+JUNIO!I109+JULIO!I109+AGOSTO!I109+SEPTIEMBRE!I109+OCTUBRE!I109+NOVIEMBRE!I109+DICIEMBRE!I109</f>
        <v>647736640.45000005</v>
      </c>
      <c r="J109" s="16">
        <f>ENERO!J109+FEBRERO!J109+MARZO!J109+ABRIL!J109+MAYO!J109+JUNIO!J109+JULIO!J109+AGOSTO!J109+SEPTIEMBRE!J109+OCTUBRE!J109+NOVIEMBRE!J109+DICIEMBRE!J109</f>
        <v>1013427231.8400003</v>
      </c>
      <c r="K109" s="16">
        <f>ENERO!K109+FEBRERO!K109+MARZO!K109+ABRIL!K109+MAYO!K109+JUNIO!K109+JULIO!K109+AGOSTO!K109+SEPTIEMBRE!K109+OCTUBRE!K109+NOVIEMBRE!K109+DICIEMBRE!K109</f>
        <v>0</v>
      </c>
      <c r="L109" s="16">
        <f>ENERO!L109+FEBRERO!L109+MARZO!L109+ABRIL!L109+MAYO!L109+JUNIO!L109+JULIO!L109+AGOSTO!L109+SEPTIEMBRE!L109+OCTUBRE!L109+NOVIEMBRE!L109+DICIEMBRE!L109</f>
        <v>0</v>
      </c>
      <c r="M109" s="16">
        <f>ENERO!M109+FEBRERO!M109+MARZO!M109+ABRIL!M109+MAYO!M109+JUNIO!M109+JULIO!M109+AGOSTO!M109+SEPTIEMBRE!M109+OCTUBRE!M109+NOVIEMBRE!M109+DICIEMBRE!M109</f>
        <v>86866.389999999985</v>
      </c>
      <c r="N109" s="18">
        <f t="shared" si="3"/>
        <v>10841869340.932663</v>
      </c>
      <c r="O109" s="4"/>
    </row>
    <row r="110" spans="1:15" ht="18" customHeight="1" x14ac:dyDescent="0.2">
      <c r="A110" s="17" t="s">
        <v>105</v>
      </c>
      <c r="B110" s="16">
        <f>ENERO!B110+FEBRERO!B110+MARZO!B110+ABRIL!B110+MAYO!B110+JUNIO!B110+JULIO!B110+AGOSTO!B110+SEPTIEMBRE!B110+OCTUBRE!B110+NOVIEMBRE!B110+DICIEMBRE!B110</f>
        <v>909963276.28999984</v>
      </c>
      <c r="C110" s="16">
        <f>ENERO!C110+FEBRERO!C110+MARZO!C110+ABRIL!C110+MAYO!C110+JUNIO!C110+JULIO!C110+AGOSTO!C110+SEPTIEMBRE!C110+OCTUBRE!C110+NOVIEMBRE!C110+DICIEMBRE!C110</f>
        <v>66596.41</v>
      </c>
      <c r="D110" s="16">
        <f>ENERO!D110+FEBRERO!D110+MARZO!D110+ABRIL!D110+MAYO!D110+JUNIO!D110+JULIO!D110+AGOSTO!D110+SEPTIEMBRE!D110+OCTUBRE!D110+NOVIEMBRE!D110+DICIEMBRE!D110</f>
        <v>85473429.803537339</v>
      </c>
      <c r="E110" s="16">
        <f>ENERO!E110+FEBRERO!E110+MARZO!E110+ABRIL!E110+MAYO!E110+JUNIO!E110+JULIO!E110+AGOSTO!E110+SEPTIEMBRE!E110+OCTUBRE!E110+NOVIEMBRE!E110+DICIEMBRE!E110</f>
        <v>13578654.035416324</v>
      </c>
      <c r="F110" s="16">
        <f>ENERO!F110+FEBRERO!F110+MARZO!F110+ABRIL!F110+MAYO!F110+JUNIO!F110+JULIO!F110+AGOSTO!F110+SEPTIEMBRE!F110+OCTUBRE!F110+NOVIEMBRE!F110+DICIEMBRE!F110</f>
        <v>10640925.944152316</v>
      </c>
      <c r="G110" s="16">
        <f>ENERO!G110+FEBRERO!G110+MARZO!G110+ABRIL!G110+MAYO!G110+JUNIO!G110+JULIO!G110+AGOSTO!G110+SEPTIEMBRE!G110+OCTUBRE!G110+NOVIEMBRE!G110+DICIEMBRE!G110</f>
        <v>4842590.22</v>
      </c>
      <c r="H110" s="16">
        <f>ENERO!H110+FEBRERO!H110+MARZO!H110+ABRIL!H110+MAYO!H110+JUNIO!H110+JULIO!H110+AGOSTO!H110+SEPTIEMBRE!H110+OCTUBRE!H110+NOVIEMBRE!H110+DICIEMBRE!H110</f>
        <v>47473409.620000005</v>
      </c>
      <c r="I110" s="16">
        <f>ENERO!I110+FEBRERO!I110+MARZO!I110+ABRIL!I110+MAYO!I110+JUNIO!I110+JULIO!I110+AGOSTO!I110+SEPTIEMBRE!I110+OCTUBRE!I110+NOVIEMBRE!I110+DICIEMBRE!I110</f>
        <v>24757249.040000003</v>
      </c>
      <c r="J110" s="16">
        <f>ENERO!J110+FEBRERO!J110+MARZO!J110+ABRIL!J110+MAYO!J110+JUNIO!J110+JULIO!J110+AGOSTO!J110+SEPTIEMBRE!J110+OCTUBRE!J110+NOVIEMBRE!J110+DICIEMBRE!J110</f>
        <v>117146243.01999998</v>
      </c>
      <c r="K110" s="16">
        <f>ENERO!K110+FEBRERO!K110+MARZO!K110+ABRIL!K110+MAYO!K110+JUNIO!K110+JULIO!K110+AGOSTO!K110+SEPTIEMBRE!K110+OCTUBRE!K110+NOVIEMBRE!K110+DICIEMBRE!K110</f>
        <v>0</v>
      </c>
      <c r="L110" s="16">
        <f>ENERO!L110+FEBRERO!L110+MARZO!L110+ABRIL!L110+MAYO!L110+JUNIO!L110+JULIO!L110+AGOSTO!L110+SEPTIEMBRE!L110+OCTUBRE!L110+NOVIEMBRE!L110+DICIEMBRE!L110</f>
        <v>0</v>
      </c>
      <c r="M110" s="16">
        <f>ENERO!M110+FEBRERO!M110+MARZO!M110+ABRIL!M110+MAYO!M110+JUNIO!M110+JULIO!M110+AGOSTO!M110+SEPTIEMBRE!M110+OCTUBRE!M110+NOVIEMBRE!M110+DICIEMBRE!M110</f>
        <v>3319.9500000000003</v>
      </c>
      <c r="N110" s="18">
        <f t="shared" si="3"/>
        <v>1213945694.333106</v>
      </c>
      <c r="O110" s="4"/>
    </row>
    <row r="111" spans="1:15" ht="18" customHeight="1" x14ac:dyDescent="0.2">
      <c r="A111" s="17" t="s">
        <v>106</v>
      </c>
      <c r="B111" s="16">
        <f>ENERO!B111+FEBRERO!B111+MARZO!B111+ABRIL!B111+MAYO!B111+JUNIO!B111+JULIO!B111+AGOSTO!B111+SEPTIEMBRE!B111+OCTUBRE!B111+NOVIEMBRE!B111+DICIEMBRE!B111</f>
        <v>1101682197.6699998</v>
      </c>
      <c r="C111" s="16">
        <f>ENERO!C111+FEBRERO!C111+MARZO!C111+ABRIL!C111+MAYO!C111+JUNIO!C111+JULIO!C111+AGOSTO!C111+SEPTIEMBRE!C111+OCTUBRE!C111+NOVIEMBRE!C111+DICIEMBRE!C111</f>
        <v>81346.75</v>
      </c>
      <c r="D111" s="16">
        <f>ENERO!D111+FEBRERO!D111+MARZO!D111+ABRIL!D111+MAYO!D111+JUNIO!D111+JULIO!D111+AGOSTO!D111+SEPTIEMBRE!D111+OCTUBRE!D111+NOVIEMBRE!D111+DICIEMBRE!D111</f>
        <v>90368503.612783998</v>
      </c>
      <c r="E111" s="16">
        <f>ENERO!E111+FEBRERO!E111+MARZO!E111+ABRIL!E111+MAYO!E111+JUNIO!E111+JULIO!E111+AGOSTO!E111+SEPTIEMBRE!E111+OCTUBRE!E111+NOVIEMBRE!E111+DICIEMBRE!E111</f>
        <v>11842513.372100284</v>
      </c>
      <c r="F111" s="16">
        <f>ENERO!F111+FEBRERO!F111+MARZO!F111+ABRIL!F111+MAYO!F111+JUNIO!F111+JULIO!F111+AGOSTO!F111+SEPTIEMBRE!F111+OCTUBRE!F111+NOVIEMBRE!F111+DICIEMBRE!F111</f>
        <v>3707119.3693355536</v>
      </c>
      <c r="G111" s="16">
        <f>ENERO!G111+FEBRERO!G111+MARZO!G111+ABRIL!G111+MAYO!G111+JUNIO!G111+JULIO!G111+AGOSTO!G111+SEPTIEMBRE!G111+OCTUBRE!G111+NOVIEMBRE!G111+DICIEMBRE!G111</f>
        <v>2226214.48</v>
      </c>
      <c r="H111" s="16">
        <f>ENERO!H111+FEBRERO!H111+MARZO!H111+ABRIL!H111+MAYO!H111+JUNIO!H111+JULIO!H111+AGOSTO!H111+SEPTIEMBRE!H111+OCTUBRE!H111+NOVIEMBRE!H111+DICIEMBRE!H111</f>
        <v>57508837.530000001</v>
      </c>
      <c r="I111" s="16">
        <f>ENERO!I111+FEBRERO!I111+MARZO!I111+ABRIL!I111+MAYO!I111+JUNIO!I111+JULIO!I111+AGOSTO!I111+SEPTIEMBRE!I111+OCTUBRE!I111+NOVIEMBRE!I111+DICIEMBRE!I111</f>
        <v>8625008.660000002</v>
      </c>
      <c r="J111" s="16">
        <f>ENERO!J111+FEBRERO!J111+MARZO!J111+ABRIL!J111+MAYO!J111+JUNIO!J111+JULIO!J111+AGOSTO!J111+SEPTIEMBRE!J111+OCTUBRE!J111+NOVIEMBRE!J111+DICIEMBRE!J111</f>
        <v>90822768.959999993</v>
      </c>
      <c r="K111" s="16">
        <f>ENERO!K111+FEBRERO!K111+MARZO!K111+ABRIL!K111+MAYO!K111+JUNIO!K111+JULIO!K111+AGOSTO!K111+SEPTIEMBRE!K111+OCTUBRE!K111+NOVIEMBRE!K111+DICIEMBRE!K111</f>
        <v>0</v>
      </c>
      <c r="L111" s="16">
        <f>ENERO!L111+FEBRERO!L111+MARZO!L111+ABRIL!L111+MAYO!L111+JUNIO!L111+JULIO!L111+AGOSTO!L111+SEPTIEMBRE!L111+OCTUBRE!L111+NOVIEMBRE!L111+DICIEMBRE!L111</f>
        <v>0</v>
      </c>
      <c r="M111" s="16">
        <f>ENERO!M111+FEBRERO!M111+MARZO!M111+ABRIL!M111+MAYO!M111+JUNIO!M111+JULIO!M111+AGOSTO!M111+SEPTIEMBRE!M111+OCTUBRE!M111+NOVIEMBRE!M111+DICIEMBRE!M111</f>
        <v>1156.4800000000002</v>
      </c>
      <c r="N111" s="18">
        <f t="shared" si="3"/>
        <v>1366865666.8842199</v>
      </c>
      <c r="O111" s="4"/>
    </row>
    <row r="112" spans="1:15" ht="18" customHeight="1" x14ac:dyDescent="0.2">
      <c r="A112" s="17" t="s">
        <v>107</v>
      </c>
      <c r="B112" s="16">
        <f>ENERO!B112+FEBRERO!B112+MARZO!B112+ABRIL!B112+MAYO!B112+JUNIO!B112+JULIO!B112+AGOSTO!B112+SEPTIEMBRE!B112+OCTUBRE!B112+NOVIEMBRE!B112+DICIEMBRE!B112</f>
        <v>1537172861.21</v>
      </c>
      <c r="C112" s="16">
        <f>ENERO!C112+FEBRERO!C112+MARZO!C112+ABRIL!C112+MAYO!C112+JUNIO!C112+JULIO!C112+AGOSTO!C112+SEPTIEMBRE!C112+OCTUBRE!C112+NOVIEMBRE!C112+DICIEMBRE!C112</f>
        <v>108915.86</v>
      </c>
      <c r="D112" s="16">
        <f>ENERO!D112+FEBRERO!D112+MARZO!D112+ABRIL!D112+MAYO!D112+JUNIO!D112+JULIO!D112+AGOSTO!D112+SEPTIEMBRE!D112+OCTUBRE!D112+NOVIEMBRE!D112+DICIEMBRE!D112</f>
        <v>153754899.76036957</v>
      </c>
      <c r="E112" s="16">
        <f>ENERO!E112+FEBRERO!E112+MARZO!E112+ABRIL!E112+MAYO!E112+JUNIO!E112+JULIO!E112+AGOSTO!E112+SEPTIEMBRE!E112+OCTUBRE!E112+NOVIEMBRE!E112+DICIEMBRE!E112</f>
        <v>16379093.231089013</v>
      </c>
      <c r="F112" s="16">
        <f>ENERO!F112+FEBRERO!F112+MARZO!F112+ABRIL!F112+MAYO!F112+JUNIO!F112+JULIO!F112+AGOSTO!F112+SEPTIEMBRE!F112+OCTUBRE!F112+NOVIEMBRE!F112+DICIEMBRE!F112</f>
        <v>4505675.7566880453</v>
      </c>
      <c r="G112" s="16">
        <f>ENERO!G112+FEBRERO!G112+MARZO!G112+ABRIL!G112+MAYO!G112+JUNIO!G112+JULIO!G112+AGOSTO!G112+SEPTIEMBRE!G112+OCTUBRE!G112+NOVIEMBRE!G112+DICIEMBRE!G112</f>
        <v>2524573.11</v>
      </c>
      <c r="H112" s="16">
        <f>ENERO!H112+FEBRERO!H112+MARZO!H112+ABRIL!H112+MAYO!H112+JUNIO!H112+JULIO!H112+AGOSTO!H112+SEPTIEMBRE!H112+OCTUBRE!H112+NOVIEMBRE!H112+DICIEMBRE!H112</f>
        <v>80029352.709999993</v>
      </c>
      <c r="I112" s="16">
        <f>ENERO!I112+FEBRERO!I112+MARZO!I112+ABRIL!I112+MAYO!I112+JUNIO!I112+JULIO!I112+AGOSTO!I112+SEPTIEMBRE!I112+OCTUBRE!I112+NOVIEMBRE!I112+DICIEMBRE!I112</f>
        <v>10482935.24</v>
      </c>
      <c r="J112" s="16">
        <f>ENERO!J112+FEBRERO!J112+MARZO!J112+ABRIL!J112+MAYO!J112+JUNIO!J112+JULIO!J112+AGOSTO!J112+SEPTIEMBRE!J112+OCTUBRE!J112+NOVIEMBRE!J112+DICIEMBRE!J112</f>
        <v>94964462.780000001</v>
      </c>
      <c r="K112" s="16">
        <f>ENERO!K112+FEBRERO!K112+MARZO!K112+ABRIL!K112+MAYO!K112+JUNIO!K112+JULIO!K112+AGOSTO!K112+SEPTIEMBRE!K112+OCTUBRE!K112+NOVIEMBRE!K112+DICIEMBRE!K112</f>
        <v>0</v>
      </c>
      <c r="L112" s="16">
        <f>ENERO!L112+FEBRERO!L112+MARZO!L112+ABRIL!L112+MAYO!L112+JUNIO!L112+JULIO!L112+AGOSTO!L112+SEPTIEMBRE!L112+OCTUBRE!L112+NOVIEMBRE!L112+DICIEMBRE!L112</f>
        <v>0</v>
      </c>
      <c r="M112" s="16">
        <f>ENERO!M112+FEBRERO!M112+MARZO!M112+ABRIL!M112+MAYO!M112+JUNIO!M112+JULIO!M112+AGOSTO!M112+SEPTIEMBRE!M112+OCTUBRE!M112+NOVIEMBRE!M112+DICIEMBRE!M112</f>
        <v>1405.6300000000003</v>
      </c>
      <c r="N112" s="18">
        <f t="shared" si="3"/>
        <v>1899924175.2881467</v>
      </c>
      <c r="O112" s="4"/>
    </row>
    <row r="113" spans="1:15" ht="18" customHeight="1" x14ac:dyDescent="0.2">
      <c r="A113" s="17" t="s">
        <v>108</v>
      </c>
      <c r="B113" s="16">
        <f>ENERO!B113+FEBRERO!B113+MARZO!B113+ABRIL!B113+MAYO!B113+JUNIO!B113+JULIO!B113+AGOSTO!B113+SEPTIEMBRE!B113+OCTUBRE!B113+NOVIEMBRE!B113+DICIEMBRE!B113</f>
        <v>1182375603.55</v>
      </c>
      <c r="C113" s="16">
        <f>ENERO!C113+FEBRERO!C113+MARZO!C113+ABRIL!C113+MAYO!C113+JUNIO!C113+JULIO!C113+AGOSTO!C113+SEPTIEMBRE!C113+OCTUBRE!C113+NOVIEMBRE!C113+DICIEMBRE!C113</f>
        <v>87114.11</v>
      </c>
      <c r="D113" s="16">
        <f>ENERO!D113+FEBRERO!D113+MARZO!D113+ABRIL!D113+MAYO!D113+JUNIO!D113+JULIO!D113+AGOSTO!D113+SEPTIEMBRE!D113+OCTUBRE!D113+NOVIEMBRE!D113+DICIEMBRE!D113</f>
        <v>202844588.58875996</v>
      </c>
      <c r="E113" s="16">
        <f>ENERO!E113+FEBRERO!E113+MARZO!E113+ABRIL!E113+MAYO!E113+JUNIO!E113+JULIO!E113+AGOSTO!E113+SEPTIEMBRE!E113+OCTUBRE!E113+NOVIEMBRE!E113+DICIEMBRE!E113</f>
        <v>12882539.218035975</v>
      </c>
      <c r="F113" s="16">
        <f>ENERO!F113+FEBRERO!F113+MARZO!F113+ABRIL!F113+MAYO!F113+JUNIO!F113+JULIO!F113+AGOSTO!F113+SEPTIEMBRE!F113+OCTUBRE!F113+NOVIEMBRE!F113+DICIEMBRE!F113</f>
        <v>6349496.98553445</v>
      </c>
      <c r="G113" s="16">
        <f>ENERO!G113+FEBRERO!G113+MARZO!G113+ABRIL!G113+MAYO!G113+JUNIO!G113+JULIO!G113+AGOSTO!G113+SEPTIEMBRE!G113+OCTUBRE!G113+NOVIEMBRE!G113+DICIEMBRE!G113</f>
        <v>3442599.6799999997</v>
      </c>
      <c r="H113" s="16">
        <f>ENERO!H113+FEBRERO!H113+MARZO!H113+ABRIL!H113+MAYO!H113+JUNIO!H113+JULIO!H113+AGOSTO!H113+SEPTIEMBRE!H113+OCTUBRE!H113+NOVIEMBRE!H113+DICIEMBRE!H113</f>
        <v>61712262.750000007</v>
      </c>
      <c r="I113" s="16">
        <f>ENERO!I113+FEBRERO!I113+MARZO!I113+ABRIL!I113+MAYO!I113+JUNIO!I113+JULIO!I113+AGOSTO!I113+SEPTIEMBRE!I113+OCTUBRE!I113+NOVIEMBRE!I113+DICIEMBRE!I113</f>
        <v>14772781.93</v>
      </c>
      <c r="J113" s="16">
        <f>ENERO!J113+FEBRERO!J113+MARZO!J113+ABRIL!J113+MAYO!J113+JUNIO!J113+JULIO!J113+AGOSTO!J113+SEPTIEMBRE!J113+OCTUBRE!J113+NOVIEMBRE!J113+DICIEMBRE!J113</f>
        <v>94722324.00000003</v>
      </c>
      <c r="K113" s="16">
        <f>ENERO!K113+FEBRERO!K113+MARZO!K113+ABRIL!K113+MAYO!K113+JUNIO!K113+JULIO!K113+AGOSTO!K113+SEPTIEMBRE!K113+OCTUBRE!K113+NOVIEMBRE!K113+DICIEMBRE!K113</f>
        <v>0</v>
      </c>
      <c r="L113" s="16">
        <f>ENERO!L113+FEBRERO!L113+MARZO!L113+ABRIL!L113+MAYO!L113+JUNIO!L113+JULIO!L113+AGOSTO!L113+SEPTIEMBRE!L113+OCTUBRE!L113+NOVIEMBRE!L113+DICIEMBRE!L113</f>
        <v>0</v>
      </c>
      <c r="M113" s="16">
        <f>ENERO!M113+FEBRERO!M113+MARZO!M113+ABRIL!M113+MAYO!M113+JUNIO!M113+JULIO!M113+AGOSTO!M113+SEPTIEMBRE!M113+OCTUBRE!M113+NOVIEMBRE!M113+DICIEMBRE!M113</f>
        <v>1980.98</v>
      </c>
      <c r="N113" s="18">
        <f t="shared" si="3"/>
        <v>1579191291.7923303</v>
      </c>
      <c r="O113" s="4"/>
    </row>
    <row r="114" spans="1:15" ht="18" customHeight="1" x14ac:dyDescent="0.2">
      <c r="A114" s="17" t="s">
        <v>109</v>
      </c>
      <c r="B114" s="16">
        <f>ENERO!B114+FEBRERO!B114+MARZO!B114+ABRIL!B114+MAYO!B114+JUNIO!B114+JULIO!B114+AGOSTO!B114+SEPTIEMBRE!B114+OCTUBRE!B114+NOVIEMBRE!B114+DICIEMBRE!B114</f>
        <v>804627434.35000014</v>
      </c>
      <c r="C114" s="16">
        <f>ENERO!C114+FEBRERO!C114+MARZO!C114+ABRIL!C114+MAYO!C114+JUNIO!C114+JULIO!C114+AGOSTO!C114+SEPTIEMBRE!C114+OCTUBRE!C114+NOVIEMBRE!C114+DICIEMBRE!C114</f>
        <v>58449.45</v>
      </c>
      <c r="D114" s="16">
        <f>ENERO!D114+FEBRERO!D114+MARZO!D114+ABRIL!D114+MAYO!D114+JUNIO!D114+JULIO!D114+AGOSTO!D114+SEPTIEMBRE!D114+OCTUBRE!D114+NOVIEMBRE!D114+DICIEMBRE!D114</f>
        <v>65367930.110949174</v>
      </c>
      <c r="E114" s="16">
        <f>ENERO!E114+FEBRERO!E114+MARZO!E114+ABRIL!E114+MAYO!E114+JUNIO!E114+JULIO!E114+AGOSTO!E114+SEPTIEMBRE!E114+OCTUBRE!E114+NOVIEMBRE!E114+DICIEMBRE!E114</f>
        <v>8626977.7242987454</v>
      </c>
      <c r="F114" s="16">
        <f>ENERO!F114+FEBRERO!F114+MARZO!F114+ABRIL!F114+MAYO!F114+JUNIO!F114+JULIO!F114+AGOSTO!F114+SEPTIEMBRE!F114+OCTUBRE!F114+NOVIEMBRE!F114+DICIEMBRE!F114</f>
        <v>3843458.2808347582</v>
      </c>
      <c r="G114" s="16">
        <f>ENERO!G114+FEBRERO!G114+MARZO!G114+ABRIL!G114+MAYO!G114+JUNIO!G114+JULIO!G114+AGOSTO!G114+SEPTIEMBRE!G114+OCTUBRE!G114+NOVIEMBRE!G114+DICIEMBRE!G114</f>
        <v>1836053.1699999997</v>
      </c>
      <c r="H114" s="16">
        <f>ENERO!H114+FEBRERO!H114+MARZO!H114+ABRIL!H114+MAYO!H114+JUNIO!H114+JULIO!H114+AGOSTO!H114+SEPTIEMBRE!H114+OCTUBRE!H114+NOVIEMBRE!H114+DICIEMBRE!H114</f>
        <v>41957680.430000007</v>
      </c>
      <c r="I114" s="16">
        <f>ENERO!I114+FEBRERO!I114+MARZO!I114+ABRIL!I114+MAYO!I114+JUNIO!I114+JULIO!I114+AGOSTO!I114+SEPTIEMBRE!I114+OCTUBRE!I114+NOVIEMBRE!I114+DICIEMBRE!I114</f>
        <v>8942215.6400000006</v>
      </c>
      <c r="J114" s="16">
        <f>ENERO!J114+FEBRERO!J114+MARZO!J114+ABRIL!J114+MAYO!J114+JUNIO!J114+JULIO!J114+AGOSTO!J114+SEPTIEMBRE!J114+OCTUBRE!J114+NOVIEMBRE!J114+DICIEMBRE!J114</f>
        <v>70118108.629999995</v>
      </c>
      <c r="K114" s="16">
        <f>ENERO!K114+FEBRERO!K114+MARZO!K114+ABRIL!K114+MAYO!K114+JUNIO!K114+JULIO!K114+AGOSTO!K114+SEPTIEMBRE!K114+OCTUBRE!K114+NOVIEMBRE!K114+DICIEMBRE!K114</f>
        <v>0</v>
      </c>
      <c r="L114" s="16">
        <f>ENERO!L114+FEBRERO!L114+MARZO!L114+ABRIL!L114+MAYO!L114+JUNIO!L114+JULIO!L114+AGOSTO!L114+SEPTIEMBRE!L114+OCTUBRE!L114+NOVIEMBRE!L114+DICIEMBRE!L114</f>
        <v>0</v>
      </c>
      <c r="M114" s="16">
        <f>ENERO!M114+FEBRERO!M114+MARZO!M114+ABRIL!M114+MAYO!M114+JUNIO!M114+JULIO!M114+AGOSTO!M114+SEPTIEMBRE!M114+OCTUBRE!M114+NOVIEMBRE!M114+DICIEMBRE!M114</f>
        <v>1198.9899999999998</v>
      </c>
      <c r="N114" s="18">
        <f t="shared" si="3"/>
        <v>1005379506.7760828</v>
      </c>
      <c r="O114" s="4"/>
    </row>
    <row r="115" spans="1:15" ht="18" customHeight="1" x14ac:dyDescent="0.2">
      <c r="A115" s="17" t="s">
        <v>110</v>
      </c>
      <c r="B115" s="16">
        <f>ENERO!B115+FEBRERO!B115+MARZO!B115+ABRIL!B115+MAYO!B115+JUNIO!B115+JULIO!B115+AGOSTO!B115+SEPTIEMBRE!B115+OCTUBRE!B115+NOVIEMBRE!B115+DICIEMBRE!B115</f>
        <v>2117019760.97</v>
      </c>
      <c r="C115" s="16">
        <f>ENERO!C115+FEBRERO!C115+MARZO!C115+ABRIL!C115+MAYO!C115+JUNIO!C115+JULIO!C115+AGOSTO!C115+SEPTIEMBRE!C115+OCTUBRE!C115+NOVIEMBRE!C115+DICIEMBRE!C115</f>
        <v>156603.78</v>
      </c>
      <c r="D115" s="16">
        <f>ENERO!D115+FEBRERO!D115+MARZO!D115+ABRIL!D115+MAYO!D115+JUNIO!D115+JULIO!D115+AGOSTO!D115+SEPTIEMBRE!D115+OCTUBRE!D115+NOVIEMBRE!D115+DICIEMBRE!D115</f>
        <v>61383555.675375432</v>
      </c>
      <c r="E115" s="16">
        <f>ENERO!E115+FEBRERO!E115+MARZO!E115+ABRIL!E115+MAYO!E115+JUNIO!E115+JULIO!E115+AGOSTO!E115+SEPTIEMBRE!E115+OCTUBRE!E115+NOVIEMBRE!E115+DICIEMBRE!E115</f>
        <v>22785888.945756346</v>
      </c>
      <c r="F115" s="16">
        <f>ENERO!F115+FEBRERO!F115+MARZO!F115+ABRIL!F115+MAYO!F115+JUNIO!F115+JULIO!F115+AGOSTO!F115+SEPTIEMBRE!F115+OCTUBRE!F115+NOVIEMBRE!F115+DICIEMBRE!F115</f>
        <v>3979797.1623339653</v>
      </c>
      <c r="G115" s="16">
        <f>ENERO!G115+FEBRERO!G115+MARZO!G115+ABRIL!G115+MAYO!G115+JUNIO!G115+JULIO!G115+AGOSTO!G115+SEPTIEMBRE!G115+OCTUBRE!G115+NOVIEMBRE!G115+DICIEMBRE!G115</f>
        <v>3052438.4</v>
      </c>
      <c r="H115" s="16">
        <f>ENERO!H115+FEBRERO!H115+MARZO!H115+ABRIL!H115+MAYO!H115+JUNIO!H115+JULIO!H115+AGOSTO!H115+SEPTIEMBRE!H115+OCTUBRE!H115+NOVIEMBRE!H115+DICIEMBRE!H115</f>
        <v>110523646.81000002</v>
      </c>
      <c r="I115" s="16">
        <f>ENERO!I115+FEBRERO!I115+MARZO!I115+ABRIL!I115+MAYO!I115+JUNIO!I115+JULIO!I115+AGOSTO!I115+SEPTIEMBRE!I115+OCTUBRE!I115+NOVIEMBRE!I115+DICIEMBRE!I115</f>
        <v>9259422.5999999996</v>
      </c>
      <c r="J115" s="16">
        <f>ENERO!J115+FEBRERO!J115+MARZO!J115+ABRIL!J115+MAYO!J115+JUNIO!J115+JULIO!J115+AGOSTO!J115+SEPTIEMBRE!J115+OCTUBRE!J115+NOVIEMBRE!J115+DICIEMBRE!J115</f>
        <v>92973230.090000004</v>
      </c>
      <c r="K115" s="16">
        <f>ENERO!K115+FEBRERO!K115+MARZO!K115+ABRIL!K115+MAYO!K115+JUNIO!K115+JULIO!K115+AGOSTO!K115+SEPTIEMBRE!K115+OCTUBRE!K115+NOVIEMBRE!K115+DICIEMBRE!K115</f>
        <v>0</v>
      </c>
      <c r="L115" s="16">
        <f>ENERO!L115+FEBRERO!L115+MARZO!L115+ABRIL!L115+MAYO!L115+JUNIO!L115+JULIO!L115+AGOSTO!L115+SEPTIEMBRE!L115+OCTUBRE!L115+NOVIEMBRE!L115+DICIEMBRE!L115</f>
        <v>0</v>
      </c>
      <c r="M115" s="16">
        <f>ENERO!M115+FEBRERO!M115+MARZO!M115+ABRIL!M115+MAYO!M115+JUNIO!M115+JULIO!M115+AGOSTO!M115+SEPTIEMBRE!M115+OCTUBRE!M115+NOVIEMBRE!M115+DICIEMBRE!M115</f>
        <v>1241.5899999999997</v>
      </c>
      <c r="N115" s="18">
        <f t="shared" si="3"/>
        <v>2421135586.0234661</v>
      </c>
      <c r="O115" s="4"/>
    </row>
    <row r="116" spans="1:15" ht="18" customHeight="1" x14ac:dyDescent="0.2">
      <c r="A116" s="17" t="s">
        <v>111</v>
      </c>
      <c r="B116" s="16">
        <f>ENERO!B116+FEBRERO!B116+MARZO!B116+ABRIL!B116+MAYO!B116+JUNIO!B116+JULIO!B116+AGOSTO!B116+SEPTIEMBRE!B116+OCTUBRE!B116+NOVIEMBRE!B116+DICIEMBRE!B116</f>
        <v>1157464061.3700001</v>
      </c>
      <c r="C116" s="16">
        <f>ENERO!C116+FEBRERO!C116+MARZO!C116+ABRIL!C116+MAYO!C116+JUNIO!C116+JULIO!C116+AGOSTO!C116+SEPTIEMBRE!C116+OCTUBRE!C116+NOVIEMBRE!C116+DICIEMBRE!C116</f>
        <v>82521.53</v>
      </c>
      <c r="D116" s="16">
        <f>ENERO!D116+FEBRERO!D116+MARZO!D116+ABRIL!D116+MAYO!D116+JUNIO!D116+JULIO!D116+AGOSTO!D116+SEPTIEMBRE!D116+OCTUBRE!D116+NOVIEMBRE!D116+DICIEMBRE!D116</f>
        <v>98029533.282651678</v>
      </c>
      <c r="E116" s="16">
        <f>ENERO!E116+FEBRERO!E116+MARZO!E116+ABRIL!E116+MAYO!E116+JUNIO!E116+JULIO!E116+AGOSTO!E116+SEPTIEMBRE!E116+OCTUBRE!E116+NOVIEMBRE!E116+DICIEMBRE!E116</f>
        <v>12516813.965926649</v>
      </c>
      <c r="F116" s="16">
        <f>ENERO!F116+FEBRERO!F116+MARZO!F116+ABRIL!F116+MAYO!F116+JUNIO!F116+JULIO!F116+AGOSTO!F116+SEPTIEMBRE!F116+OCTUBRE!F116+NOVIEMBRE!F116+DICIEMBRE!F116</f>
        <v>10985019.356507452</v>
      </c>
      <c r="G116" s="16">
        <f>ENERO!G116+FEBRERO!G116+MARZO!G116+ABRIL!G116+MAYO!G116+JUNIO!G116+JULIO!G116+AGOSTO!G116+SEPTIEMBRE!G116+OCTUBRE!G116+NOVIEMBRE!G116+DICIEMBRE!G116</f>
        <v>4704886.24</v>
      </c>
      <c r="H116" s="16">
        <f>ENERO!H116+FEBRERO!H116+MARZO!H116+ABRIL!H116+MAYO!H116+JUNIO!H116+JULIO!H116+AGOSTO!H116+SEPTIEMBRE!H116+OCTUBRE!H116+NOVIEMBRE!H116+DICIEMBRE!H116</f>
        <v>60284310.110000014</v>
      </c>
      <c r="I116" s="16">
        <f>ENERO!I116+FEBRERO!I116+MARZO!I116+ABRIL!I116+MAYO!I116+JUNIO!I116+JULIO!I116+AGOSTO!I116+SEPTIEMBRE!I116+OCTUBRE!I116+NOVIEMBRE!I116+DICIEMBRE!I116</f>
        <v>25557819.029999997</v>
      </c>
      <c r="J116" s="16">
        <f>ENERO!J116+FEBRERO!J116+MARZO!J116+ABRIL!J116+MAYO!J116+JUNIO!J116+JULIO!J116+AGOSTO!J116+SEPTIEMBRE!J116+OCTUBRE!J116+NOVIEMBRE!J116+DICIEMBRE!J116</f>
        <v>128836930.41999994</v>
      </c>
      <c r="K116" s="16">
        <f>ENERO!K116+FEBRERO!K116+MARZO!K116+ABRIL!K116+MAYO!K116+JUNIO!K116+JULIO!K116+AGOSTO!K116+SEPTIEMBRE!K116+OCTUBRE!K116+NOVIEMBRE!K116+DICIEMBRE!K116</f>
        <v>0</v>
      </c>
      <c r="L116" s="16">
        <f>ENERO!L116+FEBRERO!L116+MARZO!L116+ABRIL!L116+MAYO!L116+JUNIO!L116+JULIO!L116+AGOSTO!L116+SEPTIEMBRE!L116+OCTUBRE!L116+NOVIEMBRE!L116+DICIEMBRE!L116</f>
        <v>0</v>
      </c>
      <c r="M116" s="16">
        <f>ENERO!M116+FEBRERO!M116+MARZO!M116+ABRIL!M116+MAYO!M116+JUNIO!M116+JULIO!M116+AGOSTO!M116+SEPTIEMBRE!M116+OCTUBRE!M116+NOVIEMBRE!M116+DICIEMBRE!M116</f>
        <v>3427.3</v>
      </c>
      <c r="N116" s="18">
        <f t="shared" si="3"/>
        <v>1498465322.6050856</v>
      </c>
      <c r="O116" s="4"/>
    </row>
    <row r="117" spans="1:15" ht="18" customHeight="1" x14ac:dyDescent="0.2">
      <c r="A117" s="17" t="s">
        <v>112</v>
      </c>
      <c r="B117" s="16">
        <f>ENERO!B117+FEBRERO!B117+MARZO!B117+ABRIL!B117+MAYO!B117+JUNIO!B117+JULIO!B117+AGOSTO!B117+SEPTIEMBRE!B117+OCTUBRE!B117+NOVIEMBRE!B117+DICIEMBRE!B117</f>
        <v>617329543.02999997</v>
      </c>
      <c r="C117" s="16">
        <f>ENERO!C117+FEBRERO!C117+MARZO!C117+ABRIL!C117+MAYO!C117+JUNIO!C117+JULIO!C117+AGOSTO!C117+SEPTIEMBRE!C117+OCTUBRE!C117+NOVIEMBRE!C117+DICIEMBRE!C117</f>
        <v>47955.64</v>
      </c>
      <c r="D117" s="16">
        <f>ENERO!D117+FEBRERO!D117+MARZO!D117+ABRIL!D117+MAYO!D117+JUNIO!D117+JULIO!D117+AGOSTO!D117+SEPTIEMBRE!D117+OCTUBRE!D117+NOVIEMBRE!D117+DICIEMBRE!D117</f>
        <v>19698459.928777695</v>
      </c>
      <c r="E117" s="16">
        <f>ENERO!E117+FEBRERO!E117+MARZO!E117+ABRIL!E117+MAYO!E117+JUNIO!E117+JULIO!E117+AGOSTO!E117+SEPTIEMBRE!E117+OCTUBRE!E117+NOVIEMBRE!E117+DICIEMBRE!E117</f>
        <v>6884488.8856768273</v>
      </c>
      <c r="F117" s="16">
        <f>ENERO!F117+FEBRERO!F117+MARZO!F117+ABRIL!F117+MAYO!F117+JUNIO!F117+JULIO!F117+AGOSTO!F117+SEPTIEMBRE!F117+OCTUBRE!F117+NOVIEMBRE!F117+DICIEMBRE!F117</f>
        <v>2311268.8082722537</v>
      </c>
      <c r="G117" s="16">
        <f>ENERO!G117+FEBRERO!G117+MARZO!G117+ABRIL!G117+MAYO!G117+JUNIO!G117+JULIO!G117+AGOSTO!G117+SEPTIEMBRE!G117+OCTUBRE!G117+NOVIEMBRE!G117+DICIEMBRE!G117</f>
        <v>1262286.56</v>
      </c>
      <c r="H117" s="16">
        <f>ENERO!H117+FEBRERO!H117+MARZO!H117+ABRIL!H117+MAYO!H117+JUNIO!H117+JULIO!H117+AGOSTO!H117+SEPTIEMBRE!H117+OCTUBRE!H117+NOVIEMBRE!H117+DICIEMBRE!H117</f>
        <v>32335106.869999997</v>
      </c>
      <c r="I117" s="16">
        <f>ENERO!I117+FEBRERO!I117+MARZO!I117+ABRIL!I117+MAYO!I117+JUNIO!I117+JULIO!I117+AGOSTO!I117+SEPTIEMBRE!I117+OCTUBRE!I117+NOVIEMBRE!I117+DICIEMBRE!I117</f>
        <v>5377413.46</v>
      </c>
      <c r="J117" s="16">
        <f>ENERO!J117+FEBRERO!J117+MARZO!J117+ABRIL!J117+MAYO!J117+JUNIO!J117+JULIO!J117+AGOSTO!J117+SEPTIEMBRE!J117+OCTUBRE!J117+NOVIEMBRE!J117+DICIEMBRE!J117</f>
        <v>36809015.409999989</v>
      </c>
      <c r="K117" s="16">
        <f>ENERO!K117+FEBRERO!K117+MARZO!K117+ABRIL!K117+MAYO!K117+JUNIO!K117+JULIO!K117+AGOSTO!K117+SEPTIEMBRE!K117+OCTUBRE!K117+NOVIEMBRE!K117+DICIEMBRE!K117</f>
        <v>0</v>
      </c>
      <c r="L117" s="16">
        <f>ENERO!L117+FEBRERO!L117+MARZO!L117+ABRIL!L117+MAYO!L117+JUNIO!L117+JULIO!L117+AGOSTO!L117+SEPTIEMBRE!L117+OCTUBRE!L117+NOVIEMBRE!L117+DICIEMBRE!L117</f>
        <v>0</v>
      </c>
      <c r="M117" s="16">
        <f>ENERO!M117+FEBRERO!M117+MARZO!M117+ABRIL!M117+MAYO!M117+JUNIO!M117+JULIO!M117+AGOSTO!M117+SEPTIEMBRE!M117+OCTUBRE!M117+NOVIEMBRE!M117+DICIEMBRE!M117</f>
        <v>720.91999999999985</v>
      </c>
      <c r="N117" s="18">
        <f t="shared" si="3"/>
        <v>722056259.51272666</v>
      </c>
      <c r="O117" s="4"/>
    </row>
    <row r="118" spans="1:15" ht="18" customHeight="1" x14ac:dyDescent="0.2">
      <c r="A118" s="17" t="s">
        <v>113</v>
      </c>
      <c r="B118" s="16">
        <f>ENERO!B118+FEBRERO!B118+MARZO!B118+ABRIL!B118+MAYO!B118+JUNIO!B118+JULIO!B118+AGOSTO!B118+SEPTIEMBRE!B118+OCTUBRE!B118+NOVIEMBRE!B118+DICIEMBRE!B118</f>
        <v>972165244.31000006</v>
      </c>
      <c r="C118" s="16">
        <f>ENERO!C118+FEBRERO!C118+MARZO!C118+ABRIL!C118+MAYO!C118+JUNIO!C118+JULIO!C118+AGOSTO!C118+SEPTIEMBRE!C118+OCTUBRE!C118+NOVIEMBRE!C118+DICIEMBRE!C118</f>
        <v>72762.649999999994</v>
      </c>
      <c r="D118" s="16">
        <f>ENERO!D118+FEBRERO!D118+MARZO!D118+ABRIL!D118+MAYO!D118+JUNIO!D118+JULIO!D118+AGOSTO!D118+SEPTIEMBRE!D118+OCTUBRE!D118+NOVIEMBRE!D118+DICIEMBRE!D118</f>
        <v>154063521.23071793</v>
      </c>
      <c r="E118" s="16">
        <f>ENERO!E118+FEBRERO!E118+MARZO!E118+ABRIL!E118+MAYO!E118+JUNIO!E118+JULIO!E118+AGOSTO!E118+SEPTIEMBRE!E118+OCTUBRE!E118+NOVIEMBRE!E118+DICIEMBRE!E118</f>
        <v>10753043.715752237</v>
      </c>
      <c r="F118" s="16">
        <f>ENERO!F118+FEBRERO!F118+MARZO!F118+ABRIL!F118+MAYO!F118+JUNIO!F118+JULIO!F118+AGOSTO!F118+SEPTIEMBRE!F118+OCTUBRE!F118+NOVIEMBRE!F118+DICIEMBRE!F118</f>
        <v>10900619.07272223</v>
      </c>
      <c r="G118" s="16">
        <f>ENERO!G118+FEBRERO!G118+MARZO!G118+ABRIL!G118+MAYO!G118+JUNIO!G118+JULIO!G118+AGOSTO!G118+SEPTIEMBRE!G118+OCTUBRE!G118+NOVIEMBRE!G118+DICIEMBRE!G118</f>
        <v>4796688.9000000004</v>
      </c>
      <c r="H118" s="16">
        <f>ENERO!H118+FEBRERO!H118+MARZO!H118+ABRIL!H118+MAYO!H118+JUNIO!H118+JULIO!H118+AGOSTO!H118+SEPTIEMBRE!H118+OCTUBRE!H118+NOVIEMBRE!H118+DICIEMBRE!H118</f>
        <v>50793298.979999997</v>
      </c>
      <c r="I118" s="16">
        <f>ENERO!I118+FEBRERO!I118+MARZO!I118+ABRIL!I118+MAYO!I118+JUNIO!I118+JULIO!I118+AGOSTO!I118+SEPTIEMBRE!I118+OCTUBRE!I118+NOVIEMBRE!I118+DICIEMBRE!I118</f>
        <v>25361452.82</v>
      </c>
      <c r="J118" s="16">
        <f>ENERO!J118+FEBRERO!J118+MARZO!J118+ABRIL!J118+MAYO!J118+JUNIO!J118+JULIO!J118+AGOSTO!J118+SEPTIEMBRE!J118+OCTUBRE!J118+NOVIEMBRE!J118+DICIEMBRE!J118</f>
        <v>101402667.81000002</v>
      </c>
      <c r="K118" s="16">
        <f>ENERO!K118+FEBRERO!K118+MARZO!K118+ABRIL!K118+MAYO!K118+JUNIO!K118+JULIO!K118+AGOSTO!K118+SEPTIEMBRE!K118+OCTUBRE!K118+NOVIEMBRE!K118+DICIEMBRE!K118</f>
        <v>0</v>
      </c>
      <c r="L118" s="16">
        <f>ENERO!L118+FEBRERO!L118+MARZO!L118+ABRIL!L118+MAYO!L118+JUNIO!L118+JULIO!L118+AGOSTO!L118+SEPTIEMBRE!L118+OCTUBRE!L118+NOVIEMBRE!L118+DICIEMBRE!L118</f>
        <v>0</v>
      </c>
      <c r="M118" s="16">
        <f>ENERO!M118+FEBRERO!M118+MARZO!M118+ABRIL!M118+MAYO!M118+JUNIO!M118+JULIO!M118+AGOSTO!M118+SEPTIEMBRE!M118+OCTUBRE!M118+NOVIEMBRE!M118+DICIEMBRE!M118</f>
        <v>3400.9700000000007</v>
      </c>
      <c r="N118" s="18">
        <f t="shared" si="3"/>
        <v>1330312700.4591923</v>
      </c>
      <c r="O118" s="4"/>
    </row>
    <row r="119" spans="1:15" ht="18" customHeight="1" x14ac:dyDescent="0.2">
      <c r="A119" s="17" t="s">
        <v>114</v>
      </c>
      <c r="B119" s="16">
        <f>ENERO!B119+FEBRERO!B119+MARZO!B119+ABRIL!B119+MAYO!B119+JUNIO!B119+JULIO!B119+AGOSTO!B119+SEPTIEMBRE!B119+OCTUBRE!B119+NOVIEMBRE!B119+DICIEMBRE!B119</f>
        <v>1430107050.9899998</v>
      </c>
      <c r="C119" s="16">
        <f>ENERO!C119+FEBRERO!C119+MARZO!C119+ABRIL!C119+MAYO!C119+JUNIO!C119+JULIO!C119+AGOSTO!C119+SEPTIEMBRE!C119+OCTUBRE!C119+NOVIEMBRE!C119+DICIEMBRE!C119</f>
        <v>105733.01999999999</v>
      </c>
      <c r="D119" s="16">
        <f>ENERO!D119+FEBRERO!D119+MARZO!D119+ABRIL!D119+MAYO!D119+JUNIO!D119+JULIO!D119+AGOSTO!D119+SEPTIEMBRE!D119+OCTUBRE!D119+NOVIEMBRE!D119+DICIEMBRE!D119</f>
        <v>78749021.775817648</v>
      </c>
      <c r="E119" s="16">
        <f>ENERO!E119+FEBRERO!E119+MARZO!E119+ABRIL!E119+MAYO!E119+JUNIO!E119+JULIO!E119+AGOSTO!E119+SEPTIEMBRE!E119+OCTUBRE!E119+NOVIEMBRE!E119+DICIEMBRE!E119</f>
        <v>15444204.542592386</v>
      </c>
      <c r="F119" s="16">
        <f>ENERO!F119+FEBRERO!F119+MARZO!F119+ABRIL!F119+MAYO!F119+JUNIO!F119+JULIO!F119+AGOSTO!F119+SEPTIEMBRE!F119+OCTUBRE!F119+NOVIEMBRE!F119+DICIEMBRE!F119</f>
        <v>8758150.7520204242</v>
      </c>
      <c r="G119" s="16">
        <f>ENERO!G119+FEBRERO!G119+MARZO!G119+ABRIL!G119+MAYO!G119+JUNIO!G119+JULIO!G119+AGOSTO!G119+SEPTIEMBRE!G119+OCTUBRE!G119+NOVIEMBRE!G119+DICIEMBRE!G119</f>
        <v>3373747.6900000004</v>
      </c>
      <c r="H119" s="16">
        <f>ENERO!H119+FEBRERO!H119+MARZO!H119+ABRIL!H119+MAYO!H119+JUNIO!H119+JULIO!H119+AGOSTO!H119+SEPTIEMBRE!H119+OCTUBRE!H119+NOVIEMBRE!H119+DICIEMBRE!H119</f>
        <v>74659212.840000004</v>
      </c>
      <c r="I119" s="16">
        <f>ENERO!I119+FEBRERO!I119+MARZO!I119+ABRIL!I119+MAYO!I119+JUNIO!I119+JULIO!I119+AGOSTO!I119+SEPTIEMBRE!I119+OCTUBRE!I119+NOVIEMBRE!I119+DICIEMBRE!I119</f>
        <v>20376771.789999999</v>
      </c>
      <c r="J119" s="16">
        <f>ENERO!J119+FEBRERO!J119+MARZO!J119+ABRIL!J119+MAYO!J119+JUNIO!J119+JULIO!J119+AGOSTO!J119+SEPTIEMBRE!J119+OCTUBRE!J119+NOVIEMBRE!J119+DICIEMBRE!J119</f>
        <v>93664958.149999991</v>
      </c>
      <c r="K119" s="16">
        <f>ENERO!K119+FEBRERO!K119+MARZO!K119+ABRIL!K119+MAYO!K119+JUNIO!K119+JULIO!K119+AGOSTO!K119+SEPTIEMBRE!K119+OCTUBRE!K119+NOVIEMBRE!K119+DICIEMBRE!K119</f>
        <v>0</v>
      </c>
      <c r="L119" s="16">
        <f>ENERO!L119+FEBRERO!L119+MARZO!L119+ABRIL!L119+MAYO!L119+JUNIO!L119+JULIO!L119+AGOSTO!L119+SEPTIEMBRE!L119+OCTUBRE!L119+NOVIEMBRE!L119+DICIEMBRE!L119</f>
        <v>0</v>
      </c>
      <c r="M119" s="16">
        <f>ENERO!M119+FEBRERO!M119+MARZO!M119+ABRIL!M119+MAYO!M119+JUNIO!M119+JULIO!M119+AGOSTO!M119+SEPTIEMBRE!M119+OCTUBRE!M119+NOVIEMBRE!M119+DICIEMBRE!M119</f>
        <v>2732.4799999999991</v>
      </c>
      <c r="N119" s="18">
        <f t="shared" si="3"/>
        <v>1725241584.0304301</v>
      </c>
      <c r="O119" s="4"/>
    </row>
    <row r="120" spans="1:15" ht="18" customHeight="1" x14ac:dyDescent="0.2">
      <c r="A120" s="17" t="s">
        <v>115</v>
      </c>
      <c r="B120" s="16">
        <f>ENERO!B120+FEBRERO!B120+MARZO!B120+ABRIL!B120+MAYO!B120+JUNIO!B120+JULIO!B120+AGOSTO!B120+SEPTIEMBRE!B120+OCTUBRE!B120+NOVIEMBRE!B120+DICIEMBRE!B120</f>
        <v>921111960.30999994</v>
      </c>
      <c r="C120" s="16">
        <f>ENERO!C120+FEBRERO!C120+MARZO!C120+ABRIL!C120+MAYO!C120+JUNIO!C120+JULIO!C120+AGOSTO!C120+SEPTIEMBRE!C120+OCTUBRE!C120+NOVIEMBRE!C120+DICIEMBRE!C120</f>
        <v>69902.2</v>
      </c>
      <c r="D120" s="16">
        <f>ENERO!D120+FEBRERO!D120+MARZO!D120+ABRIL!D120+MAYO!D120+JUNIO!D120+JULIO!D120+AGOSTO!D120+SEPTIEMBRE!D120+OCTUBRE!D120+NOVIEMBRE!D120+DICIEMBRE!D120</f>
        <v>80429309.884071395</v>
      </c>
      <c r="E120" s="16">
        <f>ENERO!E120+FEBRERO!E120+MARZO!E120+ABRIL!E120+MAYO!E120+JUNIO!E120+JULIO!E120+AGOSTO!E120+SEPTIEMBRE!E120+OCTUBRE!E120+NOVIEMBRE!E120+DICIEMBRE!E120</f>
        <v>10215028.090586629</v>
      </c>
      <c r="F120" s="16">
        <f>ENERO!F120+FEBRERO!F120+MARZO!F120+ABRIL!F120+MAYO!F120+JUNIO!F120+JULIO!F120+AGOSTO!F120+SEPTIEMBRE!F120+OCTUBRE!F120+NOVIEMBRE!F120+DICIEMBRE!F120</f>
        <v>5901526.3277513459</v>
      </c>
      <c r="G120" s="16">
        <f>ENERO!G120+FEBRERO!G120+MARZO!G120+ABRIL!G120+MAYO!G120+JUNIO!G120+JULIO!G120+AGOSTO!G120+SEPTIEMBRE!G120+OCTUBRE!G120+NOVIEMBRE!G120+DICIEMBRE!G120</f>
        <v>3396698.38</v>
      </c>
      <c r="H120" s="16">
        <f>ENERO!H120+FEBRERO!H120+MARZO!H120+ABRIL!H120+MAYO!H120+JUNIO!H120+JULIO!H120+AGOSTO!H120+SEPTIEMBRE!H120+OCTUBRE!H120+NOVIEMBRE!H120+DICIEMBRE!H120</f>
        <v>48170393.630000003</v>
      </c>
      <c r="I120" s="16">
        <f>ENERO!I120+FEBRERO!I120+MARZO!I120+ABRIL!I120+MAYO!I120+JUNIO!I120+JULIO!I120+AGOSTO!I120+SEPTIEMBRE!I120+OCTUBRE!I120+NOVIEMBRE!I120+DICIEMBRE!I120</f>
        <v>13730530.430000002</v>
      </c>
      <c r="J120" s="16">
        <f>ENERO!J120+FEBRERO!J120+MARZO!J120+ABRIL!J120+MAYO!J120+JUNIO!J120+JULIO!J120+AGOSTO!J120+SEPTIEMBRE!J120+OCTUBRE!J120+NOVIEMBRE!J120+DICIEMBRE!J120</f>
        <v>99146051.839999989</v>
      </c>
      <c r="K120" s="16">
        <f>ENERO!K120+FEBRERO!K120+MARZO!K120+ABRIL!K120+MAYO!K120+JUNIO!K120+JULIO!K120+AGOSTO!K120+SEPTIEMBRE!K120+OCTUBRE!K120+NOVIEMBRE!K120+DICIEMBRE!K120</f>
        <v>0</v>
      </c>
      <c r="L120" s="16">
        <f>ENERO!L120+FEBRERO!L120+MARZO!L120+ABRIL!L120+MAYO!L120+JUNIO!L120+JULIO!L120+AGOSTO!L120+SEPTIEMBRE!L120+OCTUBRE!L120+NOVIEMBRE!L120+DICIEMBRE!L120</f>
        <v>0</v>
      </c>
      <c r="M120" s="16">
        <f>ENERO!M120+FEBRERO!M120+MARZO!M120+ABRIL!M120+MAYO!M120+JUNIO!M120+JULIO!M120+AGOSTO!M120+SEPTIEMBRE!M120+OCTUBRE!M120+NOVIEMBRE!M120+DICIEMBRE!M120</f>
        <v>1841.1599999999999</v>
      </c>
      <c r="N120" s="18">
        <f t="shared" si="3"/>
        <v>1182173242.2524095</v>
      </c>
      <c r="O120" s="4"/>
    </row>
    <row r="121" spans="1:15" ht="18" customHeight="1" x14ac:dyDescent="0.2">
      <c r="A121" s="17" t="s">
        <v>116</v>
      </c>
      <c r="B121" s="16">
        <f>ENERO!B121+FEBRERO!B121+MARZO!B121+ABRIL!B121+MAYO!B121+JUNIO!B121+JULIO!B121+AGOSTO!B121+SEPTIEMBRE!B121+OCTUBRE!B121+NOVIEMBRE!B121+DICIEMBRE!B121</f>
        <v>1079615492.01</v>
      </c>
      <c r="C121" s="16">
        <f>ENERO!C121+FEBRERO!C121+MARZO!C121+ABRIL!C121+MAYO!C121+JUNIO!C121+JULIO!C121+AGOSTO!C121+SEPTIEMBRE!C121+OCTUBRE!C121+NOVIEMBRE!C121+DICIEMBRE!C121</f>
        <v>76000.13</v>
      </c>
      <c r="D121" s="16">
        <f>ENERO!D121+FEBRERO!D121+MARZO!D121+ABRIL!D121+MAYO!D121+JUNIO!D121+JULIO!D121+AGOSTO!D121+SEPTIEMBRE!D121+OCTUBRE!D121+NOVIEMBRE!D121+DICIEMBRE!D121</f>
        <v>90129776.446467236</v>
      </c>
      <c r="E121" s="16">
        <f>ENERO!E121+FEBRERO!E121+MARZO!E121+ABRIL!E121+MAYO!E121+JUNIO!E121+JULIO!E121+AGOSTO!E121+SEPTIEMBRE!E121+OCTUBRE!E121+NOVIEMBRE!E121+DICIEMBRE!E121</f>
        <v>11426633.108424319</v>
      </c>
      <c r="F121" s="16">
        <f>ENERO!F121+FEBRERO!F121+MARZO!F121+ABRIL!F121+MAYO!F121+JUNIO!F121+JULIO!F121+AGOSTO!F121+SEPTIEMBRE!F121+OCTUBRE!F121+NOVIEMBRE!F121+DICIEMBRE!F121</f>
        <v>2480069.3558426993</v>
      </c>
      <c r="G121" s="16">
        <f>ENERO!G121+FEBRERO!G121+MARZO!G121+ABRIL!G121+MAYO!G121+JUNIO!G121+JULIO!G121+AGOSTO!G121+SEPTIEMBRE!G121+OCTUBRE!G121+NOVIEMBRE!G121+DICIEMBRE!G121</f>
        <v>1239335.8899999999</v>
      </c>
      <c r="H121" s="16">
        <f>ENERO!H121+FEBRERO!H121+MARZO!H121+ABRIL!H121+MAYO!H121+JUNIO!H121+JULIO!H121+AGOSTO!H121+SEPTIEMBRE!H121+OCTUBRE!H121+NOVIEMBRE!H121+DICIEMBRE!H121</f>
        <v>56184723.150000006</v>
      </c>
      <c r="I121" s="16">
        <f>ENERO!I121+FEBRERO!I121+MARZO!I121+ABRIL!I121+MAYO!I121+JUNIO!I121+JULIO!I121+AGOSTO!I121+SEPTIEMBRE!I121+OCTUBRE!I121+NOVIEMBRE!I121+DICIEMBRE!I121</f>
        <v>5770145.919999999</v>
      </c>
      <c r="J121" s="16">
        <f>ENERO!J121+FEBRERO!J121+MARZO!J121+ABRIL!J121+MAYO!J121+JUNIO!J121+JULIO!J121+AGOSTO!J121+SEPTIEMBRE!J121+OCTUBRE!J121+NOVIEMBRE!J121+DICIEMBRE!J121</f>
        <v>54316253.050000012</v>
      </c>
      <c r="K121" s="16">
        <f>ENERO!K121+FEBRERO!K121+MARZO!K121+ABRIL!K121+MAYO!K121+JUNIO!K121+JULIO!K121+AGOSTO!K121+SEPTIEMBRE!K121+OCTUBRE!K121+NOVIEMBRE!K121+DICIEMBRE!K121</f>
        <v>0</v>
      </c>
      <c r="L121" s="16">
        <f>ENERO!L121+FEBRERO!L121+MARZO!L121+ABRIL!L121+MAYO!L121+JUNIO!L121+JULIO!L121+AGOSTO!L121+SEPTIEMBRE!L121+OCTUBRE!L121+NOVIEMBRE!L121+DICIEMBRE!L121</f>
        <v>0</v>
      </c>
      <c r="M121" s="16">
        <f>ENERO!M121+FEBRERO!M121+MARZO!M121+ABRIL!M121+MAYO!M121+JUNIO!M121+JULIO!M121+AGOSTO!M121+SEPTIEMBRE!M121+OCTUBRE!M121+NOVIEMBRE!M121+DICIEMBRE!M121</f>
        <v>773.6400000000001</v>
      </c>
      <c r="N121" s="18">
        <f t="shared" si="3"/>
        <v>1301239202.7007346</v>
      </c>
      <c r="O121" s="4"/>
    </row>
    <row r="122" spans="1:15" ht="18" customHeight="1" x14ac:dyDescent="0.2">
      <c r="A122" s="17" t="s">
        <v>117</v>
      </c>
      <c r="B122" s="16">
        <f>ENERO!B122+FEBRERO!B122+MARZO!B122+ABRIL!B122+MAYO!B122+JUNIO!B122+JULIO!B122+AGOSTO!B122+SEPTIEMBRE!B122+OCTUBRE!B122+NOVIEMBRE!B122+DICIEMBRE!B122</f>
        <v>3244997476.4499998</v>
      </c>
      <c r="C122" s="16">
        <f>ENERO!C122+FEBRERO!C122+MARZO!C122+ABRIL!C122+MAYO!C122+JUNIO!C122+JULIO!C122+AGOSTO!C122+SEPTIEMBRE!C122+OCTUBRE!C122+NOVIEMBRE!C122+DICIEMBRE!C122</f>
        <v>212873.07</v>
      </c>
      <c r="D122" s="16">
        <f>ENERO!D122+FEBRERO!D122+MARZO!D122+ABRIL!D122+MAYO!D122+JUNIO!D122+JULIO!D122+AGOSTO!D122+SEPTIEMBRE!D122+OCTUBRE!D122+NOVIEMBRE!D122+DICIEMBRE!D122</f>
        <v>126921615.51999998</v>
      </c>
      <c r="E122" s="16">
        <f>ENERO!E122+FEBRERO!E122+MARZO!E122+ABRIL!E122+MAYO!E122+JUNIO!E122+JULIO!E122+AGOSTO!E122+SEPTIEMBRE!E122+OCTUBRE!E122+NOVIEMBRE!E122+DICIEMBRE!E122</f>
        <v>46586402.053677589</v>
      </c>
      <c r="F122" s="16">
        <f>ENERO!F122+FEBRERO!F122+MARZO!F122+ABRIL!F122+MAYO!F122+JUNIO!F122+JULIO!F122+AGOSTO!F122+SEPTIEMBRE!F122+OCTUBRE!F122+NOVIEMBRE!F122+DICIEMBRE!F122</f>
        <v>74661774.83385089</v>
      </c>
      <c r="G122" s="16">
        <f>ENERO!G122+FEBRERO!G122+MARZO!G122+ABRIL!G122+MAYO!G122+JUNIO!G122+JULIO!G122+AGOSTO!G122+SEPTIEMBRE!G122+OCTUBRE!G122+NOVIEMBRE!G122+DICIEMBRE!G122</f>
        <v>31959392.788980871</v>
      </c>
      <c r="H122" s="16">
        <f>ENERO!H122+FEBRERO!H122+MARZO!H122+ABRIL!H122+MAYO!H122+JUNIO!H122+JULIO!H122+AGOSTO!H122+SEPTIEMBRE!H122+OCTUBRE!H122+NOVIEMBRE!H122+DICIEMBRE!H122</f>
        <v>168153398.67000002</v>
      </c>
      <c r="I122" s="16">
        <f>ENERO!I122+FEBRERO!I122+MARZO!I122+ABRIL!I122+MAYO!I122+JUNIO!I122+JULIO!I122+AGOSTO!I122+SEPTIEMBRE!I122+OCTUBRE!I122+NOVIEMBRE!I122+DICIEMBRE!I122</f>
        <v>173708580.87</v>
      </c>
      <c r="J122" s="16">
        <f>ENERO!J122+FEBRERO!J122+MARZO!J122+ABRIL!J122+MAYO!J122+JUNIO!J122+JULIO!J122+AGOSTO!J122+SEPTIEMBRE!J122+OCTUBRE!J122+NOVIEMBRE!J122+DICIEMBRE!J122</f>
        <v>263899413.38000005</v>
      </c>
      <c r="K122" s="16">
        <f>ENERO!K122+FEBRERO!K122+MARZO!K122+ABRIL!K122+MAYO!K122+JUNIO!K122+JULIO!K122+AGOSTO!K122+SEPTIEMBRE!K122+OCTUBRE!K122+NOVIEMBRE!K122+DICIEMBRE!K122</f>
        <v>0</v>
      </c>
      <c r="L122" s="16">
        <f>ENERO!L122+FEBRERO!L122+MARZO!L122+ABRIL!L122+MAYO!L122+JUNIO!L122+JULIO!L122+AGOSTO!L122+SEPTIEMBRE!L122+OCTUBRE!L122+NOVIEMBRE!L122+DICIEMBRE!L122</f>
        <v>0</v>
      </c>
      <c r="M122" s="16">
        <f>ENERO!M122+FEBRERO!M122+MARZO!M122+ABRIL!M122+MAYO!M122+JUNIO!M122+JULIO!M122+AGOSTO!M122+SEPTIEMBRE!M122+OCTUBRE!M122+NOVIEMBRE!M122+DICIEMBRE!M122</f>
        <v>23295.51</v>
      </c>
      <c r="N122" s="18">
        <f t="shared" si="3"/>
        <v>4131124223.1465096</v>
      </c>
      <c r="O122" s="4"/>
    </row>
    <row r="123" spans="1:15" ht="18" customHeight="1" x14ac:dyDescent="0.2">
      <c r="A123" s="17" t="s">
        <v>118</v>
      </c>
      <c r="B123" s="16">
        <f>ENERO!B123+FEBRERO!B123+MARZO!B123+ABRIL!B123+MAYO!B123+JUNIO!B123+JULIO!B123+AGOSTO!B123+SEPTIEMBRE!B123+OCTUBRE!B123+NOVIEMBRE!B123+DICIEMBRE!B123</f>
        <v>8143344792.8299999</v>
      </c>
      <c r="C123" s="16">
        <f>ENERO!C123+FEBRERO!C123+MARZO!C123+ABRIL!C123+MAYO!C123+JUNIO!C123+JULIO!C123+AGOSTO!C123+SEPTIEMBRE!C123+OCTUBRE!C123+NOVIEMBRE!C123+DICIEMBRE!C123</f>
        <v>569798.9</v>
      </c>
      <c r="D123" s="16">
        <f>ENERO!D123+FEBRERO!D123+MARZO!D123+ABRIL!D123+MAYO!D123+JUNIO!D123+JULIO!D123+AGOSTO!D123+SEPTIEMBRE!D123+OCTUBRE!D123+NOVIEMBRE!D123+DICIEMBRE!D123</f>
        <v>110919652.315</v>
      </c>
      <c r="E123" s="16">
        <f>ENERO!E123+FEBRERO!E123+MARZO!E123+ABRIL!E123+MAYO!E123+JUNIO!E123+JULIO!E123+AGOSTO!E123+SEPTIEMBRE!E123+OCTUBRE!E123+NOVIEMBRE!E123+DICIEMBRE!E123</f>
        <v>87160796.566486299</v>
      </c>
      <c r="F123" s="16">
        <f>ENERO!F123+FEBRERO!F123+MARZO!F123+ABRIL!F123+MAYO!F123+JUNIO!F123+JULIO!F123+AGOSTO!F123+SEPTIEMBRE!F123+OCTUBRE!F123+NOVIEMBRE!F123+DICIEMBRE!F123</f>
        <v>103786359.376967</v>
      </c>
      <c r="G123" s="16">
        <f>ENERO!G123+FEBRERO!G123+MARZO!G123+ABRIL!G123+MAYO!G123+JUNIO!G123+JULIO!G123+AGOSTO!G123+SEPTIEMBRE!G123+OCTUBRE!G123+NOVIEMBRE!G123+DICIEMBRE!G123</f>
        <v>80661431.399626851</v>
      </c>
      <c r="H123" s="16">
        <f>ENERO!H123+FEBRERO!H123+MARZO!H123+ABRIL!H123+MAYO!H123+JUNIO!H123+JULIO!H123+AGOSTO!H123+SEPTIEMBRE!H123+OCTUBRE!H123+NOVIEMBRE!H123+DICIEMBRE!H123</f>
        <v>423631095.14999998</v>
      </c>
      <c r="I123" s="16">
        <f>ENERO!I123+FEBRERO!I123+MARZO!I123+ABRIL!I123+MAYO!I123+JUNIO!I123+JULIO!I123+AGOSTO!I123+SEPTIEMBRE!I123+OCTUBRE!I123+NOVIEMBRE!I123+DICIEMBRE!I123</f>
        <v>241470032.51000002</v>
      </c>
      <c r="J123" s="16">
        <f>ENERO!J123+FEBRERO!J123+MARZO!J123+ABRIL!J123+MAYO!J123+JUNIO!J123+JULIO!J123+AGOSTO!J123+SEPTIEMBRE!J123+OCTUBRE!J123+NOVIEMBRE!J123+DICIEMBRE!J123</f>
        <v>349118632.40000004</v>
      </c>
      <c r="K123" s="16">
        <f>ENERO!K123+FEBRERO!K123+MARZO!K123+ABRIL!K123+MAYO!K123+JUNIO!K123+JULIO!K123+AGOSTO!K123+SEPTIEMBRE!K123+OCTUBRE!K123+NOVIEMBRE!K123+DICIEMBRE!K123</f>
        <v>0</v>
      </c>
      <c r="L123" s="16">
        <f>ENERO!L123+FEBRERO!L123+MARZO!L123+ABRIL!L123+MAYO!L123+JUNIO!L123+JULIO!L123+AGOSTO!L123+SEPTIEMBRE!L123+OCTUBRE!L123+NOVIEMBRE!L123+DICIEMBRE!L123</f>
        <v>0</v>
      </c>
      <c r="M123" s="16">
        <f>ENERO!M123+FEBRERO!M123+MARZO!M123+ABRIL!M123+MAYO!M123+JUNIO!M123+JULIO!M123+AGOSTO!M123+SEPTIEMBRE!M123+OCTUBRE!M123+NOVIEMBRE!M123+DICIEMBRE!M123</f>
        <v>32382.830000000005</v>
      </c>
      <c r="N123" s="18">
        <f t="shared" si="3"/>
        <v>9540694974.27808</v>
      </c>
      <c r="O123" s="4"/>
    </row>
    <row r="124" spans="1:15" ht="18" customHeight="1" x14ac:dyDescent="0.2">
      <c r="A124" s="17" t="s">
        <v>119</v>
      </c>
      <c r="B124" s="16">
        <f>ENERO!B124+FEBRERO!B124+MARZO!B124+ABRIL!B124+MAYO!B124+JUNIO!B124+JULIO!B124+AGOSTO!B124+SEPTIEMBRE!B124+OCTUBRE!B124+NOVIEMBRE!B124+DICIEMBRE!B124</f>
        <v>6216390871.0900002</v>
      </c>
      <c r="C124" s="16">
        <f>ENERO!C124+FEBRERO!C124+MARZO!C124+ABRIL!C124+MAYO!C124+JUNIO!C124+JULIO!C124+AGOSTO!C124+SEPTIEMBRE!C124+OCTUBRE!C124+NOVIEMBRE!C124+DICIEMBRE!C124</f>
        <v>433775.63</v>
      </c>
      <c r="D124" s="16">
        <f>ENERO!D124+FEBRERO!D124+MARZO!D124+ABRIL!D124+MAYO!D124+JUNIO!D124+JULIO!D124+AGOSTO!D124+SEPTIEMBRE!D124+OCTUBRE!D124+NOVIEMBRE!D124+DICIEMBRE!D124</f>
        <v>38061222.93</v>
      </c>
      <c r="E124" s="16">
        <f>ENERO!E124+FEBRERO!E124+MARZO!E124+ABRIL!E124+MAYO!E124+JUNIO!E124+JULIO!E124+AGOSTO!E124+SEPTIEMBRE!E124+OCTUBRE!E124+NOVIEMBRE!E124+DICIEMBRE!E124</f>
        <v>90459590.166532725</v>
      </c>
      <c r="F124" s="16">
        <f>ENERO!F124+FEBRERO!F124+MARZO!F124+ABRIL!F124+MAYO!F124+JUNIO!F124+JULIO!F124+AGOSTO!F124+SEPTIEMBRE!F124+OCTUBRE!F124+NOVIEMBRE!F124+DICIEMBRE!F124</f>
        <v>132904451.57286882</v>
      </c>
      <c r="G124" s="16">
        <f>ENERO!G124+FEBRERO!G124+MARZO!G124+ABRIL!G124+MAYO!G124+JUNIO!G124+JULIO!G124+AGOSTO!G124+SEPTIEMBRE!G124+OCTUBRE!G124+NOVIEMBRE!G124+DICIEMBRE!G124</f>
        <v>0</v>
      </c>
      <c r="H124" s="16">
        <f>ENERO!H124+FEBRERO!H124+MARZO!H124+ABRIL!H124+MAYO!H124+JUNIO!H124+JULIO!H124+AGOSTO!H124+SEPTIEMBRE!H124+OCTUBRE!H124+NOVIEMBRE!H124+DICIEMBRE!H124</f>
        <v>323332338.82999998</v>
      </c>
      <c r="I124" s="16">
        <f>ENERO!I124+FEBRERO!I124+MARZO!I124+ABRIL!I124+MAYO!I124+JUNIO!I124+JULIO!I124+AGOSTO!I124+SEPTIEMBRE!I124+OCTUBRE!I124+NOVIEMBRE!I124+DICIEMBRE!I124</f>
        <v>309216379.06999999</v>
      </c>
      <c r="J124" s="16">
        <f>ENERO!J124+FEBRERO!J124+MARZO!J124+ABRIL!J124+MAYO!J124+JUNIO!J124+JULIO!J124+AGOSTO!J124+SEPTIEMBRE!J124+OCTUBRE!J124+NOVIEMBRE!J124+DICIEMBRE!J124</f>
        <v>488546564.34999996</v>
      </c>
      <c r="K124" s="16">
        <f>ENERO!K124+FEBRERO!K124+MARZO!K124+ABRIL!K124+MAYO!K124+JUNIO!K124+JULIO!K124+AGOSTO!K124+SEPTIEMBRE!K124+OCTUBRE!K124+NOVIEMBRE!K124+DICIEMBRE!K124</f>
        <v>0</v>
      </c>
      <c r="L124" s="16">
        <f>ENERO!L124+FEBRERO!L124+MARZO!L124+ABRIL!L124+MAYO!L124+JUNIO!L124+JULIO!L124+AGOSTO!L124+SEPTIEMBRE!L124+OCTUBRE!L124+NOVIEMBRE!L124+DICIEMBRE!L124</f>
        <v>0</v>
      </c>
      <c r="M124" s="16">
        <f>ENERO!M124+FEBRERO!M124+MARZO!M124+ABRIL!M124+MAYO!M124+JUNIO!M124+JULIO!M124+AGOSTO!M124+SEPTIEMBRE!M124+OCTUBRE!M124+NOVIEMBRE!M124+DICIEMBRE!M124</f>
        <v>41468.17</v>
      </c>
      <c r="N124" s="18">
        <f t="shared" si="3"/>
        <v>7599386661.8094025</v>
      </c>
      <c r="O124" s="4"/>
    </row>
    <row r="125" spans="1:15" ht="18" customHeight="1" x14ac:dyDescent="0.2">
      <c r="A125" s="17" t="s">
        <v>120</v>
      </c>
      <c r="B125" s="16">
        <f>ENERO!B125+FEBRERO!B125+MARZO!B125+ABRIL!B125+MAYO!B125+JUNIO!B125+JULIO!B125+AGOSTO!B125+SEPTIEMBRE!B125+OCTUBRE!B125+NOVIEMBRE!B125+DICIEMBRE!B125</f>
        <v>2171225431.3499999</v>
      </c>
      <c r="C125" s="16">
        <f>ENERO!C125+FEBRERO!C125+MARZO!C125+ABRIL!C125+MAYO!C125+JUNIO!C125+JULIO!C125+AGOSTO!C125+SEPTIEMBRE!C125+OCTUBRE!C125+NOVIEMBRE!C125+DICIEMBRE!C125</f>
        <v>154658.56</v>
      </c>
      <c r="D125" s="16">
        <f>ENERO!D125+FEBRERO!D125+MARZO!D125+ABRIL!D125+MAYO!D125+JUNIO!D125+JULIO!D125+AGOSTO!D125+SEPTIEMBRE!D125+OCTUBRE!D125+NOVIEMBRE!D125+DICIEMBRE!D125</f>
        <v>171342803.68257049</v>
      </c>
      <c r="E125" s="16">
        <f>ENERO!E125+FEBRERO!E125+MARZO!E125+ABRIL!E125+MAYO!E125+JUNIO!E125+JULIO!E125+AGOSTO!E125+SEPTIEMBRE!E125+OCTUBRE!E125+NOVIEMBRE!E125+DICIEMBRE!E125</f>
        <v>23141463.514819946</v>
      </c>
      <c r="F125" s="16">
        <f>ENERO!F125+FEBRERO!F125+MARZO!F125+ABRIL!F125+MAYO!F125+JUNIO!F125+JULIO!F125+AGOSTO!F125+SEPTIEMBRE!F125+OCTUBRE!F125+NOVIEMBRE!F125+DICIEMBRE!F125</f>
        <v>51678932.825413316</v>
      </c>
      <c r="G125" s="16">
        <f>ENERO!G125+FEBRERO!G125+MARZO!G125+ABRIL!G125+MAYO!G125+JUNIO!G125+JULIO!G125+AGOSTO!G125+SEPTIEMBRE!G125+OCTUBRE!G125+NOVIEMBRE!G125+DICIEMBRE!G125</f>
        <v>21412970.07</v>
      </c>
      <c r="H125" s="16">
        <f>ENERO!H125+FEBRERO!H125+MARZO!H125+ABRIL!H125+MAYO!H125+JUNIO!H125+JULIO!H125+AGOSTO!H125+SEPTIEMBRE!H125+OCTUBRE!H125+NOVIEMBRE!H125+DICIEMBRE!H125</f>
        <v>113077689.65000001</v>
      </c>
      <c r="I125" s="16">
        <f>ENERO!I125+FEBRERO!I125+MARZO!I125+ABRIL!I125+MAYO!I125+JUNIO!I125+JULIO!I125+AGOSTO!I125+SEPTIEMBRE!I125+OCTUBRE!I125+NOVIEMBRE!I125+DICIEMBRE!I125</f>
        <v>120236548.15000001</v>
      </c>
      <c r="J125" s="16">
        <f>ENERO!J125+FEBRERO!J125+MARZO!J125+ABRIL!J125+MAYO!J125+JUNIO!J125+JULIO!J125+AGOSTO!J125+SEPTIEMBRE!J125+OCTUBRE!J125+NOVIEMBRE!J125+DICIEMBRE!J125</f>
        <v>305118281.80999994</v>
      </c>
      <c r="K125" s="16">
        <f>ENERO!K125+FEBRERO!K125+MARZO!K125+ABRIL!K125+MAYO!K125+JUNIO!K125+JULIO!K125+AGOSTO!K125+SEPTIEMBRE!K125+OCTUBRE!K125+NOVIEMBRE!K125+DICIEMBRE!K125</f>
        <v>0</v>
      </c>
      <c r="L125" s="16">
        <f>ENERO!L125+FEBRERO!L125+MARZO!L125+ABRIL!L125+MAYO!L125+JUNIO!L125+JULIO!L125+AGOSTO!L125+SEPTIEMBRE!L125+OCTUBRE!L125+NOVIEMBRE!L125+DICIEMBRE!L125</f>
        <v>0</v>
      </c>
      <c r="M125" s="16">
        <f>ENERO!M125+FEBRERO!M125+MARZO!M125+ABRIL!M125+MAYO!M125+JUNIO!M125+JULIO!M125+AGOSTO!M125+SEPTIEMBRE!M125+OCTUBRE!M125+NOVIEMBRE!M125+DICIEMBRE!M125</f>
        <v>16124.490000000003</v>
      </c>
      <c r="N125" s="18">
        <f t="shared" si="3"/>
        <v>2977404904.1028037</v>
      </c>
      <c r="O125" s="4"/>
    </row>
    <row r="126" spans="1:15" ht="18" customHeight="1" x14ac:dyDescent="0.2">
      <c r="A126" s="17" t="s">
        <v>121</v>
      </c>
      <c r="B126" s="16">
        <f>ENERO!B126+FEBRERO!B126+MARZO!B126+ABRIL!B126+MAYO!B126+JUNIO!B126+JULIO!B126+AGOSTO!B126+SEPTIEMBRE!B126+OCTUBRE!B126+NOVIEMBRE!B126+DICIEMBRE!B126</f>
        <v>2620517396.96</v>
      </c>
      <c r="C126" s="16">
        <f>ENERO!C126+FEBRERO!C126+MARZO!C126+ABRIL!C126+MAYO!C126+JUNIO!C126+JULIO!C126+AGOSTO!C126+SEPTIEMBRE!C126+OCTUBRE!C126+NOVIEMBRE!C126+DICIEMBRE!C126</f>
        <v>194830.61000000002</v>
      </c>
      <c r="D126" s="16">
        <f>ENERO!D126+FEBRERO!D126+MARZO!D126+ABRIL!D126+MAYO!D126+JUNIO!D126+JULIO!D126+AGOSTO!D126+SEPTIEMBRE!D126+OCTUBRE!D126+NOVIEMBRE!D126+DICIEMBRE!D126</f>
        <v>103113309.64437854</v>
      </c>
      <c r="E126" s="16">
        <f>ENERO!E126+FEBRERO!E126+MARZO!E126+ABRIL!E126+MAYO!E126+JUNIO!E126+JULIO!E126+AGOSTO!E126+SEPTIEMBRE!E126+OCTUBRE!E126+NOVIEMBRE!E126+DICIEMBRE!E126</f>
        <v>28373586.448940672</v>
      </c>
      <c r="F126" s="16">
        <f>ENERO!F126+FEBRERO!F126+MARZO!F126+ABRIL!F126+MAYO!F126+JUNIO!F126+JULIO!F126+AGOSTO!F126+SEPTIEMBRE!F126+OCTUBRE!F126+NOVIEMBRE!F126+DICIEMBRE!F126</f>
        <v>25871928.038777903</v>
      </c>
      <c r="G126" s="16">
        <f>ENERO!G126+FEBRERO!G126+MARZO!G126+ABRIL!G126+MAYO!G126+JUNIO!G126+JULIO!G126+AGOSTO!G126+SEPTIEMBRE!G126+OCTUBRE!G126+NOVIEMBRE!G126+DICIEMBRE!G126</f>
        <v>8675351.2100000009</v>
      </c>
      <c r="H126" s="16">
        <f>ENERO!H126+FEBRERO!H126+MARZO!H126+ABRIL!H126+MAYO!H126+JUNIO!H126+JULIO!H126+AGOSTO!H126+SEPTIEMBRE!H126+OCTUBRE!H126+NOVIEMBRE!H126+DICIEMBRE!H126</f>
        <v>136855301.16999999</v>
      </c>
      <c r="I126" s="16">
        <f>ENERO!I126+FEBRERO!I126+MARZO!I126+ABRIL!I126+MAYO!I126+JUNIO!I126+JULIO!I126+AGOSTO!I126+SEPTIEMBRE!I126+OCTUBRE!I126+NOVIEMBRE!I126+DICIEMBRE!I126</f>
        <v>60193799.560000002</v>
      </c>
      <c r="J126" s="16">
        <f>ENERO!J126+FEBRERO!J126+MARZO!J126+ABRIL!J126+MAYO!J126+JUNIO!J126+JULIO!J126+AGOSTO!J126+SEPTIEMBRE!J126+OCTUBRE!J126+NOVIEMBRE!J126+DICIEMBRE!J126</f>
        <v>198370159.55999997</v>
      </c>
      <c r="K126" s="16">
        <f>ENERO!K126+FEBRERO!K126+MARZO!K126+ABRIL!K126+MAYO!K126+JUNIO!K126+JULIO!K126+AGOSTO!K126+SEPTIEMBRE!K126+OCTUBRE!K126+NOVIEMBRE!K126+DICIEMBRE!K126</f>
        <v>0</v>
      </c>
      <c r="L126" s="16">
        <f>ENERO!L126+FEBRERO!L126+MARZO!L126+ABRIL!L126+MAYO!L126+JUNIO!L126+JULIO!L126+AGOSTO!L126+SEPTIEMBRE!L126+OCTUBRE!L126+NOVIEMBRE!L126+DICIEMBRE!L126</f>
        <v>0</v>
      </c>
      <c r="M126" s="16">
        <f>ENERO!M126+FEBRERO!M126+MARZO!M126+ABRIL!M126+MAYO!M126+JUNIO!M126+JULIO!M126+AGOSTO!M126+SEPTIEMBRE!M126+OCTUBRE!M126+NOVIEMBRE!M126+DICIEMBRE!M126</f>
        <v>8072.2899999999991</v>
      </c>
      <c r="N126" s="18">
        <f t="shared" si="3"/>
        <v>3182173735.4920974</v>
      </c>
      <c r="O126" s="4"/>
    </row>
    <row r="127" spans="1:15" ht="18" customHeight="1" x14ac:dyDescent="0.2">
      <c r="A127" s="17" t="s">
        <v>122</v>
      </c>
      <c r="B127" s="16">
        <f>ENERO!B127+FEBRERO!B127+MARZO!B127+ABRIL!B127+MAYO!B127+JUNIO!B127+JULIO!B127+AGOSTO!B127+SEPTIEMBRE!B127+OCTUBRE!B127+NOVIEMBRE!B127+DICIEMBRE!B127</f>
        <v>1281368228.7800002</v>
      </c>
      <c r="C127" s="16">
        <f>ENERO!C127+FEBRERO!C127+MARZO!C127+ABRIL!C127+MAYO!C127+JUNIO!C127+JULIO!C127+AGOSTO!C127+SEPTIEMBRE!C127+OCTUBRE!C127+NOVIEMBRE!C127+DICIEMBRE!C127</f>
        <v>91988.08</v>
      </c>
      <c r="D127" s="16">
        <f>ENERO!D127+FEBRERO!D127+MARZO!D127+ABRIL!D127+MAYO!D127+JUNIO!D127+JULIO!D127+AGOSTO!D127+SEPTIEMBRE!D127+OCTUBRE!D127+NOVIEMBRE!D127+DICIEMBRE!D127</f>
        <v>42201442.909366526</v>
      </c>
      <c r="E127" s="16">
        <f>ENERO!E127+FEBRERO!E127+MARZO!E127+ABRIL!E127+MAYO!E127+JUNIO!E127+JULIO!E127+AGOSTO!E127+SEPTIEMBRE!E127+OCTUBRE!E127+NOVIEMBRE!E127+DICIEMBRE!E127</f>
        <v>13855030.937059758</v>
      </c>
      <c r="F127" s="16">
        <f>ENERO!F127+FEBRERO!F127+MARZO!F127+ABRIL!F127+MAYO!F127+JUNIO!F127+JULIO!F127+AGOSTO!F127+SEPTIEMBRE!F127+OCTUBRE!F127+NOVIEMBRE!F127+DICIEMBRE!F127</f>
        <v>27462548.436268635</v>
      </c>
      <c r="G127" s="16">
        <f>ENERO!G127+FEBRERO!G127+MARZO!G127+ABRIL!G127+MAYO!G127+JUNIO!G127+JULIO!G127+AGOSTO!G127+SEPTIEMBRE!G127+OCTUBRE!G127+NOVIEMBRE!G127+DICIEMBRE!G127</f>
        <v>8744203.2200000007</v>
      </c>
      <c r="H127" s="16">
        <f>ENERO!H127+FEBRERO!H127+MARZO!H127+ABRIL!H127+MAYO!H127+JUNIO!H127+JULIO!H127+AGOSTO!H127+SEPTIEMBRE!H127+OCTUBRE!H127+NOVIEMBRE!H127+DICIEMBRE!H127</f>
        <v>66766938.210000008</v>
      </c>
      <c r="I127" s="16">
        <f>ENERO!I127+FEBRERO!I127+MARZO!I127+ABRIL!I127+MAYO!I127+JUNIO!I127+JULIO!I127+AGOSTO!I127+SEPTIEMBRE!I127+OCTUBRE!I127+NOVIEMBRE!I127+DICIEMBRE!I127</f>
        <v>63894547.580000006</v>
      </c>
      <c r="J127" s="16">
        <f>ENERO!J127+FEBRERO!J127+MARZO!J127+ABRIL!J127+MAYO!J127+JUNIO!J127+JULIO!J127+AGOSTO!J127+SEPTIEMBRE!J127+OCTUBRE!J127+NOVIEMBRE!J127+DICIEMBRE!J127</f>
        <v>220693822.45999995</v>
      </c>
      <c r="K127" s="16">
        <f>ENERO!K127+FEBRERO!K127+MARZO!K127+ABRIL!K127+MAYO!K127+JUNIO!K127+JULIO!K127+AGOSTO!K127+SEPTIEMBRE!K127+OCTUBRE!K127+NOVIEMBRE!K127+DICIEMBRE!K127</f>
        <v>0</v>
      </c>
      <c r="L127" s="16">
        <f>ENERO!L127+FEBRERO!L127+MARZO!L127+ABRIL!L127+MAYO!L127+JUNIO!L127+JULIO!L127+AGOSTO!L127+SEPTIEMBRE!L127+OCTUBRE!L127+NOVIEMBRE!L127+DICIEMBRE!L127</f>
        <v>0</v>
      </c>
      <c r="M127" s="16">
        <f>ENERO!M127+FEBRERO!M127+MARZO!M127+ABRIL!M127+MAYO!M127+JUNIO!M127+JULIO!M127+AGOSTO!M127+SEPTIEMBRE!M127+OCTUBRE!M127+NOVIEMBRE!M127+DICIEMBRE!M127</f>
        <v>8568.5399999999991</v>
      </c>
      <c r="N127" s="18">
        <f t="shared" si="3"/>
        <v>1725087319.1526949</v>
      </c>
      <c r="O127" s="4"/>
    </row>
    <row r="128" spans="1:15" ht="18" customHeight="1" x14ac:dyDescent="0.2">
      <c r="A128" s="17" t="s">
        <v>123</v>
      </c>
      <c r="B128" s="16">
        <f>ENERO!B128+FEBRERO!B128+MARZO!B128+ABRIL!B128+MAYO!B128+JUNIO!B128+JULIO!B128+AGOSTO!B128+SEPTIEMBRE!B128+OCTUBRE!B128+NOVIEMBRE!B128+DICIEMBRE!B128</f>
        <v>715822399.65999985</v>
      </c>
      <c r="C128" s="16">
        <f>ENERO!C128+FEBRERO!C128+MARZO!C128+ABRIL!C128+MAYO!C128+JUNIO!C128+JULIO!C128+AGOSTO!C128+SEPTIEMBRE!C128+OCTUBRE!C128+NOVIEMBRE!C128+DICIEMBRE!C128</f>
        <v>56080.760000000009</v>
      </c>
      <c r="D128" s="16">
        <f>ENERO!D128+FEBRERO!D128+MARZO!D128+ABRIL!D128+MAYO!D128+JUNIO!D128+JULIO!D128+AGOSTO!D128+SEPTIEMBRE!D128+OCTUBRE!D128+NOVIEMBRE!D128+DICIEMBRE!D128</f>
        <v>40257946.383156069</v>
      </c>
      <c r="E128" s="16">
        <f>ENERO!E128+FEBRERO!E128+MARZO!E128+ABRIL!E128+MAYO!E128+JUNIO!E128+JULIO!E128+AGOSTO!E128+SEPTIEMBRE!E128+OCTUBRE!E128+NOVIEMBRE!E128+DICIEMBRE!E128</f>
        <v>7896042.315920583</v>
      </c>
      <c r="F128" s="16">
        <f>ENERO!F128+FEBRERO!F128+MARZO!F128+ABRIL!F128+MAYO!F128+JUNIO!F128+JULIO!F128+AGOSTO!F128+SEPTIEMBRE!F128+OCTUBRE!F128+NOVIEMBRE!F128+DICIEMBRE!F128</f>
        <v>2512530.9719139389</v>
      </c>
      <c r="G128" s="16">
        <f>ENERO!G128+FEBRERO!G128+MARZO!G128+ABRIL!G128+MAYO!G128+JUNIO!G128+JULIO!G128+AGOSTO!G128+SEPTIEMBRE!G128+OCTUBRE!G128+NOVIEMBRE!G128+DICIEMBRE!G128</f>
        <v>1491793.2000000002</v>
      </c>
      <c r="H128" s="16">
        <f>ENERO!H128+FEBRERO!H128+MARZO!H128+ABRIL!H128+MAYO!H128+JUNIO!H128+JULIO!H128+AGOSTO!H128+SEPTIEMBRE!H128+OCTUBRE!H128+NOVIEMBRE!H128+DICIEMBRE!H128</f>
        <v>37516021.710000001</v>
      </c>
      <c r="I128" s="16">
        <f>ENERO!I128+FEBRERO!I128+MARZO!I128+ABRIL!I128+MAYO!I128+JUNIO!I128+JULIO!I128+AGOSTO!I128+SEPTIEMBRE!I128+OCTUBRE!I128+NOVIEMBRE!I128+DICIEMBRE!I128</f>
        <v>5845671.3700000001</v>
      </c>
      <c r="J128" s="16">
        <f>ENERO!J128+FEBRERO!J128+MARZO!J128+ABRIL!J128+MAYO!J128+JUNIO!J128+JULIO!J128+AGOSTO!J128+SEPTIEMBRE!J128+OCTUBRE!J128+NOVIEMBRE!J128+DICIEMBRE!J128</f>
        <v>48048379.020000011</v>
      </c>
      <c r="K128" s="16">
        <f>ENERO!K128+FEBRERO!K128+MARZO!K128+ABRIL!K128+MAYO!K128+JUNIO!K128+JULIO!K128+AGOSTO!K128+SEPTIEMBRE!K128+OCTUBRE!K128+NOVIEMBRE!K128+DICIEMBRE!K128</f>
        <v>0</v>
      </c>
      <c r="L128" s="16">
        <f>ENERO!L128+FEBRERO!L128+MARZO!L128+ABRIL!L128+MAYO!L128+JUNIO!L128+JULIO!L128+AGOSTO!L128+SEPTIEMBRE!L128+OCTUBRE!L128+NOVIEMBRE!L128+DICIEMBRE!L128</f>
        <v>0</v>
      </c>
      <c r="M128" s="16">
        <f>ENERO!M128+FEBRERO!M128+MARZO!M128+ABRIL!M128+MAYO!M128+JUNIO!M128+JULIO!M128+AGOSTO!M128+SEPTIEMBRE!M128+OCTUBRE!M128+NOVIEMBRE!M128+DICIEMBRE!M128</f>
        <v>783.74000000000012</v>
      </c>
      <c r="N128" s="18">
        <f t="shared" si="3"/>
        <v>859447649.13099051</v>
      </c>
      <c r="O128" s="4"/>
    </row>
    <row r="129" spans="1:15" ht="18" customHeight="1" x14ac:dyDescent="0.2">
      <c r="A129" s="17" t="s">
        <v>124</v>
      </c>
      <c r="B129" s="16">
        <f>ENERO!B129+FEBRERO!B129+MARZO!B129+ABRIL!B129+MAYO!B129+JUNIO!B129+JULIO!B129+AGOSTO!B129+SEPTIEMBRE!B129+OCTUBRE!B129+NOVIEMBRE!B129+DICIEMBRE!B129</f>
        <v>4019754127.6199999</v>
      </c>
      <c r="C129" s="16">
        <f>ENERO!C129+FEBRERO!C129+MARZO!C129+ABRIL!C129+MAYO!C129+JUNIO!C129+JULIO!C129+AGOSTO!C129+SEPTIEMBRE!C129+OCTUBRE!C129+NOVIEMBRE!C129+DICIEMBRE!C129</f>
        <v>290026.13</v>
      </c>
      <c r="D129" s="16">
        <f>ENERO!D129+FEBRERO!D129+MARZO!D129+ABRIL!D129+MAYO!D129+JUNIO!D129+JULIO!D129+AGOSTO!D129+SEPTIEMBRE!D129+OCTUBRE!D129+NOVIEMBRE!D129+DICIEMBRE!D129</f>
        <v>331706867.69231015</v>
      </c>
      <c r="E129" s="16">
        <f>ENERO!E129+FEBRERO!E129+MARZO!E129+ABRIL!E129+MAYO!E129+JUNIO!E129+JULIO!E129+AGOSTO!E129+SEPTIEMBRE!E129+OCTUBRE!E129+NOVIEMBRE!E129+DICIEMBRE!E129</f>
        <v>36179828.063161567</v>
      </c>
      <c r="F129" s="16">
        <f>ENERO!F129+FEBRERO!F129+MARZO!F129+ABRIL!F129+MAYO!F129+JUNIO!F129+JULIO!F129+AGOSTO!F129+SEPTIEMBRE!F129+OCTUBRE!F129+NOVIEMBRE!F129+DICIEMBRE!F129</f>
        <v>31955239.598528188</v>
      </c>
      <c r="G129" s="16">
        <f>ENERO!G129+FEBRERO!G129+MARZO!G129+ABRIL!G129+MAYO!G129+JUNIO!G129+JULIO!G129+AGOSTO!G129+SEPTIEMBRE!G129+OCTUBRE!G129+NOVIEMBRE!G129+DICIEMBRE!G129</f>
        <v>18199877</v>
      </c>
      <c r="H129" s="16">
        <f>ENERO!H129+FEBRERO!H129+MARZO!H129+ABRIL!H129+MAYO!H129+JUNIO!H129+JULIO!H129+AGOSTO!H129+SEPTIEMBRE!H129+OCTUBRE!H129+NOVIEMBRE!H129+DICIEMBRE!H129</f>
        <v>209520475.18000001</v>
      </c>
      <c r="I129" s="16">
        <f>ENERO!I129+FEBRERO!I129+MARZO!I129+ABRIL!I129+MAYO!I129+JUNIO!I129+JULIO!I129+AGOSTO!I129+SEPTIEMBRE!I129+OCTUBRE!I129+NOVIEMBRE!I129+DICIEMBRE!I129</f>
        <v>74347272.61999999</v>
      </c>
      <c r="J129" s="16">
        <f>ENERO!J129+FEBRERO!J129+MARZO!J129+ABRIL!J129+MAYO!J129+JUNIO!J129+JULIO!J129+AGOSTO!J129+SEPTIEMBRE!J129+OCTUBRE!J129+NOVIEMBRE!J129+DICIEMBRE!J129</f>
        <v>310152563.33999991</v>
      </c>
      <c r="K129" s="16">
        <f>ENERO!K129+FEBRERO!K129+MARZO!K129+ABRIL!K129+MAYO!K129+JUNIO!K129+JULIO!K129+AGOSTO!K129+SEPTIEMBRE!K129+OCTUBRE!K129+NOVIEMBRE!K129+DICIEMBRE!K129</f>
        <v>0</v>
      </c>
      <c r="L129" s="16">
        <f>ENERO!L129+FEBRERO!L129+MARZO!L129+ABRIL!L129+MAYO!L129+JUNIO!L129+JULIO!L129+AGOSTO!L129+SEPTIEMBRE!L129+OCTUBRE!L129+NOVIEMBRE!L129+DICIEMBRE!L129</f>
        <v>0</v>
      </c>
      <c r="M129" s="16">
        <f>ENERO!M129+FEBRERO!M129+MARZO!M129+ABRIL!M129+MAYO!M129+JUNIO!M129+JULIO!M129+AGOSTO!M129+SEPTIEMBRE!M129+OCTUBRE!M129+NOVIEMBRE!M129+DICIEMBRE!M129</f>
        <v>9970.33</v>
      </c>
      <c r="N129" s="18">
        <f t="shared" si="3"/>
        <v>5032116247.5740004</v>
      </c>
      <c r="O129" s="4"/>
    </row>
    <row r="130" spans="1:15" ht="18" customHeight="1" x14ac:dyDescent="0.2">
      <c r="A130" s="17" t="s">
        <v>125</v>
      </c>
      <c r="B130" s="16">
        <f>ENERO!B130+FEBRERO!B130+MARZO!B130+ABRIL!B130+MAYO!B130+JUNIO!B130+JULIO!B130+AGOSTO!B130+SEPTIEMBRE!B130+OCTUBRE!B130+NOVIEMBRE!B130+DICIEMBRE!B130</f>
        <v>1206210721.1500001</v>
      </c>
      <c r="C130" s="16">
        <f>ENERO!C130+FEBRERO!C130+MARZO!C130+ABRIL!C130+MAYO!C130+JUNIO!C130+JULIO!C130+AGOSTO!C130+SEPTIEMBRE!C130+OCTUBRE!C130+NOVIEMBRE!C130+DICIEMBRE!C130</f>
        <v>90824.23</v>
      </c>
      <c r="D130" s="16">
        <f>ENERO!D130+FEBRERO!D130+MARZO!D130+ABRIL!D130+MAYO!D130+JUNIO!D130+JULIO!D130+AGOSTO!D130+SEPTIEMBRE!D130+OCTUBRE!D130+NOVIEMBRE!D130+DICIEMBRE!D130</f>
        <v>103296602.65594009</v>
      </c>
      <c r="E130" s="16">
        <f>ENERO!E130+FEBRERO!E130+MARZO!E130+ABRIL!E130+MAYO!E130+JUNIO!E130+JULIO!E130+AGOSTO!E130+SEPTIEMBRE!E130+OCTUBRE!E130+NOVIEMBRE!E130+DICIEMBRE!E130</f>
        <v>13064009.746849257</v>
      </c>
      <c r="F130" s="16">
        <f>ENERO!F130+FEBRERO!F130+MARZO!F130+ABRIL!F130+MAYO!F130+JUNIO!F130+JULIO!F130+AGOSTO!F130+SEPTIEMBRE!F130+OCTUBRE!F130+NOVIEMBRE!F130+DICIEMBRE!F130</f>
        <v>3953827.8634769735</v>
      </c>
      <c r="G130" s="16">
        <f>ENERO!G130+FEBRERO!G130+MARZO!G130+ABRIL!G130+MAYO!G130+JUNIO!G130+JULIO!G130+AGOSTO!G130+SEPTIEMBRE!G130+OCTUBRE!G130+NOVIEMBRE!G130+DICIEMBRE!G130</f>
        <v>1354089.21</v>
      </c>
      <c r="H130" s="16">
        <f>ENERO!H130+FEBRERO!H130+MARZO!H130+ABRIL!H130+MAYO!H130+JUNIO!H130+JULIO!H130+AGOSTO!H130+SEPTIEMBRE!H130+OCTUBRE!H130+NOVIEMBRE!H130+DICIEMBRE!H130</f>
        <v>63046825.160000011</v>
      </c>
      <c r="I130" s="16">
        <f>ENERO!I130+FEBRERO!I130+MARZO!I130+ABRIL!I130+MAYO!I130+JUNIO!I130+JULIO!I130+AGOSTO!I130+SEPTIEMBRE!I130+OCTUBRE!I130+NOVIEMBRE!I130+DICIEMBRE!I130</f>
        <v>9199002.2399999984</v>
      </c>
      <c r="J130" s="16">
        <f>ENERO!J130+FEBRERO!J130+MARZO!J130+ABRIL!J130+MAYO!J130+JUNIO!J130+JULIO!J130+AGOSTO!J130+SEPTIEMBRE!J130+OCTUBRE!J130+NOVIEMBRE!J130+DICIEMBRE!J130</f>
        <v>81564576.649999991</v>
      </c>
      <c r="K130" s="16">
        <f>ENERO!K130+FEBRERO!K130+MARZO!K130+ABRIL!K130+MAYO!K130+JUNIO!K130+JULIO!K130+AGOSTO!K130+SEPTIEMBRE!K130+OCTUBRE!K130+NOVIEMBRE!K130+DICIEMBRE!K130</f>
        <v>0</v>
      </c>
      <c r="L130" s="16">
        <f>ENERO!L130+FEBRERO!L130+MARZO!L130+ABRIL!L130+MAYO!L130+JUNIO!L130+JULIO!L130+AGOSTO!L130+SEPTIEMBRE!L130+OCTUBRE!L130+NOVIEMBRE!L130+DICIEMBRE!L130</f>
        <v>0</v>
      </c>
      <c r="M130" s="16">
        <f>ENERO!M130+FEBRERO!M130+MARZO!M130+ABRIL!M130+MAYO!M130+JUNIO!M130+JULIO!M130+AGOSTO!M130+SEPTIEMBRE!M130+OCTUBRE!M130+NOVIEMBRE!M130+DICIEMBRE!M130</f>
        <v>1233.4599999999998</v>
      </c>
      <c r="N130" s="18">
        <f t="shared" si="3"/>
        <v>1481781712.3662667</v>
      </c>
      <c r="O130" s="4"/>
    </row>
    <row r="131" spans="1:15" ht="18" customHeight="1" x14ac:dyDescent="0.2">
      <c r="A131" s="17" t="s">
        <v>126</v>
      </c>
      <c r="B131" s="16">
        <f>ENERO!B131+FEBRERO!B131+MARZO!B131+ABRIL!B131+MAYO!B131+JUNIO!B131+JULIO!B131+AGOSTO!B131+SEPTIEMBRE!B131+OCTUBRE!B131+NOVIEMBRE!B131+DICIEMBRE!B131</f>
        <v>6369704498.1100006</v>
      </c>
      <c r="C131" s="16">
        <f>ENERO!C131+FEBRERO!C131+MARZO!C131+ABRIL!C131+MAYO!C131+JUNIO!C131+JULIO!C131+AGOSTO!C131+SEPTIEMBRE!C131+OCTUBRE!C131+NOVIEMBRE!C131+DICIEMBRE!C131</f>
        <v>427164.07</v>
      </c>
      <c r="D131" s="16">
        <f>ENERO!D131+FEBRERO!D131+MARZO!D131+ABRIL!D131+MAYO!D131+JUNIO!D131+JULIO!D131+AGOSTO!D131+SEPTIEMBRE!D131+OCTUBRE!D131+NOVIEMBRE!D131+DICIEMBRE!D131</f>
        <v>169843696.71000001</v>
      </c>
      <c r="E131" s="16">
        <f>ENERO!E131+FEBRERO!E131+MARZO!E131+ABRIL!E131+MAYO!E131+JUNIO!E131+JULIO!E131+AGOSTO!E131+SEPTIEMBRE!E131+OCTUBRE!E131+NOVIEMBRE!E131+DICIEMBRE!E131</f>
        <v>116490418.65933758</v>
      </c>
      <c r="F131" s="16">
        <f>ENERO!F131+FEBRERO!F131+MARZO!F131+ABRIL!F131+MAYO!F131+JUNIO!F131+JULIO!F131+AGOSTO!F131+SEPTIEMBRE!F131+OCTUBRE!F131+NOVIEMBRE!F131+DICIEMBRE!F131</f>
        <v>174585198.92834038</v>
      </c>
      <c r="G131" s="16">
        <f>ENERO!G131+FEBRERO!G131+MARZO!G131+ABRIL!G131+MAYO!G131+JUNIO!G131+JULIO!G131+AGOSTO!G131+SEPTIEMBRE!G131+OCTUBRE!G131+NOVIEMBRE!G131+DICIEMBRE!G131</f>
        <v>15979629.631881334</v>
      </c>
      <c r="H131" s="16">
        <f>ENERO!H131+FEBRERO!H131+MARZO!H131+ABRIL!H131+MAYO!H131+JUNIO!H131+JULIO!H131+AGOSTO!H131+SEPTIEMBRE!H131+OCTUBRE!H131+NOVIEMBRE!H131+DICIEMBRE!H131</f>
        <v>330504701.01999998</v>
      </c>
      <c r="I131" s="16">
        <f>ENERO!I131+FEBRERO!I131+MARZO!I131+ABRIL!I131+MAYO!I131+JUNIO!I131+JULIO!I131+AGOSTO!I131+SEPTIEMBRE!I131+OCTUBRE!I131+NOVIEMBRE!I131+DICIEMBRE!I131</f>
        <v>406191082.47000003</v>
      </c>
      <c r="J131" s="16">
        <f>ENERO!J131+FEBRERO!J131+MARZO!J131+ABRIL!J131+MAYO!J131+JUNIO!J131+JULIO!J131+AGOSTO!J131+SEPTIEMBRE!J131+OCTUBRE!J131+NOVIEMBRE!J131+DICIEMBRE!J131</f>
        <v>660548498.78999996</v>
      </c>
      <c r="K131" s="16">
        <f>ENERO!K131+FEBRERO!K131+MARZO!K131+ABRIL!K131+MAYO!K131+JUNIO!K131+JULIO!K131+AGOSTO!K131+SEPTIEMBRE!K131+OCTUBRE!K131+NOVIEMBRE!K131+DICIEMBRE!K131</f>
        <v>0</v>
      </c>
      <c r="L131" s="16">
        <f>ENERO!L131+FEBRERO!L131+MARZO!L131+ABRIL!L131+MAYO!L131+JUNIO!L131+JULIO!L131+AGOSTO!L131+SEPTIEMBRE!L131+OCTUBRE!L131+NOVIEMBRE!L131+DICIEMBRE!L131</f>
        <v>0</v>
      </c>
      <c r="M131" s="16">
        <f>ENERO!M131+FEBRERO!M131+MARZO!M131+ABRIL!M131+MAYO!M131+JUNIO!M131+JULIO!M131+AGOSTO!M131+SEPTIEMBRE!M131+OCTUBRE!M131+NOVIEMBRE!M131+DICIEMBRE!M131</f>
        <v>54473.229999999989</v>
      </c>
      <c r="N131" s="18">
        <f t="shared" si="3"/>
        <v>8244329361.6195602</v>
      </c>
      <c r="O131" s="4"/>
    </row>
    <row r="132" spans="1:15" ht="18" customHeight="1" x14ac:dyDescent="0.2">
      <c r="A132" s="17" t="s">
        <v>127</v>
      </c>
      <c r="B132" s="16">
        <f>ENERO!B132+FEBRERO!B132+MARZO!B132+ABRIL!B132+MAYO!B132+JUNIO!B132+JULIO!B132+AGOSTO!B132+SEPTIEMBRE!B132+OCTUBRE!B132+NOVIEMBRE!B132+DICIEMBRE!B132</f>
        <v>270259476.56999999</v>
      </c>
      <c r="C132" s="16">
        <f>ENERO!C132+FEBRERO!C132+MARZO!C132+ABRIL!C132+MAYO!C132+JUNIO!C132+JULIO!C132+AGOSTO!C132+SEPTIEMBRE!C132+OCTUBRE!C132+NOVIEMBRE!C132+DICIEMBRE!C132</f>
        <v>18976.8</v>
      </c>
      <c r="D132" s="16">
        <f>ENERO!D132+FEBRERO!D132+MARZO!D132+ABRIL!D132+MAYO!D132+JUNIO!D132+JULIO!D132+AGOSTO!D132+SEPTIEMBRE!D132+OCTUBRE!D132+NOVIEMBRE!D132+DICIEMBRE!D132</f>
        <v>9476971.2884265874</v>
      </c>
      <c r="E132" s="16">
        <f>ENERO!E132+FEBRERO!E132+MARZO!E132+ABRIL!E132+MAYO!E132+JUNIO!E132+JULIO!E132+AGOSTO!E132+SEPTIEMBRE!E132+OCTUBRE!E132+NOVIEMBRE!E132+DICIEMBRE!E132</f>
        <v>2858905.1203124868</v>
      </c>
      <c r="F132" s="16">
        <f>ENERO!F132+FEBRERO!F132+MARZO!F132+ABRIL!F132+MAYO!F132+JUNIO!F132+JULIO!F132+AGOSTO!F132+SEPTIEMBRE!F132+OCTUBRE!F132+NOVIEMBRE!F132+DICIEMBRE!F132</f>
        <v>746617.68963850883</v>
      </c>
      <c r="G132" s="16">
        <f>ENERO!G132+FEBRERO!G132+MARZO!G132+ABRIL!G132+MAYO!G132+JUNIO!G132+JULIO!G132+AGOSTO!G132+SEPTIEMBRE!G132+OCTUBRE!G132+NOVIEMBRE!G132+DICIEMBRE!G132</f>
        <v>252457.31</v>
      </c>
      <c r="H132" s="16">
        <f>ENERO!H132+FEBRERO!H132+MARZO!H132+ABRIL!H132+MAYO!H132+JUNIO!H132+JULIO!H132+AGOSTO!H132+SEPTIEMBRE!H132+OCTUBRE!H132+NOVIEMBRE!H132+DICIEMBRE!H132</f>
        <v>14062451.390000001</v>
      </c>
      <c r="I132" s="16">
        <f>ENERO!I132+FEBRERO!I132+MARZO!I132+ABRIL!I132+MAYO!I132+JUNIO!I132+JULIO!I132+AGOSTO!I132+SEPTIEMBRE!I132+OCTUBRE!I132+NOVIEMBRE!I132+DICIEMBRE!I132</f>
        <v>1737085.8100000003</v>
      </c>
      <c r="J132" s="16">
        <f>ENERO!J132+FEBRERO!J132+MARZO!J132+ABRIL!J132+MAYO!J132+JUNIO!J132+JULIO!J132+AGOSTO!J132+SEPTIEMBRE!J132+OCTUBRE!J132+NOVIEMBRE!J132+DICIEMBRE!J132</f>
        <v>23460122.270000011</v>
      </c>
      <c r="K132" s="16">
        <f>ENERO!K132+FEBRERO!K132+MARZO!K132+ABRIL!K132+MAYO!K132+JUNIO!K132+JULIO!K132+AGOSTO!K132+SEPTIEMBRE!K132+OCTUBRE!K132+NOVIEMBRE!K132+DICIEMBRE!K132</f>
        <v>0</v>
      </c>
      <c r="L132" s="16">
        <f>ENERO!L132+FEBRERO!L132+MARZO!L132+ABRIL!L132+MAYO!L132+JUNIO!L132+JULIO!L132+AGOSTO!L132+SEPTIEMBRE!L132+OCTUBRE!L132+NOVIEMBRE!L132+DICIEMBRE!L132</f>
        <v>0</v>
      </c>
      <c r="M132" s="16">
        <f>ENERO!M132+FEBRERO!M132+MARZO!M132+ABRIL!M132+MAYO!M132+JUNIO!M132+JULIO!M132+AGOSTO!M132+SEPTIEMBRE!M132+OCTUBRE!M132+NOVIEMBRE!M132+DICIEMBRE!M132</f>
        <v>232.76000000000002</v>
      </c>
      <c r="N132" s="18">
        <f t="shared" si="3"/>
        <v>322873297.00837755</v>
      </c>
      <c r="O132" s="4"/>
    </row>
    <row r="133" spans="1:15" ht="18" customHeight="1" x14ac:dyDescent="0.2">
      <c r="A133" s="17" t="s">
        <v>128</v>
      </c>
      <c r="B133" s="16">
        <f>ENERO!B133+FEBRERO!B133+MARZO!B133+ABRIL!B133+MAYO!B133+JUNIO!B133+JULIO!B133+AGOSTO!B133+SEPTIEMBRE!B133+OCTUBRE!B133+NOVIEMBRE!B133+DICIEMBRE!B133</f>
        <v>1541055678.77</v>
      </c>
      <c r="C133" s="16">
        <f>ENERO!C133+FEBRERO!C133+MARZO!C133+ABRIL!C133+MAYO!C133+JUNIO!C133+JULIO!C133+AGOSTO!C133+SEPTIEMBRE!C133+OCTUBRE!C133+NOVIEMBRE!C133+DICIEMBRE!C133</f>
        <v>106120.96999999999</v>
      </c>
      <c r="D133" s="16">
        <f>ENERO!D133+FEBRERO!D133+MARZO!D133+ABRIL!D133+MAYO!D133+JUNIO!D133+JULIO!D133+AGOSTO!D133+SEPTIEMBRE!D133+OCTUBRE!D133+NOVIEMBRE!D133+DICIEMBRE!D133</f>
        <v>65496024.092651665</v>
      </c>
      <c r="E133" s="16">
        <f>ENERO!E133+FEBRERO!E133+MARZO!E133+ABRIL!E133+MAYO!E133+JUNIO!E133+JULIO!E133+AGOSTO!E133+SEPTIEMBRE!E133+OCTUBRE!E133+NOVIEMBRE!E133+DICIEMBRE!E133</f>
        <v>9347689.6482647639</v>
      </c>
      <c r="F133" s="16">
        <f>ENERO!F133+FEBRERO!F133+MARZO!F133+ABRIL!F133+MAYO!F133+JUNIO!F133+JULIO!F133+AGOSTO!F133+SEPTIEMBRE!F133+OCTUBRE!F133+NOVIEMBRE!F133+DICIEMBRE!F133</f>
        <v>2700808.5111271283</v>
      </c>
      <c r="G133" s="16">
        <f>ENERO!G133+FEBRERO!G133+MARZO!G133+ABRIL!G133+MAYO!G133+JUNIO!G133+JULIO!G133+AGOSTO!G133+SEPTIEMBRE!G133+OCTUBRE!G133+NOVIEMBRE!G133+DICIEMBRE!G133</f>
        <v>1859003.84</v>
      </c>
      <c r="H133" s="16">
        <f>ENERO!H133+FEBRERO!H133+MARZO!H133+ABRIL!H133+MAYO!H133+JUNIO!H133+JULIO!H133+AGOSTO!H133+SEPTIEMBRE!H133+OCTUBRE!H133+NOVIEMBRE!H133+DICIEMBRE!H133</f>
        <v>80089276.13000001</v>
      </c>
      <c r="I133" s="16">
        <f>ENERO!I133+FEBRERO!I133+MARZO!I133+ABRIL!I133+MAYO!I133+JUNIO!I133+JULIO!I133+AGOSTO!I133+SEPTIEMBRE!I133+OCTUBRE!I133+NOVIEMBRE!I133+DICIEMBRE!I133</f>
        <v>6283719.1000000006</v>
      </c>
      <c r="J133" s="16">
        <f>ENERO!J133+FEBRERO!J133+MARZO!J133+ABRIL!J133+MAYO!J133+JUNIO!J133+JULIO!J133+AGOSTO!J133+SEPTIEMBRE!J133+OCTUBRE!J133+NOVIEMBRE!J133+DICIEMBRE!J133</f>
        <v>85423543.089999959</v>
      </c>
      <c r="K133" s="16">
        <f>ENERO!K133+FEBRERO!K133+MARZO!K133+ABRIL!K133+MAYO!K133+JUNIO!K133+JULIO!K133+AGOSTO!K133+SEPTIEMBRE!K133+OCTUBRE!K133+NOVIEMBRE!K133+DICIEMBRE!K133</f>
        <v>0</v>
      </c>
      <c r="L133" s="16">
        <f>ENERO!L133+FEBRERO!L133+MARZO!L133+ABRIL!L133+MAYO!L133+JUNIO!L133+JULIO!L133+AGOSTO!L133+SEPTIEMBRE!L133+OCTUBRE!L133+NOVIEMBRE!L133+DICIEMBRE!L133</f>
        <v>0</v>
      </c>
      <c r="M133" s="16">
        <f>ENERO!M133+FEBRERO!M133+MARZO!M133+ABRIL!M133+MAYO!M133+JUNIO!M133+JULIO!M133+AGOSTO!M133+SEPTIEMBRE!M133+OCTUBRE!M133+NOVIEMBRE!M133+DICIEMBRE!M133</f>
        <v>842.51</v>
      </c>
      <c r="N133" s="18">
        <f t="shared" si="3"/>
        <v>1792362706.6620433</v>
      </c>
      <c r="O133" s="4"/>
    </row>
    <row r="134" spans="1:15" ht="18" customHeight="1" x14ac:dyDescent="0.2">
      <c r="A134" s="17" t="s">
        <v>129</v>
      </c>
      <c r="B134" s="16">
        <f>ENERO!B134+FEBRERO!B134+MARZO!B134+ABRIL!B134+MAYO!B134+JUNIO!B134+JULIO!B134+AGOSTO!B134+SEPTIEMBRE!B134+OCTUBRE!B134+NOVIEMBRE!B134+DICIEMBRE!B134</f>
        <v>2962359114.9400001</v>
      </c>
      <c r="C134" s="16">
        <f>ENERO!C134+FEBRERO!C134+MARZO!C134+ABRIL!C134+MAYO!C134+JUNIO!C134+JULIO!C134+AGOSTO!C134+SEPTIEMBRE!C134+OCTUBRE!C134+NOVIEMBRE!C134+DICIEMBRE!C134</f>
        <v>208023.67999999999</v>
      </c>
      <c r="D134" s="16">
        <f>ENERO!D134+FEBRERO!D134+MARZO!D134+ABRIL!D134+MAYO!D134+JUNIO!D134+JULIO!D134+AGOSTO!D134+SEPTIEMBRE!D134+OCTUBRE!D134+NOVIEMBRE!D134+DICIEMBRE!D134</f>
        <v>205740870.90657678</v>
      </c>
      <c r="E134" s="16">
        <f>ENERO!E134+FEBRERO!E134+MARZO!E134+ABRIL!E134+MAYO!E134+JUNIO!E134+JULIO!E134+AGOSTO!E134+SEPTIEMBRE!E134+OCTUBRE!E134+NOVIEMBRE!E134+DICIEMBRE!E134</f>
        <v>31462759.966302909</v>
      </c>
      <c r="F134" s="16">
        <f>ENERO!F134+FEBRERO!F134+MARZO!F134+ABRIL!F134+MAYO!F134+JUNIO!F134+JULIO!F134+AGOSTO!F134+SEPTIEMBRE!F134+OCTUBRE!F134+NOVIEMBRE!F134+DICIEMBRE!F134</f>
        <v>12601609.102855179</v>
      </c>
      <c r="G134" s="16">
        <f>ENERO!G134+FEBRERO!G134+MARZO!G134+ABRIL!G134+MAYO!G134+JUNIO!G134+JULIO!G134+AGOSTO!G134+SEPTIEMBRE!G134+OCTUBRE!G134+NOVIEMBRE!G134+DICIEMBRE!G134</f>
        <v>6311432.75</v>
      </c>
      <c r="H134" s="16">
        <f>ENERO!H134+FEBRERO!H134+MARZO!H134+ABRIL!H134+MAYO!H134+JUNIO!H134+JULIO!H134+AGOSTO!H134+SEPTIEMBRE!H134+OCTUBRE!H134+NOVIEMBRE!H134+DICIEMBRE!H134</f>
        <v>154141596.35000002</v>
      </c>
      <c r="I134" s="16">
        <f>ENERO!I134+FEBRERO!I134+MARZO!I134+ABRIL!I134+MAYO!I134+JUNIO!I134+JULIO!I134+AGOSTO!I134+SEPTIEMBRE!I134+OCTUBRE!I134+NOVIEMBRE!I134+DICIEMBRE!I134</f>
        <v>29318987.43</v>
      </c>
      <c r="J134" s="16">
        <f>ENERO!J134+FEBRERO!J134+MARZO!J134+ABRIL!J134+MAYO!J134+JUNIO!J134+JULIO!J134+AGOSTO!J134+SEPTIEMBRE!J134+OCTUBRE!J134+NOVIEMBRE!J134+DICIEMBRE!J134</f>
        <v>190112439.81000003</v>
      </c>
      <c r="K134" s="16">
        <f>ENERO!K134+FEBRERO!K134+MARZO!K134+ABRIL!K134+MAYO!K134+JUNIO!K134+JULIO!K134+AGOSTO!K134+SEPTIEMBRE!K134+OCTUBRE!K134+NOVIEMBRE!K134+DICIEMBRE!K134</f>
        <v>0</v>
      </c>
      <c r="L134" s="16">
        <f>ENERO!L134+FEBRERO!L134+MARZO!L134+ABRIL!L134+MAYO!L134+JUNIO!L134+JULIO!L134+AGOSTO!L134+SEPTIEMBRE!L134+OCTUBRE!L134+NOVIEMBRE!L134+DICIEMBRE!L134</f>
        <v>0</v>
      </c>
      <c r="M134" s="16">
        <f>ENERO!M134+FEBRERO!M134+MARZO!M134+ABRIL!M134+MAYO!M134+JUNIO!M134+JULIO!M134+AGOSTO!M134+SEPTIEMBRE!M134+OCTUBRE!M134+NOVIEMBRE!M134+DICIEMBRE!M134</f>
        <v>3931.6999999999994</v>
      </c>
      <c r="N134" s="18">
        <f t="shared" si="3"/>
        <v>3592260766.6357341</v>
      </c>
      <c r="O134" s="4"/>
    </row>
    <row r="135" spans="1:15" ht="18" customHeight="1" x14ac:dyDescent="0.2">
      <c r="A135" s="17" t="s">
        <v>130</v>
      </c>
      <c r="B135" s="16">
        <f>ENERO!B135+FEBRERO!B135+MARZO!B135+ABRIL!B135+MAYO!B135+JUNIO!B135+JULIO!B135+AGOSTO!B135+SEPTIEMBRE!B135+OCTUBRE!B135+NOVIEMBRE!B135+DICIEMBRE!B135</f>
        <v>2466358007.8200002</v>
      </c>
      <c r="C135" s="16">
        <f>ENERO!C135+FEBRERO!C135+MARZO!C135+ABRIL!C135+MAYO!C135+JUNIO!C135+JULIO!C135+AGOSTO!C135+SEPTIEMBRE!C135+OCTUBRE!C135+NOVIEMBRE!C135+DICIEMBRE!C135</f>
        <v>174299.27</v>
      </c>
      <c r="D135" s="16">
        <f>ENERO!D135+FEBRERO!D135+MARZO!D135+ABRIL!D135+MAYO!D135+JUNIO!D135+JULIO!D135+AGOSTO!D135+SEPTIEMBRE!D135+OCTUBRE!D135+NOVIEMBRE!D135+DICIEMBRE!D135</f>
        <v>258240022.54267526</v>
      </c>
      <c r="E135" s="16">
        <f>ENERO!E135+FEBRERO!E135+MARZO!E135+ABRIL!E135+MAYO!E135+JUNIO!E135+JULIO!E135+AGOSTO!E135+SEPTIEMBRE!E135+OCTUBRE!E135+NOVIEMBRE!E135+DICIEMBRE!E135</f>
        <v>35872325.749748141</v>
      </c>
      <c r="F135" s="16">
        <f>ENERO!F135+FEBRERO!F135+MARZO!F135+ABRIL!F135+MAYO!F135+JUNIO!F135+JULIO!F135+AGOSTO!F135+SEPTIEMBRE!F135+OCTUBRE!F135+NOVIEMBRE!F135+DICIEMBRE!F135</f>
        <v>18970583.11003238</v>
      </c>
      <c r="G135" s="16">
        <f>ENERO!G135+FEBRERO!G135+MARZO!G135+ABRIL!G135+MAYO!G135+JUNIO!G135+JULIO!G135+AGOSTO!G135+SEPTIEMBRE!G135+OCTUBRE!G135+NOVIEMBRE!G135+DICIEMBRE!G135</f>
        <v>8399943.2199999988</v>
      </c>
      <c r="H135" s="16">
        <f>ENERO!H135+FEBRERO!H135+MARZO!H135+ABRIL!H135+MAYO!H135+JUNIO!H135+JULIO!H135+AGOSTO!H135+SEPTIEMBRE!H135+OCTUBRE!H135+NOVIEMBRE!H135+DICIEMBRE!H135</f>
        <v>128384210.92</v>
      </c>
      <c r="I135" s="16">
        <f>ENERO!I135+FEBRERO!I135+MARZO!I135+ABRIL!I135+MAYO!I135+JUNIO!I135+JULIO!I135+AGOSTO!I135+SEPTIEMBRE!I135+OCTUBRE!I135+NOVIEMBRE!I135+DICIEMBRE!I135</f>
        <v>44137084.629999995</v>
      </c>
      <c r="J135" s="16">
        <f>ENERO!J135+FEBRERO!J135+MARZO!J135+ABRIL!J135+MAYO!J135+JUNIO!J135+JULIO!J135+AGOSTO!J135+SEPTIEMBRE!J135+OCTUBRE!J135+NOVIEMBRE!J135+DICIEMBRE!J135</f>
        <v>204058702.15000001</v>
      </c>
      <c r="K135" s="16">
        <f>ENERO!K135+FEBRERO!K135+MARZO!K135+ABRIL!K135+MAYO!K135+JUNIO!K135+JULIO!K135+AGOSTO!K135+SEPTIEMBRE!K135+OCTUBRE!K135+NOVIEMBRE!K135+DICIEMBRE!K135</f>
        <v>0</v>
      </c>
      <c r="L135" s="16">
        <f>ENERO!L135+FEBRERO!L135+MARZO!L135+ABRIL!L135+MAYO!L135+JUNIO!L135+JULIO!L135+AGOSTO!L135+SEPTIEMBRE!L135+OCTUBRE!L135+NOVIEMBRE!L135+DICIEMBRE!L135</f>
        <v>0</v>
      </c>
      <c r="M135" s="16">
        <f>ENERO!M135+FEBRERO!M135+MARZO!M135+ABRIL!M135+MAYO!M135+JUNIO!M135+JULIO!M135+AGOSTO!M135+SEPTIEMBRE!M135+OCTUBRE!M135+NOVIEMBRE!M135+DICIEMBRE!M135</f>
        <v>5918.8900000000012</v>
      </c>
      <c r="N135" s="18">
        <f t="shared" si="3"/>
        <v>3164601098.3024559</v>
      </c>
      <c r="O135" s="4"/>
    </row>
    <row r="136" spans="1:15" ht="18" customHeight="1" x14ac:dyDescent="0.2">
      <c r="A136" s="17" t="s">
        <v>131</v>
      </c>
      <c r="B136" s="16">
        <f>ENERO!B136+FEBRERO!B136+MARZO!B136+ABRIL!B136+MAYO!B136+JUNIO!B136+JULIO!B136+AGOSTO!B136+SEPTIEMBRE!B136+OCTUBRE!B136+NOVIEMBRE!B136+DICIEMBRE!B136</f>
        <v>4193289160.8699999</v>
      </c>
      <c r="C136" s="16">
        <f>ENERO!C136+FEBRERO!C136+MARZO!C136+ABRIL!C136+MAYO!C136+JUNIO!C136+JULIO!C136+AGOSTO!C136+SEPTIEMBRE!C136+OCTUBRE!C136+NOVIEMBRE!C136+DICIEMBRE!C136</f>
        <v>296634.95999999996</v>
      </c>
      <c r="D136" s="16">
        <f>ENERO!D136+FEBRERO!D136+MARZO!D136+ABRIL!D136+MAYO!D136+JUNIO!D136+JULIO!D136+AGOSTO!D136+SEPTIEMBRE!D136+OCTUBRE!D136+NOVIEMBRE!D136+DICIEMBRE!D136</f>
        <v>49316246.940000005</v>
      </c>
      <c r="E136" s="16">
        <f>ENERO!E136+FEBRERO!E136+MARZO!E136+ABRIL!E136+MAYO!E136+JUNIO!E136+JULIO!E136+AGOSTO!E136+SEPTIEMBRE!E136+OCTUBRE!E136+NOVIEMBRE!E136+DICIEMBRE!E136</f>
        <v>63234399.82279899</v>
      </c>
      <c r="F136" s="16">
        <f>ENERO!F136+FEBRERO!F136+MARZO!F136+ABRIL!F136+MAYO!F136+JUNIO!F136+JULIO!F136+AGOSTO!F136+SEPTIEMBRE!F136+OCTUBRE!F136+NOVIEMBRE!F136+DICIEMBRE!F136</f>
        <v>112869126.57969981</v>
      </c>
      <c r="G136" s="16">
        <f>ENERO!G136+FEBRERO!G136+MARZO!G136+ABRIL!G136+MAYO!G136+JUNIO!G136+JULIO!G136+AGOSTO!G136+SEPTIEMBRE!G136+OCTUBRE!G136+NOVIEMBRE!G136+DICIEMBRE!G136</f>
        <v>59174152.775605746</v>
      </c>
      <c r="H136" s="16">
        <f>ENERO!H136+FEBRERO!H136+MARZO!H136+ABRIL!H136+MAYO!H136+JUNIO!H136+JULIO!H136+AGOSTO!H136+SEPTIEMBRE!H136+OCTUBRE!H136+NOVIEMBRE!H136+DICIEMBRE!H136</f>
        <v>218291712.14999998</v>
      </c>
      <c r="I136" s="16">
        <f>ENERO!I136+FEBRERO!I136+MARZO!I136+ABRIL!I136+MAYO!I136+JUNIO!I136+JULIO!I136+AGOSTO!I136+SEPTIEMBRE!I136+OCTUBRE!I136+NOVIEMBRE!I136+DICIEMBRE!I136</f>
        <v>262602059.00999999</v>
      </c>
      <c r="J136" s="16">
        <f>ENERO!J136+FEBRERO!J136+MARZO!J136+ABRIL!J136+MAYO!J136+JUNIO!J136+JULIO!J136+AGOSTO!J136+SEPTIEMBRE!J136+OCTUBRE!J136+NOVIEMBRE!J136+DICIEMBRE!J136</f>
        <v>477244408.71999997</v>
      </c>
      <c r="K136" s="16">
        <f>ENERO!K136+FEBRERO!K136+MARZO!K136+ABRIL!K136+MAYO!K136+JUNIO!K136+JULIO!K136+AGOSTO!K136+SEPTIEMBRE!K136+OCTUBRE!K136+NOVIEMBRE!K136+DICIEMBRE!K136</f>
        <v>0</v>
      </c>
      <c r="L136" s="16">
        <f>ENERO!L136+FEBRERO!L136+MARZO!L136+ABRIL!L136+MAYO!L136+JUNIO!L136+JULIO!L136+AGOSTO!L136+SEPTIEMBRE!L136+OCTUBRE!L136+NOVIEMBRE!L136+DICIEMBRE!L136</f>
        <v>0</v>
      </c>
      <c r="M136" s="16">
        <f>ENERO!M136+FEBRERO!M136+MARZO!M136+ABRIL!M136+MAYO!M136+JUNIO!M136+JULIO!M136+AGOSTO!M136+SEPTIEMBRE!M136+OCTUBRE!M136+NOVIEMBRE!M136+DICIEMBRE!M136</f>
        <v>35216.83</v>
      </c>
      <c r="N136" s="18">
        <f t="shared" ref="N136:N142" si="4">SUM(B136:M136)</f>
        <v>5436353118.6581049</v>
      </c>
      <c r="O136" s="4"/>
    </row>
    <row r="137" spans="1:15" ht="18" customHeight="1" x14ac:dyDescent="0.2">
      <c r="A137" s="17" t="s">
        <v>132</v>
      </c>
      <c r="B137" s="16">
        <f>ENERO!B137+FEBRERO!B137+MARZO!B137+ABRIL!B137+MAYO!B137+JUNIO!B137+JULIO!B137+AGOSTO!B137+SEPTIEMBRE!B137+OCTUBRE!B137+NOVIEMBRE!B137+DICIEMBRE!B137</f>
        <v>690334201.39999998</v>
      </c>
      <c r="C137" s="16">
        <f>ENERO!C137+FEBRERO!C137+MARZO!C137+ABRIL!C137+MAYO!C137+JUNIO!C137+JULIO!C137+AGOSTO!C137+SEPTIEMBRE!C137+OCTUBRE!C137+NOVIEMBRE!C137+DICIEMBRE!C137</f>
        <v>50236.91</v>
      </c>
      <c r="D137" s="16">
        <f>ENERO!D137+FEBRERO!D137+MARZO!D137+ABRIL!D137+MAYO!D137+JUNIO!D137+JULIO!D137+AGOSTO!D137+SEPTIEMBRE!D137+OCTUBRE!D137+NOVIEMBRE!D137+DICIEMBRE!D137</f>
        <v>34106275.621500932</v>
      </c>
      <c r="E137" s="16">
        <f>ENERO!E137+FEBRERO!E137+MARZO!E137+ABRIL!E137+MAYO!E137+JUNIO!E137+JULIO!E137+AGOSTO!E137+SEPTIEMBRE!E137+OCTUBRE!E137+NOVIEMBRE!E137+DICIEMBRE!E137</f>
        <v>7443797.3241152875</v>
      </c>
      <c r="F137" s="16">
        <f>ENERO!F137+FEBRERO!F137+MARZO!F137+ABRIL!F137+MAYO!F137+JUNIO!F137+JULIO!F137+AGOSTO!F137+SEPTIEMBRE!F137+OCTUBRE!F137+NOVIEMBRE!F137+DICIEMBRE!F137</f>
        <v>1350404.240563564</v>
      </c>
      <c r="G137" s="16">
        <f>ENERO!G137+FEBRERO!G137+MARZO!G137+ABRIL!G137+MAYO!G137+JUNIO!G137+JULIO!G137+AGOSTO!G137+SEPTIEMBRE!G137+OCTUBRE!G137+NOVIEMBRE!G137+DICIEMBRE!G137</f>
        <v>1285237.22</v>
      </c>
      <c r="H137" s="16">
        <f>ENERO!H137+FEBRERO!H137+MARZO!H137+ABRIL!H137+MAYO!H137+JUNIO!H137+JULIO!H137+AGOSTO!H137+SEPTIEMBRE!H137+OCTUBRE!H137+NOVIEMBRE!H137+DICIEMBRE!H137</f>
        <v>36001970.68</v>
      </c>
      <c r="I137" s="16">
        <f>ENERO!I137+FEBRERO!I137+MARZO!I137+ABRIL!I137+MAYO!I137+JUNIO!I137+JULIO!I137+AGOSTO!I137+SEPTIEMBRE!I137+OCTUBRE!I137+NOVIEMBRE!I137+DICIEMBRE!I137</f>
        <v>3141859.55</v>
      </c>
      <c r="J137" s="16">
        <f>ENERO!J137+FEBRERO!J137+MARZO!J137+ABRIL!J137+MAYO!J137+JUNIO!J137+JULIO!J137+AGOSTO!J137+SEPTIEMBRE!J137+OCTUBRE!J137+NOVIEMBRE!J137+DICIEMBRE!J137</f>
        <v>44483587</v>
      </c>
      <c r="K137" s="16">
        <f>ENERO!K137+FEBRERO!K137+MARZO!K137+ABRIL!K137+MAYO!K137+JUNIO!K137+JULIO!K137+AGOSTO!K137+SEPTIEMBRE!K137+OCTUBRE!K137+NOVIEMBRE!K137+DICIEMBRE!K137</f>
        <v>0</v>
      </c>
      <c r="L137" s="16">
        <f>ENERO!L137+FEBRERO!L137+MARZO!L137+ABRIL!L137+MAYO!L137+JUNIO!L137+JULIO!L137+AGOSTO!L137+SEPTIEMBRE!L137+OCTUBRE!L137+NOVIEMBRE!L137+DICIEMBRE!L137</f>
        <v>0</v>
      </c>
      <c r="M137" s="16">
        <f>ENERO!M137+FEBRERO!M137+MARZO!M137+ABRIL!M137+MAYO!M137+JUNIO!M137+JULIO!M137+AGOSTO!M137+SEPTIEMBRE!M137+OCTUBRE!M137+NOVIEMBRE!M137+DICIEMBRE!M137</f>
        <v>421.15000000000009</v>
      </c>
      <c r="N137" s="18">
        <f t="shared" si="4"/>
        <v>818197991.0961796</v>
      </c>
      <c r="O137" s="4"/>
    </row>
    <row r="138" spans="1:15" ht="18" customHeight="1" x14ac:dyDescent="0.2">
      <c r="A138" s="17" t="s">
        <v>133</v>
      </c>
      <c r="B138" s="16">
        <f>ENERO!B138+FEBRERO!B138+MARZO!B138+ABRIL!B138+MAYO!B138+JUNIO!B138+JULIO!B138+AGOSTO!B138+SEPTIEMBRE!B138+OCTUBRE!B138+NOVIEMBRE!B138+DICIEMBRE!B138</f>
        <v>1493001006.3699999</v>
      </c>
      <c r="C138" s="16">
        <f>ENERO!C138+FEBRERO!C138+MARZO!C138+ABRIL!C138+MAYO!C138+JUNIO!C138+JULIO!C138+AGOSTO!C138+SEPTIEMBRE!C138+OCTUBRE!C138+NOVIEMBRE!C138+DICIEMBRE!C138</f>
        <v>107568.95999999999</v>
      </c>
      <c r="D138" s="16">
        <f>ENERO!D138+FEBRERO!D138+MARZO!D138+ABRIL!D138+MAYO!D138+JUNIO!D138+JULIO!D138+AGOSTO!D138+SEPTIEMBRE!D138+OCTUBRE!D138+NOVIEMBRE!D138+DICIEMBRE!D138</f>
        <v>181434934.2670393</v>
      </c>
      <c r="E138" s="16">
        <f>ENERO!E138+FEBRERO!E138+MARZO!E138+ABRIL!E138+MAYO!E138+JUNIO!E138+JULIO!E138+AGOSTO!E138+SEPTIEMBRE!E138+OCTUBRE!E138+NOVIEMBRE!E138+DICIEMBRE!E138</f>
        <v>16244686.835925288</v>
      </c>
      <c r="F138" s="16">
        <f>ENERO!F138+FEBRERO!F138+MARZO!F138+ABRIL!F138+MAYO!F138+JUNIO!F138+JULIO!F138+AGOSTO!F138+SEPTIEMBRE!F138+OCTUBRE!F138+NOVIEMBRE!F138+DICIEMBRE!F138</f>
        <v>11757606.415002955</v>
      </c>
      <c r="G138" s="16">
        <f>ENERO!G138+FEBRERO!G138+MARZO!G138+ABRIL!G138+MAYO!G138+JUNIO!G138+JULIO!G138+AGOSTO!G138+SEPTIEMBRE!G138+OCTUBRE!G138+NOVIEMBRE!G138+DICIEMBRE!G138</f>
        <v>5255702.1999999993</v>
      </c>
      <c r="H138" s="16">
        <f>ENERO!H138+FEBRERO!H138+MARZO!H138+ABRIL!H138+MAYO!H138+JUNIO!H138+JULIO!H138+AGOSTO!H138+SEPTIEMBRE!H138+OCTUBRE!H138+NOVIEMBRE!H138+DICIEMBRE!H138</f>
        <v>77812244.170000002</v>
      </c>
      <c r="I138" s="16">
        <f>ENERO!I138+FEBRERO!I138+MARZO!I138+ABRIL!I138+MAYO!I138+JUNIO!I138+JULIO!I138+AGOSTO!I138+SEPTIEMBRE!I138+OCTUBRE!I138+NOVIEMBRE!I138+DICIEMBRE!I138</f>
        <v>27355325.230000004</v>
      </c>
      <c r="J138" s="16">
        <f>ENERO!J138+FEBRERO!J138+MARZO!J138+ABRIL!J138+MAYO!J138+JUNIO!J138+JULIO!J138+AGOSTO!J138+SEPTIEMBRE!J138+OCTUBRE!J138+NOVIEMBRE!J138+DICIEMBRE!J138</f>
        <v>164234738.31999996</v>
      </c>
      <c r="K138" s="16">
        <f>ENERO!K138+FEBRERO!K138+MARZO!K138+ABRIL!K138+MAYO!K138+JUNIO!K138+JULIO!K138+AGOSTO!K138+SEPTIEMBRE!K138+OCTUBRE!K138+NOVIEMBRE!K138+DICIEMBRE!K138</f>
        <v>0</v>
      </c>
      <c r="L138" s="16">
        <f>ENERO!L138+FEBRERO!L138+MARZO!L138+ABRIL!L138+MAYO!L138+JUNIO!L138+JULIO!L138+AGOSTO!L138+SEPTIEMBRE!L138+OCTUBRE!L138+NOVIEMBRE!L138+DICIEMBRE!L138</f>
        <v>0</v>
      </c>
      <c r="M138" s="16">
        <f>ENERO!M138+FEBRERO!M138+MARZO!M138+ABRIL!M138+MAYO!M138+JUNIO!M138+JULIO!M138+AGOSTO!M138+SEPTIEMBRE!M138+OCTUBRE!M138+NOVIEMBRE!M138+DICIEMBRE!M138</f>
        <v>3668.3699999999994</v>
      </c>
      <c r="N138" s="18">
        <f t="shared" si="4"/>
        <v>1977207481.1379676</v>
      </c>
      <c r="O138" s="4"/>
    </row>
    <row r="139" spans="1:15" ht="18" customHeight="1" x14ac:dyDescent="0.2">
      <c r="A139" s="17" t="s">
        <v>134</v>
      </c>
      <c r="B139" s="16">
        <f>ENERO!B139+FEBRERO!B139+MARZO!B139+ABRIL!B139+MAYO!B139+JUNIO!B139+JULIO!B139+AGOSTO!B139+SEPTIEMBRE!B139+OCTUBRE!B139+NOVIEMBRE!B139+DICIEMBRE!B139</f>
        <v>6580299294.5799999</v>
      </c>
      <c r="C139" s="16">
        <f>ENERO!C139+FEBRERO!C139+MARZO!C139+ABRIL!C139+MAYO!C139+JUNIO!C139+JULIO!C139+AGOSTO!C139+SEPTIEMBRE!C139+OCTUBRE!C139+NOVIEMBRE!C139+DICIEMBRE!C139</f>
        <v>503606.81000000006</v>
      </c>
      <c r="D139" s="16">
        <f>ENERO!D139+FEBRERO!D139+MARZO!D139+ABRIL!D139+MAYO!D139+JUNIO!D139+JULIO!D139+AGOSTO!D139+SEPTIEMBRE!D139+OCTUBRE!D139+NOVIEMBRE!D139+DICIEMBRE!D139</f>
        <v>73014764.205000013</v>
      </c>
      <c r="E139" s="16">
        <f>ENERO!E139+FEBRERO!E139+MARZO!E139+ABRIL!E139+MAYO!E139+JUNIO!E139+JULIO!E139+AGOSTO!E139+SEPTIEMBRE!E139+OCTUBRE!E139+NOVIEMBRE!E139+DICIEMBRE!E139</f>
        <v>74308767.836299717</v>
      </c>
      <c r="F139" s="16">
        <f>ENERO!F139+FEBRERO!F139+MARZO!F139+ABRIL!F139+MAYO!F139+JUNIO!F139+JULIO!F139+AGOSTO!F139+SEPTIEMBRE!F139+OCTUBRE!F139+NOVIEMBRE!F139+DICIEMBRE!F139</f>
        <v>60469545.263504975</v>
      </c>
      <c r="G139" s="16">
        <f>ENERO!G139+FEBRERO!G139+MARZO!G139+ABRIL!G139+MAYO!G139+JUNIO!G139+JULIO!G139+AGOSTO!G139+SEPTIEMBRE!G139+OCTUBRE!G139+NOVIEMBRE!G139+DICIEMBRE!G139</f>
        <v>54606373.737518899</v>
      </c>
      <c r="H139" s="16">
        <f>ENERO!H139+FEBRERO!H139+MARZO!H139+ABRIL!H139+MAYO!H139+JUNIO!H139+JULIO!H139+AGOSTO!H139+SEPTIEMBRE!H139+OCTUBRE!H139+NOVIEMBRE!H139+DICIEMBRE!H139</f>
        <v>344318971.14999998</v>
      </c>
      <c r="I139" s="16">
        <f>ENERO!I139+FEBRERO!I139+MARZO!I139+ABRIL!I139+MAYO!I139+JUNIO!I139+JULIO!I139+AGOSTO!I139+SEPTIEMBRE!I139+OCTUBRE!I139+NOVIEMBRE!I139+DICIEMBRE!I139</f>
        <v>140688845.37</v>
      </c>
      <c r="J139" s="16">
        <f>ENERO!J139+FEBRERO!J139+MARZO!J139+ABRIL!J139+MAYO!J139+JUNIO!J139+JULIO!J139+AGOSTO!J139+SEPTIEMBRE!J139+OCTUBRE!J139+NOVIEMBRE!J139+DICIEMBRE!J139</f>
        <v>298277668.45000005</v>
      </c>
      <c r="K139" s="16">
        <f>ENERO!K139+FEBRERO!K139+MARZO!K139+ABRIL!K139+MAYO!K139+JUNIO!K139+JULIO!K139+AGOSTO!K139+SEPTIEMBRE!K139+OCTUBRE!K139+NOVIEMBRE!K139+DICIEMBRE!K139</f>
        <v>0</v>
      </c>
      <c r="L139" s="16">
        <f>ENERO!L139+FEBRERO!L139+MARZO!L139+ABRIL!L139+MAYO!L139+JUNIO!L139+JULIO!L139+AGOSTO!L139+SEPTIEMBRE!L139+OCTUBRE!L139+NOVIEMBRE!L139+DICIEMBRE!L139</f>
        <v>0</v>
      </c>
      <c r="M139" s="16">
        <f>ENERO!M139+FEBRERO!M139+MARZO!M139+ABRIL!M139+MAYO!M139+JUNIO!M139+JULIO!M139+AGOSTO!M139+SEPTIEMBRE!M139+OCTUBRE!M139+NOVIEMBRE!M139+DICIEMBRE!M139</f>
        <v>18867.309999999998</v>
      </c>
      <c r="N139" s="18">
        <f t="shared" si="4"/>
        <v>7626506704.7123241</v>
      </c>
      <c r="O139" s="4"/>
    </row>
    <row r="140" spans="1:15" ht="18" customHeight="1" x14ac:dyDescent="0.2">
      <c r="A140" s="17" t="s">
        <v>135</v>
      </c>
      <c r="B140" s="16">
        <f>ENERO!B140+FEBRERO!B140+MARZO!B140+ABRIL!B140+MAYO!B140+JUNIO!B140+JULIO!B140+AGOSTO!B140+SEPTIEMBRE!B140+OCTUBRE!B140+NOVIEMBRE!B140+DICIEMBRE!B140</f>
        <v>1853757043.3799996</v>
      </c>
      <c r="C140" s="16">
        <f>ENERO!C140+FEBRERO!C140+MARZO!C140+ABRIL!C140+MAYO!C140+JUNIO!C140+JULIO!C140+AGOSTO!C140+SEPTIEMBRE!C140+OCTUBRE!C140+NOVIEMBRE!C140+DICIEMBRE!C140</f>
        <v>131042.72</v>
      </c>
      <c r="D140" s="16">
        <f>ENERO!D140+FEBRERO!D140+MARZO!D140+ABRIL!D140+MAYO!D140+JUNIO!D140+JULIO!D140+AGOSTO!D140+SEPTIEMBRE!D140+OCTUBRE!D140+NOVIEMBRE!D140+DICIEMBRE!D140</f>
        <v>16474058.000000002</v>
      </c>
      <c r="E140" s="16">
        <f>ENERO!E140+FEBRERO!E140+MARZO!E140+ABRIL!E140+MAYO!E140+JUNIO!E140+JULIO!E140+AGOSTO!E140+SEPTIEMBRE!E140+OCTUBRE!E140+NOVIEMBRE!E140+DICIEMBRE!E140</f>
        <v>19923476.951020386</v>
      </c>
      <c r="F140" s="16">
        <f>ENERO!F140+FEBRERO!F140+MARZO!F140+ABRIL!F140+MAYO!F140+JUNIO!F140+JULIO!F140+AGOSTO!F140+SEPTIEMBRE!F140+OCTUBRE!F140+NOVIEMBRE!F140+DICIEMBRE!F140</f>
        <v>9972216.1510847807</v>
      </c>
      <c r="G140" s="16">
        <f>ENERO!G140+FEBRERO!G140+MARZO!G140+ABRIL!G140+MAYO!G140+JUNIO!G140+JULIO!G140+AGOSTO!G140+SEPTIEMBRE!G140+OCTUBRE!G140+NOVIEMBRE!G140+DICIEMBRE!G140</f>
        <v>4658984.92</v>
      </c>
      <c r="H140" s="16">
        <f>ENERO!H140+FEBRERO!H140+MARZO!H140+ABRIL!H140+MAYO!H140+JUNIO!H140+JULIO!H140+AGOSTO!H140+SEPTIEMBRE!H140+OCTUBRE!H140+NOVIEMBRE!H140+DICIEMBRE!H140</f>
        <v>96497465.030000016</v>
      </c>
      <c r="I140" s="16">
        <f>ENERO!I140+FEBRERO!I140+MARZO!I140+ABRIL!I140+MAYO!I140+JUNIO!I140+JULIO!I140+AGOSTO!I140+SEPTIEMBRE!I140+OCTUBRE!I140+NOVIEMBRE!I140+DICIEMBRE!I140</f>
        <v>23201424.369999997</v>
      </c>
      <c r="J140" s="16">
        <f>ENERO!J140+FEBRERO!J140+MARZO!J140+ABRIL!J140+MAYO!J140+JUNIO!J140+JULIO!J140+AGOSTO!J140+SEPTIEMBRE!J140+OCTUBRE!J140+NOVIEMBRE!J140+DICIEMBRE!J140</f>
        <v>78248861.760000005</v>
      </c>
      <c r="K140" s="16">
        <f>ENERO!K140+FEBRERO!K140+MARZO!K140+ABRIL!K140+MAYO!K140+JUNIO!K140+JULIO!K140+AGOSTO!K140+SEPTIEMBRE!K140+OCTUBRE!K140+NOVIEMBRE!K140+DICIEMBRE!K140</f>
        <v>0</v>
      </c>
      <c r="L140" s="16">
        <f>ENERO!L140+FEBRERO!L140+MARZO!L140+ABRIL!L140+MAYO!L140+JUNIO!L140+JULIO!L140+AGOSTO!L140+SEPTIEMBRE!L140+OCTUBRE!L140+NOVIEMBRE!L140+DICIEMBRE!L140</f>
        <v>0</v>
      </c>
      <c r="M140" s="16">
        <f>ENERO!M140+FEBRERO!M140+MARZO!M140+ABRIL!M140+MAYO!M140+JUNIO!M140+JULIO!M140+AGOSTO!M140+SEPTIEMBRE!M140+OCTUBRE!M140+NOVIEMBRE!M140+DICIEMBRE!M140</f>
        <v>3111.32</v>
      </c>
      <c r="N140" s="18">
        <f t="shared" si="4"/>
        <v>2102867684.6021049</v>
      </c>
      <c r="O140" s="4"/>
    </row>
    <row r="141" spans="1:15" ht="18" customHeight="1" x14ac:dyDescent="0.2">
      <c r="A141" s="17" t="s">
        <v>136</v>
      </c>
      <c r="B141" s="16">
        <f>ENERO!B141+FEBRERO!B141+MARZO!B141+ABRIL!B141+MAYO!B141+JUNIO!B141+JULIO!B141+AGOSTO!B141+SEPTIEMBRE!B141+OCTUBRE!B141+NOVIEMBRE!B141+DICIEMBRE!B141</f>
        <v>2248266682.3299999</v>
      </c>
      <c r="C141" s="16">
        <f>ENERO!C141+FEBRERO!C141+MARZO!C141+ABRIL!C141+MAYO!C141+JUNIO!C141+JULIO!C141+AGOSTO!C141+SEPTIEMBRE!C141+OCTUBRE!C141+NOVIEMBRE!C141+DICIEMBRE!C141</f>
        <v>162103.39000000001</v>
      </c>
      <c r="D141" s="16">
        <f>ENERO!D141+FEBRERO!D141+MARZO!D141+ABRIL!D141+MAYO!D141+JUNIO!D141+JULIO!D141+AGOSTO!D141+SEPTIEMBRE!D141+OCTUBRE!D141+NOVIEMBRE!D141+DICIEMBRE!D141</f>
        <v>85188613.955687881</v>
      </c>
      <c r="E141" s="16">
        <f>ENERO!E141+FEBRERO!E141+MARZO!E141+ABRIL!E141+MAYO!E141+JUNIO!E141+JULIO!E141+AGOSTO!E141+SEPTIEMBRE!E141+OCTUBRE!E141+NOVIEMBRE!E141+DICIEMBRE!E141</f>
        <v>24020024.983205929</v>
      </c>
      <c r="F141" s="16">
        <f>ENERO!F141+FEBRERO!F141+MARZO!F141+ABRIL!F141+MAYO!F141+JUNIO!F141+JULIO!F141+AGOSTO!F141+SEPTIEMBRE!F141+OCTUBRE!F141+NOVIEMBRE!F141+DICIEMBRE!F141</f>
        <v>14380507.029559109</v>
      </c>
      <c r="G141" s="16">
        <f>ENERO!G141+FEBRERO!G141+MARZO!G141+ABRIL!G141+MAYO!G141+JUNIO!G141+JULIO!G141+AGOSTO!G141+SEPTIEMBRE!G141+OCTUBRE!G141+NOVIEMBRE!G141+DICIEMBRE!G141</f>
        <v>4544231.59</v>
      </c>
      <c r="H141" s="16">
        <f>ENERO!H141+FEBRERO!H141+MARZO!H141+ABRIL!H141+MAYO!H141+JUNIO!H141+JULIO!H141+AGOSTO!H141+SEPTIEMBRE!H141+OCTUBRE!H141+NOVIEMBRE!H141+DICIEMBRE!H141</f>
        <v>117180676.10000002</v>
      </c>
      <c r="I141" s="16">
        <f>ENERO!I141+FEBRERO!I141+MARZO!I141+ABRIL!I141+MAYO!I141+JUNIO!I141+JULIO!I141+AGOSTO!I141+SEPTIEMBRE!I141+OCTUBRE!I141+NOVIEMBRE!I141+DICIEMBRE!I141</f>
        <v>33457783.179999996</v>
      </c>
      <c r="J141" s="16">
        <f>ENERO!J141+FEBRERO!J141+MARZO!J141+ABRIL!J141+MAYO!J141+JUNIO!J141+JULIO!J141+AGOSTO!J141+SEPTIEMBRE!J141+OCTUBRE!J141+NOVIEMBRE!J141+DICIEMBRE!J141</f>
        <v>204552001.65000001</v>
      </c>
      <c r="K141" s="16">
        <f>ENERO!K141+FEBRERO!K141+MARZO!K141+ABRIL!K141+MAYO!K141+JUNIO!K141+JULIO!K141+AGOSTO!K141+SEPTIEMBRE!K141+OCTUBRE!K141+NOVIEMBRE!K141+DICIEMBRE!K141</f>
        <v>0</v>
      </c>
      <c r="L141" s="16">
        <f>ENERO!L141+FEBRERO!L141+MARZO!L141+ABRIL!L141+MAYO!L141+JUNIO!L141+JULIO!L141+AGOSTO!L141+SEPTIEMBRE!L141+OCTUBRE!L141+NOVIEMBRE!L141+DICIEMBRE!L141</f>
        <v>0</v>
      </c>
      <c r="M141" s="16">
        <f>ENERO!M141+FEBRERO!M141+MARZO!M141+ABRIL!M141+MAYO!M141+JUNIO!M141+JULIO!M141+AGOSTO!M141+SEPTIEMBRE!M141+OCTUBRE!M141+NOVIEMBRE!M141+DICIEMBRE!M141</f>
        <v>4486.7600000000011</v>
      </c>
      <c r="N141" s="18">
        <f t="shared" si="4"/>
        <v>2731757110.9684529</v>
      </c>
      <c r="O141" s="4"/>
    </row>
    <row r="142" spans="1:15" ht="18" customHeight="1" x14ac:dyDescent="0.2">
      <c r="A142" s="17" t="s">
        <v>137</v>
      </c>
      <c r="B142" s="16">
        <f>ENERO!B142+FEBRERO!B142+MARZO!B142+ABRIL!B142+MAYO!B142+JUNIO!B142+JULIO!B142+AGOSTO!B142+SEPTIEMBRE!B142+OCTUBRE!B142+NOVIEMBRE!B142+DICIEMBRE!B142</f>
        <v>2127053576.46</v>
      </c>
      <c r="C142" s="16">
        <f>ENERO!C142+FEBRERO!C142+MARZO!C142+ABRIL!C142+MAYO!C142+JUNIO!C142+JULIO!C142+AGOSTO!C142+SEPTIEMBRE!C142+OCTUBRE!C142+NOVIEMBRE!C142+DICIEMBRE!C142</f>
        <v>153590.32</v>
      </c>
      <c r="D142" s="16">
        <f>ENERO!D142+FEBRERO!D142+MARZO!D142+ABRIL!D142+MAYO!D142+JUNIO!D142+JULIO!D142+AGOSTO!D142+SEPTIEMBRE!D142+OCTUBRE!D142+NOVIEMBRE!D142+DICIEMBRE!D142</f>
        <v>83569129.514276206</v>
      </c>
      <c r="E142" s="16">
        <f>ENERO!E142+FEBRERO!E142+MARZO!E142+ABRIL!E142+MAYO!E142+JUNIO!E142+JULIO!E142+AGOSTO!E142+SEPTIEMBRE!E142+OCTUBRE!E142+NOVIEMBRE!E142+DICIEMBRE!E142</f>
        <v>31289909.755657259</v>
      </c>
      <c r="F142" s="16">
        <f>ENERO!F142+FEBRERO!F142+MARZO!F142+ABRIL!F142+MAYO!F142+JUNIO!F142+JULIO!F142+AGOSTO!F142+SEPTIEMBRE!F142+OCTUBRE!F142+NOVIEMBRE!F142+DICIEMBRE!F142</f>
        <v>61826441.871282801</v>
      </c>
      <c r="G142" s="16">
        <f>ENERO!G142+FEBRERO!G142+MARZO!G142+ABRIL!G142+MAYO!G142+JUNIO!G142+JULIO!G142+AGOSTO!G142+SEPTIEMBRE!G142+OCTUBRE!G142+NOVIEMBRE!G142+DICIEMBRE!G142</f>
        <v>16776935.820000002</v>
      </c>
      <c r="H142" s="16">
        <f>ENERO!H142+FEBRERO!H142+MARZO!H142+ABRIL!H142+MAYO!H142+JUNIO!H142+JULIO!H142+AGOSTO!H142+SEPTIEMBRE!H142+OCTUBRE!H142+NOVIEMBRE!H142+DICIEMBRE!H142</f>
        <v>110873491.24999999</v>
      </c>
      <c r="I142" s="16">
        <f>ENERO!I142+FEBRERO!I142+MARZO!I142+ABRIL!I142+MAYO!I142+JUNIO!I142+JULIO!I142+AGOSTO!I142+SEPTIEMBRE!I142+OCTUBRE!I142+NOVIEMBRE!I142+DICIEMBRE!I142</f>
        <v>143845810.06999999</v>
      </c>
      <c r="J142" s="16">
        <f>ENERO!J142+FEBRERO!J142+MARZO!J142+ABRIL!J142+MAYO!J142+JUNIO!J142+JULIO!J142+AGOSTO!J142+SEPTIEMBRE!J142+OCTUBRE!J142+NOVIEMBRE!J142+DICIEMBRE!J142</f>
        <v>277711770.77999997</v>
      </c>
      <c r="K142" s="16">
        <f>ENERO!K142+FEBRERO!K142+MARZO!K142+ABRIL!K142+MAYO!K142+JUNIO!K142+JULIO!K142+AGOSTO!K142+SEPTIEMBRE!K142+OCTUBRE!K142+NOVIEMBRE!K142+DICIEMBRE!K142</f>
        <v>0</v>
      </c>
      <c r="L142" s="16">
        <f>ENERO!L142+FEBRERO!L142+MARZO!L142+ABRIL!L142+MAYO!L142+JUNIO!L142+JULIO!L142+AGOSTO!L142+SEPTIEMBRE!L142+OCTUBRE!L142+NOVIEMBRE!L142+DICIEMBRE!L142</f>
        <v>0</v>
      </c>
      <c r="M142" s="16">
        <f>ENERO!M142+FEBRERO!M142+MARZO!M142+ABRIL!M142+MAYO!M142+JUNIO!M142+JULIO!M142+AGOSTO!M142+SEPTIEMBRE!M142+OCTUBRE!M142+NOVIEMBRE!M142+DICIEMBRE!M142</f>
        <v>19290.669999999995</v>
      </c>
      <c r="N142" s="18">
        <f t="shared" si="4"/>
        <v>2853119946.5112162</v>
      </c>
      <c r="O142" s="4"/>
    </row>
    <row r="143" spans="1:15" ht="27.75" customHeight="1" x14ac:dyDescent="0.2">
      <c r="A143" s="24" t="s">
        <v>138</v>
      </c>
      <c r="B143" s="25">
        <f>SUM(B8:B142)</f>
        <v>384437379462.61005</v>
      </c>
      <c r="C143" s="25">
        <f>SUM(C8:C142)</f>
        <v>27320490.07999998</v>
      </c>
      <c r="D143" s="25">
        <f t="shared" ref="D143:J143" si="5">SUM(D8:D142)</f>
        <v>13485283914.14497</v>
      </c>
      <c r="E143" s="25">
        <f t="shared" si="5"/>
        <v>4956930206.728878</v>
      </c>
      <c r="F143" s="25">
        <f t="shared" si="5"/>
        <v>6492328250.4479046</v>
      </c>
      <c r="G143" s="25">
        <f t="shared" si="5"/>
        <v>2295066458.7300005</v>
      </c>
      <c r="H143" s="25">
        <f t="shared" si="5"/>
        <v>20018610608.969997</v>
      </c>
      <c r="I143" s="25">
        <f t="shared" si="5"/>
        <v>15105093989.210007</v>
      </c>
      <c r="J143" s="25">
        <f t="shared" si="5"/>
        <v>34690468591.550011</v>
      </c>
      <c r="K143" s="25">
        <f>SUM(K8:K142)</f>
        <v>0</v>
      </c>
      <c r="L143" s="25">
        <f>SUM(L8:L142)</f>
        <v>0</v>
      </c>
      <c r="M143" s="25">
        <f>SUM(M8:M142)</f>
        <v>2025684.8100000005</v>
      </c>
      <c r="N143" s="25">
        <f>SUM(N8:N142)</f>
        <v>481510507657.28186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7"/>
      <c r="F145" s="7"/>
      <c r="G145" s="7"/>
      <c r="H145" s="7"/>
      <c r="I145" s="7"/>
      <c r="K145" s="7"/>
      <c r="L145" s="7"/>
      <c r="M145" s="7"/>
      <c r="N145" s="4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4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B153" s="4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26</vt:i4>
      </vt:variant>
    </vt:vector>
  </HeadingPairs>
  <TitlesOfParts>
    <vt:vector size="40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Hoja1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2021-03-03T11:28:05Z</cp:lastPrinted>
  <dcterms:created xsi:type="dcterms:W3CDTF">2012-05-08T12:18:55Z</dcterms:created>
  <dcterms:modified xsi:type="dcterms:W3CDTF">2023-01-06T12:02:08Z</dcterms:modified>
</cp:coreProperties>
</file>