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4\12-Diciembre\"/>
    </mc:Choice>
  </mc:AlternateContent>
  <bookViews>
    <workbookView xWindow="240" yWindow="1485" windowWidth="15120" windowHeight="4455" firstSheet="5" activeTab="11"/>
  </bookViews>
  <sheets>
    <sheet name="ENERO" sheetId="1" r:id="rId1"/>
    <sheet name="FEBRERO" sheetId="3" r:id="rId2"/>
    <sheet name="MARZO" sheetId="5" r:id="rId3"/>
    <sheet name="ABRIL" sheetId="6" r:id="rId4"/>
    <sheet name="MAYO" sheetId="7" r:id="rId5"/>
    <sheet name="JUNIO" sheetId="16" r:id="rId6"/>
    <sheet name="JULIO" sheetId="24" r:id="rId7"/>
    <sheet name="AGOSTO" sheetId="19" r:id="rId8"/>
    <sheet name="SEPTIEMBRE" sheetId="20" r:id="rId9"/>
    <sheet name="OCTUBRE" sheetId="21" r:id="rId10"/>
    <sheet name="NOVIEMBRE" sheetId="22" r:id="rId11"/>
    <sheet name="DICIEMBRE" sheetId="23" r:id="rId12"/>
    <sheet name="Acumulado" sheetId="2" r:id="rId13"/>
    <sheet name="Hoja1" sheetId="25" state="hidden" r:id="rId14"/>
  </sheets>
  <externalReferences>
    <externalReference r:id="rId15"/>
    <externalReference r:id="rId16"/>
    <externalReference r:id="rId17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ABRIL!$A$6:$D$142</definedName>
    <definedName name="_xlnm._FilterDatabase" localSheetId="12" hidden="1">Acumulado!$A$7:$D$143</definedName>
    <definedName name="_xlnm._FilterDatabase" localSheetId="7" hidden="1">AGOSTO!$A$6:$D$142</definedName>
    <definedName name="_xlnm._FilterDatabase" localSheetId="11" hidden="1">DICIEMBRE!$A$6:$D$142</definedName>
    <definedName name="_xlnm._FilterDatabase" localSheetId="0" hidden="1">ENERO!$A$8:$N$143</definedName>
    <definedName name="_xlnm._FilterDatabase" localSheetId="1" hidden="1">FEBRERO!$A$7:$D$143</definedName>
    <definedName name="_xlnm._FilterDatabase" localSheetId="6" hidden="1">JULIO!$A$6:$D$142</definedName>
    <definedName name="_xlnm._FilterDatabase" localSheetId="5" hidden="1">JUNIO!$A$6:$D$142</definedName>
    <definedName name="_xlnm._FilterDatabase" localSheetId="2" hidden="1">MARZO!$A$6:$D$142</definedName>
    <definedName name="_xlnm._FilterDatabase" localSheetId="4" hidden="1">MAYO!$A$6:$D$142</definedName>
    <definedName name="_xlnm._FilterDatabase" localSheetId="10" hidden="1">NOVIEMBRE!$A$6:$D$142</definedName>
    <definedName name="_xlnm._FilterDatabase" localSheetId="9" hidden="1">OCTUBRE!$A$6:$D$142</definedName>
    <definedName name="_xlnm._FilterDatabase" localSheetId="8" hidden="1">SEPTIEMBRE!$A$6:$D$142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ABRIL!$A$1:$N$143</definedName>
    <definedName name="_xlnm.Print_Area" localSheetId="12">Acumulado!$B$8:$N$143</definedName>
    <definedName name="_xlnm.Print_Area" localSheetId="7">AGOSTO!$A$1:$N$143</definedName>
    <definedName name="_xlnm.Print_Area" localSheetId="11">DICIEMBRE!$A$1:$N$143</definedName>
    <definedName name="_xlnm.Print_Area" localSheetId="0">ENERO!$A$1:$N$143</definedName>
    <definedName name="_xlnm.Print_Area" localSheetId="1">FEBRERO!$A$1:$N$143</definedName>
    <definedName name="_xlnm.Print_Area" localSheetId="6">JULIO!$A$1:$N$143</definedName>
    <definedName name="_xlnm.Print_Area" localSheetId="5">JUNIO!$A$1:$N$143</definedName>
    <definedName name="_xlnm.Print_Area" localSheetId="2">MARZO!$A$1:$N$143</definedName>
    <definedName name="_xlnm.Print_Area" localSheetId="4">MAYO!$A$1:$N$143</definedName>
    <definedName name="_xlnm.Print_Area" localSheetId="10">NOVIEMBRE!$A$1:$N$143</definedName>
    <definedName name="_xlnm.Print_Area" localSheetId="9">OCTUBRE!$A$1:$N$143</definedName>
    <definedName name="_xlnm.Print_Area" localSheetId="8">SEPTIEMBRE!$A$1:$N$143</definedName>
    <definedName name="con" localSheetId="7">#REF!</definedName>
    <definedName name="con" localSheetId="11">#REF!</definedName>
    <definedName name="con" localSheetId="6">#REF!</definedName>
    <definedName name="con" localSheetId="10">#REF!</definedName>
    <definedName name="con" localSheetId="9">#REF!</definedName>
    <definedName name="con" localSheetId="8">#REF!</definedName>
    <definedName name="con">#REF!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JULIO" localSheetId="7" hidden="1">#REF!</definedName>
    <definedName name="JULIO" localSheetId="11" hidden="1">#REF!</definedName>
    <definedName name="JULIO" localSheetId="6" hidden="1">#REF!</definedName>
    <definedName name="JULIO" localSheetId="10" hidden="1">#REF!</definedName>
    <definedName name="JULIO" localSheetId="9" hidden="1">#REF!</definedName>
    <definedName name="JULIO" localSheetId="8" hidden="1">#REF!</definedName>
    <definedName name="JULIO" hidden="1">#REF!</definedName>
    <definedName name="_xlnm.Print_Titles" localSheetId="3">ABRIL!$A:$A,ABRIL!$1:$7</definedName>
    <definedName name="_xlnm.Print_Titles" localSheetId="12">Acumulado!$A:$A,Acumulado!$3:$7</definedName>
    <definedName name="_xlnm.Print_Titles" localSheetId="7">AGOSTO!$A:$A,AGOSTO!$1:$7</definedName>
    <definedName name="_xlnm.Print_Titles" localSheetId="11">DICIEMBRE!$A:$A,DICIEMBRE!$1:$7</definedName>
    <definedName name="_xlnm.Print_Titles" localSheetId="0">ENERO!$A:$A,ENERO!$1:$7</definedName>
    <definedName name="_xlnm.Print_Titles" localSheetId="1">FEBRERO!$A:$A,FEBRERO!$1:$7</definedName>
    <definedName name="_xlnm.Print_Titles" localSheetId="6">JULIO!$A:$A,JULIO!$1:$7</definedName>
    <definedName name="_xlnm.Print_Titles" localSheetId="5">JUNIO!$A:$A,JUNIO!$1:$7</definedName>
    <definedName name="_xlnm.Print_Titles" localSheetId="2">MARZO!$A:$A,MARZO!$1:$7</definedName>
    <definedName name="_xlnm.Print_Titles" localSheetId="4">MAYO!$A:$A,MAYO!$1:$7</definedName>
    <definedName name="_xlnm.Print_Titles" localSheetId="10">NOVIEMBRE!$A:$A,NOVIEMBRE!$1:$7</definedName>
    <definedName name="_xlnm.Print_Titles" localSheetId="9">OCTUBRE!$A:$A,OCTUBRE!$1:$7</definedName>
    <definedName name="_xlnm.Print_Titles" localSheetId="8">SEPTIEMBRE!$A:$A,SEPTIEMBRE!$1:$7</definedName>
  </definedNames>
  <calcPr calcId="162913"/>
</workbook>
</file>

<file path=xl/calcChain.xml><?xml version="1.0" encoding="utf-8"?>
<calcChain xmlns="http://schemas.openxmlformats.org/spreadsheetml/2006/main">
  <c r="C143" i="2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8" i="2"/>
  <c r="K8" i="2" l="1"/>
  <c r="J8" i="2" l="1"/>
  <c r="C143" i="16" l="1"/>
  <c r="B8" i="2" l="1"/>
  <c r="N8" i="1" l="1"/>
  <c r="N8" i="24"/>
  <c r="N9" i="5"/>
  <c r="N8" i="5" l="1"/>
  <c r="N8" i="21"/>
  <c r="C143" i="19"/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J143" i="3" l="1"/>
  <c r="N140" i="1" l="1"/>
  <c r="C143" i="23" l="1"/>
  <c r="M143" i="23" l="1"/>
  <c r="M143" i="20"/>
  <c r="M143" i="19"/>
  <c r="M143" i="24"/>
  <c r="M143" i="16"/>
  <c r="M143" i="7"/>
  <c r="M143" i="6"/>
  <c r="M143" i="5"/>
  <c r="M143" i="3"/>
  <c r="M143" i="1"/>
  <c r="N8" i="22"/>
  <c r="M143" i="22"/>
  <c r="C143" i="20" l="1"/>
  <c r="C143" i="24"/>
  <c r="K9" i="2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3" i="2" l="1"/>
  <c r="J143" i="2"/>
  <c r="K143" i="2"/>
  <c r="C143" i="1" l="1"/>
  <c r="K143" i="1"/>
  <c r="N9" i="1"/>
  <c r="N12" i="1" l="1"/>
  <c r="N142" i="23" l="1"/>
  <c r="N9" i="22" l="1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K143" i="22"/>
  <c r="J143" i="22"/>
  <c r="I143" i="22"/>
  <c r="H143" i="22"/>
  <c r="G143" i="22"/>
  <c r="F143" i="22"/>
  <c r="E143" i="22"/>
  <c r="D143" i="22"/>
  <c r="B143" i="22"/>
  <c r="N143" i="22" l="1"/>
  <c r="N8" i="20"/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8" i="2"/>
  <c r="N9" i="23" l="1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8" i="23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8" i="19"/>
  <c r="N13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9" i="24"/>
  <c r="N140" i="24"/>
  <c r="N141" i="24"/>
  <c r="N142" i="24"/>
  <c r="N139" i="16"/>
  <c r="N142" i="16"/>
  <c r="N135" i="16"/>
  <c r="N126" i="16"/>
  <c r="N141" i="16"/>
  <c r="K143" i="16"/>
  <c r="N143" i="20" l="1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7" i="16"/>
  <c r="N128" i="16"/>
  <c r="N129" i="16"/>
  <c r="N130" i="16"/>
  <c r="N131" i="16"/>
  <c r="N132" i="16"/>
  <c r="N133" i="16"/>
  <c r="N134" i="16"/>
  <c r="N136" i="16"/>
  <c r="N137" i="16"/>
  <c r="N138" i="16"/>
  <c r="N140" i="16"/>
  <c r="N8" i="16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8" i="7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8" i="6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14" i="1"/>
  <c r="N107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1" i="1"/>
  <c r="N142" i="1"/>
  <c r="N143" i="7" l="1"/>
  <c r="N143" i="1"/>
  <c r="N143" i="16"/>
  <c r="L143" i="6"/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8" i="2"/>
  <c r="L143" i="23"/>
  <c r="L143" i="22"/>
  <c r="L143" i="21"/>
  <c r="L143" i="20"/>
  <c r="L143" i="19"/>
  <c r="L143" i="24"/>
  <c r="L143" i="7"/>
  <c r="C143" i="7"/>
  <c r="L143" i="1"/>
  <c r="L143" i="3"/>
  <c r="L143" i="5"/>
  <c r="D143" i="5"/>
  <c r="E143" i="5"/>
  <c r="F143" i="5"/>
  <c r="G143" i="5"/>
  <c r="H143" i="5"/>
  <c r="I143" i="5"/>
  <c r="J143" i="5"/>
  <c r="K143" i="5"/>
  <c r="C143" i="5"/>
  <c r="C143" i="3"/>
  <c r="N133" i="3" l="1"/>
  <c r="N121" i="3"/>
  <c r="N109" i="3"/>
  <c r="N93" i="3"/>
  <c r="N81" i="3"/>
  <c r="N65" i="3"/>
  <c r="N57" i="3"/>
  <c r="N41" i="3"/>
  <c r="N29" i="3"/>
  <c r="N21" i="3"/>
  <c r="N13" i="3"/>
  <c r="N8" i="3"/>
  <c r="N142" i="3"/>
  <c r="N138" i="3"/>
  <c r="N134" i="3"/>
  <c r="N130" i="3"/>
  <c r="N126" i="3"/>
  <c r="N122" i="3"/>
  <c r="N118" i="3"/>
  <c r="N114" i="3"/>
  <c r="N110" i="3"/>
  <c r="N106" i="3"/>
  <c r="N102" i="3"/>
  <c r="N98" i="3"/>
  <c r="N94" i="3"/>
  <c r="N90" i="3"/>
  <c r="N86" i="3"/>
  <c r="N82" i="3"/>
  <c r="N78" i="3"/>
  <c r="N74" i="3"/>
  <c r="N70" i="3"/>
  <c r="N66" i="3"/>
  <c r="N62" i="3"/>
  <c r="N58" i="3"/>
  <c r="N54" i="3"/>
  <c r="N50" i="3"/>
  <c r="N46" i="3"/>
  <c r="N42" i="3"/>
  <c r="N38" i="3"/>
  <c r="N34" i="3"/>
  <c r="N30" i="3"/>
  <c r="N26" i="3"/>
  <c r="N22" i="3"/>
  <c r="N18" i="3"/>
  <c r="N14" i="3"/>
  <c r="N10" i="3"/>
  <c r="N9" i="3"/>
  <c r="N141" i="3"/>
  <c r="N129" i="3"/>
  <c r="N117" i="3"/>
  <c r="N105" i="3"/>
  <c r="N97" i="3"/>
  <c r="N85" i="3"/>
  <c r="N73" i="3"/>
  <c r="N61" i="3"/>
  <c r="N49" i="3"/>
  <c r="N37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N92" i="3"/>
  <c r="N88" i="3"/>
  <c r="N84" i="3"/>
  <c r="N80" i="3"/>
  <c r="N76" i="3"/>
  <c r="N72" i="3"/>
  <c r="N68" i="3"/>
  <c r="N64" i="3"/>
  <c r="N60" i="3"/>
  <c r="N56" i="3"/>
  <c r="N52" i="3"/>
  <c r="N48" i="3"/>
  <c r="N44" i="3"/>
  <c r="N40" i="3"/>
  <c r="N36" i="3"/>
  <c r="N32" i="3"/>
  <c r="N28" i="3"/>
  <c r="N24" i="3"/>
  <c r="N20" i="3"/>
  <c r="N16" i="3"/>
  <c r="N12" i="3"/>
  <c r="N137" i="3"/>
  <c r="N125" i="3"/>
  <c r="N113" i="3"/>
  <c r="N101" i="3"/>
  <c r="N89" i="3"/>
  <c r="N77" i="3"/>
  <c r="N69" i="3"/>
  <c r="N53" i="3"/>
  <c r="N45" i="3"/>
  <c r="N33" i="3"/>
  <c r="N25" i="3"/>
  <c r="N17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N83" i="3"/>
  <c r="N79" i="3"/>
  <c r="N75" i="3"/>
  <c r="N71" i="3"/>
  <c r="N67" i="3"/>
  <c r="N63" i="3"/>
  <c r="N59" i="3"/>
  <c r="N55" i="3"/>
  <c r="N51" i="3"/>
  <c r="N47" i="3"/>
  <c r="N43" i="3"/>
  <c r="N39" i="3"/>
  <c r="N35" i="3"/>
  <c r="N31" i="3"/>
  <c r="N27" i="3"/>
  <c r="N23" i="3"/>
  <c r="N19" i="3"/>
  <c r="N15" i="3"/>
  <c r="N11" i="3"/>
  <c r="K143" i="3"/>
  <c r="C143" i="2"/>
  <c r="J143" i="1" l="1"/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K143" i="24"/>
  <c r="J143" i="24"/>
  <c r="I143" i="24"/>
  <c r="H143" i="24"/>
  <c r="G143" i="24"/>
  <c r="F143" i="24"/>
  <c r="E143" i="24"/>
  <c r="D143" i="24"/>
  <c r="B143" i="24"/>
  <c r="H143" i="2" l="1"/>
  <c r="N143" i="24"/>
  <c r="K143" i="23" l="1"/>
  <c r="J143" i="23"/>
  <c r="I143" i="23"/>
  <c r="H143" i="23"/>
  <c r="G143" i="23"/>
  <c r="F143" i="23"/>
  <c r="E143" i="23"/>
  <c r="D143" i="23"/>
  <c r="B143" i="23"/>
  <c r="N143" i="23" l="1"/>
  <c r="D143" i="2"/>
  <c r="K143" i="21" l="1"/>
  <c r="J143" i="21"/>
  <c r="I143" i="21"/>
  <c r="H143" i="21"/>
  <c r="G143" i="21"/>
  <c r="F143" i="21"/>
  <c r="E143" i="21"/>
  <c r="D143" i="21"/>
  <c r="B143" i="21"/>
  <c r="K143" i="20" l="1"/>
  <c r="J143" i="20"/>
  <c r="I143" i="20"/>
  <c r="H143" i="20"/>
  <c r="G143" i="20"/>
  <c r="F143" i="20"/>
  <c r="E143" i="20"/>
  <c r="D143" i="20"/>
  <c r="B143" i="20"/>
  <c r="K143" i="19" l="1"/>
  <c r="J143" i="19"/>
  <c r="I143" i="19"/>
  <c r="H143" i="19"/>
  <c r="G143" i="19"/>
  <c r="F143" i="19"/>
  <c r="E143" i="19"/>
  <c r="D143" i="19"/>
  <c r="B143" i="19"/>
  <c r="N143" i="19" l="1"/>
  <c r="L143" i="16" l="1"/>
  <c r="I143" i="16"/>
  <c r="H143" i="16"/>
  <c r="G143" i="16"/>
  <c r="F143" i="16"/>
  <c r="E143" i="16"/>
  <c r="D143" i="16"/>
  <c r="J143" i="16"/>
  <c r="B143" i="16"/>
  <c r="K143" i="7" l="1"/>
  <c r="H143" i="7"/>
  <c r="J143" i="6" l="1"/>
  <c r="F143" i="3" l="1"/>
  <c r="I143" i="3" l="1"/>
  <c r="H143" i="3"/>
  <c r="E143" i="3"/>
  <c r="J143" i="7" l="1"/>
  <c r="I143" i="7"/>
  <c r="G143" i="7"/>
  <c r="F143" i="7"/>
  <c r="E143" i="7"/>
  <c r="D143" i="7"/>
  <c r="B143" i="7"/>
  <c r="K143" i="6" l="1"/>
  <c r="I143" i="6"/>
  <c r="H143" i="6"/>
  <c r="G143" i="6"/>
  <c r="F143" i="6"/>
  <c r="E143" i="6"/>
  <c r="D143" i="6"/>
  <c r="B143" i="6"/>
  <c r="N143" i="6" l="1"/>
  <c r="B143" i="5"/>
  <c r="N143" i="5" l="1"/>
  <c r="G143" i="3" l="1"/>
  <c r="D143" i="3"/>
  <c r="B143" i="3"/>
  <c r="N143" i="3" l="1"/>
  <c r="I143" i="1"/>
  <c r="H143" i="1"/>
  <c r="G143" i="1"/>
  <c r="F143" i="1"/>
  <c r="E143" i="1"/>
  <c r="D143" i="1"/>
  <c r="B143" i="1"/>
  <c r="I143" i="2" l="1"/>
  <c r="G143" i="2"/>
  <c r="F143" i="2"/>
  <c r="E143" i="2"/>
  <c r="B143" i="2"/>
  <c r="N13" i="2" l="1"/>
  <c r="N13" i="21"/>
  <c r="N81" i="2"/>
  <c r="N81" i="21"/>
  <c r="N20" i="2"/>
  <c r="N20" i="21"/>
  <c r="N37" i="2"/>
  <c r="N37" i="21"/>
  <c r="N69" i="2"/>
  <c r="N69" i="21"/>
  <c r="N9" i="2"/>
  <c r="N9" i="21"/>
  <c r="N65" i="2"/>
  <c r="N65" i="21"/>
  <c r="N22" i="2"/>
  <c r="N22" i="21"/>
  <c r="N41" i="2"/>
  <c r="N41" i="21"/>
  <c r="N73" i="2"/>
  <c r="N73" i="21"/>
  <c r="N34" i="2"/>
  <c r="N34" i="21"/>
  <c r="M8" i="2"/>
  <c r="M143" i="21"/>
  <c r="N17" i="2"/>
  <c r="N17" i="21"/>
  <c r="N32" i="2"/>
  <c r="N32" i="21"/>
  <c r="N61" i="2"/>
  <c r="N61" i="21"/>
  <c r="N93" i="2"/>
  <c r="N93" i="21"/>
  <c r="N38" i="2"/>
  <c r="N38" i="21"/>
  <c r="N46" i="2"/>
  <c r="N46" i="21"/>
  <c r="N54" i="2"/>
  <c r="N54" i="21"/>
  <c r="N62" i="2"/>
  <c r="N62" i="21"/>
  <c r="N70" i="2"/>
  <c r="N70" i="21"/>
  <c r="N78" i="2"/>
  <c r="N78" i="21"/>
  <c r="N86" i="2"/>
  <c r="N86" i="21"/>
  <c r="N94" i="2"/>
  <c r="N94" i="21"/>
  <c r="N15" i="2"/>
  <c r="N15" i="21"/>
  <c r="N21" i="2"/>
  <c r="N21" i="21"/>
  <c r="N25" i="2"/>
  <c r="N25" i="21"/>
  <c r="N29" i="2"/>
  <c r="N29" i="21"/>
  <c r="N33" i="2"/>
  <c r="N33" i="21"/>
  <c r="N39" i="2"/>
  <c r="N39" i="21"/>
  <c r="N47" i="2"/>
  <c r="N47" i="21"/>
  <c r="N55" i="2"/>
  <c r="N55" i="21"/>
  <c r="N63" i="2"/>
  <c r="N63" i="21"/>
  <c r="N71" i="2"/>
  <c r="N71" i="21"/>
  <c r="N79" i="2"/>
  <c r="N79" i="21"/>
  <c r="N87" i="2"/>
  <c r="N87" i="21"/>
  <c r="N95" i="2"/>
  <c r="N95" i="21"/>
  <c r="N18" i="2"/>
  <c r="N18" i="21"/>
  <c r="N40" i="2"/>
  <c r="N40" i="21"/>
  <c r="N48" i="2"/>
  <c r="N48" i="21"/>
  <c r="N56" i="2"/>
  <c r="N56" i="21"/>
  <c r="N64" i="2"/>
  <c r="N64" i="21"/>
  <c r="N72" i="2"/>
  <c r="N72" i="21"/>
  <c r="N80" i="2"/>
  <c r="N80" i="21"/>
  <c r="N88" i="2"/>
  <c r="N88" i="21"/>
  <c r="N96" i="2"/>
  <c r="N96" i="21"/>
  <c r="N100" i="2"/>
  <c r="N100" i="21"/>
  <c r="N102" i="2"/>
  <c r="N102" i="21"/>
  <c r="N104" i="2"/>
  <c r="N104" i="21"/>
  <c r="N106" i="2"/>
  <c r="N106" i="21"/>
  <c r="N108" i="2"/>
  <c r="N108" i="21"/>
  <c r="N110" i="2"/>
  <c r="N110" i="21"/>
  <c r="N112" i="2"/>
  <c r="N112" i="21"/>
  <c r="N114" i="2"/>
  <c r="N114" i="21"/>
  <c r="N116" i="2"/>
  <c r="N116" i="21"/>
  <c r="N118" i="2"/>
  <c r="N118" i="21"/>
  <c r="N120" i="2"/>
  <c r="N120" i="21"/>
  <c r="N122" i="2"/>
  <c r="N122" i="21"/>
  <c r="N124" i="2"/>
  <c r="N124" i="21"/>
  <c r="N126" i="2"/>
  <c r="N126" i="21"/>
  <c r="N128" i="2"/>
  <c r="N128" i="21"/>
  <c r="N130" i="2"/>
  <c r="N130" i="21"/>
  <c r="N132" i="2"/>
  <c r="N132" i="21"/>
  <c r="N134" i="2"/>
  <c r="N134" i="21"/>
  <c r="N136" i="2"/>
  <c r="N136" i="21"/>
  <c r="N138" i="2"/>
  <c r="N138" i="21"/>
  <c r="N140" i="2"/>
  <c r="N140" i="21"/>
  <c r="N142" i="2"/>
  <c r="N142" i="21"/>
  <c r="N49" i="2"/>
  <c r="N49" i="21"/>
  <c r="N10" i="2"/>
  <c r="N10" i="21"/>
  <c r="N28" i="2"/>
  <c r="N28" i="21"/>
  <c r="N53" i="2"/>
  <c r="N53" i="21"/>
  <c r="N85" i="2"/>
  <c r="N85" i="21"/>
  <c r="N26" i="2"/>
  <c r="N26" i="21"/>
  <c r="N11" i="2"/>
  <c r="N11" i="21"/>
  <c r="N30" i="2"/>
  <c r="N30" i="21"/>
  <c r="N57" i="2"/>
  <c r="N57" i="21"/>
  <c r="N89" i="2"/>
  <c r="N89" i="21"/>
  <c r="N97" i="2"/>
  <c r="N97" i="21"/>
  <c r="N12" i="2"/>
  <c r="N12" i="21"/>
  <c r="N24" i="2"/>
  <c r="N24" i="21"/>
  <c r="N45" i="2"/>
  <c r="N45" i="21"/>
  <c r="N77" i="2"/>
  <c r="N77" i="21"/>
  <c r="N16" i="2"/>
  <c r="N16" i="21"/>
  <c r="N42" i="2"/>
  <c r="N42" i="21"/>
  <c r="N50" i="2"/>
  <c r="N50" i="21"/>
  <c r="N58" i="2"/>
  <c r="N58" i="21"/>
  <c r="N66" i="2"/>
  <c r="N66" i="21"/>
  <c r="N74" i="2"/>
  <c r="N74" i="21"/>
  <c r="N82" i="2"/>
  <c r="N82" i="21"/>
  <c r="N90" i="2"/>
  <c r="N90" i="21"/>
  <c r="N98" i="2"/>
  <c r="N98" i="21"/>
  <c r="N19" i="2"/>
  <c r="N19" i="21"/>
  <c r="N23" i="2"/>
  <c r="N23" i="21"/>
  <c r="N27" i="2"/>
  <c r="N27" i="21"/>
  <c r="N31" i="2"/>
  <c r="N31" i="21"/>
  <c r="N35" i="2"/>
  <c r="N35" i="21"/>
  <c r="N43" i="2"/>
  <c r="N43" i="21"/>
  <c r="N51" i="2"/>
  <c r="N51" i="21"/>
  <c r="N59" i="2"/>
  <c r="N59" i="21"/>
  <c r="N67" i="2"/>
  <c r="N67" i="21"/>
  <c r="N75" i="2"/>
  <c r="N75" i="21"/>
  <c r="N83" i="2"/>
  <c r="N83" i="21"/>
  <c r="N91" i="2"/>
  <c r="N91" i="21"/>
  <c r="N14" i="2"/>
  <c r="N14" i="21"/>
  <c r="N36" i="2"/>
  <c r="N36" i="21"/>
  <c r="N44" i="2"/>
  <c r="N44" i="21"/>
  <c r="N52" i="2"/>
  <c r="N52" i="21"/>
  <c r="N60" i="2"/>
  <c r="N60" i="21"/>
  <c r="N68" i="2"/>
  <c r="N68" i="21"/>
  <c r="N76" i="2"/>
  <c r="N76" i="21"/>
  <c r="N84" i="2"/>
  <c r="N84" i="21"/>
  <c r="N92" i="2"/>
  <c r="N92" i="21"/>
  <c r="N99" i="2"/>
  <c r="N99" i="21"/>
  <c r="N101" i="2"/>
  <c r="N101" i="21"/>
  <c r="N103" i="2"/>
  <c r="N103" i="21"/>
  <c r="N105" i="2"/>
  <c r="N105" i="21"/>
  <c r="N107" i="2"/>
  <c r="N107" i="21"/>
  <c r="N109" i="2"/>
  <c r="N109" i="21"/>
  <c r="N111" i="2"/>
  <c r="N111" i="21"/>
  <c r="N113" i="2"/>
  <c r="N113" i="21"/>
  <c r="N115" i="2"/>
  <c r="N115" i="21"/>
  <c r="N117" i="2"/>
  <c r="N117" i="21"/>
  <c r="N119" i="2"/>
  <c r="N119" i="21"/>
  <c r="N121" i="2"/>
  <c r="N121" i="21"/>
  <c r="N123" i="2"/>
  <c r="N123" i="21"/>
  <c r="N125" i="2"/>
  <c r="N125" i="21"/>
  <c r="N127" i="2"/>
  <c r="N127" i="21"/>
  <c r="N129" i="2"/>
  <c r="N129" i="21"/>
  <c r="N131" i="2"/>
  <c r="N131" i="21"/>
  <c r="N133" i="2"/>
  <c r="N133" i="21"/>
  <c r="N135" i="2"/>
  <c r="N135" i="21"/>
  <c r="N137" i="2"/>
  <c r="N137" i="21"/>
  <c r="N139" i="2"/>
  <c r="N139" i="21"/>
  <c r="N141" i="2"/>
  <c r="N141" i="21"/>
  <c r="N143" i="21" l="1"/>
  <c r="M143" i="2"/>
  <c r="N8" i="2"/>
  <c r="N143" i="2" l="1"/>
</calcChain>
</file>

<file path=xl/sharedStrings.xml><?xml version="1.0" encoding="utf-8"?>
<sst xmlns="http://schemas.openxmlformats.org/spreadsheetml/2006/main" count="1999" uniqueCount="182">
  <si>
    <t>TRANSFERENCIAS DE FONDOS</t>
  </si>
  <si>
    <t>(En pesos)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</si>
  <si>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</si>
  <si>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</si>
  <si>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</si>
  <si>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</si>
  <si>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</si>
  <si>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</si>
  <si>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</si>
  <si>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</si>
  <si>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</si>
  <si>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</si>
  <si>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</si>
  <si>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</si>
  <si>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</si>
  <si>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</si>
  <si>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</si>
  <si>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</si>
  <si>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</si>
  <si>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</si>
  <si>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</si>
  <si>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</si>
  <si>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</si>
  <si>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</si>
  <si>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</si>
  <si>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</si>
  <si>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</si>
  <si>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</si>
  <si>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</si>
  <si>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</si>
  <si>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</si>
  <si>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</si>
  <si>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</si>
  <si>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</si>
  <si>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</si>
  <si>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</si>
  <si>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</si>
  <si>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</si>
  <si>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</si>
  <si>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</si>
  <si>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</si>
  <si>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</si>
  <si>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</si>
  <si>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</si>
  <si>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</si>
  <si>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</si>
  <si>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</si>
  <si>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</si>
  <si>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</si>
  <si>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</si>
  <si>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</si>
  <si>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</si>
  <si>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</si>
  <si>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</si>
  <si>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</si>
  <si>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</si>
  <si>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</si>
  <si>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</si>
  <si>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</si>
  <si>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</si>
  <si>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</si>
  <si>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</si>
  <si>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</si>
  <si>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</si>
  <si>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</si>
  <si>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</si>
  <si>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</si>
  <si>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</si>
  <si>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</si>
  <si>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</si>
  <si>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</si>
  <si>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</si>
  <si>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</si>
  <si>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</si>
  <si>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</si>
  <si>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</si>
  <si>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</si>
  <si>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</si>
  <si>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</si>
  <si>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</si>
  <si>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</si>
  <si>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</si>
  <si>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</si>
  <si>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</si>
  <si>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</si>
  <si>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</si>
  <si>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</si>
  <si>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</si>
  <si>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</si>
  <si>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</si>
  <si>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</si>
  <si>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</si>
  <si>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</si>
  <si>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</si>
  <si>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</si>
  <si>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</si>
  <si>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</si>
  <si>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</si>
  <si>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</si>
  <si>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</si>
  <si>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</si>
  <si>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</si>
  <si>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</si>
  <si>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</si>
  <si>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</si>
  <si>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</si>
  <si>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</si>
  <si>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</si>
  <si>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</si>
  <si>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</si>
  <si>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</si>
  <si>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</si>
  <si>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</si>
  <si>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</si>
  <si>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</si>
  <si>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</si>
  <si>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</si>
  <si>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</si>
  <si>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</si>
  <si>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</si>
  <si>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</si>
  <si>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</si>
  <si>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</si>
  <si>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</si>
  <si>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</si>
  <si>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</si>
  <si>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</si>
  <si>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</si>
  <si>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</si>
  <si>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</si>
  <si>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</si>
  <si>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</si>
  <si>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</si>
  <si>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</si>
  <si>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</si>
  <si>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</si>
  <si>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</si>
  <si>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</si>
  <si>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</si>
  <si>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>Coparticipación
Bruta</t>
  </si>
  <si>
    <t>Total</t>
  </si>
  <si>
    <t>Juegos de Azar</t>
  </si>
  <si>
    <t>Fdo Ley 14890</t>
  </si>
  <si>
    <t>Descentralización</t>
  </si>
  <si>
    <t>F.S.A.
 (Tratamiento de Residuos)</t>
  </si>
  <si>
    <t>Fondo Inclusión
Social</t>
  </si>
  <si>
    <t>Fondo Fort. 
Recursos 
Municipales</t>
  </si>
  <si>
    <t>Fondo de 
Financ. Educativo</t>
  </si>
  <si>
    <t>Fdo. Para Infrestructura
 Municipal 2016</t>
  </si>
  <si>
    <t>Fdo. Para Infrestructura 
Municipal 2017</t>
  </si>
  <si>
    <t>F.F.P.S. 
(Programas Sociales)</t>
  </si>
  <si>
    <t>Omisión Coparticiación 2022</t>
  </si>
  <si>
    <t>MES DE DICIEMBRE 2024</t>
  </si>
  <si>
    <t>MES DE NOVIEMBRE 2024</t>
  </si>
  <si>
    <t>MES DE OCTUBRE 2024</t>
  </si>
  <si>
    <t>MES DE AGOSTO 2024</t>
  </si>
  <si>
    <t>MES DE JULIO 2024</t>
  </si>
  <si>
    <t>MES DE JUNIO 2024</t>
  </si>
  <si>
    <t>MES DE ABRIL 2024</t>
  </si>
  <si>
    <t>MES DE MARZO 2024</t>
  </si>
  <si>
    <t>MES DE FEBRERO 2024</t>
  </si>
  <si>
    <t>MES DE ENERO 2024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</si>
  <si>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</si>
  <si>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</si>
  <si>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</si>
  <si>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</si>
  <si>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</si>
  <si>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</si>
  <si>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</si>
  <si>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</si>
  <si>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OCTUBRE 2024</t>
  </si>
  <si>
    <t>NOVIEMBRE 2024</t>
  </si>
  <si>
    <t>DICIEMBRE 2024</t>
  </si>
  <si>
    <t>Omisión Coparticiación 2023</t>
  </si>
  <si>
    <t>FFFM
(POR CUD 2023)</t>
  </si>
  <si>
    <t>FFFM
(Por CUD 2023)</t>
  </si>
  <si>
    <t>Fondo Fortalecimiento Fiscal Municipal</t>
  </si>
  <si>
    <t>MES DE MAYO 2024</t>
  </si>
  <si>
    <t>MES DE SEPTIEMBRE 2024</t>
  </si>
  <si>
    <t>SEPTIEMBRE 2024</t>
  </si>
  <si>
    <t>ACUMULADO ENERO - DICIEMBRE 2024</t>
  </si>
  <si>
    <t>Acumulado ENERO - 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</si>
</sst>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#,"/>
    <numFmt numFmtId="168" formatCode="#,#00"/>
    <numFmt numFmtId="169" formatCode="#.##000"/>
    <numFmt numFmtId="170" formatCode="&quot;$&quot;#,#00"/>
    <numFmt numFmtId="171" formatCode="\$#,##0\ ;\(\$#,##0\)"/>
    <numFmt numFmtId="172" formatCode="#,##0.0"/>
    <numFmt numFmtId="173" formatCode="_(* #,##0_);_(* \(#,##0\);_(* &quot;-&quot;??_);_(@_)"/>
    <numFmt numFmtId="174" formatCode="0.00000"/>
    <numFmt numFmtId="175" formatCode="_-* #,##0.00\ _€_-;\-* #,##0.00\ _€_-;_-* &quot;-&quot;??\ _€_-;_-@_-"/>
  </numFmts>
  <fonts count="3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2"/>
      <color rgb="FF44AEAC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AEAC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167" fontId="9" fillId="0" borderId="0">
      <protection locked="0"/>
    </xf>
    <xf numFmtId="167" fontId="9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11" fillId="0" borderId="0" applyFont="0" applyFill="0" applyBorder="0" applyAlignment="0" applyProtection="0"/>
    <xf numFmtId="168" fontId="8" fillId="0" borderId="0">
      <protection locked="0"/>
    </xf>
    <xf numFmtId="169" fontId="8" fillId="0" borderId="0">
      <protection locked="0"/>
    </xf>
    <xf numFmtId="166" fontId="5" fillId="0" borderId="0" applyFont="0" applyFill="0" applyBorder="0" applyAlignment="0" applyProtection="0"/>
    <xf numFmtId="170" fontId="8" fillId="0" borderId="0">
      <protection locked="0"/>
    </xf>
    <xf numFmtId="171" fontId="11" fillId="0" borderId="0" applyFont="0" applyFill="0" applyBorder="0" applyAlignment="0" applyProtection="0"/>
    <xf numFmtId="172" fontId="4" fillId="0" borderId="0" applyFill="0" applyBorder="0" applyAlignment="0" applyProtection="0"/>
    <xf numFmtId="3" fontId="11" fillId="0" borderId="0" applyFont="0" applyFill="0" applyBorder="0" applyAlignment="0" applyProtection="0"/>
    <xf numFmtId="0" fontId="5" fillId="0" borderId="0"/>
    <xf numFmtId="0" fontId="12" fillId="0" borderId="0"/>
    <xf numFmtId="0" fontId="14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16" borderId="3" applyNumberFormat="0" applyAlignment="0" applyProtection="0"/>
    <xf numFmtId="0" fontId="19" fillId="17" borderId="4" applyNumberFormat="0" applyAlignment="0" applyProtection="0"/>
    <xf numFmtId="0" fontId="20" fillId="0" borderId="5" applyNumberFormat="0" applyFill="0" applyAlignment="0" applyProtection="0"/>
    <xf numFmtId="0" fontId="9" fillId="0" borderId="0">
      <protection locked="0"/>
    </xf>
    <xf numFmtId="0" fontId="9" fillId="0" borderId="0">
      <protection locked="0"/>
    </xf>
    <xf numFmtId="0" fontId="21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1" borderId="0" applyNumberFormat="0" applyBorder="0" applyAlignment="0" applyProtection="0"/>
    <xf numFmtId="0" fontId="22" fillId="7" borderId="3" applyNumberFormat="0" applyAlignment="0" applyProtection="0"/>
    <xf numFmtId="0" fontId="8" fillId="0" borderId="0">
      <protection locked="0"/>
    </xf>
    <xf numFmtId="0" fontId="8" fillId="0" borderId="0">
      <protection locked="0"/>
    </xf>
    <xf numFmtId="0" fontId="23" fillId="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4" fillId="22" borderId="0" applyNumberFormat="0" applyBorder="0" applyAlignment="0" applyProtection="0"/>
    <xf numFmtId="0" fontId="4" fillId="0" borderId="0"/>
    <xf numFmtId="0" fontId="4" fillId="23" borderId="2" applyNumberFormat="0" applyFont="0" applyAlignment="0" applyProtection="0"/>
    <xf numFmtId="9" fontId="4" fillId="0" borderId="0" applyFont="0" applyFill="0" applyBorder="0" applyAlignment="0" applyProtection="0"/>
    <xf numFmtId="0" fontId="25" fillId="16" borderId="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21" fillId="0" borderId="9" applyNumberFormat="0" applyFill="0" applyAlignment="0" applyProtection="0"/>
    <xf numFmtId="0" fontId="8" fillId="0" borderId="10">
      <protection locked="0"/>
    </xf>
    <xf numFmtId="0" fontId="4" fillId="0" borderId="0"/>
    <xf numFmtId="17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173" fontId="2" fillId="0" borderId="0" xfId="0" applyNumberFormat="1" applyFont="1"/>
    <xf numFmtId="173" fontId="2" fillId="0" borderId="0" xfId="16" applyNumberFormat="1" applyFont="1"/>
    <xf numFmtId="166" fontId="2" fillId="0" borderId="0" xfId="0" applyNumberFormat="1" applyFont="1"/>
    <xf numFmtId="173" fontId="2" fillId="0" borderId="0" xfId="0" applyNumberFormat="1" applyFont="1" applyFill="1" applyBorder="1"/>
    <xf numFmtId="173" fontId="2" fillId="0" borderId="0" xfId="0" applyNumberFormat="1" applyFont="1" applyFill="1"/>
    <xf numFmtId="166" fontId="2" fillId="0" borderId="0" xfId="16" applyFont="1"/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0" fontId="32" fillId="0" borderId="0" xfId="0" applyFont="1" applyAlignment="1">
      <alignment horizontal="right"/>
    </xf>
    <xf numFmtId="173" fontId="2" fillId="0" borderId="1" xfId="16" applyNumberFormat="1" applyFont="1" applyFill="1" applyBorder="1" applyAlignment="1" applyProtection="1">
      <alignment horizontal="right" vertical="center"/>
    </xf>
    <xf numFmtId="0" fontId="31" fillId="0" borderId="1" xfId="0" applyFont="1" applyFill="1" applyBorder="1" applyAlignment="1" applyProtection="1">
      <alignment horizontal="left" vertical="center"/>
    </xf>
    <xf numFmtId="173" fontId="31" fillId="0" borderId="1" xfId="16" applyNumberFormat="1" applyFont="1" applyFill="1" applyBorder="1" applyAlignment="1" applyProtection="1">
      <alignment horizontal="right" vertical="center"/>
    </xf>
    <xf numFmtId="49" fontId="13" fillId="24" borderId="1" xfId="0" applyNumberFormat="1" applyFont="1" applyFill="1" applyBorder="1" applyAlignment="1">
      <alignment horizontal="center" vertical="center" wrapText="1"/>
    </xf>
    <xf numFmtId="164" fontId="13" fillId="24" borderId="1" xfId="0" applyNumberFormat="1" applyFont="1" applyFill="1" applyBorder="1" applyAlignment="1">
      <alignment horizontal="center" vertical="center" wrapText="1"/>
    </xf>
    <xf numFmtId="0" fontId="33" fillId="0" borderId="0" xfId="0" applyFont="1" applyBorder="1" applyAlignment="1"/>
    <xf numFmtId="0" fontId="13" fillId="24" borderId="1" xfId="0" applyFont="1" applyFill="1" applyBorder="1" applyAlignment="1" applyProtection="1">
      <alignment horizontal="left" vertical="center" indent="1"/>
    </xf>
    <xf numFmtId="173" fontId="13" fillId="24" borderId="1" xfId="16" applyNumberFormat="1" applyFont="1" applyFill="1" applyBorder="1" applyAlignment="1" applyProtection="1">
      <alignment horizontal="right" vertical="center" wrapText="1" indent="1"/>
    </xf>
    <xf numFmtId="173" fontId="2" fillId="0" borderId="0" xfId="0" applyNumberFormat="1" applyFont="1" applyBorder="1"/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left" vertical="center" wrapText="1" indent="2"/>
    </xf>
    <xf numFmtId="49" fontId="13" fillId="24" borderId="1" xfId="0" quotePrefix="1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</cellXfs>
  <cellStyles count="84">
    <cellStyle name="20% - Énfasis1 2" xfId="24"/>
    <cellStyle name="20% - Énfasis2 2" xfId="25"/>
    <cellStyle name="20% - Énfasis3 2" xfId="26"/>
    <cellStyle name="20% - Énfasis4 2" xfId="27"/>
    <cellStyle name="20% - Énfasis5 2" xfId="28"/>
    <cellStyle name="20% - Énfasis6 2" xfId="29"/>
    <cellStyle name="40% - Énfasis1 2" xfId="30"/>
    <cellStyle name="40% - Énfasis2 2" xfId="31"/>
    <cellStyle name="40% - Énfasis3 2" xfId="32"/>
    <cellStyle name="40% - Énfasis4 2" xfId="33"/>
    <cellStyle name="40% - Énfasis5 2" xfId="34"/>
    <cellStyle name="40% - Énfasis6 2" xfId="35"/>
    <cellStyle name="60% - Énfasis1 2" xfId="36"/>
    <cellStyle name="60% - Énfasis2 2" xfId="37"/>
    <cellStyle name="60% - Énfasis3 2" xfId="38"/>
    <cellStyle name="60% - Énfasis4 2" xfId="39"/>
    <cellStyle name="60% - Énfasis5 2" xfId="40"/>
    <cellStyle name="60% - Énfasis6 2" xfId="41"/>
    <cellStyle name="Buena 2" xfId="42"/>
    <cellStyle name="Cabecera 1" xfId="1"/>
    <cellStyle name="Cabecera 2" xfId="2"/>
    <cellStyle name="Cálculo 2" xfId="43"/>
    <cellStyle name="Celda de comprobación 2" xfId="44"/>
    <cellStyle name="Celda vinculada 2" xfId="45"/>
    <cellStyle name="Dia" xfId="3"/>
    <cellStyle name="Encabez1" xfId="4"/>
    <cellStyle name="Encabez1 2" xfId="46"/>
    <cellStyle name="Encabez2" xfId="5"/>
    <cellStyle name="Encabez2 2" xfId="47"/>
    <cellStyle name="Encabezado 4 2" xfId="48"/>
    <cellStyle name="Énfasis1 2" xfId="49"/>
    <cellStyle name="Énfasis2 2" xfId="50"/>
    <cellStyle name="Énfasis3 2" xfId="51"/>
    <cellStyle name="Énfasis4 2" xfId="52"/>
    <cellStyle name="Énfasis5 2" xfId="53"/>
    <cellStyle name="Énfasis6 2" xfId="54"/>
    <cellStyle name="Entrada 2" xfId="55"/>
    <cellStyle name="F2" xfId="6"/>
    <cellStyle name="F3" xfId="7"/>
    <cellStyle name="F4" xfId="8"/>
    <cellStyle name="F4 2" xfId="56"/>
    <cellStyle name="F5" xfId="9"/>
    <cellStyle name="F6" xfId="10"/>
    <cellStyle name="F7" xfId="11"/>
    <cellStyle name="F8" xfId="12"/>
    <cellStyle name="F8 2" xfId="57"/>
    <cellStyle name="Fecha" xfId="13"/>
    <cellStyle name="Fijo" xfId="14"/>
    <cellStyle name="Financiero" xfId="15"/>
    <cellStyle name="Incorrecto 2" xfId="58"/>
    <cellStyle name="Millares" xfId="16" builtinId="3"/>
    <cellStyle name="Millares [0] 2" xfId="60"/>
    <cellStyle name="Millares 2" xfId="77"/>
    <cellStyle name="Millares 3" xfId="78"/>
    <cellStyle name="Millares 4" xfId="59"/>
    <cellStyle name="Millares 5" xfId="79"/>
    <cellStyle name="Moneda 2" xfId="74"/>
    <cellStyle name="Monetario" xfId="17"/>
    <cellStyle name="Monetario0" xfId="18"/>
    <cellStyle name="Neutral 2" xfId="61"/>
    <cellStyle name="Normal" xfId="0" builtinId="0"/>
    <cellStyle name="Normal 11" xfId="80"/>
    <cellStyle name="Normal 2" xfId="21"/>
    <cellStyle name="Normal 2 2" xfId="62"/>
    <cellStyle name="Normal 3" xfId="73"/>
    <cellStyle name="Normal 4" xfId="76"/>
    <cellStyle name="Normal 5" xfId="22"/>
    <cellStyle name="Normal 5 2" xfId="81"/>
    <cellStyle name="Normal 6" xfId="82"/>
    <cellStyle name="Normal 7" xfId="23"/>
    <cellStyle name="Notas 2" xfId="63"/>
    <cellStyle name="Porcentaje 2" xfId="83"/>
    <cellStyle name="Porcentaje 3" xfId="64"/>
    <cellStyle name="Porcentual 2" xfId="75"/>
    <cellStyle name="Punto" xfId="19"/>
    <cellStyle name="Punto0" xfId="20"/>
    <cellStyle name="Salida 2" xfId="65"/>
    <cellStyle name="Texto de advertencia 2" xfId="66"/>
    <cellStyle name="Texto explicativo 2" xfId="67"/>
    <cellStyle name="Título 1 2" xfId="69"/>
    <cellStyle name="Título 2 2" xfId="70"/>
    <cellStyle name="Título 3 2" xfId="71"/>
    <cellStyle name="Título 4" xfId="68"/>
    <cellStyle name="Total 2" xfId="72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  <sheetName val="DISTRIBUIDO FEBRERO CUOTA CTE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83203125" style="1" customWidth="1"/>
    <col min="3" max="3" width="22.33203125" style="1" hidden="1" customWidth="1"/>
    <col min="4" max="9" width="22.33203125" style="1" customWidth="1"/>
    <col min="10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161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162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19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148</v>
      </c>
      <c r="L7" s="19" t="s">
        <v>149</v>
      </c>
      <c r="M7" s="20" t="s">
        <v>142</v>
      </c>
      <c r="N7" s="19" t="s">
        <v>140</v>
      </c>
    </row>
    <row r="8" spans="1:15" ht="18" customHeight="1" x14ac:dyDescent="0.2">
      <c r="A8" s="17" t="s">
        <v>3</v>
      </c>
      <c r="B8" s="16">
        <v>658432068.73000002</v>
      </c>
      <c r="C8" s="16">
        <v>0</v>
      </c>
      <c r="D8" s="16">
        <v>5992089.3694127603</v>
      </c>
      <c r="E8" s="16">
        <v>3789427.2299999995</v>
      </c>
      <c r="F8" s="16">
        <v>1381210.52</v>
      </c>
      <c r="G8" s="16">
        <v>651482.25</v>
      </c>
      <c r="H8" s="16">
        <v>26931192.68</v>
      </c>
      <c r="I8" s="16">
        <v>3761744.5</v>
      </c>
      <c r="J8" s="16">
        <v>0</v>
      </c>
      <c r="K8" s="16">
        <v>0</v>
      </c>
      <c r="L8" s="16">
        <v>0</v>
      </c>
      <c r="M8" s="16">
        <v>0</v>
      </c>
      <c r="N8" s="18">
        <f t="shared" ref="N8:N39" si="0">SUM(B8:M8)</f>
        <v>700939215.27941275</v>
      </c>
      <c r="O8" s="4"/>
    </row>
    <row r="9" spans="1:15" ht="18" customHeight="1" x14ac:dyDescent="0.2">
      <c r="A9" s="17" t="s">
        <v>4</v>
      </c>
      <c r="B9" s="16">
        <v>347971936.5</v>
      </c>
      <c r="C9" s="16">
        <v>0</v>
      </c>
      <c r="D9" s="16">
        <v>6432373.9793502409</v>
      </c>
      <c r="E9" s="16">
        <v>1999529.41</v>
      </c>
      <c r="F9" s="16">
        <v>967705.26</v>
      </c>
      <c r="G9" s="16">
        <v>460221.41</v>
      </c>
      <c r="H9" s="16">
        <v>14210514.859999999</v>
      </c>
      <c r="I9" s="16">
        <v>2635557.64</v>
      </c>
      <c r="J9" s="16">
        <v>0</v>
      </c>
      <c r="K9" s="16">
        <v>0</v>
      </c>
      <c r="L9" s="16">
        <v>0</v>
      </c>
      <c r="M9" s="16">
        <v>0</v>
      </c>
      <c r="N9" s="18">
        <f t="shared" si="0"/>
        <v>374677839.05935031</v>
      </c>
      <c r="O9" s="4"/>
    </row>
    <row r="10" spans="1:15" ht="18" customHeight="1" x14ac:dyDescent="0.2">
      <c r="A10" s="17" t="s">
        <v>5</v>
      </c>
      <c r="B10" s="16">
        <v>378993913.32999998</v>
      </c>
      <c r="C10" s="16">
        <v>0</v>
      </c>
      <c r="D10" s="16">
        <v>2872756.1532163601</v>
      </c>
      <c r="E10" s="16">
        <v>2122061.7999999998</v>
      </c>
      <c r="F10" s="16">
        <v>676021.05</v>
      </c>
      <c r="G10" s="16">
        <v>406429.29</v>
      </c>
      <c r="H10" s="16">
        <v>15081343.85</v>
      </c>
      <c r="I10" s="16">
        <v>1841151.97</v>
      </c>
      <c r="J10" s="16">
        <v>0</v>
      </c>
      <c r="K10" s="16">
        <v>0</v>
      </c>
      <c r="L10" s="16">
        <v>0</v>
      </c>
      <c r="M10" s="16">
        <v>0</v>
      </c>
      <c r="N10" s="18">
        <f t="shared" si="0"/>
        <v>401993677.44321644</v>
      </c>
      <c r="O10" s="4"/>
    </row>
    <row r="11" spans="1:15" ht="18" customHeight="1" x14ac:dyDescent="0.2">
      <c r="A11" s="17" t="s">
        <v>6</v>
      </c>
      <c r="B11" s="16">
        <v>3061215622.7000003</v>
      </c>
      <c r="C11" s="16">
        <v>0</v>
      </c>
      <c r="D11" s="16">
        <v>15234478.791931121</v>
      </c>
      <c r="E11" s="16">
        <v>16373669.140000001</v>
      </c>
      <c r="F11" s="16">
        <v>72560737.030000001</v>
      </c>
      <c r="G11" s="16">
        <v>36243744.282202817</v>
      </c>
      <c r="H11" s="16">
        <v>133041456.37</v>
      </c>
      <c r="I11" s="16">
        <v>197620093.25</v>
      </c>
      <c r="J11" s="16">
        <v>0</v>
      </c>
      <c r="K11" s="16">
        <v>0</v>
      </c>
      <c r="L11" s="16">
        <v>0</v>
      </c>
      <c r="M11" s="16">
        <v>0</v>
      </c>
      <c r="N11" s="18">
        <f t="shared" si="0"/>
        <v>3532289801.5641341</v>
      </c>
      <c r="O11" s="4"/>
    </row>
    <row r="12" spans="1:15" ht="18" customHeight="1" x14ac:dyDescent="0.2">
      <c r="A12" s="17" t="s">
        <v>7</v>
      </c>
      <c r="B12" s="16">
        <v>394121821.64999998</v>
      </c>
      <c r="C12" s="16">
        <v>0</v>
      </c>
      <c r="D12" s="16">
        <v>6150416.9402403999</v>
      </c>
      <c r="E12" s="16">
        <v>2410152.52</v>
      </c>
      <c r="F12" s="16">
        <v>2481031.58</v>
      </c>
      <c r="G12" s="16">
        <v>1111703.6599999999</v>
      </c>
      <c r="H12" s="16">
        <v>17128784.359999999</v>
      </c>
      <c r="I12" s="16">
        <v>6757121.1799999997</v>
      </c>
      <c r="J12" s="16">
        <v>0</v>
      </c>
      <c r="K12" s="16">
        <v>0</v>
      </c>
      <c r="L12" s="16">
        <v>0</v>
      </c>
      <c r="M12" s="16">
        <v>0</v>
      </c>
      <c r="N12" s="18">
        <f t="shared" si="0"/>
        <v>430161031.89024037</v>
      </c>
      <c r="O12" s="4"/>
    </row>
    <row r="13" spans="1:15" ht="18" customHeight="1" x14ac:dyDescent="0.2">
      <c r="A13" s="17" t="s">
        <v>8</v>
      </c>
      <c r="B13" s="16">
        <v>1873426945.0000002</v>
      </c>
      <c r="C13" s="16">
        <v>0</v>
      </c>
      <c r="D13" s="16">
        <v>11617997.087489959</v>
      </c>
      <c r="E13" s="16">
        <v>9633577.25</v>
      </c>
      <c r="F13" s="16">
        <v>35285210.619999997</v>
      </c>
      <c r="G13" s="16">
        <v>0</v>
      </c>
      <c r="H13" s="16">
        <v>78275989.109999999</v>
      </c>
      <c r="I13" s="16">
        <v>96099721.390000001</v>
      </c>
      <c r="J13" s="16">
        <v>0</v>
      </c>
      <c r="K13" s="16">
        <v>0</v>
      </c>
      <c r="L13" s="16">
        <v>0</v>
      </c>
      <c r="M13" s="16">
        <v>0</v>
      </c>
      <c r="N13" s="18">
        <f t="shared" si="0"/>
        <v>2104339440.45749</v>
      </c>
      <c r="O13" s="4"/>
    </row>
    <row r="14" spans="1:15" ht="18" customHeight="1" x14ac:dyDescent="0.2">
      <c r="A14" s="17" t="s">
        <v>9</v>
      </c>
      <c r="B14" s="16">
        <v>633088691.06999993</v>
      </c>
      <c r="C14" s="16">
        <v>0</v>
      </c>
      <c r="D14" s="16">
        <v>8130878.9163902001</v>
      </c>
      <c r="E14" s="16">
        <v>3695346.11</v>
      </c>
      <c r="F14" s="16">
        <v>1605978.95</v>
      </c>
      <c r="G14" s="16">
        <v>776997.18</v>
      </c>
      <c r="H14" s="16">
        <v>26262564.719999999</v>
      </c>
      <c r="I14" s="16">
        <v>4373904.17</v>
      </c>
      <c r="J14" s="16">
        <v>0</v>
      </c>
      <c r="K14" s="16">
        <v>0</v>
      </c>
      <c r="L14" s="16">
        <v>0</v>
      </c>
      <c r="M14" s="16">
        <v>0</v>
      </c>
      <c r="N14" s="18">
        <f t="shared" si="0"/>
        <v>677934361.11639011</v>
      </c>
      <c r="O14" s="4"/>
    </row>
    <row r="15" spans="1:15" ht="18" customHeight="1" x14ac:dyDescent="0.2">
      <c r="A15" s="17" t="s">
        <v>10</v>
      </c>
      <c r="B15" s="16">
        <v>1102609690.3699999</v>
      </c>
      <c r="C15" s="16">
        <v>0</v>
      </c>
      <c r="D15" s="16">
        <v>11297494.225245241</v>
      </c>
      <c r="E15" s="16">
        <v>6283886.2199999997</v>
      </c>
      <c r="F15" s="16">
        <v>5982957.9100000001</v>
      </c>
      <c r="G15" s="16">
        <v>2498344.77</v>
      </c>
      <c r="H15" s="16">
        <v>44659137.149999999</v>
      </c>
      <c r="I15" s="16">
        <v>16294662.220000001</v>
      </c>
      <c r="J15" s="16">
        <v>0</v>
      </c>
      <c r="K15" s="16">
        <v>0</v>
      </c>
      <c r="L15" s="16">
        <v>0</v>
      </c>
      <c r="M15" s="16">
        <v>0</v>
      </c>
      <c r="N15" s="18">
        <f t="shared" si="0"/>
        <v>1189626172.8652453</v>
      </c>
      <c r="O15" s="4"/>
    </row>
    <row r="16" spans="1:15" ht="18" customHeight="1" x14ac:dyDescent="0.2">
      <c r="A16" s="17" t="s">
        <v>11</v>
      </c>
      <c r="B16" s="16">
        <v>1991265388.6900001</v>
      </c>
      <c r="C16" s="16">
        <v>0</v>
      </c>
      <c r="D16" s="16">
        <v>25201044.167943001</v>
      </c>
      <c r="E16" s="16">
        <v>10173496.050000001</v>
      </c>
      <c r="F16" s="16">
        <v>22313842.16</v>
      </c>
      <c r="G16" s="16">
        <v>11535419.65</v>
      </c>
      <c r="H16" s="16">
        <v>82663007.200000003</v>
      </c>
      <c r="I16" s="16">
        <v>60772033.880000003</v>
      </c>
      <c r="J16" s="16">
        <v>0</v>
      </c>
      <c r="K16" s="16">
        <v>0</v>
      </c>
      <c r="L16" s="16">
        <v>0</v>
      </c>
      <c r="M16" s="16">
        <v>0</v>
      </c>
      <c r="N16" s="18">
        <f t="shared" si="0"/>
        <v>2203924231.7979431</v>
      </c>
      <c r="O16" s="4"/>
    </row>
    <row r="17" spans="1:15" ht="15" x14ac:dyDescent="0.2">
      <c r="A17" s="17" t="s">
        <v>12</v>
      </c>
      <c r="B17" s="16">
        <v>747441856.94000006</v>
      </c>
      <c r="C17" s="16">
        <v>0</v>
      </c>
      <c r="D17" s="16">
        <v>13758599.002454642</v>
      </c>
      <c r="E17" s="16">
        <v>4234872.57</v>
      </c>
      <c r="F17" s="16">
        <v>4582873.6900000004</v>
      </c>
      <c r="G17" s="16">
        <v>1673532.39</v>
      </c>
      <c r="H17" s="16">
        <v>30096941.350000001</v>
      </c>
      <c r="I17" s="16">
        <v>12481514.99</v>
      </c>
      <c r="J17" s="16">
        <v>0</v>
      </c>
      <c r="K17" s="16">
        <v>0</v>
      </c>
      <c r="L17" s="16">
        <v>0</v>
      </c>
      <c r="M17" s="16">
        <v>0</v>
      </c>
      <c r="N17" s="18">
        <f t="shared" si="0"/>
        <v>814270190.93245482</v>
      </c>
      <c r="O17" s="4"/>
    </row>
    <row r="18" spans="1:15" ht="15" x14ac:dyDescent="0.2">
      <c r="A18" s="17" t="s">
        <v>13</v>
      </c>
      <c r="B18" s="16">
        <v>420351541.52999997</v>
      </c>
      <c r="C18" s="16">
        <v>0</v>
      </c>
      <c r="D18" s="16">
        <v>5104910.1720986804</v>
      </c>
      <c r="E18" s="16">
        <v>2360842.83</v>
      </c>
      <c r="F18" s="16">
        <v>3088421.06</v>
      </c>
      <c r="G18" s="16">
        <v>1255149.29</v>
      </c>
      <c r="H18" s="16">
        <v>16778343.920000002</v>
      </c>
      <c r="I18" s="16">
        <v>8411354.1699999999</v>
      </c>
      <c r="J18" s="16">
        <v>0</v>
      </c>
      <c r="K18" s="16">
        <v>0</v>
      </c>
      <c r="L18" s="16">
        <v>0</v>
      </c>
      <c r="M18" s="16">
        <v>0</v>
      </c>
      <c r="N18" s="18">
        <f t="shared" si="0"/>
        <v>457350562.97209871</v>
      </c>
      <c r="O18" s="4"/>
    </row>
    <row r="19" spans="1:15" ht="15" x14ac:dyDescent="0.2">
      <c r="A19" s="17" t="s">
        <v>14</v>
      </c>
      <c r="B19" s="16">
        <v>706655093.23000002</v>
      </c>
      <c r="C19" s="16">
        <v>0</v>
      </c>
      <c r="D19" s="16">
        <v>6389197.4724353198</v>
      </c>
      <c r="E19" s="16">
        <v>4125954.89</v>
      </c>
      <c r="F19" s="16">
        <v>1247378.95</v>
      </c>
      <c r="G19" s="16">
        <v>776997.18</v>
      </c>
      <c r="H19" s="16">
        <v>29322871.140000001</v>
      </c>
      <c r="I19" s="16">
        <v>3397252.49</v>
      </c>
      <c r="J19" s="16">
        <v>0</v>
      </c>
      <c r="K19" s="16">
        <v>0</v>
      </c>
      <c r="L19" s="16">
        <v>0</v>
      </c>
      <c r="M19" s="16">
        <v>0</v>
      </c>
      <c r="N19" s="18">
        <f t="shared" si="0"/>
        <v>751914745.35243535</v>
      </c>
      <c r="O19" s="4"/>
    </row>
    <row r="20" spans="1:15" ht="15" x14ac:dyDescent="0.2">
      <c r="A20" s="17" t="s">
        <v>15</v>
      </c>
      <c r="B20" s="16">
        <v>2502204107.1799998</v>
      </c>
      <c r="C20" s="16">
        <v>0</v>
      </c>
      <c r="D20" s="16">
        <v>8378254.6223504404</v>
      </c>
      <c r="E20" s="16">
        <v>12682481.050000001</v>
      </c>
      <c r="F20" s="16">
        <v>39813179.049999997</v>
      </c>
      <c r="G20" s="16">
        <v>19235010.558650993</v>
      </c>
      <c r="H20" s="16">
        <v>103049337.03</v>
      </c>
      <c r="I20" s="16">
        <v>108431701.2</v>
      </c>
      <c r="J20" s="16">
        <v>0</v>
      </c>
      <c r="K20" s="16">
        <v>0</v>
      </c>
      <c r="L20" s="16">
        <v>0</v>
      </c>
      <c r="M20" s="16">
        <v>0</v>
      </c>
      <c r="N20" s="18">
        <f t="shared" si="0"/>
        <v>2793794070.6910014</v>
      </c>
      <c r="O20" s="4"/>
    </row>
    <row r="21" spans="1:15" ht="15" x14ac:dyDescent="0.2">
      <c r="A21" s="17" t="s">
        <v>16</v>
      </c>
      <c r="B21" s="16">
        <v>1087241418.0700002</v>
      </c>
      <c r="C21" s="16">
        <v>0</v>
      </c>
      <c r="D21" s="16">
        <v>5299347.9001129996</v>
      </c>
      <c r="E21" s="16">
        <v>6279609.8000000007</v>
      </c>
      <c r="F21" s="16">
        <v>10586421.08</v>
      </c>
      <c r="G21" s="16">
        <v>2606826.5536557003</v>
      </c>
      <c r="H21" s="16">
        <v>44628744.969999999</v>
      </c>
      <c r="I21" s="16">
        <v>28832252.899999999</v>
      </c>
      <c r="J21" s="16">
        <v>0</v>
      </c>
      <c r="K21" s="16">
        <v>0</v>
      </c>
      <c r="L21" s="16">
        <v>0</v>
      </c>
      <c r="M21" s="16">
        <v>0</v>
      </c>
      <c r="N21" s="18">
        <f t="shared" si="0"/>
        <v>1185474621.2737689</v>
      </c>
      <c r="O21" s="4"/>
    </row>
    <row r="22" spans="1:15" ht="15" x14ac:dyDescent="0.2">
      <c r="A22" s="17" t="s">
        <v>17</v>
      </c>
      <c r="B22" s="16">
        <v>861329317.6400001</v>
      </c>
      <c r="C22" s="16">
        <v>0</v>
      </c>
      <c r="D22" s="16">
        <v>9676342.3737914022</v>
      </c>
      <c r="E22" s="16">
        <v>4681539.74</v>
      </c>
      <c r="F22" s="16">
        <v>2520494.7400000002</v>
      </c>
      <c r="G22" s="16">
        <v>1308941.3999999999</v>
      </c>
      <c r="H22" s="16">
        <v>33271373.5</v>
      </c>
      <c r="I22" s="16">
        <v>6864599.5999999996</v>
      </c>
      <c r="J22" s="16">
        <v>0</v>
      </c>
      <c r="K22" s="16">
        <v>0</v>
      </c>
      <c r="L22" s="16">
        <v>0</v>
      </c>
      <c r="M22" s="16">
        <v>0</v>
      </c>
      <c r="N22" s="18">
        <f t="shared" si="0"/>
        <v>919652608.99379158</v>
      </c>
      <c r="O22" s="4"/>
    </row>
    <row r="23" spans="1:15" ht="15" x14ac:dyDescent="0.2">
      <c r="A23" s="17" t="s">
        <v>18</v>
      </c>
      <c r="B23" s="16">
        <v>827483063.99000013</v>
      </c>
      <c r="C23" s="16">
        <v>0</v>
      </c>
      <c r="D23" s="16">
        <v>5829181.2255083602</v>
      </c>
      <c r="E23" s="16">
        <v>4766893.5</v>
      </c>
      <c r="F23" s="16">
        <v>2415831.58</v>
      </c>
      <c r="G23" s="16">
        <v>1583878.86</v>
      </c>
      <c r="H23" s="16">
        <v>33877976.600000001</v>
      </c>
      <c r="I23" s="16">
        <v>6579548.1500000004</v>
      </c>
      <c r="J23" s="16">
        <v>0</v>
      </c>
      <c r="K23" s="16">
        <v>0</v>
      </c>
      <c r="L23" s="16">
        <v>0</v>
      </c>
      <c r="M23" s="16">
        <v>0</v>
      </c>
      <c r="N23" s="18">
        <f t="shared" si="0"/>
        <v>882536373.90550852</v>
      </c>
      <c r="O23" s="4"/>
    </row>
    <row r="24" spans="1:15" ht="15" x14ac:dyDescent="0.2">
      <c r="A24" s="17" t="s">
        <v>19</v>
      </c>
      <c r="B24" s="16">
        <v>260494468.72000003</v>
      </c>
      <c r="C24" s="16">
        <v>0</v>
      </c>
      <c r="D24" s="16">
        <v>6175879.8405868802</v>
      </c>
      <c r="E24" s="16">
        <v>1461661.1600000001</v>
      </c>
      <c r="F24" s="16">
        <v>2511915.79</v>
      </c>
      <c r="G24" s="16">
        <v>377003.97534128645</v>
      </c>
      <c r="H24" s="16">
        <v>10387922.960000001</v>
      </c>
      <c r="I24" s="16">
        <v>6841234.7199999997</v>
      </c>
      <c r="J24" s="16">
        <v>0</v>
      </c>
      <c r="K24" s="16">
        <v>0</v>
      </c>
      <c r="L24" s="16">
        <v>0</v>
      </c>
      <c r="M24" s="16">
        <v>0</v>
      </c>
      <c r="N24" s="18">
        <f t="shared" si="0"/>
        <v>288250087.16592818</v>
      </c>
      <c r="O24" s="4"/>
    </row>
    <row r="25" spans="1:15" ht="15" x14ac:dyDescent="0.2">
      <c r="A25" s="17" t="s">
        <v>20</v>
      </c>
      <c r="B25" s="16">
        <v>1078167677.6599998</v>
      </c>
      <c r="C25" s="16">
        <v>0</v>
      </c>
      <c r="D25" s="16">
        <v>6345383.8755925605</v>
      </c>
      <c r="E25" s="16">
        <v>6593184.4699999997</v>
      </c>
      <c r="F25" s="16">
        <v>11140621.08</v>
      </c>
      <c r="G25" s="16">
        <v>3616025.33</v>
      </c>
      <c r="H25" s="16">
        <v>46857298.060000002</v>
      </c>
      <c r="I25" s="16">
        <v>30341623.68</v>
      </c>
      <c r="J25" s="16">
        <v>0</v>
      </c>
      <c r="K25" s="16">
        <v>0</v>
      </c>
      <c r="L25" s="16">
        <v>0</v>
      </c>
      <c r="M25" s="16">
        <v>0</v>
      </c>
      <c r="N25" s="18">
        <f t="shared" si="0"/>
        <v>1183061814.1555922</v>
      </c>
      <c r="O25" s="4"/>
    </row>
    <row r="26" spans="1:15" ht="15" x14ac:dyDescent="0.2">
      <c r="A26" s="17" t="s">
        <v>21</v>
      </c>
      <c r="B26" s="16">
        <v>439655774.10000002</v>
      </c>
      <c r="C26" s="16">
        <v>0</v>
      </c>
      <c r="D26" s="16">
        <v>5403795.2885100804</v>
      </c>
      <c r="E26" s="16">
        <v>2360842.83</v>
      </c>
      <c r="F26" s="16">
        <v>5066726.32</v>
      </c>
      <c r="G26" s="16">
        <v>1984331.26</v>
      </c>
      <c r="H26" s="16">
        <v>16778343.920000002</v>
      </c>
      <c r="I26" s="16">
        <v>13799293.810000001</v>
      </c>
      <c r="J26" s="16">
        <v>0</v>
      </c>
      <c r="K26" s="16">
        <v>0</v>
      </c>
      <c r="L26" s="16">
        <v>0</v>
      </c>
      <c r="M26" s="16">
        <v>0</v>
      </c>
      <c r="N26" s="18">
        <f t="shared" si="0"/>
        <v>485049107.52851009</v>
      </c>
      <c r="O26" s="4"/>
    </row>
    <row r="27" spans="1:15" ht="15" x14ac:dyDescent="0.2">
      <c r="A27" s="17" t="s">
        <v>22</v>
      </c>
      <c r="B27" s="16">
        <v>215170834.77000001</v>
      </c>
      <c r="C27" s="16">
        <v>0</v>
      </c>
      <c r="D27" s="16">
        <v>1521735.43863596</v>
      </c>
      <c r="E27" s="16">
        <v>1315826.6800000002</v>
      </c>
      <c r="F27" s="16">
        <v>1259389.47</v>
      </c>
      <c r="G27" s="16">
        <v>555851.82999999996</v>
      </c>
      <c r="H27" s="16">
        <v>9351487.6099999994</v>
      </c>
      <c r="I27" s="16">
        <v>3429963.31</v>
      </c>
      <c r="J27" s="16">
        <v>0</v>
      </c>
      <c r="K27" s="16">
        <v>0</v>
      </c>
      <c r="L27" s="16">
        <v>0</v>
      </c>
      <c r="M27" s="16">
        <v>0</v>
      </c>
      <c r="N27" s="18">
        <f t="shared" si="0"/>
        <v>232605089.10863596</v>
      </c>
      <c r="O27" s="4"/>
    </row>
    <row r="28" spans="1:15" ht="15" x14ac:dyDescent="0.2">
      <c r="A28" s="17" t="s">
        <v>23</v>
      </c>
      <c r="B28" s="16">
        <v>762028946.28999996</v>
      </c>
      <c r="C28" s="16">
        <v>0</v>
      </c>
      <c r="D28" s="16">
        <v>5332468.6598097207</v>
      </c>
      <c r="E28" s="16">
        <v>4389085.32</v>
      </c>
      <c r="F28" s="16">
        <v>1734663.16</v>
      </c>
      <c r="G28" s="16">
        <v>848720</v>
      </c>
      <c r="H28" s="16">
        <v>31192920.559999999</v>
      </c>
      <c r="I28" s="16">
        <v>4724377.26</v>
      </c>
      <c r="J28" s="16">
        <v>0</v>
      </c>
      <c r="K28" s="16">
        <v>0</v>
      </c>
      <c r="L28" s="16">
        <v>0</v>
      </c>
      <c r="M28" s="16">
        <v>0</v>
      </c>
      <c r="N28" s="18">
        <f t="shared" si="0"/>
        <v>810251181.24980962</v>
      </c>
      <c r="O28" s="4"/>
    </row>
    <row r="29" spans="1:15" ht="15" x14ac:dyDescent="0.2">
      <c r="A29" s="17" t="s">
        <v>24</v>
      </c>
      <c r="B29" s="16">
        <v>471248615.38</v>
      </c>
      <c r="C29" s="16">
        <v>0</v>
      </c>
      <c r="D29" s="16">
        <v>6168240.2253294401</v>
      </c>
      <c r="E29" s="16">
        <v>2881780</v>
      </c>
      <c r="F29" s="16">
        <v>1082663.1599999999</v>
      </c>
      <c r="G29" s="16">
        <v>442290.7</v>
      </c>
      <c r="H29" s="16">
        <v>20480607.600000001</v>
      </c>
      <c r="I29" s="16">
        <v>2948646.93</v>
      </c>
      <c r="J29" s="16">
        <v>0</v>
      </c>
      <c r="K29" s="16">
        <v>0</v>
      </c>
      <c r="L29" s="16">
        <v>0</v>
      </c>
      <c r="M29" s="16">
        <v>0</v>
      </c>
      <c r="N29" s="18">
        <f t="shared" si="0"/>
        <v>505252843.9953295</v>
      </c>
      <c r="O29" s="4"/>
    </row>
    <row r="30" spans="1:15" ht="15" x14ac:dyDescent="0.2">
      <c r="A30" s="17" t="s">
        <v>25</v>
      </c>
      <c r="B30" s="16">
        <v>156657227.16</v>
      </c>
      <c r="C30" s="16">
        <v>0</v>
      </c>
      <c r="D30" s="16">
        <v>5044667.0461531989</v>
      </c>
      <c r="E30" s="16">
        <v>887836.11</v>
      </c>
      <c r="F30" s="16">
        <v>935105.26</v>
      </c>
      <c r="G30" s="16">
        <v>561828.73</v>
      </c>
      <c r="H30" s="16">
        <v>6309788.6500000004</v>
      </c>
      <c r="I30" s="16">
        <v>2546771.12</v>
      </c>
      <c r="J30" s="16">
        <v>0</v>
      </c>
      <c r="K30" s="16">
        <v>0</v>
      </c>
      <c r="L30" s="16">
        <v>0</v>
      </c>
      <c r="M30" s="16">
        <v>0</v>
      </c>
      <c r="N30" s="18">
        <f t="shared" si="0"/>
        <v>172943224.07615319</v>
      </c>
      <c r="O30" s="4"/>
    </row>
    <row r="31" spans="1:15" ht="15" x14ac:dyDescent="0.2">
      <c r="A31" s="17" t="s">
        <v>26</v>
      </c>
      <c r="B31" s="16">
        <v>272933304.93000001</v>
      </c>
      <c r="C31" s="16">
        <v>0</v>
      </c>
      <c r="D31" s="16">
        <v>2024165.3201145204</v>
      </c>
      <c r="E31" s="16">
        <v>1647205.2000000002</v>
      </c>
      <c r="F31" s="16">
        <v>1116978.95</v>
      </c>
      <c r="G31" s="16">
        <v>316775.77</v>
      </c>
      <c r="H31" s="16">
        <v>11706571.41</v>
      </c>
      <c r="I31" s="16">
        <v>3042106.42</v>
      </c>
      <c r="J31" s="16">
        <v>0</v>
      </c>
      <c r="K31" s="16">
        <v>0</v>
      </c>
      <c r="L31" s="16">
        <v>0</v>
      </c>
      <c r="M31" s="16">
        <v>0</v>
      </c>
      <c r="N31" s="18">
        <f t="shared" si="0"/>
        <v>292787108.0001145</v>
      </c>
      <c r="O31" s="4"/>
    </row>
    <row r="32" spans="1:15" ht="15" x14ac:dyDescent="0.2">
      <c r="A32" s="17" t="s">
        <v>27</v>
      </c>
      <c r="B32" s="16">
        <v>1199025693.8999999</v>
      </c>
      <c r="C32" s="16">
        <v>0</v>
      </c>
      <c r="D32" s="16">
        <v>7976711.6782443989</v>
      </c>
      <c r="E32" s="16">
        <v>7075110.2400000002</v>
      </c>
      <c r="F32" s="16">
        <v>3294315.79</v>
      </c>
      <c r="G32" s="16">
        <v>1864793.23</v>
      </c>
      <c r="H32" s="16">
        <v>50282310.640000001</v>
      </c>
      <c r="I32" s="16">
        <v>8972111.1099999994</v>
      </c>
      <c r="J32" s="16">
        <v>0</v>
      </c>
      <c r="K32" s="16">
        <v>0</v>
      </c>
      <c r="L32" s="16">
        <v>0</v>
      </c>
      <c r="M32" s="16">
        <v>0</v>
      </c>
      <c r="N32" s="18">
        <f t="shared" si="0"/>
        <v>1278491046.5882442</v>
      </c>
      <c r="O32" s="4"/>
    </row>
    <row r="33" spans="1:15" ht="15" x14ac:dyDescent="0.2">
      <c r="A33" s="17" t="s">
        <v>28</v>
      </c>
      <c r="B33" s="16">
        <v>815329660</v>
      </c>
      <c r="C33" s="16">
        <v>0</v>
      </c>
      <c r="D33" s="16">
        <v>7894810.9088387601</v>
      </c>
      <c r="E33" s="16">
        <v>4688783.4600000009</v>
      </c>
      <c r="F33" s="16">
        <v>2417547.37</v>
      </c>
      <c r="G33" s="16">
        <v>1398594.92</v>
      </c>
      <c r="H33" s="16">
        <v>33322854.140000001</v>
      </c>
      <c r="I33" s="16">
        <v>6584221.1299999999</v>
      </c>
      <c r="J33" s="16">
        <v>0</v>
      </c>
      <c r="K33" s="16">
        <v>0</v>
      </c>
      <c r="L33" s="16">
        <v>0</v>
      </c>
      <c r="M33" s="16">
        <v>0</v>
      </c>
      <c r="N33" s="18">
        <f t="shared" si="0"/>
        <v>871636471.92883873</v>
      </c>
      <c r="O33" s="4"/>
    </row>
    <row r="34" spans="1:15" ht="15" x14ac:dyDescent="0.2">
      <c r="A34" s="17" t="s">
        <v>29</v>
      </c>
      <c r="B34" s="16">
        <v>1061222016.7099999</v>
      </c>
      <c r="C34" s="16">
        <v>0</v>
      </c>
      <c r="D34" s="16">
        <v>7001387.4918796001</v>
      </c>
      <c r="E34" s="16">
        <v>5235143.63</v>
      </c>
      <c r="F34" s="16">
        <v>3515652.64</v>
      </c>
      <c r="G34" s="16">
        <v>2456506.4700000002</v>
      </c>
      <c r="H34" s="16">
        <v>42537266.810000002</v>
      </c>
      <c r="I34" s="16">
        <v>9574924.8300000001</v>
      </c>
      <c r="J34" s="16">
        <v>0</v>
      </c>
      <c r="K34" s="16">
        <v>0</v>
      </c>
      <c r="L34" s="16">
        <v>0</v>
      </c>
      <c r="M34" s="16">
        <v>0</v>
      </c>
      <c r="N34" s="18">
        <f t="shared" si="0"/>
        <v>1131542898.5818794</v>
      </c>
      <c r="O34" s="4"/>
    </row>
    <row r="35" spans="1:15" ht="15" x14ac:dyDescent="0.2">
      <c r="A35" s="17" t="s">
        <v>30</v>
      </c>
      <c r="B35" s="16">
        <v>503171957.13000011</v>
      </c>
      <c r="C35" s="16">
        <v>0</v>
      </c>
      <c r="D35" s="16">
        <v>3038127.0002404004</v>
      </c>
      <c r="E35" s="16">
        <v>3021330.76</v>
      </c>
      <c r="F35" s="16">
        <v>2197926.3199999998</v>
      </c>
      <c r="G35" s="16">
        <v>950327.32</v>
      </c>
      <c r="H35" s="16">
        <v>21472385.059999999</v>
      </c>
      <c r="I35" s="16">
        <v>5986080.3799999999</v>
      </c>
      <c r="J35" s="16">
        <v>0</v>
      </c>
      <c r="K35" s="16">
        <v>0</v>
      </c>
      <c r="L35" s="16">
        <v>0</v>
      </c>
      <c r="M35" s="16">
        <v>0</v>
      </c>
      <c r="N35" s="18">
        <f t="shared" si="0"/>
        <v>539838133.97024047</v>
      </c>
      <c r="O35" s="4"/>
    </row>
    <row r="36" spans="1:15" ht="15" x14ac:dyDescent="0.2">
      <c r="A36" s="17" t="s">
        <v>31</v>
      </c>
      <c r="B36" s="16">
        <v>591896313.1400001</v>
      </c>
      <c r="C36" s="16">
        <v>0</v>
      </c>
      <c r="D36" s="16">
        <v>4034473.12526948</v>
      </c>
      <c r="E36" s="16">
        <v>3377844.12</v>
      </c>
      <c r="F36" s="16">
        <v>1382926.31</v>
      </c>
      <c r="G36" s="16">
        <v>603667.04</v>
      </c>
      <c r="H36" s="16">
        <v>24006100.449999999</v>
      </c>
      <c r="I36" s="16">
        <v>3766417.48</v>
      </c>
      <c r="J36" s="16">
        <v>0</v>
      </c>
      <c r="K36" s="16">
        <v>0</v>
      </c>
      <c r="L36" s="16">
        <v>0</v>
      </c>
      <c r="M36" s="16">
        <v>0</v>
      </c>
      <c r="N36" s="18">
        <f t="shared" si="0"/>
        <v>629067741.66526961</v>
      </c>
      <c r="O36" s="4"/>
    </row>
    <row r="37" spans="1:15" ht="15" x14ac:dyDescent="0.2">
      <c r="A37" s="17" t="s">
        <v>32</v>
      </c>
      <c r="B37" s="16">
        <v>614685823.44000006</v>
      </c>
      <c r="C37" s="16">
        <v>0</v>
      </c>
      <c r="D37" s="16">
        <v>4716249.0689790407</v>
      </c>
      <c r="E37" s="16">
        <v>3705818.95</v>
      </c>
      <c r="F37" s="16">
        <v>2565105.2599999998</v>
      </c>
      <c r="G37" s="16">
        <v>878604.5</v>
      </c>
      <c r="H37" s="16">
        <v>26336994.550000001</v>
      </c>
      <c r="I37" s="16">
        <v>6986096.9400000004</v>
      </c>
      <c r="J37" s="16">
        <v>0</v>
      </c>
      <c r="K37" s="16">
        <v>0</v>
      </c>
      <c r="L37" s="16">
        <v>0</v>
      </c>
      <c r="M37" s="16">
        <v>0</v>
      </c>
      <c r="N37" s="18">
        <f t="shared" si="0"/>
        <v>659874692.70897913</v>
      </c>
      <c r="O37" s="4"/>
    </row>
    <row r="38" spans="1:15" ht="15" x14ac:dyDescent="0.2">
      <c r="A38" s="17" t="s">
        <v>33</v>
      </c>
      <c r="B38" s="16">
        <v>537544006.99000001</v>
      </c>
      <c r="C38" s="16">
        <v>0</v>
      </c>
      <c r="D38" s="16">
        <v>1464661.2200738799</v>
      </c>
      <c r="E38" s="16">
        <v>3283850.25</v>
      </c>
      <c r="F38" s="16">
        <v>2292294.7400000002</v>
      </c>
      <c r="G38" s="16">
        <v>2378806.75</v>
      </c>
      <c r="H38" s="16">
        <v>23338092.739999998</v>
      </c>
      <c r="I38" s="16">
        <v>6243093.9800000004</v>
      </c>
      <c r="J38" s="16">
        <v>0</v>
      </c>
      <c r="K38" s="16">
        <v>0</v>
      </c>
      <c r="L38" s="16">
        <v>0</v>
      </c>
      <c r="M38" s="16">
        <v>0</v>
      </c>
      <c r="N38" s="18">
        <f t="shared" si="0"/>
        <v>576544806.67007399</v>
      </c>
      <c r="O38" s="4"/>
    </row>
    <row r="39" spans="1:15" ht="15" x14ac:dyDescent="0.2">
      <c r="A39" s="17" t="s">
        <v>34</v>
      </c>
      <c r="B39" s="16">
        <v>994205533.13000011</v>
      </c>
      <c r="C39" s="16">
        <v>0</v>
      </c>
      <c r="D39" s="16">
        <v>8121501.8464417206</v>
      </c>
      <c r="E39" s="16">
        <v>5687020.8899999997</v>
      </c>
      <c r="F39" s="16">
        <v>2920273.69</v>
      </c>
      <c r="G39" s="16">
        <v>1464340.84</v>
      </c>
      <c r="H39" s="16">
        <v>40417257.219999999</v>
      </c>
      <c r="I39" s="16">
        <v>7953402.6699999999</v>
      </c>
      <c r="J39" s="16">
        <v>0</v>
      </c>
      <c r="K39" s="16">
        <v>0</v>
      </c>
      <c r="L39" s="16">
        <v>0</v>
      </c>
      <c r="M39" s="16">
        <v>0</v>
      </c>
      <c r="N39" s="18">
        <f t="shared" si="0"/>
        <v>1060769330.2864419</v>
      </c>
      <c r="O39" s="4"/>
    </row>
    <row r="40" spans="1:15" ht="15" x14ac:dyDescent="0.2">
      <c r="A40" s="17" t="s">
        <v>35</v>
      </c>
      <c r="B40" s="16">
        <v>700075129.1400001</v>
      </c>
      <c r="C40" s="16">
        <v>0</v>
      </c>
      <c r="D40" s="16">
        <v>6572675.3743520407</v>
      </c>
      <c r="E40" s="16">
        <v>3759666.87</v>
      </c>
      <c r="F40" s="16">
        <v>1559652.63</v>
      </c>
      <c r="G40" s="16">
        <v>645505.35</v>
      </c>
      <c r="H40" s="16">
        <v>26719687.920000002</v>
      </c>
      <c r="I40" s="16">
        <v>4247733.8600000003</v>
      </c>
      <c r="J40" s="16">
        <v>0</v>
      </c>
      <c r="K40" s="16">
        <v>0</v>
      </c>
      <c r="L40" s="16">
        <v>0</v>
      </c>
      <c r="M40" s="16">
        <v>0</v>
      </c>
      <c r="N40" s="18">
        <f t="shared" ref="N40:N71" si="1">SUM(B40:M40)</f>
        <v>743580051.1443522</v>
      </c>
      <c r="O40" s="4"/>
    </row>
    <row r="41" spans="1:15" ht="15" x14ac:dyDescent="0.2">
      <c r="A41" s="17" t="s">
        <v>36</v>
      </c>
      <c r="B41" s="16">
        <v>646218573.72000003</v>
      </c>
      <c r="C41" s="16">
        <v>0</v>
      </c>
      <c r="D41" s="16">
        <v>3504588.0885764798</v>
      </c>
      <c r="E41" s="16">
        <v>3940847.2199999997</v>
      </c>
      <c r="F41" s="16">
        <v>2640600</v>
      </c>
      <c r="G41" s="16">
        <v>1034003.94</v>
      </c>
      <c r="H41" s="16">
        <v>28007323.940000001</v>
      </c>
      <c r="I41" s="16">
        <v>7191707.8200000003</v>
      </c>
      <c r="J41" s="16">
        <v>0</v>
      </c>
      <c r="K41" s="16">
        <v>0</v>
      </c>
      <c r="L41" s="16">
        <v>0</v>
      </c>
      <c r="M41" s="16">
        <v>0</v>
      </c>
      <c r="N41" s="18">
        <f t="shared" si="1"/>
        <v>692537644.72857666</v>
      </c>
      <c r="O41" s="4"/>
    </row>
    <row r="42" spans="1:15" ht="15" x14ac:dyDescent="0.2">
      <c r="A42" s="17" t="s">
        <v>37</v>
      </c>
      <c r="B42" s="16">
        <v>433451378.69999993</v>
      </c>
      <c r="C42" s="16">
        <v>0</v>
      </c>
      <c r="D42" s="16">
        <v>2965369.2718106401</v>
      </c>
      <c r="E42" s="16">
        <v>2466007.73</v>
      </c>
      <c r="F42" s="16">
        <v>7172000.0099999998</v>
      </c>
      <c r="G42" s="16">
        <v>0</v>
      </c>
      <c r="H42" s="16">
        <v>17525743.440000001</v>
      </c>
      <c r="I42" s="16">
        <v>19533033.57</v>
      </c>
      <c r="J42" s="16">
        <v>0</v>
      </c>
      <c r="K42" s="16">
        <v>0</v>
      </c>
      <c r="L42" s="16">
        <v>0</v>
      </c>
      <c r="M42" s="16">
        <v>0</v>
      </c>
      <c r="N42" s="18">
        <f t="shared" si="1"/>
        <v>483113532.72181058</v>
      </c>
      <c r="O42" s="4"/>
    </row>
    <row r="43" spans="1:15" ht="15" x14ac:dyDescent="0.2">
      <c r="A43" s="17" t="s">
        <v>38</v>
      </c>
      <c r="B43" s="16">
        <v>2259797028.2399998</v>
      </c>
      <c r="C43" s="16">
        <v>0</v>
      </c>
      <c r="D43" s="16">
        <v>8210697.7076832801</v>
      </c>
      <c r="E43" s="16">
        <v>12458767.49</v>
      </c>
      <c r="F43" s="16">
        <v>29823852.710000001</v>
      </c>
      <c r="G43" s="16">
        <v>8170424.1799999997</v>
      </c>
      <c r="H43" s="16">
        <v>88543583.849999994</v>
      </c>
      <c r="I43" s="16">
        <v>81225643.430000007</v>
      </c>
      <c r="J43" s="16">
        <v>0</v>
      </c>
      <c r="K43" s="16">
        <v>0</v>
      </c>
      <c r="L43" s="16">
        <v>0</v>
      </c>
      <c r="M43" s="16">
        <v>0</v>
      </c>
      <c r="N43" s="18">
        <f t="shared" si="1"/>
        <v>2488229997.6076822</v>
      </c>
      <c r="O43" s="4"/>
    </row>
    <row r="44" spans="1:15" ht="15" x14ac:dyDescent="0.2">
      <c r="A44" s="17" t="s">
        <v>39</v>
      </c>
      <c r="B44" s="16">
        <v>2198053529.5699997</v>
      </c>
      <c r="C44" s="16">
        <v>0</v>
      </c>
      <c r="D44" s="16">
        <v>8585721.980072841</v>
      </c>
      <c r="E44" s="16">
        <v>12108712.390000001</v>
      </c>
      <c r="F44" s="16">
        <v>37526031.670000002</v>
      </c>
      <c r="G44" s="16">
        <v>15019672.515258759</v>
      </c>
      <c r="H44" s="16">
        <v>86055766.849999994</v>
      </c>
      <c r="I44" s="16">
        <v>102202626.14</v>
      </c>
      <c r="J44" s="16">
        <v>0</v>
      </c>
      <c r="K44" s="16">
        <v>0</v>
      </c>
      <c r="L44" s="16">
        <v>0</v>
      </c>
      <c r="M44" s="16">
        <v>0</v>
      </c>
      <c r="N44" s="18">
        <f t="shared" si="1"/>
        <v>2459552061.1153312</v>
      </c>
      <c r="O44" s="4"/>
    </row>
    <row r="45" spans="1:15" ht="15" x14ac:dyDescent="0.2">
      <c r="A45" s="17" t="s">
        <v>40</v>
      </c>
      <c r="B45" s="16">
        <v>615482029.17000008</v>
      </c>
      <c r="C45" s="16">
        <v>0</v>
      </c>
      <c r="D45" s="16">
        <v>2670118.2902532807</v>
      </c>
      <c r="E45" s="16">
        <v>725683.76</v>
      </c>
      <c r="F45" s="16">
        <v>2795021.06</v>
      </c>
      <c r="G45" s="16">
        <v>1141588.1599999999</v>
      </c>
      <c r="H45" s="16">
        <v>24738614</v>
      </c>
      <c r="I45" s="16">
        <v>7612275.5199999996</v>
      </c>
      <c r="J45" s="16">
        <v>0</v>
      </c>
      <c r="K45" s="16">
        <v>0</v>
      </c>
      <c r="L45" s="16">
        <v>0</v>
      </c>
      <c r="M45" s="16">
        <v>0</v>
      </c>
      <c r="N45" s="18">
        <f t="shared" si="1"/>
        <v>655165329.96025324</v>
      </c>
      <c r="O45" s="4"/>
    </row>
    <row r="46" spans="1:15" ht="15" x14ac:dyDescent="0.2">
      <c r="A46" s="17" t="s">
        <v>41</v>
      </c>
      <c r="B46" s="16">
        <v>972858206.71000004</v>
      </c>
      <c r="C46" s="16">
        <v>0</v>
      </c>
      <c r="D46" s="16">
        <v>6911455.6600728398</v>
      </c>
      <c r="E46" s="16">
        <v>4659499.97</v>
      </c>
      <c r="F46" s="16">
        <v>22046179</v>
      </c>
      <c r="G46" s="16">
        <v>0</v>
      </c>
      <c r="H46" s="16">
        <v>37859972.390000001</v>
      </c>
      <c r="I46" s="16">
        <v>60043049.850000001</v>
      </c>
      <c r="J46" s="16">
        <v>0</v>
      </c>
      <c r="K46" s="16">
        <v>0</v>
      </c>
      <c r="L46" s="16">
        <v>0</v>
      </c>
      <c r="M46" s="16">
        <v>0</v>
      </c>
      <c r="N46" s="18">
        <f t="shared" si="1"/>
        <v>1104378363.5800729</v>
      </c>
      <c r="O46" s="4"/>
    </row>
    <row r="47" spans="1:15" ht="15" x14ac:dyDescent="0.2">
      <c r="A47" s="17" t="s">
        <v>42</v>
      </c>
      <c r="B47" s="16">
        <v>2955124968.7900004</v>
      </c>
      <c r="C47" s="16">
        <v>0</v>
      </c>
      <c r="D47" s="16">
        <v>10905814.214747479</v>
      </c>
      <c r="E47" s="16">
        <v>14559334.359999999</v>
      </c>
      <c r="F47" s="16">
        <v>68727663.340000004</v>
      </c>
      <c r="G47" s="16">
        <v>17062094.564012483</v>
      </c>
      <c r="H47" s="16">
        <v>118299388.48999999</v>
      </c>
      <c r="I47" s="16">
        <v>187180668.13</v>
      </c>
      <c r="J47" s="16">
        <v>0</v>
      </c>
      <c r="K47" s="16">
        <v>0</v>
      </c>
      <c r="L47" s="16">
        <v>0</v>
      </c>
      <c r="M47" s="16">
        <v>0</v>
      </c>
      <c r="N47" s="18">
        <f t="shared" si="1"/>
        <v>3371859931.8887606</v>
      </c>
      <c r="O47" s="4"/>
    </row>
    <row r="48" spans="1:15" ht="15" x14ac:dyDescent="0.2">
      <c r="A48" s="17" t="s">
        <v>43</v>
      </c>
      <c r="B48" s="16">
        <v>304345873.24000001</v>
      </c>
      <c r="C48" s="16">
        <v>0</v>
      </c>
      <c r="D48" s="16">
        <v>2966625.0539494799</v>
      </c>
      <c r="E48" s="16">
        <v>1754028.29</v>
      </c>
      <c r="F48" s="16">
        <v>597094.73</v>
      </c>
      <c r="G48" s="16">
        <v>340683.38</v>
      </c>
      <c r="H48" s="16">
        <v>12465755.65</v>
      </c>
      <c r="I48" s="16">
        <v>1626195.14</v>
      </c>
      <c r="J48" s="16">
        <v>0</v>
      </c>
      <c r="K48" s="16">
        <v>0</v>
      </c>
      <c r="L48" s="16">
        <v>0</v>
      </c>
      <c r="M48" s="16">
        <v>0</v>
      </c>
      <c r="N48" s="18">
        <f t="shared" si="1"/>
        <v>324096255.48394948</v>
      </c>
      <c r="O48" s="4"/>
    </row>
    <row r="49" spans="1:15" ht="15" x14ac:dyDescent="0.2">
      <c r="A49" s="17" t="s">
        <v>44</v>
      </c>
      <c r="B49" s="16">
        <v>532466317.80999994</v>
      </c>
      <c r="C49" s="16">
        <v>0</v>
      </c>
      <c r="D49" s="16">
        <v>4594083.0401016399</v>
      </c>
      <c r="E49" s="16">
        <v>3040094.61</v>
      </c>
      <c r="F49" s="16">
        <v>3525947.37</v>
      </c>
      <c r="G49" s="16">
        <v>1512156.05</v>
      </c>
      <c r="H49" s="16">
        <v>21605738.5</v>
      </c>
      <c r="I49" s="16">
        <v>9602962.6799999997</v>
      </c>
      <c r="J49" s="16">
        <v>0</v>
      </c>
      <c r="K49" s="16">
        <v>0</v>
      </c>
      <c r="L49" s="16">
        <v>0</v>
      </c>
      <c r="M49" s="16">
        <v>0</v>
      </c>
      <c r="N49" s="18">
        <f t="shared" si="1"/>
        <v>576347300.06010151</v>
      </c>
      <c r="O49" s="4"/>
    </row>
    <row r="50" spans="1:15" ht="15" x14ac:dyDescent="0.2">
      <c r="A50" s="17" t="s">
        <v>45</v>
      </c>
      <c r="B50" s="16">
        <v>356489835.25999999</v>
      </c>
      <c r="C50" s="16">
        <v>0</v>
      </c>
      <c r="D50" s="16">
        <v>2413151.5568193602</v>
      </c>
      <c r="E50" s="16">
        <v>2175909.71</v>
      </c>
      <c r="F50" s="16">
        <v>988294.73</v>
      </c>
      <c r="G50" s="16">
        <v>424360</v>
      </c>
      <c r="H50" s="16">
        <v>15464037.210000001</v>
      </c>
      <c r="I50" s="16">
        <v>2691633.33</v>
      </c>
      <c r="J50" s="16">
        <v>0</v>
      </c>
      <c r="K50" s="16">
        <v>0</v>
      </c>
      <c r="L50" s="16">
        <v>0</v>
      </c>
      <c r="M50" s="16">
        <v>0</v>
      </c>
      <c r="N50" s="18">
        <f t="shared" si="1"/>
        <v>380647221.79681933</v>
      </c>
      <c r="O50" s="4"/>
    </row>
    <row r="51" spans="1:15" ht="15" x14ac:dyDescent="0.2">
      <c r="A51" s="17" t="s">
        <v>46</v>
      </c>
      <c r="B51" s="16">
        <v>342278314.63</v>
      </c>
      <c r="C51" s="16">
        <v>0</v>
      </c>
      <c r="D51" s="16">
        <v>3095167.9448684398</v>
      </c>
      <c r="E51" s="16">
        <v>2093086.9100000001</v>
      </c>
      <c r="F51" s="16">
        <v>1231936.8400000001</v>
      </c>
      <c r="G51" s="16">
        <v>567805.63</v>
      </c>
      <c r="H51" s="16">
        <v>14875421.33</v>
      </c>
      <c r="I51" s="16">
        <v>3355195.72</v>
      </c>
      <c r="J51" s="16">
        <v>0</v>
      </c>
      <c r="K51" s="16">
        <v>0</v>
      </c>
      <c r="L51" s="16">
        <v>0</v>
      </c>
      <c r="M51" s="16">
        <v>0</v>
      </c>
      <c r="N51" s="18">
        <f t="shared" si="1"/>
        <v>367496929.00486845</v>
      </c>
      <c r="O51" s="4"/>
    </row>
    <row r="52" spans="1:15" ht="15" x14ac:dyDescent="0.2">
      <c r="A52" s="17" t="s">
        <v>47</v>
      </c>
      <c r="B52" s="16">
        <v>412359439.02000004</v>
      </c>
      <c r="C52" s="16">
        <v>0</v>
      </c>
      <c r="D52" s="16">
        <v>5305747.6361065991</v>
      </c>
      <c r="E52" s="16">
        <v>2421934.4900000002</v>
      </c>
      <c r="F52" s="16">
        <v>1134136.8400000001</v>
      </c>
      <c r="G52" s="16">
        <v>663436.05000000005</v>
      </c>
      <c r="H52" s="16">
        <v>17212517.920000002</v>
      </c>
      <c r="I52" s="16">
        <v>3088836.17</v>
      </c>
      <c r="J52" s="16">
        <v>0</v>
      </c>
      <c r="K52" s="16">
        <v>0</v>
      </c>
      <c r="L52" s="16">
        <v>0</v>
      </c>
      <c r="M52" s="16">
        <v>0</v>
      </c>
      <c r="N52" s="18">
        <f t="shared" si="1"/>
        <v>442186048.12610668</v>
      </c>
      <c r="O52" s="4"/>
    </row>
    <row r="53" spans="1:15" ht="15" x14ac:dyDescent="0.2">
      <c r="A53" s="17" t="s">
        <v>48</v>
      </c>
      <c r="B53" s="16">
        <v>147883941.69</v>
      </c>
      <c r="C53" s="16">
        <v>0</v>
      </c>
      <c r="D53" s="16">
        <v>2275182.1093175607</v>
      </c>
      <c r="E53" s="16">
        <v>904330.84</v>
      </c>
      <c r="F53" s="16">
        <v>197315.78</v>
      </c>
      <c r="G53" s="16">
        <v>107584.22</v>
      </c>
      <c r="H53" s="16">
        <v>6427015.6299999999</v>
      </c>
      <c r="I53" s="16">
        <v>537392.06999999995</v>
      </c>
      <c r="J53" s="16">
        <v>0</v>
      </c>
      <c r="K53" s="16">
        <v>0</v>
      </c>
      <c r="L53" s="16">
        <v>0</v>
      </c>
      <c r="M53" s="16">
        <v>0</v>
      </c>
      <c r="N53" s="18">
        <f t="shared" si="1"/>
        <v>158332762.33931756</v>
      </c>
      <c r="O53" s="4"/>
    </row>
    <row r="54" spans="1:15" ht="15" x14ac:dyDescent="0.2">
      <c r="A54" s="17" t="s">
        <v>49</v>
      </c>
      <c r="B54" s="16">
        <v>535110321.65999997</v>
      </c>
      <c r="C54" s="16">
        <v>0</v>
      </c>
      <c r="D54" s="16">
        <v>3377044.57521644</v>
      </c>
      <c r="E54" s="16">
        <v>2948544.4299999997</v>
      </c>
      <c r="F54" s="16">
        <v>677736.84</v>
      </c>
      <c r="G54" s="16">
        <v>412406.19</v>
      </c>
      <c r="H54" s="16">
        <v>20955097.760000002</v>
      </c>
      <c r="I54" s="16">
        <v>1845824.94</v>
      </c>
      <c r="J54" s="16">
        <v>0</v>
      </c>
      <c r="K54" s="16">
        <v>0</v>
      </c>
      <c r="L54" s="16">
        <v>0</v>
      </c>
      <c r="M54" s="16">
        <v>0</v>
      </c>
      <c r="N54" s="18">
        <f t="shared" si="1"/>
        <v>565326976.39521646</v>
      </c>
      <c r="O54" s="4"/>
    </row>
    <row r="55" spans="1:15" ht="15" x14ac:dyDescent="0.2">
      <c r="A55" s="17" t="s">
        <v>50</v>
      </c>
      <c r="B55" s="16">
        <v>247349563.28</v>
      </c>
      <c r="C55" s="16">
        <v>0</v>
      </c>
      <c r="D55" s="16">
        <v>1869640.2917522001</v>
      </c>
      <c r="E55" s="16">
        <v>1446388.23</v>
      </c>
      <c r="F55" s="16">
        <v>1250810.52</v>
      </c>
      <c r="G55" s="16">
        <v>567805.63</v>
      </c>
      <c r="H55" s="16">
        <v>10279379.460000001</v>
      </c>
      <c r="I55" s="16">
        <v>3406598.44</v>
      </c>
      <c r="J55" s="16">
        <v>0</v>
      </c>
      <c r="K55" s="16">
        <v>0</v>
      </c>
      <c r="L55" s="16">
        <v>0</v>
      </c>
      <c r="M55" s="16">
        <v>0</v>
      </c>
      <c r="N55" s="18">
        <f t="shared" si="1"/>
        <v>266170185.85175219</v>
      </c>
      <c r="O55" s="4"/>
    </row>
    <row r="56" spans="1:15" ht="15" x14ac:dyDescent="0.2">
      <c r="A56" s="17" t="s">
        <v>51</v>
      </c>
      <c r="B56" s="16">
        <v>181219421.87</v>
      </c>
      <c r="C56" s="16">
        <v>0</v>
      </c>
      <c r="D56" s="16">
        <v>1248011.6638364804</v>
      </c>
      <c r="E56" s="16">
        <v>1094151.3</v>
      </c>
      <c r="F56" s="16">
        <v>353452.63</v>
      </c>
      <c r="G56" s="16">
        <v>143445.63</v>
      </c>
      <c r="H56" s="16">
        <v>7776056.25</v>
      </c>
      <c r="I56" s="16">
        <v>962632.76</v>
      </c>
      <c r="J56" s="16">
        <v>0</v>
      </c>
      <c r="K56" s="16">
        <v>0</v>
      </c>
      <c r="L56" s="16">
        <v>0</v>
      </c>
      <c r="M56" s="16">
        <v>0</v>
      </c>
      <c r="N56" s="18">
        <f t="shared" si="1"/>
        <v>192797172.10383648</v>
      </c>
      <c r="O56" s="4"/>
    </row>
    <row r="57" spans="1:15" ht="15" x14ac:dyDescent="0.2">
      <c r="A57" s="17" t="s">
        <v>52</v>
      </c>
      <c r="B57" s="16">
        <v>467898542.33999997</v>
      </c>
      <c r="C57" s="16">
        <v>0</v>
      </c>
      <c r="D57" s="16">
        <v>4307171.0176382009</v>
      </c>
      <c r="E57" s="16">
        <v>2640904.4</v>
      </c>
      <c r="F57" s="16">
        <v>1815305.26</v>
      </c>
      <c r="G57" s="16">
        <v>753089.57</v>
      </c>
      <c r="H57" s="16">
        <v>18768721.57</v>
      </c>
      <c r="I57" s="16">
        <v>4944007.0599999996</v>
      </c>
      <c r="J57" s="16">
        <v>0</v>
      </c>
      <c r="K57" s="16">
        <v>0</v>
      </c>
      <c r="L57" s="16">
        <v>0</v>
      </c>
      <c r="M57" s="16">
        <v>0</v>
      </c>
      <c r="N57" s="18">
        <f t="shared" si="1"/>
        <v>501127741.21763813</v>
      </c>
      <c r="O57" s="4"/>
    </row>
    <row r="58" spans="1:15" ht="15" x14ac:dyDescent="0.2">
      <c r="A58" s="17" t="s">
        <v>53</v>
      </c>
      <c r="B58" s="16">
        <v>416896309.24000001</v>
      </c>
      <c r="C58" s="16">
        <v>0</v>
      </c>
      <c r="D58" s="16">
        <v>1743123.2218250402</v>
      </c>
      <c r="E58" s="16">
        <v>2279416.41</v>
      </c>
      <c r="F58" s="16">
        <v>1056926.31</v>
      </c>
      <c r="G58" s="16">
        <v>430336.9</v>
      </c>
      <c r="H58" s="16">
        <v>16199652.01</v>
      </c>
      <c r="I58" s="16">
        <v>2878552.32</v>
      </c>
      <c r="J58" s="16">
        <v>0</v>
      </c>
      <c r="K58" s="16">
        <v>0</v>
      </c>
      <c r="L58" s="16">
        <v>0</v>
      </c>
      <c r="M58" s="16">
        <v>0</v>
      </c>
      <c r="N58" s="18">
        <f t="shared" si="1"/>
        <v>441484316.41182506</v>
      </c>
      <c r="O58" s="4"/>
    </row>
    <row r="59" spans="1:15" ht="15" x14ac:dyDescent="0.2">
      <c r="A59" s="17" t="s">
        <v>54</v>
      </c>
      <c r="B59" s="16">
        <v>462385193.43000001</v>
      </c>
      <c r="C59" s="16">
        <v>0</v>
      </c>
      <c r="D59" s="16">
        <v>3762050.2395693194</v>
      </c>
      <c r="E59" s="16">
        <v>2730970.91</v>
      </c>
      <c r="F59" s="16">
        <v>1029473.68</v>
      </c>
      <c r="G59" s="16">
        <v>430336.9</v>
      </c>
      <c r="H59" s="16">
        <v>19408818.079999998</v>
      </c>
      <c r="I59" s="16">
        <v>2803784.72</v>
      </c>
      <c r="J59" s="16">
        <v>0</v>
      </c>
      <c r="K59" s="16">
        <v>0</v>
      </c>
      <c r="L59" s="16">
        <v>0</v>
      </c>
      <c r="M59" s="16">
        <v>0</v>
      </c>
      <c r="N59" s="18">
        <f t="shared" si="1"/>
        <v>492550627.95956933</v>
      </c>
      <c r="O59" s="4"/>
    </row>
    <row r="60" spans="1:15" ht="15" x14ac:dyDescent="0.2">
      <c r="A60" s="17" t="s">
        <v>55</v>
      </c>
      <c r="B60" s="16">
        <v>3223175880.3699999</v>
      </c>
      <c r="C60" s="16">
        <v>0</v>
      </c>
      <c r="D60" s="16">
        <v>62282817.682885319</v>
      </c>
      <c r="E60" s="16">
        <v>16959694.390000001</v>
      </c>
      <c r="F60" s="16">
        <v>56629631.719999999</v>
      </c>
      <c r="G60" s="16">
        <v>23680483.25</v>
      </c>
      <c r="H60" s="16">
        <v>137803104.59999999</v>
      </c>
      <c r="I60" s="16">
        <v>154231524.66</v>
      </c>
      <c r="J60" s="16">
        <v>0</v>
      </c>
      <c r="K60" s="16">
        <v>0</v>
      </c>
      <c r="L60" s="16">
        <v>0</v>
      </c>
      <c r="M60" s="16">
        <v>0</v>
      </c>
      <c r="N60" s="18">
        <f t="shared" si="1"/>
        <v>3674763136.6728845</v>
      </c>
      <c r="O60" s="4"/>
    </row>
    <row r="61" spans="1:15" ht="15" x14ac:dyDescent="0.2">
      <c r="A61" s="17" t="s">
        <v>56</v>
      </c>
      <c r="B61" s="16">
        <v>685608221.78999996</v>
      </c>
      <c r="C61" s="16">
        <v>0</v>
      </c>
      <c r="D61" s="16">
        <v>4141519.5642815595</v>
      </c>
      <c r="E61" s="16">
        <v>3108604.52</v>
      </c>
      <c r="F61" s="16">
        <v>10109431.6</v>
      </c>
      <c r="G61" s="16">
        <v>2280007.1899367087</v>
      </c>
      <c r="H61" s="16">
        <v>22092633.620000001</v>
      </c>
      <c r="I61" s="16">
        <v>27533165.98</v>
      </c>
      <c r="J61" s="16">
        <v>0</v>
      </c>
      <c r="K61" s="16">
        <v>0</v>
      </c>
      <c r="L61" s="16">
        <v>0</v>
      </c>
      <c r="M61" s="16">
        <v>0</v>
      </c>
      <c r="N61" s="18">
        <f t="shared" si="1"/>
        <v>754873584.26421833</v>
      </c>
      <c r="O61" s="4"/>
    </row>
    <row r="62" spans="1:15" ht="15" x14ac:dyDescent="0.2">
      <c r="A62" s="17" t="s">
        <v>57</v>
      </c>
      <c r="B62" s="16">
        <v>3689406897.6799994</v>
      </c>
      <c r="C62" s="16">
        <v>0</v>
      </c>
      <c r="D62" s="16">
        <v>17301830.239999998</v>
      </c>
      <c r="E62" s="16">
        <v>18619832.09</v>
      </c>
      <c r="F62" s="16">
        <v>45329442.219999999</v>
      </c>
      <c r="G62" s="16">
        <v>0</v>
      </c>
      <c r="H62" s="16">
        <v>151292270.38999999</v>
      </c>
      <c r="I62" s="16">
        <v>123455314.34</v>
      </c>
      <c r="J62" s="16">
        <v>0</v>
      </c>
      <c r="K62" s="16">
        <v>0</v>
      </c>
      <c r="L62" s="16">
        <v>0</v>
      </c>
      <c r="M62" s="16">
        <v>0</v>
      </c>
      <c r="N62" s="18">
        <f t="shared" si="1"/>
        <v>4045405586.9599991</v>
      </c>
      <c r="O62" s="4"/>
    </row>
    <row r="63" spans="1:15" ht="15" x14ac:dyDescent="0.2">
      <c r="A63" s="17" t="s">
        <v>58</v>
      </c>
      <c r="B63" s="16">
        <v>599903438.38</v>
      </c>
      <c r="C63" s="16">
        <v>0</v>
      </c>
      <c r="D63" s="16">
        <v>6671693.9573864406</v>
      </c>
      <c r="E63" s="16">
        <v>3330279.9</v>
      </c>
      <c r="F63" s="16">
        <v>1597400</v>
      </c>
      <c r="G63" s="16">
        <v>693320.56</v>
      </c>
      <c r="H63" s="16">
        <v>23668064.98</v>
      </c>
      <c r="I63" s="16">
        <v>4350539.3</v>
      </c>
      <c r="J63" s="16">
        <v>0</v>
      </c>
      <c r="K63" s="16">
        <v>0</v>
      </c>
      <c r="L63" s="16">
        <v>0</v>
      </c>
      <c r="M63" s="16">
        <v>0</v>
      </c>
      <c r="N63" s="18">
        <f t="shared" si="1"/>
        <v>640214737.07738638</v>
      </c>
      <c r="O63" s="4"/>
    </row>
    <row r="64" spans="1:15" ht="15" x14ac:dyDescent="0.2">
      <c r="A64" s="17" t="s">
        <v>59</v>
      </c>
      <c r="B64" s="16">
        <v>909116682.40999985</v>
      </c>
      <c r="C64" s="16">
        <v>0</v>
      </c>
      <c r="D64" s="16">
        <v>15031236.397323083</v>
      </c>
      <c r="E64" s="16">
        <v>5412806.7000000002</v>
      </c>
      <c r="F64" s="16">
        <v>2923705.27</v>
      </c>
      <c r="G64" s="16">
        <v>1183426.47</v>
      </c>
      <c r="H64" s="16">
        <v>38468436.229999997</v>
      </c>
      <c r="I64" s="16">
        <v>7962748.6100000003</v>
      </c>
      <c r="J64" s="16">
        <v>0</v>
      </c>
      <c r="K64" s="16">
        <v>0</v>
      </c>
      <c r="L64" s="16">
        <v>0</v>
      </c>
      <c r="M64" s="16">
        <v>0</v>
      </c>
      <c r="N64" s="18">
        <f t="shared" si="1"/>
        <v>980099042.08732307</v>
      </c>
      <c r="O64" s="4"/>
    </row>
    <row r="65" spans="1:15" ht="15" x14ac:dyDescent="0.2">
      <c r="A65" s="17" t="s">
        <v>60</v>
      </c>
      <c r="B65" s="16">
        <v>502525978.90999997</v>
      </c>
      <c r="C65" s="16">
        <v>0</v>
      </c>
      <c r="D65" s="16">
        <v>3602899.84855176</v>
      </c>
      <c r="E65" s="16">
        <v>3020021.6500000004</v>
      </c>
      <c r="F65" s="16">
        <v>636557.89</v>
      </c>
      <c r="G65" s="16">
        <v>454244.5</v>
      </c>
      <c r="H65" s="16">
        <v>21463081.329999998</v>
      </c>
      <c r="I65" s="16">
        <v>1733673.55</v>
      </c>
      <c r="J65" s="16">
        <v>0</v>
      </c>
      <c r="K65" s="16">
        <v>0</v>
      </c>
      <c r="L65" s="16">
        <v>0</v>
      </c>
      <c r="M65" s="16">
        <v>0</v>
      </c>
      <c r="N65" s="18">
        <f t="shared" si="1"/>
        <v>533436457.67855167</v>
      </c>
      <c r="O65" s="4"/>
    </row>
    <row r="66" spans="1:15" ht="15" x14ac:dyDescent="0.2">
      <c r="A66" s="17" t="s">
        <v>61</v>
      </c>
      <c r="B66" s="16">
        <v>288151349.72000003</v>
      </c>
      <c r="C66" s="16">
        <v>0</v>
      </c>
      <c r="D66" s="16">
        <v>3290068.6801675609</v>
      </c>
      <c r="E66" s="16">
        <v>1694333.04</v>
      </c>
      <c r="F66" s="16">
        <v>622831.57999999996</v>
      </c>
      <c r="G66" s="16">
        <v>364590.98</v>
      </c>
      <c r="H66" s="16">
        <v>12041505.630000001</v>
      </c>
      <c r="I66" s="16">
        <v>1696289.76</v>
      </c>
      <c r="J66" s="16">
        <v>0</v>
      </c>
      <c r="K66" s="16">
        <v>0</v>
      </c>
      <c r="L66" s="16">
        <v>0</v>
      </c>
      <c r="M66" s="16">
        <v>0</v>
      </c>
      <c r="N66" s="18">
        <f t="shared" si="1"/>
        <v>307860969.39016759</v>
      </c>
      <c r="O66" s="4"/>
    </row>
    <row r="67" spans="1:15" ht="15" x14ac:dyDescent="0.2">
      <c r="A67" s="17" t="s">
        <v>62</v>
      </c>
      <c r="B67" s="16">
        <v>1284925773.0599999</v>
      </c>
      <c r="C67" s="16">
        <v>0</v>
      </c>
      <c r="D67" s="16">
        <v>4109737.99</v>
      </c>
      <c r="E67" s="16">
        <v>6872762.4500000002</v>
      </c>
      <c r="F67" s="16">
        <v>16735810.57</v>
      </c>
      <c r="G67" s="16">
        <v>8007360.1140148612</v>
      </c>
      <c r="H67" s="16">
        <v>55843459.270000003</v>
      </c>
      <c r="I67" s="16">
        <v>45580193.649999999</v>
      </c>
      <c r="J67" s="16">
        <v>0</v>
      </c>
      <c r="K67" s="16">
        <v>0</v>
      </c>
      <c r="L67" s="16">
        <v>0</v>
      </c>
      <c r="M67" s="16">
        <v>0</v>
      </c>
      <c r="N67" s="18">
        <f t="shared" si="1"/>
        <v>1422075097.1040149</v>
      </c>
      <c r="O67" s="4"/>
    </row>
    <row r="68" spans="1:15" ht="15" x14ac:dyDescent="0.2">
      <c r="A68" s="17" t="s">
        <v>63</v>
      </c>
      <c r="B68" s="16">
        <v>814127840.06000006</v>
      </c>
      <c r="C68" s="16">
        <v>0</v>
      </c>
      <c r="D68" s="16">
        <v>5825034.4100000011</v>
      </c>
      <c r="E68" s="16">
        <v>4978532.3899999997</v>
      </c>
      <c r="F68" s="16">
        <v>14759221.09</v>
      </c>
      <c r="G68" s="16">
        <v>7939911.0326027982</v>
      </c>
      <c r="H68" s="16">
        <v>35382079.369999997</v>
      </c>
      <c r="I68" s="16">
        <v>40196926.979999997</v>
      </c>
      <c r="J68" s="16">
        <v>0</v>
      </c>
      <c r="K68" s="16">
        <v>0</v>
      </c>
      <c r="L68" s="16">
        <v>0</v>
      </c>
      <c r="M68" s="16">
        <v>0</v>
      </c>
      <c r="N68" s="18">
        <f t="shared" si="1"/>
        <v>923209545.33260286</v>
      </c>
      <c r="O68" s="4"/>
    </row>
    <row r="69" spans="1:15" ht="15" x14ac:dyDescent="0.2">
      <c r="A69" s="17" t="s">
        <v>64</v>
      </c>
      <c r="B69" s="16">
        <v>2807511436.4599996</v>
      </c>
      <c r="C69" s="16">
        <v>0</v>
      </c>
      <c r="D69" s="16">
        <v>7147880.6619311189</v>
      </c>
      <c r="E69" s="16">
        <v>15615547.140000001</v>
      </c>
      <c r="F69" s="16">
        <v>43558747.479999997</v>
      </c>
      <c r="G69" s="16">
        <v>7655202.7290264312</v>
      </c>
      <c r="H69" s="16">
        <v>110978594.68000001</v>
      </c>
      <c r="I69" s="16">
        <v>118632804.62</v>
      </c>
      <c r="J69" s="16">
        <v>0</v>
      </c>
      <c r="K69" s="16">
        <v>0</v>
      </c>
      <c r="L69" s="16">
        <v>0</v>
      </c>
      <c r="M69" s="16">
        <v>0</v>
      </c>
      <c r="N69" s="18">
        <f t="shared" si="1"/>
        <v>3111100213.7709565</v>
      </c>
      <c r="O69" s="4"/>
    </row>
    <row r="70" spans="1:15" ht="15" x14ac:dyDescent="0.2">
      <c r="A70" s="17" t="s">
        <v>65</v>
      </c>
      <c r="B70" s="16">
        <v>587750034.3900001</v>
      </c>
      <c r="C70" s="16">
        <v>0</v>
      </c>
      <c r="D70" s="16">
        <v>9774099.2291098405</v>
      </c>
      <c r="E70" s="16">
        <v>3410222.68</v>
      </c>
      <c r="F70" s="16">
        <v>9673621.0700000003</v>
      </c>
      <c r="G70" s="16">
        <v>3454648.99</v>
      </c>
      <c r="H70" s="16">
        <v>24236212.66</v>
      </c>
      <c r="I70" s="16">
        <v>26346230.449999999</v>
      </c>
      <c r="J70" s="16">
        <v>0</v>
      </c>
      <c r="K70" s="16">
        <v>0</v>
      </c>
      <c r="L70" s="16">
        <v>0</v>
      </c>
      <c r="M70" s="16">
        <v>0</v>
      </c>
      <c r="N70" s="18">
        <f t="shared" si="1"/>
        <v>664645069.46911001</v>
      </c>
      <c r="O70" s="4"/>
    </row>
    <row r="71" spans="1:15" ht="15" x14ac:dyDescent="0.2">
      <c r="A71" s="17" t="s">
        <v>66</v>
      </c>
      <c r="B71" s="16">
        <v>2277103235.1500006</v>
      </c>
      <c r="C71" s="16">
        <v>0</v>
      </c>
      <c r="D71" s="16">
        <v>6855816.9699999997</v>
      </c>
      <c r="E71" s="16">
        <v>11856305.300000001</v>
      </c>
      <c r="F71" s="16">
        <v>6091052.6399999997</v>
      </c>
      <c r="G71" s="16">
        <v>2665698.0099999998</v>
      </c>
      <c r="H71" s="16">
        <v>96336386.810000002</v>
      </c>
      <c r="I71" s="16">
        <v>16589059.609999999</v>
      </c>
      <c r="J71" s="16">
        <v>0</v>
      </c>
      <c r="K71" s="16">
        <v>0</v>
      </c>
      <c r="L71" s="16">
        <v>0</v>
      </c>
      <c r="M71" s="16">
        <v>0</v>
      </c>
      <c r="N71" s="18">
        <f t="shared" si="1"/>
        <v>2417497554.4900007</v>
      </c>
      <c r="O71" s="4"/>
    </row>
    <row r="72" spans="1:15" ht="15" x14ac:dyDescent="0.2">
      <c r="A72" s="17" t="s">
        <v>67</v>
      </c>
      <c r="B72" s="16">
        <v>10608509549.020002</v>
      </c>
      <c r="C72" s="16">
        <v>0</v>
      </c>
      <c r="D72" s="16">
        <v>29999243.078721676</v>
      </c>
      <c r="E72" s="16">
        <v>56742236.409999996</v>
      </c>
      <c r="F72" s="16">
        <v>177232474.78999999</v>
      </c>
      <c r="G72" s="16">
        <v>0</v>
      </c>
      <c r="H72" s="16">
        <v>461049365.56</v>
      </c>
      <c r="I72" s="16">
        <v>482694904.99000001</v>
      </c>
      <c r="J72" s="16">
        <v>0</v>
      </c>
      <c r="K72" s="16">
        <v>0</v>
      </c>
      <c r="L72" s="16">
        <v>0</v>
      </c>
      <c r="M72" s="16">
        <v>0</v>
      </c>
      <c r="N72" s="18">
        <f t="shared" ref="N72:N103" si="2">SUM(B72:M72)</f>
        <v>11816227773.848724</v>
      </c>
      <c r="O72" s="4"/>
    </row>
    <row r="73" spans="1:15" ht="15" x14ac:dyDescent="0.2">
      <c r="A73" s="17" t="s">
        <v>68</v>
      </c>
      <c r="B73" s="16">
        <v>4590200977.1900005</v>
      </c>
      <c r="C73" s="16">
        <v>0</v>
      </c>
      <c r="D73" s="16">
        <v>53122604.380373769</v>
      </c>
      <c r="E73" s="16">
        <v>22699489.960000001</v>
      </c>
      <c r="F73" s="16">
        <v>65783368.590000004</v>
      </c>
      <c r="G73" s="16">
        <v>30713878.341747608</v>
      </c>
      <c r="H73" s="16">
        <v>184440834.66999999</v>
      </c>
      <c r="I73" s="16">
        <v>179161843.81999999</v>
      </c>
      <c r="J73" s="16">
        <v>0</v>
      </c>
      <c r="K73" s="16">
        <v>0</v>
      </c>
      <c r="L73" s="16">
        <v>0</v>
      </c>
      <c r="M73" s="16">
        <v>0</v>
      </c>
      <c r="N73" s="18">
        <f t="shared" si="2"/>
        <v>5126122996.9521217</v>
      </c>
      <c r="O73" s="4"/>
    </row>
    <row r="74" spans="1:15" ht="15" x14ac:dyDescent="0.2">
      <c r="A74" s="17" t="s">
        <v>69</v>
      </c>
      <c r="B74" s="16">
        <v>2557052164.0200005</v>
      </c>
      <c r="C74" s="16">
        <v>0</v>
      </c>
      <c r="D74" s="16">
        <v>13190751.630000001</v>
      </c>
      <c r="E74" s="16">
        <v>13677052.24</v>
      </c>
      <c r="F74" s="16">
        <v>47760715.909999996</v>
      </c>
      <c r="G74" s="16">
        <v>54350262.370931283</v>
      </c>
      <c r="H74" s="16">
        <v>111130555.58</v>
      </c>
      <c r="I74" s="16">
        <v>130076919.26000001</v>
      </c>
      <c r="J74" s="16">
        <v>0</v>
      </c>
      <c r="K74" s="16">
        <v>0</v>
      </c>
      <c r="L74" s="16">
        <v>0</v>
      </c>
      <c r="M74" s="16">
        <v>0</v>
      </c>
      <c r="N74" s="18">
        <f t="shared" si="2"/>
        <v>2927238421.0109315</v>
      </c>
      <c r="O74" s="4"/>
    </row>
    <row r="75" spans="1:15" ht="15" x14ac:dyDescent="0.2">
      <c r="A75" s="17" t="s">
        <v>70</v>
      </c>
      <c r="B75" s="16">
        <v>416415581.27000004</v>
      </c>
      <c r="C75" s="16">
        <v>0</v>
      </c>
      <c r="D75" s="16">
        <v>3643469.1732516005</v>
      </c>
      <c r="E75" s="16">
        <v>2446283.88</v>
      </c>
      <c r="F75" s="16">
        <v>868189.47</v>
      </c>
      <c r="G75" s="16">
        <v>388498.59</v>
      </c>
      <c r="H75" s="16">
        <v>17385567.27</v>
      </c>
      <c r="I75" s="16">
        <v>2364525.12</v>
      </c>
      <c r="J75" s="16">
        <v>0</v>
      </c>
      <c r="K75" s="16">
        <v>0</v>
      </c>
      <c r="L75" s="16">
        <v>0</v>
      </c>
      <c r="M75" s="16">
        <v>0</v>
      </c>
      <c r="N75" s="18">
        <f t="shared" si="2"/>
        <v>443512114.77325165</v>
      </c>
      <c r="O75" s="4"/>
    </row>
    <row r="76" spans="1:15" ht="15" x14ac:dyDescent="0.2">
      <c r="A76" s="17" t="s">
        <v>71</v>
      </c>
      <c r="B76" s="16">
        <v>414883260.86999995</v>
      </c>
      <c r="C76" s="16">
        <v>0</v>
      </c>
      <c r="D76" s="16">
        <v>5600029.5361482799</v>
      </c>
      <c r="E76" s="16">
        <v>2389032.2699999996</v>
      </c>
      <c r="F76" s="16">
        <v>1563084.21</v>
      </c>
      <c r="G76" s="16">
        <v>914465.91</v>
      </c>
      <c r="H76" s="16">
        <v>16978684.210000001</v>
      </c>
      <c r="I76" s="16">
        <v>4257079.8</v>
      </c>
      <c r="J76" s="16">
        <v>0</v>
      </c>
      <c r="K76" s="16">
        <v>0</v>
      </c>
      <c r="L76" s="16">
        <v>0</v>
      </c>
      <c r="M76" s="16">
        <v>0</v>
      </c>
      <c r="N76" s="18">
        <f t="shared" si="2"/>
        <v>446585636.80614817</v>
      </c>
      <c r="O76" s="4"/>
    </row>
    <row r="77" spans="1:15" ht="15" x14ac:dyDescent="0.2">
      <c r="A77" s="17" t="s">
        <v>72</v>
      </c>
      <c r="B77" s="16">
        <v>485475158.71000004</v>
      </c>
      <c r="C77" s="16">
        <v>0</v>
      </c>
      <c r="D77" s="16">
        <v>3799317.0545958406</v>
      </c>
      <c r="E77" s="16">
        <v>2968791.95</v>
      </c>
      <c r="F77" s="16">
        <v>1835894.74</v>
      </c>
      <c r="G77" s="16">
        <v>645505.35</v>
      </c>
      <c r="H77" s="16">
        <v>21098995.420000002</v>
      </c>
      <c r="I77" s="16">
        <v>5000082.76</v>
      </c>
      <c r="J77" s="16">
        <v>0</v>
      </c>
      <c r="K77" s="16">
        <v>0</v>
      </c>
      <c r="L77" s="16">
        <v>0</v>
      </c>
      <c r="M77" s="16">
        <v>0</v>
      </c>
      <c r="N77" s="18">
        <f t="shared" si="2"/>
        <v>520823745.98459589</v>
      </c>
      <c r="O77" s="4"/>
    </row>
    <row r="78" spans="1:15" ht="15" x14ac:dyDescent="0.2">
      <c r="A78" s="17" t="s">
        <v>73</v>
      </c>
      <c r="B78" s="16">
        <v>188490432.43000001</v>
      </c>
      <c r="C78" s="16">
        <v>0</v>
      </c>
      <c r="D78" s="16">
        <v>1753272.3188228402</v>
      </c>
      <c r="E78" s="16">
        <v>1152624.71</v>
      </c>
      <c r="F78" s="16">
        <v>652000</v>
      </c>
      <c r="G78" s="16">
        <v>215168.45</v>
      </c>
      <c r="H78" s="16">
        <v>8191622.79</v>
      </c>
      <c r="I78" s="16">
        <v>1775730.32</v>
      </c>
      <c r="J78" s="16">
        <v>0</v>
      </c>
      <c r="K78" s="16">
        <v>0</v>
      </c>
      <c r="L78" s="16">
        <v>0</v>
      </c>
      <c r="M78" s="16">
        <v>0</v>
      </c>
      <c r="N78" s="18">
        <f t="shared" si="2"/>
        <v>202230851.01882282</v>
      </c>
      <c r="O78" s="4"/>
    </row>
    <row r="79" spans="1:15" ht="15" x14ac:dyDescent="0.2">
      <c r="A79" s="17" t="s">
        <v>74</v>
      </c>
      <c r="B79" s="16">
        <v>916042169.73000026</v>
      </c>
      <c r="C79" s="16">
        <v>0</v>
      </c>
      <c r="D79" s="16">
        <v>9728012.1542395204</v>
      </c>
      <c r="E79" s="16">
        <v>5045035.01</v>
      </c>
      <c r="F79" s="16">
        <v>3277157.9</v>
      </c>
      <c r="G79" s="16">
        <v>1601809.57</v>
      </c>
      <c r="H79" s="16">
        <v>35854708.780000001</v>
      </c>
      <c r="I79" s="16">
        <v>8925381.3699999992</v>
      </c>
      <c r="J79" s="16">
        <v>0</v>
      </c>
      <c r="K79" s="16">
        <v>0</v>
      </c>
      <c r="L79" s="16">
        <v>0</v>
      </c>
      <c r="M79" s="16">
        <v>0</v>
      </c>
      <c r="N79" s="18">
        <f t="shared" si="2"/>
        <v>980474274.51423979</v>
      </c>
      <c r="O79" s="4"/>
    </row>
    <row r="80" spans="1:15" ht="15" x14ac:dyDescent="0.2">
      <c r="A80" s="17" t="s">
        <v>75</v>
      </c>
      <c r="B80" s="16">
        <v>486962410.89999992</v>
      </c>
      <c r="C80" s="16">
        <v>0</v>
      </c>
      <c r="D80" s="16">
        <v>6786009.0690647596</v>
      </c>
      <c r="E80" s="16">
        <v>2892689.21</v>
      </c>
      <c r="F80" s="16">
        <v>1060357.8899999999</v>
      </c>
      <c r="G80" s="16">
        <v>669412.94999999995</v>
      </c>
      <c r="H80" s="16">
        <v>20558138.68</v>
      </c>
      <c r="I80" s="16">
        <v>2887898.27</v>
      </c>
      <c r="J80" s="16">
        <v>0</v>
      </c>
      <c r="K80" s="16">
        <v>0</v>
      </c>
      <c r="L80" s="16">
        <v>0</v>
      </c>
      <c r="M80" s="16">
        <v>0</v>
      </c>
      <c r="N80" s="18">
        <f t="shared" si="2"/>
        <v>521816916.96906459</v>
      </c>
      <c r="O80" s="4"/>
    </row>
    <row r="81" spans="1:15" ht="15" x14ac:dyDescent="0.2">
      <c r="A81" s="17" t="s">
        <v>76</v>
      </c>
      <c r="B81" s="16">
        <v>271611303.02000004</v>
      </c>
      <c r="C81" s="16">
        <v>0</v>
      </c>
      <c r="D81" s="16">
        <v>5276197.44390288</v>
      </c>
      <c r="E81" s="16">
        <v>1547451.2799999998</v>
      </c>
      <c r="F81" s="16">
        <v>2753842.11</v>
      </c>
      <c r="G81" s="16">
        <v>1380664.22</v>
      </c>
      <c r="H81" s="16">
        <v>10997627.300000001</v>
      </c>
      <c r="I81" s="16">
        <v>7500124.1299999999</v>
      </c>
      <c r="J81" s="16">
        <v>0</v>
      </c>
      <c r="K81" s="16">
        <v>0</v>
      </c>
      <c r="L81" s="16">
        <v>0</v>
      </c>
      <c r="M81" s="16">
        <v>0</v>
      </c>
      <c r="N81" s="18">
        <f t="shared" si="2"/>
        <v>301067209.50390297</v>
      </c>
      <c r="O81" s="4"/>
    </row>
    <row r="82" spans="1:15" ht="15" x14ac:dyDescent="0.2">
      <c r="A82" s="17" t="s">
        <v>77</v>
      </c>
      <c r="B82" s="16">
        <v>4353953225.3599997</v>
      </c>
      <c r="C82" s="16">
        <v>0</v>
      </c>
      <c r="D82" s="16">
        <v>22809195.049999997</v>
      </c>
      <c r="E82" s="16">
        <v>21492019.93</v>
      </c>
      <c r="F82" s="16">
        <v>79367273.890000001</v>
      </c>
      <c r="G82" s="16">
        <v>57725594.112786278</v>
      </c>
      <c r="H82" s="16">
        <v>174629742.88</v>
      </c>
      <c r="I82" s="16">
        <v>216157783.24000001</v>
      </c>
      <c r="J82" s="16">
        <v>0</v>
      </c>
      <c r="K82" s="16">
        <v>0</v>
      </c>
      <c r="L82" s="16">
        <v>0</v>
      </c>
      <c r="M82" s="16">
        <v>0</v>
      </c>
      <c r="N82" s="18">
        <f t="shared" si="2"/>
        <v>4926134834.4627867</v>
      </c>
      <c r="O82" s="4"/>
    </row>
    <row r="83" spans="1:15" ht="15" x14ac:dyDescent="0.2">
      <c r="A83" s="17" t="s">
        <v>78</v>
      </c>
      <c r="B83" s="16">
        <v>1219411564.3600001</v>
      </c>
      <c r="C83" s="16">
        <v>0</v>
      </c>
      <c r="D83" s="16">
        <v>13132231.143116239</v>
      </c>
      <c r="E83" s="16">
        <v>6522307.5999999996</v>
      </c>
      <c r="F83" s="16">
        <v>8788273.6999999993</v>
      </c>
      <c r="G83" s="16">
        <v>4064292.94</v>
      </c>
      <c r="H83" s="16">
        <v>52995898.109999999</v>
      </c>
      <c r="I83" s="16">
        <v>23934975.59</v>
      </c>
      <c r="J83" s="16">
        <v>0</v>
      </c>
      <c r="K83" s="16">
        <v>0</v>
      </c>
      <c r="L83" s="16">
        <v>0</v>
      </c>
      <c r="M83" s="16">
        <v>0</v>
      </c>
      <c r="N83" s="18">
        <f t="shared" si="2"/>
        <v>1328849543.4431162</v>
      </c>
      <c r="O83" s="4"/>
    </row>
    <row r="84" spans="1:15" ht="15" x14ac:dyDescent="0.2">
      <c r="A84" s="17" t="s">
        <v>79</v>
      </c>
      <c r="B84" s="16">
        <v>468439361.30000007</v>
      </c>
      <c r="C84" s="16">
        <v>0</v>
      </c>
      <c r="D84" s="16">
        <v>2622128.5472927606</v>
      </c>
      <c r="E84" s="16">
        <v>2580249.1100000003</v>
      </c>
      <c r="F84" s="16">
        <v>1763831.58</v>
      </c>
      <c r="G84" s="16">
        <v>357813.40316471329</v>
      </c>
      <c r="H84" s="16">
        <v>18337648.809999999</v>
      </c>
      <c r="I84" s="16">
        <v>4803817.83</v>
      </c>
      <c r="J84" s="16">
        <v>0</v>
      </c>
      <c r="K84" s="16">
        <v>0</v>
      </c>
      <c r="L84" s="16">
        <v>0</v>
      </c>
      <c r="M84" s="16">
        <v>0</v>
      </c>
      <c r="N84" s="18">
        <f t="shared" si="2"/>
        <v>498904850.58045751</v>
      </c>
      <c r="O84" s="4"/>
    </row>
    <row r="85" spans="1:15" ht="15" x14ac:dyDescent="0.2">
      <c r="A85" s="17" t="s">
        <v>80</v>
      </c>
      <c r="B85" s="16">
        <v>387031084.11000001</v>
      </c>
      <c r="C85" s="16">
        <v>0</v>
      </c>
      <c r="D85" s="16">
        <v>2198723.0133785205</v>
      </c>
      <c r="E85" s="16">
        <v>2299053.0099999998</v>
      </c>
      <c r="F85" s="16">
        <v>833873.68</v>
      </c>
      <c r="G85" s="16">
        <v>388498.59</v>
      </c>
      <c r="H85" s="16">
        <v>16339207.939999999</v>
      </c>
      <c r="I85" s="16">
        <v>2271065.63</v>
      </c>
      <c r="J85" s="16">
        <v>0</v>
      </c>
      <c r="K85" s="16">
        <v>0</v>
      </c>
      <c r="L85" s="16">
        <v>0</v>
      </c>
      <c r="M85" s="16">
        <v>0</v>
      </c>
      <c r="N85" s="18">
        <f t="shared" si="2"/>
        <v>411361505.97337848</v>
      </c>
      <c r="O85" s="4"/>
    </row>
    <row r="86" spans="1:15" ht="15" x14ac:dyDescent="0.2">
      <c r="A86" s="17" t="s">
        <v>81</v>
      </c>
      <c r="B86" s="16">
        <v>4975910059.4800005</v>
      </c>
      <c r="C86" s="16">
        <v>0</v>
      </c>
      <c r="D86" s="16">
        <v>24340655.340000004</v>
      </c>
      <c r="E86" s="16">
        <v>25425572.25</v>
      </c>
      <c r="F86" s="16">
        <v>49797358.020000003</v>
      </c>
      <c r="G86" s="16">
        <v>13792624.41567082</v>
      </c>
      <c r="H86" s="16">
        <v>206591151.41999999</v>
      </c>
      <c r="I86" s="16">
        <v>135623740.03999999</v>
      </c>
      <c r="J86" s="16">
        <v>0</v>
      </c>
      <c r="K86" s="16">
        <v>0</v>
      </c>
      <c r="L86" s="16">
        <v>0</v>
      </c>
      <c r="M86" s="16">
        <v>0</v>
      </c>
      <c r="N86" s="18">
        <f t="shared" si="2"/>
        <v>5431481160.9656715</v>
      </c>
      <c r="O86" s="4"/>
    </row>
    <row r="87" spans="1:15" ht="15" x14ac:dyDescent="0.2">
      <c r="A87" s="17" t="s">
        <v>82</v>
      </c>
      <c r="B87" s="16">
        <v>736355068.13999999</v>
      </c>
      <c r="C87" s="16">
        <v>0</v>
      </c>
      <c r="D87" s="16">
        <v>3360126.0429918803</v>
      </c>
      <c r="E87" s="16">
        <v>4052208.55</v>
      </c>
      <c r="F87" s="16">
        <v>1413810.53</v>
      </c>
      <c r="G87" s="16">
        <v>812858.59</v>
      </c>
      <c r="H87" s="16">
        <v>28798761.109999999</v>
      </c>
      <c r="I87" s="16">
        <v>3850531.02</v>
      </c>
      <c r="J87" s="16">
        <v>0</v>
      </c>
      <c r="K87" s="16">
        <v>0</v>
      </c>
      <c r="L87" s="16">
        <v>0</v>
      </c>
      <c r="M87" s="16">
        <v>0</v>
      </c>
      <c r="N87" s="18">
        <f t="shared" si="2"/>
        <v>778643363.98299181</v>
      </c>
      <c r="O87" s="4"/>
    </row>
    <row r="88" spans="1:15" ht="15" x14ac:dyDescent="0.2">
      <c r="A88" s="17" t="s">
        <v>83</v>
      </c>
      <c r="B88" s="16">
        <v>590108605.98000002</v>
      </c>
      <c r="C88" s="16">
        <v>0</v>
      </c>
      <c r="D88" s="16">
        <v>1980677.9635355603</v>
      </c>
      <c r="E88" s="16">
        <v>3281493.88</v>
      </c>
      <c r="F88" s="16">
        <v>6938652.6500000004</v>
      </c>
      <c r="G88" s="16">
        <v>2073984.78</v>
      </c>
      <c r="H88" s="16">
        <v>23321346.030000001</v>
      </c>
      <c r="I88" s="16">
        <v>18897509.039999999</v>
      </c>
      <c r="J88" s="16">
        <v>0</v>
      </c>
      <c r="K88" s="16">
        <v>0</v>
      </c>
      <c r="L88" s="16">
        <v>0</v>
      </c>
      <c r="M88" s="16">
        <v>0</v>
      </c>
      <c r="N88" s="18">
        <f t="shared" si="2"/>
        <v>646602270.32353544</v>
      </c>
      <c r="O88" s="4"/>
    </row>
    <row r="89" spans="1:15" ht="15" x14ac:dyDescent="0.2">
      <c r="A89" s="17" t="s">
        <v>84</v>
      </c>
      <c r="B89" s="16">
        <v>984996587.92999995</v>
      </c>
      <c r="C89" s="16">
        <v>0</v>
      </c>
      <c r="D89" s="16">
        <v>4632852.6256808406</v>
      </c>
      <c r="E89" s="16">
        <v>5690162.7300000004</v>
      </c>
      <c r="F89" s="16">
        <v>5835400.0099999998</v>
      </c>
      <c r="G89" s="16">
        <v>2420645.06</v>
      </c>
      <c r="H89" s="16">
        <v>40439586.170000002</v>
      </c>
      <c r="I89" s="16">
        <v>15892786.41</v>
      </c>
      <c r="J89" s="16">
        <v>0</v>
      </c>
      <c r="K89" s="16">
        <v>0</v>
      </c>
      <c r="L89" s="16">
        <v>0</v>
      </c>
      <c r="M89" s="16">
        <v>0</v>
      </c>
      <c r="N89" s="18">
        <f t="shared" si="2"/>
        <v>1059908020.9356806</v>
      </c>
      <c r="O89" s="4"/>
    </row>
    <row r="90" spans="1:15" ht="15" x14ac:dyDescent="0.2">
      <c r="A90" s="17" t="s">
        <v>85</v>
      </c>
      <c r="B90" s="16">
        <v>4611247848.6400003</v>
      </c>
      <c r="C90" s="16">
        <v>0</v>
      </c>
      <c r="D90" s="16">
        <v>11619675.640846118</v>
      </c>
      <c r="E90" s="16">
        <v>24664357.739999998</v>
      </c>
      <c r="F90" s="16">
        <v>79156231.780000001</v>
      </c>
      <c r="G90" s="16">
        <v>19965019.72513359</v>
      </c>
      <c r="H90" s="16">
        <v>200406032.72999999</v>
      </c>
      <c r="I90" s="16">
        <v>215583007.38</v>
      </c>
      <c r="J90" s="16">
        <v>0</v>
      </c>
      <c r="K90" s="16">
        <v>0</v>
      </c>
      <c r="L90" s="16">
        <v>0</v>
      </c>
      <c r="M90" s="16">
        <v>0</v>
      </c>
      <c r="N90" s="18">
        <f t="shared" si="2"/>
        <v>5162642173.6359797</v>
      </c>
      <c r="O90" s="4"/>
    </row>
    <row r="91" spans="1:15" ht="15" x14ac:dyDescent="0.2">
      <c r="A91" s="17" t="s">
        <v>86</v>
      </c>
      <c r="B91" s="16">
        <v>200794063.92000002</v>
      </c>
      <c r="C91" s="16">
        <v>0</v>
      </c>
      <c r="D91" s="16">
        <v>3909931.4586102003</v>
      </c>
      <c r="E91" s="16">
        <v>1127664.4300000002</v>
      </c>
      <c r="F91" s="16">
        <v>1837610.53</v>
      </c>
      <c r="G91" s="16">
        <v>806881.69</v>
      </c>
      <c r="H91" s="16">
        <v>8014231.7000000002</v>
      </c>
      <c r="I91" s="16">
        <v>5004755.7300000004</v>
      </c>
      <c r="J91" s="16">
        <v>0</v>
      </c>
      <c r="K91" s="16">
        <v>0</v>
      </c>
      <c r="L91" s="16">
        <v>0</v>
      </c>
      <c r="M91" s="16">
        <v>0</v>
      </c>
      <c r="N91" s="18">
        <f t="shared" si="2"/>
        <v>221495139.45861021</v>
      </c>
      <c r="O91" s="4"/>
    </row>
    <row r="92" spans="1:15" ht="15" x14ac:dyDescent="0.2">
      <c r="A92" s="17" t="s">
        <v>87</v>
      </c>
      <c r="B92" s="16">
        <v>299328275.03000003</v>
      </c>
      <c r="C92" s="16">
        <v>0</v>
      </c>
      <c r="D92" s="16">
        <v>193337.88999999998</v>
      </c>
      <c r="E92" s="16">
        <v>1688311.15</v>
      </c>
      <c r="F92" s="16">
        <v>392915.79</v>
      </c>
      <c r="G92" s="16">
        <v>251029.86</v>
      </c>
      <c r="H92" s="16">
        <v>11998708.48</v>
      </c>
      <c r="I92" s="16">
        <v>1070111.17</v>
      </c>
      <c r="J92" s="16">
        <v>0</v>
      </c>
      <c r="K92" s="16">
        <v>0</v>
      </c>
      <c r="L92" s="16">
        <v>0</v>
      </c>
      <c r="M92" s="16">
        <v>0</v>
      </c>
      <c r="N92" s="18">
        <f t="shared" si="2"/>
        <v>314922689.37000006</v>
      </c>
      <c r="O92" s="4"/>
    </row>
    <row r="93" spans="1:15" ht="15" x14ac:dyDescent="0.2">
      <c r="A93" s="17" t="s">
        <v>88</v>
      </c>
      <c r="B93" s="16">
        <v>3103084024.3299994</v>
      </c>
      <c r="C93" s="16">
        <v>0</v>
      </c>
      <c r="D93" s="16">
        <v>9667502.7961387988</v>
      </c>
      <c r="E93" s="16">
        <v>13992621.91</v>
      </c>
      <c r="F93" s="16">
        <v>64153368.590000004</v>
      </c>
      <c r="G93" s="16">
        <v>11439210.615173083</v>
      </c>
      <c r="H93" s="16">
        <v>113694663.14</v>
      </c>
      <c r="I93" s="16">
        <v>174722518.00999999</v>
      </c>
      <c r="J93" s="16">
        <v>0</v>
      </c>
      <c r="K93" s="16">
        <v>0</v>
      </c>
      <c r="L93" s="16">
        <v>0</v>
      </c>
      <c r="M93" s="16">
        <v>0</v>
      </c>
      <c r="N93" s="18">
        <f t="shared" si="2"/>
        <v>3490753909.3913107</v>
      </c>
      <c r="O93" s="4"/>
    </row>
    <row r="94" spans="1:15" ht="15" x14ac:dyDescent="0.2">
      <c r="A94" s="17" t="s">
        <v>89</v>
      </c>
      <c r="B94" s="16">
        <v>1756850412.2199998</v>
      </c>
      <c r="C94" s="16">
        <v>0</v>
      </c>
      <c r="D94" s="16">
        <v>17694792.170000002</v>
      </c>
      <c r="E94" s="16">
        <v>9396938.1600000001</v>
      </c>
      <c r="F94" s="16">
        <v>29008852.699999999</v>
      </c>
      <c r="G94" s="16">
        <v>14267289.109773641</v>
      </c>
      <c r="H94" s="16">
        <v>76353218.560000002</v>
      </c>
      <c r="I94" s="16">
        <v>79005980.530000001</v>
      </c>
      <c r="J94" s="16">
        <v>0</v>
      </c>
      <c r="K94" s="16">
        <v>0</v>
      </c>
      <c r="L94" s="16">
        <v>0</v>
      </c>
      <c r="M94" s="16">
        <v>0</v>
      </c>
      <c r="N94" s="18">
        <f t="shared" si="2"/>
        <v>1982577483.4497736</v>
      </c>
      <c r="O94" s="4"/>
    </row>
    <row r="95" spans="1:15" ht="15" x14ac:dyDescent="0.2">
      <c r="A95" s="17" t="s">
        <v>90</v>
      </c>
      <c r="B95" s="16">
        <v>327075292.56999999</v>
      </c>
      <c r="C95" s="16">
        <v>0</v>
      </c>
      <c r="D95" s="16">
        <v>2818004.7242702004</v>
      </c>
      <c r="E95" s="16">
        <v>1900997.33</v>
      </c>
      <c r="F95" s="16">
        <v>1422389.47</v>
      </c>
      <c r="G95" s="16">
        <v>651482.25</v>
      </c>
      <c r="H95" s="16">
        <v>13510254.24</v>
      </c>
      <c r="I95" s="16">
        <v>3873895.89</v>
      </c>
      <c r="J95" s="16">
        <v>0</v>
      </c>
      <c r="K95" s="16">
        <v>0</v>
      </c>
      <c r="L95" s="16">
        <v>0</v>
      </c>
      <c r="M95" s="16">
        <v>0</v>
      </c>
      <c r="N95" s="18">
        <f t="shared" si="2"/>
        <v>351252316.47427022</v>
      </c>
      <c r="O95" s="4"/>
    </row>
    <row r="96" spans="1:15" ht="15" x14ac:dyDescent="0.2">
      <c r="A96" s="17" t="s">
        <v>91</v>
      </c>
      <c r="B96" s="16">
        <v>1020179866.2699997</v>
      </c>
      <c r="C96" s="16">
        <v>0</v>
      </c>
      <c r="D96" s="16">
        <v>11767391.990855601</v>
      </c>
      <c r="E96" s="16">
        <v>5456592.0199999996</v>
      </c>
      <c r="F96" s="16">
        <v>7971557.9100000001</v>
      </c>
      <c r="G96" s="16">
        <v>3556256.32</v>
      </c>
      <c r="H96" s="16">
        <v>44336607.899999999</v>
      </c>
      <c r="I96" s="16">
        <v>21710639.710000001</v>
      </c>
      <c r="J96" s="16">
        <v>0</v>
      </c>
      <c r="K96" s="16">
        <v>0</v>
      </c>
      <c r="L96" s="16">
        <v>0</v>
      </c>
      <c r="M96" s="16">
        <v>0</v>
      </c>
      <c r="N96" s="18">
        <f t="shared" si="2"/>
        <v>1114978912.1208553</v>
      </c>
      <c r="O96" s="4"/>
    </row>
    <row r="97" spans="1:15" ht="15" x14ac:dyDescent="0.2">
      <c r="A97" s="17" t="s">
        <v>92</v>
      </c>
      <c r="B97" s="16">
        <v>530498337.66999996</v>
      </c>
      <c r="C97" s="16">
        <v>0</v>
      </c>
      <c r="D97" s="16">
        <v>10207167.831524322</v>
      </c>
      <c r="E97" s="16">
        <v>3029359.95</v>
      </c>
      <c r="F97" s="16">
        <v>3680368.43</v>
      </c>
      <c r="G97" s="16">
        <v>1822954.92</v>
      </c>
      <c r="H97" s="16">
        <v>21529447.93</v>
      </c>
      <c r="I97" s="16">
        <v>10023530.390000001</v>
      </c>
      <c r="J97" s="16">
        <v>0</v>
      </c>
      <c r="K97" s="16">
        <v>0</v>
      </c>
      <c r="L97" s="16">
        <v>0</v>
      </c>
      <c r="M97" s="16">
        <v>0</v>
      </c>
      <c r="N97" s="18">
        <f t="shared" si="2"/>
        <v>580791167.12152421</v>
      </c>
      <c r="O97" s="4"/>
    </row>
    <row r="98" spans="1:15" ht="15" x14ac:dyDescent="0.2">
      <c r="A98" s="17" t="s">
        <v>93</v>
      </c>
      <c r="B98" s="16">
        <v>1493411484.5899999</v>
      </c>
      <c r="C98" s="16">
        <v>0</v>
      </c>
      <c r="D98" s="16">
        <v>14279121.237276481</v>
      </c>
      <c r="E98" s="16">
        <v>7359093.9400000004</v>
      </c>
      <c r="F98" s="16">
        <v>8558357.9100000001</v>
      </c>
      <c r="G98" s="16">
        <v>4273484.4800000004</v>
      </c>
      <c r="H98" s="16">
        <v>59795062.869999997</v>
      </c>
      <c r="I98" s="16">
        <v>23308797</v>
      </c>
      <c r="J98" s="16">
        <v>0</v>
      </c>
      <c r="K98" s="16">
        <v>0</v>
      </c>
      <c r="L98" s="16">
        <v>0</v>
      </c>
      <c r="M98" s="16">
        <v>0</v>
      </c>
      <c r="N98" s="18">
        <f t="shared" si="2"/>
        <v>1610985402.0272765</v>
      </c>
      <c r="O98" s="4"/>
    </row>
    <row r="99" spans="1:15" ht="15" x14ac:dyDescent="0.2">
      <c r="A99" s="17" t="s">
        <v>94</v>
      </c>
      <c r="B99" s="16">
        <v>1055197894.3299997</v>
      </c>
      <c r="C99" s="16">
        <v>0</v>
      </c>
      <c r="D99" s="16">
        <v>4908567.3540536016</v>
      </c>
      <c r="E99" s="16">
        <v>6035243.2400000002</v>
      </c>
      <c r="F99" s="16">
        <v>3172494.74</v>
      </c>
      <c r="G99" s="16">
        <v>1153541.97</v>
      </c>
      <c r="H99" s="16">
        <v>42892048.990000002</v>
      </c>
      <c r="I99" s="16">
        <v>8640329.9199999999</v>
      </c>
      <c r="J99" s="16">
        <v>0</v>
      </c>
      <c r="K99" s="16">
        <v>0</v>
      </c>
      <c r="L99" s="16">
        <v>0</v>
      </c>
      <c r="M99" s="16">
        <v>0</v>
      </c>
      <c r="N99" s="18">
        <f t="shared" si="2"/>
        <v>1122000120.5440533</v>
      </c>
      <c r="O99" s="4"/>
    </row>
    <row r="100" spans="1:15" ht="15" x14ac:dyDescent="0.2">
      <c r="A100" s="17" t="s">
        <v>95</v>
      </c>
      <c r="B100" s="16">
        <v>1151223306.3700001</v>
      </c>
      <c r="C100" s="16">
        <v>0</v>
      </c>
      <c r="D100" s="16">
        <v>8401413.2377602011</v>
      </c>
      <c r="E100" s="16">
        <v>6782917.6500000004</v>
      </c>
      <c r="F100" s="16">
        <v>3561978.95</v>
      </c>
      <c r="G100" s="16">
        <v>1524109.85</v>
      </c>
      <c r="H100" s="16">
        <v>48205718.439999998</v>
      </c>
      <c r="I100" s="16">
        <v>9701095.1400000006</v>
      </c>
      <c r="J100" s="16">
        <v>0</v>
      </c>
      <c r="K100" s="16">
        <v>0</v>
      </c>
      <c r="L100" s="16">
        <v>0</v>
      </c>
      <c r="M100" s="16">
        <v>0</v>
      </c>
      <c r="N100" s="18">
        <f t="shared" si="2"/>
        <v>1229400539.6377606</v>
      </c>
      <c r="O100" s="4"/>
    </row>
    <row r="101" spans="1:15" ht="15" x14ac:dyDescent="0.2">
      <c r="A101" s="17" t="s">
        <v>96</v>
      </c>
      <c r="B101" s="16">
        <v>235917251.25</v>
      </c>
      <c r="C101" s="16">
        <v>0</v>
      </c>
      <c r="D101" s="16">
        <v>3298155.0892020003</v>
      </c>
      <c r="E101" s="16">
        <v>1342532.46</v>
      </c>
      <c r="F101" s="16">
        <v>425515.79</v>
      </c>
      <c r="G101" s="16">
        <v>227122.25</v>
      </c>
      <c r="H101" s="16">
        <v>9541283.6699999999</v>
      </c>
      <c r="I101" s="16">
        <v>1158897.69</v>
      </c>
      <c r="J101" s="16">
        <v>0</v>
      </c>
      <c r="K101" s="16">
        <v>0</v>
      </c>
      <c r="L101" s="16">
        <v>0</v>
      </c>
      <c r="M101" s="16">
        <v>0</v>
      </c>
      <c r="N101" s="18">
        <f t="shared" si="2"/>
        <v>251910758.19920197</v>
      </c>
      <c r="O101" s="4"/>
    </row>
    <row r="102" spans="1:15" ht="15" x14ac:dyDescent="0.2">
      <c r="A102" s="17" t="s">
        <v>97</v>
      </c>
      <c r="B102" s="16">
        <v>647991258.14999986</v>
      </c>
      <c r="C102" s="16">
        <v>0</v>
      </c>
      <c r="D102" s="16">
        <v>13121699.87648036</v>
      </c>
      <c r="E102" s="16">
        <v>3303023.65</v>
      </c>
      <c r="F102" s="16">
        <v>8239221.0700000003</v>
      </c>
      <c r="G102" s="16">
        <v>3998547.02</v>
      </c>
      <c r="H102" s="16">
        <v>26838155.390000001</v>
      </c>
      <c r="I102" s="16">
        <v>22439623.739999998</v>
      </c>
      <c r="J102" s="16">
        <v>0</v>
      </c>
      <c r="K102" s="16">
        <v>0</v>
      </c>
      <c r="L102" s="16">
        <v>0</v>
      </c>
      <c r="M102" s="16">
        <v>0</v>
      </c>
      <c r="N102" s="18">
        <f t="shared" si="2"/>
        <v>725931528.8964802</v>
      </c>
      <c r="O102" s="4"/>
    </row>
    <row r="103" spans="1:15" ht="15" x14ac:dyDescent="0.2">
      <c r="A103" s="17" t="s">
        <v>98</v>
      </c>
      <c r="B103" s="16">
        <v>236908752.67000005</v>
      </c>
      <c r="C103" s="16">
        <v>0</v>
      </c>
      <c r="D103" s="16">
        <v>2949742.6229061605</v>
      </c>
      <c r="E103" s="16">
        <v>1340176.0499999998</v>
      </c>
      <c r="F103" s="16">
        <v>204178.94</v>
      </c>
      <c r="G103" s="16">
        <v>137468.73000000001</v>
      </c>
      <c r="H103" s="16">
        <v>9524536.9600000009</v>
      </c>
      <c r="I103" s="16">
        <v>556083.97</v>
      </c>
      <c r="J103" s="16">
        <v>0</v>
      </c>
      <c r="K103" s="16">
        <v>0</v>
      </c>
      <c r="L103" s="16">
        <v>0</v>
      </c>
      <c r="M103" s="16">
        <v>0</v>
      </c>
      <c r="N103" s="18">
        <f t="shared" si="2"/>
        <v>251620939.9429062</v>
      </c>
      <c r="O103" s="4"/>
    </row>
    <row r="104" spans="1:15" ht="15" x14ac:dyDescent="0.2">
      <c r="A104" s="17" t="s">
        <v>99</v>
      </c>
      <c r="B104" s="16">
        <v>3506880496.5</v>
      </c>
      <c r="C104" s="16">
        <v>0</v>
      </c>
      <c r="D104" s="16">
        <v>21737187.150419321</v>
      </c>
      <c r="E104" s="16">
        <v>16306341.51</v>
      </c>
      <c r="F104" s="16">
        <v>41842958</v>
      </c>
      <c r="G104" s="16">
        <v>7813344.1722801616</v>
      </c>
      <c r="H104" s="16">
        <v>132494397.14</v>
      </c>
      <c r="I104" s="16">
        <v>113959830.08</v>
      </c>
      <c r="J104" s="16">
        <v>0</v>
      </c>
      <c r="K104" s="16">
        <v>0</v>
      </c>
      <c r="L104" s="16">
        <v>0</v>
      </c>
      <c r="M104" s="16">
        <v>0</v>
      </c>
      <c r="N104" s="18">
        <f t="shared" ref="N104:N135" si="3">SUM(B104:M104)</f>
        <v>3841034554.5526996</v>
      </c>
      <c r="O104" s="4"/>
    </row>
    <row r="105" spans="1:15" ht="15" x14ac:dyDescent="0.2">
      <c r="A105" s="17" t="s">
        <v>100</v>
      </c>
      <c r="B105" s="16">
        <v>623489154.41000009</v>
      </c>
      <c r="C105" s="16">
        <v>0</v>
      </c>
      <c r="D105" s="16">
        <v>3060741.92</v>
      </c>
      <c r="E105" s="16">
        <v>3083025.63</v>
      </c>
      <c r="F105" s="16">
        <v>1803294.74</v>
      </c>
      <c r="G105" s="16">
        <v>986188.73</v>
      </c>
      <c r="H105" s="16">
        <v>25050599.030000001</v>
      </c>
      <c r="I105" s="16">
        <v>4911296.24</v>
      </c>
      <c r="J105" s="16">
        <v>0</v>
      </c>
      <c r="K105" s="16">
        <v>0</v>
      </c>
      <c r="L105" s="16">
        <v>0</v>
      </c>
      <c r="M105" s="16">
        <v>0</v>
      </c>
      <c r="N105" s="18">
        <f t="shared" si="3"/>
        <v>662384300.70000005</v>
      </c>
      <c r="O105" s="4"/>
    </row>
    <row r="106" spans="1:15" ht="15" x14ac:dyDescent="0.2">
      <c r="A106" s="17" t="s">
        <v>101</v>
      </c>
      <c r="B106" s="16">
        <v>640239519.62</v>
      </c>
      <c r="C106" s="16">
        <v>0</v>
      </c>
      <c r="D106" s="16">
        <v>4696290.9000000013</v>
      </c>
      <c r="E106" s="16">
        <v>3363269.41</v>
      </c>
      <c r="F106" s="16">
        <v>12777484.24</v>
      </c>
      <c r="G106" s="16">
        <v>3225138.1686159731</v>
      </c>
      <c r="H106" s="16">
        <v>23902518.940000001</v>
      </c>
      <c r="I106" s="16">
        <v>34799641.390000001</v>
      </c>
      <c r="J106" s="16">
        <v>0</v>
      </c>
      <c r="K106" s="16">
        <v>0</v>
      </c>
      <c r="L106" s="16">
        <v>0</v>
      </c>
      <c r="M106" s="16">
        <v>0</v>
      </c>
      <c r="N106" s="18">
        <f t="shared" si="3"/>
        <v>723003862.66861594</v>
      </c>
      <c r="O106" s="4"/>
    </row>
    <row r="107" spans="1:15" ht="15" x14ac:dyDescent="0.2">
      <c r="A107" s="17" t="s">
        <v>102</v>
      </c>
      <c r="B107" s="16">
        <v>887363741.75000012</v>
      </c>
      <c r="C107" s="16">
        <v>0</v>
      </c>
      <c r="D107" s="16">
        <v>3698723.8235203205</v>
      </c>
      <c r="E107" s="16">
        <v>5110839.43</v>
      </c>
      <c r="F107" s="16">
        <v>710336.84</v>
      </c>
      <c r="G107" s="16">
        <v>603667.04</v>
      </c>
      <c r="H107" s="16">
        <v>36322376.189999998</v>
      </c>
      <c r="I107" s="16">
        <v>1934611.46</v>
      </c>
      <c r="J107" s="16">
        <v>0</v>
      </c>
      <c r="K107" s="16">
        <v>0</v>
      </c>
      <c r="L107" s="16">
        <v>0</v>
      </c>
      <c r="M107" s="16">
        <v>0</v>
      </c>
      <c r="N107" s="18">
        <f t="shared" si="3"/>
        <v>935744296.53352046</v>
      </c>
      <c r="O107" s="4"/>
    </row>
    <row r="108" spans="1:15" ht="15" x14ac:dyDescent="0.2">
      <c r="A108" s="17" t="s">
        <v>103</v>
      </c>
      <c r="B108" s="16">
        <v>314636456.34999996</v>
      </c>
      <c r="C108" s="16">
        <v>0</v>
      </c>
      <c r="D108" s="16">
        <v>2282582.0293150004</v>
      </c>
      <c r="E108" s="16">
        <v>1760661.11</v>
      </c>
      <c r="F108" s="16">
        <v>720631.58</v>
      </c>
      <c r="G108" s="16">
        <v>376544.79</v>
      </c>
      <c r="H108" s="16">
        <v>12512894.539999999</v>
      </c>
      <c r="I108" s="16">
        <v>1962649.31</v>
      </c>
      <c r="J108" s="16">
        <v>0</v>
      </c>
      <c r="K108" s="16">
        <v>0</v>
      </c>
      <c r="L108" s="16">
        <v>0</v>
      </c>
      <c r="M108" s="16">
        <v>0</v>
      </c>
      <c r="N108" s="18">
        <f t="shared" si="3"/>
        <v>334252419.709315</v>
      </c>
      <c r="O108" s="4"/>
    </row>
    <row r="109" spans="1:15" ht="15" x14ac:dyDescent="0.2">
      <c r="A109" s="17" t="s">
        <v>104</v>
      </c>
      <c r="B109" s="16">
        <v>3024469978.4899998</v>
      </c>
      <c r="C109" s="16">
        <v>0</v>
      </c>
      <c r="D109" s="16">
        <v>21689258.672703359</v>
      </c>
      <c r="E109" s="16">
        <v>15989932.140000001</v>
      </c>
      <c r="F109" s="16">
        <v>73576484.400000006</v>
      </c>
      <c r="G109" s="16">
        <v>35857363.689375438</v>
      </c>
      <c r="H109" s="16">
        <v>129923466.84</v>
      </c>
      <c r="I109" s="16">
        <v>200386494.18000001</v>
      </c>
      <c r="J109" s="16">
        <v>0</v>
      </c>
      <c r="K109" s="16">
        <v>0</v>
      </c>
      <c r="L109" s="16">
        <v>0</v>
      </c>
      <c r="M109" s="16">
        <v>0</v>
      </c>
      <c r="N109" s="18">
        <f t="shared" si="3"/>
        <v>3501892978.4120784</v>
      </c>
      <c r="O109" s="4"/>
    </row>
    <row r="110" spans="1:15" ht="15" x14ac:dyDescent="0.2">
      <c r="A110" s="17" t="s">
        <v>105</v>
      </c>
      <c r="B110" s="16">
        <v>346664957.35999995</v>
      </c>
      <c r="C110" s="16">
        <v>0</v>
      </c>
      <c r="D110" s="16">
        <v>4400396.9854136398</v>
      </c>
      <c r="E110" s="16">
        <v>1745633.11</v>
      </c>
      <c r="F110" s="16">
        <v>2812178.95</v>
      </c>
      <c r="G110" s="16">
        <v>1261126.19</v>
      </c>
      <c r="H110" s="16">
        <v>14183844.18</v>
      </c>
      <c r="I110" s="16">
        <v>7659005.2699999996</v>
      </c>
      <c r="J110" s="16">
        <v>0</v>
      </c>
      <c r="K110" s="16">
        <v>0</v>
      </c>
      <c r="L110" s="16">
        <v>0</v>
      </c>
      <c r="M110" s="16">
        <v>0</v>
      </c>
      <c r="N110" s="18">
        <f t="shared" si="3"/>
        <v>378727142.04541355</v>
      </c>
      <c r="O110" s="4"/>
    </row>
    <row r="111" spans="1:15" ht="15" x14ac:dyDescent="0.2">
      <c r="A111" s="17" t="s">
        <v>106</v>
      </c>
      <c r="B111" s="16">
        <v>398989192.36000001</v>
      </c>
      <c r="C111" s="16">
        <v>0</v>
      </c>
      <c r="D111" s="16">
        <v>5055430.5013215207</v>
      </c>
      <c r="E111" s="16">
        <v>2375941.2000000002</v>
      </c>
      <c r="F111" s="16">
        <v>979715.79</v>
      </c>
      <c r="G111" s="16">
        <v>579759.43000000005</v>
      </c>
      <c r="H111" s="16">
        <v>16885646.920000002</v>
      </c>
      <c r="I111" s="16">
        <v>2668268.46</v>
      </c>
      <c r="J111" s="16">
        <v>0</v>
      </c>
      <c r="K111" s="16">
        <v>0</v>
      </c>
      <c r="L111" s="16">
        <v>0</v>
      </c>
      <c r="M111" s="16">
        <v>0</v>
      </c>
      <c r="N111" s="18">
        <f t="shared" si="3"/>
        <v>427533954.66132152</v>
      </c>
      <c r="O111" s="4"/>
    </row>
    <row r="112" spans="1:15" ht="15" x14ac:dyDescent="0.2">
      <c r="A112" s="17" t="s">
        <v>107</v>
      </c>
      <c r="B112" s="16">
        <v>584565211.56999993</v>
      </c>
      <c r="C112" s="16">
        <v>0</v>
      </c>
      <c r="D112" s="16">
        <v>6351161.2525066398</v>
      </c>
      <c r="E112" s="16">
        <v>3315181.55</v>
      </c>
      <c r="F112" s="16">
        <v>1190757.8899999999</v>
      </c>
      <c r="G112" s="16">
        <v>657459.15</v>
      </c>
      <c r="H112" s="16">
        <v>23560761.98</v>
      </c>
      <c r="I112" s="16">
        <v>3243044.33</v>
      </c>
      <c r="J112" s="16">
        <v>0</v>
      </c>
      <c r="K112" s="16">
        <v>0</v>
      </c>
      <c r="L112" s="16">
        <v>0</v>
      </c>
      <c r="M112" s="16">
        <v>0</v>
      </c>
      <c r="N112" s="18">
        <f t="shared" si="3"/>
        <v>622883577.72250652</v>
      </c>
      <c r="O112" s="4"/>
    </row>
    <row r="113" spans="1:15" ht="15" x14ac:dyDescent="0.2">
      <c r="A113" s="17" t="s">
        <v>108</v>
      </c>
      <c r="B113" s="16">
        <v>462655602.90999997</v>
      </c>
      <c r="C113" s="16">
        <v>0</v>
      </c>
      <c r="D113" s="16">
        <v>5777559.8597690798</v>
      </c>
      <c r="E113" s="16">
        <v>2632264.27</v>
      </c>
      <c r="F113" s="16">
        <v>1678042.1</v>
      </c>
      <c r="G113" s="16">
        <v>896535.21</v>
      </c>
      <c r="H113" s="16">
        <v>18707316.960000001</v>
      </c>
      <c r="I113" s="16">
        <v>4570169.0999999996</v>
      </c>
      <c r="J113" s="16">
        <v>0</v>
      </c>
      <c r="K113" s="16">
        <v>0</v>
      </c>
      <c r="L113" s="16">
        <v>0</v>
      </c>
      <c r="M113" s="16">
        <v>0</v>
      </c>
      <c r="N113" s="18">
        <f t="shared" si="3"/>
        <v>496917490.40976906</v>
      </c>
      <c r="O113" s="4"/>
    </row>
    <row r="114" spans="1:15" ht="15" x14ac:dyDescent="0.2">
      <c r="A114" s="17" t="s">
        <v>109</v>
      </c>
      <c r="B114" s="16">
        <v>286513870.09999996</v>
      </c>
      <c r="C114" s="16">
        <v>0</v>
      </c>
      <c r="D114" s="16">
        <v>2570561.3480585604</v>
      </c>
      <c r="E114" s="16">
        <v>1735351.71</v>
      </c>
      <c r="F114" s="16">
        <v>1015747.37</v>
      </c>
      <c r="G114" s="16">
        <v>478152.11</v>
      </c>
      <c r="H114" s="16">
        <v>12333022.460000001</v>
      </c>
      <c r="I114" s="16">
        <v>2766400.93</v>
      </c>
      <c r="J114" s="16">
        <v>0</v>
      </c>
      <c r="K114" s="16">
        <v>0</v>
      </c>
      <c r="L114" s="16">
        <v>0</v>
      </c>
      <c r="M114" s="16">
        <v>0</v>
      </c>
      <c r="N114" s="18">
        <f t="shared" si="3"/>
        <v>307413106.02805853</v>
      </c>
      <c r="O114" s="4"/>
    </row>
    <row r="115" spans="1:15" ht="15" x14ac:dyDescent="0.2">
      <c r="A115" s="17" t="s">
        <v>110</v>
      </c>
      <c r="B115" s="16">
        <v>746615605.74000001</v>
      </c>
      <c r="C115" s="16">
        <v>0</v>
      </c>
      <c r="D115" s="16">
        <v>3115933.6552877603</v>
      </c>
      <c r="E115" s="16">
        <v>4565727.4399999995</v>
      </c>
      <c r="F115" s="16">
        <v>1051778.95</v>
      </c>
      <c r="G115" s="16">
        <v>794927.88</v>
      </c>
      <c r="H115" s="16">
        <v>32448303.66</v>
      </c>
      <c r="I115" s="16">
        <v>2864533.39</v>
      </c>
      <c r="J115" s="16">
        <v>0</v>
      </c>
      <c r="K115" s="16">
        <v>0</v>
      </c>
      <c r="L115" s="16">
        <v>0</v>
      </c>
      <c r="M115" s="16">
        <v>0</v>
      </c>
      <c r="N115" s="18">
        <f t="shared" si="3"/>
        <v>791456810.7152878</v>
      </c>
      <c r="O115" s="4"/>
    </row>
    <row r="116" spans="1:15" ht="15" x14ac:dyDescent="0.2">
      <c r="A116" s="17" t="s">
        <v>111</v>
      </c>
      <c r="B116" s="16">
        <v>449150151.45999998</v>
      </c>
      <c r="C116" s="16">
        <v>0</v>
      </c>
      <c r="D116" s="16">
        <v>4761434.6702092402</v>
      </c>
      <c r="E116" s="16">
        <v>2616467.7199999997</v>
      </c>
      <c r="F116" s="16">
        <v>2903115.79</v>
      </c>
      <c r="G116" s="16">
        <v>1225264.78</v>
      </c>
      <c r="H116" s="16">
        <v>18595051.969999999</v>
      </c>
      <c r="I116" s="16">
        <v>7906672.9199999999</v>
      </c>
      <c r="J116" s="16">
        <v>0</v>
      </c>
      <c r="K116" s="16">
        <v>0</v>
      </c>
      <c r="L116" s="16">
        <v>0</v>
      </c>
      <c r="M116" s="16">
        <v>0</v>
      </c>
      <c r="N116" s="18">
        <f t="shared" si="3"/>
        <v>487158159.31020921</v>
      </c>
      <c r="O116" s="4"/>
    </row>
    <row r="117" spans="1:15" ht="15" x14ac:dyDescent="0.2">
      <c r="A117" s="17" t="s">
        <v>112</v>
      </c>
      <c r="B117" s="16">
        <v>230343811.32999998</v>
      </c>
      <c r="C117" s="16">
        <v>0</v>
      </c>
      <c r="D117" s="16">
        <v>902979.36076580011</v>
      </c>
      <c r="E117" s="16">
        <v>1334066.9100000001</v>
      </c>
      <c r="F117" s="16">
        <v>610821.05000000005</v>
      </c>
      <c r="G117" s="16">
        <v>328729.58</v>
      </c>
      <c r="H117" s="16">
        <v>9481119.5600000005</v>
      </c>
      <c r="I117" s="16">
        <v>1663578.94</v>
      </c>
      <c r="J117" s="16">
        <v>0</v>
      </c>
      <c r="K117" s="16">
        <v>0</v>
      </c>
      <c r="L117" s="16">
        <v>0</v>
      </c>
      <c r="M117" s="16">
        <v>0</v>
      </c>
      <c r="N117" s="18">
        <f t="shared" si="3"/>
        <v>244665106.73076582</v>
      </c>
      <c r="O117" s="4"/>
    </row>
    <row r="118" spans="1:15" ht="15" x14ac:dyDescent="0.2">
      <c r="A118" s="17" t="s">
        <v>113</v>
      </c>
      <c r="B118" s="16">
        <v>403901631.30000001</v>
      </c>
      <c r="C118" s="16">
        <v>0</v>
      </c>
      <c r="D118" s="16">
        <v>15338128.722098678</v>
      </c>
      <c r="E118" s="16">
        <v>2245117.81</v>
      </c>
      <c r="F118" s="16">
        <v>2880810.53</v>
      </c>
      <c r="G118" s="16">
        <v>1249172.3899999999</v>
      </c>
      <c r="H118" s="16">
        <v>15955894.33</v>
      </c>
      <c r="I118" s="16">
        <v>7845924.25</v>
      </c>
      <c r="J118" s="16">
        <v>0</v>
      </c>
      <c r="K118" s="16">
        <v>0</v>
      </c>
      <c r="L118" s="16">
        <v>0</v>
      </c>
      <c r="M118" s="16">
        <v>0</v>
      </c>
      <c r="N118" s="18">
        <f t="shared" si="3"/>
        <v>449416679.3320986</v>
      </c>
      <c r="O118" s="4"/>
    </row>
    <row r="119" spans="1:15" ht="15" x14ac:dyDescent="0.2">
      <c r="A119" s="17" t="s">
        <v>114</v>
      </c>
      <c r="B119" s="16">
        <v>546527610.91999996</v>
      </c>
      <c r="C119" s="16">
        <v>0</v>
      </c>
      <c r="D119" s="16">
        <v>3362388.3593422808</v>
      </c>
      <c r="E119" s="16">
        <v>3137666.71</v>
      </c>
      <c r="F119" s="16">
        <v>2314600</v>
      </c>
      <c r="G119" s="16">
        <v>878604.5</v>
      </c>
      <c r="H119" s="16">
        <v>22299176.399999999</v>
      </c>
      <c r="I119" s="16">
        <v>6303842.6500000004</v>
      </c>
      <c r="J119" s="16">
        <v>0</v>
      </c>
      <c r="K119" s="16">
        <v>0</v>
      </c>
      <c r="L119" s="16">
        <v>0</v>
      </c>
      <c r="M119" s="16">
        <v>0</v>
      </c>
      <c r="N119" s="18">
        <f t="shared" si="3"/>
        <v>584823889.53934228</v>
      </c>
      <c r="O119" s="4"/>
    </row>
    <row r="120" spans="1:15" ht="15" x14ac:dyDescent="0.2">
      <c r="A120" s="17" t="s">
        <v>115</v>
      </c>
      <c r="B120" s="16">
        <v>339439015.04999995</v>
      </c>
      <c r="C120" s="16">
        <v>0</v>
      </c>
      <c r="D120" s="16">
        <v>4788423.4081571596</v>
      </c>
      <c r="E120" s="16">
        <v>1995340.29</v>
      </c>
      <c r="F120" s="16">
        <v>1559652.63</v>
      </c>
      <c r="G120" s="16">
        <v>884581.4</v>
      </c>
      <c r="H120" s="16">
        <v>14180742.93</v>
      </c>
      <c r="I120" s="16">
        <v>4247733.8600000003</v>
      </c>
      <c r="J120" s="16">
        <v>0</v>
      </c>
      <c r="K120" s="16">
        <v>0</v>
      </c>
      <c r="L120" s="16">
        <v>0</v>
      </c>
      <c r="M120" s="16">
        <v>0</v>
      </c>
      <c r="N120" s="18">
        <f t="shared" si="3"/>
        <v>367095489.56815714</v>
      </c>
      <c r="O120" s="4"/>
    </row>
    <row r="121" spans="1:15" ht="15" x14ac:dyDescent="0.2">
      <c r="A121" s="17" t="s">
        <v>116</v>
      </c>
      <c r="B121" s="16">
        <v>414928329.14000005</v>
      </c>
      <c r="C121" s="16">
        <v>0</v>
      </c>
      <c r="D121" s="16">
        <v>3632551.1572060008</v>
      </c>
      <c r="E121" s="16">
        <v>2375243.02</v>
      </c>
      <c r="F121" s="16">
        <v>655431.57999999996</v>
      </c>
      <c r="G121" s="16">
        <v>322752.67</v>
      </c>
      <c r="H121" s="16">
        <v>16880684.940000001</v>
      </c>
      <c r="I121" s="16">
        <v>1785076.27</v>
      </c>
      <c r="J121" s="16">
        <v>0</v>
      </c>
      <c r="K121" s="16">
        <v>0</v>
      </c>
      <c r="L121" s="16">
        <v>0</v>
      </c>
      <c r="M121" s="16">
        <v>0</v>
      </c>
      <c r="N121" s="18">
        <f t="shared" si="3"/>
        <v>440580068.777206</v>
      </c>
      <c r="O121" s="4"/>
    </row>
    <row r="122" spans="1:15" ht="15" x14ac:dyDescent="0.2">
      <c r="A122" s="17" t="s">
        <v>117</v>
      </c>
      <c r="B122" s="16">
        <v>1347886114.3799999</v>
      </c>
      <c r="C122" s="16">
        <v>0</v>
      </c>
      <c r="D122" s="16">
        <v>9829663.3000000007</v>
      </c>
      <c r="E122" s="16">
        <v>6868106</v>
      </c>
      <c r="F122" s="16">
        <v>19731578.989999998</v>
      </c>
      <c r="G122" s="16">
        <v>7984581.8167349389</v>
      </c>
      <c r="H122" s="16">
        <v>55805624.109999999</v>
      </c>
      <c r="I122" s="16">
        <v>53739207.200000003</v>
      </c>
      <c r="J122" s="16">
        <v>0</v>
      </c>
      <c r="K122" s="16">
        <v>0</v>
      </c>
      <c r="L122" s="16">
        <v>0</v>
      </c>
      <c r="M122" s="16">
        <v>0</v>
      </c>
      <c r="N122" s="18">
        <f t="shared" si="3"/>
        <v>1501844875.7967348</v>
      </c>
      <c r="O122" s="4"/>
    </row>
    <row r="123" spans="1:15" ht="15" x14ac:dyDescent="0.2">
      <c r="A123" s="17" t="s">
        <v>118</v>
      </c>
      <c r="B123" s="16">
        <v>2974399155.8299999</v>
      </c>
      <c r="C123" s="16">
        <v>0</v>
      </c>
      <c r="D123" s="16">
        <v>29777773.804999996</v>
      </c>
      <c r="E123" s="16">
        <v>17823573.609999999</v>
      </c>
      <c r="F123" s="16">
        <v>27428610.59</v>
      </c>
      <c r="G123" s="16">
        <v>21153412.619885534</v>
      </c>
      <c r="H123" s="16">
        <v>126670883.36</v>
      </c>
      <c r="I123" s="16">
        <v>74702170.980000004</v>
      </c>
      <c r="J123" s="16">
        <v>0</v>
      </c>
      <c r="K123" s="16">
        <v>0</v>
      </c>
      <c r="L123" s="16">
        <v>0</v>
      </c>
      <c r="M123" s="16">
        <v>0</v>
      </c>
      <c r="N123" s="18">
        <f t="shared" si="3"/>
        <v>3271955580.7948856</v>
      </c>
      <c r="O123" s="4"/>
    </row>
    <row r="124" spans="1:15" ht="15" x14ac:dyDescent="0.2">
      <c r="A124" s="17" t="s">
        <v>119</v>
      </c>
      <c r="B124" s="16">
        <v>2612426017.0800004</v>
      </c>
      <c r="C124" s="16">
        <v>0</v>
      </c>
      <c r="D124" s="16">
        <v>9030100.7599999998</v>
      </c>
      <c r="E124" s="16">
        <v>12666603.33</v>
      </c>
      <c r="F124" s="16">
        <v>35123926.399999999</v>
      </c>
      <c r="G124" s="16">
        <v>0</v>
      </c>
      <c r="H124" s="16">
        <v>102920325.33</v>
      </c>
      <c r="I124" s="16">
        <v>95660461.790000007</v>
      </c>
      <c r="J124" s="16">
        <v>0</v>
      </c>
      <c r="K124" s="16">
        <v>0</v>
      </c>
      <c r="L124" s="16">
        <v>0</v>
      </c>
      <c r="M124" s="16">
        <v>0</v>
      </c>
      <c r="N124" s="18">
        <f t="shared" si="3"/>
        <v>2867827434.6900005</v>
      </c>
      <c r="O124" s="4"/>
    </row>
    <row r="125" spans="1:15" ht="15" x14ac:dyDescent="0.2">
      <c r="A125" s="17" t="s">
        <v>120</v>
      </c>
      <c r="B125" s="16">
        <v>859211110.00999999</v>
      </c>
      <c r="C125" s="16">
        <v>0</v>
      </c>
      <c r="D125" s="16">
        <v>13932537.796358362</v>
      </c>
      <c r="E125" s="16">
        <v>4960379.4400000004</v>
      </c>
      <c r="F125" s="16">
        <v>13657684.24</v>
      </c>
      <c r="G125" s="16">
        <v>5576448.9800000004</v>
      </c>
      <c r="H125" s="16">
        <v>35253067.670000002</v>
      </c>
      <c r="I125" s="16">
        <v>37196877.329999998</v>
      </c>
      <c r="J125" s="16">
        <v>0</v>
      </c>
      <c r="K125" s="16">
        <v>0</v>
      </c>
      <c r="L125" s="16">
        <v>0</v>
      </c>
      <c r="M125" s="16">
        <v>0</v>
      </c>
      <c r="N125" s="18">
        <f t="shared" si="3"/>
        <v>969788105.46635842</v>
      </c>
      <c r="O125" s="4"/>
    </row>
    <row r="126" spans="1:15" ht="15" x14ac:dyDescent="0.2">
      <c r="A126" s="17" t="s">
        <v>121</v>
      </c>
      <c r="B126" s="16">
        <v>957384775.15999985</v>
      </c>
      <c r="C126" s="16">
        <v>0</v>
      </c>
      <c r="D126" s="16">
        <v>5520456.0929373205</v>
      </c>
      <c r="E126" s="16">
        <v>5651587.7400000002</v>
      </c>
      <c r="F126" s="16">
        <v>6837421.0700000003</v>
      </c>
      <c r="G126" s="16">
        <v>2259268.7200000002</v>
      </c>
      <c r="H126" s="16">
        <v>40165436.299999997</v>
      </c>
      <c r="I126" s="16">
        <v>18621803.539999999</v>
      </c>
      <c r="J126" s="16">
        <v>0</v>
      </c>
      <c r="K126" s="16">
        <v>0</v>
      </c>
      <c r="L126" s="16">
        <v>0</v>
      </c>
      <c r="M126" s="16">
        <v>0</v>
      </c>
      <c r="N126" s="18">
        <f t="shared" si="3"/>
        <v>1036440748.6229372</v>
      </c>
      <c r="O126" s="4"/>
    </row>
    <row r="127" spans="1:15" ht="15" x14ac:dyDescent="0.2">
      <c r="A127" s="17" t="s">
        <v>122</v>
      </c>
      <c r="B127" s="16">
        <v>540218056.33999991</v>
      </c>
      <c r="C127" s="16">
        <v>0</v>
      </c>
      <c r="D127" s="16">
        <v>3933406.94836336</v>
      </c>
      <c r="E127" s="16">
        <v>3054494.78</v>
      </c>
      <c r="F127" s="16">
        <v>7257789.4900000002</v>
      </c>
      <c r="G127" s="16">
        <v>2277199.42</v>
      </c>
      <c r="H127" s="16">
        <v>21708079.510000002</v>
      </c>
      <c r="I127" s="16">
        <v>19766682.300000001</v>
      </c>
      <c r="J127" s="16">
        <v>0</v>
      </c>
      <c r="K127" s="16">
        <v>0</v>
      </c>
      <c r="L127" s="16">
        <v>0</v>
      </c>
      <c r="M127" s="16">
        <v>0</v>
      </c>
      <c r="N127" s="18">
        <f t="shared" si="3"/>
        <v>598215708.7883631</v>
      </c>
      <c r="O127" s="4"/>
    </row>
    <row r="128" spans="1:15" ht="15" x14ac:dyDescent="0.2">
      <c r="A128" s="17" t="s">
        <v>123</v>
      </c>
      <c r="B128" s="16">
        <v>252457297.98000002</v>
      </c>
      <c r="C128" s="16">
        <v>0</v>
      </c>
      <c r="D128" s="16">
        <v>2001156.3873447604</v>
      </c>
      <c r="E128" s="16">
        <v>1543785.79</v>
      </c>
      <c r="F128" s="16">
        <v>664010.52</v>
      </c>
      <c r="G128" s="16">
        <v>388498.59</v>
      </c>
      <c r="H128" s="16">
        <v>10971576.859999999</v>
      </c>
      <c r="I128" s="16">
        <v>1808441.15</v>
      </c>
      <c r="J128" s="16">
        <v>0</v>
      </c>
      <c r="K128" s="16">
        <v>0</v>
      </c>
      <c r="L128" s="16">
        <v>0</v>
      </c>
      <c r="M128" s="16">
        <v>0</v>
      </c>
      <c r="N128" s="18">
        <f t="shared" si="3"/>
        <v>269834767.27734476</v>
      </c>
      <c r="O128" s="4"/>
    </row>
    <row r="129" spans="1:15" ht="15" x14ac:dyDescent="0.2">
      <c r="A129" s="17" t="s">
        <v>124</v>
      </c>
      <c r="B129" s="16">
        <v>1573212327.6599998</v>
      </c>
      <c r="C129" s="16">
        <v>0</v>
      </c>
      <c r="D129" s="16">
        <v>21672604.484821003</v>
      </c>
      <c r="E129" s="16">
        <v>9125520.2699999996</v>
      </c>
      <c r="F129" s="16">
        <v>8445115.8100000005</v>
      </c>
      <c r="G129" s="16">
        <v>4739682.79</v>
      </c>
      <c r="H129" s="16">
        <v>64854430.420000002</v>
      </c>
      <c r="I129" s="16">
        <v>23000380.68</v>
      </c>
      <c r="J129" s="16">
        <v>0</v>
      </c>
      <c r="K129" s="16">
        <v>0</v>
      </c>
      <c r="L129" s="16">
        <v>0</v>
      </c>
      <c r="M129" s="16">
        <v>0</v>
      </c>
      <c r="N129" s="18">
        <f t="shared" si="3"/>
        <v>1705050062.114821</v>
      </c>
      <c r="O129" s="4"/>
    </row>
    <row r="130" spans="1:15" ht="15" x14ac:dyDescent="0.2">
      <c r="A130" s="17" t="s">
        <v>125</v>
      </c>
      <c r="B130" s="16">
        <v>425399185.19999993</v>
      </c>
      <c r="C130" s="16">
        <v>0</v>
      </c>
      <c r="D130" s="16">
        <v>4517710.578666281</v>
      </c>
      <c r="E130" s="16">
        <v>2601369.3600000003</v>
      </c>
      <c r="F130" s="16">
        <v>1044915.79</v>
      </c>
      <c r="G130" s="16">
        <v>352637.18</v>
      </c>
      <c r="H130" s="16">
        <v>18487748.969999999</v>
      </c>
      <c r="I130" s="16">
        <v>2845841.49</v>
      </c>
      <c r="J130" s="16">
        <v>0</v>
      </c>
      <c r="K130" s="16">
        <v>0</v>
      </c>
      <c r="L130" s="16">
        <v>0</v>
      </c>
      <c r="M130" s="16">
        <v>0</v>
      </c>
      <c r="N130" s="18">
        <f t="shared" si="3"/>
        <v>455249408.56866622</v>
      </c>
      <c r="O130" s="4"/>
    </row>
    <row r="131" spans="1:15" ht="15" x14ac:dyDescent="0.2">
      <c r="A131" s="17" t="s">
        <v>126</v>
      </c>
      <c r="B131" s="16">
        <v>2672006239.8699999</v>
      </c>
      <c r="C131" s="16">
        <v>0</v>
      </c>
      <c r="D131" s="16">
        <v>60877553.005000003</v>
      </c>
      <c r="E131" s="16">
        <v>14823101.289999999</v>
      </c>
      <c r="F131" s="16">
        <v>46139294.850000001</v>
      </c>
      <c r="G131" s="16">
        <v>4300907.982656125</v>
      </c>
      <c r="H131" s="16">
        <v>105346737.70999999</v>
      </c>
      <c r="I131" s="16">
        <v>125660958.31999999</v>
      </c>
      <c r="J131" s="16">
        <v>0</v>
      </c>
      <c r="K131" s="16">
        <v>0</v>
      </c>
      <c r="L131" s="16">
        <v>0</v>
      </c>
      <c r="M131" s="16">
        <v>0</v>
      </c>
      <c r="N131" s="18">
        <f t="shared" si="3"/>
        <v>3029154793.0276561</v>
      </c>
      <c r="O131" s="4"/>
    </row>
    <row r="132" spans="1:15" ht="15" x14ac:dyDescent="0.2">
      <c r="A132" s="17" t="s">
        <v>127</v>
      </c>
      <c r="B132" s="16">
        <v>105309470.84999999</v>
      </c>
      <c r="C132" s="16">
        <v>0</v>
      </c>
      <c r="D132" s="16">
        <v>172753.49235044004</v>
      </c>
      <c r="E132" s="16">
        <v>609170.92999999993</v>
      </c>
      <c r="F132" s="16">
        <v>197315.78</v>
      </c>
      <c r="G132" s="16">
        <v>65745.919999999998</v>
      </c>
      <c r="H132" s="16">
        <v>4329334.9800000004</v>
      </c>
      <c r="I132" s="16">
        <v>537392.06999999995</v>
      </c>
      <c r="J132" s="16">
        <v>0</v>
      </c>
      <c r="K132" s="16">
        <v>0</v>
      </c>
      <c r="L132" s="16">
        <v>0</v>
      </c>
      <c r="M132" s="16">
        <v>0</v>
      </c>
      <c r="N132" s="18">
        <f t="shared" si="3"/>
        <v>111221184.02235045</v>
      </c>
      <c r="O132" s="4"/>
    </row>
    <row r="133" spans="1:15" ht="15" x14ac:dyDescent="0.2">
      <c r="A133" s="17" t="s">
        <v>128</v>
      </c>
      <c r="B133" s="16">
        <v>659543752.16000009</v>
      </c>
      <c r="C133" s="16">
        <v>0</v>
      </c>
      <c r="D133" s="16">
        <v>3071061.7202092404</v>
      </c>
      <c r="E133" s="16">
        <v>3797456.41</v>
      </c>
      <c r="F133" s="16">
        <v>713768.42</v>
      </c>
      <c r="G133" s="16">
        <v>484129.01</v>
      </c>
      <c r="H133" s="16">
        <v>26988255.539999999</v>
      </c>
      <c r="I133" s="16">
        <v>1943957.41</v>
      </c>
      <c r="J133" s="16">
        <v>0</v>
      </c>
      <c r="K133" s="16">
        <v>0</v>
      </c>
      <c r="L133" s="16">
        <v>0</v>
      </c>
      <c r="M133" s="16">
        <v>0</v>
      </c>
      <c r="N133" s="18">
        <f t="shared" si="3"/>
        <v>696542380.67020917</v>
      </c>
      <c r="O133" s="4"/>
    </row>
    <row r="134" spans="1:15" ht="15" x14ac:dyDescent="0.2">
      <c r="A134" s="17" t="s">
        <v>129</v>
      </c>
      <c r="B134" s="16">
        <v>1139415425.5799999</v>
      </c>
      <c r="C134" s="16">
        <v>0</v>
      </c>
      <c r="D134" s="16">
        <v>9051543.3669140823</v>
      </c>
      <c r="E134" s="16">
        <v>6870365.9800000004</v>
      </c>
      <c r="F134" s="16">
        <v>3330347.37</v>
      </c>
      <c r="G134" s="16">
        <v>1643647.88</v>
      </c>
      <c r="H134" s="16">
        <v>48827207.509999998</v>
      </c>
      <c r="I134" s="16">
        <v>9070243.5800000001</v>
      </c>
      <c r="J134" s="16">
        <v>0</v>
      </c>
      <c r="K134" s="16">
        <v>0</v>
      </c>
      <c r="L134" s="16">
        <v>0</v>
      </c>
      <c r="M134" s="16">
        <v>0</v>
      </c>
      <c r="N134" s="18">
        <f t="shared" si="3"/>
        <v>1218208781.2669139</v>
      </c>
      <c r="O134" s="4"/>
    </row>
    <row r="135" spans="1:15" ht="15" x14ac:dyDescent="0.2">
      <c r="A135" s="17" t="s">
        <v>130</v>
      </c>
      <c r="B135" s="16">
        <v>942437139.86000001</v>
      </c>
      <c r="C135" s="16">
        <v>0</v>
      </c>
      <c r="D135" s="16">
        <v>12308847.432162721</v>
      </c>
      <c r="E135" s="16">
        <v>4807208.5599999996</v>
      </c>
      <c r="F135" s="16">
        <v>5013536.8499999996</v>
      </c>
      <c r="G135" s="16">
        <v>2187545.9</v>
      </c>
      <c r="H135" s="16">
        <v>39060153.359999999</v>
      </c>
      <c r="I135" s="16">
        <v>13654431.6</v>
      </c>
      <c r="J135" s="16">
        <v>0</v>
      </c>
      <c r="K135" s="16">
        <v>0</v>
      </c>
      <c r="L135" s="16">
        <v>0</v>
      </c>
      <c r="M135" s="16">
        <v>0</v>
      </c>
      <c r="N135" s="18">
        <f t="shared" si="3"/>
        <v>1019468863.5621628</v>
      </c>
      <c r="O135" s="4"/>
    </row>
    <row r="136" spans="1:15" ht="15" x14ac:dyDescent="0.2">
      <c r="A136" s="17" t="s">
        <v>131</v>
      </c>
      <c r="B136" s="16">
        <v>1520512523.9299998</v>
      </c>
      <c r="C136" s="16">
        <v>0</v>
      </c>
      <c r="D136" s="16">
        <v>12654624.940000001</v>
      </c>
      <c r="E136" s="16">
        <v>8132827.4199999999</v>
      </c>
      <c r="F136" s="16">
        <v>29829000.07</v>
      </c>
      <c r="G136" s="16">
        <v>15730369.131352445</v>
      </c>
      <c r="H136" s="16">
        <v>66081902.329999998</v>
      </c>
      <c r="I136" s="16">
        <v>81239662.359999999</v>
      </c>
      <c r="J136" s="16">
        <v>0</v>
      </c>
      <c r="K136" s="16">
        <v>0</v>
      </c>
      <c r="L136" s="16">
        <v>0</v>
      </c>
      <c r="M136" s="16">
        <v>0</v>
      </c>
      <c r="N136" s="18">
        <f t="shared" ref="N136:N142" si="4">SUM(B136:M136)</f>
        <v>1734180910.1813521</v>
      </c>
      <c r="O136" s="4"/>
    </row>
    <row r="137" spans="1:15" ht="15" x14ac:dyDescent="0.2">
      <c r="A137" s="17" t="s">
        <v>132</v>
      </c>
      <c r="B137" s="16">
        <v>243458671.25999999</v>
      </c>
      <c r="C137" s="16">
        <v>0</v>
      </c>
      <c r="D137" s="16">
        <v>1572204.9117988003</v>
      </c>
      <c r="E137" s="16">
        <v>1488803.29</v>
      </c>
      <c r="F137" s="16">
        <v>356884.21</v>
      </c>
      <c r="G137" s="16">
        <v>334706.48</v>
      </c>
      <c r="H137" s="16">
        <v>10580820.26</v>
      </c>
      <c r="I137" s="16">
        <v>971978.7</v>
      </c>
      <c r="J137" s="16">
        <v>0</v>
      </c>
      <c r="K137" s="16">
        <v>0</v>
      </c>
      <c r="L137" s="16">
        <v>0</v>
      </c>
      <c r="M137" s="16">
        <v>0</v>
      </c>
      <c r="N137" s="18">
        <f t="shared" si="4"/>
        <v>258764069.11179876</v>
      </c>
      <c r="O137" s="4"/>
    </row>
    <row r="138" spans="1:15" ht="15" x14ac:dyDescent="0.2">
      <c r="A138" s="17" t="s">
        <v>133</v>
      </c>
      <c r="B138" s="16">
        <v>687350860.68999994</v>
      </c>
      <c r="C138" s="16">
        <v>0</v>
      </c>
      <c r="D138" s="16">
        <v>8668649.5488338396</v>
      </c>
      <c r="E138" s="16">
        <v>3804787.43</v>
      </c>
      <c r="F138" s="16">
        <v>3107294.74</v>
      </c>
      <c r="G138" s="16">
        <v>1368710.41</v>
      </c>
      <c r="H138" s="16">
        <v>27040356.420000002</v>
      </c>
      <c r="I138" s="16">
        <v>8462756.8900000006</v>
      </c>
      <c r="J138" s="16">
        <v>0</v>
      </c>
      <c r="K138" s="16">
        <v>0</v>
      </c>
      <c r="L138" s="16">
        <v>0</v>
      </c>
      <c r="M138" s="16">
        <v>0</v>
      </c>
      <c r="N138" s="18">
        <f t="shared" si="4"/>
        <v>739803416.12883365</v>
      </c>
      <c r="O138" s="4"/>
    </row>
    <row r="139" spans="1:15" ht="15" x14ac:dyDescent="0.2">
      <c r="A139" s="17" t="s">
        <v>134</v>
      </c>
      <c r="B139" s="16">
        <v>2416574437.5099998</v>
      </c>
      <c r="C139" s="16">
        <v>0</v>
      </c>
      <c r="D139" s="16">
        <v>13844286.415000001</v>
      </c>
      <c r="E139" s="16">
        <v>14777806.149999999</v>
      </c>
      <c r="F139" s="16">
        <v>15980863.199999999</v>
      </c>
      <c r="G139" s="16">
        <v>14438327.930015594</v>
      </c>
      <c r="H139" s="16">
        <v>105024828.70999999</v>
      </c>
      <c r="I139" s="16">
        <v>43524084.869999997</v>
      </c>
      <c r="J139" s="16">
        <v>0</v>
      </c>
      <c r="K139" s="16">
        <v>0</v>
      </c>
      <c r="L139" s="16">
        <v>0</v>
      </c>
      <c r="M139" s="16">
        <v>0</v>
      </c>
      <c r="N139" s="18">
        <f t="shared" si="4"/>
        <v>2624164634.7850151</v>
      </c>
      <c r="O139" s="4"/>
    </row>
    <row r="140" spans="1:15" ht="15" x14ac:dyDescent="0.2">
      <c r="A140" s="17" t="s">
        <v>135</v>
      </c>
      <c r="B140" s="16">
        <v>712318669.63</v>
      </c>
      <c r="C140" s="16">
        <v>0</v>
      </c>
      <c r="D140" s="16">
        <v>4143489.2100000004</v>
      </c>
      <c r="E140" s="16">
        <v>4356008.5600000005</v>
      </c>
      <c r="F140" s="16">
        <v>2635452.63</v>
      </c>
      <c r="G140" s="16">
        <v>1213310.98</v>
      </c>
      <c r="H140" s="16">
        <v>30957846.359999999</v>
      </c>
      <c r="I140" s="16">
        <v>7177688.8899999997</v>
      </c>
      <c r="J140" s="16">
        <v>0</v>
      </c>
      <c r="K140" s="16">
        <v>0</v>
      </c>
      <c r="L140" s="16">
        <v>0</v>
      </c>
      <c r="M140" s="16">
        <v>0</v>
      </c>
      <c r="N140" s="18">
        <f t="shared" si="4"/>
        <v>762802466.25999999</v>
      </c>
      <c r="O140" s="4"/>
    </row>
    <row r="141" spans="1:15" ht="15" x14ac:dyDescent="0.2">
      <c r="A141" s="17" t="s">
        <v>136</v>
      </c>
      <c r="B141" s="16">
        <v>825665311.33999991</v>
      </c>
      <c r="C141" s="16">
        <v>0</v>
      </c>
      <c r="D141" s="16">
        <v>3266827.765098521</v>
      </c>
      <c r="E141" s="16">
        <v>4848756.29</v>
      </c>
      <c r="F141" s="16">
        <v>3800473.69</v>
      </c>
      <c r="G141" s="16">
        <v>1183426.47</v>
      </c>
      <c r="H141" s="16">
        <v>34459769.75</v>
      </c>
      <c r="I141" s="16">
        <v>10350638.6</v>
      </c>
      <c r="J141" s="16">
        <v>0</v>
      </c>
      <c r="K141" s="16">
        <v>0</v>
      </c>
      <c r="L141" s="16">
        <v>0</v>
      </c>
      <c r="M141" s="16">
        <v>0</v>
      </c>
      <c r="N141" s="18">
        <f t="shared" si="4"/>
        <v>883575203.90509856</v>
      </c>
      <c r="O141" s="4"/>
    </row>
    <row r="142" spans="1:15" ht="15" x14ac:dyDescent="0.2">
      <c r="A142" s="17" t="s">
        <v>137</v>
      </c>
      <c r="B142" s="16">
        <v>807052125.25</v>
      </c>
      <c r="C142" s="16">
        <v>0</v>
      </c>
      <c r="D142" s="16">
        <v>6170632.1051201997</v>
      </c>
      <c r="E142" s="16">
        <v>4012406.57</v>
      </c>
      <c r="F142" s="16">
        <v>16339463.199999999</v>
      </c>
      <c r="G142" s="16">
        <v>4369114.91</v>
      </c>
      <c r="H142" s="16">
        <v>32602125.300000001</v>
      </c>
      <c r="I142" s="16">
        <v>44500736.530000001</v>
      </c>
      <c r="J142" s="16">
        <v>0</v>
      </c>
      <c r="K142" s="16">
        <v>0</v>
      </c>
      <c r="L142" s="16">
        <v>0</v>
      </c>
      <c r="M142" s="16">
        <v>0</v>
      </c>
      <c r="N142" s="18">
        <f t="shared" si="4"/>
        <v>915046603.86512017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150227490651.72003</v>
      </c>
      <c r="C143" s="23">
        <f t="shared" si="5"/>
        <v>0</v>
      </c>
      <c r="D143" s="23">
        <f t="shared" si="5"/>
        <v>1138999312.3319914</v>
      </c>
      <c r="E143" s="23">
        <f t="shared" si="5"/>
        <v>810948660.57999933</v>
      </c>
      <c r="F143" s="23">
        <f t="shared" si="5"/>
        <v>1715789478.23</v>
      </c>
      <c r="G143" s="23">
        <f t="shared" si="5"/>
        <v>597690137.50999987</v>
      </c>
      <c r="H143" s="23">
        <f t="shared" si="5"/>
        <v>6202485646.4699984</v>
      </c>
      <c r="I143" s="23">
        <f t="shared" si="5"/>
        <v>4672974538.8699999</v>
      </c>
      <c r="J143" s="23">
        <f t="shared" ref="J143:L143" si="6">SUM(J8:J142)</f>
        <v>0</v>
      </c>
      <c r="K143" s="23">
        <f t="shared" si="6"/>
        <v>0</v>
      </c>
      <c r="L143" s="23">
        <f t="shared" si="6"/>
        <v>0</v>
      </c>
      <c r="M143" s="23">
        <f t="shared" ref="M143" si="7">SUM(M8:M142)</f>
        <v>0</v>
      </c>
      <c r="N143" s="23">
        <f>SUM(N8:N142)</f>
        <v>165366378425.71185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5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44AEAC"/>
  </sheetPr>
  <dimension ref="A1:N275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7" sqref="K7"/>
    </sheetView>
  </sheetViews>
  <sheetFormatPr baseColWidth="10" defaultRowHeight="14.25" x14ac:dyDescent="0.2"/>
  <cols>
    <col min="1" max="1" width="41.83203125" style="11" customWidth="1"/>
    <col min="2" max="2" width="25.33203125" style="1" customWidth="1"/>
    <col min="3" max="9" width="22.33203125" style="1" customWidth="1"/>
    <col min="10" max="10" width="22.33203125" style="1" hidden="1" customWidth="1"/>
    <col min="11" max="11" width="22.33203125" style="1" customWidth="1"/>
    <col min="12" max="12" width="22.5" style="1" hidden="1" customWidth="1"/>
    <col min="13" max="13" width="22.33203125" style="1" hidden="1" customWidth="1"/>
    <col min="14" max="14" width="23.83203125" style="1" customWidth="1"/>
    <col min="15" max="16384" width="12" style="1"/>
  </cols>
  <sheetData>
    <row r="1" spans="1:1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7.25" customHeight="1" x14ac:dyDescent="0.25">
      <c r="A4" s="21" t="s">
        <v>160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4" ht="18.75" customHeight="1" x14ac:dyDescent="0.2">
      <c r="A6" s="33" t="s">
        <v>2</v>
      </c>
      <c r="B6" s="34" t="s">
        <v>163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176</v>
      </c>
      <c r="L7" s="19"/>
      <c r="M7" s="19" t="s">
        <v>142</v>
      </c>
      <c r="N7" s="20" t="s">
        <v>140</v>
      </c>
    </row>
    <row r="8" spans="1:14" ht="18" customHeight="1" x14ac:dyDescent="0.2">
      <c r="A8" s="17" t="s">
        <v>3</v>
      </c>
      <c r="B8" s="16">
        <v>731623465.52999997</v>
      </c>
      <c r="C8" s="16">
        <v>39880.477993799999</v>
      </c>
      <c r="D8" s="16">
        <v>8289072.3679628242</v>
      </c>
      <c r="E8" s="16">
        <v>5597763.5899999999</v>
      </c>
      <c r="F8" s="16">
        <v>1422880.05</v>
      </c>
      <c r="G8" s="16">
        <v>730570.86</v>
      </c>
      <c r="H8" s="16">
        <v>37060080.600000001</v>
      </c>
      <c r="I8" s="16">
        <v>5121472.51</v>
      </c>
      <c r="J8" s="16">
        <v>0</v>
      </c>
      <c r="K8" s="16">
        <v>50367200</v>
      </c>
      <c r="L8" s="16">
        <v>0</v>
      </c>
      <c r="M8" s="16">
        <v>0</v>
      </c>
      <c r="N8" s="18">
        <f t="shared" ref="N8:N39" si="0">SUM(B8:M8)</f>
        <v>840252385.98595667</v>
      </c>
    </row>
    <row r="9" spans="1:14" ht="18" customHeight="1" x14ac:dyDescent="0.2">
      <c r="A9" s="17" t="s">
        <v>4</v>
      </c>
      <c r="B9" s="16">
        <v>386652543.52999997</v>
      </c>
      <c r="C9" s="16">
        <v>21043.338308290004</v>
      </c>
      <c r="D9" s="16">
        <v>6368253.6142017767</v>
      </c>
      <c r="E9" s="16">
        <v>2953716.3000000003</v>
      </c>
      <c r="F9" s="16">
        <v>996899.81</v>
      </c>
      <c r="G9" s="16">
        <v>540622.43999999994</v>
      </c>
      <c r="H9" s="16">
        <v>19585722.859999999</v>
      </c>
      <c r="I9" s="16">
        <v>3588211.8</v>
      </c>
      <c r="J9" s="16">
        <v>0</v>
      </c>
      <c r="K9" s="16">
        <v>26576760</v>
      </c>
      <c r="L9" s="16">
        <v>0</v>
      </c>
      <c r="M9" s="16">
        <v>0</v>
      </c>
      <c r="N9" s="18">
        <f t="shared" si="0"/>
        <v>447283773.69251007</v>
      </c>
    </row>
    <row r="10" spans="1:14" ht="18" customHeight="1" x14ac:dyDescent="0.2">
      <c r="A10" s="17" t="s">
        <v>5</v>
      </c>
      <c r="B10" s="16">
        <v>421122927.42999995</v>
      </c>
      <c r="C10" s="16">
        <v>22332.88802785</v>
      </c>
      <c r="D10" s="16">
        <v>5992646.8964665253</v>
      </c>
      <c r="E10" s="16">
        <v>3134721.83</v>
      </c>
      <c r="F10" s="16">
        <v>696415.82</v>
      </c>
      <c r="G10" s="16">
        <v>540622.43999999994</v>
      </c>
      <c r="H10" s="16">
        <v>21331805.73</v>
      </c>
      <c r="I10" s="16">
        <v>2506658.6</v>
      </c>
      <c r="J10" s="16">
        <v>0</v>
      </c>
      <c r="K10" s="16">
        <v>28205400</v>
      </c>
      <c r="L10" s="16">
        <v>0</v>
      </c>
      <c r="M10" s="16">
        <v>0</v>
      </c>
      <c r="N10" s="18">
        <f t="shared" si="0"/>
        <v>483553531.63449436</v>
      </c>
    </row>
    <row r="11" spans="1:14" ht="18" customHeight="1" x14ac:dyDescent="0.2">
      <c r="A11" s="17" t="s">
        <v>6</v>
      </c>
      <c r="B11" s="16">
        <v>3401500760.48</v>
      </c>
      <c r="C11" s="16">
        <v>197011.58042483</v>
      </c>
      <c r="D11" s="16">
        <v>25856154.603343364</v>
      </c>
      <c r="E11" s="16">
        <v>27653235.740000002</v>
      </c>
      <c r="F11" s="16">
        <v>74749810.569999993</v>
      </c>
      <c r="G11" s="16">
        <v>43843979.06944824</v>
      </c>
      <c r="H11" s="16">
        <v>172301598.13999999</v>
      </c>
      <c r="I11" s="16">
        <v>269052264.06</v>
      </c>
      <c r="J11" s="16">
        <v>0</v>
      </c>
      <c r="K11" s="16">
        <v>248816519.99999997</v>
      </c>
      <c r="L11" s="16">
        <v>0</v>
      </c>
      <c r="M11" s="16">
        <v>0</v>
      </c>
      <c r="N11" s="18">
        <f t="shared" si="0"/>
        <v>4263971334.2432165</v>
      </c>
    </row>
    <row r="12" spans="1:14" ht="18" customHeight="1" x14ac:dyDescent="0.2">
      <c r="A12" s="17" t="s">
        <v>7</v>
      </c>
      <c r="B12" s="16">
        <v>437932456.03999996</v>
      </c>
      <c r="C12" s="16">
        <v>25364.793458240005</v>
      </c>
      <c r="D12" s="16">
        <v>7277749.3135597277</v>
      </c>
      <c r="E12" s="16">
        <v>3560291.09</v>
      </c>
      <c r="F12" s="16">
        <v>2555881.4300000002</v>
      </c>
      <c r="G12" s="16">
        <v>1344250.38</v>
      </c>
      <c r="H12" s="16">
        <v>22183285.370000001</v>
      </c>
      <c r="I12" s="16">
        <v>9199564.2899999991</v>
      </c>
      <c r="J12" s="16">
        <v>0</v>
      </c>
      <c r="K12" s="16">
        <v>32034560</v>
      </c>
      <c r="L12" s="16">
        <v>0</v>
      </c>
      <c r="M12" s="16">
        <v>0</v>
      </c>
      <c r="N12" s="18">
        <f t="shared" si="0"/>
        <v>516113402.7070179</v>
      </c>
    </row>
    <row r="13" spans="1:14" ht="18" customHeight="1" x14ac:dyDescent="0.2">
      <c r="A13" s="17" t="s">
        <v>8</v>
      </c>
      <c r="B13" s="16">
        <v>2081677334.5899999</v>
      </c>
      <c r="C13" s="16">
        <v>115913.31806139002</v>
      </c>
      <c r="D13" s="16">
        <v>22721270.943025857</v>
      </c>
      <c r="E13" s="16">
        <v>16269999.130000001</v>
      </c>
      <c r="F13" s="16">
        <v>36349724.619999997</v>
      </c>
      <c r="G13" s="16">
        <v>0</v>
      </c>
      <c r="H13" s="16">
        <v>105446494.59999999</v>
      </c>
      <c r="I13" s="16">
        <v>130836126.98999999</v>
      </c>
      <c r="J13" s="16">
        <v>0</v>
      </c>
      <c r="K13" s="16">
        <v>146393160</v>
      </c>
      <c r="L13" s="16">
        <v>0</v>
      </c>
      <c r="M13" s="16">
        <v>0</v>
      </c>
      <c r="N13" s="18">
        <f t="shared" si="0"/>
        <v>2539810024.1910868</v>
      </c>
    </row>
    <row r="14" spans="1:14" ht="18" customHeight="1" x14ac:dyDescent="0.2">
      <c r="A14" s="17" t="s">
        <v>9</v>
      </c>
      <c r="B14" s="16">
        <v>703462914.57999992</v>
      </c>
      <c r="C14" s="16">
        <v>38890.359619380004</v>
      </c>
      <c r="D14" s="16">
        <v>10002498.231040055</v>
      </c>
      <c r="E14" s="16">
        <v>5458786.4000000004</v>
      </c>
      <c r="F14" s="16">
        <v>1654429.47</v>
      </c>
      <c r="G14" s="16">
        <v>913213.58</v>
      </c>
      <c r="H14" s="16">
        <v>35633619.68</v>
      </c>
      <c r="I14" s="16">
        <v>5954904.6900000004</v>
      </c>
      <c r="J14" s="16">
        <v>0</v>
      </c>
      <c r="K14" s="16">
        <v>49116720</v>
      </c>
      <c r="L14" s="16">
        <v>0</v>
      </c>
      <c r="M14" s="16">
        <v>0</v>
      </c>
      <c r="N14" s="18">
        <f t="shared" si="0"/>
        <v>812235976.99065936</v>
      </c>
    </row>
    <row r="15" spans="1:14" ht="18" customHeight="1" x14ac:dyDescent="0.2">
      <c r="A15" s="17" t="s">
        <v>10</v>
      </c>
      <c r="B15" s="16">
        <v>1225175930.9499998</v>
      </c>
      <c r="C15" s="16">
        <v>66132.528566780005</v>
      </c>
      <c r="D15" s="16">
        <v>15247679.348645035</v>
      </c>
      <c r="E15" s="16">
        <v>9282592.6699999999</v>
      </c>
      <c r="F15" s="16">
        <v>6163456.8300000001</v>
      </c>
      <c r="G15" s="16">
        <v>3163371.83</v>
      </c>
      <c r="H15" s="16">
        <v>62060774.280000001</v>
      </c>
      <c r="I15" s="16">
        <v>22184564.789999999</v>
      </c>
      <c r="J15" s="16">
        <v>0</v>
      </c>
      <c r="K15" s="16">
        <v>83522320</v>
      </c>
      <c r="L15" s="16">
        <v>0</v>
      </c>
      <c r="M15" s="16">
        <v>0</v>
      </c>
      <c r="N15" s="18">
        <f t="shared" si="0"/>
        <v>1426866823.2272115</v>
      </c>
    </row>
    <row r="16" spans="1:14" ht="18" customHeight="1" x14ac:dyDescent="0.2">
      <c r="A16" s="17" t="s">
        <v>11</v>
      </c>
      <c r="B16" s="16">
        <v>2212614715.4300003</v>
      </c>
      <c r="C16" s="16">
        <v>122409.73555886</v>
      </c>
      <c r="D16" s="16">
        <v>44113868.319748923</v>
      </c>
      <c r="E16" s="16">
        <v>17181859.609999999</v>
      </c>
      <c r="F16" s="16">
        <v>22987024.98</v>
      </c>
      <c r="G16" s="16">
        <v>14034266.24</v>
      </c>
      <c r="H16" s="16">
        <v>112079072.84999999</v>
      </c>
      <c r="I16" s="16">
        <v>82738819.909999996</v>
      </c>
      <c r="J16" s="16">
        <v>0</v>
      </c>
      <c r="K16" s="16">
        <v>154597840</v>
      </c>
      <c r="L16" s="16">
        <v>0</v>
      </c>
      <c r="M16" s="16">
        <v>0</v>
      </c>
      <c r="N16" s="18">
        <f t="shared" si="0"/>
        <v>2660469877.0753078</v>
      </c>
    </row>
    <row r="17" spans="1:14" ht="15" x14ac:dyDescent="0.2">
      <c r="A17" s="17" t="s">
        <v>12</v>
      </c>
      <c r="B17" s="16">
        <v>830527593.69000006</v>
      </c>
      <c r="C17" s="16">
        <v>44568.408256360002</v>
      </c>
      <c r="D17" s="16">
        <v>21487291.90587154</v>
      </c>
      <c r="E17" s="16">
        <v>6255777.9900000002</v>
      </c>
      <c r="F17" s="16">
        <v>4721133.6900000004</v>
      </c>
      <c r="G17" s="16">
        <v>2045598.41</v>
      </c>
      <c r="H17" s="16">
        <v>42070027.840000004</v>
      </c>
      <c r="I17" s="16">
        <v>16993109.420000002</v>
      </c>
      <c r="J17" s="16">
        <v>0</v>
      </c>
      <c r="K17" s="16">
        <v>56287840</v>
      </c>
      <c r="L17" s="16">
        <v>0</v>
      </c>
      <c r="M17" s="16">
        <v>0</v>
      </c>
      <c r="N17" s="18">
        <f t="shared" si="0"/>
        <v>980432941.354128</v>
      </c>
    </row>
    <row r="18" spans="1:14" ht="15" x14ac:dyDescent="0.2">
      <c r="A18" s="17" t="s">
        <v>13</v>
      </c>
      <c r="B18" s="16">
        <v>467077875.08999991</v>
      </c>
      <c r="C18" s="16">
        <v>24845.845942890002</v>
      </c>
      <c r="D18" s="16">
        <v>6869367.0966800069</v>
      </c>
      <c r="E18" s="16">
        <v>3487450.54</v>
      </c>
      <c r="F18" s="16">
        <v>3181595.15</v>
      </c>
      <c r="G18" s="16">
        <v>1665701.56</v>
      </c>
      <c r="H18" s="16">
        <v>23659634.379999999</v>
      </c>
      <c r="I18" s="16">
        <v>11451739.779999999</v>
      </c>
      <c r="J18" s="16">
        <v>0</v>
      </c>
      <c r="K18" s="16">
        <v>31379159.999999996</v>
      </c>
      <c r="L18" s="16">
        <v>0</v>
      </c>
      <c r="M18" s="16">
        <v>0</v>
      </c>
      <c r="N18" s="18">
        <f t="shared" si="0"/>
        <v>548797369.44262278</v>
      </c>
    </row>
    <row r="19" spans="1:14" ht="15" x14ac:dyDescent="0.2">
      <c r="A19" s="17" t="s">
        <v>14</v>
      </c>
      <c r="B19" s="16">
        <v>785206967.8599999</v>
      </c>
      <c r="C19" s="16">
        <v>43422.148505640005</v>
      </c>
      <c r="D19" s="16">
        <v>8241907.114885591</v>
      </c>
      <c r="E19" s="16">
        <v>6094884.1899999995</v>
      </c>
      <c r="F19" s="16">
        <v>1285010.93</v>
      </c>
      <c r="G19" s="16">
        <v>927824.99</v>
      </c>
      <c r="H19" s="16">
        <v>39774330.5</v>
      </c>
      <c r="I19" s="16">
        <v>4625230.46</v>
      </c>
      <c r="J19" s="16">
        <v>0</v>
      </c>
      <c r="K19" s="16">
        <v>54840160</v>
      </c>
      <c r="L19" s="16">
        <v>0</v>
      </c>
      <c r="M19" s="16">
        <v>0</v>
      </c>
      <c r="N19" s="18">
        <f t="shared" si="0"/>
        <v>901039738.1933912</v>
      </c>
    </row>
    <row r="20" spans="1:14" ht="15" x14ac:dyDescent="0.2">
      <c r="A20" s="17" t="s">
        <v>15</v>
      </c>
      <c r="B20" s="16">
        <v>2780349450.1800003</v>
      </c>
      <c r="C20" s="16">
        <v>152598.40130138001</v>
      </c>
      <c r="D20" s="16">
        <v>13202316.445260052</v>
      </c>
      <c r="E20" s="16">
        <v>21419245.469999999</v>
      </c>
      <c r="F20" s="16">
        <v>41014296.630000003</v>
      </c>
      <c r="G20" s="16">
        <v>22912318.907000054</v>
      </c>
      <c r="H20" s="16">
        <v>140837438.34999999</v>
      </c>
      <c r="I20" s="16">
        <v>147625649.91999999</v>
      </c>
      <c r="J20" s="16">
        <v>0</v>
      </c>
      <c r="K20" s="16">
        <v>192724720</v>
      </c>
      <c r="L20" s="16">
        <v>0</v>
      </c>
      <c r="M20" s="16">
        <v>0</v>
      </c>
      <c r="N20" s="18">
        <f t="shared" si="0"/>
        <v>3360238034.3035617</v>
      </c>
    </row>
    <row r="21" spans="1:14" ht="15" x14ac:dyDescent="0.2">
      <c r="A21" s="17" t="s">
        <v>16</v>
      </c>
      <c r="B21" s="16">
        <v>1208099319.45</v>
      </c>
      <c r="C21" s="16">
        <v>66087.518640669994</v>
      </c>
      <c r="D21" s="16">
        <v>7395214.982041195</v>
      </c>
      <c r="E21" s="16">
        <v>9276275.5199999996</v>
      </c>
      <c r="F21" s="16">
        <v>10905801.16</v>
      </c>
      <c r="G21" s="16">
        <v>3134952.8982404945</v>
      </c>
      <c r="H21" s="16">
        <v>61195765.670000002</v>
      </c>
      <c r="I21" s="16">
        <v>39254019.140000001</v>
      </c>
      <c r="J21" s="16">
        <v>0</v>
      </c>
      <c r="K21" s="16">
        <v>83465480</v>
      </c>
      <c r="L21" s="16">
        <v>0</v>
      </c>
      <c r="M21" s="16">
        <v>0</v>
      </c>
      <c r="N21" s="18">
        <f t="shared" si="0"/>
        <v>1422792916.3389227</v>
      </c>
    </row>
    <row r="22" spans="1:14" ht="15" x14ac:dyDescent="0.2">
      <c r="A22" s="17" t="s">
        <v>17</v>
      </c>
      <c r="B22" s="16">
        <v>957074799.70000005</v>
      </c>
      <c r="C22" s="16">
        <v>49269.199926380003</v>
      </c>
      <c r="D22" s="16">
        <v>10979266.1201762</v>
      </c>
      <c r="E22" s="16">
        <v>6915597.290000001</v>
      </c>
      <c r="F22" s="16">
        <v>2596535.15</v>
      </c>
      <c r="G22" s="16">
        <v>1570727.35</v>
      </c>
      <c r="H22" s="16">
        <v>48480223.630000003</v>
      </c>
      <c r="I22" s="16">
        <v>9345892.0800000001</v>
      </c>
      <c r="J22" s="16">
        <v>0</v>
      </c>
      <c r="K22" s="16">
        <v>62224720</v>
      </c>
      <c r="L22" s="16">
        <v>0</v>
      </c>
      <c r="M22" s="16">
        <v>0</v>
      </c>
      <c r="N22" s="18">
        <f t="shared" si="0"/>
        <v>1099237030.5201025</v>
      </c>
    </row>
    <row r="23" spans="1:14" ht="15" x14ac:dyDescent="0.2">
      <c r="A23" s="17" t="s">
        <v>18</v>
      </c>
      <c r="B23" s="16">
        <v>919466191.99000001</v>
      </c>
      <c r="C23" s="16">
        <v>50167.473961800002</v>
      </c>
      <c r="D23" s="16">
        <v>8174498.7157454286</v>
      </c>
      <c r="E23" s="16">
        <v>7041682.3399999999</v>
      </c>
      <c r="F23" s="16">
        <v>2488714.4300000002</v>
      </c>
      <c r="G23" s="16">
        <v>1936012.78</v>
      </c>
      <c r="H23" s="16">
        <v>46575175.340000004</v>
      </c>
      <c r="I23" s="16">
        <v>8957805.3399999999</v>
      </c>
      <c r="J23" s="16">
        <v>0</v>
      </c>
      <c r="K23" s="16">
        <v>63359200</v>
      </c>
      <c r="L23" s="16">
        <v>0</v>
      </c>
      <c r="M23" s="16">
        <v>0</v>
      </c>
      <c r="N23" s="18">
        <f t="shared" si="0"/>
        <v>1058049448.4097073</v>
      </c>
    </row>
    <row r="24" spans="1:14" ht="15" x14ac:dyDescent="0.2">
      <c r="A24" s="17" t="s">
        <v>19</v>
      </c>
      <c r="B24" s="16">
        <v>289451068.68000001</v>
      </c>
      <c r="C24" s="16">
        <v>15382.732295719999</v>
      </c>
      <c r="D24" s="16">
        <v>6258290.870017929</v>
      </c>
      <c r="E24" s="16">
        <v>2159174.2199999997</v>
      </c>
      <c r="F24" s="16">
        <v>2587697.39</v>
      </c>
      <c r="G24" s="16">
        <v>396092.70571851882</v>
      </c>
      <c r="H24" s="16">
        <v>14662022.810000001</v>
      </c>
      <c r="I24" s="16">
        <v>9314081.6899999995</v>
      </c>
      <c r="J24" s="16">
        <v>0</v>
      </c>
      <c r="K24" s="16">
        <v>19427680</v>
      </c>
      <c r="L24" s="16">
        <v>0</v>
      </c>
      <c r="M24" s="16">
        <v>0</v>
      </c>
      <c r="N24" s="18">
        <f t="shared" si="0"/>
        <v>344271491.09803218</v>
      </c>
    </row>
    <row r="25" spans="1:14" ht="15" x14ac:dyDescent="0.2">
      <c r="A25" s="17" t="s">
        <v>20</v>
      </c>
      <c r="B25" s="16">
        <v>1198016940.8399999</v>
      </c>
      <c r="C25" s="16">
        <v>69387.619140939991</v>
      </c>
      <c r="D25" s="16">
        <v>9713847.0044888631</v>
      </c>
      <c r="E25" s="16">
        <v>9739489.8200000003</v>
      </c>
      <c r="F25" s="16">
        <v>11476720.73</v>
      </c>
      <c r="G25" s="16">
        <v>4609902.13</v>
      </c>
      <c r="H25" s="16">
        <v>60685047</v>
      </c>
      <c r="I25" s="16">
        <v>41308970.219999999</v>
      </c>
      <c r="J25" s="16">
        <v>0</v>
      </c>
      <c r="K25" s="16">
        <v>87633360</v>
      </c>
      <c r="L25" s="16">
        <v>0</v>
      </c>
      <c r="M25" s="16">
        <v>0</v>
      </c>
      <c r="N25" s="18">
        <f t="shared" si="0"/>
        <v>1423253665.3636298</v>
      </c>
    </row>
    <row r="26" spans="1:14" ht="15" x14ac:dyDescent="0.2">
      <c r="A26" s="17" t="s">
        <v>21</v>
      </c>
      <c r="B26" s="16">
        <v>488527968.71000004</v>
      </c>
      <c r="C26" s="16">
        <v>24845.845942890002</v>
      </c>
      <c r="D26" s="16">
        <v>7276462.1214145143</v>
      </c>
      <c r="E26" s="16">
        <v>3487450.54</v>
      </c>
      <c r="F26" s="16">
        <v>5219583.5999999996</v>
      </c>
      <c r="G26" s="16">
        <v>2944200.57</v>
      </c>
      <c r="H26" s="16">
        <v>24746179.899999999</v>
      </c>
      <c r="I26" s="16">
        <v>18787215.32</v>
      </c>
      <c r="J26" s="16">
        <v>0</v>
      </c>
      <c r="K26" s="16">
        <v>31379159.999999996</v>
      </c>
      <c r="L26" s="16">
        <v>0</v>
      </c>
      <c r="M26" s="16">
        <v>0</v>
      </c>
      <c r="N26" s="18">
        <f t="shared" si="0"/>
        <v>582393066.6073575</v>
      </c>
    </row>
    <row r="27" spans="1:14" ht="15" x14ac:dyDescent="0.2">
      <c r="A27" s="17" t="s">
        <v>22</v>
      </c>
      <c r="B27" s="16">
        <v>239089253.55999994</v>
      </c>
      <c r="C27" s="16">
        <v>13847.95359103</v>
      </c>
      <c r="D27" s="16">
        <v>3768260.7026653141</v>
      </c>
      <c r="E27" s="16">
        <v>1943746.69</v>
      </c>
      <c r="F27" s="16">
        <v>1297383.8</v>
      </c>
      <c r="G27" s="16">
        <v>664819.48</v>
      </c>
      <c r="H27" s="16">
        <v>12110966.130000001</v>
      </c>
      <c r="I27" s="16">
        <v>4669765</v>
      </c>
      <c r="J27" s="16">
        <v>0</v>
      </c>
      <c r="K27" s="16">
        <v>17489319.999999996</v>
      </c>
      <c r="L27" s="16">
        <v>0</v>
      </c>
      <c r="M27" s="16">
        <v>0</v>
      </c>
      <c r="N27" s="18">
        <f t="shared" si="0"/>
        <v>281047363.31625623</v>
      </c>
    </row>
    <row r="28" spans="1:14" ht="15" x14ac:dyDescent="0.2">
      <c r="A28" s="17" t="s">
        <v>23</v>
      </c>
      <c r="B28" s="16">
        <v>846736185.84000015</v>
      </c>
      <c r="C28" s="16">
        <v>46191.362326489994</v>
      </c>
      <c r="D28" s="16">
        <v>8374380.1683580931</v>
      </c>
      <c r="E28" s="16">
        <v>6483581.9499999993</v>
      </c>
      <c r="F28" s="16">
        <v>1786995.94</v>
      </c>
      <c r="G28" s="16">
        <v>964353.54</v>
      </c>
      <c r="H28" s="16">
        <v>42891067.299999997</v>
      </c>
      <c r="I28" s="16">
        <v>6432060.5099999998</v>
      </c>
      <c r="J28" s="16">
        <v>0</v>
      </c>
      <c r="K28" s="16">
        <v>58337560</v>
      </c>
      <c r="L28" s="16">
        <v>0</v>
      </c>
      <c r="M28" s="16">
        <v>0</v>
      </c>
      <c r="N28" s="18">
        <f t="shared" si="0"/>
        <v>972052376.61068475</v>
      </c>
    </row>
    <row r="29" spans="1:14" ht="15" x14ac:dyDescent="0.2">
      <c r="A29" s="17" t="s">
        <v>24</v>
      </c>
      <c r="B29" s="16">
        <v>523632674.44</v>
      </c>
      <c r="C29" s="16">
        <v>30328.266737800004</v>
      </c>
      <c r="D29" s="16">
        <v>8697370.5330453925</v>
      </c>
      <c r="E29" s="16">
        <v>4256981.9000000004</v>
      </c>
      <c r="F29" s="16">
        <v>1115325.8500000001</v>
      </c>
      <c r="G29" s="16">
        <v>584456.68999999994</v>
      </c>
      <c r="H29" s="16">
        <v>26524394.09</v>
      </c>
      <c r="I29" s="16">
        <v>4014471</v>
      </c>
      <c r="J29" s="16">
        <v>0</v>
      </c>
      <c r="K29" s="16">
        <v>38303200</v>
      </c>
      <c r="L29" s="16">
        <v>0</v>
      </c>
      <c r="M29" s="16">
        <v>0</v>
      </c>
      <c r="N29" s="18">
        <f t="shared" si="0"/>
        <v>607159202.76978326</v>
      </c>
    </row>
    <row r="30" spans="1:14" ht="15" x14ac:dyDescent="0.2">
      <c r="A30" s="17" t="s">
        <v>25</v>
      </c>
      <c r="B30" s="16">
        <v>174071265.47999999</v>
      </c>
      <c r="C30" s="16">
        <v>9343.7120064699993</v>
      </c>
      <c r="D30" s="16">
        <v>3698646.0243781223</v>
      </c>
      <c r="E30" s="16">
        <v>1311516.56</v>
      </c>
      <c r="F30" s="16">
        <v>963316.31</v>
      </c>
      <c r="G30" s="16">
        <v>730570.86</v>
      </c>
      <c r="H30" s="16">
        <v>8817507.1400000006</v>
      </c>
      <c r="I30" s="16">
        <v>3467332.32</v>
      </c>
      <c r="J30" s="16">
        <v>0</v>
      </c>
      <c r="K30" s="16">
        <v>11800680</v>
      </c>
      <c r="L30" s="16">
        <v>0</v>
      </c>
      <c r="M30" s="16">
        <v>0</v>
      </c>
      <c r="N30" s="18">
        <f t="shared" si="0"/>
        <v>204870178.40638459</v>
      </c>
    </row>
    <row r="31" spans="1:14" ht="15" x14ac:dyDescent="0.2">
      <c r="A31" s="17" t="s">
        <v>26</v>
      </c>
      <c r="B31" s="16">
        <v>303272607.61999995</v>
      </c>
      <c r="C31" s="16">
        <v>17335.421742860002</v>
      </c>
      <c r="D31" s="16">
        <v>2831442.2123089284</v>
      </c>
      <c r="E31" s="16">
        <v>2433260.94</v>
      </c>
      <c r="F31" s="16">
        <v>1150676.9099999999</v>
      </c>
      <c r="G31" s="16">
        <v>401813.97</v>
      </c>
      <c r="H31" s="16">
        <v>15362147.08</v>
      </c>
      <c r="I31" s="16">
        <v>4141712.55</v>
      </c>
      <c r="J31" s="16">
        <v>0</v>
      </c>
      <c r="K31" s="16">
        <v>21893840</v>
      </c>
      <c r="L31" s="16">
        <v>0</v>
      </c>
      <c r="M31" s="16">
        <v>0</v>
      </c>
      <c r="N31" s="18">
        <f t="shared" si="0"/>
        <v>351504836.70405179</v>
      </c>
    </row>
    <row r="32" spans="1:14" ht="15" x14ac:dyDescent="0.2">
      <c r="A32" s="17" t="s">
        <v>27</v>
      </c>
      <c r="B32" s="16">
        <v>1332309550.29</v>
      </c>
      <c r="C32" s="16">
        <v>74459.477140520001</v>
      </c>
      <c r="D32" s="16">
        <v>12374643.826801956</v>
      </c>
      <c r="E32" s="16">
        <v>10451393.33</v>
      </c>
      <c r="F32" s="16">
        <v>3393701.49</v>
      </c>
      <c r="G32" s="16">
        <v>2199018.29</v>
      </c>
      <c r="H32" s="16">
        <v>67487582.959999993</v>
      </c>
      <c r="I32" s="16">
        <v>12215189.1</v>
      </c>
      <c r="J32" s="16">
        <v>0</v>
      </c>
      <c r="K32" s="16">
        <v>94038880</v>
      </c>
      <c r="L32" s="16">
        <v>0</v>
      </c>
      <c r="M32" s="16">
        <v>0</v>
      </c>
      <c r="N32" s="18">
        <f t="shared" si="0"/>
        <v>1534544418.7639422</v>
      </c>
    </row>
    <row r="33" spans="1:14" ht="15" x14ac:dyDescent="0.2">
      <c r="A33" s="17" t="s">
        <v>28</v>
      </c>
      <c r="B33" s="16">
        <v>905961813.98000014</v>
      </c>
      <c r="C33" s="16">
        <v>49345.436127749999</v>
      </c>
      <c r="D33" s="16">
        <v>11226861.331497578</v>
      </c>
      <c r="E33" s="16">
        <v>6926297.7599999998</v>
      </c>
      <c r="F33" s="16">
        <v>2490481.98</v>
      </c>
      <c r="G33" s="16">
        <v>1767981.48</v>
      </c>
      <c r="H33" s="16">
        <v>45891116.719999999</v>
      </c>
      <c r="I33" s="16">
        <v>8964167.4199999999</v>
      </c>
      <c r="J33" s="16">
        <v>0</v>
      </c>
      <c r="K33" s="16">
        <v>62321000</v>
      </c>
      <c r="L33" s="16">
        <v>0</v>
      </c>
      <c r="M33" s="16">
        <v>0</v>
      </c>
      <c r="N33" s="18">
        <f t="shared" si="0"/>
        <v>1045599066.1076255</v>
      </c>
    </row>
    <row r="34" spans="1:14" ht="15" x14ac:dyDescent="0.2">
      <c r="A34" s="17" t="s">
        <v>29</v>
      </c>
      <c r="B34" s="16">
        <v>1179187597.9400001</v>
      </c>
      <c r="C34" s="16">
        <v>62990.393929590005</v>
      </c>
      <c r="D34" s="16">
        <v>11797468.942161862</v>
      </c>
      <c r="E34" s="16">
        <v>8841552.8500000015</v>
      </c>
      <c r="F34" s="16">
        <v>3621715.81</v>
      </c>
      <c r="G34" s="16">
        <v>2951506.28</v>
      </c>
      <c r="H34" s="16">
        <v>59731254.509999998</v>
      </c>
      <c r="I34" s="16">
        <v>13035897.119999999</v>
      </c>
      <c r="J34" s="16">
        <v>0</v>
      </c>
      <c r="K34" s="16">
        <v>79553960</v>
      </c>
      <c r="L34" s="16">
        <v>0</v>
      </c>
      <c r="M34" s="16">
        <v>0</v>
      </c>
      <c r="N34" s="18">
        <f t="shared" si="0"/>
        <v>1358783943.846091</v>
      </c>
    </row>
    <row r="35" spans="1:14" ht="15" x14ac:dyDescent="0.2">
      <c r="A35" s="17" t="s">
        <v>30</v>
      </c>
      <c r="B35" s="16">
        <v>559104619.14999998</v>
      </c>
      <c r="C35" s="16">
        <v>31796.923918410001</v>
      </c>
      <c r="D35" s="16">
        <v>4641989.1635597274</v>
      </c>
      <c r="E35" s="16">
        <v>4463127.08</v>
      </c>
      <c r="F35" s="16">
        <v>2264235.21</v>
      </c>
      <c r="G35" s="16">
        <v>1146996.25</v>
      </c>
      <c r="H35" s="16">
        <v>28321210.609999999</v>
      </c>
      <c r="I35" s="16">
        <v>8149821.4800000004</v>
      </c>
      <c r="J35" s="16">
        <v>0</v>
      </c>
      <c r="K35" s="16">
        <v>40158040</v>
      </c>
      <c r="L35" s="16">
        <v>0</v>
      </c>
      <c r="M35" s="16">
        <v>0</v>
      </c>
      <c r="N35" s="18">
        <f t="shared" si="0"/>
        <v>648281835.86747813</v>
      </c>
    </row>
    <row r="36" spans="1:14" ht="15" x14ac:dyDescent="0.2">
      <c r="A36" s="17" t="s">
        <v>31</v>
      </c>
      <c r="B36" s="16">
        <v>657691586.40999985</v>
      </c>
      <c r="C36" s="16">
        <v>35548.918166560004</v>
      </c>
      <c r="D36" s="16">
        <v>6195107.5767965121</v>
      </c>
      <c r="E36" s="16">
        <v>4989770.66</v>
      </c>
      <c r="F36" s="16">
        <v>1424647.6</v>
      </c>
      <c r="G36" s="16">
        <v>664819.48</v>
      </c>
      <c r="H36" s="16">
        <v>33315092.199999999</v>
      </c>
      <c r="I36" s="16">
        <v>5127834.59</v>
      </c>
      <c r="J36" s="16">
        <v>0</v>
      </c>
      <c r="K36" s="16">
        <v>44896640</v>
      </c>
      <c r="L36" s="16">
        <v>0</v>
      </c>
      <c r="M36" s="16">
        <v>0</v>
      </c>
      <c r="N36" s="18">
        <f t="shared" si="0"/>
        <v>754341047.43496299</v>
      </c>
    </row>
    <row r="37" spans="1:14" ht="15" x14ac:dyDescent="0.2">
      <c r="A37" s="17" t="s">
        <v>32</v>
      </c>
      <c r="B37" s="16">
        <v>683014381.75999999</v>
      </c>
      <c r="C37" s="16">
        <v>39000.568826180002</v>
      </c>
      <c r="D37" s="16">
        <v>7833277.1122257188</v>
      </c>
      <c r="E37" s="16">
        <v>5474256.9699999997</v>
      </c>
      <c r="F37" s="16">
        <v>2642491.5299999998</v>
      </c>
      <c r="G37" s="16">
        <v>1015493.5</v>
      </c>
      <c r="H37" s="16">
        <v>34597807.799999997</v>
      </c>
      <c r="I37" s="16">
        <v>9511306.0999999996</v>
      </c>
      <c r="J37" s="16">
        <v>0</v>
      </c>
      <c r="K37" s="16">
        <v>49255920</v>
      </c>
      <c r="L37" s="16">
        <v>0</v>
      </c>
      <c r="M37" s="16">
        <v>0</v>
      </c>
      <c r="N37" s="18">
        <f t="shared" si="0"/>
        <v>793383935.34105194</v>
      </c>
    </row>
    <row r="38" spans="1:14" ht="15" x14ac:dyDescent="0.2">
      <c r="A38" s="17" t="s">
        <v>33</v>
      </c>
      <c r="B38" s="16">
        <v>597297470.66000009</v>
      </c>
      <c r="C38" s="16">
        <v>34559.712035529999</v>
      </c>
      <c r="D38" s="16">
        <v>2547071.0727029182</v>
      </c>
      <c r="E38" s="16">
        <v>4850922.3999999994</v>
      </c>
      <c r="F38" s="16">
        <v>2361450.62</v>
      </c>
      <c r="G38" s="16">
        <v>2812697.82</v>
      </c>
      <c r="H38" s="16">
        <v>30255853.530000001</v>
      </c>
      <c r="I38" s="16">
        <v>8499735.75</v>
      </c>
      <c r="J38" s="16">
        <v>0</v>
      </c>
      <c r="K38" s="16">
        <v>43647320</v>
      </c>
      <c r="L38" s="16">
        <v>0</v>
      </c>
      <c r="M38" s="16">
        <v>0</v>
      </c>
      <c r="N38" s="18">
        <f t="shared" si="0"/>
        <v>692307081.56473851</v>
      </c>
    </row>
    <row r="39" spans="1:14" ht="15" x14ac:dyDescent="0.2">
      <c r="A39" s="17" t="s">
        <v>34</v>
      </c>
      <c r="B39" s="16">
        <v>1104721553.0999999</v>
      </c>
      <c r="C39" s="16">
        <v>59851.026022570004</v>
      </c>
      <c r="D39" s="16">
        <v>12736304.472221557</v>
      </c>
      <c r="E39" s="16">
        <v>8400899.7799999993</v>
      </c>
      <c r="F39" s="16">
        <v>3008374.97</v>
      </c>
      <c r="G39" s="16">
        <v>1753370.07</v>
      </c>
      <c r="H39" s="16">
        <v>55959208.159999996</v>
      </c>
      <c r="I39" s="16">
        <v>10828256.17</v>
      </c>
      <c r="J39" s="16">
        <v>0</v>
      </c>
      <c r="K39" s="16">
        <v>75589080.000000015</v>
      </c>
      <c r="L39" s="16">
        <v>0</v>
      </c>
      <c r="M39" s="16">
        <v>0</v>
      </c>
      <c r="N39" s="18">
        <f t="shared" si="0"/>
        <v>1273056897.7482443</v>
      </c>
    </row>
    <row r="40" spans="1:14" ht="15" x14ac:dyDescent="0.2">
      <c r="A40" s="17" t="s">
        <v>35</v>
      </c>
      <c r="B40" s="16">
        <v>777895574.08999991</v>
      </c>
      <c r="C40" s="16">
        <v>39567.272997809996</v>
      </c>
      <c r="D40" s="16">
        <v>6714394.8244085368</v>
      </c>
      <c r="E40" s="16">
        <v>5553801.4199999999</v>
      </c>
      <c r="F40" s="16">
        <v>1606705.55</v>
      </c>
      <c r="G40" s="16">
        <v>767099.4</v>
      </c>
      <c r="H40" s="16">
        <v>39403974.909999996</v>
      </c>
      <c r="I40" s="16">
        <v>5783128.5899999999</v>
      </c>
      <c r="J40" s="16">
        <v>0</v>
      </c>
      <c r="K40" s="16">
        <v>49971640</v>
      </c>
      <c r="L40" s="16">
        <v>0</v>
      </c>
      <c r="M40" s="16">
        <v>0</v>
      </c>
      <c r="N40" s="18">
        <f t="shared" ref="N40:N71" si="1">SUM(B40:M40)</f>
        <v>887735886.05740619</v>
      </c>
    </row>
    <row r="41" spans="1:14" ht="15" x14ac:dyDescent="0.2">
      <c r="A41" s="17" t="s">
        <v>36</v>
      </c>
      <c r="B41" s="16">
        <v>718052316.80000007</v>
      </c>
      <c r="C41" s="16">
        <v>41474.04027545001</v>
      </c>
      <c r="D41" s="16">
        <v>3317344.3894397356</v>
      </c>
      <c r="E41" s="16">
        <v>5821442.0700000003</v>
      </c>
      <c r="F41" s="16">
        <v>2720263.85</v>
      </c>
      <c r="G41" s="16">
        <v>1336944.68</v>
      </c>
      <c r="H41" s="16">
        <v>36372639.740000002</v>
      </c>
      <c r="I41" s="16">
        <v>9791237.5099999998</v>
      </c>
      <c r="J41" s="16">
        <v>0</v>
      </c>
      <c r="K41" s="16">
        <v>52379800</v>
      </c>
      <c r="L41" s="16">
        <v>0</v>
      </c>
      <c r="M41" s="16">
        <v>0</v>
      </c>
      <c r="N41" s="18">
        <f t="shared" si="1"/>
        <v>829833463.07971525</v>
      </c>
    </row>
    <row r="42" spans="1:14" ht="15" x14ac:dyDescent="0.2">
      <c r="A42" s="17" t="s">
        <v>37</v>
      </c>
      <c r="B42" s="16">
        <v>481633891.92999995</v>
      </c>
      <c r="C42" s="16">
        <v>25952.619227839998</v>
      </c>
      <c r="D42" s="16">
        <v>3270550.8766244748</v>
      </c>
      <c r="E42" s="16">
        <v>3642800.74</v>
      </c>
      <c r="F42" s="16">
        <v>7388370.96</v>
      </c>
      <c r="G42" s="16">
        <v>0</v>
      </c>
      <c r="H42" s="16">
        <v>24396963.329999998</v>
      </c>
      <c r="I42" s="16">
        <v>26593484.600000001</v>
      </c>
      <c r="J42" s="16">
        <v>0</v>
      </c>
      <c r="K42" s="16">
        <v>32776959.999999996</v>
      </c>
      <c r="L42" s="16">
        <v>0</v>
      </c>
      <c r="M42" s="16">
        <v>0</v>
      </c>
      <c r="N42" s="18">
        <f t="shared" si="1"/>
        <v>579728975.05585217</v>
      </c>
    </row>
    <row r="43" spans="1:14" ht="15" x14ac:dyDescent="0.2">
      <c r="A43" s="17" t="s">
        <v>38</v>
      </c>
      <c r="B43" s="16">
        <v>2510996367.9500008</v>
      </c>
      <c r="C43" s="16">
        <v>131117.86513945003</v>
      </c>
      <c r="D43" s="16">
        <v>14130594.855203237</v>
      </c>
      <c r="E43" s="16">
        <v>18404162.619999997</v>
      </c>
      <c r="F43" s="16">
        <v>30723603.859999999</v>
      </c>
      <c r="G43" s="16">
        <v>10680945.99</v>
      </c>
      <c r="H43" s="16">
        <v>127193470.65000001</v>
      </c>
      <c r="I43" s="16">
        <v>110585633.81</v>
      </c>
      <c r="J43" s="16">
        <v>0</v>
      </c>
      <c r="K43" s="16">
        <v>165595800.00000003</v>
      </c>
      <c r="L43" s="16">
        <v>0</v>
      </c>
      <c r="M43" s="16">
        <v>0</v>
      </c>
      <c r="N43" s="18">
        <f t="shared" si="1"/>
        <v>2988441697.6003432</v>
      </c>
    </row>
    <row r="44" spans="1:14" ht="15" x14ac:dyDescent="0.2">
      <c r="A44" s="17" t="s">
        <v>39</v>
      </c>
      <c r="B44" s="16">
        <v>2442389453.7199998</v>
      </c>
      <c r="C44" s="16">
        <v>127433.83690216001</v>
      </c>
      <c r="D44" s="16">
        <v>13599888.859801563</v>
      </c>
      <c r="E44" s="16">
        <v>17887059.220000003</v>
      </c>
      <c r="F44" s="16">
        <v>38658148.659999996</v>
      </c>
      <c r="G44" s="16">
        <v>18257591.161882356</v>
      </c>
      <c r="H44" s="16">
        <v>123718216.11</v>
      </c>
      <c r="I44" s="16">
        <v>139145000.41</v>
      </c>
      <c r="J44" s="16">
        <v>0</v>
      </c>
      <c r="K44" s="16">
        <v>160943040</v>
      </c>
      <c r="L44" s="16">
        <v>0</v>
      </c>
      <c r="M44" s="16">
        <v>0</v>
      </c>
      <c r="N44" s="18">
        <f t="shared" si="1"/>
        <v>2954725831.9785857</v>
      </c>
    </row>
    <row r="45" spans="1:14" ht="15" x14ac:dyDescent="0.2">
      <c r="A45" s="17" t="s">
        <v>40</v>
      </c>
      <c r="B45" s="16">
        <v>683899093.79999995</v>
      </c>
      <c r="C45" s="16">
        <v>36633.647610150001</v>
      </c>
      <c r="D45" s="16">
        <v>4092339.4727693349</v>
      </c>
      <c r="E45" s="16">
        <v>0</v>
      </c>
      <c r="F45" s="16">
        <v>2879343.61</v>
      </c>
      <c r="G45" s="16">
        <v>1673007.27</v>
      </c>
      <c r="H45" s="16">
        <v>34642622.520000003</v>
      </c>
      <c r="I45" s="16">
        <v>10363824.5</v>
      </c>
      <c r="J45" s="16">
        <v>0</v>
      </c>
      <c r="K45" s="16">
        <v>46266600</v>
      </c>
      <c r="L45" s="16">
        <v>0</v>
      </c>
      <c r="M45" s="16">
        <v>0</v>
      </c>
      <c r="N45" s="18">
        <f t="shared" si="1"/>
        <v>783853464.8203795</v>
      </c>
    </row>
    <row r="46" spans="1:14" ht="15" x14ac:dyDescent="0.2">
      <c r="A46" s="17" t="s">
        <v>41</v>
      </c>
      <c r="B46" s="16">
        <v>1081001254.99</v>
      </c>
      <c r="C46" s="16">
        <v>56064.126525600004</v>
      </c>
      <c r="D46" s="16">
        <v>10764903.119801564</v>
      </c>
      <c r="E46" s="16">
        <v>7869357.1899999995</v>
      </c>
      <c r="F46" s="16">
        <v>22711286.73</v>
      </c>
      <c r="G46" s="16">
        <v>0</v>
      </c>
      <c r="H46" s="16">
        <v>54757666.380000003</v>
      </c>
      <c r="I46" s="16">
        <v>81746335.799999997</v>
      </c>
      <c r="J46" s="16">
        <v>0</v>
      </c>
      <c r="K46" s="16">
        <v>70806400.000000015</v>
      </c>
      <c r="L46" s="16">
        <v>0</v>
      </c>
      <c r="M46" s="16">
        <v>0</v>
      </c>
      <c r="N46" s="18">
        <f t="shared" si="1"/>
        <v>1329713268.3363273</v>
      </c>
    </row>
    <row r="47" spans="1:14" ht="15" x14ac:dyDescent="0.2">
      <c r="A47" s="17" t="s">
        <v>42</v>
      </c>
      <c r="B47" s="16">
        <v>3283617055.3000002</v>
      </c>
      <c r="C47" s="16">
        <v>175181.10953131001</v>
      </c>
      <c r="D47" s="16">
        <v>17494198.18453607</v>
      </c>
      <c r="E47" s="16">
        <v>24589033.890000001</v>
      </c>
      <c r="F47" s="16">
        <v>70801097.469999999</v>
      </c>
      <c r="G47" s="16">
        <v>20753377.275209092</v>
      </c>
      <c r="H47" s="16">
        <v>166330248.37</v>
      </c>
      <c r="I47" s="16">
        <v>254839382.56999999</v>
      </c>
      <c r="J47" s="16">
        <v>0</v>
      </c>
      <c r="K47" s="16">
        <v>221245640</v>
      </c>
      <c r="L47" s="16">
        <v>0</v>
      </c>
      <c r="M47" s="16">
        <v>0</v>
      </c>
      <c r="N47" s="18">
        <f t="shared" si="1"/>
        <v>4059845214.1692762</v>
      </c>
    </row>
    <row r="48" spans="1:14" ht="15" x14ac:dyDescent="0.2">
      <c r="A48" s="17" t="s">
        <v>43</v>
      </c>
      <c r="B48" s="16">
        <v>338177001.22000003</v>
      </c>
      <c r="C48" s="16">
        <v>18459.647652219999</v>
      </c>
      <c r="D48" s="16">
        <v>3216617.121622554</v>
      </c>
      <c r="E48" s="16">
        <v>2591060.63</v>
      </c>
      <c r="F48" s="16">
        <v>615108.39</v>
      </c>
      <c r="G48" s="16">
        <v>452953.93</v>
      </c>
      <c r="H48" s="16">
        <v>17130214.539999999</v>
      </c>
      <c r="I48" s="16">
        <v>2214003.02</v>
      </c>
      <c r="J48" s="16">
        <v>0</v>
      </c>
      <c r="K48" s="16">
        <v>23313680</v>
      </c>
      <c r="L48" s="16">
        <v>0</v>
      </c>
      <c r="M48" s="16">
        <v>0</v>
      </c>
      <c r="N48" s="18">
        <f t="shared" si="1"/>
        <v>387729098.49927479</v>
      </c>
    </row>
    <row r="49" spans="1:14" ht="15" x14ac:dyDescent="0.2">
      <c r="A49" s="17" t="s">
        <v>44</v>
      </c>
      <c r="B49" s="16">
        <v>591655344.87</v>
      </c>
      <c r="C49" s="16">
        <v>31994.396247259996</v>
      </c>
      <c r="D49" s="16">
        <v>7397312.4530993234</v>
      </c>
      <c r="E49" s="16">
        <v>2958230.49</v>
      </c>
      <c r="F49" s="16">
        <v>3632321.13</v>
      </c>
      <c r="G49" s="16">
        <v>1899484.24</v>
      </c>
      <c r="H49" s="16">
        <v>29970054</v>
      </c>
      <c r="I49" s="16">
        <v>13074069.58</v>
      </c>
      <c r="J49" s="16">
        <v>0</v>
      </c>
      <c r="K49" s="16">
        <v>40407440</v>
      </c>
      <c r="L49" s="16">
        <v>0</v>
      </c>
      <c r="M49" s="16">
        <v>0</v>
      </c>
      <c r="N49" s="18">
        <f t="shared" si="1"/>
        <v>691026251.1593467</v>
      </c>
    </row>
    <row r="50" spans="1:14" ht="15" x14ac:dyDescent="0.2">
      <c r="A50" s="17" t="s">
        <v>45</v>
      </c>
      <c r="B50" s="16">
        <v>396117292.97999996</v>
      </c>
      <c r="C50" s="16">
        <v>22899.592199480005</v>
      </c>
      <c r="D50" s="16">
        <v>4359081.4916308783</v>
      </c>
      <c r="E50" s="16">
        <v>3214266.2699999996</v>
      </c>
      <c r="F50" s="16">
        <v>1018110.44</v>
      </c>
      <c r="G50" s="16">
        <v>540622.43999999994</v>
      </c>
      <c r="H50" s="16">
        <v>20065155.780000001</v>
      </c>
      <c r="I50" s="16">
        <v>3664556.73</v>
      </c>
      <c r="J50" s="16">
        <v>0</v>
      </c>
      <c r="K50" s="16">
        <v>28921120</v>
      </c>
      <c r="L50" s="16">
        <v>0</v>
      </c>
      <c r="M50" s="16">
        <v>0</v>
      </c>
      <c r="N50" s="18">
        <f t="shared" si="1"/>
        <v>457923105.72383034</v>
      </c>
    </row>
    <row r="51" spans="1:14" ht="15" x14ac:dyDescent="0.2">
      <c r="A51" s="17" t="s">
        <v>46</v>
      </c>
      <c r="B51" s="16">
        <v>380326017.84999996</v>
      </c>
      <c r="C51" s="16">
        <v>22027.943222370002</v>
      </c>
      <c r="D51" s="16">
        <v>5987217.7242782647</v>
      </c>
      <c r="E51" s="16">
        <v>3091919.95</v>
      </c>
      <c r="F51" s="16">
        <v>1269102.95</v>
      </c>
      <c r="G51" s="16">
        <v>679430.9</v>
      </c>
      <c r="H51" s="16">
        <v>19265255.34</v>
      </c>
      <c r="I51" s="16">
        <v>4567971.76</v>
      </c>
      <c r="J51" s="16">
        <v>0</v>
      </c>
      <c r="K51" s="16">
        <v>27820280</v>
      </c>
      <c r="L51" s="16">
        <v>0</v>
      </c>
      <c r="M51" s="16">
        <v>0</v>
      </c>
      <c r="N51" s="18">
        <f t="shared" si="1"/>
        <v>443029224.4175005</v>
      </c>
    </row>
    <row r="52" spans="1:14" ht="15" x14ac:dyDescent="0.2">
      <c r="A52" s="17" t="s">
        <v>47</v>
      </c>
      <c r="B52" s="16">
        <v>458197369.41000003</v>
      </c>
      <c r="C52" s="16">
        <v>25488.78631589</v>
      </c>
      <c r="D52" s="16">
        <v>5373240.7347052284</v>
      </c>
      <c r="E52" s="16">
        <v>3577695.4699999997</v>
      </c>
      <c r="F52" s="16">
        <v>1168352.44</v>
      </c>
      <c r="G52" s="16">
        <v>869379.32</v>
      </c>
      <c r="H52" s="16">
        <v>23209796.079999998</v>
      </c>
      <c r="I52" s="16">
        <v>4205333.33</v>
      </c>
      <c r="J52" s="16">
        <v>0</v>
      </c>
      <c r="K52" s="16">
        <v>32191159.999999996</v>
      </c>
      <c r="L52" s="16">
        <v>0</v>
      </c>
      <c r="M52" s="16">
        <v>0</v>
      </c>
      <c r="N52" s="18">
        <f t="shared" si="1"/>
        <v>528817815.57102114</v>
      </c>
    </row>
    <row r="53" spans="1:14" ht="15" x14ac:dyDescent="0.2">
      <c r="A53" s="17" t="s">
        <v>48</v>
      </c>
      <c r="B53" s="16">
        <v>164322740.44</v>
      </c>
      <c r="C53" s="16">
        <v>9517.306007180001</v>
      </c>
      <c r="D53" s="16">
        <v>2581112.5366398427</v>
      </c>
      <c r="E53" s="16">
        <v>1335882.69</v>
      </c>
      <c r="F53" s="16">
        <v>203268.57</v>
      </c>
      <c r="G53" s="16">
        <v>131502.76</v>
      </c>
      <c r="H53" s="16">
        <v>8323699.6799999997</v>
      </c>
      <c r="I53" s="16">
        <v>731638.93</v>
      </c>
      <c r="J53" s="16">
        <v>0</v>
      </c>
      <c r="K53" s="16">
        <v>12019920</v>
      </c>
      <c r="L53" s="16">
        <v>0</v>
      </c>
      <c r="M53" s="16">
        <v>0</v>
      </c>
      <c r="N53" s="18">
        <f t="shared" si="1"/>
        <v>189659282.91264701</v>
      </c>
    </row>
    <row r="54" spans="1:14" ht="15" x14ac:dyDescent="0.2">
      <c r="A54" s="17" t="s">
        <v>49</v>
      </c>
      <c r="B54" s="16">
        <v>594593256.54000008</v>
      </c>
      <c r="C54" s="16">
        <v>31030.902931149998</v>
      </c>
      <c r="D54" s="16">
        <v>6000084.6253472762</v>
      </c>
      <c r="E54" s="16">
        <v>4355606.7</v>
      </c>
      <c r="F54" s="16">
        <v>698183.38</v>
      </c>
      <c r="G54" s="16">
        <v>482176.77</v>
      </c>
      <c r="H54" s="16">
        <v>30118872.690000001</v>
      </c>
      <c r="I54" s="16">
        <v>2513020.67</v>
      </c>
      <c r="J54" s="16">
        <v>0</v>
      </c>
      <c r="K54" s="16">
        <v>39190600</v>
      </c>
      <c r="L54" s="16">
        <v>0</v>
      </c>
      <c r="M54" s="16">
        <v>0</v>
      </c>
      <c r="N54" s="18">
        <f t="shared" si="1"/>
        <v>677982832.27827847</v>
      </c>
    </row>
    <row r="55" spans="1:14" ht="15" x14ac:dyDescent="0.2">
      <c r="A55" s="17" t="s">
        <v>50</v>
      </c>
      <c r="B55" s="16">
        <v>274844973.82999998</v>
      </c>
      <c r="C55" s="16">
        <v>15221.999702470001</v>
      </c>
      <c r="D55" s="16">
        <v>2508112.4206433282</v>
      </c>
      <c r="E55" s="16">
        <v>2136612.9900000002</v>
      </c>
      <c r="F55" s="16">
        <v>1288546.03</v>
      </c>
      <c r="G55" s="16">
        <v>752487.99</v>
      </c>
      <c r="H55" s="16">
        <v>13922157.18</v>
      </c>
      <c r="I55" s="16">
        <v>4637954.6100000003</v>
      </c>
      <c r="J55" s="16">
        <v>0</v>
      </c>
      <c r="K55" s="16">
        <v>19224679.999999996</v>
      </c>
      <c r="L55" s="16">
        <v>0</v>
      </c>
      <c r="M55" s="16">
        <v>0</v>
      </c>
      <c r="N55" s="18">
        <f t="shared" si="1"/>
        <v>319330747.05034578</v>
      </c>
    </row>
    <row r="56" spans="1:14" ht="15" x14ac:dyDescent="0.2">
      <c r="A56" s="17" t="s">
        <v>51</v>
      </c>
      <c r="B56" s="16">
        <v>201363797.06</v>
      </c>
      <c r="C56" s="16">
        <v>11515.005380430002</v>
      </c>
      <c r="D56" s="16">
        <v>1491486.3139244383</v>
      </c>
      <c r="E56" s="16">
        <v>1616286.56</v>
      </c>
      <c r="F56" s="16">
        <v>364115.88</v>
      </c>
      <c r="G56" s="16">
        <v>204559.84</v>
      </c>
      <c r="H56" s="16">
        <v>10199998.91</v>
      </c>
      <c r="I56" s="16">
        <v>1310588</v>
      </c>
      <c r="J56" s="16">
        <v>0</v>
      </c>
      <c r="K56" s="16">
        <v>14542920</v>
      </c>
      <c r="L56" s="16">
        <v>0</v>
      </c>
      <c r="M56" s="16">
        <v>0</v>
      </c>
      <c r="N56" s="18">
        <f t="shared" si="1"/>
        <v>231105267.56930485</v>
      </c>
    </row>
    <row r="57" spans="1:14" ht="15" x14ac:dyDescent="0.2">
      <c r="A57" s="17" t="s">
        <v>52</v>
      </c>
      <c r="B57" s="16">
        <v>519910206.8599999</v>
      </c>
      <c r="C57" s="16">
        <v>27793.254981399998</v>
      </c>
      <c r="D57" s="16">
        <v>5985358.3257980784</v>
      </c>
      <c r="E57" s="16">
        <v>3901159.0599999996</v>
      </c>
      <c r="F57" s="16">
        <v>1870070.92</v>
      </c>
      <c r="G57" s="16">
        <v>942436.41</v>
      </c>
      <c r="H57" s="16">
        <v>26335834.050000001</v>
      </c>
      <c r="I57" s="16">
        <v>6731078.1600000001</v>
      </c>
      <c r="J57" s="16">
        <v>0</v>
      </c>
      <c r="K57" s="16">
        <v>35101600</v>
      </c>
      <c r="L57" s="16">
        <v>0</v>
      </c>
      <c r="M57" s="16">
        <v>0</v>
      </c>
      <c r="N57" s="18">
        <f t="shared" si="1"/>
        <v>600805537.04077935</v>
      </c>
    </row>
    <row r="58" spans="1:14" ht="15" x14ac:dyDescent="0.2">
      <c r="A58" s="17" t="s">
        <v>53</v>
      </c>
      <c r="B58" s="16">
        <v>463238558.69000006</v>
      </c>
      <c r="C58" s="16">
        <v>23988.902860020004</v>
      </c>
      <c r="D58" s="16">
        <v>2883882.0961018144</v>
      </c>
      <c r="E58" s="16">
        <v>3367166.96</v>
      </c>
      <c r="F58" s="16">
        <v>1088812.56</v>
      </c>
      <c r="G58" s="16">
        <v>591762.4</v>
      </c>
      <c r="H58" s="16">
        <v>23465155.420000002</v>
      </c>
      <c r="I58" s="16">
        <v>3919039.84</v>
      </c>
      <c r="J58" s="16">
        <v>0</v>
      </c>
      <c r="K58" s="16">
        <v>30296880.000000004</v>
      </c>
      <c r="L58" s="16">
        <v>0</v>
      </c>
      <c r="M58" s="16">
        <v>0</v>
      </c>
      <c r="N58" s="18">
        <f t="shared" si="1"/>
        <v>528875246.86896187</v>
      </c>
    </row>
    <row r="59" spans="1:14" ht="15" x14ac:dyDescent="0.2">
      <c r="A59" s="17" t="s">
        <v>54</v>
      </c>
      <c r="B59" s="16">
        <v>513783993.33999997</v>
      </c>
      <c r="C59" s="16">
        <v>28741.130159879998</v>
      </c>
      <c r="D59" s="16">
        <v>5942732.1091414429</v>
      </c>
      <c r="E59" s="16">
        <v>4034205.86</v>
      </c>
      <c r="F59" s="16">
        <v>1060531.71</v>
      </c>
      <c r="G59" s="16">
        <v>540622.43999999994</v>
      </c>
      <c r="H59" s="16">
        <v>26025513.27</v>
      </c>
      <c r="I59" s="16">
        <v>3817246.59</v>
      </c>
      <c r="J59" s="16">
        <v>0</v>
      </c>
      <c r="K59" s="16">
        <v>36298719.999999993</v>
      </c>
      <c r="L59" s="16">
        <v>0</v>
      </c>
      <c r="M59" s="16">
        <v>0</v>
      </c>
      <c r="N59" s="18">
        <f t="shared" si="1"/>
        <v>591532306.44930136</v>
      </c>
    </row>
    <row r="60" spans="1:14" ht="15" x14ac:dyDescent="0.2">
      <c r="A60" s="17" t="s">
        <v>55</v>
      </c>
      <c r="B60" s="16">
        <v>3581464542.0500002</v>
      </c>
      <c r="C60" s="16">
        <v>204062.77292986005</v>
      </c>
      <c r="D60" s="16">
        <v>112722579.91673011</v>
      </c>
      <c r="E60" s="16">
        <v>46588829.619999997</v>
      </c>
      <c r="F60" s="16">
        <v>58338082.229999997</v>
      </c>
      <c r="G60" s="16">
        <v>27812832.710000001</v>
      </c>
      <c r="H60" s="16">
        <v>181417588.22</v>
      </c>
      <c r="I60" s="16">
        <v>209980373.02000001</v>
      </c>
      <c r="J60" s="16">
        <v>0</v>
      </c>
      <c r="K60" s="16">
        <v>257721840</v>
      </c>
      <c r="L60" s="16">
        <v>0</v>
      </c>
      <c r="M60" s="16">
        <v>0</v>
      </c>
      <c r="N60" s="18">
        <f t="shared" si="1"/>
        <v>4476250730.5396595</v>
      </c>
    </row>
    <row r="61" spans="1:14" ht="15" x14ac:dyDescent="0.2">
      <c r="A61" s="17" t="s">
        <v>56</v>
      </c>
      <c r="B61" s="16">
        <v>761820523.38999999</v>
      </c>
      <c r="C61" s="16">
        <v>32715.39730841</v>
      </c>
      <c r="D61" s="16">
        <v>8961202.3386034146</v>
      </c>
      <c r="E61" s="16">
        <v>4592048.4000000004</v>
      </c>
      <c r="F61" s="16">
        <v>10414421.460000001</v>
      </c>
      <c r="G61" s="16">
        <v>2671012.8301108144</v>
      </c>
      <c r="H61" s="16">
        <v>38589699.939999998</v>
      </c>
      <c r="I61" s="16">
        <v>37485361.549999997</v>
      </c>
      <c r="J61" s="16">
        <v>0</v>
      </c>
      <c r="K61" s="16">
        <v>41318040</v>
      </c>
      <c r="L61" s="16">
        <v>0</v>
      </c>
      <c r="M61" s="16">
        <v>0</v>
      </c>
      <c r="N61" s="18">
        <f t="shared" si="1"/>
        <v>905885025.30602264</v>
      </c>
    </row>
    <row r="62" spans="1:14" ht="15" x14ac:dyDescent="0.2">
      <c r="A62" s="17" t="s">
        <v>57</v>
      </c>
      <c r="B62" s="16">
        <v>4099521861.5200005</v>
      </c>
      <c r="C62" s="16">
        <v>224037.91217558004</v>
      </c>
      <c r="D62" s="16">
        <v>28372693.609999999</v>
      </c>
      <c r="E62" s="16">
        <v>31446745.5</v>
      </c>
      <c r="F62" s="16">
        <v>46696979.079999998</v>
      </c>
      <c r="G62" s="16">
        <v>0</v>
      </c>
      <c r="H62" s="16">
        <v>207659565.03</v>
      </c>
      <c r="I62" s="16">
        <v>168079729.58000001</v>
      </c>
      <c r="J62" s="16">
        <v>0</v>
      </c>
      <c r="K62" s="16">
        <v>282949520.00000006</v>
      </c>
      <c r="L62" s="16">
        <v>0</v>
      </c>
      <c r="M62" s="16">
        <v>0</v>
      </c>
      <c r="N62" s="18">
        <f t="shared" si="1"/>
        <v>4864951132.2321758</v>
      </c>
    </row>
    <row r="63" spans="1:14" ht="15" x14ac:dyDescent="0.2">
      <c r="A63" s="17" t="s">
        <v>58</v>
      </c>
      <c r="B63" s="16">
        <v>666588784.77999997</v>
      </c>
      <c r="C63" s="16">
        <v>35048.345519009999</v>
      </c>
      <c r="D63" s="16">
        <v>5790226.3576395568</v>
      </c>
      <c r="E63" s="16">
        <v>4919508.54</v>
      </c>
      <c r="F63" s="16">
        <v>1645591.71</v>
      </c>
      <c r="G63" s="16">
        <v>942436.41</v>
      </c>
      <c r="H63" s="16">
        <v>33765776.060000002</v>
      </c>
      <c r="I63" s="16">
        <v>5923094.2999999998</v>
      </c>
      <c r="J63" s="16">
        <v>0</v>
      </c>
      <c r="K63" s="16">
        <v>44264440</v>
      </c>
      <c r="L63" s="16">
        <v>0</v>
      </c>
      <c r="M63" s="16">
        <v>0</v>
      </c>
      <c r="N63" s="18">
        <f t="shared" si="1"/>
        <v>763874906.50315857</v>
      </c>
    </row>
    <row r="64" spans="1:14" ht="15" x14ac:dyDescent="0.2">
      <c r="A64" s="17" t="s">
        <v>59</v>
      </c>
      <c r="B64" s="16">
        <v>1010174214.36</v>
      </c>
      <c r="C64" s="16">
        <v>56965.157291190008</v>
      </c>
      <c r="D64" s="16">
        <v>15935086.720149804</v>
      </c>
      <c r="E64" s="16">
        <v>7995829.0099999998</v>
      </c>
      <c r="F64" s="16">
        <v>3011910.07</v>
      </c>
      <c r="G64" s="16">
        <v>1468447.43</v>
      </c>
      <c r="H64" s="16">
        <v>51169952.270000003</v>
      </c>
      <c r="I64" s="16">
        <v>10840980.33</v>
      </c>
      <c r="J64" s="16">
        <v>0</v>
      </c>
      <c r="K64" s="16">
        <v>71944360</v>
      </c>
      <c r="L64" s="16">
        <v>0</v>
      </c>
      <c r="M64" s="16">
        <v>0</v>
      </c>
      <c r="N64" s="18">
        <f t="shared" si="1"/>
        <v>1172597745.347441</v>
      </c>
    </row>
    <row r="65" spans="1:14" ht="15" x14ac:dyDescent="0.2">
      <c r="A65" s="17" t="s">
        <v>60</v>
      </c>
      <c r="B65" s="16">
        <v>558386833.94000006</v>
      </c>
      <c r="C65" s="16">
        <v>31783.140267560004</v>
      </c>
      <c r="D65" s="16">
        <v>5944008.8739218786</v>
      </c>
      <c r="E65" s="16">
        <v>4461193.25</v>
      </c>
      <c r="F65" s="16">
        <v>655762.11</v>
      </c>
      <c r="G65" s="16">
        <v>489482.48</v>
      </c>
      <c r="H65" s="16">
        <v>28284851.5</v>
      </c>
      <c r="I65" s="16">
        <v>2360330.81</v>
      </c>
      <c r="J65" s="16">
        <v>0</v>
      </c>
      <c r="K65" s="16">
        <v>40140640</v>
      </c>
      <c r="L65" s="16">
        <v>0</v>
      </c>
      <c r="M65" s="16">
        <v>0</v>
      </c>
      <c r="N65" s="18">
        <f t="shared" si="1"/>
        <v>640754886.10418952</v>
      </c>
    </row>
    <row r="66" spans="1:14" ht="15" x14ac:dyDescent="0.2">
      <c r="A66" s="17" t="s">
        <v>61</v>
      </c>
      <c r="B66" s="16">
        <v>320182292.31999993</v>
      </c>
      <c r="C66" s="16">
        <v>17831.403173459999</v>
      </c>
      <c r="D66" s="16">
        <v>3743961.4537581643</v>
      </c>
      <c r="E66" s="16">
        <v>2502878.4500000002</v>
      </c>
      <c r="F66" s="16">
        <v>641621.68000000005</v>
      </c>
      <c r="G66" s="16">
        <v>445648.23</v>
      </c>
      <c r="H66" s="16">
        <v>16218700.09</v>
      </c>
      <c r="I66" s="16">
        <v>2309434.19</v>
      </c>
      <c r="J66" s="16">
        <v>0</v>
      </c>
      <c r="K66" s="16">
        <v>22520240</v>
      </c>
      <c r="L66" s="16">
        <v>0</v>
      </c>
      <c r="M66" s="16">
        <v>0</v>
      </c>
      <c r="N66" s="18">
        <f t="shared" si="1"/>
        <v>368582607.81693155</v>
      </c>
    </row>
    <row r="67" spans="1:14" ht="15" x14ac:dyDescent="0.2">
      <c r="A67" s="17" t="s">
        <v>62</v>
      </c>
      <c r="B67" s="16">
        <v>1427758293.73</v>
      </c>
      <c r="C67" s="16">
        <v>82694.591375260017</v>
      </c>
      <c r="D67" s="16">
        <v>7486924.3800000008</v>
      </c>
      <c r="E67" s="16">
        <v>11607301.859999999</v>
      </c>
      <c r="F67" s="16">
        <v>17240710.620000001</v>
      </c>
      <c r="G67" s="16">
        <v>9814195.688433731</v>
      </c>
      <c r="H67" s="16">
        <v>72322499.129999995</v>
      </c>
      <c r="I67" s="16">
        <v>62055705.450000003</v>
      </c>
      <c r="J67" s="16">
        <v>0</v>
      </c>
      <c r="K67" s="16">
        <v>104439440</v>
      </c>
      <c r="L67" s="16">
        <v>0</v>
      </c>
      <c r="M67" s="16">
        <v>0</v>
      </c>
      <c r="N67" s="18">
        <f t="shared" si="1"/>
        <v>1712807765.4498088</v>
      </c>
    </row>
    <row r="68" spans="1:14" ht="15" x14ac:dyDescent="0.2">
      <c r="A68" s="17" t="s">
        <v>63</v>
      </c>
      <c r="B68" s="16">
        <v>904626399.61000001</v>
      </c>
      <c r="C68" s="16">
        <v>52394.794182550009</v>
      </c>
      <c r="D68" s="16">
        <v>9976621.4199999981</v>
      </c>
      <c r="E68" s="16">
        <v>7354316.5300000012</v>
      </c>
      <c r="F68" s="16">
        <v>15204489.720000001</v>
      </c>
      <c r="G68" s="16">
        <v>9728661.7567793727</v>
      </c>
      <c r="H68" s="16">
        <v>45823471.859999999</v>
      </c>
      <c r="I68" s="16">
        <v>54726591.990000002</v>
      </c>
      <c r="J68" s="16">
        <v>0</v>
      </c>
      <c r="K68" s="16">
        <v>66172200</v>
      </c>
      <c r="L68" s="16">
        <v>0</v>
      </c>
      <c r="M68" s="16">
        <v>0</v>
      </c>
      <c r="N68" s="18">
        <f t="shared" si="1"/>
        <v>1113665147.6809621</v>
      </c>
    </row>
    <row r="69" spans="1:14" ht="15" x14ac:dyDescent="0.2">
      <c r="A69" s="17" t="s">
        <v>64</v>
      </c>
      <c r="B69" s="16">
        <v>3119594782.9700003</v>
      </c>
      <c r="C69" s="16">
        <v>164340.27079914004</v>
      </c>
      <c r="D69" s="16">
        <v>12691348.703343362</v>
      </c>
      <c r="E69" s="16">
        <v>23067375.57</v>
      </c>
      <c r="F69" s="16">
        <v>44872864.530000001</v>
      </c>
      <c r="G69" s="16">
        <v>9678551.735862961</v>
      </c>
      <c r="H69" s="16">
        <v>158021768.78</v>
      </c>
      <c r="I69" s="16">
        <v>161514065.44</v>
      </c>
      <c r="J69" s="16">
        <v>0</v>
      </c>
      <c r="K69" s="16">
        <v>207554160</v>
      </c>
      <c r="L69" s="16">
        <v>0</v>
      </c>
      <c r="M69" s="16">
        <v>0</v>
      </c>
      <c r="N69" s="18">
        <f t="shared" si="1"/>
        <v>3737159258.0000062</v>
      </c>
    </row>
    <row r="70" spans="1:14" ht="15" x14ac:dyDescent="0.2">
      <c r="A70" s="17" t="s">
        <v>65</v>
      </c>
      <c r="B70" s="16">
        <v>653084406.78999996</v>
      </c>
      <c r="C70" s="16">
        <v>35889.670464249997</v>
      </c>
      <c r="D70" s="16">
        <v>19458894.00064205</v>
      </c>
      <c r="E70" s="16">
        <v>5037600.47</v>
      </c>
      <c r="F70" s="16">
        <v>9965463.0399999991</v>
      </c>
      <c r="G70" s="16">
        <v>4324979.5</v>
      </c>
      <c r="H70" s="16">
        <v>33081717.440000001</v>
      </c>
      <c r="I70" s="16">
        <v>35869393.82</v>
      </c>
      <c r="J70" s="16">
        <v>0</v>
      </c>
      <c r="K70" s="16">
        <v>45327000</v>
      </c>
      <c r="L70" s="16">
        <v>0</v>
      </c>
      <c r="M70" s="16">
        <v>0</v>
      </c>
      <c r="N70" s="18">
        <f t="shared" si="1"/>
        <v>806185344.7311064</v>
      </c>
    </row>
    <row r="71" spans="1:14" ht="15" x14ac:dyDescent="0.2">
      <c r="A71" s="17" t="s">
        <v>66</v>
      </c>
      <c r="B71" s="16">
        <v>2530226335.1300001</v>
      </c>
      <c r="C71" s="16">
        <v>142657.67109141001</v>
      </c>
      <c r="D71" s="16">
        <v>12832993.040000003</v>
      </c>
      <c r="E71" s="16">
        <v>0</v>
      </c>
      <c r="F71" s="16">
        <v>6274812.6600000001</v>
      </c>
      <c r="G71" s="16">
        <v>4200782.45</v>
      </c>
      <c r="H71" s="16">
        <v>128167556.59</v>
      </c>
      <c r="I71" s="16">
        <v>22585375.68</v>
      </c>
      <c r="J71" s="16">
        <v>0</v>
      </c>
      <c r="K71" s="16">
        <v>180170040</v>
      </c>
      <c r="L71" s="16">
        <v>0</v>
      </c>
      <c r="M71" s="16">
        <v>0</v>
      </c>
      <c r="N71" s="18">
        <f t="shared" si="1"/>
        <v>2884600553.2210913</v>
      </c>
    </row>
    <row r="72" spans="1:14" ht="15" x14ac:dyDescent="0.2">
      <c r="A72" s="17" t="s">
        <v>67</v>
      </c>
      <c r="B72" s="16">
        <v>11787752888.369999</v>
      </c>
      <c r="C72" s="16">
        <v>682735.06908869999</v>
      </c>
      <c r="D72" s="16">
        <v>51697715.241676472</v>
      </c>
      <c r="E72" s="16">
        <v>95831082.620000005</v>
      </c>
      <c r="F72" s="16">
        <v>182579373.65000001</v>
      </c>
      <c r="G72" s="16">
        <v>0</v>
      </c>
      <c r="H72" s="16">
        <v>597103691.62</v>
      </c>
      <c r="I72" s="16">
        <v>657170811.44000006</v>
      </c>
      <c r="J72" s="16">
        <v>0</v>
      </c>
      <c r="K72" s="16">
        <v>862262800</v>
      </c>
      <c r="L72" s="16">
        <v>0</v>
      </c>
      <c r="M72" s="16">
        <v>0</v>
      </c>
      <c r="N72" s="18">
        <f t="shared" ref="N72:N103" si="2">SUM(B72:M72)</f>
        <v>14235081098.010765</v>
      </c>
    </row>
    <row r="73" spans="1:14" ht="15" x14ac:dyDescent="0.2">
      <c r="A73" s="17" t="s">
        <v>68</v>
      </c>
      <c r="B73" s="16">
        <v>5100448331.3299999</v>
      </c>
      <c r="C73" s="16">
        <v>273125.24791074003</v>
      </c>
      <c r="D73" s="16">
        <v>84565684.909488231</v>
      </c>
      <c r="E73" s="16">
        <v>38336816.379999995</v>
      </c>
      <c r="F73" s="16">
        <v>67767976.760000005</v>
      </c>
      <c r="G73" s="16">
        <v>37478022.002091445</v>
      </c>
      <c r="H73" s="16">
        <v>258361076.66</v>
      </c>
      <c r="I73" s="16">
        <v>243922057.31999999</v>
      </c>
      <c r="J73" s="16">
        <v>0</v>
      </c>
      <c r="K73" s="16">
        <v>344944560</v>
      </c>
      <c r="L73" s="16">
        <v>0</v>
      </c>
      <c r="M73" s="16">
        <v>0</v>
      </c>
      <c r="N73" s="18">
        <f t="shared" si="2"/>
        <v>6176097650.6094904</v>
      </c>
    </row>
    <row r="74" spans="1:14" ht="15" x14ac:dyDescent="0.2">
      <c r="A74" s="17" t="s">
        <v>69</v>
      </c>
      <c r="B74" s="16">
        <v>2841294424.3399997</v>
      </c>
      <c r="C74" s="16">
        <v>164565.30042968999</v>
      </c>
      <c r="D74" s="16">
        <v>23610014.220000003</v>
      </c>
      <c r="E74" s="16">
        <v>23098961.299999997</v>
      </c>
      <c r="F74" s="16">
        <v>49201601.490000002</v>
      </c>
      <c r="G74" s="16">
        <v>65349874.209486619</v>
      </c>
      <c r="H74" s="16">
        <v>143924580.53</v>
      </c>
      <c r="I74" s="16">
        <v>177094793.62</v>
      </c>
      <c r="J74" s="16">
        <v>0</v>
      </c>
      <c r="K74" s="16">
        <v>207838360</v>
      </c>
      <c r="L74" s="16">
        <v>0</v>
      </c>
      <c r="M74" s="16">
        <v>0</v>
      </c>
      <c r="N74" s="18">
        <f t="shared" si="2"/>
        <v>3531577175.0099158</v>
      </c>
    </row>
    <row r="75" spans="1:14" ht="15" x14ac:dyDescent="0.2">
      <c r="A75" s="17" t="s">
        <v>70</v>
      </c>
      <c r="B75" s="16">
        <v>462704392.97000003</v>
      </c>
      <c r="C75" s="16">
        <v>25745.042221700001</v>
      </c>
      <c r="D75" s="16">
        <v>4222881.7415406248</v>
      </c>
      <c r="E75" s="16">
        <v>3613664.5199999996</v>
      </c>
      <c r="F75" s="16">
        <v>894381.74</v>
      </c>
      <c r="G75" s="16">
        <v>482176.77</v>
      </c>
      <c r="H75" s="16">
        <v>23438097.48</v>
      </c>
      <c r="I75" s="16">
        <v>3219211.29</v>
      </c>
      <c r="J75" s="16">
        <v>0</v>
      </c>
      <c r="K75" s="16">
        <v>32514800</v>
      </c>
      <c r="L75" s="16">
        <v>0</v>
      </c>
      <c r="M75" s="16">
        <v>0</v>
      </c>
      <c r="N75" s="18">
        <f t="shared" si="2"/>
        <v>531115351.55376238</v>
      </c>
    </row>
    <row r="76" spans="1:14" ht="15" x14ac:dyDescent="0.2">
      <c r="A76" s="17" t="s">
        <v>71</v>
      </c>
      <c r="B76" s="16">
        <v>461001739.62</v>
      </c>
      <c r="C76" s="16">
        <v>25142.520557859996</v>
      </c>
      <c r="D76" s="16">
        <v>7175117.2172125923</v>
      </c>
      <c r="E76" s="16">
        <v>3529092.13</v>
      </c>
      <c r="F76" s="16">
        <v>1610240.65</v>
      </c>
      <c r="G76" s="16">
        <v>1132384.83</v>
      </c>
      <c r="H76" s="16">
        <v>23351850.280000001</v>
      </c>
      <c r="I76" s="16">
        <v>5795852.7400000002</v>
      </c>
      <c r="J76" s="16">
        <v>0</v>
      </c>
      <c r="K76" s="16">
        <v>31753840</v>
      </c>
      <c r="L76" s="16">
        <v>0</v>
      </c>
      <c r="M76" s="16">
        <v>0</v>
      </c>
      <c r="N76" s="18">
        <f t="shared" si="2"/>
        <v>535375259.98777044</v>
      </c>
    </row>
    <row r="77" spans="1:14" ht="15" x14ac:dyDescent="0.2">
      <c r="A77" s="17" t="s">
        <v>72</v>
      </c>
      <c r="B77" s="16">
        <v>539440642.27999997</v>
      </c>
      <c r="C77" s="16">
        <v>31243.993397630002</v>
      </c>
      <c r="D77" s="16">
        <v>5248555.8048660606</v>
      </c>
      <c r="E77" s="16">
        <v>4385516.45</v>
      </c>
      <c r="F77" s="16">
        <v>1891281.56</v>
      </c>
      <c r="G77" s="16">
        <v>723265.15</v>
      </c>
      <c r="H77" s="16">
        <v>27325140.09</v>
      </c>
      <c r="I77" s="16">
        <v>6807423.0899999999</v>
      </c>
      <c r="J77" s="16">
        <v>0</v>
      </c>
      <c r="K77" s="16">
        <v>39459719.999999993</v>
      </c>
      <c r="L77" s="16">
        <v>0</v>
      </c>
      <c r="M77" s="16">
        <v>0</v>
      </c>
      <c r="N77" s="18">
        <f t="shared" si="2"/>
        <v>625312788.41826367</v>
      </c>
    </row>
    <row r="78" spans="1:14" ht="15" x14ac:dyDescent="0.2">
      <c r="A78" s="17" t="s">
        <v>73</v>
      </c>
      <c r="B78" s="16">
        <v>209443054.13</v>
      </c>
      <c r="C78" s="16">
        <v>12130.388451730001</v>
      </c>
      <c r="D78" s="16">
        <v>1924667.7374094259</v>
      </c>
      <c r="E78" s="16">
        <v>1702663.84</v>
      </c>
      <c r="F78" s="16">
        <v>671670.08</v>
      </c>
      <c r="G78" s="16">
        <v>255699.8</v>
      </c>
      <c r="H78" s="16">
        <v>10609250.300000001</v>
      </c>
      <c r="I78" s="16">
        <v>2417589.5099999998</v>
      </c>
      <c r="J78" s="16">
        <v>0</v>
      </c>
      <c r="K78" s="16">
        <v>15320120</v>
      </c>
      <c r="L78" s="16">
        <v>0</v>
      </c>
      <c r="M78" s="16">
        <v>0</v>
      </c>
      <c r="N78" s="18">
        <f t="shared" si="2"/>
        <v>242356845.78586116</v>
      </c>
    </row>
    <row r="79" spans="1:14" ht="15" x14ac:dyDescent="0.2">
      <c r="A79" s="17" t="s">
        <v>74</v>
      </c>
      <c r="B79" s="16">
        <v>1017869539.7900001</v>
      </c>
      <c r="C79" s="16">
        <v>53094.673645729999</v>
      </c>
      <c r="D79" s="16">
        <v>14847705.829733726</v>
      </c>
      <c r="E79" s="16">
        <v>7452554.5800000001</v>
      </c>
      <c r="F79" s="16">
        <v>3376025.96</v>
      </c>
      <c r="G79" s="16">
        <v>1899484.24</v>
      </c>
      <c r="H79" s="16">
        <v>51559755.759999998</v>
      </c>
      <c r="I79" s="16">
        <v>12151568.32</v>
      </c>
      <c r="J79" s="16">
        <v>0</v>
      </c>
      <c r="K79" s="16">
        <v>67056120</v>
      </c>
      <c r="L79" s="16">
        <v>0</v>
      </c>
      <c r="M79" s="16">
        <v>0</v>
      </c>
      <c r="N79" s="18">
        <f t="shared" si="2"/>
        <v>1176265849.1533797</v>
      </c>
    </row>
    <row r="80" spans="1:14" ht="15" x14ac:dyDescent="0.2">
      <c r="A80" s="17" t="s">
        <v>75</v>
      </c>
      <c r="B80" s="16">
        <v>541093217.5999999</v>
      </c>
      <c r="C80" s="16">
        <v>30443.077161550005</v>
      </c>
      <c r="D80" s="16">
        <v>13580605.481236886</v>
      </c>
      <c r="E80" s="16">
        <v>4273097.0500000007</v>
      </c>
      <c r="F80" s="16">
        <v>1092347.6599999999</v>
      </c>
      <c r="G80" s="16">
        <v>759793.7</v>
      </c>
      <c r="H80" s="16">
        <v>27408850.600000001</v>
      </c>
      <c r="I80" s="16">
        <v>3931763.99</v>
      </c>
      <c r="J80" s="16">
        <v>0</v>
      </c>
      <c r="K80" s="16">
        <v>38448200.000000007</v>
      </c>
      <c r="L80" s="16">
        <v>0</v>
      </c>
      <c r="M80" s="16">
        <v>0</v>
      </c>
      <c r="N80" s="18">
        <f t="shared" si="2"/>
        <v>630618319.15839839</v>
      </c>
    </row>
    <row r="81" spans="1:14" ht="15" x14ac:dyDescent="0.2">
      <c r="A81" s="17" t="s">
        <v>76</v>
      </c>
      <c r="B81" s="16">
        <v>301803651.78000003</v>
      </c>
      <c r="C81" s="16">
        <v>16285.597548090002</v>
      </c>
      <c r="D81" s="16">
        <v>8591309.3219496608</v>
      </c>
      <c r="E81" s="16">
        <v>2285903.87</v>
      </c>
      <c r="F81" s="16">
        <v>2836922.34</v>
      </c>
      <c r="G81" s="16">
        <v>1738758.65</v>
      </c>
      <c r="H81" s="16">
        <v>15287737.74</v>
      </c>
      <c r="I81" s="16">
        <v>10211134.640000001</v>
      </c>
      <c r="J81" s="16">
        <v>0</v>
      </c>
      <c r="K81" s="16">
        <v>20567960</v>
      </c>
      <c r="L81" s="16">
        <v>0</v>
      </c>
      <c r="M81" s="16">
        <v>0</v>
      </c>
      <c r="N81" s="18">
        <f t="shared" si="2"/>
        <v>363339663.93949771</v>
      </c>
    </row>
    <row r="82" spans="1:14" ht="15" x14ac:dyDescent="0.2">
      <c r="A82" s="17" t="s">
        <v>77</v>
      </c>
      <c r="B82" s="16">
        <v>4837939247.8500004</v>
      </c>
      <c r="C82" s="16">
        <v>258596.70196772003</v>
      </c>
      <c r="D82" s="16">
        <v>35874198.630000003</v>
      </c>
      <c r="E82" s="16">
        <v>36297538.990000002</v>
      </c>
      <c r="F82" s="16">
        <v>81761692.769999996</v>
      </c>
      <c r="G82" s="16">
        <v>68382026.332758933</v>
      </c>
      <c r="H82" s="16">
        <v>245063788.84</v>
      </c>
      <c r="I82" s="16">
        <v>294290626.12</v>
      </c>
      <c r="J82" s="16">
        <v>0</v>
      </c>
      <c r="K82" s="16">
        <v>326595680</v>
      </c>
      <c r="L82" s="16">
        <v>0</v>
      </c>
      <c r="M82" s="16">
        <v>0</v>
      </c>
      <c r="N82" s="18">
        <f t="shared" si="2"/>
        <v>5926463396.2347279</v>
      </c>
    </row>
    <row r="83" spans="1:14" ht="15" x14ac:dyDescent="0.2">
      <c r="A83" s="17" t="s">
        <v>78</v>
      </c>
      <c r="B83" s="16">
        <v>1354961516.8799999</v>
      </c>
      <c r="C83" s="16">
        <v>78477.841971770002</v>
      </c>
      <c r="D83" s="16">
        <v>18727544.507978015</v>
      </c>
      <c r="E83" s="16">
        <v>11015424.1</v>
      </c>
      <c r="F83" s="16">
        <v>9053405.7599999998</v>
      </c>
      <c r="G83" s="16">
        <v>4624513.55</v>
      </c>
      <c r="H83" s="16">
        <v>68635008.849999994</v>
      </c>
      <c r="I83" s="16">
        <v>32586561.75</v>
      </c>
      <c r="J83" s="16">
        <v>0</v>
      </c>
      <c r="K83" s="16">
        <v>99113880</v>
      </c>
      <c r="L83" s="16">
        <v>0</v>
      </c>
      <c r="M83" s="16">
        <v>0</v>
      </c>
      <c r="N83" s="18">
        <f t="shared" si="2"/>
        <v>1598796333.2399495</v>
      </c>
    </row>
    <row r="84" spans="1:14" ht="15" x14ac:dyDescent="0.2">
      <c r="A84" s="17" t="s">
        <v>79</v>
      </c>
      <c r="B84" s="16">
        <v>520511143.32999998</v>
      </c>
      <c r="C84" s="16">
        <v>27154.915825350003</v>
      </c>
      <c r="D84" s="16">
        <v>3808143.3065843103</v>
      </c>
      <c r="E84" s="16">
        <v>3811558.7399999998</v>
      </c>
      <c r="F84" s="16">
        <v>1817044.34</v>
      </c>
      <c r="G84" s="16">
        <v>419799.10788507963</v>
      </c>
      <c r="H84" s="16">
        <v>26366274.23</v>
      </c>
      <c r="I84" s="16">
        <v>6540215.8300000001</v>
      </c>
      <c r="J84" s="16">
        <v>0</v>
      </c>
      <c r="K84" s="16">
        <v>34295400.000000007</v>
      </c>
      <c r="L84" s="16">
        <v>0</v>
      </c>
      <c r="M84" s="16">
        <v>0</v>
      </c>
      <c r="N84" s="18">
        <f t="shared" si="2"/>
        <v>597596733.80029476</v>
      </c>
    </row>
    <row r="85" spans="1:14" ht="15" x14ac:dyDescent="0.2">
      <c r="A85" s="17" t="s">
        <v>80</v>
      </c>
      <c r="B85" s="16">
        <v>430053511.13999999</v>
      </c>
      <c r="C85" s="16">
        <v>24195.567622770002</v>
      </c>
      <c r="D85" s="16">
        <v>3178539.3956927783</v>
      </c>
      <c r="E85" s="16">
        <v>3396174.26</v>
      </c>
      <c r="F85" s="16">
        <v>859030.69</v>
      </c>
      <c r="G85" s="16">
        <v>474871.06</v>
      </c>
      <c r="H85" s="16">
        <v>21784180.719999999</v>
      </c>
      <c r="I85" s="16">
        <v>3091969.74</v>
      </c>
      <c r="J85" s="16">
        <v>0</v>
      </c>
      <c r="K85" s="16">
        <v>30557880</v>
      </c>
      <c r="L85" s="16">
        <v>0</v>
      </c>
      <c r="M85" s="16">
        <v>0</v>
      </c>
      <c r="N85" s="18">
        <f t="shared" si="2"/>
        <v>493420352.5733155</v>
      </c>
    </row>
    <row r="86" spans="1:14" ht="15" x14ac:dyDescent="0.2">
      <c r="A86" s="17" t="s">
        <v>81</v>
      </c>
      <c r="B86" s="16">
        <v>5529032886.7599993</v>
      </c>
      <c r="C86" s="16">
        <v>305926.07385441998</v>
      </c>
      <c r="D86" s="16">
        <v>34548430.829999991</v>
      </c>
      <c r="E86" s="16">
        <v>42940854.460000001</v>
      </c>
      <c r="F86" s="16">
        <v>51299686.729999997</v>
      </c>
      <c r="G86" s="16">
        <v>16693282.491404068</v>
      </c>
      <c r="H86" s="16">
        <v>280070848.02999997</v>
      </c>
      <c r="I86" s="16">
        <v>184646579.80000001</v>
      </c>
      <c r="J86" s="16">
        <v>0</v>
      </c>
      <c r="K86" s="16">
        <v>386370480</v>
      </c>
      <c r="L86" s="16">
        <v>0</v>
      </c>
      <c r="M86" s="16">
        <v>0</v>
      </c>
      <c r="N86" s="18">
        <f t="shared" si="2"/>
        <v>6525908975.1752577</v>
      </c>
    </row>
    <row r="87" spans="1:14" ht="15" x14ac:dyDescent="0.2">
      <c r="A87" s="17" t="s">
        <v>82</v>
      </c>
      <c r="B87" s="16">
        <v>818208395.98000002</v>
      </c>
      <c r="C87" s="16">
        <v>42646.022841090002</v>
      </c>
      <c r="D87" s="16">
        <v>4449389.2569949487</v>
      </c>
      <c r="E87" s="16">
        <v>5985945.6799999997</v>
      </c>
      <c r="F87" s="16">
        <v>1456463.55</v>
      </c>
      <c r="G87" s="16">
        <v>1380778.93</v>
      </c>
      <c r="H87" s="16">
        <v>41446004.039999999</v>
      </c>
      <c r="I87" s="16">
        <v>5242351.99</v>
      </c>
      <c r="J87" s="16">
        <v>0</v>
      </c>
      <c r="K87" s="16">
        <v>53859960</v>
      </c>
      <c r="L87" s="16">
        <v>0</v>
      </c>
      <c r="M87" s="16">
        <v>0</v>
      </c>
      <c r="N87" s="18">
        <f t="shared" si="2"/>
        <v>932071935.4498359</v>
      </c>
    </row>
    <row r="88" spans="1:14" ht="15" x14ac:dyDescent="0.2">
      <c r="A88" s="17" t="s">
        <v>83</v>
      </c>
      <c r="B88" s="16">
        <v>655705157.49999988</v>
      </c>
      <c r="C88" s="16">
        <v>34534.911463999997</v>
      </c>
      <c r="D88" s="16">
        <v>3401581.5398946996</v>
      </c>
      <c r="E88" s="16">
        <v>4847441.5199999996</v>
      </c>
      <c r="F88" s="16">
        <v>7147983.7699999996</v>
      </c>
      <c r="G88" s="16">
        <v>2790780.69</v>
      </c>
      <c r="H88" s="16">
        <v>33214470.469999999</v>
      </c>
      <c r="I88" s="16">
        <v>25728242.039999999</v>
      </c>
      <c r="J88" s="16">
        <v>0</v>
      </c>
      <c r="K88" s="16">
        <v>43616000</v>
      </c>
      <c r="L88" s="16">
        <v>0</v>
      </c>
      <c r="M88" s="16">
        <v>0</v>
      </c>
      <c r="N88" s="18">
        <f t="shared" si="2"/>
        <v>776486192.44135857</v>
      </c>
    </row>
    <row r="89" spans="1:14" ht="15" x14ac:dyDescent="0.2">
      <c r="A89" s="17" t="s">
        <v>84</v>
      </c>
      <c r="B89" s="16">
        <v>1094488940.3299999</v>
      </c>
      <c r="C89" s="16">
        <v>59884.09678461001</v>
      </c>
      <c r="D89" s="16">
        <v>9099984.311012201</v>
      </c>
      <c r="E89" s="16">
        <v>8405540.9499999993</v>
      </c>
      <c r="F89" s="16">
        <v>6011447.2800000003</v>
      </c>
      <c r="G89" s="16">
        <v>3039174.78</v>
      </c>
      <c r="H89" s="16">
        <v>55440879.439999998</v>
      </c>
      <c r="I89" s="16">
        <v>21637426.109999999</v>
      </c>
      <c r="J89" s="16">
        <v>0</v>
      </c>
      <c r="K89" s="16">
        <v>75630839.999999985</v>
      </c>
      <c r="L89" s="16">
        <v>0</v>
      </c>
      <c r="M89" s="16">
        <v>0</v>
      </c>
      <c r="N89" s="18">
        <f t="shared" si="2"/>
        <v>1273814117.2977967</v>
      </c>
    </row>
    <row r="90" spans="1:14" ht="15" x14ac:dyDescent="0.2">
      <c r="A90" s="17" t="s">
        <v>85</v>
      </c>
      <c r="B90" s="16">
        <v>5123834775.8099995</v>
      </c>
      <c r="C90" s="16">
        <v>296766.97276934003</v>
      </c>
      <c r="D90" s="16">
        <v>15991943.077197226</v>
      </c>
      <c r="E90" s="16">
        <v>41655251.079999998</v>
      </c>
      <c r="F90" s="16">
        <v>81544283.769999996</v>
      </c>
      <c r="G90" s="16">
        <v>22898945.72158704</v>
      </c>
      <c r="H90" s="16">
        <v>259545707.22</v>
      </c>
      <c r="I90" s="16">
        <v>293508090.56</v>
      </c>
      <c r="J90" s="16">
        <v>0</v>
      </c>
      <c r="K90" s="16">
        <v>374802960</v>
      </c>
      <c r="L90" s="16">
        <v>0</v>
      </c>
      <c r="M90" s="16">
        <v>0</v>
      </c>
      <c r="N90" s="18">
        <f t="shared" si="2"/>
        <v>6214078724.2115545</v>
      </c>
    </row>
    <row r="91" spans="1:14" ht="15" x14ac:dyDescent="0.2">
      <c r="A91" s="17" t="s">
        <v>86</v>
      </c>
      <c r="B91" s="16">
        <v>223114358.91999999</v>
      </c>
      <c r="C91" s="16">
        <v>11867.70684219</v>
      </c>
      <c r="D91" s="16">
        <v>7024041.089903024</v>
      </c>
      <c r="E91" s="16">
        <v>1665792.35</v>
      </c>
      <c r="F91" s="16">
        <v>1893049.11</v>
      </c>
      <c r="G91" s="16">
        <v>1037410.62</v>
      </c>
      <c r="H91" s="16">
        <v>11301764.52</v>
      </c>
      <c r="I91" s="16">
        <v>6813785.1699999999</v>
      </c>
      <c r="J91" s="16">
        <v>0</v>
      </c>
      <c r="K91" s="16">
        <v>14988360</v>
      </c>
      <c r="L91" s="16">
        <v>0</v>
      </c>
      <c r="M91" s="16">
        <v>0</v>
      </c>
      <c r="N91" s="18">
        <f t="shared" si="2"/>
        <v>267850429.48674521</v>
      </c>
    </row>
    <row r="92" spans="1:14" ht="15" x14ac:dyDescent="0.2">
      <c r="A92" s="17" t="s">
        <v>87</v>
      </c>
      <c r="B92" s="16">
        <v>332601646.13999999</v>
      </c>
      <c r="C92" s="16">
        <v>17768.02837955</v>
      </c>
      <c r="D92" s="16">
        <v>875806.85</v>
      </c>
      <c r="E92" s="16">
        <v>1555365.44</v>
      </c>
      <c r="F92" s="16">
        <v>404769.6</v>
      </c>
      <c r="G92" s="16">
        <v>350674.01</v>
      </c>
      <c r="H92" s="16">
        <v>16847797.260000002</v>
      </c>
      <c r="I92" s="16">
        <v>1456915.78</v>
      </c>
      <c r="J92" s="16">
        <v>0</v>
      </c>
      <c r="K92" s="16">
        <v>22440200</v>
      </c>
      <c r="L92" s="16">
        <v>0</v>
      </c>
      <c r="M92" s="16">
        <v>0</v>
      </c>
      <c r="N92" s="18">
        <f t="shared" si="2"/>
        <v>376550943.10837954</v>
      </c>
    </row>
    <row r="93" spans="1:14" ht="15" x14ac:dyDescent="0.2">
      <c r="A93" s="17" t="s">
        <v>88</v>
      </c>
      <c r="B93" s="16">
        <v>3448023259.2399998</v>
      </c>
      <c r="C93" s="16">
        <v>168362.30460395</v>
      </c>
      <c r="D93" s="16">
        <v>13913044.614900781</v>
      </c>
      <c r="E93" s="16">
        <v>23631922.02</v>
      </c>
      <c r="F93" s="16">
        <v>66088801.539999999</v>
      </c>
      <c r="G93" s="16">
        <v>14148181.614487663</v>
      </c>
      <c r="H93" s="16">
        <v>174658175.86000001</v>
      </c>
      <c r="I93" s="16">
        <v>237878083.53999999</v>
      </c>
      <c r="J93" s="16">
        <v>0</v>
      </c>
      <c r="K93" s="16">
        <v>212633800</v>
      </c>
      <c r="L93" s="16">
        <v>0</v>
      </c>
      <c r="M93" s="16">
        <v>0</v>
      </c>
      <c r="N93" s="18">
        <f t="shared" si="2"/>
        <v>4191143630.7339921</v>
      </c>
    </row>
    <row r="94" spans="1:14" ht="15" x14ac:dyDescent="0.2">
      <c r="A94" s="17" t="s">
        <v>89</v>
      </c>
      <c r="B94" s="16">
        <v>1952142138.8800001</v>
      </c>
      <c r="C94" s="16">
        <v>113066.02355238999</v>
      </c>
      <c r="D94" s="16">
        <v>28021909.210000005</v>
      </c>
      <c r="E94" s="16">
        <v>15870343.059999999</v>
      </c>
      <c r="F94" s="16">
        <v>29884016.25</v>
      </c>
      <c r="G94" s="16">
        <v>17228454.8076992</v>
      </c>
      <c r="H94" s="16">
        <v>98884943.450000003</v>
      </c>
      <c r="I94" s="16">
        <v>107563646.92</v>
      </c>
      <c r="J94" s="16">
        <v>0</v>
      </c>
      <c r="K94" s="16">
        <v>142797160</v>
      </c>
      <c r="L94" s="16">
        <v>0</v>
      </c>
      <c r="M94" s="16">
        <v>0</v>
      </c>
      <c r="N94" s="18">
        <f t="shared" si="2"/>
        <v>2392505678.6012516</v>
      </c>
    </row>
    <row r="95" spans="1:14" ht="15" x14ac:dyDescent="0.2">
      <c r="A95" s="17" t="s">
        <v>90</v>
      </c>
      <c r="B95" s="16">
        <v>363433025.80999994</v>
      </c>
      <c r="C95" s="16">
        <v>20006.365520980002</v>
      </c>
      <c r="D95" s="16">
        <v>4296842.519661542</v>
      </c>
      <c r="E95" s="16">
        <v>2808164.13</v>
      </c>
      <c r="F95" s="16">
        <v>1465301.32</v>
      </c>
      <c r="G95" s="16">
        <v>832850.78</v>
      </c>
      <c r="H95" s="16">
        <v>18409547.899999999</v>
      </c>
      <c r="I95" s="16">
        <v>5274162.38</v>
      </c>
      <c r="J95" s="16">
        <v>0</v>
      </c>
      <c r="K95" s="16">
        <v>25267120</v>
      </c>
      <c r="L95" s="16">
        <v>0</v>
      </c>
      <c r="M95" s="16">
        <v>0</v>
      </c>
      <c r="N95" s="18">
        <f t="shared" si="2"/>
        <v>421807021.20518237</v>
      </c>
    </row>
    <row r="96" spans="1:14" ht="15" x14ac:dyDescent="0.2">
      <c r="A96" s="17" t="s">
        <v>91</v>
      </c>
      <c r="B96" s="16">
        <v>1133583196.55</v>
      </c>
      <c r="C96" s="16">
        <v>65654.912003980004</v>
      </c>
      <c r="D96" s="16">
        <v>17592355.689509034</v>
      </c>
      <c r="E96" s="16">
        <v>757989.8</v>
      </c>
      <c r="F96" s="16">
        <v>8212050.5999999996</v>
      </c>
      <c r="G96" s="16">
        <v>4259228.12</v>
      </c>
      <c r="H96" s="16">
        <v>57421182.640000001</v>
      </c>
      <c r="I96" s="16">
        <v>29558212.789999999</v>
      </c>
      <c r="J96" s="16">
        <v>0</v>
      </c>
      <c r="K96" s="16">
        <v>82919120</v>
      </c>
      <c r="L96" s="16">
        <v>0</v>
      </c>
      <c r="M96" s="16">
        <v>0</v>
      </c>
      <c r="N96" s="18">
        <f t="shared" si="2"/>
        <v>1334368991.1015129</v>
      </c>
    </row>
    <row r="97" spans="1:14" ht="15" x14ac:dyDescent="0.2">
      <c r="A97" s="17" t="s">
        <v>92</v>
      </c>
      <c r="B97" s="16">
        <v>589468603.83000004</v>
      </c>
      <c r="C97" s="16">
        <v>31881.420310289999</v>
      </c>
      <c r="D97" s="16">
        <v>15574654.304273956</v>
      </c>
      <c r="E97" s="16">
        <v>4474987.84</v>
      </c>
      <c r="F97" s="16">
        <v>3791400.89</v>
      </c>
      <c r="G97" s="16">
        <v>2191712.58</v>
      </c>
      <c r="H97" s="16">
        <v>29859285.550000001</v>
      </c>
      <c r="I97" s="16">
        <v>13646656.57</v>
      </c>
      <c r="J97" s="16">
        <v>0</v>
      </c>
      <c r="K97" s="16">
        <v>40264759.999999993</v>
      </c>
      <c r="L97" s="16">
        <v>0</v>
      </c>
      <c r="M97" s="16">
        <v>0</v>
      </c>
      <c r="N97" s="18">
        <f t="shared" si="2"/>
        <v>699303942.98458433</v>
      </c>
    </row>
    <row r="98" spans="1:14" ht="15" x14ac:dyDescent="0.2">
      <c r="A98" s="17" t="s">
        <v>93</v>
      </c>
      <c r="B98" s="16">
        <v>1659419304.8499999</v>
      </c>
      <c r="C98" s="16">
        <v>88546.234012950008</v>
      </c>
      <c r="D98" s="16">
        <v>27410943.390476909</v>
      </c>
      <c r="E98" s="16">
        <v>12428659.58</v>
      </c>
      <c r="F98" s="16">
        <v>8816553.6799999997</v>
      </c>
      <c r="G98" s="16">
        <v>5245498.78</v>
      </c>
      <c r="H98" s="16">
        <v>84057190.739999995</v>
      </c>
      <c r="I98" s="16">
        <v>31734043.350000001</v>
      </c>
      <c r="J98" s="16">
        <v>0</v>
      </c>
      <c r="K98" s="16">
        <v>111829800</v>
      </c>
      <c r="L98" s="16">
        <v>0</v>
      </c>
      <c r="M98" s="16">
        <v>0</v>
      </c>
      <c r="N98" s="18">
        <f t="shared" si="2"/>
        <v>1941030540.6044896</v>
      </c>
    </row>
    <row r="99" spans="1:14" ht="15" x14ac:dyDescent="0.2">
      <c r="A99" s="17" t="s">
        <v>94</v>
      </c>
      <c r="B99" s="16">
        <v>1172493833.3199999</v>
      </c>
      <c r="C99" s="16">
        <v>63515.767148670006</v>
      </c>
      <c r="D99" s="16">
        <v>5913259.2949777478</v>
      </c>
      <c r="E99" s="16">
        <v>8915295.8399999999</v>
      </c>
      <c r="F99" s="16">
        <v>3268205.24</v>
      </c>
      <c r="G99" s="16">
        <v>1570727.35</v>
      </c>
      <c r="H99" s="16">
        <v>59392184.659999996</v>
      </c>
      <c r="I99" s="16">
        <v>11763481.59</v>
      </c>
      <c r="J99" s="16">
        <v>0</v>
      </c>
      <c r="K99" s="16">
        <v>80217480</v>
      </c>
      <c r="L99" s="16">
        <v>0</v>
      </c>
      <c r="M99" s="16">
        <v>0</v>
      </c>
      <c r="N99" s="18">
        <f t="shared" si="2"/>
        <v>1343597983.0621262</v>
      </c>
    </row>
    <row r="100" spans="1:14" ht="15" x14ac:dyDescent="0.2">
      <c r="A100" s="17" t="s">
        <v>95</v>
      </c>
      <c r="B100" s="16">
        <v>1279193442.9899998</v>
      </c>
      <c r="C100" s="16">
        <v>71384.406270799998</v>
      </c>
      <c r="D100" s="16">
        <v>11737473.612784702</v>
      </c>
      <c r="E100" s="16">
        <v>10019764.77</v>
      </c>
      <c r="F100" s="16">
        <v>3669439.74</v>
      </c>
      <c r="G100" s="16">
        <v>1870261.4</v>
      </c>
      <c r="H100" s="16">
        <v>64797008.759999998</v>
      </c>
      <c r="I100" s="16">
        <v>13207673.210000001</v>
      </c>
      <c r="J100" s="16">
        <v>0</v>
      </c>
      <c r="K100" s="16">
        <v>90155200</v>
      </c>
      <c r="L100" s="16">
        <v>0</v>
      </c>
      <c r="M100" s="16">
        <v>0</v>
      </c>
      <c r="N100" s="18">
        <f t="shared" si="2"/>
        <v>1474721648.8890553</v>
      </c>
    </row>
    <row r="101" spans="1:14" ht="15" x14ac:dyDescent="0.2">
      <c r="A101" s="17" t="s">
        <v>96</v>
      </c>
      <c r="B101" s="16">
        <v>262141844.44</v>
      </c>
      <c r="C101" s="16">
        <v>14129.000068369998</v>
      </c>
      <c r="D101" s="16">
        <v>2907167.5370864822</v>
      </c>
      <c r="E101" s="16">
        <v>1983196.62</v>
      </c>
      <c r="F101" s="16">
        <v>438353.1</v>
      </c>
      <c r="G101" s="16">
        <v>299534.05</v>
      </c>
      <c r="H101" s="16">
        <v>13278685.48</v>
      </c>
      <c r="I101" s="16">
        <v>1577795.26</v>
      </c>
      <c r="J101" s="16">
        <v>0</v>
      </c>
      <c r="K101" s="16">
        <v>17844280</v>
      </c>
      <c r="L101" s="16">
        <v>0</v>
      </c>
      <c r="M101" s="16">
        <v>0</v>
      </c>
      <c r="N101" s="18">
        <f t="shared" si="2"/>
        <v>300484985.48715484</v>
      </c>
    </row>
    <row r="102" spans="1:14" ht="15" x14ac:dyDescent="0.2">
      <c r="A102" s="17" t="s">
        <v>97</v>
      </c>
      <c r="B102" s="16">
        <v>720022053</v>
      </c>
      <c r="C102" s="16">
        <v>39742.7014853</v>
      </c>
      <c r="D102" s="16">
        <v>20894722.354193449</v>
      </c>
      <c r="E102" s="16">
        <v>5578425.3900000006</v>
      </c>
      <c r="F102" s="16">
        <v>8487788.8399999999</v>
      </c>
      <c r="G102" s="16">
        <v>4807156.2699999996</v>
      </c>
      <c r="H102" s="16">
        <v>36472415.909999996</v>
      </c>
      <c r="I102" s="16">
        <v>30550696.899999999</v>
      </c>
      <c r="J102" s="16">
        <v>0</v>
      </c>
      <c r="K102" s="16">
        <v>50193200</v>
      </c>
      <c r="L102" s="16">
        <v>0</v>
      </c>
      <c r="M102" s="16">
        <v>0</v>
      </c>
      <c r="N102" s="18">
        <f t="shared" si="2"/>
        <v>877046201.36567867</v>
      </c>
    </row>
    <row r="103" spans="1:14" ht="15" x14ac:dyDescent="0.2">
      <c r="A103" s="17" t="s">
        <v>98</v>
      </c>
      <c r="B103" s="16">
        <v>263243561.32999998</v>
      </c>
      <c r="C103" s="16">
        <v>14104.209496840002</v>
      </c>
      <c r="D103" s="16">
        <v>3905049.6323268567</v>
      </c>
      <c r="E103" s="16">
        <v>1979715.75</v>
      </c>
      <c r="F103" s="16">
        <v>210338.79</v>
      </c>
      <c r="G103" s="16">
        <v>189948.42</v>
      </c>
      <c r="H103" s="16">
        <v>13334492.49</v>
      </c>
      <c r="I103" s="16">
        <v>757087.24</v>
      </c>
      <c r="J103" s="16">
        <v>0</v>
      </c>
      <c r="K103" s="16">
        <v>17812960</v>
      </c>
      <c r="L103" s="16">
        <v>0</v>
      </c>
      <c r="M103" s="16">
        <v>0</v>
      </c>
      <c r="N103" s="18">
        <f t="shared" si="2"/>
        <v>301447257.86182374</v>
      </c>
    </row>
    <row r="104" spans="1:14" ht="15" x14ac:dyDescent="0.2">
      <c r="A104" s="17" t="s">
        <v>99</v>
      </c>
      <c r="B104" s="16">
        <v>3896705801.2199998</v>
      </c>
      <c r="C104" s="16">
        <v>196201.48175485001</v>
      </c>
      <c r="D104" s="16">
        <v>38609901.426259764</v>
      </c>
      <c r="E104" s="16">
        <v>27539527.149999999</v>
      </c>
      <c r="F104" s="16">
        <v>43105311.659999996</v>
      </c>
      <c r="G104" s="16">
        <v>9571763.8189597465</v>
      </c>
      <c r="H104" s="16">
        <v>197386002.33000001</v>
      </c>
      <c r="I104" s="16">
        <v>155151987.78999999</v>
      </c>
      <c r="J104" s="16">
        <v>0</v>
      </c>
      <c r="K104" s="16">
        <v>247793400.00000003</v>
      </c>
      <c r="L104" s="16">
        <v>0</v>
      </c>
      <c r="M104" s="16">
        <v>0</v>
      </c>
      <c r="N104" s="18">
        <f t="shared" ref="N104:N135" si="3">SUM(B104:M104)</f>
        <v>4616059896.8769741</v>
      </c>
    </row>
    <row r="105" spans="1:14" ht="15" x14ac:dyDescent="0.2">
      <c r="A105" s="17" t="s">
        <v>100</v>
      </c>
      <c r="B105" s="16">
        <v>692796292.1400001</v>
      </c>
      <c r="C105" s="16">
        <v>37095.646035320009</v>
      </c>
      <c r="D105" s="16">
        <v>7698612.9700000007</v>
      </c>
      <c r="E105" s="16">
        <v>4584366.03</v>
      </c>
      <c r="F105" s="16">
        <v>1857698.05</v>
      </c>
      <c r="G105" s="16">
        <v>1643784.44</v>
      </c>
      <c r="H105" s="16">
        <v>35093306.380000003</v>
      </c>
      <c r="I105" s="16">
        <v>6686543.6200000001</v>
      </c>
      <c r="J105" s="16">
        <v>0</v>
      </c>
      <c r="K105" s="16">
        <v>46850080</v>
      </c>
      <c r="L105" s="16">
        <v>0</v>
      </c>
      <c r="M105" s="16">
        <v>0</v>
      </c>
      <c r="N105" s="18">
        <f t="shared" si="3"/>
        <v>797247779.27603543</v>
      </c>
    </row>
    <row r="106" spans="1:14" ht="15" x14ac:dyDescent="0.2">
      <c r="A106" s="17" t="s">
        <v>101</v>
      </c>
      <c r="B106" s="16">
        <v>711408630.23000002</v>
      </c>
      <c r="C106" s="16">
        <v>35395.533520429999</v>
      </c>
      <c r="D106" s="16">
        <v>3627912.3699999996</v>
      </c>
      <c r="E106" s="16">
        <v>4968240.8</v>
      </c>
      <c r="F106" s="16">
        <v>13162966.16</v>
      </c>
      <c r="G106" s="16">
        <v>3937155.937823873</v>
      </c>
      <c r="H106" s="16">
        <v>36036106.579999998</v>
      </c>
      <c r="I106" s="16">
        <v>47378392.299999997</v>
      </c>
      <c r="J106" s="16">
        <v>0</v>
      </c>
      <c r="K106" s="16">
        <v>44702920</v>
      </c>
      <c r="L106" s="16">
        <v>0</v>
      </c>
      <c r="M106" s="16">
        <v>0</v>
      </c>
      <c r="N106" s="18">
        <f t="shared" si="3"/>
        <v>865257719.91134429</v>
      </c>
    </row>
    <row r="107" spans="1:14" ht="15" x14ac:dyDescent="0.2">
      <c r="A107" s="17" t="s">
        <v>102</v>
      </c>
      <c r="B107" s="16">
        <v>986003213.92000008</v>
      </c>
      <c r="C107" s="16">
        <v>53787.215161789994</v>
      </c>
      <c r="D107" s="16">
        <v>4710643.0510317311</v>
      </c>
      <c r="E107" s="16">
        <v>0</v>
      </c>
      <c r="F107" s="16">
        <v>731766.88</v>
      </c>
      <c r="G107" s="16">
        <v>694042.32</v>
      </c>
      <c r="H107" s="16">
        <v>49945580.350000001</v>
      </c>
      <c r="I107" s="16">
        <v>2633900.15</v>
      </c>
      <c r="J107" s="16">
        <v>0</v>
      </c>
      <c r="K107" s="16">
        <v>67930760</v>
      </c>
      <c r="L107" s="16">
        <v>0</v>
      </c>
      <c r="M107" s="16">
        <v>0</v>
      </c>
      <c r="N107" s="18">
        <f t="shared" si="3"/>
        <v>1112703693.8861938</v>
      </c>
    </row>
    <row r="108" spans="1:14" ht="15" x14ac:dyDescent="0.2">
      <c r="A108" s="17" t="s">
        <v>103</v>
      </c>
      <c r="B108" s="16">
        <v>349611486.88</v>
      </c>
      <c r="C108" s="16">
        <v>18529.44814986</v>
      </c>
      <c r="D108" s="16">
        <v>2731223.5931382063</v>
      </c>
      <c r="E108" s="16">
        <v>2600858.65</v>
      </c>
      <c r="F108" s="16">
        <v>742372.2</v>
      </c>
      <c r="G108" s="16">
        <v>511399.6</v>
      </c>
      <c r="H108" s="16">
        <v>17709423.629999999</v>
      </c>
      <c r="I108" s="16">
        <v>2672072.62</v>
      </c>
      <c r="J108" s="16">
        <v>0</v>
      </c>
      <c r="K108" s="16">
        <v>23401840</v>
      </c>
      <c r="L108" s="16">
        <v>0</v>
      </c>
      <c r="M108" s="16">
        <v>0</v>
      </c>
      <c r="N108" s="18">
        <f t="shared" si="3"/>
        <v>399999206.62128806</v>
      </c>
    </row>
    <row r="109" spans="1:14" ht="15" x14ac:dyDescent="0.2">
      <c r="A109" s="17" t="s">
        <v>104</v>
      </c>
      <c r="B109" s="16">
        <v>3360670465.54</v>
      </c>
      <c r="C109" s="16">
        <v>192394.37290330001</v>
      </c>
      <c r="D109" s="16">
        <v>37293438.013494588</v>
      </c>
      <c r="E109" s="16">
        <v>27005148.289999999</v>
      </c>
      <c r="F109" s="16">
        <v>75796201.859999999</v>
      </c>
      <c r="G109" s="16">
        <v>45750301.623759665</v>
      </c>
      <c r="H109" s="16">
        <v>170233356.63</v>
      </c>
      <c r="I109" s="16">
        <v>272818614.02999997</v>
      </c>
      <c r="J109" s="16">
        <v>0</v>
      </c>
      <c r="K109" s="16">
        <v>242985200</v>
      </c>
      <c r="L109" s="16">
        <v>0</v>
      </c>
      <c r="M109" s="16">
        <v>0</v>
      </c>
      <c r="N109" s="18">
        <f t="shared" si="3"/>
        <v>4232745120.360158</v>
      </c>
    </row>
    <row r="110" spans="1:14" ht="15" x14ac:dyDescent="0.2">
      <c r="A110" s="17" t="s">
        <v>105</v>
      </c>
      <c r="B110" s="16">
        <v>385200280.38</v>
      </c>
      <c r="C110" s="16">
        <v>21003.84184252</v>
      </c>
      <c r="D110" s="16">
        <v>5043389.1617888277</v>
      </c>
      <c r="E110" s="16">
        <v>2948172.68</v>
      </c>
      <c r="F110" s="16">
        <v>2897019.14</v>
      </c>
      <c r="G110" s="16">
        <v>1658395.85</v>
      </c>
      <c r="H110" s="16">
        <v>19512159.07</v>
      </c>
      <c r="I110" s="16">
        <v>10427445.279999999</v>
      </c>
      <c r="J110" s="16">
        <v>0</v>
      </c>
      <c r="K110" s="16">
        <v>26526880</v>
      </c>
      <c r="L110" s="16">
        <v>0</v>
      </c>
      <c r="M110" s="16">
        <v>0</v>
      </c>
      <c r="N110" s="18">
        <f t="shared" si="3"/>
        <v>454234745.40363133</v>
      </c>
    </row>
    <row r="111" spans="1:14" ht="15" x14ac:dyDescent="0.2">
      <c r="A111" s="17" t="s">
        <v>106</v>
      </c>
      <c r="B111" s="16">
        <v>443340884.32000005</v>
      </c>
      <c r="C111" s="16">
        <v>25004.744049360001</v>
      </c>
      <c r="D111" s="16">
        <v>6349103.9754416924</v>
      </c>
      <c r="E111" s="16">
        <v>3509753.94</v>
      </c>
      <c r="F111" s="16">
        <v>1009272.68</v>
      </c>
      <c r="G111" s="16">
        <v>694042.32</v>
      </c>
      <c r="H111" s="16">
        <v>22457247.050000001</v>
      </c>
      <c r="I111" s="16">
        <v>3632746.34</v>
      </c>
      <c r="J111" s="16">
        <v>0</v>
      </c>
      <c r="K111" s="16">
        <v>31579840</v>
      </c>
      <c r="L111" s="16">
        <v>0</v>
      </c>
      <c r="M111" s="16">
        <v>0</v>
      </c>
      <c r="N111" s="18">
        <f t="shared" si="3"/>
        <v>512597895.3694911</v>
      </c>
    </row>
    <row r="112" spans="1:14" ht="15" x14ac:dyDescent="0.2">
      <c r="A112" s="17" t="s">
        <v>107</v>
      </c>
      <c r="B112" s="16">
        <v>649545558.66999996</v>
      </c>
      <c r="C112" s="16">
        <v>34889.447412540001</v>
      </c>
      <c r="D112" s="16">
        <v>9585214.2700763419</v>
      </c>
      <c r="E112" s="16">
        <v>4897205.1399999997</v>
      </c>
      <c r="F112" s="16">
        <v>1226681.68</v>
      </c>
      <c r="G112" s="16">
        <v>825545.07</v>
      </c>
      <c r="H112" s="16">
        <v>32902458.57</v>
      </c>
      <c r="I112" s="16">
        <v>4415281.8899999997</v>
      </c>
      <c r="J112" s="16">
        <v>0</v>
      </c>
      <c r="K112" s="16">
        <v>44063760</v>
      </c>
      <c r="L112" s="16">
        <v>0</v>
      </c>
      <c r="M112" s="16">
        <v>0</v>
      </c>
      <c r="N112" s="18">
        <f t="shared" si="3"/>
        <v>747496594.73748887</v>
      </c>
    </row>
    <row r="113" spans="1:14" ht="15" x14ac:dyDescent="0.2">
      <c r="A113" s="17" t="s">
        <v>108</v>
      </c>
      <c r="B113" s="16">
        <v>514084461.57000005</v>
      </c>
      <c r="C113" s="16">
        <v>27702.332885790001</v>
      </c>
      <c r="D113" s="16">
        <v>11307475.733095162</v>
      </c>
      <c r="E113" s="16">
        <v>3888395.8400000003</v>
      </c>
      <c r="F113" s="16">
        <v>1728666.69</v>
      </c>
      <c r="G113" s="16">
        <v>1066633.46</v>
      </c>
      <c r="H113" s="16">
        <v>26040733.359999999</v>
      </c>
      <c r="I113" s="16">
        <v>6222111.9500000002</v>
      </c>
      <c r="J113" s="16">
        <v>0</v>
      </c>
      <c r="K113" s="16">
        <v>34986760</v>
      </c>
      <c r="L113" s="16">
        <v>0</v>
      </c>
      <c r="M113" s="16">
        <v>0</v>
      </c>
      <c r="N113" s="18">
        <f t="shared" si="3"/>
        <v>599352940.93598104</v>
      </c>
    </row>
    <row r="114" spans="1:14" ht="15" x14ac:dyDescent="0.2">
      <c r="A114" s="17" t="s">
        <v>109</v>
      </c>
      <c r="B114" s="16">
        <v>318362790.20999998</v>
      </c>
      <c r="C114" s="16">
        <v>18263.087566760001</v>
      </c>
      <c r="D114" s="16">
        <v>3726301.0149591966</v>
      </c>
      <c r="E114" s="16">
        <v>2563471.4699999997</v>
      </c>
      <c r="F114" s="16">
        <v>1046391.29</v>
      </c>
      <c r="G114" s="16">
        <v>584456.68999999994</v>
      </c>
      <c r="H114" s="16">
        <v>16126533.970000001</v>
      </c>
      <c r="I114" s="16">
        <v>3766349.97</v>
      </c>
      <c r="J114" s="16">
        <v>0</v>
      </c>
      <c r="K114" s="16">
        <v>23065440</v>
      </c>
      <c r="L114" s="16">
        <v>0</v>
      </c>
      <c r="M114" s="16">
        <v>0</v>
      </c>
      <c r="N114" s="18">
        <f t="shared" si="3"/>
        <v>369259997.70252603</v>
      </c>
    </row>
    <row r="115" spans="1:14" ht="15" x14ac:dyDescent="0.2">
      <c r="A115" s="17" t="s">
        <v>110</v>
      </c>
      <c r="B115" s="16">
        <v>829609496.27999997</v>
      </c>
      <c r="C115" s="16">
        <v>48050.372947850003</v>
      </c>
      <c r="D115" s="16">
        <v>5238184.4905380281</v>
      </c>
      <c r="E115" s="16">
        <v>6744518.7000000002</v>
      </c>
      <c r="F115" s="16">
        <v>1083509.8999999999</v>
      </c>
      <c r="G115" s="16">
        <v>942436.41</v>
      </c>
      <c r="H115" s="16">
        <v>42023522.009999998</v>
      </c>
      <c r="I115" s="16">
        <v>3899953.6</v>
      </c>
      <c r="J115" s="16">
        <v>0</v>
      </c>
      <c r="K115" s="16">
        <v>60685400</v>
      </c>
      <c r="L115" s="16">
        <v>0</v>
      </c>
      <c r="M115" s="16">
        <v>0</v>
      </c>
      <c r="N115" s="18">
        <f t="shared" si="3"/>
        <v>950275071.76348579</v>
      </c>
    </row>
    <row r="116" spans="1:14" ht="15" x14ac:dyDescent="0.2">
      <c r="A116" s="17" t="s">
        <v>111</v>
      </c>
      <c r="B116" s="16">
        <v>499077742.37999994</v>
      </c>
      <c r="C116" s="16">
        <v>27536.086832199999</v>
      </c>
      <c r="D116" s="16">
        <v>7358564.1662655286</v>
      </c>
      <c r="E116" s="16">
        <v>3865061.09</v>
      </c>
      <c r="F116" s="16">
        <v>2990699.44</v>
      </c>
      <c r="G116" s="16">
        <v>1483058.85</v>
      </c>
      <c r="H116" s="16">
        <v>25280574.280000001</v>
      </c>
      <c r="I116" s="16">
        <v>10764635.390000001</v>
      </c>
      <c r="J116" s="16">
        <v>0</v>
      </c>
      <c r="K116" s="16">
        <v>34776800</v>
      </c>
      <c r="L116" s="16">
        <v>0</v>
      </c>
      <c r="M116" s="16">
        <v>0</v>
      </c>
      <c r="N116" s="18">
        <f t="shared" si="3"/>
        <v>585624671.68309772</v>
      </c>
    </row>
    <row r="117" spans="1:14" ht="15" x14ac:dyDescent="0.2">
      <c r="A117" s="17" t="s">
        <v>112</v>
      </c>
      <c r="B117" s="16">
        <v>255948860.19999999</v>
      </c>
      <c r="C117" s="16">
        <v>14039.912459539999</v>
      </c>
      <c r="D117" s="16">
        <v>1981216.662717964</v>
      </c>
      <c r="E117" s="16">
        <v>1970691.25</v>
      </c>
      <c r="F117" s="16">
        <v>629248.81000000006</v>
      </c>
      <c r="G117" s="16">
        <v>394508.27</v>
      </c>
      <c r="H117" s="16">
        <v>12964982.449999999</v>
      </c>
      <c r="I117" s="16">
        <v>2264899.65</v>
      </c>
      <c r="J117" s="16">
        <v>0</v>
      </c>
      <c r="K117" s="16">
        <v>17731760</v>
      </c>
      <c r="L117" s="16">
        <v>0</v>
      </c>
      <c r="M117" s="16">
        <v>0</v>
      </c>
      <c r="N117" s="18">
        <f t="shared" si="3"/>
        <v>293900207.20517749</v>
      </c>
    </row>
    <row r="118" spans="1:14" ht="15" x14ac:dyDescent="0.2">
      <c r="A118" s="17" t="s">
        <v>113</v>
      </c>
      <c r="B118" s="16">
        <v>448799390.63</v>
      </c>
      <c r="C118" s="16">
        <v>23627.941207749998</v>
      </c>
      <c r="D118" s="16">
        <v>10033636.957101528</v>
      </c>
      <c r="E118" s="16">
        <v>3316500.88</v>
      </c>
      <c r="F118" s="16">
        <v>2967721.25</v>
      </c>
      <c r="G118" s="16">
        <v>1643784.44</v>
      </c>
      <c r="H118" s="16">
        <v>22733745.399999999</v>
      </c>
      <c r="I118" s="16">
        <v>10681928.380000001</v>
      </c>
      <c r="J118" s="16">
        <v>0</v>
      </c>
      <c r="K118" s="16">
        <v>29840999.999999996</v>
      </c>
      <c r="L118" s="16">
        <v>0</v>
      </c>
      <c r="M118" s="16">
        <v>0</v>
      </c>
      <c r="N118" s="18">
        <f t="shared" si="3"/>
        <v>530041335.87830925</v>
      </c>
    </row>
    <row r="119" spans="1:14" ht="15" x14ac:dyDescent="0.2">
      <c r="A119" s="17" t="s">
        <v>114</v>
      </c>
      <c r="B119" s="16">
        <v>607279693.25</v>
      </c>
      <c r="C119" s="16">
        <v>33021.254357279999</v>
      </c>
      <c r="D119" s="16">
        <v>5862451.0421577003</v>
      </c>
      <c r="E119" s="16">
        <v>4634979.1999999993</v>
      </c>
      <c r="F119" s="16">
        <v>2384428.81</v>
      </c>
      <c r="G119" s="16">
        <v>1103162</v>
      </c>
      <c r="H119" s="16">
        <v>30761498.829999998</v>
      </c>
      <c r="I119" s="16">
        <v>8582442.7599999998</v>
      </c>
      <c r="J119" s="16">
        <v>0</v>
      </c>
      <c r="K119" s="16">
        <v>41704320</v>
      </c>
      <c r="L119" s="16">
        <v>0</v>
      </c>
      <c r="M119" s="16">
        <v>0</v>
      </c>
      <c r="N119" s="18">
        <f t="shared" si="3"/>
        <v>702345997.14651501</v>
      </c>
    </row>
    <row r="120" spans="1:14" ht="15" x14ac:dyDescent="0.2">
      <c r="A120" s="17" t="s">
        <v>115</v>
      </c>
      <c r="B120" s="16">
        <v>377171101.36000001</v>
      </c>
      <c r="C120" s="16">
        <v>20999.250625569999</v>
      </c>
      <c r="D120" s="16">
        <v>7680297.8831799729</v>
      </c>
      <c r="E120" s="16">
        <v>2947528.08</v>
      </c>
      <c r="F120" s="16">
        <v>1606705.55</v>
      </c>
      <c r="G120" s="16">
        <v>1117773.42</v>
      </c>
      <c r="H120" s="16">
        <v>19105444.370000001</v>
      </c>
      <c r="I120" s="16">
        <v>5783128.5899999999</v>
      </c>
      <c r="J120" s="16">
        <v>0</v>
      </c>
      <c r="K120" s="16">
        <v>26521080</v>
      </c>
      <c r="L120" s="16">
        <v>0</v>
      </c>
      <c r="M120" s="16">
        <v>0</v>
      </c>
      <c r="N120" s="18">
        <f t="shared" si="3"/>
        <v>441954058.50380552</v>
      </c>
    </row>
    <row r="121" spans="1:14" ht="15" x14ac:dyDescent="0.2">
      <c r="A121" s="17" t="s">
        <v>116</v>
      </c>
      <c r="B121" s="16">
        <v>461051817.64999998</v>
      </c>
      <c r="C121" s="16">
        <v>24997.396102240004</v>
      </c>
      <c r="D121" s="16">
        <v>6184039.0503287092</v>
      </c>
      <c r="E121" s="16">
        <v>3508722.5700000003</v>
      </c>
      <c r="F121" s="16">
        <v>675205.19</v>
      </c>
      <c r="G121" s="16">
        <v>372591.14</v>
      </c>
      <c r="H121" s="16">
        <v>23354386.969999999</v>
      </c>
      <c r="I121" s="16">
        <v>2430313.66</v>
      </c>
      <c r="J121" s="16">
        <v>0</v>
      </c>
      <c r="K121" s="16">
        <v>31570560</v>
      </c>
      <c r="L121" s="16">
        <v>0</v>
      </c>
      <c r="M121" s="16">
        <v>0</v>
      </c>
      <c r="N121" s="18">
        <f t="shared" si="3"/>
        <v>529172633.62643093</v>
      </c>
    </row>
    <row r="122" spans="1:14" ht="15" x14ac:dyDescent="0.2">
      <c r="A122" s="17" t="s">
        <v>117</v>
      </c>
      <c r="B122" s="16">
        <v>1497717315.0599999</v>
      </c>
      <c r="C122" s="16">
        <v>82638.56452847</v>
      </c>
      <c r="D122" s="16">
        <v>11303080.904999999</v>
      </c>
      <c r="E122" s="16">
        <v>11599437.649999999</v>
      </c>
      <c r="F122" s="16">
        <v>20326857.920000002</v>
      </c>
      <c r="G122" s="16">
        <v>10182537.951254975</v>
      </c>
      <c r="H122" s="16">
        <v>75866244.090000004</v>
      </c>
      <c r="I122" s="16">
        <v>73163893.040000007</v>
      </c>
      <c r="J122" s="16">
        <v>0</v>
      </c>
      <c r="K122" s="16">
        <v>104368680</v>
      </c>
      <c r="L122" s="16">
        <v>0</v>
      </c>
      <c r="M122" s="16">
        <v>0</v>
      </c>
      <c r="N122" s="18">
        <f t="shared" si="3"/>
        <v>1804610685.1807835</v>
      </c>
    </row>
    <row r="123" spans="1:14" ht="15" x14ac:dyDescent="0.2">
      <c r="A123" s="17" t="s">
        <v>118</v>
      </c>
      <c r="B123" s="16">
        <v>3305033763.5500002</v>
      </c>
      <c r="C123" s="16">
        <v>187577.85856614003</v>
      </c>
      <c r="D123" s="16">
        <v>59945020.055</v>
      </c>
      <c r="E123" s="16">
        <v>26329084.909999996</v>
      </c>
      <c r="F123" s="16">
        <v>28256100.059999999</v>
      </c>
      <c r="G123" s="16">
        <v>25558680.310173012</v>
      </c>
      <c r="H123" s="16">
        <v>167415102.77000001</v>
      </c>
      <c r="I123" s="16">
        <v>101704173.40000001</v>
      </c>
      <c r="J123" s="16">
        <v>0</v>
      </c>
      <c r="K123" s="16">
        <v>236902160.00000003</v>
      </c>
      <c r="L123" s="16">
        <v>0</v>
      </c>
      <c r="M123" s="16">
        <v>0</v>
      </c>
      <c r="N123" s="18">
        <f t="shared" si="3"/>
        <v>3951331662.9137392</v>
      </c>
    </row>
    <row r="124" spans="1:14" ht="15" x14ac:dyDescent="0.2">
      <c r="A124" s="17" t="s">
        <v>119</v>
      </c>
      <c r="B124" s="16">
        <v>2902823642.3099999</v>
      </c>
      <c r="C124" s="16">
        <v>152407.35467626003</v>
      </c>
      <c r="D124" s="16">
        <v>15845751.23</v>
      </c>
      <c r="E124" s="16">
        <v>21392429.829999998</v>
      </c>
      <c r="F124" s="16">
        <v>36183574.649999999</v>
      </c>
      <c r="G124" s="16">
        <v>0</v>
      </c>
      <c r="H124" s="16">
        <v>147041317.31999999</v>
      </c>
      <c r="I124" s="16">
        <v>130238091.69</v>
      </c>
      <c r="J124" s="16">
        <v>0</v>
      </c>
      <c r="K124" s="16">
        <v>192483440</v>
      </c>
      <c r="L124" s="16">
        <v>0</v>
      </c>
      <c r="M124" s="16">
        <v>0</v>
      </c>
      <c r="N124" s="18">
        <f t="shared" si="3"/>
        <v>3446160654.3846765</v>
      </c>
    </row>
    <row r="125" spans="1:14" ht="15" x14ac:dyDescent="0.2">
      <c r="A125" s="17" t="s">
        <v>120</v>
      </c>
      <c r="B125" s="16">
        <v>954721131.8499999</v>
      </c>
      <c r="C125" s="16">
        <v>52203.747557430012</v>
      </c>
      <c r="D125" s="16">
        <v>17544389.792863749</v>
      </c>
      <c r="E125" s="16">
        <v>7327500.9000000004</v>
      </c>
      <c r="F125" s="16">
        <v>14069720.779999999</v>
      </c>
      <c r="G125" s="16">
        <v>6998868.8499999996</v>
      </c>
      <c r="H125" s="16">
        <v>48360999.57</v>
      </c>
      <c r="I125" s="16">
        <v>50642138.140000001</v>
      </c>
      <c r="J125" s="16">
        <v>0</v>
      </c>
      <c r="K125" s="16">
        <v>65930920.000000007</v>
      </c>
      <c r="L125" s="16">
        <v>0</v>
      </c>
      <c r="M125" s="16">
        <v>0</v>
      </c>
      <c r="N125" s="18">
        <f t="shared" si="3"/>
        <v>1165647873.6304212</v>
      </c>
    </row>
    <row r="126" spans="1:14" ht="15" x14ac:dyDescent="0.2">
      <c r="A126" s="17" t="s">
        <v>121</v>
      </c>
      <c r="B126" s="16">
        <v>1063807794.75</v>
      </c>
      <c r="C126" s="16">
        <v>59478.125206230005</v>
      </c>
      <c r="D126" s="16">
        <v>10112368.665277978</v>
      </c>
      <c r="E126" s="16">
        <v>8348557.7299999986</v>
      </c>
      <c r="F126" s="16">
        <v>7043698.1500000004</v>
      </c>
      <c r="G126" s="16">
        <v>2863837.78</v>
      </c>
      <c r="H126" s="16">
        <v>53886738.850000001</v>
      </c>
      <c r="I126" s="16">
        <v>25352879.460000001</v>
      </c>
      <c r="J126" s="16">
        <v>0</v>
      </c>
      <c r="K126" s="16">
        <v>75118120</v>
      </c>
      <c r="L126" s="16">
        <v>0</v>
      </c>
      <c r="M126" s="16">
        <v>0</v>
      </c>
      <c r="N126" s="18">
        <f t="shared" si="3"/>
        <v>1246593473.5104842</v>
      </c>
    </row>
    <row r="127" spans="1:14" ht="15" x14ac:dyDescent="0.2">
      <c r="A127" s="17" t="s">
        <v>122</v>
      </c>
      <c r="B127" s="16">
        <v>600268767.67999995</v>
      </c>
      <c r="C127" s="16">
        <v>32145.946406610001</v>
      </c>
      <c r="D127" s="16">
        <v>6166459.3489100318</v>
      </c>
      <c r="E127" s="16">
        <v>4512117.18</v>
      </c>
      <c r="F127" s="16">
        <v>7476748.6100000003</v>
      </c>
      <c r="G127" s="16">
        <v>4091196.82</v>
      </c>
      <c r="H127" s="16">
        <v>30406363.329999998</v>
      </c>
      <c r="I127" s="16">
        <v>26911588.48</v>
      </c>
      <c r="J127" s="16">
        <v>0</v>
      </c>
      <c r="K127" s="16">
        <v>40598840.000000007</v>
      </c>
      <c r="L127" s="16">
        <v>0</v>
      </c>
      <c r="M127" s="16">
        <v>0</v>
      </c>
      <c r="N127" s="18">
        <f t="shared" si="3"/>
        <v>720464227.3953166</v>
      </c>
    </row>
    <row r="128" spans="1:14" ht="15" x14ac:dyDescent="0.2">
      <c r="A128" s="17" t="s">
        <v>123</v>
      </c>
      <c r="B128" s="16">
        <v>280520484.94999999</v>
      </c>
      <c r="C128" s="16">
        <v>16247.023325710001</v>
      </c>
      <c r="D128" s="16">
        <v>2684359.1007891139</v>
      </c>
      <c r="E128" s="16">
        <v>2280489.1799999997</v>
      </c>
      <c r="F128" s="16">
        <v>684042.95</v>
      </c>
      <c r="G128" s="16">
        <v>489482.48</v>
      </c>
      <c r="H128" s="16">
        <v>14209647.83</v>
      </c>
      <c r="I128" s="16">
        <v>2462124.0499999998</v>
      </c>
      <c r="J128" s="16">
        <v>0</v>
      </c>
      <c r="K128" s="16">
        <v>20519240</v>
      </c>
      <c r="L128" s="16">
        <v>0</v>
      </c>
      <c r="M128" s="16">
        <v>0</v>
      </c>
      <c r="N128" s="18">
        <f t="shared" si="3"/>
        <v>323866117.56411481</v>
      </c>
    </row>
    <row r="129" spans="1:14" ht="15" x14ac:dyDescent="0.2">
      <c r="A129" s="17" t="s">
        <v>124</v>
      </c>
      <c r="B129" s="16">
        <v>1748090820.2599998</v>
      </c>
      <c r="C129" s="16">
        <v>96038.293345180005</v>
      </c>
      <c r="D129" s="16">
        <v>33434322.395219747</v>
      </c>
      <c r="E129" s="16">
        <v>9392251.6699999999</v>
      </c>
      <c r="F129" s="16">
        <v>8699895.1899999995</v>
      </c>
      <c r="G129" s="16">
        <v>6071043.8600000003</v>
      </c>
      <c r="H129" s="16">
        <v>88548809.260000005</v>
      </c>
      <c r="I129" s="16">
        <v>31314146.219999999</v>
      </c>
      <c r="J129" s="16">
        <v>0</v>
      </c>
      <c r="K129" s="16">
        <v>121291920</v>
      </c>
      <c r="L129" s="16">
        <v>0</v>
      </c>
      <c r="M129" s="16">
        <v>0</v>
      </c>
      <c r="N129" s="18">
        <f t="shared" si="3"/>
        <v>2046939247.1485648</v>
      </c>
    </row>
    <row r="130" spans="1:14" ht="15" x14ac:dyDescent="0.2">
      <c r="A130" s="17" t="s">
        <v>125</v>
      </c>
      <c r="B130" s="16">
        <v>472686615.50999999</v>
      </c>
      <c r="C130" s="16">
        <v>27377.18872573</v>
      </c>
      <c r="D130" s="16">
        <v>4838943.9062308064</v>
      </c>
      <c r="E130" s="16">
        <v>3842757.6999999997</v>
      </c>
      <c r="F130" s="16">
        <v>1076439.69</v>
      </c>
      <c r="G130" s="16">
        <v>452953.93</v>
      </c>
      <c r="H130" s="16">
        <v>23943742.780000001</v>
      </c>
      <c r="I130" s="16">
        <v>3874505.29</v>
      </c>
      <c r="J130" s="16">
        <v>0</v>
      </c>
      <c r="K130" s="16">
        <v>34576120</v>
      </c>
      <c r="L130" s="16">
        <v>0</v>
      </c>
      <c r="M130" s="16">
        <v>0</v>
      </c>
      <c r="N130" s="18">
        <f t="shared" si="3"/>
        <v>545319455.99495649</v>
      </c>
    </row>
    <row r="131" spans="1:14" ht="15" x14ac:dyDescent="0.2">
      <c r="A131" s="17" t="s">
        <v>126</v>
      </c>
      <c r="B131" s="16">
        <v>2969026810.6199999</v>
      </c>
      <c r="C131" s="16">
        <v>156000.45081794</v>
      </c>
      <c r="D131" s="16">
        <v>47284624.82</v>
      </c>
      <c r="E131" s="16">
        <v>51170241.130000003</v>
      </c>
      <c r="F131" s="16">
        <v>47531264.030000001</v>
      </c>
      <c r="G131" s="16">
        <v>5215160.7371645188</v>
      </c>
      <c r="H131" s="16">
        <v>150394811.12</v>
      </c>
      <c r="I131" s="16">
        <v>171082630.24000001</v>
      </c>
      <c r="J131" s="16">
        <v>0</v>
      </c>
      <c r="K131" s="16">
        <v>197021360</v>
      </c>
      <c r="L131" s="16">
        <v>0</v>
      </c>
      <c r="M131" s="16">
        <v>0</v>
      </c>
      <c r="N131" s="18">
        <f t="shared" si="3"/>
        <v>3638882903.1479826</v>
      </c>
    </row>
    <row r="132" spans="1:14" ht="15" x14ac:dyDescent="0.2">
      <c r="A132" s="17" t="s">
        <v>127</v>
      </c>
      <c r="B132" s="16">
        <v>117015685.72000001</v>
      </c>
      <c r="C132" s="16">
        <v>6410.9988622000001</v>
      </c>
      <c r="D132" s="16">
        <v>239719.70526005008</v>
      </c>
      <c r="E132" s="16">
        <v>899870.79</v>
      </c>
      <c r="F132" s="16">
        <v>203268.57</v>
      </c>
      <c r="G132" s="16">
        <v>109585.63</v>
      </c>
      <c r="H132" s="16">
        <v>5927380.6200000001</v>
      </c>
      <c r="I132" s="16">
        <v>731638.93</v>
      </c>
      <c r="J132" s="16">
        <v>0</v>
      </c>
      <c r="K132" s="16">
        <v>8096800</v>
      </c>
      <c r="L132" s="16">
        <v>0</v>
      </c>
      <c r="M132" s="16">
        <v>0</v>
      </c>
      <c r="N132" s="18">
        <f t="shared" si="3"/>
        <v>133230360.96412228</v>
      </c>
    </row>
    <row r="133" spans="1:14" ht="15" x14ac:dyDescent="0.2">
      <c r="A133" s="17" t="s">
        <v>128</v>
      </c>
      <c r="B133" s="16">
        <v>732858723.80999982</v>
      </c>
      <c r="C133" s="16">
        <v>39964.974385679998</v>
      </c>
      <c r="D133" s="16">
        <v>3770103.5562655283</v>
      </c>
      <c r="E133" s="16">
        <v>807961.33</v>
      </c>
      <c r="F133" s="16">
        <v>735301.99</v>
      </c>
      <c r="G133" s="16">
        <v>620985.23</v>
      </c>
      <c r="H133" s="16">
        <v>37122652.100000001</v>
      </c>
      <c r="I133" s="16">
        <v>2646624.2999999998</v>
      </c>
      <c r="J133" s="16">
        <v>0</v>
      </c>
      <c r="K133" s="16">
        <v>50473920</v>
      </c>
      <c r="L133" s="16">
        <v>0</v>
      </c>
      <c r="M133" s="16">
        <v>0</v>
      </c>
      <c r="N133" s="18">
        <f t="shared" si="3"/>
        <v>829076237.29065108</v>
      </c>
    </row>
    <row r="134" spans="1:14" ht="15" x14ac:dyDescent="0.2">
      <c r="A134" s="17" t="s">
        <v>129</v>
      </c>
      <c r="B134" s="16">
        <v>1266072996.5999999</v>
      </c>
      <c r="C134" s="16">
        <v>72304.724147579996</v>
      </c>
      <c r="D134" s="16">
        <v>14223450.539930558</v>
      </c>
      <c r="E134" s="16">
        <v>10148943.92</v>
      </c>
      <c r="F134" s="16">
        <v>3430820.1</v>
      </c>
      <c r="G134" s="16">
        <v>2052904.12</v>
      </c>
      <c r="H134" s="16">
        <v>64132398.039999999</v>
      </c>
      <c r="I134" s="16">
        <v>12348792.73</v>
      </c>
      <c r="J134" s="16">
        <v>0</v>
      </c>
      <c r="K134" s="16">
        <v>91317520</v>
      </c>
      <c r="L134" s="16">
        <v>0</v>
      </c>
      <c r="M134" s="16">
        <v>0</v>
      </c>
      <c r="N134" s="18">
        <f t="shared" si="3"/>
        <v>1463800130.7740779</v>
      </c>
    </row>
    <row r="135" spans="1:14" ht="15" x14ac:dyDescent="0.2">
      <c r="A135" s="17" t="s">
        <v>130</v>
      </c>
      <c r="B135" s="16">
        <v>1047198578.2799999</v>
      </c>
      <c r="C135" s="16">
        <v>57841.387485250001</v>
      </c>
      <c r="D135" s="16">
        <v>22153198.385473385</v>
      </c>
      <c r="E135" s="16">
        <v>8118819.9399999995</v>
      </c>
      <c r="F135" s="16">
        <v>5164789.46</v>
      </c>
      <c r="G135" s="16">
        <v>2600832.27</v>
      </c>
      <c r="H135" s="16">
        <v>53045405.93</v>
      </c>
      <c r="I135" s="16">
        <v>18589990.91</v>
      </c>
      <c r="J135" s="16">
        <v>0</v>
      </c>
      <c r="K135" s="16">
        <v>73051000</v>
      </c>
      <c r="L135" s="16">
        <v>0</v>
      </c>
      <c r="M135" s="16">
        <v>0</v>
      </c>
      <c r="N135" s="18">
        <f t="shared" si="3"/>
        <v>1229980456.5629587</v>
      </c>
    </row>
    <row r="136" spans="1:14" ht="15" x14ac:dyDescent="0.2">
      <c r="A136" s="17" t="s">
        <v>131</v>
      </c>
      <c r="B136" s="16">
        <v>1689532899.3299999</v>
      </c>
      <c r="C136" s="16">
        <v>97855.963013989996</v>
      </c>
      <c r="D136" s="16">
        <v>21331801.929999996</v>
      </c>
      <c r="E136" s="16">
        <v>13735406.039999999</v>
      </c>
      <c r="F136" s="16">
        <v>30728906.52</v>
      </c>
      <c r="G136" s="16">
        <v>19081599.364505168</v>
      </c>
      <c r="H136" s="16">
        <v>85582582.269999996</v>
      </c>
      <c r="I136" s="16">
        <v>110604720.04000001</v>
      </c>
      <c r="J136" s="16">
        <v>0</v>
      </c>
      <c r="K136" s="16">
        <v>123587560</v>
      </c>
      <c r="L136" s="16">
        <v>0</v>
      </c>
      <c r="M136" s="16">
        <v>0</v>
      </c>
      <c r="N136" s="18">
        <f t="shared" ref="N136:N142" si="4">SUM(B136:M136)</f>
        <v>2094283331.4575188</v>
      </c>
    </row>
    <row r="137" spans="1:14" ht="15" x14ac:dyDescent="0.2">
      <c r="A137" s="17" t="s">
        <v>132</v>
      </c>
      <c r="B137" s="16">
        <v>270521569.75</v>
      </c>
      <c r="C137" s="16">
        <v>15668.379990010002</v>
      </c>
      <c r="D137" s="16">
        <v>2256220.7503162222</v>
      </c>
      <c r="E137" s="16">
        <v>2199268.7399999998</v>
      </c>
      <c r="F137" s="16">
        <v>367650.99</v>
      </c>
      <c r="G137" s="16">
        <v>379896.85</v>
      </c>
      <c r="H137" s="16">
        <v>13703156.960000001</v>
      </c>
      <c r="I137" s="16">
        <v>1323312.1499999999</v>
      </c>
      <c r="J137" s="16">
        <v>0</v>
      </c>
      <c r="K137" s="16">
        <v>19788440</v>
      </c>
      <c r="L137" s="16">
        <v>0</v>
      </c>
      <c r="M137" s="16">
        <v>0</v>
      </c>
      <c r="N137" s="18">
        <f t="shared" si="4"/>
        <v>310555184.57030618</v>
      </c>
    </row>
    <row r="138" spans="1:14" ht="15" x14ac:dyDescent="0.2">
      <c r="A138" s="17" t="s">
        <v>133</v>
      </c>
      <c r="B138" s="16">
        <v>763756874.24999988</v>
      </c>
      <c r="C138" s="16">
        <v>40042.132830440001</v>
      </c>
      <c r="D138" s="16">
        <v>12616073.669988971</v>
      </c>
      <c r="E138" s="16">
        <v>5620453.7300000004</v>
      </c>
      <c r="F138" s="16">
        <v>3201038.23</v>
      </c>
      <c r="G138" s="16">
        <v>1483058.85</v>
      </c>
      <c r="H138" s="16">
        <v>38687784.979999997</v>
      </c>
      <c r="I138" s="16">
        <v>11521722.630000001</v>
      </c>
      <c r="J138" s="16">
        <v>0</v>
      </c>
      <c r="K138" s="16">
        <v>50571360</v>
      </c>
      <c r="L138" s="16">
        <v>0</v>
      </c>
      <c r="M138" s="16">
        <v>0</v>
      </c>
      <c r="N138" s="18">
        <f t="shared" si="4"/>
        <v>887498408.47281933</v>
      </c>
    </row>
    <row r="139" spans="1:14" ht="15" x14ac:dyDescent="0.2">
      <c r="A139" s="17" t="s">
        <v>134</v>
      </c>
      <c r="B139" s="16">
        <v>2685201174.9800005</v>
      </c>
      <c r="C139" s="16">
        <v>155523.76649852999</v>
      </c>
      <c r="D139" s="16">
        <v>21837632.359999999</v>
      </c>
      <c r="E139" s="16">
        <v>21829859.850000001</v>
      </c>
      <c r="F139" s="16">
        <v>16462987.359999999</v>
      </c>
      <c r="G139" s="16">
        <v>17277187.210273355</v>
      </c>
      <c r="H139" s="16">
        <v>136017742.21000001</v>
      </c>
      <c r="I139" s="16">
        <v>59256391.259999998</v>
      </c>
      <c r="J139" s="16">
        <v>0</v>
      </c>
      <c r="K139" s="16">
        <v>196419320</v>
      </c>
      <c r="L139" s="16">
        <v>0</v>
      </c>
      <c r="M139" s="16">
        <v>0</v>
      </c>
      <c r="N139" s="18">
        <f t="shared" si="4"/>
        <v>3154457818.9967728</v>
      </c>
    </row>
    <row r="140" spans="1:14" ht="15" x14ac:dyDescent="0.2">
      <c r="A140" s="17" t="s">
        <v>135</v>
      </c>
      <c r="B140" s="16">
        <v>791500108.16999996</v>
      </c>
      <c r="C140" s="16">
        <v>45843.262081680004</v>
      </c>
      <c r="D140" s="16">
        <v>6944030.2400000012</v>
      </c>
      <c r="E140" s="16">
        <v>6434720.7799999993</v>
      </c>
      <c r="F140" s="16">
        <v>2714961.19</v>
      </c>
      <c r="G140" s="16">
        <v>1563421.64</v>
      </c>
      <c r="H140" s="16">
        <v>40093106.890000001</v>
      </c>
      <c r="I140" s="16">
        <v>9772151.2799999993</v>
      </c>
      <c r="J140" s="16">
        <v>0</v>
      </c>
      <c r="K140" s="16">
        <v>57897920</v>
      </c>
      <c r="L140" s="16">
        <v>0</v>
      </c>
      <c r="M140" s="16">
        <v>0</v>
      </c>
      <c r="N140" s="18">
        <f t="shared" si="4"/>
        <v>916966263.45208156</v>
      </c>
    </row>
    <row r="141" spans="1:14" ht="15" x14ac:dyDescent="0.2">
      <c r="A141" s="17" t="s">
        <v>136</v>
      </c>
      <c r="B141" s="16">
        <v>917446377.71999991</v>
      </c>
      <c r="C141" s="16">
        <v>51029.008261620002</v>
      </c>
      <c r="D141" s="16">
        <v>4934478.3461405523</v>
      </c>
      <c r="E141" s="16">
        <v>7162610.54</v>
      </c>
      <c r="F141" s="16">
        <v>3915129.59</v>
      </c>
      <c r="G141" s="16">
        <v>1366167.51</v>
      </c>
      <c r="H141" s="16">
        <v>46472862.490000002</v>
      </c>
      <c r="I141" s="16">
        <v>14092002.01</v>
      </c>
      <c r="J141" s="16">
        <v>0</v>
      </c>
      <c r="K141" s="16">
        <v>64447280</v>
      </c>
      <c r="L141" s="16">
        <v>0</v>
      </c>
      <c r="M141" s="16">
        <v>0</v>
      </c>
      <c r="N141" s="18">
        <f t="shared" si="4"/>
        <v>1059887937.214402</v>
      </c>
    </row>
    <row r="142" spans="1:14" ht="15" x14ac:dyDescent="0.2">
      <c r="A142" s="17" t="s">
        <v>137</v>
      </c>
      <c r="B142" s="16">
        <v>896764147.36999989</v>
      </c>
      <c r="C142" s="16">
        <v>48278.159308570008</v>
      </c>
      <c r="D142" s="16">
        <v>9515330.1967798639</v>
      </c>
      <c r="E142" s="16">
        <v>6776491.1899999995</v>
      </c>
      <c r="F142" s="16">
        <v>16832405.91</v>
      </c>
      <c r="G142" s="16">
        <v>5515810</v>
      </c>
      <c r="H142" s="16">
        <v>45425212.759999998</v>
      </c>
      <c r="I142" s="16">
        <v>60586065.509999998</v>
      </c>
      <c r="J142" s="16">
        <v>0</v>
      </c>
      <c r="K142" s="16">
        <v>60973080.000000007</v>
      </c>
      <c r="L142" s="16">
        <v>0</v>
      </c>
      <c r="M142" s="16">
        <v>0</v>
      </c>
      <c r="N142" s="18">
        <f t="shared" si="4"/>
        <v>1102436821.0960884</v>
      </c>
    </row>
    <row r="143" spans="1:14" ht="24.75" customHeight="1" x14ac:dyDescent="0.2">
      <c r="A143" s="22" t="s">
        <v>138</v>
      </c>
      <c r="B143" s="23">
        <f>SUM(B8:B142)</f>
        <v>166926798593.68008</v>
      </c>
      <c r="C143" s="23">
        <f>SUM(C8:C142)</f>
        <v>9184817.6700000018</v>
      </c>
      <c r="D143" s="23">
        <f t="shared" ref="D143:I143" si="5">SUM(D8:D142)</f>
        <v>1721831720.695188</v>
      </c>
      <c r="E143" s="23">
        <f t="shared" si="5"/>
        <v>1283275802.7300005</v>
      </c>
      <c r="F143" s="23">
        <f>SUM(F8:F142)</f>
        <v>1767552862.8900001</v>
      </c>
      <c r="G143" s="23">
        <f t="shared" si="5"/>
        <v>730570861.16000009</v>
      </c>
      <c r="H143" s="23">
        <f t="shared" si="5"/>
        <v>8455607156.1400003</v>
      </c>
      <c r="I143" s="23">
        <f t="shared" si="5"/>
        <v>6362077655.6199989</v>
      </c>
      <c r="J143" s="23">
        <f t="shared" ref="J143:N143" si="6">SUM(J8:J142)</f>
        <v>0</v>
      </c>
      <c r="K143" s="23">
        <f t="shared" si="6"/>
        <v>11600000000</v>
      </c>
      <c r="L143" s="23">
        <f t="shared" si="6"/>
        <v>0</v>
      </c>
      <c r="M143" s="23">
        <f t="shared" si="6"/>
        <v>0</v>
      </c>
      <c r="N143" s="23">
        <f t="shared" si="6"/>
        <v>198856899470.58521</v>
      </c>
    </row>
    <row r="144" spans="1:1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K145" s="8"/>
      <c r="L145" s="1">
        <v>0</v>
      </c>
      <c r="M145" s="9">
        <v>0</v>
      </c>
    </row>
    <row r="146" spans="1:14" x14ac:dyDescent="0.2">
      <c r="B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159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164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26" t="s">
        <v>174</v>
      </c>
      <c r="L7" s="19" t="s">
        <v>149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>
        <v>844507040.10000002</v>
      </c>
      <c r="C8" s="16">
        <v>0</v>
      </c>
      <c r="D8" s="16">
        <v>15392880.34980421</v>
      </c>
      <c r="E8" s="16">
        <v>5328601.3600000003</v>
      </c>
      <c r="F8" s="16">
        <v>1725723.11</v>
      </c>
      <c r="G8" s="16">
        <v>835376.26</v>
      </c>
      <c r="H8" s="16">
        <v>42136484.650000006</v>
      </c>
      <c r="I8" s="16">
        <v>5811582.1000000006</v>
      </c>
      <c r="J8" s="16">
        <v>15671827.4</v>
      </c>
      <c r="K8" s="16">
        <v>0</v>
      </c>
      <c r="L8" s="16">
        <v>0</v>
      </c>
      <c r="M8" s="16">
        <v>0</v>
      </c>
      <c r="N8" s="18">
        <f t="shared" ref="N8:N39" si="0">SUM(B8:M8)</f>
        <v>931409515.32980418</v>
      </c>
      <c r="O8" s="4"/>
    </row>
    <row r="9" spans="1:15" ht="18" customHeight="1" x14ac:dyDescent="0.2">
      <c r="A9" s="17" t="s">
        <v>4</v>
      </c>
      <c r="B9" s="16">
        <v>446309899.09000003</v>
      </c>
      <c r="C9" s="16">
        <v>0</v>
      </c>
      <c r="D9" s="16">
        <v>8563821.2212368958</v>
      </c>
      <c r="E9" s="16">
        <v>2765916.0100000002</v>
      </c>
      <c r="F9" s="16">
        <v>1209078.05</v>
      </c>
      <c r="G9" s="16">
        <v>618178.43000000005</v>
      </c>
      <c r="H9" s="16">
        <v>22268476.099999998</v>
      </c>
      <c r="I9" s="16">
        <v>4071717.15</v>
      </c>
      <c r="J9" s="16">
        <v>11884748</v>
      </c>
      <c r="K9" s="16">
        <v>0</v>
      </c>
      <c r="L9" s="16">
        <v>0</v>
      </c>
      <c r="M9" s="16">
        <v>0</v>
      </c>
      <c r="N9" s="18">
        <f t="shared" si="0"/>
        <v>497691834.05123693</v>
      </c>
      <c r="O9" s="4"/>
    </row>
    <row r="10" spans="1:15" ht="18" customHeight="1" x14ac:dyDescent="0.2">
      <c r="A10" s="17" t="s">
        <v>5</v>
      </c>
      <c r="B10" s="16">
        <v>486098784.02999997</v>
      </c>
      <c r="C10" s="16">
        <v>0</v>
      </c>
      <c r="D10" s="16">
        <v>5021786.2206649035</v>
      </c>
      <c r="E10" s="16">
        <v>2940876.9699999997</v>
      </c>
      <c r="F10" s="16">
        <v>844639.63</v>
      </c>
      <c r="G10" s="16">
        <v>618178.43000000005</v>
      </c>
      <c r="H10" s="16">
        <v>24252771.559999999</v>
      </c>
      <c r="I10" s="16">
        <v>2844426.52</v>
      </c>
      <c r="J10" s="16">
        <v>7024204.5899999999</v>
      </c>
      <c r="K10" s="16">
        <v>0</v>
      </c>
      <c r="L10" s="16">
        <v>0</v>
      </c>
      <c r="M10" s="16">
        <v>0</v>
      </c>
      <c r="N10" s="18">
        <f t="shared" si="0"/>
        <v>529645667.95066488</v>
      </c>
      <c r="O10" s="4"/>
    </row>
    <row r="11" spans="1:15" ht="18" customHeight="1" x14ac:dyDescent="0.2">
      <c r="A11" s="17" t="s">
        <v>6</v>
      </c>
      <c r="B11" s="16">
        <v>3926324775.5800004</v>
      </c>
      <c r="C11" s="16">
        <v>0</v>
      </c>
      <c r="D11" s="16">
        <v>25051374.601367548</v>
      </c>
      <c r="E11" s="16">
        <v>59553014.690000005</v>
      </c>
      <c r="F11" s="16">
        <v>90659416.75</v>
      </c>
      <c r="G11" s="16">
        <v>51106251.040235937</v>
      </c>
      <c r="H11" s="16">
        <v>195921996.49000001</v>
      </c>
      <c r="I11" s="16">
        <v>305306592.51000005</v>
      </c>
      <c r="J11" s="16">
        <v>132154399.8</v>
      </c>
      <c r="K11" s="16">
        <v>0</v>
      </c>
      <c r="L11" s="16">
        <v>0</v>
      </c>
      <c r="M11" s="16">
        <v>0</v>
      </c>
      <c r="N11" s="18">
        <f t="shared" si="0"/>
        <v>4786077821.4616041</v>
      </c>
      <c r="O11" s="4"/>
    </row>
    <row r="12" spans="1:15" ht="18" customHeight="1" x14ac:dyDescent="0.2">
      <c r="A12" s="17" t="s">
        <v>7</v>
      </c>
      <c r="B12" s="16">
        <v>505501886.75999999</v>
      </c>
      <c r="C12" s="16">
        <v>0</v>
      </c>
      <c r="D12" s="16">
        <v>8255915.518493087</v>
      </c>
      <c r="E12" s="16">
        <v>3758247.5700000003</v>
      </c>
      <c r="F12" s="16">
        <v>3099870.33</v>
      </c>
      <c r="G12" s="16">
        <v>1537092.31</v>
      </c>
      <c r="H12" s="16">
        <v>25224337.18</v>
      </c>
      <c r="I12" s="16">
        <v>10439189.710000001</v>
      </c>
      <c r="J12" s="16">
        <v>14249356.870000001</v>
      </c>
      <c r="K12" s="16">
        <v>0</v>
      </c>
      <c r="L12" s="16">
        <v>0</v>
      </c>
      <c r="M12" s="16">
        <v>0</v>
      </c>
      <c r="N12" s="18">
        <f t="shared" si="0"/>
        <v>572065896.24849308</v>
      </c>
      <c r="O12" s="4"/>
    </row>
    <row r="13" spans="1:15" ht="18" customHeight="1" x14ac:dyDescent="0.2">
      <c r="A13" s="17" t="s">
        <v>8</v>
      </c>
      <c r="B13" s="16">
        <v>2402863285.7200003</v>
      </c>
      <c r="C13" s="16">
        <v>0</v>
      </c>
      <c r="D13" s="16">
        <v>22758885.67931205</v>
      </c>
      <c r="E13" s="16">
        <v>29341981.32</v>
      </c>
      <c r="F13" s="16">
        <v>44086330.229999997</v>
      </c>
      <c r="G13" s="16">
        <v>0</v>
      </c>
      <c r="H13" s="16">
        <v>119894296.12</v>
      </c>
      <c r="I13" s="16">
        <v>148466069.40000001</v>
      </c>
      <c r="J13" s="16">
        <v>98266353.910000011</v>
      </c>
      <c r="K13" s="16">
        <v>0</v>
      </c>
      <c r="L13" s="16">
        <v>0</v>
      </c>
      <c r="M13" s="16">
        <v>0</v>
      </c>
      <c r="N13" s="18">
        <f t="shared" si="0"/>
        <v>2865677202.3793125</v>
      </c>
      <c r="O13" s="4"/>
    </row>
    <row r="14" spans="1:15" ht="18" customHeight="1" x14ac:dyDescent="0.2">
      <c r="A14" s="17" t="s">
        <v>9</v>
      </c>
      <c r="B14" s="16">
        <v>812001544.23999989</v>
      </c>
      <c r="C14" s="16">
        <v>0</v>
      </c>
      <c r="D14" s="16">
        <v>18440741.970003281</v>
      </c>
      <c r="E14" s="16">
        <v>5286279.79</v>
      </c>
      <c r="F14" s="16">
        <v>2006555.07</v>
      </c>
      <c r="G14" s="16">
        <v>1044220.32</v>
      </c>
      <c r="H14" s="16">
        <v>40515519.559999995</v>
      </c>
      <c r="I14" s="16">
        <v>6757317.8100000005</v>
      </c>
      <c r="J14" s="16">
        <v>21095372.920000002</v>
      </c>
      <c r="K14" s="16">
        <v>0</v>
      </c>
      <c r="L14" s="16">
        <v>0</v>
      </c>
      <c r="M14" s="16">
        <v>0</v>
      </c>
      <c r="N14" s="18">
        <f t="shared" si="0"/>
        <v>907147551.68000305</v>
      </c>
      <c r="O14" s="4"/>
    </row>
    <row r="15" spans="1:15" ht="18" customHeight="1" x14ac:dyDescent="0.2">
      <c r="A15" s="17" t="s">
        <v>10</v>
      </c>
      <c r="B15" s="16">
        <v>1414210653.1499999</v>
      </c>
      <c r="C15" s="16">
        <v>0</v>
      </c>
      <c r="D15" s="16">
        <v>23067924.09132836</v>
      </c>
      <c r="E15" s="16">
        <v>9539925.2899999991</v>
      </c>
      <c r="F15" s="16">
        <v>7475275.1500000004</v>
      </c>
      <c r="G15" s="16">
        <v>3617179.19</v>
      </c>
      <c r="H15" s="16">
        <v>70560652.689999998</v>
      </c>
      <c r="I15" s="16">
        <v>25173896.620000001</v>
      </c>
      <c r="J15" s="16">
        <v>33657964.519999996</v>
      </c>
      <c r="K15" s="16">
        <v>0</v>
      </c>
      <c r="L15" s="16">
        <v>0</v>
      </c>
      <c r="M15" s="16">
        <v>0</v>
      </c>
      <c r="N15" s="18">
        <f t="shared" si="0"/>
        <v>1587303470.7013283</v>
      </c>
      <c r="O15" s="4"/>
    </row>
    <row r="16" spans="1:15" ht="18" customHeight="1" x14ac:dyDescent="0.2">
      <c r="A16" s="17" t="s">
        <v>11</v>
      </c>
      <c r="B16" s="16">
        <v>2554003243.8099999</v>
      </c>
      <c r="C16" s="16">
        <v>0</v>
      </c>
      <c r="D16" s="16">
        <v>53881413.775882848</v>
      </c>
      <c r="E16" s="16">
        <v>26884381.879999995</v>
      </c>
      <c r="F16" s="16">
        <v>27879539.25</v>
      </c>
      <c r="G16" s="16">
        <v>16047577.9</v>
      </c>
      <c r="H16" s="16">
        <v>127434343.73999999</v>
      </c>
      <c r="I16" s="16">
        <v>93887733.170000002</v>
      </c>
      <c r="J16" s="16">
        <v>83610719.170000002</v>
      </c>
      <c r="K16" s="16">
        <v>0</v>
      </c>
      <c r="L16" s="16">
        <v>0</v>
      </c>
      <c r="M16" s="16">
        <v>0</v>
      </c>
      <c r="N16" s="18">
        <f t="shared" si="0"/>
        <v>2983628952.6958828</v>
      </c>
      <c r="O16" s="4"/>
    </row>
    <row r="17" spans="1:15" ht="15" x14ac:dyDescent="0.2">
      <c r="A17" s="17" t="s">
        <v>12</v>
      </c>
      <c r="B17" s="16">
        <v>958671274.11000001</v>
      </c>
      <c r="C17" s="16">
        <v>0</v>
      </c>
      <c r="D17" s="16">
        <v>20578527.254448347</v>
      </c>
      <c r="E17" s="16">
        <v>6785367.1700000009</v>
      </c>
      <c r="F17" s="16">
        <v>5725970.7199999997</v>
      </c>
      <c r="G17" s="16">
        <v>2339053.52</v>
      </c>
      <c r="H17" s="16">
        <v>47831535.230000004</v>
      </c>
      <c r="I17" s="16">
        <v>19282901.599999998</v>
      </c>
      <c r="J17" s="16">
        <v>22663262.84</v>
      </c>
      <c r="K17" s="16">
        <v>0</v>
      </c>
      <c r="L17" s="16">
        <v>0</v>
      </c>
      <c r="M17" s="16">
        <v>0</v>
      </c>
      <c r="N17" s="18">
        <f t="shared" si="0"/>
        <v>1083877892.4444482</v>
      </c>
      <c r="O17" s="4"/>
    </row>
    <row r="18" spans="1:15" ht="15" x14ac:dyDescent="0.2">
      <c r="A18" s="17" t="s">
        <v>13</v>
      </c>
      <c r="B18" s="16">
        <v>539144207.88999999</v>
      </c>
      <c r="C18" s="16">
        <v>0</v>
      </c>
      <c r="D18" s="16">
        <v>9973138.5226314757</v>
      </c>
      <c r="E18" s="16">
        <v>3967120.45</v>
      </c>
      <c r="F18" s="16">
        <v>3858759.75</v>
      </c>
      <c r="G18" s="16">
        <v>1904657.87</v>
      </c>
      <c r="H18" s="16">
        <v>26899473.809999999</v>
      </c>
      <c r="I18" s="16">
        <v>12994841.960000001</v>
      </c>
      <c r="J18" s="16">
        <v>18476778.129999999</v>
      </c>
      <c r="K18" s="16">
        <v>0</v>
      </c>
      <c r="L18" s="16">
        <v>0</v>
      </c>
      <c r="M18" s="16">
        <v>0</v>
      </c>
      <c r="N18" s="18">
        <f t="shared" si="0"/>
        <v>617218978.38263154</v>
      </c>
      <c r="O18" s="4"/>
    </row>
    <row r="19" spans="1:15" ht="15" x14ac:dyDescent="0.2">
      <c r="A19" s="17" t="s">
        <v>14</v>
      </c>
      <c r="B19" s="16">
        <v>906358042.82000005</v>
      </c>
      <c r="C19" s="16">
        <v>0</v>
      </c>
      <c r="D19" s="16">
        <v>13717436.719605137</v>
      </c>
      <c r="E19" s="16">
        <v>5672573.2199999988</v>
      </c>
      <c r="F19" s="16">
        <v>1558510.19</v>
      </c>
      <c r="G19" s="16">
        <v>1060927.8500000001</v>
      </c>
      <c r="H19" s="16">
        <v>45223539.32</v>
      </c>
      <c r="I19" s="16">
        <v>5248472.28</v>
      </c>
      <c r="J19" s="16">
        <v>16075416.01</v>
      </c>
      <c r="K19" s="16">
        <v>0</v>
      </c>
      <c r="L19" s="16">
        <v>0</v>
      </c>
      <c r="M19" s="16">
        <v>0</v>
      </c>
      <c r="N19" s="18">
        <f t="shared" si="0"/>
        <v>994914918.40960526</v>
      </c>
      <c r="O19" s="4"/>
    </row>
    <row r="20" spans="1:15" ht="15" x14ac:dyDescent="0.2">
      <c r="A20" s="17" t="s">
        <v>15</v>
      </c>
      <c r="B20" s="16">
        <v>3209334849.4499998</v>
      </c>
      <c r="C20" s="16">
        <v>0</v>
      </c>
      <c r="D20" s="16">
        <v>14679680.9252223</v>
      </c>
      <c r="E20" s="16">
        <v>41336569.790000007</v>
      </c>
      <c r="F20" s="16">
        <v>49743700.789999999</v>
      </c>
      <c r="G20" s="16">
        <v>26695536.772767641</v>
      </c>
      <c r="H20" s="16">
        <v>160130726.15000001</v>
      </c>
      <c r="I20" s="16">
        <v>167517951.58999997</v>
      </c>
      <c r="J20" s="16">
        <v>91411523.060000002</v>
      </c>
      <c r="K20" s="16">
        <v>0</v>
      </c>
      <c r="L20" s="16">
        <v>0</v>
      </c>
      <c r="M20" s="16">
        <v>0</v>
      </c>
      <c r="N20" s="18">
        <f t="shared" si="0"/>
        <v>3760850538.5279899</v>
      </c>
      <c r="O20" s="4"/>
    </row>
    <row r="21" spans="1:15" ht="15" x14ac:dyDescent="0.2">
      <c r="A21" s="17" t="s">
        <v>16</v>
      </c>
      <c r="B21" s="16">
        <v>1394499258.8099999</v>
      </c>
      <c r="C21" s="16">
        <v>0</v>
      </c>
      <c r="D21" s="16">
        <v>6057989.0027837232</v>
      </c>
      <c r="E21" s="16">
        <v>12425433.01</v>
      </c>
      <c r="F21" s="16">
        <v>13226970.939999999</v>
      </c>
      <c r="G21" s="16">
        <v>3480402.8570789425</v>
      </c>
      <c r="H21" s="16">
        <v>69578602.700000003</v>
      </c>
      <c r="I21" s="16">
        <v>44543430.5</v>
      </c>
      <c r="J21" s="16">
        <v>29969690.609999999</v>
      </c>
      <c r="K21" s="16">
        <v>0</v>
      </c>
      <c r="L21" s="16">
        <v>0</v>
      </c>
      <c r="M21" s="16">
        <v>0</v>
      </c>
      <c r="N21" s="18">
        <f t="shared" si="0"/>
        <v>1573781778.4298627</v>
      </c>
      <c r="O21" s="4"/>
    </row>
    <row r="22" spans="1:15" ht="15" x14ac:dyDescent="0.2">
      <c r="A22" s="17" t="s">
        <v>17</v>
      </c>
      <c r="B22" s="16">
        <v>1104743689.01</v>
      </c>
      <c r="C22" s="16">
        <v>0</v>
      </c>
      <c r="D22" s="16">
        <v>13116708.868345199</v>
      </c>
      <c r="E22" s="16">
        <v>6867448.54</v>
      </c>
      <c r="F22" s="16">
        <v>3149176.71</v>
      </c>
      <c r="G22" s="16">
        <v>1796058.95</v>
      </c>
      <c r="H22" s="16">
        <v>55116199.340000004</v>
      </c>
      <c r="I22" s="16">
        <v>10605234.91</v>
      </c>
      <c r="J22" s="16">
        <v>22505592.369999997</v>
      </c>
      <c r="K22" s="16">
        <v>0</v>
      </c>
      <c r="L22" s="16">
        <v>0</v>
      </c>
      <c r="M22" s="16">
        <v>0</v>
      </c>
      <c r="N22" s="18">
        <f t="shared" si="0"/>
        <v>1217900108.6983452</v>
      </c>
      <c r="O22" s="4"/>
    </row>
    <row r="23" spans="1:15" ht="15" x14ac:dyDescent="0.2">
      <c r="A23" s="17" t="s">
        <v>18</v>
      </c>
      <c r="B23" s="16">
        <v>1061332377.7500001</v>
      </c>
      <c r="C23" s="16">
        <v>0</v>
      </c>
      <c r="D23" s="16">
        <v>10802788.728675287</v>
      </c>
      <c r="E23" s="16">
        <v>7108416.96</v>
      </c>
      <c r="F23" s="16">
        <v>3018407.63</v>
      </c>
      <c r="G23" s="16">
        <v>2213747.08</v>
      </c>
      <c r="H23" s="16">
        <v>52955012.969999999</v>
      </c>
      <c r="I23" s="16">
        <v>10164854.16</v>
      </c>
      <c r="J23" s="16">
        <v>18577476.079999998</v>
      </c>
      <c r="K23" s="16">
        <v>0</v>
      </c>
      <c r="L23" s="16">
        <v>0</v>
      </c>
      <c r="M23" s="16">
        <v>0</v>
      </c>
      <c r="N23" s="18">
        <f t="shared" si="0"/>
        <v>1166173081.3586755</v>
      </c>
      <c r="O23" s="4"/>
    </row>
    <row r="24" spans="1:15" ht="15" x14ac:dyDescent="0.2">
      <c r="A24" s="17" t="s">
        <v>19</v>
      </c>
      <c r="B24" s="16">
        <v>334111024.03000009</v>
      </c>
      <c r="C24" s="16">
        <v>0</v>
      </c>
      <c r="D24" s="16">
        <v>7918690.7822102876</v>
      </c>
      <c r="E24" s="16">
        <v>3025004.8899999997</v>
      </c>
      <c r="F24" s="16">
        <v>3138457.93</v>
      </c>
      <c r="G24" s="16">
        <v>595056.0233622645</v>
      </c>
      <c r="H24" s="16">
        <v>16669747.99</v>
      </c>
      <c r="I24" s="16">
        <v>10569138.130000001</v>
      </c>
      <c r="J24" s="16">
        <v>15719387.52</v>
      </c>
      <c r="K24" s="16">
        <v>0</v>
      </c>
      <c r="L24" s="16">
        <v>0</v>
      </c>
      <c r="M24" s="16">
        <v>0</v>
      </c>
      <c r="N24" s="18">
        <f t="shared" si="0"/>
        <v>391746507.29557264</v>
      </c>
      <c r="O24" s="4"/>
    </row>
    <row r="25" spans="1:15" ht="15" x14ac:dyDescent="0.2">
      <c r="A25" s="17" t="s">
        <v>20</v>
      </c>
      <c r="B25" s="16">
        <v>1382861250.8399999</v>
      </c>
      <c r="C25" s="16">
        <v>0</v>
      </c>
      <c r="D25" s="16">
        <v>8933106.2506605443</v>
      </c>
      <c r="E25" s="16">
        <v>12373743.34</v>
      </c>
      <c r="F25" s="16">
        <v>13919403.939999999</v>
      </c>
      <c r="G25" s="16">
        <v>5271224.18</v>
      </c>
      <c r="H25" s="16">
        <v>69004208.879999995</v>
      </c>
      <c r="I25" s="16">
        <v>46875282.700000003</v>
      </c>
      <c r="J25" s="16">
        <v>36338462.140000001</v>
      </c>
      <c r="K25" s="16">
        <v>0</v>
      </c>
      <c r="L25" s="16">
        <v>0</v>
      </c>
      <c r="M25" s="16">
        <v>0</v>
      </c>
      <c r="N25" s="18">
        <f t="shared" si="0"/>
        <v>1575576682.2706609</v>
      </c>
      <c r="O25" s="4"/>
    </row>
    <row r="26" spans="1:15" ht="15" x14ac:dyDescent="0.2">
      <c r="A26" s="17" t="s">
        <v>21</v>
      </c>
      <c r="B26" s="16">
        <v>563903877.19999993</v>
      </c>
      <c r="C26" s="16">
        <v>0</v>
      </c>
      <c r="D26" s="16">
        <v>8641556.5656204429</v>
      </c>
      <c r="E26" s="16">
        <v>5948379.6699999999</v>
      </c>
      <c r="F26" s="16">
        <v>6330509.75</v>
      </c>
      <c r="G26" s="16">
        <v>3366566.32</v>
      </c>
      <c r="H26" s="16">
        <v>28132943.859999999</v>
      </c>
      <c r="I26" s="16">
        <v>21318760.169999998</v>
      </c>
      <c r="J26" s="16">
        <v>26813392.700000003</v>
      </c>
      <c r="K26" s="16">
        <v>0</v>
      </c>
      <c r="L26" s="16">
        <v>0</v>
      </c>
      <c r="M26" s="16">
        <v>0</v>
      </c>
      <c r="N26" s="18">
        <f t="shared" si="0"/>
        <v>664455986.23562038</v>
      </c>
      <c r="O26" s="4"/>
    </row>
    <row r="27" spans="1:15" ht="15" x14ac:dyDescent="0.2">
      <c r="A27" s="17" t="s">
        <v>22</v>
      </c>
      <c r="B27" s="16">
        <v>275978788.74999994</v>
      </c>
      <c r="C27" s="16">
        <v>0</v>
      </c>
      <c r="D27" s="16">
        <v>2907665.2833172437</v>
      </c>
      <c r="E27" s="16">
        <v>2308419.14</v>
      </c>
      <c r="F27" s="16">
        <v>1573516.47</v>
      </c>
      <c r="G27" s="16">
        <v>760192.39</v>
      </c>
      <c r="H27" s="16">
        <v>13771228.629999999</v>
      </c>
      <c r="I27" s="16">
        <v>5299007.7799999993</v>
      </c>
      <c r="J27" s="16">
        <v>7185261.54</v>
      </c>
      <c r="K27" s="16">
        <v>0</v>
      </c>
      <c r="L27" s="16">
        <v>0</v>
      </c>
      <c r="M27" s="16">
        <v>0</v>
      </c>
      <c r="N27" s="18">
        <f t="shared" si="0"/>
        <v>309784079.9833172</v>
      </c>
      <c r="O27" s="4"/>
    </row>
    <row r="28" spans="1:15" ht="15" x14ac:dyDescent="0.2">
      <c r="A28" s="17" t="s">
        <v>23</v>
      </c>
      <c r="B28" s="16">
        <v>977380720.73999977</v>
      </c>
      <c r="C28" s="16">
        <v>0</v>
      </c>
      <c r="D28" s="16">
        <v>10603588.362790631</v>
      </c>
      <c r="E28" s="16">
        <v>6323676.5099999998</v>
      </c>
      <c r="F28" s="16">
        <v>2167336.73</v>
      </c>
      <c r="G28" s="16">
        <v>1102696.6599999999</v>
      </c>
      <c r="H28" s="16">
        <v>48766245.370000005</v>
      </c>
      <c r="I28" s="16">
        <v>7298769.5699999994</v>
      </c>
      <c r="J28" s="16">
        <v>14690595.15</v>
      </c>
      <c r="K28" s="16">
        <v>0</v>
      </c>
      <c r="L28" s="16">
        <v>0</v>
      </c>
      <c r="M28" s="16">
        <v>0</v>
      </c>
      <c r="N28" s="18">
        <f t="shared" si="0"/>
        <v>1068333629.0927904</v>
      </c>
      <c r="O28" s="4"/>
    </row>
    <row r="29" spans="1:15" ht="15" x14ac:dyDescent="0.2">
      <c r="A29" s="17" t="s">
        <v>24</v>
      </c>
      <c r="B29" s="16">
        <v>604424954.69000006</v>
      </c>
      <c r="C29" s="16">
        <v>0</v>
      </c>
      <c r="D29" s="16">
        <v>10678593.638366431</v>
      </c>
      <c r="E29" s="16">
        <v>4076988.0199999996</v>
      </c>
      <c r="F29" s="16">
        <v>1352709.67</v>
      </c>
      <c r="G29" s="16">
        <v>668301.01</v>
      </c>
      <c r="H29" s="16">
        <v>30160557.390000001</v>
      </c>
      <c r="I29" s="16">
        <v>4555414.05</v>
      </c>
      <c r="J29" s="16">
        <v>13096509.82</v>
      </c>
      <c r="K29" s="16">
        <v>0</v>
      </c>
      <c r="L29" s="16">
        <v>0</v>
      </c>
      <c r="M29" s="16">
        <v>0</v>
      </c>
      <c r="N29" s="18">
        <f t="shared" si="0"/>
        <v>669014028.28836644</v>
      </c>
      <c r="O29" s="4"/>
    </row>
    <row r="30" spans="1:15" ht="15" x14ac:dyDescent="0.2">
      <c r="A30" s="17" t="s">
        <v>25</v>
      </c>
      <c r="B30" s="16">
        <v>200929051.81000003</v>
      </c>
      <c r="C30" s="16">
        <v>0</v>
      </c>
      <c r="D30" s="16">
        <v>5733244.3504680116</v>
      </c>
      <c r="E30" s="16">
        <v>1520675.45</v>
      </c>
      <c r="F30" s="16">
        <v>1168346.7</v>
      </c>
      <c r="G30" s="16">
        <v>835376.26</v>
      </c>
      <c r="H30" s="16">
        <v>10025072.51</v>
      </c>
      <c r="I30" s="16">
        <v>3934549.38</v>
      </c>
      <c r="J30" s="16">
        <v>10174028.350000001</v>
      </c>
      <c r="K30" s="16">
        <v>0</v>
      </c>
      <c r="L30" s="16">
        <v>0</v>
      </c>
      <c r="M30" s="16">
        <v>0</v>
      </c>
      <c r="N30" s="18">
        <f t="shared" si="0"/>
        <v>234320344.81046799</v>
      </c>
      <c r="O30" s="4"/>
    </row>
    <row r="31" spans="1:15" ht="15" x14ac:dyDescent="0.2">
      <c r="A31" s="17" t="s">
        <v>26</v>
      </c>
      <c r="B31" s="16">
        <v>350065114.46999997</v>
      </c>
      <c r="C31" s="16">
        <v>0</v>
      </c>
      <c r="D31" s="16">
        <v>5612369.2207962871</v>
      </c>
      <c r="E31" s="16">
        <v>2345769.3100000005</v>
      </c>
      <c r="F31" s="16">
        <v>1395584.77</v>
      </c>
      <c r="G31" s="16">
        <v>459456.94</v>
      </c>
      <c r="H31" s="16">
        <v>17467730.66</v>
      </c>
      <c r="I31" s="16">
        <v>4699801.17</v>
      </c>
      <c r="J31" s="16">
        <v>7210610.3399999999</v>
      </c>
      <c r="K31" s="16">
        <v>0</v>
      </c>
      <c r="L31" s="16">
        <v>0</v>
      </c>
      <c r="M31" s="16">
        <v>0</v>
      </c>
      <c r="N31" s="18">
        <f t="shared" si="0"/>
        <v>389256436.88079625</v>
      </c>
      <c r="O31" s="4"/>
    </row>
    <row r="32" spans="1:15" ht="15" x14ac:dyDescent="0.2">
      <c r="A32" s="17" t="s">
        <v>27</v>
      </c>
      <c r="B32" s="16">
        <v>1537874122.1900003</v>
      </c>
      <c r="C32" s="16">
        <v>0</v>
      </c>
      <c r="D32" s="16">
        <v>14283641.724930681</v>
      </c>
      <c r="E32" s="16">
        <v>10316877.949999999</v>
      </c>
      <c r="F32" s="16">
        <v>4116010.4</v>
      </c>
      <c r="G32" s="16">
        <v>2514482.5299999998</v>
      </c>
      <c r="H32" s="16">
        <v>76734871.569999993</v>
      </c>
      <c r="I32" s="16">
        <v>13861164.76</v>
      </c>
      <c r="J32" s="16">
        <v>22561568.879999999</v>
      </c>
      <c r="K32" s="16">
        <v>0</v>
      </c>
      <c r="L32" s="16">
        <v>0</v>
      </c>
      <c r="M32" s="16">
        <v>0</v>
      </c>
      <c r="N32" s="18">
        <f t="shared" si="0"/>
        <v>1682262740.0049312</v>
      </c>
      <c r="O32" s="4"/>
    </row>
    <row r="33" spans="1:15" ht="15" x14ac:dyDescent="0.2">
      <c r="A33" s="17" t="s">
        <v>28</v>
      </c>
      <c r="B33" s="16">
        <v>1045744383.5799999</v>
      </c>
      <c r="C33" s="16">
        <v>0</v>
      </c>
      <c r="D33" s="16">
        <v>13418773.777454186</v>
      </c>
      <c r="E33" s="16">
        <v>7086746.1100000003</v>
      </c>
      <c r="F33" s="16">
        <v>3020551.38</v>
      </c>
      <c r="G33" s="16">
        <v>2021610.54</v>
      </c>
      <c r="H33" s="16">
        <v>52177113.379999995</v>
      </c>
      <c r="I33" s="16">
        <v>10172073.51</v>
      </c>
      <c r="J33" s="16">
        <v>21520824.239999998</v>
      </c>
      <c r="K33" s="16">
        <v>0</v>
      </c>
      <c r="L33" s="16">
        <v>0</v>
      </c>
      <c r="M33" s="16">
        <v>0</v>
      </c>
      <c r="N33" s="18">
        <f t="shared" si="0"/>
        <v>1155162076.5174541</v>
      </c>
      <c r="O33" s="4"/>
    </row>
    <row r="34" spans="1:15" ht="15" x14ac:dyDescent="0.2">
      <c r="A34" s="17" t="s">
        <v>29</v>
      </c>
      <c r="B34" s="16">
        <v>1361126692.8699996</v>
      </c>
      <c r="C34" s="16">
        <v>0</v>
      </c>
      <c r="D34" s="16">
        <v>16969285.646768048</v>
      </c>
      <c r="E34" s="16">
        <v>12573553.149999999</v>
      </c>
      <c r="F34" s="16">
        <v>4392554.8499999996</v>
      </c>
      <c r="G34" s="16">
        <v>3374920.08</v>
      </c>
      <c r="H34" s="16">
        <v>67911003.980000004</v>
      </c>
      <c r="I34" s="16">
        <v>14792461.76</v>
      </c>
      <c r="J34" s="16">
        <v>27071014.100000001</v>
      </c>
      <c r="K34" s="16">
        <v>0</v>
      </c>
      <c r="L34" s="16">
        <v>0</v>
      </c>
      <c r="M34" s="16">
        <v>0</v>
      </c>
      <c r="N34" s="18">
        <f t="shared" si="0"/>
        <v>1508211486.4367676</v>
      </c>
      <c r="O34" s="4"/>
    </row>
    <row r="35" spans="1:15" ht="15" x14ac:dyDescent="0.2">
      <c r="A35" s="17" t="s">
        <v>30</v>
      </c>
      <c r="B35" s="16">
        <v>645369933.14999998</v>
      </c>
      <c r="C35" s="16">
        <v>0</v>
      </c>
      <c r="D35" s="16">
        <v>5639549.5584930871</v>
      </c>
      <c r="E35" s="16">
        <v>4546855.09</v>
      </c>
      <c r="F35" s="16">
        <v>2746150.69</v>
      </c>
      <c r="G35" s="16">
        <v>1311540.72</v>
      </c>
      <c r="H35" s="16">
        <v>32202739.039999999</v>
      </c>
      <c r="I35" s="16">
        <v>9247995.870000001</v>
      </c>
      <c r="J35" s="16">
        <v>9729403.5899999999</v>
      </c>
      <c r="K35" s="16">
        <v>0</v>
      </c>
      <c r="L35" s="16">
        <v>0</v>
      </c>
      <c r="M35" s="16">
        <v>0</v>
      </c>
      <c r="N35" s="18">
        <f t="shared" si="0"/>
        <v>710794167.70849323</v>
      </c>
      <c r="O35" s="4"/>
    </row>
    <row r="36" spans="1:15" ht="15" x14ac:dyDescent="0.2">
      <c r="A36" s="17" t="s">
        <v>31</v>
      </c>
      <c r="B36" s="16">
        <v>759168070.89999986</v>
      </c>
      <c r="C36" s="16">
        <v>0</v>
      </c>
      <c r="D36" s="16">
        <v>10699336.593141951</v>
      </c>
      <c r="E36" s="16">
        <v>4646161.8899999997</v>
      </c>
      <c r="F36" s="16">
        <v>1727866.86</v>
      </c>
      <c r="G36" s="16">
        <v>760192.39</v>
      </c>
      <c r="H36" s="16">
        <v>37878024.299999997</v>
      </c>
      <c r="I36" s="16">
        <v>5818801.46</v>
      </c>
      <c r="J36" s="16">
        <v>9798428</v>
      </c>
      <c r="K36" s="16">
        <v>0</v>
      </c>
      <c r="L36" s="16">
        <v>0</v>
      </c>
      <c r="M36" s="16">
        <v>0</v>
      </c>
      <c r="N36" s="18">
        <f t="shared" si="0"/>
        <v>830496882.39314175</v>
      </c>
      <c r="O36" s="4"/>
    </row>
    <row r="37" spans="1:15" ht="15" x14ac:dyDescent="0.2">
      <c r="A37" s="17" t="s">
        <v>32</v>
      </c>
      <c r="B37" s="16">
        <v>788397968.43999994</v>
      </c>
      <c r="C37" s="16">
        <v>0</v>
      </c>
      <c r="D37" s="16">
        <v>12268584.268076627</v>
      </c>
      <c r="E37" s="16">
        <v>5276016.43</v>
      </c>
      <c r="F37" s="16">
        <v>3204914.35</v>
      </c>
      <c r="G37" s="16">
        <v>1161173</v>
      </c>
      <c r="H37" s="16">
        <v>39339823.289999999</v>
      </c>
      <c r="I37" s="16">
        <v>10792938.18</v>
      </c>
      <c r="J37" s="16">
        <v>16631794.560000001</v>
      </c>
      <c r="K37" s="16">
        <v>0</v>
      </c>
      <c r="L37" s="16">
        <v>0</v>
      </c>
      <c r="M37" s="16">
        <v>0</v>
      </c>
      <c r="N37" s="18">
        <f t="shared" si="0"/>
        <v>877073212.51807642</v>
      </c>
      <c r="O37" s="4"/>
    </row>
    <row r="38" spans="1:15" ht="15" x14ac:dyDescent="0.2">
      <c r="A38" s="17" t="s">
        <v>33</v>
      </c>
      <c r="B38" s="16">
        <v>689455632.30999994</v>
      </c>
      <c r="C38" s="16">
        <v>0</v>
      </c>
      <c r="D38" s="16">
        <v>2375153.7054678276</v>
      </c>
      <c r="E38" s="16">
        <v>5175634.6000000006</v>
      </c>
      <c r="F38" s="16">
        <v>2864057.24</v>
      </c>
      <c r="G38" s="16">
        <v>3216198.59</v>
      </c>
      <c r="H38" s="16">
        <v>34403495.990000002</v>
      </c>
      <c r="I38" s="16">
        <v>9645060.4800000004</v>
      </c>
      <c r="J38" s="16">
        <v>27445967.039999999</v>
      </c>
      <c r="K38" s="16">
        <v>0</v>
      </c>
      <c r="L38" s="16">
        <v>0</v>
      </c>
      <c r="M38" s="16">
        <v>0</v>
      </c>
      <c r="N38" s="18">
        <f t="shared" si="0"/>
        <v>774581199.95546782</v>
      </c>
      <c r="O38" s="4"/>
    </row>
    <row r="39" spans="1:15" ht="15" x14ac:dyDescent="0.2">
      <c r="A39" s="17" t="s">
        <v>34</v>
      </c>
      <c r="B39" s="16">
        <v>1275171140.4599998</v>
      </c>
      <c r="C39" s="16">
        <v>0</v>
      </c>
      <c r="D39" s="16">
        <v>15731493.354602775</v>
      </c>
      <c r="E39" s="16">
        <v>7847244.1099999994</v>
      </c>
      <c r="F39" s="16">
        <v>3648671.72</v>
      </c>
      <c r="G39" s="16">
        <v>2004903.02</v>
      </c>
      <c r="H39" s="16">
        <v>63623772.289999999</v>
      </c>
      <c r="I39" s="16">
        <v>12287345.01</v>
      </c>
      <c r="J39" s="16">
        <v>23827613.960000001</v>
      </c>
      <c r="K39" s="16">
        <v>0</v>
      </c>
      <c r="L39" s="16">
        <v>0</v>
      </c>
      <c r="M39" s="16">
        <v>0</v>
      </c>
      <c r="N39" s="18">
        <f t="shared" si="0"/>
        <v>1404142183.9246025</v>
      </c>
      <c r="O39" s="4"/>
    </row>
    <row r="40" spans="1:15" ht="15" x14ac:dyDescent="0.2">
      <c r="A40" s="17" t="s">
        <v>35</v>
      </c>
      <c r="B40" s="16">
        <v>897918560.20999992</v>
      </c>
      <c r="C40" s="16">
        <v>0</v>
      </c>
      <c r="D40" s="16">
        <v>11302441.203099854</v>
      </c>
      <c r="E40" s="16">
        <v>5274095.55</v>
      </c>
      <c r="F40" s="16">
        <v>1948673.67</v>
      </c>
      <c r="G40" s="16">
        <v>877145.07</v>
      </c>
      <c r="H40" s="16">
        <v>44796813.240000002</v>
      </c>
      <c r="I40" s="16">
        <v>6562395.1900000004</v>
      </c>
      <c r="J40" s="16">
        <v>13127087.73</v>
      </c>
      <c r="K40" s="16">
        <v>0</v>
      </c>
      <c r="L40" s="16">
        <v>0</v>
      </c>
      <c r="M40" s="16">
        <v>0</v>
      </c>
      <c r="N40" s="18">
        <f t="shared" ref="N40:N71" si="1">SUM(B40:M40)</f>
        <v>981807211.86309981</v>
      </c>
      <c r="O40" s="4"/>
    </row>
    <row r="41" spans="1:15" ht="15" x14ac:dyDescent="0.2">
      <c r="A41" s="17" t="s">
        <v>36</v>
      </c>
      <c r="B41" s="16">
        <v>828841973.05000019</v>
      </c>
      <c r="C41" s="16">
        <v>0</v>
      </c>
      <c r="D41" s="16">
        <v>5927650.9307750557</v>
      </c>
      <c r="E41" s="16">
        <v>5603762.2700000005</v>
      </c>
      <c r="F41" s="16">
        <v>3299239.59</v>
      </c>
      <c r="G41" s="16">
        <v>1528738.55</v>
      </c>
      <c r="H41" s="16">
        <v>41358687.230000004</v>
      </c>
      <c r="I41" s="16">
        <v>11110589.879999999</v>
      </c>
      <c r="J41" s="16">
        <v>13470118.119999999</v>
      </c>
      <c r="K41" s="16">
        <v>0</v>
      </c>
      <c r="L41" s="16">
        <v>0</v>
      </c>
      <c r="M41" s="16">
        <v>0</v>
      </c>
      <c r="N41" s="18">
        <f t="shared" si="1"/>
        <v>911140759.62077522</v>
      </c>
      <c r="O41" s="4"/>
    </row>
    <row r="42" spans="1:15" ht="15" x14ac:dyDescent="0.2">
      <c r="A42" s="17" t="s">
        <v>37</v>
      </c>
      <c r="B42" s="16">
        <v>555946100.22000003</v>
      </c>
      <c r="C42" s="16">
        <v>0</v>
      </c>
      <c r="D42" s="16">
        <v>3464677.3582706042</v>
      </c>
      <c r="E42" s="16">
        <v>5826864.9400000004</v>
      </c>
      <c r="F42" s="16">
        <v>8960897.6600000001</v>
      </c>
      <c r="G42" s="16">
        <v>0</v>
      </c>
      <c r="H42" s="16">
        <v>27738311.649999999</v>
      </c>
      <c r="I42" s="16">
        <v>30176910.780000001</v>
      </c>
      <c r="J42" s="16">
        <v>20526145.66</v>
      </c>
      <c r="K42" s="16">
        <v>0</v>
      </c>
      <c r="L42" s="16">
        <v>0</v>
      </c>
      <c r="M42" s="16">
        <v>0</v>
      </c>
      <c r="N42" s="18">
        <f t="shared" si="1"/>
        <v>652639908.26827061</v>
      </c>
      <c r="O42" s="4"/>
    </row>
    <row r="43" spans="1:15" ht="15" x14ac:dyDescent="0.2">
      <c r="A43" s="17" t="s">
        <v>38</v>
      </c>
      <c r="B43" s="16">
        <v>2898422768.4100003</v>
      </c>
      <c r="C43" s="16">
        <v>0</v>
      </c>
      <c r="D43" s="16">
        <v>12785380.082546547</v>
      </c>
      <c r="E43" s="16">
        <v>27091230.769999996</v>
      </c>
      <c r="F43" s="16">
        <v>37262756.719999999</v>
      </c>
      <c r="G43" s="16">
        <v>12213200.880000001</v>
      </c>
      <c r="H43" s="16">
        <v>144606746.03</v>
      </c>
      <c r="I43" s="16">
        <v>125486857.19999999</v>
      </c>
      <c r="J43" s="16">
        <v>67223298.879999995</v>
      </c>
      <c r="K43" s="16">
        <v>0</v>
      </c>
      <c r="L43" s="16">
        <v>0</v>
      </c>
      <c r="M43" s="16">
        <v>0</v>
      </c>
      <c r="N43" s="18">
        <f t="shared" si="1"/>
        <v>3325092238.9725471</v>
      </c>
      <c r="O43" s="4"/>
    </row>
    <row r="44" spans="1:15" ht="15" x14ac:dyDescent="0.2">
      <c r="A44" s="17" t="s">
        <v>39</v>
      </c>
      <c r="B44" s="16">
        <v>2819230363.0299997</v>
      </c>
      <c r="C44" s="16">
        <v>0</v>
      </c>
      <c r="D44" s="16">
        <v>18787060.015084743</v>
      </c>
      <c r="E44" s="16">
        <v>30052100.940000001</v>
      </c>
      <c r="F44" s="16">
        <v>46886074.810000002</v>
      </c>
      <c r="G44" s="16">
        <v>20596571.81453082</v>
      </c>
      <c r="H44" s="16">
        <v>140655550.06</v>
      </c>
      <c r="I44" s="16">
        <v>157894549.18000001</v>
      </c>
      <c r="J44" s="16">
        <v>86929916.670000002</v>
      </c>
      <c r="K44" s="16">
        <v>0</v>
      </c>
      <c r="L44" s="16">
        <v>0</v>
      </c>
      <c r="M44" s="16">
        <v>0</v>
      </c>
      <c r="N44" s="18">
        <f t="shared" si="1"/>
        <v>3321032186.5196152</v>
      </c>
      <c r="O44" s="4"/>
    </row>
    <row r="45" spans="1:15" ht="15" x14ac:dyDescent="0.2">
      <c r="A45" s="17" t="s">
        <v>40</v>
      </c>
      <c r="B45" s="16">
        <v>789419184.4000001</v>
      </c>
      <c r="C45" s="16">
        <v>0</v>
      </c>
      <c r="D45" s="16">
        <v>5066469.0934061632</v>
      </c>
      <c r="E45" s="16">
        <v>3477782.94</v>
      </c>
      <c r="F45" s="16">
        <v>3492177.58</v>
      </c>
      <c r="G45" s="16">
        <v>1913011.63</v>
      </c>
      <c r="H45" s="16">
        <v>39386835.590000004</v>
      </c>
      <c r="I45" s="16">
        <v>11760331.969999999</v>
      </c>
      <c r="J45" s="16">
        <v>13013690.49</v>
      </c>
      <c r="K45" s="16">
        <v>0</v>
      </c>
      <c r="L45" s="16">
        <v>0</v>
      </c>
      <c r="M45" s="16">
        <v>0</v>
      </c>
      <c r="N45" s="18">
        <f t="shared" si="1"/>
        <v>867529483.69340646</v>
      </c>
      <c r="O45" s="4"/>
    </row>
    <row r="46" spans="1:15" ht="15" x14ac:dyDescent="0.2">
      <c r="A46" s="17" t="s">
        <v>41</v>
      </c>
      <c r="B46" s="16">
        <v>1247790992.51</v>
      </c>
      <c r="C46" s="16">
        <v>0</v>
      </c>
      <c r="D46" s="16">
        <v>9336060.8050847426</v>
      </c>
      <c r="E46" s="16">
        <v>19453433.490000002</v>
      </c>
      <c r="F46" s="16">
        <v>27545113.399999999</v>
      </c>
      <c r="G46" s="16">
        <v>0</v>
      </c>
      <c r="H46" s="16">
        <v>62253576.530000001</v>
      </c>
      <c r="I46" s="16">
        <v>92761513.530000001</v>
      </c>
      <c r="J46" s="16">
        <v>55059365.579999998</v>
      </c>
      <c r="K46" s="16">
        <v>0</v>
      </c>
      <c r="L46" s="16">
        <v>0</v>
      </c>
      <c r="M46" s="16">
        <v>0</v>
      </c>
      <c r="N46" s="18">
        <f t="shared" si="1"/>
        <v>1514200055.8450847</v>
      </c>
      <c r="O46" s="4"/>
    </row>
    <row r="47" spans="1:15" ht="15" x14ac:dyDescent="0.2">
      <c r="A47" s="17" t="s">
        <v>42</v>
      </c>
      <c r="B47" s="16">
        <v>3790252569.5599999</v>
      </c>
      <c r="C47" s="16">
        <v>0</v>
      </c>
      <c r="D47" s="16">
        <v>15745792.99807371</v>
      </c>
      <c r="E47" s="16">
        <v>60359500.649999999</v>
      </c>
      <c r="F47" s="16">
        <v>85870267.140000001</v>
      </c>
      <c r="G47" s="16">
        <v>23507314.552607946</v>
      </c>
      <c r="H47" s="16">
        <v>189107567.72999999</v>
      </c>
      <c r="I47" s="16">
        <v>289178549.75999999</v>
      </c>
      <c r="J47" s="16">
        <v>132478904.16</v>
      </c>
      <c r="K47" s="16">
        <v>0</v>
      </c>
      <c r="L47" s="16">
        <v>0</v>
      </c>
      <c r="M47" s="16">
        <v>0</v>
      </c>
      <c r="N47" s="18">
        <f t="shared" si="1"/>
        <v>4586500466.5506811</v>
      </c>
      <c r="O47" s="4"/>
    </row>
    <row r="48" spans="1:15" ht="15" x14ac:dyDescent="0.2">
      <c r="A48" s="17" t="s">
        <v>43</v>
      </c>
      <c r="B48" s="16">
        <v>390354973.25</v>
      </c>
      <c r="C48" s="16">
        <v>0</v>
      </c>
      <c r="D48" s="16">
        <v>4129554.3157982836</v>
      </c>
      <c r="E48" s="16">
        <v>2507401.33</v>
      </c>
      <c r="F48" s="16">
        <v>746026.88</v>
      </c>
      <c r="G48" s="16">
        <v>517933.28</v>
      </c>
      <c r="H48" s="16">
        <v>19476713.699999999</v>
      </c>
      <c r="I48" s="16">
        <v>2512336.11</v>
      </c>
      <c r="J48" s="16">
        <v>7107671.3399999999</v>
      </c>
      <c r="K48" s="16">
        <v>0</v>
      </c>
      <c r="L48" s="16">
        <v>0</v>
      </c>
      <c r="M48" s="16">
        <v>0</v>
      </c>
      <c r="N48" s="18">
        <f t="shared" si="1"/>
        <v>427352610.20579821</v>
      </c>
      <c r="O48" s="4"/>
    </row>
    <row r="49" spans="1:15" ht="15" x14ac:dyDescent="0.2">
      <c r="A49" s="17" t="s">
        <v>44</v>
      </c>
      <c r="B49" s="16">
        <v>682942972.17999995</v>
      </c>
      <c r="C49" s="16">
        <v>0</v>
      </c>
      <c r="D49" s="16">
        <v>11754966.55588321</v>
      </c>
      <c r="E49" s="16">
        <v>4440738.0399999991</v>
      </c>
      <c r="F49" s="16">
        <v>4405417.3899999997</v>
      </c>
      <c r="G49" s="16">
        <v>2171978.27</v>
      </c>
      <c r="H49" s="16">
        <v>34074864.090000004</v>
      </c>
      <c r="I49" s="16">
        <v>14835777.91</v>
      </c>
      <c r="J49" s="16">
        <v>16728608.01</v>
      </c>
      <c r="K49" s="16">
        <v>0</v>
      </c>
      <c r="L49" s="16">
        <v>0</v>
      </c>
      <c r="M49" s="16">
        <v>0</v>
      </c>
      <c r="N49" s="18">
        <f t="shared" si="1"/>
        <v>771355322.44588304</v>
      </c>
      <c r="O49" s="4"/>
    </row>
    <row r="50" spans="1:15" ht="15" x14ac:dyDescent="0.2">
      <c r="A50" s="17" t="s">
        <v>45</v>
      </c>
      <c r="B50" s="16">
        <v>457234982.78000003</v>
      </c>
      <c r="C50" s="16">
        <v>0</v>
      </c>
      <c r="D50" s="16">
        <v>5600743.1627459871</v>
      </c>
      <c r="E50" s="16">
        <v>3149972.6000000006</v>
      </c>
      <c r="F50" s="16">
        <v>1234803.1200000001</v>
      </c>
      <c r="G50" s="16">
        <v>618178.43000000005</v>
      </c>
      <c r="H50" s="16">
        <v>22815767.779999997</v>
      </c>
      <c r="I50" s="16">
        <v>4158349.43</v>
      </c>
      <c r="J50" s="16">
        <v>12088882.950000001</v>
      </c>
      <c r="K50" s="16">
        <v>0</v>
      </c>
      <c r="L50" s="16">
        <v>0</v>
      </c>
      <c r="M50" s="16">
        <v>0</v>
      </c>
      <c r="N50" s="18">
        <f t="shared" si="1"/>
        <v>506901680.25274605</v>
      </c>
      <c r="O50" s="4"/>
    </row>
    <row r="51" spans="1:15" ht="15" x14ac:dyDescent="0.2">
      <c r="A51" s="17" t="s">
        <v>46</v>
      </c>
      <c r="B51" s="16">
        <v>439007241.78000003</v>
      </c>
      <c r="C51" s="16">
        <v>0</v>
      </c>
      <c r="D51" s="16">
        <v>6565133.9738529436</v>
      </c>
      <c r="E51" s="16">
        <v>2891666.51</v>
      </c>
      <c r="F51" s="16">
        <v>1539216.39</v>
      </c>
      <c r="G51" s="16">
        <v>776899.92</v>
      </c>
      <c r="H51" s="16">
        <v>21906281.109999999</v>
      </c>
      <c r="I51" s="16">
        <v>5183498.07</v>
      </c>
      <c r="J51" s="16">
        <v>8386814.1300000008</v>
      </c>
      <c r="K51" s="16">
        <v>0</v>
      </c>
      <c r="L51" s="16">
        <v>0</v>
      </c>
      <c r="M51" s="16">
        <v>0</v>
      </c>
      <c r="N51" s="18">
        <f t="shared" si="1"/>
        <v>486256751.88385296</v>
      </c>
      <c r="O51" s="4"/>
    </row>
    <row r="52" spans="1:15" ht="15" x14ac:dyDescent="0.2">
      <c r="A52" s="17" t="s">
        <v>47</v>
      </c>
      <c r="B52" s="16">
        <v>528893512.10999995</v>
      </c>
      <c r="C52" s="16">
        <v>0</v>
      </c>
      <c r="D52" s="16">
        <v>7039519.1377860876</v>
      </c>
      <c r="E52" s="16">
        <v>3603455.73</v>
      </c>
      <c r="F52" s="16">
        <v>1417022.33</v>
      </c>
      <c r="G52" s="16">
        <v>994097.75</v>
      </c>
      <c r="H52" s="16">
        <v>26389856.75</v>
      </c>
      <c r="I52" s="16">
        <v>4771994.7399999993</v>
      </c>
      <c r="J52" s="16">
        <v>10750377.18</v>
      </c>
      <c r="K52" s="16">
        <v>0</v>
      </c>
      <c r="L52" s="16">
        <v>0</v>
      </c>
      <c r="M52" s="16">
        <v>0</v>
      </c>
      <c r="N52" s="18">
        <f t="shared" si="1"/>
        <v>583859835.72778606</v>
      </c>
      <c r="O52" s="4"/>
    </row>
    <row r="53" spans="1:15" ht="15" x14ac:dyDescent="0.2">
      <c r="A53" s="17" t="s">
        <v>48</v>
      </c>
      <c r="B53" s="16">
        <v>189676408.28000003</v>
      </c>
      <c r="C53" s="16">
        <v>0</v>
      </c>
      <c r="D53" s="16">
        <v>6389911.4638511306</v>
      </c>
      <c r="E53" s="16">
        <v>1225849.51</v>
      </c>
      <c r="F53" s="16">
        <v>246531.87</v>
      </c>
      <c r="G53" s="16">
        <v>150367.73000000001</v>
      </c>
      <c r="H53" s="16">
        <v>9464774.8399999999</v>
      </c>
      <c r="I53" s="16">
        <v>830226.00999999989</v>
      </c>
      <c r="J53" s="16">
        <v>5685449.7999999998</v>
      </c>
      <c r="K53" s="16">
        <v>0</v>
      </c>
      <c r="L53" s="16">
        <v>0</v>
      </c>
      <c r="M53" s="16">
        <v>0</v>
      </c>
      <c r="N53" s="18">
        <f t="shared" si="1"/>
        <v>213669519.50385115</v>
      </c>
      <c r="O53" s="4"/>
    </row>
    <row r="54" spans="1:15" ht="15" x14ac:dyDescent="0.2">
      <c r="A54" s="17" t="s">
        <v>49</v>
      </c>
      <c r="B54" s="16">
        <v>686334179.84000003</v>
      </c>
      <c r="C54" s="16">
        <v>0</v>
      </c>
      <c r="D54" s="16">
        <v>8888121.9305298962</v>
      </c>
      <c r="E54" s="16">
        <v>3996733.42</v>
      </c>
      <c r="F54" s="16">
        <v>846783.39</v>
      </c>
      <c r="G54" s="16">
        <v>551348.32999999996</v>
      </c>
      <c r="H54" s="16">
        <v>34242234.07</v>
      </c>
      <c r="I54" s="16">
        <v>2851645.87</v>
      </c>
      <c r="J54" s="16">
        <v>13007266.15</v>
      </c>
      <c r="K54" s="16">
        <v>0</v>
      </c>
      <c r="L54" s="16">
        <v>0</v>
      </c>
      <c r="M54" s="16">
        <v>0</v>
      </c>
      <c r="N54" s="18">
        <f t="shared" si="1"/>
        <v>750718313.00053</v>
      </c>
      <c r="O54" s="4"/>
    </row>
    <row r="55" spans="1:15" ht="15" x14ac:dyDescent="0.2">
      <c r="A55" s="17" t="s">
        <v>50</v>
      </c>
      <c r="B55" s="16">
        <v>317251327.01999998</v>
      </c>
      <c r="C55" s="16">
        <v>0</v>
      </c>
      <c r="D55" s="16">
        <v>3724488.3010586877</v>
      </c>
      <c r="E55" s="16">
        <v>2367048.7400000002</v>
      </c>
      <c r="F55" s="16">
        <v>1562797.7</v>
      </c>
      <c r="G55" s="16">
        <v>860437.55</v>
      </c>
      <c r="H55" s="16">
        <v>15829574.190000001</v>
      </c>
      <c r="I55" s="16">
        <v>5262911</v>
      </c>
      <c r="J55" s="16">
        <v>9183035.0700000003</v>
      </c>
      <c r="K55" s="16">
        <v>0</v>
      </c>
      <c r="L55" s="16">
        <v>0</v>
      </c>
      <c r="M55" s="16">
        <v>0</v>
      </c>
      <c r="N55" s="18">
        <f t="shared" si="1"/>
        <v>356041619.57105869</v>
      </c>
      <c r="O55" s="4"/>
    </row>
    <row r="56" spans="1:15" ht="15" x14ac:dyDescent="0.2">
      <c r="A56" s="17" t="s">
        <v>51</v>
      </c>
      <c r="B56" s="16">
        <v>232432599.89000005</v>
      </c>
      <c r="C56" s="16">
        <v>0</v>
      </c>
      <c r="D56" s="16">
        <v>2755533.9879617472</v>
      </c>
      <c r="E56" s="16">
        <v>1554792.6</v>
      </c>
      <c r="F56" s="16">
        <v>441613.61</v>
      </c>
      <c r="G56" s="16">
        <v>233905.35</v>
      </c>
      <c r="H56" s="16">
        <v>11598050.280000001</v>
      </c>
      <c r="I56" s="16">
        <v>1487187.4700000002</v>
      </c>
      <c r="J56" s="16">
        <v>7580632.9500000002</v>
      </c>
      <c r="K56" s="16">
        <v>0</v>
      </c>
      <c r="L56" s="16">
        <v>0</v>
      </c>
      <c r="M56" s="16">
        <v>0</v>
      </c>
      <c r="N56" s="18">
        <f t="shared" si="1"/>
        <v>258084316.13796178</v>
      </c>
      <c r="O56" s="4"/>
    </row>
    <row r="57" spans="1:15" ht="15" x14ac:dyDescent="0.2">
      <c r="A57" s="17" t="s">
        <v>52</v>
      </c>
      <c r="B57" s="16">
        <v>600128140.50999999</v>
      </c>
      <c r="C57" s="16">
        <v>0</v>
      </c>
      <c r="D57" s="16">
        <v>8175468.8678771863</v>
      </c>
      <c r="E57" s="16">
        <v>4485682.79</v>
      </c>
      <c r="F57" s="16">
        <v>2268093.23</v>
      </c>
      <c r="G57" s="16">
        <v>1077635.3700000001</v>
      </c>
      <c r="H57" s="16">
        <v>29942363.32</v>
      </c>
      <c r="I57" s="16">
        <v>7638079.3300000001</v>
      </c>
      <c r="J57" s="16">
        <v>16185476.560000001</v>
      </c>
      <c r="K57" s="16">
        <v>0</v>
      </c>
      <c r="L57" s="16">
        <v>0</v>
      </c>
      <c r="M57" s="16">
        <v>0</v>
      </c>
      <c r="N57" s="18">
        <f t="shared" si="1"/>
        <v>669900939.97787726</v>
      </c>
      <c r="O57" s="4"/>
    </row>
    <row r="58" spans="1:15" ht="15" x14ac:dyDescent="0.2">
      <c r="A58" s="17" t="s">
        <v>53</v>
      </c>
      <c r="B58" s="16">
        <v>534712516.08999997</v>
      </c>
      <c r="C58" s="16">
        <v>0</v>
      </c>
      <c r="D58" s="16">
        <v>4151702.7111962438</v>
      </c>
      <c r="E58" s="16">
        <v>3238495.87</v>
      </c>
      <c r="F58" s="16">
        <v>1320553.33</v>
      </c>
      <c r="G58" s="16">
        <v>676654.77</v>
      </c>
      <c r="H58" s="16">
        <v>26677298.710000001</v>
      </c>
      <c r="I58" s="16">
        <v>4447123.6899999995</v>
      </c>
      <c r="J58" s="16">
        <v>9159578.7199999988</v>
      </c>
      <c r="K58" s="16">
        <v>0</v>
      </c>
      <c r="L58" s="16">
        <v>0</v>
      </c>
      <c r="M58" s="16">
        <v>0</v>
      </c>
      <c r="N58" s="18">
        <f t="shared" si="1"/>
        <v>584383923.89119637</v>
      </c>
      <c r="O58" s="4"/>
    </row>
    <row r="59" spans="1:15" ht="15" x14ac:dyDescent="0.2">
      <c r="A59" s="17" t="s">
        <v>54</v>
      </c>
      <c r="B59" s="16">
        <v>593056701.8499999</v>
      </c>
      <c r="C59" s="16">
        <v>0</v>
      </c>
      <c r="D59" s="16">
        <v>21303051.94924473</v>
      </c>
      <c r="E59" s="16">
        <v>3831256.1999999997</v>
      </c>
      <c r="F59" s="16">
        <v>1286253.25</v>
      </c>
      <c r="G59" s="16">
        <v>618178.43000000005</v>
      </c>
      <c r="H59" s="16">
        <v>29591627.170000002</v>
      </c>
      <c r="I59" s="16">
        <v>4331613.99</v>
      </c>
      <c r="J59" s="16">
        <v>10244746</v>
      </c>
      <c r="K59" s="16">
        <v>0</v>
      </c>
      <c r="L59" s="16">
        <v>0</v>
      </c>
      <c r="M59" s="16">
        <v>0</v>
      </c>
      <c r="N59" s="18">
        <f t="shared" si="1"/>
        <v>664263428.8392446</v>
      </c>
      <c r="O59" s="4"/>
    </row>
    <row r="60" spans="1:15" ht="15" x14ac:dyDescent="0.2">
      <c r="A60" s="17" t="s">
        <v>55</v>
      </c>
      <c r="B60" s="16">
        <v>4134055510.9500003</v>
      </c>
      <c r="C60" s="16">
        <v>0</v>
      </c>
      <c r="D60" s="16">
        <v>154973373.01520362</v>
      </c>
      <c r="E60" s="16">
        <v>59318607.729999997</v>
      </c>
      <c r="F60" s="16">
        <v>70754647.670000002</v>
      </c>
      <c r="G60" s="16">
        <v>31802774.120000001</v>
      </c>
      <c r="H60" s="16">
        <v>206282172.35999998</v>
      </c>
      <c r="I60" s="16">
        <v>238274866.05999997</v>
      </c>
      <c r="J60" s="16">
        <v>171246666.90000001</v>
      </c>
      <c r="K60" s="16">
        <v>0</v>
      </c>
      <c r="L60" s="16">
        <v>0</v>
      </c>
      <c r="M60" s="16">
        <v>0</v>
      </c>
      <c r="N60" s="18">
        <f t="shared" si="1"/>
        <v>5066708618.8052034</v>
      </c>
      <c r="O60" s="4"/>
    </row>
    <row r="61" spans="1:15" ht="15" x14ac:dyDescent="0.2">
      <c r="A61" s="17" t="s">
        <v>56</v>
      </c>
      <c r="B61" s="16">
        <v>879363259.42000008</v>
      </c>
      <c r="C61" s="16">
        <v>0</v>
      </c>
      <c r="D61" s="16">
        <v>12098371.606589843</v>
      </c>
      <c r="E61" s="16">
        <v>9362113.1499999985</v>
      </c>
      <c r="F61" s="16">
        <v>12631006.939999999</v>
      </c>
      <c r="G61" s="16">
        <v>2937579.3186119604</v>
      </c>
      <c r="H61" s="16">
        <v>43861249.759999998</v>
      </c>
      <c r="I61" s="16">
        <v>42536449.350000001</v>
      </c>
      <c r="J61" s="16">
        <v>42401803.169999994</v>
      </c>
      <c r="K61" s="16">
        <v>0</v>
      </c>
      <c r="L61" s="16">
        <v>0</v>
      </c>
      <c r="M61" s="16">
        <v>0</v>
      </c>
      <c r="N61" s="18">
        <f t="shared" si="1"/>
        <v>1045191832.7152019</v>
      </c>
      <c r="O61" s="4"/>
    </row>
    <row r="62" spans="1:15" ht="15" x14ac:dyDescent="0.2">
      <c r="A62" s="17" t="s">
        <v>57</v>
      </c>
      <c r="B62" s="16">
        <v>4732044878.54</v>
      </c>
      <c r="C62" s="16">
        <v>0</v>
      </c>
      <c r="D62" s="16">
        <v>29108085.539999995</v>
      </c>
      <c r="E62" s="16">
        <v>54621064.799999997</v>
      </c>
      <c r="F62" s="16">
        <v>56635874.460000001</v>
      </c>
      <c r="G62" s="16">
        <v>0</v>
      </c>
      <c r="H62" s="16">
        <v>236105229.34</v>
      </c>
      <c r="I62" s="16">
        <v>190728183.20000002</v>
      </c>
      <c r="J62" s="16">
        <v>84318991.270000011</v>
      </c>
      <c r="K62" s="16">
        <v>0</v>
      </c>
      <c r="L62" s="16">
        <v>0</v>
      </c>
      <c r="M62" s="16">
        <v>0</v>
      </c>
      <c r="N62" s="18">
        <f t="shared" si="1"/>
        <v>5383562307.1500006</v>
      </c>
      <c r="O62" s="4"/>
    </row>
    <row r="63" spans="1:15" ht="15" x14ac:dyDescent="0.2">
      <c r="A63" s="17" t="s">
        <v>58</v>
      </c>
      <c r="B63" s="16">
        <v>769438034.89999998</v>
      </c>
      <c r="C63" s="16">
        <v>0</v>
      </c>
      <c r="D63" s="16">
        <v>10226914.117430776</v>
      </c>
      <c r="E63" s="16">
        <v>4600525.08</v>
      </c>
      <c r="F63" s="16">
        <v>1995836.29</v>
      </c>
      <c r="G63" s="16">
        <v>1077635.3700000001</v>
      </c>
      <c r="H63" s="16">
        <v>38388833.57</v>
      </c>
      <c r="I63" s="16">
        <v>6721221.04</v>
      </c>
      <c r="J63" s="16">
        <v>11314923.129999999</v>
      </c>
      <c r="K63" s="16">
        <v>0</v>
      </c>
      <c r="L63" s="16">
        <v>0</v>
      </c>
      <c r="M63" s="16">
        <v>0</v>
      </c>
      <c r="N63" s="18">
        <f t="shared" si="1"/>
        <v>843763923.4974308</v>
      </c>
      <c r="O63" s="4"/>
    </row>
    <row r="64" spans="1:15" ht="15" x14ac:dyDescent="0.2">
      <c r="A64" s="17" t="s">
        <v>59</v>
      </c>
      <c r="B64" s="16">
        <v>1166035913.21</v>
      </c>
      <c r="C64" s="16">
        <v>0</v>
      </c>
      <c r="D64" s="16">
        <v>21188711.15830129</v>
      </c>
      <c r="E64" s="16">
        <v>9270201.2100000009</v>
      </c>
      <c r="F64" s="16">
        <v>3652959.23</v>
      </c>
      <c r="G64" s="16">
        <v>1679106.28</v>
      </c>
      <c r="H64" s="16">
        <v>58182195.900000006</v>
      </c>
      <c r="I64" s="16">
        <v>12301783.719999999</v>
      </c>
      <c r="J64" s="16">
        <v>23986081.239999998</v>
      </c>
      <c r="K64" s="16">
        <v>0</v>
      </c>
      <c r="L64" s="16">
        <v>0</v>
      </c>
      <c r="M64" s="16">
        <v>0</v>
      </c>
      <c r="N64" s="18">
        <f t="shared" si="1"/>
        <v>1296296951.9483016</v>
      </c>
      <c r="O64" s="4"/>
    </row>
    <row r="65" spans="1:15" ht="15" x14ac:dyDescent="0.2">
      <c r="A65" s="17" t="s">
        <v>60</v>
      </c>
      <c r="B65" s="16">
        <v>644541399.47000003</v>
      </c>
      <c r="C65" s="16">
        <v>0</v>
      </c>
      <c r="D65" s="16">
        <v>8442877.2413319871</v>
      </c>
      <c r="E65" s="16">
        <v>4030670.72</v>
      </c>
      <c r="F65" s="16">
        <v>795333.26</v>
      </c>
      <c r="G65" s="16">
        <v>559702.09</v>
      </c>
      <c r="H65" s="16">
        <v>32161440.91</v>
      </c>
      <c r="I65" s="16">
        <v>2678381.31</v>
      </c>
      <c r="J65" s="16">
        <v>14306727.809999999</v>
      </c>
      <c r="K65" s="16">
        <v>0</v>
      </c>
      <c r="L65" s="16">
        <v>0</v>
      </c>
      <c r="M65" s="16">
        <v>0</v>
      </c>
      <c r="N65" s="18">
        <f t="shared" si="1"/>
        <v>707516532.81133187</v>
      </c>
      <c r="O65" s="4"/>
    </row>
    <row r="66" spans="1:15" ht="15" x14ac:dyDescent="0.2">
      <c r="A66" s="17" t="s">
        <v>61</v>
      </c>
      <c r="B66" s="16">
        <v>369583826.57000005</v>
      </c>
      <c r="C66" s="16">
        <v>0</v>
      </c>
      <c r="D66" s="16">
        <v>4385279.1634083437</v>
      </c>
      <c r="E66" s="16">
        <v>2360906.9</v>
      </c>
      <c r="F66" s="16">
        <v>778183.21</v>
      </c>
      <c r="G66" s="16">
        <v>509579.52000000002</v>
      </c>
      <c r="H66" s="16">
        <v>18440917.559999999</v>
      </c>
      <c r="I66" s="16">
        <v>2620626.4699999997</v>
      </c>
      <c r="J66" s="16">
        <v>6350793.3099999996</v>
      </c>
      <c r="K66" s="16">
        <v>0</v>
      </c>
      <c r="L66" s="16">
        <v>0</v>
      </c>
      <c r="M66" s="16">
        <v>0</v>
      </c>
      <c r="N66" s="18">
        <f t="shared" si="1"/>
        <v>405030112.70340836</v>
      </c>
      <c r="O66" s="4"/>
    </row>
    <row r="67" spans="1:15" ht="15" x14ac:dyDescent="0.2">
      <c r="A67" s="17" t="s">
        <v>62</v>
      </c>
      <c r="B67" s="16">
        <v>1648049833.6299999</v>
      </c>
      <c r="C67" s="16">
        <v>0</v>
      </c>
      <c r="D67" s="16">
        <v>7408783.1199999992</v>
      </c>
      <c r="E67" s="16">
        <v>19954248.300000001</v>
      </c>
      <c r="F67" s="16">
        <v>20910190.370000001</v>
      </c>
      <c r="G67" s="16">
        <v>11351041.683197755</v>
      </c>
      <c r="H67" s="16">
        <v>82237011.359999999</v>
      </c>
      <c r="I67" s="16">
        <v>70417604.710000008</v>
      </c>
      <c r="J67" s="16">
        <v>40918824.219999999</v>
      </c>
      <c r="K67" s="16">
        <v>0</v>
      </c>
      <c r="L67" s="16">
        <v>0</v>
      </c>
      <c r="M67" s="16">
        <v>0</v>
      </c>
      <c r="N67" s="18">
        <f t="shared" si="1"/>
        <v>1901247537.3931973</v>
      </c>
      <c r="O67" s="4"/>
    </row>
    <row r="68" spans="1:15" ht="15" x14ac:dyDescent="0.2">
      <c r="A68" s="17" t="s">
        <v>63</v>
      </c>
      <c r="B68" s="16">
        <v>1044202925.5599999</v>
      </c>
      <c r="C68" s="16">
        <v>0</v>
      </c>
      <c r="D68" s="16">
        <v>12087695.58</v>
      </c>
      <c r="E68" s="16">
        <v>10100495.359999999</v>
      </c>
      <c r="F68" s="16">
        <v>18440584.129999999</v>
      </c>
      <c r="G68" s="16">
        <v>10691831.947216192</v>
      </c>
      <c r="H68" s="16">
        <v>52105297.409999996</v>
      </c>
      <c r="I68" s="16">
        <v>62100905.859999999</v>
      </c>
      <c r="J68" s="16">
        <v>34365290.399999999</v>
      </c>
      <c r="K68" s="16">
        <v>0</v>
      </c>
      <c r="L68" s="16">
        <v>0</v>
      </c>
      <c r="M68" s="16">
        <v>0</v>
      </c>
      <c r="N68" s="18">
        <f t="shared" si="1"/>
        <v>1244095026.2472165</v>
      </c>
      <c r="O68" s="4"/>
    </row>
    <row r="69" spans="1:15" ht="15" x14ac:dyDescent="0.2">
      <c r="A69" s="17" t="s">
        <v>64</v>
      </c>
      <c r="B69" s="16">
        <v>3600922989.2300005</v>
      </c>
      <c r="C69" s="16">
        <v>0</v>
      </c>
      <c r="D69" s="16">
        <v>11598479.621367546</v>
      </c>
      <c r="E69" s="16">
        <v>34270082.090000004</v>
      </c>
      <c r="F69" s="16">
        <v>54423518.869999997</v>
      </c>
      <c r="G69" s="16">
        <v>10360970.188866824</v>
      </c>
      <c r="H69" s="16">
        <v>179657911.34</v>
      </c>
      <c r="I69" s="16">
        <v>183277807.14000002</v>
      </c>
      <c r="J69" s="16">
        <v>80248941.670000002</v>
      </c>
      <c r="K69" s="16">
        <v>0</v>
      </c>
      <c r="L69" s="16">
        <v>0</v>
      </c>
      <c r="M69" s="16">
        <v>0</v>
      </c>
      <c r="N69" s="18">
        <f t="shared" si="1"/>
        <v>4154760700.1502347</v>
      </c>
      <c r="O69" s="4"/>
    </row>
    <row r="70" spans="1:15" ht="15" x14ac:dyDescent="0.2">
      <c r="A70" s="17" t="s">
        <v>65</v>
      </c>
      <c r="B70" s="16">
        <v>753850040.75</v>
      </c>
      <c r="C70" s="16">
        <v>0</v>
      </c>
      <c r="D70" s="16">
        <v>20960089.402743805</v>
      </c>
      <c r="E70" s="16">
        <v>6536219.419999999</v>
      </c>
      <c r="F70" s="16">
        <v>12086493.060000001</v>
      </c>
      <c r="G70" s="16">
        <v>4945427.4400000004</v>
      </c>
      <c r="H70" s="16">
        <v>37613648.259999998</v>
      </c>
      <c r="I70" s="16">
        <v>40702732.769999996</v>
      </c>
      <c r="J70" s="16">
        <v>34110706.869999997</v>
      </c>
      <c r="K70" s="16">
        <v>0</v>
      </c>
      <c r="L70" s="16">
        <v>0</v>
      </c>
      <c r="M70" s="16">
        <v>0</v>
      </c>
      <c r="N70" s="18">
        <f t="shared" si="1"/>
        <v>910805357.97274375</v>
      </c>
      <c r="O70" s="4"/>
    </row>
    <row r="71" spans="1:15" ht="15" x14ac:dyDescent="0.2">
      <c r="A71" s="17" t="s">
        <v>66</v>
      </c>
      <c r="B71" s="16">
        <v>2920619763.77</v>
      </c>
      <c r="C71" s="16">
        <v>0</v>
      </c>
      <c r="D71" s="16">
        <v>21760464.639999997</v>
      </c>
      <c r="E71" s="16">
        <v>17571899.07</v>
      </c>
      <c r="F71" s="16">
        <v>7610331.7400000002</v>
      </c>
      <c r="G71" s="16">
        <v>4803413.4800000004</v>
      </c>
      <c r="H71" s="16">
        <v>145731380.15000001</v>
      </c>
      <c r="I71" s="16">
        <v>25628716.09</v>
      </c>
      <c r="J71" s="16">
        <v>28508325.379999999</v>
      </c>
      <c r="K71" s="16">
        <v>0</v>
      </c>
      <c r="L71" s="16">
        <v>0</v>
      </c>
      <c r="M71" s="16">
        <v>0</v>
      </c>
      <c r="N71" s="18">
        <f t="shared" si="1"/>
        <v>3172234294.3200002</v>
      </c>
      <c r="O71" s="4"/>
    </row>
    <row r="72" spans="1:15" ht="15" x14ac:dyDescent="0.2">
      <c r="A72" s="17" t="s">
        <v>67</v>
      </c>
      <c r="B72" s="16">
        <v>13606507677.949999</v>
      </c>
      <c r="C72" s="16">
        <v>0</v>
      </c>
      <c r="D72" s="16">
        <v>50155494.203315072</v>
      </c>
      <c r="E72" s="16">
        <v>212505954.28999999</v>
      </c>
      <c r="F72" s="16">
        <v>221439216.84999999</v>
      </c>
      <c r="G72" s="16">
        <v>0</v>
      </c>
      <c r="H72" s="16">
        <v>678959154.36000001</v>
      </c>
      <c r="I72" s="16">
        <v>745723444.63</v>
      </c>
      <c r="J72" s="16">
        <v>417674758.44999999</v>
      </c>
      <c r="K72" s="16">
        <v>0</v>
      </c>
      <c r="L72" s="16">
        <v>0</v>
      </c>
      <c r="M72" s="16">
        <v>0</v>
      </c>
      <c r="N72" s="18">
        <f t="shared" ref="N72:N103" si="2">SUM(B72:M72)</f>
        <v>15932965700.733316</v>
      </c>
      <c r="O72" s="4"/>
    </row>
    <row r="73" spans="1:15" ht="15" x14ac:dyDescent="0.2">
      <c r="A73" s="17" t="s">
        <v>68</v>
      </c>
      <c r="B73" s="16">
        <v>5887406195.1100006</v>
      </c>
      <c r="C73" s="16">
        <v>0</v>
      </c>
      <c r="D73" s="16">
        <v>90438036.846503109</v>
      </c>
      <c r="E73" s="16">
        <v>74417223.010000005</v>
      </c>
      <c r="F73" s="16">
        <v>82191582.840000004</v>
      </c>
      <c r="G73" s="16">
        <v>43467191.954787642</v>
      </c>
      <c r="H73" s="16">
        <v>293742786.26000005</v>
      </c>
      <c r="I73" s="16">
        <v>276790133.75999999</v>
      </c>
      <c r="J73" s="16">
        <v>181936236.86000001</v>
      </c>
      <c r="K73" s="16">
        <v>0</v>
      </c>
      <c r="L73" s="16">
        <v>0</v>
      </c>
      <c r="M73" s="16">
        <v>0</v>
      </c>
      <c r="N73" s="18">
        <f t="shared" si="2"/>
        <v>6930389386.6412916</v>
      </c>
      <c r="O73" s="4"/>
    </row>
    <row r="74" spans="1:15" ht="15" x14ac:dyDescent="0.2">
      <c r="A74" s="17" t="s">
        <v>69</v>
      </c>
      <c r="B74" s="16">
        <v>3279683139.46</v>
      </c>
      <c r="C74" s="16">
        <v>0</v>
      </c>
      <c r="D74" s="16">
        <v>23815966.920000002</v>
      </c>
      <c r="E74" s="16">
        <v>39873452.170000002</v>
      </c>
      <c r="F74" s="16">
        <v>59673575.899999999</v>
      </c>
      <c r="G74" s="16">
        <v>77059946.438043416</v>
      </c>
      <c r="H74" s="16">
        <v>163654844.49000001</v>
      </c>
      <c r="I74" s="16">
        <v>200958011.56999999</v>
      </c>
      <c r="J74" s="16">
        <v>97599416.780000001</v>
      </c>
      <c r="K74" s="16">
        <v>0</v>
      </c>
      <c r="L74" s="16">
        <v>0</v>
      </c>
      <c r="M74" s="16">
        <v>0</v>
      </c>
      <c r="N74" s="18">
        <f t="shared" si="2"/>
        <v>3942318353.7280445</v>
      </c>
      <c r="O74" s="4"/>
    </row>
    <row r="75" spans="1:15" ht="15" x14ac:dyDescent="0.2">
      <c r="A75" s="17" t="s">
        <v>70</v>
      </c>
      <c r="B75" s="16">
        <v>534095932.89000005</v>
      </c>
      <c r="C75" s="16">
        <v>0</v>
      </c>
      <c r="D75" s="16">
        <v>8433037.8413935043</v>
      </c>
      <c r="E75" s="16">
        <v>3376777.89</v>
      </c>
      <c r="F75" s="16">
        <v>1084740.24</v>
      </c>
      <c r="G75" s="16">
        <v>551348.32999999996</v>
      </c>
      <c r="H75" s="16">
        <v>26649447.600000001</v>
      </c>
      <c r="I75" s="16">
        <v>3652994.46</v>
      </c>
      <c r="J75" s="16">
        <v>10998984.57</v>
      </c>
      <c r="K75" s="16">
        <v>0</v>
      </c>
      <c r="L75" s="16">
        <v>0</v>
      </c>
      <c r="M75" s="16">
        <v>0</v>
      </c>
      <c r="N75" s="18">
        <f t="shared" si="2"/>
        <v>588843263.82139373</v>
      </c>
      <c r="O75" s="4"/>
    </row>
    <row r="76" spans="1:15" ht="15" x14ac:dyDescent="0.2">
      <c r="A76" s="17" t="s">
        <v>71</v>
      </c>
      <c r="B76" s="16">
        <v>532130573.92999989</v>
      </c>
      <c r="C76" s="16">
        <v>0</v>
      </c>
      <c r="D76" s="16">
        <v>8787837.4334976301</v>
      </c>
      <c r="E76" s="16">
        <v>3720830.4499999997</v>
      </c>
      <c r="F76" s="16">
        <v>1952961.18</v>
      </c>
      <c r="G76" s="16">
        <v>1294833.2</v>
      </c>
      <c r="H76" s="16">
        <v>26550554.719999999</v>
      </c>
      <c r="I76" s="16">
        <v>6576833.8999999994</v>
      </c>
      <c r="J76" s="16">
        <v>16332888</v>
      </c>
      <c r="K76" s="16">
        <v>0</v>
      </c>
      <c r="L76" s="16">
        <v>0</v>
      </c>
      <c r="M76" s="16">
        <v>0</v>
      </c>
      <c r="N76" s="18">
        <f t="shared" si="2"/>
        <v>597347312.81349754</v>
      </c>
      <c r="O76" s="4"/>
    </row>
    <row r="77" spans="1:15" ht="15" x14ac:dyDescent="0.2">
      <c r="A77" s="17" t="s">
        <v>72</v>
      </c>
      <c r="B77" s="16">
        <v>622671963.91999996</v>
      </c>
      <c r="C77" s="16">
        <v>0</v>
      </c>
      <c r="D77" s="16">
        <v>7270765.3005507588</v>
      </c>
      <c r="E77" s="16">
        <v>4278509.5199999996</v>
      </c>
      <c r="F77" s="16">
        <v>2293818.2999999998</v>
      </c>
      <c r="G77" s="16">
        <v>827022.49</v>
      </c>
      <c r="H77" s="16">
        <v>31071075.900000002</v>
      </c>
      <c r="I77" s="16">
        <v>7724711.6100000003</v>
      </c>
      <c r="J77" s="16">
        <v>11097989.280000001</v>
      </c>
      <c r="K77" s="16">
        <v>0</v>
      </c>
      <c r="L77" s="16">
        <v>0</v>
      </c>
      <c r="M77" s="16">
        <v>0</v>
      </c>
      <c r="N77" s="18">
        <f t="shared" si="2"/>
        <v>687235856.32055068</v>
      </c>
      <c r="O77" s="4"/>
    </row>
    <row r="78" spans="1:15" ht="15" x14ac:dyDescent="0.2">
      <c r="A78" s="17" t="s">
        <v>73</v>
      </c>
      <c r="B78" s="16">
        <v>241758420.87000006</v>
      </c>
      <c r="C78" s="16">
        <v>0</v>
      </c>
      <c r="D78" s="16">
        <v>2575777.5815687953</v>
      </c>
      <c r="E78" s="16">
        <v>1561578.37</v>
      </c>
      <c r="F78" s="16">
        <v>814627.06</v>
      </c>
      <c r="G78" s="16">
        <v>292381.69</v>
      </c>
      <c r="H78" s="16">
        <v>12063645.52</v>
      </c>
      <c r="I78" s="16">
        <v>2743355.5199999996</v>
      </c>
      <c r="J78" s="16">
        <v>4759347.4400000004</v>
      </c>
      <c r="K78" s="16">
        <v>0</v>
      </c>
      <c r="L78" s="16">
        <v>0</v>
      </c>
      <c r="M78" s="16">
        <v>0</v>
      </c>
      <c r="N78" s="18">
        <f t="shared" si="2"/>
        <v>266569134.0515689</v>
      </c>
      <c r="O78" s="4"/>
    </row>
    <row r="79" spans="1:15" ht="15" x14ac:dyDescent="0.2">
      <c r="A79" s="17" t="s">
        <v>74</v>
      </c>
      <c r="B79" s="16">
        <v>1174918564.99</v>
      </c>
      <c r="C79" s="16">
        <v>0</v>
      </c>
      <c r="D79" s="16">
        <v>21017694.487945609</v>
      </c>
      <c r="E79" s="16">
        <v>7420047.7799999993</v>
      </c>
      <c r="F79" s="16">
        <v>4094572.85</v>
      </c>
      <c r="G79" s="16">
        <v>2171978.27</v>
      </c>
      <c r="H79" s="16">
        <v>58618393.439999998</v>
      </c>
      <c r="I79" s="16">
        <v>13788971.190000001</v>
      </c>
      <c r="J79" s="16">
        <v>25781612.260000002</v>
      </c>
      <c r="K79" s="16">
        <v>0</v>
      </c>
      <c r="L79" s="16">
        <v>0</v>
      </c>
      <c r="M79" s="16">
        <v>0</v>
      </c>
      <c r="N79" s="18">
        <f t="shared" si="2"/>
        <v>1307811835.2679455</v>
      </c>
      <c r="O79" s="4"/>
    </row>
    <row r="80" spans="1:15" ht="15" x14ac:dyDescent="0.2">
      <c r="A80" s="17" t="s">
        <v>75</v>
      </c>
      <c r="B80" s="16">
        <v>624579518.18000007</v>
      </c>
      <c r="C80" s="16">
        <v>0</v>
      </c>
      <c r="D80" s="16">
        <v>13600093.768074449</v>
      </c>
      <c r="E80" s="16">
        <v>4132302.1199999996</v>
      </c>
      <c r="F80" s="16">
        <v>1324840.8500000001</v>
      </c>
      <c r="G80" s="16">
        <v>868791.31</v>
      </c>
      <c r="H80" s="16">
        <v>31164798.960000001</v>
      </c>
      <c r="I80" s="16">
        <v>4461562.4000000004</v>
      </c>
      <c r="J80" s="16">
        <v>16662272.880000001</v>
      </c>
      <c r="K80" s="16">
        <v>0</v>
      </c>
      <c r="L80" s="16">
        <v>0</v>
      </c>
      <c r="M80" s="16">
        <v>0</v>
      </c>
      <c r="N80" s="18">
        <f t="shared" si="2"/>
        <v>696794180.46807444</v>
      </c>
      <c r="O80" s="4"/>
    </row>
    <row r="81" spans="1:15" ht="15" x14ac:dyDescent="0.2">
      <c r="A81" s="17" t="s">
        <v>76</v>
      </c>
      <c r="B81" s="16">
        <v>348369510.64999998</v>
      </c>
      <c r="C81" s="16">
        <v>0</v>
      </c>
      <c r="D81" s="16">
        <v>9449286.5531163607</v>
      </c>
      <c r="E81" s="16">
        <v>2948833.24</v>
      </c>
      <c r="F81" s="16">
        <v>3440727.45</v>
      </c>
      <c r="G81" s="16">
        <v>1988195.49</v>
      </c>
      <c r="H81" s="16">
        <v>17381546.460000001</v>
      </c>
      <c r="I81" s="16">
        <v>11587067.41</v>
      </c>
      <c r="J81" s="16">
        <v>19480968.719999999</v>
      </c>
      <c r="K81" s="16">
        <v>0</v>
      </c>
      <c r="L81" s="16">
        <v>0</v>
      </c>
      <c r="M81" s="16">
        <v>0</v>
      </c>
      <c r="N81" s="18">
        <f t="shared" si="2"/>
        <v>414646135.9731164</v>
      </c>
      <c r="O81" s="4"/>
    </row>
    <row r="82" spans="1:15" ht="15" x14ac:dyDescent="0.2">
      <c r="A82" s="17" t="s">
        <v>77</v>
      </c>
      <c r="B82" s="16">
        <v>5584394086.3699999</v>
      </c>
      <c r="C82" s="16">
        <v>0</v>
      </c>
      <c r="D82" s="16">
        <v>42306383.359999999</v>
      </c>
      <c r="E82" s="16">
        <v>69190928.530000001</v>
      </c>
      <c r="F82" s="16">
        <v>99163694.510000005</v>
      </c>
      <c r="G82" s="16">
        <v>77949907.757832155</v>
      </c>
      <c r="H82" s="16">
        <v>278623708.91999996</v>
      </c>
      <c r="I82" s="16">
        <v>333945780.31999999</v>
      </c>
      <c r="J82" s="16">
        <v>161708698.94</v>
      </c>
      <c r="K82" s="16">
        <v>0</v>
      </c>
      <c r="L82" s="16">
        <v>0</v>
      </c>
      <c r="M82" s="16">
        <v>0</v>
      </c>
      <c r="N82" s="18">
        <f t="shared" si="2"/>
        <v>6647283188.7078314</v>
      </c>
      <c r="O82" s="4"/>
    </row>
    <row r="83" spans="1:15" ht="15" x14ac:dyDescent="0.2">
      <c r="A83" s="17" t="s">
        <v>78</v>
      </c>
      <c r="B83" s="16">
        <v>1564021103.7100003</v>
      </c>
      <c r="C83" s="16">
        <v>0</v>
      </c>
      <c r="D83" s="16">
        <v>18738149.047741443</v>
      </c>
      <c r="E83" s="16">
        <v>16879273.539999999</v>
      </c>
      <c r="F83" s="16">
        <v>10980315.26</v>
      </c>
      <c r="G83" s="16">
        <v>5287931.71</v>
      </c>
      <c r="H83" s="16">
        <v>78044011.489999995</v>
      </c>
      <c r="I83" s="16">
        <v>36977544.740000002</v>
      </c>
      <c r="J83" s="16">
        <v>34998860.740000002</v>
      </c>
      <c r="K83" s="16">
        <v>0</v>
      </c>
      <c r="L83" s="16">
        <v>0</v>
      </c>
      <c r="M83" s="16">
        <v>0</v>
      </c>
      <c r="N83" s="18">
        <f t="shared" si="2"/>
        <v>1765927190.2377417</v>
      </c>
      <c r="O83" s="4"/>
    </row>
    <row r="84" spans="1:15" ht="15" x14ac:dyDescent="0.2">
      <c r="A84" s="17" t="s">
        <v>79</v>
      </c>
      <c r="B84" s="16">
        <v>600821796.63</v>
      </c>
      <c r="C84" s="16">
        <v>0</v>
      </c>
      <c r="D84" s="16">
        <v>6420230.4594902582</v>
      </c>
      <c r="E84" s="16">
        <v>3992054.96</v>
      </c>
      <c r="F84" s="16">
        <v>2203780.5699999998</v>
      </c>
      <c r="G84" s="16">
        <v>535253.65676686121</v>
      </c>
      <c r="H84" s="16">
        <v>29975878.030000001</v>
      </c>
      <c r="I84" s="16">
        <v>7421498.6299999999</v>
      </c>
      <c r="J84" s="16">
        <v>14392086.99</v>
      </c>
      <c r="K84" s="16">
        <v>0</v>
      </c>
      <c r="L84" s="16">
        <v>0</v>
      </c>
      <c r="M84" s="16">
        <v>0</v>
      </c>
      <c r="N84" s="18">
        <f t="shared" si="2"/>
        <v>665762579.92625725</v>
      </c>
      <c r="O84" s="4"/>
    </row>
    <row r="85" spans="1:15" ht="15" x14ac:dyDescent="0.2">
      <c r="A85" s="17" t="s">
        <v>80</v>
      </c>
      <c r="B85" s="16">
        <v>496407284.49000001</v>
      </c>
      <c r="C85" s="16">
        <v>0</v>
      </c>
      <c r="D85" s="16">
        <v>6328851.9594733864</v>
      </c>
      <c r="E85" s="16">
        <v>3284617.79</v>
      </c>
      <c r="F85" s="16">
        <v>1041865.13</v>
      </c>
      <c r="G85" s="16">
        <v>542994.56999999995</v>
      </c>
      <c r="H85" s="16">
        <v>24769356.969999999</v>
      </c>
      <c r="I85" s="16">
        <v>3508607.33</v>
      </c>
      <c r="J85" s="16">
        <v>8484225.1999999993</v>
      </c>
      <c r="K85" s="16">
        <v>0</v>
      </c>
      <c r="L85" s="16">
        <v>0</v>
      </c>
      <c r="M85" s="16">
        <v>0</v>
      </c>
      <c r="N85" s="18">
        <f t="shared" si="2"/>
        <v>544367803.43947339</v>
      </c>
      <c r="O85" s="4"/>
    </row>
    <row r="86" spans="1:15" ht="15" x14ac:dyDescent="0.2">
      <c r="A86" s="17" t="s">
        <v>81</v>
      </c>
      <c r="B86" s="16">
        <v>6382117875.8900003</v>
      </c>
      <c r="C86" s="16">
        <v>0</v>
      </c>
      <c r="D86" s="16">
        <v>37478540.150000006</v>
      </c>
      <c r="E86" s="16">
        <v>69238923.75999999</v>
      </c>
      <c r="F86" s="16">
        <v>62218213.579999998</v>
      </c>
      <c r="G86" s="16">
        <v>18007398.615153667</v>
      </c>
      <c r="H86" s="16">
        <v>318441714.15000004</v>
      </c>
      <c r="I86" s="16">
        <v>209527387.91</v>
      </c>
      <c r="J86" s="16">
        <v>71392153.989999995</v>
      </c>
      <c r="K86" s="16">
        <v>0</v>
      </c>
      <c r="L86" s="16">
        <v>0</v>
      </c>
      <c r="M86" s="16">
        <v>0</v>
      </c>
      <c r="N86" s="18">
        <f t="shared" si="2"/>
        <v>7168422208.0451527</v>
      </c>
      <c r="O86" s="4"/>
    </row>
    <row r="87" spans="1:15" ht="15" x14ac:dyDescent="0.2">
      <c r="A87" s="17" t="s">
        <v>82</v>
      </c>
      <c r="B87" s="16">
        <v>944451323.96000028</v>
      </c>
      <c r="C87" s="16">
        <v>0</v>
      </c>
      <c r="D87" s="16">
        <v>9456933.6480572075</v>
      </c>
      <c r="E87" s="16">
        <v>5827340.21</v>
      </c>
      <c r="F87" s="16">
        <v>1766454.46</v>
      </c>
      <c r="G87" s="16">
        <v>1578861.13</v>
      </c>
      <c r="H87" s="16">
        <v>47119992.920000002</v>
      </c>
      <c r="I87" s="16">
        <v>5948749.8700000001</v>
      </c>
      <c r="J87" s="16">
        <v>16143145.58</v>
      </c>
      <c r="K87" s="16">
        <v>0</v>
      </c>
      <c r="L87" s="16">
        <v>0</v>
      </c>
      <c r="M87" s="16">
        <v>0</v>
      </c>
      <c r="N87" s="18">
        <f t="shared" si="2"/>
        <v>1032292801.7780576</v>
      </c>
      <c r="O87" s="4"/>
    </row>
    <row r="88" spans="1:15" ht="15" x14ac:dyDescent="0.2">
      <c r="A88" s="17" t="s">
        <v>83</v>
      </c>
      <c r="B88" s="16">
        <v>756875152.07999992</v>
      </c>
      <c r="C88" s="16">
        <v>0</v>
      </c>
      <c r="D88" s="16">
        <v>4975118.9515961995</v>
      </c>
      <c r="E88" s="16">
        <v>7252540.2300000004</v>
      </c>
      <c r="F88" s="16">
        <v>8669346.9199999999</v>
      </c>
      <c r="G88" s="16">
        <v>3191137.3</v>
      </c>
      <c r="H88" s="16">
        <v>37762141.68</v>
      </c>
      <c r="I88" s="16">
        <v>29195078.27</v>
      </c>
      <c r="J88" s="16">
        <v>24573834.539999999</v>
      </c>
      <c r="K88" s="16">
        <v>0</v>
      </c>
      <c r="L88" s="16">
        <v>0</v>
      </c>
      <c r="M88" s="16">
        <v>0</v>
      </c>
      <c r="N88" s="18">
        <f t="shared" si="2"/>
        <v>872494349.97159588</v>
      </c>
      <c r="O88" s="4"/>
    </row>
    <row r="89" spans="1:15" ht="15" x14ac:dyDescent="0.2">
      <c r="A89" s="17" t="s">
        <v>84</v>
      </c>
      <c r="B89" s="16">
        <v>1263359718.46</v>
      </c>
      <c r="C89" s="16">
        <v>0</v>
      </c>
      <c r="D89" s="16">
        <v>11028488.874001198</v>
      </c>
      <c r="E89" s="16">
        <v>10541933.24</v>
      </c>
      <c r="F89" s="16">
        <v>7290912.1799999997</v>
      </c>
      <c r="G89" s="16">
        <v>3475165.23</v>
      </c>
      <c r="H89" s="16">
        <v>63035408.230000004</v>
      </c>
      <c r="I89" s="16">
        <v>24553031.949999999</v>
      </c>
      <c r="J89" s="16">
        <v>25235940.960000001</v>
      </c>
      <c r="K89" s="16">
        <v>0</v>
      </c>
      <c r="L89" s="16">
        <v>0</v>
      </c>
      <c r="M89" s="16">
        <v>0</v>
      </c>
      <c r="N89" s="18">
        <f t="shared" si="2"/>
        <v>1408520599.1240015</v>
      </c>
      <c r="O89" s="4"/>
    </row>
    <row r="90" spans="1:15" ht="15" x14ac:dyDescent="0.2">
      <c r="A90" s="17" t="s">
        <v>85</v>
      </c>
      <c r="B90" s="16">
        <v>5914400978.539999</v>
      </c>
      <c r="C90" s="16">
        <v>0</v>
      </c>
      <c r="D90" s="16">
        <v>16197297.227917105</v>
      </c>
      <c r="E90" s="16">
        <v>78162616.920000002</v>
      </c>
      <c r="F90" s="16">
        <v>98900012.590000004</v>
      </c>
      <c r="G90" s="16">
        <v>27216981.100005578</v>
      </c>
      <c r="H90" s="16">
        <v>295126183.06</v>
      </c>
      <c r="I90" s="16">
        <v>333057799.46000004</v>
      </c>
      <c r="J90" s="16">
        <v>147109787.72</v>
      </c>
      <c r="K90" s="16">
        <v>0</v>
      </c>
      <c r="L90" s="16">
        <v>0</v>
      </c>
      <c r="M90" s="16">
        <v>0</v>
      </c>
      <c r="N90" s="18">
        <f t="shared" si="2"/>
        <v>6910171656.6179218</v>
      </c>
      <c r="O90" s="4"/>
    </row>
    <row r="91" spans="1:15" ht="15" x14ac:dyDescent="0.2">
      <c r="A91" s="17" t="s">
        <v>86</v>
      </c>
      <c r="B91" s="16">
        <v>257539097.26999998</v>
      </c>
      <c r="C91" s="16">
        <v>0</v>
      </c>
      <c r="D91" s="16">
        <v>9096489.8985439036</v>
      </c>
      <c r="E91" s="16">
        <v>2079018.67</v>
      </c>
      <c r="F91" s="16">
        <v>2295962.0499999998</v>
      </c>
      <c r="G91" s="16">
        <v>1186234.29</v>
      </c>
      <c r="H91" s="16">
        <v>12849374.049999999</v>
      </c>
      <c r="I91" s="16">
        <v>7731930.9699999997</v>
      </c>
      <c r="J91" s="16">
        <v>11345252.039999999</v>
      </c>
      <c r="K91" s="16">
        <v>0</v>
      </c>
      <c r="L91" s="16">
        <v>0</v>
      </c>
      <c r="M91" s="16">
        <v>0</v>
      </c>
      <c r="N91" s="18">
        <f t="shared" si="2"/>
        <v>304123359.23854399</v>
      </c>
      <c r="O91" s="4"/>
    </row>
    <row r="92" spans="1:15" ht="15" x14ac:dyDescent="0.2">
      <c r="A92" s="17" t="s">
        <v>87</v>
      </c>
      <c r="B92" s="16">
        <v>383919386.05000007</v>
      </c>
      <c r="C92" s="16">
        <v>0</v>
      </c>
      <c r="D92" s="16">
        <v>1612014.6700000002</v>
      </c>
      <c r="E92" s="16">
        <v>1948578.0999999999</v>
      </c>
      <c r="F92" s="16">
        <v>490919.99</v>
      </c>
      <c r="G92" s="16">
        <v>400980.6</v>
      </c>
      <c r="H92" s="16">
        <v>19154978.899999999</v>
      </c>
      <c r="I92" s="16">
        <v>1653232.67</v>
      </c>
      <c r="J92" s="16">
        <v>4411486.34</v>
      </c>
      <c r="K92" s="16">
        <v>0</v>
      </c>
      <c r="L92" s="16">
        <v>0</v>
      </c>
      <c r="M92" s="16">
        <v>0</v>
      </c>
      <c r="N92" s="18">
        <f t="shared" si="2"/>
        <v>413591577.32000011</v>
      </c>
      <c r="O92" s="4"/>
    </row>
    <row r="93" spans="1:15" ht="15" x14ac:dyDescent="0.2">
      <c r="A93" s="17" t="s">
        <v>88</v>
      </c>
      <c r="B93" s="16">
        <v>3980025319.0700002</v>
      </c>
      <c r="C93" s="16">
        <v>0</v>
      </c>
      <c r="D93" s="16">
        <v>15507377.477542372</v>
      </c>
      <c r="E93" s="16">
        <v>54419121.910000004</v>
      </c>
      <c r="F93" s="16">
        <v>80155015.189999998</v>
      </c>
      <c r="G93" s="16">
        <v>15421122.261398757</v>
      </c>
      <c r="H93" s="16">
        <v>198550484.84</v>
      </c>
      <c r="I93" s="16">
        <v>269931744.94999999</v>
      </c>
      <c r="J93" s="16">
        <v>151866445.90000001</v>
      </c>
      <c r="K93" s="16">
        <v>0</v>
      </c>
      <c r="L93" s="16">
        <v>0</v>
      </c>
      <c r="M93" s="16">
        <v>0</v>
      </c>
      <c r="N93" s="18">
        <f t="shared" si="2"/>
        <v>4765876631.5989408</v>
      </c>
      <c r="O93" s="4"/>
    </row>
    <row r="94" spans="1:15" ht="15" x14ac:dyDescent="0.2">
      <c r="A94" s="17" t="s">
        <v>89</v>
      </c>
      <c r="B94" s="16">
        <v>2253341858.5300002</v>
      </c>
      <c r="C94" s="16">
        <v>0</v>
      </c>
      <c r="D94" s="16">
        <v>27424544.340000004</v>
      </c>
      <c r="E94" s="16">
        <v>25133769.059999999</v>
      </c>
      <c r="F94" s="16">
        <v>36244472.899999999</v>
      </c>
      <c r="G94" s="16">
        <v>19684590.162859656</v>
      </c>
      <c r="H94" s="16">
        <v>112440834.65000001</v>
      </c>
      <c r="I94" s="16">
        <v>122057662.8</v>
      </c>
      <c r="J94" s="16">
        <v>71724427.329999998</v>
      </c>
      <c r="K94" s="16">
        <v>0</v>
      </c>
      <c r="L94" s="16">
        <v>0</v>
      </c>
      <c r="M94" s="16">
        <v>0</v>
      </c>
      <c r="N94" s="18">
        <f t="shared" si="2"/>
        <v>2668052159.7728601</v>
      </c>
      <c r="O94" s="4"/>
    </row>
    <row r="95" spans="1:15" ht="15" x14ac:dyDescent="0.2">
      <c r="A95" s="17" t="s">
        <v>90</v>
      </c>
      <c r="B95" s="16">
        <v>419507797.93000007</v>
      </c>
      <c r="C95" s="16">
        <v>0</v>
      </c>
      <c r="D95" s="16">
        <v>12704101.139689332</v>
      </c>
      <c r="E95" s="16">
        <v>2937455.46</v>
      </c>
      <c r="F95" s="16">
        <v>1777173.24</v>
      </c>
      <c r="G95" s="16">
        <v>952328.93</v>
      </c>
      <c r="H95" s="16">
        <v>20931564.639999997</v>
      </c>
      <c r="I95" s="16">
        <v>5984846.6599999992</v>
      </c>
      <c r="J95" s="16">
        <v>11464027.800000001</v>
      </c>
      <c r="K95" s="16">
        <v>0</v>
      </c>
      <c r="L95" s="16">
        <v>0</v>
      </c>
      <c r="M95" s="16">
        <v>0</v>
      </c>
      <c r="N95" s="18">
        <f t="shared" si="2"/>
        <v>476259295.79968941</v>
      </c>
      <c r="O95" s="4"/>
    </row>
    <row r="96" spans="1:15" ht="15" x14ac:dyDescent="0.2">
      <c r="A96" s="17" t="s">
        <v>91</v>
      </c>
      <c r="B96" s="16">
        <v>1308485901.75</v>
      </c>
      <c r="C96" s="16">
        <v>0</v>
      </c>
      <c r="D96" s="16">
        <v>26385179.88387236</v>
      </c>
      <c r="E96" s="16">
        <v>8848185.2199999988</v>
      </c>
      <c r="F96" s="16">
        <v>9959887.6799999997</v>
      </c>
      <c r="G96" s="16">
        <v>4870243.58</v>
      </c>
      <c r="H96" s="16">
        <v>65292908.199999996</v>
      </c>
      <c r="I96" s="16">
        <v>33541130.98</v>
      </c>
      <c r="J96" s="16">
        <v>38848988.420000002</v>
      </c>
      <c r="K96" s="16">
        <v>0</v>
      </c>
      <c r="L96" s="16">
        <v>0</v>
      </c>
      <c r="M96" s="16">
        <v>0</v>
      </c>
      <c r="N96" s="18">
        <f t="shared" si="2"/>
        <v>1496232425.7138724</v>
      </c>
      <c r="O96" s="4"/>
    </row>
    <row r="97" spans="1:15" ht="15" x14ac:dyDescent="0.2">
      <c r="A97" s="17" t="s">
        <v>92</v>
      </c>
      <c r="B97" s="16">
        <v>680418834.67999995</v>
      </c>
      <c r="C97" s="16">
        <v>0</v>
      </c>
      <c r="D97" s="16">
        <v>19996874.459493171</v>
      </c>
      <c r="E97" s="16">
        <v>4945679.33</v>
      </c>
      <c r="F97" s="16">
        <v>4598355.37</v>
      </c>
      <c r="G97" s="16">
        <v>2506128.77</v>
      </c>
      <c r="H97" s="16">
        <v>33948932.979999997</v>
      </c>
      <c r="I97" s="16">
        <v>15485520</v>
      </c>
      <c r="J97" s="16">
        <v>26402383.720000003</v>
      </c>
      <c r="K97" s="16">
        <v>0</v>
      </c>
      <c r="L97" s="16">
        <v>0</v>
      </c>
      <c r="M97" s="16">
        <v>0</v>
      </c>
      <c r="N97" s="18">
        <f t="shared" si="2"/>
        <v>788302709.30949318</v>
      </c>
      <c r="O97" s="4"/>
    </row>
    <row r="98" spans="1:15" ht="15" x14ac:dyDescent="0.2">
      <c r="A98" s="17" t="s">
        <v>93</v>
      </c>
      <c r="B98" s="16">
        <v>1915454262.27</v>
      </c>
      <c r="C98" s="16">
        <v>0</v>
      </c>
      <c r="D98" s="16">
        <v>30002240.015619367</v>
      </c>
      <c r="E98" s="16">
        <v>17461693.479999997</v>
      </c>
      <c r="F98" s="16">
        <v>10693052.039999999</v>
      </c>
      <c r="G98" s="16">
        <v>5998001.5300000003</v>
      </c>
      <c r="H98" s="16">
        <v>95568036.649999991</v>
      </c>
      <c r="I98" s="16">
        <v>36010150.950000003</v>
      </c>
      <c r="J98" s="16">
        <v>50904753.609999999</v>
      </c>
      <c r="K98" s="16">
        <v>0</v>
      </c>
      <c r="L98" s="16">
        <v>0</v>
      </c>
      <c r="M98" s="16">
        <v>0</v>
      </c>
      <c r="N98" s="18">
        <f t="shared" si="2"/>
        <v>2162092190.5456195</v>
      </c>
      <c r="O98" s="4"/>
    </row>
    <row r="99" spans="1:15" ht="15" x14ac:dyDescent="0.2">
      <c r="A99" s="17" t="s">
        <v>94</v>
      </c>
      <c r="B99" s="16">
        <v>1353400134.5799999</v>
      </c>
      <c r="C99" s="16">
        <v>0</v>
      </c>
      <c r="D99" s="16">
        <v>15564697.515375514</v>
      </c>
      <c r="E99" s="16">
        <v>9164353.3599999994</v>
      </c>
      <c r="F99" s="16">
        <v>3963803.77</v>
      </c>
      <c r="G99" s="16">
        <v>1796058.95</v>
      </c>
      <c r="H99" s="16">
        <v>67526941.829999998</v>
      </c>
      <c r="I99" s="16">
        <v>13348590.439999999</v>
      </c>
      <c r="J99" s="16">
        <v>33379376.829999998</v>
      </c>
      <c r="K99" s="16">
        <v>0</v>
      </c>
      <c r="L99" s="16">
        <v>0</v>
      </c>
      <c r="M99" s="16">
        <v>0</v>
      </c>
      <c r="N99" s="18">
        <f t="shared" si="2"/>
        <v>1498143957.2753754</v>
      </c>
      <c r="O99" s="4"/>
    </row>
    <row r="100" spans="1:15" ht="15" x14ac:dyDescent="0.2">
      <c r="A100" s="17" t="s">
        <v>95</v>
      </c>
      <c r="B100" s="16">
        <v>1476562629.75</v>
      </c>
      <c r="C100" s="16">
        <v>0</v>
      </c>
      <c r="D100" s="16">
        <v>16106405.558986694</v>
      </c>
      <c r="E100" s="16">
        <v>9895060.4100000001</v>
      </c>
      <c r="F100" s="16">
        <v>4450436.25</v>
      </c>
      <c r="G100" s="16">
        <v>2138563.2200000002</v>
      </c>
      <c r="H100" s="16">
        <v>73675455.450000003</v>
      </c>
      <c r="I100" s="16">
        <v>14987384.4</v>
      </c>
      <c r="J100" s="16">
        <v>25812638.399999999</v>
      </c>
      <c r="K100" s="16">
        <v>0</v>
      </c>
      <c r="L100" s="16">
        <v>0</v>
      </c>
      <c r="M100" s="16">
        <v>0</v>
      </c>
      <c r="N100" s="18">
        <f t="shared" si="2"/>
        <v>1623628573.438987</v>
      </c>
      <c r="O100" s="4"/>
    </row>
    <row r="101" spans="1:15" ht="15" x14ac:dyDescent="0.2">
      <c r="A101" s="17" t="s">
        <v>96</v>
      </c>
      <c r="B101" s="16">
        <v>302588207.69999999</v>
      </c>
      <c r="C101" s="16">
        <v>0</v>
      </c>
      <c r="D101" s="16">
        <v>3438760.257724572</v>
      </c>
      <c r="E101" s="16">
        <v>1856541.2700000003</v>
      </c>
      <c r="F101" s="16">
        <v>531651.34</v>
      </c>
      <c r="G101" s="16">
        <v>342504.27</v>
      </c>
      <c r="H101" s="16">
        <v>15097307.609999999</v>
      </c>
      <c r="I101" s="16">
        <v>1790400.45</v>
      </c>
      <c r="J101" s="16">
        <v>5957264.54</v>
      </c>
      <c r="K101" s="16">
        <v>0</v>
      </c>
      <c r="L101" s="16">
        <v>0</v>
      </c>
      <c r="M101" s="16">
        <v>0</v>
      </c>
      <c r="N101" s="18">
        <f t="shared" si="2"/>
        <v>331602637.43772453</v>
      </c>
      <c r="O101" s="4"/>
    </row>
    <row r="102" spans="1:15" ht="15" x14ac:dyDescent="0.2">
      <c r="A102" s="17" t="s">
        <v>97</v>
      </c>
      <c r="B102" s="16">
        <v>831115623.63999999</v>
      </c>
      <c r="C102" s="16">
        <v>0</v>
      </c>
      <c r="D102" s="16">
        <v>17977513.384289194</v>
      </c>
      <c r="E102" s="16">
        <v>9545614.1899999995</v>
      </c>
      <c r="F102" s="16">
        <v>10294313.529999999</v>
      </c>
      <c r="G102" s="16">
        <v>5496775.7699999996</v>
      </c>
      <c r="H102" s="16">
        <v>41469130.110000007</v>
      </c>
      <c r="I102" s="16">
        <v>34667350.600000001</v>
      </c>
      <c r="J102" s="16">
        <v>38367461.009999998</v>
      </c>
      <c r="K102" s="16">
        <v>0</v>
      </c>
      <c r="L102" s="16">
        <v>0</v>
      </c>
      <c r="M102" s="16">
        <v>0</v>
      </c>
      <c r="N102" s="18">
        <f t="shared" si="2"/>
        <v>988933782.23428917</v>
      </c>
      <c r="O102" s="4"/>
    </row>
    <row r="103" spans="1:15" ht="15" x14ac:dyDescent="0.2">
      <c r="A103" s="17" t="s">
        <v>98</v>
      </c>
      <c r="B103" s="16">
        <v>303859910.56000006</v>
      </c>
      <c r="C103" s="16">
        <v>0</v>
      </c>
      <c r="D103" s="16">
        <v>7048954.5230065752</v>
      </c>
      <c r="E103" s="16">
        <v>1826156.68</v>
      </c>
      <c r="F103" s="16">
        <v>255106.89</v>
      </c>
      <c r="G103" s="16">
        <v>217197.83</v>
      </c>
      <c r="H103" s="16">
        <v>15160620.459999999</v>
      </c>
      <c r="I103" s="16">
        <v>859103.44000000006</v>
      </c>
      <c r="J103" s="16">
        <v>8421176.9199999999</v>
      </c>
      <c r="K103" s="16">
        <v>0</v>
      </c>
      <c r="L103" s="16">
        <v>0</v>
      </c>
      <c r="M103" s="16">
        <v>0</v>
      </c>
      <c r="N103" s="18">
        <f t="shared" si="2"/>
        <v>337648227.30300659</v>
      </c>
      <c r="O103" s="4"/>
    </row>
    <row r="104" spans="1:15" ht="15" x14ac:dyDescent="0.2">
      <c r="A104" s="17" t="s">
        <v>99</v>
      </c>
      <c r="B104" s="16">
        <v>4497935942.960001</v>
      </c>
      <c r="C104" s="16">
        <v>0</v>
      </c>
      <c r="D104" s="16">
        <v>32911315.508801945</v>
      </c>
      <c r="E104" s="16">
        <v>50418463.390000008</v>
      </c>
      <c r="F104" s="16">
        <v>52279763.450000003</v>
      </c>
      <c r="G104" s="16">
        <v>10680021.563814893</v>
      </c>
      <c r="H104" s="16">
        <v>224397034.59999999</v>
      </c>
      <c r="I104" s="16">
        <v>176058450.5</v>
      </c>
      <c r="J104" s="16">
        <v>93175430.340000004</v>
      </c>
      <c r="K104" s="16">
        <v>0</v>
      </c>
      <c r="L104" s="16">
        <v>0</v>
      </c>
      <c r="M104" s="16">
        <v>0</v>
      </c>
      <c r="N104" s="18">
        <f t="shared" ref="N104:N135" si="3">SUM(B104:M104)</f>
        <v>5137856422.3126192</v>
      </c>
      <c r="O104" s="4"/>
    </row>
    <row r="105" spans="1:15" ht="15" x14ac:dyDescent="0.2">
      <c r="A105" s="17" t="s">
        <v>100</v>
      </c>
      <c r="B105" s="16">
        <v>799689148.4000001</v>
      </c>
      <c r="C105" s="16">
        <v>0</v>
      </c>
      <c r="D105" s="16">
        <v>18241738.060000002</v>
      </c>
      <c r="E105" s="16">
        <v>7213082.790000001</v>
      </c>
      <c r="F105" s="16">
        <v>2253086.94</v>
      </c>
      <c r="G105" s="16">
        <v>1879596.58</v>
      </c>
      <c r="H105" s="16">
        <v>39899215.57</v>
      </c>
      <c r="I105" s="16">
        <v>7587543.8300000001</v>
      </c>
      <c r="J105" s="16">
        <v>12167469.189999999</v>
      </c>
      <c r="K105" s="16">
        <v>0</v>
      </c>
      <c r="L105" s="16">
        <v>0</v>
      </c>
      <c r="M105" s="16">
        <v>0</v>
      </c>
      <c r="N105" s="18">
        <f t="shared" si="3"/>
        <v>888930881.36000025</v>
      </c>
      <c r="O105" s="4"/>
    </row>
    <row r="106" spans="1:15" ht="15" x14ac:dyDescent="0.2">
      <c r="A106" s="17" t="s">
        <v>101</v>
      </c>
      <c r="B106" s="16">
        <v>821173219.43999994</v>
      </c>
      <c r="C106" s="16">
        <v>0</v>
      </c>
      <c r="D106" s="16">
        <v>6322782.3400000008</v>
      </c>
      <c r="E106" s="16">
        <v>10936677.5</v>
      </c>
      <c r="F106" s="16">
        <v>15964546.619999999</v>
      </c>
      <c r="G106" s="16">
        <v>4470895.9653857145</v>
      </c>
      <c r="H106" s="16">
        <v>40966728.590000004</v>
      </c>
      <c r="I106" s="16">
        <v>53762548.939999998</v>
      </c>
      <c r="J106" s="16">
        <v>31978420.400000002</v>
      </c>
      <c r="K106" s="16">
        <v>0</v>
      </c>
      <c r="L106" s="16">
        <v>0</v>
      </c>
      <c r="M106" s="16">
        <v>0</v>
      </c>
      <c r="N106" s="18">
        <f t="shared" si="3"/>
        <v>985575819.79538572</v>
      </c>
      <c r="O106" s="4"/>
    </row>
    <row r="107" spans="1:15" ht="15" x14ac:dyDescent="0.2">
      <c r="A107" s="17" t="s">
        <v>102</v>
      </c>
      <c r="B107" s="16">
        <v>1138135523.2000003</v>
      </c>
      <c r="C107" s="16">
        <v>0</v>
      </c>
      <c r="D107" s="16">
        <v>10876138.593055578</v>
      </c>
      <c r="E107" s="16">
        <v>6724690.8399999999</v>
      </c>
      <c r="F107" s="16">
        <v>887514.74</v>
      </c>
      <c r="G107" s="16">
        <v>793607.44</v>
      </c>
      <c r="H107" s="16">
        <v>56787076.57</v>
      </c>
      <c r="I107" s="16">
        <v>2988813.6500000004</v>
      </c>
      <c r="J107" s="16">
        <v>14815496.460000001</v>
      </c>
      <c r="K107" s="16">
        <v>0</v>
      </c>
      <c r="L107" s="16">
        <v>0</v>
      </c>
      <c r="M107" s="16">
        <v>0</v>
      </c>
      <c r="N107" s="18">
        <f t="shared" si="3"/>
        <v>1232008861.4930558</v>
      </c>
      <c r="O107" s="4"/>
    </row>
    <row r="108" spans="1:15" ht="15" x14ac:dyDescent="0.2">
      <c r="A108" s="17" t="s">
        <v>103</v>
      </c>
      <c r="B108" s="16">
        <v>403553707.46999997</v>
      </c>
      <c r="C108" s="16">
        <v>0</v>
      </c>
      <c r="D108" s="16">
        <v>5856040.0763486763</v>
      </c>
      <c r="E108" s="16">
        <v>2549208.3199999998</v>
      </c>
      <c r="F108" s="16">
        <v>900377.27</v>
      </c>
      <c r="G108" s="16">
        <v>584763.38</v>
      </c>
      <c r="H108" s="16">
        <v>20134358.34</v>
      </c>
      <c r="I108" s="16">
        <v>3032129.79</v>
      </c>
      <c r="J108" s="16">
        <v>7903493.8800000008</v>
      </c>
      <c r="K108" s="16">
        <v>0</v>
      </c>
      <c r="L108" s="16">
        <v>0</v>
      </c>
      <c r="M108" s="16">
        <v>0</v>
      </c>
      <c r="N108" s="18">
        <f t="shared" si="3"/>
        <v>444514078.52634859</v>
      </c>
      <c r="O108" s="4"/>
    </row>
    <row r="109" spans="1:15" ht="15" x14ac:dyDescent="0.2">
      <c r="A109" s="17" t="s">
        <v>104</v>
      </c>
      <c r="B109" s="16">
        <v>3879194696.8800001</v>
      </c>
      <c r="C109" s="16">
        <v>0</v>
      </c>
      <c r="D109" s="16">
        <v>42779153.888869643</v>
      </c>
      <c r="E109" s="16">
        <v>57660350.660000004</v>
      </c>
      <c r="F109" s="16">
        <v>91928519.959999993</v>
      </c>
      <c r="G109" s="16">
        <v>50290958.469308108</v>
      </c>
      <c r="H109" s="16">
        <v>193566549.5</v>
      </c>
      <c r="I109" s="16">
        <v>309580451.64000005</v>
      </c>
      <c r="J109" s="16">
        <v>144205384.08000001</v>
      </c>
      <c r="K109" s="16">
        <v>0</v>
      </c>
      <c r="L109" s="16">
        <v>0</v>
      </c>
      <c r="M109" s="16">
        <v>0</v>
      </c>
      <c r="N109" s="18">
        <f t="shared" si="3"/>
        <v>4769206065.0781775</v>
      </c>
      <c r="O109" s="4"/>
    </row>
    <row r="110" spans="1:15" ht="15" x14ac:dyDescent="0.2">
      <c r="A110" s="17" t="s">
        <v>105</v>
      </c>
      <c r="B110" s="16">
        <v>444633563.53999996</v>
      </c>
      <c r="C110" s="16">
        <v>0</v>
      </c>
      <c r="D110" s="16">
        <v>6816301.4703516876</v>
      </c>
      <c r="E110" s="16">
        <v>4694305.6199999992</v>
      </c>
      <c r="F110" s="16">
        <v>3513615.13</v>
      </c>
      <c r="G110" s="16">
        <v>1896304.1</v>
      </c>
      <c r="H110" s="16">
        <v>22184900.449999999</v>
      </c>
      <c r="I110" s="16">
        <v>11832525.539999999</v>
      </c>
      <c r="J110" s="16">
        <v>16709036.16</v>
      </c>
      <c r="K110" s="16">
        <v>0</v>
      </c>
      <c r="L110" s="16">
        <v>0</v>
      </c>
      <c r="M110" s="16">
        <v>0</v>
      </c>
      <c r="N110" s="18">
        <f t="shared" si="3"/>
        <v>512280552.01035172</v>
      </c>
      <c r="O110" s="4"/>
    </row>
    <row r="111" spans="1:15" ht="15" x14ac:dyDescent="0.2">
      <c r="A111" s="17" t="s">
        <v>106</v>
      </c>
      <c r="B111" s="16">
        <v>511744791.71999991</v>
      </c>
      <c r="C111" s="16">
        <v>0</v>
      </c>
      <c r="D111" s="16">
        <v>10363263.195356231</v>
      </c>
      <c r="E111" s="16">
        <v>3302901.0000000005</v>
      </c>
      <c r="F111" s="16">
        <v>1224084.3400000001</v>
      </c>
      <c r="G111" s="16">
        <v>793607.44</v>
      </c>
      <c r="H111" s="16">
        <v>25534756.900000002</v>
      </c>
      <c r="I111" s="16">
        <v>4122252.65</v>
      </c>
      <c r="J111" s="16">
        <v>13017276.18</v>
      </c>
      <c r="K111" s="16">
        <v>0</v>
      </c>
      <c r="L111" s="16">
        <v>0</v>
      </c>
      <c r="M111" s="16">
        <v>0</v>
      </c>
      <c r="N111" s="18">
        <f t="shared" si="3"/>
        <v>570102933.42535603</v>
      </c>
      <c r="O111" s="4"/>
    </row>
    <row r="112" spans="1:15" ht="15" x14ac:dyDescent="0.2">
      <c r="A112" s="17" t="s">
        <v>107</v>
      </c>
      <c r="B112" s="16">
        <v>749765177.03999984</v>
      </c>
      <c r="C112" s="16">
        <v>0</v>
      </c>
      <c r="D112" s="16">
        <v>10317657.211730132</v>
      </c>
      <c r="E112" s="16">
        <v>4825271.54</v>
      </c>
      <c r="F112" s="16">
        <v>1487766.26</v>
      </c>
      <c r="G112" s="16">
        <v>943975.17</v>
      </c>
      <c r="H112" s="16">
        <v>37408517.530000001</v>
      </c>
      <c r="I112" s="16">
        <v>5010233.51</v>
      </c>
      <c r="J112" s="16">
        <v>13654980.029999999</v>
      </c>
      <c r="K112" s="16">
        <v>0</v>
      </c>
      <c r="L112" s="16">
        <v>0</v>
      </c>
      <c r="M112" s="16">
        <v>0</v>
      </c>
      <c r="N112" s="18">
        <f t="shared" si="3"/>
        <v>823413578.29172981</v>
      </c>
      <c r="O112" s="4"/>
    </row>
    <row r="113" spans="1:15" ht="15" x14ac:dyDescent="0.2">
      <c r="A113" s="17" t="s">
        <v>108</v>
      </c>
      <c r="B113" s="16">
        <v>593403529.90999997</v>
      </c>
      <c r="C113" s="16">
        <v>0</v>
      </c>
      <c r="D113" s="16">
        <v>9179920.7624093592</v>
      </c>
      <c r="E113" s="16">
        <v>3957469.61</v>
      </c>
      <c r="F113" s="16">
        <v>2096592.8</v>
      </c>
      <c r="G113" s="16">
        <v>1219649.3400000001</v>
      </c>
      <c r="H113" s="16">
        <v>29607210.23</v>
      </c>
      <c r="I113" s="16">
        <v>7060530.7999999998</v>
      </c>
      <c r="J113" s="16">
        <v>13335306.380000001</v>
      </c>
      <c r="K113" s="16">
        <v>0</v>
      </c>
      <c r="L113" s="16">
        <v>0</v>
      </c>
      <c r="M113" s="16">
        <v>0</v>
      </c>
      <c r="N113" s="18">
        <f t="shared" si="3"/>
        <v>659860209.83240926</v>
      </c>
      <c r="O113" s="4"/>
    </row>
    <row r="114" spans="1:15" ht="15" x14ac:dyDescent="0.2">
      <c r="A114" s="17" t="s">
        <v>109</v>
      </c>
      <c r="B114" s="16">
        <v>367483590.01999992</v>
      </c>
      <c r="C114" s="16">
        <v>0</v>
      </c>
      <c r="D114" s="16">
        <v>6110541.9470622158</v>
      </c>
      <c r="E114" s="16">
        <v>2543727.27</v>
      </c>
      <c r="F114" s="16">
        <v>1269103.2</v>
      </c>
      <c r="G114" s="16">
        <v>668301.01</v>
      </c>
      <c r="H114" s="16">
        <v>18336993</v>
      </c>
      <c r="I114" s="16">
        <v>4273859.13</v>
      </c>
      <c r="J114" s="16">
        <v>10186877.050000001</v>
      </c>
      <c r="K114" s="16">
        <v>0</v>
      </c>
      <c r="L114" s="16">
        <v>0</v>
      </c>
      <c r="M114" s="16">
        <v>0</v>
      </c>
      <c r="N114" s="18">
        <f t="shared" si="3"/>
        <v>410872992.62706208</v>
      </c>
      <c r="O114" s="4"/>
    </row>
    <row r="115" spans="1:15" ht="15" x14ac:dyDescent="0.2">
      <c r="A115" s="17" t="s">
        <v>110</v>
      </c>
      <c r="B115" s="16">
        <v>957611521.75000012</v>
      </c>
      <c r="C115" s="16">
        <v>0</v>
      </c>
      <c r="D115" s="16">
        <v>7149091.2626548875</v>
      </c>
      <c r="E115" s="16">
        <v>6061066.4900000002</v>
      </c>
      <c r="F115" s="16">
        <v>1314122.07</v>
      </c>
      <c r="G115" s="16">
        <v>1077635.3700000001</v>
      </c>
      <c r="H115" s="16">
        <v>47784422.650000006</v>
      </c>
      <c r="I115" s="16">
        <v>4425465.62</v>
      </c>
      <c r="J115" s="16">
        <v>13649452.1</v>
      </c>
      <c r="K115" s="16">
        <v>0</v>
      </c>
      <c r="L115" s="16">
        <v>0</v>
      </c>
      <c r="M115" s="16">
        <v>0</v>
      </c>
      <c r="N115" s="18">
        <f t="shared" si="3"/>
        <v>1039072777.3126551</v>
      </c>
      <c r="O115" s="4"/>
    </row>
    <row r="116" spans="1:15" ht="15" x14ac:dyDescent="0.2">
      <c r="A116" s="17" t="s">
        <v>111</v>
      </c>
      <c r="B116" s="16">
        <v>576081395.49000001</v>
      </c>
      <c r="C116" s="16">
        <v>0</v>
      </c>
      <c r="D116" s="16">
        <v>10256497.039119888</v>
      </c>
      <c r="E116" s="16">
        <v>4139979.2700000005</v>
      </c>
      <c r="F116" s="16">
        <v>3627234.17</v>
      </c>
      <c r="G116" s="16">
        <v>1695813.8</v>
      </c>
      <c r="H116" s="16">
        <v>28743989.859999999</v>
      </c>
      <c r="I116" s="16">
        <v>12215151.440000001</v>
      </c>
      <c r="J116" s="16">
        <v>18516818.260000002</v>
      </c>
      <c r="K116" s="16">
        <v>0</v>
      </c>
      <c r="L116" s="16">
        <v>0</v>
      </c>
      <c r="M116" s="16">
        <v>0</v>
      </c>
      <c r="N116" s="18">
        <f t="shared" si="3"/>
        <v>655276879.3291198</v>
      </c>
      <c r="O116" s="4"/>
    </row>
    <row r="117" spans="1:15" ht="15" x14ac:dyDescent="0.2">
      <c r="A117" s="17" t="s">
        <v>112</v>
      </c>
      <c r="B117" s="16">
        <v>295439696.17000002</v>
      </c>
      <c r="C117" s="16">
        <v>0</v>
      </c>
      <c r="D117" s="16">
        <v>2274416.532519144</v>
      </c>
      <c r="E117" s="16">
        <v>1922431.8</v>
      </c>
      <c r="F117" s="16">
        <v>763176.92</v>
      </c>
      <c r="G117" s="16">
        <v>451103.18</v>
      </c>
      <c r="H117" s="16">
        <v>14741039.74</v>
      </c>
      <c r="I117" s="16">
        <v>2570090.96</v>
      </c>
      <c r="J117" s="16">
        <v>5457410.2999999998</v>
      </c>
      <c r="K117" s="16">
        <v>0</v>
      </c>
      <c r="L117" s="16">
        <v>0</v>
      </c>
      <c r="M117" s="16">
        <v>0</v>
      </c>
      <c r="N117" s="18">
        <f t="shared" si="3"/>
        <v>323619365.60251921</v>
      </c>
      <c r="O117" s="4"/>
    </row>
    <row r="118" spans="1:15" ht="15" x14ac:dyDescent="0.2">
      <c r="A118" s="17" t="s">
        <v>113</v>
      </c>
      <c r="B118" s="16">
        <v>518045501.34000009</v>
      </c>
      <c r="C118" s="16">
        <v>0</v>
      </c>
      <c r="D118" s="16">
        <v>8011714.6147758868</v>
      </c>
      <c r="E118" s="16">
        <v>4010616.34</v>
      </c>
      <c r="F118" s="16">
        <v>3599365.35</v>
      </c>
      <c r="G118" s="16">
        <v>1879596.58</v>
      </c>
      <c r="H118" s="16">
        <v>25846397.16</v>
      </c>
      <c r="I118" s="16">
        <v>12121299.800000001</v>
      </c>
      <c r="J118" s="16">
        <v>15042788.950000001</v>
      </c>
      <c r="K118" s="16">
        <v>0</v>
      </c>
      <c r="L118" s="16">
        <v>0</v>
      </c>
      <c r="M118" s="16">
        <v>0</v>
      </c>
      <c r="N118" s="18">
        <f t="shared" si="3"/>
        <v>588557280.134776</v>
      </c>
      <c r="O118" s="4"/>
    </row>
    <row r="119" spans="1:15" ht="15" x14ac:dyDescent="0.2">
      <c r="A119" s="17" t="s">
        <v>114</v>
      </c>
      <c r="B119" s="16">
        <v>700978030.91999996</v>
      </c>
      <c r="C119" s="16">
        <v>0</v>
      </c>
      <c r="D119" s="16">
        <v>6475877.953294199</v>
      </c>
      <c r="E119" s="16">
        <v>4771294.2299999995</v>
      </c>
      <c r="F119" s="16">
        <v>2891926.06</v>
      </c>
      <c r="G119" s="16">
        <v>1261418.1499999999</v>
      </c>
      <c r="H119" s="16">
        <v>34975005.059999995</v>
      </c>
      <c r="I119" s="16">
        <v>9738912.1099999994</v>
      </c>
      <c r="J119" s="16">
        <v>13692928.51</v>
      </c>
      <c r="K119" s="16">
        <v>0</v>
      </c>
      <c r="L119" s="16">
        <v>0</v>
      </c>
      <c r="M119" s="16">
        <v>0</v>
      </c>
      <c r="N119" s="18">
        <f t="shared" si="3"/>
        <v>774785392.993294</v>
      </c>
      <c r="O119" s="4"/>
    </row>
    <row r="120" spans="1:15" ht="15" x14ac:dyDescent="0.2">
      <c r="A120" s="17" t="s">
        <v>115</v>
      </c>
      <c r="B120" s="16">
        <v>435365547.23000002</v>
      </c>
      <c r="C120" s="16">
        <v>0</v>
      </c>
      <c r="D120" s="16">
        <v>10013439.811973112</v>
      </c>
      <c r="E120" s="16">
        <v>3204533.5500000003</v>
      </c>
      <c r="F120" s="16">
        <v>1948673.67</v>
      </c>
      <c r="G120" s="16">
        <v>1278125.67</v>
      </c>
      <c r="H120" s="16">
        <v>21723181.600000001</v>
      </c>
      <c r="I120" s="16">
        <v>6562395.1900000004</v>
      </c>
      <c r="J120" s="16">
        <v>14196169.23</v>
      </c>
      <c r="K120" s="16">
        <v>0</v>
      </c>
      <c r="L120" s="16">
        <v>0</v>
      </c>
      <c r="M120" s="16">
        <v>0</v>
      </c>
      <c r="N120" s="18">
        <f t="shared" si="3"/>
        <v>494292065.9519732</v>
      </c>
      <c r="O120" s="4"/>
    </row>
    <row r="121" spans="1:15" ht="15" x14ac:dyDescent="0.2">
      <c r="A121" s="17" t="s">
        <v>116</v>
      </c>
      <c r="B121" s="16">
        <v>532188378.60000002</v>
      </c>
      <c r="C121" s="16">
        <v>0</v>
      </c>
      <c r="D121" s="16">
        <v>6520701.6641621673</v>
      </c>
      <c r="E121" s="16">
        <v>3199884.81</v>
      </c>
      <c r="F121" s="16">
        <v>818914.57</v>
      </c>
      <c r="G121" s="16">
        <v>426041.89</v>
      </c>
      <c r="H121" s="16">
        <v>26553197.620000001</v>
      </c>
      <c r="I121" s="16">
        <v>2757794.24</v>
      </c>
      <c r="J121" s="16">
        <v>7888354.3199999994</v>
      </c>
      <c r="K121" s="16">
        <v>0</v>
      </c>
      <c r="L121" s="16">
        <v>0</v>
      </c>
      <c r="M121" s="16">
        <v>0</v>
      </c>
      <c r="N121" s="18">
        <f t="shared" si="3"/>
        <v>580353267.71416223</v>
      </c>
      <c r="O121" s="4"/>
    </row>
    <row r="122" spans="1:15" ht="15" x14ac:dyDescent="0.2">
      <c r="A122" s="17" t="s">
        <v>117</v>
      </c>
      <c r="B122" s="16">
        <v>1728802965.21</v>
      </c>
      <c r="C122" s="16">
        <v>0</v>
      </c>
      <c r="D122" s="16">
        <v>10988477.729999999</v>
      </c>
      <c r="E122" s="16">
        <v>20950769.120000001</v>
      </c>
      <c r="F122" s="16">
        <v>24653187.34</v>
      </c>
      <c r="G122" s="16">
        <v>11562089.043543871</v>
      </c>
      <c r="H122" s="16">
        <v>86259856.13000001</v>
      </c>
      <c r="I122" s="16">
        <v>83022601.420000002</v>
      </c>
      <c r="J122" s="16">
        <v>37003755.850000001</v>
      </c>
      <c r="K122" s="16">
        <v>0</v>
      </c>
      <c r="L122" s="16">
        <v>0</v>
      </c>
      <c r="M122" s="16">
        <v>0</v>
      </c>
      <c r="N122" s="18">
        <f t="shared" si="3"/>
        <v>2003243701.8435438</v>
      </c>
      <c r="O122" s="4"/>
    </row>
    <row r="123" spans="1:15" ht="15" x14ac:dyDescent="0.2">
      <c r="A123" s="17" t="s">
        <v>118</v>
      </c>
      <c r="B123" s="16">
        <v>3814973702.4200001</v>
      </c>
      <c r="C123" s="16">
        <v>0</v>
      </c>
      <c r="D123" s="16">
        <v>31245879.510000005</v>
      </c>
      <c r="E123" s="16">
        <v>29211057.620000001</v>
      </c>
      <c r="F123" s="16">
        <v>34270074.159999996</v>
      </c>
      <c r="G123" s="16">
        <v>29497775.054404635</v>
      </c>
      <c r="H123" s="16">
        <v>190359346.97</v>
      </c>
      <c r="I123" s="16">
        <v>115408635.32000001</v>
      </c>
      <c r="J123" s="16">
        <v>48282822.140000001</v>
      </c>
      <c r="K123" s="16">
        <v>0</v>
      </c>
      <c r="L123" s="16">
        <v>0</v>
      </c>
      <c r="M123" s="16">
        <v>0</v>
      </c>
      <c r="N123" s="18">
        <f t="shared" si="3"/>
        <v>4293249293.1944046</v>
      </c>
      <c r="O123" s="4"/>
    </row>
    <row r="124" spans="1:15" ht="15" x14ac:dyDescent="0.2">
      <c r="A124" s="17" t="s">
        <v>119</v>
      </c>
      <c r="B124" s="16">
        <v>3350705817.3799996</v>
      </c>
      <c r="C124" s="16">
        <v>0</v>
      </c>
      <c r="D124" s="16">
        <v>16078570.4</v>
      </c>
      <c r="E124" s="16">
        <v>36361741.510000005</v>
      </c>
      <c r="F124" s="16">
        <v>43884817.219999999</v>
      </c>
      <c r="G124" s="16">
        <v>0</v>
      </c>
      <c r="H124" s="16">
        <v>167173192.45000002</v>
      </c>
      <c r="I124" s="16">
        <v>147787449.88000003</v>
      </c>
      <c r="J124" s="16">
        <v>69076151.040000007</v>
      </c>
      <c r="K124" s="16">
        <v>0</v>
      </c>
      <c r="L124" s="16">
        <v>0</v>
      </c>
      <c r="M124" s="16">
        <v>0</v>
      </c>
      <c r="N124" s="18">
        <f t="shared" si="3"/>
        <v>3831067739.8799996</v>
      </c>
      <c r="O124" s="4"/>
    </row>
    <row r="125" spans="1:15" ht="15" x14ac:dyDescent="0.2">
      <c r="A125" s="17" t="s">
        <v>120</v>
      </c>
      <c r="B125" s="16">
        <v>1102026869.25</v>
      </c>
      <c r="C125" s="16">
        <v>0</v>
      </c>
      <c r="D125" s="16">
        <v>20899663.148232501</v>
      </c>
      <c r="E125" s="16">
        <v>10291176.68</v>
      </c>
      <c r="F125" s="16">
        <v>17064293.149999999</v>
      </c>
      <c r="G125" s="16">
        <v>8002904.5499999998</v>
      </c>
      <c r="H125" s="16">
        <v>54985642.18</v>
      </c>
      <c r="I125" s="16">
        <v>57466078.890000001</v>
      </c>
      <c r="J125" s="16">
        <v>42686466.600000001</v>
      </c>
      <c r="K125" s="16">
        <v>0</v>
      </c>
      <c r="L125" s="16">
        <v>0</v>
      </c>
      <c r="M125" s="16">
        <v>0</v>
      </c>
      <c r="N125" s="18">
        <f t="shared" si="3"/>
        <v>1313423094.4482327</v>
      </c>
      <c r="O125" s="4"/>
    </row>
    <row r="126" spans="1:15" ht="15" x14ac:dyDescent="0.2">
      <c r="A126" s="17" t="s">
        <v>121</v>
      </c>
      <c r="B126" s="16">
        <v>1227944720.6199999</v>
      </c>
      <c r="C126" s="16">
        <v>0</v>
      </c>
      <c r="D126" s="16">
        <v>8908946.6974325888</v>
      </c>
      <c r="E126" s="16">
        <v>9520529.6600000001</v>
      </c>
      <c r="F126" s="16">
        <v>8542865.3499999996</v>
      </c>
      <c r="G126" s="16">
        <v>3274674.93</v>
      </c>
      <c r="H126" s="16">
        <v>61270451.630000003</v>
      </c>
      <c r="I126" s="16">
        <v>28769136.23</v>
      </c>
      <c r="J126" s="16">
        <v>29289058.16</v>
      </c>
      <c r="K126" s="16">
        <v>0</v>
      </c>
      <c r="L126" s="16">
        <v>0</v>
      </c>
      <c r="M126" s="16">
        <v>0</v>
      </c>
      <c r="N126" s="18">
        <f t="shared" si="3"/>
        <v>1377520383.2774327</v>
      </c>
      <c r="O126" s="4"/>
    </row>
    <row r="127" spans="1:15" ht="15" x14ac:dyDescent="0.2">
      <c r="A127" s="17" t="s">
        <v>122</v>
      </c>
      <c r="B127" s="16">
        <v>692885376.37000012</v>
      </c>
      <c r="C127" s="16">
        <v>0</v>
      </c>
      <c r="D127" s="16">
        <v>6941744.9050678713</v>
      </c>
      <c r="E127" s="16">
        <v>8091698.9500000011</v>
      </c>
      <c r="F127" s="16">
        <v>9068085.4299999997</v>
      </c>
      <c r="G127" s="16">
        <v>4678107.04</v>
      </c>
      <c r="H127" s="16">
        <v>34570419.210000001</v>
      </c>
      <c r="I127" s="16">
        <v>30537878.609999999</v>
      </c>
      <c r="J127" s="16">
        <v>32474937.969999999</v>
      </c>
      <c r="K127" s="16">
        <v>0</v>
      </c>
      <c r="L127" s="16">
        <v>0</v>
      </c>
      <c r="M127" s="16">
        <v>0</v>
      </c>
      <c r="N127" s="18">
        <f t="shared" si="3"/>
        <v>819248248.48506808</v>
      </c>
      <c r="O127" s="4"/>
    </row>
    <row r="128" spans="1:15" ht="15" x14ac:dyDescent="0.2">
      <c r="A128" s="17" t="s">
        <v>123</v>
      </c>
      <c r="B128" s="16">
        <v>323802523.57999998</v>
      </c>
      <c r="C128" s="16">
        <v>0</v>
      </c>
      <c r="D128" s="16">
        <v>3818999.4667720436</v>
      </c>
      <c r="E128" s="16">
        <v>2273422.6999999997</v>
      </c>
      <c r="F128" s="16">
        <v>829633.34</v>
      </c>
      <c r="G128" s="16">
        <v>559702.09</v>
      </c>
      <c r="H128" s="16">
        <v>16157612.439999999</v>
      </c>
      <c r="I128" s="16">
        <v>2793891.0300000003</v>
      </c>
      <c r="J128" s="16">
        <v>6979034.9400000004</v>
      </c>
      <c r="K128" s="16">
        <v>0</v>
      </c>
      <c r="L128" s="16">
        <v>0</v>
      </c>
      <c r="M128" s="16">
        <v>0</v>
      </c>
      <c r="N128" s="18">
        <f t="shared" si="3"/>
        <v>357214819.58677191</v>
      </c>
      <c r="O128" s="4"/>
    </row>
    <row r="129" spans="1:15" ht="15" x14ac:dyDescent="0.2">
      <c r="A129" s="17" t="s">
        <v>124</v>
      </c>
      <c r="B129" s="16">
        <v>2017807074.3</v>
      </c>
      <c r="C129" s="16">
        <v>0</v>
      </c>
      <c r="D129" s="16">
        <v>43333537.07555604</v>
      </c>
      <c r="E129" s="16">
        <v>12876228.630000001</v>
      </c>
      <c r="F129" s="16">
        <v>10551564.18</v>
      </c>
      <c r="G129" s="16">
        <v>6941976.7000000002</v>
      </c>
      <c r="H129" s="16">
        <v>100679245</v>
      </c>
      <c r="I129" s="16">
        <v>35533673.399999999</v>
      </c>
      <c r="J129" s="16">
        <v>43729103.68</v>
      </c>
      <c r="K129" s="16">
        <v>0</v>
      </c>
      <c r="L129" s="16">
        <v>0</v>
      </c>
      <c r="M129" s="16">
        <v>0</v>
      </c>
      <c r="N129" s="18">
        <f t="shared" si="3"/>
        <v>2271452402.9655561</v>
      </c>
      <c r="O129" s="4"/>
    </row>
    <row r="130" spans="1:15" ht="15" x14ac:dyDescent="0.2">
      <c r="A130" s="17" t="s">
        <v>125</v>
      </c>
      <c r="B130" s="16">
        <v>545618331.56999993</v>
      </c>
      <c r="C130" s="16">
        <v>0</v>
      </c>
      <c r="D130" s="16">
        <v>9226351.092128275</v>
      </c>
      <c r="E130" s="16">
        <v>3537702.4</v>
      </c>
      <c r="F130" s="16">
        <v>1305547.05</v>
      </c>
      <c r="G130" s="16">
        <v>517933.28</v>
      </c>
      <c r="H130" s="16">
        <v>27226130.449999999</v>
      </c>
      <c r="I130" s="16">
        <v>4396588.2</v>
      </c>
      <c r="J130" s="16">
        <v>12018812.719999999</v>
      </c>
      <c r="K130" s="16">
        <v>0</v>
      </c>
      <c r="L130" s="16">
        <v>0</v>
      </c>
      <c r="M130" s="16">
        <v>0</v>
      </c>
      <c r="N130" s="18">
        <f t="shared" si="3"/>
        <v>603847396.76212823</v>
      </c>
      <c r="O130" s="4"/>
    </row>
    <row r="131" spans="1:15" ht="15" x14ac:dyDescent="0.2">
      <c r="A131" s="17" t="s">
        <v>126</v>
      </c>
      <c r="B131" s="16">
        <v>3427123598.3500004</v>
      </c>
      <c r="C131" s="16">
        <v>0</v>
      </c>
      <c r="D131" s="16">
        <v>32412363.429999996</v>
      </c>
      <c r="E131" s="16">
        <v>48334824.889999993</v>
      </c>
      <c r="F131" s="16">
        <v>57647727.020000003</v>
      </c>
      <c r="G131" s="16">
        <v>5932750.5018790271</v>
      </c>
      <c r="H131" s="16">
        <v>170986014.59999999</v>
      </c>
      <c r="I131" s="16">
        <v>194135719.53</v>
      </c>
      <c r="J131" s="16">
        <v>94432013.200000003</v>
      </c>
      <c r="K131" s="16">
        <v>0</v>
      </c>
      <c r="L131" s="16">
        <v>0</v>
      </c>
      <c r="M131" s="16">
        <v>0</v>
      </c>
      <c r="N131" s="18">
        <f t="shared" si="3"/>
        <v>4031005011.5218792</v>
      </c>
      <c r="O131" s="4"/>
    </row>
    <row r="132" spans="1:15" ht="15" x14ac:dyDescent="0.2">
      <c r="A132" s="17" t="s">
        <v>127</v>
      </c>
      <c r="B132" s="16">
        <v>135070258.22</v>
      </c>
      <c r="C132" s="16">
        <v>0</v>
      </c>
      <c r="D132" s="16">
        <v>484947.3252222999</v>
      </c>
      <c r="E132" s="16">
        <v>855966.35</v>
      </c>
      <c r="F132" s="16">
        <v>246531.87</v>
      </c>
      <c r="G132" s="16">
        <v>125306.44</v>
      </c>
      <c r="H132" s="16">
        <v>6739352.5700000003</v>
      </c>
      <c r="I132" s="16">
        <v>830226.00999999989</v>
      </c>
      <c r="J132" s="16">
        <v>3390960.97</v>
      </c>
      <c r="K132" s="16">
        <v>0</v>
      </c>
      <c r="L132" s="16">
        <v>0</v>
      </c>
      <c r="M132" s="16">
        <v>0</v>
      </c>
      <c r="N132" s="18">
        <f t="shared" si="3"/>
        <v>147743549.75522229</v>
      </c>
      <c r="O132" s="4"/>
    </row>
    <row r="133" spans="1:15" ht="15" x14ac:dyDescent="0.2">
      <c r="A133" s="17" t="s">
        <v>128</v>
      </c>
      <c r="B133" s="16">
        <v>845932888.75999999</v>
      </c>
      <c r="C133" s="16">
        <v>0</v>
      </c>
      <c r="D133" s="16">
        <v>8081568.2391198864</v>
      </c>
      <c r="E133" s="16">
        <v>3042422.12</v>
      </c>
      <c r="F133" s="16">
        <v>891802.25</v>
      </c>
      <c r="G133" s="16">
        <v>710069.82</v>
      </c>
      <c r="H133" s="16">
        <v>42207655.039999999</v>
      </c>
      <c r="I133" s="16">
        <v>3003252.3600000003</v>
      </c>
      <c r="J133" s="16">
        <v>12508706.729999999</v>
      </c>
      <c r="K133" s="16">
        <v>0</v>
      </c>
      <c r="L133" s="16">
        <v>0</v>
      </c>
      <c r="M133" s="16">
        <v>0</v>
      </c>
      <c r="N133" s="18">
        <f t="shared" si="3"/>
        <v>916378365.31911993</v>
      </c>
      <c r="O133" s="4"/>
    </row>
    <row r="134" spans="1:15" ht="15" x14ac:dyDescent="0.2">
      <c r="A134" s="17" t="s">
        <v>129</v>
      </c>
      <c r="B134" s="16">
        <v>1461417804.78</v>
      </c>
      <c r="C134" s="16">
        <v>0</v>
      </c>
      <c r="D134" s="16">
        <v>20097454.736016773</v>
      </c>
      <c r="E134" s="16">
        <v>9750680.2199999988</v>
      </c>
      <c r="F134" s="16">
        <v>4161029.27</v>
      </c>
      <c r="G134" s="16">
        <v>2347407.2799999998</v>
      </c>
      <c r="H134" s="16">
        <v>72922476.709999993</v>
      </c>
      <c r="I134" s="16">
        <v>14012771.25</v>
      </c>
      <c r="J134" s="16">
        <v>28249060.539999999</v>
      </c>
      <c r="K134" s="16">
        <v>0</v>
      </c>
      <c r="L134" s="16">
        <v>0</v>
      </c>
      <c r="M134" s="16">
        <v>0</v>
      </c>
      <c r="N134" s="18">
        <f t="shared" si="3"/>
        <v>1612958684.7860167</v>
      </c>
      <c r="O134" s="4"/>
    </row>
    <row r="135" spans="1:15" ht="15" x14ac:dyDescent="0.2">
      <c r="A135" s="17" t="s">
        <v>130</v>
      </c>
      <c r="B135" s="16">
        <v>1208772836.5800002</v>
      </c>
      <c r="C135" s="16">
        <v>0</v>
      </c>
      <c r="D135" s="16">
        <v>32411800.246302955</v>
      </c>
      <c r="E135" s="16">
        <v>10949591.280000001</v>
      </c>
      <c r="F135" s="16">
        <v>6264053.3399999999</v>
      </c>
      <c r="G135" s="16">
        <v>2973939.48</v>
      </c>
      <c r="H135" s="16">
        <v>60312681.43</v>
      </c>
      <c r="I135" s="16">
        <v>21094960.120000001</v>
      </c>
      <c r="J135" s="16">
        <v>29123519.109999999</v>
      </c>
      <c r="K135" s="16">
        <v>0</v>
      </c>
      <c r="L135" s="16">
        <v>0</v>
      </c>
      <c r="M135" s="16">
        <v>0</v>
      </c>
      <c r="N135" s="18">
        <f t="shared" si="3"/>
        <v>1371903381.5863028</v>
      </c>
      <c r="O135" s="4"/>
    </row>
    <row r="136" spans="1:15" ht="15" x14ac:dyDescent="0.2">
      <c r="A136" s="17" t="s">
        <v>131</v>
      </c>
      <c r="B136" s="16">
        <v>1950214140.46</v>
      </c>
      <c r="C136" s="16">
        <v>0</v>
      </c>
      <c r="D136" s="16">
        <v>19932282.600000001</v>
      </c>
      <c r="E136" s="16">
        <v>25057716.5</v>
      </c>
      <c r="F136" s="16">
        <v>37269187.990000002</v>
      </c>
      <c r="G136" s="16">
        <v>21843497.0504218</v>
      </c>
      <c r="H136" s="16">
        <v>97314885.819999993</v>
      </c>
      <c r="I136" s="16">
        <v>125508515.27</v>
      </c>
      <c r="J136" s="16">
        <v>66213430.960000001</v>
      </c>
      <c r="K136" s="16">
        <v>0</v>
      </c>
      <c r="L136" s="16">
        <v>0</v>
      </c>
      <c r="M136" s="16">
        <v>0</v>
      </c>
      <c r="N136" s="18">
        <f t="shared" ref="N136:N142" si="4">SUM(B136:M136)</f>
        <v>2343353656.6504216</v>
      </c>
      <c r="O136" s="4"/>
    </row>
    <row r="137" spans="1:15" ht="15" x14ac:dyDescent="0.2">
      <c r="A137" s="17" t="s">
        <v>132</v>
      </c>
      <c r="B137" s="16">
        <v>312260856.73000002</v>
      </c>
      <c r="C137" s="16">
        <v>0</v>
      </c>
      <c r="D137" s="16">
        <v>3106021.8337406116</v>
      </c>
      <c r="E137" s="16">
        <v>2116894.09</v>
      </c>
      <c r="F137" s="16">
        <v>445901.12</v>
      </c>
      <c r="G137" s="16">
        <v>434395.65</v>
      </c>
      <c r="H137" s="16">
        <v>15581688.779999999</v>
      </c>
      <c r="I137" s="16">
        <v>1501626.1800000002</v>
      </c>
      <c r="J137" s="16">
        <v>6495415.8800000008</v>
      </c>
      <c r="K137" s="16">
        <v>0</v>
      </c>
      <c r="L137" s="16">
        <v>0</v>
      </c>
      <c r="M137" s="16">
        <v>0</v>
      </c>
      <c r="N137" s="18">
        <f t="shared" si="4"/>
        <v>341942800.26374054</v>
      </c>
      <c r="O137" s="4"/>
    </row>
    <row r="138" spans="1:15" ht="15" x14ac:dyDescent="0.2">
      <c r="A138" s="17" t="s">
        <v>133</v>
      </c>
      <c r="B138" s="16">
        <v>881598373.50000012</v>
      </c>
      <c r="C138" s="16">
        <v>0</v>
      </c>
      <c r="D138" s="16">
        <v>16641747.875536617</v>
      </c>
      <c r="E138" s="16">
        <v>6034067.3600000003</v>
      </c>
      <c r="F138" s="16">
        <v>3882341.06</v>
      </c>
      <c r="G138" s="16">
        <v>1695813.8</v>
      </c>
      <c r="H138" s="16">
        <v>43984553.759999998</v>
      </c>
      <c r="I138" s="16">
        <v>13074254.879999999</v>
      </c>
      <c r="J138" s="16">
        <v>23601068.48</v>
      </c>
      <c r="K138" s="16">
        <v>0</v>
      </c>
      <c r="L138" s="16">
        <v>0</v>
      </c>
      <c r="M138" s="16">
        <v>0</v>
      </c>
      <c r="N138" s="18">
        <f t="shared" si="4"/>
        <v>990512220.71553659</v>
      </c>
      <c r="O138" s="4"/>
    </row>
    <row r="139" spans="1:15" ht="15" x14ac:dyDescent="0.2">
      <c r="A139" s="17" t="s">
        <v>134</v>
      </c>
      <c r="B139" s="16">
        <v>3099505966.1000004</v>
      </c>
      <c r="C139" s="16">
        <v>0</v>
      </c>
      <c r="D139" s="16">
        <v>27472680.16</v>
      </c>
      <c r="E139" s="16">
        <v>23663844.289999999</v>
      </c>
      <c r="F139" s="16">
        <v>19966937.989999998</v>
      </c>
      <c r="G139" s="16">
        <v>20070510.985918</v>
      </c>
      <c r="H139" s="16">
        <v>154664076.28</v>
      </c>
      <c r="I139" s="16">
        <v>67241087.75999999</v>
      </c>
      <c r="J139" s="16">
        <v>42141044.300000004</v>
      </c>
      <c r="K139" s="16">
        <v>0</v>
      </c>
      <c r="L139" s="16">
        <v>0</v>
      </c>
      <c r="M139" s="16">
        <v>0</v>
      </c>
      <c r="N139" s="18">
        <f t="shared" si="4"/>
        <v>3454726147.8659182</v>
      </c>
      <c r="O139" s="4"/>
    </row>
    <row r="140" spans="1:15" ht="15" x14ac:dyDescent="0.2">
      <c r="A140" s="17" t="s">
        <v>135</v>
      </c>
      <c r="B140" s="16">
        <v>913622163.72000003</v>
      </c>
      <c r="C140" s="16">
        <v>0</v>
      </c>
      <c r="D140" s="16">
        <v>11758214.299999999</v>
      </c>
      <c r="E140" s="16">
        <v>7048359.2500000009</v>
      </c>
      <c r="F140" s="16">
        <v>3292808.32</v>
      </c>
      <c r="G140" s="16">
        <v>1787705.19</v>
      </c>
      <c r="H140" s="16">
        <v>45589371.960000001</v>
      </c>
      <c r="I140" s="16">
        <v>11088931.810000001</v>
      </c>
      <c r="J140" s="16">
        <v>10652069.68</v>
      </c>
      <c r="K140" s="16">
        <v>0</v>
      </c>
      <c r="L140" s="16">
        <v>0</v>
      </c>
      <c r="M140" s="16">
        <v>0</v>
      </c>
      <c r="N140" s="18">
        <f t="shared" si="4"/>
        <v>1004839624.23</v>
      </c>
      <c r="O140" s="4"/>
    </row>
    <row r="141" spans="1:15" ht="15" x14ac:dyDescent="0.2">
      <c r="A141" s="17" t="s">
        <v>136</v>
      </c>
      <c r="B141" s="16">
        <v>1059000922.5100001</v>
      </c>
      <c r="C141" s="16">
        <v>0</v>
      </c>
      <c r="D141" s="16">
        <v>10512194.280775791</v>
      </c>
      <c r="E141" s="16">
        <v>8149723.4000000004</v>
      </c>
      <c r="F141" s="16">
        <v>4748418.25</v>
      </c>
      <c r="G141" s="16">
        <v>1562153.6</v>
      </c>
      <c r="H141" s="16">
        <v>52840271.07</v>
      </c>
      <c r="I141" s="16">
        <v>15990874.970000001</v>
      </c>
      <c r="J141" s="16">
        <v>29624468.969999999</v>
      </c>
      <c r="K141" s="16">
        <v>0</v>
      </c>
      <c r="L141" s="16">
        <v>0</v>
      </c>
      <c r="M141" s="16">
        <v>0</v>
      </c>
      <c r="N141" s="18">
        <f t="shared" si="4"/>
        <v>1182429027.0507758</v>
      </c>
      <c r="O141" s="4"/>
    </row>
    <row r="142" spans="1:15" ht="15" x14ac:dyDescent="0.2">
      <c r="A142" s="17" t="s">
        <v>137</v>
      </c>
      <c r="B142" s="16">
        <v>1035127591.5299999</v>
      </c>
      <c r="C142" s="16">
        <v>0</v>
      </c>
      <c r="D142" s="16">
        <v>9557997.2192465439</v>
      </c>
      <c r="E142" s="16">
        <v>13042905.27</v>
      </c>
      <c r="F142" s="16">
        <v>20414982.870000001</v>
      </c>
      <c r="G142" s="16">
        <v>6307090.7400000002</v>
      </c>
      <c r="H142" s="16">
        <v>51646467.520000003</v>
      </c>
      <c r="I142" s="16">
        <v>68749933.329999998</v>
      </c>
      <c r="J142" s="16">
        <v>40157414.300000004</v>
      </c>
      <c r="K142" s="16">
        <v>0</v>
      </c>
      <c r="L142" s="16">
        <v>0</v>
      </c>
      <c r="M142" s="16">
        <v>0</v>
      </c>
      <c r="N142" s="18">
        <f t="shared" si="4"/>
        <v>1245004382.7792461</v>
      </c>
      <c r="O142" s="4"/>
    </row>
    <row r="143" spans="1:15" ht="24.75" customHeight="1" x14ac:dyDescent="0.2">
      <c r="A143" s="22" t="s">
        <v>138</v>
      </c>
      <c r="B143" s="23">
        <f t="shared" ref="B143:L143" si="5">SUM(B8:B142)</f>
        <v>192682251507.60004</v>
      </c>
      <c r="C143" s="23">
        <f t="shared" si="5"/>
        <v>0</v>
      </c>
      <c r="D143" s="23">
        <f t="shared" si="5"/>
        <v>2054635671.5254955</v>
      </c>
      <c r="E143" s="23">
        <f t="shared" si="5"/>
        <v>1993347040.8799994</v>
      </c>
      <c r="F143" s="23">
        <f t="shared" si="5"/>
        <v>2143755421.0899997</v>
      </c>
      <c r="G143" s="23">
        <f t="shared" si="5"/>
        <v>835376257.28000021</v>
      </c>
      <c r="H143" s="23">
        <f t="shared" si="5"/>
        <v>9613976509.2300014</v>
      </c>
      <c r="I143" s="23">
        <f t="shared" si="5"/>
        <v>7219356644.8299961</v>
      </c>
      <c r="J143" s="23">
        <f t="shared" si="5"/>
        <v>4980115990.5300035</v>
      </c>
      <c r="K143" s="23">
        <f t="shared" si="5"/>
        <v>0</v>
      </c>
      <c r="L143" s="23">
        <f t="shared" si="5"/>
        <v>0</v>
      </c>
      <c r="M143" s="23">
        <f>SUM(M8:M142)</f>
        <v>0</v>
      </c>
      <c r="N143" s="23">
        <f>SUM(N8:N142)</f>
        <v>221522815042.96536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44AEAC"/>
  </sheetPr>
  <dimension ref="A1:W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8" width="22.33203125" style="1" customWidth="1"/>
    <col min="9" max="9" width="23" style="1" customWidth="1"/>
    <col min="10" max="10" width="22.33203125" style="1" customWidth="1"/>
    <col min="11" max="13" width="22.33203125" style="1" hidden="1" customWidth="1"/>
    <col min="14" max="14" width="23.83203125" style="1" customWidth="1"/>
    <col min="15" max="16384" width="12" style="1"/>
  </cols>
  <sheetData>
    <row r="1" spans="1:23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3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3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3" ht="17.25" customHeight="1" x14ac:dyDescent="0.25">
      <c r="A4" s="21" t="s">
        <v>158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3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3" ht="18.75" customHeight="1" x14ac:dyDescent="0.2">
      <c r="A6" s="33" t="s">
        <v>2</v>
      </c>
      <c r="B6" s="34" t="s">
        <v>165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3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27" t="s">
        <v>175</v>
      </c>
      <c r="L7" s="19"/>
      <c r="M7" s="19" t="s">
        <v>142</v>
      </c>
      <c r="N7" s="20" t="s">
        <v>140</v>
      </c>
    </row>
    <row r="8" spans="1:23" ht="18" customHeight="1" x14ac:dyDescent="0.2">
      <c r="A8" s="17" t="s">
        <v>3</v>
      </c>
      <c r="B8" s="16">
        <v>757848716.58999991</v>
      </c>
      <c r="C8" s="16">
        <v>0</v>
      </c>
      <c r="D8" s="16">
        <v>137471507.42209768</v>
      </c>
      <c r="E8" s="16">
        <v>7201871.2200000007</v>
      </c>
      <c r="F8" s="16">
        <v>1950621.59</v>
      </c>
      <c r="G8" s="16">
        <v>927514.49</v>
      </c>
      <c r="H8" s="16">
        <v>56000202.520000003</v>
      </c>
      <c r="I8" s="16">
        <v>7724346.0999999996</v>
      </c>
      <c r="J8" s="16">
        <v>86195050.660000011</v>
      </c>
      <c r="K8" s="16">
        <v>0</v>
      </c>
      <c r="L8" s="16">
        <v>0</v>
      </c>
      <c r="M8" s="16">
        <v>0</v>
      </c>
      <c r="N8" s="18">
        <f t="shared" ref="N8:N39" si="0">SUM(B8:M8)</f>
        <v>1055319830.5920976</v>
      </c>
      <c r="O8" s="10"/>
      <c r="P8" s="10"/>
      <c r="Q8" s="4"/>
      <c r="R8" s="4"/>
      <c r="S8" s="4"/>
      <c r="T8" s="4"/>
      <c r="U8" s="4"/>
      <c r="V8" s="4"/>
      <c r="W8" s="4"/>
    </row>
    <row r="9" spans="1:23" ht="18" customHeight="1" x14ac:dyDescent="0.2">
      <c r="A9" s="17" t="s">
        <v>4</v>
      </c>
      <c r="B9" s="16">
        <v>400512213.82999998</v>
      </c>
      <c r="C9" s="16">
        <v>0</v>
      </c>
      <c r="D9" s="16">
        <v>134449756.23619217</v>
      </c>
      <c r="E9" s="16">
        <v>3800139.83</v>
      </c>
      <c r="F9" s="16">
        <v>1366646.68</v>
      </c>
      <c r="G9" s="16">
        <v>686360.73</v>
      </c>
      <c r="H9" s="16">
        <v>29595306.550000001</v>
      </c>
      <c r="I9" s="16">
        <v>5411840</v>
      </c>
      <c r="J9" s="16">
        <v>65366113.939999983</v>
      </c>
      <c r="K9" s="16">
        <v>0</v>
      </c>
      <c r="L9" s="16">
        <v>0</v>
      </c>
      <c r="M9" s="16">
        <v>0</v>
      </c>
      <c r="N9" s="18">
        <f t="shared" si="0"/>
        <v>641188377.79619205</v>
      </c>
      <c r="P9" s="10"/>
      <c r="Q9" s="4"/>
      <c r="R9" s="4"/>
      <c r="S9" s="4"/>
      <c r="T9" s="4"/>
      <c r="U9" s="4"/>
      <c r="V9" s="4"/>
      <c r="W9" s="4"/>
    </row>
    <row r="10" spans="1:23" ht="18" customHeight="1" x14ac:dyDescent="0.2">
      <c r="A10" s="17" t="s">
        <v>5</v>
      </c>
      <c r="B10" s="16">
        <v>436218198.45999992</v>
      </c>
      <c r="C10" s="16">
        <v>0</v>
      </c>
      <c r="D10" s="16">
        <v>97624208.211957902</v>
      </c>
      <c r="E10" s="16">
        <v>4033014.7199999997</v>
      </c>
      <c r="F10" s="16">
        <v>954714.17</v>
      </c>
      <c r="G10" s="16">
        <v>686360.73</v>
      </c>
      <c r="H10" s="16">
        <v>32233751.829999998</v>
      </c>
      <c r="I10" s="16">
        <v>3780611.63</v>
      </c>
      <c r="J10" s="16">
        <v>38633125.189999998</v>
      </c>
      <c r="K10" s="16">
        <v>0</v>
      </c>
      <c r="L10" s="16">
        <v>0</v>
      </c>
      <c r="M10" s="16">
        <v>0</v>
      </c>
      <c r="N10" s="18">
        <f t="shared" si="0"/>
        <v>614163984.94195795</v>
      </c>
      <c r="P10" s="10"/>
      <c r="Q10" s="4"/>
      <c r="R10" s="4"/>
      <c r="S10" s="4"/>
      <c r="T10" s="4"/>
      <c r="U10" s="4"/>
      <c r="V10" s="4"/>
      <c r="W10" s="4"/>
    </row>
    <row r="11" spans="1:23" ht="18" customHeight="1" x14ac:dyDescent="0.2">
      <c r="A11" s="17" t="s">
        <v>6</v>
      </c>
      <c r="B11" s="16">
        <v>3523428522.02</v>
      </c>
      <c r="C11" s="16">
        <v>0</v>
      </c>
      <c r="D11" s="16">
        <v>45674841.134649657</v>
      </c>
      <c r="E11" s="16">
        <v>39709629.850000001</v>
      </c>
      <c r="F11" s="16">
        <v>102474269.86</v>
      </c>
      <c r="G11" s="16">
        <v>56799884.597916707</v>
      </c>
      <c r="H11" s="16">
        <v>260358969.34</v>
      </c>
      <c r="I11" s="16">
        <v>405792045.67000002</v>
      </c>
      <c r="J11" s="16">
        <v>726849198.86999965</v>
      </c>
      <c r="K11" s="16">
        <v>0</v>
      </c>
      <c r="L11" s="16">
        <v>0</v>
      </c>
      <c r="M11" s="16">
        <v>0</v>
      </c>
      <c r="N11" s="18">
        <f t="shared" si="0"/>
        <v>5161087361.3425665</v>
      </c>
      <c r="P11" s="10"/>
      <c r="Q11" s="4"/>
      <c r="R11" s="4"/>
      <c r="S11" s="4"/>
      <c r="T11" s="4"/>
      <c r="U11" s="4"/>
      <c r="V11" s="4"/>
      <c r="W11" s="4"/>
    </row>
    <row r="12" spans="1:23" ht="18" customHeight="1" x14ac:dyDescent="0.2">
      <c r="A12" s="17" t="s">
        <v>7</v>
      </c>
      <c r="B12" s="16">
        <v>453630269.40000004</v>
      </c>
      <c r="C12" s="16">
        <v>0</v>
      </c>
      <c r="D12" s="16">
        <v>132376706.67376481</v>
      </c>
      <c r="E12" s="16">
        <v>4580536.0600000005</v>
      </c>
      <c r="F12" s="16">
        <v>3503849.47</v>
      </c>
      <c r="G12" s="16">
        <v>1706626.67</v>
      </c>
      <c r="H12" s="16">
        <v>33520393.190000001</v>
      </c>
      <c r="I12" s="16">
        <v>13875036.609999999</v>
      </c>
      <c r="J12" s="16">
        <v>78371462.770000011</v>
      </c>
      <c r="K12" s="16">
        <v>0</v>
      </c>
      <c r="L12" s="16">
        <v>0</v>
      </c>
      <c r="M12" s="16">
        <v>0</v>
      </c>
      <c r="N12" s="18">
        <f t="shared" si="0"/>
        <v>721564880.84376478</v>
      </c>
      <c r="P12" s="10"/>
      <c r="Q12" s="4"/>
      <c r="R12" s="4"/>
      <c r="S12" s="4"/>
      <c r="T12" s="4"/>
      <c r="U12" s="4"/>
      <c r="V12" s="4"/>
      <c r="W12" s="4"/>
    </row>
    <row r="13" spans="1:23" ht="18" customHeight="1" x14ac:dyDescent="0.2">
      <c r="A13" s="17" t="s">
        <v>8</v>
      </c>
      <c r="B13" s="16">
        <v>2156295650.3200002</v>
      </c>
      <c r="C13" s="16">
        <v>0</v>
      </c>
      <c r="D13" s="16">
        <v>26174783.030895054</v>
      </c>
      <c r="E13" s="16">
        <v>23363473.600000001</v>
      </c>
      <c r="F13" s="16">
        <v>49831718.130000003</v>
      </c>
      <c r="G13" s="16">
        <v>0</v>
      </c>
      <c r="H13" s="16">
        <v>159336540.99000001</v>
      </c>
      <c r="I13" s="16">
        <v>197330655.44999999</v>
      </c>
      <c r="J13" s="16">
        <v>540464946.47999978</v>
      </c>
      <c r="K13" s="16">
        <v>0</v>
      </c>
      <c r="L13" s="16">
        <v>0</v>
      </c>
      <c r="M13" s="16">
        <v>0</v>
      </c>
      <c r="N13" s="18">
        <f t="shared" si="0"/>
        <v>3152797768.0008945</v>
      </c>
      <c r="P13" s="10"/>
      <c r="Q13" s="4"/>
      <c r="R13" s="4"/>
      <c r="S13" s="4"/>
      <c r="T13" s="4"/>
      <c r="U13" s="4"/>
      <c r="V13" s="4"/>
      <c r="W13" s="4"/>
    </row>
    <row r="14" spans="1:23" ht="18" customHeight="1" x14ac:dyDescent="0.2">
      <c r="A14" s="17" t="s">
        <v>9</v>
      </c>
      <c r="B14" s="16">
        <v>728678742.70999992</v>
      </c>
      <c r="C14" s="16">
        <v>0</v>
      </c>
      <c r="D14" s="16">
        <v>225220645.94448501</v>
      </c>
      <c r="E14" s="16">
        <v>7023068.4199999999</v>
      </c>
      <c r="F14" s="16">
        <v>2268051.94</v>
      </c>
      <c r="G14" s="16">
        <v>1159393.1200000001</v>
      </c>
      <c r="H14" s="16">
        <v>53844726.880000003</v>
      </c>
      <c r="I14" s="16">
        <v>8981351.5</v>
      </c>
      <c r="J14" s="16">
        <v>116024550.98000003</v>
      </c>
      <c r="K14" s="16">
        <v>0</v>
      </c>
      <c r="L14" s="16">
        <v>0</v>
      </c>
      <c r="M14" s="16">
        <v>0</v>
      </c>
      <c r="N14" s="18">
        <f t="shared" si="0"/>
        <v>1143200531.4944851</v>
      </c>
      <c r="P14" s="10"/>
      <c r="Q14" s="4"/>
      <c r="R14" s="4"/>
      <c r="S14" s="4"/>
      <c r="T14" s="4"/>
      <c r="U14" s="4"/>
      <c r="V14" s="4"/>
      <c r="W14" s="4"/>
    </row>
    <row r="15" spans="1:23" ht="18" customHeight="1" x14ac:dyDescent="0.2">
      <c r="A15" s="17" t="s">
        <v>10</v>
      </c>
      <c r="B15" s="16">
        <v>1269092710.4299998</v>
      </c>
      <c r="C15" s="16">
        <v>0</v>
      </c>
      <c r="D15" s="16">
        <v>321281306.9872694</v>
      </c>
      <c r="E15" s="16">
        <v>11942633.15</v>
      </c>
      <c r="F15" s="16">
        <v>8449462.7300000004</v>
      </c>
      <c r="G15" s="16">
        <v>4016137.76</v>
      </c>
      <c r="H15" s="16">
        <v>93777883.680000007</v>
      </c>
      <c r="I15" s="16">
        <v>33459372.510000002</v>
      </c>
      <c r="J15" s="16">
        <v>185118804.80000001</v>
      </c>
      <c r="K15" s="16">
        <v>0</v>
      </c>
      <c r="L15" s="16">
        <v>0</v>
      </c>
      <c r="M15" s="16">
        <v>0</v>
      </c>
      <c r="N15" s="18">
        <f t="shared" si="0"/>
        <v>1927138312.0472693</v>
      </c>
      <c r="P15" s="10"/>
      <c r="Q15" s="4"/>
      <c r="R15" s="4"/>
      <c r="S15" s="4"/>
      <c r="T15" s="4"/>
      <c r="U15" s="4"/>
      <c r="V15" s="4"/>
      <c r="W15" s="4"/>
    </row>
    <row r="16" spans="1:23" ht="18" customHeight="1" x14ac:dyDescent="0.2">
      <c r="A16" s="17" t="s">
        <v>11</v>
      </c>
      <c r="B16" s="16">
        <v>2291926518.79</v>
      </c>
      <c r="C16" s="16">
        <v>0</v>
      </c>
      <c r="D16" s="16">
        <v>90964234.97471258</v>
      </c>
      <c r="E16" s="16">
        <v>24672891.509999998</v>
      </c>
      <c r="F16" s="16">
        <v>31512837.059999999</v>
      </c>
      <c r="G16" s="16">
        <v>17817553.440000001</v>
      </c>
      <c r="H16" s="16">
        <v>169358799.96000001</v>
      </c>
      <c r="I16" s="16">
        <v>124788970.3</v>
      </c>
      <c r="J16" s="16">
        <v>459858955.4000001</v>
      </c>
      <c r="K16" s="16">
        <v>0</v>
      </c>
      <c r="L16" s="16">
        <v>0</v>
      </c>
      <c r="M16" s="16">
        <v>0</v>
      </c>
      <c r="N16" s="18">
        <f t="shared" si="0"/>
        <v>3210900761.4347129</v>
      </c>
      <c r="P16" s="10"/>
      <c r="Q16" s="4"/>
      <c r="R16" s="4"/>
      <c r="S16" s="4"/>
      <c r="T16" s="4"/>
      <c r="U16" s="4"/>
      <c r="V16" s="4"/>
      <c r="W16" s="4"/>
    </row>
    <row r="17" spans="1:23" ht="15" x14ac:dyDescent="0.2">
      <c r="A17" s="17" t="s">
        <v>12</v>
      </c>
      <c r="B17" s="16">
        <v>860298091.3599999</v>
      </c>
      <c r="C17" s="16">
        <v>0</v>
      </c>
      <c r="D17" s="16">
        <v>319643758.75440395</v>
      </c>
      <c r="E17" s="16">
        <v>8048447.7000000002</v>
      </c>
      <c r="F17" s="16">
        <v>6472186.6799999997</v>
      </c>
      <c r="G17" s="16">
        <v>2597040.58</v>
      </c>
      <c r="H17" s="16">
        <v>63570560.039999999</v>
      </c>
      <c r="I17" s="16">
        <v>25629476.329999998</v>
      </c>
      <c r="J17" s="16">
        <v>124647945.56999998</v>
      </c>
      <c r="K17" s="16">
        <v>0</v>
      </c>
      <c r="L17" s="16">
        <v>0</v>
      </c>
      <c r="M17" s="16">
        <v>0</v>
      </c>
      <c r="N17" s="18">
        <f t="shared" si="0"/>
        <v>1410907507.0144036</v>
      </c>
      <c r="P17" s="10"/>
      <c r="Q17" s="4"/>
      <c r="R17" s="4"/>
      <c r="S17" s="4"/>
      <c r="T17" s="4"/>
      <c r="U17" s="4"/>
      <c r="V17" s="4"/>
      <c r="W17" s="4"/>
    </row>
    <row r="18" spans="1:23" ht="15" x14ac:dyDescent="0.2">
      <c r="A18" s="17" t="s">
        <v>13</v>
      </c>
      <c r="B18" s="16">
        <v>483820414.27999997</v>
      </c>
      <c r="C18" s="16">
        <v>0</v>
      </c>
      <c r="D18" s="16">
        <v>102604622.84998506</v>
      </c>
      <c r="E18" s="16">
        <v>4486822.17</v>
      </c>
      <c r="F18" s="16">
        <v>4361638.34</v>
      </c>
      <c r="G18" s="16">
        <v>2114733.0499999998</v>
      </c>
      <c r="H18" s="16">
        <v>35751252.969999999</v>
      </c>
      <c r="I18" s="16">
        <v>17271829.800000001</v>
      </c>
      <c r="J18" s="16">
        <v>101622279.65999995</v>
      </c>
      <c r="K18" s="16">
        <v>0</v>
      </c>
      <c r="L18" s="16">
        <v>0</v>
      </c>
      <c r="M18" s="16">
        <v>0</v>
      </c>
      <c r="N18" s="18">
        <f t="shared" si="0"/>
        <v>752033593.11998498</v>
      </c>
      <c r="P18" s="10"/>
      <c r="Q18" s="4"/>
      <c r="R18" s="4"/>
      <c r="S18" s="4"/>
      <c r="T18" s="4"/>
      <c r="U18" s="4"/>
      <c r="V18" s="4"/>
      <c r="W18" s="4"/>
    </row>
    <row r="19" spans="1:23" ht="15" x14ac:dyDescent="0.2">
      <c r="A19" s="17" t="s">
        <v>14</v>
      </c>
      <c r="B19" s="16">
        <v>813352934.81999981</v>
      </c>
      <c r="C19" s="16">
        <v>0</v>
      </c>
      <c r="D19" s="16">
        <v>188718772.70970988</v>
      </c>
      <c r="E19" s="16">
        <v>7841447.8099999996</v>
      </c>
      <c r="F19" s="16">
        <v>1761617.26</v>
      </c>
      <c r="G19" s="16">
        <v>1177943.4099999999</v>
      </c>
      <c r="H19" s="16">
        <v>60101611.399999999</v>
      </c>
      <c r="I19" s="16">
        <v>6975900.1500000004</v>
      </c>
      <c r="J19" s="16">
        <v>88414787.989999995</v>
      </c>
      <c r="K19" s="16">
        <v>0</v>
      </c>
      <c r="L19" s="16">
        <v>0</v>
      </c>
      <c r="M19" s="16">
        <v>0</v>
      </c>
      <c r="N19" s="18">
        <f t="shared" si="0"/>
        <v>1168345015.5497096</v>
      </c>
      <c r="P19" s="10"/>
      <c r="Q19" s="4"/>
      <c r="R19" s="4"/>
      <c r="S19" s="4"/>
      <c r="T19" s="4"/>
      <c r="U19" s="4"/>
      <c r="V19" s="4"/>
      <c r="W19" s="4"/>
    </row>
    <row r="20" spans="1:23" ht="15" x14ac:dyDescent="0.2">
      <c r="A20" s="17" t="s">
        <v>15</v>
      </c>
      <c r="B20" s="16">
        <v>2880011866.46</v>
      </c>
      <c r="C20" s="16">
        <v>0</v>
      </c>
      <c r="D20" s="16">
        <v>20812888.604318678</v>
      </c>
      <c r="E20" s="16">
        <v>30757713.730000004</v>
      </c>
      <c r="F20" s="16">
        <v>56226364.57</v>
      </c>
      <c r="G20" s="16">
        <v>30394701.009898912</v>
      </c>
      <c r="H20" s="16">
        <v>212814568.69</v>
      </c>
      <c r="I20" s="16">
        <v>222653077.03</v>
      </c>
      <c r="J20" s="16">
        <v>502763376.74999976</v>
      </c>
      <c r="K20" s="16">
        <v>0</v>
      </c>
      <c r="L20" s="16">
        <v>0</v>
      </c>
      <c r="M20" s="16">
        <v>0</v>
      </c>
      <c r="N20" s="18">
        <f t="shared" si="0"/>
        <v>3956434556.8442183</v>
      </c>
      <c r="P20" s="10"/>
      <c r="Q20" s="4"/>
      <c r="R20" s="4"/>
      <c r="S20" s="4"/>
      <c r="T20" s="4"/>
      <c r="U20" s="4"/>
      <c r="V20" s="4"/>
      <c r="W20" s="4"/>
    </row>
    <row r="21" spans="1:23" ht="15" x14ac:dyDescent="0.2">
      <c r="A21" s="17" t="s">
        <v>16</v>
      </c>
      <c r="B21" s="16">
        <v>1251403982.9300001</v>
      </c>
      <c r="C21" s="16">
        <v>0</v>
      </c>
      <c r="D21" s="16">
        <v>16048932.848943159</v>
      </c>
      <c r="E21" s="16">
        <v>11934505.75</v>
      </c>
      <c r="F21" s="16">
        <v>14950727</v>
      </c>
      <c r="G21" s="16">
        <v>4052397.5217511137</v>
      </c>
      <c r="H21" s="16">
        <v>92470799.170000002</v>
      </c>
      <c r="I21" s="16">
        <v>59203994.369999997</v>
      </c>
      <c r="J21" s="16">
        <v>164833298.32000002</v>
      </c>
      <c r="K21" s="16">
        <v>0</v>
      </c>
      <c r="L21" s="16">
        <v>0</v>
      </c>
      <c r="M21" s="16">
        <v>0</v>
      </c>
      <c r="N21" s="18">
        <f t="shared" si="0"/>
        <v>1614898637.9106944</v>
      </c>
      <c r="P21" s="10"/>
      <c r="Q21" s="4"/>
      <c r="R21" s="4"/>
      <c r="S21" s="4"/>
      <c r="T21" s="4"/>
      <c r="U21" s="4"/>
      <c r="V21" s="4"/>
      <c r="W21" s="4"/>
    </row>
    <row r="22" spans="1:23" ht="15" x14ac:dyDescent="0.2">
      <c r="A22" s="17" t="s">
        <v>17</v>
      </c>
      <c r="B22" s="16">
        <v>991381417.93999982</v>
      </c>
      <c r="C22" s="16">
        <v>0</v>
      </c>
      <c r="D22" s="16">
        <v>158176624.44637072</v>
      </c>
      <c r="E22" s="16">
        <v>8897346.2800000012</v>
      </c>
      <c r="F22" s="16">
        <v>3559581.51</v>
      </c>
      <c r="G22" s="16">
        <v>1994156.16</v>
      </c>
      <c r="H22" s="16">
        <v>73256784.579999998</v>
      </c>
      <c r="I22" s="16">
        <v>14095732.210000001</v>
      </c>
      <c r="J22" s="16">
        <v>123780758.00000003</v>
      </c>
      <c r="K22" s="16">
        <v>0</v>
      </c>
      <c r="L22" s="16">
        <v>0</v>
      </c>
      <c r="M22" s="16">
        <v>0</v>
      </c>
      <c r="N22" s="18">
        <f t="shared" si="0"/>
        <v>1375142401.1263707</v>
      </c>
      <c r="P22" s="10"/>
      <c r="Q22" s="4"/>
      <c r="R22" s="4"/>
      <c r="S22" s="4"/>
      <c r="T22" s="4"/>
      <c r="U22" s="4"/>
      <c r="V22" s="4"/>
      <c r="W22" s="4"/>
    </row>
    <row r="23" spans="1:23" ht="15" x14ac:dyDescent="0.2">
      <c r="A23" s="17" t="s">
        <v>18</v>
      </c>
      <c r="B23" s="16">
        <v>952424718.96999991</v>
      </c>
      <c r="C23" s="16">
        <v>0</v>
      </c>
      <c r="D23" s="16">
        <v>123457526.70678377</v>
      </c>
      <c r="E23" s="16">
        <v>9059562.5399999991</v>
      </c>
      <c r="F23" s="16">
        <v>3411770.44</v>
      </c>
      <c r="G23" s="16">
        <v>2457913.41</v>
      </c>
      <c r="H23" s="16">
        <v>70378132.170000002</v>
      </c>
      <c r="I23" s="16">
        <v>13510409.09</v>
      </c>
      <c r="J23" s="16">
        <v>102176118.38000005</v>
      </c>
      <c r="K23" s="16">
        <v>0</v>
      </c>
      <c r="L23" s="16">
        <v>0</v>
      </c>
      <c r="M23" s="16">
        <v>0</v>
      </c>
      <c r="N23" s="18">
        <f t="shared" si="0"/>
        <v>1276876151.7067838</v>
      </c>
      <c r="P23" s="10"/>
      <c r="Q23" s="4"/>
      <c r="R23" s="4"/>
      <c r="S23" s="4"/>
      <c r="T23" s="4"/>
      <c r="U23" s="4"/>
      <c r="V23" s="4"/>
      <c r="W23" s="4"/>
    </row>
    <row r="24" spans="1:23" ht="15" x14ac:dyDescent="0.2">
      <c r="A24" s="17" t="s">
        <v>19</v>
      </c>
      <c r="B24" s="16">
        <v>299826524.5</v>
      </c>
      <c r="C24" s="16">
        <v>0</v>
      </c>
      <c r="D24" s="16">
        <v>65749122.928062521</v>
      </c>
      <c r="E24" s="16">
        <v>2777912</v>
      </c>
      <c r="F24" s="16">
        <v>3547465.85</v>
      </c>
      <c r="G24" s="16">
        <v>652261.73603434872</v>
      </c>
      <c r="H24" s="16">
        <v>22155274.170000002</v>
      </c>
      <c r="I24" s="16">
        <v>14047754.9</v>
      </c>
      <c r="J24" s="16">
        <v>86456631.300000012</v>
      </c>
      <c r="K24" s="16">
        <v>0</v>
      </c>
      <c r="L24" s="16">
        <v>0</v>
      </c>
      <c r="M24" s="16">
        <v>0</v>
      </c>
      <c r="N24" s="18">
        <f t="shared" si="0"/>
        <v>495212947.38409686</v>
      </c>
      <c r="P24" s="10"/>
      <c r="Q24" s="4"/>
      <c r="R24" s="4"/>
      <c r="S24" s="4"/>
      <c r="T24" s="4"/>
      <c r="U24" s="4"/>
      <c r="V24" s="4"/>
      <c r="W24" s="4"/>
    </row>
    <row r="25" spans="1:23" ht="15" x14ac:dyDescent="0.2">
      <c r="A25" s="17" t="s">
        <v>20</v>
      </c>
      <c r="B25" s="16">
        <v>1240960198.5899999</v>
      </c>
      <c r="C25" s="16">
        <v>0</v>
      </c>
      <c r="D25" s="16">
        <v>48674257.94039391</v>
      </c>
      <c r="E25" s="16">
        <v>12530459.77</v>
      </c>
      <c r="F25" s="16">
        <v>15733398.77</v>
      </c>
      <c r="G25" s="16">
        <v>5852616.46</v>
      </c>
      <c r="H25" s="16">
        <v>91699069.890000001</v>
      </c>
      <c r="I25" s="16">
        <v>62303328.270000003</v>
      </c>
      <c r="J25" s="16">
        <v>199861541.73999995</v>
      </c>
      <c r="K25" s="16">
        <v>0</v>
      </c>
      <c r="L25" s="16">
        <v>0</v>
      </c>
      <c r="M25" s="16">
        <v>0</v>
      </c>
      <c r="N25" s="18">
        <f t="shared" si="0"/>
        <v>1677614871.4303939</v>
      </c>
      <c r="P25" s="10"/>
      <c r="Q25" s="4"/>
      <c r="R25" s="4"/>
      <c r="S25" s="4"/>
      <c r="T25" s="4"/>
      <c r="U25" s="4"/>
      <c r="V25" s="4"/>
      <c r="W25" s="4"/>
    </row>
    <row r="26" spans="1:23" ht="15" x14ac:dyDescent="0.2">
      <c r="A26" s="17" t="s">
        <v>21</v>
      </c>
      <c r="B26" s="16">
        <v>506039392.57999998</v>
      </c>
      <c r="C26" s="16">
        <v>0</v>
      </c>
      <c r="D26" s="16">
        <v>64359836.389094181</v>
      </c>
      <c r="E26" s="16">
        <v>4486822.17</v>
      </c>
      <c r="F26" s="16">
        <v>7155510.0199999996</v>
      </c>
      <c r="G26" s="16">
        <v>3737883.41</v>
      </c>
      <c r="H26" s="16">
        <v>37393094.229999997</v>
      </c>
      <c r="I26" s="16">
        <v>28335396.329999998</v>
      </c>
      <c r="J26" s="16">
        <v>147473659.80000001</v>
      </c>
      <c r="K26" s="16">
        <v>0</v>
      </c>
      <c r="L26" s="16">
        <v>0</v>
      </c>
      <c r="M26" s="16">
        <v>0</v>
      </c>
      <c r="N26" s="18">
        <f t="shared" si="0"/>
        <v>798981594.92909408</v>
      </c>
      <c r="P26" s="10"/>
      <c r="Q26" s="4"/>
      <c r="R26" s="4"/>
      <c r="S26" s="4"/>
      <c r="T26" s="4"/>
      <c r="U26" s="4"/>
      <c r="V26" s="4"/>
      <c r="W26" s="4"/>
    </row>
    <row r="27" spans="1:23" ht="15" x14ac:dyDescent="0.2">
      <c r="A27" s="17" t="s">
        <v>22</v>
      </c>
      <c r="B27" s="16">
        <v>247659475.79000002</v>
      </c>
      <c r="C27" s="16">
        <v>0</v>
      </c>
      <c r="D27" s="16">
        <v>50529440.243308</v>
      </c>
      <c r="E27" s="16">
        <v>2500751.1</v>
      </c>
      <c r="F27" s="16">
        <v>1778579.19</v>
      </c>
      <c r="G27" s="16">
        <v>844038.19</v>
      </c>
      <c r="H27" s="16">
        <v>18300460.899999999</v>
      </c>
      <c r="I27" s="16">
        <v>7043068.3700000001</v>
      </c>
      <c r="J27" s="16">
        <v>39518938.470000014</v>
      </c>
      <c r="K27" s="16">
        <v>0</v>
      </c>
      <c r="L27" s="16">
        <v>0</v>
      </c>
      <c r="M27" s="16">
        <v>0</v>
      </c>
      <c r="N27" s="18">
        <f t="shared" si="0"/>
        <v>368174752.25330806</v>
      </c>
      <c r="P27" s="10"/>
      <c r="Q27" s="4"/>
      <c r="R27" s="4"/>
      <c r="S27" s="4"/>
      <c r="T27" s="4"/>
      <c r="U27" s="4"/>
      <c r="V27" s="4"/>
      <c r="W27" s="4"/>
    </row>
    <row r="28" spans="1:23" ht="15" x14ac:dyDescent="0.2">
      <c r="A28" s="17" t="s">
        <v>23</v>
      </c>
      <c r="B28" s="16">
        <v>877087685.07000005</v>
      </c>
      <c r="C28" s="16">
        <v>0</v>
      </c>
      <c r="D28" s="16">
        <v>141901991.08585697</v>
      </c>
      <c r="E28" s="16">
        <v>8341531.6699999999</v>
      </c>
      <c r="F28" s="16">
        <v>2449786.87</v>
      </c>
      <c r="G28" s="16">
        <v>1224319.1299999999</v>
      </c>
      <c r="H28" s="16">
        <v>64811204.289999999</v>
      </c>
      <c r="I28" s="16">
        <v>9701011.0700000003</v>
      </c>
      <c r="J28" s="16">
        <v>80798273.260000005</v>
      </c>
      <c r="K28" s="16">
        <v>0</v>
      </c>
      <c r="L28" s="16">
        <v>0</v>
      </c>
      <c r="M28" s="16">
        <v>0</v>
      </c>
      <c r="N28" s="18">
        <f t="shared" si="0"/>
        <v>1186315802.445857</v>
      </c>
      <c r="P28" s="10"/>
      <c r="Q28" s="4"/>
      <c r="R28" s="4"/>
      <c r="S28" s="4"/>
      <c r="T28" s="4"/>
      <c r="U28" s="4"/>
      <c r="V28" s="4"/>
      <c r="W28" s="4"/>
    </row>
    <row r="29" spans="1:23" ht="15" x14ac:dyDescent="0.2">
      <c r="A29" s="17" t="s">
        <v>24</v>
      </c>
      <c r="B29" s="16">
        <v>542402436.48999989</v>
      </c>
      <c r="C29" s="16">
        <v>0</v>
      </c>
      <c r="D29" s="16">
        <v>140522608.70730355</v>
      </c>
      <c r="E29" s="16">
        <v>5476872.1299999999</v>
      </c>
      <c r="F29" s="16">
        <v>1528996.55</v>
      </c>
      <c r="G29" s="16">
        <v>742011.6</v>
      </c>
      <c r="H29" s="16">
        <v>40080092.009999998</v>
      </c>
      <c r="I29" s="16">
        <v>6054735.8899999997</v>
      </c>
      <c r="J29" s="16">
        <v>72030803.940000027</v>
      </c>
      <c r="K29" s="16">
        <v>0</v>
      </c>
      <c r="L29" s="16">
        <v>0</v>
      </c>
      <c r="M29" s="16">
        <v>0</v>
      </c>
      <c r="N29" s="18">
        <f t="shared" si="0"/>
        <v>808838557.31730342</v>
      </c>
      <c r="P29" s="10"/>
      <c r="Q29" s="4"/>
      <c r="R29" s="4"/>
      <c r="S29" s="4"/>
      <c r="T29" s="4"/>
      <c r="U29" s="4"/>
      <c r="V29" s="4"/>
      <c r="W29" s="4"/>
    </row>
    <row r="30" spans="1:23" ht="15" x14ac:dyDescent="0.2">
      <c r="A30" s="17" t="s">
        <v>25</v>
      </c>
      <c r="B30" s="16">
        <v>180310899.47</v>
      </c>
      <c r="C30" s="16">
        <v>0</v>
      </c>
      <c r="D30" s="16">
        <v>82897704.505352169</v>
      </c>
      <c r="E30" s="16">
        <v>1687347.6700000002</v>
      </c>
      <c r="F30" s="16">
        <v>1320607.1599999999</v>
      </c>
      <c r="G30" s="16">
        <v>927514.49</v>
      </c>
      <c r="H30" s="16">
        <v>13323829.24</v>
      </c>
      <c r="I30" s="16">
        <v>5229526.24</v>
      </c>
      <c r="J30" s="16">
        <v>55957155.890000001</v>
      </c>
      <c r="K30" s="16">
        <v>0</v>
      </c>
      <c r="L30" s="16">
        <v>0</v>
      </c>
      <c r="M30" s="16">
        <v>0</v>
      </c>
      <c r="N30" s="18">
        <f t="shared" si="0"/>
        <v>341654584.66535217</v>
      </c>
      <c r="P30" s="10"/>
      <c r="Q30" s="4"/>
      <c r="R30" s="4"/>
      <c r="S30" s="4"/>
      <c r="T30" s="4"/>
      <c r="U30" s="4"/>
      <c r="V30" s="4"/>
      <c r="W30" s="4"/>
    </row>
    <row r="31" spans="1:23" ht="15" x14ac:dyDescent="0.2">
      <c r="A31" s="17" t="s">
        <v>26</v>
      </c>
      <c r="B31" s="16">
        <v>314143500.42000002</v>
      </c>
      <c r="C31" s="16">
        <v>0</v>
      </c>
      <c r="D31" s="16">
        <v>47782929.419551022</v>
      </c>
      <c r="E31" s="16">
        <v>3130541.63</v>
      </c>
      <c r="F31" s="16">
        <v>1577459.2</v>
      </c>
      <c r="G31" s="16">
        <v>510132.97</v>
      </c>
      <c r="H31" s="16">
        <v>23213207.68</v>
      </c>
      <c r="I31" s="16">
        <v>6246645.1100000003</v>
      </c>
      <c r="J31" s="16">
        <v>39658356.830000006</v>
      </c>
      <c r="K31" s="16">
        <v>0</v>
      </c>
      <c r="L31" s="16">
        <v>0</v>
      </c>
      <c r="M31" s="16">
        <v>0</v>
      </c>
      <c r="N31" s="18">
        <f t="shared" si="0"/>
        <v>436262773.25955105</v>
      </c>
      <c r="P31" s="10"/>
      <c r="Q31" s="4"/>
      <c r="R31" s="4"/>
      <c r="S31" s="4"/>
      <c r="T31" s="4"/>
      <c r="U31" s="4"/>
      <c r="V31" s="4"/>
      <c r="W31" s="4"/>
    </row>
    <row r="32" spans="1:23" ht="15" x14ac:dyDescent="0.2">
      <c r="A32" s="17" t="s">
        <v>27</v>
      </c>
      <c r="B32" s="16">
        <v>1380066564.8</v>
      </c>
      <c r="C32" s="16">
        <v>0</v>
      </c>
      <c r="D32" s="16">
        <v>247802377.17377505</v>
      </c>
      <c r="E32" s="16">
        <v>13446367.949999999</v>
      </c>
      <c r="F32" s="16">
        <v>4652414.2300000004</v>
      </c>
      <c r="G32" s="16">
        <v>2791818.63</v>
      </c>
      <c r="H32" s="16">
        <v>101978146.06</v>
      </c>
      <c r="I32" s="16">
        <v>18423285.120000001</v>
      </c>
      <c r="J32" s="16">
        <v>124088628.80000006</v>
      </c>
      <c r="K32" s="16">
        <v>0</v>
      </c>
      <c r="L32" s="16">
        <v>0</v>
      </c>
      <c r="M32" s="16">
        <v>0</v>
      </c>
      <c r="N32" s="18">
        <f t="shared" si="0"/>
        <v>1893249602.7637749</v>
      </c>
      <c r="P32" s="10"/>
      <c r="Q32" s="4"/>
      <c r="R32" s="4"/>
      <c r="S32" s="4"/>
      <c r="T32" s="4"/>
      <c r="U32" s="4"/>
      <c r="V32" s="4"/>
      <c r="W32" s="4"/>
    </row>
    <row r="33" spans="1:23" ht="15" x14ac:dyDescent="0.2">
      <c r="A33" s="17" t="s">
        <v>28</v>
      </c>
      <c r="B33" s="16">
        <v>938436272.70000005</v>
      </c>
      <c r="C33" s="16">
        <v>0</v>
      </c>
      <c r="D33" s="16">
        <v>144246680.4328818</v>
      </c>
      <c r="E33" s="16">
        <v>8911113.1199999992</v>
      </c>
      <c r="F33" s="16">
        <v>3414193.57</v>
      </c>
      <c r="G33" s="16">
        <v>2244585.08</v>
      </c>
      <c r="H33" s="16">
        <v>69344474.920000002</v>
      </c>
      <c r="I33" s="16">
        <v>13520004.550000001</v>
      </c>
      <c r="J33" s="16">
        <v>118364533.27000006</v>
      </c>
      <c r="K33" s="16">
        <v>0</v>
      </c>
      <c r="L33" s="16">
        <v>0</v>
      </c>
      <c r="M33" s="16">
        <v>0</v>
      </c>
      <c r="N33" s="18">
        <f t="shared" si="0"/>
        <v>1298481857.6428816</v>
      </c>
      <c r="P33" s="10"/>
      <c r="Q33" s="4"/>
      <c r="R33" s="4"/>
      <c r="S33" s="4"/>
      <c r="T33" s="4"/>
      <c r="U33" s="4"/>
      <c r="V33" s="4"/>
      <c r="W33" s="4"/>
    </row>
    <row r="34" spans="1:23" ht="15" x14ac:dyDescent="0.2">
      <c r="A34" s="17" t="s">
        <v>29</v>
      </c>
      <c r="B34" s="16">
        <v>1221455912.5699999</v>
      </c>
      <c r="C34" s="16">
        <v>0</v>
      </c>
      <c r="D34" s="16">
        <v>143553945.75999108</v>
      </c>
      <c r="E34" s="16">
        <v>12696336.66</v>
      </c>
      <c r="F34" s="16">
        <v>4964998.3099999996</v>
      </c>
      <c r="G34" s="16">
        <v>3747158.56</v>
      </c>
      <c r="H34" s="16">
        <v>90257827.150000006</v>
      </c>
      <c r="I34" s="16">
        <v>19661099.59</v>
      </c>
      <c r="J34" s="16">
        <v>148890577.51000005</v>
      </c>
      <c r="K34" s="16">
        <v>0</v>
      </c>
      <c r="L34" s="16">
        <v>0</v>
      </c>
      <c r="M34" s="16">
        <v>0</v>
      </c>
      <c r="N34" s="18">
        <f t="shared" si="0"/>
        <v>1645227856.1099911</v>
      </c>
      <c r="P34" s="10"/>
      <c r="Q34" s="4"/>
      <c r="R34" s="4"/>
      <c r="S34" s="4"/>
      <c r="T34" s="4"/>
      <c r="U34" s="4"/>
      <c r="V34" s="4"/>
      <c r="W34" s="4"/>
    </row>
    <row r="35" spans="1:23" ht="15" x14ac:dyDescent="0.2">
      <c r="A35" s="17" t="s">
        <v>30</v>
      </c>
      <c r="B35" s="16">
        <v>579145883.15999997</v>
      </c>
      <c r="C35" s="16">
        <v>0</v>
      </c>
      <c r="D35" s="16">
        <v>110307148.05376482</v>
      </c>
      <c r="E35" s="16">
        <v>5742090.7399999993</v>
      </c>
      <c r="F35" s="16">
        <v>3104032.62</v>
      </c>
      <c r="G35" s="16">
        <v>1456197.76</v>
      </c>
      <c r="H35" s="16">
        <v>42795199.140000001</v>
      </c>
      <c r="I35" s="16">
        <v>12291785.539999999</v>
      </c>
      <c r="J35" s="16">
        <v>53511719.719999984</v>
      </c>
      <c r="K35" s="16">
        <v>0</v>
      </c>
      <c r="L35" s="16">
        <v>0</v>
      </c>
      <c r="M35" s="16">
        <v>0</v>
      </c>
      <c r="N35" s="18">
        <f t="shared" si="0"/>
        <v>808354056.73376477</v>
      </c>
      <c r="P35" s="10"/>
      <c r="Q35" s="4"/>
      <c r="R35" s="4"/>
      <c r="S35" s="4"/>
      <c r="T35" s="4"/>
      <c r="U35" s="4"/>
      <c r="V35" s="4"/>
      <c r="W35" s="4"/>
    </row>
    <row r="36" spans="1:23" ht="15" x14ac:dyDescent="0.2">
      <c r="A36" s="17" t="s">
        <v>31</v>
      </c>
      <c r="B36" s="16">
        <v>681266728.2700001</v>
      </c>
      <c r="C36" s="16">
        <v>0</v>
      </c>
      <c r="D36" s="16">
        <v>139416358.15720281</v>
      </c>
      <c r="E36" s="16">
        <v>6419650.4800000004</v>
      </c>
      <c r="F36" s="16">
        <v>1953044.72</v>
      </c>
      <c r="G36" s="16">
        <v>844038.19</v>
      </c>
      <c r="H36" s="16">
        <v>50341280.409999996</v>
      </c>
      <c r="I36" s="16">
        <v>7733941.5700000003</v>
      </c>
      <c r="J36" s="16">
        <v>53891353.969999984</v>
      </c>
      <c r="K36" s="16">
        <v>0</v>
      </c>
      <c r="L36" s="16">
        <v>0</v>
      </c>
      <c r="M36" s="16">
        <v>0</v>
      </c>
      <c r="N36" s="18">
        <f t="shared" si="0"/>
        <v>941866395.76720309</v>
      </c>
      <c r="P36" s="10"/>
      <c r="Q36" s="4"/>
      <c r="R36" s="4"/>
      <c r="S36" s="4"/>
      <c r="T36" s="4"/>
      <c r="U36" s="4"/>
      <c r="V36" s="4"/>
      <c r="W36" s="4"/>
    </row>
    <row r="37" spans="1:23" ht="15" x14ac:dyDescent="0.2">
      <c r="A37" s="17" t="s">
        <v>32</v>
      </c>
      <c r="B37" s="16">
        <v>707497226.41999984</v>
      </c>
      <c r="C37" s="16">
        <v>0</v>
      </c>
      <c r="D37" s="16">
        <v>132501045.00297411</v>
      </c>
      <c r="E37" s="16">
        <v>7042972.2599999998</v>
      </c>
      <c r="F37" s="16">
        <v>3622582.96</v>
      </c>
      <c r="G37" s="16">
        <v>1289245.1499999999</v>
      </c>
      <c r="H37" s="16">
        <v>52279547.479999997</v>
      </c>
      <c r="I37" s="16">
        <v>14345214.189999999</v>
      </c>
      <c r="J37" s="16">
        <v>91474870.050000042</v>
      </c>
      <c r="K37" s="16">
        <v>0</v>
      </c>
      <c r="L37" s="16">
        <v>0</v>
      </c>
      <c r="M37" s="16">
        <v>0</v>
      </c>
      <c r="N37" s="18">
        <f t="shared" si="0"/>
        <v>1010052703.5129741</v>
      </c>
      <c r="P37" s="10"/>
      <c r="Q37" s="4"/>
      <c r="R37" s="4"/>
      <c r="S37" s="4"/>
      <c r="T37" s="4"/>
      <c r="U37" s="4"/>
      <c r="V37" s="4"/>
      <c r="W37" s="4"/>
    </row>
    <row r="38" spans="1:23" ht="15" x14ac:dyDescent="0.2">
      <c r="A38" s="17" t="s">
        <v>33</v>
      </c>
      <c r="B38" s="16">
        <v>618707768.28999996</v>
      </c>
      <c r="C38" s="16">
        <v>0</v>
      </c>
      <c r="D38" s="16">
        <v>13844688.190568274</v>
      </c>
      <c r="E38" s="16">
        <v>6241013.5499999998</v>
      </c>
      <c r="F38" s="16">
        <v>3237304.9</v>
      </c>
      <c r="G38" s="16">
        <v>3570930.8</v>
      </c>
      <c r="H38" s="16">
        <v>45718570.960000001</v>
      </c>
      <c r="I38" s="16">
        <v>12819535.9</v>
      </c>
      <c r="J38" s="16">
        <v>150952818.69000003</v>
      </c>
      <c r="K38" s="16">
        <v>0</v>
      </c>
      <c r="L38" s="16">
        <v>0</v>
      </c>
      <c r="M38" s="16">
        <v>0</v>
      </c>
      <c r="N38" s="18">
        <f t="shared" si="0"/>
        <v>855092631.28056824</v>
      </c>
      <c r="P38" s="10"/>
      <c r="Q38" s="4"/>
      <c r="R38" s="4"/>
      <c r="S38" s="4"/>
      <c r="T38" s="4"/>
      <c r="U38" s="4"/>
      <c r="V38" s="4"/>
      <c r="W38" s="4"/>
    </row>
    <row r="39" spans="1:23" ht="15" x14ac:dyDescent="0.2">
      <c r="A39" s="17" t="s">
        <v>34</v>
      </c>
      <c r="B39" s="16">
        <v>1144320611.1500001</v>
      </c>
      <c r="C39" s="16">
        <v>0</v>
      </c>
      <c r="D39" s="16">
        <v>186255924.28914398</v>
      </c>
      <c r="E39" s="16">
        <v>10808280.370000001</v>
      </c>
      <c r="F39" s="16">
        <v>4124171.37</v>
      </c>
      <c r="G39" s="16">
        <v>2226034.79</v>
      </c>
      <c r="H39" s="16">
        <v>84558018.719999999</v>
      </c>
      <c r="I39" s="16">
        <v>16331474.619999999</v>
      </c>
      <c r="J39" s="16">
        <v>131051876.71999995</v>
      </c>
      <c r="K39" s="16">
        <v>0</v>
      </c>
      <c r="L39" s="16">
        <v>0</v>
      </c>
      <c r="M39" s="16">
        <v>0</v>
      </c>
      <c r="N39" s="18">
        <f t="shared" si="0"/>
        <v>1579676392.0291438</v>
      </c>
      <c r="P39" s="10"/>
      <c r="Q39" s="4"/>
      <c r="R39" s="4"/>
      <c r="S39" s="4"/>
      <c r="T39" s="4"/>
      <c r="U39" s="4"/>
      <c r="V39" s="4"/>
      <c r="W39" s="4"/>
    </row>
    <row r="40" spans="1:23" ht="15" x14ac:dyDescent="0.2">
      <c r="A40" s="17" t="s">
        <v>35</v>
      </c>
      <c r="B40" s="16">
        <v>805779462.03999996</v>
      </c>
      <c r="C40" s="16">
        <v>0</v>
      </c>
      <c r="D40" s="16">
        <v>143296750.15490502</v>
      </c>
      <c r="E40" s="16">
        <v>7145311.1400000006</v>
      </c>
      <c r="F40" s="16">
        <v>2202627.36</v>
      </c>
      <c r="G40" s="16">
        <v>973890.22</v>
      </c>
      <c r="H40" s="16">
        <v>59541979.909999996</v>
      </c>
      <c r="I40" s="16">
        <v>8722274.0500000007</v>
      </c>
      <c r="J40" s="16">
        <v>72198982.460000023</v>
      </c>
      <c r="K40" s="16">
        <v>0</v>
      </c>
      <c r="L40" s="16">
        <v>0</v>
      </c>
      <c r="M40" s="16">
        <v>0</v>
      </c>
      <c r="N40" s="18">
        <f t="shared" ref="N40:N71" si="1">SUM(B40:M40)</f>
        <v>1099861277.3349049</v>
      </c>
      <c r="P40" s="10"/>
      <c r="Q40" s="4"/>
      <c r="R40" s="4"/>
      <c r="S40" s="4"/>
      <c r="T40" s="4"/>
      <c r="U40" s="4"/>
      <c r="V40" s="4"/>
      <c r="W40" s="4"/>
    </row>
    <row r="41" spans="1:23" ht="15" x14ac:dyDescent="0.2">
      <c r="A41" s="17" t="s">
        <v>36</v>
      </c>
      <c r="B41" s="16">
        <v>743791106.18000019</v>
      </c>
      <c r="C41" s="16">
        <v>0</v>
      </c>
      <c r="D41" s="16">
        <v>44979004.938618205</v>
      </c>
      <c r="E41" s="16">
        <v>7489647.5199999996</v>
      </c>
      <c r="F41" s="16">
        <v>3729200.78</v>
      </c>
      <c r="G41" s="16">
        <v>1697351.52</v>
      </c>
      <c r="H41" s="16">
        <v>54961434.469999999</v>
      </c>
      <c r="I41" s="16">
        <v>14767414.48</v>
      </c>
      <c r="J41" s="16">
        <v>74085649.600000024</v>
      </c>
      <c r="K41" s="16">
        <v>0</v>
      </c>
      <c r="L41" s="16">
        <v>0</v>
      </c>
      <c r="M41" s="16">
        <v>0</v>
      </c>
      <c r="N41" s="18">
        <f t="shared" si="1"/>
        <v>945500809.48861837</v>
      </c>
      <c r="P41" s="10"/>
      <c r="Q41" s="4"/>
      <c r="R41" s="4"/>
      <c r="S41" s="4"/>
      <c r="T41" s="4"/>
      <c r="U41" s="4"/>
      <c r="V41" s="4"/>
      <c r="W41" s="4"/>
    </row>
    <row r="42" spans="1:23" ht="15" x14ac:dyDescent="0.2">
      <c r="A42" s="17" t="s">
        <v>37</v>
      </c>
      <c r="B42" s="16">
        <v>498898195.67000008</v>
      </c>
      <c r="C42" s="16">
        <v>0</v>
      </c>
      <c r="D42" s="16">
        <v>6014474.9746622406</v>
      </c>
      <c r="E42" s="16">
        <v>4686689.8499999996</v>
      </c>
      <c r="F42" s="16">
        <v>10128693.49</v>
      </c>
      <c r="G42" s="16">
        <v>0</v>
      </c>
      <c r="H42" s="16">
        <v>36865405.170000002</v>
      </c>
      <c r="I42" s="16">
        <v>40109026.979999997</v>
      </c>
      <c r="J42" s="16">
        <v>112893801.07999997</v>
      </c>
      <c r="K42" s="16">
        <v>0</v>
      </c>
      <c r="L42" s="16">
        <v>0</v>
      </c>
      <c r="M42" s="16">
        <v>0</v>
      </c>
      <c r="N42" s="18">
        <f t="shared" si="1"/>
        <v>709596287.21466231</v>
      </c>
      <c r="P42" s="10"/>
      <c r="Q42" s="4"/>
      <c r="R42" s="4"/>
      <c r="S42" s="4"/>
      <c r="T42" s="4"/>
      <c r="U42" s="4"/>
      <c r="V42" s="4"/>
      <c r="W42" s="4"/>
    </row>
    <row r="43" spans="1:23" ht="15" x14ac:dyDescent="0.2">
      <c r="A43" s="17" t="s">
        <v>38</v>
      </c>
      <c r="B43" s="16">
        <v>2601003746.4400001</v>
      </c>
      <c r="C43" s="16">
        <v>0</v>
      </c>
      <c r="D43" s="16">
        <v>49816823.056253791</v>
      </c>
      <c r="E43" s="16">
        <v>23678100.549999997</v>
      </c>
      <c r="F43" s="16">
        <v>42118887.649999999</v>
      </c>
      <c r="G43" s="16">
        <v>13560261.91</v>
      </c>
      <c r="H43" s="16">
        <v>192197642.28</v>
      </c>
      <c r="I43" s="16">
        <v>166788303.09</v>
      </c>
      <c r="J43" s="16">
        <v>369728143.76999992</v>
      </c>
      <c r="K43" s="16">
        <v>0</v>
      </c>
      <c r="L43" s="16">
        <v>0</v>
      </c>
      <c r="M43" s="16">
        <v>0</v>
      </c>
      <c r="N43" s="18">
        <f t="shared" si="1"/>
        <v>3458891908.7462544</v>
      </c>
      <c r="P43" s="10"/>
      <c r="Q43" s="4"/>
      <c r="R43" s="4"/>
      <c r="S43" s="4"/>
      <c r="T43" s="4"/>
      <c r="U43" s="4"/>
      <c r="V43" s="4"/>
      <c r="W43" s="4"/>
    </row>
    <row r="44" spans="1:23" ht="15" x14ac:dyDescent="0.2">
      <c r="A44" s="17" t="s">
        <v>39</v>
      </c>
      <c r="B44" s="16">
        <v>2529937597.8899994</v>
      </c>
      <c r="C44" s="16">
        <v>0</v>
      </c>
      <c r="D44" s="16">
        <v>23472072.158947356</v>
      </c>
      <c r="E44" s="16">
        <v>23012814.850000001</v>
      </c>
      <c r="F44" s="16">
        <v>52996329.060000002</v>
      </c>
      <c r="G44" s="16">
        <v>23305513.971787594</v>
      </c>
      <c r="H44" s="16">
        <v>186946305.66999999</v>
      </c>
      <c r="I44" s="16">
        <v>209862327.52000001</v>
      </c>
      <c r="J44" s="16">
        <v>478114541.63999999</v>
      </c>
      <c r="K44" s="16">
        <v>0</v>
      </c>
      <c r="L44" s="16">
        <v>0</v>
      </c>
      <c r="M44" s="16">
        <v>0</v>
      </c>
      <c r="N44" s="18">
        <f t="shared" si="1"/>
        <v>3527647502.7607341</v>
      </c>
      <c r="P44" s="10"/>
      <c r="Q44" s="4"/>
      <c r="R44" s="4"/>
      <c r="S44" s="4"/>
      <c r="T44" s="4"/>
      <c r="U44" s="4"/>
      <c r="V44" s="4"/>
      <c r="W44" s="4"/>
    </row>
    <row r="45" spans="1:23" ht="15" x14ac:dyDescent="0.2">
      <c r="A45" s="17" t="s">
        <v>40</v>
      </c>
      <c r="B45" s="16">
        <v>708413651.18000007</v>
      </c>
      <c r="C45" s="16">
        <v>0</v>
      </c>
      <c r="D45" s="16">
        <v>61517966.879035436</v>
      </c>
      <c r="E45" s="16">
        <v>6615537.3899999997</v>
      </c>
      <c r="F45" s="16">
        <v>3947282.7</v>
      </c>
      <c r="G45" s="16">
        <v>2124008.19</v>
      </c>
      <c r="H45" s="16">
        <v>52347265.439999998</v>
      </c>
      <c r="I45" s="16">
        <v>15631005.970000001</v>
      </c>
      <c r="J45" s="16">
        <v>71575297.659999982</v>
      </c>
      <c r="K45" s="16">
        <v>0</v>
      </c>
      <c r="L45" s="16">
        <v>0</v>
      </c>
      <c r="M45" s="16">
        <v>0</v>
      </c>
      <c r="N45" s="18">
        <f t="shared" si="1"/>
        <v>922172015.40903556</v>
      </c>
      <c r="P45" s="10"/>
      <c r="Q45" s="4"/>
      <c r="R45" s="4"/>
      <c r="S45" s="4"/>
      <c r="T45" s="4"/>
      <c r="U45" s="4"/>
      <c r="V45" s="4"/>
      <c r="W45" s="4"/>
    </row>
    <row r="46" spans="1:23" ht="15" x14ac:dyDescent="0.2">
      <c r="A46" s="17" t="s">
        <v>41</v>
      </c>
      <c r="B46" s="16">
        <v>1119750052.2399998</v>
      </c>
      <c r="C46" s="16">
        <v>0</v>
      </c>
      <c r="D46" s="16">
        <v>29758282.538947359</v>
      </c>
      <c r="E46" s="16">
        <v>11300278.350000001</v>
      </c>
      <c r="F46" s="16">
        <v>31134828.41</v>
      </c>
      <c r="G46" s="16">
        <v>0</v>
      </c>
      <c r="H46" s="16">
        <v>82742410.609999999</v>
      </c>
      <c r="I46" s="16">
        <v>123292078.38</v>
      </c>
      <c r="J46" s="16">
        <v>302826510.66000003</v>
      </c>
      <c r="K46" s="16">
        <v>0</v>
      </c>
      <c r="L46" s="16">
        <v>0</v>
      </c>
      <c r="M46" s="16">
        <v>0</v>
      </c>
      <c r="N46" s="18">
        <f t="shared" si="1"/>
        <v>1700804441.188947</v>
      </c>
      <c r="P46" s="10"/>
      <c r="Q46" s="4"/>
      <c r="R46" s="4"/>
      <c r="S46" s="4"/>
      <c r="T46" s="4"/>
      <c r="U46" s="4"/>
      <c r="V46" s="4"/>
      <c r="W46" s="4"/>
    </row>
    <row r="47" spans="1:23" ht="15" x14ac:dyDescent="0.2">
      <c r="A47" s="17" t="s">
        <v>42</v>
      </c>
      <c r="B47" s="16">
        <v>3401319241.9399996</v>
      </c>
      <c r="C47" s="16">
        <v>0</v>
      </c>
      <c r="D47" s="16">
        <v>30451131.668056495</v>
      </c>
      <c r="E47" s="16">
        <v>35309482.140000001</v>
      </c>
      <c r="F47" s="16">
        <v>97060992.040000007</v>
      </c>
      <c r="G47" s="16">
        <v>26488718.080063134</v>
      </c>
      <c r="H47" s="16">
        <v>251335869.78999999</v>
      </c>
      <c r="I47" s="16">
        <v>384355785.80000001</v>
      </c>
      <c r="J47" s="16">
        <v>728633972.85000014</v>
      </c>
      <c r="K47" s="16">
        <v>0</v>
      </c>
      <c r="L47" s="16">
        <v>0</v>
      </c>
      <c r="M47" s="16">
        <v>0</v>
      </c>
      <c r="N47" s="18">
        <f t="shared" si="1"/>
        <v>4954955194.3081198</v>
      </c>
      <c r="P47" s="10"/>
      <c r="Q47" s="4"/>
      <c r="R47" s="4"/>
      <c r="S47" s="4"/>
      <c r="T47" s="4"/>
      <c r="U47" s="4"/>
      <c r="V47" s="4"/>
      <c r="W47" s="4"/>
    </row>
    <row r="48" spans="1:23" ht="15" x14ac:dyDescent="0.2">
      <c r="A48" s="17" t="s">
        <v>43</v>
      </c>
      <c r="B48" s="16">
        <v>350299051.91999996</v>
      </c>
      <c r="C48" s="16">
        <v>0</v>
      </c>
      <c r="D48" s="16">
        <v>79731519.69054912</v>
      </c>
      <c r="E48" s="16">
        <v>3333560.75</v>
      </c>
      <c r="F48" s="16">
        <v>843250.08</v>
      </c>
      <c r="G48" s="16">
        <v>575058.99</v>
      </c>
      <c r="H48" s="16">
        <v>25884873.09</v>
      </c>
      <c r="I48" s="16">
        <v>3339220.43</v>
      </c>
      <c r="J48" s="16">
        <v>39092192.329999998</v>
      </c>
      <c r="K48" s="16">
        <v>0</v>
      </c>
      <c r="L48" s="16">
        <v>0</v>
      </c>
      <c r="M48" s="16">
        <v>0</v>
      </c>
      <c r="N48" s="18">
        <f t="shared" si="1"/>
        <v>503098727.28054905</v>
      </c>
      <c r="P48" s="10"/>
      <c r="Q48" s="4"/>
      <c r="R48" s="4"/>
      <c r="S48" s="4"/>
      <c r="T48" s="4"/>
      <c r="U48" s="4"/>
      <c r="V48" s="4"/>
      <c r="W48" s="4"/>
    </row>
    <row r="49" spans="1:23" ht="15" x14ac:dyDescent="0.2">
      <c r="A49" s="17" t="s">
        <v>44</v>
      </c>
      <c r="B49" s="16">
        <v>612863398.88000011</v>
      </c>
      <c r="C49" s="16">
        <v>0</v>
      </c>
      <c r="D49" s="16">
        <v>117589022.19428039</v>
      </c>
      <c r="E49" s="16">
        <v>4073682.0700000003</v>
      </c>
      <c r="F49" s="16">
        <v>4979537.1100000003</v>
      </c>
      <c r="G49" s="16">
        <v>2411537.69</v>
      </c>
      <c r="H49" s="16">
        <v>45286709.210000001</v>
      </c>
      <c r="I49" s="16">
        <v>19718672.350000001</v>
      </c>
      <c r="J49" s="16">
        <v>92007344.029999986</v>
      </c>
      <c r="K49" s="16">
        <v>0</v>
      </c>
      <c r="L49" s="16">
        <v>0</v>
      </c>
      <c r="M49" s="16">
        <v>0</v>
      </c>
      <c r="N49" s="18">
        <f t="shared" si="1"/>
        <v>898929903.53428066</v>
      </c>
      <c r="P49" s="10"/>
      <c r="Q49" s="4"/>
      <c r="R49" s="4"/>
      <c r="S49" s="4"/>
      <c r="T49" s="4"/>
      <c r="U49" s="4"/>
      <c r="V49" s="4"/>
      <c r="W49" s="4"/>
    </row>
    <row r="50" spans="1:23" ht="15" x14ac:dyDescent="0.2">
      <c r="A50" s="17" t="s">
        <v>45</v>
      </c>
      <c r="B50" s="16">
        <v>410316229.93999994</v>
      </c>
      <c r="C50" s="16">
        <v>0</v>
      </c>
      <c r="D50" s="16">
        <v>77230473.838209346</v>
      </c>
      <c r="E50" s="16">
        <v>4135353.59</v>
      </c>
      <c r="F50" s="16">
        <v>1395724.27</v>
      </c>
      <c r="G50" s="16">
        <v>686360.73</v>
      </c>
      <c r="H50" s="16">
        <v>30319761.02</v>
      </c>
      <c r="I50" s="16">
        <v>5526985.54</v>
      </c>
      <c r="J50" s="16">
        <v>66488856.170000002</v>
      </c>
      <c r="K50" s="16">
        <v>0</v>
      </c>
      <c r="L50" s="16">
        <v>0</v>
      </c>
      <c r="M50" s="16">
        <v>0</v>
      </c>
      <c r="N50" s="18">
        <f t="shared" si="1"/>
        <v>596099745.09820926</v>
      </c>
      <c r="P50" s="10"/>
      <c r="Q50" s="4"/>
      <c r="R50" s="4"/>
      <c r="S50" s="4"/>
      <c r="T50" s="4"/>
      <c r="U50" s="4"/>
      <c r="V50" s="4"/>
      <c r="W50" s="4"/>
    </row>
    <row r="51" spans="1:23" ht="15" x14ac:dyDescent="0.2">
      <c r="A51" s="17" t="s">
        <v>46</v>
      </c>
      <c r="B51" s="16">
        <v>393958912.06000006</v>
      </c>
      <c r="C51" s="16">
        <v>0</v>
      </c>
      <c r="D51" s="16">
        <v>114246731.02345484</v>
      </c>
      <c r="E51" s="16">
        <v>3977947.42</v>
      </c>
      <c r="F51" s="16">
        <v>1739809.07</v>
      </c>
      <c r="G51" s="16">
        <v>862588.48</v>
      </c>
      <c r="H51" s="16">
        <v>29111059.210000001</v>
      </c>
      <c r="I51" s="16">
        <v>6889541</v>
      </c>
      <c r="J51" s="16">
        <v>46127477.650000013</v>
      </c>
      <c r="K51" s="16">
        <v>0</v>
      </c>
      <c r="L51" s="16">
        <v>0</v>
      </c>
      <c r="M51" s="16">
        <v>0</v>
      </c>
      <c r="N51" s="18">
        <f t="shared" si="1"/>
        <v>596914065.91345489</v>
      </c>
      <c r="P51" s="10"/>
      <c r="Q51" s="4"/>
      <c r="R51" s="4"/>
      <c r="S51" s="4"/>
      <c r="T51" s="4"/>
      <c r="U51" s="4"/>
      <c r="V51" s="4"/>
      <c r="W51" s="4"/>
    </row>
    <row r="52" spans="1:23" ht="15" x14ac:dyDescent="0.2">
      <c r="A52" s="17" t="s">
        <v>47</v>
      </c>
      <c r="B52" s="16">
        <v>474621584.34000009</v>
      </c>
      <c r="C52" s="16">
        <v>0</v>
      </c>
      <c r="D52" s="16">
        <v>79373742.809509084</v>
      </c>
      <c r="E52" s="16">
        <v>4602927.8699999992</v>
      </c>
      <c r="F52" s="16">
        <v>1601690.52</v>
      </c>
      <c r="G52" s="16">
        <v>1103742.25</v>
      </c>
      <c r="H52" s="16">
        <v>35071517.920000002</v>
      </c>
      <c r="I52" s="16">
        <v>6342599.7199999997</v>
      </c>
      <c r="J52" s="16">
        <v>59127074.470000014</v>
      </c>
      <c r="K52" s="16">
        <v>0</v>
      </c>
      <c r="L52" s="16">
        <v>0</v>
      </c>
      <c r="M52" s="16">
        <v>0</v>
      </c>
      <c r="N52" s="18">
        <f t="shared" si="1"/>
        <v>661844879.89950919</v>
      </c>
      <c r="P52" s="10"/>
      <c r="Q52" s="4"/>
      <c r="R52" s="4"/>
      <c r="S52" s="4"/>
      <c r="T52" s="4"/>
      <c r="U52" s="4"/>
      <c r="V52" s="4"/>
      <c r="W52" s="4"/>
    </row>
    <row r="53" spans="1:23" ht="15" x14ac:dyDescent="0.2">
      <c r="A53" s="17" t="s">
        <v>48</v>
      </c>
      <c r="B53" s="16">
        <v>170212935.78</v>
      </c>
      <c r="C53" s="16">
        <v>0</v>
      </c>
      <c r="D53" s="16">
        <v>70846338.507240608</v>
      </c>
      <c r="E53" s="16">
        <v>1718696.2099999997</v>
      </c>
      <c r="F53" s="16">
        <v>278660.21999999997</v>
      </c>
      <c r="G53" s="16">
        <v>166952.60999999999</v>
      </c>
      <c r="H53" s="16">
        <v>12577653.92</v>
      </c>
      <c r="I53" s="16">
        <v>1103478.01</v>
      </c>
      <c r="J53" s="16">
        <v>31269973.860000007</v>
      </c>
      <c r="K53" s="16">
        <v>0</v>
      </c>
      <c r="L53" s="16">
        <v>0</v>
      </c>
      <c r="M53" s="16">
        <v>0</v>
      </c>
      <c r="N53" s="18">
        <f t="shared" si="1"/>
        <v>288174689.11724061</v>
      </c>
      <c r="P53" s="10"/>
      <c r="Q53" s="4"/>
      <c r="R53" s="4"/>
      <c r="S53" s="4"/>
      <c r="T53" s="4"/>
      <c r="U53" s="4"/>
      <c r="V53" s="4"/>
      <c r="W53" s="4"/>
    </row>
    <row r="54" spans="1:23" ht="15" x14ac:dyDescent="0.2">
      <c r="A54" s="17" t="s">
        <v>49</v>
      </c>
      <c r="B54" s="16">
        <v>615906620.82000005</v>
      </c>
      <c r="C54" s="16">
        <v>0</v>
      </c>
      <c r="D54" s="16">
        <v>118902588.56193639</v>
      </c>
      <c r="E54" s="16">
        <v>5603759.0700000003</v>
      </c>
      <c r="F54" s="16">
        <v>957137.3</v>
      </c>
      <c r="G54" s="16">
        <v>612159.56999999995</v>
      </c>
      <c r="H54" s="16">
        <v>45511583.969999999</v>
      </c>
      <c r="I54" s="16">
        <v>3790207.09</v>
      </c>
      <c r="J54" s="16">
        <v>71539963.769999996</v>
      </c>
      <c r="K54" s="16">
        <v>0</v>
      </c>
      <c r="L54" s="16">
        <v>0</v>
      </c>
      <c r="M54" s="16">
        <v>0</v>
      </c>
      <c r="N54" s="18">
        <f t="shared" si="1"/>
        <v>862824020.15193653</v>
      </c>
      <c r="P54" s="10"/>
      <c r="Q54" s="4"/>
      <c r="R54" s="4"/>
      <c r="S54" s="4"/>
      <c r="T54" s="4"/>
      <c r="U54" s="4"/>
      <c r="V54" s="4"/>
      <c r="W54" s="4"/>
    </row>
    <row r="55" spans="1:23" ht="15" x14ac:dyDescent="0.2">
      <c r="A55" s="17" t="s">
        <v>50</v>
      </c>
      <c r="B55" s="16">
        <v>284696870.02999997</v>
      </c>
      <c r="C55" s="16">
        <v>0</v>
      </c>
      <c r="D55" s="16">
        <v>33882368.215169415</v>
      </c>
      <c r="E55" s="16">
        <v>2748885.5799999996</v>
      </c>
      <c r="F55" s="16">
        <v>1766463.53</v>
      </c>
      <c r="G55" s="16">
        <v>955339.93</v>
      </c>
      <c r="H55" s="16">
        <v>21037288.879999999</v>
      </c>
      <c r="I55" s="16">
        <v>6995091.0700000003</v>
      </c>
      <c r="J55" s="16">
        <v>50506692.830000028</v>
      </c>
      <c r="K55" s="16">
        <v>0</v>
      </c>
      <c r="L55" s="16">
        <v>0</v>
      </c>
      <c r="M55" s="16">
        <v>0</v>
      </c>
      <c r="N55" s="18">
        <f t="shared" si="1"/>
        <v>402589000.06516939</v>
      </c>
      <c r="P55" s="10"/>
      <c r="Q55" s="4"/>
      <c r="R55" s="4"/>
      <c r="S55" s="4"/>
      <c r="T55" s="4"/>
      <c r="U55" s="4"/>
      <c r="V55" s="4"/>
      <c r="W55" s="4"/>
    </row>
    <row r="56" spans="1:23" ht="15" x14ac:dyDescent="0.2">
      <c r="A56" s="17" t="s">
        <v>51</v>
      </c>
      <c r="B56" s="16">
        <v>208581739.59999999</v>
      </c>
      <c r="C56" s="16">
        <v>0</v>
      </c>
      <c r="D56" s="16">
        <v>42031158.905181997</v>
      </c>
      <c r="E56" s="16">
        <v>2079453.2300000002</v>
      </c>
      <c r="F56" s="16">
        <v>499165.27</v>
      </c>
      <c r="G56" s="16">
        <v>259704.06</v>
      </c>
      <c r="H56" s="16">
        <v>15412864.609999999</v>
      </c>
      <c r="I56" s="16">
        <v>1976664.97</v>
      </c>
      <c r="J56" s="16">
        <v>41693481.149999999</v>
      </c>
      <c r="K56" s="16">
        <v>0</v>
      </c>
      <c r="L56" s="16">
        <v>0</v>
      </c>
      <c r="M56" s="16">
        <v>0</v>
      </c>
      <c r="N56" s="18">
        <f t="shared" si="1"/>
        <v>312534231.79518199</v>
      </c>
      <c r="P56" s="10"/>
      <c r="Q56" s="4"/>
      <c r="R56" s="4"/>
      <c r="S56" s="4"/>
      <c r="T56" s="4"/>
      <c r="U56" s="4"/>
      <c r="V56" s="4"/>
      <c r="W56" s="4"/>
    </row>
    <row r="57" spans="1:23" ht="15" x14ac:dyDescent="0.2">
      <c r="A57" s="17" t="s">
        <v>52</v>
      </c>
      <c r="B57" s="16">
        <v>538546535.96000004</v>
      </c>
      <c r="C57" s="16">
        <v>0</v>
      </c>
      <c r="D57" s="16">
        <v>80135645.041018546</v>
      </c>
      <c r="E57" s="16">
        <v>5019083.91</v>
      </c>
      <c r="F57" s="16">
        <v>2563674.09</v>
      </c>
      <c r="G57" s="16">
        <v>1196493.7</v>
      </c>
      <c r="H57" s="16">
        <v>39795165.469999999</v>
      </c>
      <c r="I57" s="16">
        <v>10151997.74</v>
      </c>
      <c r="J57" s="16">
        <v>89020121.030000001</v>
      </c>
      <c r="K57" s="16">
        <v>0</v>
      </c>
      <c r="L57" s="16">
        <v>0</v>
      </c>
      <c r="M57" s="16">
        <v>0</v>
      </c>
      <c r="N57" s="18">
        <f t="shared" si="1"/>
        <v>766428716.94101858</v>
      </c>
      <c r="P57" s="10"/>
      <c r="Q57" s="4"/>
      <c r="R57" s="4"/>
      <c r="S57" s="4"/>
      <c r="T57" s="4"/>
      <c r="U57" s="4"/>
      <c r="V57" s="4"/>
      <c r="W57" s="4"/>
    </row>
    <row r="58" spans="1:23" ht="15" x14ac:dyDescent="0.2">
      <c r="A58" s="17" t="s">
        <v>53</v>
      </c>
      <c r="B58" s="16">
        <v>479843476.52999997</v>
      </c>
      <c r="C58" s="16">
        <v>0</v>
      </c>
      <c r="D58" s="16">
        <v>51297943.690540738</v>
      </c>
      <c r="E58" s="16">
        <v>4332069.8499999996</v>
      </c>
      <c r="F58" s="16">
        <v>1492649.56</v>
      </c>
      <c r="G58" s="16">
        <v>751286.74</v>
      </c>
      <c r="H58" s="16">
        <v>35457382.560000002</v>
      </c>
      <c r="I58" s="16">
        <v>5910803.9800000004</v>
      </c>
      <c r="J58" s="16">
        <v>50377682.94000002</v>
      </c>
      <c r="K58" s="16">
        <v>0</v>
      </c>
      <c r="L58" s="16">
        <v>0</v>
      </c>
      <c r="M58" s="16">
        <v>0</v>
      </c>
      <c r="N58" s="18">
        <f t="shared" si="1"/>
        <v>629463295.85054088</v>
      </c>
      <c r="P58" s="10"/>
      <c r="Q58" s="4"/>
      <c r="R58" s="4"/>
      <c r="S58" s="4"/>
      <c r="T58" s="4"/>
      <c r="U58" s="4"/>
      <c r="V58" s="4"/>
      <c r="W58" s="4"/>
    </row>
    <row r="59" spans="1:23" ht="15" x14ac:dyDescent="0.2">
      <c r="A59" s="17" t="s">
        <v>54</v>
      </c>
      <c r="B59" s="16">
        <v>532200726.62</v>
      </c>
      <c r="C59" s="16">
        <v>0</v>
      </c>
      <c r="D59" s="16">
        <v>150987603.93566817</v>
      </c>
      <c r="E59" s="16">
        <v>5190256.8899999997</v>
      </c>
      <c r="F59" s="16">
        <v>1453879.44</v>
      </c>
      <c r="G59" s="16">
        <v>686360.73</v>
      </c>
      <c r="H59" s="16">
        <v>39326250.5</v>
      </c>
      <c r="I59" s="16">
        <v>5757276.5999999996</v>
      </c>
      <c r="J59" s="16">
        <v>56346102.919999965</v>
      </c>
      <c r="K59" s="16">
        <v>0</v>
      </c>
      <c r="L59" s="16">
        <v>0</v>
      </c>
      <c r="M59" s="16">
        <v>0</v>
      </c>
      <c r="N59" s="18">
        <f t="shared" si="1"/>
        <v>791948457.63566816</v>
      </c>
      <c r="P59" s="10"/>
      <c r="Q59" s="4"/>
      <c r="R59" s="4"/>
      <c r="S59" s="4"/>
      <c r="T59" s="4"/>
      <c r="U59" s="4"/>
      <c r="V59" s="4"/>
      <c r="W59" s="4"/>
    </row>
    <row r="60" spans="1:23" ht="15" x14ac:dyDescent="0.2">
      <c r="A60" s="17" t="s">
        <v>55</v>
      </c>
      <c r="B60" s="16">
        <v>3709843156.4900002</v>
      </c>
      <c r="C60" s="16">
        <v>0</v>
      </c>
      <c r="D60" s="16">
        <v>256900240.83873564</v>
      </c>
      <c r="E60" s="16">
        <v>58976938.020000003</v>
      </c>
      <c r="F60" s="16">
        <v>79975485.379999995</v>
      </c>
      <c r="G60" s="16">
        <v>35310476.789999999</v>
      </c>
      <c r="H60" s="16">
        <v>274133825.79000002</v>
      </c>
      <c r="I60" s="16">
        <v>316698190.29000002</v>
      </c>
      <c r="J60" s="16">
        <v>941856667.90999985</v>
      </c>
      <c r="K60" s="16">
        <v>0</v>
      </c>
      <c r="L60" s="16">
        <v>0</v>
      </c>
      <c r="M60" s="16">
        <v>0</v>
      </c>
      <c r="N60" s="18">
        <f t="shared" si="1"/>
        <v>5673694981.5087357</v>
      </c>
      <c r="P60" s="10"/>
      <c r="Q60" s="4"/>
      <c r="R60" s="4"/>
      <c r="S60" s="4"/>
      <c r="T60" s="4"/>
      <c r="U60" s="4"/>
      <c r="V60" s="4"/>
      <c r="W60" s="4"/>
    </row>
    <row r="61" spans="1:23" ht="15" x14ac:dyDescent="0.2">
      <c r="A61" s="17" t="s">
        <v>56</v>
      </c>
      <c r="B61" s="16">
        <v>789128196.58000004</v>
      </c>
      <c r="C61" s="16">
        <v>0</v>
      </c>
      <c r="D61" s="16">
        <v>34658348.748968326</v>
      </c>
      <c r="E61" s="16">
        <v>5907956.0299999993</v>
      </c>
      <c r="F61" s="16">
        <v>14277096.189999999</v>
      </c>
      <c r="G61" s="16">
        <v>3080002.8136883364</v>
      </c>
      <c r="H61" s="16">
        <v>58311557.240000002</v>
      </c>
      <c r="I61" s="16">
        <v>56536456.210000001</v>
      </c>
      <c r="J61" s="16">
        <v>233209917.36999995</v>
      </c>
      <c r="K61" s="16">
        <v>0</v>
      </c>
      <c r="L61" s="16">
        <v>0</v>
      </c>
      <c r="M61" s="16">
        <v>0</v>
      </c>
      <c r="N61" s="18">
        <f t="shared" si="1"/>
        <v>1195109531.1826568</v>
      </c>
      <c r="P61" s="10"/>
      <c r="Q61" s="4"/>
      <c r="R61" s="4"/>
      <c r="S61" s="4"/>
      <c r="T61" s="4"/>
      <c r="U61" s="4"/>
      <c r="V61" s="4"/>
      <c r="W61" s="4"/>
    </row>
    <row r="62" spans="1:23" ht="15" x14ac:dyDescent="0.2">
      <c r="A62" s="17" t="s">
        <v>57</v>
      </c>
      <c r="B62" s="16">
        <v>4246470387.8400002</v>
      </c>
      <c r="C62" s="16">
        <v>0</v>
      </c>
      <c r="D62" s="16">
        <v>36613836.289999999</v>
      </c>
      <c r="E62" s="16">
        <v>45157052.700000003</v>
      </c>
      <c r="F62" s="16">
        <v>64016735.289999999</v>
      </c>
      <c r="G62" s="16">
        <v>0</v>
      </c>
      <c r="H62" s="16">
        <v>313787166.83999997</v>
      </c>
      <c r="I62" s="16">
        <v>253502484.15000001</v>
      </c>
      <c r="J62" s="16">
        <v>463754451.93999982</v>
      </c>
      <c r="K62" s="16">
        <v>0</v>
      </c>
      <c r="L62" s="16">
        <v>0</v>
      </c>
      <c r="M62" s="16">
        <v>0</v>
      </c>
      <c r="N62" s="18">
        <f t="shared" si="1"/>
        <v>5423302115.0499992</v>
      </c>
      <c r="P62" s="10"/>
      <c r="Q62" s="4"/>
      <c r="R62" s="4"/>
      <c r="S62" s="4"/>
      <c r="T62" s="4"/>
      <c r="U62" s="4"/>
      <c r="V62" s="4"/>
      <c r="W62" s="4"/>
    </row>
    <row r="63" spans="1:23" ht="15" x14ac:dyDescent="0.2">
      <c r="A63" s="17" t="s">
        <v>58</v>
      </c>
      <c r="B63" s="16">
        <v>690482849.24000001</v>
      </c>
      <c r="C63" s="16">
        <v>0</v>
      </c>
      <c r="D63" s="16">
        <v>116058472.50616701</v>
      </c>
      <c r="E63" s="16">
        <v>6329253.8900000006</v>
      </c>
      <c r="F63" s="16">
        <v>2255936.27</v>
      </c>
      <c r="G63" s="16">
        <v>1196493.7</v>
      </c>
      <c r="H63" s="16">
        <v>51022293.159999996</v>
      </c>
      <c r="I63" s="16">
        <v>8933374.1899999995</v>
      </c>
      <c r="J63" s="16">
        <v>62232077.160000026</v>
      </c>
      <c r="K63" s="16">
        <v>0</v>
      </c>
      <c r="L63" s="16">
        <v>0</v>
      </c>
      <c r="M63" s="16">
        <v>0</v>
      </c>
      <c r="N63" s="18">
        <f t="shared" si="1"/>
        <v>938510750.11616707</v>
      </c>
      <c r="P63" s="10"/>
      <c r="Q63" s="4"/>
      <c r="R63" s="4"/>
      <c r="S63" s="4"/>
      <c r="T63" s="4"/>
      <c r="U63" s="4"/>
      <c r="V63" s="4"/>
      <c r="W63" s="4"/>
    </row>
    <row r="64" spans="1:23" ht="15" x14ac:dyDescent="0.2">
      <c r="A64" s="17" t="s">
        <v>59</v>
      </c>
      <c r="B64" s="16">
        <v>1046384196.1700001</v>
      </c>
      <c r="C64" s="16">
        <v>0</v>
      </c>
      <c r="D64" s="16">
        <v>368189803.63785863</v>
      </c>
      <c r="E64" s="16">
        <v>10287131.629999999</v>
      </c>
      <c r="F64" s="16">
        <v>4129017.63</v>
      </c>
      <c r="G64" s="16">
        <v>1864304.13</v>
      </c>
      <c r="H64" s="16">
        <v>77321140.239999995</v>
      </c>
      <c r="I64" s="16">
        <v>16350665.539999999</v>
      </c>
      <c r="J64" s="16">
        <v>131923446.79000002</v>
      </c>
      <c r="K64" s="16">
        <v>0</v>
      </c>
      <c r="L64" s="16">
        <v>0</v>
      </c>
      <c r="M64" s="16">
        <v>0</v>
      </c>
      <c r="N64" s="18">
        <f t="shared" si="1"/>
        <v>1656449705.767859</v>
      </c>
      <c r="P64" s="10"/>
      <c r="Q64" s="4"/>
      <c r="R64" s="4"/>
      <c r="S64" s="4"/>
      <c r="T64" s="4"/>
      <c r="U64" s="4"/>
      <c r="V64" s="4"/>
      <c r="W64" s="4"/>
    </row>
    <row r="65" spans="1:23" ht="15" x14ac:dyDescent="0.2">
      <c r="A65" s="17" t="s">
        <v>60</v>
      </c>
      <c r="B65" s="16">
        <v>578402368.69000006</v>
      </c>
      <c r="C65" s="16">
        <v>0</v>
      </c>
      <c r="D65" s="16">
        <v>107255811.57969785</v>
      </c>
      <c r="E65" s="16">
        <v>5739602.7599999998</v>
      </c>
      <c r="F65" s="16">
        <v>898982.12</v>
      </c>
      <c r="G65" s="16">
        <v>621434.71</v>
      </c>
      <c r="H65" s="16">
        <v>42740258.149999999</v>
      </c>
      <c r="I65" s="16">
        <v>3559916.03</v>
      </c>
      <c r="J65" s="16">
        <v>78687002.86999999</v>
      </c>
      <c r="K65" s="16">
        <v>0</v>
      </c>
      <c r="L65" s="16">
        <v>0</v>
      </c>
      <c r="M65" s="16">
        <v>0</v>
      </c>
      <c r="N65" s="18">
        <f t="shared" si="1"/>
        <v>817905376.90969789</v>
      </c>
      <c r="P65" s="10"/>
      <c r="Q65" s="4"/>
      <c r="R65" s="4"/>
      <c r="S65" s="4"/>
      <c r="T65" s="4"/>
      <c r="U65" s="4"/>
      <c r="V65" s="4"/>
      <c r="W65" s="4"/>
    </row>
    <row r="66" spans="1:23" ht="15" x14ac:dyDescent="0.2">
      <c r="A66" s="17" t="s">
        <v>61</v>
      </c>
      <c r="B66" s="16">
        <v>331659317.57999998</v>
      </c>
      <c r="C66" s="16">
        <v>0</v>
      </c>
      <c r="D66" s="16">
        <v>69523923.404817477</v>
      </c>
      <c r="E66" s="16">
        <v>3220108.8899999997</v>
      </c>
      <c r="F66" s="16">
        <v>879597.06</v>
      </c>
      <c r="G66" s="16">
        <v>565783.84</v>
      </c>
      <c r="H66" s="16">
        <v>24507515.219999999</v>
      </c>
      <c r="I66" s="16">
        <v>3483152.34</v>
      </c>
      <c r="J66" s="16">
        <v>34929363.140000008</v>
      </c>
      <c r="K66" s="16">
        <v>0</v>
      </c>
      <c r="L66" s="16">
        <v>0</v>
      </c>
      <c r="M66" s="16">
        <v>0</v>
      </c>
      <c r="N66" s="18">
        <f t="shared" si="1"/>
        <v>468768761.47481734</v>
      </c>
      <c r="P66" s="10"/>
      <c r="Q66" s="4"/>
      <c r="R66" s="4"/>
      <c r="S66" s="4"/>
      <c r="T66" s="4"/>
      <c r="U66" s="4"/>
      <c r="V66" s="4"/>
      <c r="W66" s="4"/>
    </row>
    <row r="67" spans="1:23" ht="15" x14ac:dyDescent="0.2">
      <c r="A67" s="17" t="s">
        <v>62</v>
      </c>
      <c r="B67" s="16">
        <v>1478936695.5800004</v>
      </c>
      <c r="C67" s="16">
        <v>0</v>
      </c>
      <c r="D67" s="16">
        <v>8626409.4100000001</v>
      </c>
      <c r="E67" s="16">
        <v>16667910.57</v>
      </c>
      <c r="F67" s="16">
        <v>23635233.579999998</v>
      </c>
      <c r="G67" s="16">
        <v>11495583.078800058</v>
      </c>
      <c r="H67" s="16">
        <v>109284020.20999999</v>
      </c>
      <c r="I67" s="16">
        <v>93594126.590000004</v>
      </c>
      <c r="J67" s="16">
        <v>225053533.17000002</v>
      </c>
      <c r="K67" s="16">
        <v>0</v>
      </c>
      <c r="L67" s="16">
        <v>0</v>
      </c>
      <c r="M67" s="16">
        <v>0</v>
      </c>
      <c r="N67" s="18">
        <f t="shared" si="1"/>
        <v>1967293512.1888003</v>
      </c>
      <c r="P67" s="10"/>
      <c r="Q67" s="4"/>
      <c r="R67" s="4"/>
      <c r="S67" s="4"/>
      <c r="T67" s="4"/>
      <c r="U67" s="4"/>
      <c r="V67" s="4"/>
      <c r="W67" s="4"/>
    </row>
    <row r="68" spans="1:23" ht="15" x14ac:dyDescent="0.2">
      <c r="A68" s="17" t="s">
        <v>63</v>
      </c>
      <c r="B68" s="16">
        <v>937052990</v>
      </c>
      <c r="C68" s="16">
        <v>0</v>
      </c>
      <c r="D68" s="16">
        <v>17833478.039999999</v>
      </c>
      <c r="E68" s="16">
        <v>9461785.9000000004</v>
      </c>
      <c r="F68" s="16">
        <v>20843785.039999999</v>
      </c>
      <c r="G68" s="16">
        <v>11808211.449472021</v>
      </c>
      <c r="H68" s="16">
        <v>69242259.120000005</v>
      </c>
      <c r="I68" s="16">
        <v>82540155.519999996</v>
      </c>
      <c r="J68" s="16">
        <v>189009097.16000003</v>
      </c>
      <c r="K68" s="16">
        <v>0</v>
      </c>
      <c r="L68" s="16">
        <v>0</v>
      </c>
      <c r="M68" s="16">
        <v>0</v>
      </c>
      <c r="N68" s="18">
        <f t="shared" si="1"/>
        <v>1337791762.2294722</v>
      </c>
      <c r="P68" s="10"/>
      <c r="Q68" s="4"/>
      <c r="R68" s="4"/>
      <c r="S68" s="4"/>
      <c r="T68" s="4"/>
      <c r="U68" s="4"/>
      <c r="V68" s="4"/>
      <c r="W68" s="4"/>
    </row>
    <row r="69" spans="1:23" ht="15" x14ac:dyDescent="0.2">
      <c r="A69" s="17" t="s">
        <v>64</v>
      </c>
      <c r="B69" s="16">
        <v>3231417544.6600003</v>
      </c>
      <c r="C69" s="16">
        <v>0</v>
      </c>
      <c r="D69" s="16">
        <v>12837059.084649654</v>
      </c>
      <c r="E69" s="16">
        <v>29677614.229999997</v>
      </c>
      <c r="F69" s="16">
        <v>61516062.630000003</v>
      </c>
      <c r="G69" s="16">
        <v>10303640.973663295</v>
      </c>
      <c r="H69" s="16">
        <v>238781214.43000001</v>
      </c>
      <c r="I69" s="16">
        <v>243599968.38999999</v>
      </c>
      <c r="J69" s="16">
        <v>441369179.14000016</v>
      </c>
      <c r="K69" s="16">
        <v>0</v>
      </c>
      <c r="L69" s="16">
        <v>0</v>
      </c>
      <c r="M69" s="16">
        <v>0</v>
      </c>
      <c r="N69" s="18">
        <f t="shared" si="1"/>
        <v>4269502283.5383134</v>
      </c>
      <c r="P69" s="10"/>
      <c r="Q69" s="4"/>
      <c r="R69" s="4"/>
      <c r="S69" s="4"/>
      <c r="T69" s="4"/>
      <c r="U69" s="4"/>
      <c r="V69" s="4"/>
      <c r="W69" s="4"/>
    </row>
    <row r="70" spans="1:23" ht="15" x14ac:dyDescent="0.2">
      <c r="A70" s="17" t="s">
        <v>65</v>
      </c>
      <c r="B70" s="16">
        <v>676494402.95000005</v>
      </c>
      <c r="C70" s="16">
        <v>0</v>
      </c>
      <c r="D70" s="16">
        <v>150348043.10242733</v>
      </c>
      <c r="E70" s="16">
        <v>6481186.5</v>
      </c>
      <c r="F70" s="16">
        <v>13661620.560000001</v>
      </c>
      <c r="G70" s="16">
        <v>5490885.8099999996</v>
      </c>
      <c r="H70" s="16">
        <v>49988635.909999996</v>
      </c>
      <c r="I70" s="16">
        <v>54099209.119999997</v>
      </c>
      <c r="J70" s="16">
        <v>187608887.72000003</v>
      </c>
      <c r="K70" s="16">
        <v>0</v>
      </c>
      <c r="L70" s="16">
        <v>0</v>
      </c>
      <c r="M70" s="16">
        <v>0</v>
      </c>
      <c r="N70" s="18">
        <f t="shared" si="1"/>
        <v>1144172871.6724272</v>
      </c>
      <c r="P70" s="10"/>
      <c r="Q70" s="4"/>
      <c r="R70" s="4"/>
      <c r="S70" s="4"/>
      <c r="T70" s="4"/>
      <c r="U70" s="4"/>
      <c r="V70" s="4"/>
      <c r="W70" s="4"/>
    </row>
    <row r="71" spans="1:23" ht="15" x14ac:dyDescent="0.2">
      <c r="A71" s="17" t="s">
        <v>66</v>
      </c>
      <c r="B71" s="16">
        <v>2620923017.2899995</v>
      </c>
      <c r="C71" s="16">
        <v>0</v>
      </c>
      <c r="D71" s="16">
        <v>22331560.32</v>
      </c>
      <c r="E71" s="16">
        <v>10518693.109999999</v>
      </c>
      <c r="F71" s="16">
        <v>8602120.0700000003</v>
      </c>
      <c r="G71" s="16">
        <v>5333208.34</v>
      </c>
      <c r="H71" s="16">
        <v>193669549.77000001</v>
      </c>
      <c r="I71" s="16">
        <v>34063886.549999997</v>
      </c>
      <c r="J71" s="16">
        <v>156795789.52000001</v>
      </c>
      <c r="K71" s="16">
        <v>0</v>
      </c>
      <c r="L71" s="16">
        <v>0</v>
      </c>
      <c r="M71" s="16">
        <v>0</v>
      </c>
      <c r="N71" s="18">
        <f t="shared" si="1"/>
        <v>3052237824.9700003</v>
      </c>
      <c r="P71" s="10"/>
      <c r="Q71" s="4"/>
      <c r="R71" s="4"/>
      <c r="S71" s="4"/>
      <c r="T71" s="4"/>
      <c r="U71" s="4"/>
      <c r="V71" s="4"/>
      <c r="W71" s="4"/>
    </row>
    <row r="72" spans="1:23" ht="15" x14ac:dyDescent="0.2">
      <c r="A72" s="17" t="s">
        <v>67</v>
      </c>
      <c r="B72" s="16">
        <v>12210288241.029999</v>
      </c>
      <c r="C72" s="16">
        <v>0</v>
      </c>
      <c r="D72" s="16">
        <v>77313262.927525967</v>
      </c>
      <c r="E72" s="16">
        <v>137611990.63999999</v>
      </c>
      <c r="F72" s="16">
        <v>250297463.53</v>
      </c>
      <c r="G72" s="16">
        <v>0</v>
      </c>
      <c r="H72" s="16">
        <v>902262680.17999995</v>
      </c>
      <c r="I72" s="16">
        <v>991163143.94000006</v>
      </c>
      <c r="J72" s="16">
        <v>2297211171.4499998</v>
      </c>
      <c r="K72" s="16">
        <v>0</v>
      </c>
      <c r="L72" s="16">
        <v>0</v>
      </c>
      <c r="M72" s="16">
        <v>0</v>
      </c>
      <c r="N72" s="18">
        <f t="shared" ref="N72:N103" si="2">SUM(B72:M72)</f>
        <v>16866147953.697525</v>
      </c>
      <c r="P72" s="10"/>
      <c r="Q72" s="4"/>
      <c r="R72" s="4"/>
      <c r="S72" s="4"/>
      <c r="T72" s="4"/>
      <c r="U72" s="4"/>
      <c r="V72" s="4"/>
      <c r="W72" s="4"/>
    </row>
    <row r="73" spans="1:23" ht="15" x14ac:dyDescent="0.2">
      <c r="A73" s="17" t="s">
        <v>68</v>
      </c>
      <c r="B73" s="16">
        <v>5283275351.460001</v>
      </c>
      <c r="C73" s="16">
        <v>0</v>
      </c>
      <c r="D73" s="16">
        <v>140098892.34902287</v>
      </c>
      <c r="E73" s="16">
        <v>55051090.640000001</v>
      </c>
      <c r="F73" s="16">
        <v>92902896.819999993</v>
      </c>
      <c r="G73" s="16">
        <v>49089949.045569144</v>
      </c>
      <c r="H73" s="16">
        <v>390400462.68000001</v>
      </c>
      <c r="I73" s="16">
        <v>367889974.72000003</v>
      </c>
      <c r="J73" s="16">
        <v>1000649302.7099998</v>
      </c>
      <c r="K73" s="16">
        <v>0</v>
      </c>
      <c r="L73" s="16">
        <v>0</v>
      </c>
      <c r="M73" s="16">
        <v>0</v>
      </c>
      <c r="N73" s="18">
        <f t="shared" si="2"/>
        <v>7379357920.4245939</v>
      </c>
      <c r="P73" s="10"/>
      <c r="Q73" s="4"/>
      <c r="R73" s="4"/>
      <c r="S73" s="4"/>
      <c r="T73" s="4"/>
      <c r="U73" s="4"/>
      <c r="V73" s="4"/>
      <c r="W73" s="4"/>
    </row>
    <row r="74" spans="1:23" ht="15" x14ac:dyDescent="0.2">
      <c r="A74" s="17" t="s">
        <v>69</v>
      </c>
      <c r="B74" s="16">
        <v>2943141430.5599999</v>
      </c>
      <c r="C74" s="16">
        <v>0</v>
      </c>
      <c r="D74" s="16">
        <v>24795744.309999999</v>
      </c>
      <c r="E74" s="16">
        <v>33169760.369999997</v>
      </c>
      <c r="F74" s="16">
        <v>67450313.920000002</v>
      </c>
      <c r="G74" s="16">
        <v>85003687.421739608</v>
      </c>
      <c r="H74" s="16">
        <v>217479442.16999999</v>
      </c>
      <c r="I74" s="16">
        <v>267099252.38</v>
      </c>
      <c r="J74" s="16">
        <v>536796792.23999989</v>
      </c>
      <c r="K74" s="16">
        <v>0</v>
      </c>
      <c r="L74" s="16">
        <v>0</v>
      </c>
      <c r="M74" s="16">
        <v>0</v>
      </c>
      <c r="N74" s="18">
        <f t="shared" si="2"/>
        <v>4174936423.3717394</v>
      </c>
      <c r="P74" s="10"/>
      <c r="Q74" s="4"/>
      <c r="R74" s="4"/>
      <c r="S74" s="4"/>
      <c r="T74" s="4"/>
      <c r="U74" s="4"/>
      <c r="V74" s="4"/>
      <c r="W74" s="4"/>
    </row>
    <row r="75" spans="1:23" ht="15" x14ac:dyDescent="0.2">
      <c r="A75" s="17" t="s">
        <v>70</v>
      </c>
      <c r="B75" s="16">
        <v>479290163.43999994</v>
      </c>
      <c r="C75" s="16">
        <v>0</v>
      </c>
      <c r="D75" s="16">
        <v>82062340.26671429</v>
      </c>
      <c r="E75" s="16">
        <v>4649204.29</v>
      </c>
      <c r="F75" s="16">
        <v>1226105</v>
      </c>
      <c r="G75" s="16">
        <v>612159.56999999995</v>
      </c>
      <c r="H75" s="16">
        <v>35416496.240000002</v>
      </c>
      <c r="I75" s="16">
        <v>4855303.2699999996</v>
      </c>
      <c r="J75" s="16">
        <v>60494415.070000038</v>
      </c>
      <c r="K75" s="16">
        <v>0</v>
      </c>
      <c r="L75" s="16">
        <v>0</v>
      </c>
      <c r="M75" s="16">
        <v>0</v>
      </c>
      <c r="N75" s="18">
        <f t="shared" si="2"/>
        <v>668606187.14671433</v>
      </c>
      <c r="P75" s="10"/>
      <c r="Q75" s="4"/>
      <c r="R75" s="4"/>
      <c r="S75" s="4"/>
      <c r="T75" s="4"/>
      <c r="U75" s="4"/>
      <c r="V75" s="4"/>
      <c r="W75" s="4"/>
    </row>
    <row r="76" spans="1:23" ht="15" x14ac:dyDescent="0.2">
      <c r="A76" s="17" t="s">
        <v>71</v>
      </c>
      <c r="B76" s="16">
        <v>477526477.99000001</v>
      </c>
      <c r="C76" s="16">
        <v>0</v>
      </c>
      <c r="D76" s="16">
        <v>128777321.79011273</v>
      </c>
      <c r="E76" s="16">
        <v>4540396.66</v>
      </c>
      <c r="F76" s="16">
        <v>2207473.63</v>
      </c>
      <c r="G76" s="16">
        <v>1437647.47</v>
      </c>
      <c r="H76" s="16">
        <v>35286171.090000004</v>
      </c>
      <c r="I76" s="16">
        <v>8741464.9700000007</v>
      </c>
      <c r="J76" s="16">
        <v>89830883.980000004</v>
      </c>
      <c r="K76" s="16">
        <v>0</v>
      </c>
      <c r="L76" s="16">
        <v>0</v>
      </c>
      <c r="M76" s="16">
        <v>0</v>
      </c>
      <c r="N76" s="18">
        <f t="shared" si="2"/>
        <v>748347837.58011281</v>
      </c>
      <c r="P76" s="10"/>
      <c r="Q76" s="4"/>
      <c r="R76" s="4"/>
      <c r="S76" s="4"/>
      <c r="T76" s="4"/>
      <c r="U76" s="4"/>
      <c r="V76" s="4"/>
      <c r="W76" s="4"/>
    </row>
    <row r="77" spans="1:23" ht="15" x14ac:dyDescent="0.2">
      <c r="A77" s="17" t="s">
        <v>72</v>
      </c>
      <c r="B77" s="16">
        <v>558777045.41999996</v>
      </c>
      <c r="C77" s="16">
        <v>0</v>
      </c>
      <c r="D77" s="16">
        <v>121752329.18330142</v>
      </c>
      <c r="E77" s="16">
        <v>5642239.8300000001</v>
      </c>
      <c r="F77" s="16">
        <v>2592751.6800000002</v>
      </c>
      <c r="G77" s="16">
        <v>918239.35</v>
      </c>
      <c r="H77" s="16">
        <v>41290071.520000003</v>
      </c>
      <c r="I77" s="16">
        <v>10267143.27</v>
      </c>
      <c r="J77" s="16">
        <v>61038941.000000022</v>
      </c>
      <c r="K77" s="16">
        <v>0</v>
      </c>
      <c r="L77" s="16">
        <v>0</v>
      </c>
      <c r="M77" s="16">
        <v>0</v>
      </c>
      <c r="N77" s="18">
        <f t="shared" si="2"/>
        <v>802278761.25330138</v>
      </c>
      <c r="P77" s="10"/>
      <c r="Q77" s="4"/>
      <c r="R77" s="4"/>
      <c r="S77" s="4"/>
      <c r="T77" s="4"/>
      <c r="U77" s="4"/>
      <c r="V77" s="4"/>
      <c r="W77" s="4"/>
    </row>
    <row r="78" spans="1:23" ht="15" x14ac:dyDescent="0.2">
      <c r="A78" s="17" t="s">
        <v>73</v>
      </c>
      <c r="B78" s="16">
        <v>216950599.93000001</v>
      </c>
      <c r="C78" s="16">
        <v>0</v>
      </c>
      <c r="D78" s="16">
        <v>45271558.012819417</v>
      </c>
      <c r="E78" s="16">
        <v>2190582.98</v>
      </c>
      <c r="F78" s="16">
        <v>920790.31</v>
      </c>
      <c r="G78" s="16">
        <v>324630.07</v>
      </c>
      <c r="H78" s="16">
        <v>16031270.189999999</v>
      </c>
      <c r="I78" s="16">
        <v>3646275.18</v>
      </c>
      <c r="J78" s="16">
        <v>26176410.880000006</v>
      </c>
      <c r="K78" s="16">
        <v>0</v>
      </c>
      <c r="L78" s="16">
        <v>0</v>
      </c>
      <c r="M78" s="16">
        <v>0</v>
      </c>
      <c r="N78" s="18">
        <f t="shared" si="2"/>
        <v>311512117.55281943</v>
      </c>
      <c r="P78" s="10"/>
      <c r="Q78" s="4"/>
      <c r="R78" s="4"/>
      <c r="S78" s="4"/>
      <c r="T78" s="4"/>
      <c r="U78" s="4"/>
      <c r="V78" s="4"/>
      <c r="W78" s="4"/>
    </row>
    <row r="79" spans="1:23" ht="15" x14ac:dyDescent="0.2">
      <c r="A79" s="17" t="s">
        <v>74</v>
      </c>
      <c r="B79" s="16">
        <v>1054355362.71</v>
      </c>
      <c r="C79" s="16">
        <v>0</v>
      </c>
      <c r="D79" s="16">
        <v>271617947.67494881</v>
      </c>
      <c r="E79" s="16">
        <v>9588175.25</v>
      </c>
      <c r="F79" s="16">
        <v>4628182.91</v>
      </c>
      <c r="G79" s="16">
        <v>2411537.69</v>
      </c>
      <c r="H79" s="16">
        <v>77910158.769999996</v>
      </c>
      <c r="I79" s="16">
        <v>18327330.510000002</v>
      </c>
      <c r="J79" s="16">
        <v>141798867.39000005</v>
      </c>
      <c r="K79" s="16">
        <v>0</v>
      </c>
      <c r="L79" s="16">
        <v>0</v>
      </c>
      <c r="M79" s="16">
        <v>0</v>
      </c>
      <c r="N79" s="18">
        <f t="shared" si="2"/>
        <v>1580637562.9049489</v>
      </c>
      <c r="P79" s="10"/>
      <c r="Q79" s="4"/>
      <c r="R79" s="4"/>
      <c r="S79" s="4"/>
      <c r="T79" s="4"/>
      <c r="U79" s="4"/>
      <c r="V79" s="4"/>
      <c r="W79" s="4"/>
    </row>
    <row r="80" spans="1:23" ht="15" x14ac:dyDescent="0.2">
      <c r="A80" s="17" t="s">
        <v>75</v>
      </c>
      <c r="B80" s="16">
        <v>560488857.76000011</v>
      </c>
      <c r="C80" s="16">
        <v>0</v>
      </c>
      <c r="D80" s="16">
        <v>330669191.56719214</v>
      </c>
      <c r="E80" s="16">
        <v>5497605.2899999991</v>
      </c>
      <c r="F80" s="16">
        <v>1497495.83</v>
      </c>
      <c r="G80" s="16">
        <v>964615.07</v>
      </c>
      <c r="H80" s="16">
        <v>41416563.57</v>
      </c>
      <c r="I80" s="16">
        <v>5929994.9000000004</v>
      </c>
      <c r="J80" s="16">
        <v>91642500.780000016</v>
      </c>
      <c r="K80" s="16">
        <v>0</v>
      </c>
      <c r="L80" s="16">
        <v>0</v>
      </c>
      <c r="M80" s="16">
        <v>0</v>
      </c>
      <c r="N80" s="18">
        <f t="shared" si="2"/>
        <v>1038106824.7671924</v>
      </c>
      <c r="P80" s="10"/>
      <c r="Q80" s="4"/>
      <c r="R80" s="4"/>
      <c r="S80" s="4"/>
      <c r="T80" s="4"/>
      <c r="U80" s="4"/>
      <c r="V80" s="4"/>
      <c r="W80" s="4"/>
    </row>
    <row r="81" spans="1:23" ht="15" x14ac:dyDescent="0.2">
      <c r="A81" s="17" t="s">
        <v>76</v>
      </c>
      <c r="B81" s="16">
        <v>312621889.46000004</v>
      </c>
      <c r="C81" s="16">
        <v>0</v>
      </c>
      <c r="D81" s="16">
        <v>77970158.214706019</v>
      </c>
      <c r="E81" s="16">
        <v>2940957.59</v>
      </c>
      <c r="F81" s="16">
        <v>3889127.52</v>
      </c>
      <c r="G81" s="16">
        <v>2207484.5</v>
      </c>
      <c r="H81" s="16">
        <v>23100770.300000001</v>
      </c>
      <c r="I81" s="16">
        <v>15400714.9</v>
      </c>
      <c r="J81" s="16">
        <v>107145327.95000005</v>
      </c>
      <c r="K81" s="16">
        <v>0</v>
      </c>
      <c r="L81" s="16">
        <v>0</v>
      </c>
      <c r="M81" s="16">
        <v>0</v>
      </c>
      <c r="N81" s="18">
        <f t="shared" si="2"/>
        <v>545276430.43470597</v>
      </c>
      <c r="P81" s="10"/>
      <c r="Q81" s="4"/>
      <c r="R81" s="4"/>
      <c r="S81" s="4"/>
      <c r="T81" s="4"/>
      <c r="U81" s="4"/>
      <c r="V81" s="4"/>
      <c r="W81" s="4"/>
    </row>
    <row r="82" spans="1:23" ht="15" x14ac:dyDescent="0.2">
      <c r="A82" s="17" t="s">
        <v>77</v>
      </c>
      <c r="B82" s="16">
        <v>5011356555.25</v>
      </c>
      <c r="C82" s="16">
        <v>0</v>
      </c>
      <c r="D82" s="16">
        <v>48827508.999999993</v>
      </c>
      <c r="E82" s="16">
        <v>52122719.030000001</v>
      </c>
      <c r="F82" s="16">
        <v>112086836.15000001</v>
      </c>
      <c r="G82" s="16">
        <v>84640290.465233892</v>
      </c>
      <c r="H82" s="16">
        <v>370307392.23000002</v>
      </c>
      <c r="I82" s="16">
        <v>443857239.44999999</v>
      </c>
      <c r="J82" s="16">
        <v>889397844.14000046</v>
      </c>
      <c r="K82" s="16">
        <v>0</v>
      </c>
      <c r="L82" s="16">
        <v>0</v>
      </c>
      <c r="M82" s="16">
        <v>0</v>
      </c>
      <c r="N82" s="18">
        <f t="shared" si="2"/>
        <v>7012596385.7152328</v>
      </c>
      <c r="P82" s="10"/>
      <c r="Q82" s="4"/>
      <c r="R82" s="4"/>
      <c r="S82" s="4"/>
      <c r="T82" s="4"/>
      <c r="U82" s="4"/>
      <c r="V82" s="4"/>
      <c r="W82" s="4"/>
    </row>
    <row r="83" spans="1:23" ht="15" x14ac:dyDescent="0.2">
      <c r="A83" s="17" t="s">
        <v>78</v>
      </c>
      <c r="B83" s="16">
        <v>1403530497.5700002</v>
      </c>
      <c r="C83" s="16">
        <v>0</v>
      </c>
      <c r="D83" s="16">
        <v>85328477.241861433</v>
      </c>
      <c r="E83" s="16">
        <v>15817983.010000002</v>
      </c>
      <c r="F83" s="16">
        <v>12411284.23</v>
      </c>
      <c r="G83" s="16">
        <v>5871166.75</v>
      </c>
      <c r="H83" s="16">
        <v>103711981.53</v>
      </c>
      <c r="I83" s="16">
        <v>49147951.240000002</v>
      </c>
      <c r="J83" s="16">
        <v>192493734.02999991</v>
      </c>
      <c r="K83" s="16">
        <v>0</v>
      </c>
      <c r="L83" s="16">
        <v>0</v>
      </c>
      <c r="M83" s="16">
        <v>0</v>
      </c>
      <c r="N83" s="18">
        <f t="shared" si="2"/>
        <v>1868313075.6018615</v>
      </c>
      <c r="P83" s="10"/>
      <c r="Q83" s="4"/>
      <c r="R83" s="4"/>
      <c r="S83" s="4"/>
      <c r="T83" s="4"/>
      <c r="U83" s="4"/>
      <c r="V83" s="4"/>
      <c r="W83" s="4"/>
    </row>
    <row r="84" spans="1:23" ht="15" x14ac:dyDescent="0.2">
      <c r="A84" s="17" t="s">
        <v>79</v>
      </c>
      <c r="B84" s="16">
        <v>539169013.18000007</v>
      </c>
      <c r="C84" s="16">
        <v>0</v>
      </c>
      <c r="D84" s="16">
        <v>71528296.251917794</v>
      </c>
      <c r="E84" s="16">
        <v>4903807.53</v>
      </c>
      <c r="F84" s="16">
        <v>2490980.12</v>
      </c>
      <c r="G84" s="16">
        <v>488812.48943393707</v>
      </c>
      <c r="H84" s="16">
        <v>39841162.579999998</v>
      </c>
      <c r="I84" s="16">
        <v>9864133.9100000001</v>
      </c>
      <c r="J84" s="16">
        <v>79156478.409999952</v>
      </c>
      <c r="K84" s="16">
        <v>0</v>
      </c>
      <c r="L84" s="16">
        <v>0</v>
      </c>
      <c r="M84" s="16">
        <v>0</v>
      </c>
      <c r="N84" s="18">
        <f t="shared" si="2"/>
        <v>747442684.47135174</v>
      </c>
      <c r="P84" s="10"/>
      <c r="Q84" s="4"/>
      <c r="R84" s="4"/>
      <c r="S84" s="4"/>
      <c r="T84" s="4"/>
      <c r="U84" s="4"/>
      <c r="V84" s="4"/>
      <c r="W84" s="4"/>
    </row>
    <row r="85" spans="1:23" ht="15" x14ac:dyDescent="0.2">
      <c r="A85" s="17" t="s">
        <v>80</v>
      </c>
      <c r="B85" s="16">
        <v>445468901.51000005</v>
      </c>
      <c r="C85" s="16">
        <v>0</v>
      </c>
      <c r="D85" s="16">
        <v>66928309.042548992</v>
      </c>
      <c r="E85" s="16">
        <v>4369389.54</v>
      </c>
      <c r="F85" s="16">
        <v>1177642.3500000001</v>
      </c>
      <c r="G85" s="16">
        <v>602884.42000000004</v>
      </c>
      <c r="H85" s="16">
        <v>32917319.98</v>
      </c>
      <c r="I85" s="16">
        <v>4663394.05</v>
      </c>
      <c r="J85" s="16">
        <v>46663238.550000012</v>
      </c>
      <c r="K85" s="16">
        <v>0</v>
      </c>
      <c r="L85" s="16">
        <v>0</v>
      </c>
      <c r="M85" s="16">
        <v>0</v>
      </c>
      <c r="N85" s="18">
        <f t="shared" si="2"/>
        <v>602791079.44254899</v>
      </c>
      <c r="P85" s="10"/>
      <c r="Q85" s="4"/>
      <c r="R85" s="4"/>
      <c r="S85" s="4"/>
      <c r="T85" s="4"/>
      <c r="U85" s="4"/>
      <c r="V85" s="4"/>
      <c r="W85" s="4"/>
    </row>
    <row r="86" spans="1:23" ht="15" x14ac:dyDescent="0.2">
      <c r="A86" s="17" t="s">
        <v>81</v>
      </c>
      <c r="B86" s="16">
        <v>5727222642.0599985</v>
      </c>
      <c r="C86" s="16">
        <v>0</v>
      </c>
      <c r="D86" s="16">
        <v>46474946.360000007</v>
      </c>
      <c r="E86" s="16">
        <v>61662419.950000003</v>
      </c>
      <c r="F86" s="16">
        <v>70326572.099999994</v>
      </c>
      <c r="G86" s="16">
        <v>21158243.063612573</v>
      </c>
      <c r="H86" s="16">
        <v>423205345.27999997</v>
      </c>
      <c r="I86" s="16">
        <v>278489064.58999997</v>
      </c>
      <c r="J86" s="16">
        <v>392656846.88999981</v>
      </c>
      <c r="K86" s="16">
        <v>0</v>
      </c>
      <c r="L86" s="16">
        <v>0</v>
      </c>
      <c r="M86" s="16">
        <v>0</v>
      </c>
      <c r="N86" s="18">
        <f t="shared" si="2"/>
        <v>7021196080.2936106</v>
      </c>
      <c r="P86" s="10"/>
      <c r="Q86" s="4"/>
      <c r="R86" s="4"/>
      <c r="S86" s="4"/>
      <c r="T86" s="4"/>
      <c r="U86" s="4"/>
      <c r="V86" s="4"/>
      <c r="W86" s="4"/>
    </row>
    <row r="87" spans="1:23" ht="15" x14ac:dyDescent="0.2">
      <c r="A87" s="17" t="s">
        <v>82</v>
      </c>
      <c r="B87" s="16">
        <v>847537308.46000004</v>
      </c>
      <c r="C87" s="16">
        <v>0</v>
      </c>
      <c r="D87" s="16">
        <v>81044585.878255486</v>
      </c>
      <c r="E87" s="16">
        <v>7701291.6300000008</v>
      </c>
      <c r="F87" s="16">
        <v>1996661.11</v>
      </c>
      <c r="G87" s="16">
        <v>1753002.39</v>
      </c>
      <c r="H87" s="16">
        <v>62627619.310000002</v>
      </c>
      <c r="I87" s="16">
        <v>7906659.8600000003</v>
      </c>
      <c r="J87" s="16">
        <v>88787300.64000003</v>
      </c>
      <c r="K87" s="16">
        <v>0</v>
      </c>
      <c r="L87" s="16">
        <v>0</v>
      </c>
      <c r="M87" s="16">
        <v>0</v>
      </c>
      <c r="N87" s="18">
        <f t="shared" si="2"/>
        <v>1099354429.2782555</v>
      </c>
      <c r="P87" s="10"/>
      <c r="Q87" s="4"/>
      <c r="R87" s="4"/>
      <c r="S87" s="4"/>
      <c r="T87" s="4"/>
      <c r="U87" s="4"/>
      <c r="V87" s="4"/>
      <c r="W87" s="4"/>
    </row>
    <row r="88" spans="1:23" ht="15" x14ac:dyDescent="0.2">
      <c r="A88" s="17" t="s">
        <v>83</v>
      </c>
      <c r="B88" s="16">
        <v>679209095.23999989</v>
      </c>
      <c r="C88" s="16">
        <v>0</v>
      </c>
      <c r="D88" s="16">
        <v>23809974.161530454</v>
      </c>
      <c r="E88" s="16">
        <v>6236535.1900000004</v>
      </c>
      <c r="F88" s="16">
        <v>9799147.4800000004</v>
      </c>
      <c r="G88" s="16">
        <v>3543105.37</v>
      </c>
      <c r="H88" s="16">
        <v>50189234.409999996</v>
      </c>
      <c r="I88" s="16">
        <v>38804044.280000001</v>
      </c>
      <c r="J88" s="16">
        <v>135156089.98000005</v>
      </c>
      <c r="K88" s="16">
        <v>0</v>
      </c>
      <c r="L88" s="16">
        <v>0</v>
      </c>
      <c r="M88" s="16">
        <v>0</v>
      </c>
      <c r="N88" s="18">
        <f t="shared" si="2"/>
        <v>946747226.11153042</v>
      </c>
      <c r="P88" s="10"/>
      <c r="Q88" s="4"/>
      <c r="R88" s="4"/>
      <c r="S88" s="4"/>
      <c r="T88" s="4"/>
      <c r="U88" s="4"/>
      <c r="V88" s="4"/>
      <c r="W88" s="4"/>
    </row>
    <row r="89" spans="1:23" ht="15" x14ac:dyDescent="0.2">
      <c r="A89" s="17" t="s">
        <v>84</v>
      </c>
      <c r="B89" s="16">
        <v>1133721207.45</v>
      </c>
      <c r="C89" s="16">
        <v>0</v>
      </c>
      <c r="D89" s="16">
        <v>75511569.35041672</v>
      </c>
      <c r="E89" s="16">
        <v>10814251.539999999</v>
      </c>
      <c r="F89" s="16">
        <v>8241073.3399999999</v>
      </c>
      <c r="G89" s="16">
        <v>3858460.3</v>
      </c>
      <c r="H89" s="16">
        <v>83774790.170000002</v>
      </c>
      <c r="I89" s="16">
        <v>32634162.859999999</v>
      </c>
      <c r="J89" s="16">
        <v>138797675.25999996</v>
      </c>
      <c r="K89" s="16">
        <v>0</v>
      </c>
      <c r="L89" s="16">
        <v>0</v>
      </c>
      <c r="M89" s="16">
        <v>0</v>
      </c>
      <c r="N89" s="18">
        <f t="shared" si="2"/>
        <v>1487353190.2704165</v>
      </c>
      <c r="P89" s="10"/>
      <c r="Q89" s="4"/>
      <c r="R89" s="4"/>
      <c r="S89" s="4"/>
      <c r="T89" s="4"/>
      <c r="U89" s="4"/>
      <c r="V89" s="4"/>
      <c r="W89" s="4"/>
    </row>
    <row r="90" spans="1:23" ht="15" x14ac:dyDescent="0.2">
      <c r="A90" s="17" t="s">
        <v>85</v>
      </c>
      <c r="B90" s="16">
        <v>5307500089.6899996</v>
      </c>
      <c r="C90" s="16">
        <v>0</v>
      </c>
      <c r="D90" s="16">
        <v>24144175.777534366</v>
      </c>
      <c r="E90" s="16">
        <v>59816312.879999995</v>
      </c>
      <c r="F90" s="16">
        <v>111788790.86</v>
      </c>
      <c r="G90" s="16">
        <v>30325564.277115624</v>
      </c>
      <c r="H90" s="16">
        <v>392190516.83999997</v>
      </c>
      <c r="I90" s="16">
        <v>442676997.75</v>
      </c>
      <c r="J90" s="16">
        <v>809103832.41000044</v>
      </c>
      <c r="K90" s="16">
        <v>0</v>
      </c>
      <c r="L90" s="16">
        <v>0</v>
      </c>
      <c r="M90" s="16">
        <v>0</v>
      </c>
      <c r="N90" s="18">
        <f t="shared" si="2"/>
        <v>7177546280.4846506</v>
      </c>
      <c r="P90" s="10"/>
      <c r="Q90" s="4"/>
      <c r="R90" s="4"/>
      <c r="S90" s="4"/>
      <c r="T90" s="4"/>
      <c r="U90" s="4"/>
      <c r="V90" s="4"/>
      <c r="W90" s="4"/>
    </row>
    <row r="91" spans="1:23" ht="15" x14ac:dyDescent="0.2">
      <c r="A91" s="17" t="s">
        <v>86</v>
      </c>
      <c r="B91" s="16">
        <v>231111956.55000001</v>
      </c>
      <c r="C91" s="16">
        <v>0</v>
      </c>
      <c r="D91" s="16">
        <v>95015859.819190666</v>
      </c>
      <c r="E91" s="16">
        <v>2143145.5099999998</v>
      </c>
      <c r="F91" s="16">
        <v>2595174.81</v>
      </c>
      <c r="G91" s="16">
        <v>1317070.58</v>
      </c>
      <c r="H91" s="16">
        <v>17077704.420000002</v>
      </c>
      <c r="I91" s="16">
        <v>10276738.73</v>
      </c>
      <c r="J91" s="16">
        <v>62398886.170000032</v>
      </c>
      <c r="K91" s="16">
        <v>0</v>
      </c>
      <c r="L91" s="16">
        <v>0</v>
      </c>
      <c r="M91" s="16">
        <v>0</v>
      </c>
      <c r="N91" s="18">
        <f t="shared" si="2"/>
        <v>421936536.58919072</v>
      </c>
      <c r="P91" s="10"/>
      <c r="Q91" s="4"/>
      <c r="R91" s="4"/>
      <c r="S91" s="4"/>
      <c r="T91" s="4"/>
      <c r="U91" s="4"/>
      <c r="V91" s="4"/>
      <c r="W91" s="4"/>
    </row>
    <row r="92" spans="1:23" ht="15" x14ac:dyDescent="0.2">
      <c r="A92" s="17" t="s">
        <v>87</v>
      </c>
      <c r="B92" s="16">
        <v>344523846.67000002</v>
      </c>
      <c r="C92" s="16">
        <v>0</v>
      </c>
      <c r="D92" s="16">
        <v>1868290.8899999997</v>
      </c>
      <c r="E92" s="16">
        <v>2106286.4500000002</v>
      </c>
      <c r="F92" s="16">
        <v>554897.31999999995</v>
      </c>
      <c r="G92" s="16">
        <v>445206.96</v>
      </c>
      <c r="H92" s="16">
        <v>25458122.140000001</v>
      </c>
      <c r="I92" s="16">
        <v>2197360.5699999998</v>
      </c>
      <c r="J92" s="16">
        <v>24263174.819999989</v>
      </c>
      <c r="K92" s="16">
        <v>0</v>
      </c>
      <c r="L92" s="16">
        <v>0</v>
      </c>
      <c r="M92" s="16">
        <v>0</v>
      </c>
      <c r="N92" s="18">
        <f t="shared" si="2"/>
        <v>401417185.81999993</v>
      </c>
      <c r="P92" s="10"/>
      <c r="Q92" s="4"/>
      <c r="R92" s="4"/>
      <c r="S92" s="4"/>
      <c r="T92" s="4"/>
      <c r="U92" s="4"/>
      <c r="V92" s="4"/>
      <c r="W92" s="4"/>
    </row>
    <row r="93" spans="1:23" ht="15" x14ac:dyDescent="0.2">
      <c r="A93" s="17" t="s">
        <v>88</v>
      </c>
      <c r="B93" s="16">
        <v>3571618633</v>
      </c>
      <c r="C93" s="16">
        <v>0</v>
      </c>
      <c r="D93" s="16">
        <v>25697158.08947368</v>
      </c>
      <c r="E93" s="16">
        <v>33935083.939999998</v>
      </c>
      <c r="F93" s="16">
        <v>90600921.019999996</v>
      </c>
      <c r="G93" s="16">
        <v>17875388.679101925</v>
      </c>
      <c r="H93" s="16">
        <v>263919912.19</v>
      </c>
      <c r="I93" s="16">
        <v>358774286.76999998</v>
      </c>
      <c r="J93" s="16">
        <v>835265452.41999948</v>
      </c>
      <c r="K93" s="16">
        <v>0</v>
      </c>
      <c r="L93" s="16">
        <v>0</v>
      </c>
      <c r="M93" s="16">
        <v>0</v>
      </c>
      <c r="N93" s="18">
        <f t="shared" si="2"/>
        <v>5197686836.1085749</v>
      </c>
      <c r="P93" s="10"/>
      <c r="Q93" s="4"/>
      <c r="R93" s="4"/>
      <c r="S93" s="4"/>
      <c r="T93" s="4"/>
      <c r="U93" s="4"/>
      <c r="V93" s="4"/>
      <c r="W93" s="4"/>
    </row>
    <row r="94" spans="1:23" ht="15" x14ac:dyDescent="0.2">
      <c r="A94" s="17" t="s">
        <v>89</v>
      </c>
      <c r="B94" s="16">
        <v>2022117228.6900001</v>
      </c>
      <c r="C94" s="16">
        <v>0</v>
      </c>
      <c r="D94" s="16">
        <v>35731984.279999994</v>
      </c>
      <c r="E94" s="16">
        <v>22789573.490000002</v>
      </c>
      <c r="F94" s="16">
        <v>40967899.75</v>
      </c>
      <c r="G94" s="16">
        <v>21873285.484554693</v>
      </c>
      <c r="H94" s="16">
        <v>149421608.59999999</v>
      </c>
      <c r="I94" s="16">
        <v>162230459.12</v>
      </c>
      <c r="J94" s="16">
        <v>394484350.25000024</v>
      </c>
      <c r="K94" s="16">
        <v>0</v>
      </c>
      <c r="L94" s="16">
        <v>0</v>
      </c>
      <c r="M94" s="16">
        <v>0</v>
      </c>
      <c r="N94" s="18">
        <f t="shared" si="2"/>
        <v>2849616389.6645546</v>
      </c>
      <c r="P94" s="10"/>
      <c r="Q94" s="4"/>
      <c r="R94" s="4"/>
      <c r="S94" s="4"/>
      <c r="T94" s="4"/>
      <c r="U94" s="4"/>
      <c r="V94" s="4"/>
      <c r="W94" s="4"/>
    </row>
    <row r="95" spans="1:23" ht="15" x14ac:dyDescent="0.2">
      <c r="A95" s="17" t="s">
        <v>90</v>
      </c>
      <c r="B95" s="16">
        <v>376460385.93000007</v>
      </c>
      <c r="C95" s="16">
        <v>0</v>
      </c>
      <c r="D95" s="16">
        <v>70966415.344305545</v>
      </c>
      <c r="E95" s="16">
        <v>3612877.92</v>
      </c>
      <c r="F95" s="16">
        <v>2008776.77</v>
      </c>
      <c r="G95" s="16">
        <v>1057366.52</v>
      </c>
      <c r="H95" s="16">
        <v>27818029.370000001</v>
      </c>
      <c r="I95" s="16">
        <v>7954637.1699999999</v>
      </c>
      <c r="J95" s="16">
        <v>63052152.889999978</v>
      </c>
      <c r="K95" s="16">
        <v>0</v>
      </c>
      <c r="L95" s="16">
        <v>0</v>
      </c>
      <c r="M95" s="16">
        <v>0</v>
      </c>
      <c r="N95" s="18">
        <f t="shared" si="2"/>
        <v>552930641.91430557</v>
      </c>
      <c r="P95" s="10"/>
      <c r="Q95" s="4"/>
      <c r="R95" s="4"/>
      <c r="S95" s="4"/>
      <c r="T95" s="4"/>
      <c r="U95" s="4"/>
      <c r="V95" s="4"/>
      <c r="W95" s="4"/>
    </row>
    <row r="96" spans="1:23" ht="15" x14ac:dyDescent="0.2">
      <c r="A96" s="17" t="s">
        <v>91</v>
      </c>
      <c r="B96" s="16">
        <v>1174216808.46</v>
      </c>
      <c r="C96" s="16">
        <v>0</v>
      </c>
      <c r="D96" s="16">
        <v>204918201.40817344</v>
      </c>
      <c r="E96" s="16">
        <v>5098402.5</v>
      </c>
      <c r="F96" s="16">
        <v>11257873.199999999</v>
      </c>
      <c r="G96" s="16">
        <v>5407409.5</v>
      </c>
      <c r="H96" s="16">
        <v>86767157.650000006</v>
      </c>
      <c r="I96" s="16">
        <v>44580511.799999997</v>
      </c>
      <c r="J96" s="16">
        <v>213669436.25000006</v>
      </c>
      <c r="K96" s="16">
        <v>0</v>
      </c>
      <c r="L96" s="16">
        <v>0</v>
      </c>
      <c r="M96" s="16">
        <v>0</v>
      </c>
      <c r="N96" s="18">
        <f t="shared" si="2"/>
        <v>1745915800.7681737</v>
      </c>
      <c r="P96" s="10"/>
      <c r="Q96" s="4"/>
      <c r="R96" s="4"/>
      <c r="S96" s="4"/>
      <c r="T96" s="4"/>
      <c r="U96" s="4"/>
      <c r="V96" s="4"/>
      <c r="W96" s="4"/>
    </row>
    <row r="97" spans="1:23" ht="15" x14ac:dyDescent="0.2">
      <c r="A97" s="17" t="s">
        <v>92</v>
      </c>
      <c r="B97" s="16">
        <v>610598273.45999992</v>
      </c>
      <c r="C97" s="16">
        <v>0</v>
      </c>
      <c r="D97" s="16">
        <v>228477635.82683536</v>
      </c>
      <c r="E97" s="16">
        <v>5757350.3399999999</v>
      </c>
      <c r="F97" s="16">
        <v>5197619.03</v>
      </c>
      <c r="G97" s="16">
        <v>2782543.48</v>
      </c>
      <c r="H97" s="16">
        <v>45119330.840000004</v>
      </c>
      <c r="I97" s="16">
        <v>20582263.84</v>
      </c>
      <c r="J97" s="16">
        <v>145213110.41</v>
      </c>
      <c r="K97" s="16">
        <v>0</v>
      </c>
      <c r="L97" s="16">
        <v>0</v>
      </c>
      <c r="M97" s="16">
        <v>0</v>
      </c>
      <c r="N97" s="18">
        <f t="shared" si="2"/>
        <v>1063728127.2268354</v>
      </c>
      <c r="P97" s="10"/>
      <c r="Q97" s="4"/>
      <c r="R97" s="4"/>
      <c r="S97" s="4"/>
      <c r="T97" s="4"/>
      <c r="U97" s="4"/>
      <c r="V97" s="4"/>
      <c r="W97" s="4"/>
    </row>
    <row r="98" spans="1:23" ht="15" x14ac:dyDescent="0.2">
      <c r="A98" s="17" t="s">
        <v>93</v>
      </c>
      <c r="B98" s="16">
        <v>1718901661.49</v>
      </c>
      <c r="C98" s="16">
        <v>0</v>
      </c>
      <c r="D98" s="16">
        <v>242657165.35201555</v>
      </c>
      <c r="E98" s="16">
        <v>17847367.869999997</v>
      </c>
      <c r="F98" s="16">
        <v>12086584.48</v>
      </c>
      <c r="G98" s="16">
        <v>6659554.0700000003</v>
      </c>
      <c r="H98" s="16">
        <v>127015905.73</v>
      </c>
      <c r="I98" s="16">
        <v>47862159.469999999</v>
      </c>
      <c r="J98" s="16">
        <v>279976144.83999997</v>
      </c>
      <c r="K98" s="16">
        <v>0</v>
      </c>
      <c r="L98" s="16">
        <v>0</v>
      </c>
      <c r="M98" s="16">
        <v>0</v>
      </c>
      <c r="N98" s="18">
        <f t="shared" si="2"/>
        <v>2453006543.3020153</v>
      </c>
      <c r="P98" s="10"/>
      <c r="Q98" s="4"/>
      <c r="R98" s="4"/>
      <c r="S98" s="4"/>
      <c r="T98" s="4"/>
      <c r="U98" s="4"/>
      <c r="V98" s="4"/>
      <c r="W98" s="4"/>
    </row>
    <row r="99" spans="1:23" ht="15" x14ac:dyDescent="0.2">
      <c r="A99" s="17" t="s">
        <v>94</v>
      </c>
      <c r="B99" s="16">
        <v>1214522208.03</v>
      </c>
      <c r="C99" s="16">
        <v>0</v>
      </c>
      <c r="D99" s="16">
        <v>128908694.18480298</v>
      </c>
      <c r="E99" s="16">
        <v>11470082.92</v>
      </c>
      <c r="F99" s="16">
        <v>4480371.83</v>
      </c>
      <c r="G99" s="16">
        <v>1994156.16</v>
      </c>
      <c r="H99" s="16">
        <v>89745470.459999993</v>
      </c>
      <c r="I99" s="16">
        <v>17742007.390000001</v>
      </c>
      <c r="J99" s="16">
        <v>183586572.53999999</v>
      </c>
      <c r="K99" s="16">
        <v>0</v>
      </c>
      <c r="L99" s="16">
        <v>0</v>
      </c>
      <c r="M99" s="16">
        <v>0</v>
      </c>
      <c r="N99" s="18">
        <f t="shared" si="2"/>
        <v>1652449563.5148032</v>
      </c>
      <c r="P99" s="10"/>
      <c r="Q99" s="4"/>
      <c r="R99" s="4"/>
      <c r="S99" s="4"/>
      <c r="T99" s="4"/>
      <c r="U99" s="4"/>
      <c r="V99" s="4"/>
      <c r="W99" s="4"/>
    </row>
    <row r="100" spans="1:23" ht="15" x14ac:dyDescent="0.2">
      <c r="A100" s="17" t="s">
        <v>95</v>
      </c>
      <c r="B100" s="16">
        <v>1325046495.54</v>
      </c>
      <c r="C100" s="16">
        <v>0</v>
      </c>
      <c r="D100" s="16">
        <v>189824769.35161379</v>
      </c>
      <c r="E100" s="16">
        <v>12891050.93</v>
      </c>
      <c r="F100" s="16">
        <v>5030422.8899999997</v>
      </c>
      <c r="G100" s="16">
        <v>2374437.11</v>
      </c>
      <c r="H100" s="16">
        <v>97912512.700000003</v>
      </c>
      <c r="I100" s="16">
        <v>19920177.030000001</v>
      </c>
      <c r="J100" s="16">
        <v>141969511.14000002</v>
      </c>
      <c r="K100" s="16">
        <v>0</v>
      </c>
      <c r="L100" s="16">
        <v>0</v>
      </c>
      <c r="M100" s="16">
        <v>0</v>
      </c>
      <c r="N100" s="18">
        <f t="shared" si="2"/>
        <v>1794969376.6916139</v>
      </c>
      <c r="P100" s="10"/>
      <c r="Q100" s="4"/>
      <c r="R100" s="4"/>
      <c r="S100" s="4"/>
      <c r="T100" s="4"/>
      <c r="U100" s="4"/>
      <c r="V100" s="4"/>
      <c r="W100" s="4"/>
    </row>
    <row r="101" spans="1:23" ht="15" x14ac:dyDescent="0.2">
      <c r="A101" s="17" t="s">
        <v>96</v>
      </c>
      <c r="B101" s="16">
        <v>271538393.36000001</v>
      </c>
      <c r="C101" s="16">
        <v>0</v>
      </c>
      <c r="D101" s="16">
        <v>61132148.422492646</v>
      </c>
      <c r="E101" s="16">
        <v>2551505.8800000004</v>
      </c>
      <c r="F101" s="16">
        <v>600936.82999999996</v>
      </c>
      <c r="G101" s="16">
        <v>380280.94</v>
      </c>
      <c r="H101" s="16">
        <v>20064961.109999999</v>
      </c>
      <c r="I101" s="16">
        <v>2379674.33</v>
      </c>
      <c r="J101" s="16">
        <v>32764954.94000002</v>
      </c>
      <c r="K101" s="16">
        <v>0</v>
      </c>
      <c r="L101" s="16">
        <v>0</v>
      </c>
      <c r="M101" s="16">
        <v>0</v>
      </c>
      <c r="N101" s="18">
        <f t="shared" si="2"/>
        <v>391412855.81249261</v>
      </c>
      <c r="P101" s="10"/>
      <c r="Q101" s="4"/>
      <c r="R101" s="4"/>
      <c r="S101" s="4"/>
      <c r="T101" s="4"/>
      <c r="U101" s="4"/>
      <c r="V101" s="4"/>
      <c r="W101" s="4"/>
    </row>
    <row r="102" spans="1:23" ht="15" x14ac:dyDescent="0.2">
      <c r="A102" s="17" t="s">
        <v>97</v>
      </c>
      <c r="B102" s="16">
        <v>745831448.17000008</v>
      </c>
      <c r="C102" s="16">
        <v>0</v>
      </c>
      <c r="D102" s="16">
        <v>296508124.05853194</v>
      </c>
      <c r="E102" s="16">
        <v>8010534.7999999989</v>
      </c>
      <c r="F102" s="16">
        <v>11635881.859999999</v>
      </c>
      <c r="G102" s="16">
        <v>6103045.3700000001</v>
      </c>
      <c r="H102" s="16">
        <v>55112202.770000003</v>
      </c>
      <c r="I102" s="16">
        <v>46077403.719999999</v>
      </c>
      <c r="J102" s="16">
        <v>211021035.50000012</v>
      </c>
      <c r="K102" s="16">
        <v>0</v>
      </c>
      <c r="L102" s="16">
        <v>0</v>
      </c>
      <c r="M102" s="16">
        <v>0</v>
      </c>
      <c r="N102" s="18">
        <f t="shared" si="2"/>
        <v>1380299676.2485323</v>
      </c>
      <c r="P102" s="10"/>
      <c r="Q102" s="4"/>
      <c r="R102" s="4"/>
      <c r="S102" s="4"/>
      <c r="T102" s="4"/>
      <c r="U102" s="4"/>
      <c r="V102" s="4"/>
      <c r="W102" s="4"/>
    </row>
    <row r="103" spans="1:23" ht="15" x14ac:dyDescent="0.2">
      <c r="A103" s="17" t="s">
        <v>98</v>
      </c>
      <c r="B103" s="16">
        <v>272679601.56999999</v>
      </c>
      <c r="C103" s="16">
        <v>0</v>
      </c>
      <c r="D103" s="16">
        <v>76856448.267613545</v>
      </c>
      <c r="E103" s="16">
        <v>2547027.5099999998</v>
      </c>
      <c r="F103" s="16">
        <v>288352.75</v>
      </c>
      <c r="G103" s="16">
        <v>241153.77</v>
      </c>
      <c r="H103" s="16">
        <v>20149289.140000001</v>
      </c>
      <c r="I103" s="16">
        <v>1141859.8600000001</v>
      </c>
      <c r="J103" s="16">
        <v>46316473.019999973</v>
      </c>
      <c r="K103" s="16">
        <v>0</v>
      </c>
      <c r="L103" s="16">
        <v>0</v>
      </c>
      <c r="M103" s="16">
        <v>0</v>
      </c>
      <c r="N103" s="18">
        <f t="shared" si="2"/>
        <v>420220205.88761348</v>
      </c>
      <c r="P103" s="10"/>
      <c r="Q103" s="4"/>
      <c r="R103" s="4"/>
      <c r="S103" s="4"/>
      <c r="T103" s="4"/>
      <c r="U103" s="4"/>
      <c r="V103" s="4"/>
      <c r="W103" s="4"/>
    </row>
    <row r="104" spans="1:23" ht="15" x14ac:dyDescent="0.2">
      <c r="A104" s="17" t="s">
        <v>99</v>
      </c>
      <c r="B104" s="16">
        <v>4036384328.1999998</v>
      </c>
      <c r="C104" s="16">
        <v>0</v>
      </c>
      <c r="D104" s="16">
        <v>84237908.573245078</v>
      </c>
      <c r="E104" s="16">
        <v>39546346.020000003</v>
      </c>
      <c r="F104" s="16">
        <v>59092930.219999999</v>
      </c>
      <c r="G104" s="16">
        <v>11965771.877169332</v>
      </c>
      <c r="H104" s="16">
        <v>298263142.55000001</v>
      </c>
      <c r="I104" s="16">
        <v>234004507.40000001</v>
      </c>
      <c r="J104" s="16">
        <v>512464866.8599999</v>
      </c>
      <c r="K104" s="16">
        <v>0</v>
      </c>
      <c r="L104" s="16">
        <v>0</v>
      </c>
      <c r="M104" s="16">
        <v>0</v>
      </c>
      <c r="N104" s="18">
        <f t="shared" ref="N104:N135" si="3">SUM(B104:M104)</f>
        <v>5275959801.7004128</v>
      </c>
      <c r="P104" s="10"/>
      <c r="Q104" s="4"/>
      <c r="R104" s="4"/>
      <c r="S104" s="4"/>
      <c r="T104" s="4"/>
      <c r="U104" s="4"/>
      <c r="V104" s="4"/>
      <c r="W104" s="4"/>
    </row>
    <row r="105" spans="1:23" ht="15" x14ac:dyDescent="0.2">
      <c r="A105" s="17" t="s">
        <v>100</v>
      </c>
      <c r="B105" s="16">
        <v>717629772.17000008</v>
      </c>
      <c r="C105" s="16">
        <v>0</v>
      </c>
      <c r="D105" s="16">
        <v>16817318.949999999</v>
      </c>
      <c r="E105" s="16">
        <v>5924936.8599999994</v>
      </c>
      <c r="F105" s="16">
        <v>2546712.16</v>
      </c>
      <c r="G105" s="16">
        <v>2086907.61</v>
      </c>
      <c r="H105" s="16">
        <v>53028278.200000003</v>
      </c>
      <c r="I105" s="16">
        <v>10084829.51</v>
      </c>
      <c r="J105" s="16">
        <v>66921080.480000019</v>
      </c>
      <c r="K105" s="16">
        <v>0</v>
      </c>
      <c r="L105" s="16">
        <v>0</v>
      </c>
      <c r="M105" s="16">
        <v>0</v>
      </c>
      <c r="N105" s="18">
        <f t="shared" si="3"/>
        <v>875039835.94000018</v>
      </c>
      <c r="P105" s="10"/>
      <c r="Q105" s="4"/>
      <c r="R105" s="4"/>
      <c r="S105" s="4"/>
      <c r="T105" s="4"/>
      <c r="U105" s="4"/>
      <c r="V105" s="4"/>
      <c r="W105" s="4"/>
    </row>
    <row r="106" spans="1:23" ht="15" x14ac:dyDescent="0.2">
      <c r="A106" s="17" t="s">
        <v>101</v>
      </c>
      <c r="B106" s="16">
        <v>736909274.76999986</v>
      </c>
      <c r="C106" s="16">
        <v>0</v>
      </c>
      <c r="D106" s="16">
        <v>8110390.5899999999</v>
      </c>
      <c r="E106" s="16">
        <v>6391950.9799999995</v>
      </c>
      <c r="F106" s="16">
        <v>18045067.100000001</v>
      </c>
      <c r="G106" s="16">
        <v>5083438.7405510563</v>
      </c>
      <c r="H106" s="16">
        <v>54452910.880000003</v>
      </c>
      <c r="I106" s="16">
        <v>71457398.060000002</v>
      </c>
      <c r="J106" s="16">
        <v>175881312.15999997</v>
      </c>
      <c r="K106" s="16">
        <v>0</v>
      </c>
      <c r="L106" s="16">
        <v>0</v>
      </c>
      <c r="M106" s="16">
        <v>0</v>
      </c>
      <c r="N106" s="18">
        <f t="shared" si="3"/>
        <v>1076331743.280551</v>
      </c>
      <c r="P106" s="10"/>
      <c r="Q106" s="4"/>
      <c r="R106" s="4"/>
      <c r="S106" s="4"/>
      <c r="T106" s="4"/>
      <c r="U106" s="4"/>
      <c r="V106" s="4"/>
      <c r="W106" s="4"/>
    </row>
    <row r="107" spans="1:23" ht="15" x14ac:dyDescent="0.2">
      <c r="A107" s="17" t="s">
        <v>102</v>
      </c>
      <c r="B107" s="16">
        <v>1021346779.3799999</v>
      </c>
      <c r="C107" s="16">
        <v>0</v>
      </c>
      <c r="D107" s="16">
        <v>98480856.686825201</v>
      </c>
      <c r="E107" s="16">
        <v>9713237.6900000013</v>
      </c>
      <c r="F107" s="16">
        <v>1003176.82</v>
      </c>
      <c r="G107" s="16">
        <v>881138.77</v>
      </c>
      <c r="H107" s="16">
        <v>75471034.299999997</v>
      </c>
      <c r="I107" s="16">
        <v>3972520.85</v>
      </c>
      <c r="J107" s="16">
        <v>81485230.49999997</v>
      </c>
      <c r="K107" s="16">
        <v>0</v>
      </c>
      <c r="L107" s="16">
        <v>0</v>
      </c>
      <c r="M107" s="16">
        <v>0</v>
      </c>
      <c r="N107" s="18">
        <f t="shared" si="3"/>
        <v>1292353974.996825</v>
      </c>
      <c r="P107" s="10"/>
      <c r="Q107" s="4"/>
      <c r="R107" s="4"/>
      <c r="S107" s="4"/>
      <c r="T107" s="4"/>
      <c r="U107" s="4"/>
      <c r="V107" s="4"/>
      <c r="W107" s="4"/>
    </row>
    <row r="108" spans="1:23" ht="15" x14ac:dyDescent="0.2">
      <c r="A108" s="17" t="s">
        <v>103</v>
      </c>
      <c r="B108" s="16">
        <v>362143410.00000006</v>
      </c>
      <c r="C108" s="16">
        <v>0</v>
      </c>
      <c r="D108" s="16">
        <v>38809788.094282754</v>
      </c>
      <c r="E108" s="16">
        <v>3346166.5199999996</v>
      </c>
      <c r="F108" s="16">
        <v>1017715.61</v>
      </c>
      <c r="G108" s="16">
        <v>649260.15</v>
      </c>
      <c r="H108" s="16">
        <v>26760095.859999999</v>
      </c>
      <c r="I108" s="16">
        <v>4030093.62</v>
      </c>
      <c r="J108" s="16">
        <v>43469216.289999977</v>
      </c>
      <c r="K108" s="16">
        <v>0</v>
      </c>
      <c r="L108" s="16">
        <v>0</v>
      </c>
      <c r="M108" s="16">
        <v>0</v>
      </c>
      <c r="N108" s="18">
        <f t="shared" si="3"/>
        <v>480225746.14428276</v>
      </c>
      <c r="P108" s="10"/>
      <c r="Q108" s="4"/>
      <c r="R108" s="4"/>
      <c r="S108" s="4"/>
      <c r="T108" s="4"/>
      <c r="U108" s="4"/>
      <c r="V108" s="4"/>
      <c r="W108" s="4"/>
    </row>
    <row r="109" spans="1:23" ht="15" x14ac:dyDescent="0.2">
      <c r="A109" s="17" t="s">
        <v>104</v>
      </c>
      <c r="B109" s="16">
        <v>3481134653.5800004</v>
      </c>
      <c r="C109" s="16">
        <v>0</v>
      </c>
      <c r="D109" s="16">
        <v>43615936.208039716</v>
      </c>
      <c r="E109" s="16">
        <v>38778986.020000003</v>
      </c>
      <c r="F109" s="16">
        <v>103908764.25</v>
      </c>
      <c r="G109" s="16">
        <v>57434675.449759625</v>
      </c>
      <c r="H109" s="16">
        <v>257233721.31999999</v>
      </c>
      <c r="I109" s="16">
        <v>411472558.57999998</v>
      </c>
      <c r="J109" s="16">
        <v>793129612.42999947</v>
      </c>
      <c r="K109" s="16">
        <v>0</v>
      </c>
      <c r="L109" s="16">
        <v>0</v>
      </c>
      <c r="M109" s="16">
        <v>0</v>
      </c>
      <c r="N109" s="18">
        <f t="shared" si="3"/>
        <v>5186708907.8377991</v>
      </c>
      <c r="P109" s="10"/>
      <c r="Q109" s="4"/>
      <c r="R109" s="4"/>
      <c r="S109" s="4"/>
      <c r="T109" s="4"/>
      <c r="U109" s="4"/>
      <c r="V109" s="4"/>
      <c r="W109" s="4"/>
    </row>
    <row r="110" spans="1:23" ht="15" x14ac:dyDescent="0.2">
      <c r="A110" s="17" t="s">
        <v>105</v>
      </c>
      <c r="B110" s="16">
        <v>399007893.89999998</v>
      </c>
      <c r="C110" s="16">
        <v>0</v>
      </c>
      <c r="D110" s="16">
        <v>96967396.620913669</v>
      </c>
      <c r="E110" s="16">
        <v>4233531.54</v>
      </c>
      <c r="F110" s="16">
        <v>3971514.02</v>
      </c>
      <c r="G110" s="16">
        <v>2105457.9</v>
      </c>
      <c r="H110" s="16">
        <v>29484146.870000001</v>
      </c>
      <c r="I110" s="16">
        <v>15726960.58</v>
      </c>
      <c r="J110" s="16">
        <v>91899698.849999994</v>
      </c>
      <c r="K110" s="16">
        <v>0</v>
      </c>
      <c r="L110" s="16">
        <v>0</v>
      </c>
      <c r="M110" s="16">
        <v>0</v>
      </c>
      <c r="N110" s="18">
        <f t="shared" si="3"/>
        <v>643396600.28091371</v>
      </c>
      <c r="P110" s="10"/>
      <c r="Q110" s="4"/>
      <c r="R110" s="4"/>
      <c r="S110" s="4"/>
      <c r="T110" s="4"/>
      <c r="U110" s="4"/>
      <c r="V110" s="4"/>
      <c r="W110" s="4"/>
    </row>
    <row r="111" spans="1:23" ht="15" x14ac:dyDescent="0.2">
      <c r="A111" s="17" t="s">
        <v>106</v>
      </c>
      <c r="B111" s="16">
        <v>459232564.35000002</v>
      </c>
      <c r="C111" s="16">
        <v>0</v>
      </c>
      <c r="D111" s="16">
        <v>114282479.58726157</v>
      </c>
      <c r="E111" s="16">
        <v>4515516.87</v>
      </c>
      <c r="F111" s="16">
        <v>1383608.6</v>
      </c>
      <c r="G111" s="16">
        <v>881138.77</v>
      </c>
      <c r="H111" s="16">
        <v>33934367.170000002</v>
      </c>
      <c r="I111" s="16">
        <v>5479008.2300000004</v>
      </c>
      <c r="J111" s="16">
        <v>71595018.950000018</v>
      </c>
      <c r="K111" s="16">
        <v>0</v>
      </c>
      <c r="L111" s="16">
        <v>0</v>
      </c>
      <c r="M111" s="16">
        <v>0</v>
      </c>
      <c r="N111" s="18">
        <f t="shared" si="3"/>
        <v>691303702.52726161</v>
      </c>
      <c r="P111" s="10"/>
      <c r="Q111" s="4"/>
      <c r="R111" s="4"/>
      <c r="S111" s="4"/>
      <c r="T111" s="4"/>
      <c r="U111" s="4"/>
      <c r="V111" s="4"/>
      <c r="W111" s="4"/>
    </row>
    <row r="112" spans="1:23" ht="15" x14ac:dyDescent="0.2">
      <c r="A112" s="17" t="s">
        <v>107</v>
      </c>
      <c r="B112" s="16">
        <v>672828703.81999993</v>
      </c>
      <c r="C112" s="16">
        <v>0</v>
      </c>
      <c r="D112" s="16">
        <v>193443908.78447339</v>
      </c>
      <c r="E112" s="16">
        <v>6300559.1899999995</v>
      </c>
      <c r="F112" s="16">
        <v>1681653.89</v>
      </c>
      <c r="G112" s="16">
        <v>1048091.38</v>
      </c>
      <c r="H112" s="16">
        <v>49717764.039999999</v>
      </c>
      <c r="I112" s="16">
        <v>6659249.9299999997</v>
      </c>
      <c r="J112" s="16">
        <v>75102390.099999994</v>
      </c>
      <c r="K112" s="16">
        <v>0</v>
      </c>
      <c r="L112" s="16">
        <v>0</v>
      </c>
      <c r="M112" s="16">
        <v>0</v>
      </c>
      <c r="N112" s="18">
        <f t="shared" si="3"/>
        <v>1006782321.1344733</v>
      </c>
      <c r="P112" s="10"/>
      <c r="Q112" s="4"/>
      <c r="R112" s="4"/>
      <c r="S112" s="4"/>
      <c r="T112" s="4"/>
      <c r="U112" s="4"/>
      <c r="V112" s="4"/>
      <c r="W112" s="4"/>
    </row>
    <row r="113" spans="1:23" ht="15" x14ac:dyDescent="0.2">
      <c r="A113" s="17" t="s">
        <v>108</v>
      </c>
      <c r="B113" s="16">
        <v>532511965.21000004</v>
      </c>
      <c r="C113" s="16">
        <v>0</v>
      </c>
      <c r="D113" s="16">
        <v>251885844.36045024</v>
      </c>
      <c r="E113" s="16">
        <v>5002663.24</v>
      </c>
      <c r="F113" s="16">
        <v>2369823.5</v>
      </c>
      <c r="G113" s="16">
        <v>1354171.16</v>
      </c>
      <c r="H113" s="16">
        <v>39349249.060000002</v>
      </c>
      <c r="I113" s="16">
        <v>9384360.8599999994</v>
      </c>
      <c r="J113" s="16">
        <v>73344185.060000017</v>
      </c>
      <c r="K113" s="16">
        <v>0</v>
      </c>
      <c r="L113" s="16">
        <v>0</v>
      </c>
      <c r="M113" s="16">
        <v>0</v>
      </c>
      <c r="N113" s="18">
        <f t="shared" si="3"/>
        <v>915202262.45045042</v>
      </c>
      <c r="P113" s="10"/>
      <c r="Q113" s="4"/>
      <c r="R113" s="4"/>
      <c r="S113" s="4"/>
      <c r="T113" s="4"/>
      <c r="U113" s="4"/>
      <c r="V113" s="4"/>
      <c r="W113" s="4"/>
    </row>
    <row r="114" spans="1:23" ht="15" x14ac:dyDescent="0.2">
      <c r="A114" s="17" t="s">
        <v>109</v>
      </c>
      <c r="B114" s="16">
        <v>329774594.92999995</v>
      </c>
      <c r="C114" s="16">
        <v>0</v>
      </c>
      <c r="D114" s="16">
        <v>79809331.705884516</v>
      </c>
      <c r="E114" s="16">
        <v>3298065.58</v>
      </c>
      <c r="F114" s="16">
        <v>1434494.39</v>
      </c>
      <c r="G114" s="16">
        <v>742011.6</v>
      </c>
      <c r="H114" s="16">
        <v>24368246.190000001</v>
      </c>
      <c r="I114" s="16">
        <v>5680512.9100000001</v>
      </c>
      <c r="J114" s="16">
        <v>56027823.750000037</v>
      </c>
      <c r="K114" s="16">
        <v>0</v>
      </c>
      <c r="L114" s="16">
        <v>0</v>
      </c>
      <c r="M114" s="16">
        <v>0</v>
      </c>
      <c r="N114" s="18">
        <f t="shared" si="3"/>
        <v>501135081.05588454</v>
      </c>
      <c r="P114" s="10"/>
      <c r="Q114" s="4"/>
      <c r="R114" s="4"/>
      <c r="S114" s="4"/>
      <c r="T114" s="4"/>
      <c r="U114" s="4"/>
      <c r="V114" s="4"/>
      <c r="W114" s="4"/>
    </row>
    <row r="115" spans="1:23" ht="15" x14ac:dyDescent="0.2">
      <c r="A115" s="17" t="s">
        <v>110</v>
      </c>
      <c r="B115" s="16">
        <v>859347084.50999987</v>
      </c>
      <c r="C115" s="16">
        <v>0</v>
      </c>
      <c r="D115" s="16">
        <v>71071407.836699873</v>
      </c>
      <c r="E115" s="16">
        <v>8677243.040000001</v>
      </c>
      <c r="F115" s="16">
        <v>1485380.17</v>
      </c>
      <c r="G115" s="16">
        <v>1196493.7</v>
      </c>
      <c r="H115" s="16">
        <v>63500286.68</v>
      </c>
      <c r="I115" s="16">
        <v>5882017.5899999999</v>
      </c>
      <c r="J115" s="16">
        <v>75071986.500000015</v>
      </c>
      <c r="K115" s="16">
        <v>0</v>
      </c>
      <c r="L115" s="16">
        <v>0</v>
      </c>
      <c r="M115" s="16">
        <v>0</v>
      </c>
      <c r="N115" s="18">
        <f t="shared" si="3"/>
        <v>1086231900.0266998</v>
      </c>
      <c r="P115" s="10"/>
      <c r="Q115" s="4"/>
      <c r="R115" s="4"/>
      <c r="S115" s="4"/>
      <c r="T115" s="4"/>
      <c r="U115" s="4"/>
      <c r="V115" s="4"/>
      <c r="W115" s="4"/>
    </row>
    <row r="116" spans="1:23" ht="15" x14ac:dyDescent="0.2">
      <c r="A116" s="17" t="s">
        <v>111</v>
      </c>
      <c r="B116" s="16">
        <v>516967325.90000004</v>
      </c>
      <c r="C116" s="16">
        <v>0</v>
      </c>
      <c r="D116" s="16">
        <v>98490008.855421111</v>
      </c>
      <c r="E116" s="16">
        <v>4972641.6199999992</v>
      </c>
      <c r="F116" s="16">
        <v>4099940.04</v>
      </c>
      <c r="G116" s="16">
        <v>1882854.42</v>
      </c>
      <c r="H116" s="16">
        <v>38200599.030000001</v>
      </c>
      <c r="I116" s="16">
        <v>16235520.01</v>
      </c>
      <c r="J116" s="16">
        <v>101842500.37000006</v>
      </c>
      <c r="K116" s="16">
        <v>0</v>
      </c>
      <c r="L116" s="16">
        <v>0</v>
      </c>
      <c r="M116" s="16">
        <v>0</v>
      </c>
      <c r="N116" s="18">
        <f t="shared" si="3"/>
        <v>782691390.24542117</v>
      </c>
      <c r="P116" s="10"/>
      <c r="Q116" s="4"/>
      <c r="R116" s="4"/>
      <c r="S116" s="4"/>
      <c r="T116" s="4"/>
      <c r="U116" s="4"/>
      <c r="V116" s="4"/>
      <c r="W116" s="4"/>
    </row>
    <row r="117" spans="1:23" ht="15" x14ac:dyDescent="0.2">
      <c r="A117" s="17" t="s">
        <v>112</v>
      </c>
      <c r="B117" s="16">
        <v>265123419.87</v>
      </c>
      <c r="C117" s="16">
        <v>0</v>
      </c>
      <c r="D117" s="16">
        <v>17575967.267542757</v>
      </c>
      <c r="E117" s="16">
        <v>2535416.94</v>
      </c>
      <c r="F117" s="16">
        <v>862635.14</v>
      </c>
      <c r="G117" s="16">
        <v>500857.83</v>
      </c>
      <c r="H117" s="16">
        <v>19590935.34</v>
      </c>
      <c r="I117" s="16">
        <v>3415984.12</v>
      </c>
      <c r="J117" s="16">
        <v>30015756.59999999</v>
      </c>
      <c r="K117" s="16">
        <v>0</v>
      </c>
      <c r="L117" s="16">
        <v>0</v>
      </c>
      <c r="M117" s="16">
        <v>0</v>
      </c>
      <c r="N117" s="18">
        <f t="shared" si="3"/>
        <v>339620973.10754269</v>
      </c>
      <c r="P117" s="10"/>
      <c r="Q117" s="4"/>
      <c r="R117" s="4"/>
      <c r="S117" s="4"/>
      <c r="T117" s="4"/>
      <c r="U117" s="4"/>
      <c r="V117" s="4"/>
      <c r="W117" s="4"/>
    </row>
    <row r="118" spans="1:23" ht="15" x14ac:dyDescent="0.2">
      <c r="A118" s="17" t="s">
        <v>113</v>
      </c>
      <c r="B118" s="16">
        <v>464886732.3499999</v>
      </c>
      <c r="C118" s="16">
        <v>0</v>
      </c>
      <c r="D118" s="16">
        <v>189445044.73946711</v>
      </c>
      <c r="E118" s="16">
        <v>4266884.7699999996</v>
      </c>
      <c r="F118" s="16">
        <v>4068439.32</v>
      </c>
      <c r="G118" s="16">
        <v>2086907.61</v>
      </c>
      <c r="H118" s="16">
        <v>34352174.240000002</v>
      </c>
      <c r="I118" s="16">
        <v>16110779.02</v>
      </c>
      <c r="J118" s="16">
        <v>82735339.209999979</v>
      </c>
      <c r="K118" s="16">
        <v>0</v>
      </c>
      <c r="L118" s="16">
        <v>0</v>
      </c>
      <c r="M118" s="16">
        <v>0</v>
      </c>
      <c r="N118" s="18">
        <f t="shared" si="3"/>
        <v>797952301.25946712</v>
      </c>
      <c r="P118" s="10"/>
      <c r="Q118" s="4"/>
      <c r="R118" s="4"/>
      <c r="S118" s="4"/>
      <c r="T118" s="4"/>
      <c r="U118" s="4"/>
      <c r="V118" s="4"/>
      <c r="W118" s="4"/>
    </row>
    <row r="119" spans="1:23" ht="15" x14ac:dyDescent="0.2">
      <c r="A119" s="17" t="s">
        <v>114</v>
      </c>
      <c r="B119" s="16">
        <v>629047806.46000004</v>
      </c>
      <c r="C119" s="16">
        <v>0</v>
      </c>
      <c r="D119" s="16">
        <v>85338237.566160977</v>
      </c>
      <c r="E119" s="16">
        <v>5963189.1700000009</v>
      </c>
      <c r="F119" s="16">
        <v>3268805.62</v>
      </c>
      <c r="G119" s="16">
        <v>1400546.89</v>
      </c>
      <c r="H119" s="16">
        <v>46482634.039999999</v>
      </c>
      <c r="I119" s="16">
        <v>12944276.890000001</v>
      </c>
      <c r="J119" s="16">
        <v>75311106.780000001</v>
      </c>
      <c r="K119" s="16">
        <v>0</v>
      </c>
      <c r="L119" s="16">
        <v>0</v>
      </c>
      <c r="M119" s="16">
        <v>0</v>
      </c>
      <c r="N119" s="18">
        <f t="shared" si="3"/>
        <v>859756603.41616082</v>
      </c>
      <c r="P119" s="10"/>
      <c r="Q119" s="4"/>
      <c r="R119" s="4"/>
      <c r="S119" s="4"/>
      <c r="T119" s="4"/>
      <c r="U119" s="4"/>
      <c r="V119" s="4"/>
      <c r="W119" s="4"/>
    </row>
    <row r="120" spans="1:23" ht="15" x14ac:dyDescent="0.2">
      <c r="A120" s="17" t="s">
        <v>115</v>
      </c>
      <c r="B120" s="16">
        <v>390690906.67000008</v>
      </c>
      <c r="C120" s="16">
        <v>0</v>
      </c>
      <c r="D120" s="16">
        <v>92751943.925373167</v>
      </c>
      <c r="E120" s="16">
        <v>3792178.3000000003</v>
      </c>
      <c r="F120" s="16">
        <v>2202627.36</v>
      </c>
      <c r="G120" s="16">
        <v>1419097.18</v>
      </c>
      <c r="H120" s="16">
        <v>28869574.390000001</v>
      </c>
      <c r="I120" s="16">
        <v>8722274.0500000007</v>
      </c>
      <c r="J120" s="16">
        <v>78078930.730000019</v>
      </c>
      <c r="K120" s="16">
        <v>0</v>
      </c>
      <c r="L120" s="16">
        <v>0</v>
      </c>
      <c r="M120" s="16">
        <v>0</v>
      </c>
      <c r="N120" s="18">
        <f t="shared" si="3"/>
        <v>606527532.60537338</v>
      </c>
      <c r="P120" s="10"/>
      <c r="Q120" s="4"/>
      <c r="R120" s="4"/>
      <c r="S120" s="4"/>
      <c r="T120" s="4"/>
      <c r="U120" s="4"/>
      <c r="V120" s="4"/>
      <c r="W120" s="4"/>
    </row>
    <row r="121" spans="1:23" ht="15" x14ac:dyDescent="0.2">
      <c r="A121" s="17" t="s">
        <v>116</v>
      </c>
      <c r="B121" s="16">
        <v>477578351.11000001</v>
      </c>
      <c r="C121" s="16">
        <v>0</v>
      </c>
      <c r="D121" s="16">
        <v>117819603.02250285</v>
      </c>
      <c r="E121" s="16">
        <v>4514189.9400000004</v>
      </c>
      <c r="F121" s="16">
        <v>925636.58</v>
      </c>
      <c r="G121" s="16">
        <v>473032.39</v>
      </c>
      <c r="H121" s="16">
        <v>35290004.189999998</v>
      </c>
      <c r="I121" s="16">
        <v>3665466.1</v>
      </c>
      <c r="J121" s="16">
        <v>43385948.719999991</v>
      </c>
      <c r="K121" s="16">
        <v>0</v>
      </c>
      <c r="L121" s="16">
        <v>0</v>
      </c>
      <c r="M121" s="16">
        <v>0</v>
      </c>
      <c r="N121" s="18">
        <f t="shared" si="3"/>
        <v>683652232.05250299</v>
      </c>
      <c r="P121" s="10"/>
      <c r="Q121" s="4"/>
      <c r="R121" s="4"/>
      <c r="S121" s="4"/>
      <c r="T121" s="4"/>
      <c r="U121" s="4"/>
      <c r="V121" s="4"/>
      <c r="W121" s="4"/>
    </row>
    <row r="122" spans="1:23" ht="15" x14ac:dyDescent="0.2">
      <c r="A122" s="17" t="s">
        <v>117</v>
      </c>
      <c r="B122" s="16">
        <v>1551403417.9200003</v>
      </c>
      <c r="C122" s="16">
        <v>0</v>
      </c>
      <c r="D122" s="16">
        <v>405307684.09499997</v>
      </c>
      <c r="E122" s="16">
        <v>16656617.699999999</v>
      </c>
      <c r="F122" s="16">
        <v>27866022.780000001</v>
      </c>
      <c r="G122" s="16">
        <v>12551006.666702403</v>
      </c>
      <c r="H122" s="16">
        <v>114638850.31</v>
      </c>
      <c r="I122" s="16">
        <v>110347801.48999999</v>
      </c>
      <c r="J122" s="16">
        <v>203520657.13999987</v>
      </c>
      <c r="K122" s="16">
        <v>0</v>
      </c>
      <c r="L122" s="16">
        <v>0</v>
      </c>
      <c r="M122" s="16">
        <v>0</v>
      </c>
      <c r="N122" s="18">
        <f t="shared" si="3"/>
        <v>2442292058.1017027</v>
      </c>
      <c r="P122" s="10"/>
      <c r="Q122" s="4"/>
      <c r="R122" s="4"/>
      <c r="S122" s="4"/>
      <c r="T122" s="4"/>
      <c r="U122" s="4"/>
      <c r="V122" s="4"/>
      <c r="W122" s="4"/>
    </row>
    <row r="123" spans="1:23" ht="15" x14ac:dyDescent="0.2">
      <c r="A123" s="17" t="s">
        <v>118</v>
      </c>
      <c r="B123" s="16">
        <v>3423503638.1800003</v>
      </c>
      <c r="C123" s="16">
        <v>0</v>
      </c>
      <c r="D123" s="16">
        <v>107459099.96000001</v>
      </c>
      <c r="E123" s="16">
        <v>33874006.25</v>
      </c>
      <c r="F123" s="16">
        <v>38736194.789999999</v>
      </c>
      <c r="G123" s="16">
        <v>32409053.091385078</v>
      </c>
      <c r="H123" s="16">
        <v>252975155.65000001</v>
      </c>
      <c r="I123" s="16">
        <v>153393039.53999999</v>
      </c>
      <c r="J123" s="16">
        <v>265555521.75000009</v>
      </c>
      <c r="K123" s="16">
        <v>0</v>
      </c>
      <c r="L123" s="16">
        <v>0</v>
      </c>
      <c r="M123" s="16">
        <v>0</v>
      </c>
      <c r="N123" s="18">
        <f t="shared" si="3"/>
        <v>4307905709.2113857</v>
      </c>
      <c r="P123" s="10"/>
      <c r="Q123" s="4"/>
      <c r="R123" s="4"/>
      <c r="S123" s="4"/>
      <c r="T123" s="4"/>
      <c r="U123" s="4"/>
      <c r="V123" s="4"/>
      <c r="W123" s="4"/>
    </row>
    <row r="124" spans="1:23" ht="15" x14ac:dyDescent="0.2">
      <c r="A124" s="17" t="s">
        <v>119</v>
      </c>
      <c r="B124" s="16">
        <v>3006876180.8200002</v>
      </c>
      <c r="C124" s="16">
        <v>0</v>
      </c>
      <c r="D124" s="16">
        <v>16996745.960000001</v>
      </c>
      <c r="E124" s="16">
        <v>30719206.879999999</v>
      </c>
      <c r="F124" s="16">
        <v>49603943.68</v>
      </c>
      <c r="G124" s="16">
        <v>0</v>
      </c>
      <c r="H124" s="16">
        <v>222189035.05000001</v>
      </c>
      <c r="I124" s="16">
        <v>196428682.12</v>
      </c>
      <c r="J124" s="16">
        <v>379918830.72999978</v>
      </c>
      <c r="K124" s="16">
        <v>0</v>
      </c>
      <c r="L124" s="16">
        <v>0</v>
      </c>
      <c r="M124" s="16">
        <v>0</v>
      </c>
      <c r="N124" s="18">
        <f t="shared" si="3"/>
        <v>3902732625.2399998</v>
      </c>
      <c r="P124" s="10"/>
      <c r="Q124" s="4"/>
      <c r="R124" s="4"/>
      <c r="S124" s="4"/>
      <c r="T124" s="4"/>
      <c r="U124" s="4"/>
      <c r="V124" s="4"/>
      <c r="W124" s="4"/>
    </row>
    <row r="125" spans="1:23" ht="15" x14ac:dyDescent="0.2">
      <c r="A125" s="17" t="s">
        <v>120</v>
      </c>
      <c r="B125" s="16">
        <v>988943382.18999994</v>
      </c>
      <c r="C125" s="16">
        <v>0</v>
      </c>
      <c r="D125" s="16">
        <v>69951792.274360627</v>
      </c>
      <c r="E125" s="16">
        <v>9427285.9199999999</v>
      </c>
      <c r="F125" s="16">
        <v>19288134.02</v>
      </c>
      <c r="G125" s="16">
        <v>8885588.8599999994</v>
      </c>
      <c r="H125" s="16">
        <v>73076629.230000004</v>
      </c>
      <c r="I125" s="16">
        <v>76379869.560000002</v>
      </c>
      <c r="J125" s="16">
        <v>234775566.29999995</v>
      </c>
      <c r="K125" s="16">
        <v>0</v>
      </c>
      <c r="L125" s="16">
        <v>0</v>
      </c>
      <c r="M125" s="16">
        <v>0</v>
      </c>
      <c r="N125" s="18">
        <f t="shared" si="3"/>
        <v>1480728248.3543603</v>
      </c>
      <c r="P125" s="10"/>
      <c r="Q125" s="4"/>
      <c r="R125" s="4"/>
      <c r="S125" s="4"/>
      <c r="T125" s="4"/>
      <c r="U125" s="4"/>
      <c r="V125" s="4"/>
      <c r="W125" s="4"/>
    </row>
    <row r="126" spans="1:23" ht="15" x14ac:dyDescent="0.2">
      <c r="A126" s="17" t="s">
        <v>121</v>
      </c>
      <c r="B126" s="16">
        <v>1101940287.53</v>
      </c>
      <c r="C126" s="16">
        <v>0</v>
      </c>
      <c r="D126" s="16">
        <v>111906061.37238118</v>
      </c>
      <c r="E126" s="16">
        <v>10740939.07</v>
      </c>
      <c r="F126" s="16">
        <v>9656182.6699999999</v>
      </c>
      <c r="G126" s="16">
        <v>3635856.82</v>
      </c>
      <c r="H126" s="16">
        <v>81426382.219999999</v>
      </c>
      <c r="I126" s="16">
        <v>38237912.079999998</v>
      </c>
      <c r="J126" s="16">
        <v>161089819.84999999</v>
      </c>
      <c r="K126" s="16">
        <v>0</v>
      </c>
      <c r="L126" s="16">
        <v>0</v>
      </c>
      <c r="M126" s="16">
        <v>0</v>
      </c>
      <c r="N126" s="18">
        <f t="shared" si="3"/>
        <v>1518633441.612381</v>
      </c>
      <c r="P126" s="10"/>
      <c r="Q126" s="4"/>
      <c r="R126" s="4"/>
      <c r="S126" s="4"/>
      <c r="T126" s="4"/>
      <c r="U126" s="4"/>
      <c r="V126" s="4"/>
      <c r="W126" s="4"/>
    </row>
    <row r="127" spans="1:23" ht="15" x14ac:dyDescent="0.2">
      <c r="A127" s="17" t="s">
        <v>122</v>
      </c>
      <c r="B127" s="16">
        <v>621785572.28000009</v>
      </c>
      <c r="C127" s="16">
        <v>0</v>
      </c>
      <c r="D127" s="16">
        <v>39633390.519578554</v>
      </c>
      <c r="E127" s="16">
        <v>5805119.5500000007</v>
      </c>
      <c r="F127" s="16">
        <v>10249850.109999999</v>
      </c>
      <c r="G127" s="16">
        <v>5194081.17</v>
      </c>
      <c r="H127" s="16">
        <v>45946001.109999999</v>
      </c>
      <c r="I127" s="16">
        <v>40588800.030000001</v>
      </c>
      <c r="J127" s="16">
        <v>178612158.77999997</v>
      </c>
      <c r="K127" s="16">
        <v>0</v>
      </c>
      <c r="L127" s="16">
        <v>0</v>
      </c>
      <c r="M127" s="16">
        <v>0</v>
      </c>
      <c r="N127" s="18">
        <f t="shared" si="3"/>
        <v>947814973.54957855</v>
      </c>
      <c r="P127" s="10"/>
      <c r="Q127" s="4"/>
      <c r="R127" s="4"/>
      <c r="S127" s="4"/>
      <c r="T127" s="4"/>
      <c r="U127" s="4"/>
      <c r="V127" s="4"/>
      <c r="W127" s="4"/>
    </row>
    <row r="128" spans="1:23" ht="15" x14ac:dyDescent="0.2">
      <c r="A128" s="17" t="s">
        <v>123</v>
      </c>
      <c r="B128" s="16">
        <v>290575821.48000002</v>
      </c>
      <c r="C128" s="16">
        <v>0</v>
      </c>
      <c r="D128" s="16">
        <v>48406047.921987288</v>
      </c>
      <c r="E128" s="16">
        <v>2933991.25</v>
      </c>
      <c r="F128" s="16">
        <v>937752.24</v>
      </c>
      <c r="G128" s="16">
        <v>621434.71</v>
      </c>
      <c r="H128" s="16">
        <v>21471706.02</v>
      </c>
      <c r="I128" s="16">
        <v>3713443.41</v>
      </c>
      <c r="J128" s="16">
        <v>38384692.149999991</v>
      </c>
      <c r="K128" s="16">
        <v>0</v>
      </c>
      <c r="L128" s="16">
        <v>0</v>
      </c>
      <c r="M128" s="16">
        <v>0</v>
      </c>
      <c r="N128" s="18">
        <f t="shared" si="3"/>
        <v>407044889.18198729</v>
      </c>
      <c r="P128" s="10"/>
      <c r="Q128" s="4"/>
      <c r="R128" s="4"/>
      <c r="S128" s="4"/>
      <c r="T128" s="4"/>
      <c r="U128" s="4"/>
      <c r="V128" s="4"/>
      <c r="W128" s="4"/>
    </row>
    <row r="129" spans="1:23" ht="15" x14ac:dyDescent="0.2">
      <c r="A129" s="17" t="s">
        <v>124</v>
      </c>
      <c r="B129" s="16">
        <v>1810751632.5900002</v>
      </c>
      <c r="C129" s="16">
        <v>0</v>
      </c>
      <c r="D129" s="16">
        <v>365463256.96878493</v>
      </c>
      <c r="E129" s="16">
        <v>13712526.580000002</v>
      </c>
      <c r="F129" s="16">
        <v>11926657.75</v>
      </c>
      <c r="G129" s="16">
        <v>7707645.4500000002</v>
      </c>
      <c r="H129" s="16">
        <v>133803034.7</v>
      </c>
      <c r="I129" s="16">
        <v>47228859.039999999</v>
      </c>
      <c r="J129" s="16">
        <v>240510070.18999997</v>
      </c>
      <c r="K129" s="16">
        <v>0</v>
      </c>
      <c r="L129" s="16">
        <v>0</v>
      </c>
      <c r="M129" s="16">
        <v>0</v>
      </c>
      <c r="N129" s="18">
        <f t="shared" si="3"/>
        <v>2631103683.2687845</v>
      </c>
      <c r="P129" s="10"/>
      <c r="Q129" s="4"/>
      <c r="R129" s="4"/>
      <c r="S129" s="4"/>
      <c r="T129" s="4"/>
      <c r="U129" s="4"/>
      <c r="V129" s="4"/>
      <c r="W129" s="4"/>
    </row>
    <row r="130" spans="1:23" ht="15" x14ac:dyDescent="0.2">
      <c r="A130" s="17" t="s">
        <v>125</v>
      </c>
      <c r="B130" s="16">
        <v>489630201.60000002</v>
      </c>
      <c r="C130" s="16">
        <v>0</v>
      </c>
      <c r="D130" s="16">
        <v>112125756.46924886</v>
      </c>
      <c r="E130" s="16">
        <v>4943946.9300000006</v>
      </c>
      <c r="F130" s="16">
        <v>1475687.64</v>
      </c>
      <c r="G130" s="16">
        <v>575058.99</v>
      </c>
      <c r="H130" s="16">
        <v>36180559.32</v>
      </c>
      <c r="I130" s="16">
        <v>5843635.75</v>
      </c>
      <c r="J130" s="16">
        <v>66103469.910000026</v>
      </c>
      <c r="K130" s="16">
        <v>0</v>
      </c>
      <c r="L130" s="16">
        <v>0</v>
      </c>
      <c r="M130" s="16">
        <v>0</v>
      </c>
      <c r="N130" s="18">
        <f t="shared" si="3"/>
        <v>716878316.60924888</v>
      </c>
      <c r="P130" s="10"/>
      <c r="Q130" s="4"/>
      <c r="R130" s="4"/>
      <c r="S130" s="4"/>
      <c r="T130" s="4"/>
      <c r="U130" s="4"/>
      <c r="V130" s="4"/>
      <c r="W130" s="4"/>
    </row>
    <row r="131" spans="1:23" ht="15" x14ac:dyDescent="0.2">
      <c r="A131" s="17" t="s">
        <v>126</v>
      </c>
      <c r="B131" s="16">
        <v>3075452420.5699997</v>
      </c>
      <c r="C131" s="16">
        <v>0</v>
      </c>
      <c r="D131" s="16">
        <v>251768121.89000005</v>
      </c>
      <c r="E131" s="16">
        <v>55405043.410000004</v>
      </c>
      <c r="F131" s="16">
        <v>65160453.789999999</v>
      </c>
      <c r="G131" s="16">
        <v>6518168.0733990297</v>
      </c>
      <c r="H131" s="16">
        <v>227256383.22</v>
      </c>
      <c r="I131" s="16">
        <v>258031541.74000001</v>
      </c>
      <c r="J131" s="16">
        <v>519376072.56000012</v>
      </c>
      <c r="K131" s="16">
        <v>0</v>
      </c>
      <c r="L131" s="16">
        <v>0</v>
      </c>
      <c r="M131" s="16">
        <v>0</v>
      </c>
      <c r="N131" s="18">
        <f t="shared" si="3"/>
        <v>4458968205.2533989</v>
      </c>
      <c r="P131" s="10"/>
      <c r="Q131" s="4"/>
      <c r="R131" s="4"/>
      <c r="S131" s="4"/>
      <c r="T131" s="4"/>
      <c r="U131" s="4"/>
      <c r="V131" s="4"/>
      <c r="W131" s="4"/>
    </row>
    <row r="132" spans="1:23" ht="15" x14ac:dyDescent="0.2">
      <c r="A132" s="17" t="s">
        <v>127</v>
      </c>
      <c r="B132" s="16">
        <v>121210146.24999999</v>
      </c>
      <c r="C132" s="16">
        <v>0</v>
      </c>
      <c r="D132" s="16">
        <v>12290018.944318678</v>
      </c>
      <c r="E132" s="16">
        <v>1157739.77</v>
      </c>
      <c r="F132" s="16">
        <v>278660.21999999997</v>
      </c>
      <c r="G132" s="16">
        <v>139127.17000000001</v>
      </c>
      <c r="H132" s="16">
        <v>8956659.2799999993</v>
      </c>
      <c r="I132" s="16">
        <v>1103478.01</v>
      </c>
      <c r="J132" s="16">
        <v>18650285.300000001</v>
      </c>
      <c r="K132" s="16">
        <v>0</v>
      </c>
      <c r="L132" s="16">
        <v>0</v>
      </c>
      <c r="M132" s="16">
        <v>0</v>
      </c>
      <c r="N132" s="18">
        <f t="shared" si="3"/>
        <v>163786114.94431865</v>
      </c>
      <c r="P132" s="10"/>
      <c r="Q132" s="4"/>
      <c r="R132" s="4"/>
      <c r="S132" s="4"/>
      <c r="T132" s="4"/>
      <c r="U132" s="4"/>
      <c r="V132" s="4"/>
      <c r="W132" s="4"/>
    </row>
    <row r="133" spans="1:23" ht="15" x14ac:dyDescent="0.2">
      <c r="A133" s="17" t="s">
        <v>128</v>
      </c>
      <c r="B133" s="16">
        <v>759128253.06000006</v>
      </c>
      <c r="C133" s="16">
        <v>0</v>
      </c>
      <c r="D133" s="16">
        <v>70081992.075421125</v>
      </c>
      <c r="E133" s="16">
        <v>2648225.83</v>
      </c>
      <c r="F133" s="16">
        <v>1008023.08</v>
      </c>
      <c r="G133" s="16">
        <v>788387.32</v>
      </c>
      <c r="H133" s="16">
        <v>56094752.130000003</v>
      </c>
      <c r="I133" s="16">
        <v>3991711.78</v>
      </c>
      <c r="J133" s="16">
        <v>68797886.950000018</v>
      </c>
      <c r="K133" s="16">
        <v>0</v>
      </c>
      <c r="L133" s="16">
        <v>0</v>
      </c>
      <c r="M133" s="16">
        <v>0</v>
      </c>
      <c r="N133" s="18">
        <f t="shared" si="3"/>
        <v>962539232.22542131</v>
      </c>
      <c r="P133" s="10"/>
      <c r="Q133" s="4"/>
      <c r="R133" s="4"/>
      <c r="S133" s="4"/>
      <c r="T133" s="4"/>
      <c r="U133" s="4"/>
      <c r="V133" s="4"/>
      <c r="W133" s="4"/>
    </row>
    <row r="134" spans="1:23" ht="15" x14ac:dyDescent="0.2">
      <c r="A134" s="17" t="s">
        <v>129</v>
      </c>
      <c r="B134" s="16">
        <v>1311455743.02</v>
      </c>
      <c r="C134" s="16">
        <v>0</v>
      </c>
      <c r="D134" s="16">
        <v>232673949.56765544</v>
      </c>
      <c r="E134" s="16">
        <v>13057247.939999998</v>
      </c>
      <c r="F134" s="16">
        <v>4703300.01</v>
      </c>
      <c r="G134" s="16">
        <v>2606315.73</v>
      </c>
      <c r="H134" s="16">
        <v>96908242.489999995</v>
      </c>
      <c r="I134" s="16">
        <v>18624789.800000001</v>
      </c>
      <c r="J134" s="16">
        <v>155369832.89000002</v>
      </c>
      <c r="K134" s="16">
        <v>0</v>
      </c>
      <c r="L134" s="16">
        <v>0</v>
      </c>
      <c r="M134" s="16">
        <v>0</v>
      </c>
      <c r="N134" s="18">
        <f t="shared" si="3"/>
        <v>1835399421.4476557</v>
      </c>
      <c r="P134" s="10"/>
      <c r="Q134" s="4"/>
      <c r="R134" s="4"/>
      <c r="S134" s="4"/>
      <c r="T134" s="4"/>
      <c r="U134" s="4"/>
      <c r="V134" s="4"/>
      <c r="W134" s="4"/>
    </row>
    <row r="135" spans="1:23" ht="15" x14ac:dyDescent="0.2">
      <c r="A135" s="17" t="s">
        <v>130</v>
      </c>
      <c r="B135" s="16">
        <v>1084735708.95</v>
      </c>
      <c r="C135" s="16">
        <v>0</v>
      </c>
      <c r="D135" s="16">
        <v>296278028.9795565</v>
      </c>
      <c r="E135" s="16">
        <v>11658503.1</v>
      </c>
      <c r="F135" s="16">
        <v>7080392.9100000001</v>
      </c>
      <c r="G135" s="16">
        <v>3301951.6</v>
      </c>
      <c r="H135" s="16">
        <v>80155073.230000004</v>
      </c>
      <c r="I135" s="16">
        <v>28037937.039999999</v>
      </c>
      <c r="J135" s="16">
        <v>160179355.05999994</v>
      </c>
      <c r="K135" s="16">
        <v>0</v>
      </c>
      <c r="L135" s="16">
        <v>0</v>
      </c>
      <c r="M135" s="16">
        <v>0</v>
      </c>
      <c r="N135" s="18">
        <f t="shared" si="3"/>
        <v>1671426950.8695564</v>
      </c>
      <c r="P135" s="10"/>
      <c r="Q135" s="4"/>
      <c r="R135" s="4"/>
      <c r="S135" s="4"/>
      <c r="T135" s="4"/>
      <c r="U135" s="4"/>
      <c r="V135" s="4"/>
      <c r="W135" s="4"/>
    </row>
    <row r="136" spans="1:23" ht="15" x14ac:dyDescent="0.2">
      <c r="A136" s="17" t="s">
        <v>131</v>
      </c>
      <c r="B136" s="16">
        <v>1750094686.3199997</v>
      </c>
      <c r="C136" s="16">
        <v>0</v>
      </c>
      <c r="D136" s="16">
        <v>22771799.52</v>
      </c>
      <c r="E136" s="16">
        <v>19723836.100000001</v>
      </c>
      <c r="F136" s="16">
        <v>42126157.039999999</v>
      </c>
      <c r="G136" s="16">
        <v>23838155.27330162</v>
      </c>
      <c r="H136" s="16">
        <v>129320871.97</v>
      </c>
      <c r="I136" s="16">
        <v>166817089.47999999</v>
      </c>
      <c r="J136" s="16">
        <v>364173870.21999991</v>
      </c>
      <c r="K136" s="16">
        <v>0</v>
      </c>
      <c r="L136" s="16">
        <v>0</v>
      </c>
      <c r="M136" s="16">
        <v>0</v>
      </c>
      <c r="N136" s="18">
        <f t="shared" ref="N136:N142" si="4">SUM(B136:M136)</f>
        <v>2518866465.9233007</v>
      </c>
      <c r="P136" s="10"/>
      <c r="Q136" s="4"/>
      <c r="R136" s="4"/>
      <c r="S136" s="4"/>
      <c r="T136" s="4"/>
      <c r="U136" s="4"/>
      <c r="V136" s="4"/>
      <c r="W136" s="4"/>
    </row>
    <row r="137" spans="1:23" ht="15" x14ac:dyDescent="0.2">
      <c r="A137" s="17" t="s">
        <v>132</v>
      </c>
      <c r="B137" s="16">
        <v>280218492.28000003</v>
      </c>
      <c r="C137" s="16">
        <v>0</v>
      </c>
      <c r="D137" s="16">
        <v>36878059.211012527</v>
      </c>
      <c r="E137" s="16">
        <v>2829496.1100000003</v>
      </c>
      <c r="F137" s="16">
        <v>504011.54</v>
      </c>
      <c r="G137" s="16">
        <v>482307.54</v>
      </c>
      <c r="H137" s="16">
        <v>20706365.239999998</v>
      </c>
      <c r="I137" s="16">
        <v>1995855.89</v>
      </c>
      <c r="J137" s="16">
        <v>35724787.269999988</v>
      </c>
      <c r="K137" s="16">
        <v>0</v>
      </c>
      <c r="L137" s="16">
        <v>0</v>
      </c>
      <c r="M137" s="16">
        <v>0</v>
      </c>
      <c r="N137" s="18">
        <f t="shared" si="4"/>
        <v>379339375.08101261</v>
      </c>
      <c r="P137" s="10"/>
      <c r="Q137" s="4"/>
      <c r="R137" s="4"/>
      <c r="S137" s="4"/>
      <c r="T137" s="4"/>
      <c r="U137" s="4"/>
      <c r="V137" s="4"/>
      <c r="W137" s="4"/>
    </row>
    <row r="138" spans="1:23" ht="15" x14ac:dyDescent="0.2">
      <c r="A138" s="17" t="s">
        <v>133</v>
      </c>
      <c r="B138" s="16">
        <v>791133956.46000004</v>
      </c>
      <c r="C138" s="16">
        <v>0</v>
      </c>
      <c r="D138" s="16">
        <v>207055279.3340663</v>
      </c>
      <c r="E138" s="16">
        <v>7231063.5099999998</v>
      </c>
      <c r="F138" s="16">
        <v>4388292.8</v>
      </c>
      <c r="G138" s="16">
        <v>1882854.42</v>
      </c>
      <c r="H138" s="16">
        <v>58459770.149999999</v>
      </c>
      <c r="I138" s="16">
        <v>17377379.870000001</v>
      </c>
      <c r="J138" s="16">
        <v>129805876.58999997</v>
      </c>
      <c r="K138" s="16">
        <v>0</v>
      </c>
      <c r="L138" s="16">
        <v>0</v>
      </c>
      <c r="M138" s="16">
        <v>0</v>
      </c>
      <c r="N138" s="18">
        <f t="shared" si="4"/>
        <v>1217334473.1340661</v>
      </c>
      <c r="P138" s="10"/>
      <c r="Q138" s="4"/>
      <c r="R138" s="4"/>
      <c r="S138" s="4"/>
      <c r="T138" s="4"/>
      <c r="U138" s="4"/>
      <c r="V138" s="4"/>
      <c r="W138" s="4"/>
    </row>
    <row r="139" spans="1:23" ht="15" x14ac:dyDescent="0.2">
      <c r="A139" s="17" t="s">
        <v>134</v>
      </c>
      <c r="B139" s="16">
        <v>2781452974.3000002</v>
      </c>
      <c r="C139" s="16">
        <v>0</v>
      </c>
      <c r="D139" s="16">
        <v>56825213.865000002</v>
      </c>
      <c r="E139" s="16">
        <v>28085473.23</v>
      </c>
      <c r="F139" s="16">
        <v>22569055.32</v>
      </c>
      <c r="G139" s="16">
        <v>22004343.668294985</v>
      </c>
      <c r="H139" s="16">
        <v>205531693.06999999</v>
      </c>
      <c r="I139" s="16">
        <v>89372123.730000004</v>
      </c>
      <c r="J139" s="16">
        <v>231775743.58999994</v>
      </c>
      <c r="K139" s="16">
        <v>0</v>
      </c>
      <c r="L139" s="16">
        <v>0</v>
      </c>
      <c r="M139" s="16">
        <v>0</v>
      </c>
      <c r="N139" s="18">
        <f t="shared" si="4"/>
        <v>3437616620.7732954</v>
      </c>
      <c r="P139" s="10"/>
      <c r="Q139" s="4"/>
      <c r="R139" s="4"/>
      <c r="S139" s="4"/>
      <c r="T139" s="4"/>
      <c r="U139" s="4"/>
      <c r="V139" s="4"/>
      <c r="W139" s="4"/>
    </row>
    <row r="140" spans="1:23" ht="15" x14ac:dyDescent="0.2">
      <c r="A140" s="17" t="s">
        <v>135</v>
      </c>
      <c r="B140" s="16">
        <v>819871654.51999998</v>
      </c>
      <c r="C140" s="16">
        <v>0</v>
      </c>
      <c r="D140" s="16">
        <v>10384591.18</v>
      </c>
      <c r="E140" s="16">
        <v>8278668.7299999995</v>
      </c>
      <c r="F140" s="16">
        <v>3721931.39</v>
      </c>
      <c r="G140" s="16">
        <v>1984881.02</v>
      </c>
      <c r="H140" s="16">
        <v>60583303.350000001</v>
      </c>
      <c r="I140" s="16">
        <v>14738628.1</v>
      </c>
      <c r="J140" s="16">
        <v>58586383.209999979</v>
      </c>
      <c r="K140" s="16">
        <v>0</v>
      </c>
      <c r="L140" s="16">
        <v>0</v>
      </c>
      <c r="M140" s="16">
        <v>0</v>
      </c>
      <c r="N140" s="18">
        <f t="shared" si="4"/>
        <v>978150041.5</v>
      </c>
      <c r="P140" s="10"/>
      <c r="Q140" s="4"/>
      <c r="R140" s="4"/>
      <c r="S140" s="4"/>
      <c r="T140" s="4"/>
      <c r="U140" s="4"/>
      <c r="V140" s="4"/>
      <c r="W140" s="4"/>
    </row>
    <row r="141" spans="1:23" ht="15" x14ac:dyDescent="0.2">
      <c r="A141" s="17" t="s">
        <v>136</v>
      </c>
      <c r="B141" s="16">
        <v>950332503.8900001</v>
      </c>
      <c r="C141" s="16">
        <v>0</v>
      </c>
      <c r="D141" s="16">
        <v>89202458.377753794</v>
      </c>
      <c r="E141" s="16">
        <v>9215144.1999999993</v>
      </c>
      <c r="F141" s="16">
        <v>5367238.3</v>
      </c>
      <c r="G141" s="16">
        <v>1734452.1</v>
      </c>
      <c r="H141" s="16">
        <v>70223530.780000001</v>
      </c>
      <c r="I141" s="16">
        <v>21253946.109999999</v>
      </c>
      <c r="J141" s="16">
        <v>162934579.27000004</v>
      </c>
      <c r="K141" s="16">
        <v>0</v>
      </c>
      <c r="L141" s="16">
        <v>0</v>
      </c>
      <c r="M141" s="16">
        <v>0</v>
      </c>
      <c r="N141" s="18">
        <f t="shared" si="4"/>
        <v>1310263853.0277538</v>
      </c>
      <c r="P141" s="10"/>
      <c r="Q141" s="4"/>
      <c r="R141" s="4"/>
      <c r="S141" s="4"/>
      <c r="T141" s="4"/>
      <c r="U141" s="4"/>
      <c r="V141" s="4"/>
      <c r="W141" s="4"/>
    </row>
    <row r="142" spans="1:23" ht="15" x14ac:dyDescent="0.2">
      <c r="A142" s="17" t="s">
        <v>137</v>
      </c>
      <c r="B142" s="16">
        <v>928908913.11000013</v>
      </c>
      <c r="C142" s="16">
        <v>0</v>
      </c>
      <c r="D142" s="16">
        <v>78847940.40188241</v>
      </c>
      <c r="E142" s="16">
        <v>9730939.2300000004</v>
      </c>
      <c r="F142" s="16">
        <v>23075489.989999998</v>
      </c>
      <c r="G142" s="16">
        <v>7002734.4299999997</v>
      </c>
      <c r="H142" s="16">
        <v>68640463.609999999</v>
      </c>
      <c r="I142" s="16">
        <v>91377575.099999994</v>
      </c>
      <c r="J142" s="16">
        <v>220865778.58999994</v>
      </c>
      <c r="K142" s="16">
        <v>0</v>
      </c>
      <c r="L142" s="16">
        <v>0</v>
      </c>
      <c r="M142" s="16">
        <v>0</v>
      </c>
      <c r="N142" s="18">
        <f t="shared" si="4"/>
        <v>1428449834.4618824</v>
      </c>
      <c r="P142" s="10"/>
      <c r="Q142" s="4"/>
      <c r="R142" s="4"/>
      <c r="S142" s="4"/>
      <c r="T142" s="4"/>
      <c r="U142" s="4"/>
      <c r="V142" s="4"/>
      <c r="W142" s="4"/>
    </row>
    <row r="143" spans="1:23" ht="24.75" customHeight="1" x14ac:dyDescent="0.2">
      <c r="A143" s="22" t="s">
        <v>138</v>
      </c>
      <c r="B143" s="23">
        <f t="shared" ref="B143:I143" si="5">SUM(B8:B142)</f>
        <v>172910337134.30002</v>
      </c>
      <c r="C143" s="23"/>
      <c r="D143" s="23">
        <f t="shared" si="5"/>
        <v>14331535952.479282</v>
      </c>
      <c r="E143" s="23">
        <f t="shared" si="5"/>
        <v>1768767669.5499997</v>
      </c>
      <c r="F143" s="23">
        <f t="shared" si="5"/>
        <v>2423132415.7799988</v>
      </c>
      <c r="G143" s="23">
        <f t="shared" si="5"/>
        <v>927514494.5</v>
      </c>
      <c r="H143" s="23">
        <f t="shared" si="5"/>
        <v>12776974723.630003</v>
      </c>
      <c r="I143" s="23">
        <f t="shared" si="5"/>
        <v>9595460999.510004</v>
      </c>
      <c r="J143" s="23">
        <f t="shared" ref="J143:N143" si="6">SUM(J8:J142)</f>
        <v>27390637942.069988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242124361331.81934</v>
      </c>
      <c r="P143" s="10"/>
      <c r="Q143" s="4"/>
      <c r="R143" s="4"/>
      <c r="S143" s="4"/>
      <c r="T143" s="4"/>
      <c r="U143" s="4"/>
      <c r="V143" s="4"/>
      <c r="W143" s="4"/>
    </row>
    <row r="144" spans="1:23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8"/>
      <c r="E145" s="8"/>
      <c r="I145" s="9"/>
      <c r="J145" s="8"/>
      <c r="N145" s="4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44AEAC"/>
  </sheetPr>
  <dimension ref="A1:O275"/>
  <sheetViews>
    <sheetView showGridLines="0" topLeftCell="F1" zoomScale="80" zoomScaleNormal="80" workbookViewId="0">
      <selection activeCell="B1" sqref="B1:M1048576"/>
    </sheetView>
  </sheetViews>
  <sheetFormatPr baseColWidth="10" defaultRowHeight="14.25" x14ac:dyDescent="0.2"/>
  <cols>
    <col min="1" max="1" width="41.83203125" style="11" customWidth="1"/>
    <col min="2" max="2" width="24.5" style="1" customWidth="1"/>
    <col min="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177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166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151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176</v>
      </c>
      <c r="L7" s="19" t="s">
        <v>149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>
        <v>1085288082.1299999</v>
      </c>
      <c r="C8" s="16">
        <v>0</v>
      </c>
      <c r="D8" s="16">
        <v>23083803.148009319</v>
      </c>
      <c r="E8" s="16">
        <v>0</v>
      </c>
      <c r="F8" s="16">
        <v>1487012.66</v>
      </c>
      <c r="G8" s="16">
        <v>824280.84</v>
      </c>
      <c r="H8" s="16">
        <v>46275239.939999998</v>
      </c>
      <c r="I8" s="16">
        <v>6390767.6799999997</v>
      </c>
      <c r="J8" s="16">
        <v>91418993.13000004</v>
      </c>
      <c r="K8" s="16">
        <v>163038626.40000001</v>
      </c>
      <c r="L8" s="16">
        <v>0</v>
      </c>
      <c r="M8" s="16">
        <v>110.88</v>
      </c>
      <c r="N8" s="18">
        <f t="shared" ref="N8:N39" si="0">SUM(B8:M8)</f>
        <v>1417806916.8080096</v>
      </c>
      <c r="O8" s="4"/>
    </row>
    <row r="9" spans="1:15" ht="18" customHeight="1" x14ac:dyDescent="0.2">
      <c r="A9" s="17" t="s">
        <v>4</v>
      </c>
      <c r="B9" s="16">
        <v>573559238.04999995</v>
      </c>
      <c r="C9" s="16">
        <v>0</v>
      </c>
      <c r="D9" s="16">
        <v>17627939.79592099</v>
      </c>
      <c r="E9" s="16">
        <v>0</v>
      </c>
      <c r="F9" s="16">
        <v>1041832.47</v>
      </c>
      <c r="G9" s="16">
        <v>609967.81999999995</v>
      </c>
      <c r="H9" s="16">
        <v>24455802.84</v>
      </c>
      <c r="I9" s="16">
        <v>4477506.8</v>
      </c>
      <c r="J9" s="16">
        <v>69327696.609999985</v>
      </c>
      <c r="K9" s="16">
        <v>86028972.120000005</v>
      </c>
      <c r="L9" s="16">
        <v>0</v>
      </c>
      <c r="M9" s="16">
        <v>77.680000000000007</v>
      </c>
      <c r="N9" s="18">
        <f t="shared" si="0"/>
        <v>777129034.18592095</v>
      </c>
      <c r="O9" s="4"/>
    </row>
    <row r="10" spans="1:15" ht="18" customHeight="1" x14ac:dyDescent="0.2">
      <c r="A10" s="17" t="s">
        <v>5</v>
      </c>
      <c r="B10" s="16">
        <v>624692503.43999994</v>
      </c>
      <c r="C10" s="16">
        <v>0</v>
      </c>
      <c r="D10" s="16">
        <v>8749195.010767607</v>
      </c>
      <c r="E10" s="16">
        <v>0</v>
      </c>
      <c r="F10" s="16">
        <v>727804.95</v>
      </c>
      <c r="G10" s="16">
        <v>609967.81999999995</v>
      </c>
      <c r="H10" s="16">
        <v>26636057.25</v>
      </c>
      <c r="I10" s="16">
        <v>3127903.69</v>
      </c>
      <c r="J10" s="16">
        <v>40974526.709999993</v>
      </c>
      <c r="K10" s="16">
        <v>91300879.799999997</v>
      </c>
      <c r="L10" s="16">
        <v>0</v>
      </c>
      <c r="M10" s="16">
        <v>54.260000000000005</v>
      </c>
      <c r="N10" s="18">
        <f t="shared" si="0"/>
        <v>796818892.93076766</v>
      </c>
      <c r="O10" s="4"/>
    </row>
    <row r="11" spans="1:15" ht="18" customHeight="1" x14ac:dyDescent="0.2">
      <c r="A11" s="17" t="s">
        <v>6</v>
      </c>
      <c r="B11" s="16">
        <v>5045776154.8000011</v>
      </c>
      <c r="C11" s="16">
        <v>0</v>
      </c>
      <c r="D11" s="16">
        <v>28968327.333570886</v>
      </c>
      <c r="E11" s="16">
        <v>0</v>
      </c>
      <c r="F11" s="16">
        <v>78118963.5</v>
      </c>
      <c r="G11" s="16">
        <v>50461925.955719799</v>
      </c>
      <c r="H11" s="16">
        <v>215145182.27000001</v>
      </c>
      <c r="I11" s="16">
        <v>335733621.44999999</v>
      </c>
      <c r="J11" s="16">
        <v>770900665.49999952</v>
      </c>
      <c r="K11" s="16">
        <v>805419075.24000001</v>
      </c>
      <c r="L11" s="16">
        <v>0</v>
      </c>
      <c r="M11" s="16">
        <v>5825.2</v>
      </c>
      <c r="N11" s="18">
        <f t="shared" si="0"/>
        <v>7330529741.2492914</v>
      </c>
      <c r="O11" s="4"/>
    </row>
    <row r="12" spans="1:15" ht="18" customHeight="1" x14ac:dyDescent="0.2">
      <c r="A12" s="17" t="s">
        <v>7</v>
      </c>
      <c r="B12" s="16">
        <v>649627708.42000008</v>
      </c>
      <c r="C12" s="16">
        <v>0</v>
      </c>
      <c r="D12" s="16">
        <v>15455851.618007777</v>
      </c>
      <c r="E12" s="16">
        <v>0</v>
      </c>
      <c r="F12" s="16">
        <v>2671081.13</v>
      </c>
      <c r="G12" s="16">
        <v>1516676.74</v>
      </c>
      <c r="H12" s="16">
        <v>27699261.219999999</v>
      </c>
      <c r="I12" s="16">
        <v>11479565.300000001</v>
      </c>
      <c r="J12" s="16">
        <v>83121248.39000003</v>
      </c>
      <c r="K12" s="16">
        <v>103695870.72</v>
      </c>
      <c r="L12" s="16">
        <v>0</v>
      </c>
      <c r="M12" s="16">
        <v>199.17000000000002</v>
      </c>
      <c r="N12" s="18">
        <f t="shared" si="0"/>
        <v>895267462.70800781</v>
      </c>
      <c r="O12" s="4"/>
    </row>
    <row r="13" spans="1:15" ht="18" customHeight="1" x14ac:dyDescent="0.2">
      <c r="A13" s="17" t="s">
        <v>8</v>
      </c>
      <c r="B13" s="16">
        <v>3087953993.4099998</v>
      </c>
      <c r="C13" s="16">
        <v>0</v>
      </c>
      <c r="D13" s="16">
        <v>28304254.787312999</v>
      </c>
      <c r="E13" s="16">
        <v>0</v>
      </c>
      <c r="F13" s="16">
        <v>37988093.740000002</v>
      </c>
      <c r="G13" s="16">
        <v>0</v>
      </c>
      <c r="H13" s="16">
        <v>131666250.02</v>
      </c>
      <c r="I13" s="16">
        <v>163262282.46000001</v>
      </c>
      <c r="J13" s="16">
        <v>573220397.76999974</v>
      </c>
      <c r="K13" s="16">
        <v>473874658.92000002</v>
      </c>
      <c r="L13" s="16">
        <v>0</v>
      </c>
      <c r="M13" s="16">
        <v>2832.71</v>
      </c>
      <c r="N13" s="18">
        <f t="shared" si="0"/>
        <v>4496272763.8173122</v>
      </c>
      <c r="O13" s="4"/>
    </row>
    <row r="14" spans="1:15" ht="18" customHeight="1" x14ac:dyDescent="0.2">
      <c r="A14" s="17" t="s">
        <v>9</v>
      </c>
      <c r="B14" s="16">
        <v>1043514804.2799997</v>
      </c>
      <c r="C14" s="16">
        <v>0</v>
      </c>
      <c r="D14" s="16">
        <v>25594896.232097864</v>
      </c>
      <c r="E14" s="16">
        <v>0</v>
      </c>
      <c r="F14" s="16">
        <v>1728998.57</v>
      </c>
      <c r="G14" s="16">
        <v>1030351.05</v>
      </c>
      <c r="H14" s="16">
        <v>44494082.950000003</v>
      </c>
      <c r="I14" s="16">
        <v>7430755.96</v>
      </c>
      <c r="J14" s="16">
        <v>123056341.94000004</v>
      </c>
      <c r="K14" s="16">
        <v>158990822.63999999</v>
      </c>
      <c r="L14" s="16">
        <v>0</v>
      </c>
      <c r="M14" s="16">
        <v>128.91</v>
      </c>
      <c r="N14" s="18">
        <f t="shared" si="0"/>
        <v>1405841182.5320976</v>
      </c>
      <c r="O14" s="4"/>
    </row>
    <row r="15" spans="1:15" ht="18" customHeight="1" x14ac:dyDescent="0.2">
      <c r="A15" s="17" t="s">
        <v>10</v>
      </c>
      <c r="B15" s="16">
        <v>1817422347.7299998</v>
      </c>
      <c r="C15" s="16">
        <v>0</v>
      </c>
      <c r="D15" s="16">
        <v>38911321.524279028</v>
      </c>
      <c r="E15" s="16">
        <v>0</v>
      </c>
      <c r="F15" s="16">
        <v>6441258.5800000001</v>
      </c>
      <c r="G15" s="16">
        <v>3569136.03</v>
      </c>
      <c r="H15" s="16">
        <v>77492470.989999995</v>
      </c>
      <c r="I15" s="16">
        <v>27682741.5</v>
      </c>
      <c r="J15" s="16">
        <v>196338126.31999999</v>
      </c>
      <c r="K15" s="16">
        <v>270361749.83999997</v>
      </c>
      <c r="L15" s="16">
        <v>0</v>
      </c>
      <c r="M15" s="16">
        <v>480.29999999999995</v>
      </c>
      <c r="N15" s="18">
        <f t="shared" si="0"/>
        <v>2438219632.8142791</v>
      </c>
      <c r="O15" s="4"/>
    </row>
    <row r="16" spans="1:15" ht="18" customHeight="1" x14ac:dyDescent="0.2">
      <c r="A16" s="17" t="s">
        <v>11</v>
      </c>
      <c r="B16" s="16">
        <v>3282186116.3899999</v>
      </c>
      <c r="C16" s="16">
        <v>0</v>
      </c>
      <c r="D16" s="16">
        <v>60871379.240874</v>
      </c>
      <c r="E16" s="16">
        <v>0</v>
      </c>
      <c r="F16" s="16">
        <v>24023105.23</v>
      </c>
      <c r="G16" s="16">
        <v>15834434.92</v>
      </c>
      <c r="H16" s="16">
        <v>139948049.34</v>
      </c>
      <c r="I16" s="16">
        <v>103244638.14</v>
      </c>
      <c r="J16" s="16">
        <v>487729195.13000011</v>
      </c>
      <c r="K16" s="16">
        <v>0</v>
      </c>
      <c r="L16" s="16">
        <v>0</v>
      </c>
      <c r="M16" s="16">
        <v>1791.35</v>
      </c>
      <c r="N16" s="18">
        <f t="shared" si="0"/>
        <v>4113838709.7408738</v>
      </c>
      <c r="O16" s="4"/>
    </row>
    <row r="17" spans="1:15" ht="15" x14ac:dyDescent="0.2">
      <c r="A17" s="17" t="s">
        <v>12</v>
      </c>
      <c r="B17" s="16">
        <v>1232002172.97</v>
      </c>
      <c r="C17" s="16">
        <v>0</v>
      </c>
      <c r="D17" s="16">
        <v>35541557.376737788</v>
      </c>
      <c r="E17" s="16">
        <v>0</v>
      </c>
      <c r="F17" s="16">
        <v>4933926.49</v>
      </c>
      <c r="G17" s="16">
        <v>2307986.35</v>
      </c>
      <c r="H17" s="16">
        <v>52530933.590000004</v>
      </c>
      <c r="I17" s="16">
        <v>21204646.559999999</v>
      </c>
      <c r="J17" s="16">
        <v>132202366.52999999</v>
      </c>
      <c r="K17" s="16">
        <v>182203738.08000001</v>
      </c>
      <c r="L17" s="16">
        <v>0</v>
      </c>
      <c r="M17" s="16">
        <v>367.90999999999997</v>
      </c>
      <c r="N17" s="18">
        <f t="shared" si="0"/>
        <v>1662927695.8567376</v>
      </c>
      <c r="O17" s="4"/>
    </row>
    <row r="18" spans="1:15" ht="15" x14ac:dyDescent="0.2">
      <c r="A18" s="17" t="s">
        <v>13</v>
      </c>
      <c r="B18" s="16">
        <v>692861936.68999994</v>
      </c>
      <c r="C18" s="16">
        <v>0</v>
      </c>
      <c r="D18" s="16">
        <v>11659289.162828652</v>
      </c>
      <c r="E18" s="16">
        <v>0</v>
      </c>
      <c r="F18" s="16">
        <v>3324997.26</v>
      </c>
      <c r="G18" s="16">
        <v>1879360.31</v>
      </c>
      <c r="H18" s="16">
        <v>29542711.190000001</v>
      </c>
      <c r="I18" s="16">
        <v>14289915.310000001</v>
      </c>
      <c r="J18" s="16">
        <v>107781205.73999995</v>
      </c>
      <c r="K18" s="16">
        <v>101574340.92</v>
      </c>
      <c r="L18" s="16">
        <v>0</v>
      </c>
      <c r="M18" s="16">
        <v>247.93</v>
      </c>
      <c r="N18" s="18">
        <f t="shared" si="0"/>
        <v>962914004.51282835</v>
      </c>
      <c r="O18" s="4"/>
    </row>
    <row r="19" spans="1:15" ht="15" x14ac:dyDescent="0.2">
      <c r="A19" s="17" t="s">
        <v>14</v>
      </c>
      <c r="B19" s="16">
        <v>1164773690.8299999</v>
      </c>
      <c r="C19" s="16">
        <v>0</v>
      </c>
      <c r="D19" s="16">
        <v>24140596.833920781</v>
      </c>
      <c r="E19" s="16">
        <v>0</v>
      </c>
      <c r="F19" s="16">
        <v>1342929.45</v>
      </c>
      <c r="G19" s="16">
        <v>1046836.67</v>
      </c>
      <c r="H19" s="16">
        <v>49664400.549999997</v>
      </c>
      <c r="I19" s="16">
        <v>5771538.0199999996</v>
      </c>
      <c r="J19" s="16">
        <v>93773260</v>
      </c>
      <c r="K19" s="16">
        <v>177517597.91999999</v>
      </c>
      <c r="L19" s="16">
        <v>0</v>
      </c>
      <c r="M19" s="16">
        <v>100.13</v>
      </c>
      <c r="N19" s="18">
        <f t="shared" si="0"/>
        <v>1518030950.4039209</v>
      </c>
      <c r="O19" s="4"/>
    </row>
    <row r="20" spans="1:15" ht="15" x14ac:dyDescent="0.2">
      <c r="A20" s="17" t="s">
        <v>15</v>
      </c>
      <c r="B20" s="16">
        <v>4124362140.6099997</v>
      </c>
      <c r="C20" s="16">
        <v>0</v>
      </c>
      <c r="D20" s="16">
        <v>15410421.290492099</v>
      </c>
      <c r="E20" s="16">
        <v>0</v>
      </c>
      <c r="F20" s="16">
        <v>42862909.170000002</v>
      </c>
      <c r="G20" s="16">
        <v>26996914.565131538</v>
      </c>
      <c r="H20" s="16">
        <v>175857314.56999999</v>
      </c>
      <c r="I20" s="16">
        <v>184212886.08000001</v>
      </c>
      <c r="J20" s="16">
        <v>533233884.4399997</v>
      </c>
      <c r="K20" s="16">
        <v>623849918.63999999</v>
      </c>
      <c r="L20" s="16">
        <v>0</v>
      </c>
      <c r="M20" s="16">
        <v>3196.22</v>
      </c>
      <c r="N20" s="18">
        <f t="shared" si="0"/>
        <v>5726789585.5856237</v>
      </c>
      <c r="O20" s="4"/>
    </row>
    <row r="21" spans="1:15" ht="15" x14ac:dyDescent="0.2">
      <c r="A21" s="17" t="s">
        <v>16</v>
      </c>
      <c r="B21" s="16">
        <v>1792090952.8099999</v>
      </c>
      <c r="C21" s="16">
        <v>0</v>
      </c>
      <c r="D21" s="16">
        <v>8141903.0251417486</v>
      </c>
      <c r="E21" s="16">
        <v>0</v>
      </c>
      <c r="F21" s="16">
        <v>11397351.73</v>
      </c>
      <c r="G21" s="16">
        <v>3478596.770662345</v>
      </c>
      <c r="H21" s="16">
        <v>76412374.010000005</v>
      </c>
      <c r="I21" s="16">
        <v>48982654.159999996</v>
      </c>
      <c r="J21" s="16">
        <v>174823195.17000008</v>
      </c>
      <c r="K21" s="16">
        <v>270177758.75999999</v>
      </c>
      <c r="L21" s="16">
        <v>0</v>
      </c>
      <c r="M21" s="16">
        <v>849.88</v>
      </c>
      <c r="N21" s="18">
        <f t="shared" si="0"/>
        <v>2385505636.3158045</v>
      </c>
      <c r="O21" s="4"/>
    </row>
    <row r="22" spans="1:15" ht="15" x14ac:dyDescent="0.2">
      <c r="A22" s="17" t="s">
        <v>17</v>
      </c>
      <c r="B22" s="16">
        <v>1419721923.6099999</v>
      </c>
      <c r="C22" s="16">
        <v>0</v>
      </c>
      <c r="D22" s="16">
        <v>21785941.136080399</v>
      </c>
      <c r="E22" s="16">
        <v>0</v>
      </c>
      <c r="F22" s="16">
        <v>2713567.21</v>
      </c>
      <c r="G22" s="16">
        <v>1772203.8</v>
      </c>
      <c r="H22" s="16">
        <v>60535054.009999998</v>
      </c>
      <c r="I22" s="16">
        <v>11662158.66</v>
      </c>
      <c r="J22" s="16">
        <v>131282622.11000003</v>
      </c>
      <c r="K22" s="16">
        <v>201421418.63999999</v>
      </c>
      <c r="L22" s="16">
        <v>0</v>
      </c>
      <c r="M22" s="16">
        <v>202.34</v>
      </c>
      <c r="N22" s="18">
        <f t="shared" si="0"/>
        <v>1850895091.5160806</v>
      </c>
      <c r="O22" s="4"/>
    </row>
    <row r="23" spans="1:15" ht="15" x14ac:dyDescent="0.2">
      <c r="A23" s="17" t="s">
        <v>18</v>
      </c>
      <c r="B23" s="16">
        <v>1363933426.2699997</v>
      </c>
      <c r="C23" s="16">
        <v>0</v>
      </c>
      <c r="D23" s="16">
        <v>17312704.626787178</v>
      </c>
      <c r="E23" s="16">
        <v>0</v>
      </c>
      <c r="F23" s="16">
        <v>2600886.7400000002</v>
      </c>
      <c r="G23" s="16">
        <v>2184344.2200000002</v>
      </c>
      <c r="H23" s="16">
        <v>58156306.700000003</v>
      </c>
      <c r="I23" s="16">
        <v>11177889.310000001</v>
      </c>
      <c r="J23" s="16">
        <v>108368610.41000007</v>
      </c>
      <c r="K23" s="16">
        <v>205093730.40000001</v>
      </c>
      <c r="L23" s="16">
        <v>0</v>
      </c>
      <c r="M23" s="16">
        <v>193.92999999999998</v>
      </c>
      <c r="N23" s="18">
        <f t="shared" si="0"/>
        <v>1768828092.6067872</v>
      </c>
      <c r="O23" s="4"/>
    </row>
    <row r="24" spans="1:15" ht="15" x14ac:dyDescent="0.2">
      <c r="A24" s="17" t="s">
        <v>19</v>
      </c>
      <c r="B24" s="16">
        <v>429370858.12</v>
      </c>
      <c r="C24" s="16">
        <v>0</v>
      </c>
      <c r="D24" s="16">
        <v>24071298.742732175</v>
      </c>
      <c r="E24" s="16">
        <v>0</v>
      </c>
      <c r="F24" s="16">
        <v>2704331.1</v>
      </c>
      <c r="G24" s="16">
        <v>600652.39804679877</v>
      </c>
      <c r="H24" s="16">
        <v>18307802.149999999</v>
      </c>
      <c r="I24" s="16">
        <v>11622464.460000001</v>
      </c>
      <c r="J24" s="16">
        <v>91696427.160000026</v>
      </c>
      <c r="K24" s="16">
        <v>62887400.159999996</v>
      </c>
      <c r="L24" s="16">
        <v>0</v>
      </c>
      <c r="M24" s="16">
        <v>201.65</v>
      </c>
      <c r="N24" s="18">
        <f t="shared" si="0"/>
        <v>641261435.94077897</v>
      </c>
      <c r="O24" s="4"/>
    </row>
    <row r="25" spans="1:15" ht="15" x14ac:dyDescent="0.2">
      <c r="A25" s="17" t="s">
        <v>20</v>
      </c>
      <c r="B25" s="16">
        <v>1777134782.1999998</v>
      </c>
      <c r="C25" s="16">
        <v>0</v>
      </c>
      <c r="D25" s="16">
        <v>13855290.30038189</v>
      </c>
      <c r="E25" s="16">
        <v>0</v>
      </c>
      <c r="F25" s="16">
        <v>11994004.02</v>
      </c>
      <c r="G25" s="16">
        <v>5201212.09</v>
      </c>
      <c r="H25" s="16">
        <v>75774662.790000007</v>
      </c>
      <c r="I25" s="16">
        <v>51546900.07</v>
      </c>
      <c r="J25" s="16">
        <v>211974362.42999995</v>
      </c>
      <c r="K25" s="16">
        <v>283669186.31999999</v>
      </c>
      <c r="L25" s="16">
        <v>0</v>
      </c>
      <c r="M25" s="16">
        <v>894.36000000000013</v>
      </c>
      <c r="N25" s="18">
        <f t="shared" si="0"/>
        <v>2431151294.5803819</v>
      </c>
      <c r="O25" s="4"/>
    </row>
    <row r="26" spans="1:15" ht="15" x14ac:dyDescent="0.2">
      <c r="A26" s="17" t="s">
        <v>21</v>
      </c>
      <c r="B26" s="16">
        <v>724680942.06999993</v>
      </c>
      <c r="C26" s="16">
        <v>0</v>
      </c>
      <c r="D26" s="16">
        <v>13677471.748669188</v>
      </c>
      <c r="E26" s="16">
        <v>0</v>
      </c>
      <c r="F26" s="16">
        <v>5454842.7300000004</v>
      </c>
      <c r="G26" s="16">
        <v>3321851.78</v>
      </c>
      <c r="H26" s="16">
        <v>30899431.25</v>
      </c>
      <c r="I26" s="16">
        <v>23443399.960000001</v>
      </c>
      <c r="J26" s="16">
        <v>156411457.37</v>
      </c>
      <c r="K26" s="16">
        <v>101574340.92</v>
      </c>
      <c r="L26" s="16">
        <v>0</v>
      </c>
      <c r="M26" s="16">
        <v>406.75</v>
      </c>
      <c r="N26" s="18">
        <f t="shared" si="0"/>
        <v>1059464144.5786691</v>
      </c>
      <c r="O26" s="4"/>
    </row>
    <row r="27" spans="1:15" ht="15" x14ac:dyDescent="0.2">
      <c r="A27" s="17" t="s">
        <v>22</v>
      </c>
      <c r="B27" s="16">
        <v>354664290.71000004</v>
      </c>
      <c r="C27" s="16">
        <v>0</v>
      </c>
      <c r="D27" s="16">
        <v>6202782.710322788</v>
      </c>
      <c r="E27" s="16">
        <v>0</v>
      </c>
      <c r="F27" s="16">
        <v>1355859.99</v>
      </c>
      <c r="G27" s="16">
        <v>750095.56</v>
      </c>
      <c r="H27" s="16">
        <v>15122413.51</v>
      </c>
      <c r="I27" s="16">
        <v>5827109.9100000001</v>
      </c>
      <c r="J27" s="16">
        <v>41914025.660000019</v>
      </c>
      <c r="K27" s="16">
        <v>56612928.840000004</v>
      </c>
      <c r="L27" s="16">
        <v>0</v>
      </c>
      <c r="M27" s="16">
        <v>101.1</v>
      </c>
      <c r="N27" s="18">
        <f t="shared" si="0"/>
        <v>482449607.99032295</v>
      </c>
      <c r="O27" s="4"/>
    </row>
    <row r="28" spans="1:15" ht="15" x14ac:dyDescent="0.2">
      <c r="A28" s="17" t="s">
        <v>23</v>
      </c>
      <c r="B28" s="16">
        <v>1256045950.5600004</v>
      </c>
      <c r="C28" s="16">
        <v>0</v>
      </c>
      <c r="D28" s="16">
        <v>19738670.769688666</v>
      </c>
      <c r="E28" s="16">
        <v>0</v>
      </c>
      <c r="F28" s="16">
        <v>1867540.13</v>
      </c>
      <c r="G28" s="16">
        <v>1088050.71</v>
      </c>
      <c r="H28" s="16">
        <v>53556128.270000003</v>
      </c>
      <c r="I28" s="16">
        <v>8026169.0999999996</v>
      </c>
      <c r="J28" s="16">
        <v>85695138.299999982</v>
      </c>
      <c r="K28" s="16">
        <v>188838681.72</v>
      </c>
      <c r="L28" s="16">
        <v>0</v>
      </c>
      <c r="M28" s="16">
        <v>139.25</v>
      </c>
      <c r="N28" s="18">
        <f t="shared" si="0"/>
        <v>1614856468.809689</v>
      </c>
      <c r="O28" s="4"/>
    </row>
    <row r="29" spans="1:15" ht="15" x14ac:dyDescent="0.2">
      <c r="A29" s="17" t="s">
        <v>24</v>
      </c>
      <c r="B29" s="16">
        <v>776755158.6099999</v>
      </c>
      <c r="C29" s="16">
        <v>0</v>
      </c>
      <c r="D29" s="16">
        <v>21851724.641775265</v>
      </c>
      <c r="E29" s="16">
        <v>0</v>
      </c>
      <c r="F29" s="16">
        <v>1165596.26</v>
      </c>
      <c r="G29" s="16">
        <v>659424.67000000004</v>
      </c>
      <c r="H29" s="16">
        <v>33119806.559999999</v>
      </c>
      <c r="I29" s="16">
        <v>5009409.2</v>
      </c>
      <c r="J29" s="16">
        <v>76396307.189999983</v>
      </c>
      <c r="K29" s="16">
        <v>123987458.40000001</v>
      </c>
      <c r="L29" s="16">
        <v>0</v>
      </c>
      <c r="M29" s="16">
        <v>86.91</v>
      </c>
      <c r="N29" s="18">
        <f t="shared" si="0"/>
        <v>1038944972.441775</v>
      </c>
      <c r="O29" s="4"/>
    </row>
    <row r="30" spans="1:15" ht="15" x14ac:dyDescent="0.2">
      <c r="A30" s="17" t="s">
        <v>25</v>
      </c>
      <c r="B30" s="16">
        <v>258216799.77000001</v>
      </c>
      <c r="C30" s="16">
        <v>0</v>
      </c>
      <c r="D30" s="16">
        <v>12533939.621871924</v>
      </c>
      <c r="E30" s="16">
        <v>0</v>
      </c>
      <c r="F30" s="16">
        <v>1006735.28</v>
      </c>
      <c r="G30" s="16">
        <v>824280.84</v>
      </c>
      <c r="H30" s="16">
        <v>11010020.810000001</v>
      </c>
      <c r="I30" s="16">
        <v>4326668.8</v>
      </c>
      <c r="J30" s="16">
        <v>59348498.680000007</v>
      </c>
      <c r="K30" s="16">
        <v>38198801.159999996</v>
      </c>
      <c r="L30" s="16">
        <v>0</v>
      </c>
      <c r="M30" s="16">
        <v>75.06</v>
      </c>
      <c r="N30" s="18">
        <f t="shared" si="0"/>
        <v>385465820.02187186</v>
      </c>
      <c r="O30" s="4"/>
    </row>
    <row r="31" spans="1:15" ht="15" x14ac:dyDescent="0.2">
      <c r="A31" s="17" t="s">
        <v>26</v>
      </c>
      <c r="B31" s="16">
        <v>449873688.0399999</v>
      </c>
      <c r="C31" s="16">
        <v>0</v>
      </c>
      <c r="D31" s="16">
        <v>7482558.9763541762</v>
      </c>
      <c r="E31" s="16">
        <v>0</v>
      </c>
      <c r="F31" s="16">
        <v>1202540.67</v>
      </c>
      <c r="G31" s="16">
        <v>453354.46</v>
      </c>
      <c r="H31" s="16">
        <v>19182015.539999999</v>
      </c>
      <c r="I31" s="16">
        <v>5168186.04</v>
      </c>
      <c r="J31" s="16">
        <v>42061893.610000007</v>
      </c>
      <c r="K31" s="16">
        <v>70870360.079999998</v>
      </c>
      <c r="L31" s="16">
        <v>0</v>
      </c>
      <c r="M31" s="16">
        <v>89.66</v>
      </c>
      <c r="N31" s="18">
        <f t="shared" si="0"/>
        <v>596294687.07635415</v>
      </c>
      <c r="O31" s="4"/>
    </row>
    <row r="32" spans="1:15" ht="15" x14ac:dyDescent="0.2">
      <c r="A32" s="17" t="s">
        <v>27</v>
      </c>
      <c r="B32" s="16">
        <v>1976344041.4099998</v>
      </c>
      <c r="C32" s="16">
        <v>0</v>
      </c>
      <c r="D32" s="16">
        <v>22912978.919757664</v>
      </c>
      <c r="E32" s="16">
        <v>0</v>
      </c>
      <c r="F32" s="16">
        <v>3546663.74</v>
      </c>
      <c r="G32" s="16">
        <v>2481085.33</v>
      </c>
      <c r="H32" s="16">
        <v>84268680.569999993</v>
      </c>
      <c r="I32" s="16">
        <v>15242576.33</v>
      </c>
      <c r="J32" s="16">
        <v>131609151.76000006</v>
      </c>
      <c r="K32" s="16">
        <v>304403854.56</v>
      </c>
      <c r="L32" s="16">
        <v>0</v>
      </c>
      <c r="M32" s="16">
        <v>264.46000000000004</v>
      </c>
      <c r="N32" s="18">
        <f t="shared" si="0"/>
        <v>2540809297.0797572</v>
      </c>
      <c r="O32" s="4"/>
    </row>
    <row r="33" spans="1:15" ht="15" x14ac:dyDescent="0.2">
      <c r="A33" s="17" t="s">
        <v>28</v>
      </c>
      <c r="B33" s="16">
        <v>1343901071.96</v>
      </c>
      <c r="C33" s="16">
        <v>0</v>
      </c>
      <c r="D33" s="16">
        <v>19480550.477887474</v>
      </c>
      <c r="E33" s="16">
        <v>0</v>
      </c>
      <c r="F33" s="16">
        <v>2602733.96</v>
      </c>
      <c r="G33" s="16">
        <v>1994759.63</v>
      </c>
      <c r="H33" s="16">
        <v>57302153.770000003</v>
      </c>
      <c r="I33" s="16">
        <v>11185828.15</v>
      </c>
      <c r="J33" s="16">
        <v>125538141.36000007</v>
      </c>
      <c r="K33" s="16">
        <v>201733077</v>
      </c>
      <c r="L33" s="16">
        <v>0</v>
      </c>
      <c r="M33" s="16">
        <v>194.07</v>
      </c>
      <c r="N33" s="18">
        <f t="shared" si="0"/>
        <v>1763738510.3778877</v>
      </c>
      <c r="O33" s="4"/>
    </row>
    <row r="34" spans="1:15" ht="15" x14ac:dyDescent="0.2">
      <c r="A34" s="17" t="s">
        <v>29</v>
      </c>
      <c r="B34" s="16">
        <v>1749203390.7400002</v>
      </c>
      <c r="C34" s="16">
        <v>0</v>
      </c>
      <c r="D34" s="16">
        <v>22399325.231425002</v>
      </c>
      <c r="E34" s="16">
        <v>0</v>
      </c>
      <c r="F34" s="16">
        <v>3784955.21</v>
      </c>
      <c r="G34" s="16">
        <v>3330094.59</v>
      </c>
      <c r="H34" s="16">
        <v>74583705.420000002</v>
      </c>
      <c r="I34" s="16">
        <v>16266686.93</v>
      </c>
      <c r="J34" s="16">
        <v>157914248.88000008</v>
      </c>
      <c r="K34" s="16">
        <v>257516168.52000001</v>
      </c>
      <c r="L34" s="16">
        <v>0</v>
      </c>
      <c r="M34" s="16">
        <v>282.23</v>
      </c>
      <c r="N34" s="18">
        <f t="shared" si="0"/>
        <v>2284998857.7514257</v>
      </c>
      <c r="O34" s="4"/>
    </row>
    <row r="35" spans="1:15" ht="15" x14ac:dyDescent="0.2">
      <c r="A35" s="17" t="s">
        <v>30</v>
      </c>
      <c r="B35" s="16">
        <v>829374136.36999989</v>
      </c>
      <c r="C35" s="16">
        <v>0</v>
      </c>
      <c r="D35" s="16">
        <v>8975119.9880077764</v>
      </c>
      <c r="E35" s="16">
        <v>0</v>
      </c>
      <c r="F35" s="16">
        <v>2366289.71</v>
      </c>
      <c r="G35" s="16">
        <v>1294120.92</v>
      </c>
      <c r="H35" s="16">
        <v>35363409.770000003</v>
      </c>
      <c r="I35" s="16">
        <v>10169656.4</v>
      </c>
      <c r="J35" s="16">
        <v>56754854.229999982</v>
      </c>
      <c r="K35" s="16">
        <v>129991575.48</v>
      </c>
      <c r="L35" s="16">
        <v>0</v>
      </c>
      <c r="M35" s="16">
        <v>176.44</v>
      </c>
      <c r="N35" s="18">
        <f t="shared" si="0"/>
        <v>1074289339.3080077</v>
      </c>
      <c r="O35" s="4"/>
    </row>
    <row r="36" spans="1:15" ht="15" x14ac:dyDescent="0.2">
      <c r="A36" s="17" t="s">
        <v>31</v>
      </c>
      <c r="B36" s="16">
        <v>975617751.62</v>
      </c>
      <c r="C36" s="16">
        <v>0</v>
      </c>
      <c r="D36" s="16">
        <v>15508831.676090304</v>
      </c>
      <c r="E36" s="16">
        <v>0</v>
      </c>
      <c r="F36" s="16">
        <v>1488859.88</v>
      </c>
      <c r="G36" s="16">
        <v>750095.56</v>
      </c>
      <c r="H36" s="16">
        <v>41599042.960000001</v>
      </c>
      <c r="I36" s="16">
        <v>6398706.5199999996</v>
      </c>
      <c r="J36" s="16">
        <v>57157496.649999984</v>
      </c>
      <c r="K36" s="16">
        <v>145330423.68000001</v>
      </c>
      <c r="L36" s="16">
        <v>0</v>
      </c>
      <c r="M36" s="16">
        <v>111.00999999999999</v>
      </c>
      <c r="N36" s="18">
        <f t="shared" si="0"/>
        <v>1243851319.5560904</v>
      </c>
      <c r="O36" s="4"/>
    </row>
    <row r="37" spans="1:15" ht="15" x14ac:dyDescent="0.2">
      <c r="A37" s="17" t="s">
        <v>32</v>
      </c>
      <c r="B37" s="16">
        <v>1013181511.24</v>
      </c>
      <c r="C37" s="16">
        <v>0</v>
      </c>
      <c r="D37" s="16">
        <v>20214111.687265355</v>
      </c>
      <c r="E37" s="16">
        <v>0</v>
      </c>
      <c r="F37" s="16">
        <v>2761594.95</v>
      </c>
      <c r="G37" s="16">
        <v>1145750.3700000001</v>
      </c>
      <c r="H37" s="16">
        <v>43200711.689999998</v>
      </c>
      <c r="I37" s="16">
        <v>11868568.550000001</v>
      </c>
      <c r="J37" s="16">
        <v>97018801.600000054</v>
      </c>
      <c r="K37" s="16">
        <v>159441413.03999999</v>
      </c>
      <c r="L37" s="16">
        <v>0</v>
      </c>
      <c r="M37" s="16">
        <v>205.91</v>
      </c>
      <c r="N37" s="18">
        <f t="shared" si="0"/>
        <v>1348832669.0372655</v>
      </c>
      <c r="O37" s="4"/>
    </row>
    <row r="38" spans="1:15" ht="15" x14ac:dyDescent="0.2">
      <c r="A38" s="17" t="s">
        <v>33</v>
      </c>
      <c r="B38" s="16">
        <v>886029299.17999995</v>
      </c>
      <c r="C38" s="16">
        <v>0</v>
      </c>
      <c r="D38" s="16">
        <v>3398879.6673877561</v>
      </c>
      <c r="E38" s="16">
        <v>0</v>
      </c>
      <c r="F38" s="16">
        <v>2467886.85</v>
      </c>
      <c r="G38" s="16">
        <v>3173481.23</v>
      </c>
      <c r="H38" s="16">
        <v>37779110.530000001</v>
      </c>
      <c r="I38" s="16">
        <v>10606292.699999999</v>
      </c>
      <c r="J38" s="16">
        <v>160101474.35000002</v>
      </c>
      <c r="K38" s="16">
        <v>141286374.84</v>
      </c>
      <c r="L38" s="16">
        <v>0</v>
      </c>
      <c r="M38" s="16">
        <v>184.01</v>
      </c>
      <c r="N38" s="18">
        <f t="shared" si="0"/>
        <v>1244842983.3573875</v>
      </c>
      <c r="O38" s="4"/>
    </row>
    <row r="39" spans="1:15" ht="15" x14ac:dyDescent="0.2">
      <c r="A39" s="17" t="s">
        <v>34</v>
      </c>
      <c r="B39" s="16">
        <v>1638740680.3199999</v>
      </c>
      <c r="C39" s="16">
        <v>0</v>
      </c>
      <c r="D39" s="16">
        <v>29993321.304243751</v>
      </c>
      <c r="E39" s="16">
        <v>0</v>
      </c>
      <c r="F39" s="16">
        <v>3143969.63</v>
      </c>
      <c r="G39" s="16">
        <v>1978274.01</v>
      </c>
      <c r="H39" s="16">
        <v>69873722.409999996</v>
      </c>
      <c r="I39" s="16">
        <v>13511908.810000001</v>
      </c>
      <c r="J39" s="16">
        <v>138994414.71999994</v>
      </c>
      <c r="K39" s="16">
        <v>244681851.96000001</v>
      </c>
      <c r="L39" s="16">
        <v>0</v>
      </c>
      <c r="M39" s="16">
        <v>234.43</v>
      </c>
      <c r="N39" s="18">
        <f t="shared" si="0"/>
        <v>2140918377.594244</v>
      </c>
      <c r="O39" s="4"/>
    </row>
    <row r="40" spans="1:15" ht="15" x14ac:dyDescent="0.2">
      <c r="A40" s="17" t="s">
        <v>35</v>
      </c>
      <c r="B40" s="16">
        <v>1153927990.97</v>
      </c>
      <c r="C40" s="16">
        <v>0</v>
      </c>
      <c r="D40" s="16">
        <v>20705270.283668909</v>
      </c>
      <c r="E40" s="16">
        <v>0</v>
      </c>
      <c r="F40" s="16">
        <v>1679123.61</v>
      </c>
      <c r="G40" s="16">
        <v>865494.88</v>
      </c>
      <c r="H40" s="16">
        <v>49201954.340000004</v>
      </c>
      <c r="I40" s="16">
        <v>7216407.2300000004</v>
      </c>
      <c r="J40" s="16">
        <v>76574678.360000029</v>
      </c>
      <c r="K40" s="16">
        <v>161758198.68000001</v>
      </c>
      <c r="L40" s="16">
        <v>0</v>
      </c>
      <c r="M40" s="16">
        <v>125.19999999999999</v>
      </c>
      <c r="N40" s="18">
        <f t="shared" ref="N40:N71" si="1">SUM(B40:M40)</f>
        <v>1471929243.5536692</v>
      </c>
      <c r="O40" s="4"/>
    </row>
    <row r="41" spans="1:15" ht="15" x14ac:dyDescent="0.2">
      <c r="A41" s="17" t="s">
        <v>36</v>
      </c>
      <c r="B41" s="16">
        <v>1065156680.3000004</v>
      </c>
      <c r="C41" s="16">
        <v>0</v>
      </c>
      <c r="D41" s="16">
        <v>7618056.670659312</v>
      </c>
      <c r="E41" s="16">
        <v>0</v>
      </c>
      <c r="F41" s="16">
        <v>2842872.66</v>
      </c>
      <c r="G41" s="16">
        <v>1508433.94</v>
      </c>
      <c r="H41" s="16">
        <v>45416863.75</v>
      </c>
      <c r="I41" s="16">
        <v>12217877.59</v>
      </c>
      <c r="J41" s="16">
        <v>78575688.960000038</v>
      </c>
      <c r="K41" s="16">
        <v>169553412.59999999</v>
      </c>
      <c r="L41" s="16">
        <v>0</v>
      </c>
      <c r="M41" s="16">
        <v>211.98</v>
      </c>
      <c r="N41" s="18">
        <f t="shared" si="1"/>
        <v>1382890098.4506598</v>
      </c>
      <c r="O41" s="4"/>
    </row>
    <row r="42" spans="1:15" ht="15" x14ac:dyDescent="0.2">
      <c r="A42" s="17" t="s">
        <v>37</v>
      </c>
      <c r="B42" s="16">
        <v>714454289.00999999</v>
      </c>
      <c r="C42" s="16">
        <v>0</v>
      </c>
      <c r="D42" s="16">
        <v>4722724.9430315075</v>
      </c>
      <c r="E42" s="16">
        <v>0</v>
      </c>
      <c r="F42" s="16">
        <v>7721382.5300000003</v>
      </c>
      <c r="G42" s="16">
        <v>0</v>
      </c>
      <c r="H42" s="16">
        <v>30463380.370000001</v>
      </c>
      <c r="I42" s="16">
        <v>33184358.899999999</v>
      </c>
      <c r="J42" s="16">
        <v>119735849.60999995</v>
      </c>
      <c r="K42" s="16">
        <v>106099019.52</v>
      </c>
      <c r="L42" s="16">
        <v>0</v>
      </c>
      <c r="M42" s="16">
        <v>575.76</v>
      </c>
      <c r="N42" s="18">
        <f t="shared" si="1"/>
        <v>1016381580.6430314</v>
      </c>
      <c r="O42" s="4"/>
    </row>
    <row r="43" spans="1:15" ht="15" x14ac:dyDescent="0.2">
      <c r="A43" s="17" t="s">
        <v>38</v>
      </c>
      <c r="B43" s="16">
        <v>3724804576.0900002</v>
      </c>
      <c r="C43" s="16">
        <v>0</v>
      </c>
      <c r="D43" s="16">
        <v>16455802.770049198</v>
      </c>
      <c r="E43" s="16">
        <v>0</v>
      </c>
      <c r="F43" s="16">
        <v>32108390.239999998</v>
      </c>
      <c r="G43" s="16">
        <v>12050985.869999999</v>
      </c>
      <c r="H43" s="16">
        <v>158820711.59</v>
      </c>
      <c r="I43" s="16">
        <v>137992948.88</v>
      </c>
      <c r="J43" s="16">
        <v>392135910.07999986</v>
      </c>
      <c r="K43" s="16">
        <v>536033604.60000002</v>
      </c>
      <c r="L43" s="16">
        <v>0</v>
      </c>
      <c r="M43" s="16">
        <v>2394.27</v>
      </c>
      <c r="N43" s="18">
        <f t="shared" si="1"/>
        <v>5010405324.3900499</v>
      </c>
      <c r="O43" s="4"/>
    </row>
    <row r="44" spans="1:15" ht="15" x14ac:dyDescent="0.2">
      <c r="A44" s="17" t="s">
        <v>39</v>
      </c>
      <c r="B44" s="16">
        <v>3623033282.6900001</v>
      </c>
      <c r="C44" s="16">
        <v>0</v>
      </c>
      <c r="D44" s="16">
        <v>19967138.488295287</v>
      </c>
      <c r="E44" s="16">
        <v>0</v>
      </c>
      <c r="F44" s="16">
        <v>40400563.979999997</v>
      </c>
      <c r="G44" s="16">
        <v>20640992.174541511</v>
      </c>
      <c r="H44" s="16">
        <v>154481319.03999999</v>
      </c>
      <c r="I44" s="16">
        <v>173630409.90000001</v>
      </c>
      <c r="J44" s="16">
        <v>507091180.51999998</v>
      </c>
      <c r="K44" s="16">
        <v>520972620.48000002</v>
      </c>
      <c r="L44" s="16">
        <v>0</v>
      </c>
      <c r="M44" s="16">
        <v>3012.6</v>
      </c>
      <c r="N44" s="18">
        <f t="shared" si="1"/>
        <v>5060220519.8728371</v>
      </c>
      <c r="O44" s="4"/>
    </row>
    <row r="45" spans="1:15" ht="15" x14ac:dyDescent="0.2">
      <c r="A45" s="17" t="s">
        <v>40</v>
      </c>
      <c r="B45" s="16">
        <v>1014493890.4199998</v>
      </c>
      <c r="C45" s="16">
        <v>0</v>
      </c>
      <c r="D45" s="16">
        <v>10204708.824519629</v>
      </c>
      <c r="E45" s="16">
        <v>0</v>
      </c>
      <c r="F45" s="16">
        <v>3009122.52</v>
      </c>
      <c r="G45" s="16">
        <v>1887603.12</v>
      </c>
      <c r="H45" s="16">
        <v>43256669.799999997</v>
      </c>
      <c r="I45" s="16">
        <v>12932373.359999999</v>
      </c>
      <c r="J45" s="16">
        <v>75913194.469999969</v>
      </c>
      <c r="K45" s="16">
        <v>149764984.19999999</v>
      </c>
      <c r="L45" s="16">
        <v>0</v>
      </c>
      <c r="M45" s="16">
        <v>224.38</v>
      </c>
      <c r="N45" s="18">
        <f t="shared" si="1"/>
        <v>1311462771.0945196</v>
      </c>
      <c r="O45" s="4"/>
    </row>
    <row r="46" spans="1:15" ht="15" x14ac:dyDescent="0.2">
      <c r="A46" s="17" t="s">
        <v>41</v>
      </c>
      <c r="B46" s="16">
        <v>1603554060.3900003</v>
      </c>
      <c r="C46" s="16">
        <v>0</v>
      </c>
      <c r="D46" s="16">
        <v>20734957.198295288</v>
      </c>
      <c r="E46" s="16">
        <v>0</v>
      </c>
      <c r="F46" s="16">
        <v>23734938.800000001</v>
      </c>
      <c r="G46" s="16">
        <v>0</v>
      </c>
      <c r="H46" s="16">
        <v>68373411.75</v>
      </c>
      <c r="I46" s="16">
        <v>102006178.81</v>
      </c>
      <c r="J46" s="16">
        <v>321179632.55000007</v>
      </c>
      <c r="K46" s="16">
        <v>229200316.80000001</v>
      </c>
      <c r="L46" s="16">
        <v>0</v>
      </c>
      <c r="M46" s="16">
        <v>1769.8700000000001</v>
      </c>
      <c r="N46" s="18">
        <f t="shared" si="1"/>
        <v>2368785266.1682959</v>
      </c>
      <c r="O46" s="4"/>
    </row>
    <row r="47" spans="1:15" ht="15" x14ac:dyDescent="0.2">
      <c r="A47" s="17" t="s">
        <v>42</v>
      </c>
      <c r="B47" s="16">
        <v>4870907815.6399994</v>
      </c>
      <c r="C47" s="16">
        <v>0</v>
      </c>
      <c r="D47" s="16">
        <v>22513965.81413582</v>
      </c>
      <c r="E47" s="16">
        <v>0</v>
      </c>
      <c r="F47" s="16">
        <v>73992272.450000003</v>
      </c>
      <c r="G47" s="16">
        <v>24046176.565903991</v>
      </c>
      <c r="H47" s="16">
        <v>207689028.93000001</v>
      </c>
      <c r="I47" s="16">
        <v>317998248.77999997</v>
      </c>
      <c r="J47" s="16">
        <v>772793607.58000016</v>
      </c>
      <c r="K47" s="16">
        <v>716172136.67999995</v>
      </c>
      <c r="L47" s="16">
        <v>0</v>
      </c>
      <c r="M47" s="16">
        <v>5517.48</v>
      </c>
      <c r="N47" s="18">
        <f t="shared" si="1"/>
        <v>7006118769.9200382</v>
      </c>
      <c r="O47" s="4"/>
    </row>
    <row r="48" spans="1:15" ht="15" x14ac:dyDescent="0.2">
      <c r="A48" s="17" t="s">
        <v>43</v>
      </c>
      <c r="B48" s="16">
        <v>501650762.12</v>
      </c>
      <c r="C48" s="16">
        <v>0</v>
      </c>
      <c r="D48" s="16">
        <v>5990257.6970628668</v>
      </c>
      <c r="E48" s="16">
        <v>0</v>
      </c>
      <c r="F48" s="16">
        <v>642832.80000000005</v>
      </c>
      <c r="G48" s="16">
        <v>511054.12</v>
      </c>
      <c r="H48" s="16">
        <v>21389721.100000001</v>
      </c>
      <c r="I48" s="16">
        <v>2762716.96</v>
      </c>
      <c r="J48" s="16">
        <v>41461416.130000003</v>
      </c>
      <c r="K48" s="16">
        <v>75466382.159999996</v>
      </c>
      <c r="L48" s="16">
        <v>0</v>
      </c>
      <c r="M48" s="16">
        <v>47.930000000000007</v>
      </c>
      <c r="N48" s="18">
        <f t="shared" si="1"/>
        <v>649875191.01706278</v>
      </c>
      <c r="O48" s="4"/>
    </row>
    <row r="49" spans="1:15" ht="15" x14ac:dyDescent="0.2">
      <c r="A49" s="17" t="s">
        <v>44</v>
      </c>
      <c r="B49" s="16">
        <v>877659786.49000001</v>
      </c>
      <c r="C49" s="16">
        <v>0</v>
      </c>
      <c r="D49" s="16">
        <v>17487223.759842325</v>
      </c>
      <c r="E49" s="16">
        <v>0</v>
      </c>
      <c r="F49" s="16">
        <v>3796038.54</v>
      </c>
      <c r="G49" s="16">
        <v>2143130.1800000002</v>
      </c>
      <c r="H49" s="16">
        <v>37422245.649999999</v>
      </c>
      <c r="I49" s="16">
        <v>16314319.98</v>
      </c>
      <c r="J49" s="16">
        <v>97583546.689999998</v>
      </c>
      <c r="K49" s="16">
        <v>130798883.28</v>
      </c>
      <c r="L49" s="16">
        <v>0</v>
      </c>
      <c r="M49" s="16">
        <v>283.06</v>
      </c>
      <c r="N49" s="18">
        <f t="shared" si="1"/>
        <v>1183205457.629842</v>
      </c>
      <c r="O49" s="4"/>
    </row>
    <row r="50" spans="1:15" ht="15" x14ac:dyDescent="0.2">
      <c r="A50" s="17" t="s">
        <v>45</v>
      </c>
      <c r="B50" s="16">
        <v>587599219.38</v>
      </c>
      <c r="C50" s="16">
        <v>0</v>
      </c>
      <c r="D50" s="16">
        <v>11715947.863106076</v>
      </c>
      <c r="E50" s="16">
        <v>0</v>
      </c>
      <c r="F50" s="16">
        <v>1063999.1200000001</v>
      </c>
      <c r="G50" s="16">
        <v>609967.81999999995</v>
      </c>
      <c r="H50" s="16">
        <v>25054448.969999999</v>
      </c>
      <c r="I50" s="16">
        <v>4572772.9000000004</v>
      </c>
      <c r="J50" s="16">
        <v>70518483.819999993</v>
      </c>
      <c r="K50" s="16">
        <v>93617665.439999998</v>
      </c>
      <c r="L50" s="16">
        <v>0</v>
      </c>
      <c r="M50" s="16">
        <v>79.33</v>
      </c>
      <c r="N50" s="18">
        <f t="shared" si="1"/>
        <v>794752584.64310634</v>
      </c>
      <c r="O50" s="4"/>
    </row>
    <row r="51" spans="1:15" ht="15" x14ac:dyDescent="0.2">
      <c r="A51" s="17" t="s">
        <v>46</v>
      </c>
      <c r="B51" s="16">
        <v>564174488.61000001</v>
      </c>
      <c r="C51" s="16">
        <v>0</v>
      </c>
      <c r="D51" s="16">
        <v>12571083.030696688</v>
      </c>
      <c r="E51" s="16">
        <v>0</v>
      </c>
      <c r="F51" s="16">
        <v>1326304.46</v>
      </c>
      <c r="G51" s="16">
        <v>766581.18</v>
      </c>
      <c r="H51" s="16">
        <v>24055649.609999999</v>
      </c>
      <c r="I51" s="16">
        <v>5700088.4400000004</v>
      </c>
      <c r="J51" s="16">
        <v>48923082.350000016</v>
      </c>
      <c r="K51" s="16">
        <v>90054246.359999999</v>
      </c>
      <c r="L51" s="16">
        <v>0</v>
      </c>
      <c r="M51" s="16">
        <v>98.89</v>
      </c>
      <c r="N51" s="18">
        <f t="shared" si="1"/>
        <v>747571622.93069673</v>
      </c>
      <c r="O51" s="4"/>
    </row>
    <row r="52" spans="1:15" ht="15" x14ac:dyDescent="0.2">
      <c r="A52" s="17" t="s">
        <v>47</v>
      </c>
      <c r="B52" s="16">
        <v>679688620.86999989</v>
      </c>
      <c r="C52" s="16">
        <v>0</v>
      </c>
      <c r="D52" s="16">
        <v>11221488.944818774</v>
      </c>
      <c r="E52" s="16">
        <v>0</v>
      </c>
      <c r="F52" s="16">
        <v>1221012.8799999999</v>
      </c>
      <c r="G52" s="16">
        <v>980894.2</v>
      </c>
      <c r="H52" s="16">
        <v>28981018.530000001</v>
      </c>
      <c r="I52" s="16">
        <v>5247574.46</v>
      </c>
      <c r="J52" s="16">
        <v>62710533.520000011</v>
      </c>
      <c r="K52" s="16">
        <v>104202784.92</v>
      </c>
      <c r="L52" s="16">
        <v>0</v>
      </c>
      <c r="M52" s="16">
        <v>91.04</v>
      </c>
      <c r="N52" s="18">
        <f t="shared" si="1"/>
        <v>894254019.36481857</v>
      </c>
      <c r="O52" s="4"/>
    </row>
    <row r="53" spans="1:15" ht="15" x14ac:dyDescent="0.2">
      <c r="A53" s="17" t="s">
        <v>48</v>
      </c>
      <c r="B53" s="16">
        <v>243755866.59999999</v>
      </c>
      <c r="C53" s="16">
        <v>0</v>
      </c>
      <c r="D53" s="16">
        <v>9665648.3944721632</v>
      </c>
      <c r="E53" s="16">
        <v>0</v>
      </c>
      <c r="F53" s="16">
        <v>212430.38</v>
      </c>
      <c r="G53" s="16">
        <v>148370.54999999999</v>
      </c>
      <c r="H53" s="16">
        <v>10393425.859999999</v>
      </c>
      <c r="I53" s="16">
        <v>912966.81</v>
      </c>
      <c r="J53" s="16">
        <v>33165123.790000007</v>
      </c>
      <c r="K53" s="16">
        <v>38908481.039999999</v>
      </c>
      <c r="L53" s="16">
        <v>0</v>
      </c>
      <c r="M53" s="16">
        <v>15.83</v>
      </c>
      <c r="N53" s="18">
        <f t="shared" si="1"/>
        <v>337162329.2544722</v>
      </c>
      <c r="O53" s="4"/>
    </row>
    <row r="54" spans="1:15" ht="15" x14ac:dyDescent="0.2">
      <c r="A54" s="17" t="s">
        <v>49</v>
      </c>
      <c r="B54" s="16">
        <v>882017875.97000003</v>
      </c>
      <c r="C54" s="16">
        <v>0</v>
      </c>
      <c r="D54" s="16">
        <v>14243769.362731991</v>
      </c>
      <c r="E54" s="16">
        <v>0</v>
      </c>
      <c r="F54" s="16">
        <v>729652.17</v>
      </c>
      <c r="G54" s="16">
        <v>544025.35</v>
      </c>
      <c r="H54" s="16">
        <v>37608068.780000001</v>
      </c>
      <c r="I54" s="16">
        <v>3135842.53</v>
      </c>
      <c r="J54" s="16">
        <v>75875719.149999976</v>
      </c>
      <c r="K54" s="16">
        <v>126859972.2</v>
      </c>
      <c r="L54" s="16">
        <v>0</v>
      </c>
      <c r="M54" s="16">
        <v>54.400000000000006</v>
      </c>
      <c r="N54" s="18">
        <f t="shared" si="1"/>
        <v>1141014979.9127319</v>
      </c>
      <c r="O54" s="4"/>
    </row>
    <row r="55" spans="1:15" ht="15" x14ac:dyDescent="0.2">
      <c r="A55" s="17" t="s">
        <v>50</v>
      </c>
      <c r="B55" s="16">
        <v>407704220.23999995</v>
      </c>
      <c r="C55" s="16">
        <v>0</v>
      </c>
      <c r="D55" s="16">
        <v>5707901.778558976</v>
      </c>
      <c r="E55" s="16">
        <v>0</v>
      </c>
      <c r="F55" s="16">
        <v>1346623.89</v>
      </c>
      <c r="G55" s="16">
        <v>849009.26</v>
      </c>
      <c r="H55" s="16">
        <v>17383965.539999999</v>
      </c>
      <c r="I55" s="16">
        <v>5787415.7000000002</v>
      </c>
      <c r="J55" s="16">
        <v>53567704.520000041</v>
      </c>
      <c r="K55" s="16">
        <v>62230289.159999996</v>
      </c>
      <c r="L55" s="16">
        <v>0</v>
      </c>
      <c r="M55" s="16">
        <v>100.41</v>
      </c>
      <c r="N55" s="18">
        <f t="shared" si="1"/>
        <v>554577230.49855888</v>
      </c>
      <c r="O55" s="4"/>
    </row>
    <row r="56" spans="1:15" ht="15" x14ac:dyDescent="0.2">
      <c r="A56" s="17" t="s">
        <v>51</v>
      </c>
      <c r="B56" s="16">
        <v>298702460.28000003</v>
      </c>
      <c r="C56" s="16">
        <v>0</v>
      </c>
      <c r="D56" s="16">
        <v>7242301.3780195955</v>
      </c>
      <c r="E56" s="16">
        <v>0</v>
      </c>
      <c r="F56" s="16">
        <v>380527.46</v>
      </c>
      <c r="G56" s="16">
        <v>230798.63</v>
      </c>
      <c r="H56" s="16">
        <v>12736275.51</v>
      </c>
      <c r="I56" s="16">
        <v>1635401.42</v>
      </c>
      <c r="J56" s="16">
        <v>44220358.810000002</v>
      </c>
      <c r="K56" s="16">
        <v>47075432.039999999</v>
      </c>
      <c r="L56" s="16">
        <v>0</v>
      </c>
      <c r="M56" s="16">
        <v>28.36</v>
      </c>
      <c r="N56" s="18">
        <f t="shared" si="1"/>
        <v>412223583.88801962</v>
      </c>
      <c r="O56" s="4"/>
    </row>
    <row r="57" spans="1:15" ht="15" x14ac:dyDescent="0.2">
      <c r="A57" s="17" t="s">
        <v>52</v>
      </c>
      <c r="B57" s="16">
        <v>771233261.16999996</v>
      </c>
      <c r="C57" s="16">
        <v>0</v>
      </c>
      <c r="D57" s="16">
        <v>12701747.584208474</v>
      </c>
      <c r="E57" s="16">
        <v>0</v>
      </c>
      <c r="F57" s="16">
        <v>1954359.5</v>
      </c>
      <c r="G57" s="16">
        <v>1063322.28</v>
      </c>
      <c r="H57" s="16">
        <v>32884360.199999999</v>
      </c>
      <c r="I57" s="16">
        <v>8399294.6699999999</v>
      </c>
      <c r="J57" s="16">
        <v>94415279.88000001</v>
      </c>
      <c r="K57" s="16">
        <v>113623879.2</v>
      </c>
      <c r="L57" s="16">
        <v>0</v>
      </c>
      <c r="M57" s="16">
        <v>145.72999999999999</v>
      </c>
      <c r="N57" s="18">
        <f t="shared" si="1"/>
        <v>1036275650.2142085</v>
      </c>
      <c r="O57" s="4"/>
    </row>
    <row r="58" spans="1:15" ht="15" x14ac:dyDescent="0.2">
      <c r="A58" s="17" t="s">
        <v>53</v>
      </c>
      <c r="B58" s="16">
        <v>687166706.18000007</v>
      </c>
      <c r="C58" s="16">
        <v>0</v>
      </c>
      <c r="D58" s="16">
        <v>5964333.4707557876</v>
      </c>
      <c r="E58" s="16">
        <v>0</v>
      </c>
      <c r="F58" s="16">
        <v>1137887.95</v>
      </c>
      <c r="G58" s="16">
        <v>667667.48</v>
      </c>
      <c r="H58" s="16">
        <v>29299874.140000001</v>
      </c>
      <c r="I58" s="16">
        <v>4890326.57</v>
      </c>
      <c r="J58" s="16">
        <v>53430875.840000033</v>
      </c>
      <c r="K58" s="16">
        <v>98071000.560000002</v>
      </c>
      <c r="L58" s="16">
        <v>0</v>
      </c>
      <c r="M58" s="16">
        <v>84.84</v>
      </c>
      <c r="N58" s="18">
        <f t="shared" si="1"/>
        <v>880628757.03075612</v>
      </c>
      <c r="O58" s="4"/>
    </row>
    <row r="59" spans="1:15" ht="15" x14ac:dyDescent="0.2">
      <c r="A59" s="17" t="s">
        <v>54</v>
      </c>
      <c r="B59" s="16">
        <v>762145654.21000004</v>
      </c>
      <c r="C59" s="16">
        <v>0</v>
      </c>
      <c r="D59" s="16">
        <v>16893407.417779364</v>
      </c>
      <c r="E59" s="16">
        <v>0</v>
      </c>
      <c r="F59" s="16">
        <v>1108332.42</v>
      </c>
      <c r="G59" s="16">
        <v>609967.81999999995</v>
      </c>
      <c r="H59" s="16">
        <v>32496876.73</v>
      </c>
      <c r="I59" s="16">
        <v>4763305.0999999996</v>
      </c>
      <c r="J59" s="16">
        <v>59761018.259999953</v>
      </c>
      <c r="K59" s="16">
        <v>117498956.64</v>
      </c>
      <c r="L59" s="16">
        <v>0</v>
      </c>
      <c r="M59" s="16">
        <v>82.63</v>
      </c>
      <c r="N59" s="18">
        <f t="shared" si="1"/>
        <v>995277601.22777939</v>
      </c>
      <c r="O59" s="4"/>
    </row>
    <row r="60" spans="1:15" ht="15" x14ac:dyDescent="0.2">
      <c r="A60" s="17" t="s">
        <v>55</v>
      </c>
      <c r="B60" s="16">
        <v>5312733895.4399986</v>
      </c>
      <c r="C60" s="16">
        <v>0</v>
      </c>
      <c r="D60" s="16">
        <v>150008991.36895841</v>
      </c>
      <c r="E60" s="16">
        <v>0</v>
      </c>
      <c r="F60" s="16">
        <v>60967519.280000001</v>
      </c>
      <c r="G60" s="16">
        <v>31380371.559999999</v>
      </c>
      <c r="H60" s="16">
        <v>226527905.16</v>
      </c>
      <c r="I60" s="16">
        <v>262021474.96000001</v>
      </c>
      <c r="J60" s="16">
        <v>998938890.22999978</v>
      </c>
      <c r="K60" s="16">
        <v>834245596.08000004</v>
      </c>
      <c r="L60" s="16">
        <v>0</v>
      </c>
      <c r="M60" s="16">
        <v>4546.25</v>
      </c>
      <c r="N60" s="18">
        <f t="shared" si="1"/>
        <v>7876829190.3289566</v>
      </c>
      <c r="O60" s="4"/>
    </row>
    <row r="61" spans="1:15" ht="15" x14ac:dyDescent="0.2">
      <c r="A61" s="17" t="s">
        <v>56</v>
      </c>
      <c r="B61" s="16">
        <v>1130082308.3500001</v>
      </c>
      <c r="C61" s="16">
        <v>0</v>
      </c>
      <c r="D61" s="16">
        <v>11638806.624062987</v>
      </c>
      <c r="E61" s="16">
        <v>0</v>
      </c>
      <c r="F61" s="16">
        <v>10883824.369999999</v>
      </c>
      <c r="G61" s="16">
        <v>2590347.7270086771</v>
      </c>
      <c r="H61" s="16">
        <v>48185206.149999999</v>
      </c>
      <c r="I61" s="16">
        <v>46775656.130000003</v>
      </c>
      <c r="J61" s="16">
        <v>247343851.76999998</v>
      </c>
      <c r="K61" s="16">
        <v>133746495.48</v>
      </c>
      <c r="L61" s="16">
        <v>0</v>
      </c>
      <c r="M61" s="16">
        <v>811.57999999999993</v>
      </c>
      <c r="N61" s="18">
        <f t="shared" si="1"/>
        <v>1631247308.1810718</v>
      </c>
      <c r="O61" s="4"/>
    </row>
    <row r="62" spans="1:15" ht="15" x14ac:dyDescent="0.2">
      <c r="A62" s="17" t="s">
        <v>57</v>
      </c>
      <c r="B62" s="16">
        <v>6081218588.9700012</v>
      </c>
      <c r="C62" s="16">
        <v>0</v>
      </c>
      <c r="D62" s="16">
        <v>39691527.229999997</v>
      </c>
      <c r="E62" s="16">
        <v>0</v>
      </c>
      <c r="F62" s="16">
        <v>48801723.729999997</v>
      </c>
      <c r="G62" s="16">
        <v>0</v>
      </c>
      <c r="H62" s="16">
        <v>259295070.09</v>
      </c>
      <c r="I62" s="16">
        <v>209736262.59999999</v>
      </c>
      <c r="J62" s="16">
        <v>491860782.36999977</v>
      </c>
      <c r="K62" s="16">
        <v>915907596.24000001</v>
      </c>
      <c r="L62" s="16">
        <v>0</v>
      </c>
      <c r="M62" s="16">
        <v>3639.06</v>
      </c>
      <c r="N62" s="18">
        <f t="shared" si="1"/>
        <v>8046515190.2900009</v>
      </c>
      <c r="O62" s="4"/>
    </row>
    <row r="63" spans="1:15" ht="15" x14ac:dyDescent="0.2">
      <c r="A63" s="17" t="s">
        <v>58</v>
      </c>
      <c r="B63" s="16">
        <v>988815829.31999993</v>
      </c>
      <c r="C63" s="16">
        <v>0</v>
      </c>
      <c r="D63" s="16">
        <v>14254825.166999754</v>
      </c>
      <c r="E63" s="16">
        <v>0</v>
      </c>
      <c r="F63" s="16">
        <v>1719762.47</v>
      </c>
      <c r="G63" s="16">
        <v>1063322.28</v>
      </c>
      <c r="H63" s="16">
        <v>42161791.43</v>
      </c>
      <c r="I63" s="16">
        <v>7391061.75</v>
      </c>
      <c r="J63" s="16">
        <v>66003718.230000034</v>
      </c>
      <c r="K63" s="16">
        <v>143283992.28</v>
      </c>
      <c r="L63" s="16">
        <v>0</v>
      </c>
      <c r="M63" s="16">
        <v>128.23000000000002</v>
      </c>
      <c r="N63" s="18">
        <f t="shared" si="1"/>
        <v>1264694431.1569996</v>
      </c>
      <c r="O63" s="4"/>
    </row>
    <row r="64" spans="1:15" ht="15" x14ac:dyDescent="0.2">
      <c r="A64" s="17" t="s">
        <v>59</v>
      </c>
      <c r="B64" s="16">
        <v>1498489438.0300002</v>
      </c>
      <c r="C64" s="16">
        <v>0</v>
      </c>
      <c r="D64" s="16">
        <v>59203864.247434482</v>
      </c>
      <c r="E64" s="16">
        <v>0</v>
      </c>
      <c r="F64" s="16">
        <v>3147664.07</v>
      </c>
      <c r="G64" s="16">
        <v>1656804.49</v>
      </c>
      <c r="H64" s="16">
        <v>63893596.030000001</v>
      </c>
      <c r="I64" s="16">
        <v>13527786.5</v>
      </c>
      <c r="J64" s="16">
        <v>139918807.18000001</v>
      </c>
      <c r="K64" s="16">
        <v>232883893.31999999</v>
      </c>
      <c r="L64" s="16">
        <v>0</v>
      </c>
      <c r="M64" s="16">
        <v>234.70999999999998</v>
      </c>
      <c r="N64" s="18">
        <f t="shared" si="1"/>
        <v>2012722088.5774345</v>
      </c>
      <c r="O64" s="4"/>
    </row>
    <row r="65" spans="1:15" ht="15" x14ac:dyDescent="0.2">
      <c r="A65" s="17" t="s">
        <v>60</v>
      </c>
      <c r="B65" s="16">
        <v>828309375.83999991</v>
      </c>
      <c r="C65" s="16">
        <v>0</v>
      </c>
      <c r="D65" s="16">
        <v>13362865.986728076</v>
      </c>
      <c r="E65" s="16">
        <v>0</v>
      </c>
      <c r="F65" s="16">
        <v>685318.88</v>
      </c>
      <c r="G65" s="16">
        <v>552268.16</v>
      </c>
      <c r="H65" s="16">
        <v>35318009.799999997</v>
      </c>
      <c r="I65" s="16">
        <v>2945310.32</v>
      </c>
      <c r="J65" s="16">
        <v>83455912.149999991</v>
      </c>
      <c r="K65" s="16">
        <v>129935251.68000001</v>
      </c>
      <c r="L65" s="16">
        <v>0</v>
      </c>
      <c r="M65" s="16">
        <v>51.1</v>
      </c>
      <c r="N65" s="18">
        <f t="shared" si="1"/>
        <v>1094564363.9167278</v>
      </c>
      <c r="O65" s="4"/>
    </row>
    <row r="66" spans="1:15" ht="15" x14ac:dyDescent="0.2">
      <c r="A66" s="17" t="s">
        <v>61</v>
      </c>
      <c r="B66" s="16">
        <v>474957464.24000001</v>
      </c>
      <c r="C66" s="16">
        <v>0</v>
      </c>
      <c r="D66" s="16">
        <v>7140782.5997124892</v>
      </c>
      <c r="E66" s="16">
        <v>0</v>
      </c>
      <c r="F66" s="16">
        <v>670541.11</v>
      </c>
      <c r="G66" s="16">
        <v>502811.31</v>
      </c>
      <c r="H66" s="16">
        <v>20251554.390000001</v>
      </c>
      <c r="I66" s="16">
        <v>2881799.59</v>
      </c>
      <c r="J66" s="16">
        <v>37046294.249999993</v>
      </c>
      <c r="K66" s="16">
        <v>72898016.879999995</v>
      </c>
      <c r="L66" s="16">
        <v>0</v>
      </c>
      <c r="M66" s="16">
        <v>49.989999999999995</v>
      </c>
      <c r="N66" s="18">
        <f t="shared" si="1"/>
        <v>616349314.35971248</v>
      </c>
      <c r="O66" s="4"/>
    </row>
    <row r="67" spans="1:15" ht="15" x14ac:dyDescent="0.2">
      <c r="A67" s="17" t="s">
        <v>62</v>
      </c>
      <c r="B67" s="16">
        <v>2117932424.7599998</v>
      </c>
      <c r="C67" s="16">
        <v>0</v>
      </c>
      <c r="D67" s="16">
        <v>9361225.8200000003</v>
      </c>
      <c r="E67" s="16">
        <v>0</v>
      </c>
      <c r="F67" s="16">
        <v>18017790.73</v>
      </c>
      <c r="G67" s="16">
        <v>10482153.950082662</v>
      </c>
      <c r="H67" s="16">
        <v>90305820.870000005</v>
      </c>
      <c r="I67" s="16">
        <v>77435463.319999993</v>
      </c>
      <c r="J67" s="16">
        <v>238693141.24000001</v>
      </c>
      <c r="K67" s="16">
        <v>338070467.27999997</v>
      </c>
      <c r="L67" s="16">
        <v>0</v>
      </c>
      <c r="M67" s="16">
        <v>1343.55</v>
      </c>
      <c r="N67" s="18">
        <f t="shared" si="1"/>
        <v>2900299831.5200825</v>
      </c>
      <c r="O67" s="4"/>
    </row>
    <row r="68" spans="1:15" ht="15" x14ac:dyDescent="0.2">
      <c r="A68" s="17" t="s">
        <v>63</v>
      </c>
      <c r="B68" s="16">
        <v>1341920122.1900001</v>
      </c>
      <c r="C68" s="16">
        <v>0</v>
      </c>
      <c r="D68" s="16">
        <v>15403075.1</v>
      </c>
      <c r="E68" s="16">
        <v>0</v>
      </c>
      <c r="F68" s="16">
        <v>15889792.48</v>
      </c>
      <c r="G68" s="16">
        <v>10319293.733134918</v>
      </c>
      <c r="H68" s="16">
        <v>57217688.700000003</v>
      </c>
      <c r="I68" s="16">
        <v>68289917.519999996</v>
      </c>
      <c r="J68" s="16">
        <v>200464193.97000006</v>
      </c>
      <c r="K68" s="16">
        <v>214199411.40000001</v>
      </c>
      <c r="L68" s="16">
        <v>0</v>
      </c>
      <c r="M68" s="16">
        <v>1184.8699999999999</v>
      </c>
      <c r="N68" s="18">
        <f t="shared" si="1"/>
        <v>1923704679.963135</v>
      </c>
      <c r="O68" s="4"/>
    </row>
    <row r="69" spans="1:15" ht="15" x14ac:dyDescent="0.2">
      <c r="A69" s="17" t="s">
        <v>64</v>
      </c>
      <c r="B69" s="16">
        <v>4627597662.6200008</v>
      </c>
      <c r="C69" s="16">
        <v>0</v>
      </c>
      <c r="D69" s="16">
        <v>14058299.353570888</v>
      </c>
      <c r="E69" s="16">
        <v>0</v>
      </c>
      <c r="F69" s="16">
        <v>46895391.969999999</v>
      </c>
      <c r="G69" s="16">
        <v>10418992.619310863</v>
      </c>
      <c r="H69" s="16">
        <v>197314607.71000001</v>
      </c>
      <c r="I69" s="16">
        <v>201543377.81999999</v>
      </c>
      <c r="J69" s="16">
        <v>468118826.38000011</v>
      </c>
      <c r="K69" s="16">
        <v>671852815.91999996</v>
      </c>
      <c r="L69" s="16">
        <v>0</v>
      </c>
      <c r="M69" s="16">
        <v>3496.91</v>
      </c>
      <c r="N69" s="18">
        <f t="shared" si="1"/>
        <v>6237803471.3028831</v>
      </c>
      <c r="O69" s="4"/>
    </row>
    <row r="70" spans="1:15" ht="15" x14ac:dyDescent="0.2">
      <c r="A70" s="17" t="s">
        <v>65</v>
      </c>
      <c r="B70" s="16">
        <v>968783474.98000002</v>
      </c>
      <c r="C70" s="16">
        <v>0</v>
      </c>
      <c r="D70" s="16">
        <v>25859924.70791322</v>
      </c>
      <c r="E70" s="16">
        <v>0</v>
      </c>
      <c r="F70" s="16">
        <v>10414630.32</v>
      </c>
      <c r="G70" s="16">
        <v>4879742.57</v>
      </c>
      <c r="H70" s="16">
        <v>41307638.490000002</v>
      </c>
      <c r="I70" s="16">
        <v>44759190.299999997</v>
      </c>
      <c r="J70" s="16">
        <v>198979123.34</v>
      </c>
      <c r="K70" s="16">
        <v>146723499</v>
      </c>
      <c r="L70" s="16">
        <v>0</v>
      </c>
      <c r="M70" s="16">
        <v>776.58999999999992</v>
      </c>
      <c r="N70" s="18">
        <f t="shared" si="1"/>
        <v>1441708000.2979131</v>
      </c>
      <c r="O70" s="4"/>
    </row>
    <row r="71" spans="1:15" ht="15" x14ac:dyDescent="0.2">
      <c r="A71" s="17" t="s">
        <v>66</v>
      </c>
      <c r="B71" s="16">
        <v>3753330252.4799995</v>
      </c>
      <c r="C71" s="16">
        <v>0</v>
      </c>
      <c r="D71" s="16">
        <v>17778915.020000003</v>
      </c>
      <c r="E71" s="16">
        <v>0</v>
      </c>
      <c r="F71" s="16">
        <v>6557633.4900000002</v>
      </c>
      <c r="G71" s="16">
        <v>4739614.82</v>
      </c>
      <c r="H71" s="16">
        <v>160037008.47999999</v>
      </c>
      <c r="I71" s="16">
        <v>28182888.539999999</v>
      </c>
      <c r="J71" s="16">
        <v>166298564.66000003</v>
      </c>
      <c r="K71" s="16">
        <v>583210419.48000002</v>
      </c>
      <c r="L71" s="16">
        <v>0</v>
      </c>
      <c r="M71" s="16">
        <v>488.98</v>
      </c>
      <c r="N71" s="18">
        <f t="shared" si="1"/>
        <v>4720135785.9499989</v>
      </c>
      <c r="O71" s="4"/>
    </row>
    <row r="72" spans="1:15" ht="15" x14ac:dyDescent="0.2">
      <c r="A72" s="17" t="s">
        <v>67</v>
      </c>
      <c r="B72" s="16">
        <v>17485917725.909996</v>
      </c>
      <c r="C72" s="16">
        <v>0</v>
      </c>
      <c r="D72" s="16">
        <v>63958030.925129928</v>
      </c>
      <c r="E72" s="16">
        <v>0</v>
      </c>
      <c r="F72" s="16">
        <v>190808663.11999997</v>
      </c>
      <c r="G72" s="16">
        <v>0</v>
      </c>
      <c r="H72" s="16">
        <v>745576268.30999994</v>
      </c>
      <c r="I72" s="16">
        <v>820042667.96000004</v>
      </c>
      <c r="J72" s="16">
        <v>2436436090.9299989</v>
      </c>
      <c r="K72" s="16">
        <v>2791144683.5999999</v>
      </c>
      <c r="L72" s="16">
        <v>0</v>
      </c>
      <c r="M72" s="16">
        <v>14228.3</v>
      </c>
      <c r="N72" s="18">
        <f t="shared" ref="N72:N103" si="2">SUM(B72:M72)</f>
        <v>24533898359.055122</v>
      </c>
      <c r="O72" s="4"/>
    </row>
    <row r="73" spans="1:15" ht="15" x14ac:dyDescent="0.2">
      <c r="A73" s="17" t="s">
        <v>68</v>
      </c>
      <c r="B73" s="16">
        <v>7565989950.0699997</v>
      </c>
      <c r="C73" s="16">
        <v>0</v>
      </c>
      <c r="D73" s="16">
        <v>111163051.075059</v>
      </c>
      <c r="E73" s="16">
        <v>0</v>
      </c>
      <c r="F73" s="16">
        <v>70822441.730000004</v>
      </c>
      <c r="G73" s="16">
        <v>43451876.180120945</v>
      </c>
      <c r="H73" s="16">
        <v>322603745.56999999</v>
      </c>
      <c r="I73" s="16">
        <v>304375196.18000001</v>
      </c>
      <c r="J73" s="16">
        <v>1061294714.9999999</v>
      </c>
      <c r="K73" s="16">
        <v>1116585540.72</v>
      </c>
      <c r="L73" s="16">
        <v>0</v>
      </c>
      <c r="M73" s="16">
        <v>5281.1100000000006</v>
      </c>
      <c r="N73" s="18">
        <f t="shared" si="2"/>
        <v>10596291797.63518</v>
      </c>
      <c r="O73" s="4"/>
    </row>
    <row r="74" spans="1:15" ht="15" x14ac:dyDescent="0.2">
      <c r="A74" s="17" t="s">
        <v>69</v>
      </c>
      <c r="B74" s="16">
        <v>4214767734.7999997</v>
      </c>
      <c r="C74" s="16">
        <v>0</v>
      </c>
      <c r="D74" s="16">
        <v>34251585.030000001</v>
      </c>
      <c r="E74" s="16">
        <v>0</v>
      </c>
      <c r="F74" s="16">
        <v>51419235.469999999</v>
      </c>
      <c r="G74" s="16">
        <v>73678824.934323296</v>
      </c>
      <c r="H74" s="16">
        <v>179712088.83000001</v>
      </c>
      <c r="I74" s="16">
        <v>220985601.47999999</v>
      </c>
      <c r="J74" s="16">
        <v>569329931.15999985</v>
      </c>
      <c r="K74" s="16">
        <v>672772771.32000005</v>
      </c>
      <c r="L74" s="16">
        <v>0</v>
      </c>
      <c r="M74" s="16">
        <v>3834.25</v>
      </c>
      <c r="N74" s="18">
        <f t="shared" si="2"/>
        <v>6016921607.2743225</v>
      </c>
      <c r="O74" s="4"/>
    </row>
    <row r="75" spans="1:15" ht="15" x14ac:dyDescent="0.2">
      <c r="A75" s="17" t="s">
        <v>70</v>
      </c>
      <c r="B75" s="16">
        <v>686374326.28000009</v>
      </c>
      <c r="C75" s="16">
        <v>0</v>
      </c>
      <c r="D75" s="16">
        <v>11513153.50861981</v>
      </c>
      <c r="E75" s="16">
        <v>0</v>
      </c>
      <c r="F75" s="16">
        <v>934693.67</v>
      </c>
      <c r="G75" s="16">
        <v>544025.35</v>
      </c>
      <c r="H75" s="16">
        <v>29266088.109999999</v>
      </c>
      <c r="I75" s="16">
        <v>4017053.97</v>
      </c>
      <c r="J75" s="16">
        <v>64160743.240000032</v>
      </c>
      <c r="K75" s="16">
        <v>105250407.59999999</v>
      </c>
      <c r="L75" s="16">
        <v>0</v>
      </c>
      <c r="M75" s="16">
        <v>69.69</v>
      </c>
      <c r="N75" s="18">
        <f t="shared" si="2"/>
        <v>902060561.41861999</v>
      </c>
      <c r="O75" s="4"/>
    </row>
    <row r="76" spans="1:15" ht="15" x14ac:dyDescent="0.2">
      <c r="A76" s="17" t="s">
        <v>71</v>
      </c>
      <c r="B76" s="16">
        <v>683848615.35000002</v>
      </c>
      <c r="C76" s="16">
        <v>0</v>
      </c>
      <c r="D76" s="16">
        <v>15010396.772877663</v>
      </c>
      <c r="E76" s="16">
        <v>0</v>
      </c>
      <c r="F76" s="16">
        <v>1682818.05</v>
      </c>
      <c r="G76" s="16">
        <v>1277635.3</v>
      </c>
      <c r="H76" s="16">
        <v>29158395.16</v>
      </c>
      <c r="I76" s="16">
        <v>7232284.9199999999</v>
      </c>
      <c r="J76" s="16">
        <v>95275179.99000001</v>
      </c>
      <c r="K76" s="16">
        <v>102787180.08</v>
      </c>
      <c r="L76" s="16">
        <v>0</v>
      </c>
      <c r="M76" s="16">
        <v>125.47999999999999</v>
      </c>
      <c r="N76" s="18">
        <f t="shared" si="2"/>
        <v>936272631.10287762</v>
      </c>
      <c r="O76" s="4"/>
    </row>
    <row r="77" spans="1:15" ht="15" x14ac:dyDescent="0.2">
      <c r="A77" s="17" t="s">
        <v>72</v>
      </c>
      <c r="B77" s="16">
        <v>800204651.2700001</v>
      </c>
      <c r="C77" s="16">
        <v>0</v>
      </c>
      <c r="D77" s="16">
        <v>10327863.709458519</v>
      </c>
      <c r="E77" s="16">
        <v>0</v>
      </c>
      <c r="F77" s="16">
        <v>1976526.15</v>
      </c>
      <c r="G77" s="16">
        <v>816038.03</v>
      </c>
      <c r="H77" s="16">
        <v>34119661.729999997</v>
      </c>
      <c r="I77" s="16">
        <v>8494560.7699999996</v>
      </c>
      <c r="J77" s="16">
        <v>64738270.770000033</v>
      </c>
      <c r="K77" s="16">
        <v>127731113.64</v>
      </c>
      <c r="L77" s="16">
        <v>0</v>
      </c>
      <c r="M77" s="16">
        <v>147.38</v>
      </c>
      <c r="N77" s="18">
        <f t="shared" si="2"/>
        <v>1048408833.4494585</v>
      </c>
      <c r="O77" s="4"/>
    </row>
    <row r="78" spans="1:15" ht="15" x14ac:dyDescent="0.2">
      <c r="A78" s="17" t="s">
        <v>73</v>
      </c>
      <c r="B78" s="16">
        <v>310687206.25000006</v>
      </c>
      <c r="C78" s="16">
        <v>0</v>
      </c>
      <c r="D78" s="16">
        <v>5576153.4328522924</v>
      </c>
      <c r="E78" s="16">
        <v>0</v>
      </c>
      <c r="F78" s="16">
        <v>701943.86</v>
      </c>
      <c r="G78" s="16">
        <v>288498.28999999998</v>
      </c>
      <c r="H78" s="16">
        <v>13247289.140000001</v>
      </c>
      <c r="I78" s="16">
        <v>3016759.9</v>
      </c>
      <c r="J78" s="16">
        <v>27762860.020000003</v>
      </c>
      <c r="K78" s="16">
        <v>49591228.439999998</v>
      </c>
      <c r="L78" s="16">
        <v>0</v>
      </c>
      <c r="M78" s="16">
        <v>52.33</v>
      </c>
      <c r="N78" s="18">
        <f t="shared" si="2"/>
        <v>410871991.66285229</v>
      </c>
      <c r="O78" s="4"/>
    </row>
    <row r="79" spans="1:15" ht="15" x14ac:dyDescent="0.2">
      <c r="A79" s="17" t="s">
        <v>74</v>
      </c>
      <c r="B79" s="16">
        <v>1509904660.96</v>
      </c>
      <c r="C79" s="16">
        <v>0</v>
      </c>
      <c r="D79" s="16">
        <v>36522487.710647121</v>
      </c>
      <c r="E79" s="16">
        <v>0</v>
      </c>
      <c r="F79" s="16">
        <v>3528191.54</v>
      </c>
      <c r="G79" s="16">
        <v>2143130.1800000002</v>
      </c>
      <c r="H79" s="16">
        <v>64380325.950000003</v>
      </c>
      <c r="I79" s="16">
        <v>15163187.92</v>
      </c>
      <c r="J79" s="16">
        <v>150392738.13000005</v>
      </c>
      <c r="K79" s="16">
        <v>217060660.44</v>
      </c>
      <c r="L79" s="16">
        <v>0</v>
      </c>
      <c r="M79" s="16">
        <v>263.08</v>
      </c>
      <c r="N79" s="18">
        <f t="shared" si="2"/>
        <v>1999095645.9106474</v>
      </c>
      <c r="O79" s="4"/>
    </row>
    <row r="80" spans="1:15" ht="15" x14ac:dyDescent="0.2">
      <c r="A80" s="17" t="s">
        <v>75</v>
      </c>
      <c r="B80" s="16">
        <v>802656076.57999992</v>
      </c>
      <c r="C80" s="16">
        <v>0</v>
      </c>
      <c r="D80" s="16">
        <v>24492168.182072494</v>
      </c>
      <c r="E80" s="16">
        <v>0</v>
      </c>
      <c r="F80" s="16">
        <v>1141582.3899999999</v>
      </c>
      <c r="G80" s="16">
        <v>857252.07</v>
      </c>
      <c r="H80" s="16">
        <v>34224187.240000002</v>
      </c>
      <c r="I80" s="16">
        <v>4906204.26</v>
      </c>
      <c r="J80" s="16">
        <v>97196591.76000005</v>
      </c>
      <c r="K80" s="16">
        <v>124456823.40000001</v>
      </c>
      <c r="L80" s="16">
        <v>0</v>
      </c>
      <c r="M80" s="16">
        <v>85.11</v>
      </c>
      <c r="N80" s="18">
        <f t="shared" si="2"/>
        <v>1089930970.9920726</v>
      </c>
      <c r="O80" s="4"/>
    </row>
    <row r="81" spans="1:15" ht="15" x14ac:dyDescent="0.2">
      <c r="A81" s="17" t="s">
        <v>76</v>
      </c>
      <c r="B81" s="16">
        <v>447694643.31999993</v>
      </c>
      <c r="C81" s="16">
        <v>0</v>
      </c>
      <c r="D81" s="16">
        <v>13543926.460009716</v>
      </c>
      <c r="E81" s="16">
        <v>0</v>
      </c>
      <c r="F81" s="16">
        <v>2964789.22</v>
      </c>
      <c r="G81" s="16">
        <v>1961788.4</v>
      </c>
      <c r="H81" s="16">
        <v>19089103.98</v>
      </c>
      <c r="I81" s="16">
        <v>12741841.15</v>
      </c>
      <c r="J81" s="16">
        <v>113638984.20000005</v>
      </c>
      <c r="K81" s="16">
        <v>66578486.520000003</v>
      </c>
      <c r="L81" s="16">
        <v>0</v>
      </c>
      <c r="M81" s="16">
        <v>221.07</v>
      </c>
      <c r="N81" s="18">
        <f t="shared" si="2"/>
        <v>678213784.32000971</v>
      </c>
      <c r="O81" s="4"/>
    </row>
    <row r="82" spans="1:15" ht="15" x14ac:dyDescent="0.2">
      <c r="A82" s="17" t="s">
        <v>77</v>
      </c>
      <c r="B82" s="16">
        <v>7176584753.04</v>
      </c>
      <c r="C82" s="16">
        <v>0</v>
      </c>
      <c r="D82" s="16">
        <v>45895609.550000004</v>
      </c>
      <c r="E82" s="16">
        <v>0</v>
      </c>
      <c r="F82" s="16">
        <v>85446888.030000001</v>
      </c>
      <c r="G82" s="16">
        <v>75699672.73730889</v>
      </c>
      <c r="H82" s="16">
        <v>306000026.04000002</v>
      </c>
      <c r="I82" s="16">
        <v>367227007.04000002</v>
      </c>
      <c r="J82" s="16">
        <v>943300743.80000055</v>
      </c>
      <c r="K82" s="16">
        <v>1057190216.16</v>
      </c>
      <c r="L82" s="16">
        <v>0</v>
      </c>
      <c r="M82" s="16">
        <v>6371.64</v>
      </c>
      <c r="N82" s="18">
        <f t="shared" si="2"/>
        <v>10057351288.037308</v>
      </c>
      <c r="O82" s="4"/>
    </row>
    <row r="83" spans="1:15" ht="15" x14ac:dyDescent="0.2">
      <c r="A83" s="17" t="s">
        <v>78</v>
      </c>
      <c r="B83" s="16">
        <v>2009945901.5300002</v>
      </c>
      <c r="C83" s="16">
        <v>0</v>
      </c>
      <c r="D83" s="16">
        <v>23082939.278236188</v>
      </c>
      <c r="E83" s="16">
        <v>0</v>
      </c>
      <c r="F83" s="16">
        <v>9461464.4299999997</v>
      </c>
      <c r="G83" s="16">
        <v>5217697.71</v>
      </c>
      <c r="H83" s="16">
        <v>85701419.180000007</v>
      </c>
      <c r="I83" s="16">
        <v>40662747.909999996</v>
      </c>
      <c r="J83" s="16">
        <v>204160020.92999986</v>
      </c>
      <c r="K83" s="16">
        <v>320831629.56</v>
      </c>
      <c r="L83" s="16">
        <v>0</v>
      </c>
      <c r="M83" s="16">
        <v>705.52</v>
      </c>
      <c r="N83" s="18">
        <f t="shared" si="2"/>
        <v>2699064526.0482364</v>
      </c>
      <c r="O83" s="4"/>
    </row>
    <row r="84" spans="1:15" ht="15" x14ac:dyDescent="0.2">
      <c r="A84" s="17" t="s">
        <v>79</v>
      </c>
      <c r="B84" s="16">
        <v>772124688.56999993</v>
      </c>
      <c r="C84" s="16">
        <v>0</v>
      </c>
      <c r="D84" s="16">
        <v>10600526.344675018</v>
      </c>
      <c r="E84" s="16">
        <v>0</v>
      </c>
      <c r="F84" s="16">
        <v>1898942.88</v>
      </c>
      <c r="G84" s="16">
        <v>516105.61618965946</v>
      </c>
      <c r="H84" s="16">
        <v>32922369.48</v>
      </c>
      <c r="I84" s="16">
        <v>8161129.4100000001</v>
      </c>
      <c r="J84" s="16">
        <v>83953840.729999959</v>
      </c>
      <c r="K84" s="16">
        <v>111014209.8</v>
      </c>
      <c r="L84" s="16">
        <v>0</v>
      </c>
      <c r="M84" s="16">
        <v>141.59</v>
      </c>
      <c r="N84" s="18">
        <f t="shared" si="2"/>
        <v>1021191954.4208647</v>
      </c>
      <c r="O84" s="4"/>
    </row>
    <row r="85" spans="1:15" ht="15" x14ac:dyDescent="0.2">
      <c r="A85" s="17" t="s">
        <v>80</v>
      </c>
      <c r="B85" s="16">
        <v>637940104.89999998</v>
      </c>
      <c r="C85" s="16">
        <v>0</v>
      </c>
      <c r="D85" s="16">
        <v>11077188.859365875</v>
      </c>
      <c r="E85" s="16">
        <v>0</v>
      </c>
      <c r="F85" s="16">
        <v>897749.26</v>
      </c>
      <c r="G85" s="16">
        <v>535782.55000000005</v>
      </c>
      <c r="H85" s="16">
        <v>27200917.350000001</v>
      </c>
      <c r="I85" s="16">
        <v>3858277.13</v>
      </c>
      <c r="J85" s="16">
        <v>49491313.620000012</v>
      </c>
      <c r="K85" s="16">
        <v>98915857.560000002</v>
      </c>
      <c r="L85" s="16">
        <v>0</v>
      </c>
      <c r="M85" s="16">
        <v>66.930000000000007</v>
      </c>
      <c r="N85" s="18">
        <f t="shared" si="2"/>
        <v>829917258.15936577</v>
      </c>
      <c r="O85" s="4"/>
    </row>
    <row r="86" spans="1:15" ht="15" x14ac:dyDescent="0.2">
      <c r="A86" s="17" t="s">
        <v>81</v>
      </c>
      <c r="B86" s="16">
        <v>8201751010.3899994</v>
      </c>
      <c r="C86" s="16">
        <v>0</v>
      </c>
      <c r="D86" s="16">
        <v>30727611.720000003</v>
      </c>
      <c r="E86" s="16">
        <v>0</v>
      </c>
      <c r="F86" s="16">
        <v>53611886.439999998</v>
      </c>
      <c r="G86" s="16">
        <v>19274946.645290267</v>
      </c>
      <c r="H86" s="16">
        <v>349711751.35000002</v>
      </c>
      <c r="I86" s="16">
        <v>230409006.75</v>
      </c>
      <c r="J86" s="16">
        <v>416454231.5799998</v>
      </c>
      <c r="K86" s="16">
        <v>1250681243.76</v>
      </c>
      <c r="L86" s="16">
        <v>0</v>
      </c>
      <c r="M86" s="16">
        <v>3997.75</v>
      </c>
      <c r="N86" s="18">
        <f t="shared" si="2"/>
        <v>10552625686.38529</v>
      </c>
      <c r="O86" s="4"/>
    </row>
    <row r="87" spans="1:15" ht="15" x14ac:dyDescent="0.2">
      <c r="A87" s="17" t="s">
        <v>82</v>
      </c>
      <c r="B87" s="16">
        <v>1213727911.52</v>
      </c>
      <c r="C87" s="16">
        <v>0</v>
      </c>
      <c r="D87" s="16">
        <v>11980205.667795014</v>
      </c>
      <c r="E87" s="16">
        <v>0</v>
      </c>
      <c r="F87" s="16">
        <v>1522109.85</v>
      </c>
      <c r="G87" s="16">
        <v>1557890.79</v>
      </c>
      <c r="H87" s="16">
        <v>51751743.390000001</v>
      </c>
      <c r="I87" s="16">
        <v>6541605.6799999997</v>
      </c>
      <c r="J87" s="16">
        <v>94168349.180000052</v>
      </c>
      <c r="K87" s="16">
        <v>174344690.52000001</v>
      </c>
      <c r="L87" s="16">
        <v>0</v>
      </c>
      <c r="M87" s="16">
        <v>113.49</v>
      </c>
      <c r="N87" s="18">
        <f t="shared" si="2"/>
        <v>1555594620.087795</v>
      </c>
      <c r="O87" s="4"/>
    </row>
    <row r="88" spans="1:15" ht="15" x14ac:dyDescent="0.2">
      <c r="A88" s="17" t="s">
        <v>83</v>
      </c>
      <c r="B88" s="16">
        <v>972671088.86000013</v>
      </c>
      <c r="C88" s="16">
        <v>0</v>
      </c>
      <c r="D88" s="16">
        <v>5870903.5851574</v>
      </c>
      <c r="E88" s="16">
        <v>0</v>
      </c>
      <c r="F88" s="16">
        <v>7470160.5199999996</v>
      </c>
      <c r="G88" s="16">
        <v>3148752.8</v>
      </c>
      <c r="H88" s="16">
        <v>41473401.18</v>
      </c>
      <c r="I88" s="16">
        <v>32104676.399999999</v>
      </c>
      <c r="J88" s="16">
        <v>143347368.13000005</v>
      </c>
      <c r="K88" s="16">
        <v>141184992</v>
      </c>
      <c r="L88" s="16">
        <v>0</v>
      </c>
      <c r="M88" s="16">
        <v>557.03</v>
      </c>
      <c r="N88" s="18">
        <f t="shared" si="2"/>
        <v>1347271900.5051575</v>
      </c>
      <c r="O88" s="4"/>
    </row>
    <row r="89" spans="1:15" ht="15" x14ac:dyDescent="0.2">
      <c r="A89" s="17" t="s">
        <v>84</v>
      </c>
      <c r="B89" s="16">
        <v>1623561652.8699999</v>
      </c>
      <c r="C89" s="16">
        <v>0</v>
      </c>
      <c r="D89" s="16">
        <v>20105328.211592402</v>
      </c>
      <c r="E89" s="16">
        <v>0</v>
      </c>
      <c r="F89" s="16">
        <v>6282397.5999999996</v>
      </c>
      <c r="G89" s="16">
        <v>3429008.29</v>
      </c>
      <c r="H89" s="16">
        <v>69226508.870000005</v>
      </c>
      <c r="I89" s="16">
        <v>27000001.100000001</v>
      </c>
      <c r="J89" s="16">
        <v>147209655.58999997</v>
      </c>
      <c r="K89" s="16">
        <v>244817029.08000001</v>
      </c>
      <c r="L89" s="16">
        <v>0</v>
      </c>
      <c r="M89" s="16">
        <v>468.46000000000004</v>
      </c>
      <c r="N89" s="18">
        <f t="shared" si="2"/>
        <v>2141632050.0715921</v>
      </c>
      <c r="O89" s="4"/>
    </row>
    <row r="90" spans="1:15" ht="15" x14ac:dyDescent="0.2">
      <c r="A90" s="17" t="s">
        <v>85</v>
      </c>
      <c r="B90" s="16">
        <v>7600681332.5700016</v>
      </c>
      <c r="C90" s="16">
        <v>0</v>
      </c>
      <c r="D90" s="16">
        <v>19773272.371437009</v>
      </c>
      <c r="E90" s="16">
        <v>0</v>
      </c>
      <c r="F90" s="16">
        <v>85219679.879999995</v>
      </c>
      <c r="G90" s="16">
        <v>28024268.413643926</v>
      </c>
      <c r="H90" s="16">
        <v>324082939.95999998</v>
      </c>
      <c r="I90" s="16">
        <v>366250529.49000001</v>
      </c>
      <c r="J90" s="16">
        <v>858140428.34000063</v>
      </c>
      <c r="K90" s="16">
        <v>1213237181.52</v>
      </c>
      <c r="L90" s="16">
        <v>0</v>
      </c>
      <c r="M90" s="16">
        <v>6354.6900000000005</v>
      </c>
      <c r="N90" s="18">
        <f t="shared" si="2"/>
        <v>10495415987.235085</v>
      </c>
      <c r="O90" s="4"/>
    </row>
    <row r="91" spans="1:15" ht="15" x14ac:dyDescent="0.2">
      <c r="A91" s="17" t="s">
        <v>86</v>
      </c>
      <c r="B91" s="16">
        <v>330967179.32000005</v>
      </c>
      <c r="C91" s="16">
        <v>0</v>
      </c>
      <c r="D91" s="16">
        <v>15225143.441200608</v>
      </c>
      <c r="E91" s="16">
        <v>0</v>
      </c>
      <c r="F91" s="16">
        <v>1978373.37</v>
      </c>
      <c r="G91" s="16">
        <v>1170478.79</v>
      </c>
      <c r="H91" s="16">
        <v>14112000.210000001</v>
      </c>
      <c r="I91" s="16">
        <v>8502499.6099999994</v>
      </c>
      <c r="J91" s="16">
        <v>66180636.870000042</v>
      </c>
      <c r="K91" s="16">
        <v>48517321.32</v>
      </c>
      <c r="L91" s="16">
        <v>0</v>
      </c>
      <c r="M91" s="16">
        <v>147.51</v>
      </c>
      <c r="N91" s="18">
        <f t="shared" si="2"/>
        <v>486653780.44120073</v>
      </c>
      <c r="O91" s="4"/>
    </row>
    <row r="92" spans="1:15" ht="15" x14ac:dyDescent="0.2">
      <c r="A92" s="17" t="s">
        <v>87</v>
      </c>
      <c r="B92" s="16">
        <v>493380296.91999996</v>
      </c>
      <c r="C92" s="16">
        <v>0</v>
      </c>
      <c r="D92" s="16">
        <v>740648.33</v>
      </c>
      <c r="E92" s="16">
        <v>0</v>
      </c>
      <c r="F92" s="16">
        <v>423013.54</v>
      </c>
      <c r="G92" s="16">
        <v>395654.8</v>
      </c>
      <c r="H92" s="16">
        <v>21037079.460000001</v>
      </c>
      <c r="I92" s="16">
        <v>1817994.78</v>
      </c>
      <c r="J92" s="16">
        <v>25733670.249999989</v>
      </c>
      <c r="K92" s="16">
        <v>72638927.400000006</v>
      </c>
      <c r="L92" s="16">
        <v>0</v>
      </c>
      <c r="M92" s="16">
        <v>31.53</v>
      </c>
      <c r="N92" s="18">
        <f t="shared" si="2"/>
        <v>616167317.00999987</v>
      </c>
      <c r="O92" s="4"/>
    </row>
    <row r="93" spans="1:15" ht="15" x14ac:dyDescent="0.2">
      <c r="A93" s="17" t="s">
        <v>88</v>
      </c>
      <c r="B93" s="16">
        <v>5114787491.7099991</v>
      </c>
      <c r="C93" s="16">
        <v>0</v>
      </c>
      <c r="D93" s="16">
        <v>20204879.81414764</v>
      </c>
      <c r="E93" s="16">
        <v>0</v>
      </c>
      <c r="F93" s="16">
        <v>69067582.060000002</v>
      </c>
      <c r="G93" s="16">
        <v>15513485.102371875</v>
      </c>
      <c r="H93" s="16">
        <v>218087733.86000001</v>
      </c>
      <c r="I93" s="16">
        <v>296833296.43000001</v>
      </c>
      <c r="J93" s="16">
        <v>885887601.04999936</v>
      </c>
      <c r="K93" s="16">
        <v>688295610.60000002</v>
      </c>
      <c r="L93" s="16">
        <v>0</v>
      </c>
      <c r="M93" s="16">
        <v>5150.25</v>
      </c>
      <c r="N93" s="18">
        <f t="shared" si="2"/>
        <v>7308682830.8765192</v>
      </c>
      <c r="O93" s="4"/>
    </row>
    <row r="94" spans="1:15" ht="15" x14ac:dyDescent="0.2">
      <c r="A94" s="17" t="s">
        <v>89</v>
      </c>
      <c r="B94" s="16">
        <v>2895801867.73</v>
      </c>
      <c r="C94" s="16">
        <v>0</v>
      </c>
      <c r="D94" s="16">
        <v>31782028.130000006</v>
      </c>
      <c r="E94" s="16">
        <v>0</v>
      </c>
      <c r="F94" s="16">
        <v>31230960.41</v>
      </c>
      <c r="G94" s="16">
        <v>18967635.894079477</v>
      </c>
      <c r="H94" s="16">
        <v>123473139.03</v>
      </c>
      <c r="I94" s="16">
        <v>134221999.00999999</v>
      </c>
      <c r="J94" s="16">
        <v>418392492.70000035</v>
      </c>
      <c r="K94" s="16">
        <v>462234406.92000002</v>
      </c>
      <c r="L94" s="16">
        <v>0</v>
      </c>
      <c r="M94" s="16">
        <v>2328.84</v>
      </c>
      <c r="N94" s="18">
        <f t="shared" si="2"/>
        <v>4116106858.6640801</v>
      </c>
      <c r="O94" s="4"/>
    </row>
    <row r="95" spans="1:15" ht="15" x14ac:dyDescent="0.2">
      <c r="A95" s="17" t="s">
        <v>90</v>
      </c>
      <c r="B95" s="16">
        <v>539115474.26999998</v>
      </c>
      <c r="C95" s="16">
        <v>0</v>
      </c>
      <c r="D95" s="16">
        <v>11608982.488763563</v>
      </c>
      <c r="E95" s="16">
        <v>0</v>
      </c>
      <c r="F95" s="16">
        <v>1531345.96</v>
      </c>
      <c r="G95" s="16">
        <v>939680.16</v>
      </c>
      <c r="H95" s="16">
        <v>22987166.579999998</v>
      </c>
      <c r="I95" s="16">
        <v>6581299.8899999997</v>
      </c>
      <c r="J95" s="16">
        <v>66873495.479999967</v>
      </c>
      <c r="K95" s="16">
        <v>81789667.439999998</v>
      </c>
      <c r="L95" s="16">
        <v>0</v>
      </c>
      <c r="M95" s="16">
        <v>114.18</v>
      </c>
      <c r="N95" s="18">
        <f t="shared" si="2"/>
        <v>731427226.44876349</v>
      </c>
      <c r="O95" s="4"/>
    </row>
    <row r="96" spans="1:15" ht="15" x14ac:dyDescent="0.2">
      <c r="A96" s="17" t="s">
        <v>91</v>
      </c>
      <c r="B96" s="16">
        <v>1681553956.78</v>
      </c>
      <c r="C96" s="16">
        <v>0</v>
      </c>
      <c r="D96" s="16">
        <v>31705944.640167028</v>
      </c>
      <c r="E96" s="16">
        <v>0</v>
      </c>
      <c r="F96" s="16">
        <v>8582187.3800000008</v>
      </c>
      <c r="G96" s="16">
        <v>4805557.29</v>
      </c>
      <c r="H96" s="16">
        <v>71699223.560000002</v>
      </c>
      <c r="I96" s="16">
        <v>36883859.189999998</v>
      </c>
      <c r="J96" s="16">
        <v>226619099.09000006</v>
      </c>
      <c r="K96" s="16">
        <v>268409191.44</v>
      </c>
      <c r="L96" s="16">
        <v>0</v>
      </c>
      <c r="M96" s="16">
        <v>639.95000000000005</v>
      </c>
      <c r="N96" s="18">
        <f t="shared" si="2"/>
        <v>2330259659.3201671</v>
      </c>
      <c r="O96" s="4"/>
    </row>
    <row r="97" spans="1:15" ht="15" x14ac:dyDescent="0.2">
      <c r="A97" s="17" t="s">
        <v>92</v>
      </c>
      <c r="B97" s="16">
        <v>874415981.25</v>
      </c>
      <c r="C97" s="16">
        <v>0</v>
      </c>
      <c r="D97" s="16">
        <v>35962846.367804542</v>
      </c>
      <c r="E97" s="16">
        <v>0</v>
      </c>
      <c r="F97" s="16">
        <v>3962288.4</v>
      </c>
      <c r="G97" s="16">
        <v>2472842.52</v>
      </c>
      <c r="H97" s="16">
        <v>37283934.109999999</v>
      </c>
      <c r="I97" s="16">
        <v>17028815.75</v>
      </c>
      <c r="J97" s="16">
        <v>154013904.97</v>
      </c>
      <c r="K97" s="16">
        <v>130337028.12</v>
      </c>
      <c r="L97" s="16">
        <v>0</v>
      </c>
      <c r="M97" s="16">
        <v>295.45999999999998</v>
      </c>
      <c r="N97" s="18">
        <f t="shared" si="2"/>
        <v>1255477936.9478045</v>
      </c>
      <c r="O97" s="4"/>
    </row>
    <row r="98" spans="1:15" ht="15" x14ac:dyDescent="0.2">
      <c r="A98" s="17" t="s">
        <v>93</v>
      </c>
      <c r="B98" s="16">
        <v>2461577682.6199999</v>
      </c>
      <c r="C98" s="16">
        <v>0</v>
      </c>
      <c r="D98" s="16">
        <v>42371053.460381329</v>
      </c>
      <c r="E98" s="16">
        <v>0</v>
      </c>
      <c r="F98" s="16">
        <v>9213936.8599999994</v>
      </c>
      <c r="G98" s="16">
        <v>5918336.4199999999</v>
      </c>
      <c r="H98" s="16">
        <v>104958397.47</v>
      </c>
      <c r="I98" s="16">
        <v>39598943.100000001</v>
      </c>
      <c r="J98" s="16">
        <v>296944396.03000003</v>
      </c>
      <c r="K98" s="16">
        <v>361993062.60000002</v>
      </c>
      <c r="L98" s="16">
        <v>0</v>
      </c>
      <c r="M98" s="16">
        <v>687.06</v>
      </c>
      <c r="N98" s="18">
        <f t="shared" si="2"/>
        <v>3322576495.6203814</v>
      </c>
      <c r="O98" s="4"/>
    </row>
    <row r="99" spans="1:15" ht="15" x14ac:dyDescent="0.2">
      <c r="A99" s="17" t="s">
        <v>94</v>
      </c>
      <c r="B99" s="16">
        <v>1739273880.1199999</v>
      </c>
      <c r="C99" s="16">
        <v>0</v>
      </c>
      <c r="D99" s="16">
        <v>24568831.023569729</v>
      </c>
      <c r="E99" s="16">
        <v>0</v>
      </c>
      <c r="F99" s="16">
        <v>3415511.07</v>
      </c>
      <c r="G99" s="16">
        <v>1772203.8</v>
      </c>
      <c r="H99" s="16">
        <v>74160324.299999997</v>
      </c>
      <c r="I99" s="16">
        <v>14678918.560000001</v>
      </c>
      <c r="J99" s="16">
        <v>194713031.47</v>
      </c>
      <c r="K99" s="16">
        <v>259663982.75999999</v>
      </c>
      <c r="L99" s="16">
        <v>0</v>
      </c>
      <c r="M99" s="16">
        <v>254.68</v>
      </c>
      <c r="N99" s="18">
        <f t="shared" si="2"/>
        <v>2312246937.7835693</v>
      </c>
      <c r="O99" s="4"/>
    </row>
    <row r="100" spans="1:15" ht="15" x14ac:dyDescent="0.2">
      <c r="A100" s="17" t="s">
        <v>95</v>
      </c>
      <c r="B100" s="16">
        <v>1897551765.1100001</v>
      </c>
      <c r="C100" s="16">
        <v>0</v>
      </c>
      <c r="D100" s="16">
        <v>37187823.835960284</v>
      </c>
      <c r="E100" s="16">
        <v>0</v>
      </c>
      <c r="F100" s="16">
        <v>3834830.17</v>
      </c>
      <c r="G100" s="16">
        <v>2110158.9500000002</v>
      </c>
      <c r="H100" s="16">
        <v>80909082.739999995</v>
      </c>
      <c r="I100" s="16">
        <v>16481035.66</v>
      </c>
      <c r="J100" s="16">
        <v>150573723.95000008</v>
      </c>
      <c r="K100" s="16">
        <v>291832382.39999998</v>
      </c>
      <c r="L100" s="16">
        <v>0</v>
      </c>
      <c r="M100" s="16">
        <v>285.94</v>
      </c>
      <c r="N100" s="18">
        <f t="shared" si="2"/>
        <v>2480481088.7559609</v>
      </c>
      <c r="O100" s="4"/>
    </row>
    <row r="101" spans="1:15" ht="15" x14ac:dyDescent="0.2">
      <c r="A101" s="17" t="s">
        <v>96</v>
      </c>
      <c r="B101" s="16">
        <v>388860435.74000001</v>
      </c>
      <c r="C101" s="16">
        <v>0</v>
      </c>
      <c r="D101" s="16">
        <v>8436586.7129270434</v>
      </c>
      <c r="E101" s="16">
        <v>0</v>
      </c>
      <c r="F101" s="16">
        <v>458110.73</v>
      </c>
      <c r="G101" s="16">
        <v>337955.14</v>
      </c>
      <c r="H101" s="16">
        <v>16580491.640000001</v>
      </c>
      <c r="I101" s="16">
        <v>1968832.78</v>
      </c>
      <c r="J101" s="16">
        <v>34750709.770000018</v>
      </c>
      <c r="K101" s="16">
        <v>57761934.359999999</v>
      </c>
      <c r="L101" s="16">
        <v>0</v>
      </c>
      <c r="M101" s="16">
        <v>34.15</v>
      </c>
      <c r="N101" s="18">
        <f t="shared" si="2"/>
        <v>509155091.02292705</v>
      </c>
      <c r="O101" s="4"/>
    </row>
    <row r="102" spans="1:15" ht="15" x14ac:dyDescent="0.2">
      <c r="A102" s="17" t="s">
        <v>97</v>
      </c>
      <c r="B102" s="16">
        <v>1068078581.2</v>
      </c>
      <c r="C102" s="16">
        <v>0</v>
      </c>
      <c r="D102" s="16">
        <v>36641755.339877784</v>
      </c>
      <c r="E102" s="16">
        <v>0</v>
      </c>
      <c r="F102" s="16">
        <v>8870353.8100000005</v>
      </c>
      <c r="G102" s="16">
        <v>5423767.9199999999</v>
      </c>
      <c r="H102" s="16">
        <v>45541449.719999999</v>
      </c>
      <c r="I102" s="16">
        <v>38122318.520000003</v>
      </c>
      <c r="J102" s="16">
        <v>223810189.15000013</v>
      </c>
      <c r="K102" s="16">
        <v>0</v>
      </c>
      <c r="L102" s="16">
        <v>0</v>
      </c>
      <c r="M102" s="16">
        <v>661.43</v>
      </c>
      <c r="N102" s="18">
        <f t="shared" si="2"/>
        <v>1426489077.0898781</v>
      </c>
      <c r="O102" s="4"/>
    </row>
    <row r="103" spans="1:15" ht="15" x14ac:dyDescent="0.2">
      <c r="A103" s="17" t="s">
        <v>98</v>
      </c>
      <c r="B103" s="16">
        <v>390494719.29000008</v>
      </c>
      <c r="C103" s="16">
        <v>0</v>
      </c>
      <c r="D103" s="16">
        <v>11558939.24908635</v>
      </c>
      <c r="E103" s="16">
        <v>0</v>
      </c>
      <c r="F103" s="16">
        <v>219819.26</v>
      </c>
      <c r="G103" s="16">
        <v>214313.02</v>
      </c>
      <c r="H103" s="16">
        <v>16650175.32</v>
      </c>
      <c r="I103" s="16">
        <v>944722.18</v>
      </c>
      <c r="J103" s="16">
        <v>49123531.979999967</v>
      </c>
      <c r="K103" s="16">
        <v>57660551.520000003</v>
      </c>
      <c r="L103" s="16">
        <v>0</v>
      </c>
      <c r="M103" s="16">
        <v>16.380000000000003</v>
      </c>
      <c r="N103" s="18">
        <f t="shared" si="2"/>
        <v>526866788.19908637</v>
      </c>
      <c r="O103" s="4"/>
    </row>
    <row r="104" spans="1:15" ht="15" x14ac:dyDescent="0.2">
      <c r="A104" s="17" t="s">
        <v>99</v>
      </c>
      <c r="B104" s="16">
        <v>5780361845.7199993</v>
      </c>
      <c r="C104" s="16">
        <v>0</v>
      </c>
      <c r="D104" s="16">
        <v>38868308.73301968</v>
      </c>
      <c r="E104" s="16">
        <v>0</v>
      </c>
      <c r="F104" s="16">
        <v>45048171.270000003</v>
      </c>
      <c r="G104" s="16">
        <v>10560171.26720627</v>
      </c>
      <c r="H104" s="16">
        <v>246466938.81999999</v>
      </c>
      <c r="I104" s="16">
        <v>193604535.97999999</v>
      </c>
      <c r="J104" s="16">
        <v>543523343.63999987</v>
      </c>
      <c r="K104" s="16">
        <v>802107235.79999995</v>
      </c>
      <c r="L104" s="16">
        <v>0</v>
      </c>
      <c r="M104" s="16">
        <v>3359.16</v>
      </c>
      <c r="N104" s="18">
        <f t="shared" ref="N104:N135" si="3">SUM(B104:M104)</f>
        <v>7660543910.3902254</v>
      </c>
      <c r="O104" s="4"/>
    </row>
    <row r="105" spans="1:15" ht="15" x14ac:dyDescent="0.2">
      <c r="A105" s="17" t="s">
        <v>100</v>
      </c>
      <c r="B105" s="16">
        <v>1027691968.1300001</v>
      </c>
      <c r="C105" s="16">
        <v>0</v>
      </c>
      <c r="D105" s="16">
        <v>12274614.93</v>
      </c>
      <c r="E105" s="16">
        <v>0</v>
      </c>
      <c r="F105" s="16">
        <v>1941428.95</v>
      </c>
      <c r="G105" s="16">
        <v>1854631.89</v>
      </c>
      <c r="H105" s="16">
        <v>43819418.270000003</v>
      </c>
      <c r="I105" s="16">
        <v>8343722.7699999996</v>
      </c>
      <c r="J105" s="16">
        <v>70976903.540000007</v>
      </c>
      <c r="K105" s="16">
        <v>151653708.96000001</v>
      </c>
      <c r="L105" s="16">
        <v>0</v>
      </c>
      <c r="M105" s="16">
        <v>144.76</v>
      </c>
      <c r="N105" s="18">
        <f t="shared" si="3"/>
        <v>1318556542.2</v>
      </c>
      <c r="O105" s="4"/>
    </row>
    <row r="106" spans="1:15" ht="15" x14ac:dyDescent="0.2">
      <c r="A106" s="17" t="s">
        <v>101</v>
      </c>
      <c r="B106" s="16">
        <v>1055301455.28</v>
      </c>
      <c r="C106" s="16">
        <v>0</v>
      </c>
      <c r="D106" s="16">
        <v>6238097.5</v>
      </c>
      <c r="E106" s="16">
        <v>0</v>
      </c>
      <c r="F106" s="16">
        <v>13756252.57</v>
      </c>
      <c r="G106" s="16">
        <v>4538425.6094608791</v>
      </c>
      <c r="H106" s="16">
        <v>44996650.07</v>
      </c>
      <c r="I106" s="16">
        <v>59120555.189999998</v>
      </c>
      <c r="J106" s="16">
        <v>186540785.62999991</v>
      </c>
      <c r="K106" s="16">
        <v>144703352.03999999</v>
      </c>
      <c r="L106" s="16">
        <v>0</v>
      </c>
      <c r="M106" s="16">
        <v>1025.77</v>
      </c>
      <c r="N106" s="18">
        <f t="shared" si="3"/>
        <v>1515196599.6594605</v>
      </c>
      <c r="O106" s="4"/>
    </row>
    <row r="107" spans="1:15" ht="15" x14ac:dyDescent="0.2">
      <c r="A107" s="17" t="s">
        <v>102</v>
      </c>
      <c r="B107" s="16">
        <v>1462634247.5700004</v>
      </c>
      <c r="C107" s="16">
        <v>0</v>
      </c>
      <c r="D107" s="16">
        <v>16839085.746054661</v>
      </c>
      <c r="E107" s="16">
        <v>0</v>
      </c>
      <c r="F107" s="16">
        <v>764749.37</v>
      </c>
      <c r="G107" s="16">
        <v>783066.8</v>
      </c>
      <c r="H107" s="16">
        <v>62364778.409999996</v>
      </c>
      <c r="I107" s="16">
        <v>3286680.52</v>
      </c>
      <c r="J107" s="16">
        <v>86423729.329999968</v>
      </c>
      <c r="K107" s="16">
        <v>219891870.12</v>
      </c>
      <c r="L107" s="16">
        <v>0</v>
      </c>
      <c r="M107" s="16">
        <v>57.01</v>
      </c>
      <c r="N107" s="18">
        <f t="shared" si="3"/>
        <v>1852988264.876055</v>
      </c>
      <c r="O107" s="4"/>
    </row>
    <row r="108" spans="1:15" ht="15" x14ac:dyDescent="0.2">
      <c r="A108" s="17" t="s">
        <v>103</v>
      </c>
      <c r="B108" s="16">
        <v>518612644.3499999</v>
      </c>
      <c r="C108" s="16">
        <v>0</v>
      </c>
      <c r="D108" s="16">
        <v>6104620.9575530514</v>
      </c>
      <c r="E108" s="16">
        <v>0</v>
      </c>
      <c r="F108" s="16">
        <v>775832.69</v>
      </c>
      <c r="G108" s="16">
        <v>576996.59</v>
      </c>
      <c r="H108" s="16">
        <v>22112953.190000001</v>
      </c>
      <c r="I108" s="16">
        <v>3334313.57</v>
      </c>
      <c r="J108" s="16">
        <v>46103714.24999997</v>
      </c>
      <c r="K108" s="16">
        <v>75751756.079999998</v>
      </c>
      <c r="L108" s="16">
        <v>0</v>
      </c>
      <c r="M108" s="16">
        <v>57.849999999999994</v>
      </c>
      <c r="N108" s="18">
        <f t="shared" si="3"/>
        <v>673372889.52755308</v>
      </c>
      <c r="O108" s="4"/>
    </row>
    <row r="109" spans="1:15" ht="15" x14ac:dyDescent="0.2">
      <c r="A109" s="17" t="s">
        <v>104</v>
      </c>
      <c r="B109" s="16">
        <v>4985208616.1600008</v>
      </c>
      <c r="C109" s="16">
        <v>0</v>
      </c>
      <c r="D109" s="16">
        <v>47239531.601521663</v>
      </c>
      <c r="E109" s="16">
        <v>0</v>
      </c>
      <c r="F109" s="16">
        <v>79212518.159999996</v>
      </c>
      <c r="G109" s="16">
        <v>50848151.692219988</v>
      </c>
      <c r="H109" s="16">
        <v>212562663</v>
      </c>
      <c r="I109" s="16">
        <v>340433415.81999999</v>
      </c>
      <c r="J109" s="16">
        <v>841198073.78999949</v>
      </c>
      <c r="K109" s="16">
        <v>786543092.39999998</v>
      </c>
      <c r="L109" s="16">
        <v>0</v>
      </c>
      <c r="M109" s="16">
        <v>5906.75</v>
      </c>
      <c r="N109" s="18">
        <f t="shared" si="3"/>
        <v>7343251969.3737411</v>
      </c>
      <c r="O109" s="4"/>
    </row>
    <row r="110" spans="1:15" ht="15" x14ac:dyDescent="0.2">
      <c r="A110" s="17" t="s">
        <v>105</v>
      </c>
      <c r="B110" s="16">
        <v>571404955.15999985</v>
      </c>
      <c r="C110" s="16">
        <v>0</v>
      </c>
      <c r="D110" s="16">
        <v>14760506.535369974</v>
      </c>
      <c r="E110" s="16">
        <v>0</v>
      </c>
      <c r="F110" s="16">
        <v>3027594.73</v>
      </c>
      <c r="G110" s="16">
        <v>1871117.5</v>
      </c>
      <c r="H110" s="16">
        <v>24363947.09</v>
      </c>
      <c r="I110" s="16">
        <v>13011761.779999999</v>
      </c>
      <c r="J110" s="16">
        <v>97469377.589999989</v>
      </c>
      <c r="K110" s="16">
        <v>85867510.560000002</v>
      </c>
      <c r="L110" s="16">
        <v>0</v>
      </c>
      <c r="M110" s="16">
        <v>225.76000000000002</v>
      </c>
      <c r="N110" s="18">
        <f t="shared" si="3"/>
        <v>811776996.70536995</v>
      </c>
      <c r="O110" s="4"/>
    </row>
    <row r="111" spans="1:15" ht="15" x14ac:dyDescent="0.2">
      <c r="A111" s="17" t="s">
        <v>106</v>
      </c>
      <c r="B111" s="16">
        <v>657650554.92000008</v>
      </c>
      <c r="C111" s="16">
        <v>0</v>
      </c>
      <c r="D111" s="16">
        <v>15213685.970239863</v>
      </c>
      <c r="E111" s="16">
        <v>0</v>
      </c>
      <c r="F111" s="16">
        <v>1054763.02</v>
      </c>
      <c r="G111" s="16">
        <v>783066.8</v>
      </c>
      <c r="H111" s="16">
        <v>28041344.719999999</v>
      </c>
      <c r="I111" s="16">
        <v>4533078.6900000004</v>
      </c>
      <c r="J111" s="16">
        <v>75934111.020000011</v>
      </c>
      <c r="K111" s="16">
        <v>102223942.08</v>
      </c>
      <c r="L111" s="16">
        <v>0</v>
      </c>
      <c r="M111" s="16">
        <v>78.64</v>
      </c>
      <c r="N111" s="18">
        <f t="shared" si="3"/>
        <v>885434625.86023998</v>
      </c>
      <c r="O111" s="4"/>
    </row>
    <row r="112" spans="1:15" ht="15" x14ac:dyDescent="0.2">
      <c r="A112" s="17" t="s">
        <v>107</v>
      </c>
      <c r="B112" s="16">
        <v>963533958.13</v>
      </c>
      <c r="C112" s="16">
        <v>0</v>
      </c>
      <c r="D112" s="16">
        <v>27019963.004905161</v>
      </c>
      <c r="E112" s="16">
        <v>0</v>
      </c>
      <c r="F112" s="16">
        <v>1281971.1599999999</v>
      </c>
      <c r="G112" s="16">
        <v>931437.35</v>
      </c>
      <c r="H112" s="16">
        <v>41083806.079999998</v>
      </c>
      <c r="I112" s="16">
        <v>5509556.2400000002</v>
      </c>
      <c r="J112" s="16">
        <v>79654050.099999994</v>
      </c>
      <c r="K112" s="16">
        <v>142634391.12</v>
      </c>
      <c r="L112" s="16">
        <v>0</v>
      </c>
      <c r="M112" s="16">
        <v>95.58</v>
      </c>
      <c r="N112" s="18">
        <f t="shared" si="3"/>
        <v>1261649228.764905</v>
      </c>
      <c r="O112" s="4"/>
    </row>
    <row r="113" spans="1:15" ht="15" x14ac:dyDescent="0.2">
      <c r="A113" s="17" t="s">
        <v>108</v>
      </c>
      <c r="B113" s="16">
        <v>762591367.87999988</v>
      </c>
      <c r="C113" s="16">
        <v>0</v>
      </c>
      <c r="D113" s="16">
        <v>21896289.766820721</v>
      </c>
      <c r="E113" s="16">
        <v>0</v>
      </c>
      <c r="F113" s="16">
        <v>1806581.84</v>
      </c>
      <c r="G113" s="16">
        <v>1203450.02</v>
      </c>
      <c r="H113" s="16">
        <v>32515881.370000001</v>
      </c>
      <c r="I113" s="16">
        <v>7764187.3200000003</v>
      </c>
      <c r="J113" s="16">
        <v>77789287.180000022</v>
      </c>
      <c r="K113" s="16">
        <v>113252142.12</v>
      </c>
      <c r="L113" s="16">
        <v>0</v>
      </c>
      <c r="M113" s="16">
        <v>134.71</v>
      </c>
      <c r="N113" s="18">
        <f t="shared" si="3"/>
        <v>1018819322.2068207</v>
      </c>
      <c r="O113" s="4"/>
    </row>
    <row r="114" spans="1:15" ht="15" x14ac:dyDescent="0.2">
      <c r="A114" s="17" t="s">
        <v>109</v>
      </c>
      <c r="B114" s="16">
        <v>472258420.21000004</v>
      </c>
      <c r="C114" s="16">
        <v>0</v>
      </c>
      <c r="D114" s="16">
        <v>11478388.376320632</v>
      </c>
      <c r="E114" s="16">
        <v>0</v>
      </c>
      <c r="F114" s="16">
        <v>1093554.6499999999</v>
      </c>
      <c r="G114" s="16">
        <v>659424.67000000004</v>
      </c>
      <c r="H114" s="16">
        <v>20136470.739999998</v>
      </c>
      <c r="I114" s="16">
        <v>4699794.37</v>
      </c>
      <c r="J114" s="16">
        <v>59423449.430000037</v>
      </c>
      <c r="K114" s="16">
        <v>74662829.280000001</v>
      </c>
      <c r="L114" s="16">
        <v>0</v>
      </c>
      <c r="M114" s="16">
        <v>81.53</v>
      </c>
      <c r="N114" s="18">
        <f t="shared" si="3"/>
        <v>644412413.25632071</v>
      </c>
      <c r="O114" s="4"/>
    </row>
    <row r="115" spans="1:15" ht="15" x14ac:dyDescent="0.2">
      <c r="A115" s="17" t="s">
        <v>110</v>
      </c>
      <c r="B115" s="16">
        <v>1230640270.01</v>
      </c>
      <c r="C115" s="16">
        <v>0</v>
      </c>
      <c r="D115" s="16">
        <v>9048045.1337163746</v>
      </c>
      <c r="E115" s="16">
        <v>0</v>
      </c>
      <c r="F115" s="16">
        <v>1132346.29</v>
      </c>
      <c r="G115" s="16">
        <v>1063322.28</v>
      </c>
      <c r="H115" s="16">
        <v>52472863.859999999</v>
      </c>
      <c r="I115" s="16">
        <v>4866510.05</v>
      </c>
      <c r="J115" s="16">
        <v>79621803.870000035</v>
      </c>
      <c r="K115" s="16">
        <v>196438639.80000001</v>
      </c>
      <c r="L115" s="16">
        <v>0</v>
      </c>
      <c r="M115" s="16">
        <v>84.43</v>
      </c>
      <c r="N115" s="18">
        <f t="shared" si="3"/>
        <v>1575283885.7237163</v>
      </c>
      <c r="O115" s="4"/>
    </row>
    <row r="116" spans="1:15" ht="15" x14ac:dyDescent="0.2">
      <c r="A116" s="17" t="s">
        <v>111</v>
      </c>
      <c r="B116" s="16">
        <v>740330445.11000001</v>
      </c>
      <c r="C116" s="16">
        <v>0</v>
      </c>
      <c r="D116" s="16">
        <v>14530071.227771375</v>
      </c>
      <c r="E116" s="16">
        <v>0</v>
      </c>
      <c r="F116" s="16">
        <v>3125497.42</v>
      </c>
      <c r="G116" s="16">
        <v>1673290.1</v>
      </c>
      <c r="H116" s="16">
        <v>31566705.239999998</v>
      </c>
      <c r="I116" s="16">
        <v>13432520.390000001</v>
      </c>
      <c r="J116" s="16">
        <v>108014773.12000005</v>
      </c>
      <c r="K116" s="16">
        <v>112572501.59999999</v>
      </c>
      <c r="L116" s="16">
        <v>0</v>
      </c>
      <c r="M116" s="16">
        <v>233.06</v>
      </c>
      <c r="N116" s="18">
        <f t="shared" si="3"/>
        <v>1025246037.2677714</v>
      </c>
      <c r="O116" s="4"/>
    </row>
    <row r="117" spans="1:15" ht="15" x14ac:dyDescent="0.2">
      <c r="A117" s="17" t="s">
        <v>112</v>
      </c>
      <c r="B117" s="16">
        <v>379673781.28999996</v>
      </c>
      <c r="C117" s="16">
        <v>0</v>
      </c>
      <c r="D117" s="16">
        <v>3291946.6577440882</v>
      </c>
      <c r="E117" s="16">
        <v>0</v>
      </c>
      <c r="F117" s="16">
        <v>657610.56999999995</v>
      </c>
      <c r="G117" s="16">
        <v>445111.65</v>
      </c>
      <c r="H117" s="16">
        <v>16188784.92</v>
      </c>
      <c r="I117" s="16">
        <v>2826227.7</v>
      </c>
      <c r="J117" s="16">
        <v>31834893.379999992</v>
      </c>
      <c r="K117" s="16">
        <v>57397707.119999997</v>
      </c>
      <c r="L117" s="16">
        <v>0</v>
      </c>
      <c r="M117" s="16">
        <v>49.03</v>
      </c>
      <c r="N117" s="18">
        <f t="shared" si="3"/>
        <v>492316112.31774402</v>
      </c>
      <c r="O117" s="4"/>
    </row>
    <row r="118" spans="1:15" ht="15" x14ac:dyDescent="0.2">
      <c r="A118" s="17" t="s">
        <v>113</v>
      </c>
      <c r="B118" s="16">
        <v>665747687.00999999</v>
      </c>
      <c r="C118" s="16">
        <v>0</v>
      </c>
      <c r="D118" s="16">
        <v>16839150.813283376</v>
      </c>
      <c r="E118" s="16">
        <v>0</v>
      </c>
      <c r="F118" s="16">
        <v>3101483.55</v>
      </c>
      <c r="G118" s="16">
        <v>1854631.89</v>
      </c>
      <c r="H118" s="16">
        <v>28386595.66</v>
      </c>
      <c r="I118" s="16">
        <v>13329315.449999999</v>
      </c>
      <c r="J118" s="16">
        <v>87749602.189999968</v>
      </c>
      <c r="K118" s="16">
        <v>96595317</v>
      </c>
      <c r="L118" s="16">
        <v>0</v>
      </c>
      <c r="M118" s="16">
        <v>231.26</v>
      </c>
      <c r="N118" s="18">
        <f t="shared" si="3"/>
        <v>913604014.8232832</v>
      </c>
      <c r="O118" s="4"/>
    </row>
    <row r="119" spans="1:15" ht="15" x14ac:dyDescent="0.2">
      <c r="A119" s="17" t="s">
        <v>114</v>
      </c>
      <c r="B119" s="16">
        <v>900836898.56999993</v>
      </c>
      <c r="C119" s="16">
        <v>0</v>
      </c>
      <c r="D119" s="16">
        <v>10172575.408403398</v>
      </c>
      <c r="E119" s="16">
        <v>0</v>
      </c>
      <c r="F119" s="16">
        <v>2491900.7200000002</v>
      </c>
      <c r="G119" s="16">
        <v>1244664.07</v>
      </c>
      <c r="H119" s="16">
        <v>38410486.869999997</v>
      </c>
      <c r="I119" s="16">
        <v>10709497.640000001</v>
      </c>
      <c r="J119" s="16">
        <v>79875416.300000012</v>
      </c>
      <c r="K119" s="16">
        <v>134996883.84</v>
      </c>
      <c r="L119" s="16">
        <v>0</v>
      </c>
      <c r="M119" s="16">
        <v>185.81</v>
      </c>
      <c r="N119" s="18">
        <f t="shared" si="3"/>
        <v>1178738509.2284033</v>
      </c>
      <c r="O119" s="4"/>
    </row>
    <row r="120" spans="1:15" ht="15" x14ac:dyDescent="0.2">
      <c r="A120" s="17" t="s">
        <v>115</v>
      </c>
      <c r="B120" s="16">
        <v>559494494.79999995</v>
      </c>
      <c r="C120" s="16">
        <v>0</v>
      </c>
      <c r="D120" s="16">
        <v>12570695.537639624</v>
      </c>
      <c r="E120" s="16">
        <v>0</v>
      </c>
      <c r="F120" s="16">
        <v>1679123.61</v>
      </c>
      <c r="G120" s="16">
        <v>1261149.68</v>
      </c>
      <c r="H120" s="16">
        <v>23856100.899999999</v>
      </c>
      <c r="I120" s="16">
        <v>7216407.2300000004</v>
      </c>
      <c r="J120" s="16">
        <v>82810987.110000029</v>
      </c>
      <c r="K120" s="16">
        <v>85848735.959999993</v>
      </c>
      <c r="L120" s="16">
        <v>0</v>
      </c>
      <c r="M120" s="16">
        <v>125.19999999999999</v>
      </c>
      <c r="N120" s="18">
        <f t="shared" si="3"/>
        <v>774737820.02763963</v>
      </c>
      <c r="O120" s="4"/>
    </row>
    <row r="121" spans="1:15" ht="15" x14ac:dyDescent="0.2">
      <c r="A121" s="17" t="s">
        <v>116</v>
      </c>
      <c r="B121" s="16">
        <v>683922900.96999991</v>
      </c>
      <c r="C121" s="16">
        <v>0</v>
      </c>
      <c r="D121" s="16">
        <v>9867304.1146769356</v>
      </c>
      <c r="E121" s="16">
        <v>0</v>
      </c>
      <c r="F121" s="16">
        <v>705638.3</v>
      </c>
      <c r="G121" s="16">
        <v>420383.23</v>
      </c>
      <c r="H121" s="16">
        <v>29161562.600000001</v>
      </c>
      <c r="I121" s="16">
        <v>3032637.58</v>
      </c>
      <c r="J121" s="16">
        <v>46015400.179999992</v>
      </c>
      <c r="K121" s="16">
        <v>102193902.72</v>
      </c>
      <c r="L121" s="16">
        <v>0</v>
      </c>
      <c r="M121" s="16">
        <v>52.61</v>
      </c>
      <c r="N121" s="18">
        <f t="shared" si="3"/>
        <v>875319782.30467689</v>
      </c>
      <c r="O121" s="4"/>
    </row>
    <row r="122" spans="1:15" ht="15" x14ac:dyDescent="0.2">
      <c r="A122" s="17" t="s">
        <v>117</v>
      </c>
      <c r="B122" s="16">
        <v>2221709429.75</v>
      </c>
      <c r="C122" s="16">
        <v>0</v>
      </c>
      <c r="D122" s="16">
        <v>55261932.454999998</v>
      </c>
      <c r="E122" s="16">
        <v>0</v>
      </c>
      <c r="F122" s="16">
        <v>21243038.07</v>
      </c>
      <c r="G122" s="16">
        <v>11597498.52050053</v>
      </c>
      <c r="H122" s="16">
        <v>94730734.290000007</v>
      </c>
      <c r="I122" s="16">
        <v>91296681.170000002</v>
      </c>
      <c r="J122" s="16">
        <v>215855242.39999986</v>
      </c>
      <c r="K122" s="16">
        <v>337841417.16000003</v>
      </c>
      <c r="L122" s="16">
        <v>0</v>
      </c>
      <c r="M122" s="16">
        <v>1584.06</v>
      </c>
      <c r="N122" s="18">
        <f t="shared" si="3"/>
        <v>3049537557.8755002</v>
      </c>
      <c r="O122" s="4"/>
    </row>
    <row r="123" spans="1:15" ht="15" x14ac:dyDescent="0.2">
      <c r="A123" s="17" t="s">
        <v>118</v>
      </c>
      <c r="B123" s="16">
        <v>4902677297.2299995</v>
      </c>
      <c r="C123" s="16">
        <v>0</v>
      </c>
      <c r="D123" s="16">
        <v>47559831.575000003</v>
      </c>
      <c r="E123" s="16">
        <v>0</v>
      </c>
      <c r="F123" s="16">
        <v>29529670.140000001</v>
      </c>
      <c r="G123" s="16">
        <v>28770928.02439798</v>
      </c>
      <c r="H123" s="16">
        <v>209043637.36000001</v>
      </c>
      <c r="I123" s="16">
        <v>126910325.67</v>
      </c>
      <c r="J123" s="16">
        <v>281649795.79000008</v>
      </c>
      <c r="K123" s="16">
        <v>766852291.91999996</v>
      </c>
      <c r="L123" s="16">
        <v>0</v>
      </c>
      <c r="M123" s="16">
        <v>2201.9700000000003</v>
      </c>
      <c r="N123" s="18">
        <f t="shared" si="3"/>
        <v>6392995979.6793976</v>
      </c>
      <c r="O123" s="4"/>
    </row>
    <row r="124" spans="1:15" ht="15" x14ac:dyDescent="0.2">
      <c r="A124" s="17" t="s">
        <v>119</v>
      </c>
      <c r="B124" s="16">
        <v>4306039994.5199995</v>
      </c>
      <c r="C124" s="16">
        <v>0</v>
      </c>
      <c r="D124" s="16">
        <v>20105933.989999998</v>
      </c>
      <c r="E124" s="16">
        <v>0</v>
      </c>
      <c r="F124" s="16">
        <v>37814454.990000002</v>
      </c>
      <c r="G124" s="16">
        <v>0</v>
      </c>
      <c r="H124" s="16">
        <v>183603816.55000001</v>
      </c>
      <c r="I124" s="16">
        <v>162516031.33000001</v>
      </c>
      <c r="J124" s="16">
        <v>402944214.38999975</v>
      </c>
      <c r="K124" s="16">
        <v>623068895.27999997</v>
      </c>
      <c r="L124" s="16">
        <v>0</v>
      </c>
      <c r="M124" s="16">
        <v>2819.76</v>
      </c>
      <c r="N124" s="18">
        <f t="shared" si="3"/>
        <v>5736096160.8099985</v>
      </c>
      <c r="O124" s="4"/>
    </row>
    <row r="125" spans="1:15" ht="15" x14ac:dyDescent="0.2">
      <c r="A125" s="17" t="s">
        <v>120</v>
      </c>
      <c r="B125" s="16">
        <v>1416230499.6800001</v>
      </c>
      <c r="C125" s="16">
        <v>0</v>
      </c>
      <c r="D125" s="16">
        <v>25199430.692027502</v>
      </c>
      <c r="E125" s="16">
        <v>0</v>
      </c>
      <c r="F125" s="16">
        <v>14703876.789999999</v>
      </c>
      <c r="G125" s="16">
        <v>7896610.4400000004</v>
      </c>
      <c r="H125" s="16">
        <v>60386184.340000004</v>
      </c>
      <c r="I125" s="16">
        <v>63193181.049999997</v>
      </c>
      <c r="J125" s="16">
        <v>249004388.49999991</v>
      </c>
      <c r="K125" s="16">
        <v>213418388.03999999</v>
      </c>
      <c r="L125" s="16">
        <v>0</v>
      </c>
      <c r="M125" s="16">
        <v>1096.44</v>
      </c>
      <c r="N125" s="18">
        <f t="shared" si="3"/>
        <v>2050033655.9720275</v>
      </c>
      <c r="O125" s="4"/>
    </row>
    <row r="126" spans="1:15" ht="15" x14ac:dyDescent="0.2">
      <c r="A126" s="17" t="s">
        <v>121</v>
      </c>
      <c r="B126" s="16">
        <v>1578049332.3599999</v>
      </c>
      <c r="C126" s="16">
        <v>0</v>
      </c>
      <c r="D126" s="16">
        <v>14873379.723224277</v>
      </c>
      <c r="E126" s="16">
        <v>0</v>
      </c>
      <c r="F126" s="16">
        <v>7361174.4900000002</v>
      </c>
      <c r="G126" s="16">
        <v>3231180.89</v>
      </c>
      <c r="H126" s="16">
        <v>67285924.079999998</v>
      </c>
      <c r="I126" s="16">
        <v>31636284.739999998</v>
      </c>
      <c r="J126" s="16">
        <v>170852839.22999999</v>
      </c>
      <c r="K126" s="16">
        <v>243157354.44</v>
      </c>
      <c r="L126" s="16">
        <v>0</v>
      </c>
      <c r="M126" s="16">
        <v>548.9</v>
      </c>
      <c r="N126" s="18">
        <f t="shared" si="3"/>
        <v>2116448018.8532243</v>
      </c>
      <c r="O126" s="4"/>
    </row>
    <row r="127" spans="1:15" ht="15" x14ac:dyDescent="0.2">
      <c r="A127" s="17" t="s">
        <v>122</v>
      </c>
      <c r="B127" s="16">
        <v>890436912.36000013</v>
      </c>
      <c r="C127" s="16">
        <v>0</v>
      </c>
      <c r="D127" s="16">
        <v>11816313.952986144</v>
      </c>
      <c r="E127" s="16">
        <v>0</v>
      </c>
      <c r="F127" s="16">
        <v>7813743.5700000003</v>
      </c>
      <c r="G127" s="16">
        <v>4615972.7</v>
      </c>
      <c r="H127" s="16">
        <v>37967045.299999997</v>
      </c>
      <c r="I127" s="16">
        <v>33581300.990000002</v>
      </c>
      <c r="J127" s="16">
        <v>189437138.09999996</v>
      </c>
      <c r="K127" s="16">
        <v>131418445.08</v>
      </c>
      <c r="L127" s="16">
        <v>0</v>
      </c>
      <c r="M127" s="16">
        <v>582.65</v>
      </c>
      <c r="N127" s="18">
        <f t="shared" si="3"/>
        <v>1307087454.7029862</v>
      </c>
      <c r="O127" s="4"/>
    </row>
    <row r="128" spans="1:15" ht="15" x14ac:dyDescent="0.2">
      <c r="A128" s="17" t="s">
        <v>123</v>
      </c>
      <c r="B128" s="16">
        <v>416123256.66999984</v>
      </c>
      <c r="C128" s="16">
        <v>0</v>
      </c>
      <c r="D128" s="16">
        <v>5537781.2328423876</v>
      </c>
      <c r="E128" s="16">
        <v>0</v>
      </c>
      <c r="F128" s="16">
        <v>714874.41</v>
      </c>
      <c r="G128" s="16">
        <v>552268.16</v>
      </c>
      <c r="H128" s="16">
        <v>17742942.050000001</v>
      </c>
      <c r="I128" s="16">
        <v>3072331.79</v>
      </c>
      <c r="J128" s="16">
        <v>40711037.150000006</v>
      </c>
      <c r="K128" s="16">
        <v>66420779.880000003</v>
      </c>
      <c r="L128" s="16">
        <v>0</v>
      </c>
      <c r="M128" s="16">
        <v>53.3</v>
      </c>
      <c r="N128" s="18">
        <f t="shared" si="3"/>
        <v>550875324.64284229</v>
      </c>
      <c r="O128" s="4"/>
    </row>
    <row r="129" spans="1:15" ht="15" x14ac:dyDescent="0.2">
      <c r="A129" s="17" t="s">
        <v>124</v>
      </c>
      <c r="B129" s="16">
        <v>2593112745.96</v>
      </c>
      <c r="C129" s="16">
        <v>0</v>
      </c>
      <c r="D129" s="16">
        <v>66762786.902265079</v>
      </c>
      <c r="E129" s="16">
        <v>0</v>
      </c>
      <c r="F129" s="16">
        <v>9092020.2899999991</v>
      </c>
      <c r="G129" s="16">
        <v>6849773.7699999996</v>
      </c>
      <c r="H129" s="16">
        <v>110566877.58</v>
      </c>
      <c r="I129" s="16">
        <v>39074979.539999999</v>
      </c>
      <c r="J129" s="16">
        <v>255086438.06999996</v>
      </c>
      <c r="K129" s="16">
        <v>392621945.04000002</v>
      </c>
      <c r="L129" s="16">
        <v>0</v>
      </c>
      <c r="M129" s="16">
        <v>677.97</v>
      </c>
      <c r="N129" s="18">
        <f t="shared" si="3"/>
        <v>3473168245.1222649</v>
      </c>
      <c r="O129" s="4"/>
    </row>
    <row r="130" spans="1:15" ht="15" x14ac:dyDescent="0.2">
      <c r="A130" s="17" t="s">
        <v>125</v>
      </c>
      <c r="B130" s="16">
        <v>701181925.67000008</v>
      </c>
      <c r="C130" s="16">
        <v>0</v>
      </c>
      <c r="D130" s="16">
        <v>14827087.963082252</v>
      </c>
      <c r="E130" s="16">
        <v>0</v>
      </c>
      <c r="F130" s="16">
        <v>1124957.3999999999</v>
      </c>
      <c r="G130" s="16">
        <v>511054.12</v>
      </c>
      <c r="H130" s="16">
        <v>29897464.449999999</v>
      </c>
      <c r="I130" s="16">
        <v>4834754.68</v>
      </c>
      <c r="J130" s="16">
        <v>70109740.820000023</v>
      </c>
      <c r="K130" s="16">
        <v>111922900.44</v>
      </c>
      <c r="L130" s="16">
        <v>0</v>
      </c>
      <c r="M130" s="16">
        <v>83.88</v>
      </c>
      <c r="N130" s="18">
        <f t="shared" si="3"/>
        <v>934409969.42308223</v>
      </c>
      <c r="O130" s="4"/>
    </row>
    <row r="131" spans="1:15" ht="15" x14ac:dyDescent="0.2">
      <c r="A131" s="17" t="s">
        <v>126</v>
      </c>
      <c r="B131" s="16">
        <v>4404245578.3700008</v>
      </c>
      <c r="C131" s="16">
        <v>0</v>
      </c>
      <c r="D131" s="16">
        <v>101602464.54999998</v>
      </c>
      <c r="E131" s="16">
        <v>0</v>
      </c>
      <c r="F131" s="16">
        <v>49673611.899999999</v>
      </c>
      <c r="G131" s="16">
        <v>5808082.0355932638</v>
      </c>
      <c r="H131" s="16">
        <v>187791171.99000001</v>
      </c>
      <c r="I131" s="16">
        <v>213483395.94999999</v>
      </c>
      <c r="J131" s="16">
        <v>550853410.28000009</v>
      </c>
      <c r="K131" s="16">
        <v>637758142.32000005</v>
      </c>
      <c r="L131" s="16">
        <v>0</v>
      </c>
      <c r="M131" s="16">
        <v>3704.0699999999997</v>
      </c>
      <c r="N131" s="18">
        <f t="shared" si="3"/>
        <v>6151219561.4655924</v>
      </c>
      <c r="O131" s="4"/>
    </row>
    <row r="132" spans="1:15" ht="15" x14ac:dyDescent="0.2">
      <c r="A132" s="17" t="s">
        <v>127</v>
      </c>
      <c r="B132" s="16">
        <v>173580721.69999999</v>
      </c>
      <c r="C132" s="16">
        <v>0</v>
      </c>
      <c r="D132" s="16">
        <v>999708.31049209984</v>
      </c>
      <c r="E132" s="16">
        <v>0</v>
      </c>
      <c r="F132" s="16">
        <v>212430.38</v>
      </c>
      <c r="G132" s="16">
        <v>123642.13</v>
      </c>
      <c r="H132" s="16">
        <v>7401251.04</v>
      </c>
      <c r="I132" s="16">
        <v>912966.81</v>
      </c>
      <c r="J132" s="16">
        <v>19780605.630000003</v>
      </c>
      <c r="K132" s="16">
        <v>26209341.600000001</v>
      </c>
      <c r="L132" s="16">
        <v>0</v>
      </c>
      <c r="M132" s="16">
        <v>15.83</v>
      </c>
      <c r="N132" s="18">
        <f t="shared" si="3"/>
        <v>229220683.43049207</v>
      </c>
      <c r="O132" s="4"/>
    </row>
    <row r="133" spans="1:15" ht="15" x14ac:dyDescent="0.2">
      <c r="A133" s="17" t="s">
        <v>128</v>
      </c>
      <c r="B133" s="16">
        <v>1087120460.6199999</v>
      </c>
      <c r="C133" s="16">
        <v>0</v>
      </c>
      <c r="D133" s="16">
        <v>11678042.147771375</v>
      </c>
      <c r="E133" s="16">
        <v>0</v>
      </c>
      <c r="F133" s="16">
        <v>768443.81</v>
      </c>
      <c r="G133" s="16">
        <v>700638.71</v>
      </c>
      <c r="H133" s="16">
        <v>46353370.119999997</v>
      </c>
      <c r="I133" s="16">
        <v>3302558.21</v>
      </c>
      <c r="J133" s="16">
        <v>72967455.87000002</v>
      </c>
      <c r="K133" s="16">
        <v>163384079.03999999</v>
      </c>
      <c r="L133" s="16">
        <v>0</v>
      </c>
      <c r="M133" s="16">
        <v>57.289999999999992</v>
      </c>
      <c r="N133" s="18">
        <f t="shared" si="3"/>
        <v>1386275105.8177712</v>
      </c>
      <c r="O133" s="4"/>
    </row>
    <row r="134" spans="1:15" ht="15" x14ac:dyDescent="0.2">
      <c r="A134" s="17" t="s">
        <v>129</v>
      </c>
      <c r="B134" s="16">
        <v>1878088933.8299997</v>
      </c>
      <c r="C134" s="16">
        <v>0</v>
      </c>
      <c r="D134" s="16">
        <v>24790859.520621751</v>
      </c>
      <c r="E134" s="16">
        <v>0</v>
      </c>
      <c r="F134" s="16">
        <v>3585455.38</v>
      </c>
      <c r="G134" s="16">
        <v>2316229.16</v>
      </c>
      <c r="H134" s="16">
        <v>80079213.5</v>
      </c>
      <c r="I134" s="16">
        <v>15409292.01</v>
      </c>
      <c r="J134" s="16">
        <v>164786186.39999998</v>
      </c>
      <c r="K134" s="16">
        <v>295594812.24000001</v>
      </c>
      <c r="L134" s="16">
        <v>0</v>
      </c>
      <c r="M134" s="16">
        <v>267.36</v>
      </c>
      <c r="N134" s="18">
        <f t="shared" si="3"/>
        <v>2464651249.4006219</v>
      </c>
      <c r="O134" s="4"/>
    </row>
    <row r="135" spans="1:15" ht="15" x14ac:dyDescent="0.2">
      <c r="A135" s="17" t="s">
        <v>130</v>
      </c>
      <c r="B135" s="16">
        <v>1553411269.8500001</v>
      </c>
      <c r="C135" s="16">
        <v>0</v>
      </c>
      <c r="D135" s="16">
        <v>43123534.842682615</v>
      </c>
      <c r="E135" s="16">
        <v>0</v>
      </c>
      <c r="F135" s="16">
        <v>5397578.8899999997</v>
      </c>
      <c r="G135" s="16">
        <v>2934439.79</v>
      </c>
      <c r="H135" s="16">
        <v>66235389.869999997</v>
      </c>
      <c r="I135" s="16">
        <v>23197295.859999999</v>
      </c>
      <c r="J135" s="16">
        <v>169887194.76999992</v>
      </c>
      <c r="K135" s="16">
        <v>236466087</v>
      </c>
      <c r="L135" s="16">
        <v>0</v>
      </c>
      <c r="M135" s="16">
        <v>402.47</v>
      </c>
      <c r="N135" s="18">
        <f t="shared" si="3"/>
        <v>2100653193.3426826</v>
      </c>
      <c r="O135" s="4"/>
    </row>
    <row r="136" spans="1:15" ht="15" x14ac:dyDescent="0.2">
      <c r="A136" s="17" t="s">
        <v>131</v>
      </c>
      <c r="B136" s="16">
        <v>2506248099.4300003</v>
      </c>
      <c r="C136" s="16">
        <v>0</v>
      </c>
      <c r="D136" s="16">
        <v>24440877.720000003</v>
      </c>
      <c r="E136" s="16">
        <v>0</v>
      </c>
      <c r="F136" s="16">
        <v>32113931.91</v>
      </c>
      <c r="G136" s="16">
        <v>20681413.569130294</v>
      </c>
      <c r="H136" s="16">
        <v>106863084.61</v>
      </c>
      <c r="I136" s="16">
        <v>138016765.41</v>
      </c>
      <c r="J136" s="16">
        <v>386245013.87999994</v>
      </c>
      <c r="K136" s="16">
        <v>400052931.72000003</v>
      </c>
      <c r="L136" s="16">
        <v>0</v>
      </c>
      <c r="M136" s="16">
        <v>2394.67</v>
      </c>
      <c r="N136" s="18">
        <f t="shared" ref="N136:N142" si="4">SUM(B136:M136)</f>
        <v>3614664512.9191303</v>
      </c>
      <c r="O136" s="4"/>
    </row>
    <row r="137" spans="1:15" ht="15" x14ac:dyDescent="0.2">
      <c r="A137" s="17" t="s">
        <v>132</v>
      </c>
      <c r="B137" s="16">
        <v>401290895.43999994</v>
      </c>
      <c r="C137" s="16">
        <v>0</v>
      </c>
      <c r="D137" s="16">
        <v>3981110.8156121233</v>
      </c>
      <c r="E137" s="16">
        <v>0</v>
      </c>
      <c r="F137" s="16">
        <v>384221.9</v>
      </c>
      <c r="G137" s="16">
        <v>428626.04</v>
      </c>
      <c r="H137" s="16">
        <v>17110509.899999999</v>
      </c>
      <c r="I137" s="16">
        <v>1651279.1</v>
      </c>
      <c r="J137" s="16">
        <v>37889925.910000004</v>
      </c>
      <c r="K137" s="16">
        <v>64055180.280000001</v>
      </c>
      <c r="L137" s="16">
        <v>0</v>
      </c>
      <c r="M137" s="16">
        <v>28.64</v>
      </c>
      <c r="N137" s="18">
        <f t="shared" si="4"/>
        <v>526791778.02561212</v>
      </c>
      <c r="O137" s="4"/>
    </row>
    <row r="138" spans="1:15" ht="15" x14ac:dyDescent="0.2">
      <c r="A138" s="17" t="s">
        <v>133</v>
      </c>
      <c r="B138" s="16">
        <v>1132954685.4899998</v>
      </c>
      <c r="C138" s="16">
        <v>0</v>
      </c>
      <c r="D138" s="16">
        <v>30467074.992794737</v>
      </c>
      <c r="E138" s="16">
        <v>0</v>
      </c>
      <c r="F138" s="16">
        <v>3345316.69</v>
      </c>
      <c r="G138" s="16">
        <v>1673290.1</v>
      </c>
      <c r="H138" s="16">
        <v>48307680.490000002</v>
      </c>
      <c r="I138" s="16">
        <v>14377242.57</v>
      </c>
      <c r="J138" s="16">
        <v>137672899.41999996</v>
      </c>
      <c r="K138" s="16">
        <v>163699492.31999999</v>
      </c>
      <c r="L138" s="16">
        <v>0</v>
      </c>
      <c r="M138" s="16">
        <v>249.44</v>
      </c>
      <c r="N138" s="18">
        <f t="shared" si="4"/>
        <v>1532497931.5127943</v>
      </c>
      <c r="O138" s="4"/>
    </row>
    <row r="139" spans="1:15" ht="15" x14ac:dyDescent="0.2">
      <c r="A139" s="17" t="s">
        <v>134</v>
      </c>
      <c r="B139" s="16">
        <v>3983219470.9500008</v>
      </c>
      <c r="C139" s="16">
        <v>0</v>
      </c>
      <c r="D139" s="16">
        <v>33014776.91</v>
      </c>
      <c r="E139" s="16">
        <v>0</v>
      </c>
      <c r="F139" s="16">
        <v>17205013.620000001</v>
      </c>
      <c r="G139" s="16">
        <v>19142980.498619325</v>
      </c>
      <c r="H139" s="16">
        <v>169839178.88999999</v>
      </c>
      <c r="I139" s="16">
        <v>73942372.959999993</v>
      </c>
      <c r="J139" s="16">
        <v>245822758.37999994</v>
      </c>
      <c r="K139" s="16">
        <v>635809338.84000003</v>
      </c>
      <c r="L139" s="16">
        <v>0</v>
      </c>
      <c r="M139" s="16">
        <v>1282.95</v>
      </c>
      <c r="N139" s="18">
        <f t="shared" si="4"/>
        <v>5177997173.99862</v>
      </c>
      <c r="O139" s="4"/>
    </row>
    <row r="140" spans="1:15" ht="15" x14ac:dyDescent="0.2">
      <c r="A140" s="17" t="s">
        <v>135</v>
      </c>
      <c r="B140" s="16">
        <v>1174108916.55</v>
      </c>
      <c r="C140" s="16">
        <v>0</v>
      </c>
      <c r="D140" s="16">
        <v>9622626.2599999998</v>
      </c>
      <c r="E140" s="16">
        <v>0</v>
      </c>
      <c r="F140" s="16">
        <v>2837330.99</v>
      </c>
      <c r="G140" s="16">
        <v>1763961</v>
      </c>
      <c r="H140" s="16">
        <v>50062442.149999999</v>
      </c>
      <c r="I140" s="16">
        <v>12194061.07</v>
      </c>
      <c r="J140" s="16">
        <v>62137073.079999976</v>
      </c>
      <c r="K140" s="16">
        <v>187415567.03999999</v>
      </c>
      <c r="L140" s="16">
        <v>0</v>
      </c>
      <c r="M140" s="16">
        <v>211.56</v>
      </c>
      <c r="N140" s="18">
        <f t="shared" si="4"/>
        <v>1500142189.6999998</v>
      </c>
      <c r="O140" s="4"/>
    </row>
    <row r="141" spans="1:15" ht="15" x14ac:dyDescent="0.2">
      <c r="A141" s="17" t="s">
        <v>136</v>
      </c>
      <c r="B141" s="16">
        <v>1360937239.78</v>
      </c>
      <c r="C141" s="16">
        <v>0</v>
      </c>
      <c r="D141" s="16">
        <v>15875183.128595985</v>
      </c>
      <c r="E141" s="16">
        <v>0</v>
      </c>
      <c r="F141" s="16">
        <v>4091593.85</v>
      </c>
      <c r="G141" s="16">
        <v>1541405.17</v>
      </c>
      <c r="H141" s="16">
        <v>58028553.299999997</v>
      </c>
      <c r="I141" s="16">
        <v>17584534.68</v>
      </c>
      <c r="J141" s="16">
        <v>172809402.27000004</v>
      </c>
      <c r="K141" s="16">
        <v>208615845.36000001</v>
      </c>
      <c r="L141" s="16">
        <v>0</v>
      </c>
      <c r="M141" s="16">
        <v>305.08999999999997</v>
      </c>
      <c r="N141" s="18">
        <f t="shared" si="4"/>
        <v>1839484062.6285961</v>
      </c>
      <c r="O141" s="4"/>
    </row>
    <row r="142" spans="1:15" ht="15" x14ac:dyDescent="0.2">
      <c r="A142" s="17" t="s">
        <v>137</v>
      </c>
      <c r="B142" s="16">
        <v>1330257280.5599999</v>
      </c>
      <c r="C142" s="16">
        <v>0</v>
      </c>
      <c r="D142" s="16">
        <v>18000237.394003887</v>
      </c>
      <c r="E142" s="16">
        <v>0</v>
      </c>
      <c r="F142" s="16">
        <v>17591082.739999998</v>
      </c>
      <c r="G142" s="16">
        <v>6223320.3300000001</v>
      </c>
      <c r="H142" s="16">
        <v>56720400.649999999</v>
      </c>
      <c r="I142" s="16">
        <v>75601590.849999994</v>
      </c>
      <c r="J142" s="16">
        <v>234251583.35999992</v>
      </c>
      <c r="K142" s="16">
        <v>197369859.96000001</v>
      </c>
      <c r="L142" s="16">
        <v>0</v>
      </c>
      <c r="M142" s="16">
        <v>1311.73</v>
      </c>
      <c r="N142" s="18">
        <f t="shared" si="4"/>
        <v>1936016667.5740037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247618718695.35004</v>
      </c>
      <c r="C143" s="23">
        <f t="shared" si="5"/>
        <v>0</v>
      </c>
      <c r="D143" s="23">
        <f t="shared" si="5"/>
        <v>2963208799.8296924</v>
      </c>
      <c r="E143" s="23">
        <f t="shared" si="5"/>
        <v>0</v>
      </c>
      <c r="F143" s="23">
        <f t="shared" si="5"/>
        <v>1847220702.4400005</v>
      </c>
      <c r="G143" s="23">
        <f t="shared" si="5"/>
        <v>824280838.98999953</v>
      </c>
      <c r="H143" s="23">
        <f t="shared" si="5"/>
        <v>10558132730.07</v>
      </c>
      <c r="I143" s="23">
        <f t="shared" si="5"/>
        <v>7938841840.96</v>
      </c>
      <c r="J143" s="23">
        <f t="shared" ref="J143:N143" si="6">SUM(J8:J142)</f>
        <v>29050676605.720005</v>
      </c>
      <c r="K143" s="23">
        <f t="shared" si="6"/>
        <v>36886291403.519989</v>
      </c>
      <c r="L143" s="23">
        <f t="shared" si="6"/>
        <v>0</v>
      </c>
      <c r="M143" s="23">
        <f t="shared" si="6"/>
        <v>137743.12</v>
      </c>
      <c r="N143" s="23">
        <f t="shared" si="6"/>
        <v>337687509359.99976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44AEAC"/>
  </sheetPr>
  <dimension ref="A1:Y275"/>
  <sheetViews>
    <sheetView showGridLines="0" topLeftCell="B1" zoomScale="80" zoomScaleNormal="80" workbookViewId="0">
      <selection activeCell="P18" sqref="P18"/>
    </sheetView>
  </sheetViews>
  <sheetFormatPr baseColWidth="10" defaultRowHeight="14.25" x14ac:dyDescent="0.2"/>
  <cols>
    <col min="1" max="1" width="41.83203125" style="11" customWidth="1"/>
    <col min="2" max="2" width="23.83203125" style="1" customWidth="1"/>
    <col min="3" max="3" width="22.33203125" style="1" hidden="1" customWidth="1"/>
    <col min="4" max="11" width="22.33203125" style="1" customWidth="1"/>
    <col min="12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29" t="s">
        <v>176</v>
      </c>
      <c r="L7" s="19" t="s">
        <v>149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887914371.12</v>
      </c>
      <c r="C8" s="16">
        <v>0</v>
      </c>
      <c r="D8" s="16">
        <v>19559410.129878104</v>
      </c>
      <c r="E8" s="16">
        <v>12997494.68</v>
      </c>
      <c r="F8" s="16">
        <v>1588284.99</v>
      </c>
      <c r="G8" s="16">
        <v>857403.45</v>
      </c>
      <c r="H8" s="16">
        <v>49568439.609999999</v>
      </c>
      <c r="I8" s="16">
        <v>6844722.8799999999</v>
      </c>
      <c r="J8" s="16">
        <v>78359136.980000004</v>
      </c>
      <c r="K8" s="16">
        <v>0</v>
      </c>
      <c r="L8" s="16">
        <v>0</v>
      </c>
      <c r="M8" s="16">
        <v>0</v>
      </c>
      <c r="N8" s="18">
        <f t="shared" ref="N8:N39" si="0">SUM(B8:M8)</f>
        <v>1057689263.8398782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469250053.08999997</v>
      </c>
      <c r="C9" s="16">
        <v>0</v>
      </c>
      <c r="D9" s="16">
        <v>13403436.219552839</v>
      </c>
      <c r="E9" s="16">
        <v>6860338.7599999998</v>
      </c>
      <c r="F9" s="16">
        <v>1112786</v>
      </c>
      <c r="G9" s="16">
        <v>634478.55000000005</v>
      </c>
      <c r="H9" s="16">
        <v>26196211.789999999</v>
      </c>
      <c r="I9" s="16">
        <v>4795557.4000000004</v>
      </c>
      <c r="J9" s="16">
        <v>59423739.949999988</v>
      </c>
      <c r="K9" s="16">
        <v>0</v>
      </c>
      <c r="L9" s="16">
        <v>0</v>
      </c>
      <c r="M9" s="16">
        <v>0</v>
      </c>
      <c r="N9" s="18">
        <f t="shared" si="0"/>
        <v>581676601.75955272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511084071.13</v>
      </c>
      <c r="C10" s="16">
        <v>0</v>
      </c>
      <c r="D10" s="16">
        <v>12707623.37765041</v>
      </c>
      <c r="E10" s="16">
        <v>7317848.3799999999</v>
      </c>
      <c r="F10" s="16">
        <v>777371.78</v>
      </c>
      <c r="G10" s="16">
        <v>634478.55000000005</v>
      </c>
      <c r="H10" s="16">
        <v>28531625.050000001</v>
      </c>
      <c r="I10" s="16">
        <v>3350087.97</v>
      </c>
      <c r="J10" s="16">
        <v>35121022.900000013</v>
      </c>
      <c r="K10" s="16">
        <v>0</v>
      </c>
      <c r="L10" s="16">
        <v>0</v>
      </c>
      <c r="M10" s="16">
        <v>0</v>
      </c>
      <c r="N10" s="18">
        <f t="shared" si="0"/>
        <v>599524129.13765037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4128136330.9400001</v>
      </c>
      <c r="C11" s="16">
        <v>0</v>
      </c>
      <c r="D11" s="16">
        <v>27459004.433873508</v>
      </c>
      <c r="E11" s="16">
        <v>87229594.079999983</v>
      </c>
      <c r="F11" s="16">
        <v>83439220.310000002</v>
      </c>
      <c r="G11" s="16">
        <v>53735890.223145962</v>
      </c>
      <c r="H11" s="16">
        <v>230456092.46000001</v>
      </c>
      <c r="I11" s="16">
        <v>359581777.24000001</v>
      </c>
      <c r="J11" s="16">
        <v>660771998.97999978</v>
      </c>
      <c r="K11" s="16">
        <v>0</v>
      </c>
      <c r="L11" s="16">
        <v>0</v>
      </c>
      <c r="M11" s="16">
        <v>0</v>
      </c>
      <c r="N11" s="18">
        <f t="shared" si="0"/>
        <v>5630809908.6670198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531484485.74000001</v>
      </c>
      <c r="C12" s="16">
        <v>0</v>
      </c>
      <c r="D12" s="16">
        <v>10498934.187504519</v>
      </c>
      <c r="E12" s="16">
        <v>8172344.6999999993</v>
      </c>
      <c r="F12" s="16">
        <v>2852993.91</v>
      </c>
      <c r="G12" s="16">
        <v>1577622.34</v>
      </c>
      <c r="H12" s="16">
        <v>29670492.440000001</v>
      </c>
      <c r="I12" s="16">
        <v>12294992.9</v>
      </c>
      <c r="J12" s="16">
        <v>71246784.340000018</v>
      </c>
      <c r="K12" s="16">
        <v>0</v>
      </c>
      <c r="L12" s="16">
        <v>0</v>
      </c>
      <c r="M12" s="16">
        <v>0</v>
      </c>
      <c r="N12" s="18">
        <f t="shared" si="0"/>
        <v>667798650.55750465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2526369517.3199997</v>
      </c>
      <c r="C13" s="16">
        <v>0</v>
      </c>
      <c r="D13" s="16">
        <v>28661294.242271706</v>
      </c>
      <c r="E13" s="16">
        <v>51820148.870000005</v>
      </c>
      <c r="F13" s="16">
        <v>40575255.75</v>
      </c>
      <c r="G13" s="16">
        <v>0</v>
      </c>
      <c r="H13" s="16">
        <v>141036341.93000001</v>
      </c>
      <c r="I13" s="16">
        <v>174859287.03999999</v>
      </c>
      <c r="J13" s="16">
        <v>491331769.51999986</v>
      </c>
      <c r="K13" s="16">
        <v>0</v>
      </c>
      <c r="L13" s="16">
        <v>0</v>
      </c>
      <c r="M13" s="16">
        <v>0</v>
      </c>
      <c r="N13" s="18">
        <f t="shared" si="0"/>
        <v>3454653614.6722713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853738105.52999997</v>
      </c>
      <c r="C14" s="16">
        <v>0</v>
      </c>
      <c r="D14" s="16">
        <v>22507931.151729979</v>
      </c>
      <c r="E14" s="16">
        <v>12640383.289999999</v>
      </c>
      <c r="F14" s="16">
        <v>1846751.24</v>
      </c>
      <c r="G14" s="16">
        <v>1071754.31</v>
      </c>
      <c r="H14" s="16">
        <v>47660525.729999997</v>
      </c>
      <c r="I14" s="16">
        <v>7958584.6200000001</v>
      </c>
      <c r="J14" s="16">
        <v>105476864.54000004</v>
      </c>
      <c r="K14" s="16">
        <v>0</v>
      </c>
      <c r="L14" s="16">
        <v>0</v>
      </c>
      <c r="M14" s="16">
        <v>0</v>
      </c>
      <c r="N14" s="18">
        <f t="shared" si="0"/>
        <v>1052900900.4117299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1486900526.7399998</v>
      </c>
      <c r="C15" s="16">
        <v>0</v>
      </c>
      <c r="D15" s="16">
        <v>30622204.197161935</v>
      </c>
      <c r="E15" s="16">
        <v>21594469.880000003</v>
      </c>
      <c r="F15" s="16">
        <v>6879937.5999999996</v>
      </c>
      <c r="G15" s="16">
        <v>3712556.93</v>
      </c>
      <c r="H15" s="16">
        <v>83007259.890000001</v>
      </c>
      <c r="I15" s="16">
        <v>29649128.809999999</v>
      </c>
      <c r="J15" s="16">
        <v>168289822.54999998</v>
      </c>
      <c r="K15" s="16">
        <v>0</v>
      </c>
      <c r="L15" s="16">
        <v>0</v>
      </c>
      <c r="M15" s="16">
        <v>0</v>
      </c>
      <c r="N15" s="18">
        <f t="shared" si="0"/>
        <v>1830655906.5971618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2685278010.0099998</v>
      </c>
      <c r="C16" s="16">
        <v>0</v>
      </c>
      <c r="D16" s="16">
        <v>57352497.678788647</v>
      </c>
      <c r="E16" s="16">
        <v>54812828.799999997</v>
      </c>
      <c r="F16" s="16">
        <v>25659187.989999998</v>
      </c>
      <c r="G16" s="16">
        <v>16470720.23</v>
      </c>
      <c r="H16" s="16">
        <v>149907519.46000001</v>
      </c>
      <c r="I16" s="16">
        <v>110578411.28</v>
      </c>
      <c r="J16" s="16">
        <v>418053595.80000007</v>
      </c>
      <c r="K16" s="16">
        <v>0</v>
      </c>
      <c r="L16" s="16">
        <v>0</v>
      </c>
      <c r="M16" s="16">
        <v>0</v>
      </c>
      <c r="N16" s="18">
        <f t="shared" si="0"/>
        <v>3518112771.2487888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1007946602.05</v>
      </c>
      <c r="C17" s="16">
        <v>0</v>
      </c>
      <c r="D17" s="16">
        <v>28139916.338256791</v>
      </c>
      <c r="E17" s="16">
        <v>14569768.17</v>
      </c>
      <c r="F17" s="16">
        <v>5269949.33</v>
      </c>
      <c r="G17" s="16">
        <v>2400729.65</v>
      </c>
      <c r="H17" s="16">
        <v>56269322.700000003</v>
      </c>
      <c r="I17" s="16">
        <v>22710875.550000001</v>
      </c>
      <c r="J17" s="16">
        <v>113316314.14999998</v>
      </c>
      <c r="K17" s="16">
        <v>0</v>
      </c>
      <c r="L17" s="16">
        <v>0</v>
      </c>
      <c r="M17" s="16">
        <v>0</v>
      </c>
      <c r="N17" s="18">
        <f t="shared" si="0"/>
        <v>1250623477.9382567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566856008.97000003</v>
      </c>
      <c r="C18" s="16">
        <v>0</v>
      </c>
      <c r="D18" s="16">
        <v>12605874.847936668</v>
      </c>
      <c r="E18" s="16">
        <v>8136348.0100000007</v>
      </c>
      <c r="F18" s="16">
        <v>3551444.7</v>
      </c>
      <c r="G18" s="16">
        <v>1954879.86</v>
      </c>
      <c r="H18" s="16">
        <v>31645132.420000002</v>
      </c>
      <c r="I18" s="16">
        <v>15304970.42</v>
      </c>
      <c r="J18" s="16">
        <v>92383890.629999965</v>
      </c>
      <c r="K18" s="16">
        <v>0</v>
      </c>
      <c r="L18" s="16">
        <v>0</v>
      </c>
      <c r="M18" s="16">
        <v>0</v>
      </c>
      <c r="N18" s="18">
        <f t="shared" si="0"/>
        <v>732438549.85793662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952944491.16000009</v>
      </c>
      <c r="C19" s="16">
        <v>0</v>
      </c>
      <c r="D19" s="16">
        <v>20788968.948026221</v>
      </c>
      <c r="E19" s="16">
        <v>14112546.240000002</v>
      </c>
      <c r="F19" s="16">
        <v>1434389.05</v>
      </c>
      <c r="G19" s="16">
        <v>1088902.3799999999</v>
      </c>
      <c r="H19" s="16">
        <v>53198791.460000001</v>
      </c>
      <c r="I19" s="16">
        <v>6181507.5</v>
      </c>
      <c r="J19" s="16">
        <v>80377080.00999999</v>
      </c>
      <c r="K19" s="16">
        <v>0</v>
      </c>
      <c r="L19" s="16">
        <v>0</v>
      </c>
      <c r="M19" s="16">
        <v>0</v>
      </c>
      <c r="N19" s="18">
        <f t="shared" si="0"/>
        <v>1130126676.7480264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3374293403.4800005</v>
      </c>
      <c r="C20" s="16">
        <v>0</v>
      </c>
      <c r="D20" s="16">
        <v>18627839.418288875</v>
      </c>
      <c r="E20" s="16">
        <v>68467415.480000004</v>
      </c>
      <c r="F20" s="16">
        <v>45782068.289999999</v>
      </c>
      <c r="G20" s="16">
        <v>26535561.674000453</v>
      </c>
      <c r="H20" s="16">
        <v>188372284.78999999</v>
      </c>
      <c r="I20" s="16">
        <v>197298074.22999999</v>
      </c>
      <c r="J20" s="16">
        <v>457057615.22999978</v>
      </c>
      <c r="K20" s="16">
        <v>0</v>
      </c>
      <c r="L20" s="16">
        <v>0</v>
      </c>
      <c r="M20" s="16">
        <v>0</v>
      </c>
      <c r="N20" s="18">
        <f t="shared" si="0"/>
        <v>4376434262.592289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1466175974.46</v>
      </c>
      <c r="C21" s="16">
        <v>0</v>
      </c>
      <c r="D21" s="16">
        <v>6497412.6641963348</v>
      </c>
      <c r="E21" s="16">
        <v>21523847.170000002</v>
      </c>
      <c r="F21" s="16">
        <v>12173563.23</v>
      </c>
      <c r="G21" s="16">
        <v>3757292.0298161628</v>
      </c>
      <c r="H21" s="16">
        <v>81850297.290000007</v>
      </c>
      <c r="I21" s="16">
        <v>52462037.490000002</v>
      </c>
      <c r="J21" s="16">
        <v>149848453.03000006</v>
      </c>
      <c r="K21" s="16">
        <v>0</v>
      </c>
      <c r="L21" s="16">
        <v>0</v>
      </c>
      <c r="M21" s="16">
        <v>0</v>
      </c>
      <c r="N21" s="18">
        <f t="shared" si="0"/>
        <v>1794288877.3640125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1161527081.8199999</v>
      </c>
      <c r="C22" s="16">
        <v>0</v>
      </c>
      <c r="D22" s="16">
        <v>17548015.0083955</v>
      </c>
      <c r="E22" s="16">
        <v>16240600.129999999</v>
      </c>
      <c r="F22" s="16">
        <v>2898373.48</v>
      </c>
      <c r="G22" s="16">
        <v>1843417.41</v>
      </c>
      <c r="H22" s="16">
        <v>64843060.189999998</v>
      </c>
      <c r="I22" s="16">
        <v>12490556.41</v>
      </c>
      <c r="J22" s="16">
        <v>112527961.82000002</v>
      </c>
      <c r="K22" s="16">
        <v>0</v>
      </c>
      <c r="L22" s="16">
        <v>0</v>
      </c>
      <c r="M22" s="16">
        <v>0</v>
      </c>
      <c r="N22" s="18">
        <f t="shared" si="0"/>
        <v>1389919066.2683957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1115884446.1900001</v>
      </c>
      <c r="C23" s="16">
        <v>0</v>
      </c>
      <c r="D23" s="16">
        <v>17702254.48728627</v>
      </c>
      <c r="E23" s="16">
        <v>16347124.379999999</v>
      </c>
      <c r="F23" s="16">
        <v>2778018.96</v>
      </c>
      <c r="G23" s="16">
        <v>2272119.14</v>
      </c>
      <c r="H23" s="16">
        <v>62295028.189999998</v>
      </c>
      <c r="I23" s="16">
        <v>11971887.970000001</v>
      </c>
      <c r="J23" s="16">
        <v>92887380.370000035</v>
      </c>
      <c r="K23" s="16">
        <v>0</v>
      </c>
      <c r="L23" s="16">
        <v>0</v>
      </c>
      <c r="M23" s="16">
        <v>0</v>
      </c>
      <c r="N23" s="18">
        <f t="shared" si="0"/>
        <v>1322138259.6872869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351284199.79999995</v>
      </c>
      <c r="C24" s="16">
        <v>0</v>
      </c>
      <c r="D24" s="16">
        <v>22361265.074155018</v>
      </c>
      <c r="E24" s="16">
        <v>5038363.18</v>
      </c>
      <c r="F24" s="16">
        <v>2888508.35</v>
      </c>
      <c r="G24" s="16">
        <v>705714.99565512524</v>
      </c>
      <c r="H24" s="16">
        <v>19610685.68</v>
      </c>
      <c r="I24" s="16">
        <v>12448042.609999999</v>
      </c>
      <c r="J24" s="16">
        <v>78596937.560000017</v>
      </c>
      <c r="K24" s="16">
        <v>0</v>
      </c>
      <c r="L24" s="16">
        <v>0</v>
      </c>
      <c r="M24" s="16">
        <v>0</v>
      </c>
      <c r="N24" s="18">
        <f t="shared" si="0"/>
        <v>492933717.24981016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1453939777.4099998</v>
      </c>
      <c r="C25" s="16">
        <v>0</v>
      </c>
      <c r="D25" s="16">
        <v>14384039.150499759</v>
      </c>
      <c r="E25" s="16">
        <v>22356217.329999998</v>
      </c>
      <c r="F25" s="16">
        <v>12810850.26</v>
      </c>
      <c r="G25" s="16">
        <v>5410215.7599999998</v>
      </c>
      <c r="H25" s="16">
        <v>81167203.049999997</v>
      </c>
      <c r="I25" s="16">
        <v>55208429.409999996</v>
      </c>
      <c r="J25" s="16">
        <v>181692310.66999996</v>
      </c>
      <c r="K25" s="16">
        <v>0</v>
      </c>
      <c r="L25" s="16">
        <v>0</v>
      </c>
      <c r="M25" s="16">
        <v>0</v>
      </c>
      <c r="N25" s="18">
        <f t="shared" si="0"/>
        <v>1826969043.0404997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592888315.57000005</v>
      </c>
      <c r="C26" s="16">
        <v>0</v>
      </c>
      <c r="D26" s="16">
        <v>24605098.371992633</v>
      </c>
      <c r="E26" s="16">
        <v>8210204.3700000001</v>
      </c>
      <c r="F26" s="16">
        <v>5826342.3399999999</v>
      </c>
      <c r="G26" s="16">
        <v>3455335.9</v>
      </c>
      <c r="H26" s="16">
        <v>33098404.109999999</v>
      </c>
      <c r="I26" s="16">
        <v>25108654.25</v>
      </c>
      <c r="J26" s="16">
        <v>134066963.48000002</v>
      </c>
      <c r="K26" s="16">
        <v>0</v>
      </c>
      <c r="L26" s="16">
        <v>0</v>
      </c>
      <c r="M26" s="16">
        <v>0</v>
      </c>
      <c r="N26" s="18">
        <f t="shared" si="0"/>
        <v>827259318.39199269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290163990.38</v>
      </c>
      <c r="C27" s="16">
        <v>0</v>
      </c>
      <c r="D27" s="16">
        <v>4952312.4320896342</v>
      </c>
      <c r="E27" s="16">
        <v>4461702.5</v>
      </c>
      <c r="F27" s="16">
        <v>1448200.22</v>
      </c>
      <c r="G27" s="16">
        <v>780237.14</v>
      </c>
      <c r="H27" s="16">
        <v>16198607.33</v>
      </c>
      <c r="I27" s="16">
        <v>6241026.8300000001</v>
      </c>
      <c r="J27" s="16">
        <v>35926307.689999998</v>
      </c>
      <c r="K27" s="16">
        <v>0</v>
      </c>
      <c r="L27" s="16">
        <v>0</v>
      </c>
      <c r="M27" s="16">
        <v>0</v>
      </c>
      <c r="N27" s="18">
        <f t="shared" si="0"/>
        <v>360172384.5220896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1027617706.9200001</v>
      </c>
      <c r="C28" s="16">
        <v>0</v>
      </c>
      <c r="D28" s="16">
        <v>15693884.867640531</v>
      </c>
      <c r="E28" s="16">
        <v>15052000.799999999</v>
      </c>
      <c r="F28" s="16">
        <v>1994728.1</v>
      </c>
      <c r="G28" s="16">
        <v>1131772.55</v>
      </c>
      <c r="H28" s="16">
        <v>57367475.859999999</v>
      </c>
      <c r="I28" s="16">
        <v>8596291.7200000007</v>
      </c>
      <c r="J28" s="16">
        <v>73452975.680000007</v>
      </c>
      <c r="K28" s="16">
        <v>0</v>
      </c>
      <c r="L28" s="16">
        <v>0</v>
      </c>
      <c r="M28" s="16">
        <v>0</v>
      </c>
      <c r="N28" s="18">
        <f t="shared" si="0"/>
        <v>1200906836.4976406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635492160.58999991</v>
      </c>
      <c r="C29" s="16">
        <v>0</v>
      </c>
      <c r="D29" s="16">
        <v>17025342.047616281</v>
      </c>
      <c r="E29" s="16">
        <v>9771552.7899999991</v>
      </c>
      <c r="F29" s="16">
        <v>1244978.67</v>
      </c>
      <c r="G29" s="16">
        <v>685922.76</v>
      </c>
      <c r="H29" s="16">
        <v>35476793.5</v>
      </c>
      <c r="I29" s="16">
        <v>5365242.41</v>
      </c>
      <c r="J29" s="16">
        <v>65482549.040000021</v>
      </c>
      <c r="K29" s="16">
        <v>0</v>
      </c>
      <c r="L29" s="16">
        <v>0</v>
      </c>
      <c r="M29" s="16">
        <v>0</v>
      </c>
      <c r="N29" s="18">
        <f t="shared" si="0"/>
        <v>770544541.807616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211256726.34000003</v>
      </c>
      <c r="C30" s="16">
        <v>0</v>
      </c>
      <c r="D30" s="16">
        <v>8957934.8193738572</v>
      </c>
      <c r="E30" s="16">
        <v>3054370.05</v>
      </c>
      <c r="F30" s="16">
        <v>1075298.53</v>
      </c>
      <c r="G30" s="16">
        <v>857403.45</v>
      </c>
      <c r="H30" s="16">
        <v>11793554.23</v>
      </c>
      <c r="I30" s="16">
        <v>4634004.93</v>
      </c>
      <c r="J30" s="16">
        <v>50870141.760000005</v>
      </c>
      <c r="K30" s="16">
        <v>0</v>
      </c>
      <c r="L30" s="16">
        <v>0</v>
      </c>
      <c r="M30" s="16">
        <v>0</v>
      </c>
      <c r="N30" s="18">
        <f t="shared" si="0"/>
        <v>292499434.10937387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368058324.24000001</v>
      </c>
      <c r="C31" s="16">
        <v>0</v>
      </c>
      <c r="D31" s="16">
        <v>5880557.9374075178</v>
      </c>
      <c r="E31" s="16">
        <v>5599012.9000000004</v>
      </c>
      <c r="F31" s="16">
        <v>1284439.1599999999</v>
      </c>
      <c r="G31" s="16">
        <v>471571.9</v>
      </c>
      <c r="H31" s="16">
        <v>20547112.890000001</v>
      </c>
      <c r="I31" s="16">
        <v>5535297.6399999997</v>
      </c>
      <c r="J31" s="16">
        <v>36053051.680000007</v>
      </c>
      <c r="K31" s="16">
        <v>0</v>
      </c>
      <c r="L31" s="16">
        <v>0</v>
      </c>
      <c r="M31" s="16">
        <v>0</v>
      </c>
      <c r="N31" s="18">
        <f t="shared" si="0"/>
        <v>443429368.34740746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1616920249.6500003</v>
      </c>
      <c r="C32" s="16">
        <v>0</v>
      </c>
      <c r="D32" s="16">
        <v>24284011.553407233</v>
      </c>
      <c r="E32" s="16">
        <v>24151213.869999997</v>
      </c>
      <c r="F32" s="16">
        <v>3788207.68</v>
      </c>
      <c r="G32" s="16">
        <v>2580784.38</v>
      </c>
      <c r="H32" s="16">
        <v>90265701.689999998</v>
      </c>
      <c r="I32" s="16">
        <v>16325301.779999999</v>
      </c>
      <c r="J32" s="16">
        <v>112807844.36000004</v>
      </c>
      <c r="K32" s="16">
        <v>0</v>
      </c>
      <c r="L32" s="16">
        <v>0</v>
      </c>
      <c r="M32" s="16">
        <v>0</v>
      </c>
      <c r="N32" s="18">
        <f t="shared" si="0"/>
        <v>1891123314.9634078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1099495235.23</v>
      </c>
      <c r="C33" s="16">
        <v>0</v>
      </c>
      <c r="D33" s="16">
        <v>20516597.774382893</v>
      </c>
      <c r="E33" s="16">
        <v>16084639.440000001</v>
      </c>
      <c r="F33" s="16">
        <v>2779991.99</v>
      </c>
      <c r="G33" s="16">
        <v>2074916.34</v>
      </c>
      <c r="H33" s="16">
        <v>61380089.049999997</v>
      </c>
      <c r="I33" s="16">
        <v>11980390.73</v>
      </c>
      <c r="J33" s="16">
        <v>107604121.17000005</v>
      </c>
      <c r="K33" s="16">
        <v>0</v>
      </c>
      <c r="L33" s="16">
        <v>0</v>
      </c>
      <c r="M33" s="16">
        <v>0</v>
      </c>
      <c r="N33" s="18">
        <f t="shared" si="0"/>
        <v>1321915981.7243829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1431088071.6700001</v>
      </c>
      <c r="C34" s="16">
        <v>0</v>
      </c>
      <c r="D34" s="16">
        <v>20233440.187511705</v>
      </c>
      <c r="E34" s="16">
        <v>28457490.530000001</v>
      </c>
      <c r="F34" s="16">
        <v>4042727.88</v>
      </c>
      <c r="G34" s="16">
        <v>3463909.93</v>
      </c>
      <c r="H34" s="16">
        <v>79891490.629999995</v>
      </c>
      <c r="I34" s="16">
        <v>17422157.989999998</v>
      </c>
      <c r="J34" s="16">
        <v>135355070.48000005</v>
      </c>
      <c r="K34" s="16">
        <v>0</v>
      </c>
      <c r="L34" s="16">
        <v>0</v>
      </c>
      <c r="M34" s="16">
        <v>0</v>
      </c>
      <c r="N34" s="18">
        <f t="shared" si="0"/>
        <v>1719954359.2975118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678541694.9000001</v>
      </c>
      <c r="C35" s="16">
        <v>0</v>
      </c>
      <c r="D35" s="16">
        <v>13314182.98750452</v>
      </c>
      <c r="E35" s="16">
        <v>10279569.59</v>
      </c>
      <c r="F35" s="16">
        <v>2527444.81</v>
      </c>
      <c r="G35" s="16">
        <v>1346123.41</v>
      </c>
      <c r="H35" s="16">
        <v>37880063.799999997</v>
      </c>
      <c r="I35" s="16">
        <v>10892037.279999999</v>
      </c>
      <c r="J35" s="16">
        <v>48647017.929999985</v>
      </c>
      <c r="K35" s="16">
        <v>0</v>
      </c>
      <c r="L35" s="16">
        <v>0</v>
      </c>
      <c r="M35" s="16">
        <v>0</v>
      </c>
      <c r="N35" s="18">
        <f t="shared" si="0"/>
        <v>803428134.70750439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798189012.3499999</v>
      </c>
      <c r="C36" s="16">
        <v>0</v>
      </c>
      <c r="D36" s="16">
        <v>13657193.005752079</v>
      </c>
      <c r="E36" s="16">
        <v>11604839.539999999</v>
      </c>
      <c r="F36" s="16">
        <v>1590258.01</v>
      </c>
      <c r="G36" s="16">
        <v>780237.14</v>
      </c>
      <c r="H36" s="16">
        <v>44559458.82</v>
      </c>
      <c r="I36" s="16">
        <v>6853225.6399999997</v>
      </c>
      <c r="J36" s="16">
        <v>48992139.979999989</v>
      </c>
      <c r="K36" s="16">
        <v>0</v>
      </c>
      <c r="L36" s="16">
        <v>0</v>
      </c>
      <c r="M36" s="16">
        <v>0</v>
      </c>
      <c r="N36" s="18">
        <f t="shared" si="0"/>
        <v>926226364.48575199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828921315.15999997</v>
      </c>
      <c r="C37" s="16">
        <v>0</v>
      </c>
      <c r="D37" s="16">
        <v>16498559.483591743</v>
      </c>
      <c r="E37" s="16">
        <v>12598934.619999999</v>
      </c>
      <c r="F37" s="16">
        <v>2949672.12</v>
      </c>
      <c r="G37" s="16">
        <v>1191790.79</v>
      </c>
      <c r="H37" s="16">
        <v>46275111.079999998</v>
      </c>
      <c r="I37" s="16">
        <v>12711628.210000001</v>
      </c>
      <c r="J37" s="16">
        <v>83158972.800000027</v>
      </c>
      <c r="K37" s="16">
        <v>0</v>
      </c>
      <c r="L37" s="16">
        <v>0</v>
      </c>
      <c r="M37" s="16">
        <v>0</v>
      </c>
      <c r="N37" s="18">
        <f t="shared" si="0"/>
        <v>1004305984.2635919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724893381.71000004</v>
      </c>
      <c r="C38" s="16">
        <v>0</v>
      </c>
      <c r="D38" s="16">
        <v>3287558.7030147454</v>
      </c>
      <c r="E38" s="16">
        <v>11136983.77</v>
      </c>
      <c r="F38" s="16">
        <v>2635961.1800000002</v>
      </c>
      <c r="G38" s="16">
        <v>3301003.27</v>
      </c>
      <c r="H38" s="16">
        <v>40467679.079999998</v>
      </c>
      <c r="I38" s="16">
        <v>11359689.16</v>
      </c>
      <c r="J38" s="16">
        <v>137229835.16000003</v>
      </c>
      <c r="K38" s="16">
        <v>0</v>
      </c>
      <c r="L38" s="16">
        <v>0</v>
      </c>
      <c r="M38" s="16">
        <v>0</v>
      </c>
      <c r="N38" s="18">
        <f t="shared" si="0"/>
        <v>934312092.03301477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1340714437.54</v>
      </c>
      <c r="C39" s="16">
        <v>0</v>
      </c>
      <c r="D39" s="16">
        <v>24285889.548091784</v>
      </c>
      <c r="E39" s="16">
        <v>19529293.969999999</v>
      </c>
      <c r="F39" s="16">
        <v>3358088.27</v>
      </c>
      <c r="G39" s="16">
        <v>2057768.27</v>
      </c>
      <c r="H39" s="16">
        <v>74846319.409999996</v>
      </c>
      <c r="I39" s="16">
        <v>14471699.810000001</v>
      </c>
      <c r="J39" s="16">
        <v>119138069.74999996</v>
      </c>
      <c r="K39" s="16">
        <v>0</v>
      </c>
      <c r="L39" s="16">
        <v>0</v>
      </c>
      <c r="M39" s="16">
        <v>0</v>
      </c>
      <c r="N39" s="18">
        <f t="shared" si="0"/>
        <v>1598401566.5680919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944071222.46000016</v>
      </c>
      <c r="C40" s="16">
        <v>0</v>
      </c>
      <c r="D40" s="16">
        <v>24772855.54002874</v>
      </c>
      <c r="E40" s="16">
        <v>13074525.210000001</v>
      </c>
      <c r="F40" s="16">
        <v>1793479.57</v>
      </c>
      <c r="G40" s="16">
        <v>900273.62</v>
      </c>
      <c r="H40" s="16">
        <v>52703435.039999999</v>
      </c>
      <c r="I40" s="16">
        <v>7729010.0599999996</v>
      </c>
      <c r="J40" s="16">
        <v>65635438.620000027</v>
      </c>
      <c r="K40" s="16">
        <v>0</v>
      </c>
      <c r="L40" s="16">
        <v>0</v>
      </c>
      <c r="M40" s="16">
        <v>0</v>
      </c>
      <c r="N40" s="18">
        <f t="shared" ref="N40:N71" si="1">SUM(B40:M40)</f>
        <v>1110680240.120029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871444125.77999997</v>
      </c>
      <c r="C41" s="16">
        <v>0</v>
      </c>
      <c r="D41" s="16">
        <v>8689126.6681867391</v>
      </c>
      <c r="E41" s="16">
        <v>13369468.07</v>
      </c>
      <c r="F41" s="16">
        <v>3036485.22</v>
      </c>
      <c r="G41" s="16">
        <v>1569048.31</v>
      </c>
      <c r="H41" s="16">
        <v>48648976.670000002</v>
      </c>
      <c r="I41" s="16">
        <v>13085749.710000001</v>
      </c>
      <c r="J41" s="16">
        <v>67350590.549999997</v>
      </c>
      <c r="K41" s="16">
        <v>0</v>
      </c>
      <c r="L41" s="16">
        <v>0</v>
      </c>
      <c r="M41" s="16">
        <v>0</v>
      </c>
      <c r="N41" s="18">
        <f t="shared" si="1"/>
        <v>1027193570.9781867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584521512</v>
      </c>
      <c r="C42" s="16">
        <v>0</v>
      </c>
      <c r="D42" s="16">
        <v>4581191.5028565349</v>
      </c>
      <c r="E42" s="16">
        <v>8477265.1099999994</v>
      </c>
      <c r="F42" s="16">
        <v>8247243.8099999996</v>
      </c>
      <c r="G42" s="16">
        <v>0</v>
      </c>
      <c r="H42" s="16">
        <v>32631321.460000001</v>
      </c>
      <c r="I42" s="16">
        <v>35541542.420000002</v>
      </c>
      <c r="J42" s="16">
        <v>102630728.25999998</v>
      </c>
      <c r="K42" s="16">
        <v>0</v>
      </c>
      <c r="L42" s="16">
        <v>0</v>
      </c>
      <c r="M42" s="16">
        <v>0</v>
      </c>
      <c r="N42" s="18">
        <f t="shared" si="1"/>
        <v>776630804.56285644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3047400563.25</v>
      </c>
      <c r="C43" s="16">
        <v>0</v>
      </c>
      <c r="D43" s="16">
        <v>14597438.931053545</v>
      </c>
      <c r="E43" s="16">
        <v>43096332.590000004</v>
      </c>
      <c r="F43" s="16">
        <v>34295117.700000003</v>
      </c>
      <c r="G43" s="16">
        <v>12535238.41</v>
      </c>
      <c r="H43" s="16">
        <v>170123263.78999999</v>
      </c>
      <c r="I43" s="16">
        <v>147794997.68000001</v>
      </c>
      <c r="J43" s="16">
        <v>336116494.3499999</v>
      </c>
      <c r="K43" s="16">
        <v>0</v>
      </c>
      <c r="L43" s="16">
        <v>0</v>
      </c>
      <c r="M43" s="16">
        <v>0</v>
      </c>
      <c r="N43" s="18">
        <f t="shared" si="1"/>
        <v>3805959446.7010531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2964137699.2699995</v>
      </c>
      <c r="C44" s="16">
        <v>0</v>
      </c>
      <c r="D44" s="16">
        <v>17753281.420524009</v>
      </c>
      <c r="E44" s="16">
        <v>41892147.260000005</v>
      </c>
      <c r="F44" s="16">
        <v>43152026.18</v>
      </c>
      <c r="G44" s="16">
        <v>21760991.574967757</v>
      </c>
      <c r="H44" s="16">
        <v>165475056.28</v>
      </c>
      <c r="I44" s="16">
        <v>185963893.36000001</v>
      </c>
      <c r="J44" s="16">
        <v>434649583.32999998</v>
      </c>
      <c r="K44" s="16">
        <v>0</v>
      </c>
      <c r="L44" s="16">
        <v>0</v>
      </c>
      <c r="M44" s="16">
        <v>0</v>
      </c>
      <c r="N44" s="18">
        <f t="shared" si="1"/>
        <v>3874784678.6754918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829995021.22000003</v>
      </c>
      <c r="C45" s="16">
        <v>0</v>
      </c>
      <c r="D45" s="16">
        <v>8005967.6734051853</v>
      </c>
      <c r="E45" s="16">
        <v>11980082.870000001</v>
      </c>
      <c r="F45" s="16">
        <v>3214057.45</v>
      </c>
      <c r="G45" s="16">
        <v>1963453.9</v>
      </c>
      <c r="H45" s="16">
        <v>46335051.469999999</v>
      </c>
      <c r="I45" s="16">
        <v>13850998.23</v>
      </c>
      <c r="J45" s="16">
        <v>65068452.389999971</v>
      </c>
      <c r="K45" s="16">
        <v>0</v>
      </c>
      <c r="L45" s="16">
        <v>0</v>
      </c>
      <c r="M45" s="16">
        <v>0</v>
      </c>
      <c r="N45" s="18">
        <f t="shared" si="1"/>
        <v>980413085.20340526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1311926960.7400002</v>
      </c>
      <c r="C46" s="16">
        <v>0</v>
      </c>
      <c r="D46" s="16">
        <v>13963334.740524009</v>
      </c>
      <c r="E46" s="16">
        <v>25523353.549999997</v>
      </c>
      <c r="F46" s="16">
        <v>25351396.109999999</v>
      </c>
      <c r="G46" s="16">
        <v>0</v>
      </c>
      <c r="H46" s="16">
        <v>73239238.420000002</v>
      </c>
      <c r="I46" s="16">
        <v>109251980.51000001</v>
      </c>
      <c r="J46" s="16">
        <v>275296827.88000005</v>
      </c>
      <c r="K46" s="16">
        <v>0</v>
      </c>
      <c r="L46" s="16">
        <v>0</v>
      </c>
      <c r="M46" s="16">
        <v>0</v>
      </c>
      <c r="N46" s="18">
        <f t="shared" si="1"/>
        <v>1834553091.9505243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3985070066.8299999</v>
      </c>
      <c r="C47" s="16">
        <v>0</v>
      </c>
      <c r="D47" s="16">
        <v>20286126.834579978</v>
      </c>
      <c r="E47" s="16">
        <v>79168512.429999992</v>
      </c>
      <c r="F47" s="16">
        <v>79031482.829999998</v>
      </c>
      <c r="G47" s="16">
        <v>24602972.272772096</v>
      </c>
      <c r="H47" s="16">
        <v>222469318.40000001</v>
      </c>
      <c r="I47" s="16">
        <v>340586608.39999998</v>
      </c>
      <c r="J47" s="16">
        <v>662394520.79000008</v>
      </c>
      <c r="K47" s="16">
        <v>0</v>
      </c>
      <c r="L47" s="16">
        <v>0</v>
      </c>
      <c r="M47" s="16">
        <v>0</v>
      </c>
      <c r="N47" s="18">
        <f t="shared" si="1"/>
        <v>5413609608.7873516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410419065.98999995</v>
      </c>
      <c r="C48" s="16">
        <v>0</v>
      </c>
      <c r="D48" s="16">
        <v>6486262.2046237346</v>
      </c>
      <c r="E48" s="16">
        <v>6014578.1600000001</v>
      </c>
      <c r="F48" s="16">
        <v>686612.64</v>
      </c>
      <c r="G48" s="16">
        <v>531590.14</v>
      </c>
      <c r="H48" s="16">
        <v>22911930.870000001</v>
      </c>
      <c r="I48" s="16">
        <v>2958960.95</v>
      </c>
      <c r="J48" s="16">
        <v>35538356.670000002</v>
      </c>
      <c r="K48" s="16">
        <v>0</v>
      </c>
      <c r="L48" s="16">
        <v>0</v>
      </c>
      <c r="M48" s="16">
        <v>0</v>
      </c>
      <c r="N48" s="18">
        <f t="shared" si="1"/>
        <v>485547357.62462372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718045973.45000005</v>
      </c>
      <c r="C49" s="16">
        <v>0</v>
      </c>
      <c r="D49" s="16">
        <v>12653468.381506853</v>
      </c>
      <c r="E49" s="16">
        <v>9045961.9299999997</v>
      </c>
      <c r="F49" s="16">
        <v>4054566.03</v>
      </c>
      <c r="G49" s="16">
        <v>2229248.96</v>
      </c>
      <c r="H49" s="16">
        <v>40085417.729999997</v>
      </c>
      <c r="I49" s="16">
        <v>17473174.559999999</v>
      </c>
      <c r="J49" s="16">
        <v>83643040.00999999</v>
      </c>
      <c r="K49" s="16">
        <v>0</v>
      </c>
      <c r="L49" s="16">
        <v>0</v>
      </c>
      <c r="M49" s="16">
        <v>0</v>
      </c>
      <c r="N49" s="18">
        <f t="shared" si="1"/>
        <v>887230851.05150676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480736681.75999999</v>
      </c>
      <c r="C50" s="16">
        <v>0</v>
      </c>
      <c r="D50" s="16">
        <v>8603276.0956236441</v>
      </c>
      <c r="E50" s="16">
        <v>7380648.040000001</v>
      </c>
      <c r="F50" s="16">
        <v>1136462.3</v>
      </c>
      <c r="G50" s="16">
        <v>634478.55000000005</v>
      </c>
      <c r="H50" s="16">
        <v>26837460.859999999</v>
      </c>
      <c r="I50" s="16">
        <v>4897590.53</v>
      </c>
      <c r="J50" s="16">
        <v>60444414.710000008</v>
      </c>
      <c r="K50" s="16">
        <v>0</v>
      </c>
      <c r="L50" s="16">
        <v>0</v>
      </c>
      <c r="M50" s="16">
        <v>0</v>
      </c>
      <c r="N50" s="18">
        <f t="shared" si="1"/>
        <v>590671012.84562373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461572042.01999998</v>
      </c>
      <c r="C51" s="16">
        <v>0</v>
      </c>
      <c r="D51" s="16">
        <v>10622095.613558259</v>
      </c>
      <c r="E51" s="16">
        <v>7097257.2699999996</v>
      </c>
      <c r="F51" s="16">
        <v>1416631.83</v>
      </c>
      <c r="G51" s="16">
        <v>797385.21</v>
      </c>
      <c r="H51" s="16">
        <v>25767581.469999999</v>
      </c>
      <c r="I51" s="16">
        <v>6104982.6500000004</v>
      </c>
      <c r="J51" s="16">
        <v>41934070.590000011</v>
      </c>
      <c r="K51" s="16">
        <v>0</v>
      </c>
      <c r="L51" s="16">
        <v>0</v>
      </c>
      <c r="M51" s="16">
        <v>0</v>
      </c>
      <c r="N51" s="18">
        <f t="shared" si="1"/>
        <v>555312046.65355814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556078431.43999994</v>
      </c>
      <c r="C52" s="16">
        <v>0</v>
      </c>
      <c r="D52" s="16">
        <v>10414327.174130769</v>
      </c>
      <c r="E52" s="16">
        <v>8274699.3400000008</v>
      </c>
      <c r="F52" s="16">
        <v>1304169.4099999999</v>
      </c>
      <c r="G52" s="16">
        <v>1020310.1</v>
      </c>
      <c r="H52" s="16">
        <v>31043466.629999999</v>
      </c>
      <c r="I52" s="16">
        <v>5620325.25</v>
      </c>
      <c r="J52" s="16">
        <v>53751885.88000001</v>
      </c>
      <c r="K52" s="16">
        <v>0</v>
      </c>
      <c r="L52" s="16">
        <v>0</v>
      </c>
      <c r="M52" s="16">
        <v>0</v>
      </c>
      <c r="N52" s="18">
        <f t="shared" si="1"/>
        <v>667507615.22413075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199425701.40999997</v>
      </c>
      <c r="C53" s="16">
        <v>0</v>
      </c>
      <c r="D53" s="16">
        <v>8462709.0327011533</v>
      </c>
      <c r="E53" s="16">
        <v>3066414.89</v>
      </c>
      <c r="F53" s="16">
        <v>226897.85</v>
      </c>
      <c r="G53" s="16">
        <v>154332.62</v>
      </c>
      <c r="H53" s="16">
        <v>11133079</v>
      </c>
      <c r="I53" s="16">
        <v>977817.55</v>
      </c>
      <c r="J53" s="16">
        <v>28427248.960000005</v>
      </c>
      <c r="K53" s="16">
        <v>0</v>
      </c>
      <c r="L53" s="16">
        <v>0</v>
      </c>
      <c r="M53" s="16">
        <v>0</v>
      </c>
      <c r="N53" s="18">
        <f t="shared" si="1"/>
        <v>251874201.31270114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721611487.80999994</v>
      </c>
      <c r="C54" s="16">
        <v>0</v>
      </c>
      <c r="D54" s="16">
        <v>12231750.156179087</v>
      </c>
      <c r="E54" s="16">
        <v>10200496.890000001</v>
      </c>
      <c r="F54" s="16">
        <v>779344.81</v>
      </c>
      <c r="G54" s="16">
        <v>565886.28</v>
      </c>
      <c r="H54" s="16">
        <v>40284465.060000002</v>
      </c>
      <c r="I54" s="16">
        <v>3358590.73</v>
      </c>
      <c r="J54" s="16">
        <v>65036330.689999983</v>
      </c>
      <c r="K54" s="16">
        <v>0</v>
      </c>
      <c r="L54" s="16">
        <v>0</v>
      </c>
      <c r="M54" s="16">
        <v>0</v>
      </c>
      <c r="N54" s="18">
        <f t="shared" si="1"/>
        <v>854068352.42617881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333557920.99000001</v>
      </c>
      <c r="C55" s="16">
        <v>0</v>
      </c>
      <c r="D55" s="16">
        <v>5064056.1442035194</v>
      </c>
      <c r="E55" s="16">
        <v>4945839.79</v>
      </c>
      <c r="F55" s="16">
        <v>1438335.1</v>
      </c>
      <c r="G55" s="16">
        <v>883125.55</v>
      </c>
      <c r="H55" s="16">
        <v>18621103.789999999</v>
      </c>
      <c r="I55" s="16">
        <v>6198513.0199999996</v>
      </c>
      <c r="J55" s="16">
        <v>45915175.310000032</v>
      </c>
      <c r="K55" s="16">
        <v>0</v>
      </c>
      <c r="L55" s="16">
        <v>0</v>
      </c>
      <c r="M55" s="16">
        <v>0</v>
      </c>
      <c r="N55" s="18">
        <f t="shared" si="1"/>
        <v>416624069.69420362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244379544.52999997</v>
      </c>
      <c r="C56" s="16">
        <v>0</v>
      </c>
      <c r="D56" s="16">
        <v>3916361.2831865437</v>
      </c>
      <c r="E56" s="16">
        <v>3718838.3899999997</v>
      </c>
      <c r="F56" s="16">
        <v>406443.11</v>
      </c>
      <c r="G56" s="16">
        <v>240072.97</v>
      </c>
      <c r="H56" s="16">
        <v>13642658.67</v>
      </c>
      <c r="I56" s="16">
        <v>1751568.84</v>
      </c>
      <c r="J56" s="16">
        <v>37903164.700000003</v>
      </c>
      <c r="K56" s="16">
        <v>0</v>
      </c>
      <c r="L56" s="16">
        <v>0</v>
      </c>
      <c r="M56" s="16">
        <v>0</v>
      </c>
      <c r="N56" s="18">
        <f t="shared" si="1"/>
        <v>305958652.49318653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630974491.83000004</v>
      </c>
      <c r="C57" s="16">
        <v>0</v>
      </c>
      <c r="D57" s="16">
        <v>9668230.5790216438</v>
      </c>
      <c r="E57" s="16">
        <v>9092675.0099999998</v>
      </c>
      <c r="F57" s="16">
        <v>2087460.27</v>
      </c>
      <c r="G57" s="16">
        <v>1106050.45</v>
      </c>
      <c r="H57" s="16">
        <v>35224591.479999997</v>
      </c>
      <c r="I57" s="16">
        <v>8995921.5</v>
      </c>
      <c r="J57" s="16">
        <v>80927382.76000002</v>
      </c>
      <c r="K57" s="16">
        <v>0</v>
      </c>
      <c r="L57" s="16">
        <v>0</v>
      </c>
      <c r="M57" s="16">
        <v>0</v>
      </c>
      <c r="N57" s="18">
        <f t="shared" si="1"/>
        <v>778076803.87902176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562196529.9799999</v>
      </c>
      <c r="C58" s="16">
        <v>0</v>
      </c>
      <c r="D58" s="16">
        <v>5059959.9219683846</v>
      </c>
      <c r="E58" s="16">
        <v>7897971.1200000001</v>
      </c>
      <c r="F58" s="16">
        <v>1215383.29</v>
      </c>
      <c r="G58" s="16">
        <v>694496.79</v>
      </c>
      <c r="H58" s="16">
        <v>31385013.75</v>
      </c>
      <c r="I58" s="16">
        <v>5237700.99</v>
      </c>
      <c r="J58" s="16">
        <v>45797893.600000024</v>
      </c>
      <c r="K58" s="16">
        <v>0</v>
      </c>
      <c r="L58" s="16">
        <v>0</v>
      </c>
      <c r="M58" s="16">
        <v>0</v>
      </c>
      <c r="N58" s="18">
        <f t="shared" si="1"/>
        <v>659484949.4419682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623539584.02999997</v>
      </c>
      <c r="C59" s="16">
        <v>0</v>
      </c>
      <c r="D59" s="16">
        <v>15206627.042895153</v>
      </c>
      <c r="E59" s="16">
        <v>9320630.1799999997</v>
      </c>
      <c r="F59" s="16">
        <v>1183814.8999999999</v>
      </c>
      <c r="G59" s="16">
        <v>634478.55000000005</v>
      </c>
      <c r="H59" s="16">
        <v>34809532.57</v>
      </c>
      <c r="I59" s="16">
        <v>5101656.8099999996</v>
      </c>
      <c r="J59" s="16">
        <v>51223729.949999973</v>
      </c>
      <c r="K59" s="16">
        <v>0</v>
      </c>
      <c r="L59" s="16">
        <v>0</v>
      </c>
      <c r="M59" s="16">
        <v>0</v>
      </c>
      <c r="N59" s="18">
        <f t="shared" si="1"/>
        <v>741020054.03289497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4346544344.7300005</v>
      </c>
      <c r="C60" s="16">
        <v>0</v>
      </c>
      <c r="D60" s="16">
        <v>142747560.38536161</v>
      </c>
      <c r="E60" s="16">
        <v>112827797.63</v>
      </c>
      <c r="F60" s="16">
        <v>65119684.710000001</v>
      </c>
      <c r="G60" s="16">
        <v>32641349.23</v>
      </c>
      <c r="H60" s="16">
        <v>242648872.30000001</v>
      </c>
      <c r="I60" s="16">
        <v>280633638.16000003</v>
      </c>
      <c r="J60" s="16">
        <v>856233334.46999979</v>
      </c>
      <c r="K60" s="16">
        <v>0</v>
      </c>
      <c r="L60" s="16">
        <v>0</v>
      </c>
      <c r="M60" s="16">
        <v>0</v>
      </c>
      <c r="N60" s="18">
        <f t="shared" si="1"/>
        <v>6079396581.6153622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924562186.45999992</v>
      </c>
      <c r="C61" s="16">
        <v>0</v>
      </c>
      <c r="D61" s="16">
        <v>9995584.3021623865</v>
      </c>
      <c r="E61" s="16">
        <v>11218881.599999998</v>
      </c>
      <c r="F61" s="16">
        <v>11625062.33</v>
      </c>
      <c r="G61" s="16">
        <v>2360563.7009314904</v>
      </c>
      <c r="H61" s="16">
        <v>51614329.490000002</v>
      </c>
      <c r="I61" s="16">
        <v>50098269.840000004</v>
      </c>
      <c r="J61" s="16">
        <v>212009015.79999995</v>
      </c>
      <c r="K61" s="16">
        <v>0</v>
      </c>
      <c r="L61" s="16">
        <v>0</v>
      </c>
      <c r="M61" s="16">
        <v>0</v>
      </c>
      <c r="N61" s="18">
        <f t="shared" si="1"/>
        <v>1273483893.5230939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4975270131.5299997</v>
      </c>
      <c r="C62" s="16">
        <v>0</v>
      </c>
      <c r="D62" s="16">
        <v>38064210.460000001</v>
      </c>
      <c r="E62" s="16">
        <v>100629359.63</v>
      </c>
      <c r="F62" s="16">
        <v>52125343.140000001</v>
      </c>
      <c r="G62" s="16">
        <v>0</v>
      </c>
      <c r="H62" s="16">
        <v>277747928.25</v>
      </c>
      <c r="I62" s="16">
        <v>224634451.94999999</v>
      </c>
      <c r="J62" s="16">
        <v>421594956.29999983</v>
      </c>
      <c r="K62" s="16">
        <v>0</v>
      </c>
      <c r="L62" s="16">
        <v>0</v>
      </c>
      <c r="M62" s="16">
        <v>0</v>
      </c>
      <c r="N62" s="18">
        <f t="shared" si="1"/>
        <v>6090066381.2600002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808986848.49000001</v>
      </c>
      <c r="C63" s="16">
        <v>0</v>
      </c>
      <c r="D63" s="16">
        <v>11668916.991586789</v>
      </c>
      <c r="E63" s="16">
        <v>11503951.26</v>
      </c>
      <c r="F63" s="16">
        <v>1836886.12</v>
      </c>
      <c r="G63" s="16">
        <v>1106050.45</v>
      </c>
      <c r="H63" s="16">
        <v>45162255.560000002</v>
      </c>
      <c r="I63" s="16">
        <v>7916070.8099999996</v>
      </c>
      <c r="J63" s="16">
        <v>56574615.610000029</v>
      </c>
      <c r="K63" s="16">
        <v>0</v>
      </c>
      <c r="L63" s="16">
        <v>0</v>
      </c>
      <c r="M63" s="16">
        <v>0</v>
      </c>
      <c r="N63" s="18">
        <f t="shared" si="1"/>
        <v>944755595.29158676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1225969702.3599999</v>
      </c>
      <c r="C64" s="16">
        <v>0</v>
      </c>
      <c r="D64" s="16">
        <v>35392275.451815054</v>
      </c>
      <c r="E64" s="16">
        <v>18445503.899999999</v>
      </c>
      <c r="F64" s="16">
        <v>3362034.32</v>
      </c>
      <c r="G64" s="16">
        <v>1723380.93</v>
      </c>
      <c r="H64" s="16">
        <v>68440614.469999999</v>
      </c>
      <c r="I64" s="16">
        <v>14488705.33</v>
      </c>
      <c r="J64" s="16">
        <v>119930406.17000002</v>
      </c>
      <c r="K64" s="16">
        <v>0</v>
      </c>
      <c r="L64" s="16">
        <v>0</v>
      </c>
      <c r="M64" s="16">
        <v>0</v>
      </c>
      <c r="N64" s="18">
        <f t="shared" si="1"/>
        <v>1487752622.9318151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677670574.91000009</v>
      </c>
      <c r="C65" s="16">
        <v>0</v>
      </c>
      <c r="D65" s="16">
        <v>14127411.938876145</v>
      </c>
      <c r="E65" s="16">
        <v>10273478.24</v>
      </c>
      <c r="F65" s="16">
        <v>731992.21</v>
      </c>
      <c r="G65" s="16">
        <v>574460.31000000006</v>
      </c>
      <c r="H65" s="16">
        <v>37831432.920000002</v>
      </c>
      <c r="I65" s="16">
        <v>3154524.46</v>
      </c>
      <c r="J65" s="16">
        <v>71533638.99000001</v>
      </c>
      <c r="K65" s="16">
        <v>0</v>
      </c>
      <c r="L65" s="16">
        <v>0</v>
      </c>
      <c r="M65" s="16">
        <v>0</v>
      </c>
      <c r="N65" s="18">
        <f t="shared" si="1"/>
        <v>815897513.97887623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388580290.47000003</v>
      </c>
      <c r="C66" s="16">
        <v>0</v>
      </c>
      <c r="D66" s="16">
        <v>9738929.2469805088</v>
      </c>
      <c r="E66" s="16">
        <v>5787552.0800000001</v>
      </c>
      <c r="F66" s="16">
        <v>716208.01</v>
      </c>
      <c r="G66" s="16">
        <v>523016.1</v>
      </c>
      <c r="H66" s="16">
        <v>21692765.98</v>
      </c>
      <c r="I66" s="16">
        <v>3086502.37</v>
      </c>
      <c r="J66" s="16">
        <v>31753966.520000007</v>
      </c>
      <c r="K66" s="16">
        <v>0</v>
      </c>
      <c r="L66" s="16">
        <v>0</v>
      </c>
      <c r="M66" s="16">
        <v>0</v>
      </c>
      <c r="N66" s="18">
        <f t="shared" si="1"/>
        <v>461879230.77698052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1732758949.46</v>
      </c>
      <c r="C67" s="16">
        <v>0</v>
      </c>
      <c r="D67" s="16">
        <v>11098967.530000001</v>
      </c>
      <c r="E67" s="16">
        <v>36614143.859999999</v>
      </c>
      <c r="F67" s="16">
        <v>19244884.25</v>
      </c>
      <c r="G67" s="16">
        <v>10628494.317899175</v>
      </c>
      <c r="H67" s="16">
        <v>96732477.969999999</v>
      </c>
      <c r="I67" s="16">
        <v>82935934.150000006</v>
      </c>
      <c r="J67" s="16">
        <v>204594121.08000001</v>
      </c>
      <c r="K67" s="16">
        <v>0</v>
      </c>
      <c r="L67" s="16">
        <v>0</v>
      </c>
      <c r="M67" s="16">
        <v>0</v>
      </c>
      <c r="N67" s="18">
        <f t="shared" si="1"/>
        <v>2194607972.6178994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1097874546.9100001</v>
      </c>
      <c r="C68" s="16">
        <v>0</v>
      </c>
      <c r="D68" s="16">
        <v>15077870.690000001</v>
      </c>
      <c r="E68" s="16">
        <v>16881244.800000001</v>
      </c>
      <c r="F68" s="16">
        <v>16971959.629999999</v>
      </c>
      <c r="G68" s="16">
        <v>10850040.447063291</v>
      </c>
      <c r="H68" s="16">
        <v>61289612.990000002</v>
      </c>
      <c r="I68" s="16">
        <v>73140753.079999998</v>
      </c>
      <c r="J68" s="16">
        <v>171826451.97000003</v>
      </c>
      <c r="K68" s="16">
        <v>0</v>
      </c>
      <c r="L68" s="16">
        <v>0</v>
      </c>
      <c r="M68" s="16">
        <v>0</v>
      </c>
      <c r="N68" s="18">
        <f t="shared" si="1"/>
        <v>1463912480.5170634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3786009020.21</v>
      </c>
      <c r="C69" s="16">
        <v>0</v>
      </c>
      <c r="D69" s="16">
        <v>13653674.453873511</v>
      </c>
      <c r="E69" s="16">
        <v>53920856.289999999</v>
      </c>
      <c r="F69" s="16">
        <v>50089181.509999998</v>
      </c>
      <c r="G69" s="16">
        <v>10778677.907314949</v>
      </c>
      <c r="H69" s="16">
        <v>211356596.50999999</v>
      </c>
      <c r="I69" s="16">
        <v>215859602.24000001</v>
      </c>
      <c r="J69" s="16">
        <v>401244708.31000012</v>
      </c>
      <c r="K69" s="16">
        <v>0</v>
      </c>
      <c r="L69" s="16">
        <v>0</v>
      </c>
      <c r="M69" s="16">
        <v>0</v>
      </c>
      <c r="N69" s="18">
        <f t="shared" si="1"/>
        <v>4742912317.4311886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792597637.54999995</v>
      </c>
      <c r="C70" s="16">
        <v>0</v>
      </c>
      <c r="D70" s="16">
        <v>34151731.632048316</v>
      </c>
      <c r="E70" s="16">
        <v>11678508.280000001</v>
      </c>
      <c r="F70" s="16">
        <v>11123914.02</v>
      </c>
      <c r="G70" s="16">
        <v>5075828.41</v>
      </c>
      <c r="H70" s="16">
        <v>44247316.420000002</v>
      </c>
      <c r="I70" s="16">
        <v>47938568.460000001</v>
      </c>
      <c r="J70" s="16">
        <v>170553534.30000001</v>
      </c>
      <c r="K70" s="16">
        <v>0</v>
      </c>
      <c r="L70" s="16">
        <v>0</v>
      </c>
      <c r="M70" s="16">
        <v>0</v>
      </c>
      <c r="N70" s="18">
        <f t="shared" si="1"/>
        <v>1117367039.0720482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3070738475.4700003</v>
      </c>
      <c r="C71" s="16">
        <v>0</v>
      </c>
      <c r="D71" s="16">
        <v>15141130.179999996</v>
      </c>
      <c r="E71" s="16">
        <v>43734218.609999999</v>
      </c>
      <c r="F71" s="16">
        <v>7004238.1600000001</v>
      </c>
      <c r="G71" s="16">
        <v>4930069.83</v>
      </c>
      <c r="H71" s="16">
        <v>171426119.03</v>
      </c>
      <c r="I71" s="16">
        <v>30184802.77</v>
      </c>
      <c r="J71" s="16">
        <v>142541626.86000001</v>
      </c>
      <c r="K71" s="16">
        <v>0</v>
      </c>
      <c r="L71" s="16">
        <v>0</v>
      </c>
      <c r="M71" s="16">
        <v>0</v>
      </c>
      <c r="N71" s="18">
        <f t="shared" si="1"/>
        <v>3485700680.9100003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14305876842.27</v>
      </c>
      <c r="C72" s="16">
        <v>0</v>
      </c>
      <c r="D72" s="16">
        <v>73169645.268514305</v>
      </c>
      <c r="E72" s="16">
        <v>302290356.53000003</v>
      </c>
      <c r="F72" s="16">
        <v>203803601.12</v>
      </c>
      <c r="G72" s="16">
        <v>0</v>
      </c>
      <c r="H72" s="16">
        <v>798635561.42999995</v>
      </c>
      <c r="I72" s="16">
        <v>878292733.04999995</v>
      </c>
      <c r="J72" s="16">
        <v>2088373792.22</v>
      </c>
      <c r="K72" s="16">
        <v>0</v>
      </c>
      <c r="L72" s="16">
        <v>0</v>
      </c>
      <c r="M72" s="16">
        <v>0</v>
      </c>
      <c r="N72" s="18">
        <f t="shared" ref="N72:N103" si="2">SUM(B72:M72)</f>
        <v>18650442531.888515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6190016567.1599998</v>
      </c>
      <c r="C73" s="16">
        <v>0</v>
      </c>
      <c r="D73" s="16">
        <v>111210456.62442216</v>
      </c>
      <c r="E73" s="16">
        <v>123313811.48</v>
      </c>
      <c r="F73" s="16">
        <v>75645772.209999993</v>
      </c>
      <c r="G73" s="16">
        <v>46004669.213607438</v>
      </c>
      <c r="H73" s="16">
        <v>345561996.01999998</v>
      </c>
      <c r="I73" s="16">
        <v>325995869.94</v>
      </c>
      <c r="J73" s="16">
        <v>909681184.27999997</v>
      </c>
      <c r="K73" s="16">
        <v>0</v>
      </c>
      <c r="L73" s="16">
        <v>0</v>
      </c>
      <c r="M73" s="16">
        <v>0</v>
      </c>
      <c r="N73" s="18">
        <f t="shared" si="2"/>
        <v>8127430326.9280281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3448257568.0500002</v>
      </c>
      <c r="C74" s="16">
        <v>0</v>
      </c>
      <c r="D74" s="16">
        <v>33459320.109999999</v>
      </c>
      <c r="E74" s="16">
        <v>72863519.75999999</v>
      </c>
      <c r="F74" s="16">
        <v>54921119.329999998</v>
      </c>
      <c r="G74" s="16">
        <v>77980144.939055234</v>
      </c>
      <c r="H74" s="16">
        <v>192501385.91</v>
      </c>
      <c r="I74" s="16">
        <v>236682864.78</v>
      </c>
      <c r="J74" s="16">
        <v>487997083.84999979</v>
      </c>
      <c r="K74" s="16">
        <v>0</v>
      </c>
      <c r="L74" s="16">
        <v>0</v>
      </c>
      <c r="M74" s="16">
        <v>0</v>
      </c>
      <c r="N74" s="18">
        <f t="shared" si="2"/>
        <v>4604663006.7290554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561548254.63</v>
      </c>
      <c r="C75" s="16">
        <v>0</v>
      </c>
      <c r="D75" s="16">
        <v>12505063.442963161</v>
      </c>
      <c r="E75" s="16">
        <v>8357547.8399999999</v>
      </c>
      <c r="F75" s="16">
        <v>998350.56</v>
      </c>
      <c r="G75" s="16">
        <v>565886.28</v>
      </c>
      <c r="H75" s="16">
        <v>31348823.329999998</v>
      </c>
      <c r="I75" s="16">
        <v>4302397.24</v>
      </c>
      <c r="J75" s="16">
        <v>54994922.790000021</v>
      </c>
      <c r="K75" s="16">
        <v>0</v>
      </c>
      <c r="L75" s="16">
        <v>0</v>
      </c>
      <c r="M75" s="16">
        <v>0</v>
      </c>
      <c r="N75" s="18">
        <f t="shared" si="2"/>
        <v>674621246.1129632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559481876.98000002</v>
      </c>
      <c r="C76" s="16">
        <v>0</v>
      </c>
      <c r="D76" s="16">
        <v>14400753.701014277</v>
      </c>
      <c r="E76" s="16">
        <v>8193375.2399999993</v>
      </c>
      <c r="F76" s="16">
        <v>1797425.62</v>
      </c>
      <c r="G76" s="16">
        <v>1328975.3400000001</v>
      </c>
      <c r="H76" s="16">
        <v>31233466.350000001</v>
      </c>
      <c r="I76" s="16">
        <v>7746015.5800000001</v>
      </c>
      <c r="J76" s="16">
        <v>81664439.989999995</v>
      </c>
      <c r="K76" s="16">
        <v>0</v>
      </c>
      <c r="L76" s="16">
        <v>0</v>
      </c>
      <c r="M76" s="16">
        <v>0</v>
      </c>
      <c r="N76" s="18">
        <f t="shared" si="2"/>
        <v>705846328.80101442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654677058.96999991</v>
      </c>
      <c r="C77" s="16">
        <v>0</v>
      </c>
      <c r="D77" s="16">
        <v>10000463.78268165</v>
      </c>
      <c r="E77" s="16">
        <v>10066584.689999999</v>
      </c>
      <c r="F77" s="16">
        <v>2111136.5699999998</v>
      </c>
      <c r="G77" s="16">
        <v>848829.41</v>
      </c>
      <c r="H77" s="16">
        <v>36547803.840000004</v>
      </c>
      <c r="I77" s="16">
        <v>9097954.6400000006</v>
      </c>
      <c r="J77" s="16">
        <v>55489946.37000002</v>
      </c>
      <c r="K77" s="16">
        <v>0</v>
      </c>
      <c r="L77" s="16">
        <v>0</v>
      </c>
      <c r="M77" s="16">
        <v>0</v>
      </c>
      <c r="N77" s="18">
        <f t="shared" si="2"/>
        <v>778839778.27268171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254184709.03</v>
      </c>
      <c r="C78" s="16">
        <v>0</v>
      </c>
      <c r="D78" s="16">
        <v>4563897.0493007144</v>
      </c>
      <c r="E78" s="16">
        <v>3908345.31</v>
      </c>
      <c r="F78" s="16">
        <v>749749.43</v>
      </c>
      <c r="G78" s="16">
        <v>300091.21000000002</v>
      </c>
      <c r="H78" s="16">
        <v>14190038.83</v>
      </c>
      <c r="I78" s="16">
        <v>3231049.31</v>
      </c>
      <c r="J78" s="16">
        <v>23796737.160000004</v>
      </c>
      <c r="K78" s="16">
        <v>0</v>
      </c>
      <c r="L78" s="16">
        <v>0</v>
      </c>
      <c r="M78" s="16">
        <v>0</v>
      </c>
      <c r="N78" s="18">
        <f t="shared" si="2"/>
        <v>304924617.32930076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1235308918.98</v>
      </c>
      <c r="C79" s="16">
        <v>0</v>
      </c>
      <c r="D79" s="16">
        <v>34222973.796552844</v>
      </c>
      <c r="E79" s="16">
        <v>17455051.039999999</v>
      </c>
      <c r="F79" s="16">
        <v>3768477.43</v>
      </c>
      <c r="G79" s="16">
        <v>2229248.96</v>
      </c>
      <c r="H79" s="16">
        <v>68961982.760000005</v>
      </c>
      <c r="I79" s="16">
        <v>16240274.17</v>
      </c>
      <c r="J79" s="16">
        <v>128908061.28000003</v>
      </c>
      <c r="K79" s="16">
        <v>0</v>
      </c>
      <c r="L79" s="16">
        <v>0</v>
      </c>
      <c r="M79" s="16">
        <v>0</v>
      </c>
      <c r="N79" s="18">
        <f t="shared" si="2"/>
        <v>1507094988.416553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656682660.78999996</v>
      </c>
      <c r="C80" s="16">
        <v>0</v>
      </c>
      <c r="D80" s="16">
        <v>21451982.470016416</v>
      </c>
      <c r="E80" s="16">
        <v>9861838.2300000004</v>
      </c>
      <c r="F80" s="16">
        <v>1219329.3400000001</v>
      </c>
      <c r="G80" s="16">
        <v>891699.59</v>
      </c>
      <c r="H80" s="16">
        <v>36659767.960000001</v>
      </c>
      <c r="I80" s="16">
        <v>5254706.51</v>
      </c>
      <c r="J80" s="16">
        <v>83311364.350000009</v>
      </c>
      <c r="K80" s="16">
        <v>0</v>
      </c>
      <c r="L80" s="16">
        <v>0</v>
      </c>
      <c r="M80" s="16">
        <v>0</v>
      </c>
      <c r="N80" s="18">
        <f t="shared" si="2"/>
        <v>815333349.24001646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366275567.02999997</v>
      </c>
      <c r="C81" s="16">
        <v>0</v>
      </c>
      <c r="D81" s="16">
        <v>18310614.949380651</v>
      </c>
      <c r="E81" s="16">
        <v>5318119.04</v>
      </c>
      <c r="F81" s="16">
        <v>3166704.86</v>
      </c>
      <c r="G81" s="16">
        <v>2040620.21</v>
      </c>
      <c r="H81" s="16">
        <v>20447589.23</v>
      </c>
      <c r="I81" s="16">
        <v>13646931.960000001</v>
      </c>
      <c r="J81" s="16">
        <v>97404843.600000039</v>
      </c>
      <c r="K81" s="16">
        <v>0</v>
      </c>
      <c r="L81" s="16">
        <v>0</v>
      </c>
      <c r="M81" s="16">
        <v>0</v>
      </c>
      <c r="N81" s="18">
        <f t="shared" si="2"/>
        <v>526610990.87938064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5871429754.7399998</v>
      </c>
      <c r="C82" s="16">
        <v>0</v>
      </c>
      <c r="D82" s="16">
        <v>48152139.089999996</v>
      </c>
      <c r="E82" s="16">
        <v>116808824.23999999</v>
      </c>
      <c r="F82" s="16">
        <v>91266209.840000004</v>
      </c>
      <c r="G82" s="16">
        <v>77137955.833679035</v>
      </c>
      <c r="H82" s="16">
        <v>327776664.81</v>
      </c>
      <c r="I82" s="16">
        <v>393312231.5</v>
      </c>
      <c r="J82" s="16">
        <v>808543494.68000042</v>
      </c>
      <c r="K82" s="16">
        <v>0</v>
      </c>
      <c r="L82" s="16">
        <v>0</v>
      </c>
      <c r="M82" s="16">
        <v>0</v>
      </c>
      <c r="N82" s="18">
        <f t="shared" si="2"/>
        <v>7734427274.7336798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1644411175.7499998</v>
      </c>
      <c r="C83" s="16">
        <v>0</v>
      </c>
      <c r="D83" s="16">
        <v>20352301.492113881</v>
      </c>
      <c r="E83" s="16">
        <v>34747165.960000001</v>
      </c>
      <c r="F83" s="16">
        <v>10105833.210000001</v>
      </c>
      <c r="G83" s="16">
        <v>5427363.8300000001</v>
      </c>
      <c r="H83" s="16">
        <v>91800401.829999998</v>
      </c>
      <c r="I83" s="16">
        <v>43551143.600000001</v>
      </c>
      <c r="J83" s="16">
        <v>174994303.66999993</v>
      </c>
      <c r="K83" s="16">
        <v>0</v>
      </c>
      <c r="L83" s="16">
        <v>0</v>
      </c>
      <c r="M83" s="16">
        <v>0</v>
      </c>
      <c r="N83" s="18">
        <f t="shared" si="2"/>
        <v>2025389689.3421133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631703801.59000003</v>
      </c>
      <c r="C84" s="16">
        <v>0</v>
      </c>
      <c r="D84" s="16">
        <v>8545056.9076210223</v>
      </c>
      <c r="E84" s="16">
        <v>8927022.3299999982</v>
      </c>
      <c r="F84" s="16">
        <v>2028269.53</v>
      </c>
      <c r="G84" s="16">
        <v>524642.45932367025</v>
      </c>
      <c r="H84" s="16">
        <v>35265305.710000001</v>
      </c>
      <c r="I84" s="16">
        <v>8740838.6600000001</v>
      </c>
      <c r="J84" s="16">
        <v>71960434.919999972</v>
      </c>
      <c r="K84" s="16">
        <v>0</v>
      </c>
      <c r="L84" s="16">
        <v>0</v>
      </c>
      <c r="M84" s="16">
        <v>0</v>
      </c>
      <c r="N84" s="18">
        <f t="shared" si="2"/>
        <v>767695372.10694468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521922424.44999993</v>
      </c>
      <c r="C85" s="16">
        <v>0</v>
      </c>
      <c r="D85" s="16">
        <v>8425631.9755508937</v>
      </c>
      <c r="E85" s="16">
        <v>7838007.7300000004</v>
      </c>
      <c r="F85" s="16">
        <v>958890.07</v>
      </c>
      <c r="G85" s="16">
        <v>557312.24</v>
      </c>
      <c r="H85" s="16">
        <v>29136683.699999999</v>
      </c>
      <c r="I85" s="16">
        <v>4132342.01</v>
      </c>
      <c r="J85" s="16">
        <v>42421125.940000013</v>
      </c>
      <c r="K85" s="16">
        <v>0</v>
      </c>
      <c r="L85" s="16">
        <v>0</v>
      </c>
      <c r="M85" s="16">
        <v>0</v>
      </c>
      <c r="N85" s="18">
        <f t="shared" si="2"/>
        <v>615392418.11555099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6710156234.5500011</v>
      </c>
      <c r="C86" s="16">
        <v>0</v>
      </c>
      <c r="D86" s="16">
        <v>50422479.730000012</v>
      </c>
      <c r="E86" s="16">
        <v>136983558.38999999</v>
      </c>
      <c r="F86" s="16">
        <v>57263099.810000002</v>
      </c>
      <c r="G86" s="16">
        <v>24567653.134747449</v>
      </c>
      <c r="H86" s="16">
        <v>374599156.05000001</v>
      </c>
      <c r="I86" s="16">
        <v>246775642.49000001</v>
      </c>
      <c r="J86" s="16">
        <v>356960769.90999985</v>
      </c>
      <c r="K86" s="16">
        <v>0</v>
      </c>
      <c r="L86" s="16">
        <v>0</v>
      </c>
      <c r="M86" s="16">
        <v>0</v>
      </c>
      <c r="N86" s="18">
        <f t="shared" si="2"/>
        <v>7957728594.0647488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992995752.04999995</v>
      </c>
      <c r="C87" s="16">
        <v>0</v>
      </c>
      <c r="D87" s="16">
        <v>9588197.0952280685</v>
      </c>
      <c r="E87" s="16">
        <v>14022255.050000001</v>
      </c>
      <c r="F87" s="16">
        <v>1625772.46</v>
      </c>
      <c r="G87" s="16">
        <v>1620492.52</v>
      </c>
      <c r="H87" s="16">
        <v>55434681.060000002</v>
      </c>
      <c r="I87" s="16">
        <v>7006275.3499999996</v>
      </c>
      <c r="J87" s="16">
        <v>80715727.880000025</v>
      </c>
      <c r="K87" s="16">
        <v>0</v>
      </c>
      <c r="L87" s="16">
        <v>0</v>
      </c>
      <c r="M87" s="16">
        <v>0</v>
      </c>
      <c r="N87" s="18">
        <f t="shared" si="2"/>
        <v>1163009153.4652281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795778238.43000007</v>
      </c>
      <c r="C88" s="16">
        <v>0</v>
      </c>
      <c r="D88" s="16">
        <v>5082699.7365292506</v>
      </c>
      <c r="E88" s="16">
        <v>11331575.65</v>
      </c>
      <c r="F88" s="16">
        <v>7978912.4299999997</v>
      </c>
      <c r="G88" s="16">
        <v>3275281.17</v>
      </c>
      <c r="H88" s="16">
        <v>44424875.68</v>
      </c>
      <c r="I88" s="16">
        <v>34385166.880000003</v>
      </c>
      <c r="J88" s="16">
        <v>122869172.70000002</v>
      </c>
      <c r="K88" s="16">
        <v>0</v>
      </c>
      <c r="L88" s="16">
        <v>0</v>
      </c>
      <c r="M88" s="16">
        <v>0</v>
      </c>
      <c r="N88" s="18">
        <f t="shared" si="2"/>
        <v>1025125922.6765292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1328295913.0699999</v>
      </c>
      <c r="C89" s="16">
        <v>0</v>
      </c>
      <c r="D89" s="16">
        <v>12659473.175385498</v>
      </c>
      <c r="E89" s="16">
        <v>19502749.060000002</v>
      </c>
      <c r="F89" s="16">
        <v>6710257.46</v>
      </c>
      <c r="G89" s="16">
        <v>3566798.34</v>
      </c>
      <c r="H89" s="16">
        <v>74153046.609999999</v>
      </c>
      <c r="I89" s="16">
        <v>28917891.329999998</v>
      </c>
      <c r="J89" s="16">
        <v>126179704.77999997</v>
      </c>
      <c r="K89" s="16">
        <v>0</v>
      </c>
      <c r="L89" s="16">
        <v>0</v>
      </c>
      <c r="M89" s="16">
        <v>0</v>
      </c>
      <c r="N89" s="18">
        <f t="shared" si="2"/>
        <v>1599985833.8253851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6218398871.8999996</v>
      </c>
      <c r="C90" s="16">
        <v>0</v>
      </c>
      <c r="D90" s="16">
        <v>22507118.78116966</v>
      </c>
      <c r="E90" s="16">
        <v>131397720.66</v>
      </c>
      <c r="F90" s="16">
        <v>91023527.780000001</v>
      </c>
      <c r="G90" s="16">
        <v>27204524.676351849</v>
      </c>
      <c r="H90" s="16">
        <v>347146457.99000001</v>
      </c>
      <c r="I90" s="16">
        <v>392266391.85000002</v>
      </c>
      <c r="J90" s="16">
        <v>735548938.5800004</v>
      </c>
      <c r="K90" s="16">
        <v>0</v>
      </c>
      <c r="L90" s="16">
        <v>0</v>
      </c>
      <c r="M90" s="16">
        <v>0</v>
      </c>
      <c r="N90" s="18">
        <f t="shared" si="2"/>
        <v>7965493552.2175217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270776505.99000001</v>
      </c>
      <c r="C91" s="16">
        <v>0</v>
      </c>
      <c r="D91" s="16">
        <v>9222722.8675291594</v>
      </c>
      <c r="E91" s="16">
        <v>3886398.6100000003</v>
      </c>
      <c r="F91" s="16">
        <v>2113109.59</v>
      </c>
      <c r="G91" s="16">
        <v>1217512.8999999999</v>
      </c>
      <c r="H91" s="16">
        <v>15116287.48</v>
      </c>
      <c r="I91" s="16">
        <v>9106457.4000000004</v>
      </c>
      <c r="J91" s="16">
        <v>56726260.150000028</v>
      </c>
      <c r="K91" s="16">
        <v>0</v>
      </c>
      <c r="L91" s="16">
        <v>0</v>
      </c>
      <c r="M91" s="16">
        <v>0</v>
      </c>
      <c r="N91" s="18">
        <f t="shared" si="2"/>
        <v>368165254.98752916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403652692.11000001</v>
      </c>
      <c r="C92" s="16">
        <v>0</v>
      </c>
      <c r="D92" s="16">
        <v>541597.19999999984</v>
      </c>
      <c r="E92" s="16">
        <v>5094763.6900000004</v>
      </c>
      <c r="F92" s="16">
        <v>451822.68</v>
      </c>
      <c r="G92" s="16">
        <v>411553.65</v>
      </c>
      <c r="H92" s="16">
        <v>22534193.329999998</v>
      </c>
      <c r="I92" s="16">
        <v>1947132.35</v>
      </c>
      <c r="J92" s="16">
        <v>22057431.659999989</v>
      </c>
      <c r="K92" s="16">
        <v>0</v>
      </c>
      <c r="L92" s="16">
        <v>0</v>
      </c>
      <c r="M92" s="16">
        <v>0</v>
      </c>
      <c r="N92" s="18">
        <f t="shared" si="2"/>
        <v>456691186.66999996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4184597061.3099995</v>
      </c>
      <c r="C93" s="16">
        <v>0</v>
      </c>
      <c r="D93" s="16">
        <v>19643220.930262003</v>
      </c>
      <c r="E93" s="16">
        <v>77897193.079999998</v>
      </c>
      <c r="F93" s="16">
        <v>73771398.609999999</v>
      </c>
      <c r="G93" s="16">
        <v>17225305.96656318</v>
      </c>
      <c r="H93" s="16">
        <v>233608052.15000001</v>
      </c>
      <c r="I93" s="16">
        <v>317918246.66000003</v>
      </c>
      <c r="J93" s="16">
        <v>759332229.47999954</v>
      </c>
      <c r="K93" s="16">
        <v>0</v>
      </c>
      <c r="L93" s="16">
        <v>0</v>
      </c>
      <c r="M93" s="16">
        <v>0</v>
      </c>
      <c r="N93" s="18">
        <f t="shared" si="2"/>
        <v>5683992708.1868238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2369162747.3299999</v>
      </c>
      <c r="C94" s="16">
        <v>0</v>
      </c>
      <c r="D94" s="16">
        <v>34253737.329999998</v>
      </c>
      <c r="E94" s="16">
        <v>50061554.609999999</v>
      </c>
      <c r="F94" s="16">
        <v>33357930.899999999</v>
      </c>
      <c r="G94" s="16">
        <v>19301873.012754392</v>
      </c>
      <c r="H94" s="16">
        <v>132260164.25</v>
      </c>
      <c r="I94" s="16">
        <v>143756186.05000001</v>
      </c>
      <c r="J94" s="16">
        <v>358622136.6000002</v>
      </c>
      <c r="K94" s="16">
        <v>0</v>
      </c>
      <c r="L94" s="16">
        <v>0</v>
      </c>
      <c r="M94" s="16">
        <v>0</v>
      </c>
      <c r="N94" s="18">
        <f t="shared" si="2"/>
        <v>3140776330.0827551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441070334.38000005</v>
      </c>
      <c r="C95" s="16">
        <v>0</v>
      </c>
      <c r="D95" s="16">
        <v>10764694.599472905</v>
      </c>
      <c r="E95" s="16">
        <v>6507932.54</v>
      </c>
      <c r="F95" s="16">
        <v>1635637.58</v>
      </c>
      <c r="G95" s="16">
        <v>977439.93</v>
      </c>
      <c r="H95" s="16">
        <v>24623059.329999998</v>
      </c>
      <c r="I95" s="16">
        <v>7048789.1500000004</v>
      </c>
      <c r="J95" s="16">
        <v>57320138.969999969</v>
      </c>
      <c r="K95" s="16">
        <v>0</v>
      </c>
      <c r="L95" s="16">
        <v>0</v>
      </c>
      <c r="M95" s="16">
        <v>0</v>
      </c>
      <c r="N95" s="18">
        <f t="shared" si="2"/>
        <v>549948026.47947288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1375741564.53</v>
      </c>
      <c r="C96" s="16">
        <v>0</v>
      </c>
      <c r="D96" s="16">
        <v>27958154.811921932</v>
      </c>
      <c r="E96" s="16">
        <v>19968915.93</v>
      </c>
      <c r="F96" s="16">
        <v>9166673.3800000008</v>
      </c>
      <c r="G96" s="16">
        <v>4998662.0999999996</v>
      </c>
      <c r="H96" s="16">
        <v>76801733.230000004</v>
      </c>
      <c r="I96" s="16">
        <v>39503829.200000003</v>
      </c>
      <c r="J96" s="16">
        <v>194244942.06000003</v>
      </c>
      <c r="K96" s="16">
        <v>0</v>
      </c>
      <c r="L96" s="16">
        <v>0</v>
      </c>
      <c r="M96" s="16">
        <v>0</v>
      </c>
      <c r="N96" s="18">
        <f t="shared" si="2"/>
        <v>1748384475.2419219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715392096.27999997</v>
      </c>
      <c r="C97" s="16">
        <v>0</v>
      </c>
      <c r="D97" s="16">
        <v>33643400.536632784</v>
      </c>
      <c r="E97" s="16">
        <v>10406320.030000001</v>
      </c>
      <c r="F97" s="16">
        <v>4232138.2699999996</v>
      </c>
      <c r="G97" s="16">
        <v>2572210.34</v>
      </c>
      <c r="H97" s="16">
        <v>39937263.18</v>
      </c>
      <c r="I97" s="16">
        <v>18238423.079999998</v>
      </c>
      <c r="J97" s="16">
        <v>132011918.57000001</v>
      </c>
      <c r="K97" s="16">
        <v>0</v>
      </c>
      <c r="L97" s="16">
        <v>0</v>
      </c>
      <c r="M97" s="16">
        <v>0</v>
      </c>
      <c r="N97" s="18">
        <f t="shared" si="2"/>
        <v>956433770.28663278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2013907860.9699998</v>
      </c>
      <c r="C98" s="16">
        <v>0</v>
      </c>
      <c r="D98" s="16">
        <v>38929613.216571972</v>
      </c>
      <c r="E98" s="16">
        <v>40014276.210000001</v>
      </c>
      <c r="F98" s="16">
        <v>9841447.8800000008</v>
      </c>
      <c r="G98" s="16">
        <v>6156156.7599999998</v>
      </c>
      <c r="H98" s="16">
        <v>112427812.22</v>
      </c>
      <c r="I98" s="16">
        <v>42411773.579999998</v>
      </c>
      <c r="J98" s="16">
        <v>254523768.02999997</v>
      </c>
      <c r="K98" s="16">
        <v>0</v>
      </c>
      <c r="L98" s="16">
        <v>0</v>
      </c>
      <c r="M98" s="16">
        <v>0</v>
      </c>
      <c r="N98" s="18">
        <f t="shared" si="2"/>
        <v>2518212708.8665714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1422964371.3300002</v>
      </c>
      <c r="C99" s="16">
        <v>0</v>
      </c>
      <c r="D99" s="16">
        <v>21731501.03870951</v>
      </c>
      <c r="E99" s="16">
        <v>20725537.629999999</v>
      </c>
      <c r="F99" s="16">
        <v>3648122.92</v>
      </c>
      <c r="G99" s="16">
        <v>1843417.41</v>
      </c>
      <c r="H99" s="16">
        <v>79437979.379999995</v>
      </c>
      <c r="I99" s="16">
        <v>15721605.73</v>
      </c>
      <c r="J99" s="16">
        <v>166896884.13</v>
      </c>
      <c r="K99" s="16">
        <v>0</v>
      </c>
      <c r="L99" s="16">
        <v>0</v>
      </c>
      <c r="M99" s="16">
        <v>0</v>
      </c>
      <c r="N99" s="18">
        <f t="shared" si="2"/>
        <v>1732969419.5687099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1552457370.51</v>
      </c>
      <c r="C100" s="16">
        <v>0</v>
      </c>
      <c r="D100" s="16">
        <v>31287851.673249803</v>
      </c>
      <c r="E100" s="16">
        <v>23160365.43</v>
      </c>
      <c r="F100" s="16">
        <v>4095999.55</v>
      </c>
      <c r="G100" s="16">
        <v>2194952.83</v>
      </c>
      <c r="H100" s="16">
        <v>86667016.459999993</v>
      </c>
      <c r="I100" s="16">
        <v>17651732.550000001</v>
      </c>
      <c r="J100" s="16">
        <v>129063191.96000004</v>
      </c>
      <c r="K100" s="16">
        <v>0</v>
      </c>
      <c r="L100" s="16">
        <v>0</v>
      </c>
      <c r="M100" s="16">
        <v>0</v>
      </c>
      <c r="N100" s="18">
        <f t="shared" si="2"/>
        <v>1846578480.9632497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318141123.04000002</v>
      </c>
      <c r="C101" s="16">
        <v>0</v>
      </c>
      <c r="D101" s="16">
        <v>5553485.810043755</v>
      </c>
      <c r="E101" s="16">
        <v>4614922.4000000004</v>
      </c>
      <c r="F101" s="16">
        <v>489310.15</v>
      </c>
      <c r="G101" s="16">
        <v>351535.41</v>
      </c>
      <c r="H101" s="16">
        <v>17760450.289999999</v>
      </c>
      <c r="I101" s="16">
        <v>2108684.81</v>
      </c>
      <c r="J101" s="16">
        <v>29786322.670000017</v>
      </c>
      <c r="K101" s="16">
        <v>0</v>
      </c>
      <c r="L101" s="16">
        <v>0</v>
      </c>
      <c r="M101" s="16">
        <v>0</v>
      </c>
      <c r="N101" s="18">
        <f t="shared" si="2"/>
        <v>378805834.58004379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873834641.07000005</v>
      </c>
      <c r="C102" s="16">
        <v>0</v>
      </c>
      <c r="D102" s="16">
        <v>29203703.668552928</v>
      </c>
      <c r="E102" s="16">
        <v>17806296.289999999</v>
      </c>
      <c r="F102" s="16">
        <v>9474465.2599999998</v>
      </c>
      <c r="G102" s="16">
        <v>5641714.6900000004</v>
      </c>
      <c r="H102" s="16">
        <v>48782428.850000001</v>
      </c>
      <c r="I102" s="16">
        <v>40830259.969999999</v>
      </c>
      <c r="J102" s="16">
        <v>191837304.98000011</v>
      </c>
      <c r="K102" s="16">
        <v>162475388.40000001</v>
      </c>
      <c r="L102" s="16">
        <v>0</v>
      </c>
      <c r="M102" s="16">
        <v>0</v>
      </c>
      <c r="N102" s="18">
        <f t="shared" si="2"/>
        <v>1379886203.1785531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319478190.94999999</v>
      </c>
      <c r="C103" s="16">
        <v>0</v>
      </c>
      <c r="D103" s="16">
        <v>10115658.091562539</v>
      </c>
      <c r="E103" s="16">
        <v>4612199.99</v>
      </c>
      <c r="F103" s="16">
        <v>234789.95</v>
      </c>
      <c r="G103" s="16">
        <v>222924.9</v>
      </c>
      <c r="H103" s="16">
        <v>17835093.039999999</v>
      </c>
      <c r="I103" s="16">
        <v>1011828.6</v>
      </c>
      <c r="J103" s="16">
        <v>42105884.579999983</v>
      </c>
      <c r="K103" s="16">
        <v>0</v>
      </c>
      <c r="L103" s="16">
        <v>0</v>
      </c>
      <c r="M103" s="16">
        <v>0</v>
      </c>
      <c r="N103" s="18">
        <f t="shared" si="2"/>
        <v>395616570.10156256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4729128088.3800001</v>
      </c>
      <c r="C104" s="16">
        <v>0</v>
      </c>
      <c r="D104" s="16">
        <v>29432304.157174513</v>
      </c>
      <c r="E104" s="16">
        <v>90025296.519999996</v>
      </c>
      <c r="F104" s="16">
        <v>48116156.670000002</v>
      </c>
      <c r="G104" s="16">
        <v>10935343.037056815</v>
      </c>
      <c r="H104" s="16">
        <v>264006876.87</v>
      </c>
      <c r="I104" s="16">
        <v>207356840.90000001</v>
      </c>
      <c r="J104" s="16">
        <v>465877151.68999988</v>
      </c>
      <c r="K104" s="16">
        <v>0</v>
      </c>
      <c r="L104" s="16">
        <v>0</v>
      </c>
      <c r="M104" s="16">
        <v>0</v>
      </c>
      <c r="N104" s="18">
        <f t="shared" ref="N104:N135" si="3">SUM(B104:M104)</f>
        <v>5844878058.2242308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840792857.35000002</v>
      </c>
      <c r="C105" s="16">
        <v>0</v>
      </c>
      <c r="D105" s="16">
        <v>8119636.7799999984</v>
      </c>
      <c r="E105" s="16">
        <v>15996955.51</v>
      </c>
      <c r="F105" s="16">
        <v>2073649.1</v>
      </c>
      <c r="G105" s="16">
        <v>1929157.76</v>
      </c>
      <c r="H105" s="16">
        <v>46937848.210000001</v>
      </c>
      <c r="I105" s="16">
        <v>8936402.1699999999</v>
      </c>
      <c r="J105" s="16">
        <v>60837345.910000011</v>
      </c>
      <c r="K105" s="16">
        <v>0</v>
      </c>
      <c r="L105" s="16">
        <v>0</v>
      </c>
      <c r="M105" s="16">
        <v>0</v>
      </c>
      <c r="N105" s="18">
        <f t="shared" si="3"/>
        <v>985623852.78999996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863381201.26000011</v>
      </c>
      <c r="C106" s="16">
        <v>0</v>
      </c>
      <c r="D106" s="16">
        <v>5969202.7999999989</v>
      </c>
      <c r="E106" s="16">
        <v>11749495.050000001</v>
      </c>
      <c r="F106" s="16">
        <v>14693115.949999999</v>
      </c>
      <c r="G106" s="16">
        <v>4636629.9521018481</v>
      </c>
      <c r="H106" s="16">
        <v>48198858.280000001</v>
      </c>
      <c r="I106" s="16">
        <v>63320063.729999997</v>
      </c>
      <c r="J106" s="16">
        <v>159892101.95999998</v>
      </c>
      <c r="K106" s="16">
        <v>0</v>
      </c>
      <c r="L106" s="16">
        <v>0</v>
      </c>
      <c r="M106" s="16">
        <v>0</v>
      </c>
      <c r="N106" s="18">
        <f t="shared" si="3"/>
        <v>1171840668.9821019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1196635243.23</v>
      </c>
      <c r="C107" s="16">
        <v>0</v>
      </c>
      <c r="D107" s="16">
        <v>15262502.060730074</v>
      </c>
      <c r="E107" s="16">
        <v>17527289.859999999</v>
      </c>
      <c r="F107" s="16">
        <v>816832.28</v>
      </c>
      <c r="G107" s="16">
        <v>814533.28</v>
      </c>
      <c r="H107" s="16">
        <v>66802997.810000002</v>
      </c>
      <c r="I107" s="16">
        <v>3520143.2</v>
      </c>
      <c r="J107" s="16">
        <v>74077482.279999971</v>
      </c>
      <c r="K107" s="16">
        <v>0</v>
      </c>
      <c r="L107" s="16">
        <v>0</v>
      </c>
      <c r="M107" s="16">
        <v>0</v>
      </c>
      <c r="N107" s="18">
        <f t="shared" si="3"/>
        <v>1375457024.0007298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424296209.94999993</v>
      </c>
      <c r="C108" s="16">
        <v>0</v>
      </c>
      <c r="D108" s="16">
        <v>6353515.304587164</v>
      </c>
      <c r="E108" s="16">
        <v>6072289.8599999994</v>
      </c>
      <c r="F108" s="16">
        <v>828670.43</v>
      </c>
      <c r="G108" s="16">
        <v>600182.41</v>
      </c>
      <c r="H108" s="16">
        <v>23686632.120000001</v>
      </c>
      <c r="I108" s="16">
        <v>3571159.76</v>
      </c>
      <c r="J108" s="16">
        <v>39517469.339999989</v>
      </c>
      <c r="K108" s="16">
        <v>0</v>
      </c>
      <c r="L108" s="16">
        <v>0</v>
      </c>
      <c r="M108" s="16">
        <v>0</v>
      </c>
      <c r="N108" s="18">
        <f t="shared" si="3"/>
        <v>504926129.17458713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4078583784.6300001</v>
      </c>
      <c r="C109" s="16">
        <v>0</v>
      </c>
      <c r="D109" s="16">
        <v>50146265.919269279</v>
      </c>
      <c r="E109" s="16">
        <v>85426168.680000007</v>
      </c>
      <c r="F109" s="16">
        <v>84607251.010000005</v>
      </c>
      <c r="G109" s="16">
        <v>51100481.571161658</v>
      </c>
      <c r="H109" s="16">
        <v>227689786.97</v>
      </c>
      <c r="I109" s="16">
        <v>364615411.95999998</v>
      </c>
      <c r="J109" s="16">
        <v>721026920.36999953</v>
      </c>
      <c r="K109" s="16">
        <v>0</v>
      </c>
      <c r="L109" s="16">
        <v>0</v>
      </c>
      <c r="M109" s="16">
        <v>0</v>
      </c>
      <c r="N109" s="18">
        <f t="shared" si="3"/>
        <v>5663196071.1104307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467487554.52000004</v>
      </c>
      <c r="C110" s="16">
        <v>0</v>
      </c>
      <c r="D110" s="16">
        <v>10989735.770829769</v>
      </c>
      <c r="E110" s="16">
        <v>9439489.0599999987</v>
      </c>
      <c r="F110" s="16">
        <v>3233787.7</v>
      </c>
      <c r="G110" s="16">
        <v>1946305.83</v>
      </c>
      <c r="H110" s="16">
        <v>26097819.079999998</v>
      </c>
      <c r="I110" s="16">
        <v>13936025.84</v>
      </c>
      <c r="J110" s="16">
        <v>83545180.789999992</v>
      </c>
      <c r="K110" s="16">
        <v>0</v>
      </c>
      <c r="L110" s="16">
        <v>0</v>
      </c>
      <c r="M110" s="16">
        <v>0</v>
      </c>
      <c r="N110" s="18">
        <f t="shared" si="3"/>
        <v>616675898.59082973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538048273.56000006</v>
      </c>
      <c r="C111" s="16">
        <v>0</v>
      </c>
      <c r="D111" s="16">
        <v>14324556.934339527</v>
      </c>
      <c r="E111" s="16">
        <v>8096366.9299999997</v>
      </c>
      <c r="F111" s="16">
        <v>1126597.18</v>
      </c>
      <c r="G111" s="16">
        <v>814533.28</v>
      </c>
      <c r="H111" s="16">
        <v>30036920.48</v>
      </c>
      <c r="I111" s="16">
        <v>4855076.7300000004</v>
      </c>
      <c r="J111" s="16">
        <v>65086380.870000005</v>
      </c>
      <c r="K111" s="16">
        <v>0</v>
      </c>
      <c r="L111" s="16">
        <v>0</v>
      </c>
      <c r="M111" s="16">
        <v>0</v>
      </c>
      <c r="N111" s="18">
        <f t="shared" si="3"/>
        <v>662388705.96433949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788302813.40999985</v>
      </c>
      <c r="C112" s="16">
        <v>0</v>
      </c>
      <c r="D112" s="16">
        <v>16724507.602579903</v>
      </c>
      <c r="E112" s="16">
        <v>11403519.030000001</v>
      </c>
      <c r="F112" s="16">
        <v>1369279.23</v>
      </c>
      <c r="G112" s="16">
        <v>968865.9</v>
      </c>
      <c r="H112" s="16">
        <v>44007554.869999997</v>
      </c>
      <c r="I112" s="16">
        <v>5900916.3700000001</v>
      </c>
      <c r="J112" s="16">
        <v>68274900.099999994</v>
      </c>
      <c r="K112" s="16">
        <v>0</v>
      </c>
      <c r="L112" s="16">
        <v>0</v>
      </c>
      <c r="M112" s="16">
        <v>0</v>
      </c>
      <c r="N112" s="18">
        <f t="shared" si="3"/>
        <v>936952356.5125798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623904238.88999999</v>
      </c>
      <c r="C113" s="16">
        <v>0</v>
      </c>
      <c r="D113" s="16">
        <v>22498868.936006896</v>
      </c>
      <c r="E113" s="16">
        <v>9048724.6500000004</v>
      </c>
      <c r="F113" s="16">
        <v>1929618.28</v>
      </c>
      <c r="G113" s="16">
        <v>1251809.03</v>
      </c>
      <c r="H113" s="16">
        <v>34829889.68</v>
      </c>
      <c r="I113" s="16">
        <v>8315700.5899999999</v>
      </c>
      <c r="J113" s="16">
        <v>66676531.87000002</v>
      </c>
      <c r="K113" s="16">
        <v>0</v>
      </c>
      <c r="L113" s="16">
        <v>0</v>
      </c>
      <c r="M113" s="16">
        <v>0</v>
      </c>
      <c r="N113" s="18">
        <f t="shared" si="3"/>
        <v>768455381.92600679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386372102.57999992</v>
      </c>
      <c r="C114" s="16">
        <v>0</v>
      </c>
      <c r="D114" s="16">
        <v>7263984.1786868889</v>
      </c>
      <c r="E114" s="16">
        <v>5894710.5899999999</v>
      </c>
      <c r="F114" s="16">
        <v>1168030.7</v>
      </c>
      <c r="G114" s="16">
        <v>685922.76</v>
      </c>
      <c r="H114" s="16">
        <v>21569492.350000001</v>
      </c>
      <c r="I114" s="16">
        <v>5033634.72</v>
      </c>
      <c r="J114" s="16">
        <v>50934385.230000027</v>
      </c>
      <c r="K114" s="16">
        <v>0</v>
      </c>
      <c r="L114" s="16">
        <v>0</v>
      </c>
      <c r="M114" s="16">
        <v>0</v>
      </c>
      <c r="N114" s="18">
        <f t="shared" si="3"/>
        <v>478922263.10868686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1006832378.8099999</v>
      </c>
      <c r="C115" s="16">
        <v>0</v>
      </c>
      <c r="D115" s="16">
        <v>9644088.7707327679</v>
      </c>
      <c r="E115" s="16">
        <v>15481475.15</v>
      </c>
      <c r="F115" s="16">
        <v>1209464.22</v>
      </c>
      <c r="G115" s="16">
        <v>1106050.45</v>
      </c>
      <c r="H115" s="16">
        <v>56207120.409999996</v>
      </c>
      <c r="I115" s="16">
        <v>5212192.7</v>
      </c>
      <c r="J115" s="16">
        <v>68247260.459999993</v>
      </c>
      <c r="K115" s="16">
        <v>0</v>
      </c>
      <c r="L115" s="16">
        <v>0</v>
      </c>
      <c r="M115" s="16">
        <v>0</v>
      </c>
      <c r="N115" s="18">
        <f t="shared" si="3"/>
        <v>1163940030.9707329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605691753.54999995</v>
      </c>
      <c r="C116" s="16">
        <v>0</v>
      </c>
      <c r="D116" s="16">
        <v>12828954.043864017</v>
      </c>
      <c r="E116" s="16">
        <v>8953373.8900000006</v>
      </c>
      <c r="F116" s="16">
        <v>3338358.02</v>
      </c>
      <c r="G116" s="16">
        <v>1740529</v>
      </c>
      <c r="H116" s="16">
        <v>33813164.969999999</v>
      </c>
      <c r="I116" s="16">
        <v>14386672.189999999</v>
      </c>
      <c r="J116" s="16">
        <v>92584091.25000003</v>
      </c>
      <c r="K116" s="16">
        <v>0</v>
      </c>
      <c r="L116" s="16">
        <v>0</v>
      </c>
      <c r="M116" s="16">
        <v>0</v>
      </c>
      <c r="N116" s="18">
        <f t="shared" si="3"/>
        <v>773336896.91386402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310625180.82000005</v>
      </c>
      <c r="C117" s="16">
        <v>0</v>
      </c>
      <c r="D117" s="16">
        <v>3727528.8538250104</v>
      </c>
      <c r="E117" s="16">
        <v>4570190.24</v>
      </c>
      <c r="F117" s="16">
        <v>702396.84</v>
      </c>
      <c r="G117" s="16">
        <v>462997.86</v>
      </c>
      <c r="H117" s="16">
        <v>17340867.57</v>
      </c>
      <c r="I117" s="16">
        <v>3026983.04</v>
      </c>
      <c r="J117" s="16">
        <v>27287051.459999993</v>
      </c>
      <c r="K117" s="16">
        <v>0</v>
      </c>
      <c r="L117" s="16">
        <v>0</v>
      </c>
      <c r="M117" s="16">
        <v>0</v>
      </c>
      <c r="N117" s="18">
        <f t="shared" si="3"/>
        <v>367743196.68382508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544672837.18000007</v>
      </c>
      <c r="C118" s="16">
        <v>0</v>
      </c>
      <c r="D118" s="16">
        <v>13980271.610854018</v>
      </c>
      <c r="E118" s="16">
        <v>7753413.3399999999</v>
      </c>
      <c r="F118" s="16">
        <v>3312708.69</v>
      </c>
      <c r="G118" s="16">
        <v>1929157.76</v>
      </c>
      <c r="H118" s="16">
        <v>30406741.370000001</v>
      </c>
      <c r="I118" s="16">
        <v>14276136.300000001</v>
      </c>
      <c r="J118" s="16">
        <v>75213944.739999995</v>
      </c>
      <c r="K118" s="16">
        <v>0</v>
      </c>
      <c r="L118" s="16">
        <v>0</v>
      </c>
      <c r="M118" s="16">
        <v>0</v>
      </c>
      <c r="N118" s="18">
        <f t="shared" si="3"/>
        <v>691545210.99085414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737008027.13999999</v>
      </c>
      <c r="C119" s="16">
        <v>0</v>
      </c>
      <c r="D119" s="16">
        <v>8805646.3820117489</v>
      </c>
      <c r="E119" s="16">
        <v>10767132.640000001</v>
      </c>
      <c r="F119" s="16">
        <v>2661610.5</v>
      </c>
      <c r="G119" s="16">
        <v>1294679.21</v>
      </c>
      <c r="H119" s="16">
        <v>41143987.609999999</v>
      </c>
      <c r="I119" s="16">
        <v>11470225.050000001</v>
      </c>
      <c r="J119" s="16">
        <v>68464642.530000001</v>
      </c>
      <c r="K119" s="16">
        <v>0</v>
      </c>
      <c r="L119" s="16">
        <v>0</v>
      </c>
      <c r="M119" s="16">
        <v>0</v>
      </c>
      <c r="N119" s="18">
        <f t="shared" si="3"/>
        <v>881615951.06201172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457743165.81999999</v>
      </c>
      <c r="C120" s="16">
        <v>0</v>
      </c>
      <c r="D120" s="16">
        <v>15790986.61101223</v>
      </c>
      <c r="E120" s="16">
        <v>6816108.8500000006</v>
      </c>
      <c r="F120" s="16">
        <v>1793479.57</v>
      </c>
      <c r="G120" s="16">
        <v>1311827.28</v>
      </c>
      <c r="H120" s="16">
        <v>25553831.780000001</v>
      </c>
      <c r="I120" s="16">
        <v>7729010.0599999996</v>
      </c>
      <c r="J120" s="16">
        <v>70980846.110000029</v>
      </c>
      <c r="K120" s="16">
        <v>0</v>
      </c>
      <c r="L120" s="16">
        <v>0</v>
      </c>
      <c r="M120" s="16">
        <v>0</v>
      </c>
      <c r="N120" s="18">
        <f t="shared" si="3"/>
        <v>587719256.08101225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559542652.80999994</v>
      </c>
      <c r="C121" s="16">
        <v>0</v>
      </c>
      <c r="D121" s="16">
        <v>11485200.665946469</v>
      </c>
      <c r="E121" s="16">
        <v>8155418.0999999996</v>
      </c>
      <c r="F121" s="16">
        <v>753695.48</v>
      </c>
      <c r="G121" s="16">
        <v>437275.76</v>
      </c>
      <c r="H121" s="16">
        <v>31236859.199999999</v>
      </c>
      <c r="I121" s="16">
        <v>3248054.83</v>
      </c>
      <c r="J121" s="16">
        <v>39441771.599999987</v>
      </c>
      <c r="K121" s="16">
        <v>0</v>
      </c>
      <c r="L121" s="16">
        <v>0</v>
      </c>
      <c r="M121" s="16">
        <v>0</v>
      </c>
      <c r="N121" s="18">
        <f t="shared" si="3"/>
        <v>654300928.44594657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1817662760.3899999</v>
      </c>
      <c r="C122" s="16">
        <v>0</v>
      </c>
      <c r="D122" s="16">
        <v>16386953.055000002</v>
      </c>
      <c r="E122" s="16">
        <v>37028717.75</v>
      </c>
      <c r="F122" s="16">
        <v>22689785.609999999</v>
      </c>
      <c r="G122" s="16">
        <v>11552997.749321841</v>
      </c>
      <c r="H122" s="16">
        <v>101472292.48</v>
      </c>
      <c r="I122" s="16">
        <v>97781755.459999993</v>
      </c>
      <c r="J122" s="16">
        <v>185018779.19999987</v>
      </c>
      <c r="K122" s="16">
        <v>0</v>
      </c>
      <c r="L122" s="16">
        <v>0</v>
      </c>
      <c r="M122" s="16">
        <v>0</v>
      </c>
      <c r="N122" s="18">
        <f t="shared" si="3"/>
        <v>2289594041.6943216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4011061856.2399998</v>
      </c>
      <c r="C123" s="16">
        <v>0</v>
      </c>
      <c r="D123" s="16">
        <v>47119176.794999994</v>
      </c>
      <c r="E123" s="16">
        <v>60664910.829999998</v>
      </c>
      <c r="F123" s="16">
        <v>31540775.02</v>
      </c>
      <c r="G123" s="16">
        <v>29563275.768310502</v>
      </c>
      <c r="H123" s="16">
        <v>223920328.19</v>
      </c>
      <c r="I123" s="16">
        <v>135925142.84999999</v>
      </c>
      <c r="J123" s="16">
        <v>241414110.68000007</v>
      </c>
      <c r="K123" s="16">
        <v>0</v>
      </c>
      <c r="L123" s="16">
        <v>0</v>
      </c>
      <c r="M123" s="16">
        <v>0</v>
      </c>
      <c r="N123" s="18">
        <f t="shared" si="3"/>
        <v>4781209576.373311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3522930783.7999992</v>
      </c>
      <c r="C124" s="16">
        <v>0</v>
      </c>
      <c r="D124" s="16">
        <v>22350404.219999999</v>
      </c>
      <c r="E124" s="16">
        <v>69161975.460000008</v>
      </c>
      <c r="F124" s="16">
        <v>40389791.409999996</v>
      </c>
      <c r="G124" s="16">
        <v>0</v>
      </c>
      <c r="H124" s="16">
        <v>196670070.31</v>
      </c>
      <c r="I124" s="16">
        <v>174060027.47999999</v>
      </c>
      <c r="J124" s="16">
        <v>345380755.18999982</v>
      </c>
      <c r="K124" s="16">
        <v>0</v>
      </c>
      <c r="L124" s="16">
        <v>0</v>
      </c>
      <c r="M124" s="16">
        <v>0</v>
      </c>
      <c r="N124" s="18">
        <f t="shared" si="3"/>
        <v>4370943807.8699989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1158670618.6399999</v>
      </c>
      <c r="C125" s="16">
        <v>0</v>
      </c>
      <c r="D125" s="16">
        <v>25625844.671565622</v>
      </c>
      <c r="E125" s="16">
        <v>17003533.68</v>
      </c>
      <c r="F125" s="16">
        <v>15705277.689999999</v>
      </c>
      <c r="G125" s="16">
        <v>8213925.0300000003</v>
      </c>
      <c r="H125" s="16">
        <v>64683596.140000001</v>
      </c>
      <c r="I125" s="16">
        <v>67681980.299999997</v>
      </c>
      <c r="J125" s="16">
        <v>213432332.97999996</v>
      </c>
      <c r="K125" s="16">
        <v>0</v>
      </c>
      <c r="L125" s="16">
        <v>0</v>
      </c>
      <c r="M125" s="16">
        <v>0</v>
      </c>
      <c r="N125" s="18">
        <f t="shared" si="3"/>
        <v>1571017109.1315656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1291060598.2199998</v>
      </c>
      <c r="C126" s="16">
        <v>0</v>
      </c>
      <c r="D126" s="16">
        <v>11862995.572443891</v>
      </c>
      <c r="E126" s="16">
        <v>19290442.359999999</v>
      </c>
      <c r="F126" s="16">
        <v>7862503.9699999997</v>
      </c>
      <c r="G126" s="16">
        <v>3361021.52</v>
      </c>
      <c r="H126" s="16">
        <v>72074359.170000002</v>
      </c>
      <c r="I126" s="16">
        <v>33883503.960000001</v>
      </c>
      <c r="J126" s="16">
        <v>146445290.76999998</v>
      </c>
      <c r="K126" s="16">
        <v>0</v>
      </c>
      <c r="L126" s="16">
        <v>0</v>
      </c>
      <c r="M126" s="16">
        <v>0</v>
      </c>
      <c r="N126" s="18">
        <f t="shared" si="3"/>
        <v>1585840715.5424438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728499413.28999996</v>
      </c>
      <c r="C127" s="16">
        <v>0</v>
      </c>
      <c r="D127" s="16">
        <v>10404135.458453879</v>
      </c>
      <c r="E127" s="16">
        <v>10513008.84</v>
      </c>
      <c r="F127" s="16">
        <v>8345895.0499999998</v>
      </c>
      <c r="G127" s="16">
        <v>4801459.3099999996</v>
      </c>
      <c r="H127" s="16">
        <v>40668988.310000002</v>
      </c>
      <c r="I127" s="16">
        <v>35966680.490000002</v>
      </c>
      <c r="J127" s="16">
        <v>162374689.80999997</v>
      </c>
      <c r="K127" s="16">
        <v>0</v>
      </c>
      <c r="L127" s="16">
        <v>0</v>
      </c>
      <c r="M127" s="16">
        <v>0</v>
      </c>
      <c r="N127" s="18">
        <f t="shared" si="3"/>
        <v>1001574270.5584538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340445846.48000002</v>
      </c>
      <c r="C128" s="16">
        <v>0</v>
      </c>
      <c r="D128" s="16">
        <v>4831411.1519441344</v>
      </c>
      <c r="E128" s="16">
        <v>5234701.74</v>
      </c>
      <c r="F128" s="16">
        <v>763560.61</v>
      </c>
      <c r="G128" s="16">
        <v>574460.31000000006</v>
      </c>
      <c r="H128" s="16">
        <v>19005627.039999999</v>
      </c>
      <c r="I128" s="16">
        <v>3290568.64</v>
      </c>
      <c r="J128" s="16">
        <v>34895174.679999992</v>
      </c>
      <c r="K128" s="16">
        <v>0</v>
      </c>
      <c r="L128" s="16">
        <v>0</v>
      </c>
      <c r="M128" s="16">
        <v>0</v>
      </c>
      <c r="N128" s="18">
        <f t="shared" si="3"/>
        <v>409041350.65194422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2121521567.4299998</v>
      </c>
      <c r="C129" s="16">
        <v>0</v>
      </c>
      <c r="D129" s="16">
        <v>57512130.571627848</v>
      </c>
      <c r="E129" s="16">
        <v>27390588.649999999</v>
      </c>
      <c r="F129" s="16">
        <v>9711228.2400000002</v>
      </c>
      <c r="G129" s="16">
        <v>7125022.6500000004</v>
      </c>
      <c r="H129" s="16">
        <v>118435422.51000001</v>
      </c>
      <c r="I129" s="16">
        <v>41850591.340000004</v>
      </c>
      <c r="J129" s="16">
        <v>218645518.34999999</v>
      </c>
      <c r="K129" s="16">
        <v>0</v>
      </c>
      <c r="L129" s="16">
        <v>0</v>
      </c>
      <c r="M129" s="16">
        <v>0</v>
      </c>
      <c r="N129" s="18">
        <f t="shared" si="3"/>
        <v>2602192069.7416277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573662900.07000005</v>
      </c>
      <c r="C130" s="16">
        <v>0</v>
      </c>
      <c r="D130" s="16">
        <v>12810697.736283662</v>
      </c>
      <c r="E130" s="16">
        <v>8820755.25</v>
      </c>
      <c r="F130" s="16">
        <v>1201572.1200000001</v>
      </c>
      <c r="G130" s="16">
        <v>531590.14</v>
      </c>
      <c r="H130" s="16">
        <v>32025131.859999999</v>
      </c>
      <c r="I130" s="16">
        <v>5178181.66</v>
      </c>
      <c r="J130" s="16">
        <v>60094063.560000025</v>
      </c>
      <c r="K130" s="16">
        <v>0</v>
      </c>
      <c r="L130" s="16">
        <v>0</v>
      </c>
      <c r="M130" s="16">
        <v>0</v>
      </c>
      <c r="N130" s="18">
        <f t="shared" si="3"/>
        <v>694324892.39628375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3603276408.7699995</v>
      </c>
      <c r="C131" s="16">
        <v>0</v>
      </c>
      <c r="D131" s="16">
        <v>63206321.559999987</v>
      </c>
      <c r="E131" s="16">
        <v>76109841.180000007</v>
      </c>
      <c r="F131" s="16">
        <v>53056610.859999999</v>
      </c>
      <c r="G131" s="16">
        <v>6105226.8635546844</v>
      </c>
      <c r="H131" s="16">
        <v>201155420.91</v>
      </c>
      <c r="I131" s="16">
        <v>228647755.31</v>
      </c>
      <c r="J131" s="16">
        <v>472160065.97000009</v>
      </c>
      <c r="K131" s="16">
        <v>0</v>
      </c>
      <c r="L131" s="16">
        <v>0</v>
      </c>
      <c r="M131" s="16">
        <v>0</v>
      </c>
      <c r="N131" s="18">
        <f t="shared" si="3"/>
        <v>4703717651.4235535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142012816.61000001</v>
      </c>
      <c r="C132" s="16">
        <v>0</v>
      </c>
      <c r="D132" s="16">
        <v>1746920.1782888749</v>
      </c>
      <c r="E132" s="16">
        <v>2087362.91</v>
      </c>
      <c r="F132" s="16">
        <v>226897.85</v>
      </c>
      <c r="G132" s="16">
        <v>128610.52</v>
      </c>
      <c r="H132" s="16">
        <v>7927964.6299999999</v>
      </c>
      <c r="I132" s="16">
        <v>977817.55</v>
      </c>
      <c r="J132" s="16">
        <v>16954804.82</v>
      </c>
      <c r="K132" s="16">
        <v>0</v>
      </c>
      <c r="L132" s="16">
        <v>0</v>
      </c>
      <c r="M132" s="16">
        <v>0</v>
      </c>
      <c r="N132" s="18">
        <f t="shared" si="3"/>
        <v>172063195.06828889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889413507.84000015</v>
      </c>
      <c r="C133" s="16">
        <v>0</v>
      </c>
      <c r="D133" s="16">
        <v>9602640.4638640191</v>
      </c>
      <c r="E133" s="16">
        <v>8380602.4299999997</v>
      </c>
      <c r="F133" s="16">
        <v>820778.33</v>
      </c>
      <c r="G133" s="16">
        <v>728792.93</v>
      </c>
      <c r="H133" s="16">
        <v>49652129.969999999</v>
      </c>
      <c r="I133" s="16">
        <v>3537148.72</v>
      </c>
      <c r="J133" s="16">
        <v>62543533.610000029</v>
      </c>
      <c r="K133" s="16">
        <v>0</v>
      </c>
      <c r="L133" s="16">
        <v>0</v>
      </c>
      <c r="M133" s="16">
        <v>0</v>
      </c>
      <c r="N133" s="18">
        <f t="shared" si="3"/>
        <v>1024679134.2938641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1536534107.46</v>
      </c>
      <c r="C134" s="16">
        <v>0</v>
      </c>
      <c r="D134" s="16">
        <v>25496138.714839287</v>
      </c>
      <c r="E134" s="16">
        <v>23356998.469999999</v>
      </c>
      <c r="F134" s="16">
        <v>3829641.2</v>
      </c>
      <c r="G134" s="16">
        <v>2409303.69</v>
      </c>
      <c r="H134" s="16">
        <v>85778089.180000007</v>
      </c>
      <c r="I134" s="16">
        <v>16503859.77</v>
      </c>
      <c r="J134" s="16">
        <v>141245302.63999999</v>
      </c>
      <c r="K134" s="16">
        <v>0</v>
      </c>
      <c r="L134" s="16">
        <v>0</v>
      </c>
      <c r="M134" s="16">
        <v>0</v>
      </c>
      <c r="N134" s="18">
        <f t="shared" si="3"/>
        <v>1835153441.1248393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1270903286.8699999</v>
      </c>
      <c r="C135" s="16">
        <v>0</v>
      </c>
      <c r="D135" s="16">
        <v>37585555.437149614</v>
      </c>
      <c r="E135" s="16">
        <v>25910765.190000001</v>
      </c>
      <c r="F135" s="16">
        <v>5765178.5700000003</v>
      </c>
      <c r="G135" s="16">
        <v>3052356.27</v>
      </c>
      <c r="H135" s="16">
        <v>70949063.189999998</v>
      </c>
      <c r="I135" s="16">
        <v>24845068.649999999</v>
      </c>
      <c r="J135" s="16">
        <v>145617595.50999996</v>
      </c>
      <c r="K135" s="16">
        <v>0</v>
      </c>
      <c r="L135" s="16">
        <v>0</v>
      </c>
      <c r="M135" s="16">
        <v>0</v>
      </c>
      <c r="N135" s="18">
        <f t="shared" si="3"/>
        <v>1584628869.6871495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2050454383.3</v>
      </c>
      <c r="C136" s="16">
        <v>0</v>
      </c>
      <c r="D136" s="16">
        <v>26250290.18</v>
      </c>
      <c r="E136" s="16">
        <v>43327090.57</v>
      </c>
      <c r="F136" s="16">
        <v>34301036.770000003</v>
      </c>
      <c r="G136" s="16">
        <v>21646322.920221888</v>
      </c>
      <c r="H136" s="16">
        <v>114468047.34</v>
      </c>
      <c r="I136" s="16">
        <v>147820505.97</v>
      </c>
      <c r="J136" s="16">
        <v>331067154.75</v>
      </c>
      <c r="K136" s="16">
        <v>0</v>
      </c>
      <c r="L136" s="16">
        <v>0</v>
      </c>
      <c r="M136" s="16">
        <v>0</v>
      </c>
      <c r="N136" s="18">
        <f t="shared" ref="N136:N142" si="4">SUM(B136:M136)</f>
        <v>2769334831.8002219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328310942.44</v>
      </c>
      <c r="C137" s="16">
        <v>0</v>
      </c>
      <c r="D137" s="16">
        <v>6218290.389446605</v>
      </c>
      <c r="E137" s="16">
        <v>5048238.17</v>
      </c>
      <c r="F137" s="16">
        <v>410389.16</v>
      </c>
      <c r="G137" s="16">
        <v>445849.79</v>
      </c>
      <c r="H137" s="16">
        <v>18328187.559999999</v>
      </c>
      <c r="I137" s="16">
        <v>1768574.36</v>
      </c>
      <c r="J137" s="16">
        <v>32477079.349999994</v>
      </c>
      <c r="K137" s="16">
        <v>0</v>
      </c>
      <c r="L137" s="16">
        <v>0</v>
      </c>
      <c r="M137" s="16">
        <v>0</v>
      </c>
      <c r="N137" s="18">
        <f t="shared" si="4"/>
        <v>393007551.21944666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926912184.54999995</v>
      </c>
      <c r="C138" s="16">
        <v>0</v>
      </c>
      <c r="D138" s="16">
        <v>25722018.433264166</v>
      </c>
      <c r="E138" s="16">
        <v>13150608.959999999</v>
      </c>
      <c r="F138" s="16">
        <v>3573147.97</v>
      </c>
      <c r="G138" s="16">
        <v>1740529</v>
      </c>
      <c r="H138" s="16">
        <v>51745519.770000003</v>
      </c>
      <c r="I138" s="16">
        <v>15398500.789999999</v>
      </c>
      <c r="J138" s="16">
        <v>118005342.36999997</v>
      </c>
      <c r="K138" s="16">
        <v>0</v>
      </c>
      <c r="L138" s="16">
        <v>0</v>
      </c>
      <c r="M138" s="16">
        <v>0</v>
      </c>
      <c r="N138" s="18">
        <f t="shared" si="4"/>
        <v>1156247851.8432641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3258819358.5500002</v>
      </c>
      <c r="C139" s="16">
        <v>0</v>
      </c>
      <c r="D139" s="16">
        <v>29177664.149999999</v>
      </c>
      <c r="E139" s="16">
        <v>50108673.039999992</v>
      </c>
      <c r="F139" s="16">
        <v>18376753.32</v>
      </c>
      <c r="G139" s="16">
        <v>19499507.598622087</v>
      </c>
      <c r="H139" s="16">
        <v>181925865.59999999</v>
      </c>
      <c r="I139" s="16">
        <v>79194719.180000007</v>
      </c>
      <c r="J139" s="16">
        <v>210705221.43999997</v>
      </c>
      <c r="K139" s="16">
        <v>0</v>
      </c>
      <c r="L139" s="16">
        <v>0</v>
      </c>
      <c r="M139" s="16">
        <v>0</v>
      </c>
      <c r="N139" s="18">
        <f t="shared" si="4"/>
        <v>3847807762.8786225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960581985.00999999</v>
      </c>
      <c r="C140" s="16">
        <v>0</v>
      </c>
      <c r="D140" s="16">
        <v>8185998.3300000001</v>
      </c>
      <c r="E140" s="16">
        <v>14770350.809999999</v>
      </c>
      <c r="F140" s="16">
        <v>3030566.14</v>
      </c>
      <c r="G140" s="16">
        <v>1834843.38</v>
      </c>
      <c r="H140" s="16">
        <v>53625159.890000001</v>
      </c>
      <c r="I140" s="16">
        <v>13060241.42</v>
      </c>
      <c r="J140" s="16">
        <v>53260348.369999975</v>
      </c>
      <c r="K140" s="16">
        <v>0</v>
      </c>
      <c r="L140" s="16">
        <v>0</v>
      </c>
      <c r="M140" s="16">
        <v>0</v>
      </c>
      <c r="N140" s="18">
        <f t="shared" si="4"/>
        <v>1108349493.3499999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1113433155.0599999</v>
      </c>
      <c r="C141" s="16">
        <v>0</v>
      </c>
      <c r="D141" s="16">
        <v>14255916.453623177</v>
      </c>
      <c r="E141" s="16">
        <v>16566533.93</v>
      </c>
      <c r="F141" s="16">
        <v>4370250.01</v>
      </c>
      <c r="G141" s="16">
        <v>1603344.45</v>
      </c>
      <c r="H141" s="16">
        <v>62158183.159999996</v>
      </c>
      <c r="I141" s="16">
        <v>18833616.379999999</v>
      </c>
      <c r="J141" s="16">
        <v>148122344.81</v>
      </c>
      <c r="K141" s="16">
        <v>0</v>
      </c>
      <c r="L141" s="16">
        <v>0</v>
      </c>
      <c r="M141" s="16">
        <v>0</v>
      </c>
      <c r="N141" s="18">
        <f t="shared" si="4"/>
        <v>1379343344.2536235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1088332744.2200003</v>
      </c>
      <c r="C142" s="16">
        <v>0</v>
      </c>
      <c r="D142" s="16">
        <v>12005829.983752258</v>
      </c>
      <c r="E142" s="16">
        <v>21767449.670000002</v>
      </c>
      <c r="F142" s="16">
        <v>18789115.510000002</v>
      </c>
      <c r="G142" s="16">
        <v>6473396.0300000003</v>
      </c>
      <c r="H142" s="16">
        <v>60756935.200000003</v>
      </c>
      <c r="I142" s="16">
        <v>80971796.280000001</v>
      </c>
      <c r="J142" s="16">
        <v>200787071.44999996</v>
      </c>
      <c r="K142" s="16">
        <v>0</v>
      </c>
      <c r="L142" s="16">
        <v>0</v>
      </c>
      <c r="M142" s="16">
        <v>0</v>
      </c>
      <c r="N142" s="18">
        <f t="shared" si="4"/>
        <v>1489884338.3437526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202586043753.90005</v>
      </c>
      <c r="C143" s="23">
        <f t="shared" si="5"/>
        <v>0</v>
      </c>
      <c r="D143" s="23">
        <f t="shared" si="5"/>
        <v>2690101897.3202424</v>
      </c>
      <c r="E143" s="23">
        <f t="shared" si="5"/>
        <v>3603197357.059999</v>
      </c>
      <c r="F143" s="23">
        <f t="shared" si="5"/>
        <v>1973024836.0399997</v>
      </c>
      <c r="G143" s="23">
        <f t="shared" si="5"/>
        <v>857403447.90999973</v>
      </c>
      <c r="H143" s="23">
        <f t="shared" si="5"/>
        <v>11309507315.240002</v>
      </c>
      <c r="I143" s="23">
        <f t="shared" si="5"/>
        <v>8502761344.1600008</v>
      </c>
      <c r="J143" s="23">
        <f t="shared" ref="J143:N143" si="6">SUM(J8:J142)</f>
        <v>24900579948.029987</v>
      </c>
      <c r="K143" s="23">
        <f t="shared" si="6"/>
        <v>162475388.40000001</v>
      </c>
      <c r="L143" s="23">
        <f t="shared" si="6"/>
        <v>0</v>
      </c>
      <c r="M143" s="23">
        <f t="shared" si="6"/>
        <v>0</v>
      </c>
      <c r="N143" s="23">
        <f t="shared" si="6"/>
        <v>256585095288.06027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D145" s="7"/>
      <c r="E145" s="7"/>
      <c r="F145" s="8"/>
      <c r="G145" s="8"/>
      <c r="H145" s="8"/>
      <c r="I145" s="8"/>
      <c r="J145" s="8"/>
      <c r="N145" s="8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3.6640625" style="1" bestFit="1" customWidth="1"/>
    <col min="3" max="3" width="22.33203125" style="1" hidden="1" customWidth="1"/>
    <col min="4" max="11" width="22.33203125" style="1" customWidth="1"/>
    <col min="12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168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30" t="s">
        <v>176</v>
      </c>
      <c r="L7" s="19" t="s">
        <v>149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>
        <v>903077569.60000014</v>
      </c>
      <c r="C8" s="16">
        <v>0</v>
      </c>
      <c r="D8" s="16">
        <v>143637655.93022066</v>
      </c>
      <c r="E8" s="16">
        <v>12766222.620000001</v>
      </c>
      <c r="F8" s="16">
        <v>2582583.61</v>
      </c>
      <c r="G8" s="16">
        <v>1131230.3899999999</v>
      </c>
      <c r="H8" s="16">
        <v>49086462.420000002</v>
      </c>
      <c r="I8" s="16">
        <v>6776618.4400000004</v>
      </c>
      <c r="J8" s="16">
        <v>96642935.610000044</v>
      </c>
      <c r="K8" s="16">
        <v>0</v>
      </c>
      <c r="L8" s="16">
        <v>0</v>
      </c>
      <c r="M8" s="16">
        <v>0</v>
      </c>
      <c r="N8" s="18">
        <f t="shared" ref="N8:N39" si="0">SUM(B8:M8)</f>
        <v>1215701278.6202209</v>
      </c>
      <c r="O8" s="4"/>
    </row>
    <row r="9" spans="1:15" ht="18" customHeight="1" x14ac:dyDescent="0.2">
      <c r="A9" s="17" t="s">
        <v>4</v>
      </c>
      <c r="B9" s="16">
        <v>477263586.70999998</v>
      </c>
      <c r="C9" s="16">
        <v>0</v>
      </c>
      <c r="D9" s="16">
        <v>131396449.02344248</v>
      </c>
      <c r="E9" s="16">
        <v>6746766.169999999</v>
      </c>
      <c r="F9" s="16">
        <v>1809412.62</v>
      </c>
      <c r="G9" s="16">
        <v>837110.49</v>
      </c>
      <c r="H9" s="16">
        <v>25941493.739999998</v>
      </c>
      <c r="I9" s="16">
        <v>4747841.9800000004</v>
      </c>
      <c r="J9" s="16">
        <v>73289279.269999981</v>
      </c>
      <c r="K9" s="16">
        <v>0</v>
      </c>
      <c r="L9" s="16">
        <v>0</v>
      </c>
      <c r="M9" s="16">
        <v>0</v>
      </c>
      <c r="N9" s="18">
        <f t="shared" si="0"/>
        <v>722031940.00344241</v>
      </c>
      <c r="O9" s="4"/>
    </row>
    <row r="10" spans="1:15" ht="18" customHeight="1" x14ac:dyDescent="0.2">
      <c r="A10" s="17" t="s">
        <v>5</v>
      </c>
      <c r="B10" s="16">
        <v>519812017.68999994</v>
      </c>
      <c r="C10" s="16">
        <v>0</v>
      </c>
      <c r="D10" s="16">
        <v>100648809.68983193</v>
      </c>
      <c r="E10" s="16">
        <v>7348245.79</v>
      </c>
      <c r="F10" s="16">
        <v>1264022.29</v>
      </c>
      <c r="G10" s="16">
        <v>837110.49</v>
      </c>
      <c r="H10" s="16">
        <v>28254198.68</v>
      </c>
      <c r="I10" s="16">
        <v>3316754.86</v>
      </c>
      <c r="J10" s="16">
        <v>43315928.219999984</v>
      </c>
      <c r="K10" s="16">
        <v>0</v>
      </c>
      <c r="L10" s="16">
        <v>0</v>
      </c>
      <c r="M10" s="16">
        <v>0</v>
      </c>
      <c r="N10" s="18">
        <f t="shared" si="0"/>
        <v>704797087.70983183</v>
      </c>
      <c r="O10" s="4"/>
    </row>
    <row r="11" spans="1:15" ht="18" customHeight="1" x14ac:dyDescent="0.2">
      <c r="A11" s="17" t="s">
        <v>6</v>
      </c>
      <c r="B11" s="16">
        <v>4198633838.8499994</v>
      </c>
      <c r="C11" s="16">
        <v>0</v>
      </c>
      <c r="D11" s="16">
        <v>37853710.651012801</v>
      </c>
      <c r="E11" s="16">
        <v>62151090.640000001</v>
      </c>
      <c r="F11" s="16">
        <v>135673864.81</v>
      </c>
      <c r="G11" s="16">
        <v>69918954.371606648</v>
      </c>
      <c r="H11" s="16">
        <v>228215259.78</v>
      </c>
      <c r="I11" s="16">
        <v>356003967.26999998</v>
      </c>
      <c r="J11" s="16">
        <v>814952132.06999958</v>
      </c>
      <c r="K11" s="16">
        <v>0</v>
      </c>
      <c r="L11" s="16">
        <v>0</v>
      </c>
      <c r="M11" s="16">
        <v>0</v>
      </c>
      <c r="N11" s="18">
        <f t="shared" si="0"/>
        <v>5903402818.4426193</v>
      </c>
      <c r="O11" s="4"/>
    </row>
    <row r="12" spans="1:15" ht="18" customHeight="1" x14ac:dyDescent="0.2">
      <c r="A12" s="17" t="s">
        <v>7</v>
      </c>
      <c r="B12" s="16">
        <v>540560816.68999994</v>
      </c>
      <c r="C12" s="16">
        <v>0</v>
      </c>
      <c r="D12" s="16">
        <v>127943160.1546551</v>
      </c>
      <c r="E12" s="16">
        <v>7641558.0999999996</v>
      </c>
      <c r="F12" s="16">
        <v>4639025.97</v>
      </c>
      <c r="G12" s="16">
        <v>2081463.92</v>
      </c>
      <c r="H12" s="16">
        <v>29381992.329999998</v>
      </c>
      <c r="I12" s="16">
        <v>12172658.710000001</v>
      </c>
      <c r="J12" s="16">
        <v>87871034.000000015</v>
      </c>
      <c r="K12" s="16">
        <v>0</v>
      </c>
      <c r="L12" s="16">
        <v>0</v>
      </c>
      <c r="M12" s="16">
        <v>0</v>
      </c>
      <c r="N12" s="18">
        <f t="shared" si="0"/>
        <v>812291709.87465513</v>
      </c>
      <c r="O12" s="4"/>
    </row>
    <row r="13" spans="1:15" ht="18" customHeight="1" x14ac:dyDescent="0.2">
      <c r="A13" s="17" t="s">
        <v>8</v>
      </c>
      <c r="B13" s="16">
        <v>2569513139.6699996</v>
      </c>
      <c r="C13" s="16">
        <v>0</v>
      </c>
      <c r="D13" s="16">
        <v>29859897.197688874</v>
      </c>
      <c r="E13" s="16">
        <v>38035715.950000003</v>
      </c>
      <c r="F13" s="16">
        <v>65976188.93</v>
      </c>
      <c r="G13" s="16">
        <v>0</v>
      </c>
      <c r="H13" s="16">
        <v>139664979.41999999</v>
      </c>
      <c r="I13" s="16">
        <v>173119451.09999999</v>
      </c>
      <c r="J13" s="16">
        <v>605975849.08999979</v>
      </c>
      <c r="K13" s="16">
        <v>0</v>
      </c>
      <c r="L13" s="16">
        <v>0</v>
      </c>
      <c r="M13" s="16">
        <v>0</v>
      </c>
      <c r="N13" s="18">
        <f t="shared" si="0"/>
        <v>3622145221.357688</v>
      </c>
      <c r="O13" s="4"/>
    </row>
    <row r="14" spans="1:15" ht="18" customHeight="1" x14ac:dyDescent="0.2">
      <c r="A14" s="17" t="s">
        <v>9</v>
      </c>
      <c r="B14" s="16">
        <v>868317664.90999997</v>
      </c>
      <c r="C14" s="16">
        <v>0</v>
      </c>
      <c r="D14" s="16">
        <v>208200733.85864741</v>
      </c>
      <c r="E14" s="16">
        <v>12274844.370000001</v>
      </c>
      <c r="F14" s="16">
        <v>3002854.98</v>
      </c>
      <c r="G14" s="16">
        <v>1414037.99</v>
      </c>
      <c r="H14" s="16">
        <v>47197100.079999998</v>
      </c>
      <c r="I14" s="16">
        <v>7879397.3399999999</v>
      </c>
      <c r="J14" s="16">
        <v>130088132.92000003</v>
      </c>
      <c r="K14" s="16">
        <v>0</v>
      </c>
      <c r="L14" s="16">
        <v>0</v>
      </c>
      <c r="M14" s="16">
        <v>0</v>
      </c>
      <c r="N14" s="18">
        <f t="shared" si="0"/>
        <v>1278374766.4486473</v>
      </c>
      <c r="O14" s="4"/>
    </row>
    <row r="15" spans="1:15" ht="18" customHeight="1" x14ac:dyDescent="0.2">
      <c r="A15" s="17" t="s">
        <v>10</v>
      </c>
      <c r="B15" s="16">
        <v>1512292803.8199999</v>
      </c>
      <c r="C15" s="16">
        <v>0</v>
      </c>
      <c r="D15" s="16">
        <v>348655062.29677814</v>
      </c>
      <c r="E15" s="16">
        <v>21378303.77</v>
      </c>
      <c r="F15" s="16">
        <v>11186918.1</v>
      </c>
      <c r="G15" s="16">
        <v>4898227.5999999996</v>
      </c>
      <c r="H15" s="16">
        <v>82200141.370000005</v>
      </c>
      <c r="I15" s="16">
        <v>29354122.34</v>
      </c>
      <c r="J15" s="16">
        <v>207557447.81</v>
      </c>
      <c r="K15" s="16">
        <v>0</v>
      </c>
      <c r="L15" s="16">
        <v>0</v>
      </c>
      <c r="M15" s="16">
        <v>0</v>
      </c>
      <c r="N15" s="18">
        <f t="shared" si="0"/>
        <v>2217523027.1067781</v>
      </c>
      <c r="O15" s="4"/>
    </row>
    <row r="16" spans="1:15" ht="18" customHeight="1" x14ac:dyDescent="0.2">
      <c r="A16" s="17" t="s">
        <v>11</v>
      </c>
      <c r="B16" s="16">
        <v>2731135363.71</v>
      </c>
      <c r="C16" s="16">
        <v>0</v>
      </c>
      <c r="D16" s="16">
        <v>75290523.698933125</v>
      </c>
      <c r="E16" s="16">
        <v>40428160.219999999</v>
      </c>
      <c r="F16" s="16">
        <v>41722360.170000002</v>
      </c>
      <c r="G16" s="16">
        <v>21730935.829999998</v>
      </c>
      <c r="H16" s="16">
        <v>148449898.34</v>
      </c>
      <c r="I16" s="16">
        <v>109478164.92</v>
      </c>
      <c r="J16" s="16">
        <v>515599434.84000015</v>
      </c>
      <c r="K16" s="16">
        <v>500433208.07999998</v>
      </c>
      <c r="L16" s="16">
        <v>0</v>
      </c>
      <c r="M16" s="16">
        <v>0</v>
      </c>
      <c r="N16" s="18">
        <f t="shared" si="0"/>
        <v>4184268049.8089333</v>
      </c>
      <c r="O16" s="4"/>
    </row>
    <row r="17" spans="1:15" ht="15" x14ac:dyDescent="0.2">
      <c r="A17" s="17" t="s">
        <v>12</v>
      </c>
      <c r="B17" s="16">
        <v>1025159629.4</v>
      </c>
      <c r="C17" s="16">
        <v>0</v>
      </c>
      <c r="D17" s="16">
        <v>307618169.09967321</v>
      </c>
      <c r="E17" s="16">
        <v>14492017.609999999</v>
      </c>
      <c r="F17" s="16">
        <v>8569044.5199999996</v>
      </c>
      <c r="G17" s="16">
        <v>3167445.1</v>
      </c>
      <c r="H17" s="16">
        <v>55722189.68</v>
      </c>
      <c r="I17" s="16">
        <v>22484904.149999999</v>
      </c>
      <c r="J17" s="16">
        <v>139756787.47</v>
      </c>
      <c r="K17" s="16">
        <v>0</v>
      </c>
      <c r="L17" s="16">
        <v>0</v>
      </c>
      <c r="M17" s="16">
        <v>0</v>
      </c>
      <c r="N17" s="18">
        <f t="shared" si="0"/>
        <v>1576970187.0296731</v>
      </c>
      <c r="O17" s="4"/>
    </row>
    <row r="18" spans="1:15" ht="15" x14ac:dyDescent="0.2">
      <c r="A18" s="17" t="s">
        <v>13</v>
      </c>
      <c r="B18" s="16">
        <v>576536390.77999997</v>
      </c>
      <c r="C18" s="16">
        <v>0</v>
      </c>
      <c r="D18" s="16">
        <v>81801523.792163044</v>
      </c>
      <c r="E18" s="16">
        <v>8150121.5</v>
      </c>
      <c r="F18" s="16">
        <v>5774721.1299999999</v>
      </c>
      <c r="G18" s="16">
        <v>2579205.29</v>
      </c>
      <c r="H18" s="16">
        <v>31337431.949999999</v>
      </c>
      <c r="I18" s="16">
        <v>15152687.189999999</v>
      </c>
      <c r="J18" s="16">
        <v>113940131.78999996</v>
      </c>
      <c r="K18" s="16">
        <v>0</v>
      </c>
      <c r="L18" s="16">
        <v>0</v>
      </c>
      <c r="M18" s="16">
        <v>0</v>
      </c>
      <c r="N18" s="18">
        <f t="shared" si="0"/>
        <v>835272213.42216301</v>
      </c>
      <c r="O18" s="4"/>
    </row>
    <row r="19" spans="1:15" ht="15" x14ac:dyDescent="0.2">
      <c r="A19" s="17" t="s">
        <v>14</v>
      </c>
      <c r="B19" s="16">
        <v>969218229.81000006</v>
      </c>
      <c r="C19" s="16">
        <v>0</v>
      </c>
      <c r="D19" s="16">
        <v>192337716.38179395</v>
      </c>
      <c r="E19" s="16">
        <v>13701210.300000001</v>
      </c>
      <c r="F19" s="16">
        <v>2332345.7000000002</v>
      </c>
      <c r="G19" s="16">
        <v>1436662.6</v>
      </c>
      <c r="H19" s="16">
        <v>52681514.659999996</v>
      </c>
      <c r="I19" s="16">
        <v>6120001.9900000002</v>
      </c>
      <c r="J19" s="16">
        <v>99131731.99000001</v>
      </c>
      <c r="K19" s="16">
        <v>0</v>
      </c>
      <c r="L19" s="16">
        <v>0</v>
      </c>
      <c r="M19" s="16">
        <v>0</v>
      </c>
      <c r="N19" s="18">
        <f t="shared" si="0"/>
        <v>1336959413.4317939</v>
      </c>
      <c r="O19" s="4"/>
    </row>
    <row r="20" spans="1:15" ht="15" x14ac:dyDescent="0.2">
      <c r="A20" s="17" t="s">
        <v>15</v>
      </c>
      <c r="B20" s="16">
        <v>3431917293.9499998</v>
      </c>
      <c r="C20" s="16">
        <v>0</v>
      </c>
      <c r="D20" s="16">
        <v>23746948.917482071</v>
      </c>
      <c r="E20" s="16">
        <v>50801620.480000004</v>
      </c>
      <c r="F20" s="16">
        <v>74442571.739999995</v>
      </c>
      <c r="G20" s="16">
        <v>35415522.830029413</v>
      </c>
      <c r="H20" s="16">
        <v>186540652.71000001</v>
      </c>
      <c r="I20" s="16">
        <v>195334974.13999999</v>
      </c>
      <c r="J20" s="16">
        <v>563704392.12999976</v>
      </c>
      <c r="K20" s="16">
        <v>0</v>
      </c>
      <c r="L20" s="16">
        <v>0</v>
      </c>
      <c r="M20" s="16">
        <v>0</v>
      </c>
      <c r="N20" s="18">
        <f t="shared" si="0"/>
        <v>4561903976.8975105</v>
      </c>
      <c r="O20" s="4"/>
    </row>
    <row r="21" spans="1:15" ht="15" x14ac:dyDescent="0.2">
      <c r="A21" s="17" t="s">
        <v>16</v>
      </c>
      <c r="B21" s="16">
        <v>1491214331.72</v>
      </c>
      <c r="C21" s="16">
        <v>0</v>
      </c>
      <c r="D21" s="16">
        <v>9270704.7393267509</v>
      </c>
      <c r="E21" s="16">
        <v>21080331.07</v>
      </c>
      <c r="F21" s="16">
        <v>19794460.760000002</v>
      </c>
      <c r="G21" s="16">
        <v>4786482.0371982623</v>
      </c>
      <c r="H21" s="16">
        <v>81054428.459999993</v>
      </c>
      <c r="I21" s="16">
        <v>51940044.409999996</v>
      </c>
      <c r="J21" s="16">
        <v>184813092.05000007</v>
      </c>
      <c r="K21" s="16">
        <v>0</v>
      </c>
      <c r="L21" s="16">
        <v>0</v>
      </c>
      <c r="M21" s="16">
        <v>0</v>
      </c>
      <c r="N21" s="18">
        <f t="shared" si="0"/>
        <v>1863953875.2465253</v>
      </c>
      <c r="O21" s="4"/>
    </row>
    <row r="22" spans="1:15" ht="15" x14ac:dyDescent="0.2">
      <c r="A22" s="17" t="s">
        <v>17</v>
      </c>
      <c r="B22" s="16">
        <v>1181362852.27</v>
      </c>
      <c r="C22" s="16">
        <v>0</v>
      </c>
      <c r="D22" s="16">
        <v>151322232.18587229</v>
      </c>
      <c r="E22" s="16">
        <v>16700161.41</v>
      </c>
      <c r="F22" s="16">
        <v>4712814.07</v>
      </c>
      <c r="G22" s="16">
        <v>2432145.34</v>
      </c>
      <c r="H22" s="16">
        <v>64212560.700000003</v>
      </c>
      <c r="I22" s="16">
        <v>12366276.380000001</v>
      </c>
      <c r="J22" s="16">
        <v>138784486.25</v>
      </c>
      <c r="K22" s="16">
        <v>0</v>
      </c>
      <c r="L22" s="16">
        <v>0</v>
      </c>
      <c r="M22" s="16">
        <v>0</v>
      </c>
      <c r="N22" s="18">
        <f t="shared" si="0"/>
        <v>1571893528.6058724</v>
      </c>
      <c r="O22" s="4"/>
    </row>
    <row r="23" spans="1:15" ht="15" x14ac:dyDescent="0.2">
      <c r="A23" s="17" t="s">
        <v>18</v>
      </c>
      <c r="B23" s="16">
        <v>1134940762.6899998</v>
      </c>
      <c r="C23" s="16">
        <v>0</v>
      </c>
      <c r="D23" s="16">
        <v>127606596.43502162</v>
      </c>
      <c r="E23" s="16">
        <v>16043922.390000001</v>
      </c>
      <c r="F23" s="16">
        <v>4517115.1900000004</v>
      </c>
      <c r="G23" s="16">
        <v>2997760.54</v>
      </c>
      <c r="H23" s="16">
        <v>61689304.420000002</v>
      </c>
      <c r="I23" s="16">
        <v>11852768.640000001</v>
      </c>
      <c r="J23" s="16">
        <v>114561102.45000008</v>
      </c>
      <c r="K23" s="16">
        <v>0</v>
      </c>
      <c r="L23" s="16">
        <v>0</v>
      </c>
      <c r="M23" s="16">
        <v>0</v>
      </c>
      <c r="N23" s="18">
        <f t="shared" si="0"/>
        <v>1474209332.7550218</v>
      </c>
      <c r="O23" s="4"/>
    </row>
    <row r="24" spans="1:15" ht="15" x14ac:dyDescent="0.2">
      <c r="A24" s="17" t="s">
        <v>19</v>
      </c>
      <c r="B24" s="16">
        <v>357283192.71000004</v>
      </c>
      <c r="C24" s="16">
        <v>0</v>
      </c>
      <c r="D24" s="16">
        <v>90309639.262830392</v>
      </c>
      <c r="E24" s="16">
        <v>5050681.0599999996</v>
      </c>
      <c r="F24" s="16">
        <v>4696773.18</v>
      </c>
      <c r="G24" s="16">
        <v>602173.43471703643</v>
      </c>
      <c r="H24" s="16">
        <v>19420001.789999999</v>
      </c>
      <c r="I24" s="16">
        <v>12324185.58</v>
      </c>
      <c r="J24" s="16">
        <v>96936222.980000019</v>
      </c>
      <c r="K24" s="16">
        <v>0</v>
      </c>
      <c r="L24" s="16">
        <v>0</v>
      </c>
      <c r="M24" s="16">
        <v>0</v>
      </c>
      <c r="N24" s="18">
        <f t="shared" si="0"/>
        <v>586622869.99754751</v>
      </c>
      <c r="O24" s="4"/>
    </row>
    <row r="25" spans="1:15" ht="15" x14ac:dyDescent="0.2">
      <c r="A25" s="17" t="s">
        <v>20</v>
      </c>
      <c r="B25" s="16">
        <v>1478769173.1999998</v>
      </c>
      <c r="C25" s="16">
        <v>0</v>
      </c>
      <c r="D25" s="16">
        <v>36761185.50145106</v>
      </c>
      <c r="E25" s="16">
        <v>20904401.920000002</v>
      </c>
      <c r="F25" s="16">
        <v>20830702.390000001</v>
      </c>
      <c r="G25" s="16">
        <v>7138063.7699999996</v>
      </c>
      <c r="H25" s="16">
        <v>80377976.260000005</v>
      </c>
      <c r="I25" s="16">
        <v>54659109.939999998</v>
      </c>
      <c r="J25" s="16">
        <v>224087183.14999998</v>
      </c>
      <c r="K25" s="16">
        <v>0</v>
      </c>
      <c r="L25" s="16">
        <v>0</v>
      </c>
      <c r="M25" s="16">
        <v>0</v>
      </c>
      <c r="N25" s="18">
        <f t="shared" si="0"/>
        <v>1923527796.1314511</v>
      </c>
      <c r="O25" s="4"/>
    </row>
    <row r="26" spans="1:15" ht="15" x14ac:dyDescent="0.2">
      <c r="A26" s="17" t="s">
        <v>21</v>
      </c>
      <c r="B26" s="16">
        <v>603013259.48000002</v>
      </c>
      <c r="C26" s="16">
        <v>0</v>
      </c>
      <c r="D26" s="16">
        <v>62484870.764335513</v>
      </c>
      <c r="E26" s="16">
        <v>8524407.8500000015</v>
      </c>
      <c r="F26" s="16">
        <v>9473750.8300000001</v>
      </c>
      <c r="G26" s="16">
        <v>4558858.4800000004</v>
      </c>
      <c r="H26" s="16">
        <v>32776572.800000001</v>
      </c>
      <c r="I26" s="16">
        <v>24858825.140000001</v>
      </c>
      <c r="J26" s="16">
        <v>165349254.93000004</v>
      </c>
      <c r="K26" s="16">
        <v>0</v>
      </c>
      <c r="L26" s="16">
        <v>0</v>
      </c>
      <c r="M26" s="16">
        <v>0</v>
      </c>
      <c r="N26" s="18">
        <f t="shared" si="0"/>
        <v>911039800.27433562</v>
      </c>
      <c r="O26" s="4"/>
    </row>
    <row r="27" spans="1:15" ht="15" x14ac:dyDescent="0.2">
      <c r="A27" s="17" t="s">
        <v>22</v>
      </c>
      <c r="B27" s="16">
        <v>295119213.88999999</v>
      </c>
      <c r="C27" s="16">
        <v>0</v>
      </c>
      <c r="D27" s="16">
        <v>51585782.325283729</v>
      </c>
      <c r="E27" s="16">
        <v>4171909.1700000004</v>
      </c>
      <c r="F27" s="16">
        <v>2354802.9500000002</v>
      </c>
      <c r="G27" s="16">
        <v>1029419.66</v>
      </c>
      <c r="H27" s="16">
        <v>16041100.67</v>
      </c>
      <c r="I27" s="16">
        <v>6178929.1100000003</v>
      </c>
      <c r="J27" s="16">
        <v>44309112.840000026</v>
      </c>
      <c r="K27" s="16">
        <v>0</v>
      </c>
      <c r="L27" s="16">
        <v>0</v>
      </c>
      <c r="M27" s="16">
        <v>0</v>
      </c>
      <c r="N27" s="18">
        <f t="shared" si="0"/>
        <v>420790270.61528379</v>
      </c>
      <c r="O27" s="4"/>
    </row>
    <row r="28" spans="1:15" ht="15" x14ac:dyDescent="0.2">
      <c r="A28" s="17" t="s">
        <v>23</v>
      </c>
      <c r="B28" s="16">
        <v>1045166664.02</v>
      </c>
      <c r="C28" s="16">
        <v>0</v>
      </c>
      <c r="D28" s="16">
        <v>144099356.7100504</v>
      </c>
      <c r="E28" s="16">
        <v>14774844.119999999</v>
      </c>
      <c r="F28" s="16">
        <v>3243468.36</v>
      </c>
      <c r="G28" s="16">
        <v>1493224.12</v>
      </c>
      <c r="H28" s="16">
        <v>56809664.979999997</v>
      </c>
      <c r="I28" s="16">
        <v>8510759.3000000007</v>
      </c>
      <c r="J28" s="16">
        <v>90592003.359999955</v>
      </c>
      <c r="K28" s="16">
        <v>0</v>
      </c>
      <c r="L28" s="16">
        <v>0</v>
      </c>
      <c r="M28" s="16">
        <v>0</v>
      </c>
      <c r="N28" s="18">
        <f t="shared" si="0"/>
        <v>1364689984.9700499</v>
      </c>
      <c r="O28" s="4"/>
    </row>
    <row r="29" spans="1:15" ht="15" x14ac:dyDescent="0.2">
      <c r="A29" s="17" t="s">
        <v>24</v>
      </c>
      <c r="B29" s="16">
        <v>646344664.00999987</v>
      </c>
      <c r="C29" s="16">
        <v>0</v>
      </c>
      <c r="D29" s="16">
        <v>139334556.53231335</v>
      </c>
      <c r="E29" s="16">
        <v>9136955.8399999999</v>
      </c>
      <c r="F29" s="16">
        <v>2024360.57</v>
      </c>
      <c r="G29" s="16">
        <v>904984.31</v>
      </c>
      <c r="H29" s="16">
        <v>35131835.990000002</v>
      </c>
      <c r="I29" s="16">
        <v>5311858.67</v>
      </c>
      <c r="J29" s="16">
        <v>80761810.469999969</v>
      </c>
      <c r="K29" s="16">
        <v>0</v>
      </c>
      <c r="L29" s="16">
        <v>0</v>
      </c>
      <c r="M29" s="16">
        <v>0</v>
      </c>
      <c r="N29" s="18">
        <f t="shared" si="0"/>
        <v>918951026.39231324</v>
      </c>
      <c r="O29" s="4"/>
    </row>
    <row r="30" spans="1:15" ht="15" x14ac:dyDescent="0.2">
      <c r="A30" s="17" t="s">
        <v>25</v>
      </c>
      <c r="B30" s="16">
        <v>214864425.18999997</v>
      </c>
      <c r="C30" s="16">
        <v>0</v>
      </c>
      <c r="D30" s="16">
        <v>102150682.50059564</v>
      </c>
      <c r="E30" s="16">
        <v>3037399.2</v>
      </c>
      <c r="F30" s="16">
        <v>1748457.23</v>
      </c>
      <c r="G30" s="16">
        <v>1131230.3899999999</v>
      </c>
      <c r="H30" s="16">
        <v>11678879.970000001</v>
      </c>
      <c r="I30" s="16">
        <v>4587896.95</v>
      </c>
      <c r="J30" s="16">
        <v>62739841.490000002</v>
      </c>
      <c r="K30" s="16">
        <v>0</v>
      </c>
      <c r="L30" s="16">
        <v>0</v>
      </c>
      <c r="M30" s="16">
        <v>0</v>
      </c>
      <c r="N30" s="18">
        <f t="shared" si="0"/>
        <v>401938812.92059565</v>
      </c>
      <c r="O30" s="4"/>
    </row>
    <row r="31" spans="1:15" ht="15" x14ac:dyDescent="0.2">
      <c r="A31" s="17" t="s">
        <v>26</v>
      </c>
      <c r="B31" s="16">
        <v>374343774.24999988</v>
      </c>
      <c r="C31" s="16">
        <v>0</v>
      </c>
      <c r="D31" s="16">
        <v>47940056.333706893</v>
      </c>
      <c r="E31" s="16">
        <v>5291855.45</v>
      </c>
      <c r="F31" s="16">
        <v>2088524.14</v>
      </c>
      <c r="G31" s="16">
        <v>622176.72</v>
      </c>
      <c r="H31" s="16">
        <v>20347323.670000002</v>
      </c>
      <c r="I31" s="16">
        <v>5480221.8700000001</v>
      </c>
      <c r="J31" s="16">
        <v>44465430.38000001</v>
      </c>
      <c r="K31" s="16">
        <v>0</v>
      </c>
      <c r="L31" s="16">
        <v>0</v>
      </c>
      <c r="M31" s="16">
        <v>0</v>
      </c>
      <c r="N31" s="18">
        <f t="shared" si="0"/>
        <v>500579362.81370682</v>
      </c>
      <c r="O31" s="4"/>
    </row>
    <row r="32" spans="1:15" ht="15" x14ac:dyDescent="0.2">
      <c r="A32" s="17" t="s">
        <v>27</v>
      </c>
      <c r="B32" s="16">
        <v>1644532915.1900001</v>
      </c>
      <c r="C32" s="16">
        <v>0</v>
      </c>
      <c r="D32" s="16">
        <v>253666119.2259863</v>
      </c>
      <c r="E32" s="16">
        <v>23247696.560000002</v>
      </c>
      <c r="F32" s="16">
        <v>6159702.54</v>
      </c>
      <c r="G32" s="16">
        <v>3405003.48</v>
      </c>
      <c r="H32" s="16">
        <v>89388005.930000007</v>
      </c>
      <c r="I32" s="16">
        <v>16162866.33</v>
      </c>
      <c r="J32" s="16">
        <v>139129674.72</v>
      </c>
      <c r="K32" s="16">
        <v>0</v>
      </c>
      <c r="L32" s="16">
        <v>0</v>
      </c>
      <c r="M32" s="16">
        <v>0</v>
      </c>
      <c r="N32" s="18">
        <f t="shared" si="0"/>
        <v>2175691983.975986</v>
      </c>
      <c r="O32" s="4"/>
    </row>
    <row r="33" spans="1:15" ht="15" x14ac:dyDescent="0.2">
      <c r="A33" s="17" t="s">
        <v>28</v>
      </c>
      <c r="B33" s="16">
        <v>1118271667.9400001</v>
      </c>
      <c r="C33" s="16">
        <v>0</v>
      </c>
      <c r="D33" s="16">
        <v>136276667.45990586</v>
      </c>
      <c r="E33" s="16">
        <v>15808282.189999999</v>
      </c>
      <c r="F33" s="16">
        <v>4520323.37</v>
      </c>
      <c r="G33" s="16">
        <v>2737577.55</v>
      </c>
      <c r="H33" s="16">
        <v>60783261.659999996</v>
      </c>
      <c r="I33" s="16">
        <v>11861186.800000001</v>
      </c>
      <c r="J33" s="16">
        <v>132711749.42000006</v>
      </c>
      <c r="K33" s="16">
        <v>0</v>
      </c>
      <c r="L33" s="16">
        <v>0</v>
      </c>
      <c r="M33" s="16">
        <v>0</v>
      </c>
      <c r="N33" s="18">
        <f t="shared" si="0"/>
        <v>1482970716.3899059</v>
      </c>
      <c r="O33" s="4"/>
    </row>
    <row r="34" spans="1:15" ht="15" x14ac:dyDescent="0.2">
      <c r="A34" s="17" t="s">
        <v>29</v>
      </c>
      <c r="B34" s="16">
        <v>1455527221.5799999</v>
      </c>
      <c r="C34" s="16">
        <v>0</v>
      </c>
      <c r="D34" s="16">
        <v>142500177.46363282</v>
      </c>
      <c r="E34" s="16">
        <v>21545723.619999997</v>
      </c>
      <c r="F34" s="16">
        <v>6573557.5499999998</v>
      </c>
      <c r="G34" s="16">
        <v>4570170.78</v>
      </c>
      <c r="H34" s="16">
        <v>79114668.189999998</v>
      </c>
      <c r="I34" s="16">
        <v>17248808.91</v>
      </c>
      <c r="J34" s="16">
        <v>166937920.23000008</v>
      </c>
      <c r="K34" s="16">
        <v>0</v>
      </c>
      <c r="L34" s="16">
        <v>0</v>
      </c>
      <c r="M34" s="16">
        <v>0</v>
      </c>
      <c r="N34" s="18">
        <f t="shared" si="0"/>
        <v>1894018248.3236327</v>
      </c>
      <c r="O34" s="4"/>
    </row>
    <row r="35" spans="1:15" ht="15" x14ac:dyDescent="0.2">
      <c r="A35" s="17" t="s">
        <v>30</v>
      </c>
      <c r="B35" s="16">
        <v>690129369</v>
      </c>
      <c r="C35" s="16">
        <v>0</v>
      </c>
      <c r="D35" s="16">
        <v>110811274.2146551</v>
      </c>
      <c r="E35" s="16">
        <v>9755911.8399999999</v>
      </c>
      <c r="F35" s="16">
        <v>4109676.53</v>
      </c>
      <c r="G35" s="16">
        <v>1776031.72</v>
      </c>
      <c r="H35" s="16">
        <v>37511738.170000002</v>
      </c>
      <c r="I35" s="16">
        <v>10783662.380000001</v>
      </c>
      <c r="J35" s="16">
        <v>59997988.769999981</v>
      </c>
      <c r="K35" s="16">
        <v>0</v>
      </c>
      <c r="L35" s="16">
        <v>0</v>
      </c>
      <c r="M35" s="16">
        <v>0</v>
      </c>
      <c r="N35" s="18">
        <f t="shared" si="0"/>
        <v>924875652.62465513</v>
      </c>
      <c r="O35" s="4"/>
    </row>
    <row r="36" spans="1:15" ht="15" x14ac:dyDescent="0.2">
      <c r="A36" s="17" t="s">
        <v>31</v>
      </c>
      <c r="B36" s="16">
        <v>811819942.0200001</v>
      </c>
      <c r="C36" s="16">
        <v>0</v>
      </c>
      <c r="D36" s="16">
        <v>108052341.84564082</v>
      </c>
      <c r="E36" s="16">
        <v>11476172.67</v>
      </c>
      <c r="F36" s="16">
        <v>2585791.79</v>
      </c>
      <c r="G36" s="16">
        <v>1029419.66</v>
      </c>
      <c r="H36" s="16">
        <v>44126186.299999997</v>
      </c>
      <c r="I36" s="16">
        <v>6785036.5999999996</v>
      </c>
      <c r="J36" s="16">
        <v>60423639.30999998</v>
      </c>
      <c r="K36" s="16">
        <v>0</v>
      </c>
      <c r="L36" s="16">
        <v>0</v>
      </c>
      <c r="M36" s="16">
        <v>0</v>
      </c>
      <c r="N36" s="18">
        <f t="shared" si="0"/>
        <v>1046298530.1956407</v>
      </c>
      <c r="O36" s="4"/>
    </row>
    <row r="37" spans="1:15" ht="15" x14ac:dyDescent="0.2">
      <c r="A37" s="17" t="s">
        <v>32</v>
      </c>
      <c r="B37" s="16">
        <v>843077070.26999998</v>
      </c>
      <c r="C37" s="16">
        <v>0</v>
      </c>
      <c r="D37" s="16">
        <v>131501508.14685565</v>
      </c>
      <c r="E37" s="16">
        <v>11918034.439999999</v>
      </c>
      <c r="F37" s="16">
        <v>4796226.71</v>
      </c>
      <c r="G37" s="16">
        <v>1572410.24</v>
      </c>
      <c r="H37" s="16">
        <v>45825156.469999999</v>
      </c>
      <c r="I37" s="16">
        <v>12585148.52</v>
      </c>
      <c r="J37" s="16">
        <v>102562733.11000006</v>
      </c>
      <c r="K37" s="16">
        <v>0</v>
      </c>
      <c r="L37" s="16">
        <v>0</v>
      </c>
      <c r="M37" s="16">
        <v>0</v>
      </c>
      <c r="N37" s="18">
        <f t="shared" si="0"/>
        <v>1153838287.9068558</v>
      </c>
      <c r="O37" s="4"/>
    </row>
    <row r="38" spans="1:15" ht="15" x14ac:dyDescent="0.2">
      <c r="A38" s="17" t="s">
        <v>33</v>
      </c>
      <c r="B38" s="16">
        <v>737272618.42000008</v>
      </c>
      <c r="C38" s="16">
        <v>0</v>
      </c>
      <c r="D38" s="16">
        <v>11621948.114019493</v>
      </c>
      <c r="E38" s="16">
        <v>10422345.439999999</v>
      </c>
      <c r="F38" s="16">
        <v>4286126.3499999996</v>
      </c>
      <c r="G38" s="16">
        <v>4355237.01</v>
      </c>
      <c r="H38" s="16">
        <v>40074192.850000001</v>
      </c>
      <c r="I38" s="16">
        <v>11246661.16</v>
      </c>
      <c r="J38" s="16">
        <v>169250130.05000001</v>
      </c>
      <c r="K38" s="16">
        <v>0</v>
      </c>
      <c r="L38" s="16">
        <v>0</v>
      </c>
      <c r="M38" s="16">
        <v>0</v>
      </c>
      <c r="N38" s="18">
        <f t="shared" si="0"/>
        <v>988529259.3940196</v>
      </c>
      <c r="O38" s="4"/>
    </row>
    <row r="39" spans="1:15" ht="15" x14ac:dyDescent="0.2">
      <c r="A39" s="17" t="s">
        <v>34</v>
      </c>
      <c r="B39" s="16">
        <v>1363610247.9200001</v>
      </c>
      <c r="C39" s="16">
        <v>0</v>
      </c>
      <c r="D39" s="16">
        <v>189528726.57602736</v>
      </c>
      <c r="E39" s="16">
        <v>19276474.789999999</v>
      </c>
      <c r="F39" s="16">
        <v>5460319.6399999997</v>
      </c>
      <c r="G39" s="16">
        <v>2714952.94</v>
      </c>
      <c r="H39" s="16">
        <v>74118553.540000007</v>
      </c>
      <c r="I39" s="16">
        <v>14327707.550000001</v>
      </c>
      <c r="J39" s="16">
        <v>146936952.69999999</v>
      </c>
      <c r="K39" s="16">
        <v>0</v>
      </c>
      <c r="L39" s="16">
        <v>0</v>
      </c>
      <c r="M39" s="16">
        <v>0</v>
      </c>
      <c r="N39" s="18">
        <f t="shared" si="0"/>
        <v>1815973935.6560276</v>
      </c>
      <c r="O39" s="4"/>
    </row>
    <row r="40" spans="1:15" ht="15" x14ac:dyDescent="0.2">
      <c r="A40" s="17" t="s">
        <v>35</v>
      </c>
      <c r="B40" s="16">
        <v>960193429.46000004</v>
      </c>
      <c r="C40" s="16">
        <v>0</v>
      </c>
      <c r="D40" s="16">
        <v>161200764.35591102</v>
      </c>
      <c r="E40" s="16">
        <v>13573632.540000001</v>
      </c>
      <c r="F40" s="16">
        <v>2916234.17</v>
      </c>
      <c r="G40" s="16">
        <v>1187791.9099999999</v>
      </c>
      <c r="H40" s="16">
        <v>52190974.82</v>
      </c>
      <c r="I40" s="16">
        <v>7652107.0300000003</v>
      </c>
      <c r="J40" s="16">
        <v>80950374.270000026</v>
      </c>
      <c r="K40" s="16">
        <v>0</v>
      </c>
      <c r="L40" s="16">
        <v>0</v>
      </c>
      <c r="M40" s="16">
        <v>0</v>
      </c>
      <c r="N40" s="18">
        <f t="shared" ref="N40:N71" si="1">SUM(B40:M40)</f>
        <v>1279865308.5559111</v>
      </c>
      <c r="O40" s="4"/>
    </row>
    <row r="41" spans="1:15" ht="15" x14ac:dyDescent="0.2">
      <c r="A41" s="17" t="s">
        <v>36</v>
      </c>
      <c r="B41" s="16">
        <v>886326056.54999995</v>
      </c>
      <c r="C41" s="16">
        <v>0</v>
      </c>
      <c r="D41" s="16">
        <v>45711077.757265829</v>
      </c>
      <c r="E41" s="16">
        <v>12529417.34</v>
      </c>
      <c r="F41" s="16">
        <v>4937386.5599999996</v>
      </c>
      <c r="G41" s="16">
        <v>2070151.62</v>
      </c>
      <c r="H41" s="16">
        <v>48175939.850000001</v>
      </c>
      <c r="I41" s="16">
        <v>12955547.539999999</v>
      </c>
      <c r="J41" s="16">
        <v>83065728.310000062</v>
      </c>
      <c r="K41" s="16">
        <v>0</v>
      </c>
      <c r="L41" s="16">
        <v>0</v>
      </c>
      <c r="M41" s="16">
        <v>0</v>
      </c>
      <c r="N41" s="18">
        <f t="shared" si="1"/>
        <v>1095771305.5272658</v>
      </c>
      <c r="O41" s="4"/>
    </row>
    <row r="42" spans="1:15" ht="15" x14ac:dyDescent="0.2">
      <c r="A42" s="17" t="s">
        <v>37</v>
      </c>
      <c r="B42" s="16">
        <v>594503573.27999997</v>
      </c>
      <c r="C42" s="16">
        <v>0</v>
      </c>
      <c r="D42" s="16">
        <v>6808107.9705968704</v>
      </c>
      <c r="E42" s="16">
        <v>8404111.9199999999</v>
      </c>
      <c r="F42" s="16">
        <v>13410185.73</v>
      </c>
      <c r="G42" s="16">
        <v>0</v>
      </c>
      <c r="H42" s="16">
        <v>32314031.809999999</v>
      </c>
      <c r="I42" s="16">
        <v>35187906.909999996</v>
      </c>
      <c r="J42" s="16">
        <v>126577898.15999997</v>
      </c>
      <c r="K42" s="16">
        <v>0</v>
      </c>
      <c r="L42" s="16">
        <v>0</v>
      </c>
      <c r="M42" s="16">
        <v>0</v>
      </c>
      <c r="N42" s="18">
        <f t="shared" si="1"/>
        <v>817205815.78059673</v>
      </c>
      <c r="O42" s="4"/>
    </row>
    <row r="43" spans="1:15" ht="15" x14ac:dyDescent="0.2">
      <c r="A43" s="17" t="s">
        <v>38</v>
      </c>
      <c r="B43" s="16">
        <v>3099441999.8899999</v>
      </c>
      <c r="C43" s="16">
        <v>0</v>
      </c>
      <c r="D43" s="16">
        <v>40988404.126398787</v>
      </c>
      <c r="E43" s="16">
        <v>43814803.859999999</v>
      </c>
      <c r="F43" s="16">
        <v>55764557.060000002</v>
      </c>
      <c r="G43" s="16">
        <v>16538588.33</v>
      </c>
      <c r="H43" s="16">
        <v>168469075.5</v>
      </c>
      <c r="I43" s="16">
        <v>146324449.25999999</v>
      </c>
      <c r="J43" s="16">
        <v>414543676.37999988</v>
      </c>
      <c r="K43" s="16">
        <v>0</v>
      </c>
      <c r="L43" s="16">
        <v>0</v>
      </c>
      <c r="M43" s="16">
        <v>0</v>
      </c>
      <c r="N43" s="18">
        <f t="shared" si="1"/>
        <v>3985885554.4063988</v>
      </c>
      <c r="O43" s="4"/>
    </row>
    <row r="44" spans="1:15" ht="15" x14ac:dyDescent="0.2">
      <c r="A44" s="17" t="s">
        <v>39</v>
      </c>
      <c r="B44" s="16">
        <v>3014757229.25</v>
      </c>
      <c r="C44" s="16">
        <v>0</v>
      </c>
      <c r="D44" s="16">
        <v>30336119.049188111</v>
      </c>
      <c r="E44" s="16">
        <v>42617670.120000005</v>
      </c>
      <c r="F44" s="16">
        <v>70166069.930000007</v>
      </c>
      <c r="G44" s="16">
        <v>28309097.539789453</v>
      </c>
      <c r="H44" s="16">
        <v>163866064.69999999</v>
      </c>
      <c r="I44" s="16">
        <v>184113567.47</v>
      </c>
      <c r="J44" s="16">
        <v>536067819.43000001</v>
      </c>
      <c r="K44" s="16">
        <v>0</v>
      </c>
      <c r="L44" s="16">
        <v>0</v>
      </c>
      <c r="M44" s="16">
        <v>0</v>
      </c>
      <c r="N44" s="18">
        <f t="shared" si="1"/>
        <v>4070233637.488977</v>
      </c>
      <c r="O44" s="4"/>
    </row>
    <row r="45" spans="1:15" ht="15" x14ac:dyDescent="0.2">
      <c r="A45" s="17" t="s">
        <v>40</v>
      </c>
      <c r="B45" s="16">
        <v>844169112.32000005</v>
      </c>
      <c r="C45" s="16">
        <v>0</v>
      </c>
      <c r="D45" s="16">
        <v>47203758.526276551</v>
      </c>
      <c r="E45" s="16">
        <v>11933471.920000002</v>
      </c>
      <c r="F45" s="16">
        <v>5226122.62</v>
      </c>
      <c r="G45" s="16">
        <v>2590517.6</v>
      </c>
      <c r="H45" s="16">
        <v>45884514.030000001</v>
      </c>
      <c r="I45" s="16">
        <v>13713181.9</v>
      </c>
      <c r="J45" s="16">
        <v>80251091.279999956</v>
      </c>
      <c r="K45" s="16">
        <v>0</v>
      </c>
      <c r="L45" s="16">
        <v>0</v>
      </c>
      <c r="M45" s="16">
        <v>0</v>
      </c>
      <c r="N45" s="18">
        <f t="shared" si="1"/>
        <v>1050971770.1962765</v>
      </c>
      <c r="O45" s="4"/>
    </row>
    <row r="46" spans="1:15" ht="15" x14ac:dyDescent="0.2">
      <c r="A46" s="17" t="s">
        <v>41</v>
      </c>
      <c r="B46" s="16">
        <v>1334331158.1500001</v>
      </c>
      <c r="C46" s="16">
        <v>0</v>
      </c>
      <c r="D46" s="16">
        <v>46354084.49918811</v>
      </c>
      <c r="E46" s="16">
        <v>19751695.420000002</v>
      </c>
      <c r="F46" s="16">
        <v>41221884.340000004</v>
      </c>
      <c r="G46" s="16">
        <v>0</v>
      </c>
      <c r="H46" s="16">
        <v>72527098.959999993</v>
      </c>
      <c r="I46" s="16">
        <v>108164932.03</v>
      </c>
      <c r="J46" s="16">
        <v>339532754.38000005</v>
      </c>
      <c r="K46" s="16">
        <v>0</v>
      </c>
      <c r="L46" s="16">
        <v>0</v>
      </c>
      <c r="M46" s="16">
        <v>0</v>
      </c>
      <c r="N46" s="18">
        <f t="shared" si="1"/>
        <v>1961883607.7791884</v>
      </c>
      <c r="O46" s="4"/>
    </row>
    <row r="47" spans="1:15" ht="15" x14ac:dyDescent="0.2">
      <c r="A47" s="17" t="s">
        <v>42</v>
      </c>
      <c r="B47" s="16">
        <v>4053124386.25</v>
      </c>
      <c r="C47" s="16">
        <v>0</v>
      </c>
      <c r="D47" s="16">
        <v>28523039.731360584</v>
      </c>
      <c r="E47" s="16">
        <v>59997158.780000001</v>
      </c>
      <c r="F47" s="16">
        <v>128506794.25</v>
      </c>
      <c r="G47" s="16">
        <v>32031780.465778612</v>
      </c>
      <c r="H47" s="16">
        <v>220306144.87</v>
      </c>
      <c r="I47" s="16">
        <v>337197798.83999997</v>
      </c>
      <c r="J47" s="16">
        <v>816953242.28000009</v>
      </c>
      <c r="K47" s="16">
        <v>0</v>
      </c>
      <c r="L47" s="16">
        <v>0</v>
      </c>
      <c r="M47" s="16">
        <v>0</v>
      </c>
      <c r="N47" s="18">
        <f t="shared" si="1"/>
        <v>5676640345.4671392</v>
      </c>
      <c r="O47" s="4"/>
    </row>
    <row r="48" spans="1:15" ht="15" x14ac:dyDescent="0.2">
      <c r="A48" s="17" t="s">
        <v>43</v>
      </c>
      <c r="B48" s="16">
        <v>417427923.94</v>
      </c>
      <c r="C48" s="16">
        <v>0</v>
      </c>
      <c r="D48" s="16">
        <v>70480815.536321163</v>
      </c>
      <c r="E48" s="16">
        <v>5900908.1699999999</v>
      </c>
      <c r="F48" s="16">
        <v>1116446.08</v>
      </c>
      <c r="G48" s="16">
        <v>701362.84</v>
      </c>
      <c r="H48" s="16">
        <v>22689147.420000002</v>
      </c>
      <c r="I48" s="16">
        <v>2929519.52</v>
      </c>
      <c r="J48" s="16">
        <v>43830639.910000004</v>
      </c>
      <c r="K48" s="16">
        <v>0</v>
      </c>
      <c r="L48" s="16">
        <v>0</v>
      </c>
      <c r="M48" s="16">
        <v>0</v>
      </c>
      <c r="N48" s="18">
        <f t="shared" si="1"/>
        <v>565076763.41632116</v>
      </c>
      <c r="O48" s="4"/>
    </row>
    <row r="49" spans="1:15" ht="15" x14ac:dyDescent="0.2">
      <c r="A49" s="17" t="s">
        <v>44</v>
      </c>
      <c r="B49" s="16">
        <v>730308274.7700001</v>
      </c>
      <c r="C49" s="16">
        <v>0</v>
      </c>
      <c r="D49" s="16">
        <v>118524732.95208544</v>
      </c>
      <c r="E49" s="16">
        <v>9149638.5500000007</v>
      </c>
      <c r="F49" s="16">
        <v>6592806.6200000001</v>
      </c>
      <c r="G49" s="16">
        <v>2941199.02</v>
      </c>
      <c r="H49" s="16">
        <v>39695648.409999996</v>
      </c>
      <c r="I49" s="16">
        <v>17299317.870000001</v>
      </c>
      <c r="J49" s="16">
        <v>103159749.33999997</v>
      </c>
      <c r="K49" s="16">
        <v>0</v>
      </c>
      <c r="L49" s="16">
        <v>0</v>
      </c>
      <c r="M49" s="16">
        <v>0</v>
      </c>
      <c r="N49" s="18">
        <f t="shared" si="1"/>
        <v>1027671367.5320854</v>
      </c>
      <c r="O49" s="4"/>
    </row>
    <row r="50" spans="1:15" ht="15" x14ac:dyDescent="0.2">
      <c r="A50" s="17" t="s">
        <v>45</v>
      </c>
      <c r="B50" s="16">
        <v>488946376.22000003</v>
      </c>
      <c r="C50" s="16">
        <v>0</v>
      </c>
      <c r="D50" s="16">
        <v>83036825.697977811</v>
      </c>
      <c r="E50" s="16">
        <v>6911918.2000000011</v>
      </c>
      <c r="F50" s="16">
        <v>1847910.76</v>
      </c>
      <c r="G50" s="16">
        <v>837110.49</v>
      </c>
      <c r="H50" s="16">
        <v>26576507.640000001</v>
      </c>
      <c r="I50" s="16">
        <v>4848859.9000000004</v>
      </c>
      <c r="J50" s="16">
        <v>74548111.459999979</v>
      </c>
      <c r="K50" s="16">
        <v>0</v>
      </c>
      <c r="L50" s="16">
        <v>0</v>
      </c>
      <c r="M50" s="16">
        <v>0</v>
      </c>
      <c r="N50" s="18">
        <f t="shared" si="1"/>
        <v>687553620.36797786</v>
      </c>
      <c r="O50" s="4"/>
    </row>
    <row r="51" spans="1:15" ht="15" x14ac:dyDescent="0.2">
      <c r="A51" s="17" t="s">
        <v>46</v>
      </c>
      <c r="B51" s="16">
        <v>469454455.76999998</v>
      </c>
      <c r="C51" s="16">
        <v>0</v>
      </c>
      <c r="D51" s="16">
        <v>97569152.350431159</v>
      </c>
      <c r="E51" s="16">
        <v>6636373.5500000007</v>
      </c>
      <c r="F51" s="16">
        <v>2303472.09</v>
      </c>
      <c r="G51" s="16">
        <v>1052044.26</v>
      </c>
      <c r="H51" s="16">
        <v>25517031.190000001</v>
      </c>
      <c r="I51" s="16">
        <v>6044238.5599999996</v>
      </c>
      <c r="J51" s="16">
        <v>51718687.070000015</v>
      </c>
      <c r="K51" s="16">
        <v>0</v>
      </c>
      <c r="L51" s="16">
        <v>0</v>
      </c>
      <c r="M51" s="16">
        <v>0</v>
      </c>
      <c r="N51" s="18">
        <f t="shared" si="1"/>
        <v>660295454.84043121</v>
      </c>
      <c r="O51" s="4"/>
    </row>
    <row r="52" spans="1:15" ht="15" x14ac:dyDescent="0.2">
      <c r="A52" s="17" t="s">
        <v>47</v>
      </c>
      <c r="B52" s="16">
        <v>565574761.13</v>
      </c>
      <c r="C52" s="16">
        <v>0</v>
      </c>
      <c r="D52" s="16">
        <v>83679012.985093355</v>
      </c>
      <c r="E52" s="16">
        <v>7995164.0500000007</v>
      </c>
      <c r="F52" s="16">
        <v>2120605.92</v>
      </c>
      <c r="G52" s="16">
        <v>1346164.17</v>
      </c>
      <c r="H52" s="16">
        <v>30741616.440000001</v>
      </c>
      <c r="I52" s="16">
        <v>5564403.46</v>
      </c>
      <c r="J52" s="16">
        <v>66293992.600000009</v>
      </c>
      <c r="K52" s="16">
        <v>0</v>
      </c>
      <c r="L52" s="16">
        <v>0</v>
      </c>
      <c r="M52" s="16">
        <v>0</v>
      </c>
      <c r="N52" s="18">
        <f t="shared" si="1"/>
        <v>763315720.75509334</v>
      </c>
      <c r="O52" s="4"/>
    </row>
    <row r="53" spans="1:15" ht="15" x14ac:dyDescent="0.2">
      <c r="A53" s="17" t="s">
        <v>48</v>
      </c>
      <c r="B53" s="16">
        <v>202831358.03999996</v>
      </c>
      <c r="C53" s="16">
        <v>0</v>
      </c>
      <c r="D53" s="16">
        <v>72557079.654393017</v>
      </c>
      <c r="E53" s="16">
        <v>2867295.53</v>
      </c>
      <c r="F53" s="16">
        <v>368940.51</v>
      </c>
      <c r="G53" s="16">
        <v>203621.47</v>
      </c>
      <c r="H53" s="16">
        <v>11024826.85</v>
      </c>
      <c r="I53" s="16">
        <v>968088.35</v>
      </c>
      <c r="J53" s="16">
        <v>35060273.710000008</v>
      </c>
      <c r="K53" s="16">
        <v>0</v>
      </c>
      <c r="L53" s="16">
        <v>0</v>
      </c>
      <c r="M53" s="16">
        <v>0</v>
      </c>
      <c r="N53" s="18">
        <f t="shared" si="1"/>
        <v>325881484.114393</v>
      </c>
      <c r="O53" s="4"/>
    </row>
    <row r="54" spans="1:15" ht="15" x14ac:dyDescent="0.2">
      <c r="A54" s="17" t="s">
        <v>49</v>
      </c>
      <c r="B54" s="16">
        <v>733934678.57000017</v>
      </c>
      <c r="C54" s="16">
        <v>0</v>
      </c>
      <c r="D54" s="16">
        <v>106851927.27388072</v>
      </c>
      <c r="E54" s="16">
        <v>10375159.130000001</v>
      </c>
      <c r="F54" s="16">
        <v>1267230.47</v>
      </c>
      <c r="G54" s="16">
        <v>746612.06</v>
      </c>
      <c r="H54" s="16">
        <v>39892760.310000002</v>
      </c>
      <c r="I54" s="16">
        <v>3325173.02</v>
      </c>
      <c r="J54" s="16">
        <v>80211474.519999966</v>
      </c>
      <c r="K54" s="16">
        <v>0</v>
      </c>
      <c r="L54" s="16">
        <v>0</v>
      </c>
      <c r="M54" s="16">
        <v>0</v>
      </c>
      <c r="N54" s="18">
        <f t="shared" si="1"/>
        <v>976605015.35388088</v>
      </c>
      <c r="O54" s="4"/>
    </row>
    <row r="55" spans="1:15" ht="15" x14ac:dyDescent="0.2">
      <c r="A55" s="17" t="s">
        <v>50</v>
      </c>
      <c r="B55" s="16">
        <v>339254196.54000002</v>
      </c>
      <c r="C55" s="16">
        <v>0</v>
      </c>
      <c r="D55" s="16">
        <v>35264143.028304502</v>
      </c>
      <c r="E55" s="16">
        <v>4795816.82</v>
      </c>
      <c r="F55" s="16">
        <v>2338762.0499999998</v>
      </c>
      <c r="G55" s="16">
        <v>1165167.3</v>
      </c>
      <c r="H55" s="16">
        <v>18440042.07</v>
      </c>
      <c r="I55" s="16">
        <v>6136838.3099999996</v>
      </c>
      <c r="J55" s="16">
        <v>56628716.210000038</v>
      </c>
      <c r="K55" s="16">
        <v>0</v>
      </c>
      <c r="L55" s="16">
        <v>0</v>
      </c>
      <c r="M55" s="16">
        <v>0</v>
      </c>
      <c r="N55" s="18">
        <f t="shared" si="1"/>
        <v>464023682.32830459</v>
      </c>
      <c r="O55" s="4"/>
    </row>
    <row r="56" spans="1:15" ht="15" x14ac:dyDescent="0.2">
      <c r="A56" s="17" t="s">
        <v>51</v>
      </c>
      <c r="B56" s="16">
        <v>248552892.31999999</v>
      </c>
      <c r="C56" s="16">
        <v>0</v>
      </c>
      <c r="D56" s="16">
        <v>38951179.817888565</v>
      </c>
      <c r="E56" s="16">
        <v>3513631.2300000004</v>
      </c>
      <c r="F56" s="16">
        <v>660884.75</v>
      </c>
      <c r="G56" s="16">
        <v>316744.51</v>
      </c>
      <c r="H56" s="16">
        <v>13510004.710000001</v>
      </c>
      <c r="I56" s="16">
        <v>1734140.87</v>
      </c>
      <c r="J56" s="16">
        <v>46747236.469999999</v>
      </c>
      <c r="K56" s="16">
        <v>0</v>
      </c>
      <c r="L56" s="16">
        <v>0</v>
      </c>
      <c r="M56" s="16">
        <v>0</v>
      </c>
      <c r="N56" s="18">
        <f t="shared" si="1"/>
        <v>353986714.67788851</v>
      </c>
      <c r="O56" s="4"/>
    </row>
    <row r="57" spans="1:15" ht="15" x14ac:dyDescent="0.2">
      <c r="A57" s="17" t="s">
        <v>52</v>
      </c>
      <c r="B57" s="16">
        <v>641749845.51999998</v>
      </c>
      <c r="C57" s="16">
        <v>0</v>
      </c>
      <c r="D57" s="16">
        <v>73642407.275276616</v>
      </c>
      <c r="E57" s="16">
        <v>9072001.870000001</v>
      </c>
      <c r="F57" s="16">
        <v>3394252.75</v>
      </c>
      <c r="G57" s="16">
        <v>1459287.21</v>
      </c>
      <c r="H57" s="16">
        <v>34882086.259999998</v>
      </c>
      <c r="I57" s="16">
        <v>8906412.8000000007</v>
      </c>
      <c r="J57" s="16">
        <v>99810438.720000029</v>
      </c>
      <c r="K57" s="16">
        <v>0</v>
      </c>
      <c r="L57" s="16">
        <v>0</v>
      </c>
      <c r="M57" s="16">
        <v>0</v>
      </c>
      <c r="N57" s="18">
        <f t="shared" si="1"/>
        <v>872916732.40527666</v>
      </c>
      <c r="O57" s="4"/>
    </row>
    <row r="58" spans="1:15" ht="15" x14ac:dyDescent="0.2">
      <c r="A58" s="17" t="s">
        <v>53</v>
      </c>
      <c r="B58" s="16">
        <v>571797340.38</v>
      </c>
      <c r="C58" s="16">
        <v>0</v>
      </c>
      <c r="D58" s="16">
        <v>40906299.716598473</v>
      </c>
      <c r="E58" s="16">
        <v>8083128.6099999994</v>
      </c>
      <c r="F58" s="16">
        <v>1976237.89</v>
      </c>
      <c r="G58" s="16">
        <v>916296.62</v>
      </c>
      <c r="H58" s="16">
        <v>31079842.539999999</v>
      </c>
      <c r="I58" s="16">
        <v>5185586.28</v>
      </c>
      <c r="J58" s="16">
        <v>56484068.750000022</v>
      </c>
      <c r="K58" s="16">
        <v>0</v>
      </c>
      <c r="L58" s="16">
        <v>0</v>
      </c>
      <c r="M58" s="16">
        <v>0</v>
      </c>
      <c r="N58" s="18">
        <f t="shared" si="1"/>
        <v>716428800.78659844</v>
      </c>
      <c r="O58" s="4"/>
    </row>
    <row r="59" spans="1:15" ht="15" x14ac:dyDescent="0.2">
      <c r="A59" s="17" t="s">
        <v>54</v>
      </c>
      <c r="B59" s="16">
        <v>634187969.42999995</v>
      </c>
      <c r="C59" s="16">
        <v>0</v>
      </c>
      <c r="D59" s="16">
        <v>121799728.85628942</v>
      </c>
      <c r="E59" s="16">
        <v>8965104.5199999996</v>
      </c>
      <c r="F59" s="16">
        <v>1924907.04</v>
      </c>
      <c r="G59" s="16">
        <v>837110.49</v>
      </c>
      <c r="H59" s="16">
        <v>34471063.149999999</v>
      </c>
      <c r="I59" s="16">
        <v>5050895.7300000004</v>
      </c>
      <c r="J59" s="16">
        <v>63175933.56999997</v>
      </c>
      <c r="K59" s="16">
        <v>0</v>
      </c>
      <c r="L59" s="16">
        <v>0</v>
      </c>
      <c r="M59" s="16">
        <v>0</v>
      </c>
      <c r="N59" s="18">
        <f t="shared" si="1"/>
        <v>870412712.78628922</v>
      </c>
      <c r="O59" s="4"/>
    </row>
    <row r="60" spans="1:15" ht="15" x14ac:dyDescent="0.2">
      <c r="A60" s="17" t="s">
        <v>55</v>
      </c>
      <c r="B60" s="16">
        <v>4420771676.3299999</v>
      </c>
      <c r="C60" s="16">
        <v>0</v>
      </c>
      <c r="D60" s="16">
        <v>227990091.15338379</v>
      </c>
      <c r="E60" s="16">
        <v>102679342.22999999</v>
      </c>
      <c r="F60" s="16">
        <v>105885928.31</v>
      </c>
      <c r="G60" s="16">
        <v>43065940.990000002</v>
      </c>
      <c r="H60" s="16">
        <v>240289483.5</v>
      </c>
      <c r="I60" s="16">
        <v>277841355.87</v>
      </c>
      <c r="J60" s="16">
        <v>1056021112.5099998</v>
      </c>
      <c r="K60" s="16">
        <v>0</v>
      </c>
      <c r="L60" s="16">
        <v>0</v>
      </c>
      <c r="M60" s="16">
        <v>0</v>
      </c>
      <c r="N60" s="18">
        <f t="shared" si="1"/>
        <v>6474544930.893383</v>
      </c>
      <c r="O60" s="4"/>
    </row>
    <row r="61" spans="1:15" ht="15" x14ac:dyDescent="0.2">
      <c r="A61" s="17" t="s">
        <v>56</v>
      </c>
      <c r="B61" s="16">
        <v>940351231.38999999</v>
      </c>
      <c r="C61" s="16">
        <v>0</v>
      </c>
      <c r="D61" s="16">
        <v>28560306.698494878</v>
      </c>
      <c r="E61" s="16">
        <v>13293136.24</v>
      </c>
      <c r="F61" s="16">
        <v>18902587.170000002</v>
      </c>
      <c r="G61" s="16">
        <v>3419018.9362940593</v>
      </c>
      <c r="H61" s="16">
        <v>51112459.149999999</v>
      </c>
      <c r="I61" s="16">
        <v>49599796.049999997</v>
      </c>
      <c r="J61" s="16">
        <v>261477786.14999998</v>
      </c>
      <c r="K61" s="16">
        <v>0</v>
      </c>
      <c r="L61" s="16">
        <v>0</v>
      </c>
      <c r="M61" s="16">
        <v>0</v>
      </c>
      <c r="N61" s="18">
        <f t="shared" si="1"/>
        <v>1366716321.7847891</v>
      </c>
      <c r="O61" s="4"/>
    </row>
    <row r="62" spans="1:15" ht="15" x14ac:dyDescent="0.2">
      <c r="A62" s="17" t="s">
        <v>57</v>
      </c>
      <c r="B62" s="16">
        <v>5060234415.0100002</v>
      </c>
      <c r="C62" s="16">
        <v>0</v>
      </c>
      <c r="D62" s="16">
        <v>35328926.439999998</v>
      </c>
      <c r="E62" s="16">
        <v>74905100.060000002</v>
      </c>
      <c r="F62" s="16">
        <v>84756865.319999993</v>
      </c>
      <c r="G62" s="16">
        <v>0</v>
      </c>
      <c r="H62" s="16">
        <v>275047254.87</v>
      </c>
      <c r="I62" s="16">
        <v>222399357.09</v>
      </c>
      <c r="J62" s="16">
        <v>519967112.75999981</v>
      </c>
      <c r="K62" s="16">
        <v>0</v>
      </c>
      <c r="L62" s="16">
        <v>0</v>
      </c>
      <c r="M62" s="16">
        <v>0</v>
      </c>
      <c r="N62" s="18">
        <f t="shared" si="1"/>
        <v>6272639031.5500002</v>
      </c>
      <c r="O62" s="4"/>
    </row>
    <row r="63" spans="1:15" ht="15" x14ac:dyDescent="0.2">
      <c r="A63" s="17" t="s">
        <v>58</v>
      </c>
      <c r="B63" s="16">
        <v>822802176.30000019</v>
      </c>
      <c r="C63" s="16">
        <v>0</v>
      </c>
      <c r="D63" s="16">
        <v>111581076.28427435</v>
      </c>
      <c r="E63" s="16">
        <v>11631421.390000001</v>
      </c>
      <c r="F63" s="16">
        <v>2986814.09</v>
      </c>
      <c r="G63" s="16">
        <v>1459287.21</v>
      </c>
      <c r="H63" s="16">
        <v>44723121.770000003</v>
      </c>
      <c r="I63" s="16">
        <v>7837306.54</v>
      </c>
      <c r="J63" s="16">
        <v>69775359.240000024</v>
      </c>
      <c r="K63" s="16">
        <v>0</v>
      </c>
      <c r="L63" s="16">
        <v>0</v>
      </c>
      <c r="M63" s="16">
        <v>0</v>
      </c>
      <c r="N63" s="18">
        <f t="shared" si="1"/>
        <v>1072796562.8242745</v>
      </c>
      <c r="O63" s="4"/>
    </row>
    <row r="64" spans="1:15" ht="15" x14ac:dyDescent="0.2">
      <c r="A64" s="17" t="s">
        <v>59</v>
      </c>
      <c r="B64" s="16">
        <v>1246905980.0899999</v>
      </c>
      <c r="C64" s="16">
        <v>0</v>
      </c>
      <c r="D64" s="16">
        <v>439737642.89010435</v>
      </c>
      <c r="E64" s="16">
        <v>17626702.149999999</v>
      </c>
      <c r="F64" s="16">
        <v>5466736</v>
      </c>
      <c r="G64" s="16">
        <v>2273773.09</v>
      </c>
      <c r="H64" s="16">
        <v>67775134.269999996</v>
      </c>
      <c r="I64" s="16">
        <v>14344543.869999999</v>
      </c>
      <c r="J64" s="16">
        <v>147914167.59999996</v>
      </c>
      <c r="K64" s="16">
        <v>0</v>
      </c>
      <c r="L64" s="16">
        <v>0</v>
      </c>
      <c r="M64" s="16">
        <v>0</v>
      </c>
      <c r="N64" s="18">
        <f t="shared" si="1"/>
        <v>1942044679.960104</v>
      </c>
      <c r="O64" s="4"/>
    </row>
    <row r="65" spans="1:15" ht="15" x14ac:dyDescent="0.2">
      <c r="A65" s="17" t="s">
        <v>60</v>
      </c>
      <c r="B65" s="16">
        <v>689243372.62</v>
      </c>
      <c r="C65" s="16">
        <v>0</v>
      </c>
      <c r="D65" s="16">
        <v>104095703.1988543</v>
      </c>
      <c r="E65" s="16">
        <v>9743387.0899999999</v>
      </c>
      <c r="F65" s="16">
        <v>1190234.18</v>
      </c>
      <c r="G65" s="16">
        <v>757924.36</v>
      </c>
      <c r="H65" s="16">
        <v>37463580.149999999</v>
      </c>
      <c r="I65" s="16">
        <v>3123137.19</v>
      </c>
      <c r="J65" s="16">
        <v>88224821.419999972</v>
      </c>
      <c r="K65" s="16">
        <v>0</v>
      </c>
      <c r="L65" s="16">
        <v>0</v>
      </c>
      <c r="M65" s="16">
        <v>0</v>
      </c>
      <c r="N65" s="18">
        <f t="shared" si="1"/>
        <v>933842160.20885432</v>
      </c>
      <c r="O65" s="4"/>
    </row>
    <row r="66" spans="1:15" ht="15" x14ac:dyDescent="0.2">
      <c r="A66" s="17" t="s">
        <v>61</v>
      </c>
      <c r="B66" s="16">
        <v>395216200.66999996</v>
      </c>
      <c r="C66" s="16">
        <v>0</v>
      </c>
      <c r="D66" s="16">
        <v>76769314.545467004</v>
      </c>
      <c r="E66" s="16">
        <v>5586915.4399999995</v>
      </c>
      <c r="F66" s="16">
        <v>1164568.76</v>
      </c>
      <c r="G66" s="16">
        <v>690050.54</v>
      </c>
      <c r="H66" s="16">
        <v>21481837.039999999</v>
      </c>
      <c r="I66" s="16">
        <v>3055791.92</v>
      </c>
      <c r="J66" s="16">
        <v>39163225.359999992</v>
      </c>
      <c r="K66" s="16">
        <v>0</v>
      </c>
      <c r="L66" s="16">
        <v>0</v>
      </c>
      <c r="M66" s="16">
        <v>0</v>
      </c>
      <c r="N66" s="18">
        <f t="shared" si="1"/>
        <v>543127904.27546704</v>
      </c>
      <c r="O66" s="4"/>
    </row>
    <row r="67" spans="1:15" ht="15" x14ac:dyDescent="0.2">
      <c r="A67" s="17" t="s">
        <v>62</v>
      </c>
      <c r="B67" s="16">
        <v>1762349829.6700001</v>
      </c>
      <c r="C67" s="16">
        <v>0</v>
      </c>
      <c r="D67" s="16">
        <v>10982406.32</v>
      </c>
      <c r="E67" s="16">
        <v>26087524.700000003</v>
      </c>
      <c r="F67" s="16">
        <v>31292572.170000002</v>
      </c>
      <c r="G67" s="16">
        <v>14374214.55544816</v>
      </c>
      <c r="H67" s="16">
        <v>95791902.709999993</v>
      </c>
      <c r="I67" s="16">
        <v>82110728.230000004</v>
      </c>
      <c r="J67" s="16">
        <v>252332749.32000002</v>
      </c>
      <c r="K67" s="16">
        <v>0</v>
      </c>
      <c r="L67" s="16">
        <v>0</v>
      </c>
      <c r="M67" s="16">
        <v>0</v>
      </c>
      <c r="N67" s="18">
        <f t="shared" si="1"/>
        <v>2275321927.6754484</v>
      </c>
      <c r="O67" s="4"/>
    </row>
    <row r="68" spans="1:15" ht="15" x14ac:dyDescent="0.2">
      <c r="A68" s="17" t="s">
        <v>63</v>
      </c>
      <c r="B68" s="16">
        <v>1116623302.5500002</v>
      </c>
      <c r="C68" s="16">
        <v>0</v>
      </c>
      <c r="D68" s="16">
        <v>13701301.09</v>
      </c>
      <c r="E68" s="16">
        <v>15784980.33</v>
      </c>
      <c r="F68" s="16">
        <v>27596750.649999999</v>
      </c>
      <c r="G68" s="16">
        <v>14489471.314837987</v>
      </c>
      <c r="H68" s="16">
        <v>60693665.340000004</v>
      </c>
      <c r="I68" s="16">
        <v>72413008.430000007</v>
      </c>
      <c r="J68" s="16">
        <v>211919290.75000006</v>
      </c>
      <c r="K68" s="16">
        <v>0</v>
      </c>
      <c r="L68" s="16">
        <v>0</v>
      </c>
      <c r="M68" s="16">
        <v>0</v>
      </c>
      <c r="N68" s="18">
        <f t="shared" si="1"/>
        <v>1533221770.454838</v>
      </c>
      <c r="O68" s="4"/>
    </row>
    <row r="69" spans="1:15" ht="15" x14ac:dyDescent="0.2">
      <c r="A69" s="17" t="s">
        <v>64</v>
      </c>
      <c r="B69" s="16">
        <v>3850663910.3200002</v>
      </c>
      <c r="C69" s="16">
        <v>0</v>
      </c>
      <c r="D69" s="16">
        <v>11511139.371012803</v>
      </c>
      <c r="E69" s="16">
        <v>54434341.400000006</v>
      </c>
      <c r="F69" s="16">
        <v>81446025.209999993</v>
      </c>
      <c r="G69" s="16">
        <v>14396346.085229676</v>
      </c>
      <c r="H69" s="16">
        <v>209301477.19</v>
      </c>
      <c r="I69" s="16">
        <v>213711816.43000001</v>
      </c>
      <c r="J69" s="16">
        <v>494868473.60000014</v>
      </c>
      <c r="K69" s="16">
        <v>0</v>
      </c>
      <c r="L69" s="16">
        <v>0</v>
      </c>
      <c r="M69" s="16">
        <v>0</v>
      </c>
      <c r="N69" s="18">
        <f t="shared" si="1"/>
        <v>4930333529.6062431</v>
      </c>
      <c r="O69" s="4"/>
    </row>
    <row r="70" spans="1:15" ht="15" x14ac:dyDescent="0.2">
      <c r="A70" s="17" t="s">
        <v>65</v>
      </c>
      <c r="B70" s="16">
        <v>806133081.51999998</v>
      </c>
      <c r="C70" s="16">
        <v>0</v>
      </c>
      <c r="D70" s="16">
        <v>147804787.92878738</v>
      </c>
      <c r="E70" s="16">
        <v>11395781.210000001</v>
      </c>
      <c r="F70" s="16">
        <v>18087709.850000001</v>
      </c>
      <c r="G70" s="16">
        <v>6696883.9199999999</v>
      </c>
      <c r="H70" s="16">
        <v>43817079.009999998</v>
      </c>
      <c r="I70" s="16">
        <v>47461583.530000001</v>
      </c>
      <c r="J70" s="16">
        <v>210349358.97000003</v>
      </c>
      <c r="K70" s="16">
        <v>0</v>
      </c>
      <c r="L70" s="16">
        <v>0</v>
      </c>
      <c r="M70" s="16">
        <v>0</v>
      </c>
      <c r="N70" s="18">
        <f t="shared" si="1"/>
        <v>1291746265.9387875</v>
      </c>
      <c r="O70" s="4"/>
    </row>
    <row r="71" spans="1:15" ht="15" x14ac:dyDescent="0.2">
      <c r="A71" s="17" t="s">
        <v>66</v>
      </c>
      <c r="B71" s="16">
        <v>3123178461.1600003</v>
      </c>
      <c r="C71" s="16">
        <v>0</v>
      </c>
      <c r="D71" s="16">
        <v>9315993.3200000003</v>
      </c>
      <c r="E71" s="16">
        <v>19259972.460000001</v>
      </c>
      <c r="F71" s="16">
        <v>11389033.34</v>
      </c>
      <c r="G71" s="16">
        <v>6504574.75</v>
      </c>
      <c r="H71" s="16">
        <v>169759262.47</v>
      </c>
      <c r="I71" s="16">
        <v>29884466.390000001</v>
      </c>
      <c r="J71" s="16">
        <v>175801339.78</v>
      </c>
      <c r="K71" s="16">
        <v>0</v>
      </c>
      <c r="L71" s="16">
        <v>0</v>
      </c>
      <c r="M71" s="16">
        <v>0</v>
      </c>
      <c r="N71" s="18">
        <f t="shared" si="1"/>
        <v>3545093103.6700006</v>
      </c>
      <c r="O71" s="4"/>
    </row>
    <row r="72" spans="1:15" ht="15" x14ac:dyDescent="0.2">
      <c r="A72" s="17" t="s">
        <v>67</v>
      </c>
      <c r="B72" s="16">
        <v>14550182888.66</v>
      </c>
      <c r="C72" s="16">
        <v>0</v>
      </c>
      <c r="D72" s="16">
        <v>82992462.296093285</v>
      </c>
      <c r="E72" s="16">
        <v>215381900.46000001</v>
      </c>
      <c r="F72" s="16">
        <v>331388789.19</v>
      </c>
      <c r="G72" s="16">
        <v>0</v>
      </c>
      <c r="H72" s="16">
        <v>790870053.26999998</v>
      </c>
      <c r="I72" s="16">
        <v>869553790.47000003</v>
      </c>
      <c r="J72" s="16">
        <v>2575661010.3999987</v>
      </c>
      <c r="K72" s="16">
        <v>0</v>
      </c>
      <c r="L72" s="16">
        <v>0</v>
      </c>
      <c r="M72" s="16">
        <v>0</v>
      </c>
      <c r="N72" s="18">
        <f t="shared" ref="N72:N103" si="2">SUM(B72:M72)</f>
        <v>19416030894.74609</v>
      </c>
      <c r="O72" s="4"/>
    </row>
    <row r="73" spans="1:15" ht="15" x14ac:dyDescent="0.2">
      <c r="A73" s="17" t="s">
        <v>68</v>
      </c>
      <c r="B73" s="16">
        <v>6295725465.0699997</v>
      </c>
      <c r="C73" s="16">
        <v>0</v>
      </c>
      <c r="D73" s="16">
        <v>123687958.51669249</v>
      </c>
      <c r="E73" s="16">
        <v>93193695.629999995</v>
      </c>
      <c r="F73" s="16">
        <v>123001560.11</v>
      </c>
      <c r="G73" s="16">
        <v>58979233.999617532</v>
      </c>
      <c r="H73" s="16">
        <v>342201934.64999998</v>
      </c>
      <c r="I73" s="16">
        <v>322752237.05000001</v>
      </c>
      <c r="J73" s="16">
        <v>1121940127.27</v>
      </c>
      <c r="K73" s="16">
        <v>0</v>
      </c>
      <c r="L73" s="16">
        <v>0</v>
      </c>
      <c r="M73" s="16">
        <v>0</v>
      </c>
      <c r="N73" s="18">
        <f t="shared" si="2"/>
        <v>8481482212.2963085</v>
      </c>
      <c r="O73" s="4"/>
    </row>
    <row r="74" spans="1:15" ht="15" x14ac:dyDescent="0.2">
      <c r="A74" s="17" t="s">
        <v>69</v>
      </c>
      <c r="B74" s="16">
        <v>3507144568.3000002</v>
      </c>
      <c r="C74" s="16">
        <v>0</v>
      </c>
      <c r="D74" s="16">
        <v>29972384.460000001</v>
      </c>
      <c r="E74" s="16">
        <v>51915186.769999996</v>
      </c>
      <c r="F74" s="16">
        <v>89302854.120000005</v>
      </c>
      <c r="G74" s="16">
        <v>102071151.75256905</v>
      </c>
      <c r="H74" s="16">
        <v>190629604.65000001</v>
      </c>
      <c r="I74" s="16">
        <v>234327889.16999999</v>
      </c>
      <c r="J74" s="16">
        <v>601863070.06999993</v>
      </c>
      <c r="K74" s="16">
        <v>0</v>
      </c>
      <c r="L74" s="16">
        <v>0</v>
      </c>
      <c r="M74" s="16">
        <v>0</v>
      </c>
      <c r="N74" s="18">
        <f t="shared" si="2"/>
        <v>4807226709.2925692</v>
      </c>
      <c r="O74" s="4"/>
    </row>
    <row r="75" spans="1:15" ht="15" x14ac:dyDescent="0.2">
      <c r="A75" s="17" t="s">
        <v>70</v>
      </c>
      <c r="B75" s="16">
        <v>571137994.21000004</v>
      </c>
      <c r="C75" s="16">
        <v>0</v>
      </c>
      <c r="D75" s="16">
        <v>89876272.268987074</v>
      </c>
      <c r="E75" s="16">
        <v>8073807.8700000001</v>
      </c>
      <c r="F75" s="16">
        <v>1623338.27</v>
      </c>
      <c r="G75" s="16">
        <v>746612.06</v>
      </c>
      <c r="H75" s="16">
        <v>31044004.010000002</v>
      </c>
      <c r="I75" s="16">
        <v>4259588.7300000004</v>
      </c>
      <c r="J75" s="16">
        <v>67827071.440000027</v>
      </c>
      <c r="K75" s="16">
        <v>0</v>
      </c>
      <c r="L75" s="16">
        <v>0</v>
      </c>
      <c r="M75" s="16">
        <v>0</v>
      </c>
      <c r="N75" s="18">
        <f t="shared" si="2"/>
        <v>774588688.85898709</v>
      </c>
      <c r="O75" s="4"/>
    </row>
    <row r="76" spans="1:15" ht="15" x14ac:dyDescent="0.2">
      <c r="A76" s="17" t="s">
        <v>71</v>
      </c>
      <c r="B76" s="16">
        <v>569036328.37000012</v>
      </c>
      <c r="C76" s="16">
        <v>0</v>
      </c>
      <c r="D76" s="16">
        <v>114698389.67961213</v>
      </c>
      <c r="E76" s="16">
        <v>8044097.9700000007</v>
      </c>
      <c r="F76" s="16">
        <v>2922650.52</v>
      </c>
      <c r="G76" s="16">
        <v>1753407.11</v>
      </c>
      <c r="H76" s="16">
        <v>30929768.710000001</v>
      </c>
      <c r="I76" s="16">
        <v>7668943.3499999996</v>
      </c>
      <c r="J76" s="16">
        <v>100719475.99000001</v>
      </c>
      <c r="K76" s="16">
        <v>0</v>
      </c>
      <c r="L76" s="16">
        <v>0</v>
      </c>
      <c r="M76" s="16">
        <v>0</v>
      </c>
      <c r="N76" s="18">
        <f t="shared" si="2"/>
        <v>835773061.69961238</v>
      </c>
      <c r="O76" s="4"/>
    </row>
    <row r="77" spans="1:15" ht="15" x14ac:dyDescent="0.2">
      <c r="A77" s="17" t="s">
        <v>72</v>
      </c>
      <c r="B77" s="16">
        <v>665857189.01999998</v>
      </c>
      <c r="C77" s="16">
        <v>0</v>
      </c>
      <c r="D77" s="16">
        <v>97733047.63716948</v>
      </c>
      <c r="E77" s="16">
        <v>9412791.7599999998</v>
      </c>
      <c r="F77" s="16">
        <v>3432750.89</v>
      </c>
      <c r="G77" s="16">
        <v>1119918.0900000001</v>
      </c>
      <c r="H77" s="16">
        <v>36192432.399999999</v>
      </c>
      <c r="I77" s="16">
        <v>9007430.7200000007</v>
      </c>
      <c r="J77" s="16">
        <v>68437600.530000016</v>
      </c>
      <c r="K77" s="16">
        <v>0</v>
      </c>
      <c r="L77" s="16">
        <v>0</v>
      </c>
      <c r="M77" s="16">
        <v>0</v>
      </c>
      <c r="N77" s="18">
        <f t="shared" si="2"/>
        <v>891193161.04716945</v>
      </c>
      <c r="O77" s="4"/>
    </row>
    <row r="78" spans="1:15" ht="15" x14ac:dyDescent="0.2">
      <c r="A78" s="17" t="s">
        <v>73</v>
      </c>
      <c r="B78" s="16">
        <v>258525502.79000002</v>
      </c>
      <c r="C78" s="16">
        <v>0</v>
      </c>
      <c r="D78" s="16">
        <v>31578621.50862997</v>
      </c>
      <c r="E78" s="16">
        <v>3654607.57</v>
      </c>
      <c r="F78" s="16">
        <v>1219107.79</v>
      </c>
      <c r="G78" s="16">
        <v>395930.64</v>
      </c>
      <c r="H78" s="16">
        <v>14052062.43</v>
      </c>
      <c r="I78" s="16">
        <v>3198900.63</v>
      </c>
      <c r="J78" s="16">
        <v>29349309.16</v>
      </c>
      <c r="K78" s="16">
        <v>0</v>
      </c>
      <c r="L78" s="16">
        <v>0</v>
      </c>
      <c r="M78" s="16">
        <v>0</v>
      </c>
      <c r="N78" s="18">
        <f t="shared" si="2"/>
        <v>341974042.51863003</v>
      </c>
      <c r="O78" s="4"/>
    </row>
    <row r="79" spans="1:15" ht="15" x14ac:dyDescent="0.2">
      <c r="A79" s="17" t="s">
        <v>74</v>
      </c>
      <c r="B79" s="16">
        <v>1256404685.5000002</v>
      </c>
      <c r="C79" s="16">
        <v>0</v>
      </c>
      <c r="D79" s="16">
        <v>268237903.16613308</v>
      </c>
      <c r="E79" s="16">
        <v>17760979.190000001</v>
      </c>
      <c r="F79" s="16">
        <v>6127620.75</v>
      </c>
      <c r="G79" s="16">
        <v>2941199.02</v>
      </c>
      <c r="H79" s="16">
        <v>68291433.049999997</v>
      </c>
      <c r="I79" s="16">
        <v>16078684.74</v>
      </c>
      <c r="J79" s="16">
        <v>158986608.87000003</v>
      </c>
      <c r="K79" s="16">
        <v>0</v>
      </c>
      <c r="L79" s="16">
        <v>0</v>
      </c>
      <c r="M79" s="16">
        <v>0</v>
      </c>
      <c r="N79" s="18">
        <f t="shared" si="2"/>
        <v>1794829114.2861335</v>
      </c>
      <c r="O79" s="4"/>
    </row>
    <row r="80" spans="1:15" ht="15" x14ac:dyDescent="0.2">
      <c r="A80" s="17" t="s">
        <v>75</v>
      </c>
      <c r="B80" s="16">
        <v>667897041.1400001</v>
      </c>
      <c r="C80" s="16">
        <v>0</v>
      </c>
      <c r="D80" s="16">
        <v>312472459.96766526</v>
      </c>
      <c r="E80" s="16">
        <v>9441627.8399999999</v>
      </c>
      <c r="F80" s="16">
        <v>1982654.25</v>
      </c>
      <c r="G80" s="16">
        <v>1176479.6100000001</v>
      </c>
      <c r="H80" s="16">
        <v>36303307.840000004</v>
      </c>
      <c r="I80" s="16">
        <v>5202422.5999999996</v>
      </c>
      <c r="J80" s="16">
        <v>102750682.72000004</v>
      </c>
      <c r="K80" s="16">
        <v>0</v>
      </c>
      <c r="L80" s="16">
        <v>0</v>
      </c>
      <c r="M80" s="16">
        <v>0</v>
      </c>
      <c r="N80" s="18">
        <f t="shared" si="2"/>
        <v>1137226675.9676654</v>
      </c>
      <c r="O80" s="4"/>
    </row>
    <row r="81" spans="1:15" ht="15" x14ac:dyDescent="0.2">
      <c r="A81" s="17" t="s">
        <v>76</v>
      </c>
      <c r="B81" s="16">
        <v>372530572.33999997</v>
      </c>
      <c r="C81" s="16">
        <v>0</v>
      </c>
      <c r="D81" s="16">
        <v>71613419.020818859</v>
      </c>
      <c r="E81" s="16">
        <v>5266223.4000000004</v>
      </c>
      <c r="F81" s="16">
        <v>5149126.34</v>
      </c>
      <c r="G81" s="16">
        <v>2692328.33</v>
      </c>
      <c r="H81" s="16">
        <v>20248767.73</v>
      </c>
      <c r="I81" s="16">
        <v>13511146.07</v>
      </c>
      <c r="J81" s="16">
        <v>120132640.44000004</v>
      </c>
      <c r="K81" s="16">
        <v>0</v>
      </c>
      <c r="L81" s="16">
        <v>0</v>
      </c>
      <c r="M81" s="16">
        <v>0</v>
      </c>
      <c r="N81" s="18">
        <f t="shared" si="2"/>
        <v>611144223.67081881</v>
      </c>
      <c r="O81" s="4"/>
    </row>
    <row r="82" spans="1:15" ht="15" x14ac:dyDescent="0.2">
      <c r="A82" s="17" t="s">
        <v>77</v>
      </c>
      <c r="B82" s="16">
        <v>5971698043.4700003</v>
      </c>
      <c r="C82" s="16">
        <v>0</v>
      </c>
      <c r="D82" s="16">
        <v>50631377.830000006</v>
      </c>
      <c r="E82" s="16">
        <v>88397216.960000008</v>
      </c>
      <c r="F82" s="16">
        <v>148400708.55000001</v>
      </c>
      <c r="G82" s="16">
        <v>107354490.77684343</v>
      </c>
      <c r="H82" s="16">
        <v>324589538.56</v>
      </c>
      <c r="I82" s="16">
        <v>389398806.19</v>
      </c>
      <c r="J82" s="16">
        <v>997203643.44000053</v>
      </c>
      <c r="K82" s="16">
        <v>0</v>
      </c>
      <c r="L82" s="16">
        <v>0</v>
      </c>
      <c r="M82" s="16">
        <v>0</v>
      </c>
      <c r="N82" s="18">
        <f t="shared" si="2"/>
        <v>8077673825.776844</v>
      </c>
      <c r="O82" s="4"/>
    </row>
    <row r="83" spans="1:15" ht="15" x14ac:dyDescent="0.2">
      <c r="A83" s="17" t="s">
        <v>78</v>
      </c>
      <c r="B83" s="16">
        <v>1672493312.73</v>
      </c>
      <c r="C83" s="16">
        <v>0</v>
      </c>
      <c r="D83" s="16">
        <v>69459307.813020781</v>
      </c>
      <c r="E83" s="16">
        <v>24757406.219999999</v>
      </c>
      <c r="F83" s="16">
        <v>16432289.789999999</v>
      </c>
      <c r="G83" s="16">
        <v>7160688.3799999999</v>
      </c>
      <c r="H83" s="16">
        <v>90907783.459999993</v>
      </c>
      <c r="I83" s="16">
        <v>43117813.200000003</v>
      </c>
      <c r="J83" s="16">
        <v>215826307.85999987</v>
      </c>
      <c r="K83" s="16">
        <v>0</v>
      </c>
      <c r="L83" s="16">
        <v>0</v>
      </c>
      <c r="M83" s="16">
        <v>0</v>
      </c>
      <c r="N83" s="18">
        <f t="shared" si="2"/>
        <v>2140154909.4530208</v>
      </c>
      <c r="O83" s="4"/>
    </row>
    <row r="84" spans="1:15" ht="15" x14ac:dyDescent="0.2">
      <c r="A84" s="17" t="s">
        <v>79</v>
      </c>
      <c r="B84" s="16">
        <v>642491609.94000006</v>
      </c>
      <c r="C84" s="16">
        <v>0</v>
      </c>
      <c r="D84" s="16">
        <v>63323269.812826842</v>
      </c>
      <c r="E84" s="16">
        <v>9082487.7100000009</v>
      </c>
      <c r="F84" s="16">
        <v>3298007.4</v>
      </c>
      <c r="G84" s="16">
        <v>690476.59491232713</v>
      </c>
      <c r="H84" s="16">
        <v>34922404.600000001</v>
      </c>
      <c r="I84" s="16">
        <v>8653868.0099999998</v>
      </c>
      <c r="J84" s="16">
        <v>88751203.059999958</v>
      </c>
      <c r="K84" s="16">
        <v>0</v>
      </c>
      <c r="L84" s="16">
        <v>0</v>
      </c>
      <c r="M84" s="16">
        <v>0</v>
      </c>
      <c r="N84" s="18">
        <f t="shared" si="2"/>
        <v>851213327.12773919</v>
      </c>
      <c r="O84" s="4"/>
    </row>
    <row r="85" spans="1:15" ht="15" x14ac:dyDescent="0.2">
      <c r="A85" s="17" t="s">
        <v>80</v>
      </c>
      <c r="B85" s="16">
        <v>530835461.06000006</v>
      </c>
      <c r="C85" s="16">
        <v>0</v>
      </c>
      <c r="D85" s="16">
        <v>67278599.484766662</v>
      </c>
      <c r="E85" s="16">
        <v>7504077.0600000005</v>
      </c>
      <c r="F85" s="16">
        <v>1559174.7</v>
      </c>
      <c r="G85" s="16">
        <v>735299.75</v>
      </c>
      <c r="H85" s="16">
        <v>28853374.050000001</v>
      </c>
      <c r="I85" s="16">
        <v>4091225.54</v>
      </c>
      <c r="J85" s="16">
        <v>52319388.670000017</v>
      </c>
      <c r="K85" s="16">
        <v>0</v>
      </c>
      <c r="L85" s="16">
        <v>0</v>
      </c>
      <c r="M85" s="16">
        <v>0</v>
      </c>
      <c r="N85" s="18">
        <f t="shared" si="2"/>
        <v>693176600.31476665</v>
      </c>
      <c r="O85" s="4"/>
    </row>
    <row r="86" spans="1:15" ht="15" x14ac:dyDescent="0.2">
      <c r="A86" s="17" t="s">
        <v>81</v>
      </c>
      <c r="B86" s="16">
        <v>6824747724.3200006</v>
      </c>
      <c r="C86" s="16">
        <v>0</v>
      </c>
      <c r="D86" s="16">
        <v>65514230.109999999</v>
      </c>
      <c r="E86" s="16">
        <v>101024650.09</v>
      </c>
      <c r="F86" s="16">
        <v>93110961.890000001</v>
      </c>
      <c r="G86" s="16">
        <v>27628572.572727799</v>
      </c>
      <c r="H86" s="16">
        <v>370956752.75</v>
      </c>
      <c r="I86" s="16">
        <v>244320244.55000001</v>
      </c>
      <c r="J86" s="16">
        <v>440251616.19999981</v>
      </c>
      <c r="K86" s="16">
        <v>0</v>
      </c>
      <c r="L86" s="16">
        <v>0</v>
      </c>
      <c r="M86" s="16">
        <v>0</v>
      </c>
      <c r="N86" s="18">
        <f t="shared" si="2"/>
        <v>8167554752.482729</v>
      </c>
      <c r="O86" s="4"/>
    </row>
    <row r="87" spans="1:15" ht="15" x14ac:dyDescent="0.2">
      <c r="A87" s="17" t="s">
        <v>82</v>
      </c>
      <c r="B87" s="16">
        <v>1009953458.9</v>
      </c>
      <c r="C87" s="16">
        <v>0</v>
      </c>
      <c r="D87" s="16">
        <v>80954017.876452714</v>
      </c>
      <c r="E87" s="16">
        <v>14277057.840000002</v>
      </c>
      <c r="F87" s="16">
        <v>2643539</v>
      </c>
      <c r="G87" s="16">
        <v>2138025.44</v>
      </c>
      <c r="H87" s="16">
        <v>54895663.649999999</v>
      </c>
      <c r="I87" s="16">
        <v>6936563.4699999997</v>
      </c>
      <c r="J87" s="16">
        <v>99549397.690000042</v>
      </c>
      <c r="K87" s="16">
        <v>0</v>
      </c>
      <c r="L87" s="16">
        <v>0</v>
      </c>
      <c r="M87" s="16">
        <v>0</v>
      </c>
      <c r="N87" s="18">
        <f t="shared" si="2"/>
        <v>1271347723.8664529</v>
      </c>
      <c r="O87" s="4"/>
    </row>
    <row r="88" spans="1:15" ht="15" x14ac:dyDescent="0.2">
      <c r="A88" s="17" t="s">
        <v>83</v>
      </c>
      <c r="B88" s="16">
        <v>809367998.56000006</v>
      </c>
      <c r="C88" s="16">
        <v>0</v>
      </c>
      <c r="D88" s="16">
        <v>29014364.639490049</v>
      </c>
      <c r="E88" s="16">
        <v>11441511.120000001</v>
      </c>
      <c r="F88" s="16">
        <v>12973873.470000001</v>
      </c>
      <c r="G88" s="16">
        <v>4321300.0999999996</v>
      </c>
      <c r="H88" s="16">
        <v>43992911.780000001</v>
      </c>
      <c r="I88" s="16">
        <v>34043037.210000001</v>
      </c>
      <c r="J88" s="16">
        <v>151538646.31000003</v>
      </c>
      <c r="K88" s="16">
        <v>0</v>
      </c>
      <c r="L88" s="16">
        <v>0</v>
      </c>
      <c r="M88" s="16">
        <v>0</v>
      </c>
      <c r="N88" s="18">
        <f t="shared" si="2"/>
        <v>1096693643.1894901</v>
      </c>
      <c r="O88" s="4"/>
    </row>
    <row r="89" spans="1:15" ht="15" x14ac:dyDescent="0.2">
      <c r="A89" s="17" t="s">
        <v>84</v>
      </c>
      <c r="B89" s="16">
        <v>1350979648.3</v>
      </c>
      <c r="C89" s="16">
        <v>0</v>
      </c>
      <c r="D89" s="16">
        <v>64314821.302366294</v>
      </c>
      <c r="E89" s="16">
        <v>19097924.18</v>
      </c>
      <c r="F89" s="16">
        <v>10911014.76</v>
      </c>
      <c r="G89" s="16">
        <v>4705918.43</v>
      </c>
      <c r="H89" s="16">
        <v>73432021.760000005</v>
      </c>
      <c r="I89" s="16">
        <v>28630160.620000001</v>
      </c>
      <c r="J89" s="16">
        <v>155621635.90999997</v>
      </c>
      <c r="K89" s="16">
        <v>0</v>
      </c>
      <c r="L89" s="16">
        <v>0</v>
      </c>
      <c r="M89" s="16">
        <v>0</v>
      </c>
      <c r="N89" s="18">
        <f t="shared" si="2"/>
        <v>1707693145.2623663</v>
      </c>
      <c r="O89" s="4"/>
    </row>
    <row r="90" spans="1:15" ht="15" x14ac:dyDescent="0.2">
      <c r="A90" s="17" t="s">
        <v>85</v>
      </c>
      <c r="B90" s="16">
        <v>6324592463.5300007</v>
      </c>
      <c r="C90" s="16">
        <v>0</v>
      </c>
      <c r="D90" s="16">
        <v>25484504.335815992</v>
      </c>
      <c r="E90" s="16">
        <v>93621004.950000003</v>
      </c>
      <c r="F90" s="16">
        <v>148006102.61000001</v>
      </c>
      <c r="G90" s="16">
        <v>35964878.656348623</v>
      </c>
      <c r="H90" s="16">
        <v>343770990.16000003</v>
      </c>
      <c r="I90" s="16">
        <v>388363372.56999999</v>
      </c>
      <c r="J90" s="16">
        <v>907177024.2300005</v>
      </c>
      <c r="K90" s="16">
        <v>0</v>
      </c>
      <c r="L90" s="16">
        <v>0</v>
      </c>
      <c r="M90" s="16">
        <v>0</v>
      </c>
      <c r="N90" s="18">
        <f t="shared" si="2"/>
        <v>8266980341.0421648</v>
      </c>
      <c r="O90" s="4"/>
    </row>
    <row r="91" spans="1:15" ht="15" x14ac:dyDescent="0.2">
      <c r="A91" s="17" t="s">
        <v>86</v>
      </c>
      <c r="B91" s="16">
        <v>275400643.21999997</v>
      </c>
      <c r="C91" s="16">
        <v>0</v>
      </c>
      <c r="D91" s="16">
        <v>101306888.89114667</v>
      </c>
      <c r="E91" s="16">
        <v>3893160.5</v>
      </c>
      <c r="F91" s="16">
        <v>3435959.07</v>
      </c>
      <c r="G91" s="16">
        <v>1606347.16</v>
      </c>
      <c r="H91" s="16">
        <v>14969304.720000001</v>
      </c>
      <c r="I91" s="16">
        <v>9015848.8800000008</v>
      </c>
      <c r="J91" s="16">
        <v>69962387.530000031</v>
      </c>
      <c r="K91" s="16">
        <v>0</v>
      </c>
      <c r="L91" s="16">
        <v>0</v>
      </c>
      <c r="M91" s="16">
        <v>0</v>
      </c>
      <c r="N91" s="18">
        <f t="shared" si="2"/>
        <v>479590539.9711467</v>
      </c>
      <c r="O91" s="4"/>
    </row>
    <row r="92" spans="1:15" ht="15" x14ac:dyDescent="0.2">
      <c r="A92" s="17" t="s">
        <v>87</v>
      </c>
      <c r="B92" s="16">
        <v>410545998.55000001</v>
      </c>
      <c r="C92" s="16">
        <v>0</v>
      </c>
      <c r="D92" s="16">
        <v>586956.56000000006</v>
      </c>
      <c r="E92" s="16">
        <v>6427112.6200000001</v>
      </c>
      <c r="F92" s="16">
        <v>734672.85</v>
      </c>
      <c r="G92" s="16">
        <v>542990.59</v>
      </c>
      <c r="H92" s="16">
        <v>22315082.789999999</v>
      </c>
      <c r="I92" s="16">
        <v>1927758.54</v>
      </c>
      <c r="J92" s="16">
        <v>27204165.699999988</v>
      </c>
      <c r="K92" s="16">
        <v>0</v>
      </c>
      <c r="L92" s="16">
        <v>0</v>
      </c>
      <c r="M92" s="16">
        <v>0</v>
      </c>
      <c r="N92" s="18">
        <f t="shared" si="2"/>
        <v>470284738.20000005</v>
      </c>
      <c r="O92" s="4"/>
    </row>
    <row r="93" spans="1:15" ht="15" x14ac:dyDescent="0.2">
      <c r="A93" s="17" t="s">
        <v>88</v>
      </c>
      <c r="B93" s="16">
        <v>4256058767.2400002</v>
      </c>
      <c r="C93" s="16">
        <v>0</v>
      </c>
      <c r="D93" s="16">
        <v>27760798.954594053</v>
      </c>
      <c r="E93" s="16">
        <v>63001134.260000005</v>
      </c>
      <c r="F93" s="16">
        <v>119953790.62</v>
      </c>
      <c r="G93" s="16">
        <v>21416764.210926872</v>
      </c>
      <c r="H93" s="16">
        <v>231336571.49000001</v>
      </c>
      <c r="I93" s="16">
        <v>314754985.48000002</v>
      </c>
      <c r="J93" s="16">
        <v>936509749.68999934</v>
      </c>
      <c r="K93" s="16">
        <v>0</v>
      </c>
      <c r="L93" s="16">
        <v>0</v>
      </c>
      <c r="M93" s="16">
        <v>0</v>
      </c>
      <c r="N93" s="18">
        <f t="shared" si="2"/>
        <v>5970792561.9455214</v>
      </c>
      <c r="O93" s="4"/>
    </row>
    <row r="94" spans="1:15" ht="15" x14ac:dyDescent="0.2">
      <c r="A94" s="17" t="s">
        <v>89</v>
      </c>
      <c r="B94" s="16">
        <v>2409621699.3099999</v>
      </c>
      <c r="C94" s="16">
        <v>0</v>
      </c>
      <c r="D94" s="16">
        <v>30870718.500000004</v>
      </c>
      <c r="E94" s="16">
        <v>35668891.920000002</v>
      </c>
      <c r="F94" s="16">
        <v>54240672.32</v>
      </c>
      <c r="G94" s="16">
        <v>26304281.15999651</v>
      </c>
      <c r="H94" s="16">
        <v>130974136.64</v>
      </c>
      <c r="I94" s="16">
        <v>142325823.47</v>
      </c>
      <c r="J94" s="16">
        <v>442300635.16000032</v>
      </c>
      <c r="K94" s="16">
        <v>0</v>
      </c>
      <c r="L94" s="16">
        <v>0</v>
      </c>
      <c r="M94" s="16">
        <v>0</v>
      </c>
      <c r="N94" s="18">
        <f t="shared" si="2"/>
        <v>3272306858.4799967</v>
      </c>
      <c r="O94" s="4"/>
    </row>
    <row r="95" spans="1:15" ht="15" x14ac:dyDescent="0.2">
      <c r="A95" s="17" t="s">
        <v>90</v>
      </c>
      <c r="B95" s="16">
        <v>448602633.93000001</v>
      </c>
      <c r="C95" s="16">
        <v>0</v>
      </c>
      <c r="D95" s="16">
        <v>64210870.891253583</v>
      </c>
      <c r="E95" s="16">
        <v>6341604.8600000003</v>
      </c>
      <c r="F95" s="16">
        <v>2659579.89</v>
      </c>
      <c r="G95" s="16">
        <v>1289602.6499999999</v>
      </c>
      <c r="H95" s="16">
        <v>24383637.77</v>
      </c>
      <c r="I95" s="16">
        <v>6978654.2599999998</v>
      </c>
      <c r="J95" s="16">
        <v>70694838.089999974</v>
      </c>
      <c r="K95" s="16">
        <v>0</v>
      </c>
      <c r="L95" s="16">
        <v>0</v>
      </c>
      <c r="M95" s="16">
        <v>0</v>
      </c>
      <c r="N95" s="18">
        <f t="shared" si="2"/>
        <v>625161422.34125352</v>
      </c>
      <c r="O95" s="4"/>
    </row>
    <row r="96" spans="1:15" ht="15" x14ac:dyDescent="0.2">
      <c r="A96" s="17" t="s">
        <v>91</v>
      </c>
      <c r="B96" s="16">
        <v>1399235544.3800001</v>
      </c>
      <c r="C96" s="16">
        <v>0</v>
      </c>
      <c r="D96" s="16">
        <v>143837304.04083407</v>
      </c>
      <c r="E96" s="16">
        <v>8944251.8300000001</v>
      </c>
      <c r="F96" s="16">
        <v>14905196.869999999</v>
      </c>
      <c r="G96" s="16">
        <v>6595073.1799999997</v>
      </c>
      <c r="H96" s="16">
        <v>76054953.950000003</v>
      </c>
      <c r="I96" s="16">
        <v>39110769.259999998</v>
      </c>
      <c r="J96" s="16">
        <v>239568761.89000008</v>
      </c>
      <c r="K96" s="16">
        <v>0</v>
      </c>
      <c r="L96" s="16">
        <v>0</v>
      </c>
      <c r="M96" s="16">
        <v>0</v>
      </c>
      <c r="N96" s="18">
        <f t="shared" si="2"/>
        <v>1928251855.4008341</v>
      </c>
      <c r="O96" s="4"/>
    </row>
    <row r="97" spans="1:15" ht="15" x14ac:dyDescent="0.2">
      <c r="A97" s="17" t="s">
        <v>92</v>
      </c>
      <c r="B97" s="16">
        <v>727609076.46000004</v>
      </c>
      <c r="C97" s="16">
        <v>0</v>
      </c>
      <c r="D97" s="16">
        <v>233808054.74832192</v>
      </c>
      <c r="E97" s="16">
        <v>10285738.209999999</v>
      </c>
      <c r="F97" s="16">
        <v>6881542.6799999997</v>
      </c>
      <c r="G97" s="16">
        <v>3393691.18</v>
      </c>
      <c r="H97" s="16">
        <v>39548934.439999998</v>
      </c>
      <c r="I97" s="16">
        <v>18056952.23</v>
      </c>
      <c r="J97" s="16">
        <v>162814699.56</v>
      </c>
      <c r="K97" s="16">
        <v>0</v>
      </c>
      <c r="L97" s="16">
        <v>0</v>
      </c>
      <c r="M97" s="16">
        <v>0</v>
      </c>
      <c r="N97" s="18">
        <f t="shared" si="2"/>
        <v>1202398689.5083218</v>
      </c>
      <c r="O97" s="4"/>
    </row>
    <row r="98" spans="1:15" ht="15" x14ac:dyDescent="0.2">
      <c r="A98" s="17" t="s">
        <v>93</v>
      </c>
      <c r="B98" s="16">
        <v>2048300011.3099999</v>
      </c>
      <c r="C98" s="16">
        <v>0</v>
      </c>
      <c r="D98" s="16">
        <v>243741039.20460203</v>
      </c>
      <c r="E98" s="16">
        <v>30320357.66</v>
      </c>
      <c r="F98" s="16">
        <v>16002393.890000001</v>
      </c>
      <c r="G98" s="16">
        <v>8122234.21</v>
      </c>
      <c r="H98" s="16">
        <v>111334623.87</v>
      </c>
      <c r="I98" s="16">
        <v>41989779.82</v>
      </c>
      <c r="J98" s="16">
        <v>313912647.24000013</v>
      </c>
      <c r="K98" s="16">
        <v>0</v>
      </c>
      <c r="L98" s="16">
        <v>0</v>
      </c>
      <c r="M98" s="16">
        <v>0</v>
      </c>
      <c r="N98" s="18">
        <f t="shared" si="2"/>
        <v>2813723087.2046022</v>
      </c>
      <c r="O98" s="4"/>
    </row>
    <row r="99" spans="1:15" ht="15" x14ac:dyDescent="0.2">
      <c r="A99" s="17" t="s">
        <v>94</v>
      </c>
      <c r="B99" s="16">
        <v>1447264790.1799996</v>
      </c>
      <c r="C99" s="16">
        <v>0</v>
      </c>
      <c r="D99" s="16">
        <v>147596535.15473118</v>
      </c>
      <c r="E99" s="16">
        <v>20459044.880000003</v>
      </c>
      <c r="F99" s="16">
        <v>5931921.8700000001</v>
      </c>
      <c r="G99" s="16">
        <v>2432145.34</v>
      </c>
      <c r="H99" s="16">
        <v>78665566.650000006</v>
      </c>
      <c r="I99" s="16">
        <v>15565177</v>
      </c>
      <c r="J99" s="16">
        <v>205839490.41999999</v>
      </c>
      <c r="K99" s="16">
        <v>0</v>
      </c>
      <c r="L99" s="16">
        <v>0</v>
      </c>
      <c r="M99" s="16">
        <v>0</v>
      </c>
      <c r="N99" s="18">
        <f t="shared" si="2"/>
        <v>1923754671.4947309</v>
      </c>
      <c r="O99" s="4"/>
    </row>
    <row r="100" spans="1:15" ht="15" x14ac:dyDescent="0.2">
      <c r="A100" s="17" t="s">
        <v>95</v>
      </c>
      <c r="B100" s="16">
        <v>1578969182.8299999</v>
      </c>
      <c r="C100" s="16">
        <v>0</v>
      </c>
      <c r="D100" s="16">
        <v>226721858.40007272</v>
      </c>
      <c r="E100" s="16">
        <v>22320864.550000001</v>
      </c>
      <c r="F100" s="16">
        <v>6660178.3700000001</v>
      </c>
      <c r="G100" s="16">
        <v>2895949.8</v>
      </c>
      <c r="H100" s="16">
        <v>85824312.409999996</v>
      </c>
      <c r="I100" s="16">
        <v>17476099.219999999</v>
      </c>
      <c r="J100" s="16">
        <v>159177936.74000004</v>
      </c>
      <c r="K100" s="16">
        <v>0</v>
      </c>
      <c r="L100" s="16">
        <v>0</v>
      </c>
      <c r="M100" s="16">
        <v>0</v>
      </c>
      <c r="N100" s="18">
        <f t="shared" si="2"/>
        <v>2100046382.3200727</v>
      </c>
      <c r="O100" s="4"/>
    </row>
    <row r="101" spans="1:15" ht="15" x14ac:dyDescent="0.2">
      <c r="A101" s="17" t="s">
        <v>96</v>
      </c>
      <c r="B101" s="16">
        <v>323574121.01999998</v>
      </c>
      <c r="C101" s="16">
        <v>0</v>
      </c>
      <c r="D101" s="16">
        <v>65992645.234960593</v>
      </c>
      <c r="E101" s="16">
        <v>4574157.74</v>
      </c>
      <c r="F101" s="16">
        <v>795628.24</v>
      </c>
      <c r="G101" s="16">
        <v>463804.46</v>
      </c>
      <c r="H101" s="16">
        <v>17587757.100000001</v>
      </c>
      <c r="I101" s="16">
        <v>2087703.57</v>
      </c>
      <c r="J101" s="16">
        <v>36736464.62000002</v>
      </c>
      <c r="K101" s="16">
        <v>0</v>
      </c>
      <c r="L101" s="16">
        <v>0</v>
      </c>
      <c r="M101" s="16">
        <v>0</v>
      </c>
      <c r="N101" s="18">
        <f t="shared" si="2"/>
        <v>451812281.98496062</v>
      </c>
      <c r="O101" s="4"/>
    </row>
    <row r="102" spans="1:15" ht="15" x14ac:dyDescent="0.2">
      <c r="A102" s="17" t="s">
        <v>97</v>
      </c>
      <c r="B102" s="16">
        <v>888757395.45000005</v>
      </c>
      <c r="C102" s="16">
        <v>0</v>
      </c>
      <c r="D102" s="16">
        <v>283007349.67178583</v>
      </c>
      <c r="E102" s="16">
        <v>13156003.5</v>
      </c>
      <c r="F102" s="16">
        <v>15405672.699999999</v>
      </c>
      <c r="G102" s="16">
        <v>7443495.9800000004</v>
      </c>
      <c r="H102" s="16">
        <v>48308094.420000002</v>
      </c>
      <c r="I102" s="16">
        <v>40424002.149999999</v>
      </c>
      <c r="J102" s="16">
        <v>236599342.81000012</v>
      </c>
      <c r="K102" s="16">
        <v>0</v>
      </c>
      <c r="L102" s="16">
        <v>0</v>
      </c>
      <c r="M102" s="16">
        <v>0</v>
      </c>
      <c r="N102" s="18">
        <f t="shared" si="2"/>
        <v>1533101356.6817863</v>
      </c>
      <c r="O102" s="4"/>
    </row>
    <row r="103" spans="1:15" ht="15" x14ac:dyDescent="0.2">
      <c r="A103" s="17" t="s">
        <v>98</v>
      </c>
      <c r="B103" s="16">
        <v>324934022.40999997</v>
      </c>
      <c r="C103" s="16">
        <v>0</v>
      </c>
      <c r="D103" s="16">
        <v>79410536.876537308</v>
      </c>
      <c r="E103" s="16">
        <v>4593381.8</v>
      </c>
      <c r="F103" s="16">
        <v>381773.23</v>
      </c>
      <c r="G103" s="16">
        <v>294119.90000000002</v>
      </c>
      <c r="H103" s="16">
        <v>17661674.059999999</v>
      </c>
      <c r="I103" s="16">
        <v>1001760.99</v>
      </c>
      <c r="J103" s="16">
        <v>51930590.93999996</v>
      </c>
      <c r="K103" s="16">
        <v>0</v>
      </c>
      <c r="L103" s="16">
        <v>0</v>
      </c>
      <c r="M103" s="16">
        <v>0</v>
      </c>
      <c r="N103" s="18">
        <f t="shared" si="2"/>
        <v>480207860.20653725</v>
      </c>
      <c r="O103" s="4"/>
    </row>
    <row r="104" spans="1:15" ht="15" x14ac:dyDescent="0.2">
      <c r="A104" s="17" t="s">
        <v>99</v>
      </c>
      <c r="B104" s="16">
        <v>4809888925.2200003</v>
      </c>
      <c r="C104" s="16">
        <v>0</v>
      </c>
      <c r="D104" s="16">
        <v>49646518.517363407</v>
      </c>
      <c r="E104" s="16">
        <v>71199312.450000003</v>
      </c>
      <c r="F104" s="16">
        <v>78237846.799999997</v>
      </c>
      <c r="G104" s="16">
        <v>14361393.528930832</v>
      </c>
      <c r="H104" s="16">
        <v>261439814.16999999</v>
      </c>
      <c r="I104" s="16">
        <v>205293656.88999999</v>
      </c>
      <c r="J104" s="16">
        <v>574581820.39999986</v>
      </c>
      <c r="K104" s="16">
        <v>0</v>
      </c>
      <c r="L104" s="16">
        <v>0</v>
      </c>
      <c r="M104" s="16">
        <v>0</v>
      </c>
      <c r="N104" s="18">
        <f t="shared" ref="N104:N135" si="3">SUM(B104:M104)</f>
        <v>6064649287.9762945</v>
      </c>
      <c r="O104" s="4"/>
    </row>
    <row r="105" spans="1:15" ht="15" x14ac:dyDescent="0.2">
      <c r="A105" s="17" t="s">
        <v>100</v>
      </c>
      <c r="B105" s="16">
        <v>855151346.58000004</v>
      </c>
      <c r="C105" s="16">
        <v>0</v>
      </c>
      <c r="D105" s="16">
        <v>6878901.2100000009</v>
      </c>
      <c r="E105" s="16">
        <v>13866559.439999999</v>
      </c>
      <c r="F105" s="16">
        <v>3371795.5</v>
      </c>
      <c r="G105" s="16">
        <v>2545268.38</v>
      </c>
      <c r="H105" s="16">
        <v>46481449.5</v>
      </c>
      <c r="I105" s="16">
        <v>8847485.6799999997</v>
      </c>
      <c r="J105" s="16">
        <v>75032726.620000005</v>
      </c>
      <c r="K105" s="16">
        <v>0</v>
      </c>
      <c r="L105" s="16">
        <v>0</v>
      </c>
      <c r="M105" s="16">
        <v>0</v>
      </c>
      <c r="N105" s="18">
        <f t="shared" si="3"/>
        <v>1012175532.9100001</v>
      </c>
      <c r="O105" s="4"/>
    </row>
    <row r="106" spans="1:15" ht="15" x14ac:dyDescent="0.2">
      <c r="A106" s="17" t="s">
        <v>101</v>
      </c>
      <c r="B106" s="16">
        <v>878125438.8499999</v>
      </c>
      <c r="C106" s="16">
        <v>0</v>
      </c>
      <c r="D106" s="16">
        <v>7011283.7799999993</v>
      </c>
      <c r="E106" s="16">
        <v>12413490.520000001</v>
      </c>
      <c r="F106" s="16">
        <v>23891304.59</v>
      </c>
      <c r="G106" s="16">
        <v>6111590.6607243223</v>
      </c>
      <c r="H106" s="16">
        <v>47730198.170000002</v>
      </c>
      <c r="I106" s="16">
        <v>62690034.149999999</v>
      </c>
      <c r="J106" s="16">
        <v>197200259.07999986</v>
      </c>
      <c r="K106" s="16">
        <v>0</v>
      </c>
      <c r="L106" s="16">
        <v>0</v>
      </c>
      <c r="M106" s="16">
        <v>0</v>
      </c>
      <c r="N106" s="18">
        <f t="shared" si="3"/>
        <v>1235173599.800724</v>
      </c>
      <c r="O106" s="4"/>
    </row>
    <row r="107" spans="1:15" ht="15" x14ac:dyDescent="0.2">
      <c r="A107" s="17" t="s">
        <v>102</v>
      </c>
      <c r="B107" s="16">
        <v>1217070566.9900002</v>
      </c>
      <c r="C107" s="16">
        <v>0</v>
      </c>
      <c r="D107" s="16">
        <v>99164946.466990754</v>
      </c>
      <c r="E107" s="16">
        <v>17204938.23</v>
      </c>
      <c r="F107" s="16">
        <v>1328185.8600000001</v>
      </c>
      <c r="G107" s="16">
        <v>1074668.8700000001</v>
      </c>
      <c r="H107" s="16">
        <v>66153440.93</v>
      </c>
      <c r="I107" s="16">
        <v>3485118.05</v>
      </c>
      <c r="J107" s="16">
        <v>91362228.139999971</v>
      </c>
      <c r="K107" s="16">
        <v>0</v>
      </c>
      <c r="L107" s="16">
        <v>0</v>
      </c>
      <c r="M107" s="16">
        <v>0</v>
      </c>
      <c r="N107" s="18">
        <f t="shared" si="3"/>
        <v>1496844093.5369906</v>
      </c>
      <c r="O107" s="4"/>
    </row>
    <row r="108" spans="1:15" ht="15" x14ac:dyDescent="0.2">
      <c r="A108" s="17" t="s">
        <v>103</v>
      </c>
      <c r="B108" s="16">
        <v>431542052.40000004</v>
      </c>
      <c r="C108" s="16">
        <v>0</v>
      </c>
      <c r="D108" s="16">
        <v>34079587.510338344</v>
      </c>
      <c r="E108" s="16">
        <v>6100430.4699999997</v>
      </c>
      <c r="F108" s="16">
        <v>1347434.93</v>
      </c>
      <c r="G108" s="16">
        <v>791861.27</v>
      </c>
      <c r="H108" s="16">
        <v>23456315.890000001</v>
      </c>
      <c r="I108" s="16">
        <v>3535627.01</v>
      </c>
      <c r="J108" s="16">
        <v>48738212.199999966</v>
      </c>
      <c r="K108" s="16">
        <v>0</v>
      </c>
      <c r="L108" s="16">
        <v>0</v>
      </c>
      <c r="M108" s="16">
        <v>0</v>
      </c>
      <c r="N108" s="18">
        <f t="shared" si="3"/>
        <v>549591521.68033838</v>
      </c>
      <c r="O108" s="4"/>
    </row>
    <row r="109" spans="1:15" ht="15" x14ac:dyDescent="0.2">
      <c r="A109" s="17" t="s">
        <v>104</v>
      </c>
      <c r="B109" s="16">
        <v>4148235067.8099999</v>
      </c>
      <c r="C109" s="16">
        <v>0</v>
      </c>
      <c r="D109" s="16">
        <v>40793158.031915165</v>
      </c>
      <c r="E109" s="16">
        <v>61405053.069999993</v>
      </c>
      <c r="F109" s="16">
        <v>137573106.43000001</v>
      </c>
      <c r="G109" s="16">
        <v>68819701.159061641</v>
      </c>
      <c r="H109" s="16">
        <v>225475852.38</v>
      </c>
      <c r="I109" s="16">
        <v>360987517.72000003</v>
      </c>
      <c r="J109" s="16">
        <v>889266535.13999951</v>
      </c>
      <c r="K109" s="16">
        <v>0</v>
      </c>
      <c r="L109" s="16">
        <v>0</v>
      </c>
      <c r="M109" s="16">
        <v>0</v>
      </c>
      <c r="N109" s="18">
        <f t="shared" si="3"/>
        <v>5932555991.7409763</v>
      </c>
      <c r="O109" s="4"/>
    </row>
    <row r="110" spans="1:15" ht="15" x14ac:dyDescent="0.2">
      <c r="A110" s="17" t="s">
        <v>105</v>
      </c>
      <c r="B110" s="16">
        <v>475470989.36000001</v>
      </c>
      <c r="C110" s="16">
        <v>0</v>
      </c>
      <c r="D110" s="16">
        <v>101661309.25874276</v>
      </c>
      <c r="E110" s="16">
        <v>7038251.4199999999</v>
      </c>
      <c r="F110" s="16">
        <v>5258204.4000000004</v>
      </c>
      <c r="G110" s="16">
        <v>2567892.9900000002</v>
      </c>
      <c r="H110" s="16">
        <v>25844057.739999998</v>
      </c>
      <c r="I110" s="16">
        <v>13797363.5</v>
      </c>
      <c r="J110" s="16">
        <v>103039056.31999998</v>
      </c>
      <c r="K110" s="16">
        <v>0</v>
      </c>
      <c r="L110" s="16">
        <v>0</v>
      </c>
      <c r="M110" s="16">
        <v>0</v>
      </c>
      <c r="N110" s="18">
        <f t="shared" si="3"/>
        <v>734677124.98874271</v>
      </c>
      <c r="O110" s="4"/>
    </row>
    <row r="111" spans="1:15" ht="15" x14ac:dyDescent="0.2">
      <c r="A111" s="17" t="s">
        <v>106</v>
      </c>
      <c r="B111" s="16">
        <v>547236696.40999997</v>
      </c>
      <c r="C111" s="16">
        <v>0</v>
      </c>
      <c r="D111" s="16">
        <v>95193913.523699805</v>
      </c>
      <c r="E111" s="16">
        <v>7735930.6900000004</v>
      </c>
      <c r="F111" s="16">
        <v>1831869.87</v>
      </c>
      <c r="G111" s="16">
        <v>1074668.8700000001</v>
      </c>
      <c r="H111" s="16">
        <v>29744857.41</v>
      </c>
      <c r="I111" s="16">
        <v>4806769.0999999996</v>
      </c>
      <c r="J111" s="16">
        <v>80273203.080000013</v>
      </c>
      <c r="K111" s="16">
        <v>0</v>
      </c>
      <c r="L111" s="16">
        <v>0</v>
      </c>
      <c r="M111" s="16">
        <v>0</v>
      </c>
      <c r="N111" s="18">
        <f t="shared" si="3"/>
        <v>767897908.95369983</v>
      </c>
      <c r="O111" s="4"/>
    </row>
    <row r="112" spans="1:15" ht="15" x14ac:dyDescent="0.2">
      <c r="A112" s="17" t="s">
        <v>107</v>
      </c>
      <c r="B112" s="16">
        <v>801764913.30999994</v>
      </c>
      <c r="C112" s="16">
        <v>0</v>
      </c>
      <c r="D112" s="16">
        <v>197870203.74570775</v>
      </c>
      <c r="E112" s="16">
        <v>11334031.24</v>
      </c>
      <c r="F112" s="16">
        <v>2226475.81</v>
      </c>
      <c r="G112" s="16">
        <v>1278290.3400000001</v>
      </c>
      <c r="H112" s="16">
        <v>43579648.770000003</v>
      </c>
      <c r="I112" s="16">
        <v>5842202.7300000004</v>
      </c>
      <c r="J112" s="16">
        <v>84205710.099999994</v>
      </c>
      <c r="K112" s="16">
        <v>0</v>
      </c>
      <c r="L112" s="16">
        <v>0</v>
      </c>
      <c r="M112" s="16">
        <v>0</v>
      </c>
      <c r="N112" s="18">
        <f t="shared" si="3"/>
        <v>1148101476.0457077</v>
      </c>
      <c r="O112" s="4"/>
    </row>
    <row r="113" spans="1:15" ht="15" x14ac:dyDescent="0.2">
      <c r="A113" s="17" t="s">
        <v>108</v>
      </c>
      <c r="B113" s="16">
        <v>634558851.66000009</v>
      </c>
      <c r="C113" s="16">
        <v>0</v>
      </c>
      <c r="D113" s="16">
        <v>243017241.9612571</v>
      </c>
      <c r="E113" s="16">
        <v>8970347.4400000013</v>
      </c>
      <c r="F113" s="16">
        <v>3137598.48</v>
      </c>
      <c r="G113" s="16">
        <v>1651596.37</v>
      </c>
      <c r="H113" s="16">
        <v>34491222.32</v>
      </c>
      <c r="I113" s="16">
        <v>8232960.04</v>
      </c>
      <c r="J113" s="16">
        <v>82234389.310000017</v>
      </c>
      <c r="K113" s="16">
        <v>0</v>
      </c>
      <c r="L113" s="16">
        <v>0</v>
      </c>
      <c r="M113" s="16">
        <v>0</v>
      </c>
      <c r="N113" s="18">
        <f t="shared" si="3"/>
        <v>1016294207.5812573</v>
      </c>
      <c r="O113" s="4"/>
    </row>
    <row r="114" spans="1:15" ht="15" x14ac:dyDescent="0.2">
      <c r="A114" s="17" t="s">
        <v>109</v>
      </c>
      <c r="B114" s="16">
        <v>392970302.85000002</v>
      </c>
      <c r="C114" s="16">
        <v>0</v>
      </c>
      <c r="D114" s="16">
        <v>71689741.217471406</v>
      </c>
      <c r="E114" s="16">
        <v>5555166.6199999992</v>
      </c>
      <c r="F114" s="16">
        <v>1899241.61</v>
      </c>
      <c r="G114" s="16">
        <v>904984.31</v>
      </c>
      <c r="H114" s="16">
        <v>21359762.059999999</v>
      </c>
      <c r="I114" s="16">
        <v>4983550.45</v>
      </c>
      <c r="J114" s="16">
        <v>62819075.13000004</v>
      </c>
      <c r="K114" s="16">
        <v>0</v>
      </c>
      <c r="L114" s="16">
        <v>0</v>
      </c>
      <c r="M114" s="16">
        <v>0</v>
      </c>
      <c r="N114" s="18">
        <f t="shared" si="3"/>
        <v>562181824.24747145</v>
      </c>
      <c r="O114" s="4"/>
    </row>
    <row r="115" spans="1:15" ht="15" x14ac:dyDescent="0.2">
      <c r="A115" s="17" t="s">
        <v>110</v>
      </c>
      <c r="B115" s="16">
        <v>1024026378.22</v>
      </c>
      <c r="C115" s="16">
        <v>0</v>
      </c>
      <c r="D115" s="16">
        <v>54029115.697794549</v>
      </c>
      <c r="E115" s="16">
        <v>14475997.58</v>
      </c>
      <c r="F115" s="16">
        <v>1966613.36</v>
      </c>
      <c r="G115" s="16">
        <v>1459287.21</v>
      </c>
      <c r="H115" s="16">
        <v>55660592.210000001</v>
      </c>
      <c r="I115" s="16">
        <v>5160331.8</v>
      </c>
      <c r="J115" s="16">
        <v>84171621.210000053</v>
      </c>
      <c r="K115" s="16">
        <v>0</v>
      </c>
      <c r="L115" s="16">
        <v>0</v>
      </c>
      <c r="M115" s="16">
        <v>0</v>
      </c>
      <c r="N115" s="18">
        <f t="shared" si="3"/>
        <v>1240949937.2877944</v>
      </c>
      <c r="O115" s="4"/>
    </row>
    <row r="116" spans="1:15" ht="15" x14ac:dyDescent="0.2">
      <c r="A116" s="17" t="s">
        <v>111</v>
      </c>
      <c r="B116" s="16">
        <v>616035345.88</v>
      </c>
      <c r="C116" s="16">
        <v>0</v>
      </c>
      <c r="D116" s="16">
        <v>102209355.11998579</v>
      </c>
      <c r="E116" s="16">
        <v>8708492.6500000004</v>
      </c>
      <c r="F116" s="16">
        <v>5428237.8600000003</v>
      </c>
      <c r="G116" s="16">
        <v>2296397.7000000002</v>
      </c>
      <c r="H116" s="16">
        <v>33484383.710000001</v>
      </c>
      <c r="I116" s="16">
        <v>14243525.949999999</v>
      </c>
      <c r="J116" s="16">
        <v>114187045.87000005</v>
      </c>
      <c r="K116" s="16">
        <v>0</v>
      </c>
      <c r="L116" s="16">
        <v>0</v>
      </c>
      <c r="M116" s="16">
        <v>0</v>
      </c>
      <c r="N116" s="18">
        <f t="shared" si="3"/>
        <v>896592784.73998594</v>
      </c>
      <c r="O116" s="4"/>
    </row>
    <row r="117" spans="1:15" ht="15" x14ac:dyDescent="0.2">
      <c r="A117" s="17" t="s">
        <v>112</v>
      </c>
      <c r="B117" s="16">
        <v>315929826.63999999</v>
      </c>
      <c r="C117" s="16">
        <v>0</v>
      </c>
      <c r="D117" s="16">
        <v>18814708.405538704</v>
      </c>
      <c r="E117" s="16">
        <v>4466095.3099999996</v>
      </c>
      <c r="F117" s="16">
        <v>1142111.51</v>
      </c>
      <c r="G117" s="16">
        <v>610864.41</v>
      </c>
      <c r="H117" s="16">
        <v>17172254.18</v>
      </c>
      <c r="I117" s="16">
        <v>2996864.8</v>
      </c>
      <c r="J117" s="16">
        <v>33654030.129999988</v>
      </c>
      <c r="K117" s="16">
        <v>0</v>
      </c>
      <c r="L117" s="16">
        <v>0</v>
      </c>
      <c r="M117" s="16">
        <v>0</v>
      </c>
      <c r="N117" s="18">
        <f t="shared" si="3"/>
        <v>394786755.3855387</v>
      </c>
      <c r="O117" s="4"/>
    </row>
    <row r="118" spans="1:15" ht="15" x14ac:dyDescent="0.2">
      <c r="A118" s="17" t="s">
        <v>113</v>
      </c>
      <c r="B118" s="16">
        <v>553974389.8499999</v>
      </c>
      <c r="C118" s="16">
        <v>0</v>
      </c>
      <c r="D118" s="16">
        <v>207634510.39647982</v>
      </c>
      <c r="E118" s="16">
        <v>7831177.1100000003</v>
      </c>
      <c r="F118" s="16">
        <v>5386531.54</v>
      </c>
      <c r="G118" s="16">
        <v>2545268.38</v>
      </c>
      <c r="H118" s="16">
        <v>30111082.359999999</v>
      </c>
      <c r="I118" s="16">
        <v>14134089.880000001</v>
      </c>
      <c r="J118" s="16">
        <v>92763865.159999952</v>
      </c>
      <c r="K118" s="16">
        <v>0</v>
      </c>
      <c r="L118" s="16">
        <v>0</v>
      </c>
      <c r="M118" s="16">
        <v>0</v>
      </c>
      <c r="N118" s="18">
        <f t="shared" si="3"/>
        <v>914380914.6764797</v>
      </c>
      <c r="O118" s="4"/>
    </row>
    <row r="119" spans="1:15" ht="15" x14ac:dyDescent="0.2">
      <c r="A119" s="17" t="s">
        <v>114</v>
      </c>
      <c r="B119" s="16">
        <v>749594149.53999996</v>
      </c>
      <c r="C119" s="16">
        <v>0</v>
      </c>
      <c r="D119" s="16">
        <v>83543470.31280455</v>
      </c>
      <c r="E119" s="16">
        <v>10596526.939999999</v>
      </c>
      <c r="F119" s="16">
        <v>4327832.67</v>
      </c>
      <c r="G119" s="16">
        <v>1708157.89</v>
      </c>
      <c r="H119" s="16">
        <v>40743925.32</v>
      </c>
      <c r="I119" s="16">
        <v>11356097.23</v>
      </c>
      <c r="J119" s="16">
        <v>84439725.769999996</v>
      </c>
      <c r="K119" s="16">
        <v>0</v>
      </c>
      <c r="L119" s="16">
        <v>0</v>
      </c>
      <c r="M119" s="16">
        <v>0</v>
      </c>
      <c r="N119" s="18">
        <f t="shared" si="3"/>
        <v>986309885.67280459</v>
      </c>
      <c r="O119" s="4"/>
    </row>
    <row r="120" spans="1:15" ht="15" x14ac:dyDescent="0.2">
      <c r="A120" s="17" t="s">
        <v>115</v>
      </c>
      <c r="B120" s="16">
        <v>465560192.60000002</v>
      </c>
      <c r="C120" s="16">
        <v>0</v>
      </c>
      <c r="D120" s="16">
        <v>84205180.779902428</v>
      </c>
      <c r="E120" s="16">
        <v>6581322.8700000001</v>
      </c>
      <c r="F120" s="16">
        <v>2916234.17</v>
      </c>
      <c r="G120" s="16">
        <v>1730782.5</v>
      </c>
      <c r="H120" s="16">
        <v>25305359.890000001</v>
      </c>
      <c r="I120" s="16">
        <v>7652107.0300000003</v>
      </c>
      <c r="J120" s="16">
        <v>87543043.550000027</v>
      </c>
      <c r="K120" s="16">
        <v>0</v>
      </c>
      <c r="L120" s="16">
        <v>0</v>
      </c>
      <c r="M120" s="16">
        <v>0</v>
      </c>
      <c r="N120" s="18">
        <f t="shared" si="3"/>
        <v>681494223.38990247</v>
      </c>
      <c r="O120" s="4"/>
    </row>
    <row r="121" spans="1:15" ht="15" x14ac:dyDescent="0.2">
      <c r="A121" s="17" t="s">
        <v>116</v>
      </c>
      <c r="B121" s="16">
        <v>569098142.07000005</v>
      </c>
      <c r="C121" s="16">
        <v>0</v>
      </c>
      <c r="D121" s="16">
        <v>101094456.90629177</v>
      </c>
      <c r="E121" s="16">
        <v>8044971.7999999998</v>
      </c>
      <c r="F121" s="16">
        <v>1225524.1499999999</v>
      </c>
      <c r="G121" s="16">
        <v>576927.5</v>
      </c>
      <c r="H121" s="16">
        <v>30933128.57</v>
      </c>
      <c r="I121" s="16">
        <v>3215736.95</v>
      </c>
      <c r="J121" s="16">
        <v>48644851.609999992</v>
      </c>
      <c r="K121" s="16">
        <v>0</v>
      </c>
      <c r="L121" s="16">
        <v>0</v>
      </c>
      <c r="M121" s="16">
        <v>0</v>
      </c>
      <c r="N121" s="18">
        <f t="shared" si="3"/>
        <v>762833739.55629182</v>
      </c>
      <c r="O121" s="4"/>
    </row>
    <row r="122" spans="1:15" ht="15" x14ac:dyDescent="0.2">
      <c r="A122" s="17" t="s">
        <v>117</v>
      </c>
      <c r="B122" s="16">
        <v>1848703570.1900001</v>
      </c>
      <c r="C122" s="16">
        <v>0</v>
      </c>
      <c r="D122" s="16">
        <v>17644070.73</v>
      </c>
      <c r="E122" s="16">
        <v>27365792.68</v>
      </c>
      <c r="F122" s="16">
        <v>36894051.670000002</v>
      </c>
      <c r="G122" s="16">
        <v>15757289.396303318</v>
      </c>
      <c r="H122" s="16">
        <v>100485629.79000001</v>
      </c>
      <c r="I122" s="16">
        <v>96808834.799999997</v>
      </c>
      <c r="J122" s="16">
        <v>228189827.67999989</v>
      </c>
      <c r="K122" s="16">
        <v>0</v>
      </c>
      <c r="L122" s="16">
        <v>0</v>
      </c>
      <c r="M122" s="16">
        <v>0</v>
      </c>
      <c r="N122" s="18">
        <f t="shared" si="3"/>
        <v>2371849066.9363036</v>
      </c>
      <c r="O122" s="4"/>
    </row>
    <row r="123" spans="1:15" ht="15" x14ac:dyDescent="0.2">
      <c r="A123" s="17" t="s">
        <v>118</v>
      </c>
      <c r="B123" s="16">
        <v>4079560045.79</v>
      </c>
      <c r="C123" s="16">
        <v>0</v>
      </c>
      <c r="D123" s="16">
        <v>42286417.590000004</v>
      </c>
      <c r="E123" s="16">
        <v>57670097.810000002</v>
      </c>
      <c r="F123" s="16">
        <v>51285940</v>
      </c>
      <c r="G123" s="16">
        <v>38703421.96028503</v>
      </c>
      <c r="H123" s="16">
        <v>221743045.81</v>
      </c>
      <c r="I123" s="16">
        <v>134572698.53</v>
      </c>
      <c r="J123" s="16">
        <v>297744069.83999997</v>
      </c>
      <c r="K123" s="16">
        <v>0</v>
      </c>
      <c r="L123" s="16">
        <v>0</v>
      </c>
      <c r="M123" s="16">
        <v>0</v>
      </c>
      <c r="N123" s="18">
        <f t="shared" si="3"/>
        <v>4923565737.3302851</v>
      </c>
      <c r="O123" s="4"/>
    </row>
    <row r="124" spans="1:15" ht="15" x14ac:dyDescent="0.2">
      <c r="A124" s="17" t="s">
        <v>119</v>
      </c>
      <c r="B124" s="16">
        <v>3583093002.5</v>
      </c>
      <c r="C124" s="16">
        <v>0</v>
      </c>
      <c r="D124" s="16">
        <v>22088562.289999999</v>
      </c>
      <c r="E124" s="16">
        <v>53039428.189999998</v>
      </c>
      <c r="F124" s="16">
        <v>65674620.159999996</v>
      </c>
      <c r="G124" s="16">
        <v>0</v>
      </c>
      <c r="H124" s="16">
        <v>194757754.97</v>
      </c>
      <c r="I124" s="16">
        <v>172328144.09999999</v>
      </c>
      <c r="J124" s="16">
        <v>425969598.07999974</v>
      </c>
      <c r="K124" s="16">
        <v>0</v>
      </c>
      <c r="L124" s="16">
        <v>0</v>
      </c>
      <c r="M124" s="16">
        <v>0</v>
      </c>
      <c r="N124" s="18">
        <f t="shared" si="3"/>
        <v>4516951110.289999</v>
      </c>
      <c r="O124" s="4"/>
    </row>
    <row r="125" spans="1:15" ht="15" x14ac:dyDescent="0.2">
      <c r="A125" s="17" t="s">
        <v>120</v>
      </c>
      <c r="B125" s="16">
        <v>1178457608.3100002</v>
      </c>
      <c r="C125" s="16">
        <v>0</v>
      </c>
      <c r="D125" s="16">
        <v>65127929.766095616</v>
      </c>
      <c r="E125" s="16">
        <v>16659091.859999999</v>
      </c>
      <c r="F125" s="16">
        <v>25537100.109999999</v>
      </c>
      <c r="G125" s="16">
        <v>10837187.15</v>
      </c>
      <c r="H125" s="16">
        <v>64054647.189999998</v>
      </c>
      <c r="I125" s="16">
        <v>67008550</v>
      </c>
      <c r="J125" s="16">
        <v>263233210.68999994</v>
      </c>
      <c r="K125" s="16">
        <v>0</v>
      </c>
      <c r="L125" s="16">
        <v>0</v>
      </c>
      <c r="M125" s="16">
        <v>0</v>
      </c>
      <c r="N125" s="18">
        <f t="shared" si="3"/>
        <v>1690915325.0760956</v>
      </c>
      <c r="O125" s="4"/>
    </row>
    <row r="126" spans="1:15" ht="15" x14ac:dyDescent="0.2">
      <c r="A126" s="17" t="s">
        <v>121</v>
      </c>
      <c r="B126" s="16">
        <v>1313108454.0500002</v>
      </c>
      <c r="C126" s="16">
        <v>0</v>
      </c>
      <c r="D126" s="16">
        <v>104711633.66031247</v>
      </c>
      <c r="E126" s="16">
        <v>18562563.629999999</v>
      </c>
      <c r="F126" s="16">
        <v>12784590.949999999</v>
      </c>
      <c r="G126" s="16">
        <v>4434423.1399999997</v>
      </c>
      <c r="H126" s="16">
        <v>71373546.370000005</v>
      </c>
      <c r="I126" s="16">
        <v>33546365.800000001</v>
      </c>
      <c r="J126" s="16">
        <v>180615858.60999998</v>
      </c>
      <c r="K126" s="16">
        <v>0</v>
      </c>
      <c r="L126" s="16">
        <v>0</v>
      </c>
      <c r="M126" s="16">
        <v>0</v>
      </c>
      <c r="N126" s="18">
        <f t="shared" si="3"/>
        <v>1739137436.2103128</v>
      </c>
      <c r="O126" s="4"/>
    </row>
    <row r="127" spans="1:15" ht="15" x14ac:dyDescent="0.2">
      <c r="A127" s="17" t="s">
        <v>122</v>
      </c>
      <c r="B127" s="16">
        <v>740940231.35000002</v>
      </c>
      <c r="C127" s="16">
        <v>0</v>
      </c>
      <c r="D127" s="16">
        <v>31397167.20112792</v>
      </c>
      <c r="E127" s="16">
        <v>10474192.109999999</v>
      </c>
      <c r="F127" s="16">
        <v>13570594.66</v>
      </c>
      <c r="G127" s="16">
        <v>6334890.1900000004</v>
      </c>
      <c r="H127" s="16">
        <v>40273544.659999996</v>
      </c>
      <c r="I127" s="16">
        <v>35608814.890000001</v>
      </c>
      <c r="J127" s="16">
        <v>200262117.42999998</v>
      </c>
      <c r="K127" s="16">
        <v>0</v>
      </c>
      <c r="L127" s="16">
        <v>0</v>
      </c>
      <c r="M127" s="16">
        <v>0</v>
      </c>
      <c r="N127" s="18">
        <f t="shared" si="3"/>
        <v>1078861552.491128</v>
      </c>
      <c r="O127" s="4"/>
    </row>
    <row r="128" spans="1:15" ht="15" x14ac:dyDescent="0.2">
      <c r="A128" s="17" t="s">
        <v>123</v>
      </c>
      <c r="B128" s="16">
        <v>346259749.34000003</v>
      </c>
      <c r="C128" s="16">
        <v>0</v>
      </c>
      <c r="D128" s="16">
        <v>43215820.748861417</v>
      </c>
      <c r="E128" s="16">
        <v>4894849.78</v>
      </c>
      <c r="F128" s="16">
        <v>1241565.04</v>
      </c>
      <c r="G128" s="16">
        <v>757924.36</v>
      </c>
      <c r="H128" s="16">
        <v>18820826.420000002</v>
      </c>
      <c r="I128" s="16">
        <v>3257827.74</v>
      </c>
      <c r="J128" s="16">
        <v>43037382.110000022</v>
      </c>
      <c r="K128" s="16">
        <v>0</v>
      </c>
      <c r="L128" s="16">
        <v>0</v>
      </c>
      <c r="M128" s="16">
        <v>0</v>
      </c>
      <c r="N128" s="18">
        <f t="shared" si="3"/>
        <v>461485945.53886151</v>
      </c>
      <c r="O128" s="4"/>
    </row>
    <row r="129" spans="1:15" ht="15" x14ac:dyDescent="0.2">
      <c r="A129" s="17" t="s">
        <v>124</v>
      </c>
      <c r="B129" s="16">
        <v>2157751471.5499997</v>
      </c>
      <c r="C129" s="16">
        <v>0</v>
      </c>
      <c r="D129" s="16">
        <v>368497018.67843127</v>
      </c>
      <c r="E129" s="16">
        <v>22071846.609999999</v>
      </c>
      <c r="F129" s="16">
        <v>15790654.109999999</v>
      </c>
      <c r="G129" s="16">
        <v>9400524.5600000005</v>
      </c>
      <c r="H129" s="16">
        <v>117283819.34</v>
      </c>
      <c r="I129" s="16">
        <v>41434181.289999999</v>
      </c>
      <c r="J129" s="16">
        <v>269662805.95999998</v>
      </c>
      <c r="K129" s="16">
        <v>0</v>
      </c>
      <c r="L129" s="16">
        <v>0</v>
      </c>
      <c r="M129" s="16">
        <v>0</v>
      </c>
      <c r="N129" s="18">
        <f t="shared" si="3"/>
        <v>3001892322.0984311</v>
      </c>
      <c r="O129" s="4"/>
    </row>
    <row r="130" spans="1:15" ht="15" x14ac:dyDescent="0.2">
      <c r="A130" s="17" t="s">
        <v>125</v>
      </c>
      <c r="B130" s="16">
        <v>583459525.31999993</v>
      </c>
      <c r="C130" s="16">
        <v>0</v>
      </c>
      <c r="D130" s="16">
        <v>113628525.92256121</v>
      </c>
      <c r="E130" s="16">
        <v>8247989.3700000001</v>
      </c>
      <c r="F130" s="16">
        <v>1953780.64</v>
      </c>
      <c r="G130" s="16">
        <v>701362.84</v>
      </c>
      <c r="H130" s="16">
        <v>31713736.489999998</v>
      </c>
      <c r="I130" s="16">
        <v>5126659.16</v>
      </c>
      <c r="J130" s="16">
        <v>74116011.730000034</v>
      </c>
      <c r="K130" s="16">
        <v>0</v>
      </c>
      <c r="L130" s="16">
        <v>0</v>
      </c>
      <c r="M130" s="16">
        <v>0</v>
      </c>
      <c r="N130" s="18">
        <f t="shared" si="3"/>
        <v>818947591.47256112</v>
      </c>
      <c r="O130" s="4"/>
    </row>
    <row r="131" spans="1:15" ht="15" x14ac:dyDescent="0.2">
      <c r="A131" s="17" t="s">
        <v>126</v>
      </c>
      <c r="B131" s="16">
        <v>3664810715.4400005</v>
      </c>
      <c r="C131" s="16">
        <v>0</v>
      </c>
      <c r="D131" s="16">
        <v>89106970.034999996</v>
      </c>
      <c r="E131" s="16">
        <v>78103538.620000005</v>
      </c>
      <c r="F131" s="16">
        <v>86271125.530000001</v>
      </c>
      <c r="G131" s="16">
        <v>8016459.7765144473</v>
      </c>
      <c r="H131" s="16">
        <v>199199492.40000001</v>
      </c>
      <c r="I131" s="16">
        <v>226372728.38999999</v>
      </c>
      <c r="J131" s="16">
        <v>582330748.01000011</v>
      </c>
      <c r="K131" s="16">
        <v>0</v>
      </c>
      <c r="L131" s="16">
        <v>0</v>
      </c>
      <c r="M131" s="16">
        <v>0</v>
      </c>
      <c r="N131" s="18">
        <f t="shared" si="3"/>
        <v>4934211778.2015152</v>
      </c>
      <c r="O131" s="4"/>
    </row>
    <row r="132" spans="1:15" ht="15" x14ac:dyDescent="0.2">
      <c r="A132" s="17" t="s">
        <v>127</v>
      </c>
      <c r="B132" s="16">
        <v>144438015</v>
      </c>
      <c r="C132" s="16">
        <v>0</v>
      </c>
      <c r="D132" s="16">
        <v>10534153.287482072</v>
      </c>
      <c r="E132" s="16">
        <v>2041826.65</v>
      </c>
      <c r="F132" s="16">
        <v>368940.51</v>
      </c>
      <c r="G132" s="16">
        <v>169684.56</v>
      </c>
      <c r="H132" s="16">
        <v>7850877.3099999996</v>
      </c>
      <c r="I132" s="16">
        <v>968088.35</v>
      </c>
      <c r="J132" s="16">
        <v>20910925.949999999</v>
      </c>
      <c r="K132" s="16">
        <v>0</v>
      </c>
      <c r="L132" s="16">
        <v>0</v>
      </c>
      <c r="M132" s="16">
        <v>0</v>
      </c>
      <c r="N132" s="18">
        <f t="shared" si="3"/>
        <v>187282511.61748207</v>
      </c>
      <c r="O132" s="4"/>
    </row>
    <row r="133" spans="1:15" ht="15" x14ac:dyDescent="0.2">
      <c r="A133" s="17" t="s">
        <v>128</v>
      </c>
      <c r="B133" s="16">
        <v>904602307.52999997</v>
      </c>
      <c r="C133" s="16">
        <v>0</v>
      </c>
      <c r="D133" s="16">
        <v>70005401.289985791</v>
      </c>
      <c r="E133" s="16">
        <v>5882223.8499999996</v>
      </c>
      <c r="F133" s="16">
        <v>1334602.21</v>
      </c>
      <c r="G133" s="16">
        <v>961545.83</v>
      </c>
      <c r="H133" s="16">
        <v>49169339.020000003</v>
      </c>
      <c r="I133" s="16">
        <v>3501954.37</v>
      </c>
      <c r="J133" s="16">
        <v>77137024.760000035</v>
      </c>
      <c r="K133" s="16">
        <v>0</v>
      </c>
      <c r="L133" s="16">
        <v>0</v>
      </c>
      <c r="M133" s="16">
        <v>0</v>
      </c>
      <c r="N133" s="18">
        <f t="shared" si="3"/>
        <v>1112594398.8599858</v>
      </c>
      <c r="O133" s="4"/>
    </row>
    <row r="134" spans="1:15" ht="15" x14ac:dyDescent="0.2">
      <c r="A134" s="17" t="s">
        <v>129</v>
      </c>
      <c r="B134" s="16">
        <v>1562773993.1299996</v>
      </c>
      <c r="C134" s="16">
        <v>0</v>
      </c>
      <c r="D134" s="16">
        <v>247689738.64515084</v>
      </c>
      <c r="E134" s="16">
        <v>22091923.649999999</v>
      </c>
      <c r="F134" s="16">
        <v>6227074.2800000003</v>
      </c>
      <c r="G134" s="16">
        <v>3178757.4</v>
      </c>
      <c r="H134" s="16">
        <v>84944028.590000004</v>
      </c>
      <c r="I134" s="16">
        <v>16339647.68</v>
      </c>
      <c r="J134" s="16">
        <v>174202539.90000001</v>
      </c>
      <c r="K134" s="16">
        <v>0</v>
      </c>
      <c r="L134" s="16">
        <v>0</v>
      </c>
      <c r="M134" s="16">
        <v>0</v>
      </c>
      <c r="N134" s="18">
        <f t="shared" si="3"/>
        <v>2117447703.2751508</v>
      </c>
      <c r="O134" s="4"/>
    </row>
    <row r="135" spans="1:15" ht="15" x14ac:dyDescent="0.2">
      <c r="A135" s="17" t="s">
        <v>130</v>
      </c>
      <c r="B135" s="16">
        <v>1292606909.8199997</v>
      </c>
      <c r="C135" s="16">
        <v>0</v>
      </c>
      <c r="D135" s="16">
        <v>295248315.58853227</v>
      </c>
      <c r="E135" s="16">
        <v>19134064.149999999</v>
      </c>
      <c r="F135" s="16">
        <v>9374297.3000000007</v>
      </c>
      <c r="G135" s="16">
        <v>4027180.2</v>
      </c>
      <c r="H135" s="16">
        <v>70259192.170000002</v>
      </c>
      <c r="I135" s="16">
        <v>24597862.199999999</v>
      </c>
      <c r="J135" s="16">
        <v>179595034.45999995</v>
      </c>
      <c r="K135" s="16">
        <v>0</v>
      </c>
      <c r="L135" s="16">
        <v>0</v>
      </c>
      <c r="M135" s="16">
        <v>0</v>
      </c>
      <c r="N135" s="18">
        <f t="shared" si="3"/>
        <v>1894842855.8885322</v>
      </c>
      <c r="O135" s="4"/>
    </row>
    <row r="136" spans="1:15" ht="15" x14ac:dyDescent="0.2">
      <c r="A136" s="17" t="s">
        <v>131</v>
      </c>
      <c r="B136" s="16">
        <v>2085470650.3400002</v>
      </c>
      <c r="C136" s="16">
        <v>0</v>
      </c>
      <c r="D136" s="16">
        <v>20171346.59</v>
      </c>
      <c r="E136" s="16">
        <v>30870583.240000002</v>
      </c>
      <c r="F136" s="16">
        <v>55774181.600000001</v>
      </c>
      <c r="G136" s="16">
        <v>29054972.56533055</v>
      </c>
      <c r="H136" s="16">
        <v>113355020.83</v>
      </c>
      <c r="I136" s="16">
        <v>146349703.72999999</v>
      </c>
      <c r="J136" s="16">
        <v>408316157.5399999</v>
      </c>
      <c r="K136" s="16">
        <v>0</v>
      </c>
      <c r="L136" s="16">
        <v>0</v>
      </c>
      <c r="M136" s="16">
        <v>0</v>
      </c>
      <c r="N136" s="18">
        <f t="shared" ref="N136:N142" si="4">SUM(B136:M136)</f>
        <v>2889362616.4353304</v>
      </c>
      <c r="O136" s="4"/>
    </row>
    <row r="137" spans="1:15" ht="15" x14ac:dyDescent="0.2">
      <c r="A137" s="17" t="s">
        <v>132</v>
      </c>
      <c r="B137" s="16">
        <v>333917613.64000005</v>
      </c>
      <c r="C137" s="16">
        <v>0</v>
      </c>
      <c r="D137" s="16">
        <v>36582172.093806796</v>
      </c>
      <c r="E137" s="16">
        <v>4720377.01</v>
      </c>
      <c r="F137" s="16">
        <v>667301.1</v>
      </c>
      <c r="G137" s="16">
        <v>588239.80000000005</v>
      </c>
      <c r="H137" s="16">
        <v>18149973.989999998</v>
      </c>
      <c r="I137" s="16">
        <v>1750977.19</v>
      </c>
      <c r="J137" s="16">
        <v>40055064.530000009</v>
      </c>
      <c r="K137" s="16">
        <v>0</v>
      </c>
      <c r="L137" s="16">
        <v>0</v>
      </c>
      <c r="M137" s="16">
        <v>0</v>
      </c>
      <c r="N137" s="18">
        <f t="shared" si="4"/>
        <v>436431719.35380691</v>
      </c>
      <c r="O137" s="4"/>
    </row>
    <row r="138" spans="1:15" ht="15" x14ac:dyDescent="0.2">
      <c r="A138" s="17" t="s">
        <v>133</v>
      </c>
      <c r="B138" s="16">
        <v>942741361.13999999</v>
      </c>
      <c r="C138" s="16">
        <v>0</v>
      </c>
      <c r="D138" s="16">
        <v>201473271.77802822</v>
      </c>
      <c r="E138" s="16">
        <v>13326923.949999999</v>
      </c>
      <c r="F138" s="16">
        <v>5810011.0899999999</v>
      </c>
      <c r="G138" s="16">
        <v>2296397.7000000002</v>
      </c>
      <c r="H138" s="16">
        <v>51242373.810000002</v>
      </c>
      <c r="I138" s="16">
        <v>15245286.939999999</v>
      </c>
      <c r="J138" s="16">
        <v>145539922.22999996</v>
      </c>
      <c r="K138" s="16">
        <v>0</v>
      </c>
      <c r="L138" s="16">
        <v>0</v>
      </c>
      <c r="M138" s="16">
        <v>0</v>
      </c>
      <c r="N138" s="18">
        <f t="shared" si="4"/>
        <v>1377675548.6380281</v>
      </c>
      <c r="O138" s="4"/>
    </row>
    <row r="139" spans="1:15" ht="15" x14ac:dyDescent="0.2">
      <c r="A139" s="17" t="s">
        <v>134</v>
      </c>
      <c r="B139" s="16">
        <v>3314471261.7600002</v>
      </c>
      <c r="C139" s="16">
        <v>0</v>
      </c>
      <c r="D139" s="16">
        <v>28458921.714999996</v>
      </c>
      <c r="E139" s="16">
        <v>46854533.439999998</v>
      </c>
      <c r="F139" s="16">
        <v>29880973.670000002</v>
      </c>
      <c r="G139" s="16">
        <v>26763730.797978446</v>
      </c>
      <c r="H139" s="16">
        <v>180156915.15000001</v>
      </c>
      <c r="I139" s="16">
        <v>78406738.010000005</v>
      </c>
      <c r="J139" s="16">
        <v>259869773.11999997</v>
      </c>
      <c r="K139" s="16">
        <v>0</v>
      </c>
      <c r="L139" s="16">
        <v>0</v>
      </c>
      <c r="M139" s="16">
        <v>0</v>
      </c>
      <c r="N139" s="18">
        <f t="shared" si="4"/>
        <v>3964862847.6629791</v>
      </c>
      <c r="O139" s="4"/>
    </row>
    <row r="140" spans="1:15" ht="15" x14ac:dyDescent="0.2">
      <c r="A140" s="17" t="s">
        <v>135</v>
      </c>
      <c r="B140" s="16">
        <v>976986151.62</v>
      </c>
      <c r="C140" s="16">
        <v>0</v>
      </c>
      <c r="D140" s="16">
        <v>5759387.5199999996</v>
      </c>
      <c r="E140" s="16">
        <v>13811020.379999999</v>
      </c>
      <c r="F140" s="16">
        <v>4927762.03</v>
      </c>
      <c r="G140" s="16">
        <v>2420833.04</v>
      </c>
      <c r="H140" s="16">
        <v>53103737.299999997</v>
      </c>
      <c r="I140" s="16">
        <v>12930293.07</v>
      </c>
      <c r="J140" s="16">
        <v>65687762.969999969</v>
      </c>
      <c r="K140" s="16">
        <v>0</v>
      </c>
      <c r="L140" s="16">
        <v>0</v>
      </c>
      <c r="M140" s="16">
        <v>0</v>
      </c>
      <c r="N140" s="18">
        <f t="shared" si="4"/>
        <v>1135626947.9299998</v>
      </c>
      <c r="O140" s="4"/>
    </row>
    <row r="141" spans="1:15" ht="15" x14ac:dyDescent="0.2">
      <c r="A141" s="17" t="s">
        <v>136</v>
      </c>
      <c r="B141" s="16">
        <v>1132447610.0599999</v>
      </c>
      <c r="C141" s="16">
        <v>0</v>
      </c>
      <c r="D141" s="16">
        <v>96376560.633570462</v>
      </c>
      <c r="E141" s="16">
        <v>16008678.300000001</v>
      </c>
      <c r="F141" s="16">
        <v>7106115.1699999999</v>
      </c>
      <c r="G141" s="16">
        <v>2115400.83</v>
      </c>
      <c r="H141" s="16">
        <v>61553789.990000002</v>
      </c>
      <c r="I141" s="16">
        <v>18646223.399999999</v>
      </c>
      <c r="J141" s="16">
        <v>182684225.2700001</v>
      </c>
      <c r="K141" s="16">
        <v>0</v>
      </c>
      <c r="L141" s="16">
        <v>0</v>
      </c>
      <c r="M141" s="16">
        <v>0</v>
      </c>
      <c r="N141" s="18">
        <f t="shared" si="4"/>
        <v>1516938603.6535707</v>
      </c>
      <c r="O141" s="4"/>
    </row>
    <row r="142" spans="1:15" ht="15" x14ac:dyDescent="0.2">
      <c r="A142" s="17" t="s">
        <v>137</v>
      </c>
      <c r="B142" s="16">
        <v>1106918551.48</v>
      </c>
      <c r="C142" s="16">
        <v>0</v>
      </c>
      <c r="D142" s="16">
        <v>82746794.932327539</v>
      </c>
      <c r="E142" s="16">
        <v>16385376.259999998</v>
      </c>
      <c r="F142" s="16">
        <v>30551482.960000001</v>
      </c>
      <c r="G142" s="16">
        <v>8540789.4600000009</v>
      </c>
      <c r="H142" s="16">
        <v>60166167.020000003</v>
      </c>
      <c r="I142" s="16">
        <v>80166133.370000005</v>
      </c>
      <c r="J142" s="16">
        <v>247637388.12999997</v>
      </c>
      <c r="K142" s="16">
        <v>0</v>
      </c>
      <c r="L142" s="16">
        <v>0</v>
      </c>
      <c r="M142" s="16">
        <v>0</v>
      </c>
      <c r="N142" s="18">
        <f t="shared" si="4"/>
        <v>1633112683.6123273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206045670584.87</v>
      </c>
      <c r="C143" s="23">
        <f t="shared" si="5"/>
        <v>0</v>
      </c>
      <c r="D143" s="23">
        <f t="shared" si="5"/>
        <v>13402558889.824879</v>
      </c>
      <c r="E143" s="23">
        <f t="shared" si="5"/>
        <v>2996479071.6900005</v>
      </c>
      <c r="F143" s="23">
        <f t="shared" si="5"/>
        <v>3208178406.6900005</v>
      </c>
      <c r="G143" s="23">
        <f t="shared" si="5"/>
        <v>1131230391.7699997</v>
      </c>
      <c r="H143" s="23">
        <f t="shared" si="5"/>
        <v>11199539670.999996</v>
      </c>
      <c r="I143" s="23">
        <f t="shared" si="5"/>
        <v>8418159547.5899982</v>
      </c>
      <c r="J143" s="23">
        <f t="shared" ref="J143:N143" si="6">SUM(J8:J142)</f>
        <v>30710715268.619999</v>
      </c>
      <c r="K143" s="23">
        <f t="shared" si="6"/>
        <v>500433208.07999998</v>
      </c>
      <c r="L143" s="23">
        <f t="shared" si="6"/>
        <v>0</v>
      </c>
      <c r="M143" s="23">
        <f t="shared" si="6"/>
        <v>0</v>
      </c>
      <c r="N143" s="23">
        <f t="shared" si="6"/>
        <v>277612965040.13483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44AEAC"/>
  </sheetPr>
  <dimension ref="A1:Y275"/>
  <sheetViews>
    <sheetView showGridLines="0" zoomScale="80" zoomScaleNormal="80" workbookViewId="0">
      <selection activeCell="K7" sqref="K7"/>
    </sheetView>
  </sheetViews>
  <sheetFormatPr baseColWidth="10" defaultRowHeight="14.25" x14ac:dyDescent="0.2"/>
  <cols>
    <col min="1" max="1" width="41.83203125" style="11" customWidth="1"/>
    <col min="2" max="2" width="24.1640625" style="1" customWidth="1"/>
    <col min="3" max="11" width="22.33203125" style="1" customWidth="1"/>
    <col min="12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31" t="s">
        <v>176</v>
      </c>
      <c r="L7" s="19" t="s">
        <v>149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1017674234.4200002</v>
      </c>
      <c r="C8" s="16">
        <v>0</v>
      </c>
      <c r="D8" s="16">
        <v>28819018.857578598</v>
      </c>
      <c r="E8" s="16">
        <v>7417650.04</v>
      </c>
      <c r="F8" s="16">
        <v>2297764.77</v>
      </c>
      <c r="G8" s="16">
        <v>1240697.1399999999</v>
      </c>
      <c r="H8" s="16">
        <v>54634809.469999999</v>
      </c>
      <c r="I8" s="16">
        <v>7543360.6799999997</v>
      </c>
      <c r="J8" s="16">
        <v>57463367.059999973</v>
      </c>
      <c r="K8" s="16">
        <v>165456251.99999997</v>
      </c>
      <c r="L8" s="16">
        <v>0</v>
      </c>
      <c r="M8" s="16">
        <v>0</v>
      </c>
      <c r="N8" s="18">
        <f t="shared" ref="N8:N39" si="0">SUM(B8:M8)</f>
        <v>1342547154.4375787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537826286</v>
      </c>
      <c r="C9" s="16">
        <v>0</v>
      </c>
      <c r="D9" s="16">
        <v>20980400.169799939</v>
      </c>
      <c r="E9" s="16">
        <v>3920122.0199999996</v>
      </c>
      <c r="F9" s="16">
        <v>1609862.52</v>
      </c>
      <c r="G9" s="16">
        <v>918115.88</v>
      </c>
      <c r="H9" s="16">
        <v>28873715.84</v>
      </c>
      <c r="I9" s="16">
        <v>5285037.79</v>
      </c>
      <c r="J9" s="16">
        <v>43577409.259999976</v>
      </c>
      <c r="K9" s="16">
        <v>87304656.599999994</v>
      </c>
      <c r="L9" s="16">
        <v>0</v>
      </c>
      <c r="M9" s="16">
        <v>0</v>
      </c>
      <c r="N9" s="18">
        <f t="shared" si="0"/>
        <v>730295606.07979989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585773930.14999986</v>
      </c>
      <c r="C10" s="16">
        <v>0</v>
      </c>
      <c r="D10" s="16">
        <v>9235256.8593088649</v>
      </c>
      <c r="E10" s="16">
        <v>4269604.04</v>
      </c>
      <c r="F10" s="16">
        <v>1124620.27</v>
      </c>
      <c r="G10" s="16">
        <v>918115.88</v>
      </c>
      <c r="H10" s="16">
        <v>31447830.73</v>
      </c>
      <c r="I10" s="16">
        <v>3692029.95</v>
      </c>
      <c r="J10" s="16">
        <v>25755416.72000001</v>
      </c>
      <c r="K10" s="16">
        <v>92654739</v>
      </c>
      <c r="L10" s="16">
        <v>0</v>
      </c>
      <c r="M10" s="16">
        <v>0</v>
      </c>
      <c r="N10" s="18">
        <f t="shared" si="0"/>
        <v>754871543.59930873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4731422439.7999992</v>
      </c>
      <c r="C11" s="16">
        <v>0</v>
      </c>
      <c r="D11" s="16">
        <v>39018670.504615098</v>
      </c>
      <c r="E11" s="16">
        <v>44639504.549999997</v>
      </c>
      <c r="F11" s="16">
        <v>120711145.52</v>
      </c>
      <c r="G11" s="16">
        <v>78004317.451131508</v>
      </c>
      <c r="H11" s="16">
        <v>254010915.03</v>
      </c>
      <c r="I11" s="16">
        <v>396284128.26999998</v>
      </c>
      <c r="J11" s="16">
        <v>484566132.60000014</v>
      </c>
      <c r="K11" s="16">
        <v>817362268.20000005</v>
      </c>
      <c r="L11" s="16">
        <v>0</v>
      </c>
      <c r="M11" s="16">
        <v>0</v>
      </c>
      <c r="N11" s="18">
        <f t="shared" si="0"/>
        <v>6966019521.925746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609155662.63</v>
      </c>
      <c r="C12" s="16">
        <v>0</v>
      </c>
      <c r="D12" s="16">
        <v>18246510.662158206</v>
      </c>
      <c r="E12" s="16">
        <v>4440029.41</v>
      </c>
      <c r="F12" s="16">
        <v>4127413.48</v>
      </c>
      <c r="G12" s="16">
        <v>2282882.73</v>
      </c>
      <c r="H12" s="16">
        <v>32703101.289999999</v>
      </c>
      <c r="I12" s="16">
        <v>13549937.33</v>
      </c>
      <c r="J12" s="16">
        <v>52247641.820000008</v>
      </c>
      <c r="K12" s="16">
        <v>105233529.59999999</v>
      </c>
      <c r="L12" s="16">
        <v>0</v>
      </c>
      <c r="M12" s="16">
        <v>0</v>
      </c>
      <c r="N12" s="18">
        <f t="shared" si="0"/>
        <v>841986708.95215833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2895573320.9900002</v>
      </c>
      <c r="C13" s="16">
        <v>0</v>
      </c>
      <c r="D13" s="16">
        <v>44941147.893288031</v>
      </c>
      <c r="E13" s="16">
        <v>27318837</v>
      </c>
      <c r="F13" s="16">
        <v>58700040.369999997</v>
      </c>
      <c r="G13" s="16">
        <v>0</v>
      </c>
      <c r="H13" s="16">
        <v>155451608.50999999</v>
      </c>
      <c r="I13" s="16">
        <v>192707096.19</v>
      </c>
      <c r="J13" s="16">
        <v>360309964.29999995</v>
      </c>
      <c r="K13" s="16">
        <v>480901530.60000002</v>
      </c>
      <c r="L13" s="16">
        <v>0</v>
      </c>
      <c r="M13" s="16">
        <v>0</v>
      </c>
      <c r="N13" s="18">
        <f t="shared" si="0"/>
        <v>4215903545.8532882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978503447.19000006</v>
      </c>
      <c r="C14" s="16">
        <v>0</v>
      </c>
      <c r="D14" s="16">
        <v>36044836.030910954</v>
      </c>
      <c r="E14" s="16">
        <v>7132141</v>
      </c>
      <c r="F14" s="16">
        <v>2671686.73</v>
      </c>
      <c r="G14" s="16">
        <v>1550871.42</v>
      </c>
      <c r="H14" s="16">
        <v>52531888.490000002</v>
      </c>
      <c r="I14" s="16">
        <v>8770913.7899999991</v>
      </c>
      <c r="J14" s="16">
        <v>77349700.559999973</v>
      </c>
      <c r="K14" s="16">
        <v>161348425.19999999</v>
      </c>
      <c r="L14" s="16">
        <v>0</v>
      </c>
      <c r="M14" s="16">
        <v>0</v>
      </c>
      <c r="N14" s="18">
        <f t="shared" si="0"/>
        <v>1325903910.4109108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1704196265.3299999</v>
      </c>
      <c r="C15" s="16">
        <v>0</v>
      </c>
      <c r="D15" s="16">
        <v>47131686.135720231</v>
      </c>
      <c r="E15" s="16">
        <v>12421589.41</v>
      </c>
      <c r="F15" s="16">
        <v>9953174.8499999996</v>
      </c>
      <c r="G15" s="16">
        <v>5372218.6100000003</v>
      </c>
      <c r="H15" s="16">
        <v>91491397.829999998</v>
      </c>
      <c r="I15" s="16">
        <v>32675402.109999999</v>
      </c>
      <c r="J15" s="16">
        <v>123412536.5</v>
      </c>
      <c r="K15" s="16">
        <v>274370821.19999999</v>
      </c>
      <c r="L15" s="16">
        <v>0</v>
      </c>
      <c r="M15" s="16">
        <v>0</v>
      </c>
      <c r="N15" s="18">
        <f t="shared" si="0"/>
        <v>2301025091.9757199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3077704711.0799994</v>
      </c>
      <c r="C16" s="16">
        <v>0</v>
      </c>
      <c r="D16" s="16">
        <v>76366055.400639907</v>
      </c>
      <c r="E16" s="16">
        <v>29037190.229999997</v>
      </c>
      <c r="F16" s="16">
        <v>37121032.090000004</v>
      </c>
      <c r="G16" s="16">
        <v>23833792.030000001</v>
      </c>
      <c r="H16" s="16">
        <v>165229505.46000001</v>
      </c>
      <c r="I16" s="16">
        <v>121865100.22</v>
      </c>
      <c r="J16" s="16">
        <v>306572636.92000014</v>
      </c>
      <c r="K16" s="16">
        <v>507853904.39999998</v>
      </c>
      <c r="L16" s="16">
        <v>0</v>
      </c>
      <c r="M16" s="16">
        <v>0</v>
      </c>
      <c r="N16" s="18">
        <f t="shared" si="0"/>
        <v>4345583927.8306398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1155247983.3099999</v>
      </c>
      <c r="C17" s="16">
        <v>0</v>
      </c>
      <c r="D17" s="16">
        <v>42981677.125918373</v>
      </c>
      <c r="E17" s="16">
        <v>8420401.1099999994</v>
      </c>
      <c r="F17" s="16">
        <v>7624012.0499999998</v>
      </c>
      <c r="G17" s="16">
        <v>3473951.99</v>
      </c>
      <c r="H17" s="16">
        <v>62020587.060000002</v>
      </c>
      <c r="I17" s="16">
        <v>25028964.449999999</v>
      </c>
      <c r="J17" s="16">
        <v>83098630.339999989</v>
      </c>
      <c r="K17" s="16">
        <v>184905554.40000001</v>
      </c>
      <c r="L17" s="16">
        <v>0</v>
      </c>
      <c r="M17" s="16">
        <v>0</v>
      </c>
      <c r="N17" s="18">
        <f t="shared" si="0"/>
        <v>1572801761.8359182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649696382.56999993</v>
      </c>
      <c r="C18" s="16">
        <v>0</v>
      </c>
      <c r="D18" s="16">
        <v>16914975.396421216</v>
      </c>
      <c r="E18" s="16">
        <v>4735523.6399999997</v>
      </c>
      <c r="F18" s="16">
        <v>5137859.1100000003</v>
      </c>
      <c r="G18" s="16">
        <v>2828789.48</v>
      </c>
      <c r="H18" s="16">
        <v>34879568.409999996</v>
      </c>
      <c r="I18" s="16">
        <v>16867141.899999999</v>
      </c>
      <c r="J18" s="16">
        <v>67748186.440000027</v>
      </c>
      <c r="K18" s="16">
        <v>103080540.59999998</v>
      </c>
      <c r="L18" s="16">
        <v>0</v>
      </c>
      <c r="M18" s="16">
        <v>0</v>
      </c>
      <c r="N18" s="18">
        <f t="shared" si="0"/>
        <v>901888967.54642117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1092207860.3899999</v>
      </c>
      <c r="C19" s="16">
        <v>0</v>
      </c>
      <c r="D19" s="16">
        <v>30254725.834246248</v>
      </c>
      <c r="E19" s="16">
        <v>7960912.6400000006</v>
      </c>
      <c r="F19" s="16">
        <v>2075124.2</v>
      </c>
      <c r="G19" s="16">
        <v>1575685.37</v>
      </c>
      <c r="H19" s="16">
        <v>58636218.090000004</v>
      </c>
      <c r="I19" s="16">
        <v>6812451.2000000002</v>
      </c>
      <c r="J19" s="16">
        <v>58943192</v>
      </c>
      <c r="K19" s="16">
        <v>180149925.59999999</v>
      </c>
      <c r="L19" s="16">
        <v>0</v>
      </c>
      <c r="M19" s="16">
        <v>0</v>
      </c>
      <c r="N19" s="18">
        <f t="shared" si="0"/>
        <v>1438616095.3242459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3867412858.4600005</v>
      </c>
      <c r="C20" s="16">
        <v>0</v>
      </c>
      <c r="D20" s="16">
        <v>23194421.725536797</v>
      </c>
      <c r="E20" s="16">
        <v>36487841.890000001</v>
      </c>
      <c r="F20" s="16">
        <v>66232712.710000001</v>
      </c>
      <c r="G20" s="16">
        <v>39302640.512653574</v>
      </c>
      <c r="H20" s="16">
        <v>207625738.66</v>
      </c>
      <c r="I20" s="16">
        <v>217436200.34</v>
      </c>
      <c r="J20" s="16">
        <v>335175584.4799999</v>
      </c>
      <c r="K20" s="16">
        <v>633100705.19999993</v>
      </c>
      <c r="L20" s="16">
        <v>0</v>
      </c>
      <c r="M20" s="16">
        <v>0</v>
      </c>
      <c r="N20" s="18">
        <f t="shared" si="0"/>
        <v>5425968703.9781895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1680443025.6300001</v>
      </c>
      <c r="C21" s="16">
        <v>0</v>
      </c>
      <c r="D21" s="16">
        <v>10581864.535741985</v>
      </c>
      <c r="E21" s="16">
        <v>12248456.199999999</v>
      </c>
      <c r="F21" s="16">
        <v>17611439.289999999</v>
      </c>
      <c r="G21" s="16">
        <v>5268630.0375745688</v>
      </c>
      <c r="H21" s="16">
        <v>90216182.560000002</v>
      </c>
      <c r="I21" s="16">
        <v>57816814.170000002</v>
      </c>
      <c r="J21" s="16">
        <v>109888865.46000004</v>
      </c>
      <c r="K21" s="16">
        <v>274184101.80000001</v>
      </c>
      <c r="L21" s="16">
        <v>0</v>
      </c>
      <c r="M21" s="16">
        <v>0</v>
      </c>
      <c r="N21" s="18">
        <f t="shared" si="0"/>
        <v>2258259379.6833167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1331272724.25</v>
      </c>
      <c r="C22" s="16">
        <v>0</v>
      </c>
      <c r="D22" s="16">
        <v>26247909.077043205</v>
      </c>
      <c r="E22" s="16">
        <v>9703414.7599999998</v>
      </c>
      <c r="F22" s="16">
        <v>4193063.91</v>
      </c>
      <c r="G22" s="16">
        <v>2667498.85</v>
      </c>
      <c r="H22" s="16">
        <v>71470642.739999995</v>
      </c>
      <c r="I22" s="16">
        <v>13765461.92</v>
      </c>
      <c r="J22" s="16">
        <v>82520505.320000023</v>
      </c>
      <c r="K22" s="16">
        <v>204408205.19999999</v>
      </c>
      <c r="L22" s="16">
        <v>0</v>
      </c>
      <c r="M22" s="16">
        <v>0</v>
      </c>
      <c r="N22" s="18">
        <f t="shared" si="0"/>
        <v>1746249426.0270433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1278959870.8899999</v>
      </c>
      <c r="C23" s="16">
        <v>0</v>
      </c>
      <c r="D23" s="16">
        <v>23521574.80479341</v>
      </c>
      <c r="E23" s="16">
        <v>9322115.4900000002</v>
      </c>
      <c r="F23" s="16">
        <v>4018947.57</v>
      </c>
      <c r="G23" s="16">
        <v>3287847.42</v>
      </c>
      <c r="H23" s="16">
        <v>68662177.439999998</v>
      </c>
      <c r="I23" s="16">
        <v>13193853.220000001</v>
      </c>
      <c r="J23" s="16">
        <v>68117412.219999969</v>
      </c>
      <c r="K23" s="16">
        <v>208134972</v>
      </c>
      <c r="L23" s="16">
        <v>0</v>
      </c>
      <c r="M23" s="16">
        <v>0</v>
      </c>
      <c r="N23" s="18">
        <f t="shared" si="0"/>
        <v>1677218771.0547934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402620895.34000003</v>
      </c>
      <c r="C24" s="16">
        <v>0</v>
      </c>
      <c r="D24" s="16">
        <v>36810477.712353416</v>
      </c>
      <c r="E24" s="16">
        <v>2934633.5</v>
      </c>
      <c r="F24" s="16">
        <v>4178792.07</v>
      </c>
      <c r="G24" s="16">
        <v>801495.60454664705</v>
      </c>
      <c r="H24" s="16">
        <v>21615085.809999999</v>
      </c>
      <c r="I24" s="16">
        <v>13718608.74</v>
      </c>
      <c r="J24" s="16">
        <v>57637754.240000024</v>
      </c>
      <c r="K24" s="16">
        <v>63819928.799999997</v>
      </c>
      <c r="L24" s="16">
        <v>0</v>
      </c>
      <c r="M24" s="16">
        <v>0</v>
      </c>
      <c r="N24" s="18">
        <f t="shared" si="0"/>
        <v>604137671.81690013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1666418629.99</v>
      </c>
      <c r="C25" s="16">
        <v>0</v>
      </c>
      <c r="D25" s="16">
        <v>26794262.565103106</v>
      </c>
      <c r="E25" s="16">
        <v>12146234.82</v>
      </c>
      <c r="F25" s="16">
        <v>18533399.57</v>
      </c>
      <c r="G25" s="16">
        <v>7828798.9400000004</v>
      </c>
      <c r="H25" s="16">
        <v>89463269.540000007</v>
      </c>
      <c r="I25" s="16">
        <v>60843529.079999998</v>
      </c>
      <c r="J25" s="16">
        <v>133241027.69999994</v>
      </c>
      <c r="K25" s="16">
        <v>287875587.60000002</v>
      </c>
      <c r="L25" s="16">
        <v>0</v>
      </c>
      <c r="M25" s="16">
        <v>0</v>
      </c>
      <c r="N25" s="18">
        <f t="shared" si="0"/>
        <v>2303144739.8051028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679533052.16000009</v>
      </c>
      <c r="C26" s="16">
        <v>0</v>
      </c>
      <c r="D26" s="16">
        <v>14883872.052201506</v>
      </c>
      <c r="E26" s="16">
        <v>4952997.92</v>
      </c>
      <c r="F26" s="16">
        <v>8428943.3100000005</v>
      </c>
      <c r="G26" s="16">
        <v>5000009.47</v>
      </c>
      <c r="H26" s="16">
        <v>36481378.399999999</v>
      </c>
      <c r="I26" s="16">
        <v>27671483.350000001</v>
      </c>
      <c r="J26" s="16">
        <v>98315773.160000011</v>
      </c>
      <c r="K26" s="16">
        <v>103080540.59999998</v>
      </c>
      <c r="L26" s="16">
        <v>0</v>
      </c>
      <c r="M26" s="16">
        <v>0</v>
      </c>
      <c r="N26" s="18">
        <f t="shared" si="0"/>
        <v>978348050.42220151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332568574.60999995</v>
      </c>
      <c r="C27" s="16">
        <v>0</v>
      </c>
      <c r="D27" s="16">
        <v>6757449.9010303039</v>
      </c>
      <c r="E27" s="16">
        <v>2424034.35</v>
      </c>
      <c r="F27" s="16">
        <v>2095104.77</v>
      </c>
      <c r="G27" s="16">
        <v>1129034.3999999999</v>
      </c>
      <c r="H27" s="16">
        <v>17854260.329999998</v>
      </c>
      <c r="I27" s="16">
        <v>6878045.6399999997</v>
      </c>
      <c r="J27" s="16">
        <v>26345958.98</v>
      </c>
      <c r="K27" s="16">
        <v>57452416.199999988</v>
      </c>
      <c r="L27" s="16">
        <v>0</v>
      </c>
      <c r="M27" s="16">
        <v>0</v>
      </c>
      <c r="N27" s="18">
        <f t="shared" si="0"/>
        <v>453504879.18103021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1177793824.6999998</v>
      </c>
      <c r="C28" s="16">
        <v>0</v>
      </c>
      <c r="D28" s="16">
        <v>22736355.791653316</v>
      </c>
      <c r="E28" s="16">
        <v>8584733.8200000003</v>
      </c>
      <c r="F28" s="16">
        <v>2885764.2</v>
      </c>
      <c r="G28" s="16">
        <v>1637720.22</v>
      </c>
      <c r="H28" s="16">
        <v>63230982</v>
      </c>
      <c r="I28" s="16">
        <v>9473711.3699999992</v>
      </c>
      <c r="J28" s="16">
        <v>53865515.440000027</v>
      </c>
      <c r="K28" s="16">
        <v>191638884.59999999</v>
      </c>
      <c r="L28" s="16">
        <v>0</v>
      </c>
      <c r="M28" s="16">
        <v>0</v>
      </c>
      <c r="N28" s="18">
        <f t="shared" si="0"/>
        <v>1531847492.1416531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728363025.82000017</v>
      </c>
      <c r="C29" s="16">
        <v>0</v>
      </c>
      <c r="D29" s="16">
        <v>23217392.841946118</v>
      </c>
      <c r="E29" s="16">
        <v>5308911.0999999996</v>
      </c>
      <c r="F29" s="16">
        <v>1801105.05</v>
      </c>
      <c r="G29" s="16">
        <v>992557.71</v>
      </c>
      <c r="H29" s="16">
        <v>39102861.990000002</v>
      </c>
      <c r="I29" s="16">
        <v>5912870.2999999998</v>
      </c>
      <c r="J29" s="16">
        <v>48020535.860000007</v>
      </c>
      <c r="K29" s="16">
        <v>125826012</v>
      </c>
      <c r="L29" s="16">
        <v>0</v>
      </c>
      <c r="M29" s="16">
        <v>0</v>
      </c>
      <c r="N29" s="18">
        <f t="shared" si="0"/>
        <v>978545272.67194629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242129797.91000003</v>
      </c>
      <c r="C30" s="16">
        <v>0</v>
      </c>
      <c r="D30" s="16">
        <v>15473260.058079394</v>
      </c>
      <c r="E30" s="16">
        <v>1764841.88</v>
      </c>
      <c r="F30" s="16">
        <v>1555629.56</v>
      </c>
      <c r="G30" s="16">
        <v>1240697.1399999999</v>
      </c>
      <c r="H30" s="16">
        <v>12998968.560000001</v>
      </c>
      <c r="I30" s="16">
        <v>5106995.74</v>
      </c>
      <c r="J30" s="16">
        <v>37304770.580000006</v>
      </c>
      <c r="K30" s="16">
        <v>38765233.799999997</v>
      </c>
      <c r="L30" s="16">
        <v>0</v>
      </c>
      <c r="M30" s="16">
        <v>0</v>
      </c>
      <c r="N30" s="18">
        <f t="shared" si="0"/>
        <v>356340195.22807938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421846391.37999994</v>
      </c>
      <c r="C31" s="16">
        <v>0</v>
      </c>
      <c r="D31" s="16">
        <v>9298125.0333294086</v>
      </c>
      <c r="E31" s="16">
        <v>3074764.79</v>
      </c>
      <c r="F31" s="16">
        <v>1858192.37</v>
      </c>
      <c r="G31" s="16">
        <v>682383.43</v>
      </c>
      <c r="H31" s="16">
        <v>22647224.859999999</v>
      </c>
      <c r="I31" s="16">
        <v>6100282.9900000002</v>
      </c>
      <c r="J31" s="16">
        <v>26438904.580000006</v>
      </c>
      <c r="K31" s="16">
        <v>71921264.400000006</v>
      </c>
      <c r="L31" s="16">
        <v>0</v>
      </c>
      <c r="M31" s="16">
        <v>0</v>
      </c>
      <c r="N31" s="18">
        <f t="shared" si="0"/>
        <v>563867533.83332944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1853217078.8499999</v>
      </c>
      <c r="C32" s="16">
        <v>0</v>
      </c>
      <c r="D32" s="16">
        <v>34641246.682989344</v>
      </c>
      <c r="E32" s="16">
        <v>13507776.140000001</v>
      </c>
      <c r="F32" s="16">
        <v>5480383.0499999998</v>
      </c>
      <c r="G32" s="16">
        <v>3734498.39</v>
      </c>
      <c r="H32" s="16">
        <v>99491721.980000004</v>
      </c>
      <c r="I32" s="16">
        <v>17991618.030000001</v>
      </c>
      <c r="J32" s="16">
        <v>82725752.559999987</v>
      </c>
      <c r="K32" s="16">
        <v>308917720.80000001</v>
      </c>
      <c r="L32" s="16">
        <v>0</v>
      </c>
      <c r="M32" s="16">
        <v>0</v>
      </c>
      <c r="N32" s="18">
        <f t="shared" si="0"/>
        <v>2419707796.4829893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1260175539.6299999</v>
      </c>
      <c r="C33" s="16">
        <v>0</v>
      </c>
      <c r="D33" s="16">
        <v>27983196.092395812</v>
      </c>
      <c r="E33" s="16">
        <v>9185199.7699999996</v>
      </c>
      <c r="F33" s="16">
        <v>4021801.93</v>
      </c>
      <c r="G33" s="16">
        <v>3002487.07</v>
      </c>
      <c r="H33" s="16">
        <v>67653722.75</v>
      </c>
      <c r="I33" s="16">
        <v>13203223.85</v>
      </c>
      <c r="J33" s="16">
        <v>78909688.88000001</v>
      </c>
      <c r="K33" s="16">
        <v>204724485</v>
      </c>
      <c r="L33" s="16">
        <v>0</v>
      </c>
      <c r="M33" s="16">
        <v>0</v>
      </c>
      <c r="N33" s="18">
        <f t="shared" si="0"/>
        <v>1668859344.9723957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1640227374.48</v>
      </c>
      <c r="C34" s="16">
        <v>0</v>
      </c>
      <c r="D34" s="16">
        <v>30598016.498184033</v>
      </c>
      <c r="E34" s="16">
        <v>15475037.01</v>
      </c>
      <c r="F34" s="16">
        <v>5848596.29</v>
      </c>
      <c r="G34" s="16">
        <v>5012416.4400000004</v>
      </c>
      <c r="H34" s="16">
        <v>88057167.069999993</v>
      </c>
      <c r="I34" s="16">
        <v>19200429.859999999</v>
      </c>
      <c r="J34" s="16">
        <v>99260384.960000038</v>
      </c>
      <c r="K34" s="16">
        <v>261334758.59999999</v>
      </c>
      <c r="L34" s="16">
        <v>0</v>
      </c>
      <c r="M34" s="16">
        <v>0</v>
      </c>
      <c r="N34" s="18">
        <f t="shared" si="0"/>
        <v>2165014181.2081838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777703821.81000006</v>
      </c>
      <c r="C35" s="16">
        <v>0</v>
      </c>
      <c r="D35" s="16">
        <v>13742047.122158211</v>
      </c>
      <c r="E35" s="16">
        <v>5668547.5499999998</v>
      </c>
      <c r="F35" s="16">
        <v>3656443.06</v>
      </c>
      <c r="G35" s="16">
        <v>1947894.51</v>
      </c>
      <c r="H35" s="16">
        <v>41751769.57</v>
      </c>
      <c r="I35" s="16">
        <v>12003782.65</v>
      </c>
      <c r="J35" s="16">
        <v>35674479.720000014</v>
      </c>
      <c r="K35" s="16">
        <v>131919161.40000001</v>
      </c>
      <c r="L35" s="16">
        <v>0</v>
      </c>
      <c r="M35" s="16">
        <v>0</v>
      </c>
      <c r="N35" s="18">
        <f t="shared" si="0"/>
        <v>1024067947.3921582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914836405.93000007</v>
      </c>
      <c r="C36" s="16">
        <v>0</v>
      </c>
      <c r="D36" s="16">
        <v>17051361.074306436</v>
      </c>
      <c r="E36" s="16">
        <v>6668083.0500000007</v>
      </c>
      <c r="F36" s="16">
        <v>2300619.13</v>
      </c>
      <c r="G36" s="16">
        <v>1129034.3999999999</v>
      </c>
      <c r="H36" s="16">
        <v>49113862.810000002</v>
      </c>
      <c r="I36" s="16">
        <v>7552731.3200000003</v>
      </c>
      <c r="J36" s="16">
        <v>35927569.259999983</v>
      </c>
      <c r="K36" s="16">
        <v>147485462.40000001</v>
      </c>
      <c r="L36" s="16">
        <v>0</v>
      </c>
      <c r="M36" s="16">
        <v>0</v>
      </c>
      <c r="N36" s="18">
        <f t="shared" si="0"/>
        <v>1182065129.3743064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950059929.5</v>
      </c>
      <c r="C37" s="16">
        <v>0</v>
      </c>
      <c r="D37" s="16">
        <v>26870221.97189885</v>
      </c>
      <c r="E37" s="16">
        <v>6924821.1699999999</v>
      </c>
      <c r="F37" s="16">
        <v>4267277.43</v>
      </c>
      <c r="G37" s="16">
        <v>1724569.02</v>
      </c>
      <c r="H37" s="16">
        <v>51004871.18</v>
      </c>
      <c r="I37" s="16">
        <v>14009098.41</v>
      </c>
      <c r="J37" s="16">
        <v>60983246.719999969</v>
      </c>
      <c r="K37" s="16">
        <v>161805697.19999999</v>
      </c>
      <c r="L37" s="16">
        <v>0</v>
      </c>
      <c r="M37" s="16">
        <v>0</v>
      </c>
      <c r="N37" s="18">
        <f t="shared" si="0"/>
        <v>1277649732.6018987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830829347.11000001</v>
      </c>
      <c r="C38" s="16">
        <v>0</v>
      </c>
      <c r="D38" s="16">
        <v>4114165.3132780483</v>
      </c>
      <c r="E38" s="16">
        <v>6055770.2400000002</v>
      </c>
      <c r="F38" s="16">
        <v>3813433.2</v>
      </c>
      <c r="G38" s="16">
        <v>4776683.9800000004</v>
      </c>
      <c r="H38" s="16">
        <v>44603863.93</v>
      </c>
      <c r="I38" s="16">
        <v>12519167.539999999</v>
      </c>
      <c r="J38" s="16">
        <v>100635212.48000005</v>
      </c>
      <c r="K38" s="16">
        <v>143381446.19999999</v>
      </c>
      <c r="L38" s="16">
        <v>0</v>
      </c>
      <c r="M38" s="16">
        <v>0</v>
      </c>
      <c r="N38" s="18">
        <f t="shared" si="0"/>
        <v>1150729089.993278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1536646531.6600001</v>
      </c>
      <c r="C39" s="16">
        <v>0</v>
      </c>
      <c r="D39" s="16">
        <v>37488000.297342017</v>
      </c>
      <c r="E39" s="16">
        <v>11200348.629999999</v>
      </c>
      <c r="F39" s="16">
        <v>4858131.22</v>
      </c>
      <c r="G39" s="16">
        <v>2977673.13</v>
      </c>
      <c r="H39" s="16">
        <v>82496330.980000004</v>
      </c>
      <c r="I39" s="16">
        <v>15948819.73</v>
      </c>
      <c r="J39" s="16">
        <v>87367917.780000001</v>
      </c>
      <c r="K39" s="16">
        <v>248310127.80000001</v>
      </c>
      <c r="L39" s="16">
        <v>0</v>
      </c>
      <c r="M39" s="16">
        <v>0</v>
      </c>
      <c r="N39" s="18">
        <f t="shared" si="0"/>
        <v>2027293881.2273424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1082037851.6099999</v>
      </c>
      <c r="C40" s="16">
        <v>0</v>
      </c>
      <c r="D40" s="16">
        <v>31428167.504103303</v>
      </c>
      <c r="E40" s="16">
        <v>7886785.2200000007</v>
      </c>
      <c r="F40" s="16">
        <v>2594618.85</v>
      </c>
      <c r="G40" s="16">
        <v>1302732</v>
      </c>
      <c r="H40" s="16">
        <v>58090231.490000002</v>
      </c>
      <c r="I40" s="16">
        <v>8517906.6600000001</v>
      </c>
      <c r="J40" s="16">
        <v>48132654.900000013</v>
      </c>
      <c r="K40" s="16">
        <v>164156837.40000001</v>
      </c>
      <c r="L40" s="16">
        <v>0</v>
      </c>
      <c r="M40" s="16">
        <v>0</v>
      </c>
      <c r="N40" s="18">
        <f t="shared" ref="N40:N71" si="1">SUM(B40:M40)</f>
        <v>1404147785.6341035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998797026.32999992</v>
      </c>
      <c r="C41" s="16">
        <v>0</v>
      </c>
      <c r="D41" s="16">
        <v>10683133.788426496</v>
      </c>
      <c r="E41" s="16">
        <v>7280057.3700000001</v>
      </c>
      <c r="F41" s="16">
        <v>4392869.54</v>
      </c>
      <c r="G41" s="16">
        <v>2270475.7599999998</v>
      </c>
      <c r="H41" s="16">
        <v>53621368.590000004</v>
      </c>
      <c r="I41" s="16">
        <v>14421406.32</v>
      </c>
      <c r="J41" s="16">
        <v>49390432.960000001</v>
      </c>
      <c r="K41" s="16">
        <v>172067643</v>
      </c>
      <c r="L41" s="16">
        <v>0</v>
      </c>
      <c r="M41" s="16">
        <v>0</v>
      </c>
      <c r="N41" s="18">
        <f t="shared" si="1"/>
        <v>1312924413.6584263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669943523.32999992</v>
      </c>
      <c r="C42" s="16">
        <v>0</v>
      </c>
      <c r="D42" s="16">
        <v>6727627.7218200639</v>
      </c>
      <c r="E42" s="16">
        <v>4883101.53</v>
      </c>
      <c r="F42" s="16">
        <v>11931250.6</v>
      </c>
      <c r="G42" s="16">
        <v>0</v>
      </c>
      <c r="H42" s="16">
        <v>35966555.420000002</v>
      </c>
      <c r="I42" s="16">
        <v>39169251.740000002</v>
      </c>
      <c r="J42" s="16">
        <v>75262533.940000027</v>
      </c>
      <c r="K42" s="16">
        <v>107672313.59999999</v>
      </c>
      <c r="L42" s="16">
        <v>0</v>
      </c>
      <c r="M42" s="16">
        <v>0</v>
      </c>
      <c r="N42" s="18">
        <f t="shared" si="1"/>
        <v>951556157.88182008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3492747877.5399995</v>
      </c>
      <c r="C43" s="16">
        <v>0</v>
      </c>
      <c r="D43" s="16">
        <v>23453122.906809565</v>
      </c>
      <c r="E43" s="16">
        <v>25458030.25</v>
      </c>
      <c r="F43" s="16">
        <v>49614592.840000004</v>
      </c>
      <c r="G43" s="16">
        <v>18138992.16</v>
      </c>
      <c r="H43" s="16">
        <v>187511492.71000001</v>
      </c>
      <c r="I43" s="16">
        <v>162880366.93000001</v>
      </c>
      <c r="J43" s="16">
        <v>246485429.07999986</v>
      </c>
      <c r="K43" s="16">
        <v>543982203</v>
      </c>
      <c r="L43" s="16">
        <v>0</v>
      </c>
      <c r="M43" s="16">
        <v>0</v>
      </c>
      <c r="N43" s="18">
        <f t="shared" si="1"/>
        <v>4750272107.4168091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3397316973.2399998</v>
      </c>
      <c r="C44" s="16">
        <v>0</v>
      </c>
      <c r="D44" s="16">
        <v>26756809.524810307</v>
      </c>
      <c r="E44" s="16">
        <v>24762451.030000001</v>
      </c>
      <c r="F44" s="16">
        <v>62427842.600000001</v>
      </c>
      <c r="G44" s="16">
        <v>31495707.810810357</v>
      </c>
      <c r="H44" s="16">
        <v>182388193.83000001</v>
      </c>
      <c r="I44" s="16">
        <v>204945144.69999999</v>
      </c>
      <c r="J44" s="16">
        <v>318743027.68000001</v>
      </c>
      <c r="K44" s="16">
        <v>528697886.39999998</v>
      </c>
      <c r="L44" s="16">
        <v>0</v>
      </c>
      <c r="M44" s="16">
        <v>0</v>
      </c>
      <c r="N44" s="18">
        <f t="shared" si="1"/>
        <v>4777534036.8156204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951290546.99000001</v>
      </c>
      <c r="C45" s="16">
        <v>0</v>
      </c>
      <c r="D45" s="16">
        <v>10114292.055245023</v>
      </c>
      <c r="E45" s="16">
        <v>6933790.9199999999</v>
      </c>
      <c r="F45" s="16">
        <v>4649762.49</v>
      </c>
      <c r="G45" s="16">
        <v>2841196.45</v>
      </c>
      <c r="H45" s="16">
        <v>51070938.049999997</v>
      </c>
      <c r="I45" s="16">
        <v>15264763.42</v>
      </c>
      <c r="J45" s="16">
        <v>47716865.019999981</v>
      </c>
      <c r="K45" s="16">
        <v>151985781</v>
      </c>
      <c r="L45" s="16">
        <v>0</v>
      </c>
      <c r="M45" s="16">
        <v>0</v>
      </c>
      <c r="N45" s="18">
        <f t="shared" si="1"/>
        <v>1241867936.3952451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1503652051.1100001</v>
      </c>
      <c r="C46" s="16">
        <v>0</v>
      </c>
      <c r="D46" s="16">
        <v>16568095.534810305</v>
      </c>
      <c r="E46" s="16">
        <v>14186491.15</v>
      </c>
      <c r="F46" s="16">
        <v>36675750.969999999</v>
      </c>
      <c r="G46" s="16">
        <v>0</v>
      </c>
      <c r="H46" s="16">
        <v>80724990.900000006</v>
      </c>
      <c r="I46" s="16">
        <v>120403281.25</v>
      </c>
      <c r="J46" s="16">
        <v>201884340.4600001</v>
      </c>
      <c r="K46" s="16">
        <v>232599024.00000003</v>
      </c>
      <c r="L46" s="16">
        <v>0</v>
      </c>
      <c r="M46" s="16">
        <v>0</v>
      </c>
      <c r="N46" s="18">
        <f t="shared" si="1"/>
        <v>2206694025.3748107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4567448462.6399994</v>
      </c>
      <c r="C47" s="16">
        <v>0</v>
      </c>
      <c r="D47" s="16">
        <v>29156075.46059059</v>
      </c>
      <c r="E47" s="16">
        <v>43092460.879999995</v>
      </c>
      <c r="F47" s="16">
        <v>114334491.48</v>
      </c>
      <c r="G47" s="16">
        <v>35422624.516836822</v>
      </c>
      <c r="H47" s="16">
        <v>245207816.06999999</v>
      </c>
      <c r="I47" s="16">
        <v>375350131.05000001</v>
      </c>
      <c r="J47" s="16">
        <v>485755981.9200002</v>
      </c>
      <c r="K47" s="16">
        <v>726791927.39999998</v>
      </c>
      <c r="L47" s="16">
        <v>0</v>
      </c>
      <c r="M47" s="16">
        <v>0</v>
      </c>
      <c r="N47" s="18">
        <f t="shared" si="1"/>
        <v>6622559971.4174261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470397734.65999997</v>
      </c>
      <c r="C48" s="16">
        <v>0</v>
      </c>
      <c r="D48" s="16">
        <v>9297579.330630945</v>
      </c>
      <c r="E48" s="16">
        <v>3428647.06</v>
      </c>
      <c r="F48" s="16">
        <v>993319.42</v>
      </c>
      <c r="G48" s="16">
        <v>769232.23</v>
      </c>
      <c r="H48" s="16">
        <v>25253749.91</v>
      </c>
      <c r="I48" s="16">
        <v>3260980.77</v>
      </c>
      <c r="J48" s="16">
        <v>26061461.580000006</v>
      </c>
      <c r="K48" s="16">
        <v>76585438.799999997</v>
      </c>
      <c r="L48" s="16">
        <v>0</v>
      </c>
      <c r="M48" s="16">
        <v>0</v>
      </c>
      <c r="N48" s="18">
        <f t="shared" si="1"/>
        <v>616048143.76063097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822981258.17000008</v>
      </c>
      <c r="C49" s="16">
        <v>0</v>
      </c>
      <c r="D49" s="16">
        <v>17562246.670242593</v>
      </c>
      <c r="E49" s="16">
        <v>6385694.1099999994</v>
      </c>
      <c r="F49" s="16">
        <v>5865722.4800000004</v>
      </c>
      <c r="G49" s="16">
        <v>3225812.56</v>
      </c>
      <c r="H49" s="16">
        <v>44182531.810000002</v>
      </c>
      <c r="I49" s="16">
        <v>19256653.670000002</v>
      </c>
      <c r="J49" s="16">
        <v>61338229.259999976</v>
      </c>
      <c r="K49" s="16">
        <v>132738440.40000001</v>
      </c>
      <c r="L49" s="16">
        <v>0</v>
      </c>
      <c r="M49" s="16">
        <v>0</v>
      </c>
      <c r="N49" s="18">
        <f t="shared" si="1"/>
        <v>1113536589.1302426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550991571.37</v>
      </c>
      <c r="C50" s="16">
        <v>0</v>
      </c>
      <c r="D50" s="16">
        <v>11985648.879744612</v>
      </c>
      <c r="E50" s="16">
        <v>4016081.49</v>
      </c>
      <c r="F50" s="16">
        <v>1644114.91</v>
      </c>
      <c r="G50" s="16">
        <v>918115.88</v>
      </c>
      <c r="H50" s="16">
        <v>29580506.710000001</v>
      </c>
      <c r="I50" s="16">
        <v>5397485.4100000001</v>
      </c>
      <c r="J50" s="16">
        <v>44325904.039999999</v>
      </c>
      <c r="K50" s="16">
        <v>95005879.200000003</v>
      </c>
      <c r="L50" s="16">
        <v>0</v>
      </c>
      <c r="M50" s="16">
        <v>0</v>
      </c>
      <c r="N50" s="18">
        <f t="shared" si="1"/>
        <v>743865307.88974464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529026209.91999996</v>
      </c>
      <c r="C51" s="16">
        <v>0</v>
      </c>
      <c r="D51" s="16">
        <v>14886854.268421505</v>
      </c>
      <c r="E51" s="16">
        <v>3855979.8</v>
      </c>
      <c r="F51" s="16">
        <v>2049434.91</v>
      </c>
      <c r="G51" s="16">
        <v>1153848.3400000001</v>
      </c>
      <c r="H51" s="16">
        <v>28401275.390000001</v>
      </c>
      <c r="I51" s="16">
        <v>6728115.4900000002</v>
      </c>
      <c r="J51" s="16">
        <v>30751651.70000001</v>
      </c>
      <c r="K51" s="16">
        <v>91389619.799999997</v>
      </c>
      <c r="L51" s="16">
        <v>0</v>
      </c>
      <c r="M51" s="16">
        <v>0</v>
      </c>
      <c r="N51" s="18">
        <f t="shared" si="1"/>
        <v>708242989.61842144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637343769.18000007</v>
      </c>
      <c r="C52" s="16">
        <v>0</v>
      </c>
      <c r="D52" s="16">
        <v>15976269.192646209</v>
      </c>
      <c r="E52" s="16">
        <v>4645487.5999999996</v>
      </c>
      <c r="F52" s="16">
        <v>1886736.04</v>
      </c>
      <c r="G52" s="16">
        <v>1476429.59</v>
      </c>
      <c r="H52" s="16">
        <v>34216406.600000001</v>
      </c>
      <c r="I52" s="16">
        <v>6193989.3300000001</v>
      </c>
      <c r="J52" s="16">
        <v>39418049.660000011</v>
      </c>
      <c r="K52" s="16">
        <v>105747960.59999999</v>
      </c>
      <c r="L52" s="16">
        <v>0</v>
      </c>
      <c r="M52" s="16">
        <v>0</v>
      </c>
      <c r="N52" s="18">
        <f t="shared" si="1"/>
        <v>846905097.79264641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228569786.20999998</v>
      </c>
      <c r="C53" s="16">
        <v>0</v>
      </c>
      <c r="D53" s="16">
        <v>13502071.375921315</v>
      </c>
      <c r="E53" s="16">
        <v>1666005.31</v>
      </c>
      <c r="F53" s="16">
        <v>328252.11</v>
      </c>
      <c r="G53" s="16">
        <v>223325.48</v>
      </c>
      <c r="H53" s="16">
        <v>12270986.43</v>
      </c>
      <c r="I53" s="16">
        <v>1077622.95</v>
      </c>
      <c r="J53" s="16">
        <v>20846649.120000012</v>
      </c>
      <c r="K53" s="16">
        <v>39485437.200000003</v>
      </c>
      <c r="L53" s="16">
        <v>0</v>
      </c>
      <c r="M53" s="16">
        <v>0</v>
      </c>
      <c r="N53" s="18">
        <f t="shared" si="1"/>
        <v>317970136.18592131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827067837.02999997</v>
      </c>
      <c r="C54" s="16">
        <v>0</v>
      </c>
      <c r="D54" s="16">
        <v>20212455.650287937</v>
      </c>
      <c r="E54" s="16">
        <v>6028353.25</v>
      </c>
      <c r="F54" s="16">
        <v>1127474.6299999999</v>
      </c>
      <c r="G54" s="16">
        <v>818860.11</v>
      </c>
      <c r="H54" s="16">
        <v>44401923.689999998</v>
      </c>
      <c r="I54" s="16">
        <v>3701400.58</v>
      </c>
      <c r="J54" s="16">
        <v>47693309.179999992</v>
      </c>
      <c r="K54" s="16">
        <v>128741121</v>
      </c>
      <c r="L54" s="16">
        <v>0</v>
      </c>
      <c r="M54" s="16">
        <v>0</v>
      </c>
      <c r="N54" s="18">
        <f t="shared" si="1"/>
        <v>1079792735.1202879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382304096.97999996</v>
      </c>
      <c r="C55" s="16">
        <v>0</v>
      </c>
      <c r="D55" s="16">
        <v>7195435.191767809</v>
      </c>
      <c r="E55" s="16">
        <v>2786547.9</v>
      </c>
      <c r="F55" s="16">
        <v>2080832.94</v>
      </c>
      <c r="G55" s="16">
        <v>1277918.05</v>
      </c>
      <c r="H55" s="16">
        <v>20524359.170000002</v>
      </c>
      <c r="I55" s="16">
        <v>6831192.4699999997</v>
      </c>
      <c r="J55" s="16">
        <v>33671128.480000004</v>
      </c>
      <c r="K55" s="16">
        <v>63153073.799999997</v>
      </c>
      <c r="L55" s="16">
        <v>0</v>
      </c>
      <c r="M55" s="16">
        <v>0</v>
      </c>
      <c r="N55" s="18">
        <f t="shared" si="1"/>
        <v>519824584.98176783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280093186.85000002</v>
      </c>
      <c r="C56" s="16">
        <v>0</v>
      </c>
      <c r="D56" s="16">
        <v>6076938.9189727688</v>
      </c>
      <c r="E56" s="16">
        <v>2041550.4000000001</v>
      </c>
      <c r="F56" s="16">
        <v>587999.43000000005</v>
      </c>
      <c r="G56" s="16">
        <v>347395.2</v>
      </c>
      <c r="H56" s="16">
        <v>15037069.210000001</v>
      </c>
      <c r="I56" s="16">
        <v>1930350.68</v>
      </c>
      <c r="J56" s="16">
        <v>27795654.040000003</v>
      </c>
      <c r="K56" s="16">
        <v>47773492.200000003</v>
      </c>
      <c r="L56" s="16">
        <v>0</v>
      </c>
      <c r="M56" s="16">
        <v>0</v>
      </c>
      <c r="N56" s="18">
        <f t="shared" si="1"/>
        <v>381683636.92897278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723185144.60000014</v>
      </c>
      <c r="C57" s="16">
        <v>0</v>
      </c>
      <c r="D57" s="16">
        <v>13739950.978963811</v>
      </c>
      <c r="E57" s="16">
        <v>5271170.42</v>
      </c>
      <c r="F57" s="16">
        <v>3019919.41</v>
      </c>
      <c r="G57" s="16">
        <v>1600499.31</v>
      </c>
      <c r="H57" s="16">
        <v>38824882.509999998</v>
      </c>
      <c r="I57" s="16">
        <v>9914131.1799999997</v>
      </c>
      <c r="J57" s="16">
        <v>59346747.240000024</v>
      </c>
      <c r="K57" s="16">
        <v>115308756</v>
      </c>
      <c r="L57" s="16">
        <v>0</v>
      </c>
      <c r="M57" s="16">
        <v>0</v>
      </c>
      <c r="N57" s="18">
        <f t="shared" si="1"/>
        <v>970211201.64896381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644355966.99000001</v>
      </c>
      <c r="C58" s="16">
        <v>0</v>
      </c>
      <c r="D58" s="16">
        <v>7886709.9024943048</v>
      </c>
      <c r="E58" s="16">
        <v>4696598.28</v>
      </c>
      <c r="F58" s="16">
        <v>1758289.56</v>
      </c>
      <c r="G58" s="16">
        <v>1004964.68</v>
      </c>
      <c r="H58" s="16">
        <v>34592863.119999997</v>
      </c>
      <c r="I58" s="16">
        <v>5772310.7800000003</v>
      </c>
      <c r="J58" s="16">
        <v>33585121.899999991</v>
      </c>
      <c r="K58" s="16">
        <v>99525250.799999997</v>
      </c>
      <c r="L58" s="16">
        <v>0</v>
      </c>
      <c r="M58" s="16">
        <v>0</v>
      </c>
      <c r="N58" s="18">
        <f t="shared" si="1"/>
        <v>833178076.01249409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714663698.93000019</v>
      </c>
      <c r="C59" s="16">
        <v>0</v>
      </c>
      <c r="D59" s="16">
        <v>21123161.283578914</v>
      </c>
      <c r="E59" s="16">
        <v>5209059.09</v>
      </c>
      <c r="F59" s="16">
        <v>1712619.7</v>
      </c>
      <c r="G59" s="16">
        <v>918115.88</v>
      </c>
      <c r="H59" s="16">
        <v>38367400.590000004</v>
      </c>
      <c r="I59" s="16">
        <v>5622380.6299999999</v>
      </c>
      <c r="J59" s="16">
        <v>37564068.519999988</v>
      </c>
      <c r="K59" s="16">
        <v>119241295.2</v>
      </c>
      <c r="L59" s="16">
        <v>0</v>
      </c>
      <c r="M59" s="16">
        <v>0</v>
      </c>
      <c r="N59" s="18">
        <f t="shared" si="1"/>
        <v>944421799.82357919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4981748614.8099995</v>
      </c>
      <c r="C60" s="16">
        <v>0</v>
      </c>
      <c r="D60" s="16">
        <v>235042295.95233941</v>
      </c>
      <c r="E60" s="16">
        <v>74393159.269999996</v>
      </c>
      <c r="F60" s="16">
        <v>94208355.590000004</v>
      </c>
      <c r="G60" s="16">
        <v>47233340.039999999</v>
      </c>
      <c r="H60" s="16">
        <v>267449913.88</v>
      </c>
      <c r="I60" s="16">
        <v>309277787.98000002</v>
      </c>
      <c r="J60" s="16">
        <v>627904445.29999971</v>
      </c>
      <c r="K60" s="16">
        <v>846616244.39999998</v>
      </c>
      <c r="L60" s="16">
        <v>0</v>
      </c>
      <c r="M60" s="16">
        <v>0</v>
      </c>
      <c r="N60" s="18">
        <f t="shared" si="1"/>
        <v>7483874157.2223377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1059677763.8199999</v>
      </c>
      <c r="C61" s="16">
        <v>0</v>
      </c>
      <c r="D61" s="16">
        <v>12306510.270151906</v>
      </c>
      <c r="E61" s="16">
        <v>7723806.4400000004</v>
      </c>
      <c r="F61" s="16">
        <v>16817925.5</v>
      </c>
      <c r="G61" s="16">
        <v>4134698.0602825317</v>
      </c>
      <c r="H61" s="16">
        <v>56889808.899999999</v>
      </c>
      <c r="I61" s="16">
        <v>55211777.810000002</v>
      </c>
      <c r="J61" s="16">
        <v>155473278.17999998</v>
      </c>
      <c r="K61" s="16">
        <v>135729761.40000001</v>
      </c>
      <c r="L61" s="16">
        <v>0</v>
      </c>
      <c r="M61" s="16">
        <v>0</v>
      </c>
      <c r="N61" s="18">
        <f t="shared" si="1"/>
        <v>1503965330.3804345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5702356428.4899998</v>
      </c>
      <c r="C62" s="16">
        <v>0</v>
      </c>
      <c r="D62" s="16">
        <v>54900340.109999992</v>
      </c>
      <c r="E62" s="16">
        <v>53799965.859999999</v>
      </c>
      <c r="F62" s="16">
        <v>75409499.959999993</v>
      </c>
      <c r="G62" s="16">
        <v>0</v>
      </c>
      <c r="H62" s="16">
        <v>306136429.93000001</v>
      </c>
      <c r="I62" s="16">
        <v>247562789.90000001</v>
      </c>
      <c r="J62" s="16">
        <v>309169634.62000006</v>
      </c>
      <c r="K62" s="16">
        <v>929489173.20000005</v>
      </c>
      <c r="L62" s="16">
        <v>0</v>
      </c>
      <c r="M62" s="16">
        <v>0</v>
      </c>
      <c r="N62" s="18">
        <f t="shared" si="1"/>
        <v>7678824262.0699987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927212238.53000009</v>
      </c>
      <c r="C63" s="16">
        <v>0</v>
      </c>
      <c r="D63" s="16">
        <v>18698806.865390021</v>
      </c>
      <c r="E63" s="16">
        <v>6758288.3300000001</v>
      </c>
      <c r="F63" s="16">
        <v>2657414.9</v>
      </c>
      <c r="G63" s="16">
        <v>1600499.31</v>
      </c>
      <c r="H63" s="16">
        <v>49778271.159999996</v>
      </c>
      <c r="I63" s="16">
        <v>8724060.6199999992</v>
      </c>
      <c r="J63" s="16">
        <v>41488051.440000013</v>
      </c>
      <c r="K63" s="16">
        <v>145408685.40000001</v>
      </c>
      <c r="L63" s="16">
        <v>0</v>
      </c>
      <c r="M63" s="16">
        <v>0</v>
      </c>
      <c r="N63" s="18">
        <f t="shared" si="1"/>
        <v>1202326316.5553901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1405132993.5</v>
      </c>
      <c r="C64" s="16">
        <v>0</v>
      </c>
      <c r="D64" s="16">
        <v>47454558.834339879</v>
      </c>
      <c r="E64" s="16">
        <v>10241769.370000001</v>
      </c>
      <c r="F64" s="16">
        <v>4863839.96</v>
      </c>
      <c r="G64" s="16">
        <v>2493801.25</v>
      </c>
      <c r="H64" s="16">
        <v>75435901.569999993</v>
      </c>
      <c r="I64" s="16">
        <v>15967561</v>
      </c>
      <c r="J64" s="16">
        <v>87948964.400000036</v>
      </c>
      <c r="K64" s="16">
        <v>236337222.59999999</v>
      </c>
      <c r="L64" s="16">
        <v>0</v>
      </c>
      <c r="M64" s="16">
        <v>0</v>
      </c>
      <c r="N64" s="18">
        <f t="shared" si="1"/>
        <v>1885876612.4843397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776705396.31000006</v>
      </c>
      <c r="C65" s="16">
        <v>0</v>
      </c>
      <c r="D65" s="16">
        <v>15948852.78072061</v>
      </c>
      <c r="E65" s="16">
        <v>5661270.2000000002</v>
      </c>
      <c r="F65" s="16">
        <v>1058969.8500000001</v>
      </c>
      <c r="G65" s="16">
        <v>831267.08</v>
      </c>
      <c r="H65" s="16">
        <v>41698168.140000001</v>
      </c>
      <c r="I65" s="16">
        <v>3476505.36</v>
      </c>
      <c r="J65" s="16">
        <v>52458001.860000007</v>
      </c>
      <c r="K65" s="16">
        <v>131862002.40000001</v>
      </c>
      <c r="L65" s="16">
        <v>0</v>
      </c>
      <c r="M65" s="16">
        <v>0</v>
      </c>
      <c r="N65" s="18">
        <f t="shared" si="1"/>
        <v>1029700433.9807208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445367439.08999991</v>
      </c>
      <c r="C66" s="16">
        <v>0</v>
      </c>
      <c r="D66" s="16">
        <v>13628575.657347905</v>
      </c>
      <c r="E66" s="16">
        <v>3246205.61</v>
      </c>
      <c r="F66" s="16">
        <v>1036134.92</v>
      </c>
      <c r="G66" s="16">
        <v>756825.25</v>
      </c>
      <c r="H66" s="16">
        <v>23909974.68</v>
      </c>
      <c r="I66" s="16">
        <v>3401540.28</v>
      </c>
      <c r="J66" s="16">
        <v>23286242.100000009</v>
      </c>
      <c r="K66" s="16">
        <v>73978988.400000006</v>
      </c>
      <c r="L66" s="16">
        <v>0</v>
      </c>
      <c r="M66" s="16">
        <v>0</v>
      </c>
      <c r="N66" s="18">
        <f t="shared" si="1"/>
        <v>588611925.98734784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1985984453.75</v>
      </c>
      <c r="C67" s="16">
        <v>0</v>
      </c>
      <c r="D67" s="16">
        <v>15451530.449999997</v>
      </c>
      <c r="E67" s="16">
        <v>18737147.899999999</v>
      </c>
      <c r="F67" s="16">
        <v>27841487.66</v>
      </c>
      <c r="G67" s="16">
        <v>18228926.780501492</v>
      </c>
      <c r="H67" s="16">
        <v>106619464.81</v>
      </c>
      <c r="I67" s="16">
        <v>91401167.819999993</v>
      </c>
      <c r="J67" s="16">
        <v>150035688.66</v>
      </c>
      <c r="K67" s="16">
        <v>343083560.39999998</v>
      </c>
      <c r="L67" s="16">
        <v>0</v>
      </c>
      <c r="M67" s="16">
        <v>0</v>
      </c>
      <c r="N67" s="18">
        <f t="shared" si="1"/>
        <v>2757383428.2305021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1258318003.7800002</v>
      </c>
      <c r="C68" s="16">
        <v>0</v>
      </c>
      <c r="D68" s="16">
        <v>22427130.529999997</v>
      </c>
      <c r="E68" s="16">
        <v>9171660.5099999998</v>
      </c>
      <c r="F68" s="16">
        <v>24553257.829999998</v>
      </c>
      <c r="G68" s="16">
        <v>15594621.257512063</v>
      </c>
      <c r="H68" s="16">
        <v>67553999.170000002</v>
      </c>
      <c r="I68" s="16">
        <v>80606197.010000005</v>
      </c>
      <c r="J68" s="16">
        <v>126006064.80000006</v>
      </c>
      <c r="K68" s="16">
        <v>217375677</v>
      </c>
      <c r="L68" s="16">
        <v>0</v>
      </c>
      <c r="M68" s="16">
        <v>0</v>
      </c>
      <c r="N68" s="18">
        <f t="shared" si="1"/>
        <v>1821606611.8875122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4339296621.9000006</v>
      </c>
      <c r="C69" s="16">
        <v>0</v>
      </c>
      <c r="D69" s="16">
        <v>20420246.724615108</v>
      </c>
      <c r="E69" s="16">
        <v>31628376.439999998</v>
      </c>
      <c r="F69" s="16">
        <v>72463794.069999993</v>
      </c>
      <c r="G69" s="16">
        <v>15121302.259803833</v>
      </c>
      <c r="H69" s="16">
        <v>232959267.44</v>
      </c>
      <c r="I69" s="16">
        <v>237892295.21000001</v>
      </c>
      <c r="J69" s="16">
        <v>294246119.42000014</v>
      </c>
      <c r="K69" s="16">
        <v>681815415.60000002</v>
      </c>
      <c r="L69" s="16">
        <v>0</v>
      </c>
      <c r="M69" s="16">
        <v>0</v>
      </c>
      <c r="N69" s="18">
        <f t="shared" si="1"/>
        <v>5925843439.0644188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908427907.25999999</v>
      </c>
      <c r="C70" s="16">
        <v>0</v>
      </c>
      <c r="D70" s="16">
        <v>40114147.297641739</v>
      </c>
      <c r="E70" s="16">
        <v>6621372.6099999994</v>
      </c>
      <c r="F70" s="16">
        <v>16092916.49</v>
      </c>
      <c r="G70" s="16">
        <v>7344927.0599999996</v>
      </c>
      <c r="H70" s="16">
        <v>48769816.460000001</v>
      </c>
      <c r="I70" s="16">
        <v>52831636.68</v>
      </c>
      <c r="J70" s="16">
        <v>125072591.82000004</v>
      </c>
      <c r="K70" s="16">
        <v>148899195</v>
      </c>
      <c r="L70" s="16">
        <v>0</v>
      </c>
      <c r="M70" s="16">
        <v>0</v>
      </c>
      <c r="N70" s="18">
        <f t="shared" si="1"/>
        <v>1354174510.6776416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3519496393.77</v>
      </c>
      <c r="C71" s="16">
        <v>0</v>
      </c>
      <c r="D71" s="16">
        <v>15475356.170000002</v>
      </c>
      <c r="E71" s="16">
        <v>17002497.129999999</v>
      </c>
      <c r="F71" s="16">
        <v>10132999.91</v>
      </c>
      <c r="G71" s="16">
        <v>7134008.54</v>
      </c>
      <c r="H71" s="16">
        <v>188947512.25999999</v>
      </c>
      <c r="I71" s="16">
        <v>33265752.079999998</v>
      </c>
      <c r="J71" s="16">
        <v>104530526.32000002</v>
      </c>
      <c r="K71" s="16">
        <v>591858581.39999998</v>
      </c>
      <c r="L71" s="16">
        <v>0</v>
      </c>
      <c r="M71" s="16">
        <v>0</v>
      </c>
      <c r="N71" s="18">
        <f t="shared" si="1"/>
        <v>4487843627.5799999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16396538604.009998</v>
      </c>
      <c r="C72" s="16">
        <v>0</v>
      </c>
      <c r="D72" s="16">
        <v>97179911.568927422</v>
      </c>
      <c r="E72" s="16">
        <v>154696260.77000001</v>
      </c>
      <c r="F72" s="16">
        <v>294841754.69</v>
      </c>
      <c r="G72" s="16">
        <v>0</v>
      </c>
      <c r="H72" s="16">
        <v>880263774.16999996</v>
      </c>
      <c r="I72" s="16">
        <v>967939679.11000001</v>
      </c>
      <c r="J72" s="16">
        <v>1531474114.28</v>
      </c>
      <c r="K72" s="16">
        <v>2832533298</v>
      </c>
      <c r="L72" s="16">
        <v>0</v>
      </c>
      <c r="M72" s="16">
        <v>0</v>
      </c>
      <c r="N72" s="18">
        <f t="shared" ref="N72:N103" si="2">SUM(B72:M72)</f>
        <v>23155467396.598927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7094625986.3500004</v>
      </c>
      <c r="C73" s="16">
        <v>0</v>
      </c>
      <c r="D73" s="16">
        <v>156490436.60804009</v>
      </c>
      <c r="E73" s="16">
        <v>66935597.700000003</v>
      </c>
      <c r="F73" s="16">
        <v>109436399.13</v>
      </c>
      <c r="G73" s="16">
        <v>64153410.977123797</v>
      </c>
      <c r="H73" s="16">
        <v>380881745.70999998</v>
      </c>
      <c r="I73" s="16">
        <v>359270122.44</v>
      </c>
      <c r="J73" s="16">
        <v>667099535.0799998</v>
      </c>
      <c r="K73" s="16">
        <v>1133142879.5999999</v>
      </c>
      <c r="L73" s="16">
        <v>0</v>
      </c>
      <c r="M73" s="16">
        <v>0</v>
      </c>
      <c r="N73" s="18">
        <f t="shared" si="2"/>
        <v>10032036113.595163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3952186150.7800007</v>
      </c>
      <c r="C74" s="16">
        <v>0</v>
      </c>
      <c r="D74" s="16">
        <v>41473170.650000006</v>
      </c>
      <c r="E74" s="16">
        <v>37287651.629999995</v>
      </c>
      <c r="F74" s="16">
        <v>79454136.829999998</v>
      </c>
      <c r="G74" s="16">
        <v>111149132.46925294</v>
      </c>
      <c r="H74" s="16">
        <v>212176873.50999999</v>
      </c>
      <c r="I74" s="16">
        <v>260840978.83000001</v>
      </c>
      <c r="J74" s="16">
        <v>357864528.12</v>
      </c>
      <c r="K74" s="16">
        <v>682749012.60000002</v>
      </c>
      <c r="L74" s="16">
        <v>0</v>
      </c>
      <c r="M74" s="16">
        <v>0</v>
      </c>
      <c r="N74" s="18">
        <f t="shared" si="2"/>
        <v>5735181635.4192543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643612952.68000007</v>
      </c>
      <c r="C75" s="16">
        <v>0</v>
      </c>
      <c r="D75" s="16">
        <v>15645401.953326469</v>
      </c>
      <c r="E75" s="16">
        <v>4691182.59</v>
      </c>
      <c r="F75" s="16">
        <v>1444309.28</v>
      </c>
      <c r="G75" s="16">
        <v>818860.11</v>
      </c>
      <c r="H75" s="16">
        <v>34552973.68</v>
      </c>
      <c r="I75" s="16">
        <v>4741541</v>
      </c>
      <c r="J75" s="16">
        <v>40329609.980000012</v>
      </c>
      <c r="K75" s="16">
        <v>106811118</v>
      </c>
      <c r="L75" s="16">
        <v>0</v>
      </c>
      <c r="M75" s="16">
        <v>0</v>
      </c>
      <c r="N75" s="18">
        <f t="shared" si="2"/>
        <v>852647949.27332652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641244594.45000005</v>
      </c>
      <c r="C76" s="16">
        <v>0</v>
      </c>
      <c r="D76" s="16">
        <v>18928219.571165316</v>
      </c>
      <c r="E76" s="16">
        <v>4673920.0299999993</v>
      </c>
      <c r="F76" s="16">
        <v>2600327.58</v>
      </c>
      <c r="G76" s="16">
        <v>1923080.56</v>
      </c>
      <c r="H76" s="16">
        <v>34425826.119999997</v>
      </c>
      <c r="I76" s="16">
        <v>8536647.9299999997</v>
      </c>
      <c r="J76" s="16">
        <v>59887256</v>
      </c>
      <c r="K76" s="16">
        <v>104311364.40000001</v>
      </c>
      <c r="L76" s="16">
        <v>0</v>
      </c>
      <c r="M76" s="16">
        <v>0</v>
      </c>
      <c r="N76" s="18">
        <f t="shared" si="2"/>
        <v>876531236.64116526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750351606.42000008</v>
      </c>
      <c r="C77" s="16">
        <v>0</v>
      </c>
      <c r="D77" s="16">
        <v>15301405.655588161</v>
      </c>
      <c r="E77" s="16">
        <v>5469182.0199999996</v>
      </c>
      <c r="F77" s="16">
        <v>3054171.8</v>
      </c>
      <c r="G77" s="16">
        <v>1228290.17</v>
      </c>
      <c r="H77" s="16">
        <v>40283339.859999999</v>
      </c>
      <c r="I77" s="16">
        <v>10026578.800000001</v>
      </c>
      <c r="J77" s="16">
        <v>40692627.359999992</v>
      </c>
      <c r="K77" s="16">
        <v>129625180.19999999</v>
      </c>
      <c r="L77" s="16">
        <v>0</v>
      </c>
      <c r="M77" s="16">
        <v>0</v>
      </c>
      <c r="N77" s="18">
        <f t="shared" si="2"/>
        <v>996032382.28558803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291331278.74000001</v>
      </c>
      <c r="C78" s="16">
        <v>0</v>
      </c>
      <c r="D78" s="16">
        <v>5329735.7700503366</v>
      </c>
      <c r="E78" s="16">
        <v>2123462.8899999997</v>
      </c>
      <c r="F78" s="16">
        <v>1084659.1399999999</v>
      </c>
      <c r="G78" s="16">
        <v>434244</v>
      </c>
      <c r="H78" s="16">
        <v>15640396.869999999</v>
      </c>
      <c r="I78" s="16">
        <v>3560841.07</v>
      </c>
      <c r="J78" s="16">
        <v>17450940.540000003</v>
      </c>
      <c r="K78" s="16">
        <v>50326594.200000003</v>
      </c>
      <c r="L78" s="16">
        <v>0</v>
      </c>
      <c r="M78" s="16">
        <v>0</v>
      </c>
      <c r="N78" s="18">
        <f t="shared" si="2"/>
        <v>387282153.22005033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1415837043.8200002</v>
      </c>
      <c r="C79" s="16">
        <v>0</v>
      </c>
      <c r="D79" s="16">
        <v>39159579.837481</v>
      </c>
      <c r="E79" s="16">
        <v>10319789.33</v>
      </c>
      <c r="F79" s="16">
        <v>5451839.3899999997</v>
      </c>
      <c r="G79" s="16">
        <v>3225812.56</v>
      </c>
      <c r="H79" s="16">
        <v>76010558.689999998</v>
      </c>
      <c r="I79" s="16">
        <v>17897911.68</v>
      </c>
      <c r="J79" s="16">
        <v>94532578.140000015</v>
      </c>
      <c r="K79" s="16">
        <v>220279354.19999999</v>
      </c>
      <c r="L79" s="16">
        <v>0</v>
      </c>
      <c r="M79" s="16">
        <v>0</v>
      </c>
      <c r="N79" s="18">
        <f t="shared" si="2"/>
        <v>1882714467.6474814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752650307.04000008</v>
      </c>
      <c r="C80" s="16">
        <v>0</v>
      </c>
      <c r="D80" s="16">
        <v>23018893.209795974</v>
      </c>
      <c r="E80" s="16">
        <v>5485936.8499999996</v>
      </c>
      <c r="F80" s="16">
        <v>1763998.29</v>
      </c>
      <c r="G80" s="16">
        <v>1290325.02</v>
      </c>
      <c r="H80" s="16">
        <v>40406747.789999999</v>
      </c>
      <c r="I80" s="16">
        <v>5791052.0499999998</v>
      </c>
      <c r="J80" s="16">
        <v>61095000.559999973</v>
      </c>
      <c r="K80" s="16">
        <v>126302337</v>
      </c>
      <c r="L80" s="16">
        <v>0</v>
      </c>
      <c r="M80" s="16">
        <v>0</v>
      </c>
      <c r="N80" s="18">
        <f t="shared" si="2"/>
        <v>1017804597.8097959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419803101.95000005</v>
      </c>
      <c r="C81" s="16">
        <v>0</v>
      </c>
      <c r="D81" s="16">
        <v>19967403.085197762</v>
      </c>
      <c r="E81" s="16">
        <v>3059871.6100000003</v>
      </c>
      <c r="F81" s="16">
        <v>4581257.71</v>
      </c>
      <c r="G81" s="16">
        <v>2952859.19</v>
      </c>
      <c r="H81" s="16">
        <v>22537528.920000002</v>
      </c>
      <c r="I81" s="16">
        <v>15039868.189999999</v>
      </c>
      <c r="J81" s="16">
        <v>71430218.639999986</v>
      </c>
      <c r="K81" s="16">
        <v>67565748.599999994</v>
      </c>
      <c r="L81" s="16">
        <v>0</v>
      </c>
      <c r="M81" s="16">
        <v>0</v>
      </c>
      <c r="N81" s="18">
        <f t="shared" si="2"/>
        <v>626937857.89519775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6729480876.6800003</v>
      </c>
      <c r="C82" s="16">
        <v>0</v>
      </c>
      <c r="D82" s="16">
        <v>65476191.100000001</v>
      </c>
      <c r="E82" s="16">
        <v>63490566.739999995</v>
      </c>
      <c r="F82" s="16">
        <v>132034416.13</v>
      </c>
      <c r="G82" s="16">
        <v>119902255.66717595</v>
      </c>
      <c r="H82" s="16">
        <v>361278583.11000001</v>
      </c>
      <c r="I82" s="16">
        <v>433457434.88999999</v>
      </c>
      <c r="J82" s="16">
        <v>592931896.04000008</v>
      </c>
      <c r="K82" s="16">
        <v>1072866808.8</v>
      </c>
      <c r="L82" s="16">
        <v>0</v>
      </c>
      <c r="M82" s="16">
        <v>0</v>
      </c>
      <c r="N82" s="18">
        <f t="shared" si="2"/>
        <v>9570919029.157177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1884725530.75</v>
      </c>
      <c r="C83" s="16">
        <v>0</v>
      </c>
      <c r="D83" s="16">
        <v>31394367.590737503</v>
      </c>
      <c r="E83" s="16">
        <v>17781801.34</v>
      </c>
      <c r="F83" s="16">
        <v>14620063.539999999</v>
      </c>
      <c r="G83" s="16">
        <v>7853612.8899999997</v>
      </c>
      <c r="H83" s="16">
        <v>101183283.2</v>
      </c>
      <c r="I83" s="16">
        <v>47996389.340000004</v>
      </c>
      <c r="J83" s="16">
        <v>128329155.90000005</v>
      </c>
      <c r="K83" s="16">
        <v>325589095.80000001</v>
      </c>
      <c r="L83" s="16">
        <v>0</v>
      </c>
      <c r="M83" s="16">
        <v>0</v>
      </c>
      <c r="N83" s="18">
        <f t="shared" si="2"/>
        <v>2559473300.3507376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724021035.74000013</v>
      </c>
      <c r="C84" s="16">
        <v>0</v>
      </c>
      <c r="D84" s="16">
        <v>12285310.56132016</v>
      </c>
      <c r="E84" s="16">
        <v>5277263.08</v>
      </c>
      <c r="F84" s="16">
        <v>2934288.42</v>
      </c>
      <c r="G84" s="16">
        <v>710412.57182822132</v>
      </c>
      <c r="H84" s="16">
        <v>38869758.119999997</v>
      </c>
      <c r="I84" s="16">
        <v>9633012.1500000004</v>
      </c>
      <c r="J84" s="16">
        <v>52770985.519999981</v>
      </c>
      <c r="K84" s="16">
        <v>112660389</v>
      </c>
      <c r="L84" s="16">
        <v>0</v>
      </c>
      <c r="M84" s="16">
        <v>0</v>
      </c>
      <c r="N84" s="18">
        <f t="shared" si="2"/>
        <v>959162455.16314852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598196201.12</v>
      </c>
      <c r="C85" s="16">
        <v>0</v>
      </c>
      <c r="D85" s="16">
        <v>13463479.01062301</v>
      </c>
      <c r="E85" s="16">
        <v>4360147.8100000005</v>
      </c>
      <c r="F85" s="16">
        <v>1387221.96</v>
      </c>
      <c r="G85" s="16">
        <v>806453.14</v>
      </c>
      <c r="H85" s="16">
        <v>32114732.170000002</v>
      </c>
      <c r="I85" s="16">
        <v>4554128.3099999996</v>
      </c>
      <c r="J85" s="16">
        <v>31108825.660000008</v>
      </c>
      <c r="K85" s="16">
        <v>100382635.8</v>
      </c>
      <c r="L85" s="16">
        <v>0</v>
      </c>
      <c r="M85" s="16">
        <v>0</v>
      </c>
      <c r="N85" s="18">
        <f t="shared" si="2"/>
        <v>786373824.98062277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7690778898.1999998</v>
      </c>
      <c r="C86" s="16">
        <v>0</v>
      </c>
      <c r="D86" s="16">
        <v>61513725.219999991</v>
      </c>
      <c r="E86" s="16">
        <v>72560115.680000007</v>
      </c>
      <c r="F86" s="16">
        <v>82842269.480000004</v>
      </c>
      <c r="G86" s="16">
        <v>30350914.99959603</v>
      </c>
      <c r="H86" s="16">
        <v>412886781.94</v>
      </c>
      <c r="I86" s="16">
        <v>271963921.83999997</v>
      </c>
      <c r="J86" s="16">
        <v>261771231.26000014</v>
      </c>
      <c r="K86" s="16">
        <v>1269227026.8</v>
      </c>
      <c r="L86" s="16">
        <v>0</v>
      </c>
      <c r="M86" s="16">
        <v>0</v>
      </c>
      <c r="N86" s="18">
        <f t="shared" si="2"/>
        <v>10153894885.419594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1138112215.0999999</v>
      </c>
      <c r="C87" s="16">
        <v>0</v>
      </c>
      <c r="D87" s="16">
        <v>16822718.889496133</v>
      </c>
      <c r="E87" s="16">
        <v>8295501.4800000004</v>
      </c>
      <c r="F87" s="16">
        <v>2351997.7200000002</v>
      </c>
      <c r="G87" s="16">
        <v>2344917.59</v>
      </c>
      <c r="H87" s="16">
        <v>61100637.039999999</v>
      </c>
      <c r="I87" s="16">
        <v>7721402.7400000002</v>
      </c>
      <c r="J87" s="16">
        <v>59191533.719999969</v>
      </c>
      <c r="K87" s="16">
        <v>176929968.59999999</v>
      </c>
      <c r="L87" s="16">
        <v>0</v>
      </c>
      <c r="M87" s="16">
        <v>0</v>
      </c>
      <c r="N87" s="18">
        <f t="shared" si="2"/>
        <v>1472870892.8794959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912073321.3599999</v>
      </c>
      <c r="C88" s="16">
        <v>0</v>
      </c>
      <c r="D88" s="16">
        <v>8516836.3316592015</v>
      </c>
      <c r="E88" s="16">
        <v>6647943.4000000004</v>
      </c>
      <c r="F88" s="16">
        <v>11543056.800000001</v>
      </c>
      <c r="G88" s="16">
        <v>4739463.07</v>
      </c>
      <c r="H88" s="16">
        <v>48965523.979999997</v>
      </c>
      <c r="I88" s="16">
        <v>37894845.469999999</v>
      </c>
      <c r="J88" s="16">
        <v>90104059.980000049</v>
      </c>
      <c r="K88" s="16">
        <v>143278560</v>
      </c>
      <c r="L88" s="16">
        <v>0</v>
      </c>
      <c r="M88" s="16">
        <v>0</v>
      </c>
      <c r="N88" s="18">
        <f t="shared" si="2"/>
        <v>1263763610.3916593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1522413163.24</v>
      </c>
      <c r="C89" s="16">
        <v>0</v>
      </c>
      <c r="D89" s="16">
        <v>19298919.133139201</v>
      </c>
      <c r="E89" s="16">
        <v>11096604.08</v>
      </c>
      <c r="F89" s="16">
        <v>9707699.3499999996</v>
      </c>
      <c r="G89" s="16">
        <v>5161300.0999999996</v>
      </c>
      <c r="H89" s="16">
        <v>81732199.049999997</v>
      </c>
      <c r="I89" s="16">
        <v>31869527.550000001</v>
      </c>
      <c r="J89" s="16">
        <v>92531783.519999951</v>
      </c>
      <c r="K89" s="16">
        <v>248447309.40000001</v>
      </c>
      <c r="L89" s="16">
        <v>0</v>
      </c>
      <c r="M89" s="16">
        <v>0</v>
      </c>
      <c r="N89" s="18">
        <f t="shared" si="2"/>
        <v>2022258505.4231389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7127156082.9499998</v>
      </c>
      <c r="C90" s="16">
        <v>0</v>
      </c>
      <c r="D90" s="16">
        <v>32929178.817064062</v>
      </c>
      <c r="E90" s="16">
        <v>67242509.079999998</v>
      </c>
      <c r="F90" s="16">
        <v>131683329.09</v>
      </c>
      <c r="G90" s="16">
        <v>39153102.218565263</v>
      </c>
      <c r="H90" s="16">
        <v>382628154.88999999</v>
      </c>
      <c r="I90" s="16">
        <v>432304846.86000001</v>
      </c>
      <c r="J90" s="16">
        <v>539402554.89999986</v>
      </c>
      <c r="K90" s="16">
        <v>1231227723.5999999</v>
      </c>
      <c r="L90" s="16">
        <v>0</v>
      </c>
      <c r="M90" s="16">
        <v>0</v>
      </c>
      <c r="N90" s="18">
        <f t="shared" si="2"/>
        <v>9983727482.4056301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310347802.00999999</v>
      </c>
      <c r="C91" s="16">
        <v>0</v>
      </c>
      <c r="D91" s="16">
        <v>24271067.420772865</v>
      </c>
      <c r="E91" s="16">
        <v>2262071.0100000002</v>
      </c>
      <c r="F91" s="16">
        <v>3057026.17</v>
      </c>
      <c r="G91" s="16">
        <v>1761789.94</v>
      </c>
      <c r="H91" s="16">
        <v>16661317.01</v>
      </c>
      <c r="I91" s="16">
        <v>10035949.43</v>
      </c>
      <c r="J91" s="16">
        <v>41599257.480000019</v>
      </c>
      <c r="K91" s="16">
        <v>49236762.600000001</v>
      </c>
      <c r="L91" s="16">
        <v>0</v>
      </c>
      <c r="M91" s="16">
        <v>0</v>
      </c>
      <c r="N91" s="18">
        <f t="shared" si="2"/>
        <v>459233043.07077289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462642522.47999996</v>
      </c>
      <c r="C92" s="16">
        <v>0</v>
      </c>
      <c r="D92" s="16">
        <v>998895.54999999993</v>
      </c>
      <c r="E92" s="16">
        <v>3895437.02</v>
      </c>
      <c r="F92" s="16">
        <v>653649.85</v>
      </c>
      <c r="G92" s="16">
        <v>595534.63</v>
      </c>
      <c r="H92" s="16">
        <v>24837403.969999999</v>
      </c>
      <c r="I92" s="16">
        <v>2145875.27</v>
      </c>
      <c r="J92" s="16">
        <v>16175449.840000005</v>
      </c>
      <c r="K92" s="16">
        <v>73716057</v>
      </c>
      <c r="L92" s="16">
        <v>0</v>
      </c>
      <c r="M92" s="16">
        <v>0</v>
      </c>
      <c r="N92" s="18">
        <f t="shared" si="2"/>
        <v>585660825.61000001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4796134344.9700003</v>
      </c>
      <c r="C93" s="16">
        <v>0</v>
      </c>
      <c r="D93" s="16">
        <v>24808860.717405152</v>
      </c>
      <c r="E93" s="16">
        <v>45250041.32</v>
      </c>
      <c r="F93" s="16">
        <v>106724751.26000001</v>
      </c>
      <c r="G93" s="16">
        <v>23270404.744777359</v>
      </c>
      <c r="H93" s="16">
        <v>257485035.22</v>
      </c>
      <c r="I93" s="16">
        <v>350368019.76999998</v>
      </c>
      <c r="J93" s="16">
        <v>556843634.81999993</v>
      </c>
      <c r="K93" s="16">
        <v>698502033</v>
      </c>
      <c r="L93" s="16">
        <v>0</v>
      </c>
      <c r="M93" s="16">
        <v>0</v>
      </c>
      <c r="N93" s="18">
        <f t="shared" si="2"/>
        <v>6859387125.8221836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2715392343.5899997</v>
      </c>
      <c r="C94" s="16">
        <v>0</v>
      </c>
      <c r="D94" s="16">
        <v>53179089.100000009</v>
      </c>
      <c r="E94" s="16">
        <v>25618885.32</v>
      </c>
      <c r="F94" s="16">
        <v>48258768.909999996</v>
      </c>
      <c r="G94" s="16">
        <v>28388645.879527338</v>
      </c>
      <c r="H94" s="16">
        <v>145778421.31999999</v>
      </c>
      <c r="I94" s="16">
        <v>158429315.59999999</v>
      </c>
      <c r="J94" s="16">
        <v>262989566.84</v>
      </c>
      <c r="K94" s="16">
        <v>469088670.60000002</v>
      </c>
      <c r="L94" s="16">
        <v>0</v>
      </c>
      <c r="M94" s="16">
        <v>0</v>
      </c>
      <c r="N94" s="18">
        <f t="shared" si="2"/>
        <v>3907123707.1595273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505528381.39999998</v>
      </c>
      <c r="C95" s="16">
        <v>0</v>
      </c>
      <c r="D95" s="16">
        <v>14238641.694652515</v>
      </c>
      <c r="E95" s="16">
        <v>3684708.2299999995</v>
      </c>
      <c r="F95" s="16">
        <v>2366269.5499999998</v>
      </c>
      <c r="G95" s="16">
        <v>1414394.74</v>
      </c>
      <c r="H95" s="16">
        <v>27139772.109999999</v>
      </c>
      <c r="I95" s="16">
        <v>7768255.9100000001</v>
      </c>
      <c r="J95" s="16">
        <v>42034768.599999994</v>
      </c>
      <c r="K95" s="16">
        <v>83002489.200000003</v>
      </c>
      <c r="L95" s="16">
        <v>0</v>
      </c>
      <c r="M95" s="16">
        <v>0</v>
      </c>
      <c r="N95" s="18">
        <f t="shared" si="2"/>
        <v>687177681.43465257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1576792525.2199998</v>
      </c>
      <c r="C96" s="16">
        <v>0</v>
      </c>
      <c r="D96" s="16">
        <v>40910494.24082423</v>
      </c>
      <c r="E96" s="16">
        <v>8139799.1899999995</v>
      </c>
      <c r="F96" s="16">
        <v>13261385.24</v>
      </c>
      <c r="G96" s="16">
        <v>7233264.3200000003</v>
      </c>
      <c r="H96" s="16">
        <v>84651606.840000004</v>
      </c>
      <c r="I96" s="16">
        <v>43535967.369999997</v>
      </c>
      <c r="J96" s="16">
        <v>142446290.80000004</v>
      </c>
      <c r="K96" s="16">
        <v>272389309.19999999</v>
      </c>
      <c r="L96" s="16">
        <v>0</v>
      </c>
      <c r="M96" s="16">
        <v>0</v>
      </c>
      <c r="N96" s="18">
        <f t="shared" si="2"/>
        <v>2189360642.4208236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819939543.20000005</v>
      </c>
      <c r="C97" s="16">
        <v>0</v>
      </c>
      <c r="D97" s="16">
        <v>43384196.342628419</v>
      </c>
      <c r="E97" s="16">
        <v>5976396.3599999994</v>
      </c>
      <c r="F97" s="16">
        <v>6122615.4400000004</v>
      </c>
      <c r="G97" s="16">
        <v>3722091.41</v>
      </c>
      <c r="H97" s="16">
        <v>44019234.450000003</v>
      </c>
      <c r="I97" s="16">
        <v>20100010.760000002</v>
      </c>
      <c r="J97" s="16">
        <v>96808740.160000011</v>
      </c>
      <c r="K97" s="16">
        <v>132269736.59999998</v>
      </c>
      <c r="L97" s="16">
        <v>0</v>
      </c>
      <c r="M97" s="16">
        <v>0</v>
      </c>
      <c r="N97" s="18">
        <f t="shared" si="2"/>
        <v>1172342564.7226286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2308220485.2999997</v>
      </c>
      <c r="C98" s="16">
        <v>0</v>
      </c>
      <c r="D98" s="16">
        <v>49063149.998906694</v>
      </c>
      <c r="E98" s="16">
        <v>21777345.009999998</v>
      </c>
      <c r="F98" s="16">
        <v>14237578.470000001</v>
      </c>
      <c r="G98" s="16">
        <v>8908205.4499999993</v>
      </c>
      <c r="H98" s="16">
        <v>123919012.73</v>
      </c>
      <c r="I98" s="16">
        <v>46740724.329999998</v>
      </c>
      <c r="J98" s="16">
        <v>186650763.19999993</v>
      </c>
      <c r="K98" s="16">
        <v>367360893</v>
      </c>
      <c r="L98" s="16">
        <v>0</v>
      </c>
      <c r="M98" s="16">
        <v>0</v>
      </c>
      <c r="N98" s="18">
        <f t="shared" si="2"/>
        <v>3126878157.4889059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1630916476.01</v>
      </c>
      <c r="C99" s="16">
        <v>0</v>
      </c>
      <c r="D99" s="16">
        <v>32680251.854029864</v>
      </c>
      <c r="E99" s="16">
        <v>11887465.809999999</v>
      </c>
      <c r="F99" s="16">
        <v>5277723.05</v>
      </c>
      <c r="G99" s="16">
        <v>2667498.85</v>
      </c>
      <c r="H99" s="16">
        <v>87557302.629999995</v>
      </c>
      <c r="I99" s="16">
        <v>17326302.98</v>
      </c>
      <c r="J99" s="16">
        <v>122391048.33999999</v>
      </c>
      <c r="K99" s="16">
        <v>263514421.80000001</v>
      </c>
      <c r="L99" s="16">
        <v>0</v>
      </c>
      <c r="M99" s="16">
        <v>0</v>
      </c>
      <c r="N99" s="18">
        <f t="shared" si="2"/>
        <v>2174218491.3240294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1779333590.4400001</v>
      </c>
      <c r="C100" s="16">
        <v>0</v>
      </c>
      <c r="D100" s="16">
        <v>40300036.689346269</v>
      </c>
      <c r="E100" s="16">
        <v>12969252.280000001</v>
      </c>
      <c r="F100" s="16">
        <v>5925664.1699999999</v>
      </c>
      <c r="G100" s="16">
        <v>3176184.67</v>
      </c>
      <c r="H100" s="16">
        <v>95525216.620000005</v>
      </c>
      <c r="I100" s="16">
        <v>19453436.989999998</v>
      </c>
      <c r="J100" s="16">
        <v>94646340.800000027</v>
      </c>
      <c r="K100" s="16">
        <v>296159832</v>
      </c>
      <c r="L100" s="16">
        <v>0</v>
      </c>
      <c r="M100" s="16">
        <v>0</v>
      </c>
      <c r="N100" s="18">
        <f t="shared" si="2"/>
        <v>2347489554.6593466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364634287.23000002</v>
      </c>
      <c r="C101" s="16">
        <v>0</v>
      </c>
      <c r="D101" s="16">
        <v>10279202.030040354</v>
      </c>
      <c r="E101" s="16">
        <v>2657755.7400000002</v>
      </c>
      <c r="F101" s="16">
        <v>707882.81</v>
      </c>
      <c r="G101" s="16">
        <v>508685.83</v>
      </c>
      <c r="H101" s="16">
        <v>19575738.620000001</v>
      </c>
      <c r="I101" s="16">
        <v>2323917.33</v>
      </c>
      <c r="J101" s="16">
        <v>21843303.24000001</v>
      </c>
      <c r="K101" s="16">
        <v>58618459.799999997</v>
      </c>
      <c r="L101" s="16">
        <v>0</v>
      </c>
      <c r="M101" s="16">
        <v>0</v>
      </c>
      <c r="N101" s="18">
        <f t="shared" si="2"/>
        <v>481149232.63004041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1001536891.72</v>
      </c>
      <c r="C102" s="16">
        <v>0</v>
      </c>
      <c r="D102" s="16">
        <v>40396773.98068627</v>
      </c>
      <c r="E102" s="16">
        <v>9449190.2199999988</v>
      </c>
      <c r="F102" s="16">
        <v>13706666.369999999</v>
      </c>
      <c r="G102" s="16">
        <v>8163787.1699999999</v>
      </c>
      <c r="H102" s="16">
        <v>53768460.869999997</v>
      </c>
      <c r="I102" s="16">
        <v>44997786.329999998</v>
      </c>
      <c r="J102" s="16">
        <v>140680690.25999999</v>
      </c>
      <c r="K102" s="16">
        <v>164884661.99999997</v>
      </c>
      <c r="L102" s="16">
        <v>0</v>
      </c>
      <c r="M102" s="16">
        <v>0</v>
      </c>
      <c r="N102" s="18">
        <f t="shared" si="2"/>
        <v>1477584908.9206862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366166754.29000002</v>
      </c>
      <c r="C103" s="16">
        <v>0</v>
      </c>
      <c r="D103" s="16">
        <v>13694430.26568282</v>
      </c>
      <c r="E103" s="16">
        <v>2668925.62</v>
      </c>
      <c r="F103" s="16">
        <v>339669.57</v>
      </c>
      <c r="G103" s="16">
        <v>322581.26</v>
      </c>
      <c r="H103" s="16">
        <v>19658010.57</v>
      </c>
      <c r="I103" s="16">
        <v>1115105.49</v>
      </c>
      <c r="J103" s="16">
        <v>30877648.560000006</v>
      </c>
      <c r="K103" s="16">
        <v>58515573.600000001</v>
      </c>
      <c r="L103" s="16">
        <v>0</v>
      </c>
      <c r="M103" s="16">
        <v>0</v>
      </c>
      <c r="N103" s="18">
        <f t="shared" si="2"/>
        <v>493358699.22568285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5420243171.3199997</v>
      </c>
      <c r="C104" s="16">
        <v>0</v>
      </c>
      <c r="D104" s="16">
        <v>44104359.065005518</v>
      </c>
      <c r="E104" s="16">
        <v>51138314.700000003</v>
      </c>
      <c r="F104" s="16">
        <v>69609427.890000001</v>
      </c>
      <c r="G104" s="16">
        <v>15631879.141068855</v>
      </c>
      <c r="H104" s="16">
        <v>290990911.31999999</v>
      </c>
      <c r="I104" s="16">
        <v>228521660.81999999</v>
      </c>
      <c r="J104" s="16">
        <v>341643244.5799998</v>
      </c>
      <c r="K104" s="16">
        <v>814001319.00000012</v>
      </c>
      <c r="L104" s="16">
        <v>0</v>
      </c>
      <c r="M104" s="16">
        <v>0</v>
      </c>
      <c r="N104" s="18">
        <f t="shared" ref="N104:N135" si="3">SUM(B104:M104)</f>
        <v>7275884287.8360729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963666379.58999991</v>
      </c>
      <c r="C105" s="16">
        <v>0</v>
      </c>
      <c r="D105" s="16">
        <v>10610317.15</v>
      </c>
      <c r="E105" s="16">
        <v>11129135.399999999</v>
      </c>
      <c r="F105" s="16">
        <v>2999938.84</v>
      </c>
      <c r="G105" s="16">
        <v>2791568.56</v>
      </c>
      <c r="H105" s="16">
        <v>51735346.399999999</v>
      </c>
      <c r="I105" s="16">
        <v>9848536.7400000002</v>
      </c>
      <c r="J105" s="16">
        <v>44614053.660000011</v>
      </c>
      <c r="K105" s="16">
        <v>153902512.80000001</v>
      </c>
      <c r="L105" s="16">
        <v>0</v>
      </c>
      <c r="M105" s="16">
        <v>0</v>
      </c>
      <c r="N105" s="18">
        <f t="shared" si="3"/>
        <v>1251297789.1399999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989555785.49000001</v>
      </c>
      <c r="C106" s="16">
        <v>0</v>
      </c>
      <c r="D106" s="16">
        <v>6998017.71</v>
      </c>
      <c r="E106" s="16">
        <v>7212699.5700000003</v>
      </c>
      <c r="F106" s="16">
        <v>21256464.899999999</v>
      </c>
      <c r="G106" s="16">
        <v>6883099.4116299357</v>
      </c>
      <c r="H106" s="16">
        <v>53125243.789999999</v>
      </c>
      <c r="I106" s="16">
        <v>69783114.290000007</v>
      </c>
      <c r="J106" s="16">
        <v>117254208.06000006</v>
      </c>
      <c r="K106" s="16">
        <v>146849092.19999999</v>
      </c>
      <c r="L106" s="16">
        <v>0</v>
      </c>
      <c r="M106" s="16">
        <v>0</v>
      </c>
      <c r="N106" s="18">
        <f t="shared" si="3"/>
        <v>1418917725.4216301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1371511594.6100001</v>
      </c>
      <c r="C107" s="16">
        <v>0</v>
      </c>
      <c r="D107" s="16">
        <v>21711387.221797287</v>
      </c>
      <c r="E107" s="16">
        <v>9996708.870000001</v>
      </c>
      <c r="F107" s="16">
        <v>1181707.5900000001</v>
      </c>
      <c r="G107" s="16">
        <v>1178662.28</v>
      </c>
      <c r="H107" s="16">
        <v>73630904.780000001</v>
      </c>
      <c r="I107" s="16">
        <v>3879442.64</v>
      </c>
      <c r="J107" s="16">
        <v>54323487.019999981</v>
      </c>
      <c r="K107" s="16">
        <v>223152546.59999999</v>
      </c>
      <c r="L107" s="16">
        <v>0</v>
      </c>
      <c r="M107" s="16">
        <v>0</v>
      </c>
      <c r="N107" s="18">
        <f t="shared" si="3"/>
        <v>1760566441.6117971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486302885.3599999</v>
      </c>
      <c r="C108" s="16">
        <v>0</v>
      </c>
      <c r="D108" s="16">
        <v>8135971.0866164174</v>
      </c>
      <c r="E108" s="16">
        <v>3544576.9299999997</v>
      </c>
      <c r="F108" s="16">
        <v>1198833.79</v>
      </c>
      <c r="G108" s="16">
        <v>868488</v>
      </c>
      <c r="H108" s="16">
        <v>26107633.059999999</v>
      </c>
      <c r="I108" s="16">
        <v>3935666.44</v>
      </c>
      <c r="J108" s="16">
        <v>28979477.560000006</v>
      </c>
      <c r="K108" s="16">
        <v>76875044.400000006</v>
      </c>
      <c r="L108" s="16">
        <v>0</v>
      </c>
      <c r="M108" s="16">
        <v>0</v>
      </c>
      <c r="N108" s="18">
        <f t="shared" si="3"/>
        <v>635948576.62661636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4674628281.1999998</v>
      </c>
      <c r="C109" s="16">
        <v>0</v>
      </c>
      <c r="D109" s="16">
        <v>95102734.354317307</v>
      </c>
      <c r="E109" s="16">
        <v>44103669.260000005</v>
      </c>
      <c r="F109" s="16">
        <v>122400930.29000001</v>
      </c>
      <c r="G109" s="16">
        <v>74151942.503745228</v>
      </c>
      <c r="H109" s="16">
        <v>250961866.59</v>
      </c>
      <c r="I109" s="16">
        <v>401831543.82999998</v>
      </c>
      <c r="J109" s="16">
        <v>528753074.9600001</v>
      </c>
      <c r="K109" s="16">
        <v>798206382</v>
      </c>
      <c r="L109" s="16">
        <v>0</v>
      </c>
      <c r="M109" s="16">
        <v>0</v>
      </c>
      <c r="N109" s="18">
        <f t="shared" si="3"/>
        <v>6990140424.9880629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535806215.80000001</v>
      </c>
      <c r="C110" s="16">
        <v>0</v>
      </c>
      <c r="D110" s="16">
        <v>15705951.172255808</v>
      </c>
      <c r="E110" s="16">
        <v>5055165.6100000003</v>
      </c>
      <c r="F110" s="16">
        <v>4678306.16</v>
      </c>
      <c r="G110" s="16">
        <v>2816382.5</v>
      </c>
      <c r="H110" s="16">
        <v>28765266.449999999</v>
      </c>
      <c r="I110" s="16">
        <v>15358469.76</v>
      </c>
      <c r="J110" s="16">
        <v>61266465.919999994</v>
      </c>
      <c r="K110" s="16">
        <v>87140800.799999997</v>
      </c>
      <c r="L110" s="16">
        <v>0</v>
      </c>
      <c r="M110" s="16">
        <v>0</v>
      </c>
      <c r="N110" s="18">
        <f t="shared" si="3"/>
        <v>756593024.17225575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616678682.85000002</v>
      </c>
      <c r="C111" s="16">
        <v>0</v>
      </c>
      <c r="D111" s="16">
        <v>18952830.071262915</v>
      </c>
      <c r="E111" s="16">
        <v>4494863.3899999997</v>
      </c>
      <c r="F111" s="16">
        <v>1629843.08</v>
      </c>
      <c r="G111" s="16">
        <v>1178662.28</v>
      </c>
      <c r="H111" s="16">
        <v>33106981.780000001</v>
      </c>
      <c r="I111" s="16">
        <v>5350632.24</v>
      </c>
      <c r="J111" s="16">
        <v>47730012.660000011</v>
      </c>
      <c r="K111" s="16">
        <v>103739774.40000001</v>
      </c>
      <c r="L111" s="16">
        <v>0</v>
      </c>
      <c r="M111" s="16">
        <v>0</v>
      </c>
      <c r="N111" s="18">
        <f t="shared" si="3"/>
        <v>832862282.7512629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903505437.25999987</v>
      </c>
      <c r="C112" s="16">
        <v>0</v>
      </c>
      <c r="D112" s="16">
        <v>25914136.86738532</v>
      </c>
      <c r="E112" s="16">
        <v>6585493.5899999999</v>
      </c>
      <c r="F112" s="16">
        <v>1980930.12</v>
      </c>
      <c r="G112" s="16">
        <v>1401987.77</v>
      </c>
      <c r="H112" s="16">
        <v>48505548.969999999</v>
      </c>
      <c r="I112" s="16">
        <v>6503220.2699999996</v>
      </c>
      <c r="J112" s="16">
        <v>50068260</v>
      </c>
      <c r="K112" s="16">
        <v>144749451.59999999</v>
      </c>
      <c r="L112" s="16">
        <v>0</v>
      </c>
      <c r="M112" s="16">
        <v>0</v>
      </c>
      <c r="N112" s="18">
        <f t="shared" si="3"/>
        <v>1189214466.4473851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715081644.49000001</v>
      </c>
      <c r="C113" s="16">
        <v>0</v>
      </c>
      <c r="D113" s="16">
        <v>28396261.685685761</v>
      </c>
      <c r="E113" s="16">
        <v>5212105.41</v>
      </c>
      <c r="F113" s="16">
        <v>2791570.11</v>
      </c>
      <c r="G113" s="16">
        <v>1811417.82</v>
      </c>
      <c r="H113" s="16">
        <v>38389838.399999999</v>
      </c>
      <c r="I113" s="16">
        <v>9164480.4299999997</v>
      </c>
      <c r="J113" s="16">
        <v>48896123.320000008</v>
      </c>
      <c r="K113" s="16">
        <v>114931506.59999999</v>
      </c>
      <c r="L113" s="16">
        <v>0</v>
      </c>
      <c r="M113" s="16">
        <v>0</v>
      </c>
      <c r="N113" s="18">
        <f t="shared" si="3"/>
        <v>964674948.2656858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442836546.49000001</v>
      </c>
      <c r="C114" s="16">
        <v>0</v>
      </c>
      <c r="D114" s="16">
        <v>11098114.29243706</v>
      </c>
      <c r="E114" s="16">
        <v>3227758.37</v>
      </c>
      <c r="F114" s="16">
        <v>1689784.77</v>
      </c>
      <c r="G114" s="16">
        <v>992557.71</v>
      </c>
      <c r="H114" s="16">
        <v>23774101.309999999</v>
      </c>
      <c r="I114" s="16">
        <v>5547415.5599999996</v>
      </c>
      <c r="J114" s="16">
        <v>37351882.480000012</v>
      </c>
      <c r="K114" s="16">
        <v>75769970.400000006</v>
      </c>
      <c r="L114" s="16">
        <v>0</v>
      </c>
      <c r="M114" s="16">
        <v>0</v>
      </c>
      <c r="N114" s="18">
        <f t="shared" si="3"/>
        <v>602288131.38243711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1153970927.4000001</v>
      </c>
      <c r="C115" s="16">
        <v>0</v>
      </c>
      <c r="D115" s="16">
        <v>15218164.543427009</v>
      </c>
      <c r="E115" s="16">
        <v>8411092.879999999</v>
      </c>
      <c r="F115" s="16">
        <v>1749726.46</v>
      </c>
      <c r="G115" s="16">
        <v>1600499.31</v>
      </c>
      <c r="H115" s="16">
        <v>61952027.100000001</v>
      </c>
      <c r="I115" s="16">
        <v>5744198.8799999999</v>
      </c>
      <c r="J115" s="16">
        <v>50047990.960000001</v>
      </c>
      <c r="K115" s="16">
        <v>199351539</v>
      </c>
      <c r="L115" s="16">
        <v>0</v>
      </c>
      <c r="M115" s="16">
        <v>0</v>
      </c>
      <c r="N115" s="18">
        <f t="shared" si="3"/>
        <v>1498046166.5334272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694207585.37999988</v>
      </c>
      <c r="C116" s="16">
        <v>0</v>
      </c>
      <c r="D116" s="16">
        <v>24195292.185867012</v>
      </c>
      <c r="E116" s="16">
        <v>5059958.04</v>
      </c>
      <c r="F116" s="16">
        <v>4829587.5599999996</v>
      </c>
      <c r="G116" s="16">
        <v>2518615.19</v>
      </c>
      <c r="H116" s="16">
        <v>37269194.68</v>
      </c>
      <c r="I116" s="16">
        <v>15855113.380000001</v>
      </c>
      <c r="J116" s="16">
        <v>67895000.139999986</v>
      </c>
      <c r="K116" s="16">
        <v>114241788</v>
      </c>
      <c r="L116" s="16">
        <v>0</v>
      </c>
      <c r="M116" s="16">
        <v>0</v>
      </c>
      <c r="N116" s="18">
        <f t="shared" si="3"/>
        <v>966072134.55586684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356019964.74000001</v>
      </c>
      <c r="C117" s="16">
        <v>0</v>
      </c>
      <c r="D117" s="16">
        <v>4380640.985200705</v>
      </c>
      <c r="E117" s="16">
        <v>2594967.4500000002</v>
      </c>
      <c r="F117" s="16">
        <v>1016154.35</v>
      </c>
      <c r="G117" s="16">
        <v>669976.44999999995</v>
      </c>
      <c r="H117" s="16">
        <v>19113270.52</v>
      </c>
      <c r="I117" s="16">
        <v>3335945.84</v>
      </c>
      <c r="J117" s="16">
        <v>20010504.360000003</v>
      </c>
      <c r="K117" s="16">
        <v>58248831.600000001</v>
      </c>
      <c r="L117" s="16">
        <v>0</v>
      </c>
      <c r="M117" s="16">
        <v>0</v>
      </c>
      <c r="N117" s="18">
        <f t="shared" si="3"/>
        <v>465390256.29520071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624271360.61000001</v>
      </c>
      <c r="C118" s="16">
        <v>0</v>
      </c>
      <c r="D118" s="16">
        <v>18034239.381963007</v>
      </c>
      <c r="E118" s="16">
        <v>4550205.0999999996</v>
      </c>
      <c r="F118" s="16">
        <v>4792480.8</v>
      </c>
      <c r="G118" s="16">
        <v>2791568.56</v>
      </c>
      <c r="H118" s="16">
        <v>33514601.920000002</v>
      </c>
      <c r="I118" s="16">
        <v>15733295.140000001</v>
      </c>
      <c r="J118" s="16">
        <v>55156892.780000031</v>
      </c>
      <c r="K118" s="16">
        <v>98027685</v>
      </c>
      <c r="L118" s="16">
        <v>0</v>
      </c>
      <c r="M118" s="16">
        <v>0</v>
      </c>
      <c r="N118" s="18">
        <f t="shared" si="3"/>
        <v>856872329.29196286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844714427.61000001</v>
      </c>
      <c r="C119" s="16">
        <v>0</v>
      </c>
      <c r="D119" s="16">
        <v>15013345.683627203</v>
      </c>
      <c r="E119" s="16">
        <v>6156976.1699999999</v>
      </c>
      <c r="F119" s="16">
        <v>3850539.96</v>
      </c>
      <c r="G119" s="16">
        <v>1873452.68</v>
      </c>
      <c r="H119" s="16">
        <v>45349297.689999998</v>
      </c>
      <c r="I119" s="16">
        <v>12640985.789999999</v>
      </c>
      <c r="J119" s="16">
        <v>50207404.5</v>
      </c>
      <c r="K119" s="16">
        <v>136998691.19999999</v>
      </c>
      <c r="L119" s="16">
        <v>0</v>
      </c>
      <c r="M119" s="16">
        <v>0</v>
      </c>
      <c r="N119" s="18">
        <f t="shared" si="3"/>
        <v>1116805121.2836273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524637781.49000001</v>
      </c>
      <c r="C120" s="16">
        <v>0</v>
      </c>
      <c r="D120" s="16">
        <v>18177502.543420993</v>
      </c>
      <c r="E120" s="16">
        <v>3823993.3099999996</v>
      </c>
      <c r="F120" s="16">
        <v>2594618.85</v>
      </c>
      <c r="G120" s="16">
        <v>1898266.62</v>
      </c>
      <c r="H120" s="16">
        <v>28165678.43</v>
      </c>
      <c r="I120" s="16">
        <v>8517906.6600000001</v>
      </c>
      <c r="J120" s="16">
        <v>52052620.400000013</v>
      </c>
      <c r="K120" s="16">
        <v>87121747.799999997</v>
      </c>
      <c r="L120" s="16">
        <v>0</v>
      </c>
      <c r="M120" s="16">
        <v>0</v>
      </c>
      <c r="N120" s="18">
        <f t="shared" si="3"/>
        <v>726990116.10342085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641314252.04999995</v>
      </c>
      <c r="C121" s="16">
        <v>0</v>
      </c>
      <c r="D121" s="16">
        <v>14434313.18087149</v>
      </c>
      <c r="E121" s="16">
        <v>4674427.76</v>
      </c>
      <c r="F121" s="16">
        <v>1090367.8700000001</v>
      </c>
      <c r="G121" s="16">
        <v>632755.54</v>
      </c>
      <c r="H121" s="16">
        <v>34429565.759999998</v>
      </c>
      <c r="I121" s="16">
        <v>3579582.34</v>
      </c>
      <c r="J121" s="16">
        <v>28923965.839999992</v>
      </c>
      <c r="K121" s="16">
        <v>103709289.59999999</v>
      </c>
      <c r="L121" s="16">
        <v>0</v>
      </c>
      <c r="M121" s="16">
        <v>0</v>
      </c>
      <c r="N121" s="18">
        <f t="shared" si="3"/>
        <v>832788519.94087148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2083296113.0600002</v>
      </c>
      <c r="C122" s="16">
        <v>0</v>
      </c>
      <c r="D122" s="16">
        <v>24714181.240000002</v>
      </c>
      <c r="E122" s="16">
        <v>19655253.259999998</v>
      </c>
      <c r="F122" s="16">
        <v>32825211</v>
      </c>
      <c r="G122" s="16">
        <v>17066844.808495127</v>
      </c>
      <c r="H122" s="16">
        <v>111843733.83</v>
      </c>
      <c r="I122" s="16">
        <v>107762295.45999999</v>
      </c>
      <c r="J122" s="16">
        <v>135680438.07999998</v>
      </c>
      <c r="K122" s="16">
        <v>342851113.80000001</v>
      </c>
      <c r="L122" s="16">
        <v>0</v>
      </c>
      <c r="M122" s="16">
        <v>0</v>
      </c>
      <c r="N122" s="18">
        <f t="shared" si="3"/>
        <v>2875695184.5384955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4597238693.8199997</v>
      </c>
      <c r="C123" s="16">
        <v>0</v>
      </c>
      <c r="D123" s="16">
        <v>63576088.809999987</v>
      </c>
      <c r="E123" s="16">
        <v>33508471.210000001</v>
      </c>
      <c r="F123" s="16">
        <v>45629897.659999996</v>
      </c>
      <c r="G123" s="16">
        <v>41060578.342738643</v>
      </c>
      <c r="H123" s="16">
        <v>246807132.97</v>
      </c>
      <c r="I123" s="16">
        <v>149798961.33000001</v>
      </c>
      <c r="J123" s="16">
        <v>177037014.44</v>
      </c>
      <c r="K123" s="16">
        <v>778223595.60000002</v>
      </c>
      <c r="L123" s="16">
        <v>0</v>
      </c>
      <c r="M123" s="16">
        <v>0</v>
      </c>
      <c r="N123" s="18">
        <f t="shared" si="3"/>
        <v>6132880434.1827393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4037772115.0600014</v>
      </c>
      <c r="C124" s="16">
        <v>0</v>
      </c>
      <c r="D124" s="16">
        <v>28974077.250000004</v>
      </c>
      <c r="E124" s="16">
        <v>38095128.680000007</v>
      </c>
      <c r="F124" s="16">
        <v>58431729.950000003</v>
      </c>
      <c r="G124" s="16">
        <v>0</v>
      </c>
      <c r="H124" s="16">
        <v>216771637.43000001</v>
      </c>
      <c r="I124" s="16">
        <v>191826256.56</v>
      </c>
      <c r="J124" s="16">
        <v>253279220.48000005</v>
      </c>
      <c r="K124" s="16">
        <v>632308100.39999998</v>
      </c>
      <c r="L124" s="16">
        <v>0</v>
      </c>
      <c r="M124" s="16">
        <v>0</v>
      </c>
      <c r="N124" s="18">
        <f t="shared" si="3"/>
        <v>5457458265.8100014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1327998817.3300002</v>
      </c>
      <c r="C125" s="16">
        <v>0</v>
      </c>
      <c r="D125" s="16">
        <v>36323930.106219999</v>
      </c>
      <c r="E125" s="16">
        <v>9679551.8200000003</v>
      </c>
      <c r="F125" s="16">
        <v>22720754.739999998</v>
      </c>
      <c r="G125" s="16">
        <v>11885878.58</v>
      </c>
      <c r="H125" s="16">
        <v>71294879.939999998</v>
      </c>
      <c r="I125" s="16">
        <v>74590249.730000004</v>
      </c>
      <c r="J125" s="16">
        <v>156517044.19999993</v>
      </c>
      <c r="K125" s="16">
        <v>216583072.19999999</v>
      </c>
      <c r="L125" s="16">
        <v>0</v>
      </c>
      <c r="M125" s="16">
        <v>0</v>
      </c>
      <c r="N125" s="18">
        <f t="shared" si="3"/>
        <v>1927594178.64622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1479736277.0700002</v>
      </c>
      <c r="C126" s="16">
        <v>0</v>
      </c>
      <c r="D126" s="16">
        <v>28348409.157890208</v>
      </c>
      <c r="E126" s="16">
        <v>10785539.699999999</v>
      </c>
      <c r="F126" s="16">
        <v>11374649.199999999</v>
      </c>
      <c r="G126" s="16">
        <v>4863532.78</v>
      </c>
      <c r="H126" s="16">
        <v>79441049.819999993</v>
      </c>
      <c r="I126" s="16">
        <v>37341978.039999999</v>
      </c>
      <c r="J126" s="16">
        <v>107393213.17999998</v>
      </c>
      <c r="K126" s="16">
        <v>246763024.19999999</v>
      </c>
      <c r="L126" s="16">
        <v>0</v>
      </c>
      <c r="M126" s="16">
        <v>0</v>
      </c>
      <c r="N126" s="18">
        <f t="shared" si="3"/>
        <v>2006047673.1478906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834962364.37000012</v>
      </c>
      <c r="C127" s="16">
        <v>0</v>
      </c>
      <c r="D127" s="16">
        <v>13539819.344113152</v>
      </c>
      <c r="E127" s="16">
        <v>6085895.0800000001</v>
      </c>
      <c r="F127" s="16">
        <v>12073968.91</v>
      </c>
      <c r="G127" s="16">
        <v>6947903.9699999997</v>
      </c>
      <c r="H127" s="16">
        <v>44825748.899999999</v>
      </c>
      <c r="I127" s="16">
        <v>39637783.460000001</v>
      </c>
      <c r="J127" s="16">
        <v>119074772.51999995</v>
      </c>
      <c r="K127" s="16">
        <v>133367189.40000001</v>
      </c>
      <c r="L127" s="16">
        <v>0</v>
      </c>
      <c r="M127" s="16">
        <v>0</v>
      </c>
      <c r="N127" s="18">
        <f t="shared" si="3"/>
        <v>1210515445.9541132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390198624.36999995</v>
      </c>
      <c r="C128" s="16">
        <v>0</v>
      </c>
      <c r="D128" s="16">
        <v>9087558.1127871051</v>
      </c>
      <c r="E128" s="16">
        <v>2844089.73</v>
      </c>
      <c r="F128" s="16">
        <v>1104639.7</v>
      </c>
      <c r="G128" s="16">
        <v>831267.08</v>
      </c>
      <c r="H128" s="16">
        <v>20948184.379999999</v>
      </c>
      <c r="I128" s="16">
        <v>3626435.51</v>
      </c>
      <c r="J128" s="16">
        <v>25589794.77999999</v>
      </c>
      <c r="K128" s="16">
        <v>67405703.400000006</v>
      </c>
      <c r="L128" s="16">
        <v>0</v>
      </c>
      <c r="M128" s="16">
        <v>0</v>
      </c>
      <c r="N128" s="18">
        <f t="shared" si="3"/>
        <v>521636297.06278706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2431560865.7200003</v>
      </c>
      <c r="C129" s="16">
        <v>0</v>
      </c>
      <c r="D129" s="16">
        <v>85271538.033800647</v>
      </c>
      <c r="E129" s="16">
        <v>12018785.810000001</v>
      </c>
      <c r="F129" s="16">
        <v>14049190.310000001</v>
      </c>
      <c r="G129" s="16">
        <v>10310193.220000001</v>
      </c>
      <c r="H129" s="16">
        <v>130540658.40000001</v>
      </c>
      <c r="I129" s="16">
        <v>46122262.460000001</v>
      </c>
      <c r="J129" s="16">
        <v>160340046.67999998</v>
      </c>
      <c r="K129" s="16">
        <v>398443957.19999999</v>
      </c>
      <c r="L129" s="16">
        <v>0</v>
      </c>
      <c r="M129" s="16">
        <v>0</v>
      </c>
      <c r="N129" s="18">
        <f t="shared" si="3"/>
        <v>3288657497.8338003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657498033.11000013</v>
      </c>
      <c r="C130" s="16">
        <v>0</v>
      </c>
      <c r="D130" s="16">
        <v>20215408.554050017</v>
      </c>
      <c r="E130" s="16">
        <v>4792388.51</v>
      </c>
      <c r="F130" s="16">
        <v>1738309</v>
      </c>
      <c r="G130" s="16">
        <v>769232.23</v>
      </c>
      <c r="H130" s="16">
        <v>35298407.439999998</v>
      </c>
      <c r="I130" s="16">
        <v>5706716.3399999999</v>
      </c>
      <c r="J130" s="16">
        <v>44068979.900000006</v>
      </c>
      <c r="K130" s="16">
        <v>113582554.2</v>
      </c>
      <c r="L130" s="16">
        <v>0</v>
      </c>
      <c r="M130" s="16">
        <v>0</v>
      </c>
      <c r="N130" s="18">
        <f t="shared" si="3"/>
        <v>883670029.28405023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4129859454.8299999</v>
      </c>
      <c r="C131" s="16">
        <v>0</v>
      </c>
      <c r="D131" s="16">
        <v>83380880.165000007</v>
      </c>
      <c r="E131" s="16">
        <v>38732096.620000005</v>
      </c>
      <c r="F131" s="16">
        <v>76756760.790000007</v>
      </c>
      <c r="G131" s="16">
        <v>8583421.0472938009</v>
      </c>
      <c r="H131" s="16">
        <v>221715433.87</v>
      </c>
      <c r="I131" s="16">
        <v>251985729.33000001</v>
      </c>
      <c r="J131" s="16">
        <v>346250714.9200002</v>
      </c>
      <c r="K131" s="16">
        <v>647215167.60000002</v>
      </c>
      <c r="L131" s="16">
        <v>0</v>
      </c>
      <c r="M131" s="16">
        <v>0</v>
      </c>
      <c r="N131" s="18">
        <f t="shared" si="3"/>
        <v>5804479659.1722937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162766578.75</v>
      </c>
      <c r="C132" s="16">
        <v>0</v>
      </c>
      <c r="D132" s="16">
        <v>973702.52553680027</v>
      </c>
      <c r="E132" s="16">
        <v>1186377.22</v>
      </c>
      <c r="F132" s="16">
        <v>328252.11</v>
      </c>
      <c r="G132" s="16">
        <v>186104.57</v>
      </c>
      <c r="H132" s="16">
        <v>8738278.6400000006</v>
      </c>
      <c r="I132" s="16">
        <v>1077622.95</v>
      </c>
      <c r="J132" s="16">
        <v>12433523.520000001</v>
      </c>
      <c r="K132" s="16">
        <v>26597988</v>
      </c>
      <c r="L132" s="16">
        <v>0</v>
      </c>
      <c r="M132" s="16">
        <v>0</v>
      </c>
      <c r="N132" s="18">
        <f t="shared" si="3"/>
        <v>214288428.2855368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1019392455.0999999</v>
      </c>
      <c r="C133" s="16">
        <v>0</v>
      </c>
      <c r="D133" s="16">
        <v>14274261.195867013</v>
      </c>
      <c r="E133" s="16">
        <v>3182423.9699999997</v>
      </c>
      <c r="F133" s="16">
        <v>1187416.32</v>
      </c>
      <c r="G133" s="16">
        <v>1054592.57</v>
      </c>
      <c r="H133" s="16">
        <v>54727053.780000001</v>
      </c>
      <c r="I133" s="16">
        <v>3898183.91</v>
      </c>
      <c r="J133" s="16">
        <v>45865257.900000006</v>
      </c>
      <c r="K133" s="16">
        <v>165806827.19999999</v>
      </c>
      <c r="L133" s="16">
        <v>0</v>
      </c>
      <c r="M133" s="16">
        <v>0</v>
      </c>
      <c r="N133" s="18">
        <f t="shared" si="3"/>
        <v>1309388471.9458673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1761083300.73</v>
      </c>
      <c r="C134" s="16">
        <v>0</v>
      </c>
      <c r="D134" s="16">
        <v>35077309.226366021</v>
      </c>
      <c r="E134" s="16">
        <v>12836229.1</v>
      </c>
      <c r="F134" s="16">
        <v>5540324.7400000002</v>
      </c>
      <c r="G134" s="16">
        <v>3486358.96</v>
      </c>
      <c r="H134" s="16">
        <v>94545432.450000003</v>
      </c>
      <c r="I134" s="16">
        <v>18188401.350000001</v>
      </c>
      <c r="J134" s="16">
        <v>103579888.5</v>
      </c>
      <c r="K134" s="16">
        <v>299978053.19999999</v>
      </c>
      <c r="L134" s="16">
        <v>0</v>
      </c>
      <c r="M134" s="16">
        <v>0</v>
      </c>
      <c r="N134" s="18">
        <f t="shared" si="3"/>
        <v>2334315298.2563658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1456633174.9200001</v>
      </c>
      <c r="C135" s="16">
        <v>0</v>
      </c>
      <c r="D135" s="16">
        <v>59095241.831412897</v>
      </c>
      <c r="E135" s="16">
        <v>13742882.629999999</v>
      </c>
      <c r="F135" s="16">
        <v>8340457.96</v>
      </c>
      <c r="G135" s="16">
        <v>4416881.8099999996</v>
      </c>
      <c r="H135" s="16">
        <v>78200737.799999997</v>
      </c>
      <c r="I135" s="16">
        <v>27380993.68</v>
      </c>
      <c r="J135" s="16">
        <v>106786236.69999996</v>
      </c>
      <c r="K135" s="16">
        <v>239972535</v>
      </c>
      <c r="L135" s="16">
        <v>0</v>
      </c>
      <c r="M135" s="16">
        <v>0</v>
      </c>
      <c r="N135" s="18">
        <f t="shared" si="3"/>
        <v>1994569142.331413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2350107918.71</v>
      </c>
      <c r="C136" s="16">
        <v>0</v>
      </c>
      <c r="D136" s="16">
        <v>35411931.269999996</v>
      </c>
      <c r="E136" s="16">
        <v>22172539.960000001</v>
      </c>
      <c r="F136" s="16">
        <v>49623155.939999998</v>
      </c>
      <c r="G136" s="16">
        <v>31284559.842043355</v>
      </c>
      <c r="H136" s="16">
        <v>126167779.45</v>
      </c>
      <c r="I136" s="16">
        <v>162908478.84</v>
      </c>
      <c r="J136" s="16">
        <v>242782580.0399999</v>
      </c>
      <c r="K136" s="16">
        <v>405985134.60000002</v>
      </c>
      <c r="L136" s="16">
        <v>0</v>
      </c>
      <c r="M136" s="16">
        <v>0</v>
      </c>
      <c r="N136" s="18">
        <f t="shared" ref="N136:N142" si="4">SUM(B136:M136)</f>
        <v>3426444078.6520433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376290324.65999997</v>
      </c>
      <c r="C137" s="16">
        <v>0</v>
      </c>
      <c r="D137" s="16">
        <v>6580705.7672009934</v>
      </c>
      <c r="E137" s="16">
        <v>2742714.56</v>
      </c>
      <c r="F137" s="16">
        <v>593708.16</v>
      </c>
      <c r="G137" s="16">
        <v>645162.51</v>
      </c>
      <c r="H137" s="16">
        <v>20201504.079999998</v>
      </c>
      <c r="I137" s="16">
        <v>1949091.95</v>
      </c>
      <c r="J137" s="16">
        <v>23816524.819999997</v>
      </c>
      <c r="K137" s="16">
        <v>65005025.399999999</v>
      </c>
      <c r="L137" s="16">
        <v>0</v>
      </c>
      <c r="M137" s="16">
        <v>0</v>
      </c>
      <c r="N137" s="18">
        <f t="shared" si="4"/>
        <v>497824761.90720093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1062371190.8</v>
      </c>
      <c r="C138" s="16">
        <v>0</v>
      </c>
      <c r="D138" s="16">
        <v>39042861.101397924</v>
      </c>
      <c r="E138" s="16">
        <v>7743438.3599999994</v>
      </c>
      <c r="F138" s="16">
        <v>5169257.1399999997</v>
      </c>
      <c r="G138" s="16">
        <v>2518615.19</v>
      </c>
      <c r="H138" s="16">
        <v>57034408.090000004</v>
      </c>
      <c r="I138" s="16">
        <v>16970218.879999999</v>
      </c>
      <c r="J138" s="16">
        <v>86537251.019999951</v>
      </c>
      <c r="K138" s="16">
        <v>166126917.59999999</v>
      </c>
      <c r="L138" s="16">
        <v>0</v>
      </c>
      <c r="M138" s="16">
        <v>0</v>
      </c>
      <c r="N138" s="18">
        <f t="shared" si="4"/>
        <v>1443514158.1813979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3735063429.1399994</v>
      </c>
      <c r="C139" s="16">
        <v>0</v>
      </c>
      <c r="D139" s="16">
        <v>45065943.969999999</v>
      </c>
      <c r="E139" s="16">
        <v>27224226.079999998</v>
      </c>
      <c r="F139" s="16">
        <v>26585566.539999999</v>
      </c>
      <c r="G139" s="16">
        <v>28595781.733484723</v>
      </c>
      <c r="H139" s="16">
        <v>200520433.68000001</v>
      </c>
      <c r="I139" s="16">
        <v>87278088.650000006</v>
      </c>
      <c r="J139" s="16">
        <v>154517162.35999995</v>
      </c>
      <c r="K139" s="16">
        <v>645237466.20000005</v>
      </c>
      <c r="L139" s="16">
        <v>0</v>
      </c>
      <c r="M139" s="16">
        <v>0</v>
      </c>
      <c r="N139" s="18">
        <f t="shared" si="4"/>
        <v>4950088098.3534832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1100961498.0699999</v>
      </c>
      <c r="C140" s="16">
        <v>0</v>
      </c>
      <c r="D140" s="16">
        <v>8245857.0000000009</v>
      </c>
      <c r="E140" s="16">
        <v>8024716.3900000006</v>
      </c>
      <c r="F140" s="16">
        <v>4384306.4400000004</v>
      </c>
      <c r="G140" s="16">
        <v>2655091.88</v>
      </c>
      <c r="H140" s="16">
        <v>59106165.450000003</v>
      </c>
      <c r="I140" s="16">
        <v>14393294.42</v>
      </c>
      <c r="J140" s="16">
        <v>39057588.68</v>
      </c>
      <c r="K140" s="16">
        <v>190194667.19999999</v>
      </c>
      <c r="L140" s="16">
        <v>0</v>
      </c>
      <c r="M140" s="16">
        <v>0</v>
      </c>
      <c r="N140" s="18">
        <f t="shared" si="4"/>
        <v>1427023185.5300004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1276150347.9200001</v>
      </c>
      <c r="C141" s="16">
        <v>0</v>
      </c>
      <c r="D141" s="16">
        <v>21411956.457631879</v>
      </c>
      <c r="E141" s="16">
        <v>9301637.3599999994</v>
      </c>
      <c r="F141" s="16">
        <v>6322421.0700000003</v>
      </c>
      <c r="G141" s="16">
        <v>2320103.65</v>
      </c>
      <c r="H141" s="16">
        <v>68511345.530000001</v>
      </c>
      <c r="I141" s="16">
        <v>20755955.170000002</v>
      </c>
      <c r="J141" s="16">
        <v>108623052.77999997</v>
      </c>
      <c r="K141" s="16">
        <v>211709314.80000001</v>
      </c>
      <c r="L141" s="16">
        <v>0</v>
      </c>
      <c r="M141" s="16">
        <v>0</v>
      </c>
      <c r="N141" s="18">
        <f t="shared" si="4"/>
        <v>1725106134.7376318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1247381761.45</v>
      </c>
      <c r="C142" s="16">
        <v>0</v>
      </c>
      <c r="D142" s="16">
        <v>20583304.576079108</v>
      </c>
      <c r="E142" s="16">
        <v>11768660.379999999</v>
      </c>
      <c r="F142" s="16">
        <v>27182129.079999998</v>
      </c>
      <c r="G142" s="16">
        <v>9367263.3900000006</v>
      </c>
      <c r="H142" s="16">
        <v>66966876.590000004</v>
      </c>
      <c r="I142" s="16">
        <v>89236551.280000001</v>
      </c>
      <c r="J142" s="16">
        <v>147243852.35999995</v>
      </c>
      <c r="K142" s="16">
        <v>200296567.80000001</v>
      </c>
      <c r="L142" s="16">
        <v>0</v>
      </c>
      <c r="M142" s="16">
        <v>0</v>
      </c>
      <c r="N142" s="18">
        <f t="shared" si="4"/>
        <v>1820026966.9060791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232191981214.62991</v>
      </c>
      <c r="C143" s="23">
        <f t="shared" si="5"/>
        <v>0</v>
      </c>
      <c r="D143" s="23">
        <f t="shared" si="5"/>
        <v>3826919699.1298866</v>
      </c>
      <c r="E143" s="23">
        <f t="shared" si="5"/>
        <v>1965679671.3799994</v>
      </c>
      <c r="F143" s="23">
        <f t="shared" si="5"/>
        <v>2854366174.539999</v>
      </c>
      <c r="G143" s="23">
        <f t="shared" si="5"/>
        <v>1240697138.24</v>
      </c>
      <c r="H143" s="23">
        <f t="shared" si="5"/>
        <v>12465447413.220007</v>
      </c>
      <c r="I143" s="23">
        <f t="shared" si="5"/>
        <v>9370634388.0500011</v>
      </c>
      <c r="J143" s="23">
        <f t="shared" ref="J143:N143" si="6">SUM(J8:J142)</f>
        <v>18260425289.700005</v>
      </c>
      <c r="K143" s="23">
        <f t="shared" si="6"/>
        <v>38105999999.999977</v>
      </c>
      <c r="L143" s="23">
        <f t="shared" si="6"/>
        <v>0</v>
      </c>
      <c r="M143" s="23">
        <f t="shared" si="6"/>
        <v>0</v>
      </c>
      <c r="N143" s="23">
        <f t="shared" si="6"/>
        <v>320282150988.88977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4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44AEAC"/>
  </sheetPr>
  <dimension ref="A1:O275"/>
  <sheetViews>
    <sheetView showGridLines="0" topLeftCell="D1" zoomScale="80" zoomScaleNormal="80" workbookViewId="0">
      <selection activeCell="V18" sqref="V18"/>
    </sheetView>
  </sheetViews>
  <sheetFormatPr baseColWidth="10" defaultRowHeight="14.25" x14ac:dyDescent="0.2"/>
  <cols>
    <col min="1" max="1" width="41.83203125" style="11" customWidth="1"/>
    <col min="2" max="2" width="24.832031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4.83203125" style="1" bestFit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179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148</v>
      </c>
      <c r="L7" s="19" t="s">
        <v>149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>
        <v>1040432326.7499999</v>
      </c>
      <c r="C8" s="16">
        <v>0</v>
      </c>
      <c r="D8" s="16">
        <v>29003824.259788577</v>
      </c>
      <c r="E8" s="16">
        <v>8925009.2799999993</v>
      </c>
      <c r="F8" s="16">
        <v>1808061.23</v>
      </c>
      <c r="G8" s="16">
        <v>1112617.74</v>
      </c>
      <c r="H8" s="16">
        <v>56964372.149999999</v>
      </c>
      <c r="I8" s="16">
        <v>7867019.5300000003</v>
      </c>
      <c r="J8" s="16">
        <v>54851395.829999976</v>
      </c>
      <c r="K8" s="16">
        <v>0</v>
      </c>
      <c r="L8" s="16">
        <v>0</v>
      </c>
      <c r="M8" s="16">
        <v>0</v>
      </c>
      <c r="N8" s="18">
        <f t="shared" ref="N8:N39" si="0">SUM(B8:M8)</f>
        <v>1200964626.7697885</v>
      </c>
      <c r="O8" s="4"/>
    </row>
    <row r="9" spans="1:15" ht="18" customHeight="1" x14ac:dyDescent="0.2">
      <c r="A9" s="17" t="s">
        <v>4</v>
      </c>
      <c r="B9" s="16">
        <v>549853612.5</v>
      </c>
      <c r="C9" s="16">
        <v>0</v>
      </c>
      <c r="D9" s="16">
        <v>16461799.547691068</v>
      </c>
      <c r="E9" s="16">
        <v>4716739.83</v>
      </c>
      <c r="F9" s="16">
        <v>1266765.8799999999</v>
      </c>
      <c r="G9" s="16">
        <v>823337.12</v>
      </c>
      <c r="H9" s="16">
        <v>30104856.420000002</v>
      </c>
      <c r="I9" s="16">
        <v>5511800.0199999996</v>
      </c>
      <c r="J9" s="16">
        <v>41596617.929999977</v>
      </c>
      <c r="K9" s="16">
        <v>0</v>
      </c>
      <c r="L9" s="16">
        <v>0</v>
      </c>
      <c r="M9" s="16">
        <v>0</v>
      </c>
      <c r="N9" s="18">
        <f t="shared" si="0"/>
        <v>650335529.24769104</v>
      </c>
      <c r="O9" s="4"/>
    </row>
    <row r="10" spans="1:15" ht="18" customHeight="1" x14ac:dyDescent="0.2">
      <c r="A10" s="17" t="s">
        <v>5</v>
      </c>
      <c r="B10" s="16">
        <v>598873502.39999998</v>
      </c>
      <c r="C10" s="16">
        <v>0</v>
      </c>
      <c r="D10" s="16">
        <v>9606061.7567365263</v>
      </c>
      <c r="E10" s="16">
        <v>5137240.96</v>
      </c>
      <c r="F10" s="16">
        <v>884939.28</v>
      </c>
      <c r="G10" s="16">
        <v>823337.12</v>
      </c>
      <c r="H10" s="16">
        <v>32788728.48</v>
      </c>
      <c r="I10" s="16">
        <v>3850441.86</v>
      </c>
      <c r="J10" s="16">
        <v>24584715.960000008</v>
      </c>
      <c r="K10" s="16">
        <v>0</v>
      </c>
      <c r="L10" s="16">
        <v>0</v>
      </c>
      <c r="M10" s="16">
        <v>0</v>
      </c>
      <c r="N10" s="18">
        <f t="shared" si="0"/>
        <v>676548967.81673658</v>
      </c>
      <c r="O10" s="4"/>
    </row>
    <row r="11" spans="1:15" ht="18" customHeight="1" x14ac:dyDescent="0.2">
      <c r="A11" s="17" t="s">
        <v>6</v>
      </c>
      <c r="B11" s="16">
        <v>4837230511.8299999</v>
      </c>
      <c r="C11" s="16">
        <v>0</v>
      </c>
      <c r="D11" s="16">
        <v>48485122.633457005</v>
      </c>
      <c r="E11" s="16">
        <v>51239634.719999999</v>
      </c>
      <c r="F11" s="16">
        <v>94984980.980000004</v>
      </c>
      <c r="G11" s="16">
        <v>72695559.505635381</v>
      </c>
      <c r="H11" s="16">
        <v>264841635.50999999</v>
      </c>
      <c r="I11" s="16">
        <v>413287274.69</v>
      </c>
      <c r="J11" s="16">
        <v>462540399.30000013</v>
      </c>
      <c r="K11" s="16">
        <v>0</v>
      </c>
      <c r="L11" s="16">
        <v>0</v>
      </c>
      <c r="M11" s="16">
        <v>0</v>
      </c>
      <c r="N11" s="18">
        <f t="shared" si="0"/>
        <v>6245305119.1690922</v>
      </c>
      <c r="O11" s="4"/>
    </row>
    <row r="12" spans="1:15" ht="18" customHeight="1" x14ac:dyDescent="0.2">
      <c r="A12" s="17" t="s">
        <v>7</v>
      </c>
      <c r="B12" s="16">
        <v>622778117.01999998</v>
      </c>
      <c r="C12" s="16">
        <v>0</v>
      </c>
      <c r="D12" s="16">
        <v>15753764.167870013</v>
      </c>
      <c r="E12" s="16">
        <v>5342298.91</v>
      </c>
      <c r="F12" s="16">
        <v>3247772.1</v>
      </c>
      <c r="G12" s="16">
        <v>2047216.63</v>
      </c>
      <c r="H12" s="16">
        <v>34097522.270000003</v>
      </c>
      <c r="I12" s="16">
        <v>14131317.08</v>
      </c>
      <c r="J12" s="16">
        <v>49872749.010000005</v>
      </c>
      <c r="K12" s="16">
        <v>0</v>
      </c>
      <c r="L12" s="16">
        <v>0</v>
      </c>
      <c r="M12" s="16">
        <v>0</v>
      </c>
      <c r="N12" s="18">
        <f t="shared" si="0"/>
        <v>747270757.18787003</v>
      </c>
      <c r="O12" s="4"/>
    </row>
    <row r="13" spans="1:15" ht="18" customHeight="1" x14ac:dyDescent="0.2">
      <c r="A13" s="17" t="s">
        <v>8</v>
      </c>
      <c r="B13" s="16">
        <v>2960326581.6900001</v>
      </c>
      <c r="C13" s="16">
        <v>0</v>
      </c>
      <c r="D13" s="16">
        <v>44525620.395255461</v>
      </c>
      <c r="E13" s="16">
        <v>31358036.859999999</v>
      </c>
      <c r="F13" s="16">
        <v>46189787.979999997</v>
      </c>
      <c r="G13" s="16">
        <v>0</v>
      </c>
      <c r="H13" s="16">
        <v>162079878.47999999</v>
      </c>
      <c r="I13" s="16">
        <v>200975474.19999999</v>
      </c>
      <c r="J13" s="16">
        <v>343932238.64999998</v>
      </c>
      <c r="K13" s="16">
        <v>0</v>
      </c>
      <c r="L13" s="16">
        <v>0</v>
      </c>
      <c r="M13" s="16">
        <v>0</v>
      </c>
      <c r="N13" s="18">
        <f t="shared" si="0"/>
        <v>3789387618.2552557</v>
      </c>
      <c r="O13" s="4"/>
    </row>
    <row r="14" spans="1:15" ht="18" customHeight="1" x14ac:dyDescent="0.2">
      <c r="A14" s="17" t="s">
        <v>9</v>
      </c>
      <c r="B14" s="16">
        <v>1000385569.2099999</v>
      </c>
      <c r="C14" s="16">
        <v>0</v>
      </c>
      <c r="D14" s="16">
        <v>35102040.818851672</v>
      </c>
      <c r="E14" s="16">
        <v>8581481.2400000002</v>
      </c>
      <c r="F14" s="16">
        <v>2102292.31</v>
      </c>
      <c r="G14" s="16">
        <v>1390772.17</v>
      </c>
      <c r="H14" s="16">
        <v>54771785.149999999</v>
      </c>
      <c r="I14" s="16">
        <v>9147242.5899999999</v>
      </c>
      <c r="J14" s="16">
        <v>73833805.079999968</v>
      </c>
      <c r="K14" s="16">
        <v>0</v>
      </c>
      <c r="L14" s="16">
        <v>0</v>
      </c>
      <c r="M14" s="16">
        <v>0</v>
      </c>
      <c r="N14" s="18">
        <f t="shared" si="0"/>
        <v>1185314988.5688515</v>
      </c>
      <c r="O14" s="4"/>
    </row>
    <row r="15" spans="1:15" ht="18" customHeight="1" x14ac:dyDescent="0.2">
      <c r="A15" s="17" t="s">
        <v>10</v>
      </c>
      <c r="B15" s="16">
        <v>1742306944.1999998</v>
      </c>
      <c r="C15" s="16">
        <v>0</v>
      </c>
      <c r="D15" s="16">
        <v>58934216.328996241</v>
      </c>
      <c r="E15" s="16">
        <v>14945811.699999999</v>
      </c>
      <c r="F15" s="16">
        <v>7831937.2999999998</v>
      </c>
      <c r="G15" s="16">
        <v>4817634.8</v>
      </c>
      <c r="H15" s="16">
        <v>95392481.200000003</v>
      </c>
      <c r="I15" s="16">
        <v>34077387.719999999</v>
      </c>
      <c r="J15" s="16">
        <v>117802875.75</v>
      </c>
      <c r="K15" s="16">
        <v>0</v>
      </c>
      <c r="L15" s="16">
        <v>0</v>
      </c>
      <c r="M15" s="16">
        <v>0</v>
      </c>
      <c r="N15" s="18">
        <f t="shared" si="0"/>
        <v>2076109288.998996</v>
      </c>
      <c r="O15" s="4"/>
    </row>
    <row r="16" spans="1:15" ht="18" customHeight="1" x14ac:dyDescent="0.2">
      <c r="A16" s="17" t="s">
        <v>11</v>
      </c>
      <c r="B16" s="16">
        <v>3146530948.02</v>
      </c>
      <c r="C16" s="16">
        <v>0</v>
      </c>
      <c r="D16" s="16">
        <v>87822896.585791588</v>
      </c>
      <c r="E16" s="16">
        <v>33330455.52</v>
      </c>
      <c r="F16" s="16">
        <v>29209734.629999999</v>
      </c>
      <c r="G16" s="16">
        <v>21373386.699999999</v>
      </c>
      <c r="H16" s="16">
        <v>172274693.22</v>
      </c>
      <c r="I16" s="16">
        <v>127093899.44</v>
      </c>
      <c r="J16" s="16">
        <v>292637517.06000012</v>
      </c>
      <c r="K16" s="16">
        <v>0</v>
      </c>
      <c r="L16" s="16">
        <v>0</v>
      </c>
      <c r="M16" s="16">
        <v>0</v>
      </c>
      <c r="N16" s="18">
        <f t="shared" si="0"/>
        <v>3910273531.1757913</v>
      </c>
      <c r="O16" s="4"/>
    </row>
    <row r="17" spans="1:15" ht="15" x14ac:dyDescent="0.2">
      <c r="A17" s="17" t="s">
        <v>12</v>
      </c>
      <c r="B17" s="16">
        <v>1181082616.2099998</v>
      </c>
      <c r="C17" s="16">
        <v>0</v>
      </c>
      <c r="D17" s="16">
        <v>38131436.576537326</v>
      </c>
      <c r="E17" s="16">
        <v>10131531.899999999</v>
      </c>
      <c r="F17" s="16">
        <v>5999169.6399999997</v>
      </c>
      <c r="G17" s="16">
        <v>3115329.66</v>
      </c>
      <c r="H17" s="16">
        <v>64665070.439999998</v>
      </c>
      <c r="I17" s="16">
        <v>26102868.539999999</v>
      </c>
      <c r="J17" s="16">
        <v>79321419.86999999</v>
      </c>
      <c r="K17" s="16">
        <v>0</v>
      </c>
      <c r="L17" s="16">
        <v>0</v>
      </c>
      <c r="M17" s="16">
        <v>0</v>
      </c>
      <c r="N17" s="18">
        <f t="shared" si="0"/>
        <v>1408549442.8365374</v>
      </c>
      <c r="O17" s="4"/>
    </row>
    <row r="18" spans="1:15" ht="15" x14ac:dyDescent="0.2">
      <c r="A18" s="17" t="s">
        <v>13</v>
      </c>
      <c r="B18" s="16">
        <v>664225442.82000005</v>
      </c>
      <c r="C18" s="16">
        <v>0</v>
      </c>
      <c r="D18" s="16">
        <v>14264167.75873463</v>
      </c>
      <c r="E18" s="16">
        <v>5697841.2699999996</v>
      </c>
      <c r="F18" s="16">
        <v>4042869.84</v>
      </c>
      <c r="G18" s="16">
        <v>2536768.44</v>
      </c>
      <c r="H18" s="16">
        <v>36366791.329999998</v>
      </c>
      <c r="I18" s="16">
        <v>17590851.129999999</v>
      </c>
      <c r="J18" s="16">
        <v>64668723.420000032</v>
      </c>
      <c r="K18" s="16">
        <v>0</v>
      </c>
      <c r="L18" s="16">
        <v>0</v>
      </c>
      <c r="M18" s="16">
        <v>0</v>
      </c>
      <c r="N18" s="18">
        <f t="shared" si="0"/>
        <v>809393456.00873482</v>
      </c>
      <c r="O18" s="4"/>
    </row>
    <row r="19" spans="1:15" ht="15" x14ac:dyDescent="0.2">
      <c r="A19" s="17" t="s">
        <v>14</v>
      </c>
      <c r="B19" s="16">
        <v>1116632736.7700002</v>
      </c>
      <c r="C19" s="16">
        <v>0</v>
      </c>
      <c r="D19" s="16">
        <v>25660901.760725476</v>
      </c>
      <c r="E19" s="16">
        <v>9578669.6400000006</v>
      </c>
      <c r="F19" s="16">
        <v>1632870.2</v>
      </c>
      <c r="G19" s="16">
        <v>1413024.52</v>
      </c>
      <c r="H19" s="16">
        <v>61136396.030000001</v>
      </c>
      <c r="I19" s="16">
        <v>7104749.3200000003</v>
      </c>
      <c r="J19" s="16">
        <v>56263956</v>
      </c>
      <c r="K19" s="16">
        <v>0</v>
      </c>
      <c r="L19" s="16">
        <v>0</v>
      </c>
      <c r="M19" s="16">
        <v>0</v>
      </c>
      <c r="N19" s="18">
        <f t="shared" si="0"/>
        <v>1279423304.2407258</v>
      </c>
      <c r="O19" s="4"/>
    </row>
    <row r="20" spans="1:15" ht="15" x14ac:dyDescent="0.2">
      <c r="A20" s="17" t="s">
        <v>15</v>
      </c>
      <c r="B20" s="16">
        <v>3953899217.1500001</v>
      </c>
      <c r="C20" s="16">
        <v>0</v>
      </c>
      <c r="D20" s="16">
        <v>28397968.675508603</v>
      </c>
      <c r="E20" s="16">
        <v>41882715.969999999</v>
      </c>
      <c r="F20" s="16">
        <v>52117084.380000003</v>
      </c>
      <c r="G20" s="16">
        <v>35820134.427851759</v>
      </c>
      <c r="H20" s="16">
        <v>216478650.90000001</v>
      </c>
      <c r="I20" s="16">
        <v>226765616.5</v>
      </c>
      <c r="J20" s="16">
        <v>319940330.63999993</v>
      </c>
      <c r="K20" s="16">
        <v>0</v>
      </c>
      <c r="L20" s="16">
        <v>0</v>
      </c>
      <c r="M20" s="16">
        <v>0</v>
      </c>
      <c r="N20" s="18">
        <f t="shared" si="0"/>
        <v>4875301718.6433601</v>
      </c>
      <c r="O20" s="4"/>
    </row>
    <row r="21" spans="1:15" ht="15" x14ac:dyDescent="0.2">
      <c r="A21" s="17" t="s">
        <v>16</v>
      </c>
      <c r="B21" s="16">
        <v>1718022514.46</v>
      </c>
      <c r="C21" s="16">
        <v>0</v>
      </c>
      <c r="D21" s="16">
        <v>16002713.43803177</v>
      </c>
      <c r="E21" s="16">
        <v>14737495.65</v>
      </c>
      <c r="F21" s="16">
        <v>13858059.41</v>
      </c>
      <c r="G21" s="16">
        <v>4532127.4645694187</v>
      </c>
      <c r="H21" s="16">
        <v>94062892.280000001</v>
      </c>
      <c r="I21" s="16">
        <v>60297528.609999999</v>
      </c>
      <c r="J21" s="16">
        <v>104893917.03000003</v>
      </c>
      <c r="K21" s="16">
        <v>0</v>
      </c>
      <c r="L21" s="16">
        <v>0</v>
      </c>
      <c r="M21" s="16">
        <v>0</v>
      </c>
      <c r="N21" s="18">
        <f t="shared" si="0"/>
        <v>2026407248.3426011</v>
      </c>
      <c r="O21" s="4"/>
    </row>
    <row r="22" spans="1:15" ht="15" x14ac:dyDescent="0.2">
      <c r="A22" s="17" t="s">
        <v>17</v>
      </c>
      <c r="B22" s="16">
        <v>1361043771.3699999</v>
      </c>
      <c r="C22" s="16">
        <v>0</v>
      </c>
      <c r="D22" s="16">
        <v>27906583.765026391</v>
      </c>
      <c r="E22" s="16">
        <v>11675269.960000001</v>
      </c>
      <c r="F22" s="16">
        <v>3299431</v>
      </c>
      <c r="G22" s="16">
        <v>2392128.13</v>
      </c>
      <c r="H22" s="16">
        <v>74518065.150000006</v>
      </c>
      <c r="I22" s="16">
        <v>14356089.060000001</v>
      </c>
      <c r="J22" s="16">
        <v>78769573.26000002</v>
      </c>
      <c r="K22" s="16">
        <v>0</v>
      </c>
      <c r="L22" s="16">
        <v>0</v>
      </c>
      <c r="M22" s="16">
        <v>0</v>
      </c>
      <c r="N22" s="18">
        <f t="shared" si="0"/>
        <v>1573960911.6950264</v>
      </c>
      <c r="O22" s="4"/>
    </row>
    <row r="23" spans="1:15" ht="15" x14ac:dyDescent="0.2">
      <c r="A23" s="17" t="s">
        <v>18</v>
      </c>
      <c r="B23" s="16">
        <v>1307561053.7199998</v>
      </c>
      <c r="C23" s="16">
        <v>0</v>
      </c>
      <c r="D23" s="16">
        <v>21955858.286730416</v>
      </c>
      <c r="E23" s="16">
        <v>11216485.92</v>
      </c>
      <c r="F23" s="16">
        <v>3162422.63</v>
      </c>
      <c r="G23" s="16">
        <v>2948437</v>
      </c>
      <c r="H23" s="16">
        <v>71589850.260000005</v>
      </c>
      <c r="I23" s="16">
        <v>13759954.66</v>
      </c>
      <c r="J23" s="16">
        <v>65021166.209999971</v>
      </c>
      <c r="K23" s="16">
        <v>0</v>
      </c>
      <c r="L23" s="16">
        <v>0</v>
      </c>
      <c r="M23" s="16">
        <v>0</v>
      </c>
      <c r="N23" s="18">
        <f t="shared" si="0"/>
        <v>1497215228.6867306</v>
      </c>
      <c r="O23" s="4"/>
    </row>
    <row r="24" spans="1:15" ht="15" x14ac:dyDescent="0.2">
      <c r="A24" s="17" t="s">
        <v>19</v>
      </c>
      <c r="B24" s="16">
        <v>411624644.48000002</v>
      </c>
      <c r="C24" s="16">
        <v>0</v>
      </c>
      <c r="D24" s="16">
        <v>36633754.392600417</v>
      </c>
      <c r="E24" s="16">
        <v>3530987.73</v>
      </c>
      <c r="F24" s="16">
        <v>3288200.8</v>
      </c>
      <c r="G24" s="16">
        <v>775527.25444429717</v>
      </c>
      <c r="H24" s="16">
        <v>22536727.129999999</v>
      </c>
      <c r="I24" s="16">
        <v>14307225.59</v>
      </c>
      <c r="J24" s="16">
        <v>55017856.320000023</v>
      </c>
      <c r="K24" s="16">
        <v>0</v>
      </c>
      <c r="L24" s="16">
        <v>0</v>
      </c>
      <c r="M24" s="16">
        <v>0</v>
      </c>
      <c r="N24" s="18">
        <f t="shared" si="0"/>
        <v>547714923.69704473</v>
      </c>
      <c r="O24" s="4"/>
    </row>
    <row r="25" spans="1:15" ht="15" x14ac:dyDescent="0.2">
      <c r="A25" s="17" t="s">
        <v>20</v>
      </c>
      <c r="B25" s="16">
        <v>1703684493.4100001</v>
      </c>
      <c r="C25" s="16">
        <v>0</v>
      </c>
      <c r="D25" s="16">
        <v>23027432.380283009</v>
      </c>
      <c r="E25" s="16">
        <v>14614501.620000001</v>
      </c>
      <c r="F25" s="16">
        <v>14583529.939999999</v>
      </c>
      <c r="G25" s="16">
        <v>7020617.9100000001</v>
      </c>
      <c r="H25" s="16">
        <v>93277875.950000003</v>
      </c>
      <c r="I25" s="16">
        <v>63454109.119999997</v>
      </c>
      <c r="J25" s="16">
        <v>127184617.34999995</v>
      </c>
      <c r="K25" s="16">
        <v>0</v>
      </c>
      <c r="L25" s="16">
        <v>0</v>
      </c>
      <c r="M25" s="16">
        <v>0</v>
      </c>
      <c r="N25" s="18">
        <f t="shared" si="0"/>
        <v>2046847177.6802831</v>
      </c>
      <c r="O25" s="4"/>
    </row>
    <row r="26" spans="1:15" ht="15" x14ac:dyDescent="0.2">
      <c r="A26" s="17" t="s">
        <v>21</v>
      </c>
      <c r="B26" s="16">
        <v>694729345.26999998</v>
      </c>
      <c r="C26" s="16">
        <v>0</v>
      </c>
      <c r="D26" s="16">
        <v>16678129.753634807</v>
      </c>
      <c r="E26" s="16">
        <v>5959509.04</v>
      </c>
      <c r="F26" s="16">
        <v>6632552.5800000001</v>
      </c>
      <c r="G26" s="16">
        <v>4483849.4800000004</v>
      </c>
      <c r="H26" s="16">
        <v>38036900.579999998</v>
      </c>
      <c r="I26" s="16">
        <v>28858768.550000001</v>
      </c>
      <c r="J26" s="16">
        <v>93846874.38000001</v>
      </c>
      <c r="K26" s="16">
        <v>0</v>
      </c>
      <c r="L26" s="16">
        <v>0</v>
      </c>
      <c r="M26" s="16">
        <v>0</v>
      </c>
      <c r="N26" s="18">
        <f t="shared" si="0"/>
        <v>889225929.63363481</v>
      </c>
      <c r="O26" s="4"/>
    </row>
    <row r="27" spans="1:15" ht="15" x14ac:dyDescent="0.2">
      <c r="A27" s="17" t="s">
        <v>22</v>
      </c>
      <c r="B27" s="16">
        <v>340005754.44999999</v>
      </c>
      <c r="C27" s="16">
        <v>0</v>
      </c>
      <c r="D27" s="16">
        <v>6420885.3052524067</v>
      </c>
      <c r="E27" s="16">
        <v>2916628.4400000004</v>
      </c>
      <c r="F27" s="16">
        <v>1648592.48</v>
      </c>
      <c r="G27" s="16">
        <v>1012482.14</v>
      </c>
      <c r="H27" s="16">
        <v>18615544.559999999</v>
      </c>
      <c r="I27" s="16">
        <v>7173158.1799999997</v>
      </c>
      <c r="J27" s="16">
        <v>25148415.390000001</v>
      </c>
      <c r="K27" s="16">
        <v>0</v>
      </c>
      <c r="L27" s="16">
        <v>0</v>
      </c>
      <c r="M27" s="16">
        <v>0</v>
      </c>
      <c r="N27" s="18">
        <f t="shared" si="0"/>
        <v>402941460.94525242</v>
      </c>
      <c r="O27" s="4"/>
    </row>
    <row r="28" spans="1:15" ht="15" x14ac:dyDescent="0.2">
      <c r="A28" s="17" t="s">
        <v>23</v>
      </c>
      <c r="B28" s="16">
        <v>1204132646.7800002</v>
      </c>
      <c r="C28" s="16">
        <v>0</v>
      </c>
      <c r="D28" s="16">
        <v>24996078.619587019</v>
      </c>
      <c r="E28" s="16">
        <v>10329259.07</v>
      </c>
      <c r="F28" s="16">
        <v>2270745.23</v>
      </c>
      <c r="G28" s="16">
        <v>1468655.41</v>
      </c>
      <c r="H28" s="16">
        <v>65927075.170000002</v>
      </c>
      <c r="I28" s="16">
        <v>9880194.7200000007</v>
      </c>
      <c r="J28" s="16">
        <v>51417082.920000024</v>
      </c>
      <c r="K28" s="16">
        <v>0</v>
      </c>
      <c r="L28" s="16">
        <v>0</v>
      </c>
      <c r="M28" s="16">
        <v>0</v>
      </c>
      <c r="N28" s="18">
        <f t="shared" si="0"/>
        <v>1370421737.9195874</v>
      </c>
      <c r="O28" s="4"/>
    </row>
    <row r="29" spans="1:15" ht="15" x14ac:dyDescent="0.2">
      <c r="A29" s="17" t="s">
        <v>24</v>
      </c>
      <c r="B29" s="16">
        <v>744651296.07999992</v>
      </c>
      <c r="C29" s="16">
        <v>0</v>
      </c>
      <c r="D29" s="16">
        <v>20148100.95168262</v>
      </c>
      <c r="E29" s="16">
        <v>6387748.2000000002</v>
      </c>
      <c r="F29" s="16">
        <v>1417250.48</v>
      </c>
      <c r="G29" s="16">
        <v>890094.19</v>
      </c>
      <c r="H29" s="16">
        <v>40770161.079999998</v>
      </c>
      <c r="I29" s="16">
        <v>6166570.5899999999</v>
      </c>
      <c r="J29" s="16">
        <v>45837784.230000004</v>
      </c>
      <c r="K29" s="16">
        <v>0</v>
      </c>
      <c r="L29" s="16">
        <v>0</v>
      </c>
      <c r="M29" s="16">
        <v>0</v>
      </c>
      <c r="N29" s="18">
        <f t="shared" si="0"/>
        <v>866269005.80168271</v>
      </c>
      <c r="O29" s="4"/>
    </row>
    <row r="30" spans="1:15" ht="15" x14ac:dyDescent="0.2">
      <c r="A30" s="17" t="s">
        <v>25</v>
      </c>
      <c r="B30" s="16">
        <v>247544509.34999999</v>
      </c>
      <c r="C30" s="16">
        <v>0</v>
      </c>
      <c r="D30" s="16">
        <v>12939753.01590018</v>
      </c>
      <c r="E30" s="16">
        <v>2123479.8199999998</v>
      </c>
      <c r="F30" s="16">
        <v>1224091.1399999999</v>
      </c>
      <c r="G30" s="16">
        <v>1112617.74</v>
      </c>
      <c r="H30" s="16">
        <v>13553228.98</v>
      </c>
      <c r="I30" s="16">
        <v>5326118.82</v>
      </c>
      <c r="J30" s="16">
        <v>35609099.190000005</v>
      </c>
      <c r="K30" s="16">
        <v>0</v>
      </c>
      <c r="L30" s="16">
        <v>0</v>
      </c>
      <c r="M30" s="16">
        <v>0</v>
      </c>
      <c r="N30" s="18">
        <f t="shared" si="0"/>
        <v>319432898.05590016</v>
      </c>
      <c r="O30" s="4"/>
    </row>
    <row r="31" spans="1:15" ht="15" x14ac:dyDescent="0.2">
      <c r="A31" s="17" t="s">
        <v>26</v>
      </c>
      <c r="B31" s="16">
        <v>431280077.33999997</v>
      </c>
      <c r="C31" s="16">
        <v>0</v>
      </c>
      <c r="D31" s="16">
        <v>8237718.5262524113</v>
      </c>
      <c r="E31" s="16">
        <v>3699595.45</v>
      </c>
      <c r="F31" s="16">
        <v>1462171.26</v>
      </c>
      <c r="G31" s="16">
        <v>611939.75</v>
      </c>
      <c r="H31" s="16">
        <v>23612875.34</v>
      </c>
      <c r="I31" s="16">
        <v>6362024.4900000002</v>
      </c>
      <c r="J31" s="16">
        <v>25237136.190000005</v>
      </c>
      <c r="K31" s="16">
        <v>0</v>
      </c>
      <c r="L31" s="16">
        <v>0</v>
      </c>
      <c r="M31" s="16">
        <v>0</v>
      </c>
      <c r="N31" s="18">
        <f t="shared" si="0"/>
        <v>500503538.34625232</v>
      </c>
      <c r="O31" s="4"/>
    </row>
    <row r="32" spans="1:15" ht="15" x14ac:dyDescent="0.2">
      <c r="A32" s="17" t="s">
        <v>27</v>
      </c>
      <c r="B32" s="16">
        <v>1894660287.2999997</v>
      </c>
      <c r="C32" s="16">
        <v>0</v>
      </c>
      <c r="D32" s="16">
        <v>31169551.657538485</v>
      </c>
      <c r="E32" s="16">
        <v>16252725.16</v>
      </c>
      <c r="F32" s="16">
        <v>4312394.5</v>
      </c>
      <c r="G32" s="16">
        <v>3348979.38</v>
      </c>
      <c r="H32" s="16">
        <v>103733929.56999999</v>
      </c>
      <c r="I32" s="16">
        <v>18763574.539999999</v>
      </c>
      <c r="J32" s="16">
        <v>78965491.079999983</v>
      </c>
      <c r="K32" s="16">
        <v>0</v>
      </c>
      <c r="L32" s="16">
        <v>0</v>
      </c>
      <c r="M32" s="16">
        <v>0</v>
      </c>
      <c r="N32" s="18">
        <f t="shared" si="0"/>
        <v>2151206933.1875381</v>
      </c>
      <c r="O32" s="4"/>
    </row>
    <row r="33" spans="1:15" ht="15" x14ac:dyDescent="0.2">
      <c r="A33" s="17" t="s">
        <v>28</v>
      </c>
      <c r="B33" s="16">
        <v>1288356651.3100002</v>
      </c>
      <c r="C33" s="16">
        <v>0</v>
      </c>
      <c r="D33" s="16">
        <v>24749351.181640208</v>
      </c>
      <c r="E33" s="16">
        <v>11051747.220000001</v>
      </c>
      <c r="F33" s="16">
        <v>3164668.67</v>
      </c>
      <c r="G33" s="16">
        <v>2692534.92</v>
      </c>
      <c r="H33" s="16">
        <v>70538396.269999996</v>
      </c>
      <c r="I33" s="16">
        <v>13769727.359999999</v>
      </c>
      <c r="J33" s="16">
        <v>75322884.840000004</v>
      </c>
      <c r="K33" s="16">
        <v>0</v>
      </c>
      <c r="L33" s="16">
        <v>0</v>
      </c>
      <c r="M33" s="16">
        <v>0</v>
      </c>
      <c r="N33" s="18">
        <f t="shared" si="0"/>
        <v>1489645961.7716403</v>
      </c>
      <c r="O33" s="4"/>
    </row>
    <row r="34" spans="1:15" ht="15" x14ac:dyDescent="0.2">
      <c r="A34" s="17" t="s">
        <v>29</v>
      </c>
      <c r="B34" s="16">
        <v>1676907526.9199998</v>
      </c>
      <c r="C34" s="16">
        <v>0</v>
      </c>
      <c r="D34" s="16">
        <v>40541418.738247462</v>
      </c>
      <c r="E34" s="16">
        <v>17763083.43</v>
      </c>
      <c r="F34" s="16">
        <v>4602133.5</v>
      </c>
      <c r="G34" s="16">
        <v>4494975.6500000004</v>
      </c>
      <c r="H34" s="16">
        <v>91811818.959999993</v>
      </c>
      <c r="I34" s="16">
        <v>20024252.210000001</v>
      </c>
      <c r="J34" s="16">
        <v>94748549.280000031</v>
      </c>
      <c r="K34" s="16">
        <v>0</v>
      </c>
      <c r="L34" s="16">
        <v>0</v>
      </c>
      <c r="M34" s="16">
        <v>0</v>
      </c>
      <c r="N34" s="18">
        <f t="shared" si="0"/>
        <v>1950893758.6882474</v>
      </c>
      <c r="O34" s="4"/>
    </row>
    <row r="35" spans="1:15" ht="15" x14ac:dyDescent="0.2">
      <c r="A35" s="17" t="s">
        <v>30</v>
      </c>
      <c r="B35" s="16">
        <v>795095492.75</v>
      </c>
      <c r="C35" s="16">
        <v>0</v>
      </c>
      <c r="D35" s="16">
        <v>11844637.867870014</v>
      </c>
      <c r="E35" s="16">
        <v>6820467.29</v>
      </c>
      <c r="F35" s="16">
        <v>2877175.7</v>
      </c>
      <c r="G35" s="16">
        <v>1746809.85</v>
      </c>
      <c r="H35" s="16">
        <v>43532014.899999999</v>
      </c>
      <c r="I35" s="16">
        <v>12518822.390000001</v>
      </c>
      <c r="J35" s="16">
        <v>34052912.460000016</v>
      </c>
      <c r="K35" s="16">
        <v>0</v>
      </c>
      <c r="L35" s="16">
        <v>0</v>
      </c>
      <c r="M35" s="16">
        <v>0</v>
      </c>
      <c r="N35" s="18">
        <f t="shared" si="0"/>
        <v>908488333.20787001</v>
      </c>
      <c r="O35" s="4"/>
    </row>
    <row r="36" spans="1:15" ht="15" x14ac:dyDescent="0.2">
      <c r="A36" s="17" t="s">
        <v>31</v>
      </c>
      <c r="B36" s="16">
        <v>935294751.73999989</v>
      </c>
      <c r="C36" s="16">
        <v>0</v>
      </c>
      <c r="D36" s="16">
        <v>15644272.94794726</v>
      </c>
      <c r="E36" s="16">
        <v>8023120.8900000006</v>
      </c>
      <c r="F36" s="16">
        <v>1810307.27</v>
      </c>
      <c r="G36" s="16">
        <v>1012482.14</v>
      </c>
      <c r="H36" s="16">
        <v>51208018.960000001</v>
      </c>
      <c r="I36" s="16">
        <v>7876792.2300000004</v>
      </c>
      <c r="J36" s="16">
        <v>34294497.929999985</v>
      </c>
      <c r="K36" s="16">
        <v>0</v>
      </c>
      <c r="L36" s="16">
        <v>0</v>
      </c>
      <c r="M36" s="16">
        <v>0</v>
      </c>
      <c r="N36" s="18">
        <f t="shared" si="0"/>
        <v>1055164244.1079471</v>
      </c>
      <c r="O36" s="4"/>
    </row>
    <row r="37" spans="1:15" ht="15" x14ac:dyDescent="0.2">
      <c r="A37" s="17" t="s">
        <v>32</v>
      </c>
      <c r="B37" s="16">
        <v>971305973.51999998</v>
      </c>
      <c r="C37" s="16">
        <v>0</v>
      </c>
      <c r="D37" s="16">
        <v>21606893.915064286</v>
      </c>
      <c r="E37" s="16">
        <v>8332031.4100000001</v>
      </c>
      <c r="F37" s="16">
        <v>3357828.01</v>
      </c>
      <c r="G37" s="16">
        <v>1546538.65</v>
      </c>
      <c r="H37" s="16">
        <v>53179657.659999996</v>
      </c>
      <c r="I37" s="16">
        <v>14610179.140000001</v>
      </c>
      <c r="J37" s="16">
        <v>58211280.959999971</v>
      </c>
      <c r="K37" s="16">
        <v>0</v>
      </c>
      <c r="L37" s="16">
        <v>0</v>
      </c>
      <c r="M37" s="16">
        <v>0</v>
      </c>
      <c r="N37" s="18">
        <f t="shared" si="0"/>
        <v>1132150383.2650642</v>
      </c>
      <c r="O37" s="4"/>
    </row>
    <row r="38" spans="1:15" ht="15" x14ac:dyDescent="0.2">
      <c r="A38" s="17" t="s">
        <v>33</v>
      </c>
      <c r="B38" s="16">
        <v>849409055.96000004</v>
      </c>
      <c r="C38" s="16">
        <v>0</v>
      </c>
      <c r="D38" s="16">
        <v>4652084.807462696</v>
      </c>
      <c r="E38" s="16">
        <v>7286378.4699999997</v>
      </c>
      <c r="F38" s="16">
        <v>3000707.84</v>
      </c>
      <c r="G38" s="16">
        <v>4283578.28</v>
      </c>
      <c r="H38" s="16">
        <v>46505719.149999999</v>
      </c>
      <c r="I38" s="16">
        <v>13056320.619999999</v>
      </c>
      <c r="J38" s="16">
        <v>96060884.640000045</v>
      </c>
      <c r="K38" s="16">
        <v>0</v>
      </c>
      <c r="L38" s="16">
        <v>0</v>
      </c>
      <c r="M38" s="16">
        <v>0</v>
      </c>
      <c r="N38" s="18">
        <f t="shared" si="0"/>
        <v>1024254729.7674627</v>
      </c>
      <c r="O38" s="4"/>
    </row>
    <row r="39" spans="1:15" ht="15" x14ac:dyDescent="0.2">
      <c r="A39" s="17" t="s">
        <v>34</v>
      </c>
      <c r="B39" s="16">
        <v>1571010321.6300001</v>
      </c>
      <c r="C39" s="16">
        <v>0</v>
      </c>
      <c r="D39" s="16">
        <v>30865800.434061222</v>
      </c>
      <c r="E39" s="16">
        <v>13476399.51</v>
      </c>
      <c r="F39" s="16">
        <v>3822758.04</v>
      </c>
      <c r="G39" s="16">
        <v>2670282.5699999998</v>
      </c>
      <c r="H39" s="16">
        <v>86013875.5</v>
      </c>
      <c r="I39" s="16">
        <v>16633127.02</v>
      </c>
      <c r="J39" s="16">
        <v>83396648.790000007</v>
      </c>
      <c r="K39" s="16">
        <v>0</v>
      </c>
      <c r="L39" s="16">
        <v>0</v>
      </c>
      <c r="M39" s="16">
        <v>0</v>
      </c>
      <c r="N39" s="18">
        <f t="shared" si="0"/>
        <v>1807889213.4940612</v>
      </c>
      <c r="O39" s="4"/>
    </row>
    <row r="40" spans="1:15" ht="15" x14ac:dyDescent="0.2">
      <c r="A40" s="17" t="s">
        <v>35</v>
      </c>
      <c r="B40" s="16">
        <v>1106235297.6100001</v>
      </c>
      <c r="C40" s="16">
        <v>0</v>
      </c>
      <c r="D40" s="16">
        <v>24698507.981509782</v>
      </c>
      <c r="E40" s="16">
        <v>9489478.5999999996</v>
      </c>
      <c r="F40" s="16">
        <v>2041649.27</v>
      </c>
      <c r="G40" s="16">
        <v>1168248.6200000001</v>
      </c>
      <c r="H40" s="16">
        <v>60567129.219999999</v>
      </c>
      <c r="I40" s="16">
        <v>8883379.8200000003</v>
      </c>
      <c r="J40" s="16">
        <v>45944806.95000001</v>
      </c>
      <c r="K40" s="16">
        <v>0</v>
      </c>
      <c r="L40" s="16">
        <v>0</v>
      </c>
      <c r="M40" s="16">
        <v>0</v>
      </c>
      <c r="N40" s="18">
        <f t="shared" ref="N40:N71" si="1">SUM(B40:M40)</f>
        <v>1259028498.0715096</v>
      </c>
      <c r="O40" s="4"/>
    </row>
    <row r="41" spans="1:15" ht="15" x14ac:dyDescent="0.2">
      <c r="A41" s="17" t="s">
        <v>36</v>
      </c>
      <c r="B41" s="16">
        <v>1021132970.5799999</v>
      </c>
      <c r="C41" s="16">
        <v>0</v>
      </c>
      <c r="D41" s="16">
        <v>11066761.339596188</v>
      </c>
      <c r="E41" s="16">
        <v>8759456.0500000007</v>
      </c>
      <c r="F41" s="16">
        <v>3456653.71</v>
      </c>
      <c r="G41" s="16">
        <v>2036090.46</v>
      </c>
      <c r="H41" s="16">
        <v>55907719.380000003</v>
      </c>
      <c r="I41" s="16">
        <v>15040177.720000001</v>
      </c>
      <c r="J41" s="16">
        <v>47145413.280000001</v>
      </c>
      <c r="K41" s="16">
        <v>0</v>
      </c>
      <c r="L41" s="16">
        <v>0</v>
      </c>
      <c r="M41" s="16">
        <v>0</v>
      </c>
      <c r="N41" s="18">
        <f t="shared" si="1"/>
        <v>1164545242.5195961</v>
      </c>
      <c r="O41" s="4"/>
    </row>
    <row r="42" spans="1:15" ht="15" x14ac:dyDescent="0.2">
      <c r="A42" s="17" t="s">
        <v>37</v>
      </c>
      <c r="B42" s="16">
        <v>684925367.27999997</v>
      </c>
      <c r="C42" s="16">
        <v>0</v>
      </c>
      <c r="D42" s="16">
        <v>6904369.6739239292</v>
      </c>
      <c r="E42" s="16">
        <v>5875408.8100000005</v>
      </c>
      <c r="F42" s="16">
        <v>9388442.1899999995</v>
      </c>
      <c r="G42" s="16">
        <v>0</v>
      </c>
      <c r="H42" s="16">
        <v>37500126.170000002</v>
      </c>
      <c r="I42" s="16">
        <v>40849865.409999996</v>
      </c>
      <c r="J42" s="16">
        <v>71841509.670000032</v>
      </c>
      <c r="K42" s="16">
        <v>0</v>
      </c>
      <c r="L42" s="16">
        <v>0</v>
      </c>
      <c r="M42" s="16">
        <v>0</v>
      </c>
      <c r="N42" s="18">
        <f t="shared" si="1"/>
        <v>857285089.20392394</v>
      </c>
      <c r="O42" s="4"/>
    </row>
    <row r="43" spans="1:15" ht="15" x14ac:dyDescent="0.2">
      <c r="A43" s="17" t="s">
        <v>38</v>
      </c>
      <c r="B43" s="16">
        <v>3570855660.9300003</v>
      </c>
      <c r="C43" s="16">
        <v>0</v>
      </c>
      <c r="D43" s="16">
        <v>26938518.182109732</v>
      </c>
      <c r="E43" s="16">
        <v>30631420.32</v>
      </c>
      <c r="F43" s="16">
        <v>39040646.469999999</v>
      </c>
      <c r="G43" s="16">
        <v>16266471.300000001</v>
      </c>
      <c r="H43" s="16">
        <v>195506757.66</v>
      </c>
      <c r="I43" s="16">
        <v>169868985.78</v>
      </c>
      <c r="J43" s="16">
        <v>235281545.93999988</v>
      </c>
      <c r="K43" s="16">
        <v>0</v>
      </c>
      <c r="L43" s="16">
        <v>0</v>
      </c>
      <c r="M43" s="16">
        <v>0</v>
      </c>
      <c r="N43" s="18">
        <f t="shared" si="1"/>
        <v>4284390006.5821104</v>
      </c>
      <c r="O43" s="4"/>
    </row>
    <row r="44" spans="1:15" ht="15" x14ac:dyDescent="0.2">
      <c r="A44" s="17" t="s">
        <v>39</v>
      </c>
      <c r="B44" s="16">
        <v>3473290650.0299997</v>
      </c>
      <c r="C44" s="16">
        <v>0</v>
      </c>
      <c r="D44" s="16">
        <v>30817635.788187407</v>
      </c>
      <c r="E44" s="16">
        <v>29794490.699999999</v>
      </c>
      <c r="F44" s="16">
        <v>49123114.659999996</v>
      </c>
      <c r="G44" s="16">
        <v>29174712.309305586</v>
      </c>
      <c r="H44" s="16">
        <v>190165007.46000001</v>
      </c>
      <c r="I44" s="16">
        <v>213738613.97</v>
      </c>
      <c r="J44" s="16">
        <v>304254708.24000001</v>
      </c>
      <c r="K44" s="16">
        <v>0</v>
      </c>
      <c r="L44" s="16">
        <v>0</v>
      </c>
      <c r="M44" s="16">
        <v>0</v>
      </c>
      <c r="N44" s="18">
        <f t="shared" si="1"/>
        <v>4320358933.1574926</v>
      </c>
      <c r="O44" s="4"/>
    </row>
    <row r="45" spans="1:15" ht="15" x14ac:dyDescent="0.2">
      <c r="A45" s="17" t="s">
        <v>40</v>
      </c>
      <c r="B45" s="16">
        <v>972564111.13000011</v>
      </c>
      <c r="C45" s="16">
        <v>0</v>
      </c>
      <c r="D45" s="16">
        <v>8443284.8214558475</v>
      </c>
      <c r="E45" s="16">
        <v>8342823.9399999995</v>
      </c>
      <c r="F45" s="16">
        <v>3658797.21</v>
      </c>
      <c r="G45" s="16">
        <v>2547894.61</v>
      </c>
      <c r="H45" s="16">
        <v>53248541.539999999</v>
      </c>
      <c r="I45" s="16">
        <v>15919720.279999999</v>
      </c>
      <c r="J45" s="16">
        <v>45547916.609999985</v>
      </c>
      <c r="K45" s="16">
        <v>0</v>
      </c>
      <c r="L45" s="16">
        <v>0</v>
      </c>
      <c r="M45" s="16">
        <v>0</v>
      </c>
      <c r="N45" s="18">
        <f t="shared" si="1"/>
        <v>1110273090.1414559</v>
      </c>
      <c r="O45" s="4"/>
    </row>
    <row r="46" spans="1:15" ht="15" x14ac:dyDescent="0.2">
      <c r="A46" s="17" t="s">
        <v>41</v>
      </c>
      <c r="B46" s="16">
        <v>1537277990.6099999</v>
      </c>
      <c r="C46" s="16">
        <v>0</v>
      </c>
      <c r="D46" s="16">
        <v>25454911.208187405</v>
      </c>
      <c r="E46" s="16">
        <v>16284020.890000001</v>
      </c>
      <c r="F46" s="16">
        <v>28859352.579999998</v>
      </c>
      <c r="G46" s="16">
        <v>0</v>
      </c>
      <c r="H46" s="16">
        <v>84167007.609999999</v>
      </c>
      <c r="I46" s="16">
        <v>125569359.01000001</v>
      </c>
      <c r="J46" s="16">
        <v>192707779.53000009</v>
      </c>
      <c r="K46" s="16">
        <v>0</v>
      </c>
      <c r="L46" s="16">
        <v>0</v>
      </c>
      <c r="M46" s="16">
        <v>0</v>
      </c>
      <c r="N46" s="18">
        <f t="shared" si="1"/>
        <v>2010320421.4381871</v>
      </c>
      <c r="O46" s="4"/>
    </row>
    <row r="47" spans="1:15" ht="15" x14ac:dyDescent="0.2">
      <c r="A47" s="17" t="s">
        <v>42</v>
      </c>
      <c r="B47" s="16">
        <v>4669589609.8599997</v>
      </c>
      <c r="C47" s="16">
        <v>0</v>
      </c>
      <c r="D47" s="16">
        <v>35276148.483087592</v>
      </c>
      <c r="E47" s="16">
        <v>49463854.43</v>
      </c>
      <c r="F47" s="16">
        <v>89967330.299999997</v>
      </c>
      <c r="G47" s="16">
        <v>33759163.44486127</v>
      </c>
      <c r="H47" s="16">
        <v>255663182.97</v>
      </c>
      <c r="I47" s="16">
        <v>391455073.88999999</v>
      </c>
      <c r="J47" s="16">
        <v>463676164.56000018</v>
      </c>
      <c r="K47" s="16">
        <v>0</v>
      </c>
      <c r="L47" s="16">
        <v>0</v>
      </c>
      <c r="M47" s="16">
        <v>0</v>
      </c>
      <c r="N47" s="18">
        <f t="shared" si="1"/>
        <v>5988850527.9379501</v>
      </c>
      <c r="O47" s="4"/>
    </row>
    <row r="48" spans="1:15" ht="15" x14ac:dyDescent="0.2">
      <c r="A48" s="17" t="s">
        <v>43</v>
      </c>
      <c r="B48" s="16">
        <v>480917166.85000002</v>
      </c>
      <c r="C48" s="16">
        <v>0</v>
      </c>
      <c r="D48" s="16">
        <v>9197129.4760416858</v>
      </c>
      <c r="E48" s="16">
        <v>4125391.02</v>
      </c>
      <c r="F48" s="16">
        <v>781621.5</v>
      </c>
      <c r="G48" s="16">
        <v>689823</v>
      </c>
      <c r="H48" s="16">
        <v>26330539.489999998</v>
      </c>
      <c r="I48" s="16">
        <v>3400897.89</v>
      </c>
      <c r="J48" s="16">
        <v>24876849.690000005</v>
      </c>
      <c r="K48" s="16">
        <v>0</v>
      </c>
      <c r="L48" s="16">
        <v>0</v>
      </c>
      <c r="M48" s="16">
        <v>0</v>
      </c>
      <c r="N48" s="18">
        <f t="shared" si="1"/>
        <v>550319418.91604173</v>
      </c>
      <c r="O48" s="4"/>
    </row>
    <row r="49" spans="1:15" ht="15" x14ac:dyDescent="0.2">
      <c r="A49" s="17" t="s">
        <v>44</v>
      </c>
      <c r="B49" s="16">
        <v>841385461.43000007</v>
      </c>
      <c r="C49" s="16">
        <v>0</v>
      </c>
      <c r="D49" s="16">
        <v>15198008.682666579</v>
      </c>
      <c r="E49" s="16">
        <v>6164797.6200000001</v>
      </c>
      <c r="F49" s="16">
        <v>4615609.74</v>
      </c>
      <c r="G49" s="16">
        <v>2892806.11</v>
      </c>
      <c r="H49" s="16">
        <v>46066421.93</v>
      </c>
      <c r="I49" s="16">
        <v>20082888.379999999</v>
      </c>
      <c r="J49" s="16">
        <v>58550127.929999977</v>
      </c>
      <c r="K49" s="16">
        <v>0</v>
      </c>
      <c r="L49" s="16">
        <v>0</v>
      </c>
      <c r="M49" s="16">
        <v>0</v>
      </c>
      <c r="N49" s="18">
        <f t="shared" si="1"/>
        <v>994956121.82266653</v>
      </c>
      <c r="O49" s="4"/>
    </row>
    <row r="50" spans="1:15" ht="15" x14ac:dyDescent="0.2">
      <c r="A50" s="17" t="s">
        <v>45</v>
      </c>
      <c r="B50" s="16">
        <v>563313311.09000003</v>
      </c>
      <c r="C50" s="16">
        <v>0</v>
      </c>
      <c r="D50" s="16">
        <v>13728187.108047811</v>
      </c>
      <c r="E50" s="16">
        <v>4832199.46</v>
      </c>
      <c r="F50" s="16">
        <v>1293718.3500000001</v>
      </c>
      <c r="G50" s="16">
        <v>823337.12</v>
      </c>
      <c r="H50" s="16">
        <v>30841784.010000002</v>
      </c>
      <c r="I50" s="16">
        <v>5629072.3600000003</v>
      </c>
      <c r="J50" s="16">
        <v>42311090.219999999</v>
      </c>
      <c r="K50" s="16">
        <v>0</v>
      </c>
      <c r="L50" s="16">
        <v>0</v>
      </c>
      <c r="M50" s="16">
        <v>0</v>
      </c>
      <c r="N50" s="18">
        <f t="shared" si="1"/>
        <v>662772699.71804798</v>
      </c>
      <c r="O50" s="4"/>
    </row>
    <row r="51" spans="1:15" ht="15" x14ac:dyDescent="0.2">
      <c r="A51" s="17" t="s">
        <v>46</v>
      </c>
      <c r="B51" s="16">
        <v>540856741.66000009</v>
      </c>
      <c r="C51" s="16">
        <v>0</v>
      </c>
      <c r="D51" s="16">
        <v>12479477.420699805</v>
      </c>
      <c r="E51" s="16">
        <v>4639563.1099999994</v>
      </c>
      <c r="F51" s="16">
        <v>1612655.86</v>
      </c>
      <c r="G51" s="16">
        <v>1034734.49</v>
      </c>
      <c r="H51" s="16">
        <v>29612271.670000002</v>
      </c>
      <c r="I51" s="16">
        <v>7016795.0599999996</v>
      </c>
      <c r="J51" s="16">
        <v>29353849.350000009</v>
      </c>
      <c r="K51" s="16">
        <v>0</v>
      </c>
      <c r="L51" s="16">
        <v>0</v>
      </c>
      <c r="M51" s="16">
        <v>0</v>
      </c>
      <c r="N51" s="18">
        <f t="shared" si="1"/>
        <v>626606088.62069988</v>
      </c>
      <c r="O51" s="4"/>
    </row>
    <row r="52" spans="1:15" ht="15" x14ac:dyDescent="0.2">
      <c r="A52" s="17" t="s">
        <v>47</v>
      </c>
      <c r="B52" s="16">
        <v>651596589.81000006</v>
      </c>
      <c r="C52" s="16">
        <v>0</v>
      </c>
      <c r="D52" s="16">
        <v>13751604.144696014</v>
      </c>
      <c r="E52" s="16">
        <v>5589508.7699999996</v>
      </c>
      <c r="F52" s="16">
        <v>1484631.64</v>
      </c>
      <c r="G52" s="16">
        <v>1324015.1100000001</v>
      </c>
      <c r="H52" s="16">
        <v>35675353.109999999</v>
      </c>
      <c r="I52" s="16">
        <v>6459751.4400000004</v>
      </c>
      <c r="J52" s="16">
        <v>37626320.13000001</v>
      </c>
      <c r="K52" s="16">
        <v>0</v>
      </c>
      <c r="L52" s="16">
        <v>0</v>
      </c>
      <c r="M52" s="16">
        <v>0</v>
      </c>
      <c r="N52" s="18">
        <f t="shared" si="1"/>
        <v>753507774.15469611</v>
      </c>
      <c r="O52" s="4"/>
    </row>
    <row r="53" spans="1:15" ht="15" x14ac:dyDescent="0.2">
      <c r="A53" s="17" t="s">
        <v>48</v>
      </c>
      <c r="B53" s="16">
        <v>233681257.19999999</v>
      </c>
      <c r="C53" s="16">
        <v>0</v>
      </c>
      <c r="D53" s="16">
        <v>11390482.959348017</v>
      </c>
      <c r="E53" s="16">
        <v>2004558.4300000002</v>
      </c>
      <c r="F53" s="16">
        <v>258294.46</v>
      </c>
      <c r="G53" s="16">
        <v>200271.19</v>
      </c>
      <c r="H53" s="16">
        <v>12794206.560000001</v>
      </c>
      <c r="I53" s="16">
        <v>1123859.93</v>
      </c>
      <c r="J53" s="16">
        <v>19899074.160000011</v>
      </c>
      <c r="K53" s="16">
        <v>0</v>
      </c>
      <c r="L53" s="16">
        <v>0</v>
      </c>
      <c r="M53" s="16">
        <v>0</v>
      </c>
      <c r="N53" s="18">
        <f t="shared" si="1"/>
        <v>281352004.88934803</v>
      </c>
      <c r="O53" s="4"/>
    </row>
    <row r="54" spans="1:15" ht="15" x14ac:dyDescent="0.2">
      <c r="A54" s="17" t="s">
        <v>49</v>
      </c>
      <c r="B54" s="16">
        <v>845563427.84000015</v>
      </c>
      <c r="C54" s="16">
        <v>0</v>
      </c>
      <c r="D54" s="16">
        <v>16247539.694517065</v>
      </c>
      <c r="E54" s="16">
        <v>7253390</v>
      </c>
      <c r="F54" s="16">
        <v>887185.32</v>
      </c>
      <c r="G54" s="16">
        <v>734327.71</v>
      </c>
      <c r="H54" s="16">
        <v>46295168.409999996</v>
      </c>
      <c r="I54" s="16">
        <v>3860214.55</v>
      </c>
      <c r="J54" s="16">
        <v>45525431.489999995</v>
      </c>
      <c r="K54" s="16">
        <v>0</v>
      </c>
      <c r="L54" s="16">
        <v>0</v>
      </c>
      <c r="M54" s="16">
        <v>0</v>
      </c>
      <c r="N54" s="18">
        <f t="shared" si="1"/>
        <v>966366685.01451719</v>
      </c>
      <c r="O54" s="4"/>
    </row>
    <row r="55" spans="1:15" ht="15" x14ac:dyDescent="0.2">
      <c r="A55" s="17" t="s">
        <v>50</v>
      </c>
      <c r="B55" s="16">
        <v>390853504.66999996</v>
      </c>
      <c r="C55" s="16">
        <v>0</v>
      </c>
      <c r="D55" s="16">
        <v>6700351.058409214</v>
      </c>
      <c r="E55" s="16">
        <v>3352809.28</v>
      </c>
      <c r="F55" s="16">
        <v>1637362.28</v>
      </c>
      <c r="G55" s="16">
        <v>1145996.27</v>
      </c>
      <c r="H55" s="16">
        <v>21399493.199999999</v>
      </c>
      <c r="I55" s="16">
        <v>7124294.71</v>
      </c>
      <c r="J55" s="16">
        <v>32140622.640000001</v>
      </c>
      <c r="K55" s="16">
        <v>0</v>
      </c>
      <c r="L55" s="16">
        <v>0</v>
      </c>
      <c r="M55" s="16">
        <v>0</v>
      </c>
      <c r="N55" s="18">
        <f t="shared" si="1"/>
        <v>464354434.10840905</v>
      </c>
      <c r="O55" s="4"/>
    </row>
    <row r="56" spans="1:15" ht="15" x14ac:dyDescent="0.2">
      <c r="A56" s="17" t="s">
        <v>51</v>
      </c>
      <c r="B56" s="16">
        <v>286356867.70999998</v>
      </c>
      <c r="C56" s="16">
        <v>0</v>
      </c>
      <c r="D56" s="16">
        <v>6015859.538876133</v>
      </c>
      <c r="E56" s="16">
        <v>2456418.9699999997</v>
      </c>
      <c r="F56" s="16">
        <v>462683.99</v>
      </c>
      <c r="G56" s="16">
        <v>311532.96999999997</v>
      </c>
      <c r="H56" s="16">
        <v>15678231.789999999</v>
      </c>
      <c r="I56" s="16">
        <v>2013175.19</v>
      </c>
      <c r="J56" s="16">
        <v>26532215.220000003</v>
      </c>
      <c r="K56" s="16">
        <v>0</v>
      </c>
      <c r="L56" s="16">
        <v>0</v>
      </c>
      <c r="M56" s="16">
        <v>0</v>
      </c>
      <c r="N56" s="18">
        <f t="shared" si="1"/>
        <v>339826985.37887621</v>
      </c>
      <c r="O56" s="4"/>
    </row>
    <row r="57" spans="1:15" ht="15" x14ac:dyDescent="0.2">
      <c r="A57" s="17" t="s">
        <v>52</v>
      </c>
      <c r="B57" s="16">
        <v>739357622.76999998</v>
      </c>
      <c r="C57" s="16">
        <v>0</v>
      </c>
      <c r="D57" s="16">
        <v>14037710.899126211</v>
      </c>
      <c r="E57" s="16">
        <v>6342338.1600000001</v>
      </c>
      <c r="F57" s="16">
        <v>2376309.0499999998</v>
      </c>
      <c r="G57" s="16">
        <v>1435276.88</v>
      </c>
      <c r="H57" s="16">
        <v>40480328.890000001</v>
      </c>
      <c r="I57" s="16">
        <v>10339511.390000001</v>
      </c>
      <c r="J57" s="16">
        <v>56649167.820000023</v>
      </c>
      <c r="K57" s="16">
        <v>0</v>
      </c>
      <c r="L57" s="16">
        <v>0</v>
      </c>
      <c r="M57" s="16">
        <v>0</v>
      </c>
      <c r="N57" s="18">
        <f t="shared" si="1"/>
        <v>871018265.85912609</v>
      </c>
      <c r="O57" s="4"/>
    </row>
    <row r="58" spans="1:15" ht="15" x14ac:dyDescent="0.2">
      <c r="A58" s="17" t="s">
        <v>53</v>
      </c>
      <c r="B58" s="16">
        <v>658765600.36999989</v>
      </c>
      <c r="C58" s="16">
        <v>0</v>
      </c>
      <c r="D58" s="16">
        <v>6523946.8857304053</v>
      </c>
      <c r="E58" s="16">
        <v>5651005.7799999993</v>
      </c>
      <c r="F58" s="16">
        <v>1383559.9</v>
      </c>
      <c r="G58" s="16">
        <v>901220.37</v>
      </c>
      <c r="H58" s="16">
        <v>36067861.270000003</v>
      </c>
      <c r="I58" s="16">
        <v>6019980.1699999999</v>
      </c>
      <c r="J58" s="16">
        <v>32058525.449999988</v>
      </c>
      <c r="K58" s="16">
        <v>0</v>
      </c>
      <c r="L58" s="16">
        <v>0</v>
      </c>
      <c r="M58" s="16">
        <v>0</v>
      </c>
      <c r="N58" s="18">
        <f t="shared" si="1"/>
        <v>747371700.19573021</v>
      </c>
      <c r="O58" s="4"/>
    </row>
    <row r="59" spans="1:15" ht="15" x14ac:dyDescent="0.2">
      <c r="A59" s="17" t="s">
        <v>54</v>
      </c>
      <c r="B59" s="16">
        <v>730645613.25</v>
      </c>
      <c r="C59" s="16">
        <v>0</v>
      </c>
      <c r="D59" s="16">
        <v>13559673.912583219</v>
      </c>
      <c r="E59" s="16">
        <v>6267605.0299999993</v>
      </c>
      <c r="F59" s="16">
        <v>1347623.28</v>
      </c>
      <c r="G59" s="16">
        <v>823337.12</v>
      </c>
      <c r="H59" s="16">
        <v>40003340.490000002</v>
      </c>
      <c r="I59" s="16">
        <v>5863617.04</v>
      </c>
      <c r="J59" s="16">
        <v>35856610.859999992</v>
      </c>
      <c r="K59" s="16">
        <v>0</v>
      </c>
      <c r="L59" s="16">
        <v>0</v>
      </c>
      <c r="M59" s="16">
        <v>0</v>
      </c>
      <c r="N59" s="18">
        <f t="shared" si="1"/>
        <v>834367420.98258317</v>
      </c>
      <c r="O59" s="4"/>
    </row>
    <row r="60" spans="1:15" ht="15" x14ac:dyDescent="0.2">
      <c r="A60" s="17" t="s">
        <v>55</v>
      </c>
      <c r="B60" s="16">
        <v>5093154692.5200005</v>
      </c>
      <c r="C60" s="16">
        <v>0</v>
      </c>
      <c r="D60" s="16">
        <v>203720601.15395412</v>
      </c>
      <c r="E60" s="16">
        <v>73692227.930000007</v>
      </c>
      <c r="F60" s="16">
        <v>74130510.689999998</v>
      </c>
      <c r="G60" s="16">
        <v>42357357.190000005</v>
      </c>
      <c r="H60" s="16">
        <v>278853657.13999999</v>
      </c>
      <c r="I60" s="16">
        <v>322547800.92000002</v>
      </c>
      <c r="J60" s="16">
        <v>599363334.14999974</v>
      </c>
      <c r="K60" s="16">
        <v>0</v>
      </c>
      <c r="L60" s="16">
        <v>0</v>
      </c>
      <c r="M60" s="16">
        <v>0</v>
      </c>
      <c r="N60" s="18">
        <f t="shared" si="1"/>
        <v>6687820181.6939545</v>
      </c>
      <c r="O60" s="4"/>
    </row>
    <row r="61" spans="1:15" ht="15" x14ac:dyDescent="0.2">
      <c r="A61" s="17" t="s">
        <v>56</v>
      </c>
      <c r="B61" s="16">
        <v>1083375174.6199999</v>
      </c>
      <c r="C61" s="16">
        <v>0</v>
      </c>
      <c r="D61" s="16">
        <v>15688288.118965607</v>
      </c>
      <c r="E61" s="16">
        <v>9293380.4900000002</v>
      </c>
      <c r="F61" s="16">
        <v>13233660.619999999</v>
      </c>
      <c r="G61" s="16">
        <v>4219744.9761949619</v>
      </c>
      <c r="H61" s="16">
        <v>59315522.060000002</v>
      </c>
      <c r="I61" s="16">
        <v>57580719.380000003</v>
      </c>
      <c r="J61" s="16">
        <v>148406310.98999998</v>
      </c>
      <c r="K61" s="16">
        <v>0</v>
      </c>
      <c r="L61" s="16">
        <v>0</v>
      </c>
      <c r="M61" s="16">
        <v>0</v>
      </c>
      <c r="N61" s="18">
        <f t="shared" si="1"/>
        <v>1391112801.2551603</v>
      </c>
      <c r="O61" s="4"/>
    </row>
    <row r="62" spans="1:15" ht="15" x14ac:dyDescent="0.2">
      <c r="A62" s="17" t="s">
        <v>57</v>
      </c>
      <c r="B62" s="16">
        <v>5829877347.9200001</v>
      </c>
      <c r="C62" s="16">
        <v>0</v>
      </c>
      <c r="D62" s="16">
        <v>61323564.650000006</v>
      </c>
      <c r="E62" s="16">
        <v>61754507.059999995</v>
      </c>
      <c r="F62" s="16">
        <v>59338099.140000001</v>
      </c>
      <c r="G62" s="16">
        <v>0</v>
      </c>
      <c r="H62" s="16">
        <v>319189719.79000002</v>
      </c>
      <c r="I62" s="16">
        <v>258184831.16999999</v>
      </c>
      <c r="J62" s="16">
        <v>295116469.41000009</v>
      </c>
      <c r="K62" s="16">
        <v>0</v>
      </c>
      <c r="L62" s="16">
        <v>0</v>
      </c>
      <c r="M62" s="16">
        <v>0</v>
      </c>
      <c r="N62" s="18">
        <f t="shared" si="1"/>
        <v>6884784539.1400003</v>
      </c>
      <c r="O62" s="4"/>
    </row>
    <row r="63" spans="1:15" ht="15" x14ac:dyDescent="0.2">
      <c r="A63" s="17" t="s">
        <v>58</v>
      </c>
      <c r="B63" s="16">
        <v>947947343.17000008</v>
      </c>
      <c r="C63" s="16">
        <v>0</v>
      </c>
      <c r="D63" s="16">
        <v>20658823.906757224</v>
      </c>
      <c r="E63" s="16">
        <v>8131657.0199999996</v>
      </c>
      <c r="F63" s="16">
        <v>2091062.12</v>
      </c>
      <c r="G63" s="16">
        <v>1435276.88</v>
      </c>
      <c r="H63" s="16">
        <v>51900756.880000003</v>
      </c>
      <c r="I63" s="16">
        <v>9098379.1099999994</v>
      </c>
      <c r="J63" s="16">
        <v>39602230.920000009</v>
      </c>
      <c r="K63" s="16">
        <v>0</v>
      </c>
      <c r="L63" s="16">
        <v>0</v>
      </c>
      <c r="M63" s="16">
        <v>0</v>
      </c>
      <c r="N63" s="18">
        <f t="shared" si="1"/>
        <v>1080865530.0067573</v>
      </c>
      <c r="O63" s="4"/>
    </row>
    <row r="64" spans="1:15" ht="15" x14ac:dyDescent="0.2">
      <c r="A64" s="17" t="s">
        <v>59</v>
      </c>
      <c r="B64" s="16">
        <v>1436555766.4099998</v>
      </c>
      <c r="C64" s="16">
        <v>0</v>
      </c>
      <c r="D64" s="16">
        <v>35984339.977237135</v>
      </c>
      <c r="E64" s="16">
        <v>12323024.98</v>
      </c>
      <c r="F64" s="16">
        <v>3827250.12</v>
      </c>
      <c r="G64" s="16">
        <v>2236361.65</v>
      </c>
      <c r="H64" s="16">
        <v>78652397.849999994</v>
      </c>
      <c r="I64" s="16">
        <v>16652672.41</v>
      </c>
      <c r="J64" s="16">
        <v>83951284.200000033</v>
      </c>
      <c r="K64" s="16">
        <v>0</v>
      </c>
      <c r="L64" s="16">
        <v>0</v>
      </c>
      <c r="M64" s="16">
        <v>0</v>
      </c>
      <c r="N64" s="18">
        <f t="shared" si="1"/>
        <v>1670183097.5972371</v>
      </c>
      <c r="O64" s="4"/>
    </row>
    <row r="65" spans="1:15" ht="15" x14ac:dyDescent="0.2">
      <c r="A65" s="17" t="s">
        <v>60</v>
      </c>
      <c r="B65" s="16">
        <v>794074739.55000007</v>
      </c>
      <c r="C65" s="16">
        <v>0</v>
      </c>
      <c r="D65" s="16">
        <v>15230199.841699809</v>
      </c>
      <c r="E65" s="16">
        <v>6811711.0899999999</v>
      </c>
      <c r="F65" s="16">
        <v>833280.39</v>
      </c>
      <c r="G65" s="16">
        <v>745453.88</v>
      </c>
      <c r="H65" s="16">
        <v>43476127.969999999</v>
      </c>
      <c r="I65" s="16">
        <v>3625669.87</v>
      </c>
      <c r="J65" s="16">
        <v>50073547.230000004</v>
      </c>
      <c r="K65" s="16">
        <v>0</v>
      </c>
      <c r="L65" s="16">
        <v>0</v>
      </c>
      <c r="M65" s="16">
        <v>0</v>
      </c>
      <c r="N65" s="18">
        <f t="shared" si="1"/>
        <v>914870729.82169998</v>
      </c>
      <c r="O65" s="4"/>
    </row>
    <row r="66" spans="1:15" ht="15" x14ac:dyDescent="0.2">
      <c r="A66" s="17" t="s">
        <v>61</v>
      </c>
      <c r="B66" s="16">
        <v>455327122.61000007</v>
      </c>
      <c r="C66" s="16">
        <v>0</v>
      </c>
      <c r="D66" s="16">
        <v>6447983.3996826066</v>
      </c>
      <c r="E66" s="16">
        <v>3905875.17</v>
      </c>
      <c r="F66" s="16">
        <v>815312.08</v>
      </c>
      <c r="G66" s="16">
        <v>678696.82</v>
      </c>
      <c r="H66" s="16">
        <v>24929467.300000001</v>
      </c>
      <c r="I66" s="16">
        <v>3547488.31</v>
      </c>
      <c r="J66" s="16">
        <v>22227776.550000008</v>
      </c>
      <c r="K66" s="16">
        <v>0</v>
      </c>
      <c r="L66" s="16">
        <v>0</v>
      </c>
      <c r="M66" s="16">
        <v>0</v>
      </c>
      <c r="N66" s="18">
        <f t="shared" si="1"/>
        <v>517879722.23968267</v>
      </c>
      <c r="O66" s="4"/>
    </row>
    <row r="67" spans="1:15" ht="15" x14ac:dyDescent="0.2">
      <c r="A67" s="17" t="s">
        <v>62</v>
      </c>
      <c r="B67" s="16">
        <v>2030396718.5300002</v>
      </c>
      <c r="C67" s="16">
        <v>0</v>
      </c>
      <c r="D67" s="16">
        <v>16103830.570000002</v>
      </c>
      <c r="E67" s="16">
        <v>21507510.530000001</v>
      </c>
      <c r="F67" s="16">
        <v>21907862.48</v>
      </c>
      <c r="G67" s="16">
        <v>14346478.679053908</v>
      </c>
      <c r="H67" s="16">
        <v>111165590.8</v>
      </c>
      <c r="I67" s="16">
        <v>95322867.75</v>
      </c>
      <c r="J67" s="16">
        <v>143215884.63</v>
      </c>
      <c r="K67" s="16">
        <v>0</v>
      </c>
      <c r="L67" s="16">
        <v>0</v>
      </c>
      <c r="M67" s="16">
        <v>0</v>
      </c>
      <c r="N67" s="18">
        <f t="shared" si="1"/>
        <v>2453966743.9690542</v>
      </c>
      <c r="O67" s="4"/>
    </row>
    <row r="68" spans="1:15" ht="15" x14ac:dyDescent="0.2">
      <c r="A68" s="17" t="s">
        <v>63</v>
      </c>
      <c r="B68" s="16">
        <v>1286457575.6600001</v>
      </c>
      <c r="C68" s="16">
        <v>0</v>
      </c>
      <c r="D68" s="16">
        <v>27255742.030000001</v>
      </c>
      <c r="E68" s="16">
        <v>11035456.620000001</v>
      </c>
      <c r="F68" s="16">
        <v>19320425.780000001</v>
      </c>
      <c r="G68" s="16">
        <v>14061430.774168555</v>
      </c>
      <c r="H68" s="16">
        <v>70434420.590000004</v>
      </c>
      <c r="I68" s="16">
        <v>84064723.030000001</v>
      </c>
      <c r="J68" s="16">
        <v>120278516.40000005</v>
      </c>
      <c r="K68" s="16">
        <v>0</v>
      </c>
      <c r="L68" s="16">
        <v>0</v>
      </c>
      <c r="M68" s="16">
        <v>0</v>
      </c>
      <c r="N68" s="18">
        <f t="shared" si="1"/>
        <v>1632908290.8841684</v>
      </c>
      <c r="O68" s="4"/>
    </row>
    <row r="69" spans="1:15" ht="15" x14ac:dyDescent="0.2">
      <c r="A69" s="17" t="s">
        <v>64</v>
      </c>
      <c r="B69" s="16">
        <v>4436335644.6300001</v>
      </c>
      <c r="C69" s="16">
        <v>0</v>
      </c>
      <c r="D69" s="16">
        <v>21561031.393457007</v>
      </c>
      <c r="E69" s="16">
        <v>38055658.009999998</v>
      </c>
      <c r="F69" s="16">
        <v>57020187.090000004</v>
      </c>
      <c r="G69" s="16">
        <v>12414013.820331022</v>
      </c>
      <c r="H69" s="16">
        <v>242892370.94</v>
      </c>
      <c r="I69" s="16">
        <v>248099409.84999999</v>
      </c>
      <c r="J69" s="16">
        <v>280871295.81000012</v>
      </c>
      <c r="K69" s="16">
        <v>0</v>
      </c>
      <c r="L69" s="16">
        <v>0</v>
      </c>
      <c r="M69" s="16">
        <v>0</v>
      </c>
      <c r="N69" s="18">
        <f t="shared" si="1"/>
        <v>5337249611.5437889</v>
      </c>
      <c r="O69" s="4"/>
    </row>
    <row r="70" spans="1:15" ht="15" x14ac:dyDescent="0.2">
      <c r="A70" s="17" t="s">
        <v>65</v>
      </c>
      <c r="B70" s="16">
        <v>928742940.76999998</v>
      </c>
      <c r="C70" s="16">
        <v>0</v>
      </c>
      <c r="D70" s="16">
        <v>38939523.64982105</v>
      </c>
      <c r="E70" s="16">
        <v>7966918.3300000001</v>
      </c>
      <c r="F70" s="16">
        <v>12663166.77</v>
      </c>
      <c r="G70" s="16">
        <v>6586697</v>
      </c>
      <c r="H70" s="16">
        <v>50849302.890000001</v>
      </c>
      <c r="I70" s="16">
        <v>55098454.829999998</v>
      </c>
      <c r="J70" s="16">
        <v>119387474.01000004</v>
      </c>
      <c r="K70" s="16">
        <v>0</v>
      </c>
      <c r="L70" s="16">
        <v>0</v>
      </c>
      <c r="M70" s="16">
        <v>0</v>
      </c>
      <c r="N70" s="18">
        <f t="shared" si="1"/>
        <v>1220234478.2498209</v>
      </c>
      <c r="O70" s="4"/>
    </row>
    <row r="71" spans="1:15" ht="15" x14ac:dyDescent="0.2">
      <c r="A71" s="17" t="s">
        <v>66</v>
      </c>
      <c r="B71" s="16">
        <v>3598202350.1100001</v>
      </c>
      <c r="C71" s="16">
        <v>0</v>
      </c>
      <c r="D71" s="16">
        <v>17299802.07</v>
      </c>
      <c r="E71" s="16">
        <v>22691901.050000001</v>
      </c>
      <c r="F71" s="16">
        <v>7973437.75</v>
      </c>
      <c r="G71" s="16">
        <v>6397551.9800000004</v>
      </c>
      <c r="H71" s="16">
        <v>197004007.34999999</v>
      </c>
      <c r="I71" s="16">
        <v>34693067.509999998</v>
      </c>
      <c r="J71" s="16">
        <v>99779138.76000002</v>
      </c>
      <c r="K71" s="16">
        <v>0</v>
      </c>
      <c r="L71" s="16">
        <v>0</v>
      </c>
      <c r="M71" s="16">
        <v>0</v>
      </c>
      <c r="N71" s="18">
        <f t="shared" si="1"/>
        <v>3984041256.5800009</v>
      </c>
      <c r="O71" s="4"/>
    </row>
    <row r="72" spans="1:15" ht="15" x14ac:dyDescent="0.2">
      <c r="A72" s="17" t="s">
        <v>67</v>
      </c>
      <c r="B72" s="16">
        <v>16763211873.930004</v>
      </c>
      <c r="C72" s="16">
        <v>0</v>
      </c>
      <c r="D72" s="16">
        <v>115724534.61702564</v>
      </c>
      <c r="E72" s="16">
        <v>177568724.70999998</v>
      </c>
      <c r="F72" s="16">
        <v>232004578.84999999</v>
      </c>
      <c r="G72" s="16">
        <v>0</v>
      </c>
      <c r="H72" s="16">
        <v>917797164.75</v>
      </c>
      <c r="I72" s="16">
        <v>1009470537.6900001</v>
      </c>
      <c r="J72" s="16">
        <v>1461861654.54</v>
      </c>
      <c r="K72" s="16">
        <v>0</v>
      </c>
      <c r="L72" s="16">
        <v>0</v>
      </c>
      <c r="M72" s="16">
        <v>0</v>
      </c>
      <c r="N72" s="18">
        <f t="shared" ref="N72:N103" si="2">SUM(B72:M72)</f>
        <v>20677639069.087029</v>
      </c>
      <c r="O72" s="4"/>
    </row>
    <row r="73" spans="1:15" ht="15" x14ac:dyDescent="0.2">
      <c r="A73" s="17" t="s">
        <v>68</v>
      </c>
      <c r="B73" s="16">
        <v>7253282015.6899996</v>
      </c>
      <c r="C73" s="16">
        <v>0</v>
      </c>
      <c r="D73" s="16">
        <v>172046937.36098891</v>
      </c>
      <c r="E73" s="16">
        <v>76832294.859999999</v>
      </c>
      <c r="F73" s="16">
        <v>86113127.709999993</v>
      </c>
      <c r="G73" s="16">
        <v>56391668.452624761</v>
      </c>
      <c r="H73" s="16">
        <v>397122086.10000002</v>
      </c>
      <c r="I73" s="16">
        <v>374685129.14999998</v>
      </c>
      <c r="J73" s="16">
        <v>636776828.93999982</v>
      </c>
      <c r="K73" s="16">
        <v>0</v>
      </c>
      <c r="L73" s="16">
        <v>0</v>
      </c>
      <c r="M73" s="16">
        <v>0</v>
      </c>
      <c r="N73" s="18">
        <f t="shared" si="2"/>
        <v>9053250088.2636127</v>
      </c>
      <c r="O73" s="4"/>
    </row>
    <row r="74" spans="1:15" ht="15" x14ac:dyDescent="0.2">
      <c r="A74" s="17" t="s">
        <v>69</v>
      </c>
      <c r="B74" s="16">
        <v>4040568281.5900002</v>
      </c>
      <c r="C74" s="16">
        <v>0</v>
      </c>
      <c r="D74" s="16">
        <v>46883136.18</v>
      </c>
      <c r="E74" s="16">
        <v>42800780.799999997</v>
      </c>
      <c r="F74" s="16">
        <v>62520736.119999997</v>
      </c>
      <c r="G74" s="16">
        <v>99742800.815651491</v>
      </c>
      <c r="H74" s="16">
        <v>221223840.68000001</v>
      </c>
      <c r="I74" s="16">
        <v>272032740.08999997</v>
      </c>
      <c r="J74" s="16">
        <v>341597958.66000003</v>
      </c>
      <c r="K74" s="16">
        <v>0</v>
      </c>
      <c r="L74" s="16">
        <v>0</v>
      </c>
      <c r="M74" s="16">
        <v>0</v>
      </c>
      <c r="N74" s="18">
        <f t="shared" si="2"/>
        <v>5127370274.9356518</v>
      </c>
      <c r="O74" s="4"/>
    </row>
    <row r="75" spans="1:15" ht="15" x14ac:dyDescent="0.2">
      <c r="A75" s="17" t="s">
        <v>70</v>
      </c>
      <c r="B75" s="16">
        <v>658005970.11000001</v>
      </c>
      <c r="C75" s="16">
        <v>0</v>
      </c>
      <c r="D75" s="16">
        <v>16133414.153441725</v>
      </c>
      <c r="E75" s="16">
        <v>5644489.5399999991</v>
      </c>
      <c r="F75" s="16">
        <v>1136495.6299999999</v>
      </c>
      <c r="G75" s="16">
        <v>734327.71</v>
      </c>
      <c r="H75" s="16">
        <v>36026271</v>
      </c>
      <c r="I75" s="16">
        <v>4944983.71</v>
      </c>
      <c r="J75" s="16">
        <v>38496445.890000008</v>
      </c>
      <c r="K75" s="16">
        <v>0</v>
      </c>
      <c r="L75" s="16">
        <v>0</v>
      </c>
      <c r="M75" s="16">
        <v>0</v>
      </c>
      <c r="N75" s="18">
        <f t="shared" si="2"/>
        <v>761122397.7434417</v>
      </c>
      <c r="O75" s="4"/>
    </row>
    <row r="76" spans="1:15" ht="15" x14ac:dyDescent="0.2">
      <c r="A76" s="17" t="s">
        <v>71</v>
      </c>
      <c r="B76" s="16">
        <v>655584648.66000009</v>
      </c>
      <c r="C76" s="16">
        <v>0</v>
      </c>
      <c r="D76" s="16">
        <v>18453539.982761018</v>
      </c>
      <c r="E76" s="16">
        <v>5623719.0399999991</v>
      </c>
      <c r="F76" s="16">
        <v>2046141.34</v>
      </c>
      <c r="G76" s="16">
        <v>1724557.49</v>
      </c>
      <c r="H76" s="16">
        <v>35893702.020000003</v>
      </c>
      <c r="I76" s="16">
        <v>8902925.2100000009</v>
      </c>
      <c r="J76" s="16">
        <v>57165108</v>
      </c>
      <c r="K76" s="16">
        <v>0</v>
      </c>
      <c r="L76" s="16">
        <v>0</v>
      </c>
      <c r="M76" s="16">
        <v>0</v>
      </c>
      <c r="N76" s="18">
        <f t="shared" si="2"/>
        <v>785394341.74276114</v>
      </c>
      <c r="O76" s="4"/>
    </row>
    <row r="77" spans="1:15" ht="15" x14ac:dyDescent="0.2">
      <c r="A77" s="17" t="s">
        <v>72</v>
      </c>
      <c r="B77" s="16">
        <v>767131603.95000005</v>
      </c>
      <c r="C77" s="16">
        <v>0</v>
      </c>
      <c r="D77" s="16">
        <v>13562094.104298316</v>
      </c>
      <c r="E77" s="16">
        <v>6580588.1899999995</v>
      </c>
      <c r="F77" s="16">
        <v>2403261.5099999998</v>
      </c>
      <c r="G77" s="16">
        <v>1101491.56</v>
      </c>
      <c r="H77" s="16">
        <v>42000973.109999999</v>
      </c>
      <c r="I77" s="16">
        <v>10456783.73</v>
      </c>
      <c r="J77" s="16">
        <v>38842962.479999989</v>
      </c>
      <c r="K77" s="16">
        <v>0</v>
      </c>
      <c r="L77" s="16">
        <v>0</v>
      </c>
      <c r="M77" s="16">
        <v>0</v>
      </c>
      <c r="N77" s="18">
        <f t="shared" si="2"/>
        <v>882079758.63429844</v>
      </c>
      <c r="O77" s="4"/>
    </row>
    <row r="78" spans="1:15" ht="15" x14ac:dyDescent="0.2">
      <c r="A78" s="17" t="s">
        <v>73</v>
      </c>
      <c r="B78" s="16">
        <v>297846275.30000001</v>
      </c>
      <c r="C78" s="16">
        <v>0</v>
      </c>
      <c r="D78" s="16">
        <v>4389808.1607468696</v>
      </c>
      <c r="E78" s="16">
        <v>2554977.0999999996</v>
      </c>
      <c r="F78" s="16">
        <v>853494.74</v>
      </c>
      <c r="G78" s="16">
        <v>389416.21</v>
      </c>
      <c r="H78" s="16">
        <v>16307284.619999999</v>
      </c>
      <c r="I78" s="16">
        <v>3713624.13</v>
      </c>
      <c r="J78" s="16">
        <v>16657715.970000004</v>
      </c>
      <c r="K78" s="16">
        <v>0</v>
      </c>
      <c r="L78" s="16">
        <v>0</v>
      </c>
      <c r="M78" s="16">
        <v>0</v>
      </c>
      <c r="N78" s="18">
        <f t="shared" si="2"/>
        <v>342712596.23074692</v>
      </c>
      <c r="O78" s="4"/>
    </row>
    <row r="79" spans="1:15" ht="15" x14ac:dyDescent="0.2">
      <c r="A79" s="17" t="s">
        <v>74</v>
      </c>
      <c r="B79" s="16">
        <v>1447499189.8099999</v>
      </c>
      <c r="C79" s="16">
        <v>0</v>
      </c>
      <c r="D79" s="16">
        <v>41467797.322423376</v>
      </c>
      <c r="E79" s="16">
        <v>12416899.560000001</v>
      </c>
      <c r="F79" s="16">
        <v>4289934.1100000003</v>
      </c>
      <c r="G79" s="16">
        <v>2892806.11</v>
      </c>
      <c r="H79" s="16">
        <v>79251557.659999996</v>
      </c>
      <c r="I79" s="16">
        <v>18665847.59</v>
      </c>
      <c r="J79" s="16">
        <v>90235642.770000011</v>
      </c>
      <c r="K79" s="16">
        <v>0</v>
      </c>
      <c r="L79" s="16">
        <v>0</v>
      </c>
      <c r="M79" s="16">
        <v>0</v>
      </c>
      <c r="N79" s="18">
        <f t="shared" si="2"/>
        <v>1696719674.9324231</v>
      </c>
      <c r="O79" s="4"/>
    </row>
    <row r="80" spans="1:15" ht="15" x14ac:dyDescent="0.2">
      <c r="A80" s="17" t="s">
        <v>75</v>
      </c>
      <c r="B80" s="16">
        <v>769481710.07000005</v>
      </c>
      <c r="C80" s="16">
        <v>0</v>
      </c>
      <c r="D80" s="16">
        <v>21901978.846837532</v>
      </c>
      <c r="E80" s="16">
        <v>6600747.8099999996</v>
      </c>
      <c r="F80" s="16">
        <v>1388051.98</v>
      </c>
      <c r="G80" s="16">
        <v>1157122.45</v>
      </c>
      <c r="H80" s="16">
        <v>42129643.009999998</v>
      </c>
      <c r="I80" s="16">
        <v>6039525.5599999996</v>
      </c>
      <c r="J80" s="16">
        <v>58317955.079999976</v>
      </c>
      <c r="K80" s="16">
        <v>0</v>
      </c>
      <c r="L80" s="16">
        <v>0</v>
      </c>
      <c r="M80" s="16">
        <v>0</v>
      </c>
      <c r="N80" s="18">
        <f t="shared" si="2"/>
        <v>907016734.80683744</v>
      </c>
      <c r="O80" s="4"/>
    </row>
    <row r="81" spans="1:15" ht="15" x14ac:dyDescent="0.2">
      <c r="A81" s="17" t="s">
        <v>76</v>
      </c>
      <c r="B81" s="16">
        <v>429191094.13999999</v>
      </c>
      <c r="C81" s="16">
        <v>0</v>
      </c>
      <c r="D81" s="16">
        <v>20291278.854837514</v>
      </c>
      <c r="E81" s="16">
        <v>3681675.7800000003</v>
      </c>
      <c r="F81" s="16">
        <v>3604892.27</v>
      </c>
      <c r="G81" s="16">
        <v>2648030.21</v>
      </c>
      <c r="H81" s="16">
        <v>23498502.100000001</v>
      </c>
      <c r="I81" s="16">
        <v>15685175.59</v>
      </c>
      <c r="J81" s="16">
        <v>68183390.519999981</v>
      </c>
      <c r="K81" s="16">
        <v>0</v>
      </c>
      <c r="L81" s="16">
        <v>0</v>
      </c>
      <c r="M81" s="16">
        <v>0</v>
      </c>
      <c r="N81" s="18">
        <f t="shared" si="2"/>
        <v>566784039.46483743</v>
      </c>
      <c r="O81" s="4"/>
    </row>
    <row r="82" spans="1:15" ht="15" x14ac:dyDescent="0.2">
      <c r="A82" s="17" t="s">
        <v>77</v>
      </c>
      <c r="B82" s="16">
        <v>6879971222.1000004</v>
      </c>
      <c r="C82" s="16">
        <v>0</v>
      </c>
      <c r="D82" s="16">
        <v>67454573.479999989</v>
      </c>
      <c r="E82" s="16">
        <v>72877902.230000004</v>
      </c>
      <c r="F82" s="16">
        <v>103895016.91</v>
      </c>
      <c r="G82" s="16">
        <v>106031663.57956901</v>
      </c>
      <c r="H82" s="16">
        <v>376683068.18000001</v>
      </c>
      <c r="I82" s="16">
        <v>452055556.05000001</v>
      </c>
      <c r="J82" s="16">
        <v>565980446.22000003</v>
      </c>
      <c r="K82" s="16">
        <v>0</v>
      </c>
      <c r="L82" s="16">
        <v>0</v>
      </c>
      <c r="M82" s="16">
        <v>0</v>
      </c>
      <c r="N82" s="18">
        <f t="shared" si="2"/>
        <v>8624949448.7495689</v>
      </c>
      <c r="O82" s="4"/>
    </row>
    <row r="83" spans="1:15" ht="15" x14ac:dyDescent="0.2">
      <c r="A83" s="17" t="s">
        <v>78</v>
      </c>
      <c r="B83" s="16">
        <v>1926873357.79</v>
      </c>
      <c r="C83" s="16">
        <v>0</v>
      </c>
      <c r="D83" s="16">
        <v>37516837.983156808</v>
      </c>
      <c r="E83" s="16">
        <v>20410912.140000001</v>
      </c>
      <c r="F83" s="16">
        <v>11504210.74</v>
      </c>
      <c r="G83" s="16">
        <v>7042870.2699999996</v>
      </c>
      <c r="H83" s="16">
        <v>105497616.92</v>
      </c>
      <c r="I83" s="16">
        <v>50055744.170000002</v>
      </c>
      <c r="J83" s="16">
        <v>122496012.45000005</v>
      </c>
      <c r="K83" s="16">
        <v>0</v>
      </c>
      <c r="L83" s="16">
        <v>0</v>
      </c>
      <c r="M83" s="16">
        <v>0</v>
      </c>
      <c r="N83" s="18">
        <f t="shared" si="2"/>
        <v>2281397562.4631567</v>
      </c>
      <c r="O83" s="4"/>
    </row>
    <row r="84" spans="1:15" ht="15" x14ac:dyDescent="0.2">
      <c r="A84" s="17" t="s">
        <v>79</v>
      </c>
      <c r="B84" s="16">
        <v>740212206.77999997</v>
      </c>
      <c r="C84" s="16">
        <v>0</v>
      </c>
      <c r="D84" s="16">
        <v>12414452.204537317</v>
      </c>
      <c r="E84" s="16">
        <v>6349668.9199999999</v>
      </c>
      <c r="F84" s="16">
        <v>2308927.88</v>
      </c>
      <c r="G84" s="16">
        <v>688570.009142922</v>
      </c>
      <c r="H84" s="16">
        <v>40527117.950000003</v>
      </c>
      <c r="I84" s="16">
        <v>10046330.539999999</v>
      </c>
      <c r="J84" s="16">
        <v>50372304.359999985</v>
      </c>
      <c r="K84" s="16">
        <v>0</v>
      </c>
      <c r="L84" s="16">
        <v>0</v>
      </c>
      <c r="M84" s="16">
        <v>0</v>
      </c>
      <c r="N84" s="18">
        <f t="shared" si="2"/>
        <v>862919578.6436801</v>
      </c>
      <c r="O84" s="4"/>
    </row>
    <row r="85" spans="1:15" ht="15" x14ac:dyDescent="0.2">
      <c r="A85" s="17" t="s">
        <v>80</v>
      </c>
      <c r="B85" s="16">
        <v>611573570.7299999</v>
      </c>
      <c r="C85" s="16">
        <v>0</v>
      </c>
      <c r="D85" s="16">
        <v>12922848.554334611</v>
      </c>
      <c r="E85" s="16">
        <v>5246184.3499999996</v>
      </c>
      <c r="F85" s="16">
        <v>1091574.8500000001</v>
      </c>
      <c r="G85" s="16">
        <v>723201.53</v>
      </c>
      <c r="H85" s="16">
        <v>33484065.800000001</v>
      </c>
      <c r="I85" s="16">
        <v>4749529.8099999996</v>
      </c>
      <c r="J85" s="16">
        <v>29694788.130000006</v>
      </c>
      <c r="K85" s="16">
        <v>0</v>
      </c>
      <c r="L85" s="16">
        <v>0</v>
      </c>
      <c r="M85" s="16">
        <v>0</v>
      </c>
      <c r="N85" s="18">
        <f t="shared" si="2"/>
        <v>699485763.75433445</v>
      </c>
      <c r="O85" s="4"/>
    </row>
    <row r="86" spans="1:15" ht="15" x14ac:dyDescent="0.2">
      <c r="A86" s="17" t="s">
        <v>81</v>
      </c>
      <c r="B86" s="16">
        <v>7862766603.3099995</v>
      </c>
      <c r="C86" s="16">
        <v>0</v>
      </c>
      <c r="D86" s="16">
        <v>70339873.840000004</v>
      </c>
      <c r="E86" s="16">
        <v>83288420.439999998</v>
      </c>
      <c r="F86" s="16">
        <v>65186784.18</v>
      </c>
      <c r="G86" s="16">
        <v>27643851.619221877</v>
      </c>
      <c r="H86" s="16">
        <v>430491778.66000003</v>
      </c>
      <c r="I86" s="16">
        <v>283632929.13999999</v>
      </c>
      <c r="J86" s="16">
        <v>249872538.93000013</v>
      </c>
      <c r="K86" s="16">
        <v>0</v>
      </c>
      <c r="L86" s="16">
        <v>0</v>
      </c>
      <c r="M86" s="16">
        <v>0</v>
      </c>
      <c r="N86" s="18">
        <f t="shared" si="2"/>
        <v>9073222780.1192207</v>
      </c>
      <c r="O86" s="4"/>
    </row>
    <row r="87" spans="1:15" ht="15" x14ac:dyDescent="0.2">
      <c r="A87" s="17" t="s">
        <v>82</v>
      </c>
      <c r="B87" s="16">
        <v>1163563643.4499998</v>
      </c>
      <c r="C87" s="16">
        <v>0</v>
      </c>
      <c r="D87" s="16">
        <v>13736022.859759849</v>
      </c>
      <c r="E87" s="16">
        <v>9981251.1099999994</v>
      </c>
      <c r="F87" s="16">
        <v>1850735.97</v>
      </c>
      <c r="G87" s="16">
        <v>2102847.52</v>
      </c>
      <c r="H87" s="16">
        <v>63705894.850000001</v>
      </c>
      <c r="I87" s="16">
        <v>8052700.7400000002</v>
      </c>
      <c r="J87" s="16">
        <v>56501009.459999971</v>
      </c>
      <c r="K87" s="16">
        <v>0</v>
      </c>
      <c r="L87" s="16">
        <v>0</v>
      </c>
      <c r="M87" s="16">
        <v>0</v>
      </c>
      <c r="N87" s="18">
        <f t="shared" si="2"/>
        <v>1319494105.9597595</v>
      </c>
      <c r="O87" s="4"/>
    </row>
    <row r="88" spans="1:15" ht="15" x14ac:dyDescent="0.2">
      <c r="A88" s="17" t="s">
        <v>83</v>
      </c>
      <c r="B88" s="16">
        <v>932469876.70000005</v>
      </c>
      <c r="C88" s="16">
        <v>0</v>
      </c>
      <c r="D88" s="16">
        <v>8740125.2252083998</v>
      </c>
      <c r="E88" s="16">
        <v>7998888.6300000008</v>
      </c>
      <c r="F88" s="16">
        <v>9082980.9199999999</v>
      </c>
      <c r="G88" s="16">
        <v>4250199.75</v>
      </c>
      <c r="H88" s="16">
        <v>51053355.140000001</v>
      </c>
      <c r="I88" s="16">
        <v>39520778.880000003</v>
      </c>
      <c r="J88" s="16">
        <v>86008420.890000045</v>
      </c>
      <c r="K88" s="16">
        <v>0</v>
      </c>
      <c r="L88" s="16">
        <v>0</v>
      </c>
      <c r="M88" s="16">
        <v>0</v>
      </c>
      <c r="N88" s="18">
        <f t="shared" si="2"/>
        <v>1139124626.1352084</v>
      </c>
      <c r="O88" s="4"/>
    </row>
    <row r="89" spans="1:15" ht="15" x14ac:dyDescent="0.2">
      <c r="A89" s="17" t="s">
        <v>84</v>
      </c>
      <c r="B89" s="16">
        <v>1556458654.55</v>
      </c>
      <c r="C89" s="16">
        <v>0</v>
      </c>
      <c r="D89" s="16">
        <v>19790115.250418402</v>
      </c>
      <c r="E89" s="16">
        <v>13351572.779999999</v>
      </c>
      <c r="F89" s="16">
        <v>7638777.96</v>
      </c>
      <c r="G89" s="16">
        <v>4628489.78</v>
      </c>
      <c r="H89" s="16">
        <v>85217161.900000006</v>
      </c>
      <c r="I89" s="16">
        <v>33236935.949999999</v>
      </c>
      <c r="J89" s="16">
        <v>88325793.359999955</v>
      </c>
      <c r="K89" s="16">
        <v>0</v>
      </c>
      <c r="L89" s="16">
        <v>0</v>
      </c>
      <c r="M89" s="16">
        <v>0</v>
      </c>
      <c r="N89" s="18">
        <f t="shared" si="2"/>
        <v>1808647501.5304184</v>
      </c>
      <c r="O89" s="4"/>
    </row>
    <row r="90" spans="1:15" ht="15" x14ac:dyDescent="0.2">
      <c r="A90" s="17" t="s">
        <v>85</v>
      </c>
      <c r="B90" s="16">
        <v>7286539577.8000002</v>
      </c>
      <c r="C90" s="16">
        <v>0</v>
      </c>
      <c r="D90" s="16">
        <v>33615955.067336932</v>
      </c>
      <c r="E90" s="16">
        <v>77184584.319999993</v>
      </c>
      <c r="F90" s="16">
        <v>103618754.14</v>
      </c>
      <c r="G90" s="16">
        <v>33863985.455226168</v>
      </c>
      <c r="H90" s="16">
        <v>398942960.07999998</v>
      </c>
      <c r="I90" s="16">
        <v>450853514.55000001</v>
      </c>
      <c r="J90" s="16">
        <v>514884256.94999981</v>
      </c>
      <c r="K90" s="16">
        <v>0</v>
      </c>
      <c r="L90" s="16">
        <v>0</v>
      </c>
      <c r="M90" s="16">
        <v>0</v>
      </c>
      <c r="N90" s="18">
        <f t="shared" si="2"/>
        <v>8899503588.3625641</v>
      </c>
      <c r="O90" s="4"/>
    </row>
    <row r="91" spans="1:15" ht="15" x14ac:dyDescent="0.2">
      <c r="A91" s="17" t="s">
        <v>86</v>
      </c>
      <c r="B91" s="16">
        <v>317288062.17000002</v>
      </c>
      <c r="C91" s="16">
        <v>0</v>
      </c>
      <c r="D91" s="16">
        <v>13487945.637214523</v>
      </c>
      <c r="E91" s="16">
        <v>2721752.12</v>
      </c>
      <c r="F91" s="16">
        <v>2405507.5499999998</v>
      </c>
      <c r="G91" s="16">
        <v>1579917.18</v>
      </c>
      <c r="H91" s="16">
        <v>17371735.57</v>
      </c>
      <c r="I91" s="16">
        <v>10466556.42</v>
      </c>
      <c r="J91" s="16">
        <v>39708382.140000015</v>
      </c>
      <c r="K91" s="16">
        <v>0</v>
      </c>
      <c r="L91" s="16">
        <v>0</v>
      </c>
      <c r="M91" s="16">
        <v>0</v>
      </c>
      <c r="N91" s="18">
        <f t="shared" si="2"/>
        <v>405029858.78721464</v>
      </c>
      <c r="O91" s="4"/>
    </row>
    <row r="92" spans="1:15" ht="15" x14ac:dyDescent="0.2">
      <c r="A92" s="17" t="s">
        <v>87</v>
      </c>
      <c r="B92" s="16">
        <v>472988526.05000007</v>
      </c>
      <c r="C92" s="16">
        <v>0</v>
      </c>
      <c r="D92" s="16">
        <v>858818.04999999993</v>
      </c>
      <c r="E92" s="16">
        <v>3110524.8</v>
      </c>
      <c r="F92" s="16">
        <v>514342.88</v>
      </c>
      <c r="G92" s="16">
        <v>534056.51</v>
      </c>
      <c r="H92" s="16">
        <v>25896441.059999999</v>
      </c>
      <c r="I92" s="16">
        <v>2237947.17</v>
      </c>
      <c r="J92" s="16">
        <v>15440202.120000005</v>
      </c>
      <c r="K92" s="16">
        <v>0</v>
      </c>
      <c r="L92" s="16">
        <v>0</v>
      </c>
      <c r="M92" s="16">
        <v>0</v>
      </c>
      <c r="N92" s="18">
        <f t="shared" si="2"/>
        <v>521580858.6400001</v>
      </c>
      <c r="O92" s="4"/>
    </row>
    <row r="93" spans="1:15" ht="15" x14ac:dyDescent="0.2">
      <c r="A93" s="17" t="s">
        <v>88</v>
      </c>
      <c r="B93" s="16">
        <v>4903389559.3699999</v>
      </c>
      <c r="C93" s="16">
        <v>0</v>
      </c>
      <c r="D93" s="16">
        <v>34768563.984093696</v>
      </c>
      <c r="E93" s="16">
        <v>51940441.810000002</v>
      </c>
      <c r="F93" s="16">
        <v>83979390.849999994</v>
      </c>
      <c r="G93" s="16">
        <v>20862589.414050929</v>
      </c>
      <c r="H93" s="16">
        <v>268463888.01999998</v>
      </c>
      <c r="I93" s="16">
        <v>365401068.82999998</v>
      </c>
      <c r="J93" s="16">
        <v>531532560.50999999</v>
      </c>
      <c r="K93" s="16">
        <v>0</v>
      </c>
      <c r="L93" s="16">
        <v>0</v>
      </c>
      <c r="M93" s="16">
        <v>0</v>
      </c>
      <c r="N93" s="18">
        <f t="shared" si="2"/>
        <v>6260338062.7881451</v>
      </c>
      <c r="O93" s="4"/>
    </row>
    <row r="94" spans="1:15" ht="15" x14ac:dyDescent="0.2">
      <c r="A94" s="17" t="s">
        <v>89</v>
      </c>
      <c r="B94" s="16">
        <v>2776116244.7700005</v>
      </c>
      <c r="C94" s="16">
        <v>0</v>
      </c>
      <c r="D94" s="16">
        <v>56522649.160000004</v>
      </c>
      <c r="E94" s="16">
        <v>29406740.489999998</v>
      </c>
      <c r="F94" s="16">
        <v>37973778.039999999</v>
      </c>
      <c r="G94" s="16">
        <v>25144456.616157863</v>
      </c>
      <c r="H94" s="16">
        <v>151994238.19999999</v>
      </c>
      <c r="I94" s="16">
        <v>165226955.62</v>
      </c>
      <c r="J94" s="16">
        <v>251035495.62</v>
      </c>
      <c r="K94" s="16">
        <v>0</v>
      </c>
      <c r="L94" s="16">
        <v>0</v>
      </c>
      <c r="M94" s="16">
        <v>0</v>
      </c>
      <c r="N94" s="18">
        <f t="shared" si="2"/>
        <v>3493420558.5161576</v>
      </c>
      <c r="O94" s="4"/>
    </row>
    <row r="95" spans="1:15" ht="15" x14ac:dyDescent="0.2">
      <c r="A95" s="17" t="s">
        <v>90</v>
      </c>
      <c r="B95" s="16">
        <v>516833434.82999992</v>
      </c>
      <c r="C95" s="16">
        <v>0</v>
      </c>
      <c r="D95" s="16">
        <v>13395653.26360042</v>
      </c>
      <c r="E95" s="16">
        <v>4433487.01</v>
      </c>
      <c r="F95" s="16">
        <v>1861966.16</v>
      </c>
      <c r="G95" s="16">
        <v>1268384.22</v>
      </c>
      <c r="H95" s="16">
        <v>28296979.41</v>
      </c>
      <c r="I95" s="16">
        <v>8101564.2199999997</v>
      </c>
      <c r="J95" s="16">
        <v>40124097.299999997</v>
      </c>
      <c r="K95" s="16">
        <v>0</v>
      </c>
      <c r="L95" s="16">
        <v>0</v>
      </c>
      <c r="M95" s="16">
        <v>0</v>
      </c>
      <c r="N95" s="18">
        <f t="shared" si="2"/>
        <v>614315566.41360033</v>
      </c>
      <c r="O95" s="4"/>
    </row>
    <row r="96" spans="1:15" ht="15" x14ac:dyDescent="0.2">
      <c r="A96" s="17" t="s">
        <v>91</v>
      </c>
      <c r="B96" s="16">
        <v>1612054093.8599999</v>
      </c>
      <c r="C96" s="16">
        <v>0</v>
      </c>
      <c r="D96" s="16">
        <v>39924971.086004242</v>
      </c>
      <c r="E96" s="16">
        <v>10403928.529999999</v>
      </c>
      <c r="F96" s="16">
        <v>10435096.27</v>
      </c>
      <c r="G96" s="16">
        <v>6486561.4000000004</v>
      </c>
      <c r="H96" s="16">
        <v>88261049.730000004</v>
      </c>
      <c r="I96" s="16">
        <v>45403941.310000002</v>
      </c>
      <c r="J96" s="16">
        <v>135971459.40000004</v>
      </c>
      <c r="K96" s="16">
        <v>0</v>
      </c>
      <c r="L96" s="16">
        <v>0</v>
      </c>
      <c r="M96" s="16">
        <v>0</v>
      </c>
      <c r="N96" s="18">
        <f t="shared" si="2"/>
        <v>1948941101.5860043</v>
      </c>
      <c r="O96" s="4"/>
    </row>
    <row r="97" spans="1:15" ht="15" x14ac:dyDescent="0.2">
      <c r="A97" s="17" t="s">
        <v>92</v>
      </c>
      <c r="B97" s="16">
        <v>838275725.06999993</v>
      </c>
      <c r="C97" s="16">
        <v>0</v>
      </c>
      <c r="D97" s="16">
        <v>39501883.666514017</v>
      </c>
      <c r="E97" s="16">
        <v>7190874.8300000001</v>
      </c>
      <c r="F97" s="16">
        <v>4817753.2300000004</v>
      </c>
      <c r="G97" s="16">
        <v>3337853.21</v>
      </c>
      <c r="H97" s="16">
        <v>45896161.759999998</v>
      </c>
      <c r="I97" s="16">
        <v>20962430.93</v>
      </c>
      <c r="J97" s="16">
        <v>92408342.88000001</v>
      </c>
      <c r="K97" s="16">
        <v>0</v>
      </c>
      <c r="L97" s="16">
        <v>0</v>
      </c>
      <c r="M97" s="16">
        <v>0</v>
      </c>
      <c r="N97" s="18">
        <f t="shared" si="2"/>
        <v>1052391025.576514</v>
      </c>
      <c r="O97" s="4"/>
    </row>
    <row r="98" spans="1:15" ht="15" x14ac:dyDescent="0.2">
      <c r="A98" s="17" t="s">
        <v>93</v>
      </c>
      <c r="B98" s="16">
        <v>2359838864.8399997</v>
      </c>
      <c r="C98" s="16">
        <v>0</v>
      </c>
      <c r="D98" s="16">
        <v>50519686.966032967</v>
      </c>
      <c r="E98" s="16">
        <v>24997213</v>
      </c>
      <c r="F98" s="16">
        <v>11203241.550000001</v>
      </c>
      <c r="G98" s="16">
        <v>7988595.3399999999</v>
      </c>
      <c r="H98" s="16">
        <v>129202770.67</v>
      </c>
      <c r="I98" s="16">
        <v>48746203.030000001</v>
      </c>
      <c r="J98" s="16">
        <v>178166637.59999993</v>
      </c>
      <c r="K98" s="16">
        <v>0</v>
      </c>
      <c r="L98" s="16">
        <v>0</v>
      </c>
      <c r="M98" s="16">
        <v>0</v>
      </c>
      <c r="N98" s="18">
        <f t="shared" si="2"/>
        <v>2810663212.9960332</v>
      </c>
      <c r="O98" s="4"/>
    </row>
    <row r="99" spans="1:15" ht="15" x14ac:dyDescent="0.2">
      <c r="A99" s="17" t="s">
        <v>94</v>
      </c>
      <c r="B99" s="16">
        <v>1667388410.28</v>
      </c>
      <c r="C99" s="16">
        <v>0</v>
      </c>
      <c r="D99" s="16">
        <v>28795854.747889899</v>
      </c>
      <c r="E99" s="16">
        <v>14303147.51</v>
      </c>
      <c r="F99" s="16">
        <v>4152925.74</v>
      </c>
      <c r="G99" s="16">
        <v>2392128.13</v>
      </c>
      <c r="H99" s="16">
        <v>91290640.900000006</v>
      </c>
      <c r="I99" s="16">
        <v>18069713.190000001</v>
      </c>
      <c r="J99" s="16">
        <v>116827818.86999999</v>
      </c>
      <c r="K99" s="16">
        <v>0</v>
      </c>
      <c r="L99" s="16">
        <v>0</v>
      </c>
      <c r="M99" s="16">
        <v>0</v>
      </c>
      <c r="N99" s="18">
        <f t="shared" si="2"/>
        <v>1943220639.3678901</v>
      </c>
      <c r="O99" s="4"/>
    </row>
    <row r="100" spans="1:15" ht="15" x14ac:dyDescent="0.2">
      <c r="A100" s="17" t="s">
        <v>95</v>
      </c>
      <c r="B100" s="16">
        <v>1819124553.75</v>
      </c>
      <c r="C100" s="16">
        <v>0</v>
      </c>
      <c r="D100" s="16">
        <v>27111108.93687994</v>
      </c>
      <c r="E100" s="16">
        <v>15604766.51</v>
      </c>
      <c r="F100" s="16">
        <v>4662776.55</v>
      </c>
      <c r="G100" s="16">
        <v>2848301.4</v>
      </c>
      <c r="H100" s="16">
        <v>99598297.180000007</v>
      </c>
      <c r="I100" s="16">
        <v>20288114.969999999</v>
      </c>
      <c r="J100" s="16">
        <v>90344234.400000021</v>
      </c>
      <c r="K100" s="16">
        <v>0</v>
      </c>
      <c r="L100" s="16">
        <v>0</v>
      </c>
      <c r="M100" s="16">
        <v>0</v>
      </c>
      <c r="N100" s="18">
        <f t="shared" si="2"/>
        <v>2079582153.6968801</v>
      </c>
      <c r="O100" s="4"/>
    </row>
    <row r="101" spans="1:15" ht="15" x14ac:dyDescent="0.2">
      <c r="A101" s="17" t="s">
        <v>96</v>
      </c>
      <c r="B101" s="16">
        <v>372788547.67000002</v>
      </c>
      <c r="C101" s="16">
        <v>0</v>
      </c>
      <c r="D101" s="16">
        <v>7373645.7829541005</v>
      </c>
      <c r="E101" s="16">
        <v>3197844.9299999997</v>
      </c>
      <c r="F101" s="16">
        <v>557017.62</v>
      </c>
      <c r="G101" s="16">
        <v>456173.27</v>
      </c>
      <c r="H101" s="16">
        <v>20410424.609999999</v>
      </c>
      <c r="I101" s="16">
        <v>2423628.38</v>
      </c>
      <c r="J101" s="16">
        <v>20850425.820000008</v>
      </c>
      <c r="K101" s="16">
        <v>0</v>
      </c>
      <c r="L101" s="16">
        <v>0</v>
      </c>
      <c r="M101" s="16">
        <v>0</v>
      </c>
      <c r="N101" s="18">
        <f t="shared" si="2"/>
        <v>428057708.08295411</v>
      </c>
      <c r="O101" s="4"/>
    </row>
    <row r="102" spans="1:15" ht="15" x14ac:dyDescent="0.2">
      <c r="A102" s="17" t="s">
        <v>97</v>
      </c>
      <c r="B102" s="16">
        <v>1023934107.1700001</v>
      </c>
      <c r="C102" s="16">
        <v>0</v>
      </c>
      <c r="D102" s="16">
        <v>38870151.415684946</v>
      </c>
      <c r="E102" s="16">
        <v>10846290.969999999</v>
      </c>
      <c r="F102" s="16">
        <v>10785478.33</v>
      </c>
      <c r="G102" s="16">
        <v>7321024.7000000002</v>
      </c>
      <c r="H102" s="16">
        <v>56061083.5</v>
      </c>
      <c r="I102" s="16">
        <v>46928481.75</v>
      </c>
      <c r="J102" s="16">
        <v>134286113.42999998</v>
      </c>
      <c r="K102" s="16">
        <v>0</v>
      </c>
      <c r="L102" s="16">
        <v>0</v>
      </c>
      <c r="M102" s="16">
        <v>0</v>
      </c>
      <c r="N102" s="18">
        <f t="shared" si="2"/>
        <v>1329032731.2656851</v>
      </c>
      <c r="O102" s="4"/>
    </row>
    <row r="103" spans="1:15" ht="15" x14ac:dyDescent="0.2">
      <c r="A103" s="17" t="s">
        <v>98</v>
      </c>
      <c r="B103" s="16">
        <v>374355285.10000002</v>
      </c>
      <c r="C103" s="16">
        <v>0</v>
      </c>
      <c r="D103" s="16">
        <v>13798670.428852826</v>
      </c>
      <c r="E103" s="16">
        <v>3211284.6799999997</v>
      </c>
      <c r="F103" s="16">
        <v>267278.61</v>
      </c>
      <c r="G103" s="16">
        <v>289280.61</v>
      </c>
      <c r="H103" s="16">
        <v>20496204.539999999</v>
      </c>
      <c r="I103" s="16">
        <v>1162950.71</v>
      </c>
      <c r="J103" s="16">
        <v>29474119.080000006</v>
      </c>
      <c r="K103" s="16">
        <v>0</v>
      </c>
      <c r="L103" s="16">
        <v>0</v>
      </c>
      <c r="M103" s="16">
        <v>0</v>
      </c>
      <c r="N103" s="18">
        <f t="shared" si="2"/>
        <v>443055073.75885284</v>
      </c>
      <c r="O103" s="4"/>
    </row>
    <row r="104" spans="1:15" ht="15" x14ac:dyDescent="0.2">
      <c r="A104" s="17" t="s">
        <v>99</v>
      </c>
      <c r="B104" s="16">
        <v>5541455235.4099998</v>
      </c>
      <c r="C104" s="16">
        <v>0</v>
      </c>
      <c r="D104" s="16">
        <v>57071767.282917812</v>
      </c>
      <c r="E104" s="16">
        <v>58699320.07</v>
      </c>
      <c r="F104" s="16">
        <v>54774148.289999999</v>
      </c>
      <c r="G104" s="16">
        <v>14568184.645435058</v>
      </c>
      <c r="H104" s="16">
        <v>303398414.44999999</v>
      </c>
      <c r="I104" s="16">
        <v>238326714.78</v>
      </c>
      <c r="J104" s="16">
        <v>326114006.18999982</v>
      </c>
      <c r="K104" s="16">
        <v>0</v>
      </c>
      <c r="L104" s="16">
        <v>0</v>
      </c>
      <c r="M104" s="16">
        <v>0</v>
      </c>
      <c r="N104" s="18">
        <f t="shared" ref="N104:N135" si="3">SUM(B104:M104)</f>
        <v>6594407791.1183519</v>
      </c>
      <c r="O104" s="4"/>
    </row>
    <row r="105" spans="1:15" ht="15" x14ac:dyDescent="0.2">
      <c r="A105" s="17" t="s">
        <v>100</v>
      </c>
      <c r="B105" s="16">
        <v>985216702.59000015</v>
      </c>
      <c r="C105" s="16">
        <v>0</v>
      </c>
      <c r="D105" s="16">
        <v>11508027.060000002</v>
      </c>
      <c r="E105" s="16">
        <v>10066158.59</v>
      </c>
      <c r="F105" s="16">
        <v>2360586.7799999998</v>
      </c>
      <c r="G105" s="16">
        <v>2503389.91</v>
      </c>
      <c r="H105" s="16">
        <v>53941279.460000001</v>
      </c>
      <c r="I105" s="16">
        <v>10271102.52</v>
      </c>
      <c r="J105" s="16">
        <v>42586142.13000001</v>
      </c>
      <c r="K105" s="16">
        <v>0</v>
      </c>
      <c r="L105" s="16">
        <v>0</v>
      </c>
      <c r="M105" s="16">
        <v>0</v>
      </c>
      <c r="N105" s="18">
        <f t="shared" si="3"/>
        <v>1118453389.0400002</v>
      </c>
      <c r="O105" s="4"/>
    </row>
    <row r="106" spans="1:15" ht="15" x14ac:dyDescent="0.2">
      <c r="A106" s="17" t="s">
        <v>101</v>
      </c>
      <c r="B106" s="16">
        <v>1011685069.2900001</v>
      </c>
      <c r="C106" s="16">
        <v>0</v>
      </c>
      <c r="D106" s="16">
        <v>7056123.5899999989</v>
      </c>
      <c r="E106" s="16">
        <v>8678410.3200000003</v>
      </c>
      <c r="F106" s="16">
        <v>16726250.960000001</v>
      </c>
      <c r="G106" s="16">
        <v>6392197.0363396723</v>
      </c>
      <c r="H106" s="16">
        <v>55390440.399999999</v>
      </c>
      <c r="I106" s="16">
        <v>72777260.219999999</v>
      </c>
      <c r="J106" s="16">
        <v>111924471.33000006</v>
      </c>
      <c r="K106" s="16">
        <v>0</v>
      </c>
      <c r="L106" s="16">
        <v>0</v>
      </c>
      <c r="M106" s="16">
        <v>0</v>
      </c>
      <c r="N106" s="18">
        <f t="shared" si="3"/>
        <v>1290630223.1463401</v>
      </c>
      <c r="O106" s="4"/>
    </row>
    <row r="107" spans="1:15" ht="15" x14ac:dyDescent="0.2">
      <c r="A107" s="17" t="s">
        <v>102</v>
      </c>
      <c r="B107" s="16">
        <v>1402182497.3699999</v>
      </c>
      <c r="C107" s="16">
        <v>0</v>
      </c>
      <c r="D107" s="16">
        <v>19240172.886845551</v>
      </c>
      <c r="E107" s="16">
        <v>12028165.1</v>
      </c>
      <c r="F107" s="16">
        <v>929860.06</v>
      </c>
      <c r="G107" s="16">
        <v>1056986.8500000001</v>
      </c>
      <c r="H107" s="16">
        <v>76770438.170000002</v>
      </c>
      <c r="I107" s="16">
        <v>4045895.76</v>
      </c>
      <c r="J107" s="16">
        <v>51854237.609999985</v>
      </c>
      <c r="K107" s="16">
        <v>0</v>
      </c>
      <c r="L107" s="16">
        <v>0</v>
      </c>
      <c r="M107" s="16">
        <v>0</v>
      </c>
      <c r="N107" s="18">
        <f t="shared" si="3"/>
        <v>1568108253.8068452</v>
      </c>
      <c r="O107" s="4"/>
    </row>
    <row r="108" spans="1:15" ht="15" x14ac:dyDescent="0.2">
      <c r="A108" s="17" t="s">
        <v>103</v>
      </c>
      <c r="B108" s="16">
        <v>497178001.9799999</v>
      </c>
      <c r="C108" s="16">
        <v>0</v>
      </c>
      <c r="D108" s="16">
        <v>7568333.7634650301</v>
      </c>
      <c r="E108" s="16">
        <v>4264879.3</v>
      </c>
      <c r="F108" s="16">
        <v>943336.29</v>
      </c>
      <c r="G108" s="16">
        <v>778832.42</v>
      </c>
      <c r="H108" s="16">
        <v>27220831.190000001</v>
      </c>
      <c r="I108" s="16">
        <v>4104531.93</v>
      </c>
      <c r="J108" s="16">
        <v>27662228.580000006</v>
      </c>
      <c r="K108" s="16">
        <v>0</v>
      </c>
      <c r="L108" s="16">
        <v>0</v>
      </c>
      <c r="M108" s="16">
        <v>0</v>
      </c>
      <c r="N108" s="18">
        <f t="shared" si="3"/>
        <v>569720975.45346498</v>
      </c>
      <c r="O108" s="4"/>
    </row>
    <row r="109" spans="1:15" ht="15" x14ac:dyDescent="0.2">
      <c r="A109" s="17" t="s">
        <v>104</v>
      </c>
      <c r="B109" s="16">
        <v>4779166274.1800003</v>
      </c>
      <c r="C109" s="16">
        <v>0</v>
      </c>
      <c r="D109" s="16">
        <v>89360538.512465045</v>
      </c>
      <c r="E109" s="16">
        <v>50624574.030000001</v>
      </c>
      <c r="F109" s="16">
        <v>96314635.950000003</v>
      </c>
      <c r="G109" s="16">
        <v>67322631.344208777</v>
      </c>
      <c r="H109" s="16">
        <v>261662579.31</v>
      </c>
      <c r="I109" s="16">
        <v>419072710.17000002</v>
      </c>
      <c r="J109" s="16">
        <v>504718844.28000009</v>
      </c>
      <c r="K109" s="16">
        <v>0</v>
      </c>
      <c r="L109" s="16">
        <v>0</v>
      </c>
      <c r="M109" s="16">
        <v>0</v>
      </c>
      <c r="N109" s="18">
        <f t="shared" si="3"/>
        <v>6268242787.7766743</v>
      </c>
      <c r="O109" s="4"/>
    </row>
    <row r="110" spans="1:15" ht="15" x14ac:dyDescent="0.2">
      <c r="A110" s="17" t="s">
        <v>105</v>
      </c>
      <c r="B110" s="16">
        <v>547788367.75999999</v>
      </c>
      <c r="C110" s="16">
        <v>0</v>
      </c>
      <c r="D110" s="16">
        <v>17407879.585235216</v>
      </c>
      <c r="E110" s="16">
        <v>5802592.1699999999</v>
      </c>
      <c r="F110" s="16">
        <v>3681257.59</v>
      </c>
      <c r="G110" s="16">
        <v>2525642.2599999998</v>
      </c>
      <c r="H110" s="16">
        <v>29991782.879999999</v>
      </c>
      <c r="I110" s="16">
        <v>16017447.23</v>
      </c>
      <c r="J110" s="16">
        <v>58481626.559999995</v>
      </c>
      <c r="K110" s="16">
        <v>0</v>
      </c>
      <c r="L110" s="16">
        <v>0</v>
      </c>
      <c r="M110" s="16">
        <v>0</v>
      </c>
      <c r="N110" s="18">
        <f t="shared" si="3"/>
        <v>681696596.03523517</v>
      </c>
      <c r="O110" s="4"/>
    </row>
    <row r="111" spans="1:15" ht="15" x14ac:dyDescent="0.2">
      <c r="A111" s="17" t="s">
        <v>106</v>
      </c>
      <c r="B111" s="16">
        <v>630469373.33999991</v>
      </c>
      <c r="C111" s="16">
        <v>0</v>
      </c>
      <c r="D111" s="16">
        <v>20600218.36012622</v>
      </c>
      <c r="E111" s="16">
        <v>5408275.8300000001</v>
      </c>
      <c r="F111" s="16">
        <v>1282488.1499999999</v>
      </c>
      <c r="G111" s="16">
        <v>1056986.8500000001</v>
      </c>
      <c r="H111" s="16">
        <v>34518623.740000002</v>
      </c>
      <c r="I111" s="16">
        <v>5580208.8899999997</v>
      </c>
      <c r="J111" s="16">
        <v>45560466.63000001</v>
      </c>
      <c r="K111" s="16">
        <v>0</v>
      </c>
      <c r="L111" s="16">
        <v>0</v>
      </c>
      <c r="M111" s="16">
        <v>0</v>
      </c>
      <c r="N111" s="18">
        <f t="shared" si="3"/>
        <v>744476641.7901262</v>
      </c>
      <c r="O111" s="4"/>
    </row>
    <row r="112" spans="1:15" ht="15" x14ac:dyDescent="0.2">
      <c r="A112" s="17" t="s">
        <v>107</v>
      </c>
      <c r="B112" s="16">
        <v>923710390.32999992</v>
      </c>
      <c r="C112" s="16">
        <v>0</v>
      </c>
      <c r="D112" s="16">
        <v>21818116.91982602</v>
      </c>
      <c r="E112" s="16">
        <v>7923748.2299999995</v>
      </c>
      <c r="F112" s="16">
        <v>1558750.92</v>
      </c>
      <c r="G112" s="16">
        <v>1257258.04</v>
      </c>
      <c r="H112" s="16">
        <v>50573767.350000001</v>
      </c>
      <c r="I112" s="16">
        <v>6782250.3799999999</v>
      </c>
      <c r="J112" s="16">
        <v>47792430</v>
      </c>
      <c r="K112" s="16">
        <v>0</v>
      </c>
      <c r="L112" s="16">
        <v>0</v>
      </c>
      <c r="M112" s="16">
        <v>0</v>
      </c>
      <c r="N112" s="18">
        <f t="shared" si="3"/>
        <v>1061416712.1698259</v>
      </c>
      <c r="O112" s="4"/>
    </row>
    <row r="113" spans="1:15" ht="15" x14ac:dyDescent="0.2">
      <c r="A113" s="17" t="s">
        <v>108</v>
      </c>
      <c r="B113" s="16">
        <v>731072905.29000008</v>
      </c>
      <c r="C113" s="16">
        <v>0</v>
      </c>
      <c r="D113" s="16">
        <v>20642267.101663515</v>
      </c>
      <c r="E113" s="16">
        <v>6271270.4100000001</v>
      </c>
      <c r="F113" s="16">
        <v>2196625.94</v>
      </c>
      <c r="G113" s="16">
        <v>1624421.89</v>
      </c>
      <c r="H113" s="16">
        <v>40026735.020000003</v>
      </c>
      <c r="I113" s="16">
        <v>9557695.7799999993</v>
      </c>
      <c r="J113" s="16">
        <v>46673572.260000005</v>
      </c>
      <c r="K113" s="16">
        <v>0</v>
      </c>
      <c r="L113" s="16">
        <v>0</v>
      </c>
      <c r="M113" s="16">
        <v>0</v>
      </c>
      <c r="N113" s="18">
        <f t="shared" si="3"/>
        <v>858065493.6916635</v>
      </c>
      <c r="O113" s="4"/>
    </row>
    <row r="114" spans="1:15" ht="15" x14ac:dyDescent="0.2">
      <c r="A114" s="17" t="s">
        <v>109</v>
      </c>
      <c r="B114" s="16">
        <v>452739632.06000006</v>
      </c>
      <c r="C114" s="16">
        <v>0</v>
      </c>
      <c r="D114" s="16">
        <v>9750201.8113193084</v>
      </c>
      <c r="E114" s="16">
        <v>3883679.23</v>
      </c>
      <c r="F114" s="16">
        <v>1329654.97</v>
      </c>
      <c r="G114" s="16">
        <v>890094.19</v>
      </c>
      <c r="H114" s="16">
        <v>24787800.449999999</v>
      </c>
      <c r="I114" s="16">
        <v>5785435.4800000004</v>
      </c>
      <c r="J114" s="16">
        <v>35654069.640000008</v>
      </c>
      <c r="K114" s="16">
        <v>0</v>
      </c>
      <c r="L114" s="16">
        <v>0</v>
      </c>
      <c r="M114" s="16">
        <v>0</v>
      </c>
      <c r="N114" s="18">
        <f t="shared" si="3"/>
        <v>534820567.83131939</v>
      </c>
      <c r="O114" s="4"/>
    </row>
    <row r="115" spans="1:15" ht="15" x14ac:dyDescent="0.2">
      <c r="A115" s="17" t="s">
        <v>110</v>
      </c>
      <c r="B115" s="16">
        <v>1179777001.6900001</v>
      </c>
      <c r="C115" s="16">
        <v>0</v>
      </c>
      <c r="D115" s="16">
        <v>11829597.543617614</v>
      </c>
      <c r="E115" s="16">
        <v>10120332.120000001</v>
      </c>
      <c r="F115" s="16">
        <v>1376821.78</v>
      </c>
      <c r="G115" s="16">
        <v>1435276.88</v>
      </c>
      <c r="H115" s="16">
        <v>64593587.159999996</v>
      </c>
      <c r="I115" s="16">
        <v>5990662.0800000001</v>
      </c>
      <c r="J115" s="16">
        <v>47773082.280000001</v>
      </c>
      <c r="K115" s="16">
        <v>0</v>
      </c>
      <c r="L115" s="16">
        <v>0</v>
      </c>
      <c r="M115" s="16">
        <v>0</v>
      </c>
      <c r="N115" s="18">
        <f t="shared" si="3"/>
        <v>1322896361.5336177</v>
      </c>
      <c r="O115" s="4"/>
    </row>
    <row r="116" spans="1:15" ht="15" x14ac:dyDescent="0.2">
      <c r="A116" s="17" t="s">
        <v>111</v>
      </c>
      <c r="B116" s="16">
        <v>709732042.77999997</v>
      </c>
      <c r="C116" s="16">
        <v>0</v>
      </c>
      <c r="D116" s="16">
        <v>17915102.357747611</v>
      </c>
      <c r="E116" s="16">
        <v>6088204.79</v>
      </c>
      <c r="F116" s="16">
        <v>3800297.65</v>
      </c>
      <c r="G116" s="16">
        <v>2258614</v>
      </c>
      <c r="H116" s="16">
        <v>38858308.399999999</v>
      </c>
      <c r="I116" s="16">
        <v>16535400.07</v>
      </c>
      <c r="J116" s="16">
        <v>64808863.769999981</v>
      </c>
      <c r="K116" s="16">
        <v>0</v>
      </c>
      <c r="L116" s="16">
        <v>0</v>
      </c>
      <c r="M116" s="16">
        <v>0</v>
      </c>
      <c r="N116" s="18">
        <f t="shared" si="3"/>
        <v>859996833.81774747</v>
      </c>
      <c r="O116" s="4"/>
    </row>
    <row r="117" spans="1:15" ht="15" x14ac:dyDescent="0.2">
      <c r="A117" s="17" t="s">
        <v>112</v>
      </c>
      <c r="B117" s="16">
        <v>363981584.38999999</v>
      </c>
      <c r="C117" s="16">
        <v>0</v>
      </c>
      <c r="D117" s="16">
        <v>4898063.6176482076</v>
      </c>
      <c r="E117" s="16">
        <v>3122297.2800000003</v>
      </c>
      <c r="F117" s="16">
        <v>799589.81</v>
      </c>
      <c r="G117" s="16">
        <v>600813.57999999996</v>
      </c>
      <c r="H117" s="16">
        <v>19928237.43</v>
      </c>
      <c r="I117" s="16">
        <v>3479079.45</v>
      </c>
      <c r="J117" s="16">
        <v>19100935.980000004</v>
      </c>
      <c r="K117" s="16">
        <v>0</v>
      </c>
      <c r="L117" s="16">
        <v>0</v>
      </c>
      <c r="M117" s="16">
        <v>0</v>
      </c>
      <c r="N117" s="18">
        <f t="shared" si="3"/>
        <v>415910601.53764814</v>
      </c>
      <c r="O117" s="4"/>
    </row>
    <row r="118" spans="1:15" ht="15" x14ac:dyDescent="0.2">
      <c r="A118" s="17" t="s">
        <v>113</v>
      </c>
      <c r="B118" s="16">
        <v>638231845.00999999</v>
      </c>
      <c r="C118" s="16">
        <v>0</v>
      </c>
      <c r="D118" s="16">
        <v>17908222.263139613</v>
      </c>
      <c r="E118" s="16">
        <v>5474863.6600000001</v>
      </c>
      <c r="F118" s="16">
        <v>3771099.15</v>
      </c>
      <c r="G118" s="16">
        <v>2503389.91</v>
      </c>
      <c r="H118" s="16">
        <v>34943624.310000002</v>
      </c>
      <c r="I118" s="16">
        <v>16408355.029999999</v>
      </c>
      <c r="J118" s="16">
        <v>52649761.290000029</v>
      </c>
      <c r="K118" s="16">
        <v>0</v>
      </c>
      <c r="L118" s="16">
        <v>0</v>
      </c>
      <c r="M118" s="16">
        <v>0</v>
      </c>
      <c r="N118" s="18">
        <f t="shared" si="3"/>
        <v>771891160.6231395</v>
      </c>
      <c r="O118" s="4"/>
    </row>
    <row r="119" spans="1:15" ht="15" x14ac:dyDescent="0.2">
      <c r="A119" s="17" t="s">
        <v>114</v>
      </c>
      <c r="B119" s="16">
        <v>863604646.4000001</v>
      </c>
      <c r="C119" s="16">
        <v>0</v>
      </c>
      <c r="D119" s="16">
        <v>14653356.637244398</v>
      </c>
      <c r="E119" s="16">
        <v>7408150.71</v>
      </c>
      <c r="F119" s="16">
        <v>3029906.34</v>
      </c>
      <c r="G119" s="16">
        <v>1680052.78</v>
      </c>
      <c r="H119" s="16">
        <v>47282937.299999997</v>
      </c>
      <c r="I119" s="16">
        <v>13183365.66</v>
      </c>
      <c r="J119" s="16">
        <v>47925249.75</v>
      </c>
      <c r="K119" s="16">
        <v>0</v>
      </c>
      <c r="L119" s="16">
        <v>0</v>
      </c>
      <c r="M119" s="16">
        <v>0</v>
      </c>
      <c r="N119" s="18">
        <f t="shared" si="3"/>
        <v>998767665.5772444</v>
      </c>
      <c r="O119" s="4"/>
    </row>
    <row r="120" spans="1:15" ht="15" x14ac:dyDescent="0.2">
      <c r="A120" s="17" t="s">
        <v>115</v>
      </c>
      <c r="B120" s="16">
        <v>536370175.46999997</v>
      </c>
      <c r="C120" s="16">
        <v>0</v>
      </c>
      <c r="D120" s="16">
        <v>12607829.556678381</v>
      </c>
      <c r="E120" s="16">
        <v>4601076.5599999996</v>
      </c>
      <c r="F120" s="16">
        <v>2041649.27</v>
      </c>
      <c r="G120" s="16">
        <v>1702305.14</v>
      </c>
      <c r="H120" s="16">
        <v>29366629.149999999</v>
      </c>
      <c r="I120" s="16">
        <v>8883379.8200000003</v>
      </c>
      <c r="J120" s="16">
        <v>49686592.20000001</v>
      </c>
      <c r="K120" s="16">
        <v>0</v>
      </c>
      <c r="L120" s="16">
        <v>0</v>
      </c>
      <c r="M120" s="16">
        <v>0</v>
      </c>
      <c r="N120" s="18">
        <f t="shared" si="3"/>
        <v>645259637.16667831</v>
      </c>
      <c r="O120" s="4"/>
    </row>
    <row r="121" spans="1:15" ht="15" x14ac:dyDescent="0.2">
      <c r="A121" s="17" t="s">
        <v>116</v>
      </c>
      <c r="B121" s="16">
        <v>655655864.00999999</v>
      </c>
      <c r="C121" s="16">
        <v>0</v>
      </c>
      <c r="D121" s="16">
        <v>11319494.192622572</v>
      </c>
      <c r="E121" s="16">
        <v>5624329.9299999997</v>
      </c>
      <c r="F121" s="16">
        <v>857986.82</v>
      </c>
      <c r="G121" s="16">
        <v>567435.05000000005</v>
      </c>
      <c r="H121" s="16">
        <v>35897601.109999999</v>
      </c>
      <c r="I121" s="16">
        <v>3733169.52</v>
      </c>
      <c r="J121" s="16">
        <v>27609240.119999994</v>
      </c>
      <c r="K121" s="16">
        <v>0</v>
      </c>
      <c r="L121" s="16">
        <v>0</v>
      </c>
      <c r="M121" s="16">
        <v>0</v>
      </c>
      <c r="N121" s="18">
        <f t="shared" si="3"/>
        <v>741265120.75262249</v>
      </c>
      <c r="O121" s="4"/>
    </row>
    <row r="122" spans="1:15" ht="15" x14ac:dyDescent="0.2">
      <c r="A122" s="17" t="s">
        <v>117</v>
      </c>
      <c r="B122" s="16">
        <v>2129884543.5</v>
      </c>
      <c r="C122" s="16">
        <v>0</v>
      </c>
      <c r="D122" s="16">
        <v>22871092.880000003</v>
      </c>
      <c r="E122" s="16">
        <v>22561361.449999999</v>
      </c>
      <c r="F122" s="16">
        <v>25829446.23</v>
      </c>
      <c r="G122" s="16">
        <v>14974835.106322225</v>
      </c>
      <c r="H122" s="16">
        <v>116612616.37</v>
      </c>
      <c r="I122" s="16">
        <v>112385993.34999999</v>
      </c>
      <c r="J122" s="16">
        <v>129513145.44</v>
      </c>
      <c r="K122" s="16">
        <v>0</v>
      </c>
      <c r="L122" s="16">
        <v>0</v>
      </c>
      <c r="M122" s="16">
        <v>0</v>
      </c>
      <c r="N122" s="18">
        <f t="shared" si="3"/>
        <v>2574633034.3263221</v>
      </c>
      <c r="O122" s="4"/>
    </row>
    <row r="123" spans="1:15" ht="15" x14ac:dyDescent="0.2">
      <c r="A123" s="17" t="s">
        <v>118</v>
      </c>
      <c r="B123" s="16">
        <v>4700046035.4200001</v>
      </c>
      <c r="C123" s="16">
        <v>0</v>
      </c>
      <c r="D123" s="16">
        <v>63203891.700000003</v>
      </c>
      <c r="E123" s="16">
        <v>40317811.560000002</v>
      </c>
      <c r="F123" s="16">
        <v>35905176.299999997</v>
      </c>
      <c r="G123" s="16">
        <v>36294281.861624584</v>
      </c>
      <c r="H123" s="16">
        <v>257330692.83000001</v>
      </c>
      <c r="I123" s="16">
        <v>156226303.46000001</v>
      </c>
      <c r="J123" s="16">
        <v>168989877.41999999</v>
      </c>
      <c r="K123" s="16">
        <v>0</v>
      </c>
      <c r="L123" s="16">
        <v>0</v>
      </c>
      <c r="M123" s="16">
        <v>0</v>
      </c>
      <c r="N123" s="18">
        <f t="shared" si="3"/>
        <v>5458314070.5516253</v>
      </c>
      <c r="O123" s="4"/>
    </row>
    <row r="124" spans="1:15" ht="15" x14ac:dyDescent="0.2">
      <c r="A124" s="17" t="s">
        <v>119</v>
      </c>
      <c r="B124" s="16">
        <v>4128068191.6400003</v>
      </c>
      <c r="C124" s="16">
        <v>0</v>
      </c>
      <c r="D124" s="16">
        <v>32776993.59</v>
      </c>
      <c r="E124" s="16">
        <v>43727646.579999998</v>
      </c>
      <c r="F124" s="16">
        <v>45978660.329999998</v>
      </c>
      <c r="G124" s="16">
        <v>0</v>
      </c>
      <c r="H124" s="16">
        <v>226014519.81</v>
      </c>
      <c r="I124" s="16">
        <v>200056840.86000001</v>
      </c>
      <c r="J124" s="16">
        <v>241766528.64000005</v>
      </c>
      <c r="K124" s="16">
        <v>0</v>
      </c>
      <c r="L124" s="16">
        <v>0</v>
      </c>
      <c r="M124" s="16">
        <v>0</v>
      </c>
      <c r="N124" s="18">
        <f t="shared" si="3"/>
        <v>4918389381.4500008</v>
      </c>
      <c r="O124" s="4"/>
    </row>
    <row r="125" spans="1:15" ht="15" x14ac:dyDescent="0.2">
      <c r="A125" s="17" t="s">
        <v>120</v>
      </c>
      <c r="B125" s="16">
        <v>1357696650.5599999</v>
      </c>
      <c r="C125" s="16">
        <v>0</v>
      </c>
      <c r="D125" s="16">
        <v>27904902.517064996</v>
      </c>
      <c r="E125" s="16">
        <v>11646557.77</v>
      </c>
      <c r="F125" s="16">
        <v>17878468.870000001</v>
      </c>
      <c r="G125" s="16">
        <v>10658877.91</v>
      </c>
      <c r="H125" s="16">
        <v>74334808.030000001</v>
      </c>
      <c r="I125" s="16">
        <v>77790652.790000007</v>
      </c>
      <c r="J125" s="16">
        <v>149402633.09999993</v>
      </c>
      <c r="K125" s="16">
        <v>0</v>
      </c>
      <c r="L125" s="16">
        <v>0</v>
      </c>
      <c r="M125" s="16">
        <v>0</v>
      </c>
      <c r="N125" s="18">
        <f t="shared" si="3"/>
        <v>1727313551.5470648</v>
      </c>
      <c r="O125" s="4"/>
    </row>
    <row r="126" spans="1:15" ht="15" x14ac:dyDescent="0.2">
      <c r="A126" s="17" t="s">
        <v>121</v>
      </c>
      <c r="B126" s="16">
        <v>1512827391.75</v>
      </c>
      <c r="C126" s="16">
        <v>0</v>
      </c>
      <c r="D126" s="16">
        <v>24508862.408109013</v>
      </c>
      <c r="E126" s="16">
        <v>12977296.23</v>
      </c>
      <c r="F126" s="16">
        <v>8950464.6300000008</v>
      </c>
      <c r="G126" s="16">
        <v>4361461.5199999996</v>
      </c>
      <c r="H126" s="16">
        <v>82828320.819999993</v>
      </c>
      <c r="I126" s="16">
        <v>38944189.869999997</v>
      </c>
      <c r="J126" s="16">
        <v>102511703.48999998</v>
      </c>
      <c r="K126" s="16">
        <v>0</v>
      </c>
      <c r="L126" s="16">
        <v>0</v>
      </c>
      <c r="M126" s="16">
        <v>0</v>
      </c>
      <c r="N126" s="18">
        <f t="shared" si="3"/>
        <v>1787909690.7181089</v>
      </c>
      <c r="O126" s="4"/>
    </row>
    <row r="127" spans="1:15" ht="15" x14ac:dyDescent="0.2">
      <c r="A127" s="17" t="s">
        <v>122</v>
      </c>
      <c r="B127" s="16">
        <v>853634499.26999998</v>
      </c>
      <c r="C127" s="16">
        <v>0</v>
      </c>
      <c r="D127" s="16">
        <v>11245671.417984702</v>
      </c>
      <c r="E127" s="16">
        <v>7322625.0600000005</v>
      </c>
      <c r="F127" s="16">
        <v>9500744.1300000008</v>
      </c>
      <c r="G127" s="16">
        <v>6230659.3200000003</v>
      </c>
      <c r="H127" s="16">
        <v>46737065.020000003</v>
      </c>
      <c r="I127" s="16">
        <v>41338500.159999996</v>
      </c>
      <c r="J127" s="16">
        <v>113662282.85999995</v>
      </c>
      <c r="K127" s="16">
        <v>0</v>
      </c>
      <c r="L127" s="16">
        <v>0</v>
      </c>
      <c r="M127" s="16">
        <v>0</v>
      </c>
      <c r="N127" s="18">
        <f t="shared" si="3"/>
        <v>1089672047.2379847</v>
      </c>
      <c r="O127" s="4"/>
    </row>
    <row r="128" spans="1:15" ht="15" x14ac:dyDescent="0.2">
      <c r="A128" s="17" t="s">
        <v>123</v>
      </c>
      <c r="B128" s="16">
        <v>398924576.17000002</v>
      </c>
      <c r="C128" s="16">
        <v>0</v>
      </c>
      <c r="D128" s="16">
        <v>7450726.5578260059</v>
      </c>
      <c r="E128" s="16">
        <v>3422044.33</v>
      </c>
      <c r="F128" s="16">
        <v>869217.01</v>
      </c>
      <c r="G128" s="16">
        <v>745453.88</v>
      </c>
      <c r="H128" s="16">
        <v>21841389.809999999</v>
      </c>
      <c r="I128" s="16">
        <v>3782032.99</v>
      </c>
      <c r="J128" s="16">
        <v>24426622.289999992</v>
      </c>
      <c r="K128" s="16">
        <v>0</v>
      </c>
      <c r="L128" s="16">
        <v>0</v>
      </c>
      <c r="M128" s="16">
        <v>0</v>
      </c>
      <c r="N128" s="18">
        <f t="shared" si="3"/>
        <v>461462063.03782594</v>
      </c>
      <c r="O128" s="4"/>
    </row>
    <row r="129" spans="1:15" ht="15" x14ac:dyDescent="0.2">
      <c r="A129" s="17" t="s">
        <v>124</v>
      </c>
      <c r="B129" s="16">
        <v>2485937487.2399998</v>
      </c>
      <c r="C129" s="16">
        <v>0</v>
      </c>
      <c r="D129" s="16">
        <v>86160143.602939278</v>
      </c>
      <c r="E129" s="16">
        <v>16473457.630000001</v>
      </c>
      <c r="F129" s="16">
        <v>11055002.98</v>
      </c>
      <c r="G129" s="16">
        <v>9245853.3800000008</v>
      </c>
      <c r="H129" s="16">
        <v>136106755.36000001</v>
      </c>
      <c r="I129" s="16">
        <v>48101205.159999996</v>
      </c>
      <c r="J129" s="16">
        <v>153051862.73999998</v>
      </c>
      <c r="K129" s="16">
        <v>0</v>
      </c>
      <c r="L129" s="16">
        <v>0</v>
      </c>
      <c r="M129" s="16">
        <v>0</v>
      </c>
      <c r="N129" s="18">
        <f t="shared" si="3"/>
        <v>2946131768.0929389</v>
      </c>
      <c r="O129" s="4"/>
    </row>
    <row r="130" spans="1:15" ht="15" x14ac:dyDescent="0.2">
      <c r="A130" s="17" t="s">
        <v>125</v>
      </c>
      <c r="B130" s="16">
        <v>672201560.49000001</v>
      </c>
      <c r="C130" s="16">
        <v>0</v>
      </c>
      <c r="D130" s="16">
        <v>17229965.927952226</v>
      </c>
      <c r="E130" s="16">
        <v>5766261.7800000003</v>
      </c>
      <c r="F130" s="16">
        <v>1367837.63</v>
      </c>
      <c r="G130" s="16">
        <v>689823</v>
      </c>
      <c r="H130" s="16">
        <v>36803489.159999996</v>
      </c>
      <c r="I130" s="16">
        <v>5951571.2999999998</v>
      </c>
      <c r="J130" s="16">
        <v>42065844.450000003</v>
      </c>
      <c r="K130" s="16">
        <v>0</v>
      </c>
      <c r="L130" s="16">
        <v>0</v>
      </c>
      <c r="M130" s="16">
        <v>0</v>
      </c>
      <c r="N130" s="18">
        <f t="shared" si="3"/>
        <v>782076353.73795211</v>
      </c>
      <c r="O130" s="4"/>
    </row>
    <row r="131" spans="1:15" ht="15" x14ac:dyDescent="0.2">
      <c r="A131" s="17" t="s">
        <v>126</v>
      </c>
      <c r="B131" s="16">
        <v>4222214866.4099994</v>
      </c>
      <c r="C131" s="16">
        <v>0</v>
      </c>
      <c r="D131" s="16">
        <v>96987821.530000016</v>
      </c>
      <c r="E131" s="16">
        <v>55446802.539999999</v>
      </c>
      <c r="F131" s="16">
        <v>60398229.450000003</v>
      </c>
      <c r="G131" s="16">
        <v>7840688.9267451484</v>
      </c>
      <c r="H131" s="16">
        <v>231169113.80000001</v>
      </c>
      <c r="I131" s="16">
        <v>262797543.24000001</v>
      </c>
      <c r="J131" s="16">
        <v>330512046.06000018</v>
      </c>
      <c r="K131" s="16">
        <v>0</v>
      </c>
      <c r="L131" s="16">
        <v>0</v>
      </c>
      <c r="M131" s="16">
        <v>0</v>
      </c>
      <c r="N131" s="18">
        <f t="shared" si="3"/>
        <v>5267367111.9567451</v>
      </c>
      <c r="O131" s="4"/>
    </row>
    <row r="132" spans="1:15" ht="15" x14ac:dyDescent="0.2">
      <c r="A132" s="17" t="s">
        <v>127</v>
      </c>
      <c r="B132" s="16">
        <v>166406502.71999997</v>
      </c>
      <c r="C132" s="16">
        <v>0</v>
      </c>
      <c r="D132" s="16">
        <v>3508876.5055085998</v>
      </c>
      <c r="E132" s="16">
        <v>1427463.8900000001</v>
      </c>
      <c r="F132" s="16">
        <v>258294.46</v>
      </c>
      <c r="G132" s="16">
        <v>166892.66</v>
      </c>
      <c r="H132" s="16">
        <v>9110868.3499999996</v>
      </c>
      <c r="I132" s="16">
        <v>1123859.93</v>
      </c>
      <c r="J132" s="16">
        <v>11868363.360000001</v>
      </c>
      <c r="K132" s="16">
        <v>0</v>
      </c>
      <c r="L132" s="16">
        <v>0</v>
      </c>
      <c r="M132" s="16">
        <v>0</v>
      </c>
      <c r="N132" s="18">
        <f t="shared" si="3"/>
        <v>193871121.87550858</v>
      </c>
      <c r="O132" s="4"/>
    </row>
    <row r="133" spans="1:15" ht="15" x14ac:dyDescent="0.2">
      <c r="A133" s="17" t="s">
        <v>128</v>
      </c>
      <c r="B133" s="16">
        <v>1042188971.71</v>
      </c>
      <c r="C133" s="16">
        <v>0</v>
      </c>
      <c r="D133" s="16">
        <v>12191809.067747612</v>
      </c>
      <c r="E133" s="16">
        <v>5072180.75</v>
      </c>
      <c r="F133" s="16">
        <v>934352.14</v>
      </c>
      <c r="G133" s="16">
        <v>945725.08</v>
      </c>
      <c r="H133" s="16">
        <v>57060549.649999999</v>
      </c>
      <c r="I133" s="16">
        <v>4065441.15</v>
      </c>
      <c r="J133" s="16">
        <v>43780473.450000003</v>
      </c>
      <c r="K133" s="16">
        <v>0</v>
      </c>
      <c r="L133" s="16">
        <v>0</v>
      </c>
      <c r="M133" s="16">
        <v>0</v>
      </c>
      <c r="N133" s="18">
        <f t="shared" si="3"/>
        <v>1166239502.9977479</v>
      </c>
      <c r="O133" s="4"/>
    </row>
    <row r="134" spans="1:15" ht="15" x14ac:dyDescent="0.2">
      <c r="A134" s="17" t="s">
        <v>129</v>
      </c>
      <c r="B134" s="16">
        <v>1800466135.6000001</v>
      </c>
      <c r="C134" s="16">
        <v>0</v>
      </c>
      <c r="D134" s="16">
        <v>29716666.490409225</v>
      </c>
      <c r="E134" s="16">
        <v>15444711.35</v>
      </c>
      <c r="F134" s="16">
        <v>4359561.3099999996</v>
      </c>
      <c r="G134" s="16">
        <v>3126455.84</v>
      </c>
      <c r="H134" s="16">
        <v>98576736.189999998</v>
      </c>
      <c r="I134" s="16">
        <v>18968801.140000001</v>
      </c>
      <c r="J134" s="16">
        <v>98871711.75</v>
      </c>
      <c r="K134" s="16">
        <v>0</v>
      </c>
      <c r="L134" s="16">
        <v>0</v>
      </c>
      <c r="M134" s="16">
        <v>0</v>
      </c>
      <c r="N134" s="18">
        <f t="shared" si="3"/>
        <v>2069530779.6704092</v>
      </c>
      <c r="O134" s="4"/>
    </row>
    <row r="135" spans="1:15" ht="15" x14ac:dyDescent="0.2">
      <c r="A135" s="17" t="s">
        <v>130</v>
      </c>
      <c r="B135" s="16">
        <v>1489207638.49</v>
      </c>
      <c r="C135" s="16">
        <v>0</v>
      </c>
      <c r="D135" s="16">
        <v>44578616.464323983</v>
      </c>
      <c r="E135" s="16">
        <v>15774823.060000001</v>
      </c>
      <c r="F135" s="16">
        <v>6562925.3799999999</v>
      </c>
      <c r="G135" s="16">
        <v>3960919.14</v>
      </c>
      <c r="H135" s="16">
        <v>81535123.379999995</v>
      </c>
      <c r="I135" s="16">
        <v>28555815.010000002</v>
      </c>
      <c r="J135" s="16">
        <v>101932316.84999996</v>
      </c>
      <c r="K135" s="16">
        <v>0</v>
      </c>
      <c r="L135" s="16">
        <v>0</v>
      </c>
      <c r="M135" s="16">
        <v>0</v>
      </c>
      <c r="N135" s="18">
        <f t="shared" si="3"/>
        <v>1772108177.7743242</v>
      </c>
      <c r="O135" s="4"/>
    </row>
    <row r="136" spans="1:15" ht="15" x14ac:dyDescent="0.2">
      <c r="A136" s="17" t="s">
        <v>131</v>
      </c>
      <c r="B136" s="16">
        <v>2402663020.4700003</v>
      </c>
      <c r="C136" s="16">
        <v>0</v>
      </c>
      <c r="D136" s="16">
        <v>38275963.380000003</v>
      </c>
      <c r="E136" s="16">
        <v>25450839.119999997</v>
      </c>
      <c r="F136" s="16">
        <v>39047384.590000004</v>
      </c>
      <c r="G136" s="16">
        <v>27701237.874486852</v>
      </c>
      <c r="H136" s="16">
        <v>131547422.09999999</v>
      </c>
      <c r="I136" s="16">
        <v>169898303.87</v>
      </c>
      <c r="J136" s="16">
        <v>231747008.21999991</v>
      </c>
      <c r="K136" s="16">
        <v>0</v>
      </c>
      <c r="L136" s="16">
        <v>0</v>
      </c>
      <c r="M136" s="16">
        <v>0</v>
      </c>
      <c r="N136" s="18">
        <f t="shared" ref="N136:N142" si="4">SUM(B136:M136)</f>
        <v>3066331179.6244869</v>
      </c>
      <c r="O136" s="4"/>
    </row>
    <row r="137" spans="1:15" ht="15" x14ac:dyDescent="0.2">
      <c r="A137" s="17" t="s">
        <v>132</v>
      </c>
      <c r="B137" s="16">
        <v>384705247.29999995</v>
      </c>
      <c r="C137" s="16">
        <v>0</v>
      </c>
      <c r="D137" s="16">
        <v>6647621.7396133821</v>
      </c>
      <c r="E137" s="16">
        <v>3300068.46</v>
      </c>
      <c r="F137" s="16">
        <v>467176.07</v>
      </c>
      <c r="G137" s="16">
        <v>578561.22</v>
      </c>
      <c r="H137" s="16">
        <v>21062871.960000001</v>
      </c>
      <c r="I137" s="16">
        <v>2032720.58</v>
      </c>
      <c r="J137" s="16">
        <v>22733955.509999998</v>
      </c>
      <c r="K137" s="16">
        <v>0</v>
      </c>
      <c r="L137" s="16">
        <v>0</v>
      </c>
      <c r="M137" s="16">
        <v>0</v>
      </c>
      <c r="N137" s="18">
        <f t="shared" si="4"/>
        <v>441528222.83961326</v>
      </c>
      <c r="O137" s="4"/>
    </row>
    <row r="138" spans="1:15" ht="15" x14ac:dyDescent="0.2">
      <c r="A138" s="17" t="s">
        <v>133</v>
      </c>
      <c r="B138" s="16">
        <v>1086128834.29</v>
      </c>
      <c r="C138" s="16">
        <v>0</v>
      </c>
      <c r="D138" s="16">
        <v>29554473.317634828</v>
      </c>
      <c r="E138" s="16">
        <v>9317001.8599999994</v>
      </c>
      <c r="F138" s="16">
        <v>4067576.27</v>
      </c>
      <c r="G138" s="16">
        <v>2258614</v>
      </c>
      <c r="H138" s="16">
        <v>59466286.789999999</v>
      </c>
      <c r="I138" s="16">
        <v>17698350.780000001</v>
      </c>
      <c r="J138" s="16">
        <v>82603739.609999955</v>
      </c>
      <c r="K138" s="16">
        <v>0</v>
      </c>
      <c r="L138" s="16">
        <v>0</v>
      </c>
      <c r="M138" s="16">
        <v>0</v>
      </c>
      <c r="N138" s="18">
        <f t="shared" si="4"/>
        <v>1291094876.9176345</v>
      </c>
      <c r="O138" s="4"/>
    </row>
    <row r="139" spans="1:15" ht="15" x14ac:dyDescent="0.2">
      <c r="A139" s="17" t="s">
        <v>134</v>
      </c>
      <c r="B139" s="16">
        <v>3818590077.9399996</v>
      </c>
      <c r="C139" s="16">
        <v>0</v>
      </c>
      <c r="D139" s="16">
        <v>50430225.405000001</v>
      </c>
      <c r="E139" s="16">
        <v>32756529.229999997</v>
      </c>
      <c r="F139" s="16">
        <v>20919605.41</v>
      </c>
      <c r="G139" s="16">
        <v>25221699.246776488</v>
      </c>
      <c r="H139" s="16">
        <v>209070384.25</v>
      </c>
      <c r="I139" s="16">
        <v>91022881.939999998</v>
      </c>
      <c r="J139" s="16">
        <v>147493654.97999996</v>
      </c>
      <c r="K139" s="16">
        <v>0</v>
      </c>
      <c r="L139" s="16">
        <v>0</v>
      </c>
      <c r="M139" s="16">
        <v>0</v>
      </c>
      <c r="N139" s="18">
        <f t="shared" si="4"/>
        <v>4395505058.4017763</v>
      </c>
      <c r="O139" s="4"/>
    </row>
    <row r="140" spans="1:15" ht="15" x14ac:dyDescent="0.2">
      <c r="A140" s="17" t="s">
        <v>135</v>
      </c>
      <c r="B140" s="16">
        <v>1125582130.6600001</v>
      </c>
      <c r="C140" s="16">
        <v>0</v>
      </c>
      <c r="D140" s="16">
        <v>8837025.5800000001</v>
      </c>
      <c r="E140" s="16">
        <v>9655439.0899999999</v>
      </c>
      <c r="F140" s="16">
        <v>3449915.6</v>
      </c>
      <c r="G140" s="16">
        <v>2381001.9500000002</v>
      </c>
      <c r="H140" s="16">
        <v>61626381.390000001</v>
      </c>
      <c r="I140" s="16">
        <v>15010859.630000001</v>
      </c>
      <c r="J140" s="16">
        <v>37282243.740000002</v>
      </c>
      <c r="K140" s="16">
        <v>0</v>
      </c>
      <c r="L140" s="16">
        <v>0</v>
      </c>
      <c r="M140" s="16">
        <v>0</v>
      </c>
      <c r="N140" s="18">
        <f t="shared" si="4"/>
        <v>1263824997.6400001</v>
      </c>
      <c r="O140" s="4"/>
    </row>
    <row r="141" spans="1:15" ht="15" x14ac:dyDescent="0.2">
      <c r="A141" s="17" t="s">
        <v>136</v>
      </c>
      <c r="B141" s="16">
        <v>1304688701.8</v>
      </c>
      <c r="C141" s="16">
        <v>0</v>
      </c>
      <c r="D141" s="16">
        <v>19033596.123346135</v>
      </c>
      <c r="E141" s="16">
        <v>11191846.379999999</v>
      </c>
      <c r="F141" s="16">
        <v>4974975.9400000004</v>
      </c>
      <c r="G141" s="16">
        <v>2080595.17</v>
      </c>
      <c r="H141" s="16">
        <v>71432587.049999997</v>
      </c>
      <c r="I141" s="16">
        <v>21646519.59</v>
      </c>
      <c r="J141" s="16">
        <v>103685641.28999998</v>
      </c>
      <c r="K141" s="16">
        <v>0</v>
      </c>
      <c r="L141" s="16">
        <v>0</v>
      </c>
      <c r="M141" s="16">
        <v>0</v>
      </c>
      <c r="N141" s="18">
        <f t="shared" si="4"/>
        <v>1538734463.3433461</v>
      </c>
      <c r="O141" s="4"/>
    </row>
    <row r="142" spans="1:15" ht="15" x14ac:dyDescent="0.2">
      <c r="A142" s="17" t="s">
        <v>137</v>
      </c>
      <c r="B142" s="16">
        <v>1275276767.8600001</v>
      </c>
      <c r="C142" s="16">
        <v>0</v>
      </c>
      <c r="D142" s="16">
        <v>24555447.493935004</v>
      </c>
      <c r="E142" s="16">
        <v>13508704.129999999</v>
      </c>
      <c r="F142" s="16">
        <v>21389027.52</v>
      </c>
      <c r="G142" s="16">
        <v>8400263.9100000001</v>
      </c>
      <c r="H142" s="16">
        <v>69822263.819999993</v>
      </c>
      <c r="I142" s="16">
        <v>93065375.189999998</v>
      </c>
      <c r="J142" s="16">
        <v>140550949.97999996</v>
      </c>
      <c r="K142" s="16">
        <v>0</v>
      </c>
      <c r="L142" s="16">
        <v>0</v>
      </c>
      <c r="M142" s="16">
        <v>0</v>
      </c>
      <c r="N142" s="18">
        <f t="shared" si="4"/>
        <v>1646568799.9039354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237384454765.62003</v>
      </c>
      <c r="C143" s="23">
        <f t="shared" si="5"/>
        <v>0</v>
      </c>
      <c r="D143" s="23">
        <f t="shared" si="5"/>
        <v>3779955315.1869249</v>
      </c>
      <c r="E143" s="23">
        <f t="shared" si="5"/>
        <v>2298569129.809999</v>
      </c>
      <c r="F143" s="23">
        <f t="shared" si="5"/>
        <v>2246038803.1800003</v>
      </c>
      <c r="G143" s="23">
        <f t="shared" si="5"/>
        <v>1112617735.7700005</v>
      </c>
      <c r="H143" s="23">
        <f t="shared" si="5"/>
        <v>12996959126.320002</v>
      </c>
      <c r="I143" s="23">
        <f t="shared" si="5"/>
        <v>9772695074.2200031</v>
      </c>
      <c r="J143" s="23">
        <f t="shared" ref="J143:N143" si="6">SUM(J8:J142)</f>
        <v>17430405958.350006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287021695908.45703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170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176</v>
      </c>
      <c r="L7" s="19" t="s">
        <v>149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>
        <v>1166465612.2200003</v>
      </c>
      <c r="C8" s="16">
        <v>0</v>
      </c>
      <c r="D8" s="16">
        <v>165464743.4162685</v>
      </c>
      <c r="E8" s="16">
        <v>13380457.969999999</v>
      </c>
      <c r="F8" s="16">
        <v>3387994.28</v>
      </c>
      <c r="G8" s="16">
        <v>1836915.8</v>
      </c>
      <c r="H8" s="16">
        <v>58274281.619999997</v>
      </c>
      <c r="I8" s="16">
        <v>8047084.4400000004</v>
      </c>
      <c r="J8" s="16">
        <v>57463367.059999973</v>
      </c>
      <c r="K8" s="16">
        <v>0</v>
      </c>
      <c r="L8" s="16">
        <v>0</v>
      </c>
      <c r="M8" s="16">
        <v>0</v>
      </c>
      <c r="N8" s="18">
        <f t="shared" ref="N8:N39" si="0">SUM(B8:M8)</f>
        <v>1474320456.8062687</v>
      </c>
      <c r="O8" s="4"/>
    </row>
    <row r="9" spans="1:15" ht="18" customHeight="1" x14ac:dyDescent="0.2">
      <c r="A9" s="17" t="s">
        <v>4</v>
      </c>
      <c r="B9" s="16">
        <v>616460402.31999993</v>
      </c>
      <c r="C9" s="16">
        <v>0</v>
      </c>
      <c r="D9" s="16">
        <v>140845461.5075427</v>
      </c>
      <c r="E9" s="16">
        <v>6896883.8700000001</v>
      </c>
      <c r="F9" s="16">
        <v>2373700.34</v>
      </c>
      <c r="G9" s="16">
        <v>1359317.7</v>
      </c>
      <c r="H9" s="16">
        <v>30797124.850000001</v>
      </c>
      <c r="I9" s="16">
        <v>5637957.2999999998</v>
      </c>
      <c r="J9" s="16">
        <v>43577409.259999976</v>
      </c>
      <c r="K9" s="16">
        <v>0</v>
      </c>
      <c r="L9" s="16">
        <v>0</v>
      </c>
      <c r="M9" s="16">
        <v>0</v>
      </c>
      <c r="N9" s="18">
        <f t="shared" si="0"/>
        <v>847948257.14754272</v>
      </c>
      <c r="O9" s="4"/>
    </row>
    <row r="10" spans="1:15" ht="18" customHeight="1" x14ac:dyDescent="0.2">
      <c r="A10" s="17" t="s">
        <v>5</v>
      </c>
      <c r="B10" s="16">
        <v>671418340.89999998</v>
      </c>
      <c r="C10" s="16">
        <v>0</v>
      </c>
      <c r="D10" s="16">
        <v>107870531.86644216</v>
      </c>
      <c r="E10" s="16">
        <v>7614918.6799999997</v>
      </c>
      <c r="F10" s="16">
        <v>1658223.29</v>
      </c>
      <c r="G10" s="16">
        <v>1359317.7</v>
      </c>
      <c r="H10" s="16">
        <v>33542713.199999999</v>
      </c>
      <c r="I10" s="16">
        <v>3938573.01</v>
      </c>
      <c r="J10" s="16">
        <v>25755416.72000001</v>
      </c>
      <c r="K10" s="16">
        <v>0</v>
      </c>
      <c r="L10" s="16">
        <v>0</v>
      </c>
      <c r="M10" s="16">
        <v>0</v>
      </c>
      <c r="N10" s="18">
        <f t="shared" si="0"/>
        <v>853158035.3664422</v>
      </c>
      <c r="O10" s="4"/>
    </row>
    <row r="11" spans="1:15" ht="18" customHeight="1" x14ac:dyDescent="0.2">
      <c r="A11" s="17" t="s">
        <v>6</v>
      </c>
      <c r="B11" s="16">
        <v>5423190826.8599997</v>
      </c>
      <c r="C11" s="16">
        <v>0</v>
      </c>
      <c r="D11" s="16">
        <v>80462868.007833183</v>
      </c>
      <c r="E11" s="16">
        <v>78819175.439999998</v>
      </c>
      <c r="F11" s="16">
        <v>177985439.15000001</v>
      </c>
      <c r="G11" s="16">
        <v>116580092.8536977</v>
      </c>
      <c r="H11" s="16">
        <v>270931732.74000001</v>
      </c>
      <c r="I11" s="16">
        <v>422746833.64999998</v>
      </c>
      <c r="J11" s="16">
        <v>484566132.60000014</v>
      </c>
      <c r="K11" s="16">
        <v>0</v>
      </c>
      <c r="L11" s="16">
        <v>0</v>
      </c>
      <c r="M11" s="16">
        <v>0</v>
      </c>
      <c r="N11" s="18">
        <f t="shared" si="0"/>
        <v>7055283101.3015299</v>
      </c>
      <c r="O11" s="4"/>
    </row>
    <row r="12" spans="1:15" ht="18" customHeight="1" x14ac:dyDescent="0.2">
      <c r="A12" s="17" t="s">
        <v>7</v>
      </c>
      <c r="B12" s="16">
        <v>698218652.80999994</v>
      </c>
      <c r="C12" s="16">
        <v>0</v>
      </c>
      <c r="D12" s="16">
        <v>148385953.91415438</v>
      </c>
      <c r="E12" s="16">
        <v>8098023.1900000004</v>
      </c>
      <c r="F12" s="16">
        <v>6085763.6500000004</v>
      </c>
      <c r="G12" s="16">
        <v>3379925.08</v>
      </c>
      <c r="H12" s="16">
        <v>34881603.009999998</v>
      </c>
      <c r="I12" s="16">
        <v>14454762.859999999</v>
      </c>
      <c r="J12" s="16">
        <v>52247641.820000008</v>
      </c>
      <c r="K12" s="16">
        <v>0</v>
      </c>
      <c r="L12" s="16">
        <v>0</v>
      </c>
      <c r="M12" s="16">
        <v>0</v>
      </c>
      <c r="N12" s="18">
        <f t="shared" si="0"/>
        <v>965752326.33415449</v>
      </c>
      <c r="O12" s="4"/>
    </row>
    <row r="13" spans="1:15" ht="18" customHeight="1" x14ac:dyDescent="0.2">
      <c r="A13" s="17" t="s">
        <v>8</v>
      </c>
      <c r="B13" s="16">
        <v>3318927209.0500002</v>
      </c>
      <c r="C13" s="16">
        <v>0</v>
      </c>
      <c r="D13" s="16">
        <v>62303722.903926671</v>
      </c>
      <c r="E13" s="16">
        <v>45593834.800000004</v>
      </c>
      <c r="F13" s="16">
        <v>86551680.209999993</v>
      </c>
      <c r="G13" s="16">
        <v>0</v>
      </c>
      <c r="H13" s="16">
        <v>165806944.34999999</v>
      </c>
      <c r="I13" s="16">
        <v>205575517.47999999</v>
      </c>
      <c r="J13" s="16">
        <v>360309964.29999995</v>
      </c>
      <c r="K13" s="16">
        <v>0</v>
      </c>
      <c r="L13" s="16">
        <v>0</v>
      </c>
      <c r="M13" s="16">
        <v>0</v>
      </c>
      <c r="N13" s="18">
        <f t="shared" si="0"/>
        <v>4245068873.0939274</v>
      </c>
      <c r="O13" s="4"/>
    </row>
    <row r="14" spans="1:15" ht="18" customHeight="1" x14ac:dyDescent="0.2">
      <c r="A14" s="17" t="s">
        <v>9</v>
      </c>
      <c r="B14" s="16">
        <v>1121567770.8899999</v>
      </c>
      <c r="C14" s="16">
        <v>0</v>
      </c>
      <c r="D14" s="16">
        <v>236668608.11965588</v>
      </c>
      <c r="E14" s="16">
        <v>12684995.629999999</v>
      </c>
      <c r="F14" s="16">
        <v>3939332.49</v>
      </c>
      <c r="G14" s="16">
        <v>2296144.7599999998</v>
      </c>
      <c r="H14" s="16">
        <v>56031275.549999997</v>
      </c>
      <c r="I14" s="16">
        <v>9356609.9900000002</v>
      </c>
      <c r="J14" s="16">
        <v>77349700.559999973</v>
      </c>
      <c r="K14" s="16">
        <v>0</v>
      </c>
      <c r="L14" s="16">
        <v>0</v>
      </c>
      <c r="M14" s="16">
        <v>0</v>
      </c>
      <c r="N14" s="18">
        <f t="shared" si="0"/>
        <v>1519894437.9896557</v>
      </c>
      <c r="O14" s="4"/>
    </row>
    <row r="15" spans="1:15" ht="18" customHeight="1" x14ac:dyDescent="0.2">
      <c r="A15" s="17" t="s">
        <v>10</v>
      </c>
      <c r="B15" s="16">
        <v>1953362159.2199998</v>
      </c>
      <c r="C15" s="16">
        <v>0</v>
      </c>
      <c r="D15" s="16">
        <v>415186627.01027077</v>
      </c>
      <c r="E15" s="16">
        <v>22510816.57</v>
      </c>
      <c r="F15" s="16">
        <v>14675697</v>
      </c>
      <c r="G15" s="16">
        <v>7953845.4299999997</v>
      </c>
      <c r="H15" s="16">
        <v>97586054.299999997</v>
      </c>
      <c r="I15" s="16">
        <v>34857370.75</v>
      </c>
      <c r="J15" s="16">
        <v>123412536.5</v>
      </c>
      <c r="K15" s="16">
        <v>0</v>
      </c>
      <c r="L15" s="16">
        <v>0</v>
      </c>
      <c r="M15" s="16">
        <v>0</v>
      </c>
      <c r="N15" s="18">
        <f t="shared" si="0"/>
        <v>2669545106.7802706</v>
      </c>
      <c r="O15" s="4"/>
    </row>
    <row r="16" spans="1:15" ht="18" customHeight="1" x14ac:dyDescent="0.2">
      <c r="A16" s="17" t="s">
        <v>11</v>
      </c>
      <c r="B16" s="16">
        <v>3527687533.5599999</v>
      </c>
      <c r="C16" s="16">
        <v>0</v>
      </c>
      <c r="D16" s="16">
        <v>164568534.97730401</v>
      </c>
      <c r="E16" s="16">
        <v>45218261.869999997</v>
      </c>
      <c r="F16" s="16">
        <v>54733994.700000003</v>
      </c>
      <c r="G16" s="16">
        <v>35287152.600000001</v>
      </c>
      <c r="H16" s="16">
        <v>176236191.31</v>
      </c>
      <c r="I16" s="16">
        <v>130002898.36</v>
      </c>
      <c r="J16" s="16">
        <v>306572636.92000014</v>
      </c>
      <c r="K16" s="16">
        <v>0</v>
      </c>
      <c r="L16" s="16">
        <v>0</v>
      </c>
      <c r="M16" s="16">
        <v>0</v>
      </c>
      <c r="N16" s="18">
        <f t="shared" si="0"/>
        <v>4440307204.2973042</v>
      </c>
      <c r="O16" s="4"/>
    </row>
    <row r="17" spans="1:15" ht="15" x14ac:dyDescent="0.2">
      <c r="A17" s="17" t="s">
        <v>12</v>
      </c>
      <c r="B17" s="16">
        <v>1324153644.1900001</v>
      </c>
      <c r="C17" s="16">
        <v>0</v>
      </c>
      <c r="D17" s="16">
        <v>353153618.81000775</v>
      </c>
      <c r="E17" s="16">
        <v>15388435.93</v>
      </c>
      <c r="F17" s="16">
        <v>11241407.140000001</v>
      </c>
      <c r="G17" s="16">
        <v>5143364.25</v>
      </c>
      <c r="H17" s="16">
        <v>66152059.32</v>
      </c>
      <c r="I17" s="16">
        <v>26700326.149999999</v>
      </c>
      <c r="J17" s="16">
        <v>83098630.339999989</v>
      </c>
      <c r="K17" s="16">
        <v>0</v>
      </c>
      <c r="L17" s="16">
        <v>0</v>
      </c>
      <c r="M17" s="16">
        <v>0</v>
      </c>
      <c r="N17" s="18">
        <f t="shared" si="0"/>
        <v>1885031486.130008</v>
      </c>
      <c r="O17" s="4"/>
    </row>
    <row r="18" spans="1:15" ht="15" x14ac:dyDescent="0.2">
      <c r="A18" s="17" t="s">
        <v>13</v>
      </c>
      <c r="B18" s="16">
        <v>744686720.98000002</v>
      </c>
      <c r="C18" s="16">
        <v>0</v>
      </c>
      <c r="D18" s="16">
        <v>122314226.28045955</v>
      </c>
      <c r="E18" s="16">
        <v>8757580.1799999997</v>
      </c>
      <c r="F18" s="16">
        <v>7575639.4000000004</v>
      </c>
      <c r="G18" s="16">
        <v>4188168.03</v>
      </c>
      <c r="H18" s="16">
        <v>37203054.460000001</v>
      </c>
      <c r="I18" s="16">
        <v>17993480.739999998</v>
      </c>
      <c r="J18" s="16">
        <v>67748186.440000027</v>
      </c>
      <c r="K18" s="16">
        <v>0</v>
      </c>
      <c r="L18" s="16">
        <v>0</v>
      </c>
      <c r="M18" s="16">
        <v>0</v>
      </c>
      <c r="N18" s="18">
        <f t="shared" si="0"/>
        <v>1010467056.5104595</v>
      </c>
      <c r="O18" s="4"/>
    </row>
    <row r="19" spans="1:15" ht="15" x14ac:dyDescent="0.2">
      <c r="A19" s="17" t="s">
        <v>14</v>
      </c>
      <c r="B19" s="16">
        <v>1251896596.6200001</v>
      </c>
      <c r="C19" s="16">
        <v>0</v>
      </c>
      <c r="D19" s="16">
        <v>206365868.01288113</v>
      </c>
      <c r="E19" s="16">
        <v>14013598.25</v>
      </c>
      <c r="F19" s="16">
        <v>3059716.58</v>
      </c>
      <c r="G19" s="16">
        <v>2332883.0699999998</v>
      </c>
      <c r="H19" s="16">
        <v>62542242.189999998</v>
      </c>
      <c r="I19" s="16">
        <v>7267366.9400000004</v>
      </c>
      <c r="J19" s="16">
        <v>58943192</v>
      </c>
      <c r="K19" s="16">
        <v>0</v>
      </c>
      <c r="L19" s="16">
        <v>0</v>
      </c>
      <c r="M19" s="16">
        <v>0</v>
      </c>
      <c r="N19" s="18">
        <f t="shared" si="0"/>
        <v>1606421463.6628811</v>
      </c>
      <c r="O19" s="4"/>
    </row>
    <row r="20" spans="1:15" ht="15" x14ac:dyDescent="0.2">
      <c r="A20" s="17" t="s">
        <v>15</v>
      </c>
      <c r="B20" s="16">
        <v>4432856758.04</v>
      </c>
      <c r="C20" s="16">
        <v>0</v>
      </c>
      <c r="D20" s="16">
        <v>49047261.059722804</v>
      </c>
      <c r="E20" s="16">
        <v>60834492.489999995</v>
      </c>
      <c r="F20" s="16">
        <v>97658409.319999993</v>
      </c>
      <c r="G20" s="16">
        <v>59449389.068908989</v>
      </c>
      <c r="H20" s="16">
        <v>221456629.65000001</v>
      </c>
      <c r="I20" s="16">
        <v>231955959.52000001</v>
      </c>
      <c r="J20" s="16">
        <v>335175584.4799999</v>
      </c>
      <c r="K20" s="16">
        <v>0</v>
      </c>
      <c r="L20" s="16">
        <v>0</v>
      </c>
      <c r="M20" s="16">
        <v>0</v>
      </c>
      <c r="N20" s="18">
        <f t="shared" si="0"/>
        <v>5488434483.6286306</v>
      </c>
      <c r="O20" s="4"/>
    </row>
    <row r="21" spans="1:15" ht="15" x14ac:dyDescent="0.2">
      <c r="A21" s="17" t="s">
        <v>16</v>
      </c>
      <c r="B21" s="16">
        <v>1926136023.0799999</v>
      </c>
      <c r="C21" s="16">
        <v>0</v>
      </c>
      <c r="D21" s="16">
        <v>21367742.507767666</v>
      </c>
      <c r="E21" s="16">
        <v>23981859.130000003</v>
      </c>
      <c r="F21" s="16">
        <v>25967608.399999999</v>
      </c>
      <c r="G21" s="16">
        <v>7561629.7548207175</v>
      </c>
      <c r="H21" s="16">
        <v>96225891.159999996</v>
      </c>
      <c r="I21" s="16">
        <v>61677653.43</v>
      </c>
      <c r="J21" s="16">
        <v>109888865.46000004</v>
      </c>
      <c r="K21" s="16">
        <v>0</v>
      </c>
      <c r="L21" s="16">
        <v>0</v>
      </c>
      <c r="M21" s="16">
        <v>0</v>
      </c>
      <c r="N21" s="18">
        <f t="shared" si="0"/>
        <v>2272807272.9225888</v>
      </c>
      <c r="O21" s="4"/>
    </row>
    <row r="22" spans="1:15" ht="15" x14ac:dyDescent="0.2">
      <c r="A22" s="17" t="s">
        <v>17</v>
      </c>
      <c r="B22" s="16">
        <v>1525914483.05</v>
      </c>
      <c r="C22" s="16">
        <v>0</v>
      </c>
      <c r="D22" s="16">
        <v>176969442.32570726</v>
      </c>
      <c r="E22" s="16">
        <v>17409194.250000004</v>
      </c>
      <c r="F22" s="16">
        <v>6182563.4900000002</v>
      </c>
      <c r="G22" s="16">
        <v>3949368.98</v>
      </c>
      <c r="H22" s="16">
        <v>76231626.019999996</v>
      </c>
      <c r="I22" s="16">
        <v>14684679.560000001</v>
      </c>
      <c r="J22" s="16">
        <v>82520505.320000023</v>
      </c>
      <c r="K22" s="16">
        <v>0</v>
      </c>
      <c r="L22" s="16">
        <v>0</v>
      </c>
      <c r="M22" s="16">
        <v>0</v>
      </c>
      <c r="N22" s="18">
        <f t="shared" si="0"/>
        <v>1903861862.995707</v>
      </c>
      <c r="O22" s="4"/>
    </row>
    <row r="23" spans="1:15" ht="15" x14ac:dyDescent="0.2">
      <c r="A23" s="17" t="s">
        <v>18</v>
      </c>
      <c r="B23" s="16">
        <v>1465953109.8800001</v>
      </c>
      <c r="C23" s="16">
        <v>0</v>
      </c>
      <c r="D23" s="16">
        <v>139848428.88279358</v>
      </c>
      <c r="E23" s="16">
        <v>16887237.390000001</v>
      </c>
      <c r="F23" s="16">
        <v>5925833.4900000002</v>
      </c>
      <c r="G23" s="16">
        <v>4867826.88</v>
      </c>
      <c r="H23" s="16">
        <v>73236076.120000005</v>
      </c>
      <c r="I23" s="16">
        <v>14074900.49</v>
      </c>
      <c r="J23" s="16">
        <v>68117412.219999969</v>
      </c>
      <c r="K23" s="16">
        <v>0</v>
      </c>
      <c r="L23" s="16">
        <v>0</v>
      </c>
      <c r="M23" s="16">
        <v>0</v>
      </c>
      <c r="N23" s="18">
        <f t="shared" si="0"/>
        <v>1788910825.3527942</v>
      </c>
      <c r="O23" s="4"/>
    </row>
    <row r="24" spans="1:15" ht="15" x14ac:dyDescent="0.2">
      <c r="A24" s="17" t="s">
        <v>19</v>
      </c>
      <c r="B24" s="16">
        <v>461486999.76000005</v>
      </c>
      <c r="C24" s="16">
        <v>0</v>
      </c>
      <c r="D24" s="16">
        <v>102687709.07405359</v>
      </c>
      <c r="E24" s="16">
        <v>5891436.7199999997</v>
      </c>
      <c r="F24" s="16">
        <v>6161520.0499999998</v>
      </c>
      <c r="G24" s="16">
        <v>1292620.1318414924</v>
      </c>
      <c r="H24" s="16">
        <v>23054964.600000001</v>
      </c>
      <c r="I24" s="16">
        <v>14634697.67</v>
      </c>
      <c r="J24" s="16">
        <v>57637754.240000024</v>
      </c>
      <c r="K24" s="16">
        <v>0</v>
      </c>
      <c r="L24" s="16">
        <v>0</v>
      </c>
      <c r="M24" s="16">
        <v>0</v>
      </c>
      <c r="N24" s="18">
        <f t="shared" si="0"/>
        <v>672847702.24589515</v>
      </c>
      <c r="O24" s="4"/>
    </row>
    <row r="25" spans="1:15" ht="15" x14ac:dyDescent="0.2">
      <c r="A25" s="17" t="s">
        <v>20</v>
      </c>
      <c r="B25" s="16">
        <v>1910061158.7199998</v>
      </c>
      <c r="C25" s="16">
        <v>0</v>
      </c>
      <c r="D25" s="16">
        <v>58634268.327581182</v>
      </c>
      <c r="E25" s="16">
        <v>23408669.399999999</v>
      </c>
      <c r="F25" s="16">
        <v>27327014.809999999</v>
      </c>
      <c r="G25" s="16">
        <v>11590938.720000001</v>
      </c>
      <c r="H25" s="16">
        <v>95422823.189999998</v>
      </c>
      <c r="I25" s="16">
        <v>64906483.590000004</v>
      </c>
      <c r="J25" s="16">
        <v>133241027.69999994</v>
      </c>
      <c r="K25" s="16">
        <v>0</v>
      </c>
      <c r="L25" s="16">
        <v>0</v>
      </c>
      <c r="M25" s="16">
        <v>0</v>
      </c>
      <c r="N25" s="18">
        <f t="shared" si="0"/>
        <v>2324592384.457581</v>
      </c>
      <c r="O25" s="4"/>
    </row>
    <row r="26" spans="1:15" ht="15" x14ac:dyDescent="0.2">
      <c r="A26" s="17" t="s">
        <v>21</v>
      </c>
      <c r="B26" s="16">
        <v>778885728.75999999</v>
      </c>
      <c r="C26" s="16">
        <v>0</v>
      </c>
      <c r="D26" s="16">
        <v>74018966.676497594</v>
      </c>
      <c r="E26" s="16">
        <v>10516341.370000001</v>
      </c>
      <c r="F26" s="16">
        <v>12428257.310000001</v>
      </c>
      <c r="G26" s="16">
        <v>7402770.6900000004</v>
      </c>
      <c r="H26" s="16">
        <v>38911568.270000003</v>
      </c>
      <c r="I26" s="16">
        <v>29519304.789999999</v>
      </c>
      <c r="J26" s="16">
        <v>98315773.160000011</v>
      </c>
      <c r="K26" s="16">
        <v>0</v>
      </c>
      <c r="L26" s="16">
        <v>0</v>
      </c>
      <c r="M26" s="16">
        <v>0</v>
      </c>
      <c r="N26" s="18">
        <f t="shared" si="0"/>
        <v>1049998711.0264975</v>
      </c>
      <c r="O26" s="4"/>
    </row>
    <row r="27" spans="1:15" ht="15" x14ac:dyDescent="0.2">
      <c r="A27" s="17" t="s">
        <v>22</v>
      </c>
      <c r="B27" s="16">
        <v>381192520.04000002</v>
      </c>
      <c r="C27" s="16">
        <v>0</v>
      </c>
      <c r="D27" s="16">
        <v>65355962.217102408</v>
      </c>
      <c r="E27" s="16">
        <v>5846706.7699999996</v>
      </c>
      <c r="F27" s="16">
        <v>3089177.4</v>
      </c>
      <c r="G27" s="16">
        <v>1671593.38</v>
      </c>
      <c r="H27" s="16">
        <v>19043613.489999998</v>
      </c>
      <c r="I27" s="16">
        <v>7337341.5899999999</v>
      </c>
      <c r="J27" s="16">
        <v>26345958.98</v>
      </c>
      <c r="K27" s="16">
        <v>0</v>
      </c>
      <c r="L27" s="16">
        <v>0</v>
      </c>
      <c r="M27" s="16">
        <v>0</v>
      </c>
      <c r="N27" s="18">
        <f t="shared" si="0"/>
        <v>509882873.86710238</v>
      </c>
      <c r="O27" s="4"/>
    </row>
    <row r="28" spans="1:15" ht="15" x14ac:dyDescent="0.2">
      <c r="A28" s="17" t="s">
        <v>23</v>
      </c>
      <c r="B28" s="16">
        <v>1349995851.5900002</v>
      </c>
      <c r="C28" s="16">
        <v>0</v>
      </c>
      <c r="D28" s="16">
        <v>161666669.49946758</v>
      </c>
      <c r="E28" s="16">
        <v>15365712.769999998</v>
      </c>
      <c r="F28" s="16">
        <v>4254984.13</v>
      </c>
      <c r="G28" s="16">
        <v>2424728.86</v>
      </c>
      <c r="H28" s="16">
        <v>67443084.150000006</v>
      </c>
      <c r="I28" s="16">
        <v>10106338.35</v>
      </c>
      <c r="J28" s="16">
        <v>53865515.440000027</v>
      </c>
      <c r="K28" s="16">
        <v>0</v>
      </c>
      <c r="L28" s="16">
        <v>0</v>
      </c>
      <c r="M28" s="16">
        <v>0</v>
      </c>
      <c r="N28" s="18">
        <f t="shared" si="0"/>
        <v>1665122884.7894678</v>
      </c>
      <c r="O28" s="4"/>
    </row>
    <row r="29" spans="1:15" ht="15" x14ac:dyDescent="0.2">
      <c r="A29" s="17" t="s">
        <v>24</v>
      </c>
      <c r="B29" s="16">
        <v>834854999.83999991</v>
      </c>
      <c r="C29" s="16">
        <v>0</v>
      </c>
      <c r="D29" s="16">
        <v>148867575.0893164</v>
      </c>
      <c r="E29" s="16">
        <v>9569992.7799999993</v>
      </c>
      <c r="F29" s="16">
        <v>2655682.48</v>
      </c>
      <c r="G29" s="16">
        <v>1469532.64</v>
      </c>
      <c r="H29" s="16">
        <v>41707680.759999998</v>
      </c>
      <c r="I29" s="16">
        <v>6307714.6399999997</v>
      </c>
      <c r="J29" s="16">
        <v>48020535.860000007</v>
      </c>
      <c r="K29" s="16">
        <v>0</v>
      </c>
      <c r="L29" s="16">
        <v>0</v>
      </c>
      <c r="M29" s="16">
        <v>0</v>
      </c>
      <c r="N29" s="18">
        <f t="shared" si="0"/>
        <v>1093453714.0893161</v>
      </c>
      <c r="O29" s="4"/>
    </row>
    <row r="30" spans="1:15" ht="15" x14ac:dyDescent="0.2">
      <c r="A30" s="17" t="s">
        <v>25</v>
      </c>
      <c r="B30" s="16">
        <v>277530936.13</v>
      </c>
      <c r="C30" s="16">
        <v>0</v>
      </c>
      <c r="D30" s="16">
        <v>106956952.57248524</v>
      </c>
      <c r="E30" s="16">
        <v>3289966.89</v>
      </c>
      <c r="F30" s="16">
        <v>2293735.2599999998</v>
      </c>
      <c r="G30" s="16">
        <v>1836915.8</v>
      </c>
      <c r="H30" s="16">
        <v>13864888.74</v>
      </c>
      <c r="I30" s="16">
        <v>5448026.1100000003</v>
      </c>
      <c r="J30" s="16">
        <v>37304770.580000006</v>
      </c>
      <c r="K30" s="16">
        <v>0</v>
      </c>
      <c r="L30" s="16">
        <v>0</v>
      </c>
      <c r="M30" s="16">
        <v>0</v>
      </c>
      <c r="N30" s="18">
        <f t="shared" si="0"/>
        <v>448526192.0824852</v>
      </c>
      <c r="O30" s="4"/>
    </row>
    <row r="31" spans="1:15" ht="15" x14ac:dyDescent="0.2">
      <c r="A31" s="17" t="s">
        <v>26</v>
      </c>
      <c r="B31" s="16">
        <v>483523403.23000002</v>
      </c>
      <c r="C31" s="16">
        <v>0</v>
      </c>
      <c r="D31" s="16">
        <v>54832422.393549576</v>
      </c>
      <c r="E31" s="16">
        <v>5456298.0800000001</v>
      </c>
      <c r="F31" s="16">
        <v>2739856.25</v>
      </c>
      <c r="G31" s="16">
        <v>1010303.69</v>
      </c>
      <c r="H31" s="16">
        <v>24155859.100000001</v>
      </c>
      <c r="I31" s="16">
        <v>6507642.2000000002</v>
      </c>
      <c r="J31" s="16">
        <v>26438904.580000006</v>
      </c>
      <c r="K31" s="16">
        <v>0</v>
      </c>
      <c r="L31" s="16">
        <v>0</v>
      </c>
      <c r="M31" s="16">
        <v>0</v>
      </c>
      <c r="N31" s="18">
        <f t="shared" si="0"/>
        <v>604664689.5235498</v>
      </c>
      <c r="O31" s="4"/>
    </row>
    <row r="32" spans="1:15" ht="15" x14ac:dyDescent="0.2">
      <c r="A32" s="17" t="s">
        <v>27</v>
      </c>
      <c r="B32" s="16">
        <v>2124170900.04</v>
      </c>
      <c r="C32" s="16">
        <v>0</v>
      </c>
      <c r="D32" s="16">
        <v>295749733.58440226</v>
      </c>
      <c r="E32" s="16">
        <v>24336132.229999997</v>
      </c>
      <c r="F32" s="16">
        <v>8080682.0300000003</v>
      </c>
      <c r="G32" s="16">
        <v>5529116.5700000003</v>
      </c>
      <c r="H32" s="16">
        <v>106119316.28</v>
      </c>
      <c r="I32" s="16">
        <v>19193046.120000001</v>
      </c>
      <c r="J32" s="16">
        <v>82725752.559999987</v>
      </c>
      <c r="K32" s="16">
        <v>0</v>
      </c>
      <c r="L32" s="16">
        <v>0</v>
      </c>
      <c r="M32" s="16">
        <v>0</v>
      </c>
      <c r="N32" s="18">
        <f t="shared" si="0"/>
        <v>2665904679.4144025</v>
      </c>
      <c r="O32" s="4"/>
    </row>
    <row r="33" spans="1:15" ht="15" x14ac:dyDescent="0.2">
      <c r="A33" s="17" t="s">
        <v>28</v>
      </c>
      <c r="B33" s="16">
        <v>1444422372.6799998</v>
      </c>
      <c r="C33" s="16">
        <v>0</v>
      </c>
      <c r="D33" s="16">
        <v>155924837.30079401</v>
      </c>
      <c r="E33" s="16">
        <v>16788710.280000001</v>
      </c>
      <c r="F33" s="16">
        <v>5930042.1699999999</v>
      </c>
      <c r="G33" s="16">
        <v>4445336.25</v>
      </c>
      <c r="H33" s="16">
        <v>72160443.689999998</v>
      </c>
      <c r="I33" s="16">
        <v>14084896.869999999</v>
      </c>
      <c r="J33" s="16">
        <v>78909688.88000001</v>
      </c>
      <c r="K33" s="16">
        <v>0</v>
      </c>
      <c r="L33" s="16">
        <v>0</v>
      </c>
      <c r="M33" s="16">
        <v>0</v>
      </c>
      <c r="N33" s="18">
        <f t="shared" si="0"/>
        <v>1792666328.1207941</v>
      </c>
      <c r="O33" s="4"/>
    </row>
    <row r="34" spans="1:15" ht="15" x14ac:dyDescent="0.2">
      <c r="A34" s="17" t="s">
        <v>29</v>
      </c>
      <c r="B34" s="16">
        <v>1880040551.1199999</v>
      </c>
      <c r="C34" s="16">
        <v>0</v>
      </c>
      <c r="D34" s="16">
        <v>173910065.80074275</v>
      </c>
      <c r="E34" s="16">
        <v>24090596.07</v>
      </c>
      <c r="F34" s="16">
        <v>8623602.8499999996</v>
      </c>
      <c r="G34" s="16">
        <v>7421139.8499999996</v>
      </c>
      <c r="H34" s="16">
        <v>93923053.870000005</v>
      </c>
      <c r="I34" s="16">
        <v>20482578.91</v>
      </c>
      <c r="J34" s="16">
        <v>99260384.960000038</v>
      </c>
      <c r="K34" s="16">
        <v>0</v>
      </c>
      <c r="L34" s="16">
        <v>0</v>
      </c>
      <c r="M34" s="16">
        <v>0</v>
      </c>
      <c r="N34" s="18">
        <f t="shared" si="0"/>
        <v>2307751973.4307423</v>
      </c>
      <c r="O34" s="4"/>
    </row>
    <row r="35" spans="1:15" ht="15" x14ac:dyDescent="0.2">
      <c r="A35" s="17" t="s">
        <v>30</v>
      </c>
      <c r="B35" s="16">
        <v>891409779.24000001</v>
      </c>
      <c r="C35" s="16">
        <v>0</v>
      </c>
      <c r="D35" s="16">
        <v>143496691.01415437</v>
      </c>
      <c r="E35" s="16">
        <v>10475938.649999999</v>
      </c>
      <c r="F35" s="16">
        <v>5391330.04</v>
      </c>
      <c r="G35" s="16">
        <v>2883957.81</v>
      </c>
      <c r="H35" s="16">
        <v>44533044.07</v>
      </c>
      <c r="I35" s="16">
        <v>12805360.460000001</v>
      </c>
      <c r="J35" s="16">
        <v>35674479.720000014</v>
      </c>
      <c r="K35" s="16">
        <v>0</v>
      </c>
      <c r="L35" s="16">
        <v>0</v>
      </c>
      <c r="M35" s="16">
        <v>0</v>
      </c>
      <c r="N35" s="18">
        <f t="shared" si="0"/>
        <v>1146670581.0041544</v>
      </c>
      <c r="O35" s="4"/>
    </row>
    <row r="36" spans="1:15" ht="15" x14ac:dyDescent="0.2">
      <c r="A36" s="17" t="s">
        <v>31</v>
      </c>
      <c r="B36" s="16">
        <v>1048592144.9599998</v>
      </c>
      <c r="C36" s="16">
        <v>0</v>
      </c>
      <c r="D36" s="16">
        <v>134252942.92016307</v>
      </c>
      <c r="E36" s="16">
        <v>11803269.789999999</v>
      </c>
      <c r="F36" s="16">
        <v>3392202.97</v>
      </c>
      <c r="G36" s="16">
        <v>1671593.38</v>
      </c>
      <c r="H36" s="16">
        <v>52385559.689999998</v>
      </c>
      <c r="I36" s="16">
        <v>8057080.8200000003</v>
      </c>
      <c r="J36" s="16">
        <v>35927569.259999983</v>
      </c>
      <c r="K36" s="16">
        <v>0</v>
      </c>
      <c r="L36" s="16">
        <v>0</v>
      </c>
      <c r="M36" s="16">
        <v>0</v>
      </c>
      <c r="N36" s="18">
        <f t="shared" si="0"/>
        <v>1296082363.790163</v>
      </c>
      <c r="O36" s="4"/>
    </row>
    <row r="37" spans="1:15" ht="15" x14ac:dyDescent="0.2">
      <c r="A37" s="17" t="s">
        <v>32</v>
      </c>
      <c r="B37" s="16">
        <v>1088965603.9299998</v>
      </c>
      <c r="C37" s="16">
        <v>0</v>
      </c>
      <c r="D37" s="16">
        <v>146838358.95001784</v>
      </c>
      <c r="E37" s="16">
        <v>12292579.76</v>
      </c>
      <c r="F37" s="16">
        <v>6291989.3899999997</v>
      </c>
      <c r="G37" s="16">
        <v>2553312.9700000002</v>
      </c>
      <c r="H37" s="16">
        <v>54402536.700000003</v>
      </c>
      <c r="I37" s="16">
        <v>14944585.390000001</v>
      </c>
      <c r="J37" s="16">
        <v>60983246.719999969</v>
      </c>
      <c r="K37" s="16">
        <v>0</v>
      </c>
      <c r="L37" s="16">
        <v>0</v>
      </c>
      <c r="M37" s="16">
        <v>0</v>
      </c>
      <c r="N37" s="18">
        <f t="shared" si="0"/>
        <v>1387272213.8100181</v>
      </c>
      <c r="O37" s="4"/>
    </row>
    <row r="38" spans="1:15" ht="15" x14ac:dyDescent="0.2">
      <c r="A38" s="17" t="s">
        <v>33</v>
      </c>
      <c r="B38" s="16">
        <v>952302642.88999999</v>
      </c>
      <c r="C38" s="16">
        <v>0</v>
      </c>
      <c r="D38" s="16">
        <v>14046308.925781012</v>
      </c>
      <c r="E38" s="16">
        <v>11150040.15</v>
      </c>
      <c r="F38" s="16">
        <v>5622807.9100000001</v>
      </c>
      <c r="G38" s="16">
        <v>7072125.8499999996</v>
      </c>
      <c r="H38" s="16">
        <v>47575129.359999999</v>
      </c>
      <c r="I38" s="16">
        <v>13355161.26</v>
      </c>
      <c r="J38" s="16">
        <v>100635212.48000005</v>
      </c>
      <c r="K38" s="16">
        <v>0</v>
      </c>
      <c r="L38" s="16">
        <v>0</v>
      </c>
      <c r="M38" s="16">
        <v>0</v>
      </c>
      <c r="N38" s="18">
        <f t="shared" si="0"/>
        <v>1151759428.8257811</v>
      </c>
      <c r="O38" s="4"/>
    </row>
    <row r="39" spans="1:15" ht="15" x14ac:dyDescent="0.2">
      <c r="A39" s="17" t="s">
        <v>34</v>
      </c>
      <c r="B39" s="16">
        <v>1761315435.3999996</v>
      </c>
      <c r="C39" s="16">
        <v>0</v>
      </c>
      <c r="D39" s="16">
        <v>214016004.12674642</v>
      </c>
      <c r="E39" s="16">
        <v>19786523.469999999</v>
      </c>
      <c r="F39" s="16">
        <v>7163187.9199999999</v>
      </c>
      <c r="G39" s="16">
        <v>4408597.93</v>
      </c>
      <c r="H39" s="16">
        <v>87991785.290000007</v>
      </c>
      <c r="I39" s="16">
        <v>17013835.68</v>
      </c>
      <c r="J39" s="16">
        <v>87367917.780000001</v>
      </c>
      <c r="K39" s="16">
        <v>0</v>
      </c>
      <c r="L39" s="16">
        <v>0</v>
      </c>
      <c r="M39" s="16">
        <v>0</v>
      </c>
      <c r="N39" s="18">
        <f t="shared" si="0"/>
        <v>2199063287.5967464</v>
      </c>
      <c r="O39" s="4"/>
    </row>
    <row r="40" spans="1:15" ht="15" x14ac:dyDescent="0.2">
      <c r="A40" s="17" t="s">
        <v>35</v>
      </c>
      <c r="B40" s="16">
        <v>1240239658.5600002</v>
      </c>
      <c r="C40" s="16">
        <v>0</v>
      </c>
      <c r="D40" s="16">
        <v>168754516.33635327</v>
      </c>
      <c r="E40" s="16">
        <v>13967502.699999999</v>
      </c>
      <c r="F40" s="16">
        <v>3825697.9</v>
      </c>
      <c r="G40" s="16">
        <v>1928761.59</v>
      </c>
      <c r="H40" s="16">
        <v>61959884.960000001</v>
      </c>
      <c r="I40" s="16">
        <v>9086707.7699999996</v>
      </c>
      <c r="J40" s="16">
        <v>48132654.900000013</v>
      </c>
      <c r="K40" s="16">
        <v>0</v>
      </c>
      <c r="L40" s="16">
        <v>0</v>
      </c>
      <c r="M40" s="16">
        <v>0</v>
      </c>
      <c r="N40" s="18">
        <f t="shared" ref="N40:N71" si="1">SUM(B40:M40)</f>
        <v>1547895384.7163537</v>
      </c>
      <c r="O40" s="4"/>
    </row>
    <row r="41" spans="1:15" ht="15" x14ac:dyDescent="0.2">
      <c r="A41" s="17" t="s">
        <v>36</v>
      </c>
      <c r="B41" s="16">
        <v>1144828418.98</v>
      </c>
      <c r="C41" s="16">
        <v>0</v>
      </c>
      <c r="D41" s="16">
        <v>53089980.829940431</v>
      </c>
      <c r="E41" s="16">
        <v>13158784.49</v>
      </c>
      <c r="F41" s="16">
        <v>6477171.6900000004</v>
      </c>
      <c r="G41" s="16">
        <v>3361555.92</v>
      </c>
      <c r="H41" s="16">
        <v>57193330.859999999</v>
      </c>
      <c r="I41" s="16">
        <v>15384426.029999999</v>
      </c>
      <c r="J41" s="16">
        <v>49390432.960000001</v>
      </c>
      <c r="K41" s="16">
        <v>0</v>
      </c>
      <c r="L41" s="16">
        <v>0</v>
      </c>
      <c r="M41" s="16">
        <v>0</v>
      </c>
      <c r="N41" s="18">
        <f t="shared" si="1"/>
        <v>1342884101.7599404</v>
      </c>
      <c r="O41" s="4"/>
    </row>
    <row r="42" spans="1:15" ht="15" x14ac:dyDescent="0.2">
      <c r="A42" s="17" t="s">
        <v>37</v>
      </c>
      <c r="B42" s="16">
        <v>767894141.03999996</v>
      </c>
      <c r="C42" s="16">
        <v>0</v>
      </c>
      <c r="D42" s="16">
        <v>13203449.647727344</v>
      </c>
      <c r="E42" s="16">
        <v>10258855.489999998</v>
      </c>
      <c r="F42" s="16">
        <v>17592318.170000002</v>
      </c>
      <c r="G42" s="16">
        <v>0</v>
      </c>
      <c r="H42" s="16">
        <v>38362450.609999999</v>
      </c>
      <c r="I42" s="16">
        <v>41784860.829999998</v>
      </c>
      <c r="J42" s="16">
        <v>75262533.940000027</v>
      </c>
      <c r="K42" s="16">
        <v>0</v>
      </c>
      <c r="L42" s="16">
        <v>0</v>
      </c>
      <c r="M42" s="16">
        <v>0</v>
      </c>
      <c r="N42" s="18">
        <f t="shared" si="1"/>
        <v>964358609.72772741</v>
      </c>
      <c r="O42" s="4"/>
    </row>
    <row r="43" spans="1:15" ht="15" x14ac:dyDescent="0.2">
      <c r="A43" s="17" t="s">
        <v>38</v>
      </c>
      <c r="B43" s="16">
        <v>4003413030.8600001</v>
      </c>
      <c r="C43" s="16">
        <v>0</v>
      </c>
      <c r="D43" s="16">
        <v>65715905.966022924</v>
      </c>
      <c r="E43" s="16">
        <v>50809712.579999991</v>
      </c>
      <c r="F43" s="16">
        <v>73155424.530000001</v>
      </c>
      <c r="G43" s="16">
        <v>26855709.059999999</v>
      </c>
      <c r="H43" s="16">
        <v>200002482.66</v>
      </c>
      <c r="I43" s="16">
        <v>173757045.69999999</v>
      </c>
      <c r="J43" s="16">
        <v>246485429.07999986</v>
      </c>
      <c r="K43" s="16">
        <v>0</v>
      </c>
      <c r="L43" s="16">
        <v>0</v>
      </c>
      <c r="M43" s="16">
        <v>0</v>
      </c>
      <c r="N43" s="18">
        <f t="shared" si="1"/>
        <v>4840194740.4360228</v>
      </c>
      <c r="O43" s="4"/>
    </row>
    <row r="44" spans="1:15" ht="15" x14ac:dyDescent="0.2">
      <c r="A44" s="17" t="s">
        <v>39</v>
      </c>
      <c r="B44" s="16">
        <v>3894029433.9900002</v>
      </c>
      <c r="C44" s="16">
        <v>0</v>
      </c>
      <c r="D44" s="16">
        <v>53127721.167732388</v>
      </c>
      <c r="E44" s="16">
        <v>52270695.509999998</v>
      </c>
      <c r="F44" s="16">
        <v>92048227.469999999</v>
      </c>
      <c r="G44" s="16">
        <v>46980054.08743792</v>
      </c>
      <c r="H44" s="16">
        <v>194537897.63</v>
      </c>
      <c r="I44" s="16">
        <v>218630787.38999999</v>
      </c>
      <c r="J44" s="16">
        <v>318743027.68000001</v>
      </c>
      <c r="K44" s="16">
        <v>0</v>
      </c>
      <c r="L44" s="16">
        <v>0</v>
      </c>
      <c r="M44" s="16">
        <v>0</v>
      </c>
      <c r="N44" s="18">
        <f t="shared" si="1"/>
        <v>4870367844.9251709</v>
      </c>
      <c r="O44" s="4"/>
    </row>
    <row r="45" spans="1:15" ht="15" x14ac:dyDescent="0.2">
      <c r="A45" s="17" t="s">
        <v>40</v>
      </c>
      <c r="B45" s="16">
        <v>1090376146.6500001</v>
      </c>
      <c r="C45" s="16">
        <v>0</v>
      </c>
      <c r="D45" s="16">
        <v>66119467.62699151</v>
      </c>
      <c r="E45" s="16">
        <v>13022609.100000001</v>
      </c>
      <c r="F45" s="16">
        <v>6855953.6600000001</v>
      </c>
      <c r="G45" s="16">
        <v>4206537.1900000004</v>
      </c>
      <c r="H45" s="16">
        <v>54473004.590000004</v>
      </c>
      <c r="I45" s="16">
        <v>16284100.07</v>
      </c>
      <c r="J45" s="16">
        <v>47716865.019999981</v>
      </c>
      <c r="K45" s="16">
        <v>0</v>
      </c>
      <c r="L45" s="16">
        <v>0</v>
      </c>
      <c r="M45" s="16">
        <v>0</v>
      </c>
      <c r="N45" s="18">
        <f t="shared" si="1"/>
        <v>1299054683.9069915</v>
      </c>
      <c r="O45" s="4"/>
    </row>
    <row r="46" spans="1:15" ht="15" x14ac:dyDescent="0.2">
      <c r="A46" s="17" t="s">
        <v>41</v>
      </c>
      <c r="B46" s="16">
        <v>1723496921.7800002</v>
      </c>
      <c r="C46" s="16">
        <v>0</v>
      </c>
      <c r="D46" s="16">
        <v>52469242.657732382</v>
      </c>
      <c r="E46" s="16">
        <v>25848081.420000002</v>
      </c>
      <c r="F46" s="16">
        <v>54077439.289999999</v>
      </c>
      <c r="G46" s="16">
        <v>0</v>
      </c>
      <c r="H46" s="16">
        <v>86102448.230000004</v>
      </c>
      <c r="I46" s="16">
        <v>128443463.36</v>
      </c>
      <c r="J46" s="16">
        <v>201884340.4600001</v>
      </c>
      <c r="K46" s="16">
        <v>0</v>
      </c>
      <c r="L46" s="16">
        <v>0</v>
      </c>
      <c r="M46" s="16">
        <v>0</v>
      </c>
      <c r="N46" s="18">
        <f t="shared" si="1"/>
        <v>2272321937.1977329</v>
      </c>
      <c r="O46" s="4"/>
    </row>
    <row r="47" spans="1:15" ht="15" x14ac:dyDescent="0.2">
      <c r="A47" s="17" t="s">
        <v>42</v>
      </c>
      <c r="B47" s="16">
        <v>5235242661.1299992</v>
      </c>
      <c r="C47" s="16">
        <v>0</v>
      </c>
      <c r="D47" s="16">
        <v>63409947.563770428</v>
      </c>
      <c r="E47" s="16">
        <v>79471880.239999995</v>
      </c>
      <c r="F47" s="16">
        <v>168583228.91</v>
      </c>
      <c r="G47" s="16">
        <v>53663941.724507719</v>
      </c>
      <c r="H47" s="16">
        <v>261542219.47999999</v>
      </c>
      <c r="I47" s="16">
        <v>400414924.77999997</v>
      </c>
      <c r="J47" s="16">
        <v>485755981.9200002</v>
      </c>
      <c r="K47" s="16">
        <v>0</v>
      </c>
      <c r="L47" s="16">
        <v>0</v>
      </c>
      <c r="M47" s="16">
        <v>0</v>
      </c>
      <c r="N47" s="18">
        <f t="shared" si="1"/>
        <v>6748084785.7482758</v>
      </c>
      <c r="O47" s="4"/>
    </row>
    <row r="48" spans="1:15" ht="15" x14ac:dyDescent="0.2">
      <c r="A48" s="17" t="s">
        <v>43</v>
      </c>
      <c r="B48" s="16">
        <v>539173306.1500001</v>
      </c>
      <c r="C48" s="16">
        <v>0</v>
      </c>
      <c r="D48" s="16">
        <v>92617193.396275818</v>
      </c>
      <c r="E48" s="16">
        <v>6126538.6100000003</v>
      </c>
      <c r="F48" s="16">
        <v>1464623.61</v>
      </c>
      <c r="G48" s="16">
        <v>1138887.8</v>
      </c>
      <c r="H48" s="16">
        <v>26936016.59</v>
      </c>
      <c r="I48" s="16">
        <v>3478739.61</v>
      </c>
      <c r="J48" s="16">
        <v>26061461.580000006</v>
      </c>
      <c r="K48" s="16">
        <v>0</v>
      </c>
      <c r="L48" s="16">
        <v>0</v>
      </c>
      <c r="M48" s="16">
        <v>0</v>
      </c>
      <c r="N48" s="18">
        <f t="shared" si="1"/>
        <v>696996767.34627593</v>
      </c>
      <c r="O48" s="4"/>
    </row>
    <row r="49" spans="1:15" ht="15" x14ac:dyDescent="0.2">
      <c r="A49" s="17" t="s">
        <v>44</v>
      </c>
      <c r="B49" s="16">
        <v>943307106.20000005</v>
      </c>
      <c r="C49" s="16">
        <v>0</v>
      </c>
      <c r="D49" s="16">
        <v>129166951.06071243</v>
      </c>
      <c r="E49" s="16">
        <v>8104073.6400000006</v>
      </c>
      <c r="F49" s="16">
        <v>8648854.9800000004</v>
      </c>
      <c r="G49" s="16">
        <v>4775981.09</v>
      </c>
      <c r="H49" s="16">
        <v>47125730.399999999</v>
      </c>
      <c r="I49" s="16">
        <v>20542557.18</v>
      </c>
      <c r="J49" s="16">
        <v>61338229.259999976</v>
      </c>
      <c r="K49" s="16">
        <v>0</v>
      </c>
      <c r="L49" s="16">
        <v>0</v>
      </c>
      <c r="M49" s="16">
        <v>0</v>
      </c>
      <c r="N49" s="18">
        <f t="shared" si="1"/>
        <v>1223009483.8107126</v>
      </c>
      <c r="O49" s="4"/>
    </row>
    <row r="50" spans="1:15" ht="15" x14ac:dyDescent="0.2">
      <c r="A50" s="17" t="s">
        <v>45</v>
      </c>
      <c r="B50" s="16">
        <v>631550548.1400001</v>
      </c>
      <c r="C50" s="16">
        <v>0</v>
      </c>
      <c r="D50" s="16">
        <v>94275055.522818789</v>
      </c>
      <c r="E50" s="16">
        <v>7288930.5500000007</v>
      </c>
      <c r="F50" s="16">
        <v>2424204.6</v>
      </c>
      <c r="G50" s="16">
        <v>1359317.7</v>
      </c>
      <c r="H50" s="16">
        <v>31550998.260000002</v>
      </c>
      <c r="I50" s="16">
        <v>5757913.8399999999</v>
      </c>
      <c r="J50" s="16">
        <v>44325904.039999999</v>
      </c>
      <c r="K50" s="16">
        <v>0</v>
      </c>
      <c r="L50" s="16">
        <v>0</v>
      </c>
      <c r="M50" s="16">
        <v>0</v>
      </c>
      <c r="N50" s="18">
        <f t="shared" si="1"/>
        <v>818532872.65281892</v>
      </c>
      <c r="O50" s="4"/>
    </row>
    <row r="51" spans="1:15" ht="15" x14ac:dyDescent="0.2">
      <c r="A51" s="17" t="s">
        <v>46</v>
      </c>
      <c r="B51" s="16">
        <v>606373691.05000007</v>
      </c>
      <c r="C51" s="16">
        <v>0</v>
      </c>
      <c r="D51" s="16">
        <v>121563186.11586758</v>
      </c>
      <c r="E51" s="16">
        <v>6797836.7999999998</v>
      </c>
      <c r="F51" s="16">
        <v>3021838.38</v>
      </c>
      <c r="G51" s="16">
        <v>1708331.7</v>
      </c>
      <c r="H51" s="16">
        <v>30293213</v>
      </c>
      <c r="I51" s="16">
        <v>7177399.54</v>
      </c>
      <c r="J51" s="16">
        <v>30751651.70000001</v>
      </c>
      <c r="K51" s="16">
        <v>0</v>
      </c>
      <c r="L51" s="16">
        <v>0</v>
      </c>
      <c r="M51" s="16">
        <v>0</v>
      </c>
      <c r="N51" s="18">
        <f t="shared" si="1"/>
        <v>807687148.28586769</v>
      </c>
      <c r="O51" s="4"/>
    </row>
    <row r="52" spans="1:15" ht="15" x14ac:dyDescent="0.2">
      <c r="A52" s="17" t="s">
        <v>47</v>
      </c>
      <c r="B52" s="16">
        <v>730528065.62</v>
      </c>
      <c r="C52" s="16">
        <v>0</v>
      </c>
      <c r="D52" s="16">
        <v>106900380.30390237</v>
      </c>
      <c r="E52" s="16">
        <v>8891791.2100000009</v>
      </c>
      <c r="F52" s="16">
        <v>2781943.13</v>
      </c>
      <c r="G52" s="16">
        <v>2185929.81</v>
      </c>
      <c r="H52" s="16">
        <v>36495716.450000003</v>
      </c>
      <c r="I52" s="16">
        <v>6607605.9800000004</v>
      </c>
      <c r="J52" s="16">
        <v>39418049.660000011</v>
      </c>
      <c r="K52" s="16">
        <v>0</v>
      </c>
      <c r="L52" s="16">
        <v>0</v>
      </c>
      <c r="M52" s="16">
        <v>0</v>
      </c>
      <c r="N52" s="18">
        <f t="shared" si="1"/>
        <v>933809482.1639024</v>
      </c>
      <c r="O52" s="4"/>
    </row>
    <row r="53" spans="1:15" ht="15" x14ac:dyDescent="0.2">
      <c r="A53" s="17" t="s">
        <v>48</v>
      </c>
      <c r="B53" s="16">
        <v>261988352.06999999</v>
      </c>
      <c r="C53" s="16">
        <v>0</v>
      </c>
      <c r="D53" s="16">
        <v>76926234.849845588</v>
      </c>
      <c r="E53" s="16">
        <v>2919303.84</v>
      </c>
      <c r="F53" s="16">
        <v>483999.18</v>
      </c>
      <c r="G53" s="16">
        <v>330644.84000000003</v>
      </c>
      <c r="H53" s="16">
        <v>13088412.43</v>
      </c>
      <c r="I53" s="16">
        <v>1149583.49</v>
      </c>
      <c r="J53" s="16">
        <v>20846649.120000012</v>
      </c>
      <c r="K53" s="16">
        <v>0</v>
      </c>
      <c r="L53" s="16">
        <v>0</v>
      </c>
      <c r="M53" s="16">
        <v>0</v>
      </c>
      <c r="N53" s="18">
        <f t="shared" si="1"/>
        <v>377733179.81984556</v>
      </c>
      <c r="O53" s="4"/>
    </row>
    <row r="54" spans="1:15" ht="15" x14ac:dyDescent="0.2">
      <c r="A54" s="17" t="s">
        <v>49</v>
      </c>
      <c r="B54" s="16">
        <v>947991172.63999999</v>
      </c>
      <c r="C54" s="16">
        <v>0</v>
      </c>
      <c r="D54" s="16">
        <v>133538707.46729067</v>
      </c>
      <c r="E54" s="16">
        <v>10552311.220000001</v>
      </c>
      <c r="F54" s="16">
        <v>1662431.98</v>
      </c>
      <c r="G54" s="16">
        <v>1212364.43</v>
      </c>
      <c r="H54" s="16">
        <v>47359736.960000001</v>
      </c>
      <c r="I54" s="16">
        <v>3948569.39</v>
      </c>
      <c r="J54" s="16">
        <v>47693309.179999992</v>
      </c>
      <c r="K54" s="16">
        <v>0</v>
      </c>
      <c r="L54" s="16">
        <v>0</v>
      </c>
      <c r="M54" s="16">
        <v>0</v>
      </c>
      <c r="N54" s="18">
        <f t="shared" si="1"/>
        <v>1193958603.2672911</v>
      </c>
      <c r="O54" s="4"/>
    </row>
    <row r="55" spans="1:15" ht="15" x14ac:dyDescent="0.2">
      <c r="A55" s="17" t="s">
        <v>50</v>
      </c>
      <c r="B55" s="16">
        <v>438199737.68000001</v>
      </c>
      <c r="C55" s="16">
        <v>0</v>
      </c>
      <c r="D55" s="16">
        <v>37158593.394355983</v>
      </c>
      <c r="E55" s="16">
        <v>5125413.79</v>
      </c>
      <c r="F55" s="16">
        <v>3068133.95</v>
      </c>
      <c r="G55" s="16">
        <v>1892023.28</v>
      </c>
      <c r="H55" s="16">
        <v>21891579.699999999</v>
      </c>
      <c r="I55" s="16">
        <v>7287359.7000000002</v>
      </c>
      <c r="J55" s="16">
        <v>33671128.480000004</v>
      </c>
      <c r="K55" s="16">
        <v>0</v>
      </c>
      <c r="L55" s="16">
        <v>0</v>
      </c>
      <c r="M55" s="16">
        <v>0</v>
      </c>
      <c r="N55" s="18">
        <f t="shared" si="1"/>
        <v>548293969.97435594</v>
      </c>
      <c r="O55" s="4"/>
    </row>
    <row r="56" spans="1:15" ht="15" x14ac:dyDescent="0.2">
      <c r="A56" s="17" t="s">
        <v>51</v>
      </c>
      <c r="B56" s="16">
        <v>321044848.76999998</v>
      </c>
      <c r="C56" s="16">
        <v>0</v>
      </c>
      <c r="D56" s="16">
        <v>43367902.034250133</v>
      </c>
      <c r="E56" s="16">
        <v>3619365.02</v>
      </c>
      <c r="F56" s="16">
        <v>866989.84</v>
      </c>
      <c r="G56" s="16">
        <v>514336.43</v>
      </c>
      <c r="H56" s="16">
        <v>16038756.51</v>
      </c>
      <c r="I56" s="16">
        <v>2059253.91</v>
      </c>
      <c r="J56" s="16">
        <v>27795654.040000003</v>
      </c>
      <c r="K56" s="16">
        <v>0</v>
      </c>
      <c r="L56" s="16">
        <v>0</v>
      </c>
      <c r="M56" s="16">
        <v>0</v>
      </c>
      <c r="N56" s="18">
        <f t="shared" si="1"/>
        <v>415307106.55425012</v>
      </c>
      <c r="O56" s="4"/>
    </row>
    <row r="57" spans="1:15" ht="15" x14ac:dyDescent="0.2">
      <c r="A57" s="17" t="s">
        <v>52</v>
      </c>
      <c r="B57" s="16">
        <v>828920074.76999998</v>
      </c>
      <c r="C57" s="16">
        <v>0</v>
      </c>
      <c r="D57" s="16">
        <v>84478319.223221987</v>
      </c>
      <c r="E57" s="16">
        <v>10040384</v>
      </c>
      <c r="F57" s="16">
        <v>4452792.49</v>
      </c>
      <c r="G57" s="16">
        <v>2369621.39</v>
      </c>
      <c r="H57" s="16">
        <v>41411183.810000002</v>
      </c>
      <c r="I57" s="16">
        <v>10576168.119999999</v>
      </c>
      <c r="J57" s="16">
        <v>59346747.240000024</v>
      </c>
      <c r="K57" s="16">
        <v>0</v>
      </c>
      <c r="L57" s="16">
        <v>0</v>
      </c>
      <c r="M57" s="16">
        <v>0</v>
      </c>
      <c r="N57" s="18">
        <f t="shared" si="1"/>
        <v>1041595291.0432221</v>
      </c>
      <c r="O57" s="4"/>
    </row>
    <row r="58" spans="1:15" ht="15" x14ac:dyDescent="0.2">
      <c r="A58" s="17" t="s">
        <v>53</v>
      </c>
      <c r="B58" s="16">
        <v>738565497.79000008</v>
      </c>
      <c r="C58" s="16">
        <v>0</v>
      </c>
      <c r="D58" s="16">
        <v>49641470.2063464</v>
      </c>
      <c r="E58" s="16">
        <v>8312001.6000000006</v>
      </c>
      <c r="F58" s="16">
        <v>2592552.15</v>
      </c>
      <c r="G58" s="16">
        <v>1487901.8</v>
      </c>
      <c r="H58" s="16">
        <v>36897250.43</v>
      </c>
      <c r="I58" s="16">
        <v>6157768.9699999997</v>
      </c>
      <c r="J58" s="16">
        <v>33585121.899999991</v>
      </c>
      <c r="K58" s="16">
        <v>0</v>
      </c>
      <c r="L58" s="16">
        <v>0</v>
      </c>
      <c r="M58" s="16">
        <v>0</v>
      </c>
      <c r="N58" s="18">
        <f t="shared" si="1"/>
        <v>877239564.84634638</v>
      </c>
      <c r="O58" s="4"/>
    </row>
    <row r="59" spans="1:15" ht="15" x14ac:dyDescent="0.2">
      <c r="A59" s="17" t="s">
        <v>54</v>
      </c>
      <c r="B59" s="16">
        <v>819152731.67999983</v>
      </c>
      <c r="C59" s="16">
        <v>0</v>
      </c>
      <c r="D59" s="16">
        <v>152006820.65105516</v>
      </c>
      <c r="E59" s="16">
        <v>9325146.2500000019</v>
      </c>
      <c r="F59" s="16">
        <v>2525213.13</v>
      </c>
      <c r="G59" s="16">
        <v>1359317.7</v>
      </c>
      <c r="H59" s="16">
        <v>40923226.950000003</v>
      </c>
      <c r="I59" s="16">
        <v>5997826.9100000001</v>
      </c>
      <c r="J59" s="16">
        <v>37564068.519999988</v>
      </c>
      <c r="K59" s="16">
        <v>0</v>
      </c>
      <c r="L59" s="16">
        <v>0</v>
      </c>
      <c r="M59" s="16">
        <v>0</v>
      </c>
      <c r="N59" s="18">
        <f t="shared" si="1"/>
        <v>1068854351.791055</v>
      </c>
      <c r="O59" s="4"/>
    </row>
    <row r="60" spans="1:15" ht="15" x14ac:dyDescent="0.2">
      <c r="A60" s="17" t="s">
        <v>55</v>
      </c>
      <c r="B60" s="16">
        <v>5710116509.96</v>
      </c>
      <c r="C60" s="16">
        <v>0</v>
      </c>
      <c r="D60" s="16">
        <v>381595741.00895262</v>
      </c>
      <c r="E60" s="16">
        <v>107526145.75</v>
      </c>
      <c r="F60" s="16">
        <v>138907765.88</v>
      </c>
      <c r="G60" s="16">
        <v>69931384.679999992</v>
      </c>
      <c r="H60" s="16">
        <v>285265964.19</v>
      </c>
      <c r="I60" s="16">
        <v>329930462.16000003</v>
      </c>
      <c r="J60" s="16">
        <v>627904445.29999971</v>
      </c>
      <c r="K60" s="16">
        <v>0</v>
      </c>
      <c r="L60" s="16">
        <v>0</v>
      </c>
      <c r="M60" s="16">
        <v>0</v>
      </c>
      <c r="N60" s="18">
        <f t="shared" si="1"/>
        <v>7651178418.9289513</v>
      </c>
      <c r="O60" s="4"/>
    </row>
    <row r="61" spans="1:15" ht="15" x14ac:dyDescent="0.2">
      <c r="A61" s="17" t="s">
        <v>56</v>
      </c>
      <c r="B61" s="16">
        <v>1214610363.21</v>
      </c>
      <c r="C61" s="16">
        <v>0</v>
      </c>
      <c r="D61" s="16">
        <v>43957228.057555988</v>
      </c>
      <c r="E61" s="16">
        <v>16885827.57</v>
      </c>
      <c r="F61" s="16">
        <v>24797592.98</v>
      </c>
      <c r="G61" s="16">
        <v>6891657.4786623465</v>
      </c>
      <c r="H61" s="16">
        <v>60679496.780000001</v>
      </c>
      <c r="I61" s="16">
        <v>58898660.299999997</v>
      </c>
      <c r="J61" s="16">
        <v>155473278.17999998</v>
      </c>
      <c r="K61" s="16">
        <v>0</v>
      </c>
      <c r="L61" s="16">
        <v>0</v>
      </c>
      <c r="M61" s="16">
        <v>0</v>
      </c>
      <c r="N61" s="18">
        <f t="shared" si="1"/>
        <v>1582194104.5562181</v>
      </c>
      <c r="O61" s="4"/>
    </row>
    <row r="62" spans="1:15" ht="15" x14ac:dyDescent="0.2">
      <c r="A62" s="17" t="s">
        <v>57</v>
      </c>
      <c r="B62" s="16">
        <v>6536082429.3400002</v>
      </c>
      <c r="C62" s="16">
        <v>0</v>
      </c>
      <c r="D62" s="16">
        <v>94165677.24000001</v>
      </c>
      <c r="E62" s="16">
        <v>89791811.019999981</v>
      </c>
      <c r="F62" s="16">
        <v>111189343.03</v>
      </c>
      <c r="G62" s="16">
        <v>0</v>
      </c>
      <c r="H62" s="16">
        <v>326529564.31999999</v>
      </c>
      <c r="I62" s="16">
        <v>264094315.40000001</v>
      </c>
      <c r="J62" s="16">
        <v>309169634.62000006</v>
      </c>
      <c r="K62" s="16">
        <v>0</v>
      </c>
      <c r="L62" s="16">
        <v>0</v>
      </c>
      <c r="M62" s="16">
        <v>0</v>
      </c>
      <c r="N62" s="18">
        <f t="shared" si="1"/>
        <v>7731022774.9699993</v>
      </c>
      <c r="O62" s="4"/>
    </row>
    <row r="63" spans="1:15" ht="15" x14ac:dyDescent="0.2">
      <c r="A63" s="17" t="s">
        <v>58</v>
      </c>
      <c r="B63" s="16">
        <v>1062777414.3099999</v>
      </c>
      <c r="C63" s="16">
        <v>0</v>
      </c>
      <c r="D63" s="16">
        <v>125904090.17775436</v>
      </c>
      <c r="E63" s="16">
        <v>11885920.16</v>
      </c>
      <c r="F63" s="16">
        <v>3918289.04</v>
      </c>
      <c r="G63" s="16">
        <v>2369621.39</v>
      </c>
      <c r="H63" s="16">
        <v>53094227.289999999</v>
      </c>
      <c r="I63" s="16">
        <v>9306628.0899999999</v>
      </c>
      <c r="J63" s="16">
        <v>41488051.440000013</v>
      </c>
      <c r="K63" s="16">
        <v>0</v>
      </c>
      <c r="L63" s="16">
        <v>0</v>
      </c>
      <c r="M63" s="16">
        <v>0</v>
      </c>
      <c r="N63" s="18">
        <f t="shared" si="1"/>
        <v>1310744241.8977544</v>
      </c>
      <c r="O63" s="4"/>
    </row>
    <row r="64" spans="1:15" ht="15" x14ac:dyDescent="0.2">
      <c r="A64" s="17" t="s">
        <v>59</v>
      </c>
      <c r="B64" s="16">
        <v>1610573661.0699999</v>
      </c>
      <c r="C64" s="16">
        <v>0</v>
      </c>
      <c r="D64" s="16">
        <v>424461517.10587549</v>
      </c>
      <c r="E64" s="16">
        <v>20063651.18</v>
      </c>
      <c r="F64" s="16">
        <v>7171605.2999999998</v>
      </c>
      <c r="G64" s="16">
        <v>3692200.77</v>
      </c>
      <c r="H64" s="16">
        <v>80461028.689999998</v>
      </c>
      <c r="I64" s="16">
        <v>17033828.440000001</v>
      </c>
      <c r="J64" s="16">
        <v>87948964.400000036</v>
      </c>
      <c r="K64" s="16">
        <v>0</v>
      </c>
      <c r="L64" s="16">
        <v>0</v>
      </c>
      <c r="M64" s="16">
        <v>0</v>
      </c>
      <c r="N64" s="18">
        <f t="shared" si="1"/>
        <v>2251406456.9558754</v>
      </c>
      <c r="O64" s="4"/>
    </row>
    <row r="65" spans="1:15" ht="15" x14ac:dyDescent="0.2">
      <c r="A65" s="17" t="s">
        <v>60</v>
      </c>
      <c r="B65" s="16">
        <v>890265376.67000008</v>
      </c>
      <c r="C65" s="16">
        <v>0</v>
      </c>
      <c r="D65" s="16">
        <v>114560031.39231481</v>
      </c>
      <c r="E65" s="16">
        <v>9880113.6399999987</v>
      </c>
      <c r="F65" s="16">
        <v>1561423.45</v>
      </c>
      <c r="G65" s="16">
        <v>1230733.5900000001</v>
      </c>
      <c r="H65" s="16">
        <v>44475872.009999998</v>
      </c>
      <c r="I65" s="16">
        <v>3708656.31</v>
      </c>
      <c r="J65" s="16">
        <v>52458001.860000007</v>
      </c>
      <c r="K65" s="16">
        <v>0</v>
      </c>
      <c r="L65" s="16">
        <v>0</v>
      </c>
      <c r="M65" s="16">
        <v>0</v>
      </c>
      <c r="N65" s="18">
        <f t="shared" si="1"/>
        <v>1118140208.9223149</v>
      </c>
      <c r="O65" s="4"/>
    </row>
    <row r="66" spans="1:15" ht="15" x14ac:dyDescent="0.2">
      <c r="A66" s="17" t="s">
        <v>61</v>
      </c>
      <c r="B66" s="16">
        <v>510483399.23000002</v>
      </c>
      <c r="C66" s="16">
        <v>0</v>
      </c>
      <c r="D66" s="16">
        <v>98558574.626422033</v>
      </c>
      <c r="E66" s="16">
        <v>5723311.830000001</v>
      </c>
      <c r="F66" s="16">
        <v>1527753.94</v>
      </c>
      <c r="G66" s="16">
        <v>1120518.6399999999</v>
      </c>
      <c r="H66" s="16">
        <v>25502726.41</v>
      </c>
      <c r="I66" s="16">
        <v>3628685.28</v>
      </c>
      <c r="J66" s="16">
        <v>23286242.100000009</v>
      </c>
      <c r="K66" s="16">
        <v>0</v>
      </c>
      <c r="L66" s="16">
        <v>0</v>
      </c>
      <c r="M66" s="16">
        <v>0</v>
      </c>
      <c r="N66" s="18">
        <f t="shared" si="1"/>
        <v>669831212.05642211</v>
      </c>
      <c r="O66" s="4"/>
    </row>
    <row r="67" spans="1:15" ht="15" x14ac:dyDescent="0.2">
      <c r="A67" s="17" t="s">
        <v>62</v>
      </c>
      <c r="B67" s="16">
        <v>2276349831.1199999</v>
      </c>
      <c r="C67" s="16">
        <v>0</v>
      </c>
      <c r="D67" s="16">
        <v>25406703.829999998</v>
      </c>
      <c r="E67" s="16">
        <v>30327908.759999998</v>
      </c>
      <c r="F67" s="16">
        <v>41051548.200000003</v>
      </c>
      <c r="G67" s="16">
        <v>23842891.980844609</v>
      </c>
      <c r="H67" s="16">
        <v>113721870.34999999</v>
      </c>
      <c r="I67" s="16">
        <v>97504672.859999999</v>
      </c>
      <c r="J67" s="16">
        <v>150035688.66</v>
      </c>
      <c r="K67" s="16">
        <v>0</v>
      </c>
      <c r="L67" s="16">
        <v>0</v>
      </c>
      <c r="M67" s="16">
        <v>0</v>
      </c>
      <c r="N67" s="18">
        <f t="shared" si="1"/>
        <v>2758241115.7608442</v>
      </c>
      <c r="O67" s="4"/>
    </row>
    <row r="68" spans="1:15" ht="15" x14ac:dyDescent="0.2">
      <c r="A68" s="17" t="s">
        <v>63</v>
      </c>
      <c r="B68" s="16">
        <v>1442293251.5799999</v>
      </c>
      <c r="C68" s="16">
        <v>0</v>
      </c>
      <c r="D68" s="16">
        <v>34959509.5</v>
      </c>
      <c r="E68" s="16">
        <v>18078973.040000003</v>
      </c>
      <c r="F68" s="16">
        <v>36203138.979999997</v>
      </c>
      <c r="G68" s="16">
        <v>23804978.501437046</v>
      </c>
      <c r="H68" s="16">
        <v>72054077.069999993</v>
      </c>
      <c r="I68" s="16">
        <v>85988845.189999998</v>
      </c>
      <c r="J68" s="16">
        <v>126006064.80000006</v>
      </c>
      <c r="K68" s="16">
        <v>0</v>
      </c>
      <c r="L68" s="16">
        <v>0</v>
      </c>
      <c r="M68" s="16">
        <v>0</v>
      </c>
      <c r="N68" s="18">
        <f t="shared" si="1"/>
        <v>1839388838.6614368</v>
      </c>
      <c r="O68" s="4"/>
    </row>
    <row r="69" spans="1:15" ht="15" x14ac:dyDescent="0.2">
      <c r="A69" s="17" t="s">
        <v>64</v>
      </c>
      <c r="B69" s="16">
        <v>4973733361.2200003</v>
      </c>
      <c r="C69" s="16">
        <v>0</v>
      </c>
      <c r="D69" s="16">
        <v>32856384.237833187</v>
      </c>
      <c r="E69" s="16">
        <v>63235754.770000003</v>
      </c>
      <c r="F69" s="16">
        <v>106845976.44</v>
      </c>
      <c r="G69" s="16">
        <v>21765302.149603043</v>
      </c>
      <c r="H69" s="16">
        <v>248477739.53999999</v>
      </c>
      <c r="I69" s="16">
        <v>253778053.11000001</v>
      </c>
      <c r="J69" s="16">
        <v>294246119.42000014</v>
      </c>
      <c r="K69" s="16">
        <v>0</v>
      </c>
      <c r="L69" s="16">
        <v>0</v>
      </c>
      <c r="M69" s="16">
        <v>0</v>
      </c>
      <c r="N69" s="18">
        <f t="shared" si="1"/>
        <v>5994938690.8874359</v>
      </c>
      <c r="O69" s="4"/>
    </row>
    <row r="70" spans="1:15" ht="15" x14ac:dyDescent="0.2">
      <c r="A70" s="17" t="s">
        <v>65</v>
      </c>
      <c r="B70" s="16">
        <v>1041246677.1200001</v>
      </c>
      <c r="C70" s="16">
        <v>0</v>
      </c>
      <c r="D70" s="16">
        <v>190669652.15338832</v>
      </c>
      <c r="E70" s="16">
        <v>13101492.800000001</v>
      </c>
      <c r="F70" s="16">
        <v>23728586.09</v>
      </c>
      <c r="G70" s="16">
        <v>10874541.560000001</v>
      </c>
      <c r="H70" s="16">
        <v>52018594.859999999</v>
      </c>
      <c r="I70" s="16">
        <v>56359580.229999997</v>
      </c>
      <c r="J70" s="16">
        <v>125072591.82000004</v>
      </c>
      <c r="K70" s="16">
        <v>0</v>
      </c>
      <c r="L70" s="16">
        <v>0</v>
      </c>
      <c r="M70" s="16">
        <v>0</v>
      </c>
      <c r="N70" s="18">
        <f t="shared" si="1"/>
        <v>1513071716.633388</v>
      </c>
      <c r="O70" s="4"/>
    </row>
    <row r="71" spans="1:15" ht="15" x14ac:dyDescent="0.2">
      <c r="A71" s="17" t="s">
        <v>66</v>
      </c>
      <c r="B71" s="16">
        <v>4034072374.7799993</v>
      </c>
      <c r="C71" s="16">
        <v>0</v>
      </c>
      <c r="D71" s="16">
        <v>22815886.960000001</v>
      </c>
      <c r="E71" s="16">
        <v>20853386.829999998</v>
      </c>
      <c r="F71" s="16">
        <v>14940844.380000001</v>
      </c>
      <c r="G71" s="16">
        <v>10562265.869999999</v>
      </c>
      <c r="H71" s="16">
        <v>201534161.97</v>
      </c>
      <c r="I71" s="16">
        <v>35487142.57</v>
      </c>
      <c r="J71" s="16">
        <v>104530526.32000002</v>
      </c>
      <c r="K71" s="16">
        <v>0</v>
      </c>
      <c r="L71" s="16">
        <v>0</v>
      </c>
      <c r="M71" s="16">
        <v>0</v>
      </c>
      <c r="N71" s="18">
        <f t="shared" si="1"/>
        <v>4444796589.6799984</v>
      </c>
      <c r="O71" s="4"/>
    </row>
    <row r="72" spans="1:15" ht="15" x14ac:dyDescent="0.2">
      <c r="A72" s="17" t="s">
        <v>67</v>
      </c>
      <c r="B72" s="16">
        <v>18793831850.82</v>
      </c>
      <c r="C72" s="16">
        <v>0</v>
      </c>
      <c r="D72" s="16">
        <v>177536136.14767191</v>
      </c>
      <c r="E72" s="16">
        <v>276272601.95999992</v>
      </c>
      <c r="F72" s="16">
        <v>434736485.41000003</v>
      </c>
      <c r="G72" s="16">
        <v>0</v>
      </c>
      <c r="H72" s="16">
        <v>938902131.73000002</v>
      </c>
      <c r="I72" s="16">
        <v>1032575885.13</v>
      </c>
      <c r="J72" s="16">
        <v>1531474114.28</v>
      </c>
      <c r="K72" s="16">
        <v>0</v>
      </c>
      <c r="L72" s="16">
        <v>0</v>
      </c>
      <c r="M72" s="16">
        <v>0</v>
      </c>
      <c r="N72" s="18">
        <f t="shared" ref="N72:N103" si="2">SUM(B72:M72)</f>
        <v>23185329205.477669</v>
      </c>
      <c r="O72" s="4"/>
    </row>
    <row r="73" spans="1:15" ht="15" x14ac:dyDescent="0.2">
      <c r="A73" s="17" t="s">
        <v>68</v>
      </c>
      <c r="B73" s="16">
        <v>8131911926.7999992</v>
      </c>
      <c r="C73" s="16">
        <v>0</v>
      </c>
      <c r="D73" s="16">
        <v>306389772.47709727</v>
      </c>
      <c r="E73" s="16">
        <v>116277185.23999999</v>
      </c>
      <c r="F73" s="16">
        <v>161361119.34999999</v>
      </c>
      <c r="G73" s="16">
        <v>94804784.465763763</v>
      </c>
      <c r="H73" s="16">
        <v>406254004.18000001</v>
      </c>
      <c r="I73" s="16">
        <v>383261139.80000001</v>
      </c>
      <c r="J73" s="16">
        <v>667099535.0799998</v>
      </c>
      <c r="K73" s="16">
        <v>0</v>
      </c>
      <c r="L73" s="16">
        <v>0</v>
      </c>
      <c r="M73" s="16">
        <v>0</v>
      </c>
      <c r="N73" s="18">
        <f t="shared" si="2"/>
        <v>10267359467.392859</v>
      </c>
      <c r="O73" s="4"/>
    </row>
    <row r="74" spans="1:15" ht="15" x14ac:dyDescent="0.2">
      <c r="A74" s="17" t="s">
        <v>69</v>
      </c>
      <c r="B74" s="16">
        <v>4530024522.5599995</v>
      </c>
      <c r="C74" s="16">
        <v>0</v>
      </c>
      <c r="D74" s="16">
        <v>75334335.160000011</v>
      </c>
      <c r="E74" s="16">
        <v>60073598.580000006</v>
      </c>
      <c r="F74" s="16">
        <v>117153054.72</v>
      </c>
      <c r="G74" s="16">
        <v>168863146.81252319</v>
      </c>
      <c r="H74" s="16">
        <v>226310936.21000001</v>
      </c>
      <c r="I74" s="16">
        <v>278259183.30000001</v>
      </c>
      <c r="J74" s="16">
        <v>357864528.12</v>
      </c>
      <c r="K74" s="16">
        <v>0</v>
      </c>
      <c r="L74" s="16">
        <v>0</v>
      </c>
      <c r="M74" s="16">
        <v>0</v>
      </c>
      <c r="N74" s="18">
        <f t="shared" si="2"/>
        <v>5813883305.4625225</v>
      </c>
      <c r="O74" s="4"/>
    </row>
    <row r="75" spans="1:15" ht="15" x14ac:dyDescent="0.2">
      <c r="A75" s="17" t="s">
        <v>70</v>
      </c>
      <c r="B75" s="16">
        <v>737713849.33999979</v>
      </c>
      <c r="C75" s="16">
        <v>0</v>
      </c>
      <c r="D75" s="16">
        <v>91880631.593711764</v>
      </c>
      <c r="E75" s="16">
        <v>8326826.4900000002</v>
      </c>
      <c r="F75" s="16">
        <v>2129596.41</v>
      </c>
      <c r="G75" s="16">
        <v>1212364.43</v>
      </c>
      <c r="H75" s="16">
        <v>36854703.789999999</v>
      </c>
      <c r="I75" s="16">
        <v>5058167.3600000003</v>
      </c>
      <c r="J75" s="16">
        <v>40329609.980000012</v>
      </c>
      <c r="K75" s="16">
        <v>0</v>
      </c>
      <c r="L75" s="16">
        <v>0</v>
      </c>
      <c r="M75" s="16">
        <v>0</v>
      </c>
      <c r="N75" s="18">
        <f t="shared" si="2"/>
        <v>923505749.39371145</v>
      </c>
      <c r="O75" s="4"/>
    </row>
    <row r="76" spans="1:15" ht="15" x14ac:dyDescent="0.2">
      <c r="A76" s="17" t="s">
        <v>71</v>
      </c>
      <c r="B76" s="16">
        <v>734999219.93000007</v>
      </c>
      <c r="C76" s="16">
        <v>0</v>
      </c>
      <c r="D76" s="16">
        <v>129306451.15971959</v>
      </c>
      <c r="E76" s="16">
        <v>8529495.290000001</v>
      </c>
      <c r="F76" s="16">
        <v>3834115.27</v>
      </c>
      <c r="G76" s="16">
        <v>2847219.5</v>
      </c>
      <c r="H76" s="16">
        <v>36719086.350000001</v>
      </c>
      <c r="I76" s="16">
        <v>9106700.5299999993</v>
      </c>
      <c r="J76" s="16">
        <v>59887256</v>
      </c>
      <c r="K76" s="16">
        <v>0</v>
      </c>
      <c r="L76" s="16">
        <v>0</v>
      </c>
      <c r="M76" s="16">
        <v>0</v>
      </c>
      <c r="N76" s="18">
        <f t="shared" si="2"/>
        <v>985229544.02971959</v>
      </c>
      <c r="O76" s="4"/>
    </row>
    <row r="77" spans="1:15" ht="15" x14ac:dyDescent="0.2">
      <c r="A77" s="17" t="s">
        <v>72</v>
      </c>
      <c r="B77" s="16">
        <v>860058470.94000006</v>
      </c>
      <c r="C77" s="16">
        <v>0</v>
      </c>
      <c r="D77" s="16">
        <v>121598417.23749138</v>
      </c>
      <c r="E77" s="16">
        <v>9845908.879999999</v>
      </c>
      <c r="F77" s="16">
        <v>4503296.75</v>
      </c>
      <c r="G77" s="16">
        <v>1818546.65</v>
      </c>
      <c r="H77" s="16">
        <v>42966795.609999999</v>
      </c>
      <c r="I77" s="16">
        <v>10696124.66</v>
      </c>
      <c r="J77" s="16">
        <v>40692627.359999992</v>
      </c>
      <c r="K77" s="16">
        <v>0</v>
      </c>
      <c r="L77" s="16">
        <v>0</v>
      </c>
      <c r="M77" s="16">
        <v>0</v>
      </c>
      <c r="N77" s="18">
        <f t="shared" si="2"/>
        <v>1092180188.0874913</v>
      </c>
      <c r="O77" s="4"/>
    </row>
    <row r="78" spans="1:15" ht="15" x14ac:dyDescent="0.2">
      <c r="A78" s="17" t="s">
        <v>73</v>
      </c>
      <c r="B78" s="16">
        <v>333926031.46999997</v>
      </c>
      <c r="C78" s="16">
        <v>0</v>
      </c>
      <c r="D78" s="16">
        <v>40878112.440651067</v>
      </c>
      <c r="E78" s="16">
        <v>3722223.33</v>
      </c>
      <c r="F78" s="16">
        <v>1599301.65</v>
      </c>
      <c r="G78" s="16">
        <v>642920.53</v>
      </c>
      <c r="H78" s="16">
        <v>16682274.560000001</v>
      </c>
      <c r="I78" s="16">
        <v>3798623.71</v>
      </c>
      <c r="J78" s="16">
        <v>17450940.540000003</v>
      </c>
      <c r="K78" s="16">
        <v>0</v>
      </c>
      <c r="L78" s="16">
        <v>0</v>
      </c>
      <c r="M78" s="16">
        <v>0</v>
      </c>
      <c r="N78" s="18">
        <f t="shared" si="2"/>
        <v>418700428.23065096</v>
      </c>
      <c r="O78" s="4"/>
    </row>
    <row r="79" spans="1:15" ht="15" x14ac:dyDescent="0.2">
      <c r="A79" s="17" t="s">
        <v>74</v>
      </c>
      <c r="B79" s="16">
        <v>1622842721.4300005</v>
      </c>
      <c r="C79" s="16">
        <v>0</v>
      </c>
      <c r="D79" s="16">
        <v>324855495.90631884</v>
      </c>
      <c r="E79" s="16">
        <v>18658245.459999997</v>
      </c>
      <c r="F79" s="16">
        <v>8038595.1399999997</v>
      </c>
      <c r="G79" s="16">
        <v>4775981.09</v>
      </c>
      <c r="H79" s="16">
        <v>81073966.329999998</v>
      </c>
      <c r="I79" s="16">
        <v>19093082.34</v>
      </c>
      <c r="J79" s="16">
        <v>94532578.140000015</v>
      </c>
      <c r="K79" s="16">
        <v>0</v>
      </c>
      <c r="L79" s="16">
        <v>0</v>
      </c>
      <c r="M79" s="16">
        <v>0</v>
      </c>
      <c r="N79" s="18">
        <f t="shared" si="2"/>
        <v>2173870665.8363194</v>
      </c>
      <c r="O79" s="4"/>
    </row>
    <row r="80" spans="1:15" ht="15" x14ac:dyDescent="0.2">
      <c r="A80" s="17" t="s">
        <v>75</v>
      </c>
      <c r="B80" s="16">
        <v>862693258.30999994</v>
      </c>
      <c r="C80" s="16">
        <v>0</v>
      </c>
      <c r="D80" s="16">
        <v>351490385.21058732</v>
      </c>
      <c r="E80" s="16">
        <v>9734809.0399999991</v>
      </c>
      <c r="F80" s="16">
        <v>2600969.52</v>
      </c>
      <c r="G80" s="16">
        <v>1910392.44</v>
      </c>
      <c r="H80" s="16">
        <v>43098424.299999997</v>
      </c>
      <c r="I80" s="16">
        <v>6177761.7199999997</v>
      </c>
      <c r="J80" s="16">
        <v>61095000.559999973</v>
      </c>
      <c r="K80" s="16">
        <v>0</v>
      </c>
      <c r="L80" s="16">
        <v>0</v>
      </c>
      <c r="M80" s="16">
        <v>0</v>
      </c>
      <c r="N80" s="18">
        <f t="shared" si="2"/>
        <v>1338801001.1005871</v>
      </c>
      <c r="O80" s="4"/>
    </row>
    <row r="81" spans="1:15" ht="15" x14ac:dyDescent="0.2">
      <c r="A81" s="17" t="s">
        <v>76</v>
      </c>
      <c r="B81" s="16">
        <v>481181369.99000001</v>
      </c>
      <c r="C81" s="16">
        <v>0</v>
      </c>
      <c r="D81" s="16">
        <v>95167092.867692962</v>
      </c>
      <c r="E81" s="16">
        <v>5982392.9000000004</v>
      </c>
      <c r="F81" s="16">
        <v>6754945.1299999999</v>
      </c>
      <c r="G81" s="16">
        <v>4371859.6100000003</v>
      </c>
      <c r="H81" s="16">
        <v>24038855.82</v>
      </c>
      <c r="I81" s="16">
        <v>16044186.99</v>
      </c>
      <c r="J81" s="16">
        <v>71430218.639999986</v>
      </c>
      <c r="K81" s="16">
        <v>0</v>
      </c>
      <c r="L81" s="16">
        <v>0</v>
      </c>
      <c r="M81" s="16">
        <v>0</v>
      </c>
      <c r="N81" s="18">
        <f t="shared" si="2"/>
        <v>704970921.94769299</v>
      </c>
      <c r="O81" s="4"/>
    </row>
    <row r="82" spans="1:15" ht="15" x14ac:dyDescent="0.2">
      <c r="A82" s="17" t="s">
        <v>77</v>
      </c>
      <c r="B82" s="16">
        <v>7713379945.2300014</v>
      </c>
      <c r="C82" s="16">
        <v>0</v>
      </c>
      <c r="D82" s="16">
        <v>103186510.97</v>
      </c>
      <c r="E82" s="16">
        <v>105035644.11000001</v>
      </c>
      <c r="F82" s="16">
        <v>194681306.66999999</v>
      </c>
      <c r="G82" s="16">
        <v>173317367.26944801</v>
      </c>
      <c r="H82" s="16">
        <v>385344986.11000001</v>
      </c>
      <c r="I82" s="16">
        <v>462402465.93000001</v>
      </c>
      <c r="J82" s="16">
        <v>592931896.04000008</v>
      </c>
      <c r="K82" s="16">
        <v>0</v>
      </c>
      <c r="L82" s="16">
        <v>0</v>
      </c>
      <c r="M82" s="16">
        <v>0</v>
      </c>
      <c r="N82" s="18">
        <f t="shared" si="2"/>
        <v>9730280122.3294506</v>
      </c>
      <c r="O82" s="4"/>
    </row>
    <row r="83" spans="1:15" ht="15" x14ac:dyDescent="0.2">
      <c r="A83" s="17" t="s">
        <v>78</v>
      </c>
      <c r="B83" s="16">
        <v>2160286116.7800002</v>
      </c>
      <c r="C83" s="16">
        <v>0</v>
      </c>
      <c r="D83" s="16">
        <v>103344919.3072536</v>
      </c>
      <c r="E83" s="16">
        <v>28348229.349999998</v>
      </c>
      <c r="F83" s="16">
        <v>21556902.789999999</v>
      </c>
      <c r="G83" s="16">
        <v>11627677.039999999</v>
      </c>
      <c r="H83" s="16">
        <v>107923560.05</v>
      </c>
      <c r="I83" s="16">
        <v>51201449.090000004</v>
      </c>
      <c r="J83" s="16">
        <v>128329155.90000005</v>
      </c>
      <c r="K83" s="16">
        <v>0</v>
      </c>
      <c r="L83" s="16">
        <v>0</v>
      </c>
      <c r="M83" s="16">
        <v>0</v>
      </c>
      <c r="N83" s="18">
        <f t="shared" si="2"/>
        <v>2612618010.3072538</v>
      </c>
      <c r="O83" s="4"/>
    </row>
    <row r="84" spans="1:15" ht="15" x14ac:dyDescent="0.2">
      <c r="A84" s="17" t="s">
        <v>79</v>
      </c>
      <c r="B84" s="16">
        <v>829878179.25</v>
      </c>
      <c r="C84" s="16">
        <v>0</v>
      </c>
      <c r="D84" s="16">
        <v>78734133.647113383</v>
      </c>
      <c r="E84" s="16">
        <v>9583653.4800000004</v>
      </c>
      <c r="F84" s="16">
        <v>4326531.83</v>
      </c>
      <c r="G84" s="16">
        <v>1150502.1902342143</v>
      </c>
      <c r="H84" s="16">
        <v>41459048.789999999</v>
      </c>
      <c r="I84" s="16">
        <v>10276276.779999999</v>
      </c>
      <c r="J84" s="16">
        <v>52770985.519999981</v>
      </c>
      <c r="K84" s="16">
        <v>0</v>
      </c>
      <c r="L84" s="16">
        <v>0</v>
      </c>
      <c r="M84" s="16">
        <v>0</v>
      </c>
      <c r="N84" s="18">
        <f t="shared" si="2"/>
        <v>1028179311.4873475</v>
      </c>
      <c r="O84" s="4"/>
    </row>
    <row r="85" spans="1:15" ht="15" x14ac:dyDescent="0.2">
      <c r="A85" s="17" t="s">
        <v>80</v>
      </c>
      <c r="B85" s="16">
        <v>685656838.30999994</v>
      </c>
      <c r="C85" s="16">
        <v>0</v>
      </c>
      <c r="D85" s="16">
        <v>70974554.262365192</v>
      </c>
      <c r="E85" s="16">
        <v>7859472.5200000005</v>
      </c>
      <c r="F85" s="16">
        <v>2045422.63</v>
      </c>
      <c r="G85" s="16">
        <v>1193995.27</v>
      </c>
      <c r="H85" s="16">
        <v>34254039.960000001</v>
      </c>
      <c r="I85" s="16">
        <v>4858239.8</v>
      </c>
      <c r="J85" s="16">
        <v>31108825.660000008</v>
      </c>
      <c r="K85" s="16">
        <v>0</v>
      </c>
      <c r="L85" s="16">
        <v>0</v>
      </c>
      <c r="M85" s="16">
        <v>0</v>
      </c>
      <c r="N85" s="18">
        <f t="shared" si="2"/>
        <v>837951388.41236508</v>
      </c>
      <c r="O85" s="4"/>
    </row>
    <row r="86" spans="1:15" ht="15" x14ac:dyDescent="0.2">
      <c r="A86" s="17" t="s">
        <v>81</v>
      </c>
      <c r="B86" s="16">
        <v>8815226731.9899998</v>
      </c>
      <c r="C86" s="16">
        <v>0</v>
      </c>
      <c r="D86" s="16">
        <v>93809073.939999998</v>
      </c>
      <c r="E86" s="16">
        <v>112852864.95999999</v>
      </c>
      <c r="F86" s="16">
        <v>122148768.04000001</v>
      </c>
      <c r="G86" s="16">
        <v>39187774.476097323</v>
      </c>
      <c r="H86" s="16">
        <v>440391040.85000002</v>
      </c>
      <c r="I86" s="16">
        <v>290124884.20999998</v>
      </c>
      <c r="J86" s="16">
        <v>261771231.26000014</v>
      </c>
      <c r="K86" s="16">
        <v>0</v>
      </c>
      <c r="L86" s="16">
        <v>0</v>
      </c>
      <c r="M86" s="16">
        <v>0</v>
      </c>
      <c r="N86" s="18">
        <f t="shared" si="2"/>
        <v>10175512369.726097</v>
      </c>
      <c r="O86" s="4"/>
    </row>
    <row r="87" spans="1:15" ht="15" x14ac:dyDescent="0.2">
      <c r="A87" s="17" t="s">
        <v>82</v>
      </c>
      <c r="B87" s="16">
        <v>1304512501.97</v>
      </c>
      <c r="C87" s="16">
        <v>0</v>
      </c>
      <c r="D87" s="16">
        <v>88736346.252430707</v>
      </c>
      <c r="E87" s="16">
        <v>14782267.02</v>
      </c>
      <c r="F87" s="16">
        <v>3467959.37</v>
      </c>
      <c r="G87" s="16">
        <v>3471770.87</v>
      </c>
      <c r="H87" s="16">
        <v>65170827.259999998</v>
      </c>
      <c r="I87" s="16">
        <v>8237015.6299999999</v>
      </c>
      <c r="J87" s="16">
        <v>59191533.719999969</v>
      </c>
      <c r="K87" s="16">
        <v>0</v>
      </c>
      <c r="L87" s="16">
        <v>0</v>
      </c>
      <c r="M87" s="16">
        <v>0</v>
      </c>
      <c r="N87" s="18">
        <f t="shared" si="2"/>
        <v>1547570222.0924306</v>
      </c>
      <c r="O87" s="4"/>
    </row>
    <row r="88" spans="1:15" ht="15" x14ac:dyDescent="0.2">
      <c r="A88" s="17" t="s">
        <v>83</v>
      </c>
      <c r="B88" s="16">
        <v>1045425077.2799997</v>
      </c>
      <c r="C88" s="16">
        <v>0</v>
      </c>
      <c r="D88" s="16">
        <v>32854069.249143206</v>
      </c>
      <c r="E88" s="16">
        <v>13346545.359999999</v>
      </c>
      <c r="F88" s="16">
        <v>17019936.530000001</v>
      </c>
      <c r="G88" s="16">
        <v>7017018.3700000001</v>
      </c>
      <c r="H88" s="16">
        <v>52227339.350000001</v>
      </c>
      <c r="I88" s="16">
        <v>40425353.399999999</v>
      </c>
      <c r="J88" s="16">
        <v>90104059.980000049</v>
      </c>
      <c r="K88" s="16">
        <v>0</v>
      </c>
      <c r="L88" s="16">
        <v>0</v>
      </c>
      <c r="M88" s="16">
        <v>0</v>
      </c>
      <c r="N88" s="18">
        <f t="shared" si="2"/>
        <v>1298419399.5191426</v>
      </c>
      <c r="O88" s="4"/>
    </row>
    <row r="89" spans="1:15" ht="15" x14ac:dyDescent="0.2">
      <c r="A89" s="17" t="s">
        <v>84</v>
      </c>
      <c r="B89" s="16">
        <v>1745001044.95</v>
      </c>
      <c r="C89" s="16">
        <v>0</v>
      </c>
      <c r="D89" s="16">
        <v>86248506.117723182</v>
      </c>
      <c r="E89" s="16">
        <v>21932371.759999998</v>
      </c>
      <c r="F89" s="16">
        <v>14313749.779999999</v>
      </c>
      <c r="G89" s="16">
        <v>7641569.7400000002</v>
      </c>
      <c r="H89" s="16">
        <v>87176751.079999998</v>
      </c>
      <c r="I89" s="16">
        <v>33997682.219999999</v>
      </c>
      <c r="J89" s="16">
        <v>92531783.519999951</v>
      </c>
      <c r="K89" s="16">
        <v>0</v>
      </c>
      <c r="L89" s="16">
        <v>0</v>
      </c>
      <c r="M89" s="16">
        <v>0</v>
      </c>
      <c r="N89" s="18">
        <f t="shared" si="2"/>
        <v>2088843459.1677232</v>
      </c>
      <c r="O89" s="4"/>
    </row>
    <row r="90" spans="1:15" ht="15" x14ac:dyDescent="0.2">
      <c r="A90" s="17" t="s">
        <v>85</v>
      </c>
      <c r="B90" s="16">
        <v>8169198160.1800013</v>
      </c>
      <c r="C90" s="16">
        <v>0</v>
      </c>
      <c r="D90" s="16">
        <v>54827939.197601348</v>
      </c>
      <c r="E90" s="16">
        <v>111925908.98</v>
      </c>
      <c r="F90" s="16">
        <v>194163637.97</v>
      </c>
      <c r="G90" s="16">
        <v>58396318.568249092</v>
      </c>
      <c r="H90" s="16">
        <v>408116749.57999998</v>
      </c>
      <c r="I90" s="16">
        <v>461172911.42000002</v>
      </c>
      <c r="J90" s="16">
        <v>539402554.89999986</v>
      </c>
      <c r="K90" s="16">
        <v>0</v>
      </c>
      <c r="L90" s="16">
        <v>0</v>
      </c>
      <c r="M90" s="16">
        <v>0</v>
      </c>
      <c r="N90" s="18">
        <f t="shared" si="2"/>
        <v>9997204180.7958508</v>
      </c>
      <c r="O90" s="4"/>
    </row>
    <row r="91" spans="1:15" ht="15" x14ac:dyDescent="0.2">
      <c r="A91" s="17" t="s">
        <v>86</v>
      </c>
      <c r="B91" s="16">
        <v>355722908.80999994</v>
      </c>
      <c r="C91" s="16">
        <v>0</v>
      </c>
      <c r="D91" s="16">
        <v>116473578.37568617</v>
      </c>
      <c r="E91" s="16">
        <v>4327223.75</v>
      </c>
      <c r="F91" s="16">
        <v>4507505.4400000004</v>
      </c>
      <c r="G91" s="16">
        <v>2608420.44</v>
      </c>
      <c r="H91" s="16">
        <v>17771202.809999999</v>
      </c>
      <c r="I91" s="16">
        <v>10706121.039999999</v>
      </c>
      <c r="J91" s="16">
        <v>41599257.480000019</v>
      </c>
      <c r="K91" s="16">
        <v>0</v>
      </c>
      <c r="L91" s="16">
        <v>0</v>
      </c>
      <c r="M91" s="16">
        <v>0</v>
      </c>
      <c r="N91" s="18">
        <f t="shared" si="2"/>
        <v>553716218.14568615</v>
      </c>
      <c r="O91" s="4"/>
    </row>
    <row r="92" spans="1:15" ht="15" x14ac:dyDescent="0.2">
      <c r="A92" s="17" t="s">
        <v>87</v>
      </c>
      <c r="B92" s="16">
        <v>530284225.50999999</v>
      </c>
      <c r="C92" s="16">
        <v>0</v>
      </c>
      <c r="D92" s="16">
        <v>1996843.23</v>
      </c>
      <c r="E92" s="16">
        <v>4372853.7300000004</v>
      </c>
      <c r="F92" s="16">
        <v>963789.68</v>
      </c>
      <c r="G92" s="16">
        <v>881719.59</v>
      </c>
      <c r="H92" s="16">
        <v>26491935.960000001</v>
      </c>
      <c r="I92" s="16">
        <v>2289170.61</v>
      </c>
      <c r="J92" s="16">
        <v>16175449.840000005</v>
      </c>
      <c r="K92" s="16">
        <v>0</v>
      </c>
      <c r="L92" s="16">
        <v>0</v>
      </c>
      <c r="M92" s="16">
        <v>0</v>
      </c>
      <c r="N92" s="18">
        <f t="shared" si="2"/>
        <v>583455988.1500001</v>
      </c>
      <c r="O92" s="4"/>
    </row>
    <row r="93" spans="1:15" ht="15" x14ac:dyDescent="0.2">
      <c r="A93" s="17" t="s">
        <v>88</v>
      </c>
      <c r="B93" s="16">
        <v>5497364083.4099998</v>
      </c>
      <c r="C93" s="16">
        <v>0</v>
      </c>
      <c r="D93" s="16">
        <v>54548167.483866192</v>
      </c>
      <c r="E93" s="16">
        <v>79411593.040000007</v>
      </c>
      <c r="F93" s="16">
        <v>157362865.21000001</v>
      </c>
      <c r="G93" s="16">
        <v>33981688.896408483</v>
      </c>
      <c r="H93" s="16">
        <v>274637279.81999999</v>
      </c>
      <c r="I93" s="16">
        <v>373764580.51999998</v>
      </c>
      <c r="J93" s="16">
        <v>556843634.81999993</v>
      </c>
      <c r="K93" s="16">
        <v>0</v>
      </c>
      <c r="L93" s="16">
        <v>0</v>
      </c>
      <c r="M93" s="16">
        <v>0</v>
      </c>
      <c r="N93" s="18">
        <f t="shared" si="2"/>
        <v>7027913893.2002735</v>
      </c>
      <c r="O93" s="4"/>
    </row>
    <row r="94" spans="1:15" ht="15" x14ac:dyDescent="0.2">
      <c r="A94" s="17" t="s">
        <v>89</v>
      </c>
      <c r="B94" s="16">
        <v>3112402461.6900001</v>
      </c>
      <c r="C94" s="16">
        <v>0</v>
      </c>
      <c r="D94" s="16">
        <v>87330027.179999992</v>
      </c>
      <c r="E94" s="16">
        <v>40720436.060000002</v>
      </c>
      <c r="F94" s="16">
        <v>71156297.459999993</v>
      </c>
      <c r="G94" s="16">
        <v>42838711.128012672</v>
      </c>
      <c r="H94" s="16">
        <v>155489382.33000001</v>
      </c>
      <c r="I94" s="16">
        <v>169008766.06</v>
      </c>
      <c r="J94" s="16">
        <v>262989566.84</v>
      </c>
      <c r="K94" s="16">
        <v>0</v>
      </c>
      <c r="L94" s="16">
        <v>0</v>
      </c>
      <c r="M94" s="16">
        <v>0</v>
      </c>
      <c r="N94" s="18">
        <f t="shared" si="2"/>
        <v>3941935648.7480125</v>
      </c>
      <c r="O94" s="4"/>
    </row>
    <row r="95" spans="1:15" ht="15" x14ac:dyDescent="0.2">
      <c r="A95" s="17" t="s">
        <v>90</v>
      </c>
      <c r="B95" s="16">
        <v>579440309.06999993</v>
      </c>
      <c r="C95" s="16">
        <v>0</v>
      </c>
      <c r="D95" s="16">
        <v>71258327.730500773</v>
      </c>
      <c r="E95" s="16">
        <v>6672368.9799999995</v>
      </c>
      <c r="F95" s="16">
        <v>3489002.81</v>
      </c>
      <c r="G95" s="16">
        <v>2094084.02</v>
      </c>
      <c r="H95" s="16">
        <v>28947675.27</v>
      </c>
      <c r="I95" s="16">
        <v>8286997.5199999996</v>
      </c>
      <c r="J95" s="16">
        <v>42034768.599999994</v>
      </c>
      <c r="K95" s="16">
        <v>0</v>
      </c>
      <c r="L95" s="16">
        <v>0</v>
      </c>
      <c r="M95" s="16">
        <v>0</v>
      </c>
      <c r="N95" s="18">
        <f t="shared" si="2"/>
        <v>742223534.00050068</v>
      </c>
      <c r="O95" s="4"/>
    </row>
    <row r="96" spans="1:15" ht="15" x14ac:dyDescent="0.2">
      <c r="A96" s="17" t="s">
        <v>91</v>
      </c>
      <c r="B96" s="16">
        <v>1807331065.3300002</v>
      </c>
      <c r="C96" s="16">
        <v>0</v>
      </c>
      <c r="D96" s="16">
        <v>217719776.71345475</v>
      </c>
      <c r="E96" s="16">
        <v>10388952.43</v>
      </c>
      <c r="F96" s="16">
        <v>19553567.039999999</v>
      </c>
      <c r="G96" s="16">
        <v>10709219.140000001</v>
      </c>
      <c r="H96" s="16">
        <v>90290633.840000004</v>
      </c>
      <c r="I96" s="16">
        <v>46443173.07</v>
      </c>
      <c r="J96" s="16">
        <v>142446290.80000004</v>
      </c>
      <c r="K96" s="16">
        <v>0</v>
      </c>
      <c r="L96" s="16">
        <v>0</v>
      </c>
      <c r="M96" s="16">
        <v>0</v>
      </c>
      <c r="N96" s="18">
        <f t="shared" si="2"/>
        <v>2344882678.3634553</v>
      </c>
      <c r="O96" s="4"/>
    </row>
    <row r="97" spans="1:15" ht="15" x14ac:dyDescent="0.2">
      <c r="A97" s="17" t="s">
        <v>92</v>
      </c>
      <c r="B97" s="16">
        <v>939820670.39999998</v>
      </c>
      <c r="C97" s="16">
        <v>0</v>
      </c>
      <c r="D97" s="16">
        <v>263510139.24336076</v>
      </c>
      <c r="E97" s="16">
        <v>11270406.58</v>
      </c>
      <c r="F97" s="16">
        <v>9027636.9499999993</v>
      </c>
      <c r="G97" s="16">
        <v>5510747.4100000001</v>
      </c>
      <c r="H97" s="16">
        <v>46951555.060000002</v>
      </c>
      <c r="I97" s="16">
        <v>21442231.219999999</v>
      </c>
      <c r="J97" s="16">
        <v>96808740.160000011</v>
      </c>
      <c r="K97" s="16">
        <v>0</v>
      </c>
      <c r="L97" s="16">
        <v>0</v>
      </c>
      <c r="M97" s="16">
        <v>0</v>
      </c>
      <c r="N97" s="18">
        <f t="shared" si="2"/>
        <v>1394342127.0233607</v>
      </c>
      <c r="O97" s="4"/>
    </row>
    <row r="98" spans="1:15" ht="15" x14ac:dyDescent="0.2">
      <c r="A98" s="17" t="s">
        <v>93</v>
      </c>
      <c r="B98" s="16">
        <v>2645699115.1300001</v>
      </c>
      <c r="C98" s="16">
        <v>0</v>
      </c>
      <c r="D98" s="16">
        <v>288147468.8872925</v>
      </c>
      <c r="E98" s="16">
        <v>32223798.059999995</v>
      </c>
      <c r="F98" s="16">
        <v>20992938.530000001</v>
      </c>
      <c r="G98" s="16">
        <v>13189055.470000001</v>
      </c>
      <c r="H98" s="16">
        <v>132173819.52</v>
      </c>
      <c r="I98" s="16">
        <v>49861934.409999996</v>
      </c>
      <c r="J98" s="16">
        <v>186650763.19999993</v>
      </c>
      <c r="K98" s="16">
        <v>0</v>
      </c>
      <c r="L98" s="16">
        <v>0</v>
      </c>
      <c r="M98" s="16">
        <v>0</v>
      </c>
      <c r="N98" s="18">
        <f t="shared" si="2"/>
        <v>3368938893.2072921</v>
      </c>
      <c r="O98" s="4"/>
    </row>
    <row r="99" spans="1:15" ht="15" x14ac:dyDescent="0.2">
      <c r="A99" s="17" t="s">
        <v>94</v>
      </c>
      <c r="B99" s="16">
        <v>1869368331.5700002</v>
      </c>
      <c r="C99" s="16">
        <v>0</v>
      </c>
      <c r="D99" s="16">
        <v>137346734.25230107</v>
      </c>
      <c r="E99" s="16">
        <v>21399719.27</v>
      </c>
      <c r="F99" s="16">
        <v>7781865.1399999997</v>
      </c>
      <c r="G99" s="16">
        <v>3949368.98</v>
      </c>
      <c r="H99" s="16">
        <v>93389891.189999998</v>
      </c>
      <c r="I99" s="16">
        <v>18483303.27</v>
      </c>
      <c r="J99" s="16">
        <v>122391048.33999999</v>
      </c>
      <c r="K99" s="16">
        <v>0</v>
      </c>
      <c r="L99" s="16">
        <v>0</v>
      </c>
      <c r="M99" s="16">
        <v>0</v>
      </c>
      <c r="N99" s="18">
        <f t="shared" si="2"/>
        <v>2274110262.0123014</v>
      </c>
      <c r="O99" s="4"/>
    </row>
    <row r="100" spans="1:15" ht="15" x14ac:dyDescent="0.2">
      <c r="A100" s="17" t="s">
        <v>95</v>
      </c>
      <c r="B100" s="16">
        <v>2039485107.9999998</v>
      </c>
      <c r="C100" s="16">
        <v>0</v>
      </c>
      <c r="D100" s="16">
        <v>258152311.77910981</v>
      </c>
      <c r="E100" s="16">
        <v>23331497.579999998</v>
      </c>
      <c r="F100" s="16">
        <v>8737237.4399999995</v>
      </c>
      <c r="G100" s="16">
        <v>4702504.46</v>
      </c>
      <c r="H100" s="16">
        <v>101888584.02</v>
      </c>
      <c r="I100" s="16">
        <v>20752481.120000001</v>
      </c>
      <c r="J100" s="16">
        <v>94646340.800000027</v>
      </c>
      <c r="K100" s="16">
        <v>0</v>
      </c>
      <c r="L100" s="16">
        <v>0</v>
      </c>
      <c r="M100" s="16">
        <v>0</v>
      </c>
      <c r="N100" s="18">
        <f t="shared" si="2"/>
        <v>2551696065.1991096</v>
      </c>
      <c r="O100" s="4"/>
    </row>
    <row r="101" spans="1:15" ht="15" x14ac:dyDescent="0.2">
      <c r="A101" s="17" t="s">
        <v>96</v>
      </c>
      <c r="B101" s="16">
        <v>417946473.14000005</v>
      </c>
      <c r="C101" s="16">
        <v>0</v>
      </c>
      <c r="D101" s="16">
        <v>69235657.982505396</v>
      </c>
      <c r="E101" s="16">
        <v>4690990.5199999996</v>
      </c>
      <c r="F101" s="16">
        <v>1043754.76</v>
      </c>
      <c r="G101" s="16">
        <v>753135.48</v>
      </c>
      <c r="H101" s="16">
        <v>20879767.239999998</v>
      </c>
      <c r="I101" s="16">
        <v>2479101.79</v>
      </c>
      <c r="J101" s="16">
        <v>21843303.24000001</v>
      </c>
      <c r="K101" s="16">
        <v>0</v>
      </c>
      <c r="L101" s="16">
        <v>0</v>
      </c>
      <c r="M101" s="16">
        <v>0</v>
      </c>
      <c r="N101" s="18">
        <f t="shared" si="2"/>
        <v>538872184.1525054</v>
      </c>
      <c r="O101" s="4"/>
    </row>
    <row r="102" spans="1:15" ht="15" x14ac:dyDescent="0.2">
      <c r="A102" s="17" t="s">
        <v>97</v>
      </c>
      <c r="B102" s="16">
        <v>1147968872.6099999</v>
      </c>
      <c r="C102" s="16">
        <v>0</v>
      </c>
      <c r="D102" s="16">
        <v>354843909.24099976</v>
      </c>
      <c r="E102" s="16">
        <v>16089585.479999999</v>
      </c>
      <c r="F102" s="16">
        <v>20210122.460000001</v>
      </c>
      <c r="G102" s="16">
        <v>12086905.99</v>
      </c>
      <c r="H102" s="16">
        <v>57350221.619999997</v>
      </c>
      <c r="I102" s="16">
        <v>48002608.07</v>
      </c>
      <c r="J102" s="16">
        <v>140680690.25999999</v>
      </c>
      <c r="K102" s="16">
        <v>0</v>
      </c>
      <c r="L102" s="16">
        <v>0</v>
      </c>
      <c r="M102" s="16">
        <v>0</v>
      </c>
      <c r="N102" s="18">
        <f t="shared" si="2"/>
        <v>1797232915.7309995</v>
      </c>
      <c r="O102" s="4"/>
    </row>
    <row r="103" spans="1:15" ht="15" x14ac:dyDescent="0.2">
      <c r="A103" s="17" t="s">
        <v>98</v>
      </c>
      <c r="B103" s="16">
        <v>419702998.05000007</v>
      </c>
      <c r="C103" s="16">
        <v>0</v>
      </c>
      <c r="D103" s="16">
        <v>83716440.897603169</v>
      </c>
      <c r="E103" s="16">
        <v>4690527.07</v>
      </c>
      <c r="F103" s="16">
        <v>500833.93</v>
      </c>
      <c r="G103" s="16">
        <v>477598.11</v>
      </c>
      <c r="H103" s="16">
        <v>20967519.699999999</v>
      </c>
      <c r="I103" s="16">
        <v>1189569</v>
      </c>
      <c r="J103" s="16">
        <v>30877648.560000006</v>
      </c>
      <c r="K103" s="16">
        <v>0</v>
      </c>
      <c r="L103" s="16">
        <v>0</v>
      </c>
      <c r="M103" s="16">
        <v>0</v>
      </c>
      <c r="N103" s="18">
        <f t="shared" si="2"/>
        <v>562123135.31760323</v>
      </c>
      <c r="O103" s="4"/>
    </row>
    <row r="104" spans="1:15" ht="15" x14ac:dyDescent="0.2">
      <c r="A104" s="17" t="s">
        <v>99</v>
      </c>
      <c r="B104" s="16">
        <v>6212722161.21</v>
      </c>
      <c r="C104" s="16">
        <v>0</v>
      </c>
      <c r="D104" s="16">
        <v>100835222.01763159</v>
      </c>
      <c r="E104" s="16">
        <v>82585617.069999993</v>
      </c>
      <c r="F104" s="16">
        <v>102637287.88</v>
      </c>
      <c r="G104" s="16">
        <v>23201275.572565455</v>
      </c>
      <c r="H104" s="16">
        <v>310375134.11000001</v>
      </c>
      <c r="I104" s="16">
        <v>243781674.91999999</v>
      </c>
      <c r="J104" s="16">
        <v>341643244.5799998</v>
      </c>
      <c r="K104" s="16">
        <v>0</v>
      </c>
      <c r="L104" s="16">
        <v>0</v>
      </c>
      <c r="M104" s="16">
        <v>0</v>
      </c>
      <c r="N104" s="18">
        <f t="shared" ref="N104:N135" si="3">SUM(B104:M104)</f>
        <v>7417781617.3601961</v>
      </c>
      <c r="O104" s="4"/>
    </row>
    <row r="105" spans="1:15" ht="15" x14ac:dyDescent="0.2">
      <c r="A105" s="17" t="s">
        <v>100</v>
      </c>
      <c r="B105" s="16">
        <v>1104561416.05</v>
      </c>
      <c r="C105" s="16">
        <v>0</v>
      </c>
      <c r="D105" s="16">
        <v>13242730.020000001</v>
      </c>
      <c r="E105" s="16">
        <v>10626724.940000001</v>
      </c>
      <c r="F105" s="16">
        <v>4423331.67</v>
      </c>
      <c r="G105" s="16">
        <v>4133060.56</v>
      </c>
      <c r="H105" s="16">
        <v>55181672.18</v>
      </c>
      <c r="I105" s="16">
        <v>10506193.48</v>
      </c>
      <c r="J105" s="16">
        <v>44614053.660000011</v>
      </c>
      <c r="K105" s="16">
        <v>0</v>
      </c>
      <c r="L105" s="16">
        <v>0</v>
      </c>
      <c r="M105" s="16">
        <v>0</v>
      </c>
      <c r="N105" s="18">
        <f t="shared" si="3"/>
        <v>1247289182.5600002</v>
      </c>
      <c r="O105" s="4"/>
    </row>
    <row r="106" spans="1:15" ht="15" x14ac:dyDescent="0.2">
      <c r="A106" s="17" t="s">
        <v>101</v>
      </c>
      <c r="B106" s="16">
        <v>1134236041.45</v>
      </c>
      <c r="C106" s="16">
        <v>0</v>
      </c>
      <c r="D106" s="16">
        <v>11885170.380000001</v>
      </c>
      <c r="E106" s="16">
        <v>16479697.010000002</v>
      </c>
      <c r="F106" s="16">
        <v>31342103.690000001</v>
      </c>
      <c r="G106" s="16">
        <v>10199152.667713299</v>
      </c>
      <c r="H106" s="16">
        <v>56664156.93</v>
      </c>
      <c r="I106" s="16">
        <v>74443028.379999995</v>
      </c>
      <c r="J106" s="16">
        <v>117254208.06000006</v>
      </c>
      <c r="K106" s="16">
        <v>0</v>
      </c>
      <c r="L106" s="16">
        <v>0</v>
      </c>
      <c r="M106" s="16">
        <v>0</v>
      </c>
      <c r="N106" s="18">
        <f t="shared" si="3"/>
        <v>1452503558.5677137</v>
      </c>
      <c r="O106" s="4"/>
    </row>
    <row r="107" spans="1:15" ht="15" x14ac:dyDescent="0.2">
      <c r="A107" s="17" t="s">
        <v>102</v>
      </c>
      <c r="B107" s="16">
        <v>1572036569.0100002</v>
      </c>
      <c r="C107" s="16">
        <v>0</v>
      </c>
      <c r="D107" s="16">
        <v>98127163.263112918</v>
      </c>
      <c r="E107" s="16">
        <v>17472520.899999999</v>
      </c>
      <c r="F107" s="16">
        <v>1742397.06</v>
      </c>
      <c r="G107" s="16">
        <v>1745070.01</v>
      </c>
      <c r="H107" s="16">
        <v>78535792.890000001</v>
      </c>
      <c r="I107" s="16">
        <v>4138500.57</v>
      </c>
      <c r="J107" s="16">
        <v>54323487.019999981</v>
      </c>
      <c r="K107" s="16">
        <v>0</v>
      </c>
      <c r="L107" s="16">
        <v>0</v>
      </c>
      <c r="M107" s="16">
        <v>0</v>
      </c>
      <c r="N107" s="18">
        <f t="shared" si="3"/>
        <v>1828121500.7231133</v>
      </c>
      <c r="O107" s="4"/>
    </row>
    <row r="108" spans="1:15" ht="15" x14ac:dyDescent="0.2">
      <c r="A108" s="17" t="s">
        <v>103</v>
      </c>
      <c r="B108" s="16">
        <v>557403905.62</v>
      </c>
      <c r="C108" s="16">
        <v>0</v>
      </c>
      <c r="D108" s="16">
        <v>42922368.460358746</v>
      </c>
      <c r="E108" s="16">
        <v>6302962.9000000004</v>
      </c>
      <c r="F108" s="16">
        <v>1767649.19</v>
      </c>
      <c r="G108" s="16">
        <v>1285841.06</v>
      </c>
      <c r="H108" s="16">
        <v>27846780.77</v>
      </c>
      <c r="I108" s="16">
        <v>4198478.84</v>
      </c>
      <c r="J108" s="16">
        <v>28979477.560000006</v>
      </c>
      <c r="K108" s="16">
        <v>0</v>
      </c>
      <c r="L108" s="16">
        <v>0</v>
      </c>
      <c r="M108" s="16">
        <v>0</v>
      </c>
      <c r="N108" s="18">
        <f t="shared" si="3"/>
        <v>670707464.4003588</v>
      </c>
      <c r="O108" s="4"/>
    </row>
    <row r="109" spans="1:15" ht="15" x14ac:dyDescent="0.2">
      <c r="A109" s="17" t="s">
        <v>104</v>
      </c>
      <c r="B109" s="16">
        <v>5358092948.9799995</v>
      </c>
      <c r="C109" s="16">
        <v>0</v>
      </c>
      <c r="D109" s="16">
        <v>115345716.83391155</v>
      </c>
      <c r="E109" s="16">
        <v>77514291.030000001</v>
      </c>
      <c r="F109" s="16">
        <v>180476982.78</v>
      </c>
      <c r="G109" s="16">
        <v>109307707.91776323</v>
      </c>
      <c r="H109" s="16">
        <v>267679573.37</v>
      </c>
      <c r="I109" s="16">
        <v>428664689.54000002</v>
      </c>
      <c r="J109" s="16">
        <v>528753074.9600001</v>
      </c>
      <c r="K109" s="16">
        <v>0</v>
      </c>
      <c r="L109" s="16">
        <v>0</v>
      </c>
      <c r="M109" s="16">
        <v>0</v>
      </c>
      <c r="N109" s="18">
        <f t="shared" si="3"/>
        <v>7065834985.4116735</v>
      </c>
      <c r="O109" s="4"/>
    </row>
    <row r="110" spans="1:15" ht="15" x14ac:dyDescent="0.2">
      <c r="A110" s="17" t="s">
        <v>105</v>
      </c>
      <c r="B110" s="16">
        <v>614144983.11999989</v>
      </c>
      <c r="C110" s="16">
        <v>0</v>
      </c>
      <c r="D110" s="16">
        <v>99478692.29410398</v>
      </c>
      <c r="E110" s="16">
        <v>8041989.6600000001</v>
      </c>
      <c r="F110" s="16">
        <v>6898040.54</v>
      </c>
      <c r="G110" s="16">
        <v>4169798.88</v>
      </c>
      <c r="H110" s="16">
        <v>30681451.149999999</v>
      </c>
      <c r="I110" s="16">
        <v>16384063.85</v>
      </c>
      <c r="J110" s="16">
        <v>61266465.919999994</v>
      </c>
      <c r="K110" s="16">
        <v>0</v>
      </c>
      <c r="L110" s="16">
        <v>0</v>
      </c>
      <c r="M110" s="16">
        <v>0</v>
      </c>
      <c r="N110" s="18">
        <f t="shared" si="3"/>
        <v>841065485.41410375</v>
      </c>
      <c r="O110" s="4"/>
    </row>
    <row r="111" spans="1:15" ht="15" x14ac:dyDescent="0.2">
      <c r="A111" s="17" t="s">
        <v>106</v>
      </c>
      <c r="B111" s="16">
        <v>706841593.28000009</v>
      </c>
      <c r="C111" s="16">
        <v>0</v>
      </c>
      <c r="D111" s="16">
        <v>108441971.4896692</v>
      </c>
      <c r="E111" s="16">
        <v>7924671.959999999</v>
      </c>
      <c r="F111" s="16">
        <v>2403161.16</v>
      </c>
      <c r="G111" s="16">
        <v>1745070.01</v>
      </c>
      <c r="H111" s="16">
        <v>35312387.82</v>
      </c>
      <c r="I111" s="16">
        <v>5707931.9500000002</v>
      </c>
      <c r="J111" s="16">
        <v>47730012.660000011</v>
      </c>
      <c r="K111" s="16">
        <v>0</v>
      </c>
      <c r="L111" s="16">
        <v>0</v>
      </c>
      <c r="M111" s="16">
        <v>0</v>
      </c>
      <c r="N111" s="18">
        <f t="shared" si="3"/>
        <v>916106800.32966936</v>
      </c>
      <c r="O111" s="4"/>
    </row>
    <row r="112" spans="1:15" ht="15" x14ac:dyDescent="0.2">
      <c r="A112" s="17" t="s">
        <v>107</v>
      </c>
      <c r="B112" s="16">
        <v>1035604506.1899998</v>
      </c>
      <c r="C112" s="16">
        <v>0</v>
      </c>
      <c r="D112" s="16">
        <v>220625403.20908961</v>
      </c>
      <c r="E112" s="16">
        <v>11821118.59</v>
      </c>
      <c r="F112" s="16">
        <v>2920829.85</v>
      </c>
      <c r="G112" s="16">
        <v>2075714.86</v>
      </c>
      <c r="H112" s="16">
        <v>51736723.32</v>
      </c>
      <c r="I112" s="16">
        <v>6937486.46</v>
      </c>
      <c r="J112" s="16">
        <v>50068260</v>
      </c>
      <c r="K112" s="16">
        <v>0</v>
      </c>
      <c r="L112" s="16">
        <v>0</v>
      </c>
      <c r="M112" s="16">
        <v>0</v>
      </c>
      <c r="N112" s="18">
        <f t="shared" si="3"/>
        <v>1381790042.479089</v>
      </c>
      <c r="O112" s="4"/>
    </row>
    <row r="113" spans="1:15" ht="15" x14ac:dyDescent="0.2">
      <c r="A113" s="17" t="s">
        <v>108</v>
      </c>
      <c r="B113" s="16">
        <v>819631783.92999995</v>
      </c>
      <c r="C113" s="16">
        <v>0</v>
      </c>
      <c r="D113" s="16">
        <v>311469348.10744089</v>
      </c>
      <c r="E113" s="16">
        <v>9643171.8899999987</v>
      </c>
      <c r="F113" s="16">
        <v>4116097.41</v>
      </c>
      <c r="G113" s="16">
        <v>2681897.0699999998</v>
      </c>
      <c r="H113" s="16">
        <v>40947159.439999998</v>
      </c>
      <c r="I113" s="16">
        <v>9776457.8699999992</v>
      </c>
      <c r="J113" s="16">
        <v>48896123.320000008</v>
      </c>
      <c r="K113" s="16">
        <v>0</v>
      </c>
      <c r="L113" s="16">
        <v>0</v>
      </c>
      <c r="M113" s="16">
        <v>0</v>
      </c>
      <c r="N113" s="18">
        <f t="shared" si="3"/>
        <v>1247162039.0374408</v>
      </c>
      <c r="O113" s="4"/>
    </row>
    <row r="114" spans="1:15" ht="15" x14ac:dyDescent="0.2">
      <c r="A114" s="17" t="s">
        <v>109</v>
      </c>
      <c r="B114" s="16">
        <v>507582471.75</v>
      </c>
      <c r="C114" s="16">
        <v>0</v>
      </c>
      <c r="D114" s="16">
        <v>78580233.798902184</v>
      </c>
      <c r="E114" s="16">
        <v>5770683.8200000003</v>
      </c>
      <c r="F114" s="16">
        <v>2491543.62</v>
      </c>
      <c r="G114" s="16">
        <v>1469532.64</v>
      </c>
      <c r="H114" s="16">
        <v>25357801.890000001</v>
      </c>
      <c r="I114" s="16">
        <v>5917855.8899999997</v>
      </c>
      <c r="J114" s="16">
        <v>37351882.480000012</v>
      </c>
      <c r="K114" s="16">
        <v>0</v>
      </c>
      <c r="L114" s="16">
        <v>0</v>
      </c>
      <c r="M114" s="16">
        <v>0</v>
      </c>
      <c r="N114" s="18">
        <f t="shared" si="3"/>
        <v>664522005.88890219</v>
      </c>
      <c r="O114" s="4"/>
    </row>
    <row r="115" spans="1:15" ht="15" x14ac:dyDescent="0.2">
      <c r="A115" s="17" t="s">
        <v>110</v>
      </c>
      <c r="B115" s="16">
        <v>1322689873.4200001</v>
      </c>
      <c r="C115" s="16">
        <v>0</v>
      </c>
      <c r="D115" s="16">
        <v>68836860.163499191</v>
      </c>
      <c r="E115" s="16">
        <v>14689053.25</v>
      </c>
      <c r="F115" s="16">
        <v>2579926.08</v>
      </c>
      <c r="G115" s="16">
        <v>2369621.39</v>
      </c>
      <c r="H115" s="16">
        <v>66078932.259999998</v>
      </c>
      <c r="I115" s="16">
        <v>6127779.8300000001</v>
      </c>
      <c r="J115" s="16">
        <v>50047990.960000001</v>
      </c>
      <c r="K115" s="16">
        <v>0</v>
      </c>
      <c r="L115" s="16">
        <v>0</v>
      </c>
      <c r="M115" s="16">
        <v>0</v>
      </c>
      <c r="N115" s="18">
        <f t="shared" si="3"/>
        <v>1533420037.3534992</v>
      </c>
      <c r="O115" s="4"/>
    </row>
    <row r="116" spans="1:15" ht="15" x14ac:dyDescent="0.2">
      <c r="A116" s="17" t="s">
        <v>111</v>
      </c>
      <c r="B116" s="16">
        <v>795705785.48999977</v>
      </c>
      <c r="C116" s="16">
        <v>0</v>
      </c>
      <c r="D116" s="16">
        <v>114557881.12223917</v>
      </c>
      <c r="E116" s="16">
        <v>9407325.5099999998</v>
      </c>
      <c r="F116" s="16">
        <v>7121101.04</v>
      </c>
      <c r="G116" s="16">
        <v>3728939.08</v>
      </c>
      <c r="H116" s="16">
        <v>39751864.560000002</v>
      </c>
      <c r="I116" s="16">
        <v>16913871.899999999</v>
      </c>
      <c r="J116" s="16">
        <v>67895000.139999986</v>
      </c>
      <c r="K116" s="16">
        <v>0</v>
      </c>
      <c r="L116" s="16">
        <v>0</v>
      </c>
      <c r="M116" s="16">
        <v>0</v>
      </c>
      <c r="N116" s="18">
        <f t="shared" si="3"/>
        <v>1055081768.8422389</v>
      </c>
      <c r="O116" s="4"/>
    </row>
    <row r="117" spans="1:15" ht="15" x14ac:dyDescent="0.2">
      <c r="A117" s="17" t="s">
        <v>112</v>
      </c>
      <c r="B117" s="16">
        <v>408072674.0200001</v>
      </c>
      <c r="C117" s="16">
        <v>0</v>
      </c>
      <c r="D117" s="16">
        <v>23680153.527530789</v>
      </c>
      <c r="E117" s="16">
        <v>4784945.01</v>
      </c>
      <c r="F117" s="16">
        <v>1498293.12</v>
      </c>
      <c r="G117" s="16">
        <v>991934.53</v>
      </c>
      <c r="H117" s="16">
        <v>20386492.050000001</v>
      </c>
      <c r="I117" s="16">
        <v>3558710.64</v>
      </c>
      <c r="J117" s="16">
        <v>20010504.360000003</v>
      </c>
      <c r="K117" s="16">
        <v>0</v>
      </c>
      <c r="L117" s="16">
        <v>0</v>
      </c>
      <c r="M117" s="16">
        <v>0</v>
      </c>
      <c r="N117" s="18">
        <f t="shared" si="3"/>
        <v>482983707.25753087</v>
      </c>
      <c r="O117" s="4"/>
    </row>
    <row r="118" spans="1:15" ht="15" x14ac:dyDescent="0.2">
      <c r="A118" s="17" t="s">
        <v>113</v>
      </c>
      <c r="B118" s="16">
        <v>715544375.83000004</v>
      </c>
      <c r="C118" s="16">
        <v>0</v>
      </c>
      <c r="D118" s="16">
        <v>237445805.63425517</v>
      </c>
      <c r="E118" s="16">
        <v>8779253.209999999</v>
      </c>
      <c r="F118" s="16">
        <v>7066388.0899999999</v>
      </c>
      <c r="G118" s="16">
        <v>4133060.56</v>
      </c>
      <c r="H118" s="16">
        <v>35747161.369999997</v>
      </c>
      <c r="I118" s="16">
        <v>16783918.98</v>
      </c>
      <c r="J118" s="16">
        <v>55156892.780000031</v>
      </c>
      <c r="K118" s="16">
        <v>0</v>
      </c>
      <c r="L118" s="16">
        <v>0</v>
      </c>
      <c r="M118" s="16">
        <v>0</v>
      </c>
      <c r="N118" s="18">
        <f t="shared" si="3"/>
        <v>1080656856.4542553</v>
      </c>
      <c r="O118" s="4"/>
    </row>
    <row r="119" spans="1:15" ht="15" x14ac:dyDescent="0.2">
      <c r="A119" s="17" t="s">
        <v>114</v>
      </c>
      <c r="B119" s="16">
        <v>968217823.1700002</v>
      </c>
      <c r="C119" s="16">
        <v>0</v>
      </c>
      <c r="D119" s="16">
        <v>98643936.277471229</v>
      </c>
      <c r="E119" s="16">
        <v>11154001.030000001</v>
      </c>
      <c r="F119" s="16">
        <v>5677520.8600000003</v>
      </c>
      <c r="G119" s="16">
        <v>2773742.86</v>
      </c>
      <c r="H119" s="16">
        <v>48370219.840000004</v>
      </c>
      <c r="I119" s="16">
        <v>13485114.18</v>
      </c>
      <c r="J119" s="16">
        <v>50207404.5</v>
      </c>
      <c r="K119" s="16">
        <v>0</v>
      </c>
      <c r="L119" s="16">
        <v>0</v>
      </c>
      <c r="M119" s="16">
        <v>0</v>
      </c>
      <c r="N119" s="18">
        <f t="shared" si="3"/>
        <v>1198529762.7174711</v>
      </c>
      <c r="O119" s="4"/>
    </row>
    <row r="120" spans="1:15" ht="15" x14ac:dyDescent="0.2">
      <c r="A120" s="17" t="s">
        <v>115</v>
      </c>
      <c r="B120" s="16">
        <v>601343642.48000002</v>
      </c>
      <c r="C120" s="16">
        <v>0</v>
      </c>
      <c r="D120" s="16">
        <v>112987305.18230887</v>
      </c>
      <c r="E120" s="16">
        <v>7155495.8700000001</v>
      </c>
      <c r="F120" s="16">
        <v>3825697.9</v>
      </c>
      <c r="G120" s="16">
        <v>2810481.18</v>
      </c>
      <c r="H120" s="16">
        <v>30041921.859999999</v>
      </c>
      <c r="I120" s="16">
        <v>9086707.7699999996</v>
      </c>
      <c r="J120" s="16">
        <v>52052620.400000013</v>
      </c>
      <c r="K120" s="16">
        <v>0</v>
      </c>
      <c r="L120" s="16">
        <v>0</v>
      </c>
      <c r="M120" s="16">
        <v>0</v>
      </c>
      <c r="N120" s="18">
        <f t="shared" si="3"/>
        <v>819303872.64230883</v>
      </c>
      <c r="O120" s="4"/>
    </row>
    <row r="121" spans="1:15" ht="15" x14ac:dyDescent="0.2">
      <c r="A121" s="17" t="s">
        <v>116</v>
      </c>
      <c r="B121" s="16">
        <v>735079062</v>
      </c>
      <c r="C121" s="16">
        <v>0</v>
      </c>
      <c r="D121" s="16">
        <v>123381930.86275326</v>
      </c>
      <c r="E121" s="16">
        <v>8180089.0700000003</v>
      </c>
      <c r="F121" s="16">
        <v>1607719.02</v>
      </c>
      <c r="G121" s="16">
        <v>936827.06</v>
      </c>
      <c r="H121" s="16">
        <v>36723075.100000001</v>
      </c>
      <c r="I121" s="16">
        <v>3818616.47</v>
      </c>
      <c r="J121" s="16">
        <v>28923965.839999992</v>
      </c>
      <c r="K121" s="16">
        <v>0</v>
      </c>
      <c r="L121" s="16">
        <v>0</v>
      </c>
      <c r="M121" s="16">
        <v>0</v>
      </c>
      <c r="N121" s="18">
        <f t="shared" si="3"/>
        <v>938651285.42275333</v>
      </c>
      <c r="O121" s="4"/>
    </row>
    <row r="122" spans="1:15" ht="15" x14ac:dyDescent="0.2">
      <c r="A122" s="17" t="s">
        <v>117</v>
      </c>
      <c r="B122" s="16">
        <v>2387889163.1099997</v>
      </c>
      <c r="C122" s="16">
        <v>0</v>
      </c>
      <c r="D122" s="16">
        <v>34741286.024999999</v>
      </c>
      <c r="E122" s="16">
        <v>32458301.100000001</v>
      </c>
      <c r="F122" s="16">
        <v>48399918.420000002</v>
      </c>
      <c r="G122" s="16">
        <v>25310662.472649328</v>
      </c>
      <c r="H122" s="16">
        <v>119294151.58</v>
      </c>
      <c r="I122" s="16">
        <v>114958349.18000001</v>
      </c>
      <c r="J122" s="16">
        <v>135680438.07999998</v>
      </c>
      <c r="K122" s="16">
        <v>0</v>
      </c>
      <c r="L122" s="16">
        <v>0</v>
      </c>
      <c r="M122" s="16">
        <v>0</v>
      </c>
      <c r="N122" s="18">
        <f t="shared" si="3"/>
        <v>2898732269.9676485</v>
      </c>
      <c r="O122" s="4"/>
    </row>
    <row r="123" spans="1:15" ht="15" x14ac:dyDescent="0.2">
      <c r="A123" s="17" t="s">
        <v>118</v>
      </c>
      <c r="B123" s="16">
        <v>5269388440.8999996</v>
      </c>
      <c r="C123" s="16">
        <v>0</v>
      </c>
      <c r="D123" s="16">
        <v>98099356.389999986</v>
      </c>
      <c r="E123" s="16">
        <v>62956607.18</v>
      </c>
      <c r="F123" s="16">
        <v>67280095.299999997</v>
      </c>
      <c r="G123" s="16">
        <v>62597476.108822815</v>
      </c>
      <c r="H123" s="16">
        <v>263248074.12</v>
      </c>
      <c r="I123" s="16">
        <v>159802101.74000001</v>
      </c>
      <c r="J123" s="16">
        <v>177037014.44</v>
      </c>
      <c r="K123" s="16">
        <v>0</v>
      </c>
      <c r="L123" s="16">
        <v>0</v>
      </c>
      <c r="M123" s="16">
        <v>0</v>
      </c>
      <c r="N123" s="18">
        <f t="shared" si="3"/>
        <v>6160409166.1788225</v>
      </c>
      <c r="O123" s="4"/>
    </row>
    <row r="124" spans="1:15" ht="15" x14ac:dyDescent="0.2">
      <c r="A124" s="17" t="s">
        <v>119</v>
      </c>
      <c r="B124" s="16">
        <v>4628123777.5699997</v>
      </c>
      <c r="C124" s="16">
        <v>0</v>
      </c>
      <c r="D124" s="16">
        <v>50441730.119999997</v>
      </c>
      <c r="E124" s="16">
        <v>60244661</v>
      </c>
      <c r="F124" s="16">
        <v>86156063.489999995</v>
      </c>
      <c r="G124" s="16">
        <v>0</v>
      </c>
      <c r="H124" s="16">
        <v>231211778.16</v>
      </c>
      <c r="I124" s="16">
        <v>204635857.93000001</v>
      </c>
      <c r="J124" s="16">
        <v>253279220.48000005</v>
      </c>
      <c r="K124" s="16">
        <v>0</v>
      </c>
      <c r="L124" s="16">
        <v>0</v>
      </c>
      <c r="M124" s="16">
        <v>0</v>
      </c>
      <c r="N124" s="18">
        <f t="shared" si="3"/>
        <v>5514093088.75</v>
      </c>
      <c r="O124" s="4"/>
    </row>
    <row r="125" spans="1:15" ht="15" x14ac:dyDescent="0.2">
      <c r="A125" s="17" t="s">
        <v>120</v>
      </c>
      <c r="B125" s="16">
        <v>1522161907.1399996</v>
      </c>
      <c r="C125" s="16">
        <v>0</v>
      </c>
      <c r="D125" s="16">
        <v>121100175.00937</v>
      </c>
      <c r="E125" s="16">
        <v>19076899.600000001</v>
      </c>
      <c r="F125" s="16">
        <v>33501160.920000002</v>
      </c>
      <c r="G125" s="16">
        <v>17597653.399999999</v>
      </c>
      <c r="H125" s="16">
        <v>76044154.849999994</v>
      </c>
      <c r="I125" s="16">
        <v>79571170.390000001</v>
      </c>
      <c r="J125" s="16">
        <v>156517044.19999993</v>
      </c>
      <c r="K125" s="16">
        <v>0</v>
      </c>
      <c r="L125" s="16">
        <v>0</v>
      </c>
      <c r="M125" s="16">
        <v>0</v>
      </c>
      <c r="N125" s="18">
        <f t="shared" si="3"/>
        <v>2025570165.5093699</v>
      </c>
      <c r="O125" s="4"/>
    </row>
    <row r="126" spans="1:15" ht="15" x14ac:dyDescent="0.2">
      <c r="A126" s="17" t="s">
        <v>121</v>
      </c>
      <c r="B126" s="16">
        <v>1696084487.5</v>
      </c>
      <c r="C126" s="16">
        <v>0</v>
      </c>
      <c r="D126" s="16">
        <v>134200707.09377638</v>
      </c>
      <c r="E126" s="16">
        <v>20107227.670000002</v>
      </c>
      <c r="F126" s="16">
        <v>16771623.9</v>
      </c>
      <c r="G126" s="16">
        <v>7200709.9500000002</v>
      </c>
      <c r="H126" s="16">
        <v>84732978.010000005</v>
      </c>
      <c r="I126" s="16">
        <v>39835567.090000004</v>
      </c>
      <c r="J126" s="16">
        <v>107393213.17999998</v>
      </c>
      <c r="K126" s="16">
        <v>0</v>
      </c>
      <c r="L126" s="16">
        <v>0</v>
      </c>
      <c r="M126" s="16">
        <v>0</v>
      </c>
      <c r="N126" s="18">
        <f t="shared" si="3"/>
        <v>2106326514.3937767</v>
      </c>
      <c r="O126" s="4"/>
    </row>
    <row r="127" spans="1:15" ht="15" x14ac:dyDescent="0.2">
      <c r="A127" s="17" t="s">
        <v>122</v>
      </c>
      <c r="B127" s="16">
        <v>957039937.34000015</v>
      </c>
      <c r="C127" s="16">
        <v>0</v>
      </c>
      <c r="D127" s="16">
        <v>49223181.952984199</v>
      </c>
      <c r="E127" s="16">
        <v>13502291.49</v>
      </c>
      <c r="F127" s="16">
        <v>17802752.600000001</v>
      </c>
      <c r="G127" s="16">
        <v>10286728.5</v>
      </c>
      <c r="H127" s="16">
        <v>47811795.090000004</v>
      </c>
      <c r="I127" s="16">
        <v>42284679.740000002</v>
      </c>
      <c r="J127" s="16">
        <v>119074772.51999995</v>
      </c>
      <c r="K127" s="16">
        <v>0</v>
      </c>
      <c r="L127" s="16">
        <v>0</v>
      </c>
      <c r="M127" s="16">
        <v>0</v>
      </c>
      <c r="N127" s="18">
        <f t="shared" si="3"/>
        <v>1257026139.2329843</v>
      </c>
      <c r="O127" s="4"/>
    </row>
    <row r="128" spans="1:15" ht="15" x14ac:dyDescent="0.2">
      <c r="A128" s="17" t="s">
        <v>123</v>
      </c>
      <c r="B128" s="16">
        <v>447248502.37</v>
      </c>
      <c r="C128" s="16">
        <v>0</v>
      </c>
      <c r="D128" s="16">
        <v>45720911.7661952</v>
      </c>
      <c r="E128" s="16">
        <v>5127915.5</v>
      </c>
      <c r="F128" s="16">
        <v>1628762.47</v>
      </c>
      <c r="G128" s="16">
        <v>1230733.5900000001</v>
      </c>
      <c r="H128" s="16">
        <v>22343637.829999998</v>
      </c>
      <c r="I128" s="16">
        <v>3868598.36</v>
      </c>
      <c r="J128" s="16">
        <v>25589794.77999999</v>
      </c>
      <c r="K128" s="16">
        <v>0</v>
      </c>
      <c r="L128" s="16">
        <v>0</v>
      </c>
      <c r="M128" s="16">
        <v>0</v>
      </c>
      <c r="N128" s="18">
        <f t="shared" si="3"/>
        <v>552758856.66619515</v>
      </c>
      <c r="O128" s="4"/>
    </row>
    <row r="129" spans="1:15" ht="15" x14ac:dyDescent="0.2">
      <c r="A129" s="17" t="s">
        <v>124</v>
      </c>
      <c r="B129" s="16">
        <v>2787072756.6100001</v>
      </c>
      <c r="C129" s="16">
        <v>0</v>
      </c>
      <c r="D129" s="16">
        <v>447600689.5398736</v>
      </c>
      <c r="E129" s="16">
        <v>28288958.59</v>
      </c>
      <c r="F129" s="16">
        <v>20715165.079999998</v>
      </c>
      <c r="G129" s="16">
        <v>15264770.33</v>
      </c>
      <c r="H129" s="16">
        <v>139236563</v>
      </c>
      <c r="I129" s="16">
        <v>49202173.450000003</v>
      </c>
      <c r="J129" s="16">
        <v>160340046.67999998</v>
      </c>
      <c r="K129" s="16">
        <v>0</v>
      </c>
      <c r="L129" s="16">
        <v>0</v>
      </c>
      <c r="M129" s="16">
        <v>0</v>
      </c>
      <c r="N129" s="18">
        <f t="shared" si="3"/>
        <v>3647721123.2798734</v>
      </c>
      <c r="O129" s="4"/>
    </row>
    <row r="130" spans="1:15" ht="15" x14ac:dyDescent="0.2">
      <c r="A130" s="17" t="s">
        <v>125</v>
      </c>
      <c r="B130" s="16">
        <v>753629029.62999988</v>
      </c>
      <c r="C130" s="16">
        <v>0</v>
      </c>
      <c r="D130" s="16">
        <v>116150154.5158644</v>
      </c>
      <c r="E130" s="16">
        <v>8425918.0100000016</v>
      </c>
      <c r="F130" s="16">
        <v>2563091.33</v>
      </c>
      <c r="G130" s="16">
        <v>1138887.8</v>
      </c>
      <c r="H130" s="16">
        <v>37649794.259999998</v>
      </c>
      <c r="I130" s="16">
        <v>6087794.3200000003</v>
      </c>
      <c r="J130" s="16">
        <v>44068979.900000006</v>
      </c>
      <c r="K130" s="16">
        <v>0</v>
      </c>
      <c r="L130" s="16">
        <v>0</v>
      </c>
      <c r="M130" s="16">
        <v>0</v>
      </c>
      <c r="N130" s="18">
        <f t="shared" si="3"/>
        <v>969713649.76586425</v>
      </c>
      <c r="O130" s="4"/>
    </row>
    <row r="131" spans="1:15" ht="15" x14ac:dyDescent="0.2">
      <c r="A131" s="17" t="s">
        <v>126</v>
      </c>
      <c r="B131" s="16">
        <v>4733674956.4300003</v>
      </c>
      <c r="C131" s="16">
        <v>0</v>
      </c>
      <c r="D131" s="16">
        <v>141194066.995</v>
      </c>
      <c r="E131" s="16">
        <v>100015434.94999999</v>
      </c>
      <c r="F131" s="16">
        <v>113175844.03</v>
      </c>
      <c r="G131" s="16">
        <v>12823398.754365183</v>
      </c>
      <c r="H131" s="16">
        <v>236484903.28</v>
      </c>
      <c r="I131" s="16">
        <v>268812605.91000003</v>
      </c>
      <c r="J131" s="16">
        <v>346250714.9200002</v>
      </c>
      <c r="K131" s="16">
        <v>0</v>
      </c>
      <c r="L131" s="16">
        <v>0</v>
      </c>
      <c r="M131" s="16">
        <v>0</v>
      </c>
      <c r="N131" s="18">
        <f t="shared" si="3"/>
        <v>5952431925.2693644</v>
      </c>
      <c r="O131" s="4"/>
    </row>
    <row r="132" spans="1:15" ht="15" x14ac:dyDescent="0.2">
      <c r="A132" s="17" t="s">
        <v>127</v>
      </c>
      <c r="B132" s="16">
        <v>186564236.88000005</v>
      </c>
      <c r="C132" s="16">
        <v>0</v>
      </c>
      <c r="D132" s="16">
        <v>16991761.259722803</v>
      </c>
      <c r="E132" s="16">
        <v>2095599.4100000001</v>
      </c>
      <c r="F132" s="16">
        <v>483999.18</v>
      </c>
      <c r="G132" s="16">
        <v>275537.37</v>
      </c>
      <c r="H132" s="16">
        <v>9320374.9600000009</v>
      </c>
      <c r="I132" s="16">
        <v>1149583.49</v>
      </c>
      <c r="J132" s="16">
        <v>12433523.520000001</v>
      </c>
      <c r="K132" s="16">
        <v>0</v>
      </c>
      <c r="L132" s="16">
        <v>0</v>
      </c>
      <c r="M132" s="16">
        <v>0</v>
      </c>
      <c r="N132" s="18">
        <f t="shared" si="3"/>
        <v>229314616.06972289</v>
      </c>
      <c r="O132" s="4"/>
    </row>
    <row r="133" spans="1:15" ht="15" x14ac:dyDescent="0.2">
      <c r="A133" s="17" t="s">
        <v>128</v>
      </c>
      <c r="B133" s="16">
        <v>1168435049.24</v>
      </c>
      <c r="C133" s="16">
        <v>0</v>
      </c>
      <c r="D133" s="16">
        <v>73138026.852239177</v>
      </c>
      <c r="E133" s="16">
        <v>6304266.5700000003</v>
      </c>
      <c r="F133" s="16">
        <v>1750814.44</v>
      </c>
      <c r="G133" s="16">
        <v>1561378.43</v>
      </c>
      <c r="H133" s="16">
        <v>58372670.740000002</v>
      </c>
      <c r="I133" s="16">
        <v>4158493.33</v>
      </c>
      <c r="J133" s="16">
        <v>45865257.900000006</v>
      </c>
      <c r="K133" s="16">
        <v>0</v>
      </c>
      <c r="L133" s="16">
        <v>0</v>
      </c>
      <c r="M133" s="16">
        <v>0</v>
      </c>
      <c r="N133" s="18">
        <f t="shared" si="3"/>
        <v>1359585957.5022392</v>
      </c>
      <c r="O133" s="4"/>
    </row>
    <row r="134" spans="1:15" ht="15" x14ac:dyDescent="0.2">
      <c r="A134" s="17" t="s">
        <v>129</v>
      </c>
      <c r="B134" s="16">
        <v>2018566493.1300001</v>
      </c>
      <c r="C134" s="16">
        <v>0</v>
      </c>
      <c r="D134" s="16">
        <v>275734647.55725032</v>
      </c>
      <c r="E134" s="16">
        <v>22906871.32</v>
      </c>
      <c r="F134" s="16">
        <v>8169064.4900000002</v>
      </c>
      <c r="G134" s="16">
        <v>5161733.41</v>
      </c>
      <c r="H134" s="16">
        <v>100843531.98999999</v>
      </c>
      <c r="I134" s="16">
        <v>19402970.07</v>
      </c>
      <c r="J134" s="16">
        <v>103579888.5</v>
      </c>
      <c r="K134" s="16">
        <v>0</v>
      </c>
      <c r="L134" s="16">
        <v>0</v>
      </c>
      <c r="M134" s="16">
        <v>0</v>
      </c>
      <c r="N134" s="18">
        <f t="shared" si="3"/>
        <v>2554365200.4672503</v>
      </c>
      <c r="O134" s="4"/>
    </row>
    <row r="135" spans="1:15" ht="15" x14ac:dyDescent="0.2">
      <c r="A135" s="17" t="s">
        <v>130</v>
      </c>
      <c r="B135" s="16">
        <v>1669603543.74</v>
      </c>
      <c r="C135" s="16">
        <v>0</v>
      </c>
      <c r="D135" s="16">
        <v>328784441.22450483</v>
      </c>
      <c r="E135" s="16">
        <v>20007423.52</v>
      </c>
      <c r="F135" s="16">
        <v>12297787.960000001</v>
      </c>
      <c r="G135" s="16">
        <v>6539420.2599999998</v>
      </c>
      <c r="H135" s="16">
        <v>83410043.189999998</v>
      </c>
      <c r="I135" s="16">
        <v>29209417.07</v>
      </c>
      <c r="J135" s="16">
        <v>106786236.69999996</v>
      </c>
      <c r="K135" s="16">
        <v>0</v>
      </c>
      <c r="L135" s="16">
        <v>0</v>
      </c>
      <c r="M135" s="16">
        <v>0</v>
      </c>
      <c r="N135" s="18">
        <f t="shared" si="3"/>
        <v>2256638313.6645045</v>
      </c>
      <c r="O135" s="4"/>
    </row>
    <row r="136" spans="1:15" ht="15" x14ac:dyDescent="0.2">
      <c r="A136" s="17" t="s">
        <v>131</v>
      </c>
      <c r="B136" s="16">
        <v>2693710796.0700002</v>
      </c>
      <c r="C136" s="16">
        <v>0</v>
      </c>
      <c r="D136" s="16">
        <v>56891145.260000005</v>
      </c>
      <c r="E136" s="16">
        <v>39290037.020000003</v>
      </c>
      <c r="F136" s="16">
        <v>73168050.590000004</v>
      </c>
      <c r="G136" s="16">
        <v>47158978.971392825</v>
      </c>
      <c r="H136" s="16">
        <v>134572386.77000001</v>
      </c>
      <c r="I136" s="16">
        <v>173787034.83000001</v>
      </c>
      <c r="J136" s="16">
        <v>242782580.0399999</v>
      </c>
      <c r="K136" s="16">
        <v>0</v>
      </c>
      <c r="L136" s="16">
        <v>0</v>
      </c>
      <c r="M136" s="16">
        <v>0</v>
      </c>
      <c r="N136" s="18">
        <f t="shared" ref="N136:N142" si="4">SUM(B136:M136)</f>
        <v>3461361009.551393</v>
      </c>
      <c r="O136" s="4"/>
    </row>
    <row r="137" spans="1:15" ht="15" x14ac:dyDescent="0.2">
      <c r="A137" s="17" t="s">
        <v>132</v>
      </c>
      <c r="B137" s="16">
        <v>431306708.09000003</v>
      </c>
      <c r="C137" s="16">
        <v>0</v>
      </c>
      <c r="D137" s="16">
        <v>40569620.20293884</v>
      </c>
      <c r="E137" s="16">
        <v>4919501.2</v>
      </c>
      <c r="F137" s="16">
        <v>875407.22</v>
      </c>
      <c r="G137" s="16">
        <v>955196.22</v>
      </c>
      <c r="H137" s="16">
        <v>21547217.780000001</v>
      </c>
      <c r="I137" s="16">
        <v>2079246.66</v>
      </c>
      <c r="J137" s="16">
        <v>23816524.819999997</v>
      </c>
      <c r="K137" s="16">
        <v>0</v>
      </c>
      <c r="L137" s="16">
        <v>0</v>
      </c>
      <c r="M137" s="16">
        <v>0</v>
      </c>
      <c r="N137" s="18">
        <f t="shared" si="4"/>
        <v>526069422.19293892</v>
      </c>
      <c r="O137" s="4"/>
    </row>
    <row r="138" spans="1:15" ht="15" x14ac:dyDescent="0.2">
      <c r="A138" s="17" t="s">
        <v>133</v>
      </c>
      <c r="B138" s="16">
        <v>1217697588.8299999</v>
      </c>
      <c r="C138" s="16">
        <v>0</v>
      </c>
      <c r="D138" s="16">
        <v>230719064.99228638</v>
      </c>
      <c r="E138" s="16">
        <v>14640203.32</v>
      </c>
      <c r="F138" s="16">
        <v>7621934.9800000004</v>
      </c>
      <c r="G138" s="16">
        <v>3728939.08</v>
      </c>
      <c r="H138" s="16">
        <v>60833728.380000003</v>
      </c>
      <c r="I138" s="16">
        <v>18103440.899999999</v>
      </c>
      <c r="J138" s="16">
        <v>86537251.019999951</v>
      </c>
      <c r="K138" s="16">
        <v>0</v>
      </c>
      <c r="L138" s="16">
        <v>0</v>
      </c>
      <c r="M138" s="16">
        <v>0</v>
      </c>
      <c r="N138" s="18">
        <f t="shared" si="4"/>
        <v>1639882151.5022864</v>
      </c>
      <c r="O138" s="4"/>
    </row>
    <row r="139" spans="1:15" ht="15" x14ac:dyDescent="0.2">
      <c r="A139" s="17" t="s">
        <v>134</v>
      </c>
      <c r="B139" s="16">
        <v>4281156879.2000003</v>
      </c>
      <c r="C139" s="16">
        <v>0</v>
      </c>
      <c r="D139" s="16">
        <v>68420198.989999995</v>
      </c>
      <c r="E139" s="16">
        <v>52745403.589999996</v>
      </c>
      <c r="F139" s="16">
        <v>39199725.229999997</v>
      </c>
      <c r="G139" s="16">
        <v>43408515.756229497</v>
      </c>
      <c r="H139" s="16">
        <v>213878008.13999999</v>
      </c>
      <c r="I139" s="16">
        <v>93106266.539999992</v>
      </c>
      <c r="J139" s="16">
        <v>154517162.35999995</v>
      </c>
      <c r="K139" s="16">
        <v>0</v>
      </c>
      <c r="L139" s="16">
        <v>0</v>
      </c>
      <c r="M139" s="16">
        <v>0</v>
      </c>
      <c r="N139" s="18">
        <f t="shared" si="4"/>
        <v>4946432159.8062296</v>
      </c>
      <c r="O139" s="4"/>
    </row>
    <row r="140" spans="1:15" ht="15" x14ac:dyDescent="0.2">
      <c r="A140" s="17" t="s">
        <v>135</v>
      </c>
      <c r="B140" s="16">
        <v>1261930079.8200002</v>
      </c>
      <c r="C140" s="16">
        <v>0</v>
      </c>
      <c r="D140" s="16">
        <v>12238185.129999999</v>
      </c>
      <c r="E140" s="16">
        <v>15241260.389999999</v>
      </c>
      <c r="F140" s="16">
        <v>6464545.6200000001</v>
      </c>
      <c r="G140" s="16">
        <v>3930999.82</v>
      </c>
      <c r="H140" s="16">
        <v>63043494.880000003</v>
      </c>
      <c r="I140" s="16">
        <v>15354436.9</v>
      </c>
      <c r="J140" s="16">
        <v>39057588.68</v>
      </c>
      <c r="K140" s="16">
        <v>0</v>
      </c>
      <c r="L140" s="16">
        <v>0</v>
      </c>
      <c r="M140" s="16">
        <v>0</v>
      </c>
      <c r="N140" s="18">
        <f t="shared" si="4"/>
        <v>1417260591.2400005</v>
      </c>
      <c r="O140" s="4"/>
    </row>
    <row r="141" spans="1:15" ht="15" x14ac:dyDescent="0.2">
      <c r="A141" s="17" t="s">
        <v>136</v>
      </c>
      <c r="B141" s="16">
        <v>1462732814.21</v>
      </c>
      <c r="C141" s="16">
        <v>0</v>
      </c>
      <c r="D141" s="16">
        <v>90327008.15675737</v>
      </c>
      <c r="E141" s="16">
        <v>17242780.740000002</v>
      </c>
      <c r="F141" s="16">
        <v>9322245.1500000004</v>
      </c>
      <c r="G141" s="16">
        <v>3435032.55</v>
      </c>
      <c r="H141" s="16">
        <v>73075196.609999999</v>
      </c>
      <c r="I141" s="16">
        <v>22141977.690000001</v>
      </c>
      <c r="J141" s="16">
        <v>108623052.77999997</v>
      </c>
      <c r="K141" s="16">
        <v>0</v>
      </c>
      <c r="L141" s="16">
        <v>0</v>
      </c>
      <c r="M141" s="16">
        <v>0</v>
      </c>
      <c r="N141" s="18">
        <f t="shared" si="4"/>
        <v>1786900107.8867574</v>
      </c>
      <c r="O141" s="4"/>
    </row>
    <row r="142" spans="1:15" ht="15" x14ac:dyDescent="0.2">
      <c r="A142" s="17" t="s">
        <v>137</v>
      </c>
      <c r="B142" s="16">
        <v>1429758051.0799999</v>
      </c>
      <c r="C142" s="16">
        <v>0</v>
      </c>
      <c r="D142" s="16">
        <v>109883059.42707719</v>
      </c>
      <c r="E142" s="16">
        <v>19439112.93</v>
      </c>
      <c r="F142" s="16">
        <v>40079341.140000001</v>
      </c>
      <c r="G142" s="16">
        <v>13868714.32</v>
      </c>
      <c r="H142" s="16">
        <v>71427843.599999994</v>
      </c>
      <c r="I142" s="16">
        <v>95195509.5</v>
      </c>
      <c r="J142" s="16">
        <v>147243852.35999995</v>
      </c>
      <c r="K142" s="16">
        <v>0</v>
      </c>
      <c r="L142" s="16">
        <v>0</v>
      </c>
      <c r="M142" s="16">
        <v>0</v>
      </c>
      <c r="N142" s="18">
        <f t="shared" si="4"/>
        <v>1926895484.3570771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266140138323.29993</v>
      </c>
      <c r="C143" s="23"/>
      <c r="D143" s="23">
        <f t="shared" si="5"/>
        <v>16843610727.634279</v>
      </c>
      <c r="E143" s="23">
        <f t="shared" si="5"/>
        <v>3447474681.3100014</v>
      </c>
      <c r="F143" s="23">
        <f t="shared" si="5"/>
        <v>4208688558.9599991</v>
      </c>
      <c r="G143" s="23">
        <f t="shared" si="5"/>
        <v>1836915804.0699995</v>
      </c>
      <c r="H143" s="23">
        <f t="shared" si="5"/>
        <v>13295827333.510006</v>
      </c>
      <c r="I143" s="23">
        <f t="shared" si="5"/>
        <v>9996378189.960001</v>
      </c>
      <c r="J143" s="23">
        <f t="shared" ref="J143:N143" si="6">SUM(J8:J142)</f>
        <v>18260425289.700005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334029458908.44421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44AEAC"/>
  </sheetPr>
  <dimension ref="A1:Y275"/>
  <sheetViews>
    <sheetView showGridLines="0" zoomScale="80" zoomScaleNormal="80" workbookViewId="0">
      <selection activeCell="E32" sqref="E32"/>
    </sheetView>
  </sheetViews>
  <sheetFormatPr baseColWidth="10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11" width="22.33203125" style="1" customWidth="1"/>
    <col min="12" max="13" width="22.33203125" style="1" hidden="1" customWidth="1"/>
    <col min="14" max="14" width="23.83203125" style="1" customWidth="1"/>
    <col min="15" max="15" width="12" style="1" customWidth="1"/>
    <col min="16" max="22" width="12" style="1"/>
    <col min="23" max="23" width="21.1640625" style="1" bestFit="1" customWidth="1"/>
    <col min="24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153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171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176</v>
      </c>
      <c r="L7" s="32"/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1176972780.6399999</v>
      </c>
      <c r="C8" s="16">
        <v>0</v>
      </c>
      <c r="D8" s="16">
        <v>28402408.686933529</v>
      </c>
      <c r="E8" s="16">
        <v>3372940.78</v>
      </c>
      <c r="F8" s="16">
        <v>2645553.8104723976</v>
      </c>
      <c r="G8" s="16">
        <v>1563816.79</v>
      </c>
      <c r="H8" s="16">
        <v>63046331.579999998</v>
      </c>
      <c r="I8" s="16">
        <v>8711889.9199999999</v>
      </c>
      <c r="J8" s="16">
        <v>49627453.369999982</v>
      </c>
      <c r="K8" s="16">
        <v>166816166.39999998</v>
      </c>
      <c r="L8" s="16">
        <v>0</v>
      </c>
      <c r="M8" s="16">
        <v>0</v>
      </c>
      <c r="N8" s="18">
        <f t="shared" ref="N8:N39" si="0">SUM(B8:M8)</f>
        <v>1501159341.9774055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622013290.63999999</v>
      </c>
      <c r="C9" s="16">
        <v>0</v>
      </c>
      <c r="D9" s="16">
        <v>19292092.055013776</v>
      </c>
      <c r="E9" s="16">
        <v>1782550.99</v>
      </c>
      <c r="F9" s="16">
        <v>1853530.8684551951</v>
      </c>
      <c r="G9" s="16">
        <v>1157224.42</v>
      </c>
      <c r="H9" s="16">
        <v>33319085.039999999</v>
      </c>
      <c r="I9" s="16">
        <v>6103734.0499999998</v>
      </c>
      <c r="J9" s="16">
        <v>37635035.269999981</v>
      </c>
      <c r="K9" s="16">
        <v>88022229.120000005</v>
      </c>
      <c r="L9" s="16">
        <v>0</v>
      </c>
      <c r="M9" s="16">
        <v>0</v>
      </c>
      <c r="N9" s="18">
        <f t="shared" si="0"/>
        <v>811178772.4534688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677466273.68000007</v>
      </c>
      <c r="C10" s="16">
        <v>0</v>
      </c>
      <c r="D10" s="16">
        <v>8993203.904361885</v>
      </c>
      <c r="E10" s="16">
        <v>1941466.84</v>
      </c>
      <c r="F10" s="16">
        <v>1294842.4861194093</v>
      </c>
      <c r="G10" s="16">
        <v>1157224.42</v>
      </c>
      <c r="H10" s="16">
        <v>36289508.159999996</v>
      </c>
      <c r="I10" s="16">
        <v>4263956.0599999996</v>
      </c>
      <c r="J10" s="16">
        <v>22243314.440000005</v>
      </c>
      <c r="K10" s="16">
        <v>93416284.799999997</v>
      </c>
      <c r="L10" s="16">
        <v>0</v>
      </c>
      <c r="M10" s="16">
        <v>0</v>
      </c>
      <c r="N10" s="18">
        <f t="shared" si="0"/>
        <v>847066074.79048121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5472041284.8300009</v>
      </c>
      <c r="C11" s="16">
        <v>0</v>
      </c>
      <c r="D11" s="16">
        <v>63314152.561544508</v>
      </c>
      <c r="E11" s="16">
        <v>28214110.940000001</v>
      </c>
      <c r="F11" s="16">
        <v>138981951.1116493</v>
      </c>
      <c r="G11" s="16">
        <v>100789425.48771608</v>
      </c>
      <c r="H11" s="16">
        <v>293118188.38</v>
      </c>
      <c r="I11" s="16">
        <v>457671831.80000001</v>
      </c>
      <c r="J11" s="16">
        <v>418488932.70000011</v>
      </c>
      <c r="K11" s="16">
        <v>824080314.24000001</v>
      </c>
      <c r="L11" s="16">
        <v>0</v>
      </c>
      <c r="M11" s="16">
        <v>0</v>
      </c>
      <c r="N11" s="18">
        <f t="shared" si="0"/>
        <v>7796700192.05091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704507994.67999995</v>
      </c>
      <c r="C12" s="16">
        <v>0</v>
      </c>
      <c r="D12" s="16">
        <v>15700455.987890506</v>
      </c>
      <c r="E12" s="16">
        <v>2018962.36</v>
      </c>
      <c r="F12" s="16">
        <v>4752137.6521032136</v>
      </c>
      <c r="G12" s="16">
        <v>2877422.89</v>
      </c>
      <c r="H12" s="16">
        <v>37738038.950000003</v>
      </c>
      <c r="I12" s="16">
        <v>15648935.18</v>
      </c>
      <c r="J12" s="16">
        <v>45122963.390000001</v>
      </c>
      <c r="K12" s="16">
        <v>106098462.72</v>
      </c>
      <c r="L12" s="16">
        <v>0</v>
      </c>
      <c r="M12" s="16">
        <v>0</v>
      </c>
      <c r="N12" s="18">
        <f t="shared" si="0"/>
        <v>934465373.80999362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3348823098.6700001</v>
      </c>
      <c r="C13" s="16">
        <v>0</v>
      </c>
      <c r="D13" s="16">
        <v>59463419.323940247</v>
      </c>
      <c r="E13" s="16">
        <v>17266694.73</v>
      </c>
      <c r="F13" s="16">
        <v>67584862.251384929</v>
      </c>
      <c r="G13" s="16">
        <v>0</v>
      </c>
      <c r="H13" s="16">
        <v>179384786.91999999</v>
      </c>
      <c r="I13" s="16">
        <v>222559026.27000001</v>
      </c>
      <c r="J13" s="16">
        <v>311176787.35000002</v>
      </c>
      <c r="K13" s="16">
        <v>484854145.92000002</v>
      </c>
      <c r="L13" s="16">
        <v>0</v>
      </c>
      <c r="M13" s="16">
        <v>0</v>
      </c>
      <c r="N13" s="18">
        <f t="shared" si="0"/>
        <v>4691112821.4353247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1131670513.1800001</v>
      </c>
      <c r="C14" s="16">
        <v>0</v>
      </c>
      <c r="D14" s="16">
        <v>30218807.711386304</v>
      </c>
      <c r="E14" s="16">
        <v>3243114.62</v>
      </c>
      <c r="F14" s="16">
        <v>3076072.5050958563</v>
      </c>
      <c r="G14" s="16">
        <v>1954770.99</v>
      </c>
      <c r="H14" s="16">
        <v>60619646.93</v>
      </c>
      <c r="I14" s="16">
        <v>10129601.199999999</v>
      </c>
      <c r="J14" s="16">
        <v>66802014.119999968</v>
      </c>
      <c r="K14" s="16">
        <v>162674576.63999999</v>
      </c>
      <c r="L14" s="16">
        <v>0</v>
      </c>
      <c r="M14" s="16">
        <v>0</v>
      </c>
      <c r="N14" s="18">
        <f t="shared" si="0"/>
        <v>1470389117.896482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1970957453.0699999</v>
      </c>
      <c r="C15" s="16">
        <v>0</v>
      </c>
      <c r="D15" s="16">
        <v>51290043.504633695</v>
      </c>
      <c r="E15" s="16">
        <v>5648323.2999999998</v>
      </c>
      <c r="F15" s="16">
        <v>11459684.642381677</v>
      </c>
      <c r="G15" s="16">
        <v>6771326.6900000004</v>
      </c>
      <c r="H15" s="16">
        <v>105577324.43000001</v>
      </c>
      <c r="I15" s="16">
        <v>37737093.340000004</v>
      </c>
      <c r="J15" s="16">
        <v>106583554.25</v>
      </c>
      <c r="K15" s="16">
        <v>276625923.83999997</v>
      </c>
      <c r="L15" s="16">
        <v>0</v>
      </c>
      <c r="M15" s="16">
        <v>0</v>
      </c>
      <c r="N15" s="18">
        <f t="shared" si="0"/>
        <v>2572650727.0670156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3559463872.8600001</v>
      </c>
      <c r="C16" s="16">
        <v>0</v>
      </c>
      <c r="D16" s="16">
        <v>111228292.56522501</v>
      </c>
      <c r="E16" s="16">
        <v>18352768.809999999</v>
      </c>
      <c r="F16" s="16">
        <v>42739661.248687617</v>
      </c>
      <c r="G16" s="16">
        <v>30040920.510000002</v>
      </c>
      <c r="H16" s="16">
        <v>190668079.37</v>
      </c>
      <c r="I16" s="16">
        <v>140743016.61000001</v>
      </c>
      <c r="J16" s="16">
        <v>264767277.34000009</v>
      </c>
      <c r="K16" s="16">
        <v>512028046.07999998</v>
      </c>
      <c r="L16" s="16">
        <v>0</v>
      </c>
      <c r="M16" s="16">
        <v>0</v>
      </c>
      <c r="N16" s="18">
        <f t="shared" si="0"/>
        <v>4870031935.3939133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1336081218.5799999</v>
      </c>
      <c r="C17" s="16">
        <v>0</v>
      </c>
      <c r="D17" s="16">
        <v>43886452.509595469</v>
      </c>
      <c r="E17" s="16">
        <v>3828909.99</v>
      </c>
      <c r="F17" s="16">
        <v>8777980.4071699064</v>
      </c>
      <c r="G17" s="16">
        <v>4378687.01</v>
      </c>
      <c r="H17" s="16">
        <v>71569216.299999997</v>
      </c>
      <c r="I17" s="16">
        <v>28906158.969999999</v>
      </c>
      <c r="J17" s="16">
        <v>71766998.929999992</v>
      </c>
      <c r="K17" s="16">
        <v>186425326.08000001</v>
      </c>
      <c r="L17" s="16">
        <v>0</v>
      </c>
      <c r="M17" s="16">
        <v>0</v>
      </c>
      <c r="N17" s="18">
        <f t="shared" si="0"/>
        <v>1755620948.7767651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751394633.09000003</v>
      </c>
      <c r="C18" s="16">
        <v>0</v>
      </c>
      <c r="D18" s="16">
        <v>15425734.206814034</v>
      </c>
      <c r="E18" s="16">
        <v>2153328.98</v>
      </c>
      <c r="F18" s="16">
        <v>5915524.0482612606</v>
      </c>
      <c r="G18" s="16">
        <v>3565502.28</v>
      </c>
      <c r="H18" s="16">
        <v>40249592.82</v>
      </c>
      <c r="I18" s="16">
        <v>19480002.300000001</v>
      </c>
      <c r="J18" s="16">
        <v>58509797.380000025</v>
      </c>
      <c r="K18" s="16">
        <v>103927777.91999999</v>
      </c>
      <c r="L18" s="16">
        <v>0</v>
      </c>
      <c r="M18" s="16">
        <v>0</v>
      </c>
      <c r="N18" s="18">
        <f t="shared" si="0"/>
        <v>1000621893.0250753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1263173301.46</v>
      </c>
      <c r="C19" s="16">
        <v>0</v>
      </c>
      <c r="D19" s="16">
        <v>30116451.062480755</v>
      </c>
      <c r="E19" s="16">
        <v>3619972.2</v>
      </c>
      <c r="F19" s="16">
        <v>2389214.4350477429</v>
      </c>
      <c r="G19" s="16">
        <v>1986047.32</v>
      </c>
      <c r="H19" s="16">
        <v>67663793.180000007</v>
      </c>
      <c r="I19" s="16">
        <v>7867756.4800000004</v>
      </c>
      <c r="J19" s="16">
        <v>50905484</v>
      </c>
      <c r="K19" s="16">
        <v>181630609.91999999</v>
      </c>
      <c r="L19" s="16">
        <v>0</v>
      </c>
      <c r="M19" s="16">
        <v>0</v>
      </c>
      <c r="N19" s="18">
        <f t="shared" si="0"/>
        <v>1609352630.0575285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4472786587.1700001</v>
      </c>
      <c r="C20" s="16">
        <v>0</v>
      </c>
      <c r="D20" s="16">
        <v>45677158.332880273</v>
      </c>
      <c r="E20" s="16">
        <v>23061905.129999999</v>
      </c>
      <c r="F20" s="16">
        <v>76257677.786585718</v>
      </c>
      <c r="G20" s="16">
        <v>51196624.678189047</v>
      </c>
      <c r="H20" s="16">
        <v>239591595.38</v>
      </c>
      <c r="I20" s="16">
        <v>251118874.09</v>
      </c>
      <c r="J20" s="16">
        <v>289469822.95999998</v>
      </c>
      <c r="K20" s="16">
        <v>638304272.63999987</v>
      </c>
      <c r="L20" s="16">
        <v>0</v>
      </c>
      <c r="M20" s="16">
        <v>0</v>
      </c>
      <c r="N20" s="18">
        <f t="shared" si="0"/>
        <v>6087464518.1676559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1943486072.1299999</v>
      </c>
      <c r="C21" s="16">
        <v>0</v>
      </c>
      <c r="D21" s="16">
        <v>17163041.180952571</v>
      </c>
      <c r="E21" s="16">
        <v>5569596.46</v>
      </c>
      <c r="F21" s="16">
        <v>20277101.87653999</v>
      </c>
      <c r="G21" s="16">
        <v>6536791.4461638872</v>
      </c>
      <c r="H21" s="16">
        <v>104105778.26000001</v>
      </c>
      <c r="I21" s="16">
        <v>66773118.990000002</v>
      </c>
      <c r="J21" s="16">
        <v>94904020.170000017</v>
      </c>
      <c r="K21" s="16">
        <v>276437669.75999999</v>
      </c>
      <c r="L21" s="16">
        <v>0</v>
      </c>
      <c r="M21" s="16">
        <v>0</v>
      </c>
      <c r="N21" s="18">
        <f t="shared" si="0"/>
        <v>2535253190.2736559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1539659457.8699999</v>
      </c>
      <c r="C22" s="16">
        <v>0</v>
      </c>
      <c r="D22" s="16">
        <v>27284288.405769106</v>
      </c>
      <c r="E22" s="16">
        <v>4412319.6900000004</v>
      </c>
      <c r="F22" s="16">
        <v>4827724.9038309958</v>
      </c>
      <c r="G22" s="16">
        <v>3362206.1</v>
      </c>
      <c r="H22" s="16">
        <v>82474193.370000005</v>
      </c>
      <c r="I22" s="16">
        <v>15897846.32</v>
      </c>
      <c r="J22" s="16">
        <v>71267709.140000015</v>
      </c>
      <c r="K22" s="16">
        <v>206088272.63999999</v>
      </c>
      <c r="L22" s="16">
        <v>0</v>
      </c>
      <c r="M22" s="16">
        <v>0</v>
      </c>
      <c r="N22" s="18">
        <f t="shared" si="0"/>
        <v>1955274018.4396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1479157970.8399999</v>
      </c>
      <c r="C23" s="16">
        <v>0</v>
      </c>
      <c r="D23" s="16">
        <v>22246276.890211858</v>
      </c>
      <c r="E23" s="16">
        <v>4238935.96</v>
      </c>
      <c r="F23" s="16">
        <v>4627254.3666399205</v>
      </c>
      <c r="G23" s="16">
        <v>4144114.49</v>
      </c>
      <c r="H23" s="16">
        <v>79233339.480000004</v>
      </c>
      <c r="I23" s="16">
        <v>15237690.689999999</v>
      </c>
      <c r="J23" s="16">
        <v>58828674.189999975</v>
      </c>
      <c r="K23" s="16">
        <v>209845670.40000001</v>
      </c>
      <c r="L23" s="16">
        <v>0</v>
      </c>
      <c r="M23" s="16">
        <v>0</v>
      </c>
      <c r="N23" s="18">
        <f t="shared" si="0"/>
        <v>1877559927.3068519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465643934.70000005</v>
      </c>
      <c r="C24" s="16">
        <v>0</v>
      </c>
      <c r="D24" s="16">
        <v>36547729.106210604</v>
      </c>
      <c r="E24" s="16">
        <v>1334431.3899999999</v>
      </c>
      <c r="F24" s="16">
        <v>4811292.8925858261</v>
      </c>
      <c r="G24" s="16">
        <v>1002367.8126848636</v>
      </c>
      <c r="H24" s="16">
        <v>24942923.399999999</v>
      </c>
      <c r="I24" s="16">
        <v>15843735.199999999</v>
      </c>
      <c r="J24" s="16">
        <v>49778060.480000019</v>
      </c>
      <c r="K24" s="16">
        <v>64344476.159999996</v>
      </c>
      <c r="L24" s="16">
        <v>0</v>
      </c>
      <c r="M24" s="16">
        <v>0</v>
      </c>
      <c r="N24" s="18">
        <f t="shared" si="0"/>
        <v>664248951.14148128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1927266410.2799997</v>
      </c>
      <c r="C25" s="16">
        <v>0</v>
      </c>
      <c r="D25" s="16">
        <v>29837900.262344755</v>
      </c>
      <c r="E25" s="16">
        <v>5523114.54</v>
      </c>
      <c r="F25" s="16">
        <v>21338609.802977983</v>
      </c>
      <c r="G25" s="16">
        <v>9867683.9399999995</v>
      </c>
      <c r="H25" s="16">
        <v>103236947.48</v>
      </c>
      <c r="I25" s="16">
        <v>70268697.180000007</v>
      </c>
      <c r="J25" s="16">
        <v>115071796.64999996</v>
      </c>
      <c r="K25" s="16">
        <v>290241688.31999999</v>
      </c>
      <c r="L25" s="16">
        <v>0</v>
      </c>
      <c r="M25" s="16">
        <v>0</v>
      </c>
      <c r="N25" s="18">
        <f t="shared" si="0"/>
        <v>2572652848.4553227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785901695.1400001</v>
      </c>
      <c r="C26" s="16">
        <v>0</v>
      </c>
      <c r="D26" s="16">
        <v>21885630.871785831</v>
      </c>
      <c r="E26" s="16">
        <v>2252218.5099999998</v>
      </c>
      <c r="F26" s="16">
        <v>9704745.8413975034</v>
      </c>
      <c r="G26" s="16">
        <v>6302181.6600000001</v>
      </c>
      <c r="H26" s="16">
        <v>42098015.920000002</v>
      </c>
      <c r="I26" s="16">
        <v>31958025.989999998</v>
      </c>
      <c r="J26" s="16">
        <v>84909076.820000008</v>
      </c>
      <c r="K26" s="16">
        <v>103927777.91999999</v>
      </c>
      <c r="L26" s="16">
        <v>0</v>
      </c>
      <c r="M26" s="16">
        <v>0</v>
      </c>
      <c r="N26" s="18">
        <f t="shared" si="0"/>
        <v>1088939368.6731834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384626186.63999999</v>
      </c>
      <c r="C27" s="16">
        <v>0</v>
      </c>
      <c r="D27" s="16">
        <v>7898019.9318652283</v>
      </c>
      <c r="E27" s="16">
        <v>1102252.6399999999</v>
      </c>
      <c r="F27" s="16">
        <v>2412219.2507909816</v>
      </c>
      <c r="G27" s="16">
        <v>1423073.28</v>
      </c>
      <c r="H27" s="16">
        <v>20603084.879999999</v>
      </c>
      <c r="I27" s="16">
        <v>7943512.0499999998</v>
      </c>
      <c r="J27" s="16">
        <v>22753328.210000001</v>
      </c>
      <c r="K27" s="16">
        <v>57924627.839999989</v>
      </c>
      <c r="L27" s="16">
        <v>0</v>
      </c>
      <c r="M27" s="16">
        <v>0</v>
      </c>
      <c r="N27" s="18">
        <f t="shared" si="0"/>
        <v>506686304.72265607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1362156204.76</v>
      </c>
      <c r="C28" s="16">
        <v>0</v>
      </c>
      <c r="D28" s="16">
        <v>24986170.637437515</v>
      </c>
      <c r="E28" s="16">
        <v>3903635.07</v>
      </c>
      <c r="F28" s="16">
        <v>3322552.6737734084</v>
      </c>
      <c r="G28" s="16">
        <v>2064238.16</v>
      </c>
      <c r="H28" s="16">
        <v>72965962.480000004</v>
      </c>
      <c r="I28" s="16">
        <v>10941267.960000001</v>
      </c>
      <c r="J28" s="16">
        <v>46520217.880000018</v>
      </c>
      <c r="K28" s="16">
        <v>193213998.72</v>
      </c>
      <c r="L28" s="16">
        <v>0</v>
      </c>
      <c r="M28" s="16">
        <v>0</v>
      </c>
      <c r="N28" s="18">
        <f t="shared" si="0"/>
        <v>1720074248.3412113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842375120.44999993</v>
      </c>
      <c r="C29" s="16">
        <v>0</v>
      </c>
      <c r="D29" s="16">
        <v>21111420.999917664</v>
      </c>
      <c r="E29" s="16">
        <v>2414058.7200000002</v>
      </c>
      <c r="F29" s="16">
        <v>2073719.8191404757</v>
      </c>
      <c r="G29" s="16">
        <v>1251053.43</v>
      </c>
      <c r="H29" s="16">
        <v>45123100.579999998</v>
      </c>
      <c r="I29" s="16">
        <v>6828823.0300000003</v>
      </c>
      <c r="J29" s="16">
        <v>41472280.969999999</v>
      </c>
      <c r="K29" s="16">
        <v>126860198.40000001</v>
      </c>
      <c r="L29" s="16">
        <v>0</v>
      </c>
      <c r="M29" s="16">
        <v>0</v>
      </c>
      <c r="N29" s="18">
        <f t="shared" si="0"/>
        <v>1089509776.3990581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280030850.64000005</v>
      </c>
      <c r="C30" s="16">
        <v>0</v>
      </c>
      <c r="D30" s="16">
        <v>11972643.740917675</v>
      </c>
      <c r="E30" s="16">
        <v>802505.8</v>
      </c>
      <c r="F30" s="16">
        <v>1791089.2257235486</v>
      </c>
      <c r="G30" s="16">
        <v>1563816.79</v>
      </c>
      <c r="H30" s="16">
        <v>15000277.119999999</v>
      </c>
      <c r="I30" s="16">
        <v>5898111.8099999996</v>
      </c>
      <c r="J30" s="16">
        <v>32217756.410000008</v>
      </c>
      <c r="K30" s="16">
        <v>39083852.159999996</v>
      </c>
      <c r="L30" s="16">
        <v>0</v>
      </c>
      <c r="M30" s="16">
        <v>0</v>
      </c>
      <c r="N30" s="18">
        <f t="shared" si="0"/>
        <v>388360903.69664133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487878835.40999997</v>
      </c>
      <c r="C31" s="16">
        <v>0</v>
      </c>
      <c r="D31" s="16">
        <v>9418840.5978111066</v>
      </c>
      <c r="E31" s="16">
        <v>1398151.64</v>
      </c>
      <c r="F31" s="16">
        <v>2139447.8641211563</v>
      </c>
      <c r="G31" s="16">
        <v>860099.23</v>
      </c>
      <c r="H31" s="16">
        <v>26133969.57</v>
      </c>
      <c r="I31" s="16">
        <v>7045267.5</v>
      </c>
      <c r="J31" s="16">
        <v>22833599.410000004</v>
      </c>
      <c r="K31" s="16">
        <v>72512398.079999998</v>
      </c>
      <c r="L31" s="16">
        <v>0</v>
      </c>
      <c r="M31" s="16">
        <v>0</v>
      </c>
      <c r="N31" s="18">
        <f t="shared" si="0"/>
        <v>630220609.30193222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2143304787.1900003</v>
      </c>
      <c r="C32" s="16">
        <v>0</v>
      </c>
      <c r="D32" s="16">
        <v>33896199.818176746</v>
      </c>
      <c r="E32" s="16">
        <v>6142232.21</v>
      </c>
      <c r="F32" s="16">
        <v>6309892.3181453459</v>
      </c>
      <c r="G32" s="16">
        <v>4707088.53</v>
      </c>
      <c r="H32" s="16">
        <v>114809370.7</v>
      </c>
      <c r="I32" s="16">
        <v>20778669.120000001</v>
      </c>
      <c r="J32" s="16">
        <v>71444968.119999975</v>
      </c>
      <c r="K32" s="16">
        <v>311456770.56</v>
      </c>
      <c r="L32" s="16">
        <v>0</v>
      </c>
      <c r="M32" s="16">
        <v>0</v>
      </c>
      <c r="N32" s="18">
        <f t="shared" si="0"/>
        <v>2712849978.5663218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1457433291.3400002</v>
      </c>
      <c r="C33" s="16">
        <v>0</v>
      </c>
      <c r="D33" s="16">
        <v>28467609.586698685</v>
      </c>
      <c r="E33" s="16">
        <v>4176677.89</v>
      </c>
      <c r="F33" s="16">
        <v>4630540.7688889541</v>
      </c>
      <c r="G33" s="16">
        <v>3784436.63</v>
      </c>
      <c r="H33" s="16">
        <v>78069624.079999998</v>
      </c>
      <c r="I33" s="16">
        <v>15248512.91</v>
      </c>
      <c r="J33" s="16">
        <v>68149276.75999999</v>
      </c>
      <c r="K33" s="16">
        <v>206407152</v>
      </c>
      <c r="L33" s="16">
        <v>0</v>
      </c>
      <c r="M33" s="16">
        <v>0</v>
      </c>
      <c r="N33" s="18">
        <f t="shared" si="0"/>
        <v>1866367121.9655881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1896975386.1600001</v>
      </c>
      <c r="C34" s="16">
        <v>0</v>
      </c>
      <c r="D34" s="16">
        <v>31106596.878188245</v>
      </c>
      <c r="E34" s="16">
        <v>9780897.3300000001</v>
      </c>
      <c r="F34" s="16">
        <v>6733838.208270736</v>
      </c>
      <c r="G34" s="16">
        <v>6317819.8300000001</v>
      </c>
      <c r="H34" s="16">
        <v>101614362.84</v>
      </c>
      <c r="I34" s="16">
        <v>22174735.949999999</v>
      </c>
      <c r="J34" s="16">
        <v>85724877.920000017</v>
      </c>
      <c r="K34" s="16">
        <v>263482715.52000001</v>
      </c>
      <c r="L34" s="16">
        <v>0</v>
      </c>
      <c r="M34" s="16">
        <v>0</v>
      </c>
      <c r="N34" s="18">
        <f t="shared" si="0"/>
        <v>2423911230.6364589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899439328.1400001</v>
      </c>
      <c r="C35" s="16">
        <v>0</v>
      </c>
      <c r="D35" s="16">
        <v>14039828.657890506</v>
      </c>
      <c r="E35" s="16">
        <v>2577591.9700000002</v>
      </c>
      <c r="F35" s="16">
        <v>4209881.2810125975</v>
      </c>
      <c r="G35" s="16">
        <v>2455192.36</v>
      </c>
      <c r="H35" s="16">
        <v>48179831.390000001</v>
      </c>
      <c r="I35" s="16">
        <v>13863268.300000001</v>
      </c>
      <c r="J35" s="16">
        <v>30809777.940000013</v>
      </c>
      <c r="K35" s="16">
        <v>133003428.48</v>
      </c>
      <c r="L35" s="16">
        <v>0</v>
      </c>
      <c r="M35" s="16">
        <v>0</v>
      </c>
      <c r="N35" s="18">
        <f t="shared" si="0"/>
        <v>1148578128.5189033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1058037544.9399999</v>
      </c>
      <c r="C36" s="16">
        <v>0</v>
      </c>
      <c r="D36" s="16">
        <v>19364388.106028821</v>
      </c>
      <c r="E36" s="16">
        <v>3032099</v>
      </c>
      <c r="F36" s="16">
        <v>2648840.2127214316</v>
      </c>
      <c r="G36" s="16">
        <v>1423073.28</v>
      </c>
      <c r="H36" s="16">
        <v>56675385.340000004</v>
      </c>
      <c r="I36" s="16">
        <v>8722712.1400000006</v>
      </c>
      <c r="J36" s="16">
        <v>31028355.269999988</v>
      </c>
      <c r="K36" s="16">
        <v>148697671.68000001</v>
      </c>
      <c r="L36" s="16">
        <v>0</v>
      </c>
      <c r="M36" s="16">
        <v>0</v>
      </c>
      <c r="N36" s="18">
        <f t="shared" si="0"/>
        <v>1329630069.9687502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1098774675.79</v>
      </c>
      <c r="C37" s="16">
        <v>0</v>
      </c>
      <c r="D37" s="16">
        <v>23237231.882763457</v>
      </c>
      <c r="E37" s="16">
        <v>3148842.5</v>
      </c>
      <c r="F37" s="16">
        <v>4913171.3623058805</v>
      </c>
      <c r="G37" s="16">
        <v>2173705.34</v>
      </c>
      <c r="H37" s="16">
        <v>58857531.520000003</v>
      </c>
      <c r="I37" s="16">
        <v>16179224.130000001</v>
      </c>
      <c r="J37" s="16">
        <v>52667349.439999975</v>
      </c>
      <c r="K37" s="16">
        <v>163135607.03999999</v>
      </c>
      <c r="L37" s="16">
        <v>0</v>
      </c>
      <c r="M37" s="16">
        <v>0</v>
      </c>
      <c r="N37" s="18">
        <f t="shared" si="0"/>
        <v>1423087339.0050693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960880696.25999999</v>
      </c>
      <c r="C38" s="16">
        <v>0</v>
      </c>
      <c r="D38" s="16">
        <v>5125970.7741880491</v>
      </c>
      <c r="E38" s="16">
        <v>2753669.19</v>
      </c>
      <c r="F38" s="16">
        <v>4390633.4047094695</v>
      </c>
      <c r="G38" s="16">
        <v>6020694.6399999997</v>
      </c>
      <c r="H38" s="16">
        <v>51471031.43</v>
      </c>
      <c r="I38" s="16">
        <v>14458490.6</v>
      </c>
      <c r="J38" s="16">
        <v>86912228.960000038</v>
      </c>
      <c r="K38" s="16">
        <v>144559923.84</v>
      </c>
      <c r="L38" s="16">
        <v>0</v>
      </c>
      <c r="M38" s="16">
        <v>0</v>
      </c>
      <c r="N38" s="18">
        <f t="shared" si="0"/>
        <v>1276573339.0988975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1777180830.6199999</v>
      </c>
      <c r="C39" s="16">
        <v>0</v>
      </c>
      <c r="D39" s="16">
        <v>39183150.164742567</v>
      </c>
      <c r="E39" s="16">
        <v>5093002.83</v>
      </c>
      <c r="F39" s="16">
        <v>5593456.6278559258</v>
      </c>
      <c r="G39" s="16">
        <v>3753160.29</v>
      </c>
      <c r="H39" s="16">
        <v>95197385.840000004</v>
      </c>
      <c r="I39" s="16">
        <v>18419424.399999999</v>
      </c>
      <c r="J39" s="16">
        <v>75454110.810000017</v>
      </c>
      <c r="K39" s="16">
        <v>250351032.96000001</v>
      </c>
      <c r="L39" s="16">
        <v>0</v>
      </c>
      <c r="M39" s="16">
        <v>0</v>
      </c>
      <c r="N39" s="18">
        <f t="shared" si="0"/>
        <v>2270225554.5425982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1251411361.2499998</v>
      </c>
      <c r="C40" s="16">
        <v>0</v>
      </c>
      <c r="D40" s="16">
        <v>28082569.661190957</v>
      </c>
      <c r="E40" s="16">
        <v>3586265.11</v>
      </c>
      <c r="F40" s="16">
        <v>2987339.644371937</v>
      </c>
      <c r="G40" s="16">
        <v>1642007.63</v>
      </c>
      <c r="H40" s="16">
        <v>67033747.009999998</v>
      </c>
      <c r="I40" s="16">
        <v>9837401.1600000001</v>
      </c>
      <c r="J40" s="16">
        <v>41569111.050000004</v>
      </c>
      <c r="K40" s="16">
        <v>165506071.68000001</v>
      </c>
      <c r="L40" s="16">
        <v>0</v>
      </c>
      <c r="M40" s="16">
        <v>0</v>
      </c>
      <c r="N40" s="18">
        <f t="shared" ref="N40:N71" si="1">SUM(B40:M40)</f>
        <v>1571655874.1955628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1155140686.1400001</v>
      </c>
      <c r="C41" s="16">
        <v>0</v>
      </c>
      <c r="D41" s="16">
        <v>14117636.27366255</v>
      </c>
      <c r="E41" s="16">
        <v>3310374.88</v>
      </c>
      <c r="F41" s="16">
        <v>5057773.0612633787</v>
      </c>
      <c r="G41" s="16">
        <v>2861784.72</v>
      </c>
      <c r="H41" s="16">
        <v>61876862.329999998</v>
      </c>
      <c r="I41" s="16">
        <v>16655401.970000001</v>
      </c>
      <c r="J41" s="16">
        <v>42655373.920000002</v>
      </c>
      <c r="K41" s="16">
        <v>173481897.59999999</v>
      </c>
      <c r="L41" s="16">
        <v>0</v>
      </c>
      <c r="M41" s="16">
        <v>0</v>
      </c>
      <c r="N41" s="18">
        <f t="shared" si="1"/>
        <v>1475157790.8949261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774811098.58000016</v>
      </c>
      <c r="C42" s="16">
        <v>0</v>
      </c>
      <c r="D42" s="16">
        <v>10470517.888280608</v>
      </c>
      <c r="E42" s="16">
        <v>2220435.34</v>
      </c>
      <c r="F42" s="16">
        <v>13737161.400962261</v>
      </c>
      <c r="G42" s="16">
        <v>0</v>
      </c>
      <c r="H42" s="16">
        <v>41503931.299999997</v>
      </c>
      <c r="I42" s="16">
        <v>45236894.229999997</v>
      </c>
      <c r="J42" s="16">
        <v>64999461.130000032</v>
      </c>
      <c r="K42" s="16">
        <v>108557291.52</v>
      </c>
      <c r="L42" s="16">
        <v>0</v>
      </c>
      <c r="M42" s="16">
        <v>0</v>
      </c>
      <c r="N42" s="18">
        <f t="shared" si="1"/>
        <v>1061536791.389243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4039474561.1100001</v>
      </c>
      <c r="C43" s="16">
        <v>0</v>
      </c>
      <c r="D43" s="16">
        <v>32624201.61021981</v>
      </c>
      <c r="E43" s="16">
        <v>11576230.75</v>
      </c>
      <c r="F43" s="16">
        <v>57124243.892709583</v>
      </c>
      <c r="G43" s="16">
        <v>22863001.449999999</v>
      </c>
      <c r="H43" s="16">
        <v>216380579.69999999</v>
      </c>
      <c r="I43" s="16">
        <v>188111888.87</v>
      </c>
      <c r="J43" s="16">
        <v>212873779.65999991</v>
      </c>
      <c r="K43" s="16">
        <v>548453289.60000002</v>
      </c>
      <c r="L43" s="16">
        <v>0</v>
      </c>
      <c r="M43" s="16">
        <v>0</v>
      </c>
      <c r="N43" s="18">
        <f t="shared" si="1"/>
        <v>5329481776.64293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3929105670</v>
      </c>
      <c r="C44" s="16">
        <v>0</v>
      </c>
      <c r="D44" s="16">
        <v>37418622.869864605</v>
      </c>
      <c r="E44" s="16">
        <v>11259938.189999999</v>
      </c>
      <c r="F44" s="16">
        <v>71876903.58862336</v>
      </c>
      <c r="G44" s="16">
        <v>41009667.293778397</v>
      </c>
      <c r="H44" s="16">
        <v>210468502.69999999</v>
      </c>
      <c r="I44" s="16">
        <v>236692850.16</v>
      </c>
      <c r="J44" s="16">
        <v>275278069.36000001</v>
      </c>
      <c r="K44" s="16">
        <v>533043348.48000002</v>
      </c>
      <c r="L44" s="16">
        <v>0</v>
      </c>
      <c r="M44" s="16">
        <v>0</v>
      </c>
      <c r="N44" s="18">
        <f t="shared" si="1"/>
        <v>5346153572.6422653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1100197924.2500002</v>
      </c>
      <c r="C45" s="16">
        <v>0</v>
      </c>
      <c r="D45" s="16">
        <v>12079606.44701734</v>
      </c>
      <c r="E45" s="16">
        <v>3152921.21</v>
      </c>
      <c r="F45" s="16">
        <v>5353549.2636764413</v>
      </c>
      <c r="G45" s="16">
        <v>3581140.45</v>
      </c>
      <c r="H45" s="16">
        <v>58933769.990000002</v>
      </c>
      <c r="I45" s="16">
        <v>17629402.079999998</v>
      </c>
      <c r="J45" s="16">
        <v>41210019.789999992</v>
      </c>
      <c r="K45" s="16">
        <v>153234979.19999999</v>
      </c>
      <c r="L45" s="16">
        <v>0</v>
      </c>
      <c r="M45" s="16">
        <v>0</v>
      </c>
      <c r="N45" s="18">
        <f t="shared" si="1"/>
        <v>1395373312.6806941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1739021659.2699997</v>
      </c>
      <c r="C46" s="16">
        <v>0</v>
      </c>
      <c r="D46" s="16">
        <v>25634813.429864604</v>
      </c>
      <c r="E46" s="16">
        <v>8966480.2400000002</v>
      </c>
      <c r="F46" s="16">
        <v>42226982.497838303</v>
      </c>
      <c r="G46" s="16">
        <v>0</v>
      </c>
      <c r="H46" s="16">
        <v>93153331.959999993</v>
      </c>
      <c r="I46" s="16">
        <v>139054749.75</v>
      </c>
      <c r="J46" s="16">
        <v>174354657.67000008</v>
      </c>
      <c r="K46" s="16">
        <v>234510796.80000004</v>
      </c>
      <c r="L46" s="16">
        <v>0</v>
      </c>
      <c r="M46" s="16">
        <v>0</v>
      </c>
      <c r="N46" s="18">
        <f t="shared" si="1"/>
        <v>2456923471.617703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5282400139.0599995</v>
      </c>
      <c r="C47" s="16">
        <v>0</v>
      </c>
      <c r="D47" s="16">
        <v>49055166.884836406</v>
      </c>
      <c r="E47" s="16">
        <v>27236311.98</v>
      </c>
      <c r="F47" s="16">
        <v>131640128.48730728</v>
      </c>
      <c r="G47" s="16">
        <v>45909626.509101763</v>
      </c>
      <c r="H47" s="16">
        <v>282959772.86000001</v>
      </c>
      <c r="I47" s="16">
        <v>433494984.5</v>
      </c>
      <c r="J47" s="16">
        <v>419516529.84000015</v>
      </c>
      <c r="K47" s="16">
        <v>732765559.67999995</v>
      </c>
      <c r="L47" s="16">
        <v>0</v>
      </c>
      <c r="M47" s="16">
        <v>0</v>
      </c>
      <c r="N47" s="18">
        <f t="shared" si="1"/>
        <v>7404978219.8012447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544030015.75</v>
      </c>
      <c r="C48" s="16">
        <v>0</v>
      </c>
      <c r="D48" s="16">
        <v>14538425.65209005</v>
      </c>
      <c r="E48" s="16">
        <v>1559068.36</v>
      </c>
      <c r="F48" s="16">
        <v>1143667.9826638438</v>
      </c>
      <c r="G48" s="16">
        <v>969566.41</v>
      </c>
      <c r="H48" s="16">
        <v>29141792.68</v>
      </c>
      <c r="I48" s="16">
        <v>3766133.78</v>
      </c>
      <c r="J48" s="16">
        <v>22507625.910000004</v>
      </c>
      <c r="K48" s="16">
        <v>77214908.159999996</v>
      </c>
      <c r="L48" s="16">
        <v>0</v>
      </c>
      <c r="M48" s="16">
        <v>0</v>
      </c>
      <c r="N48" s="18">
        <f t="shared" si="1"/>
        <v>694871204.68475378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951804130.50999999</v>
      </c>
      <c r="C49" s="16">
        <v>0</v>
      </c>
      <c r="D49" s="16">
        <v>19526542.758684278</v>
      </c>
      <c r="E49" s="16">
        <v>2727657.79</v>
      </c>
      <c r="F49" s="16">
        <v>6753556.6217649402</v>
      </c>
      <c r="G49" s="16">
        <v>4065923.65</v>
      </c>
      <c r="H49" s="16">
        <v>50984831.420000002</v>
      </c>
      <c r="I49" s="16">
        <v>22239669.289999999</v>
      </c>
      <c r="J49" s="16">
        <v>52973925.269999981</v>
      </c>
      <c r="K49" s="16">
        <v>133829441.28</v>
      </c>
      <c r="L49" s="16">
        <v>0</v>
      </c>
      <c r="M49" s="16">
        <v>0</v>
      </c>
      <c r="N49" s="18">
        <f t="shared" si="1"/>
        <v>1244905678.5904491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637239363.96000004</v>
      </c>
      <c r="C50" s="16">
        <v>0</v>
      </c>
      <c r="D50" s="16">
        <v>12432875.828131832</v>
      </c>
      <c r="E50" s="16">
        <v>1826185.51</v>
      </c>
      <c r="F50" s="16">
        <v>1892967.6954436037</v>
      </c>
      <c r="G50" s="16">
        <v>1157224.42</v>
      </c>
      <c r="H50" s="16">
        <v>34134692.75</v>
      </c>
      <c r="I50" s="16">
        <v>6233600.7400000002</v>
      </c>
      <c r="J50" s="16">
        <v>38281462.579999998</v>
      </c>
      <c r="K50" s="16">
        <v>95786749.439999998</v>
      </c>
      <c r="L50" s="16">
        <v>0</v>
      </c>
      <c r="M50" s="16">
        <v>0</v>
      </c>
      <c r="N50" s="18">
        <f t="shared" si="1"/>
        <v>828985122.9235754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611835721.38999999</v>
      </c>
      <c r="C51" s="16">
        <v>0</v>
      </c>
      <c r="D51" s="16">
        <v>14352313.123786453</v>
      </c>
      <c r="E51" s="16">
        <v>1753384.35</v>
      </c>
      <c r="F51" s="16">
        <v>2359636.8148064367</v>
      </c>
      <c r="G51" s="16">
        <v>1454349.61</v>
      </c>
      <c r="H51" s="16">
        <v>32773908.109999999</v>
      </c>
      <c r="I51" s="16">
        <v>7770356.4699999997</v>
      </c>
      <c r="J51" s="16">
        <v>26558244.650000006</v>
      </c>
      <c r="K51" s="16">
        <v>92140767.359999999</v>
      </c>
      <c r="L51" s="16">
        <v>0</v>
      </c>
      <c r="M51" s="16">
        <v>0</v>
      </c>
      <c r="N51" s="18">
        <f t="shared" si="1"/>
        <v>790998681.87859297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737108440.83000016</v>
      </c>
      <c r="C52" s="16">
        <v>0</v>
      </c>
      <c r="D52" s="16">
        <v>12785675.328690756</v>
      </c>
      <c r="E52" s="16">
        <v>2112387.9500000002</v>
      </c>
      <c r="F52" s="16">
        <v>2172311.886611497</v>
      </c>
      <c r="G52" s="16">
        <v>1860941.98</v>
      </c>
      <c r="H52" s="16">
        <v>39484331.280000001</v>
      </c>
      <c r="I52" s="16">
        <v>7153489.7300000004</v>
      </c>
      <c r="J52" s="16">
        <v>34042861.070000008</v>
      </c>
      <c r="K52" s="16">
        <v>106617121.92</v>
      </c>
      <c r="L52" s="16">
        <v>0</v>
      </c>
      <c r="M52" s="16">
        <v>0</v>
      </c>
      <c r="N52" s="18">
        <f t="shared" si="1"/>
        <v>943337561.97530246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264348263.70000002</v>
      </c>
      <c r="C53" s="16">
        <v>0</v>
      </c>
      <c r="D53" s="16">
        <v>12217741.286237134</v>
      </c>
      <c r="E53" s="16">
        <v>757563.01</v>
      </c>
      <c r="F53" s="16">
        <v>377936.25863891392</v>
      </c>
      <c r="G53" s="16">
        <v>281487.02</v>
      </c>
      <c r="H53" s="16">
        <v>14160215.57</v>
      </c>
      <c r="I53" s="16">
        <v>1244555.7</v>
      </c>
      <c r="J53" s="16">
        <v>18003924.24000001</v>
      </c>
      <c r="K53" s="16">
        <v>39809975.039999999</v>
      </c>
      <c r="L53" s="16">
        <v>0</v>
      </c>
      <c r="M53" s="16">
        <v>0</v>
      </c>
      <c r="N53" s="18">
        <f t="shared" si="1"/>
        <v>351201661.82487607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956530389.61000001</v>
      </c>
      <c r="C54" s="16">
        <v>0</v>
      </c>
      <c r="D54" s="16">
        <v>18356100.965814024</v>
      </c>
      <c r="E54" s="16">
        <v>2741202.19</v>
      </c>
      <c r="F54" s="16">
        <v>1298128.8883684436</v>
      </c>
      <c r="G54" s="16">
        <v>1032119.08</v>
      </c>
      <c r="H54" s="16">
        <v>51238000.659999996</v>
      </c>
      <c r="I54" s="16">
        <v>4274778.28</v>
      </c>
      <c r="J54" s="16">
        <v>41189676.109999999</v>
      </c>
      <c r="K54" s="16">
        <v>129799267.2</v>
      </c>
      <c r="L54" s="16">
        <v>0</v>
      </c>
      <c r="M54" s="16">
        <v>0</v>
      </c>
      <c r="N54" s="18">
        <f t="shared" si="1"/>
        <v>1206459662.9841826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442146908</v>
      </c>
      <c r="C55" s="16">
        <v>0</v>
      </c>
      <c r="D55" s="16">
        <v>8025994.0012503061</v>
      </c>
      <c r="E55" s="16">
        <v>1267094.1599999999</v>
      </c>
      <c r="F55" s="16">
        <v>2395787.239545811</v>
      </c>
      <c r="G55" s="16">
        <v>1610731.29</v>
      </c>
      <c r="H55" s="16">
        <v>23684269.530000001</v>
      </c>
      <c r="I55" s="16">
        <v>7889400.9299999997</v>
      </c>
      <c r="J55" s="16">
        <v>29079610.960000001</v>
      </c>
      <c r="K55" s="16">
        <v>63672140.159999996</v>
      </c>
      <c r="L55" s="16">
        <v>0</v>
      </c>
      <c r="M55" s="16">
        <v>0</v>
      </c>
      <c r="N55" s="18">
        <f t="shared" si="1"/>
        <v>579771936.27079618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323936723.42000002</v>
      </c>
      <c r="C56" s="16">
        <v>0</v>
      </c>
      <c r="D56" s="16">
        <v>6735902.7479864107</v>
      </c>
      <c r="E56" s="16">
        <v>928330.21</v>
      </c>
      <c r="F56" s="16">
        <v>676998.86330101104</v>
      </c>
      <c r="G56" s="16">
        <v>437868.7</v>
      </c>
      <c r="H56" s="16">
        <v>17352161.760000002</v>
      </c>
      <c r="I56" s="16">
        <v>2229378.04</v>
      </c>
      <c r="J56" s="16">
        <v>24005337.580000002</v>
      </c>
      <c r="K56" s="16">
        <v>48166151.039999999</v>
      </c>
      <c r="L56" s="16">
        <v>0</v>
      </c>
      <c r="M56" s="16">
        <v>0</v>
      </c>
      <c r="N56" s="18">
        <f t="shared" si="1"/>
        <v>424468852.36128747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836386735.38999999</v>
      </c>
      <c r="C57" s="16">
        <v>0</v>
      </c>
      <c r="D57" s="16">
        <v>14298563.124851432</v>
      </c>
      <c r="E57" s="16">
        <v>2396897.34</v>
      </c>
      <c r="F57" s="16">
        <v>3477013.5794780082</v>
      </c>
      <c r="G57" s="16">
        <v>2017323.66</v>
      </c>
      <c r="H57" s="16">
        <v>44802323.649999999</v>
      </c>
      <c r="I57" s="16">
        <v>11449912.460000001</v>
      </c>
      <c r="J57" s="16">
        <v>51254008.980000019</v>
      </c>
      <c r="K57" s="16">
        <v>116256499.2</v>
      </c>
      <c r="L57" s="16">
        <v>0</v>
      </c>
      <c r="M57" s="16">
        <v>0</v>
      </c>
      <c r="N57" s="18">
        <f t="shared" si="1"/>
        <v>1082339277.3843296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745218271.78999984</v>
      </c>
      <c r="C58" s="16">
        <v>0</v>
      </c>
      <c r="D58" s="16">
        <v>7551473.0142659796</v>
      </c>
      <c r="E58" s="16">
        <v>2135628.91</v>
      </c>
      <c r="F58" s="16">
        <v>2024423.7854049653</v>
      </c>
      <c r="G58" s="16">
        <v>1266691.6000000001</v>
      </c>
      <c r="H58" s="16">
        <v>39918746.670000002</v>
      </c>
      <c r="I58" s="16">
        <v>6666489.6799999997</v>
      </c>
      <c r="J58" s="16">
        <v>29005332.54999999</v>
      </c>
      <c r="K58" s="16">
        <v>100343266.56</v>
      </c>
      <c r="L58" s="16">
        <v>0</v>
      </c>
      <c r="M58" s="16">
        <v>0</v>
      </c>
      <c r="N58" s="18">
        <f t="shared" si="1"/>
        <v>934130324.55967069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826531411.04999995</v>
      </c>
      <c r="C59" s="16">
        <v>0</v>
      </c>
      <c r="D59" s="16">
        <v>16079085.606395936</v>
      </c>
      <c r="E59" s="16">
        <v>2368654.19</v>
      </c>
      <c r="F59" s="16">
        <v>1971841.3494204206</v>
      </c>
      <c r="G59" s="16">
        <v>1157224.42</v>
      </c>
      <c r="H59" s="16">
        <v>44274408.259999998</v>
      </c>
      <c r="I59" s="16">
        <v>6493334.0999999996</v>
      </c>
      <c r="J59" s="16">
        <v>32441695.539999999</v>
      </c>
      <c r="K59" s="16">
        <v>120221360.64</v>
      </c>
      <c r="L59" s="16">
        <v>0</v>
      </c>
      <c r="M59" s="16">
        <v>0</v>
      </c>
      <c r="N59" s="18">
        <f t="shared" si="1"/>
        <v>1051539015.1558163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5761551507.5199995</v>
      </c>
      <c r="C60" s="16">
        <v>0</v>
      </c>
      <c r="D60" s="16">
        <v>244652673.97319952</v>
      </c>
      <c r="E60" s="16">
        <v>29706839.73</v>
      </c>
      <c r="F60" s="16">
        <v>108467706.2293683</v>
      </c>
      <c r="G60" s="16">
        <v>59534505.100000001</v>
      </c>
      <c r="H60" s="16">
        <v>308626242.42000002</v>
      </c>
      <c r="I60" s="16">
        <v>357187486.61000001</v>
      </c>
      <c r="J60" s="16">
        <v>542281111.84999979</v>
      </c>
      <c r="K60" s="16">
        <v>853574734.08000004</v>
      </c>
      <c r="L60" s="16">
        <v>0</v>
      </c>
      <c r="M60" s="16">
        <v>0</v>
      </c>
      <c r="N60" s="18">
        <f t="shared" si="1"/>
        <v>8265582807.5125666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1225551205</v>
      </c>
      <c r="C61" s="16">
        <v>0</v>
      </c>
      <c r="D61" s="16">
        <v>22152273.264424775</v>
      </c>
      <c r="E61" s="16">
        <v>3512155.68</v>
      </c>
      <c r="F61" s="16">
        <v>19363482.051308528</v>
      </c>
      <c r="G61" s="16">
        <v>5893785.0593876932</v>
      </c>
      <c r="H61" s="16">
        <v>65648508.530000001</v>
      </c>
      <c r="I61" s="16">
        <v>63764540.859999999</v>
      </c>
      <c r="J61" s="16">
        <v>134272376.60999998</v>
      </c>
      <c r="K61" s="16">
        <v>136845348.47999999</v>
      </c>
      <c r="L61" s="16">
        <v>0</v>
      </c>
      <c r="M61" s="16">
        <v>0</v>
      </c>
      <c r="N61" s="18">
        <f t="shared" si="1"/>
        <v>1677003675.535121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6594957477.3099995</v>
      </c>
      <c r="C62" s="16">
        <v>0</v>
      </c>
      <c r="D62" s="16">
        <v>86033645.280000001</v>
      </c>
      <c r="E62" s="16">
        <v>34003921.43</v>
      </c>
      <c r="F62" s="16">
        <v>86823461.017230153</v>
      </c>
      <c r="G62" s="16">
        <v>0</v>
      </c>
      <c r="H62" s="16">
        <v>353268896.83999997</v>
      </c>
      <c r="I62" s="16">
        <v>285912322.63999999</v>
      </c>
      <c r="J62" s="16">
        <v>267010138.99000013</v>
      </c>
      <c r="K62" s="16">
        <v>937128810.24000001</v>
      </c>
      <c r="L62" s="16">
        <v>0</v>
      </c>
      <c r="M62" s="16">
        <v>0</v>
      </c>
      <c r="N62" s="18">
        <f t="shared" si="1"/>
        <v>8645138673.7472305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1072350590.91</v>
      </c>
      <c r="C63" s="16">
        <v>0</v>
      </c>
      <c r="D63" s="16">
        <v>19348276.391541563</v>
      </c>
      <c r="E63" s="16">
        <v>3073116.98</v>
      </c>
      <c r="F63" s="16">
        <v>3059640.4938506861</v>
      </c>
      <c r="G63" s="16">
        <v>2017323.66</v>
      </c>
      <c r="H63" s="16">
        <v>57442085.350000001</v>
      </c>
      <c r="I63" s="16">
        <v>10075490.08</v>
      </c>
      <c r="J63" s="16">
        <v>35830589.880000003</v>
      </c>
      <c r="K63" s="16">
        <v>146603825.28</v>
      </c>
      <c r="L63" s="16">
        <v>0</v>
      </c>
      <c r="M63" s="16">
        <v>0</v>
      </c>
      <c r="N63" s="18">
        <f t="shared" si="1"/>
        <v>1349800939.0253923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1625081220.0800002</v>
      </c>
      <c r="C64" s="16">
        <v>0</v>
      </c>
      <c r="D64" s="16">
        <v>41977531.683381923</v>
      </c>
      <c r="E64" s="16">
        <v>4657119.3600000003</v>
      </c>
      <c r="F64" s="16">
        <v>5600029.4323539939</v>
      </c>
      <c r="G64" s="16">
        <v>3143271.74</v>
      </c>
      <c r="H64" s="16">
        <v>87049939.579999998</v>
      </c>
      <c r="I64" s="16">
        <v>18441068.84</v>
      </c>
      <c r="J64" s="16">
        <v>75955923.800000027</v>
      </c>
      <c r="K64" s="16">
        <v>238279720.31999999</v>
      </c>
      <c r="L64" s="16">
        <v>0</v>
      </c>
      <c r="M64" s="16">
        <v>0</v>
      </c>
      <c r="N64" s="18">
        <f t="shared" si="1"/>
        <v>2100185824.8357358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898284617.13</v>
      </c>
      <c r="C65" s="16">
        <v>0</v>
      </c>
      <c r="D65" s="16">
        <v>19000800.519732334</v>
      </c>
      <c r="E65" s="16">
        <v>2574282.83</v>
      </c>
      <c r="F65" s="16">
        <v>1219255.2343916267</v>
      </c>
      <c r="G65" s="16">
        <v>1047757.25</v>
      </c>
      <c r="H65" s="16">
        <v>48117977.539999999</v>
      </c>
      <c r="I65" s="16">
        <v>4015044.92</v>
      </c>
      <c r="J65" s="16">
        <v>45304637.969999999</v>
      </c>
      <c r="K65" s="16">
        <v>132945799.68000001</v>
      </c>
      <c r="L65" s="16">
        <v>0</v>
      </c>
      <c r="M65" s="16">
        <v>0</v>
      </c>
      <c r="N65" s="18">
        <f t="shared" si="1"/>
        <v>1152510173.0741239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515081678.87</v>
      </c>
      <c r="C66" s="16">
        <v>0</v>
      </c>
      <c r="D66" s="16">
        <v>11228801.298025904</v>
      </c>
      <c r="E66" s="16">
        <v>1476108.9</v>
      </c>
      <c r="F66" s="16">
        <v>1192964.0163993544</v>
      </c>
      <c r="G66" s="16">
        <v>953928.24</v>
      </c>
      <c r="H66" s="16">
        <v>27591131.120000001</v>
      </c>
      <c r="I66" s="16">
        <v>3928467.13</v>
      </c>
      <c r="J66" s="16">
        <v>20110845.450000007</v>
      </c>
      <c r="K66" s="16">
        <v>74587034.879999995</v>
      </c>
      <c r="L66" s="16">
        <v>0</v>
      </c>
      <c r="M66" s="16">
        <v>0</v>
      </c>
      <c r="N66" s="18">
        <f t="shared" si="1"/>
        <v>656150959.90442526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2296854499.9499998</v>
      </c>
      <c r="C67" s="16">
        <v>0</v>
      </c>
      <c r="D67" s="16">
        <v>23428419.090000004</v>
      </c>
      <c r="E67" s="16">
        <v>11842693.49</v>
      </c>
      <c r="F67" s="16">
        <v>32055567.537077971</v>
      </c>
      <c r="G67" s="16">
        <v>19810612.286833137</v>
      </c>
      <c r="H67" s="16">
        <v>123034493.89</v>
      </c>
      <c r="I67" s="16">
        <v>105559968.02</v>
      </c>
      <c r="J67" s="16">
        <v>129576276.57000001</v>
      </c>
      <c r="K67" s="16">
        <v>345903425.27999997</v>
      </c>
      <c r="L67" s="16">
        <v>0</v>
      </c>
      <c r="M67" s="16">
        <v>0</v>
      </c>
      <c r="N67" s="18">
        <f t="shared" si="1"/>
        <v>3088065956.1139107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1455284991.72</v>
      </c>
      <c r="C68" s="16">
        <v>0</v>
      </c>
      <c r="D68" s="16">
        <v>35203492.490000002</v>
      </c>
      <c r="E68" s="16">
        <v>4170521.34</v>
      </c>
      <c r="F68" s="16">
        <v>28269632.146190763</v>
      </c>
      <c r="G68" s="16">
        <v>19651263.603552688</v>
      </c>
      <c r="H68" s="16">
        <v>77954547.150000006</v>
      </c>
      <c r="I68" s="16">
        <v>93092766.540000007</v>
      </c>
      <c r="J68" s="16">
        <v>108823419.60000004</v>
      </c>
      <c r="K68" s="16">
        <v>219162326.40000001</v>
      </c>
      <c r="L68" s="16">
        <v>0</v>
      </c>
      <c r="M68" s="16">
        <v>0</v>
      </c>
      <c r="N68" s="18">
        <f t="shared" si="1"/>
        <v>2041612960.9897437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5018535242.71</v>
      </c>
      <c r="C69" s="16">
        <v>0</v>
      </c>
      <c r="D69" s="16">
        <v>29569534.681544509</v>
      </c>
      <c r="E69" s="16">
        <v>14381999.710000001</v>
      </c>
      <c r="F69" s="16">
        <v>83431893.896227032</v>
      </c>
      <c r="G69" s="16">
        <v>18212936.113560762</v>
      </c>
      <c r="H69" s="16">
        <v>268825449.60000002</v>
      </c>
      <c r="I69" s="16">
        <v>274743787.99000001</v>
      </c>
      <c r="J69" s="16">
        <v>254121648.59000009</v>
      </c>
      <c r="K69" s="16">
        <v>687419377.91999996</v>
      </c>
      <c r="L69" s="16">
        <v>0</v>
      </c>
      <c r="M69" s="16">
        <v>0</v>
      </c>
      <c r="N69" s="18">
        <f t="shared" si="1"/>
        <v>6649241871.2113323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1050625911.36</v>
      </c>
      <c r="C70" s="16">
        <v>0</v>
      </c>
      <c r="D70" s="16">
        <v>46858240.307123274</v>
      </c>
      <c r="E70" s="16">
        <v>3010858.91</v>
      </c>
      <c r="F70" s="16">
        <v>18528735.880053885</v>
      </c>
      <c r="G70" s="16">
        <v>9257795.3900000006</v>
      </c>
      <c r="H70" s="16">
        <v>56278369.950000003</v>
      </c>
      <c r="I70" s="16">
        <v>61015696.090000004</v>
      </c>
      <c r="J70" s="16">
        <v>108017238.39000003</v>
      </c>
      <c r="K70" s="16">
        <v>150123024</v>
      </c>
      <c r="L70" s="16">
        <v>0</v>
      </c>
      <c r="M70" s="16">
        <v>0</v>
      </c>
      <c r="N70" s="18">
        <f t="shared" si="1"/>
        <v>1503715870.2771776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4070410075.1099997</v>
      </c>
      <c r="C71" s="16">
        <v>0</v>
      </c>
      <c r="D71" s="16">
        <v>20570945.089999996</v>
      </c>
      <c r="E71" s="16">
        <v>20987232.27</v>
      </c>
      <c r="F71" s="16">
        <v>11666727.984070821</v>
      </c>
      <c r="G71" s="16">
        <v>8991946.5299999993</v>
      </c>
      <c r="H71" s="16">
        <v>218037687.41</v>
      </c>
      <c r="I71" s="16">
        <v>38418893.420000002</v>
      </c>
      <c r="J71" s="16">
        <v>90276363.640000015</v>
      </c>
      <c r="K71" s="16">
        <v>596723172.48000002</v>
      </c>
      <c r="L71" s="16">
        <v>0</v>
      </c>
      <c r="M71" s="16">
        <v>0</v>
      </c>
      <c r="N71" s="18">
        <f t="shared" si="1"/>
        <v>5076083043.9340706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18963120987.540001</v>
      </c>
      <c r="C72" s="16">
        <v>0</v>
      </c>
      <c r="D72" s="16">
        <v>148121962.43085667</v>
      </c>
      <c r="E72" s="16">
        <v>97774773.900000006</v>
      </c>
      <c r="F72" s="16">
        <v>339468920.31397057</v>
      </c>
      <c r="G72" s="16">
        <v>0</v>
      </c>
      <c r="H72" s="16">
        <v>1015788328.42</v>
      </c>
      <c r="I72" s="16">
        <v>1117881576.4000001</v>
      </c>
      <c r="J72" s="16">
        <v>1322636735.0599999</v>
      </c>
      <c r="K72" s="16">
        <v>2855814393.5999999</v>
      </c>
      <c r="L72" s="16">
        <v>0</v>
      </c>
      <c r="M72" s="16">
        <v>0</v>
      </c>
      <c r="N72" s="18">
        <f t="shared" ref="N72:N103" si="2">SUM(B72:M72)</f>
        <v>25860607677.664829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8205161722.8500004</v>
      </c>
      <c r="C73" s="16">
        <v>0</v>
      </c>
      <c r="D73" s="16">
        <v>246776623.64028126</v>
      </c>
      <c r="E73" s="16">
        <v>42306212.82</v>
      </c>
      <c r="F73" s="16">
        <v>126000662.22796488</v>
      </c>
      <c r="G73" s="16">
        <v>79649624.360988647</v>
      </c>
      <c r="H73" s="16">
        <v>439521928.72000003</v>
      </c>
      <c r="I73" s="16">
        <v>414924048.98000002</v>
      </c>
      <c r="J73" s="16">
        <v>576131416.65999985</v>
      </c>
      <c r="K73" s="16">
        <v>1142456382.72</v>
      </c>
      <c r="L73" s="16">
        <v>0</v>
      </c>
      <c r="M73" s="16">
        <v>0</v>
      </c>
      <c r="N73" s="18">
        <f t="shared" si="2"/>
        <v>11272928622.979233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4570829609.4400005</v>
      </c>
      <c r="C74" s="16">
        <v>0</v>
      </c>
      <c r="D74" s="16">
        <v>69842837.200000003</v>
      </c>
      <c r="E74" s="16">
        <v>23567419.719999999</v>
      </c>
      <c r="F74" s="16">
        <v>91480293.004111364</v>
      </c>
      <c r="G74" s="16">
        <v>142335709.05325752</v>
      </c>
      <c r="H74" s="16">
        <v>244843418.53</v>
      </c>
      <c r="I74" s="16">
        <v>301247413.33999997</v>
      </c>
      <c r="J74" s="16">
        <v>309064819.74000007</v>
      </c>
      <c r="K74" s="16">
        <v>688360648.32000005</v>
      </c>
      <c r="L74" s="16">
        <v>0</v>
      </c>
      <c r="M74" s="16">
        <v>0</v>
      </c>
      <c r="N74" s="18">
        <f t="shared" si="2"/>
        <v>6441572168.3473692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744358951.9599998</v>
      </c>
      <c r="C75" s="16">
        <v>0</v>
      </c>
      <c r="D75" s="16">
        <v>15288545.351169437</v>
      </c>
      <c r="E75" s="16">
        <v>2133166.2999999998</v>
      </c>
      <c r="F75" s="16">
        <v>1662919.5380112212</v>
      </c>
      <c r="G75" s="16">
        <v>1032119.08</v>
      </c>
      <c r="H75" s="16">
        <v>39872715.899999999</v>
      </c>
      <c r="I75" s="16">
        <v>5476045.0899999999</v>
      </c>
      <c r="J75" s="16">
        <v>34830117.710000001</v>
      </c>
      <c r="K75" s="16">
        <v>107689017.59999999</v>
      </c>
      <c r="L75" s="16">
        <v>0</v>
      </c>
      <c r="M75" s="16">
        <v>0</v>
      </c>
      <c r="N75" s="18">
        <f t="shared" si="2"/>
        <v>952343598.52918053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741619869.98000002</v>
      </c>
      <c r="C76" s="16">
        <v>0</v>
      </c>
      <c r="D76" s="16">
        <v>19800176.516637258</v>
      </c>
      <c r="E76" s="16">
        <v>2125316.7000000002</v>
      </c>
      <c r="F76" s="16">
        <v>2993912.4488700051</v>
      </c>
      <c r="G76" s="16">
        <v>2423916.02</v>
      </c>
      <c r="H76" s="16">
        <v>39725992.82</v>
      </c>
      <c r="I76" s="16">
        <v>9859045.6099999994</v>
      </c>
      <c r="J76" s="16">
        <v>51720812</v>
      </c>
      <c r="K76" s="16">
        <v>105168718.08</v>
      </c>
      <c r="L76" s="16">
        <v>0</v>
      </c>
      <c r="M76" s="16">
        <v>0</v>
      </c>
      <c r="N76" s="18">
        <f t="shared" si="2"/>
        <v>975437760.17550743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867805616.77999997</v>
      </c>
      <c r="C77" s="16">
        <v>0</v>
      </c>
      <c r="D77" s="16">
        <v>13284053.906503335</v>
      </c>
      <c r="E77" s="16">
        <v>2486936.83</v>
      </c>
      <c r="F77" s="16">
        <v>3516450.4064664165</v>
      </c>
      <c r="G77" s="16">
        <v>1548178.62</v>
      </c>
      <c r="H77" s="16">
        <v>46485323.670000002</v>
      </c>
      <c r="I77" s="16">
        <v>11579779.140000001</v>
      </c>
      <c r="J77" s="16">
        <v>35143632.719999984</v>
      </c>
      <c r="K77" s="16">
        <v>130690592.63999999</v>
      </c>
      <c r="L77" s="16">
        <v>0</v>
      </c>
      <c r="M77" s="16">
        <v>0</v>
      </c>
      <c r="N77" s="18">
        <f t="shared" si="2"/>
        <v>1112540564.7129698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336933935.89999998</v>
      </c>
      <c r="C78" s="16">
        <v>0</v>
      </c>
      <c r="D78" s="16">
        <v>5418272.8170058448</v>
      </c>
      <c r="E78" s="16">
        <v>965577.31</v>
      </c>
      <c r="F78" s="16">
        <v>1248832.8546329329</v>
      </c>
      <c r="G78" s="16">
        <v>547335.88</v>
      </c>
      <c r="H78" s="16">
        <v>18048377.149999999</v>
      </c>
      <c r="I78" s="16">
        <v>4112444.93</v>
      </c>
      <c r="J78" s="16">
        <v>15071266.830000004</v>
      </c>
      <c r="K78" s="16">
        <v>50740237.439999998</v>
      </c>
      <c r="L78" s="16">
        <v>0</v>
      </c>
      <c r="M78" s="16">
        <v>0</v>
      </c>
      <c r="N78" s="18">
        <f t="shared" si="2"/>
        <v>433086281.11163872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1637460796.4399998</v>
      </c>
      <c r="C79" s="16">
        <v>0</v>
      </c>
      <c r="D79" s="16">
        <v>43180328.932773486</v>
      </c>
      <c r="E79" s="16">
        <v>4692596.46</v>
      </c>
      <c r="F79" s="16">
        <v>6277028.2956550047</v>
      </c>
      <c r="G79" s="16">
        <v>4065923.65</v>
      </c>
      <c r="H79" s="16">
        <v>87713070.359999999</v>
      </c>
      <c r="I79" s="16">
        <v>20670446.879999999</v>
      </c>
      <c r="J79" s="16">
        <v>81641772.030000001</v>
      </c>
      <c r="K79" s="16">
        <v>222089869.44</v>
      </c>
      <c r="L79" s="16">
        <v>0</v>
      </c>
      <c r="M79" s="16">
        <v>0</v>
      </c>
      <c r="N79" s="18">
        <f t="shared" si="2"/>
        <v>2107791832.4884286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870464137.5</v>
      </c>
      <c r="C80" s="16">
        <v>0</v>
      </c>
      <c r="D80" s="16">
        <v>21966508.961754896</v>
      </c>
      <c r="E80" s="16">
        <v>2494555.56</v>
      </c>
      <c r="F80" s="16">
        <v>2030996.5899030331</v>
      </c>
      <c r="G80" s="16">
        <v>1626369.46</v>
      </c>
      <c r="H80" s="16">
        <v>46627731.369999997</v>
      </c>
      <c r="I80" s="16">
        <v>6688134.1200000001</v>
      </c>
      <c r="J80" s="16">
        <v>52763864.119999982</v>
      </c>
      <c r="K80" s="16">
        <v>127340438.40000001</v>
      </c>
      <c r="L80" s="16">
        <v>0</v>
      </c>
      <c r="M80" s="16">
        <v>0</v>
      </c>
      <c r="N80" s="18">
        <f t="shared" si="2"/>
        <v>1132002736.0816579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485515705.86000001</v>
      </c>
      <c r="C81" s="16">
        <v>0</v>
      </c>
      <c r="D81" s="16">
        <v>22616450.629863132</v>
      </c>
      <c r="E81" s="16">
        <v>1391379.44</v>
      </c>
      <c r="F81" s="16">
        <v>5274675.6096996255</v>
      </c>
      <c r="G81" s="16">
        <v>3721883.96</v>
      </c>
      <c r="H81" s="16">
        <v>26007384.949999999</v>
      </c>
      <c r="I81" s="16">
        <v>17369668.719999999</v>
      </c>
      <c r="J81" s="16">
        <v>61689734.279999986</v>
      </c>
      <c r="K81" s="16">
        <v>68121083.519999996</v>
      </c>
      <c r="L81" s="16">
        <v>0</v>
      </c>
      <c r="M81" s="16">
        <v>0</v>
      </c>
      <c r="N81" s="18">
        <f t="shared" si="2"/>
        <v>691707966.96956277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7782859732.1900005</v>
      </c>
      <c r="C82" s="16">
        <v>0</v>
      </c>
      <c r="D82" s="16">
        <v>93278675.110000014</v>
      </c>
      <c r="E82" s="16">
        <v>40128803.219999999</v>
      </c>
      <c r="F82" s="16">
        <v>152019108.83356732</v>
      </c>
      <c r="G82" s="16">
        <v>146166992.41748083</v>
      </c>
      <c r="H82" s="16">
        <v>416900682.26999998</v>
      </c>
      <c r="I82" s="16">
        <v>500603592.42000002</v>
      </c>
      <c r="J82" s="16">
        <v>512077546.57999992</v>
      </c>
      <c r="K82" s="16">
        <v>1081684892.1600001</v>
      </c>
      <c r="L82" s="16">
        <v>0</v>
      </c>
      <c r="M82" s="16">
        <v>0</v>
      </c>
      <c r="N82" s="18">
        <f t="shared" si="2"/>
        <v>10725720025.201048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2179745318.8900003</v>
      </c>
      <c r="C83" s="16">
        <v>0</v>
      </c>
      <c r="D83" s="16">
        <v>43845107.019385085</v>
      </c>
      <c r="E83" s="16">
        <v>11238872.859999999</v>
      </c>
      <c r="F83" s="16">
        <v>16832952.319552325</v>
      </c>
      <c r="G83" s="16">
        <v>9898960.2699999996</v>
      </c>
      <c r="H83" s="16">
        <v>116761363.04000001</v>
      </c>
      <c r="I83" s="16">
        <v>55431428.770000003</v>
      </c>
      <c r="J83" s="16">
        <v>110829725.55000004</v>
      </c>
      <c r="K83" s="16">
        <v>328265170.56</v>
      </c>
      <c r="L83" s="16">
        <v>0</v>
      </c>
      <c r="M83" s="16">
        <v>0</v>
      </c>
      <c r="N83" s="18">
        <f t="shared" si="2"/>
        <v>2872848899.2789378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837353470.17000008</v>
      </c>
      <c r="C84" s="16">
        <v>0</v>
      </c>
      <c r="D84" s="16">
        <v>13954931.967703708</v>
      </c>
      <c r="E84" s="16">
        <v>2399667.79</v>
      </c>
      <c r="F84" s="16">
        <v>3378421.5120069874</v>
      </c>
      <c r="G84" s="16">
        <v>859561.64948512788</v>
      </c>
      <c r="H84" s="16">
        <v>44854108.270000003</v>
      </c>
      <c r="I84" s="16">
        <v>11125245.76</v>
      </c>
      <c r="J84" s="16">
        <v>45574942.039999992</v>
      </c>
      <c r="K84" s="16">
        <v>113586364.8</v>
      </c>
      <c r="L84" s="16">
        <v>0</v>
      </c>
      <c r="M84" s="16">
        <v>0</v>
      </c>
      <c r="N84" s="18">
        <f t="shared" si="2"/>
        <v>1073086713.9591957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691833027.13999987</v>
      </c>
      <c r="C85" s="16">
        <v>0</v>
      </c>
      <c r="D85" s="16">
        <v>12074306.955572283</v>
      </c>
      <c r="E85" s="16">
        <v>1982638.74</v>
      </c>
      <c r="F85" s="16">
        <v>1597191.4930305406</v>
      </c>
      <c r="G85" s="16">
        <v>1016480.91</v>
      </c>
      <c r="H85" s="16">
        <v>37059085.090000004</v>
      </c>
      <c r="I85" s="16">
        <v>5259600.62</v>
      </c>
      <c r="J85" s="16">
        <v>26866713.070000004</v>
      </c>
      <c r="K85" s="16">
        <v>101207698.56</v>
      </c>
      <c r="L85" s="16">
        <v>0</v>
      </c>
      <c r="M85" s="16">
        <v>0</v>
      </c>
      <c r="N85" s="18">
        <f t="shared" si="2"/>
        <v>878896742.57860279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8894631620.5699997</v>
      </c>
      <c r="C86" s="16">
        <v>0</v>
      </c>
      <c r="D86" s="16">
        <v>100306105.74999999</v>
      </c>
      <c r="E86" s="16">
        <v>45861153.140000001</v>
      </c>
      <c r="F86" s="16">
        <v>95381252.473714769</v>
      </c>
      <c r="G86" s="16">
        <v>36215172.227429114</v>
      </c>
      <c r="H86" s="16">
        <v>476454429.19</v>
      </c>
      <c r="I86" s="16">
        <v>314093392.63</v>
      </c>
      <c r="J86" s="16">
        <v>226075154.2700001</v>
      </c>
      <c r="K86" s="16">
        <v>1279659029.76</v>
      </c>
      <c r="L86" s="16">
        <v>0</v>
      </c>
      <c r="M86" s="16">
        <v>0</v>
      </c>
      <c r="N86" s="18">
        <f t="shared" si="2"/>
        <v>11468677310.011143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1316263154.9200001</v>
      </c>
      <c r="C87" s="16">
        <v>0</v>
      </c>
      <c r="D87" s="16">
        <v>13321349.906164218</v>
      </c>
      <c r="E87" s="16">
        <v>3772115.85</v>
      </c>
      <c r="F87" s="16">
        <v>2707995.4532040441</v>
      </c>
      <c r="G87" s="16">
        <v>2955613.73</v>
      </c>
      <c r="H87" s="16">
        <v>70507631.670000002</v>
      </c>
      <c r="I87" s="16">
        <v>8917512.1600000001</v>
      </c>
      <c r="J87" s="16">
        <v>51119960.939999975</v>
      </c>
      <c r="K87" s="16">
        <v>178384187.52000001</v>
      </c>
      <c r="L87" s="16">
        <v>0</v>
      </c>
      <c r="M87" s="16">
        <v>0</v>
      </c>
      <c r="N87" s="18">
        <f t="shared" si="2"/>
        <v>1647949522.1493685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1054841949.3</v>
      </c>
      <c r="C88" s="16">
        <v>0</v>
      </c>
      <c r="D88" s="16">
        <v>10138259.490720853</v>
      </c>
      <c r="E88" s="16">
        <v>3022941.13</v>
      </c>
      <c r="F88" s="16">
        <v>13290210.695093634</v>
      </c>
      <c r="G88" s="16">
        <v>5973780.1299999999</v>
      </c>
      <c r="H88" s="16">
        <v>56504208.420000002</v>
      </c>
      <c r="I88" s="16">
        <v>43765071.829999998</v>
      </c>
      <c r="J88" s="16">
        <v>77817142.710000038</v>
      </c>
      <c r="K88" s="16">
        <v>144456192</v>
      </c>
      <c r="L88" s="16">
        <v>0</v>
      </c>
      <c r="M88" s="16">
        <v>0</v>
      </c>
      <c r="N88" s="18">
        <f t="shared" si="2"/>
        <v>1409809755.7058146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1760719485.0699999</v>
      </c>
      <c r="C89" s="16">
        <v>0</v>
      </c>
      <c r="D89" s="16">
        <v>24240226.749367103</v>
      </c>
      <c r="E89" s="16">
        <v>5045828.3</v>
      </c>
      <c r="F89" s="16">
        <v>11177054.04896475</v>
      </c>
      <c r="G89" s="16">
        <v>6505477.8399999999</v>
      </c>
      <c r="H89" s="16">
        <v>94315608.900000006</v>
      </c>
      <c r="I89" s="16">
        <v>36806382.119999997</v>
      </c>
      <c r="J89" s="16">
        <v>79913813.039999962</v>
      </c>
      <c r="K89" s="16">
        <v>250489342.08000001</v>
      </c>
      <c r="L89" s="16">
        <v>0</v>
      </c>
      <c r="M89" s="16">
        <v>0</v>
      </c>
      <c r="N89" s="18">
        <f t="shared" si="2"/>
        <v>2269213218.1483316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8242783819.3400021</v>
      </c>
      <c r="C90" s="16">
        <v>0</v>
      </c>
      <c r="D90" s="16">
        <v>45490236.798680738</v>
      </c>
      <c r="E90" s="16">
        <v>42500194.18</v>
      </c>
      <c r="F90" s="16">
        <v>151614881.35693616</v>
      </c>
      <c r="G90" s="16">
        <v>51961596.232024878</v>
      </c>
      <c r="H90" s="16">
        <v>441537213.36000001</v>
      </c>
      <c r="I90" s="16">
        <v>499272458.93000001</v>
      </c>
      <c r="J90" s="16">
        <v>465847661.04999983</v>
      </c>
      <c r="K90" s="16">
        <v>1241347403.52</v>
      </c>
      <c r="L90" s="16">
        <v>0</v>
      </c>
      <c r="M90" s="16">
        <v>0</v>
      </c>
      <c r="N90" s="18">
        <f t="shared" si="2"/>
        <v>11182355464.767645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358927152.89999998</v>
      </c>
      <c r="C91" s="16">
        <v>0</v>
      </c>
      <c r="D91" s="16">
        <v>18427060.616762634</v>
      </c>
      <c r="E91" s="16">
        <v>1028604.95</v>
      </c>
      <c r="F91" s="16">
        <v>3519736.8087154506</v>
      </c>
      <c r="G91" s="16">
        <v>2220619.84</v>
      </c>
      <c r="H91" s="16">
        <v>19226477.170000002</v>
      </c>
      <c r="I91" s="16">
        <v>11590601.369999999</v>
      </c>
      <c r="J91" s="16">
        <v>35926631.460000008</v>
      </c>
      <c r="K91" s="16">
        <v>49641448.32</v>
      </c>
      <c r="L91" s="16">
        <v>0</v>
      </c>
      <c r="M91" s="16">
        <v>0</v>
      </c>
      <c r="N91" s="18">
        <f t="shared" si="2"/>
        <v>500508333.43547803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535060864.98999995</v>
      </c>
      <c r="C92" s="16">
        <v>0</v>
      </c>
      <c r="D92" s="16">
        <v>1116052.1100000001</v>
      </c>
      <c r="E92" s="16">
        <v>1533364.78</v>
      </c>
      <c r="F92" s="16">
        <v>752586.11502879381</v>
      </c>
      <c r="G92" s="16">
        <v>750632.06</v>
      </c>
      <c r="H92" s="16">
        <v>28661346.52</v>
      </c>
      <c r="I92" s="16">
        <v>2478289.1800000002</v>
      </c>
      <c r="J92" s="16">
        <v>13969706.680000003</v>
      </c>
      <c r="K92" s="16">
        <v>74321942.400000006</v>
      </c>
      <c r="L92" s="16">
        <v>0</v>
      </c>
      <c r="M92" s="16">
        <v>0</v>
      </c>
      <c r="N92" s="18">
        <f t="shared" si="2"/>
        <v>658644784.83502853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5546882671.5900002</v>
      </c>
      <c r="C93" s="16">
        <v>0</v>
      </c>
      <c r="D93" s="16">
        <v>46578649.154932305</v>
      </c>
      <c r="E93" s="16">
        <v>28599996.77</v>
      </c>
      <c r="F93" s="16">
        <v>122878580.09138255</v>
      </c>
      <c r="G93" s="16">
        <v>28586963.307396069</v>
      </c>
      <c r="H93" s="16">
        <v>297127180.74000001</v>
      </c>
      <c r="I93" s="16">
        <v>404642936.64999998</v>
      </c>
      <c r="J93" s="16">
        <v>480910411.88999999</v>
      </c>
      <c r="K93" s="16">
        <v>704243145.60000002</v>
      </c>
      <c r="L93" s="16">
        <v>0</v>
      </c>
      <c r="M93" s="16">
        <v>0</v>
      </c>
      <c r="N93" s="18">
        <f t="shared" si="2"/>
        <v>7660450535.7937117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3140438039.0299997</v>
      </c>
      <c r="C94" s="16">
        <v>0</v>
      </c>
      <c r="D94" s="16">
        <v>79694228.900000006</v>
      </c>
      <c r="E94" s="16">
        <v>16192251.23</v>
      </c>
      <c r="F94" s="16">
        <v>55563202.824418418</v>
      </c>
      <c r="G94" s="16">
        <v>36072169.313281849</v>
      </c>
      <c r="H94" s="16">
        <v>168222325.24000001</v>
      </c>
      <c r="I94" s="16">
        <v>182971332.71000001</v>
      </c>
      <c r="J94" s="16">
        <v>227127353.18000001</v>
      </c>
      <c r="K94" s="16">
        <v>472944193.92000002</v>
      </c>
      <c r="L94" s="16">
        <v>0</v>
      </c>
      <c r="M94" s="16">
        <v>0</v>
      </c>
      <c r="N94" s="18">
        <f t="shared" si="2"/>
        <v>4379225096.3477001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584659731.63999999</v>
      </c>
      <c r="C95" s="16">
        <v>0</v>
      </c>
      <c r="D95" s="16">
        <v>14731670.352156486</v>
      </c>
      <c r="E95" s="16">
        <v>1675504.04</v>
      </c>
      <c r="F95" s="16">
        <v>2724427.4644492143</v>
      </c>
      <c r="G95" s="16">
        <v>1782751.14</v>
      </c>
      <c r="H95" s="16">
        <v>31318185.02</v>
      </c>
      <c r="I95" s="16">
        <v>8971623.2799999993</v>
      </c>
      <c r="J95" s="16">
        <v>36302754.700000003</v>
      </c>
      <c r="K95" s="16">
        <v>83684701.440000013</v>
      </c>
      <c r="L95" s="16">
        <v>0</v>
      </c>
      <c r="M95" s="16">
        <v>0</v>
      </c>
      <c r="N95" s="18">
        <f t="shared" si="2"/>
        <v>765851349.07660568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1823610955.3699999</v>
      </c>
      <c r="C96" s="16">
        <v>0</v>
      </c>
      <c r="D96" s="16">
        <v>49201095.850385688</v>
      </c>
      <c r="E96" s="16">
        <v>9402626.7599999998</v>
      </c>
      <c r="F96" s="16">
        <v>15268624.849012125</v>
      </c>
      <c r="G96" s="16">
        <v>9117051.8800000008</v>
      </c>
      <c r="H96" s="16">
        <v>97684485.870000005</v>
      </c>
      <c r="I96" s="16">
        <v>50280050.380000003</v>
      </c>
      <c r="J96" s="16">
        <v>123021796.60000004</v>
      </c>
      <c r="K96" s="16">
        <v>274628125.44</v>
      </c>
      <c r="L96" s="16">
        <v>0</v>
      </c>
      <c r="M96" s="16">
        <v>0</v>
      </c>
      <c r="N96" s="18">
        <f t="shared" si="2"/>
        <v>2452214812.9993978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948286289.94000006</v>
      </c>
      <c r="C97" s="16">
        <v>0</v>
      </c>
      <c r="D97" s="16">
        <v>48786707.665630765</v>
      </c>
      <c r="E97" s="16">
        <v>2717576.44</v>
      </c>
      <c r="F97" s="16">
        <v>7049332.8241780028</v>
      </c>
      <c r="G97" s="16">
        <v>4691450.37</v>
      </c>
      <c r="H97" s="16">
        <v>50796392.960000001</v>
      </c>
      <c r="I97" s="16">
        <v>23213669.41</v>
      </c>
      <c r="J97" s="16">
        <v>83607548.320000008</v>
      </c>
      <c r="K97" s="16">
        <v>133356885.11999997</v>
      </c>
      <c r="L97" s="16">
        <v>0</v>
      </c>
      <c r="M97" s="16">
        <v>0</v>
      </c>
      <c r="N97" s="18">
        <f t="shared" si="2"/>
        <v>1302505853.0498087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2669530770.25</v>
      </c>
      <c r="C98" s="16">
        <v>0</v>
      </c>
      <c r="D98" s="16">
        <v>56401459.941155002</v>
      </c>
      <c r="E98" s="16">
        <v>13764230.460000001</v>
      </c>
      <c r="F98" s="16">
        <v>16392574.418181762</v>
      </c>
      <c r="G98" s="16">
        <v>11228204.539999999</v>
      </c>
      <c r="H98" s="16">
        <v>142997463.37</v>
      </c>
      <c r="I98" s="16">
        <v>53981250.82</v>
      </c>
      <c r="J98" s="16">
        <v>161198386.39999995</v>
      </c>
      <c r="K98" s="16">
        <v>370380297.60000002</v>
      </c>
      <c r="L98" s="16">
        <v>0</v>
      </c>
      <c r="M98" s="16">
        <v>0</v>
      </c>
      <c r="N98" s="18">
        <f t="shared" si="2"/>
        <v>3495874637.7993369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1886207034.51</v>
      </c>
      <c r="C99" s="16">
        <v>0</v>
      </c>
      <c r="D99" s="16">
        <v>28910373.257911619</v>
      </c>
      <c r="E99" s="16">
        <v>5405447.5499999998</v>
      </c>
      <c r="F99" s="16">
        <v>6076557.7584639303</v>
      </c>
      <c r="G99" s="16">
        <v>3362206.1</v>
      </c>
      <c r="H99" s="16">
        <v>101037539.76000001</v>
      </c>
      <c r="I99" s="16">
        <v>20010291.25</v>
      </c>
      <c r="J99" s="16">
        <v>105701359.92999999</v>
      </c>
      <c r="K99" s="16">
        <v>265680293.75999999</v>
      </c>
      <c r="L99" s="16">
        <v>0</v>
      </c>
      <c r="M99" s="16">
        <v>0</v>
      </c>
      <c r="N99" s="18">
        <f t="shared" si="2"/>
        <v>2422391103.8763752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2057856171.2500002</v>
      </c>
      <c r="C100" s="16">
        <v>0</v>
      </c>
      <c r="D100" s="16">
        <v>40394856.494973868</v>
      </c>
      <c r="E100" s="16">
        <v>5897355.5899999999</v>
      </c>
      <c r="F100" s="16">
        <v>6822571.0689946553</v>
      </c>
      <c r="G100" s="16">
        <v>4003370.98</v>
      </c>
      <c r="H100" s="16">
        <v>110232186.03</v>
      </c>
      <c r="I100" s="16">
        <v>22466935.989999998</v>
      </c>
      <c r="J100" s="16">
        <v>81740021.600000009</v>
      </c>
      <c r="K100" s="16">
        <v>298594022.39999998</v>
      </c>
      <c r="L100" s="16">
        <v>0</v>
      </c>
      <c r="M100" s="16">
        <v>0</v>
      </c>
      <c r="N100" s="18">
        <f t="shared" si="2"/>
        <v>2628007491.4039688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421711208.19999999</v>
      </c>
      <c r="C101" s="16">
        <v>0</v>
      </c>
      <c r="D101" s="16">
        <v>7604762.1672536526</v>
      </c>
      <c r="E101" s="16">
        <v>1208530.02</v>
      </c>
      <c r="F101" s="16">
        <v>815027.75776044047</v>
      </c>
      <c r="G101" s="16">
        <v>641164.88</v>
      </c>
      <c r="H101" s="16">
        <v>22589600.289999999</v>
      </c>
      <c r="I101" s="16">
        <v>2683911.4300000002</v>
      </c>
      <c r="J101" s="16">
        <v>18864670.980000004</v>
      </c>
      <c r="K101" s="16">
        <v>59100255.359999999</v>
      </c>
      <c r="L101" s="16">
        <v>0</v>
      </c>
      <c r="M101" s="16">
        <v>0</v>
      </c>
      <c r="N101" s="18">
        <f t="shared" si="2"/>
        <v>535219131.08501416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1158309428</v>
      </c>
      <c r="C102" s="16">
        <v>0</v>
      </c>
      <c r="D102" s="16">
        <v>49464120.598971993</v>
      </c>
      <c r="E102" s="16">
        <v>5972299.7300000004</v>
      </c>
      <c r="F102" s="16">
        <v>15781303.599861434</v>
      </c>
      <c r="G102" s="16">
        <v>10289914.470000001</v>
      </c>
      <c r="H102" s="16">
        <v>62046600.799999997</v>
      </c>
      <c r="I102" s="16">
        <v>51968317.25</v>
      </c>
      <c r="J102" s="16">
        <v>121496959.76999998</v>
      </c>
      <c r="K102" s="16">
        <v>166239878.39999998</v>
      </c>
      <c r="L102" s="16">
        <v>0</v>
      </c>
      <c r="M102" s="16">
        <v>0</v>
      </c>
      <c r="N102" s="18">
        <f t="shared" si="2"/>
        <v>1641568822.6188335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423483555.37</v>
      </c>
      <c r="C103" s="16">
        <v>0</v>
      </c>
      <c r="D103" s="16">
        <v>13026564.904021714</v>
      </c>
      <c r="E103" s="16">
        <v>1213609.17</v>
      </c>
      <c r="F103" s="16">
        <v>391081.86763505009</v>
      </c>
      <c r="G103" s="16">
        <v>406592.36</v>
      </c>
      <c r="H103" s="16">
        <v>22684538.75</v>
      </c>
      <c r="I103" s="16">
        <v>1287844.6000000001</v>
      </c>
      <c r="J103" s="16">
        <v>26667060.120000005</v>
      </c>
      <c r="K103" s="16">
        <v>58996523.520000003</v>
      </c>
      <c r="L103" s="16">
        <v>0</v>
      </c>
      <c r="M103" s="16">
        <v>0</v>
      </c>
      <c r="N103" s="18">
        <f t="shared" si="2"/>
        <v>548157370.66165686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6268684477.9899998</v>
      </c>
      <c r="C104" s="16">
        <v>0</v>
      </c>
      <c r="D104" s="16">
        <v>63515016.068184704</v>
      </c>
      <c r="E104" s="16">
        <v>32321641.989999998</v>
      </c>
      <c r="F104" s="16">
        <v>80145491.647193</v>
      </c>
      <c r="G104" s="16">
        <v>19627417.079842508</v>
      </c>
      <c r="H104" s="16">
        <v>335791588.93000001</v>
      </c>
      <c r="I104" s="16">
        <v>263921564.49000001</v>
      </c>
      <c r="J104" s="16">
        <v>295055529.40999985</v>
      </c>
      <c r="K104" s="16">
        <v>820691740.80000019</v>
      </c>
      <c r="L104" s="16">
        <v>0</v>
      </c>
      <c r="M104" s="16">
        <v>0</v>
      </c>
      <c r="N104" s="18">
        <f t="shared" ref="N104:N135" si="3">SUM(B104:M104)</f>
        <v>8179754468.40522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1114510970.25</v>
      </c>
      <c r="C105" s="16">
        <v>0</v>
      </c>
      <c r="D105" s="16">
        <v>15817183.239999998</v>
      </c>
      <c r="E105" s="16">
        <v>5746472.7599999998</v>
      </c>
      <c r="F105" s="16">
        <v>3454008.76373477</v>
      </c>
      <c r="G105" s="16">
        <v>3518587.77</v>
      </c>
      <c r="H105" s="16">
        <v>59700470</v>
      </c>
      <c r="I105" s="16">
        <v>11374156.9</v>
      </c>
      <c r="J105" s="16">
        <v>38530319.070000008</v>
      </c>
      <c r="K105" s="16">
        <v>155167464.96000001</v>
      </c>
      <c r="L105" s="16">
        <v>0</v>
      </c>
      <c r="M105" s="16">
        <v>0</v>
      </c>
      <c r="N105" s="18">
        <f t="shared" si="3"/>
        <v>1407819633.7137349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1144452895.72</v>
      </c>
      <c r="C106" s="16">
        <v>0</v>
      </c>
      <c r="D106" s="16">
        <v>8919958.2000000011</v>
      </c>
      <c r="E106" s="16">
        <v>3279746.07</v>
      </c>
      <c r="F106" s="16">
        <v>24473837.548556451</v>
      </c>
      <c r="G106" s="16">
        <v>8689866.6792247631</v>
      </c>
      <c r="H106" s="16">
        <v>61304354.630000003</v>
      </c>
      <c r="I106" s="16">
        <v>80593098.400000006</v>
      </c>
      <c r="J106" s="16">
        <v>101264997.87000005</v>
      </c>
      <c r="K106" s="16">
        <v>148056071.03999999</v>
      </c>
      <c r="L106" s="16">
        <v>0</v>
      </c>
      <c r="M106" s="16">
        <v>0</v>
      </c>
      <c r="N106" s="18">
        <f t="shared" si="3"/>
        <v>1581034826.1577816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1586196997.6299999</v>
      </c>
      <c r="C107" s="16">
        <v>0</v>
      </c>
      <c r="D107" s="16">
        <v>19687627.215344526</v>
      </c>
      <c r="E107" s="16">
        <v>4545685.88</v>
      </c>
      <c r="F107" s="16">
        <v>1360570.5311000901</v>
      </c>
      <c r="G107" s="16">
        <v>1485625.95</v>
      </c>
      <c r="H107" s="16">
        <v>84967047.239999995</v>
      </c>
      <c r="I107" s="16">
        <v>4480400.53</v>
      </c>
      <c r="J107" s="16">
        <v>46915738.789999992</v>
      </c>
      <c r="K107" s="16">
        <v>224986677.12</v>
      </c>
      <c r="L107" s="16">
        <v>0</v>
      </c>
      <c r="M107" s="16">
        <v>0</v>
      </c>
      <c r="N107" s="18">
        <f t="shared" si="3"/>
        <v>1974626370.8864446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562424830.95000005</v>
      </c>
      <c r="C108" s="16">
        <v>0</v>
      </c>
      <c r="D108" s="16">
        <v>8515884.8551341351</v>
      </c>
      <c r="E108" s="16">
        <v>1611783.79</v>
      </c>
      <c r="F108" s="16">
        <v>1380288.9445942945</v>
      </c>
      <c r="G108" s="16">
        <v>1094671.75</v>
      </c>
      <c r="H108" s="16">
        <v>30127138.850000001</v>
      </c>
      <c r="I108" s="16">
        <v>4545333.87</v>
      </c>
      <c r="J108" s="16">
        <v>25027730.620000005</v>
      </c>
      <c r="K108" s="16">
        <v>77506894.079999998</v>
      </c>
      <c r="L108" s="16">
        <v>0</v>
      </c>
      <c r="M108" s="16">
        <v>0</v>
      </c>
      <c r="N108" s="18">
        <f t="shared" si="3"/>
        <v>712234557.70972848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5406357025.0599995</v>
      </c>
      <c r="C109" s="16">
        <v>0</v>
      </c>
      <c r="D109" s="16">
        <v>156104694.48918831</v>
      </c>
      <c r="E109" s="16">
        <v>27875439.710000001</v>
      </c>
      <c r="F109" s="16">
        <v>140927501.24307746</v>
      </c>
      <c r="G109" s="16">
        <v>92356363.617181033</v>
      </c>
      <c r="H109" s="16">
        <v>289599711.41000003</v>
      </c>
      <c r="I109" s="16">
        <v>464078588.11000001</v>
      </c>
      <c r="J109" s="16">
        <v>456650382.92000008</v>
      </c>
      <c r="K109" s="16">
        <v>804766982.39999998</v>
      </c>
      <c r="L109" s="16">
        <v>0</v>
      </c>
      <c r="M109" s="16">
        <v>0</v>
      </c>
      <c r="N109" s="18">
        <f t="shared" si="3"/>
        <v>7838716688.959445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619677014.83999991</v>
      </c>
      <c r="C110" s="16">
        <v>0</v>
      </c>
      <c r="D110" s="16">
        <v>16771852.982050555</v>
      </c>
      <c r="E110" s="16">
        <v>3195084.82</v>
      </c>
      <c r="F110" s="16">
        <v>5386413.2861667825</v>
      </c>
      <c r="G110" s="16">
        <v>3549864.11</v>
      </c>
      <c r="H110" s="16">
        <v>33193938.890000001</v>
      </c>
      <c r="I110" s="16">
        <v>17737624.32</v>
      </c>
      <c r="J110" s="16">
        <v>52911947.839999996</v>
      </c>
      <c r="K110" s="16">
        <v>87857026.560000002</v>
      </c>
      <c r="L110" s="16">
        <v>0</v>
      </c>
      <c r="M110" s="16">
        <v>0</v>
      </c>
      <c r="N110" s="18">
        <f t="shared" si="3"/>
        <v>840280767.64821744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713208607.99000001</v>
      </c>
      <c r="C111" s="16">
        <v>0</v>
      </c>
      <c r="D111" s="16">
        <v>18998730.530797314</v>
      </c>
      <c r="E111" s="16">
        <v>2043896.38</v>
      </c>
      <c r="F111" s="16">
        <v>1876535.6841984335</v>
      </c>
      <c r="G111" s="16">
        <v>1485625.95</v>
      </c>
      <c r="H111" s="16">
        <v>38204100.490000002</v>
      </c>
      <c r="I111" s="16">
        <v>6179489.6200000001</v>
      </c>
      <c r="J111" s="16">
        <v>41221374.570000008</v>
      </c>
      <c r="K111" s="16">
        <v>104592430.08</v>
      </c>
      <c r="L111" s="16">
        <v>0</v>
      </c>
      <c r="M111" s="16">
        <v>0</v>
      </c>
      <c r="N111" s="18">
        <f t="shared" si="3"/>
        <v>927810791.2949959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1044932917.48</v>
      </c>
      <c r="C112" s="16">
        <v>0</v>
      </c>
      <c r="D112" s="16">
        <v>25013001.198637888</v>
      </c>
      <c r="E112" s="16">
        <v>2994544.06</v>
      </c>
      <c r="F112" s="16">
        <v>2280763.16082962</v>
      </c>
      <c r="G112" s="16">
        <v>1767112.97</v>
      </c>
      <c r="H112" s="16">
        <v>55973416.100000001</v>
      </c>
      <c r="I112" s="16">
        <v>7510623.1100000003</v>
      </c>
      <c r="J112" s="16">
        <v>43240770</v>
      </c>
      <c r="K112" s="16">
        <v>145939173.12</v>
      </c>
      <c r="L112" s="16">
        <v>0</v>
      </c>
      <c r="M112" s="16">
        <v>0</v>
      </c>
      <c r="N112" s="18">
        <f t="shared" si="3"/>
        <v>1329652321.1994672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827014778.43999994</v>
      </c>
      <c r="C113" s="16">
        <v>0</v>
      </c>
      <c r="D113" s="16">
        <v>24296306.63066338</v>
      </c>
      <c r="E113" s="16">
        <v>2370039.41</v>
      </c>
      <c r="F113" s="16">
        <v>3214101.3995552855</v>
      </c>
      <c r="G113" s="16">
        <v>2283172.5099999998</v>
      </c>
      <c r="H113" s="16">
        <v>44300300.57</v>
      </c>
      <c r="I113" s="16">
        <v>10584134.58</v>
      </c>
      <c r="J113" s="16">
        <v>42228470.140000001</v>
      </c>
      <c r="K113" s="16">
        <v>115876149.12</v>
      </c>
      <c r="L113" s="16">
        <v>0</v>
      </c>
      <c r="M113" s="16">
        <v>0</v>
      </c>
      <c r="N113" s="18">
        <f t="shared" si="3"/>
        <v>1072167452.8002187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512154620.68000007</v>
      </c>
      <c r="C114" s="16">
        <v>0</v>
      </c>
      <c r="D114" s="16">
        <v>11168866.82735958</v>
      </c>
      <c r="E114" s="16">
        <v>1467720.61</v>
      </c>
      <c r="F114" s="16">
        <v>1945550.1314281484</v>
      </c>
      <c r="G114" s="16">
        <v>1251053.43</v>
      </c>
      <c r="H114" s="16">
        <v>27434338.809999999</v>
      </c>
      <c r="I114" s="16">
        <v>6406756.3099999996</v>
      </c>
      <c r="J114" s="16">
        <v>32258443.960000001</v>
      </c>
      <c r="K114" s="16">
        <v>76392737.280000001</v>
      </c>
      <c r="L114" s="16">
        <v>0</v>
      </c>
      <c r="M114" s="16">
        <v>0</v>
      </c>
      <c r="N114" s="18">
        <f t="shared" si="3"/>
        <v>670480088.03878772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1334604262.5999999</v>
      </c>
      <c r="C115" s="16">
        <v>0</v>
      </c>
      <c r="D115" s="16">
        <v>14172776.881971158</v>
      </c>
      <c r="E115" s="16">
        <v>3824677.36</v>
      </c>
      <c r="F115" s="16">
        <v>2014564.5786578632</v>
      </c>
      <c r="G115" s="16">
        <v>2017323.66</v>
      </c>
      <c r="H115" s="16">
        <v>71490100.920000002</v>
      </c>
      <c r="I115" s="16">
        <v>6634023.0099999998</v>
      </c>
      <c r="J115" s="16">
        <v>43223264.920000002</v>
      </c>
      <c r="K115" s="16">
        <v>200990044.80000001</v>
      </c>
      <c r="L115" s="16">
        <v>0</v>
      </c>
      <c r="M115" s="16">
        <v>0</v>
      </c>
      <c r="N115" s="18">
        <f t="shared" si="3"/>
        <v>1678971038.730629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802873261.87</v>
      </c>
      <c r="C116" s="16">
        <v>0</v>
      </c>
      <c r="D116" s="16">
        <v>22579672.365972407</v>
      </c>
      <c r="E116" s="16">
        <v>2300855.2200000002</v>
      </c>
      <c r="F116" s="16">
        <v>5560592.6053655855</v>
      </c>
      <c r="G116" s="16">
        <v>3174548.08</v>
      </c>
      <c r="H116" s="16">
        <v>43007123.630000003</v>
      </c>
      <c r="I116" s="16">
        <v>18311202.16</v>
      </c>
      <c r="J116" s="16">
        <v>58636591.029999986</v>
      </c>
      <c r="K116" s="16">
        <v>115180761.59999999</v>
      </c>
      <c r="L116" s="16">
        <v>0</v>
      </c>
      <c r="M116" s="16">
        <v>0</v>
      </c>
      <c r="N116" s="18">
        <f t="shared" si="3"/>
        <v>1071624608.5613381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411748468.88999999</v>
      </c>
      <c r="C117" s="16">
        <v>0</v>
      </c>
      <c r="D117" s="16">
        <v>7230452.0865048021</v>
      </c>
      <c r="E117" s="16">
        <v>1179979.03</v>
      </c>
      <c r="F117" s="16">
        <v>1169959.2006561162</v>
      </c>
      <c r="G117" s="16">
        <v>844461.07</v>
      </c>
      <c r="H117" s="16">
        <v>22055931.050000001</v>
      </c>
      <c r="I117" s="16">
        <v>3852711.57</v>
      </c>
      <c r="J117" s="16">
        <v>17281799.220000006</v>
      </c>
      <c r="K117" s="16">
        <v>58727589.119999997</v>
      </c>
      <c r="L117" s="16">
        <v>0</v>
      </c>
      <c r="M117" s="16">
        <v>0</v>
      </c>
      <c r="N117" s="18">
        <f t="shared" si="3"/>
        <v>524091351.23716092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721989782.55000007</v>
      </c>
      <c r="C118" s="16">
        <v>0</v>
      </c>
      <c r="D118" s="16">
        <v>23929031.589570407</v>
      </c>
      <c r="E118" s="16">
        <v>2069061.26</v>
      </c>
      <c r="F118" s="16">
        <v>5517869.3761281427</v>
      </c>
      <c r="G118" s="16">
        <v>3518587.77</v>
      </c>
      <c r="H118" s="16">
        <v>38674477.420000002</v>
      </c>
      <c r="I118" s="16">
        <v>18170513.260000002</v>
      </c>
      <c r="J118" s="16">
        <v>47635498.310000025</v>
      </c>
      <c r="K118" s="16">
        <v>98833392</v>
      </c>
      <c r="L118" s="16">
        <v>0</v>
      </c>
      <c r="M118" s="16">
        <v>0</v>
      </c>
      <c r="N118" s="18">
        <f t="shared" si="3"/>
        <v>960338213.53569865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976939235.65999997</v>
      </c>
      <c r="C119" s="16">
        <v>0</v>
      </c>
      <c r="D119" s="16">
        <v>12715513.630167354</v>
      </c>
      <c r="E119" s="16">
        <v>2799689.38</v>
      </c>
      <c r="F119" s="16">
        <v>4433356.6339469114</v>
      </c>
      <c r="G119" s="16">
        <v>2361363.35</v>
      </c>
      <c r="H119" s="16">
        <v>52331231.439999998</v>
      </c>
      <c r="I119" s="16">
        <v>14599179.5</v>
      </c>
      <c r="J119" s="16">
        <v>43360940.25</v>
      </c>
      <c r="K119" s="16">
        <v>138124707.84</v>
      </c>
      <c r="L119" s="16">
        <v>0</v>
      </c>
      <c r="M119" s="16">
        <v>0</v>
      </c>
      <c r="N119" s="18">
        <f t="shared" si="3"/>
        <v>1247665217.6841142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606760363.61000001</v>
      </c>
      <c r="C120" s="16">
        <v>0</v>
      </c>
      <c r="D120" s="16">
        <v>15866033.945477851</v>
      </c>
      <c r="E120" s="16">
        <v>1738839.51</v>
      </c>
      <c r="F120" s="16">
        <v>2987339.644371937</v>
      </c>
      <c r="G120" s="16">
        <v>2392639.69</v>
      </c>
      <c r="H120" s="16">
        <v>32502038.879999999</v>
      </c>
      <c r="I120" s="16">
        <v>9837401.1600000001</v>
      </c>
      <c r="J120" s="16">
        <v>44954535.800000004</v>
      </c>
      <c r="K120" s="16">
        <v>87837816.959999993</v>
      </c>
      <c r="L120" s="16">
        <v>0</v>
      </c>
      <c r="M120" s="16">
        <v>0</v>
      </c>
      <c r="N120" s="18">
        <f t="shared" si="3"/>
        <v>804877009.19984984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741700431.18999982</v>
      </c>
      <c r="C121" s="16">
        <v>0</v>
      </c>
      <c r="D121" s="16">
        <v>15166598.457539897</v>
      </c>
      <c r="E121" s="16">
        <v>2125547.5699999998</v>
      </c>
      <c r="F121" s="16">
        <v>1255405.659131001</v>
      </c>
      <c r="G121" s="16">
        <v>797546.56</v>
      </c>
      <c r="H121" s="16">
        <v>39730308.200000003</v>
      </c>
      <c r="I121" s="16">
        <v>4134089.38</v>
      </c>
      <c r="J121" s="16">
        <v>24979788.679999996</v>
      </c>
      <c r="K121" s="16">
        <v>104561694.72</v>
      </c>
      <c r="L121" s="16">
        <v>0</v>
      </c>
      <c r="M121" s="16">
        <v>0</v>
      </c>
      <c r="N121" s="18">
        <f t="shared" si="3"/>
        <v>934451410.4166708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2409398544.3999996</v>
      </c>
      <c r="C122" s="16">
        <v>0</v>
      </c>
      <c r="D122" s="16">
        <v>47429896.614999995</v>
      </c>
      <c r="E122" s="16">
        <v>12422976.050000001</v>
      </c>
      <c r="F122" s="16">
        <v>37793625.863891393</v>
      </c>
      <c r="G122" s="16">
        <v>21437511.705870345</v>
      </c>
      <c r="H122" s="16">
        <v>129063086.27</v>
      </c>
      <c r="I122" s="16">
        <v>124455570.25</v>
      </c>
      <c r="J122" s="16">
        <v>117178560.16</v>
      </c>
      <c r="K122" s="16">
        <v>345669068.16000003</v>
      </c>
      <c r="L122" s="16">
        <v>0</v>
      </c>
      <c r="M122" s="16">
        <v>0</v>
      </c>
      <c r="N122" s="18">
        <f t="shared" si="3"/>
        <v>3244848839.474761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5316853493.6800003</v>
      </c>
      <c r="C123" s="16">
        <v>0</v>
      </c>
      <c r="D123" s="16">
        <v>94385626.769999981</v>
      </c>
      <c r="E123" s="16">
        <v>15236913.109999999</v>
      </c>
      <c r="F123" s="16">
        <v>52536426.35305807</v>
      </c>
      <c r="G123" s="16">
        <v>53010916.269777447</v>
      </c>
      <c r="H123" s="16">
        <v>284805319.04000002</v>
      </c>
      <c r="I123" s="16">
        <v>173004064.87</v>
      </c>
      <c r="J123" s="16">
        <v>152895603.37999997</v>
      </c>
      <c r="K123" s="16">
        <v>784619953.91999996</v>
      </c>
      <c r="L123" s="16">
        <v>0</v>
      </c>
      <c r="M123" s="16">
        <v>0</v>
      </c>
      <c r="N123" s="18">
        <f t="shared" si="3"/>
        <v>6927348317.3928356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4669812512.7600002</v>
      </c>
      <c r="C124" s="16">
        <v>0</v>
      </c>
      <c r="D124" s="16">
        <v>44188044.770000003</v>
      </c>
      <c r="E124" s="16">
        <v>24077780.390000001</v>
      </c>
      <c r="F124" s="16">
        <v>67275940.439975709</v>
      </c>
      <c r="G124" s="16">
        <v>0</v>
      </c>
      <c r="H124" s="16">
        <v>250145587.83000001</v>
      </c>
      <c r="I124" s="16">
        <v>221541737.25999999</v>
      </c>
      <c r="J124" s="16">
        <v>218741144.96000004</v>
      </c>
      <c r="K124" s="16">
        <v>637505153.27999997</v>
      </c>
      <c r="L124" s="16">
        <v>0</v>
      </c>
      <c r="M124" s="16">
        <v>0</v>
      </c>
      <c r="N124" s="18">
        <f t="shared" si="3"/>
        <v>6133287901.6899767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1535873079.8600001</v>
      </c>
      <c r="C125" s="16">
        <v>0</v>
      </c>
      <c r="D125" s="16">
        <v>60582102.322000623</v>
      </c>
      <c r="E125" s="16">
        <v>4401468.78</v>
      </c>
      <c r="F125" s="16">
        <v>26159761.902310915</v>
      </c>
      <c r="G125" s="16">
        <v>14981364.83</v>
      </c>
      <c r="H125" s="16">
        <v>82271370.290000007</v>
      </c>
      <c r="I125" s="16">
        <v>86144899.060000002</v>
      </c>
      <c r="J125" s="16">
        <v>135173810.89999995</v>
      </c>
      <c r="K125" s="16">
        <v>218363207.03999999</v>
      </c>
      <c r="L125" s="16">
        <v>0</v>
      </c>
      <c r="M125" s="16">
        <v>0</v>
      </c>
      <c r="N125" s="18">
        <f t="shared" si="3"/>
        <v>2163951064.9843111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1711362302.1299999</v>
      </c>
      <c r="C126" s="16">
        <v>0</v>
      </c>
      <c r="D126" s="16">
        <v>24625127.919090882</v>
      </c>
      <c r="E126" s="16">
        <v>4904381.6500000004</v>
      </c>
      <c r="F126" s="16">
        <v>13096312.962400626</v>
      </c>
      <c r="G126" s="16">
        <v>6130161.8099999996</v>
      </c>
      <c r="H126" s="16">
        <v>91671716.560000002</v>
      </c>
      <c r="I126" s="16">
        <v>43126560.649999999</v>
      </c>
      <c r="J126" s="16">
        <v>92748684.109999985</v>
      </c>
      <c r="K126" s="16">
        <v>248791213.44</v>
      </c>
      <c r="L126" s="16">
        <v>0</v>
      </c>
      <c r="M126" s="16">
        <v>0</v>
      </c>
      <c r="N126" s="18">
        <f t="shared" si="3"/>
        <v>2236456461.2314916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965660662.83999991</v>
      </c>
      <c r="C127" s="16">
        <v>0</v>
      </c>
      <c r="D127" s="16">
        <v>16816162.277733177</v>
      </c>
      <c r="E127" s="16">
        <v>2767367.51</v>
      </c>
      <c r="F127" s="16">
        <v>13901481.513413964</v>
      </c>
      <c r="G127" s="16">
        <v>8757374.0199999996</v>
      </c>
      <c r="H127" s="16">
        <v>51727077.590000004</v>
      </c>
      <c r="I127" s="16">
        <v>45778005.399999999</v>
      </c>
      <c r="J127" s="16">
        <v>102837303.53999996</v>
      </c>
      <c r="K127" s="16">
        <v>134463358.08000001</v>
      </c>
      <c r="L127" s="16">
        <v>0</v>
      </c>
      <c r="M127" s="16">
        <v>0</v>
      </c>
      <c r="N127" s="18">
        <f t="shared" si="3"/>
        <v>1342708792.771147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451277181.22999996</v>
      </c>
      <c r="C128" s="16">
        <v>0</v>
      </c>
      <c r="D128" s="16">
        <v>9811401.9467461295</v>
      </c>
      <c r="E128" s="16">
        <v>1293259.48</v>
      </c>
      <c r="F128" s="16">
        <v>1271837.6703761711</v>
      </c>
      <c r="G128" s="16">
        <v>1047757.25</v>
      </c>
      <c r="H128" s="16">
        <v>24173346.460000001</v>
      </c>
      <c r="I128" s="16">
        <v>4188200.49</v>
      </c>
      <c r="J128" s="16">
        <v>22100277.309999995</v>
      </c>
      <c r="K128" s="16">
        <v>67959722.879999995</v>
      </c>
      <c r="L128" s="16">
        <v>0</v>
      </c>
      <c r="M128" s="16">
        <v>0</v>
      </c>
      <c r="N128" s="18">
        <f t="shared" si="3"/>
        <v>583122984.71712232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2812177862.6100001</v>
      </c>
      <c r="C129" s="16">
        <v>0</v>
      </c>
      <c r="D129" s="16">
        <v>98269518.60216859</v>
      </c>
      <c r="E129" s="16">
        <v>8059072.8700000001</v>
      </c>
      <c r="F129" s="16">
        <v>16175671.869745517</v>
      </c>
      <c r="G129" s="16">
        <v>12995317.51</v>
      </c>
      <c r="H129" s="16">
        <v>150638571.16</v>
      </c>
      <c r="I129" s="16">
        <v>53266984.07</v>
      </c>
      <c r="J129" s="16">
        <v>138475494.85999998</v>
      </c>
      <c r="K129" s="16">
        <v>401718839.04000002</v>
      </c>
      <c r="L129" s="16">
        <v>0</v>
      </c>
      <c r="M129" s="16">
        <v>0</v>
      </c>
      <c r="N129" s="18">
        <f t="shared" si="3"/>
        <v>3691777332.5919147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760417491.37</v>
      </c>
      <c r="C130" s="16">
        <v>0</v>
      </c>
      <c r="D130" s="16">
        <v>17085552.437543441</v>
      </c>
      <c r="E130" s="16">
        <v>2179186.48</v>
      </c>
      <c r="F130" s="16">
        <v>2001418.9696617268</v>
      </c>
      <c r="G130" s="16">
        <v>969566.41</v>
      </c>
      <c r="H130" s="16">
        <v>40732915.909999996</v>
      </c>
      <c r="I130" s="16">
        <v>6590734.1100000003</v>
      </c>
      <c r="J130" s="16">
        <v>38059573.549999997</v>
      </c>
      <c r="K130" s="16">
        <v>114516109.44</v>
      </c>
      <c r="L130" s="16">
        <v>0</v>
      </c>
      <c r="M130" s="16">
        <v>0</v>
      </c>
      <c r="N130" s="18">
        <f t="shared" si="3"/>
        <v>982552548.67720509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4776314464.6199999</v>
      </c>
      <c r="C131" s="16">
        <v>0</v>
      </c>
      <c r="D131" s="16">
        <v>123647484.25999999</v>
      </c>
      <c r="E131" s="16">
        <v>13687849.130000001</v>
      </c>
      <c r="F131" s="16">
        <v>88374642.878774211</v>
      </c>
      <c r="G131" s="16">
        <v>10958857.853111414</v>
      </c>
      <c r="H131" s="16">
        <v>255850526.36000001</v>
      </c>
      <c r="I131" s="16">
        <v>291020412.13</v>
      </c>
      <c r="J131" s="16">
        <v>299034708.34000015</v>
      </c>
      <c r="K131" s="16">
        <v>652534744.32000005</v>
      </c>
      <c r="L131" s="16">
        <v>0</v>
      </c>
      <c r="M131" s="16">
        <v>0</v>
      </c>
      <c r="N131" s="18">
        <f t="shared" si="3"/>
        <v>6511423689.8918858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188244750.93000001</v>
      </c>
      <c r="C132" s="16">
        <v>0</v>
      </c>
      <c r="D132" s="16">
        <v>2097737.5728802755</v>
      </c>
      <c r="E132" s="16">
        <v>539467.36</v>
      </c>
      <c r="F132" s="16">
        <v>377936.25863891392</v>
      </c>
      <c r="G132" s="16">
        <v>234572.52</v>
      </c>
      <c r="H132" s="16">
        <v>10083615.51</v>
      </c>
      <c r="I132" s="16">
        <v>1244555.7</v>
      </c>
      <c r="J132" s="16">
        <v>10738043.040000001</v>
      </c>
      <c r="K132" s="16">
        <v>26816601.600000001</v>
      </c>
      <c r="L132" s="16">
        <v>0</v>
      </c>
      <c r="M132" s="16">
        <v>0</v>
      </c>
      <c r="N132" s="18">
        <f t="shared" si="3"/>
        <v>240377280.49151918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1178959957.7800002</v>
      </c>
      <c r="C133" s="16">
        <v>0</v>
      </c>
      <c r="D133" s="16">
        <v>13058636.265972409</v>
      </c>
      <c r="E133" s="16">
        <v>3378635.59</v>
      </c>
      <c r="F133" s="16">
        <v>1367143.3355981582</v>
      </c>
      <c r="G133" s="16">
        <v>1329244.27</v>
      </c>
      <c r="H133" s="16">
        <v>63152777.729999997</v>
      </c>
      <c r="I133" s="16">
        <v>4502044.9800000004</v>
      </c>
      <c r="J133" s="16">
        <v>39610904.549999997</v>
      </c>
      <c r="K133" s="16">
        <v>167169623.03999999</v>
      </c>
      <c r="L133" s="16">
        <v>0</v>
      </c>
      <c r="M133" s="16">
        <v>0</v>
      </c>
      <c r="N133" s="18">
        <f t="shared" si="3"/>
        <v>1472528967.5415707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2036749127.8399997</v>
      </c>
      <c r="C134" s="16">
        <v>0</v>
      </c>
      <c r="D134" s="16">
        <v>37473222.703142062</v>
      </c>
      <c r="E134" s="16">
        <v>5836867.5199999996</v>
      </c>
      <c r="F134" s="16">
        <v>6378906.76537506</v>
      </c>
      <c r="G134" s="16">
        <v>4394325.18</v>
      </c>
      <c r="H134" s="16">
        <v>109101555.25</v>
      </c>
      <c r="I134" s="16">
        <v>21005935.809999999</v>
      </c>
      <c r="J134" s="16">
        <v>89455358.25</v>
      </c>
      <c r="K134" s="16">
        <v>302443626.24000001</v>
      </c>
      <c r="L134" s="16">
        <v>0</v>
      </c>
      <c r="M134" s="16">
        <v>0</v>
      </c>
      <c r="N134" s="18">
        <f t="shared" si="3"/>
        <v>2612838925.5585175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1684642826.0499997</v>
      </c>
      <c r="C135" s="16">
        <v>0</v>
      </c>
      <c r="D135" s="16">
        <v>60535846.235197634</v>
      </c>
      <c r="E135" s="16">
        <v>8686100.3300000001</v>
      </c>
      <c r="F135" s="16">
        <v>9602867.371677449</v>
      </c>
      <c r="G135" s="16">
        <v>5567187.7699999996</v>
      </c>
      <c r="H135" s="16">
        <v>90240447.310000002</v>
      </c>
      <c r="I135" s="16">
        <v>31622537.07</v>
      </c>
      <c r="J135" s="16">
        <v>92224477.149999976</v>
      </c>
      <c r="K135" s="16">
        <v>241944912</v>
      </c>
      <c r="L135" s="16">
        <v>0</v>
      </c>
      <c r="M135" s="16">
        <v>0</v>
      </c>
      <c r="N135" s="18">
        <f t="shared" si="3"/>
        <v>2225067201.2868743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2717974925.8899999</v>
      </c>
      <c r="C136" s="16">
        <v>0</v>
      </c>
      <c r="D136" s="16">
        <v>52836015.170000009</v>
      </c>
      <c r="E136" s="16">
        <v>14014010.880000001</v>
      </c>
      <c r="F136" s="16">
        <v>57134103.099456683</v>
      </c>
      <c r="G136" s="16">
        <v>39486360.133675672</v>
      </c>
      <c r="H136" s="16">
        <v>145592448.02000001</v>
      </c>
      <c r="I136" s="16">
        <v>188144355.53999999</v>
      </c>
      <c r="J136" s="16">
        <v>209675864.57999992</v>
      </c>
      <c r="K136" s="16">
        <v>409321998.72000003</v>
      </c>
      <c r="L136" s="16">
        <v>0</v>
      </c>
      <c r="M136" s="16">
        <v>0</v>
      </c>
      <c r="N136" s="18">
        <f t="shared" ref="N136:N142" si="4">SUM(B136:M136)</f>
        <v>3834180082.0331326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435191788.10999995</v>
      </c>
      <c r="C137" s="16">
        <v>0</v>
      </c>
      <c r="D137" s="16">
        <v>6563398.6134772226</v>
      </c>
      <c r="E137" s="16">
        <v>1247162.3400000001</v>
      </c>
      <c r="F137" s="16">
        <v>683571.66779907909</v>
      </c>
      <c r="G137" s="16">
        <v>813184.73</v>
      </c>
      <c r="H137" s="16">
        <v>23311707.989999998</v>
      </c>
      <c r="I137" s="16">
        <v>2251022.4900000002</v>
      </c>
      <c r="J137" s="16">
        <v>20568816.890000001</v>
      </c>
      <c r="K137" s="16">
        <v>65539313.280000001</v>
      </c>
      <c r="L137" s="16">
        <v>0</v>
      </c>
      <c r="M137" s="16">
        <v>0</v>
      </c>
      <c r="N137" s="18">
        <f t="shared" si="4"/>
        <v>556169966.11127627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1228666239.3699999</v>
      </c>
      <c r="C138" s="16">
        <v>0</v>
      </c>
      <c r="D138" s="16">
        <v>34751741.085569337</v>
      </c>
      <c r="E138" s="16">
        <v>3521082.68</v>
      </c>
      <c r="F138" s="16">
        <v>5951674.4730006363</v>
      </c>
      <c r="G138" s="16">
        <v>3174548.08</v>
      </c>
      <c r="H138" s="16">
        <v>65815370.079999998</v>
      </c>
      <c r="I138" s="16">
        <v>19599046.760000002</v>
      </c>
      <c r="J138" s="16">
        <v>74736716.789999962</v>
      </c>
      <c r="K138" s="16">
        <v>167492344.31999999</v>
      </c>
      <c r="L138" s="16">
        <v>0</v>
      </c>
      <c r="M138" s="16">
        <v>0</v>
      </c>
      <c r="N138" s="18">
        <f t="shared" si="4"/>
        <v>1603708763.6385696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4319720241.8199997</v>
      </c>
      <c r="C139" s="16">
        <v>0</v>
      </c>
      <c r="D139" s="16">
        <v>77293863.785000026</v>
      </c>
      <c r="E139" s="16">
        <v>12379352.239999998</v>
      </c>
      <c r="F139" s="16">
        <v>30609550.547502995</v>
      </c>
      <c r="G139" s="16">
        <v>36431601.72900454</v>
      </c>
      <c r="H139" s="16">
        <v>231392364.56</v>
      </c>
      <c r="I139" s="16">
        <v>100798189.61000001</v>
      </c>
      <c r="J139" s="16">
        <v>133446640.21999997</v>
      </c>
      <c r="K139" s="16">
        <v>650540787.84000003</v>
      </c>
      <c r="L139" s="16">
        <v>0</v>
      </c>
      <c r="M139" s="16">
        <v>0</v>
      </c>
      <c r="N139" s="18">
        <f t="shared" si="4"/>
        <v>5592612592.3515072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1273297163.24</v>
      </c>
      <c r="C140" s="16">
        <v>0</v>
      </c>
      <c r="D140" s="16">
        <v>12271871.449999997</v>
      </c>
      <c r="E140" s="16">
        <v>3648984.92</v>
      </c>
      <c r="F140" s="16">
        <v>5047913.8545162762</v>
      </c>
      <c r="G140" s="16">
        <v>3346567.93</v>
      </c>
      <c r="H140" s="16">
        <v>68206093.180000007</v>
      </c>
      <c r="I140" s="16">
        <v>16622935.300000001</v>
      </c>
      <c r="J140" s="16">
        <v>33731553.860000007</v>
      </c>
      <c r="K140" s="16">
        <v>191757911.03999999</v>
      </c>
      <c r="L140" s="16">
        <v>0</v>
      </c>
      <c r="M140" s="16">
        <v>0</v>
      </c>
      <c r="N140" s="18">
        <f t="shared" si="4"/>
        <v>1607930994.7745163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1475908667.74</v>
      </c>
      <c r="C141" s="16">
        <v>0</v>
      </c>
      <c r="D141" s="16">
        <v>18533259.340581045</v>
      </c>
      <c r="E141" s="16">
        <v>4229624.1900000004</v>
      </c>
      <c r="F141" s="16">
        <v>7279380.9816103866</v>
      </c>
      <c r="G141" s="16">
        <v>2924337.39</v>
      </c>
      <c r="H141" s="16">
        <v>79059285.629999995</v>
      </c>
      <c r="I141" s="16">
        <v>23971225.050000001</v>
      </c>
      <c r="J141" s="16">
        <v>93810818.309999987</v>
      </c>
      <c r="K141" s="16">
        <v>213449391.36000001</v>
      </c>
      <c r="L141" s="16">
        <v>0</v>
      </c>
      <c r="M141" s="16">
        <v>0</v>
      </c>
      <c r="N141" s="18">
        <f t="shared" si="4"/>
        <v>1919165989.9921913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1442636877.9399998</v>
      </c>
      <c r="C142" s="16">
        <v>0</v>
      </c>
      <c r="D142" s="16">
        <v>26321079.263945252</v>
      </c>
      <c r="E142" s="16">
        <v>7438305.8899999997</v>
      </c>
      <c r="F142" s="16">
        <v>31296408.617551107</v>
      </c>
      <c r="G142" s="16">
        <v>11806816.75</v>
      </c>
      <c r="H142" s="16">
        <v>77277031.760000005</v>
      </c>
      <c r="I142" s="16">
        <v>103060034.39</v>
      </c>
      <c r="J142" s="16">
        <v>127165145.21999997</v>
      </c>
      <c r="K142" s="16">
        <v>201942840.96000001</v>
      </c>
      <c r="L142" s="16">
        <v>0</v>
      </c>
      <c r="M142" s="16">
        <v>0</v>
      </c>
      <c r="N142" s="18">
        <f t="shared" si="4"/>
        <v>2028944540.7914965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>SUM(B8:B142)</f>
        <v>268537447965.07001</v>
      </c>
      <c r="C143" s="23">
        <f>SUM(C8:C142)</f>
        <v>0</v>
      </c>
      <c r="D143" s="23">
        <f t="shared" ref="D143:L143" si="5">SUM(D8:D142)</f>
        <v>4690519426.2279043</v>
      </c>
      <c r="E143" s="23">
        <f t="shared" si="5"/>
        <v>1099383247.2500002</v>
      </c>
      <c r="F143" s="23">
        <f t="shared" si="5"/>
        <v>3286402249.0340347</v>
      </c>
      <c r="G143" s="23">
        <f t="shared" si="5"/>
        <v>1563816788.4600005</v>
      </c>
      <c r="H143" s="23">
        <f t="shared" si="5"/>
        <v>14384615569.26</v>
      </c>
      <c r="I143" s="23">
        <f t="shared" si="5"/>
        <v>10822223499.639999</v>
      </c>
      <c r="J143" s="23">
        <f t="shared" si="5"/>
        <v>15770367295.649996</v>
      </c>
      <c r="K143" s="23">
        <f t="shared" si="5"/>
        <v>38419199999.999992</v>
      </c>
      <c r="L143" s="23">
        <f t="shared" si="5"/>
        <v>0</v>
      </c>
      <c r="M143" s="23">
        <f t="shared" ref="M143" si="6">SUM(M8:M142)</f>
        <v>0</v>
      </c>
      <c r="N143" s="23">
        <f>SUM(N8:N142)</f>
        <v>358573976040.59198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44AEAC"/>
  </sheetPr>
  <dimension ref="A1:O275"/>
  <sheetViews>
    <sheetView showGridLines="0" tabSelected="1" zoomScale="80" zoomScaleNormal="80" workbookViewId="0"/>
  </sheetViews>
  <sheetFormatPr baseColWidth="10" defaultRowHeight="14.25" x14ac:dyDescent="0.2"/>
  <cols>
    <col min="1" max="1" width="41.83203125" style="11" customWidth="1"/>
    <col min="2" max="2" width="23.1640625" style="1" customWidth="1"/>
    <col min="3" max="3" width="23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172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25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176</v>
      </c>
      <c r="L7" s="19" t="s">
        <v>149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>
        <v>1128829268</v>
      </c>
      <c r="C8" s="16">
        <v>0</v>
      </c>
      <c r="D8" s="16">
        <v>253555890.06782082</v>
      </c>
      <c r="E8" s="16">
        <v>16557019.68</v>
      </c>
      <c r="F8" s="16">
        <v>3713219.27</v>
      </c>
      <c r="G8" s="16">
        <v>1883493.52</v>
      </c>
      <c r="H8" s="16">
        <v>64936534.07</v>
      </c>
      <c r="I8" s="16">
        <v>8968924.7100000009</v>
      </c>
      <c r="J8" s="16">
        <v>54851395.849999994</v>
      </c>
      <c r="K8" s="16">
        <v>0</v>
      </c>
      <c r="L8" s="16">
        <v>0</v>
      </c>
      <c r="M8" s="16">
        <v>0</v>
      </c>
      <c r="N8" s="18">
        <f t="shared" ref="N8:N39" si="0">SUM(B8:M8)</f>
        <v>1533295745.1678207</v>
      </c>
      <c r="O8" s="4"/>
    </row>
    <row r="9" spans="1:15" ht="18" customHeight="1" x14ac:dyDescent="0.2">
      <c r="A9" s="17" t="s">
        <v>4</v>
      </c>
      <c r="B9" s="16">
        <v>596570132.38999999</v>
      </c>
      <c r="C9" s="16">
        <v>0</v>
      </c>
      <c r="D9" s="16">
        <v>248440500.39949489</v>
      </c>
      <c r="E9" s="16">
        <v>8748777.370000001</v>
      </c>
      <c r="F9" s="16">
        <v>2601559.84</v>
      </c>
      <c r="G9" s="16">
        <v>1393785.21</v>
      </c>
      <c r="H9" s="16">
        <v>34318030.039999999</v>
      </c>
      <c r="I9" s="16">
        <v>6283818.0599999996</v>
      </c>
      <c r="J9" s="16">
        <v>41596617.939999983</v>
      </c>
      <c r="K9" s="16">
        <v>0</v>
      </c>
      <c r="L9" s="16">
        <v>0</v>
      </c>
      <c r="M9" s="16">
        <v>0</v>
      </c>
      <c r="N9" s="18">
        <f t="shared" si="0"/>
        <v>939953221.24949479</v>
      </c>
      <c r="O9" s="4"/>
    </row>
    <row r="10" spans="1:15" ht="18" customHeight="1" x14ac:dyDescent="0.2">
      <c r="A10" s="17" t="s">
        <v>5</v>
      </c>
      <c r="B10" s="16">
        <v>649754837.48000002</v>
      </c>
      <c r="C10" s="16">
        <v>0</v>
      </c>
      <c r="D10" s="16">
        <v>196411578.70474592</v>
      </c>
      <c r="E10" s="16">
        <v>9504320.5200000014</v>
      </c>
      <c r="F10" s="16">
        <v>1817401.73</v>
      </c>
      <c r="G10" s="16">
        <v>1393785.21</v>
      </c>
      <c r="H10" s="16">
        <v>37377509.899999999</v>
      </c>
      <c r="I10" s="16">
        <v>4389759.42</v>
      </c>
      <c r="J10" s="16">
        <v>24584715.990000002</v>
      </c>
      <c r="K10" s="16">
        <v>0</v>
      </c>
      <c r="L10" s="16">
        <v>0</v>
      </c>
      <c r="M10" s="16">
        <v>0</v>
      </c>
      <c r="N10" s="18">
        <f t="shared" si="0"/>
        <v>925233908.95474589</v>
      </c>
      <c r="O10" s="4"/>
    </row>
    <row r="11" spans="1:15" ht="18" customHeight="1" x14ac:dyDescent="0.2">
      <c r="A11" s="17" t="s">
        <v>6</v>
      </c>
      <c r="B11" s="16">
        <v>5248210034.8699999</v>
      </c>
      <c r="C11" s="16">
        <v>0</v>
      </c>
      <c r="D11" s="16">
        <v>70928857.780374005</v>
      </c>
      <c r="E11" s="16">
        <v>89624576.269999996</v>
      </c>
      <c r="F11" s="16">
        <v>195070861.12</v>
      </c>
      <c r="G11" s="16">
        <v>116990494.02379295</v>
      </c>
      <c r="H11" s="16">
        <v>301906213.26999998</v>
      </c>
      <c r="I11" s="16">
        <v>471174939.29000002</v>
      </c>
      <c r="J11" s="16">
        <v>462540399.30000007</v>
      </c>
      <c r="K11" s="16">
        <v>0</v>
      </c>
      <c r="L11" s="16">
        <v>0</v>
      </c>
      <c r="M11" s="16">
        <v>0</v>
      </c>
      <c r="N11" s="18">
        <f t="shared" si="0"/>
        <v>6956446375.9241676</v>
      </c>
      <c r="O11" s="4"/>
    </row>
    <row r="12" spans="1:15" ht="18" customHeight="1" x14ac:dyDescent="0.2">
      <c r="A12" s="17" t="s">
        <v>7</v>
      </c>
      <c r="B12" s="16">
        <v>675690429.73000002</v>
      </c>
      <c r="C12" s="16">
        <v>0</v>
      </c>
      <c r="D12" s="16">
        <v>237203473.40463051</v>
      </c>
      <c r="E12" s="16">
        <v>9972810.1300000008</v>
      </c>
      <c r="F12" s="16">
        <v>6669956.6100000003</v>
      </c>
      <c r="G12" s="16">
        <v>3465628.09</v>
      </c>
      <c r="H12" s="16">
        <v>38869469.329999998</v>
      </c>
      <c r="I12" s="16">
        <v>16110639.92</v>
      </c>
      <c r="J12" s="16">
        <v>49872749.019999988</v>
      </c>
      <c r="K12" s="16">
        <v>0</v>
      </c>
      <c r="L12" s="16">
        <v>0</v>
      </c>
      <c r="M12" s="16">
        <v>0</v>
      </c>
      <c r="N12" s="18">
        <f t="shared" si="0"/>
        <v>1037855156.2346306</v>
      </c>
      <c r="O12" s="4"/>
    </row>
    <row r="13" spans="1:15" ht="18" customHeight="1" x14ac:dyDescent="0.2">
      <c r="A13" s="17" t="s">
        <v>8</v>
      </c>
      <c r="B13" s="16">
        <v>3211841080.23</v>
      </c>
      <c r="C13" s="16">
        <v>0</v>
      </c>
      <c r="D13" s="16">
        <v>63832277.141894452</v>
      </c>
      <c r="E13" s="16">
        <v>54655336.299999997</v>
      </c>
      <c r="F13" s="16">
        <v>94860067.599999994</v>
      </c>
      <c r="G13" s="16">
        <v>0</v>
      </c>
      <c r="H13" s="16">
        <v>184762951.88999999</v>
      </c>
      <c r="I13" s="16">
        <v>229125387.24000001</v>
      </c>
      <c r="J13" s="16">
        <v>343932238.66000003</v>
      </c>
      <c r="K13" s="16">
        <v>0</v>
      </c>
      <c r="L13" s="16">
        <v>0</v>
      </c>
      <c r="M13" s="16">
        <v>0</v>
      </c>
      <c r="N13" s="18">
        <f t="shared" si="0"/>
        <v>4183009339.0618944</v>
      </c>
      <c r="O13" s="4"/>
    </row>
    <row r="14" spans="1:15" ht="18" customHeight="1" x14ac:dyDescent="0.2">
      <c r="A14" s="17" t="s">
        <v>9</v>
      </c>
      <c r="B14" s="16">
        <v>1085380068.3</v>
      </c>
      <c r="C14" s="16">
        <v>0</v>
      </c>
      <c r="D14" s="16">
        <v>407960279.41336668</v>
      </c>
      <c r="E14" s="16">
        <v>15942417.75</v>
      </c>
      <c r="F14" s="16">
        <v>4317482.28</v>
      </c>
      <c r="G14" s="16">
        <v>2354366.91</v>
      </c>
      <c r="H14" s="16">
        <v>62437094.590000004</v>
      </c>
      <c r="I14" s="16">
        <v>10428464.01</v>
      </c>
      <c r="J14" s="16">
        <v>73833805.109999985</v>
      </c>
      <c r="K14" s="16">
        <v>0</v>
      </c>
      <c r="L14" s="16">
        <v>0</v>
      </c>
      <c r="M14" s="16">
        <v>0</v>
      </c>
      <c r="N14" s="18">
        <f t="shared" si="0"/>
        <v>1662653978.3633664</v>
      </c>
      <c r="O14" s="4"/>
    </row>
    <row r="15" spans="1:15" ht="18" customHeight="1" x14ac:dyDescent="0.2">
      <c r="A15" s="17" t="s">
        <v>10</v>
      </c>
      <c r="B15" s="16">
        <v>1890336374.4800003</v>
      </c>
      <c r="C15" s="16">
        <v>0</v>
      </c>
      <c r="D15" s="16">
        <v>615044573.13752115</v>
      </c>
      <c r="E15" s="16">
        <v>27699253.420000002</v>
      </c>
      <c r="F15" s="16">
        <v>16084466.6</v>
      </c>
      <c r="G15" s="16">
        <v>8155526.96</v>
      </c>
      <c r="H15" s="16">
        <v>108742655.66</v>
      </c>
      <c r="I15" s="16">
        <v>38850485.060000002</v>
      </c>
      <c r="J15" s="16">
        <v>117802875.76000001</v>
      </c>
      <c r="K15" s="16">
        <v>0</v>
      </c>
      <c r="L15" s="16">
        <v>0</v>
      </c>
      <c r="M15" s="16">
        <v>0</v>
      </c>
      <c r="N15" s="18">
        <f t="shared" si="0"/>
        <v>2822716211.0775213</v>
      </c>
      <c r="O15" s="4"/>
    </row>
    <row r="16" spans="1:15" ht="18" customHeight="1" x14ac:dyDescent="0.2">
      <c r="A16" s="17" t="s">
        <v>11</v>
      </c>
      <c r="B16" s="16">
        <v>3413865693.6099997</v>
      </c>
      <c r="C16" s="16">
        <v>0</v>
      </c>
      <c r="D16" s="16">
        <v>165231111.80573288</v>
      </c>
      <c r="E16" s="16">
        <v>58060075.010000005</v>
      </c>
      <c r="F16" s="16">
        <v>59988095.259999998</v>
      </c>
      <c r="G16" s="16">
        <v>36181910.609999999</v>
      </c>
      <c r="H16" s="16">
        <v>196384530.59999999</v>
      </c>
      <c r="I16" s="16">
        <v>144895485.59</v>
      </c>
      <c r="J16" s="16">
        <v>292637517.06000006</v>
      </c>
      <c r="K16" s="16">
        <v>0</v>
      </c>
      <c r="L16" s="16">
        <v>0</v>
      </c>
      <c r="M16" s="16">
        <v>0</v>
      </c>
      <c r="N16" s="18">
        <f t="shared" si="0"/>
        <v>4367244419.5457335</v>
      </c>
      <c r="O16" s="4"/>
    </row>
    <row r="17" spans="1:15" ht="15" x14ac:dyDescent="0.2">
      <c r="A17" s="17" t="s">
        <v>12</v>
      </c>
      <c r="B17" s="16">
        <v>1281429450.8800001</v>
      </c>
      <c r="C17" s="16">
        <v>0</v>
      </c>
      <c r="D17" s="16">
        <v>621464527.18380904</v>
      </c>
      <c r="E17" s="16">
        <v>18765991.050000001</v>
      </c>
      <c r="F17" s="16">
        <v>12320507.68</v>
      </c>
      <c r="G17" s="16">
        <v>5273781.87</v>
      </c>
      <c r="H17" s="16">
        <v>73714944.819999993</v>
      </c>
      <c r="I17" s="16">
        <v>29759003.609999999</v>
      </c>
      <c r="J17" s="16">
        <v>79321419.87999998</v>
      </c>
      <c r="K17" s="16">
        <v>0</v>
      </c>
      <c r="L17" s="16">
        <v>0</v>
      </c>
      <c r="M17" s="16">
        <v>0</v>
      </c>
      <c r="N17" s="18">
        <f t="shared" si="0"/>
        <v>2122049626.9738088</v>
      </c>
      <c r="O17" s="4"/>
    </row>
    <row r="18" spans="1:15" ht="15" x14ac:dyDescent="0.2">
      <c r="A18" s="17" t="s">
        <v>13</v>
      </c>
      <c r="B18" s="16">
        <v>720659192.5</v>
      </c>
      <c r="C18" s="16">
        <v>0</v>
      </c>
      <c r="D18" s="16">
        <v>177641236.19200742</v>
      </c>
      <c r="E18" s="16">
        <v>10544637.210000001</v>
      </c>
      <c r="F18" s="16">
        <v>8302850.5499999998</v>
      </c>
      <c r="G18" s="16">
        <v>4294365.24</v>
      </c>
      <c r="H18" s="16">
        <v>41456322.520000003</v>
      </c>
      <c r="I18" s="16">
        <v>20054738.489999998</v>
      </c>
      <c r="J18" s="16">
        <v>64668723.430000015</v>
      </c>
      <c r="K18" s="16">
        <v>0</v>
      </c>
      <c r="L18" s="16">
        <v>0</v>
      </c>
      <c r="M18" s="16">
        <v>0</v>
      </c>
      <c r="N18" s="18">
        <f t="shared" si="0"/>
        <v>1047622066.1320075</v>
      </c>
      <c r="O18" s="4"/>
    </row>
    <row r="19" spans="1:15" ht="15" x14ac:dyDescent="0.2">
      <c r="A19" s="17" t="s">
        <v>14</v>
      </c>
      <c r="B19" s="16">
        <v>1211503797.4400001</v>
      </c>
      <c r="C19" s="16">
        <v>0</v>
      </c>
      <c r="D19" s="16">
        <v>357074392.53227496</v>
      </c>
      <c r="E19" s="16">
        <v>17795490.530000001</v>
      </c>
      <c r="F19" s="16">
        <v>3353429.08</v>
      </c>
      <c r="G19" s="16">
        <v>2392036.7799999998</v>
      </c>
      <c r="H19" s="16">
        <v>69692432.549999997</v>
      </c>
      <c r="I19" s="16">
        <v>8099886.0499999998</v>
      </c>
      <c r="J19" s="16">
        <v>56263956</v>
      </c>
      <c r="K19" s="16">
        <v>0</v>
      </c>
      <c r="L19" s="16">
        <v>0</v>
      </c>
      <c r="M19" s="16">
        <v>0</v>
      </c>
      <c r="N19" s="18">
        <f t="shared" si="0"/>
        <v>1726175420.9622748</v>
      </c>
      <c r="O19" s="4"/>
    </row>
    <row r="20" spans="1:15" ht="15" x14ac:dyDescent="0.2">
      <c r="A20" s="17" t="s">
        <v>15</v>
      </c>
      <c r="B20" s="16">
        <v>4289829376.0299997</v>
      </c>
      <c r="C20" s="16">
        <v>0</v>
      </c>
      <c r="D20" s="16">
        <v>43997109.538045123</v>
      </c>
      <c r="E20" s="16">
        <v>72906895.879999995</v>
      </c>
      <c r="F20" s="16">
        <v>107032969.05</v>
      </c>
      <c r="G20" s="16">
        <v>60049956.87981002</v>
      </c>
      <c r="H20" s="16">
        <v>246774830.63999999</v>
      </c>
      <c r="I20" s="16">
        <v>258527862.16999999</v>
      </c>
      <c r="J20" s="16">
        <v>319940330.64999998</v>
      </c>
      <c r="K20" s="16">
        <v>0</v>
      </c>
      <c r="L20" s="16">
        <v>0</v>
      </c>
      <c r="M20" s="16">
        <v>0</v>
      </c>
      <c r="N20" s="18">
        <f t="shared" si="0"/>
        <v>5399059330.8378553</v>
      </c>
      <c r="O20" s="4"/>
    </row>
    <row r="21" spans="1:15" ht="15" x14ac:dyDescent="0.2">
      <c r="A21" s="17" t="s">
        <v>16</v>
      </c>
      <c r="B21" s="16">
        <v>1863988697.3499999</v>
      </c>
      <c r="C21" s="16">
        <v>0</v>
      </c>
      <c r="D21" s="16">
        <v>20298923.794275589</v>
      </c>
      <c r="E21" s="16">
        <v>27349681.230000004</v>
      </c>
      <c r="F21" s="16">
        <v>28460326.620000001</v>
      </c>
      <c r="G21" s="16">
        <v>7874616.4089237135</v>
      </c>
      <c r="H21" s="16">
        <v>107226990.81999999</v>
      </c>
      <c r="I21" s="16">
        <v>68743186.930000007</v>
      </c>
      <c r="J21" s="16">
        <v>104893917.06</v>
      </c>
      <c r="K21" s="16">
        <v>0</v>
      </c>
      <c r="L21" s="16">
        <v>0</v>
      </c>
      <c r="M21" s="16">
        <v>0</v>
      </c>
      <c r="N21" s="18">
        <f t="shared" si="0"/>
        <v>2228836340.2131991</v>
      </c>
      <c r="O21" s="4"/>
    </row>
    <row r="22" spans="1:15" ht="15" x14ac:dyDescent="0.2">
      <c r="A22" s="17" t="s">
        <v>17</v>
      </c>
      <c r="B22" s="16">
        <v>1476680418.97</v>
      </c>
      <c r="C22" s="16">
        <v>0</v>
      </c>
      <c r="D22" s="16">
        <v>277812274.34942049</v>
      </c>
      <c r="E22" s="16">
        <v>21538341</v>
      </c>
      <c r="F22" s="16">
        <v>6776048.5899999999</v>
      </c>
      <c r="G22" s="16">
        <v>4049511.08</v>
      </c>
      <c r="H22" s="16">
        <v>84946865.799999997</v>
      </c>
      <c r="I22" s="16">
        <v>16366894.91</v>
      </c>
      <c r="J22" s="16">
        <v>78769573.26000002</v>
      </c>
      <c r="K22" s="16">
        <v>0</v>
      </c>
      <c r="L22" s="16">
        <v>0</v>
      </c>
      <c r="M22" s="16">
        <v>0</v>
      </c>
      <c r="N22" s="18">
        <f t="shared" si="0"/>
        <v>1966939927.9594204</v>
      </c>
      <c r="O22" s="4"/>
    </row>
    <row r="23" spans="1:15" ht="15" x14ac:dyDescent="0.2">
      <c r="A23" s="17" t="s">
        <v>18</v>
      </c>
      <c r="B23" s="16">
        <v>1418653716.5300002</v>
      </c>
      <c r="C23" s="16">
        <v>0</v>
      </c>
      <c r="D23" s="16">
        <v>231394684.23412478</v>
      </c>
      <c r="E23" s="16">
        <v>20809987.16</v>
      </c>
      <c r="F23" s="16">
        <v>6494674.21</v>
      </c>
      <c r="G23" s="16">
        <v>4991257.84</v>
      </c>
      <c r="H23" s="16">
        <v>81608847.340000004</v>
      </c>
      <c r="I23" s="16">
        <v>15687262.109999999</v>
      </c>
      <c r="J23" s="16">
        <v>65021166.219999976</v>
      </c>
      <c r="K23" s="16">
        <v>0</v>
      </c>
      <c r="L23" s="16">
        <v>0</v>
      </c>
      <c r="M23" s="16">
        <v>0</v>
      </c>
      <c r="N23" s="18">
        <f t="shared" si="0"/>
        <v>1844661595.6441247</v>
      </c>
      <c r="O23" s="4"/>
    </row>
    <row r="24" spans="1:15" ht="15" x14ac:dyDescent="0.2">
      <c r="A24" s="17" t="s">
        <v>19</v>
      </c>
      <c r="B24" s="16">
        <v>446596990.68000001</v>
      </c>
      <c r="C24" s="16">
        <v>0</v>
      </c>
      <c r="D24" s="16">
        <v>137037651.837556</v>
      </c>
      <c r="E24" s="16">
        <v>6533978.0199999996</v>
      </c>
      <c r="F24" s="16">
        <v>6752985.1100000003</v>
      </c>
      <c r="G24" s="16">
        <v>1236802.7261470251</v>
      </c>
      <c r="H24" s="16">
        <v>25690741.309999999</v>
      </c>
      <c r="I24" s="16">
        <v>16311187.300000001</v>
      </c>
      <c r="J24" s="16">
        <v>55017856.320000008</v>
      </c>
      <c r="K24" s="16">
        <v>0</v>
      </c>
      <c r="L24" s="16">
        <v>0</v>
      </c>
      <c r="M24" s="16">
        <v>0</v>
      </c>
      <c r="N24" s="18">
        <f t="shared" si="0"/>
        <v>695178193.30370295</v>
      </c>
      <c r="O24" s="4"/>
    </row>
    <row r="25" spans="1:15" ht="15" x14ac:dyDescent="0.2">
      <c r="A25" s="17" t="s">
        <v>20</v>
      </c>
      <c r="B25" s="16">
        <v>1848432493.0999999</v>
      </c>
      <c r="C25" s="16">
        <v>0</v>
      </c>
      <c r="D25" s="16">
        <v>70284583.807687759</v>
      </c>
      <c r="E25" s="16">
        <v>27281788.270000003</v>
      </c>
      <c r="F25" s="16">
        <v>29950227.030000001</v>
      </c>
      <c r="G25" s="16">
        <v>11884844.140000001</v>
      </c>
      <c r="H25" s="16">
        <v>106332111.48</v>
      </c>
      <c r="I25" s="16">
        <v>72341898.340000004</v>
      </c>
      <c r="J25" s="16">
        <v>127184617.38</v>
      </c>
      <c r="K25" s="16">
        <v>0</v>
      </c>
      <c r="L25" s="16">
        <v>0</v>
      </c>
      <c r="M25" s="16">
        <v>0</v>
      </c>
      <c r="N25" s="18">
        <f t="shared" si="0"/>
        <v>2293692563.547688</v>
      </c>
      <c r="O25" s="4"/>
    </row>
    <row r="26" spans="1:15" ht="15" x14ac:dyDescent="0.2">
      <c r="A26" s="17" t="s">
        <v>21</v>
      </c>
      <c r="B26" s="16">
        <v>753754759.54999995</v>
      </c>
      <c r="C26" s="16">
        <v>0</v>
      </c>
      <c r="D26" s="16">
        <v>110217477.00913689</v>
      </c>
      <c r="E26" s="16">
        <v>10981384.51</v>
      </c>
      <c r="F26" s="16">
        <v>13621287.6</v>
      </c>
      <c r="G26" s="16">
        <v>7590478.9100000001</v>
      </c>
      <c r="H26" s="16">
        <v>43360163.5</v>
      </c>
      <c r="I26" s="16">
        <v>32900912.640000001</v>
      </c>
      <c r="J26" s="16">
        <v>93846874.400000006</v>
      </c>
      <c r="K26" s="16">
        <v>0</v>
      </c>
      <c r="L26" s="16">
        <v>0</v>
      </c>
      <c r="M26" s="16">
        <v>0</v>
      </c>
      <c r="N26" s="18">
        <f t="shared" si="0"/>
        <v>1066273338.1191368</v>
      </c>
      <c r="O26" s="4"/>
    </row>
    <row r="27" spans="1:15" ht="15" x14ac:dyDescent="0.2">
      <c r="A27" s="17" t="s">
        <v>22</v>
      </c>
      <c r="B27" s="16">
        <v>368893235.13999999</v>
      </c>
      <c r="C27" s="16">
        <v>0</v>
      </c>
      <c r="D27" s="16">
        <v>102195152.53158389</v>
      </c>
      <c r="E27" s="16">
        <v>5444657.9900000002</v>
      </c>
      <c r="F27" s="16">
        <v>3385717.94</v>
      </c>
      <c r="G27" s="16">
        <v>1713979.11</v>
      </c>
      <c r="H27" s="16">
        <v>21220789.379999999</v>
      </c>
      <c r="I27" s="16">
        <v>8177876.7000000002</v>
      </c>
      <c r="J27" s="16">
        <v>25148415.390000001</v>
      </c>
      <c r="K27" s="16">
        <v>0</v>
      </c>
      <c r="L27" s="16">
        <v>0</v>
      </c>
      <c r="M27" s="16">
        <v>0</v>
      </c>
      <c r="N27" s="18">
        <f t="shared" si="0"/>
        <v>536179824.18158388</v>
      </c>
      <c r="O27" s="4"/>
    </row>
    <row r="28" spans="1:15" ht="15" x14ac:dyDescent="0.2">
      <c r="A28" s="17" t="s">
        <v>23</v>
      </c>
      <c r="B28" s="16">
        <v>1306437852.1300001</v>
      </c>
      <c r="C28" s="16">
        <v>0</v>
      </c>
      <c r="D28" s="16">
        <v>272315893.20814198</v>
      </c>
      <c r="E28" s="16">
        <v>19163585.229999997</v>
      </c>
      <c r="F28" s="16">
        <v>4663434.3899999997</v>
      </c>
      <c r="G28" s="16">
        <v>2486211.4500000002</v>
      </c>
      <c r="H28" s="16">
        <v>75153567.069999993</v>
      </c>
      <c r="I28" s="16">
        <v>11264078.119999999</v>
      </c>
      <c r="J28" s="16">
        <v>51417082.940000005</v>
      </c>
      <c r="K28" s="16">
        <v>0</v>
      </c>
      <c r="L28" s="16">
        <v>0</v>
      </c>
      <c r="M28" s="16">
        <v>0</v>
      </c>
      <c r="N28" s="18">
        <f t="shared" si="0"/>
        <v>1742901704.5381422</v>
      </c>
      <c r="O28" s="4"/>
    </row>
    <row r="29" spans="1:15" ht="15" x14ac:dyDescent="0.2">
      <c r="A29" s="17" t="s">
        <v>24</v>
      </c>
      <c r="B29" s="16">
        <v>807918166.20999992</v>
      </c>
      <c r="C29" s="16">
        <v>0</v>
      </c>
      <c r="D29" s="16">
        <v>272542705.40253031</v>
      </c>
      <c r="E29" s="16">
        <v>11924407.399999999</v>
      </c>
      <c r="F29" s="16">
        <v>2910610.38</v>
      </c>
      <c r="G29" s="16">
        <v>1506794.82</v>
      </c>
      <c r="H29" s="16">
        <v>46475943.719999999</v>
      </c>
      <c r="I29" s="16">
        <v>7030299.9900000002</v>
      </c>
      <c r="J29" s="16">
        <v>45837784.259999983</v>
      </c>
      <c r="K29" s="16">
        <v>0</v>
      </c>
      <c r="L29" s="16">
        <v>0</v>
      </c>
      <c r="M29" s="16">
        <v>0</v>
      </c>
      <c r="N29" s="18">
        <f t="shared" si="0"/>
        <v>1196146712.1825304</v>
      </c>
      <c r="O29" s="4"/>
    </row>
    <row r="30" spans="1:15" ht="15" x14ac:dyDescent="0.2">
      <c r="A30" s="17" t="s">
        <v>25</v>
      </c>
      <c r="B30" s="16">
        <v>268576321.69</v>
      </c>
      <c r="C30" s="16">
        <v>0</v>
      </c>
      <c r="D30" s="16">
        <v>178179987.77772912</v>
      </c>
      <c r="E30" s="16">
        <v>3933293.34</v>
      </c>
      <c r="F30" s="16">
        <v>2513918.64</v>
      </c>
      <c r="G30" s="16">
        <v>1883493.52</v>
      </c>
      <c r="H30" s="16">
        <v>15450002.91</v>
      </c>
      <c r="I30" s="16">
        <v>6072129.1500000004</v>
      </c>
      <c r="J30" s="16">
        <v>35609099.200000003</v>
      </c>
      <c r="K30" s="16">
        <v>0</v>
      </c>
      <c r="L30" s="16">
        <v>0</v>
      </c>
      <c r="M30" s="16">
        <v>0</v>
      </c>
      <c r="N30" s="18">
        <f t="shared" si="0"/>
        <v>512218246.22772902</v>
      </c>
      <c r="O30" s="4"/>
    </row>
    <row r="31" spans="1:15" ht="15" x14ac:dyDescent="0.2">
      <c r="A31" s="17" t="s">
        <v>26</v>
      </c>
      <c r="B31" s="16">
        <v>467922383.32999998</v>
      </c>
      <c r="C31" s="16">
        <v>0</v>
      </c>
      <c r="D31" s="16">
        <v>90547293.192183524</v>
      </c>
      <c r="E31" s="16">
        <v>6896697.2499999991</v>
      </c>
      <c r="F31" s="16">
        <v>3002864.28</v>
      </c>
      <c r="G31" s="16">
        <v>1035921.44</v>
      </c>
      <c r="H31" s="16">
        <v>26917496.43</v>
      </c>
      <c r="I31" s="16">
        <v>7253130.4199999999</v>
      </c>
      <c r="J31" s="16">
        <v>25237136.190000005</v>
      </c>
      <c r="K31" s="16">
        <v>0</v>
      </c>
      <c r="L31" s="16">
        <v>0</v>
      </c>
      <c r="M31" s="16">
        <v>0</v>
      </c>
      <c r="N31" s="18">
        <f t="shared" si="0"/>
        <v>628812922.53218353</v>
      </c>
      <c r="O31" s="4"/>
    </row>
    <row r="32" spans="1:15" ht="15" x14ac:dyDescent="0.2">
      <c r="A32" s="17" t="s">
        <v>27</v>
      </c>
      <c r="B32" s="16">
        <v>2055633922.7699997</v>
      </c>
      <c r="C32" s="16">
        <v>0</v>
      </c>
      <c r="D32" s="16">
        <v>484586754.6007815</v>
      </c>
      <c r="E32" s="16">
        <v>30227291.909999996</v>
      </c>
      <c r="F32" s="16">
        <v>8856373.9199999999</v>
      </c>
      <c r="G32" s="16">
        <v>5669315.5099999998</v>
      </c>
      <c r="H32" s="16">
        <v>118251489.44</v>
      </c>
      <c r="I32" s="16">
        <v>21391721.059999999</v>
      </c>
      <c r="J32" s="16">
        <v>78965491.079999983</v>
      </c>
      <c r="K32" s="16">
        <v>0</v>
      </c>
      <c r="L32" s="16">
        <v>0</v>
      </c>
      <c r="M32" s="16">
        <v>0</v>
      </c>
      <c r="N32" s="18">
        <f t="shared" si="0"/>
        <v>2803582360.2907815</v>
      </c>
      <c r="O32" s="4"/>
    </row>
    <row r="33" spans="1:15" ht="15" x14ac:dyDescent="0.2">
      <c r="A33" s="17" t="s">
        <v>28</v>
      </c>
      <c r="B33" s="16">
        <v>1397817674.6999998</v>
      </c>
      <c r="C33" s="16">
        <v>0</v>
      </c>
      <c r="D33" s="16">
        <v>251239375.03699011</v>
      </c>
      <c r="E33" s="16">
        <v>20500798.75</v>
      </c>
      <c r="F33" s="16">
        <v>6499286.9000000004</v>
      </c>
      <c r="G33" s="16">
        <v>4558054.33</v>
      </c>
      <c r="H33" s="16">
        <v>80410242.390000001</v>
      </c>
      <c r="I33" s="16">
        <v>15698403.630000001</v>
      </c>
      <c r="J33" s="16">
        <v>75322884.840000004</v>
      </c>
      <c r="K33" s="16">
        <v>0</v>
      </c>
      <c r="L33" s="16">
        <v>0</v>
      </c>
      <c r="M33" s="16">
        <v>0</v>
      </c>
      <c r="N33" s="18">
        <f t="shared" si="0"/>
        <v>1852046720.5769901</v>
      </c>
      <c r="O33" s="4"/>
    </row>
    <row r="34" spans="1:15" ht="15" x14ac:dyDescent="0.2">
      <c r="A34" s="17" t="s">
        <v>29</v>
      </c>
      <c r="B34" s="16">
        <v>1819380508.8900001</v>
      </c>
      <c r="C34" s="16">
        <v>0</v>
      </c>
      <c r="D34" s="16">
        <v>258914327.38913447</v>
      </c>
      <c r="E34" s="16">
        <v>30848921.590000004</v>
      </c>
      <c r="F34" s="16">
        <v>9451411.5399999991</v>
      </c>
      <c r="G34" s="16">
        <v>7609313.8399999999</v>
      </c>
      <c r="H34" s="16">
        <v>104660879.86</v>
      </c>
      <c r="I34" s="16">
        <v>22828977.309999999</v>
      </c>
      <c r="J34" s="16">
        <v>94748549.299999982</v>
      </c>
      <c r="K34" s="16">
        <v>0</v>
      </c>
      <c r="L34" s="16">
        <v>0</v>
      </c>
      <c r="M34" s="16">
        <v>0</v>
      </c>
      <c r="N34" s="18">
        <f t="shared" si="0"/>
        <v>2348442889.7191343</v>
      </c>
      <c r="O34" s="4"/>
    </row>
    <row r="35" spans="1:15" ht="15" x14ac:dyDescent="0.2">
      <c r="A35" s="17" t="s">
        <v>30</v>
      </c>
      <c r="B35" s="16">
        <v>862648189.6099999</v>
      </c>
      <c r="C35" s="16">
        <v>0</v>
      </c>
      <c r="D35" s="16">
        <v>225164201.67463052</v>
      </c>
      <c r="E35" s="16">
        <v>12707800.17</v>
      </c>
      <c r="F35" s="16">
        <v>5908861.9699999997</v>
      </c>
      <c r="G35" s="16">
        <v>2957084.83</v>
      </c>
      <c r="H35" s="16">
        <v>49624318.880000003</v>
      </c>
      <c r="I35" s="16">
        <v>14272288.890000001</v>
      </c>
      <c r="J35" s="16">
        <v>34052912.49000001</v>
      </c>
      <c r="K35" s="16">
        <v>0</v>
      </c>
      <c r="L35" s="16">
        <v>0</v>
      </c>
      <c r="M35" s="16">
        <v>0</v>
      </c>
      <c r="N35" s="18">
        <f t="shared" si="0"/>
        <v>1207335658.5146306</v>
      </c>
      <c r="O35" s="4"/>
    </row>
    <row r="36" spans="1:15" ht="15" x14ac:dyDescent="0.2">
      <c r="A36" s="17" t="s">
        <v>31</v>
      </c>
      <c r="B36" s="16">
        <v>1014759021.6400001</v>
      </c>
      <c r="C36" s="16">
        <v>0</v>
      </c>
      <c r="D36" s="16">
        <v>225139234.25595608</v>
      </c>
      <c r="E36" s="16">
        <v>14871347.550000001</v>
      </c>
      <c r="F36" s="16">
        <v>3717831.97</v>
      </c>
      <c r="G36" s="16">
        <v>1713979.11</v>
      </c>
      <c r="H36" s="16">
        <v>58374579.450000003</v>
      </c>
      <c r="I36" s="16">
        <v>8980066.2300000004</v>
      </c>
      <c r="J36" s="16">
        <v>34294497.949999996</v>
      </c>
      <c r="K36" s="16">
        <v>0</v>
      </c>
      <c r="L36" s="16">
        <v>0</v>
      </c>
      <c r="M36" s="16">
        <v>0</v>
      </c>
      <c r="N36" s="18">
        <f t="shared" si="0"/>
        <v>1361850558.1559563</v>
      </c>
      <c r="O36" s="4"/>
    </row>
    <row r="37" spans="1:15" ht="15" x14ac:dyDescent="0.2">
      <c r="A37" s="17" t="s">
        <v>32</v>
      </c>
      <c r="B37" s="16">
        <v>1053829819.52</v>
      </c>
      <c r="C37" s="16">
        <v>0</v>
      </c>
      <c r="D37" s="16">
        <v>243641705.42551649</v>
      </c>
      <c r="E37" s="16">
        <v>15530652.09</v>
      </c>
      <c r="F37" s="16">
        <v>6895978.6500000004</v>
      </c>
      <c r="G37" s="16">
        <v>2618056</v>
      </c>
      <c r="H37" s="16">
        <v>60622148.909999996</v>
      </c>
      <c r="I37" s="16">
        <v>16656574.470000001</v>
      </c>
      <c r="J37" s="16">
        <v>58211280.959999986</v>
      </c>
      <c r="K37" s="16">
        <v>0</v>
      </c>
      <c r="L37" s="16">
        <v>0</v>
      </c>
      <c r="M37" s="16">
        <v>0</v>
      </c>
      <c r="N37" s="18">
        <f t="shared" si="0"/>
        <v>1458006216.0255167</v>
      </c>
      <c r="O37" s="4"/>
    </row>
    <row r="38" spans="1:15" ht="15" x14ac:dyDescent="0.2">
      <c r="A38" s="17" t="s">
        <v>33</v>
      </c>
      <c r="B38" s="16">
        <v>921576327.70000005</v>
      </c>
      <c r="C38" s="16">
        <v>0</v>
      </c>
      <c r="D38" s="16">
        <v>20139290.738589495</v>
      </c>
      <c r="E38" s="16">
        <v>13600473.319999998</v>
      </c>
      <c r="F38" s="16">
        <v>6162560.1900000004</v>
      </c>
      <c r="G38" s="16">
        <v>7251450.0700000003</v>
      </c>
      <c r="H38" s="16">
        <v>53014192.939999998</v>
      </c>
      <c r="I38" s="16">
        <v>14885072.57</v>
      </c>
      <c r="J38" s="16">
        <v>96060884.640000015</v>
      </c>
      <c r="K38" s="16">
        <v>0</v>
      </c>
      <c r="L38" s="16">
        <v>0</v>
      </c>
      <c r="M38" s="16">
        <v>0</v>
      </c>
      <c r="N38" s="18">
        <f t="shared" si="0"/>
        <v>1132690252.1685898</v>
      </c>
      <c r="O38" s="4"/>
    </row>
    <row r="39" spans="1:15" ht="15" x14ac:dyDescent="0.2">
      <c r="A39" s="17" t="s">
        <v>34</v>
      </c>
      <c r="B39" s="16">
        <v>1704486092.7600002</v>
      </c>
      <c r="C39" s="16">
        <v>0</v>
      </c>
      <c r="D39" s="16">
        <v>333415301.67460626</v>
      </c>
      <c r="E39" s="16">
        <v>24985149.57</v>
      </c>
      <c r="F39" s="16">
        <v>7850806.4699999997</v>
      </c>
      <c r="G39" s="16">
        <v>4520384.46</v>
      </c>
      <c r="H39" s="16">
        <v>98051514.409999996</v>
      </c>
      <c r="I39" s="16">
        <v>18962869.390000001</v>
      </c>
      <c r="J39" s="16">
        <v>83396648.800000027</v>
      </c>
      <c r="K39" s="16">
        <v>0</v>
      </c>
      <c r="L39" s="16">
        <v>0</v>
      </c>
      <c r="M39" s="16">
        <v>0</v>
      </c>
      <c r="N39" s="18">
        <f t="shared" si="0"/>
        <v>2275668767.5346065</v>
      </c>
      <c r="O39" s="4"/>
    </row>
    <row r="40" spans="1:15" ht="15" x14ac:dyDescent="0.2">
      <c r="A40" s="17" t="s">
        <v>35</v>
      </c>
      <c r="B40" s="16">
        <v>1200222973.79</v>
      </c>
      <c r="C40" s="16">
        <v>0</v>
      </c>
      <c r="D40" s="16">
        <v>292862719.90801567</v>
      </c>
      <c r="E40" s="16">
        <v>17486130.530000001</v>
      </c>
      <c r="F40" s="16">
        <v>4192939.53</v>
      </c>
      <c r="G40" s="16">
        <v>1977668.2</v>
      </c>
      <c r="H40" s="16">
        <v>69043496.870000005</v>
      </c>
      <c r="I40" s="16">
        <v>10127642.939999999</v>
      </c>
      <c r="J40" s="16">
        <v>45944806.979999989</v>
      </c>
      <c r="K40" s="16">
        <v>0</v>
      </c>
      <c r="L40" s="16">
        <v>0</v>
      </c>
      <c r="M40" s="16">
        <v>0</v>
      </c>
      <c r="N40" s="18">
        <f t="shared" ref="N40:N71" si="1">SUM(B40:M40)</f>
        <v>1641858378.7480159</v>
      </c>
      <c r="O40" s="4"/>
    </row>
    <row r="41" spans="1:15" ht="15" x14ac:dyDescent="0.2">
      <c r="A41" s="17" t="s">
        <v>36</v>
      </c>
      <c r="B41" s="16">
        <v>1107890204.9500003</v>
      </c>
      <c r="C41" s="16">
        <v>0</v>
      </c>
      <c r="D41" s="16">
        <v>82780494.619073734</v>
      </c>
      <c r="E41" s="16">
        <v>16347042.189999999</v>
      </c>
      <c r="F41" s="16">
        <v>7098937.2199999997</v>
      </c>
      <c r="G41" s="16">
        <v>3446793.15</v>
      </c>
      <c r="H41" s="16">
        <v>63732002.780000001</v>
      </c>
      <c r="I41" s="16">
        <v>17146801.41</v>
      </c>
      <c r="J41" s="16">
        <v>47145413.310000002</v>
      </c>
      <c r="K41" s="16">
        <v>0</v>
      </c>
      <c r="L41" s="16">
        <v>0</v>
      </c>
      <c r="M41" s="16">
        <v>0</v>
      </c>
      <c r="N41" s="18">
        <f t="shared" si="1"/>
        <v>1345587689.6290741</v>
      </c>
      <c r="O41" s="4"/>
    </row>
    <row r="42" spans="1:15" ht="15" x14ac:dyDescent="0.2">
      <c r="A42" s="17" t="s">
        <v>37</v>
      </c>
      <c r="B42" s="16">
        <v>743117818.51999998</v>
      </c>
      <c r="C42" s="16">
        <v>0</v>
      </c>
      <c r="D42" s="16">
        <v>13256224.377445785</v>
      </c>
      <c r="E42" s="16">
        <v>10887092.420000002</v>
      </c>
      <c r="F42" s="16">
        <v>19281064.059999999</v>
      </c>
      <c r="G42" s="16">
        <v>0</v>
      </c>
      <c r="H42" s="16">
        <v>42748267.530000001</v>
      </c>
      <c r="I42" s="16">
        <v>46571559.380000003</v>
      </c>
      <c r="J42" s="16">
        <v>71841509.700000018</v>
      </c>
      <c r="K42" s="16">
        <v>0</v>
      </c>
      <c r="L42" s="16">
        <v>0</v>
      </c>
      <c r="M42" s="16">
        <v>0</v>
      </c>
      <c r="N42" s="18">
        <f t="shared" si="1"/>
        <v>947703535.98744571</v>
      </c>
      <c r="O42" s="4"/>
    </row>
    <row r="43" spans="1:15" ht="15" x14ac:dyDescent="0.2">
      <c r="A43" s="17" t="s">
        <v>38</v>
      </c>
      <c r="B43" s="16">
        <v>3874241772.5999994</v>
      </c>
      <c r="C43" s="16">
        <v>0</v>
      </c>
      <c r="D43" s="16">
        <v>59893404.679568298</v>
      </c>
      <c r="E43" s="16">
        <v>56585533.709999993</v>
      </c>
      <c r="F43" s="16">
        <v>80177860.200000003</v>
      </c>
      <c r="G43" s="16">
        <v>27536675.329999998</v>
      </c>
      <c r="H43" s="16">
        <v>222867921.65000001</v>
      </c>
      <c r="I43" s="16">
        <v>193661924.68000001</v>
      </c>
      <c r="J43" s="16">
        <v>235281545.96999997</v>
      </c>
      <c r="K43" s="16">
        <v>0</v>
      </c>
      <c r="L43" s="16">
        <v>0</v>
      </c>
      <c r="M43" s="16">
        <v>0</v>
      </c>
      <c r="N43" s="18">
        <f t="shared" si="1"/>
        <v>4750246638.8195677</v>
      </c>
      <c r="O43" s="4"/>
    </row>
    <row r="44" spans="1:15" ht="15" x14ac:dyDescent="0.2">
      <c r="A44" s="17" t="s">
        <v>39</v>
      </c>
      <c r="B44" s="16">
        <v>3768387468.5600004</v>
      </c>
      <c r="C44" s="16">
        <v>0</v>
      </c>
      <c r="D44" s="16">
        <v>49564176.733299509</v>
      </c>
      <c r="E44" s="16">
        <v>55035242.659999996</v>
      </c>
      <c r="F44" s="16">
        <v>100884246.95</v>
      </c>
      <c r="G44" s="16">
        <v>47949467.888326585</v>
      </c>
      <c r="H44" s="16">
        <v>216778593.69999999</v>
      </c>
      <c r="I44" s="16">
        <v>243676214.16999999</v>
      </c>
      <c r="J44" s="16">
        <v>304254708.26999998</v>
      </c>
      <c r="K44" s="16">
        <v>0</v>
      </c>
      <c r="L44" s="16">
        <v>0</v>
      </c>
      <c r="M44" s="16">
        <v>0</v>
      </c>
      <c r="N44" s="18">
        <f t="shared" si="1"/>
        <v>4786530118.9316254</v>
      </c>
      <c r="O44" s="4"/>
    </row>
    <row r="45" spans="1:15" ht="15" x14ac:dyDescent="0.2">
      <c r="A45" s="17" t="s">
        <v>40</v>
      </c>
      <c r="B45" s="16">
        <v>1055194850.6700001</v>
      </c>
      <c r="C45" s="16">
        <v>0</v>
      </c>
      <c r="D45" s="16">
        <v>101730844.20280193</v>
      </c>
      <c r="E45" s="16">
        <v>15450122.07</v>
      </c>
      <c r="F45" s="16">
        <v>7514079.75</v>
      </c>
      <c r="G45" s="16">
        <v>4313200.17</v>
      </c>
      <c r="H45" s="16">
        <v>60700673.090000004</v>
      </c>
      <c r="I45" s="16">
        <v>18149538.329999998</v>
      </c>
      <c r="J45" s="16">
        <v>45547916.640000001</v>
      </c>
      <c r="K45" s="16">
        <v>0</v>
      </c>
      <c r="L45" s="16">
        <v>0</v>
      </c>
      <c r="M45" s="16">
        <v>0</v>
      </c>
      <c r="N45" s="18">
        <f t="shared" si="1"/>
        <v>1308601224.922802</v>
      </c>
      <c r="O45" s="4"/>
    </row>
    <row r="46" spans="1:15" ht="15" x14ac:dyDescent="0.2">
      <c r="A46" s="17" t="s">
        <v>41</v>
      </c>
      <c r="B46" s="16">
        <v>1667887804.21</v>
      </c>
      <c r="C46" s="16">
        <v>0</v>
      </c>
      <c r="D46" s="16">
        <v>54513482.753299505</v>
      </c>
      <c r="E46" s="16">
        <v>28210253.600000001</v>
      </c>
      <c r="F46" s="16">
        <v>59268514.880000003</v>
      </c>
      <c r="G46" s="16">
        <v>0</v>
      </c>
      <c r="H46" s="16">
        <v>95946177.420000002</v>
      </c>
      <c r="I46" s="16">
        <v>143157408.25</v>
      </c>
      <c r="J46" s="16">
        <v>192707779.53000003</v>
      </c>
      <c r="K46" s="16">
        <v>0</v>
      </c>
      <c r="L46" s="16">
        <v>0</v>
      </c>
      <c r="M46" s="16">
        <v>0</v>
      </c>
      <c r="N46" s="18">
        <f t="shared" si="1"/>
        <v>2241691420.6432996</v>
      </c>
      <c r="O46" s="4"/>
    </row>
    <row r="47" spans="1:15" ht="15" x14ac:dyDescent="0.2">
      <c r="A47" s="17" t="s">
        <v>42</v>
      </c>
      <c r="B47" s="16">
        <v>5066326070.1200008</v>
      </c>
      <c r="C47" s="16">
        <v>0</v>
      </c>
      <c r="D47" s="16">
        <v>57709123.660428979</v>
      </c>
      <c r="E47" s="16">
        <v>85893893.620000005</v>
      </c>
      <c r="F47" s="16">
        <v>184766101.03999999</v>
      </c>
      <c r="G47" s="16">
        <v>54576187.801484853</v>
      </c>
      <c r="H47" s="16">
        <v>291443236.62</v>
      </c>
      <c r="I47" s="16">
        <v>446284780.51999998</v>
      </c>
      <c r="J47" s="16">
        <v>463676164.56000006</v>
      </c>
      <c r="K47" s="16">
        <v>0</v>
      </c>
      <c r="L47" s="16">
        <v>0</v>
      </c>
      <c r="M47" s="16">
        <v>0</v>
      </c>
      <c r="N47" s="18">
        <f t="shared" si="1"/>
        <v>6650675557.9419146</v>
      </c>
      <c r="O47" s="4"/>
    </row>
    <row r="48" spans="1:15" ht="15" x14ac:dyDescent="0.2">
      <c r="A48" s="17" t="s">
        <v>43</v>
      </c>
      <c r="B48" s="16">
        <v>521776726.32999992</v>
      </c>
      <c r="C48" s="16">
        <v>0</v>
      </c>
      <c r="D48" s="16">
        <v>147429679.69157302</v>
      </c>
      <c r="E48" s="16">
        <v>7654194.1699999999</v>
      </c>
      <c r="F48" s="16">
        <v>1605217.77</v>
      </c>
      <c r="G48" s="16">
        <v>1167765.99</v>
      </c>
      <c r="H48" s="16">
        <v>30015497.59</v>
      </c>
      <c r="I48" s="16">
        <v>3877249.44</v>
      </c>
      <c r="J48" s="16">
        <v>24876849.690000005</v>
      </c>
      <c r="K48" s="16">
        <v>0</v>
      </c>
      <c r="L48" s="16">
        <v>0</v>
      </c>
      <c r="M48" s="16">
        <v>0</v>
      </c>
      <c r="N48" s="18">
        <f t="shared" si="1"/>
        <v>738403180.67157304</v>
      </c>
      <c r="O48" s="4"/>
    </row>
    <row r="49" spans="1:15" ht="15" x14ac:dyDescent="0.2">
      <c r="A49" s="17" t="s">
        <v>44</v>
      </c>
      <c r="B49" s="16">
        <v>912871034.58000004</v>
      </c>
      <c r="C49" s="16">
        <v>0</v>
      </c>
      <c r="D49" s="16">
        <v>222211641.10401213</v>
      </c>
      <c r="E49" s="16">
        <v>11232127.870000001</v>
      </c>
      <c r="F49" s="16">
        <v>9479087.7100000009</v>
      </c>
      <c r="G49" s="16">
        <v>4897083.16</v>
      </c>
      <c r="H49" s="16">
        <v>52513416.090000004</v>
      </c>
      <c r="I49" s="16">
        <v>22895826.440000001</v>
      </c>
      <c r="J49" s="16">
        <v>58550127.959999986</v>
      </c>
      <c r="K49" s="16">
        <v>0</v>
      </c>
      <c r="L49" s="16">
        <v>0</v>
      </c>
      <c r="M49" s="16">
        <v>0</v>
      </c>
      <c r="N49" s="18">
        <f t="shared" si="1"/>
        <v>1294650344.9140122</v>
      </c>
      <c r="O49" s="4"/>
    </row>
    <row r="50" spans="1:15" ht="15" x14ac:dyDescent="0.2">
      <c r="A50" s="17" t="s">
        <v>45</v>
      </c>
      <c r="B50" s="16">
        <v>611173390.4000001</v>
      </c>
      <c r="C50" s="16">
        <v>0</v>
      </c>
      <c r="D50" s="16">
        <v>161660811.60339344</v>
      </c>
      <c r="E50" s="16">
        <v>9018772.4299999997</v>
      </c>
      <c r="F50" s="16">
        <v>2656912.17</v>
      </c>
      <c r="G50" s="16">
        <v>1393785.21</v>
      </c>
      <c r="H50" s="16">
        <v>35158090.619999997</v>
      </c>
      <c r="I50" s="16">
        <v>6417516.3200000003</v>
      </c>
      <c r="J50" s="16">
        <v>42311090.25</v>
      </c>
      <c r="K50" s="16">
        <v>0</v>
      </c>
      <c r="L50" s="16">
        <v>0</v>
      </c>
      <c r="M50" s="16">
        <v>0</v>
      </c>
      <c r="N50" s="18">
        <f t="shared" si="1"/>
        <v>869790369.00339353</v>
      </c>
      <c r="O50" s="4"/>
    </row>
    <row r="51" spans="1:15" ht="15" x14ac:dyDescent="0.2">
      <c r="A51" s="17" t="s">
        <v>46</v>
      </c>
      <c r="B51" s="16">
        <v>586808871.7700001</v>
      </c>
      <c r="C51" s="16">
        <v>0</v>
      </c>
      <c r="D51" s="16">
        <v>190570628.29742128</v>
      </c>
      <c r="E51" s="16">
        <v>8660955.3599999994</v>
      </c>
      <c r="F51" s="16">
        <v>3311914.83</v>
      </c>
      <c r="G51" s="16">
        <v>1751648.98</v>
      </c>
      <c r="H51" s="16">
        <v>33756508.07</v>
      </c>
      <c r="I51" s="16">
        <v>7999612.3499999996</v>
      </c>
      <c r="J51" s="16">
        <v>29353849.370000001</v>
      </c>
      <c r="K51" s="16">
        <v>0</v>
      </c>
      <c r="L51" s="16">
        <v>0</v>
      </c>
      <c r="M51" s="16">
        <v>0</v>
      </c>
      <c r="N51" s="18">
        <f t="shared" si="1"/>
        <v>862213989.02742159</v>
      </c>
      <c r="O51" s="4"/>
    </row>
    <row r="52" spans="1:15" ht="15" x14ac:dyDescent="0.2">
      <c r="A52" s="17" t="s">
        <v>47</v>
      </c>
      <c r="B52" s="16">
        <v>706957370.14999998</v>
      </c>
      <c r="C52" s="16">
        <v>0</v>
      </c>
      <c r="D52" s="16">
        <v>164640091.56194428</v>
      </c>
      <c r="E52" s="16">
        <v>10390588.23</v>
      </c>
      <c r="F52" s="16">
        <v>3048991.23</v>
      </c>
      <c r="G52" s="16">
        <v>2241357.29</v>
      </c>
      <c r="H52" s="16">
        <v>40668117.539999999</v>
      </c>
      <c r="I52" s="16">
        <v>7364545.6299999999</v>
      </c>
      <c r="J52" s="16">
        <v>37626320.130000003</v>
      </c>
      <c r="K52" s="16">
        <v>0</v>
      </c>
      <c r="L52" s="16">
        <v>0</v>
      </c>
      <c r="M52" s="16">
        <v>0</v>
      </c>
      <c r="N52" s="18">
        <f t="shared" si="1"/>
        <v>972937381.76194417</v>
      </c>
      <c r="O52" s="4"/>
    </row>
    <row r="53" spans="1:15" ht="15" x14ac:dyDescent="0.2">
      <c r="A53" s="17" t="s">
        <v>48</v>
      </c>
      <c r="B53" s="16">
        <v>253535223.49000001</v>
      </c>
      <c r="C53" s="16">
        <v>0</v>
      </c>
      <c r="D53" s="16">
        <v>131436814.18717138</v>
      </c>
      <c r="E53" s="16">
        <v>3742030.0300000003</v>
      </c>
      <c r="F53" s="16">
        <v>530459.89</v>
      </c>
      <c r="G53" s="16">
        <v>339028.83</v>
      </c>
      <c r="H53" s="16">
        <v>14584755.33</v>
      </c>
      <c r="I53" s="16">
        <v>1281274.96</v>
      </c>
      <c r="J53" s="16">
        <v>19899074.190000005</v>
      </c>
      <c r="K53" s="16">
        <v>0</v>
      </c>
      <c r="L53" s="16">
        <v>0</v>
      </c>
      <c r="M53" s="16">
        <v>0</v>
      </c>
      <c r="N53" s="18">
        <f t="shared" si="1"/>
        <v>425348660.90717131</v>
      </c>
      <c r="O53" s="4"/>
    </row>
    <row r="54" spans="1:15" ht="15" x14ac:dyDescent="0.2">
      <c r="A54" s="17" t="s">
        <v>49</v>
      </c>
      <c r="B54" s="16">
        <v>917403968.28999984</v>
      </c>
      <c r="C54" s="16">
        <v>0</v>
      </c>
      <c r="D54" s="16">
        <v>208490626.70680857</v>
      </c>
      <c r="E54" s="16">
        <v>13398495.620000001</v>
      </c>
      <c r="F54" s="16">
        <v>1822014.42</v>
      </c>
      <c r="G54" s="16">
        <v>1243105.73</v>
      </c>
      <c r="H54" s="16">
        <v>52774175.630000003</v>
      </c>
      <c r="I54" s="16">
        <v>4400900.95</v>
      </c>
      <c r="J54" s="16">
        <v>45525431.49000001</v>
      </c>
      <c r="K54" s="16">
        <v>0</v>
      </c>
      <c r="L54" s="16">
        <v>0</v>
      </c>
      <c r="M54" s="16">
        <v>0</v>
      </c>
      <c r="N54" s="18">
        <f t="shared" si="1"/>
        <v>1245058718.8368087</v>
      </c>
      <c r="O54" s="4"/>
    </row>
    <row r="55" spans="1:15" ht="15" x14ac:dyDescent="0.2">
      <c r="A55" s="17" t="s">
        <v>50</v>
      </c>
      <c r="B55" s="16">
        <v>424061098.70000005</v>
      </c>
      <c r="C55" s="16">
        <v>0</v>
      </c>
      <c r="D55" s="16">
        <v>58369580.85877952</v>
      </c>
      <c r="E55" s="16">
        <v>6229890.0499999998</v>
      </c>
      <c r="F55" s="16">
        <v>3362654.47</v>
      </c>
      <c r="G55" s="16">
        <v>1939998.33</v>
      </c>
      <c r="H55" s="16">
        <v>24394351.539999999</v>
      </c>
      <c r="I55" s="16">
        <v>8122169.0899999999</v>
      </c>
      <c r="J55" s="16">
        <v>32140622.670000002</v>
      </c>
      <c r="K55" s="16">
        <v>0</v>
      </c>
      <c r="L55" s="16">
        <v>0</v>
      </c>
      <c r="M55" s="16">
        <v>0</v>
      </c>
      <c r="N55" s="18">
        <f t="shared" si="1"/>
        <v>558620365.70877957</v>
      </c>
      <c r="O55" s="4"/>
    </row>
    <row r="56" spans="1:15" ht="15" x14ac:dyDescent="0.2">
      <c r="A56" s="17" t="s">
        <v>51</v>
      </c>
      <c r="B56" s="16">
        <v>310686245.56999999</v>
      </c>
      <c r="C56" s="16">
        <v>0</v>
      </c>
      <c r="D56" s="16">
        <v>71384923.285851285</v>
      </c>
      <c r="E56" s="16">
        <v>4579397.71</v>
      </c>
      <c r="F56" s="16">
        <v>950215.11</v>
      </c>
      <c r="G56" s="16">
        <v>527378.18999999994</v>
      </c>
      <c r="H56" s="16">
        <v>17872399.789999999</v>
      </c>
      <c r="I56" s="16">
        <v>2295153.4</v>
      </c>
      <c r="J56" s="16">
        <v>26532215.25</v>
      </c>
      <c r="K56" s="16">
        <v>0</v>
      </c>
      <c r="L56" s="16">
        <v>0</v>
      </c>
      <c r="M56" s="16">
        <v>0</v>
      </c>
      <c r="N56" s="18">
        <f t="shared" si="1"/>
        <v>434827928.30585128</v>
      </c>
      <c r="O56" s="4"/>
    </row>
    <row r="57" spans="1:15" ht="15" x14ac:dyDescent="0.2">
      <c r="A57" s="17" t="s">
        <v>52</v>
      </c>
      <c r="B57" s="16">
        <v>802174733.16999996</v>
      </c>
      <c r="C57" s="16">
        <v>0</v>
      </c>
      <c r="D57" s="16">
        <v>137802937.41169137</v>
      </c>
      <c r="E57" s="16">
        <v>11743072.310000001</v>
      </c>
      <c r="F57" s="16">
        <v>4880231.04</v>
      </c>
      <c r="G57" s="16">
        <v>2429706.65</v>
      </c>
      <c r="H57" s="16">
        <v>46145549.530000001</v>
      </c>
      <c r="I57" s="16">
        <v>11787729.619999999</v>
      </c>
      <c r="J57" s="16">
        <v>56649167.850000016</v>
      </c>
      <c r="K57" s="16">
        <v>0</v>
      </c>
      <c r="L57" s="16">
        <v>0</v>
      </c>
      <c r="M57" s="16">
        <v>0</v>
      </c>
      <c r="N57" s="18">
        <f t="shared" si="1"/>
        <v>1073613127.5816911</v>
      </c>
      <c r="O57" s="4"/>
    </row>
    <row r="58" spans="1:15" ht="15" x14ac:dyDescent="0.2">
      <c r="A58" s="17" t="s">
        <v>53</v>
      </c>
      <c r="B58" s="16">
        <v>714735472.27999997</v>
      </c>
      <c r="C58" s="16">
        <v>0</v>
      </c>
      <c r="D58" s="16">
        <v>77248809.233525112</v>
      </c>
      <c r="E58" s="16">
        <v>10430786.890000001</v>
      </c>
      <c r="F58" s="16">
        <v>2841419.96</v>
      </c>
      <c r="G58" s="16">
        <v>1525629.76</v>
      </c>
      <c r="H58" s="16">
        <v>41115557.210000001</v>
      </c>
      <c r="I58" s="16">
        <v>6863177.1699999999</v>
      </c>
      <c r="J58" s="16">
        <v>32058525.469999991</v>
      </c>
      <c r="K58" s="16">
        <v>0</v>
      </c>
      <c r="L58" s="16">
        <v>0</v>
      </c>
      <c r="M58" s="16">
        <v>0</v>
      </c>
      <c r="N58" s="18">
        <f t="shared" si="1"/>
        <v>886819377.97352517</v>
      </c>
      <c r="O58" s="4"/>
    </row>
    <row r="59" spans="1:15" ht="15" x14ac:dyDescent="0.2">
      <c r="A59" s="17" t="s">
        <v>54</v>
      </c>
      <c r="B59" s="16">
        <v>792722536.19999993</v>
      </c>
      <c r="C59" s="16">
        <v>0</v>
      </c>
      <c r="D59" s="16">
        <v>271317203.88206536</v>
      </c>
      <c r="E59" s="16">
        <v>11657799.300000001</v>
      </c>
      <c r="F59" s="16">
        <v>2767616.85</v>
      </c>
      <c r="G59" s="16">
        <v>1393785.21</v>
      </c>
      <c r="H59" s="16">
        <v>45601806.619999997</v>
      </c>
      <c r="I59" s="16">
        <v>6684912.8300000001</v>
      </c>
      <c r="J59" s="16">
        <v>35856610.889999993</v>
      </c>
      <c r="K59" s="16">
        <v>0</v>
      </c>
      <c r="L59" s="16">
        <v>0</v>
      </c>
      <c r="M59" s="16">
        <v>0</v>
      </c>
      <c r="N59" s="18">
        <f t="shared" si="1"/>
        <v>1168002271.7820652</v>
      </c>
      <c r="O59" s="4"/>
    </row>
    <row r="60" spans="1:15" ht="15" x14ac:dyDescent="0.2">
      <c r="A60" s="17" t="s">
        <v>55</v>
      </c>
      <c r="B60" s="16">
        <v>5525877979.3799992</v>
      </c>
      <c r="C60" s="16">
        <v>0</v>
      </c>
      <c r="D60" s="16">
        <v>445990556.97174358</v>
      </c>
      <c r="E60" s="16">
        <v>114379087.27000001</v>
      </c>
      <c r="F60" s="16">
        <v>152241990.33000001</v>
      </c>
      <c r="G60" s="16">
        <v>71704598.489999995</v>
      </c>
      <c r="H60" s="16">
        <v>317879216.85000002</v>
      </c>
      <c r="I60" s="16">
        <v>367725913.25</v>
      </c>
      <c r="J60" s="16">
        <v>599363334.14999986</v>
      </c>
      <c r="K60" s="16">
        <v>0</v>
      </c>
      <c r="L60" s="16">
        <v>0</v>
      </c>
      <c r="M60" s="16">
        <v>0</v>
      </c>
      <c r="N60" s="18">
        <f t="shared" si="1"/>
        <v>7595162676.6917429</v>
      </c>
      <c r="O60" s="4"/>
    </row>
    <row r="61" spans="1:15" ht="15" x14ac:dyDescent="0.2">
      <c r="A61" s="17" t="s">
        <v>56</v>
      </c>
      <c r="B61" s="16">
        <v>1175420614.99</v>
      </c>
      <c r="C61" s="16">
        <v>0</v>
      </c>
      <c r="D61" s="16">
        <v>53453025.348419145</v>
      </c>
      <c r="E61" s="16">
        <v>16873556.780000001</v>
      </c>
      <c r="F61" s="16">
        <v>27177997.48</v>
      </c>
      <c r="G61" s="16">
        <v>7363113.1782682668</v>
      </c>
      <c r="H61" s="16">
        <v>67616727.329999998</v>
      </c>
      <c r="I61" s="16">
        <v>65645843.990000002</v>
      </c>
      <c r="J61" s="16">
        <v>148406311.01999998</v>
      </c>
      <c r="K61" s="16">
        <v>0</v>
      </c>
      <c r="L61" s="16">
        <v>0</v>
      </c>
      <c r="M61" s="16">
        <v>0</v>
      </c>
      <c r="N61" s="18">
        <f t="shared" si="1"/>
        <v>1561957190.1166873</v>
      </c>
      <c r="O61" s="4"/>
    </row>
    <row r="62" spans="1:15" ht="15" x14ac:dyDescent="0.2">
      <c r="A62" s="17" t="s">
        <v>57</v>
      </c>
      <c r="B62" s="16">
        <v>6325193873.8000002</v>
      </c>
      <c r="C62" s="16">
        <v>0</v>
      </c>
      <c r="D62" s="16">
        <v>85076798.790000007</v>
      </c>
      <c r="E62" s="16">
        <v>107458423.65000001</v>
      </c>
      <c r="F62" s="16">
        <v>121862782.69</v>
      </c>
      <c r="G62" s="16">
        <v>0</v>
      </c>
      <c r="H62" s="16">
        <v>363860310.06999999</v>
      </c>
      <c r="I62" s="16">
        <v>294347853.42000002</v>
      </c>
      <c r="J62" s="16">
        <v>295116469.41000009</v>
      </c>
      <c r="K62" s="16">
        <v>0</v>
      </c>
      <c r="L62" s="16">
        <v>0</v>
      </c>
      <c r="M62" s="16">
        <v>0</v>
      </c>
      <c r="N62" s="18">
        <f t="shared" si="1"/>
        <v>7592916511.829999</v>
      </c>
      <c r="O62" s="4"/>
    </row>
    <row r="63" spans="1:15" ht="15" x14ac:dyDescent="0.2">
      <c r="A63" s="17" t="s">
        <v>58</v>
      </c>
      <c r="B63" s="16">
        <v>1028486599.2600001</v>
      </c>
      <c r="C63" s="16">
        <v>0</v>
      </c>
      <c r="D63" s="16">
        <v>213035877.76535127</v>
      </c>
      <c r="E63" s="16">
        <v>15031663.57</v>
      </c>
      <c r="F63" s="16">
        <v>4294418.8099999996</v>
      </c>
      <c r="G63" s="16">
        <v>2429706.65</v>
      </c>
      <c r="H63" s="16">
        <v>59164266.020000003</v>
      </c>
      <c r="I63" s="16">
        <v>10372756.41</v>
      </c>
      <c r="J63" s="16">
        <v>39602230.920000002</v>
      </c>
      <c r="K63" s="16">
        <v>0</v>
      </c>
      <c r="L63" s="16">
        <v>0</v>
      </c>
      <c r="M63" s="16">
        <v>0</v>
      </c>
      <c r="N63" s="18">
        <f t="shared" si="1"/>
        <v>1372417519.4053514</v>
      </c>
      <c r="O63" s="4"/>
    </row>
    <row r="64" spans="1:15" ht="15" x14ac:dyDescent="0.2">
      <c r="A64" s="17" t="s">
        <v>59</v>
      </c>
      <c r="B64" s="16">
        <v>1558608044.55</v>
      </c>
      <c r="C64" s="16">
        <v>0</v>
      </c>
      <c r="D64" s="16">
        <v>761342368.93123019</v>
      </c>
      <c r="E64" s="16">
        <v>22939913.490000002</v>
      </c>
      <c r="F64" s="16">
        <v>7860031.8499999996</v>
      </c>
      <c r="G64" s="16">
        <v>3785821.99</v>
      </c>
      <c r="H64" s="16">
        <v>89659798.219999999</v>
      </c>
      <c r="I64" s="16">
        <v>18985152.440000001</v>
      </c>
      <c r="J64" s="16">
        <v>83951284.230000019</v>
      </c>
      <c r="K64" s="16">
        <v>0</v>
      </c>
      <c r="L64" s="16">
        <v>0</v>
      </c>
      <c r="M64" s="16">
        <v>0</v>
      </c>
      <c r="N64" s="18">
        <f t="shared" si="1"/>
        <v>2547132415.7012296</v>
      </c>
      <c r="O64" s="4"/>
    </row>
    <row r="65" spans="1:15" ht="15" x14ac:dyDescent="0.2">
      <c r="A65" s="17" t="s">
        <v>60</v>
      </c>
      <c r="B65" s="16">
        <v>861540711.47000003</v>
      </c>
      <c r="C65" s="16">
        <v>0</v>
      </c>
      <c r="D65" s="16">
        <v>204120522.54802093</v>
      </c>
      <c r="E65" s="16">
        <v>12692611.690000001</v>
      </c>
      <c r="F65" s="16">
        <v>1711309.75</v>
      </c>
      <c r="G65" s="16">
        <v>1261940.6599999999</v>
      </c>
      <c r="H65" s="16">
        <v>49560610.579999998</v>
      </c>
      <c r="I65" s="16">
        <v>4133504.43</v>
      </c>
      <c r="J65" s="16">
        <v>50073547.249999993</v>
      </c>
      <c r="K65" s="16">
        <v>0</v>
      </c>
      <c r="L65" s="16">
        <v>0</v>
      </c>
      <c r="M65" s="16">
        <v>0</v>
      </c>
      <c r="N65" s="18">
        <f t="shared" si="1"/>
        <v>1185094758.378021</v>
      </c>
      <c r="O65" s="4"/>
    </row>
    <row r="66" spans="1:15" ht="15" x14ac:dyDescent="0.2">
      <c r="A66" s="17" t="s">
        <v>61</v>
      </c>
      <c r="B66" s="16">
        <v>494012507.40999997</v>
      </c>
      <c r="C66" s="16">
        <v>0</v>
      </c>
      <c r="D66" s="16">
        <v>153207294.12133101</v>
      </c>
      <c r="E66" s="16">
        <v>7261646.3100000005</v>
      </c>
      <c r="F66" s="16">
        <v>1674408.19</v>
      </c>
      <c r="G66" s="16">
        <v>1148931.05</v>
      </c>
      <c r="H66" s="16">
        <v>28418345.390000001</v>
      </c>
      <c r="I66" s="16">
        <v>4044372.26</v>
      </c>
      <c r="J66" s="16">
        <v>22227776.550000008</v>
      </c>
      <c r="K66" s="16">
        <v>0</v>
      </c>
      <c r="L66" s="16">
        <v>0</v>
      </c>
      <c r="M66" s="16">
        <v>0</v>
      </c>
      <c r="N66" s="18">
        <f t="shared" si="1"/>
        <v>711995281.28133082</v>
      </c>
      <c r="O66" s="4"/>
    </row>
    <row r="67" spans="1:15" ht="15" x14ac:dyDescent="0.2">
      <c r="A67" s="17" t="s">
        <v>62</v>
      </c>
      <c r="B67" s="16">
        <v>2202902757.4499998</v>
      </c>
      <c r="C67" s="16">
        <v>0</v>
      </c>
      <c r="D67" s="16">
        <v>24915458.489999998</v>
      </c>
      <c r="E67" s="16">
        <v>37619354.969999999</v>
      </c>
      <c r="F67" s="16">
        <v>44992224.619999997</v>
      </c>
      <c r="G67" s="16">
        <v>24197753.087125491</v>
      </c>
      <c r="H67" s="16">
        <v>126723211.40000001</v>
      </c>
      <c r="I67" s="16">
        <v>108674399.56999999</v>
      </c>
      <c r="J67" s="16">
        <v>143215884.67000002</v>
      </c>
      <c r="K67" s="16">
        <v>0</v>
      </c>
      <c r="L67" s="16">
        <v>0</v>
      </c>
      <c r="M67" s="16">
        <v>0</v>
      </c>
      <c r="N67" s="18">
        <f t="shared" si="1"/>
        <v>2713241044.2571249</v>
      </c>
      <c r="O67" s="4"/>
    </row>
    <row r="68" spans="1:15" ht="15" x14ac:dyDescent="0.2">
      <c r="A68" s="17" t="s">
        <v>63</v>
      </c>
      <c r="B68" s="16">
        <v>1395757250.2700002</v>
      </c>
      <c r="C68" s="16">
        <v>0</v>
      </c>
      <c r="D68" s="16">
        <v>35951861.259999998</v>
      </c>
      <c r="E68" s="16">
        <v>20600564.080000002</v>
      </c>
      <c r="F68" s="16">
        <v>39678400.259999998</v>
      </c>
      <c r="G68" s="16">
        <v>23964755.730402324</v>
      </c>
      <c r="H68" s="16">
        <v>80291715.329999998</v>
      </c>
      <c r="I68" s="16">
        <v>95839366.939999998</v>
      </c>
      <c r="J68" s="16">
        <v>120278516.40000002</v>
      </c>
      <c r="K68" s="16">
        <v>0</v>
      </c>
      <c r="L68" s="16">
        <v>0</v>
      </c>
      <c r="M68" s="16">
        <v>0</v>
      </c>
      <c r="N68" s="18">
        <f t="shared" si="1"/>
        <v>1812362430.2704024</v>
      </c>
      <c r="O68" s="4"/>
    </row>
    <row r="69" spans="1:15" ht="15" x14ac:dyDescent="0.2">
      <c r="A69" s="17" t="s">
        <v>64</v>
      </c>
      <c r="B69" s="16">
        <v>4813254441.9899998</v>
      </c>
      <c r="C69" s="16">
        <v>0</v>
      </c>
      <c r="D69" s="16">
        <v>30303593.490374006</v>
      </c>
      <c r="E69" s="16">
        <v>70360429.569999993</v>
      </c>
      <c r="F69" s="16">
        <v>117102481.7</v>
      </c>
      <c r="G69" s="16">
        <v>25303512.87054956</v>
      </c>
      <c r="H69" s="16">
        <v>276885149.88</v>
      </c>
      <c r="I69" s="16">
        <v>282849803.35000002</v>
      </c>
      <c r="J69" s="16">
        <v>280871295.81</v>
      </c>
      <c r="K69" s="16">
        <v>0</v>
      </c>
      <c r="L69" s="16">
        <v>0</v>
      </c>
      <c r="M69" s="16">
        <v>0</v>
      </c>
      <c r="N69" s="18">
        <f t="shared" si="1"/>
        <v>5896930708.660923</v>
      </c>
      <c r="O69" s="4"/>
    </row>
    <row r="70" spans="1:15" ht="15" x14ac:dyDescent="0.2">
      <c r="A70" s="17" t="s">
        <v>65</v>
      </c>
      <c r="B70" s="16">
        <v>1007650557.4300001</v>
      </c>
      <c r="C70" s="16">
        <v>0</v>
      </c>
      <c r="D70" s="16">
        <v>266207604.7948643</v>
      </c>
      <c r="E70" s="16">
        <v>14791727.280000001</v>
      </c>
      <c r="F70" s="16">
        <v>26006373.02</v>
      </c>
      <c r="G70" s="16">
        <v>11150281.67</v>
      </c>
      <c r="H70" s="16">
        <v>57965661.07</v>
      </c>
      <c r="I70" s="16">
        <v>62815897.560000002</v>
      </c>
      <c r="J70" s="16">
        <v>119387474.01000002</v>
      </c>
      <c r="K70" s="16">
        <v>0</v>
      </c>
      <c r="L70" s="16">
        <v>0</v>
      </c>
      <c r="M70" s="16">
        <v>0</v>
      </c>
      <c r="N70" s="18">
        <f t="shared" si="1"/>
        <v>1565975576.8348644</v>
      </c>
      <c r="O70" s="4"/>
    </row>
    <row r="71" spans="1:15" ht="15" x14ac:dyDescent="0.2">
      <c r="A71" s="17" t="s">
        <v>66</v>
      </c>
      <c r="B71" s="16">
        <v>3903911884.1399999</v>
      </c>
      <c r="C71" s="16">
        <v>0</v>
      </c>
      <c r="D71" s="16">
        <v>21130654.450000003</v>
      </c>
      <c r="E71" s="16">
        <v>48597417.57</v>
      </c>
      <c r="F71" s="16">
        <v>16375066.369999999</v>
      </c>
      <c r="G71" s="16">
        <v>10830087.77</v>
      </c>
      <c r="H71" s="16">
        <v>224574711.38999999</v>
      </c>
      <c r="I71" s="16">
        <v>39552400.909999996</v>
      </c>
      <c r="J71" s="16">
        <v>99779138.770000011</v>
      </c>
      <c r="K71" s="16">
        <v>0</v>
      </c>
      <c r="L71" s="16">
        <v>0</v>
      </c>
      <c r="M71" s="16">
        <v>0</v>
      </c>
      <c r="N71" s="18">
        <f t="shared" si="1"/>
        <v>4364751361.3699999</v>
      </c>
      <c r="O71" s="4"/>
    </row>
    <row r="72" spans="1:15" ht="15" x14ac:dyDescent="0.2">
      <c r="A72" s="17" t="s">
        <v>67</v>
      </c>
      <c r="B72" s="16">
        <v>18187443529.549999</v>
      </c>
      <c r="C72" s="16">
        <v>0</v>
      </c>
      <c r="D72" s="16">
        <v>165038416.41305479</v>
      </c>
      <c r="E72" s="16">
        <v>310590068.75</v>
      </c>
      <c r="F72" s="16">
        <v>476468305.31999999</v>
      </c>
      <c r="G72" s="16">
        <v>0</v>
      </c>
      <c r="H72" s="16">
        <v>1046242846.3200001</v>
      </c>
      <c r="I72" s="16">
        <v>1150863451.27</v>
      </c>
      <c r="J72" s="16">
        <v>1461861654.54</v>
      </c>
      <c r="K72" s="16">
        <v>0</v>
      </c>
      <c r="L72" s="16">
        <v>0</v>
      </c>
      <c r="M72" s="16">
        <v>0</v>
      </c>
      <c r="N72" s="18">
        <f t="shared" ref="N72:N103" si="2">SUM(B72:M72)</f>
        <v>22798508272.163055</v>
      </c>
      <c r="O72" s="4"/>
    </row>
    <row r="73" spans="1:15" ht="15" x14ac:dyDescent="0.2">
      <c r="A73" s="17" t="s">
        <v>68</v>
      </c>
      <c r="B73" s="16">
        <v>7869533479.4000006</v>
      </c>
      <c r="C73" s="16">
        <v>0</v>
      </c>
      <c r="D73" s="16">
        <v>291112260.50573015</v>
      </c>
      <c r="E73" s="16">
        <v>133461445.34999999</v>
      </c>
      <c r="F73" s="16">
        <v>176850716.84</v>
      </c>
      <c r="G73" s="16">
        <v>96854598.170093566</v>
      </c>
      <c r="H73" s="16">
        <v>452699308.37</v>
      </c>
      <c r="I73" s="16">
        <v>427165929.82999998</v>
      </c>
      <c r="J73" s="16">
        <v>636776828.9599998</v>
      </c>
      <c r="K73" s="16">
        <v>0</v>
      </c>
      <c r="L73" s="16">
        <v>0</v>
      </c>
      <c r="M73" s="16">
        <v>0</v>
      </c>
      <c r="N73" s="18">
        <f t="shared" si="2"/>
        <v>10084454567.425825</v>
      </c>
      <c r="O73" s="4"/>
    </row>
    <row r="74" spans="1:15" ht="15" x14ac:dyDescent="0.2">
      <c r="A74" s="17" t="s">
        <v>69</v>
      </c>
      <c r="B74" s="16">
        <v>4383861995.0500002</v>
      </c>
      <c r="C74" s="16">
        <v>0</v>
      </c>
      <c r="D74" s="16">
        <v>69612587.63000001</v>
      </c>
      <c r="E74" s="16">
        <v>74863970.710000008</v>
      </c>
      <c r="F74" s="16">
        <v>128398971.15000001</v>
      </c>
      <c r="G74" s="16">
        <v>171362890.12685737</v>
      </c>
      <c r="H74" s="16">
        <v>252184109.56</v>
      </c>
      <c r="I74" s="16">
        <v>310135389.22000003</v>
      </c>
      <c r="J74" s="16">
        <v>341597958.67000008</v>
      </c>
      <c r="K74" s="16">
        <v>0</v>
      </c>
      <c r="L74" s="16">
        <v>0</v>
      </c>
      <c r="M74" s="16">
        <v>0</v>
      </c>
      <c r="N74" s="18">
        <f t="shared" si="2"/>
        <v>5732017872.1168585</v>
      </c>
      <c r="O74" s="4"/>
    </row>
    <row r="75" spans="1:15" ht="15" x14ac:dyDescent="0.2">
      <c r="A75" s="17" t="s">
        <v>70</v>
      </c>
      <c r="B75" s="16">
        <v>713911302.50999999</v>
      </c>
      <c r="C75" s="16">
        <v>0</v>
      </c>
      <c r="D75" s="16">
        <v>158313865.9088212</v>
      </c>
      <c r="E75" s="16">
        <v>10493025.01</v>
      </c>
      <c r="F75" s="16">
        <v>2334023.54</v>
      </c>
      <c r="G75" s="16">
        <v>1243105.73</v>
      </c>
      <c r="H75" s="16">
        <v>41068146.390000001</v>
      </c>
      <c r="I75" s="16">
        <v>5637609.8200000003</v>
      </c>
      <c r="J75" s="16">
        <v>38496445.910000004</v>
      </c>
      <c r="K75" s="16">
        <v>0</v>
      </c>
      <c r="L75" s="16">
        <v>0</v>
      </c>
      <c r="M75" s="16">
        <v>0</v>
      </c>
      <c r="N75" s="18">
        <f t="shared" si="2"/>
        <v>971497524.81882119</v>
      </c>
      <c r="O75" s="4"/>
    </row>
    <row r="76" spans="1:15" ht="15" x14ac:dyDescent="0.2">
      <c r="A76" s="17" t="s">
        <v>71</v>
      </c>
      <c r="B76" s="16">
        <v>711284261.4000001</v>
      </c>
      <c r="C76" s="16">
        <v>0</v>
      </c>
      <c r="D76" s="16">
        <v>221964304.88082829</v>
      </c>
      <c r="E76" s="16">
        <v>10433271.879999999</v>
      </c>
      <c r="F76" s="16">
        <v>4202164.92</v>
      </c>
      <c r="G76" s="16">
        <v>2919414.96</v>
      </c>
      <c r="H76" s="16">
        <v>40917024.380000003</v>
      </c>
      <c r="I76" s="16">
        <v>10149925.98</v>
      </c>
      <c r="J76" s="16">
        <v>57165108</v>
      </c>
      <c r="K76" s="16">
        <v>0</v>
      </c>
      <c r="L76" s="16">
        <v>0</v>
      </c>
      <c r="M76" s="16">
        <v>0</v>
      </c>
      <c r="N76" s="18">
        <f t="shared" si="2"/>
        <v>1059035476.4008284</v>
      </c>
      <c r="O76" s="4"/>
    </row>
    <row r="77" spans="1:15" ht="15" x14ac:dyDescent="0.2">
      <c r="A77" s="17" t="s">
        <v>72</v>
      </c>
      <c r="B77" s="16">
        <v>832308440.17000008</v>
      </c>
      <c r="C77" s="16">
        <v>0</v>
      </c>
      <c r="D77" s="16">
        <v>216708534.21163917</v>
      </c>
      <c r="E77" s="16">
        <v>12284399.859999999</v>
      </c>
      <c r="F77" s="16">
        <v>4935583.38</v>
      </c>
      <c r="G77" s="16">
        <v>1864658.59</v>
      </c>
      <c r="H77" s="16">
        <v>47879007.850000001</v>
      </c>
      <c r="I77" s="16">
        <v>11921427.880000001</v>
      </c>
      <c r="J77" s="16">
        <v>38842962.479999989</v>
      </c>
      <c r="K77" s="16">
        <v>0</v>
      </c>
      <c r="L77" s="16">
        <v>0</v>
      </c>
      <c r="M77" s="16">
        <v>0</v>
      </c>
      <c r="N77" s="18">
        <f t="shared" si="2"/>
        <v>1166745014.4216394</v>
      </c>
      <c r="O77" s="4"/>
    </row>
    <row r="78" spans="1:15" ht="15" x14ac:dyDescent="0.2">
      <c r="A78" s="17" t="s">
        <v>73</v>
      </c>
      <c r="B78" s="16">
        <v>323151813.25</v>
      </c>
      <c r="C78" s="16">
        <v>0</v>
      </c>
      <c r="D78" s="16">
        <v>65438471.584448963</v>
      </c>
      <c r="E78" s="16">
        <v>4769520.8000000007</v>
      </c>
      <c r="F78" s="16">
        <v>1752824</v>
      </c>
      <c r="G78" s="16">
        <v>659222.73</v>
      </c>
      <c r="H78" s="16">
        <v>18589488.539999999</v>
      </c>
      <c r="I78" s="16">
        <v>4233778.13</v>
      </c>
      <c r="J78" s="16">
        <v>16657715.980000004</v>
      </c>
      <c r="K78" s="16">
        <v>0</v>
      </c>
      <c r="L78" s="16">
        <v>0</v>
      </c>
      <c r="M78" s="16">
        <v>0</v>
      </c>
      <c r="N78" s="18">
        <f t="shared" si="2"/>
        <v>435252835.014449</v>
      </c>
      <c r="O78" s="4"/>
    </row>
    <row r="79" spans="1:15" ht="15" x14ac:dyDescent="0.2">
      <c r="A79" s="17" t="s">
        <v>74</v>
      </c>
      <c r="B79" s="16">
        <v>1570481240.2199998</v>
      </c>
      <c r="C79" s="16">
        <v>0</v>
      </c>
      <c r="D79" s="16">
        <v>532137780.9263581</v>
      </c>
      <c r="E79" s="16">
        <v>22935456.59</v>
      </c>
      <c r="F79" s="16">
        <v>8810246.9700000007</v>
      </c>
      <c r="G79" s="16">
        <v>4897083.16</v>
      </c>
      <c r="H79" s="16">
        <v>90342810.430000007</v>
      </c>
      <c r="I79" s="16">
        <v>21280305.84</v>
      </c>
      <c r="J79" s="16">
        <v>90235642.799999982</v>
      </c>
      <c r="K79" s="16">
        <v>0</v>
      </c>
      <c r="L79" s="16">
        <v>0</v>
      </c>
      <c r="M79" s="16">
        <v>0</v>
      </c>
      <c r="N79" s="18">
        <f t="shared" si="2"/>
        <v>2341120566.9363585</v>
      </c>
      <c r="O79" s="4"/>
    </row>
    <row r="80" spans="1:15" ht="15" x14ac:dyDescent="0.2">
      <c r="A80" s="17" t="s">
        <v>75</v>
      </c>
      <c r="B80" s="16">
        <v>834858215.38999987</v>
      </c>
      <c r="C80" s="16">
        <v>0</v>
      </c>
      <c r="D80" s="16">
        <v>605244516.81698728</v>
      </c>
      <c r="E80" s="16">
        <v>12284703.07</v>
      </c>
      <c r="F80" s="16">
        <v>2850645.35</v>
      </c>
      <c r="G80" s="16">
        <v>1958833.27</v>
      </c>
      <c r="H80" s="16">
        <v>48025685.090000004</v>
      </c>
      <c r="I80" s="16">
        <v>6885460.21</v>
      </c>
      <c r="J80" s="16">
        <v>58317955.079999991</v>
      </c>
      <c r="K80" s="16">
        <v>0</v>
      </c>
      <c r="L80" s="16">
        <v>0</v>
      </c>
      <c r="M80" s="16">
        <v>0</v>
      </c>
      <c r="N80" s="18">
        <f t="shared" si="2"/>
        <v>1570426014.2769868</v>
      </c>
      <c r="O80" s="4"/>
    </row>
    <row r="81" spans="1:15" ht="15" x14ac:dyDescent="0.2">
      <c r="A81" s="17" t="s">
        <v>76</v>
      </c>
      <c r="B81" s="16">
        <v>465655916.47000003</v>
      </c>
      <c r="C81" s="16">
        <v>0</v>
      </c>
      <c r="D81" s="16">
        <v>138122216.11578816</v>
      </c>
      <c r="E81" s="16">
        <v>6823079.7199999997</v>
      </c>
      <c r="F81" s="16">
        <v>7403375.0700000003</v>
      </c>
      <c r="G81" s="16">
        <v>4482714.59</v>
      </c>
      <c r="H81" s="16">
        <v>26787116.66</v>
      </c>
      <c r="I81" s="16">
        <v>17882141.82</v>
      </c>
      <c r="J81" s="16">
        <v>68183390.519999996</v>
      </c>
      <c r="K81" s="16">
        <v>0</v>
      </c>
      <c r="L81" s="16">
        <v>0</v>
      </c>
      <c r="M81" s="16">
        <v>0</v>
      </c>
      <c r="N81" s="18">
        <f t="shared" si="2"/>
        <v>735339950.96578836</v>
      </c>
      <c r="O81" s="4"/>
    </row>
    <row r="82" spans="1:15" ht="15" x14ac:dyDescent="0.2">
      <c r="A82" s="17" t="s">
        <v>77</v>
      </c>
      <c r="B82" s="16">
        <v>7464505551.079999</v>
      </c>
      <c r="C82" s="16">
        <v>0</v>
      </c>
      <c r="D82" s="16">
        <v>93830630.060000017</v>
      </c>
      <c r="E82" s="16">
        <v>126572847.30000001</v>
      </c>
      <c r="F82" s="16">
        <v>213369421.21000001</v>
      </c>
      <c r="G82" s="16">
        <v>176497165.15189064</v>
      </c>
      <c r="H82" s="16">
        <v>429399850.58999997</v>
      </c>
      <c r="I82" s="16">
        <v>515373354.62</v>
      </c>
      <c r="J82" s="16">
        <v>565980446.24000001</v>
      </c>
      <c r="K82" s="16">
        <v>0</v>
      </c>
      <c r="L82" s="16">
        <v>0</v>
      </c>
      <c r="M82" s="16">
        <v>0</v>
      </c>
      <c r="N82" s="18">
        <f t="shared" si="2"/>
        <v>9585529266.2518902</v>
      </c>
      <c r="O82" s="4"/>
    </row>
    <row r="83" spans="1:15" ht="15" x14ac:dyDescent="0.2">
      <c r="A83" s="17" t="s">
        <v>78</v>
      </c>
      <c r="B83" s="16">
        <v>2090583871.8099999</v>
      </c>
      <c r="C83" s="16">
        <v>0</v>
      </c>
      <c r="D83" s="16">
        <v>131732051.58719563</v>
      </c>
      <c r="E83" s="16">
        <v>35701248.259999998</v>
      </c>
      <c r="F83" s="16">
        <v>23626222.52</v>
      </c>
      <c r="G83" s="16">
        <v>11922514.01</v>
      </c>
      <c r="H83" s="16">
        <v>120262004.78</v>
      </c>
      <c r="I83" s="16">
        <v>57066872.520000003</v>
      </c>
      <c r="J83" s="16">
        <v>122496012.48000003</v>
      </c>
      <c r="K83" s="16">
        <v>0</v>
      </c>
      <c r="L83" s="16">
        <v>0</v>
      </c>
      <c r="M83" s="16">
        <v>0</v>
      </c>
      <c r="N83" s="18">
        <f t="shared" si="2"/>
        <v>2593390797.9671965</v>
      </c>
      <c r="O83" s="4"/>
    </row>
    <row r="84" spans="1:15" ht="15" x14ac:dyDescent="0.2">
      <c r="A84" s="17" t="s">
        <v>79</v>
      </c>
      <c r="B84" s="16">
        <v>803101924.13999999</v>
      </c>
      <c r="C84" s="16">
        <v>0</v>
      </c>
      <c r="D84" s="16">
        <v>114001396.72260977</v>
      </c>
      <c r="E84" s="16">
        <v>11728731.439999999</v>
      </c>
      <c r="F84" s="16">
        <v>4741850.2</v>
      </c>
      <c r="G84" s="16">
        <v>995900.20678307628</v>
      </c>
      <c r="H84" s="16">
        <v>46198886.710000001</v>
      </c>
      <c r="I84" s="16">
        <v>11453483.98</v>
      </c>
      <c r="J84" s="16">
        <v>50372304.390000001</v>
      </c>
      <c r="K84" s="16">
        <v>0</v>
      </c>
      <c r="L84" s="16">
        <v>0</v>
      </c>
      <c r="M84" s="16">
        <v>0</v>
      </c>
      <c r="N84" s="18">
        <f t="shared" si="2"/>
        <v>1042594477.7893929</v>
      </c>
      <c r="O84" s="4"/>
    </row>
    <row r="85" spans="1:15" ht="15" x14ac:dyDescent="0.2">
      <c r="A85" s="17" t="s">
        <v>80</v>
      </c>
      <c r="B85" s="16">
        <v>663533925.70000005</v>
      </c>
      <c r="C85" s="16">
        <v>0</v>
      </c>
      <c r="D85" s="16">
        <v>123740480.21655811</v>
      </c>
      <c r="E85" s="16">
        <v>9763707.0700000003</v>
      </c>
      <c r="F85" s="16">
        <v>2241769.65</v>
      </c>
      <c r="G85" s="16">
        <v>1224270.79</v>
      </c>
      <c r="H85" s="16">
        <v>38170159.649999999</v>
      </c>
      <c r="I85" s="16">
        <v>5414779.3899999997</v>
      </c>
      <c r="J85" s="16">
        <v>29694788.139999997</v>
      </c>
      <c r="K85" s="16">
        <v>0</v>
      </c>
      <c r="L85" s="16">
        <v>0</v>
      </c>
      <c r="M85" s="16">
        <v>0</v>
      </c>
      <c r="N85" s="18">
        <f t="shared" si="2"/>
        <v>873783880.60655808</v>
      </c>
      <c r="O85" s="4"/>
    </row>
    <row r="86" spans="1:15" ht="15" x14ac:dyDescent="0.2">
      <c r="A86" s="17" t="s">
        <v>81</v>
      </c>
      <c r="B86" s="16">
        <v>8530800938.3800001</v>
      </c>
      <c r="C86" s="16">
        <v>0</v>
      </c>
      <c r="D86" s="16">
        <v>80407408.569999993</v>
      </c>
      <c r="E86" s="16">
        <v>145086159.57999998</v>
      </c>
      <c r="F86" s="16">
        <v>133874239.81999999</v>
      </c>
      <c r="G86" s="16">
        <v>42733152.034176521</v>
      </c>
      <c r="H86" s="16">
        <v>490739088.25</v>
      </c>
      <c r="I86" s="16">
        <v>323360375.10000002</v>
      </c>
      <c r="J86" s="16">
        <v>249872538.93000007</v>
      </c>
      <c r="K86" s="16">
        <v>0</v>
      </c>
      <c r="L86" s="16">
        <v>0</v>
      </c>
      <c r="M86" s="16">
        <v>0</v>
      </c>
      <c r="N86" s="18">
        <f t="shared" si="2"/>
        <v>9996873900.6641769</v>
      </c>
      <c r="O86" s="4"/>
    </row>
    <row r="87" spans="1:15" ht="15" x14ac:dyDescent="0.2">
      <c r="A87" s="17" t="s">
        <v>82</v>
      </c>
      <c r="B87" s="16">
        <v>1262422035.6799998</v>
      </c>
      <c r="C87" s="16">
        <v>0</v>
      </c>
      <c r="D87" s="16">
        <v>143099950.03265658</v>
      </c>
      <c r="E87" s="16">
        <v>18435123.050000001</v>
      </c>
      <c r="F87" s="16">
        <v>3800860.47</v>
      </c>
      <c r="G87" s="16">
        <v>3559802.76</v>
      </c>
      <c r="H87" s="16">
        <v>72621532.640000001</v>
      </c>
      <c r="I87" s="16">
        <v>9180613.6199999992</v>
      </c>
      <c r="J87" s="16">
        <v>56501009.469999976</v>
      </c>
      <c r="K87" s="16">
        <v>0</v>
      </c>
      <c r="L87" s="16">
        <v>0</v>
      </c>
      <c r="M87" s="16">
        <v>0</v>
      </c>
      <c r="N87" s="18">
        <f t="shared" si="2"/>
        <v>1569620927.7226565</v>
      </c>
      <c r="O87" s="4"/>
    </row>
    <row r="88" spans="1:15" ht="15" x14ac:dyDescent="0.2">
      <c r="A88" s="17" t="s">
        <v>83</v>
      </c>
      <c r="B88" s="16">
        <v>1011694140.34</v>
      </c>
      <c r="C88" s="16">
        <v>0</v>
      </c>
      <c r="D88" s="16">
        <v>45675442.054866746</v>
      </c>
      <c r="E88" s="16">
        <v>14788685.050000001</v>
      </c>
      <c r="F88" s="16">
        <v>18653737.579999998</v>
      </c>
      <c r="G88" s="16">
        <v>7194945.2699999996</v>
      </c>
      <c r="H88" s="16">
        <v>58198270.439999998</v>
      </c>
      <c r="I88" s="16">
        <v>45056312.469999999</v>
      </c>
      <c r="J88" s="16">
        <v>86008420.890000015</v>
      </c>
      <c r="K88" s="16">
        <v>0</v>
      </c>
      <c r="L88" s="16">
        <v>0</v>
      </c>
      <c r="M88" s="16">
        <v>0</v>
      </c>
      <c r="N88" s="18">
        <f t="shared" si="2"/>
        <v>1287269954.094867</v>
      </c>
      <c r="O88" s="4"/>
    </row>
    <row r="89" spans="1:15" ht="15" x14ac:dyDescent="0.2">
      <c r="A89" s="17" t="s">
        <v>84</v>
      </c>
      <c r="B89" s="16">
        <v>1688698090.7</v>
      </c>
      <c r="C89" s="16">
        <v>0</v>
      </c>
      <c r="D89" s="16">
        <v>125801747.50091048</v>
      </c>
      <c r="E89" s="16">
        <v>24778179.040000003</v>
      </c>
      <c r="F89" s="16">
        <v>15687774.85</v>
      </c>
      <c r="G89" s="16">
        <v>7835333.0599999996</v>
      </c>
      <c r="H89" s="16">
        <v>97143300.769999996</v>
      </c>
      <c r="I89" s="16">
        <v>37892314.219999999</v>
      </c>
      <c r="J89" s="16">
        <v>88325793.359999985</v>
      </c>
      <c r="K89" s="16">
        <v>0</v>
      </c>
      <c r="L89" s="16">
        <v>0</v>
      </c>
      <c r="M89" s="16">
        <v>0</v>
      </c>
      <c r="N89" s="18">
        <f t="shared" si="2"/>
        <v>2086162533.5009103</v>
      </c>
      <c r="O89" s="4"/>
    </row>
    <row r="90" spans="1:15" ht="15" x14ac:dyDescent="0.2">
      <c r="A90" s="17" t="s">
        <v>85</v>
      </c>
      <c r="B90" s="16">
        <v>7905616661.9000015</v>
      </c>
      <c r="C90" s="16">
        <v>0</v>
      </c>
      <c r="D90" s="16">
        <v>55460470.381102659</v>
      </c>
      <c r="E90" s="16">
        <v>135005540.48000002</v>
      </c>
      <c r="F90" s="16">
        <v>212802059.75</v>
      </c>
      <c r="G90" s="16">
        <v>67268706.156667337</v>
      </c>
      <c r="H90" s="16">
        <v>454775013.58999997</v>
      </c>
      <c r="I90" s="16">
        <v>514002947.49000001</v>
      </c>
      <c r="J90" s="16">
        <v>514884256.96999985</v>
      </c>
      <c r="K90" s="16">
        <v>0</v>
      </c>
      <c r="L90" s="16">
        <v>0</v>
      </c>
      <c r="M90" s="16">
        <v>0</v>
      </c>
      <c r="N90" s="18">
        <f t="shared" si="2"/>
        <v>9859815656.7177715</v>
      </c>
      <c r="O90" s="4"/>
    </row>
    <row r="91" spans="1:15" ht="15" x14ac:dyDescent="0.2">
      <c r="A91" s="17" t="s">
        <v>86</v>
      </c>
      <c r="B91" s="16">
        <v>344245408.14999998</v>
      </c>
      <c r="C91" s="16">
        <v>0</v>
      </c>
      <c r="D91" s="16">
        <v>181140051.33668718</v>
      </c>
      <c r="E91" s="16">
        <v>5036946.9000000004</v>
      </c>
      <c r="F91" s="16">
        <v>4940196.08</v>
      </c>
      <c r="G91" s="16">
        <v>2674560.81</v>
      </c>
      <c r="H91" s="16">
        <v>19802909.359999999</v>
      </c>
      <c r="I91" s="16">
        <v>11932569.4</v>
      </c>
      <c r="J91" s="16">
        <v>39708382.140000008</v>
      </c>
      <c r="K91" s="16">
        <v>0</v>
      </c>
      <c r="L91" s="16">
        <v>0</v>
      </c>
      <c r="M91" s="16">
        <v>0</v>
      </c>
      <c r="N91" s="18">
        <f t="shared" si="2"/>
        <v>609481024.17668712</v>
      </c>
      <c r="O91" s="4"/>
    </row>
    <row r="92" spans="1:15" ht="15" x14ac:dyDescent="0.2">
      <c r="A92" s="17" t="s">
        <v>87</v>
      </c>
      <c r="B92" s="16">
        <v>513174454.41999996</v>
      </c>
      <c r="C92" s="16">
        <v>0</v>
      </c>
      <c r="D92" s="16">
        <v>2059750.83</v>
      </c>
      <c r="E92" s="16">
        <v>6663107.9299999997</v>
      </c>
      <c r="F92" s="16">
        <v>1056307.0900000001</v>
      </c>
      <c r="G92" s="16">
        <v>904076.89</v>
      </c>
      <c r="H92" s="16">
        <v>29520647.09</v>
      </c>
      <c r="I92" s="16">
        <v>2551408.4</v>
      </c>
      <c r="J92" s="16">
        <v>15440202.130000001</v>
      </c>
      <c r="K92" s="16">
        <v>0</v>
      </c>
      <c r="L92" s="16">
        <v>0</v>
      </c>
      <c r="M92" s="16">
        <v>0</v>
      </c>
      <c r="N92" s="18">
        <f t="shared" si="2"/>
        <v>571369954.77999985</v>
      </c>
      <c r="O92" s="4"/>
    </row>
    <row r="93" spans="1:15" ht="15" x14ac:dyDescent="0.2">
      <c r="A93" s="17" t="s">
        <v>88</v>
      </c>
      <c r="B93" s="16">
        <v>5319990070.2300005</v>
      </c>
      <c r="C93" s="16">
        <v>0</v>
      </c>
      <c r="D93" s="16">
        <v>62552681.311649755</v>
      </c>
      <c r="E93" s="16">
        <v>89545419.960000008</v>
      </c>
      <c r="F93" s="16">
        <v>172468656.83000001</v>
      </c>
      <c r="G93" s="16">
        <v>34630512.74487365</v>
      </c>
      <c r="H93" s="16">
        <v>306035399.88999999</v>
      </c>
      <c r="I93" s="16">
        <v>416581484.51999998</v>
      </c>
      <c r="J93" s="16">
        <v>531532560.55999994</v>
      </c>
      <c r="K93" s="16">
        <v>0</v>
      </c>
      <c r="L93" s="16">
        <v>0</v>
      </c>
      <c r="M93" s="16">
        <v>0</v>
      </c>
      <c r="N93" s="18">
        <f t="shared" si="2"/>
        <v>6933336786.046524</v>
      </c>
      <c r="O93" s="4"/>
    </row>
    <row r="94" spans="1:15" ht="15" x14ac:dyDescent="0.2">
      <c r="A94" s="17" t="s">
        <v>89</v>
      </c>
      <c r="B94" s="16">
        <v>3011979912.4899988</v>
      </c>
      <c r="C94" s="16">
        <v>0</v>
      </c>
      <c r="D94" s="16">
        <v>76456114.039999992</v>
      </c>
      <c r="E94" s="16">
        <v>51436088.280000001</v>
      </c>
      <c r="F94" s="16">
        <v>77986830.189999998</v>
      </c>
      <c r="G94" s="16">
        <v>43496929.176063709</v>
      </c>
      <c r="H94" s="16">
        <v>173265826.59999999</v>
      </c>
      <c r="I94" s="16">
        <v>188369702.02000001</v>
      </c>
      <c r="J94" s="16">
        <v>251035495.62</v>
      </c>
      <c r="K94" s="16">
        <v>0</v>
      </c>
      <c r="L94" s="16">
        <v>0</v>
      </c>
      <c r="M94" s="16">
        <v>0</v>
      </c>
      <c r="N94" s="18">
        <f t="shared" si="2"/>
        <v>3874026898.4160624</v>
      </c>
      <c r="O94" s="4"/>
    </row>
    <row r="95" spans="1:15" ht="15" x14ac:dyDescent="0.2">
      <c r="A95" s="17" t="s">
        <v>90</v>
      </c>
      <c r="B95" s="16">
        <v>560744502.98000002</v>
      </c>
      <c r="C95" s="16">
        <v>0</v>
      </c>
      <c r="D95" s="16">
        <v>116019920.60815565</v>
      </c>
      <c r="E95" s="16">
        <v>8232830.0300000003</v>
      </c>
      <c r="F95" s="16">
        <v>3823923.95</v>
      </c>
      <c r="G95" s="16">
        <v>2147182.62</v>
      </c>
      <c r="H95" s="16">
        <v>32257140.699999999</v>
      </c>
      <c r="I95" s="16">
        <v>9236321.2300000004</v>
      </c>
      <c r="J95" s="16">
        <v>40124097.300000004</v>
      </c>
      <c r="K95" s="16">
        <v>0</v>
      </c>
      <c r="L95" s="16">
        <v>0</v>
      </c>
      <c r="M95" s="16">
        <v>0</v>
      </c>
      <c r="N95" s="18">
        <f t="shared" si="2"/>
        <v>772585919.41815567</v>
      </c>
      <c r="O95" s="4"/>
    </row>
    <row r="96" spans="1:15" ht="15" x14ac:dyDescent="0.2">
      <c r="A96" s="17" t="s">
        <v>91</v>
      </c>
      <c r="B96" s="16">
        <v>1749017015.3100002</v>
      </c>
      <c r="C96" s="16">
        <v>0</v>
      </c>
      <c r="D96" s="16">
        <v>316843349.44028115</v>
      </c>
      <c r="E96" s="16">
        <v>22336278.34</v>
      </c>
      <c r="F96" s="16">
        <v>21430579.82</v>
      </c>
      <c r="G96" s="16">
        <v>10980767.25</v>
      </c>
      <c r="H96" s="16">
        <v>100613180.59999999</v>
      </c>
      <c r="I96" s="16">
        <v>51763508.350000001</v>
      </c>
      <c r="J96" s="16">
        <v>135971459.42000002</v>
      </c>
      <c r="K96" s="16">
        <v>0</v>
      </c>
      <c r="L96" s="16">
        <v>0</v>
      </c>
      <c r="M96" s="16">
        <v>0</v>
      </c>
      <c r="N96" s="18">
        <f t="shared" si="2"/>
        <v>2408956138.5302811</v>
      </c>
      <c r="O96" s="4"/>
    </row>
    <row r="97" spans="1:15" ht="15" x14ac:dyDescent="0.2">
      <c r="A97" s="17" t="s">
        <v>92</v>
      </c>
      <c r="B97" s="16">
        <v>909497089.60000002</v>
      </c>
      <c r="C97" s="16">
        <v>0</v>
      </c>
      <c r="D97" s="16">
        <v>458545732.81769729</v>
      </c>
      <c r="E97" s="16">
        <v>13329562.059999999</v>
      </c>
      <c r="F97" s="16">
        <v>9894230.2400000002</v>
      </c>
      <c r="G97" s="16">
        <v>5650480.5700000003</v>
      </c>
      <c r="H97" s="16">
        <v>52319328.020000003</v>
      </c>
      <c r="I97" s="16">
        <v>23898563.370000001</v>
      </c>
      <c r="J97" s="16">
        <v>92408342.909999996</v>
      </c>
      <c r="K97" s="16">
        <v>0</v>
      </c>
      <c r="L97" s="16">
        <v>0</v>
      </c>
      <c r="M97" s="16">
        <v>0</v>
      </c>
      <c r="N97" s="18">
        <f t="shared" si="2"/>
        <v>1565543329.5876973</v>
      </c>
      <c r="O97" s="4"/>
    </row>
    <row r="98" spans="1:15" ht="15" x14ac:dyDescent="0.2">
      <c r="A98" s="17" t="s">
        <v>93</v>
      </c>
      <c r="B98" s="16">
        <v>2560334881.9099998</v>
      </c>
      <c r="C98" s="16">
        <v>0</v>
      </c>
      <c r="D98" s="16">
        <v>465501550.99544543</v>
      </c>
      <c r="E98" s="16">
        <v>43408287.25</v>
      </c>
      <c r="F98" s="16">
        <v>23008121.43</v>
      </c>
      <c r="G98" s="16">
        <v>13523483.51</v>
      </c>
      <c r="H98" s="16">
        <v>147284693.97999999</v>
      </c>
      <c r="I98" s="16">
        <v>55573908.659999996</v>
      </c>
      <c r="J98" s="16">
        <v>178166637.60999992</v>
      </c>
      <c r="K98" s="16">
        <v>0</v>
      </c>
      <c r="L98" s="16">
        <v>0</v>
      </c>
      <c r="M98" s="16">
        <v>0</v>
      </c>
      <c r="N98" s="18">
        <f t="shared" si="2"/>
        <v>3486801565.3454452</v>
      </c>
      <c r="O98" s="4"/>
    </row>
    <row r="99" spans="1:15" ht="15" x14ac:dyDescent="0.2">
      <c r="A99" s="17" t="s">
        <v>94</v>
      </c>
      <c r="B99" s="16">
        <v>1809052631.5700002</v>
      </c>
      <c r="C99" s="16">
        <v>0</v>
      </c>
      <c r="D99" s="16">
        <v>261012097.60029772</v>
      </c>
      <c r="E99" s="16">
        <v>26517643.529999997</v>
      </c>
      <c r="F99" s="16">
        <v>8528872.5899999999</v>
      </c>
      <c r="G99" s="16">
        <v>4049511.08</v>
      </c>
      <c r="H99" s="16">
        <v>104066762.95</v>
      </c>
      <c r="I99" s="16">
        <v>20600673.039999999</v>
      </c>
      <c r="J99" s="16">
        <v>116827818.86999999</v>
      </c>
      <c r="K99" s="16">
        <v>0</v>
      </c>
      <c r="L99" s="16">
        <v>0</v>
      </c>
      <c r="M99" s="16">
        <v>0</v>
      </c>
      <c r="N99" s="18">
        <f t="shared" si="2"/>
        <v>2350656011.2302976</v>
      </c>
      <c r="O99" s="4"/>
    </row>
    <row r="100" spans="1:15" ht="15" x14ac:dyDescent="0.2">
      <c r="A100" s="17" t="s">
        <v>95</v>
      </c>
      <c r="B100" s="16">
        <v>1973680541.9000001</v>
      </c>
      <c r="C100" s="16">
        <v>0</v>
      </c>
      <c r="D100" s="16">
        <v>421953192.9725275</v>
      </c>
      <c r="E100" s="16">
        <v>29017763.509999998</v>
      </c>
      <c r="F100" s="16">
        <v>9575954.3000000007</v>
      </c>
      <c r="G100" s="16">
        <v>4821743.42</v>
      </c>
      <c r="H100" s="16">
        <v>113537075.43000001</v>
      </c>
      <c r="I100" s="16">
        <v>23129798.390000001</v>
      </c>
      <c r="J100" s="16">
        <v>90344234.399999991</v>
      </c>
      <c r="K100" s="16">
        <v>0</v>
      </c>
      <c r="L100" s="16">
        <v>0</v>
      </c>
      <c r="M100" s="16">
        <v>0</v>
      </c>
      <c r="N100" s="18">
        <f t="shared" si="2"/>
        <v>2666060304.3225279</v>
      </c>
      <c r="O100" s="4"/>
    </row>
    <row r="101" spans="1:15" ht="15" x14ac:dyDescent="0.2">
      <c r="A101" s="17" t="s">
        <v>96</v>
      </c>
      <c r="B101" s="16">
        <v>404461311.53999996</v>
      </c>
      <c r="C101" s="16">
        <v>0</v>
      </c>
      <c r="D101" s="16">
        <v>121744500.78114401</v>
      </c>
      <c r="E101" s="16">
        <v>5925735.2400000002</v>
      </c>
      <c r="F101" s="16">
        <v>1143948.29</v>
      </c>
      <c r="G101" s="16">
        <v>772232.35</v>
      </c>
      <c r="H101" s="16">
        <v>23266862.829999998</v>
      </c>
      <c r="I101" s="16">
        <v>2763097.3</v>
      </c>
      <c r="J101" s="16">
        <v>20850425.840000004</v>
      </c>
      <c r="K101" s="16">
        <v>0</v>
      </c>
      <c r="L101" s="16">
        <v>0</v>
      </c>
      <c r="M101" s="16">
        <v>0</v>
      </c>
      <c r="N101" s="18">
        <f t="shared" si="2"/>
        <v>580928114.17114401</v>
      </c>
      <c r="O101" s="4"/>
    </row>
    <row r="102" spans="1:15" ht="15" x14ac:dyDescent="0.2">
      <c r="A102" s="17" t="s">
        <v>97</v>
      </c>
      <c r="B102" s="16">
        <v>1110929330.97</v>
      </c>
      <c r="C102" s="16">
        <v>0</v>
      </c>
      <c r="D102" s="16">
        <v>529703956.18767446</v>
      </c>
      <c r="E102" s="16">
        <v>18889916.469999999</v>
      </c>
      <c r="F102" s="16">
        <v>22150160.199999999</v>
      </c>
      <c r="G102" s="16">
        <v>12393387.390000001</v>
      </c>
      <c r="H102" s="16">
        <v>63906830.200000003</v>
      </c>
      <c r="I102" s="16">
        <v>53501585.68</v>
      </c>
      <c r="J102" s="16">
        <v>134286113.44999999</v>
      </c>
      <c r="K102" s="16">
        <v>0</v>
      </c>
      <c r="L102" s="16">
        <v>0</v>
      </c>
      <c r="M102" s="16">
        <v>0</v>
      </c>
      <c r="N102" s="18">
        <f t="shared" si="2"/>
        <v>1945761280.5476749</v>
      </c>
      <c r="O102" s="4"/>
    </row>
    <row r="103" spans="1:15" ht="15" x14ac:dyDescent="0.2">
      <c r="A103" s="17" t="s">
        <v>98</v>
      </c>
      <c r="B103" s="16">
        <v>406161161.64999998</v>
      </c>
      <c r="C103" s="16">
        <v>0</v>
      </c>
      <c r="D103" s="16">
        <v>148848017.97973955</v>
      </c>
      <c r="E103" s="16">
        <v>5947134.9299999997</v>
      </c>
      <c r="F103" s="16">
        <v>548910.67000000004</v>
      </c>
      <c r="G103" s="16">
        <v>489708.32</v>
      </c>
      <c r="H103" s="16">
        <v>23364647.66</v>
      </c>
      <c r="I103" s="16">
        <v>1325841.04</v>
      </c>
      <c r="J103" s="16">
        <v>29474119.110000003</v>
      </c>
      <c r="K103" s="16">
        <v>0</v>
      </c>
      <c r="L103" s="16">
        <v>0</v>
      </c>
      <c r="M103" s="16">
        <v>0</v>
      </c>
      <c r="N103" s="18">
        <f t="shared" si="2"/>
        <v>616159541.35973942</v>
      </c>
      <c r="O103" s="4"/>
    </row>
    <row r="104" spans="1:15" ht="15" x14ac:dyDescent="0.2">
      <c r="A104" s="17" t="s">
        <v>99</v>
      </c>
      <c r="B104" s="16">
        <v>6012266916.5799999</v>
      </c>
      <c r="C104" s="16">
        <v>0</v>
      </c>
      <c r="D104" s="16">
        <v>97946664.566225007</v>
      </c>
      <c r="E104" s="16">
        <v>101444652.05000001</v>
      </c>
      <c r="F104" s="16">
        <v>112489786.95</v>
      </c>
      <c r="G104" s="16">
        <v>23500664.155241009</v>
      </c>
      <c r="H104" s="16">
        <v>345859012.10000002</v>
      </c>
      <c r="I104" s="16">
        <v>271708281.97000003</v>
      </c>
      <c r="J104" s="16">
        <v>326114006.18999994</v>
      </c>
      <c r="K104" s="16">
        <v>0</v>
      </c>
      <c r="L104" s="16">
        <v>0</v>
      </c>
      <c r="M104" s="16">
        <v>0</v>
      </c>
      <c r="N104" s="18">
        <f t="shared" ref="N104:N135" si="3">SUM(B104:M104)</f>
        <v>7291329984.5614662</v>
      </c>
      <c r="O104" s="4"/>
    </row>
    <row r="105" spans="1:15" ht="15" x14ac:dyDescent="0.2">
      <c r="A105" s="17" t="s">
        <v>100</v>
      </c>
      <c r="B105" s="16">
        <v>1068922428.3</v>
      </c>
      <c r="C105" s="16">
        <v>0</v>
      </c>
      <c r="D105" s="16">
        <v>16365318.370000003</v>
      </c>
      <c r="E105" s="16">
        <v>15723720.65</v>
      </c>
      <c r="F105" s="16">
        <v>4847942.18</v>
      </c>
      <c r="G105" s="16">
        <v>4237860.43</v>
      </c>
      <c r="H105" s="16">
        <v>61490359.659999996</v>
      </c>
      <c r="I105" s="16">
        <v>11709738.970000001</v>
      </c>
      <c r="J105" s="16">
        <v>42586142.13000001</v>
      </c>
      <c r="K105" s="16">
        <v>0</v>
      </c>
      <c r="L105" s="16">
        <v>0</v>
      </c>
      <c r="M105" s="16">
        <v>0</v>
      </c>
      <c r="N105" s="18">
        <f t="shared" si="3"/>
        <v>1225883510.6900003</v>
      </c>
      <c r="O105" s="4"/>
    </row>
    <row r="106" spans="1:15" ht="15" x14ac:dyDescent="0.2">
      <c r="A106" s="17" t="s">
        <v>101</v>
      </c>
      <c r="B106" s="16">
        <v>1097639593.53</v>
      </c>
      <c r="C106" s="16">
        <v>0</v>
      </c>
      <c r="D106" s="16">
        <v>11391403.059999999</v>
      </c>
      <c r="E106" s="16">
        <v>15958699.120000001</v>
      </c>
      <c r="F106" s="16">
        <v>34350737.82</v>
      </c>
      <c r="G106" s="16">
        <v>10420139.694697887</v>
      </c>
      <c r="H106" s="16">
        <v>63142330.630000003</v>
      </c>
      <c r="I106" s="16">
        <v>82970909.739999995</v>
      </c>
      <c r="J106" s="16">
        <v>111924471.34000005</v>
      </c>
      <c r="K106" s="16">
        <v>0</v>
      </c>
      <c r="L106" s="16">
        <v>0</v>
      </c>
      <c r="M106" s="16">
        <v>0</v>
      </c>
      <c r="N106" s="18">
        <f t="shared" si="3"/>
        <v>1427798284.9346979</v>
      </c>
      <c r="O106" s="4"/>
    </row>
    <row r="107" spans="1:15" ht="15" x14ac:dyDescent="0.2">
      <c r="A107" s="17" t="s">
        <v>102</v>
      </c>
      <c r="B107" s="16">
        <v>1521314362.7699997</v>
      </c>
      <c r="C107" s="16">
        <v>0</v>
      </c>
      <c r="D107" s="16">
        <v>179285762.06154633</v>
      </c>
      <c r="E107" s="16">
        <v>22315456.18</v>
      </c>
      <c r="F107" s="16">
        <v>1909655.62</v>
      </c>
      <c r="G107" s="16">
        <v>1789318.85</v>
      </c>
      <c r="H107" s="16">
        <v>87514458.340000004</v>
      </c>
      <c r="I107" s="16">
        <v>4612589.8499999996</v>
      </c>
      <c r="J107" s="16">
        <v>51854237.610000014</v>
      </c>
      <c r="K107" s="16">
        <v>0</v>
      </c>
      <c r="L107" s="16">
        <v>0</v>
      </c>
      <c r="M107" s="16">
        <v>0</v>
      </c>
      <c r="N107" s="18">
        <f t="shared" si="3"/>
        <v>1870595841.2815456</v>
      </c>
      <c r="O107" s="4"/>
    </row>
    <row r="108" spans="1:15" ht="15" x14ac:dyDescent="0.2">
      <c r="A108" s="17" t="s">
        <v>103</v>
      </c>
      <c r="B108" s="16">
        <v>539419110.30999994</v>
      </c>
      <c r="C108" s="16">
        <v>0</v>
      </c>
      <c r="D108" s="16">
        <v>67665626.164932907</v>
      </c>
      <c r="E108" s="16">
        <v>7889918.9800000004</v>
      </c>
      <c r="F108" s="16">
        <v>1937331.79</v>
      </c>
      <c r="G108" s="16">
        <v>1318445.47</v>
      </c>
      <c r="H108" s="16">
        <v>31030385.579999998</v>
      </c>
      <c r="I108" s="16">
        <v>4679438.9800000004</v>
      </c>
      <c r="J108" s="16">
        <v>27662228.580000006</v>
      </c>
      <c r="K108" s="16">
        <v>0</v>
      </c>
      <c r="L108" s="16">
        <v>0</v>
      </c>
      <c r="M108" s="16">
        <v>0</v>
      </c>
      <c r="N108" s="18">
        <f t="shared" si="3"/>
        <v>681602485.85493302</v>
      </c>
      <c r="O108" s="4"/>
    </row>
    <row r="109" spans="1:15" ht="15" x14ac:dyDescent="0.2">
      <c r="A109" s="17" t="s">
        <v>104</v>
      </c>
      <c r="B109" s="16">
        <v>5185212558.5599995</v>
      </c>
      <c r="C109" s="16">
        <v>0</v>
      </c>
      <c r="D109" s="16">
        <v>155616552.50433326</v>
      </c>
      <c r="E109" s="16">
        <v>88454983.88000001</v>
      </c>
      <c r="F109" s="16">
        <v>197801576.41</v>
      </c>
      <c r="G109" s="16">
        <v>108970440.62229393</v>
      </c>
      <c r="H109" s="16">
        <v>298282248.25999999</v>
      </c>
      <c r="I109" s="16">
        <v>477770719.94999999</v>
      </c>
      <c r="J109" s="16">
        <v>504718844.28000009</v>
      </c>
      <c r="K109" s="16">
        <v>0</v>
      </c>
      <c r="L109" s="16">
        <v>0</v>
      </c>
      <c r="M109" s="16">
        <v>0</v>
      </c>
      <c r="N109" s="18">
        <f t="shared" si="3"/>
        <v>7016827924.4666262</v>
      </c>
      <c r="O109" s="4"/>
    </row>
    <row r="110" spans="1:15" ht="15" x14ac:dyDescent="0.2">
      <c r="A110" s="17" t="s">
        <v>105</v>
      </c>
      <c r="B110" s="16">
        <v>594329420.8499999</v>
      </c>
      <c r="C110" s="16">
        <v>0</v>
      </c>
      <c r="D110" s="16">
        <v>149707780.89609325</v>
      </c>
      <c r="E110" s="16">
        <v>10095067.029999999</v>
      </c>
      <c r="F110" s="16">
        <v>7560206.7000000002</v>
      </c>
      <c r="G110" s="16">
        <v>4275530.3</v>
      </c>
      <c r="H110" s="16">
        <v>34189131.859999999</v>
      </c>
      <c r="I110" s="16">
        <v>18260953.550000001</v>
      </c>
      <c r="J110" s="16">
        <v>58481626.559999995</v>
      </c>
      <c r="K110" s="16">
        <v>0</v>
      </c>
      <c r="L110" s="16">
        <v>0</v>
      </c>
      <c r="M110" s="16">
        <v>0</v>
      </c>
      <c r="N110" s="18">
        <f t="shared" si="3"/>
        <v>876899717.74609303</v>
      </c>
      <c r="O110" s="4"/>
    </row>
    <row r="111" spans="1:15" ht="15" x14ac:dyDescent="0.2">
      <c r="A111" s="17" t="s">
        <v>106</v>
      </c>
      <c r="B111" s="16">
        <v>684035148.57999992</v>
      </c>
      <c r="C111" s="16">
        <v>0</v>
      </c>
      <c r="D111" s="16">
        <v>178733119.30229101</v>
      </c>
      <c r="E111" s="16">
        <v>10067941.66</v>
      </c>
      <c r="F111" s="16">
        <v>2633848.7000000002</v>
      </c>
      <c r="G111" s="16">
        <v>1789318.85</v>
      </c>
      <c r="H111" s="16">
        <v>39349503.950000003</v>
      </c>
      <c r="I111" s="16">
        <v>6361808.71</v>
      </c>
      <c r="J111" s="16">
        <v>45560466.63000001</v>
      </c>
      <c r="K111" s="16">
        <v>0</v>
      </c>
      <c r="L111" s="16">
        <v>0</v>
      </c>
      <c r="M111" s="16">
        <v>0</v>
      </c>
      <c r="N111" s="18">
        <f t="shared" si="3"/>
        <v>968531156.38229108</v>
      </c>
      <c r="O111" s="4"/>
    </row>
    <row r="112" spans="1:15" ht="15" x14ac:dyDescent="0.2">
      <c r="A112" s="17" t="s">
        <v>107</v>
      </c>
      <c r="B112" s="16">
        <v>1002190432.7400001</v>
      </c>
      <c r="C112" s="16">
        <v>0</v>
      </c>
      <c r="D112" s="16">
        <v>379034689.51911259</v>
      </c>
      <c r="E112" s="16">
        <v>14678029.419999998</v>
      </c>
      <c r="F112" s="16">
        <v>3201210.15</v>
      </c>
      <c r="G112" s="16">
        <v>2128347.6800000002</v>
      </c>
      <c r="H112" s="16">
        <v>57651564.350000001</v>
      </c>
      <c r="I112" s="16">
        <v>7732215.8399999999</v>
      </c>
      <c r="J112" s="16">
        <v>47792430.019999996</v>
      </c>
      <c r="K112" s="16">
        <v>0</v>
      </c>
      <c r="L112" s="16">
        <v>0</v>
      </c>
      <c r="M112" s="16">
        <v>0</v>
      </c>
      <c r="N112" s="18">
        <f t="shared" si="3"/>
        <v>1514408919.7191129</v>
      </c>
      <c r="O112" s="4"/>
    </row>
    <row r="113" spans="1:15" ht="15" x14ac:dyDescent="0.2">
      <c r="A113" s="17" t="s">
        <v>108</v>
      </c>
      <c r="B113" s="16">
        <v>793186131.68000007</v>
      </c>
      <c r="C113" s="16">
        <v>0</v>
      </c>
      <c r="D113" s="16">
        <v>481003698.64310181</v>
      </c>
      <c r="E113" s="16">
        <v>11620668.060000001</v>
      </c>
      <c r="F113" s="16">
        <v>4511215.46</v>
      </c>
      <c r="G113" s="16">
        <v>2749900.55</v>
      </c>
      <c r="H113" s="16">
        <v>45628475.210000001</v>
      </c>
      <c r="I113" s="16">
        <v>10896407.91</v>
      </c>
      <c r="J113" s="16">
        <v>46673572.279999994</v>
      </c>
      <c r="K113" s="16">
        <v>0</v>
      </c>
      <c r="L113" s="16">
        <v>0</v>
      </c>
      <c r="M113" s="16">
        <v>0</v>
      </c>
      <c r="N113" s="18">
        <f t="shared" si="3"/>
        <v>1396270069.793102</v>
      </c>
      <c r="O113" s="4"/>
    </row>
    <row r="114" spans="1:15" ht="15" x14ac:dyDescent="0.2">
      <c r="A114" s="17" t="s">
        <v>109</v>
      </c>
      <c r="B114" s="16">
        <v>491205179.16999996</v>
      </c>
      <c r="C114" s="16">
        <v>0</v>
      </c>
      <c r="D114" s="16">
        <v>134646021.29320639</v>
      </c>
      <c r="E114" s="16">
        <v>7242571.9299999997</v>
      </c>
      <c r="F114" s="16">
        <v>2730715.29</v>
      </c>
      <c r="G114" s="16">
        <v>1506794.82</v>
      </c>
      <c r="H114" s="16">
        <v>28256852.260000002</v>
      </c>
      <c r="I114" s="16">
        <v>6595780.6600000001</v>
      </c>
      <c r="J114" s="16">
        <v>35654069.650000006</v>
      </c>
      <c r="K114" s="16">
        <v>0</v>
      </c>
      <c r="L114" s="16">
        <v>0</v>
      </c>
      <c r="M114" s="16">
        <v>0</v>
      </c>
      <c r="N114" s="18">
        <f t="shared" si="3"/>
        <v>707837985.07320619</v>
      </c>
      <c r="O114" s="4"/>
    </row>
    <row r="115" spans="1:15" ht="15" x14ac:dyDescent="0.2">
      <c r="A115" s="17" t="s">
        <v>110</v>
      </c>
      <c r="B115" s="16">
        <v>1280012909.0700002</v>
      </c>
      <c r="C115" s="16">
        <v>0</v>
      </c>
      <c r="D115" s="16">
        <v>108128639.41364628</v>
      </c>
      <c r="E115" s="16">
        <v>18892264.310000002</v>
      </c>
      <c r="F115" s="16">
        <v>2827581.88</v>
      </c>
      <c r="G115" s="16">
        <v>2429706.65</v>
      </c>
      <c r="H115" s="16">
        <v>73633457.459999993</v>
      </c>
      <c r="I115" s="16">
        <v>6829752.6100000003</v>
      </c>
      <c r="J115" s="16">
        <v>47773082.289999999</v>
      </c>
      <c r="K115" s="16">
        <v>0</v>
      </c>
      <c r="L115" s="16">
        <v>0</v>
      </c>
      <c r="M115" s="16">
        <v>0</v>
      </c>
      <c r="N115" s="18">
        <f t="shared" si="3"/>
        <v>1540527393.6836464</v>
      </c>
      <c r="O115" s="4"/>
    </row>
    <row r="116" spans="1:15" ht="15" x14ac:dyDescent="0.2">
      <c r="A116" s="17" t="s">
        <v>111</v>
      </c>
      <c r="B116" s="16">
        <v>770032112.4000001</v>
      </c>
      <c r="C116" s="16">
        <v>0</v>
      </c>
      <c r="D116" s="16">
        <v>191723868.54021502</v>
      </c>
      <c r="E116" s="16">
        <v>11308193.520000001</v>
      </c>
      <c r="F116" s="16">
        <v>7804679.5199999996</v>
      </c>
      <c r="G116" s="16">
        <v>3823491.86</v>
      </c>
      <c r="H116" s="16">
        <v>44296527.32</v>
      </c>
      <c r="I116" s="16">
        <v>18851454.18</v>
      </c>
      <c r="J116" s="16">
        <v>64808863.799999997</v>
      </c>
      <c r="K116" s="16">
        <v>0</v>
      </c>
      <c r="L116" s="16">
        <v>0</v>
      </c>
      <c r="M116" s="16">
        <v>0</v>
      </c>
      <c r="N116" s="18">
        <f t="shared" si="3"/>
        <v>1112649191.1402152</v>
      </c>
      <c r="O116" s="4"/>
    </row>
    <row r="117" spans="1:15" ht="15" x14ac:dyDescent="0.2">
      <c r="A117" s="17" t="s">
        <v>112</v>
      </c>
      <c r="B117" s="16">
        <v>394906093.32999998</v>
      </c>
      <c r="C117" s="16">
        <v>0</v>
      </c>
      <c r="D117" s="16">
        <v>34984618.789150514</v>
      </c>
      <c r="E117" s="16">
        <v>5795930.0700000003</v>
      </c>
      <c r="F117" s="16">
        <v>1642119.33</v>
      </c>
      <c r="G117" s="16">
        <v>1017086.5</v>
      </c>
      <c r="H117" s="16">
        <v>22717193.57</v>
      </c>
      <c r="I117" s="16">
        <v>3966381.61</v>
      </c>
      <c r="J117" s="16">
        <v>19100935.990000006</v>
      </c>
      <c r="K117" s="16">
        <v>0</v>
      </c>
      <c r="L117" s="16">
        <v>0</v>
      </c>
      <c r="M117" s="16">
        <v>0</v>
      </c>
      <c r="N117" s="18">
        <f t="shared" si="3"/>
        <v>484130359.18915051</v>
      </c>
      <c r="O117" s="4"/>
    </row>
    <row r="118" spans="1:15" ht="15" x14ac:dyDescent="0.2">
      <c r="A118" s="17" t="s">
        <v>113</v>
      </c>
      <c r="B118" s="16">
        <v>692457133.36000001</v>
      </c>
      <c r="C118" s="16">
        <v>0</v>
      </c>
      <c r="D118" s="16">
        <v>354888493.89170504</v>
      </c>
      <c r="E118" s="16">
        <v>10121761.48</v>
      </c>
      <c r="F118" s="16">
        <v>7744714.4900000002</v>
      </c>
      <c r="G118" s="16">
        <v>4237860.43</v>
      </c>
      <c r="H118" s="16">
        <v>39833983.32</v>
      </c>
      <c r="I118" s="16">
        <v>18706614.399999999</v>
      </c>
      <c r="J118" s="16">
        <v>52649761.300000019</v>
      </c>
      <c r="K118" s="16">
        <v>0</v>
      </c>
      <c r="L118" s="16">
        <v>0</v>
      </c>
      <c r="M118" s="16">
        <v>0</v>
      </c>
      <c r="N118" s="18">
        <f t="shared" si="3"/>
        <v>1180640322.671705</v>
      </c>
      <c r="O118" s="4"/>
    </row>
    <row r="119" spans="1:15" ht="15" x14ac:dyDescent="0.2">
      <c r="A119" s="17" t="s">
        <v>114</v>
      </c>
      <c r="B119" s="16">
        <v>936978000.19000006</v>
      </c>
      <c r="C119" s="16">
        <v>0</v>
      </c>
      <c r="D119" s="16">
        <v>148560170.96822429</v>
      </c>
      <c r="E119" s="16">
        <v>13739670.75</v>
      </c>
      <c r="F119" s="16">
        <v>6222525.2199999997</v>
      </c>
      <c r="G119" s="16">
        <v>2844075.22</v>
      </c>
      <c r="H119" s="16">
        <v>53900182.75</v>
      </c>
      <c r="I119" s="16">
        <v>15029912.35</v>
      </c>
      <c r="J119" s="16">
        <v>47925249.759999998</v>
      </c>
      <c r="K119" s="16">
        <v>0</v>
      </c>
      <c r="L119" s="16">
        <v>0</v>
      </c>
      <c r="M119" s="16">
        <v>0</v>
      </c>
      <c r="N119" s="18">
        <f t="shared" si="3"/>
        <v>1225199787.2082243</v>
      </c>
      <c r="O119" s="4"/>
    </row>
    <row r="120" spans="1:15" ht="15" x14ac:dyDescent="0.2">
      <c r="A120" s="17" t="s">
        <v>115</v>
      </c>
      <c r="B120" s="16">
        <v>581941119.1099999</v>
      </c>
      <c r="C120" s="16">
        <v>0</v>
      </c>
      <c r="D120" s="16">
        <v>185865601.00284868</v>
      </c>
      <c r="E120" s="16">
        <v>8553889.3399999999</v>
      </c>
      <c r="F120" s="16">
        <v>4192939.53</v>
      </c>
      <c r="G120" s="16">
        <v>2881745.09</v>
      </c>
      <c r="H120" s="16">
        <v>33476487.879999999</v>
      </c>
      <c r="I120" s="16">
        <v>10127642.939999999</v>
      </c>
      <c r="J120" s="16">
        <v>49686592.229999989</v>
      </c>
      <c r="K120" s="16">
        <v>0</v>
      </c>
      <c r="L120" s="16">
        <v>0</v>
      </c>
      <c r="M120" s="16">
        <v>0</v>
      </c>
      <c r="N120" s="18">
        <f t="shared" si="3"/>
        <v>876726017.12284863</v>
      </c>
      <c r="O120" s="4"/>
    </row>
    <row r="121" spans="1:15" ht="15" x14ac:dyDescent="0.2">
      <c r="A121" s="17" t="s">
        <v>116</v>
      </c>
      <c r="B121" s="16">
        <v>711361527.30999994</v>
      </c>
      <c r="C121" s="16">
        <v>0</v>
      </c>
      <c r="D121" s="16">
        <v>189778977.85729492</v>
      </c>
      <c r="E121" s="16">
        <v>10428249.66</v>
      </c>
      <c r="F121" s="16">
        <v>1762049.39</v>
      </c>
      <c r="G121" s="16">
        <v>960581.7</v>
      </c>
      <c r="H121" s="16">
        <v>40921469.140000001</v>
      </c>
      <c r="I121" s="16">
        <v>4256061.17</v>
      </c>
      <c r="J121" s="16">
        <v>27609240.120000001</v>
      </c>
      <c r="K121" s="16">
        <v>0</v>
      </c>
      <c r="L121" s="16">
        <v>0</v>
      </c>
      <c r="M121" s="16">
        <v>0</v>
      </c>
      <c r="N121" s="18">
        <f t="shared" si="3"/>
        <v>987078156.34729481</v>
      </c>
      <c r="O121" s="4"/>
    </row>
    <row r="122" spans="1:15" ht="15" x14ac:dyDescent="0.2">
      <c r="A122" s="17" t="s">
        <v>117</v>
      </c>
      <c r="B122" s="16">
        <v>2310843241.21</v>
      </c>
      <c r="C122" s="16">
        <v>0</v>
      </c>
      <c r="D122" s="16">
        <v>408759005.6699999</v>
      </c>
      <c r="E122" s="16">
        <v>39291642.769999996</v>
      </c>
      <c r="F122" s="16">
        <v>53045989.659999996</v>
      </c>
      <c r="G122" s="16">
        <v>25791826.292434514</v>
      </c>
      <c r="H122" s="16">
        <v>132932548.01000001</v>
      </c>
      <c r="I122" s="16">
        <v>128127495.91</v>
      </c>
      <c r="J122" s="16">
        <v>129513145.44</v>
      </c>
      <c r="K122" s="16">
        <v>0</v>
      </c>
      <c r="L122" s="16">
        <v>0</v>
      </c>
      <c r="M122" s="16">
        <v>0</v>
      </c>
      <c r="N122" s="18">
        <f t="shared" si="3"/>
        <v>3228304894.9624348</v>
      </c>
      <c r="O122" s="4"/>
    </row>
    <row r="123" spans="1:15" ht="15" x14ac:dyDescent="0.2">
      <c r="A123" s="17" t="s">
        <v>118</v>
      </c>
      <c r="B123" s="16">
        <v>5099370126.6000004</v>
      </c>
      <c r="C123" s="16">
        <v>0</v>
      </c>
      <c r="D123" s="16">
        <v>159575296.15499997</v>
      </c>
      <c r="E123" s="16">
        <v>75103634</v>
      </c>
      <c r="F123" s="16">
        <v>73738538.319999993</v>
      </c>
      <c r="G123" s="16">
        <v>63960685.209224448</v>
      </c>
      <c r="H123" s="16">
        <v>293344114.42000002</v>
      </c>
      <c r="I123" s="16">
        <v>178108360.83000001</v>
      </c>
      <c r="J123" s="16">
        <v>168989877.43999997</v>
      </c>
      <c r="K123" s="16">
        <v>0</v>
      </c>
      <c r="L123" s="16">
        <v>0</v>
      </c>
      <c r="M123" s="16">
        <v>0</v>
      </c>
      <c r="N123" s="18">
        <f t="shared" si="3"/>
        <v>6112190632.9742241</v>
      </c>
      <c r="O123" s="4"/>
    </row>
    <row r="124" spans="1:15" ht="15" x14ac:dyDescent="0.2">
      <c r="A124" s="17" t="s">
        <v>119</v>
      </c>
      <c r="B124" s="16">
        <v>4478796049.6899996</v>
      </c>
      <c r="C124" s="16">
        <v>0</v>
      </c>
      <c r="D124" s="16">
        <v>46606781.660000004</v>
      </c>
      <c r="E124" s="16">
        <v>75830626.569999993</v>
      </c>
      <c r="F124" s="16">
        <v>94426474.290000007</v>
      </c>
      <c r="G124" s="16">
        <v>0</v>
      </c>
      <c r="H124" s="16">
        <v>257645244.06999999</v>
      </c>
      <c r="I124" s="16">
        <v>228078084.22999999</v>
      </c>
      <c r="J124" s="16">
        <v>241766528.64000005</v>
      </c>
      <c r="K124" s="16">
        <v>0</v>
      </c>
      <c r="L124" s="16">
        <v>0</v>
      </c>
      <c r="M124" s="16">
        <v>0</v>
      </c>
      <c r="N124" s="18">
        <f t="shared" si="3"/>
        <v>5423149789.1499987</v>
      </c>
      <c r="O124" s="4"/>
    </row>
    <row r="125" spans="1:15" ht="15" x14ac:dyDescent="0.2">
      <c r="A125" s="17" t="s">
        <v>120</v>
      </c>
      <c r="B125" s="16">
        <v>1473048920.97</v>
      </c>
      <c r="C125" s="16">
        <v>0</v>
      </c>
      <c r="D125" s="16">
        <v>113986790.80828437</v>
      </c>
      <c r="E125" s="16">
        <v>21612593.600000001</v>
      </c>
      <c r="F125" s="16">
        <v>36717050.229999997</v>
      </c>
      <c r="G125" s="16">
        <v>18043867.969999999</v>
      </c>
      <c r="H125" s="16">
        <v>84737961.849999994</v>
      </c>
      <c r="I125" s="16">
        <v>88686510.209999993</v>
      </c>
      <c r="J125" s="16">
        <v>149402633.09999996</v>
      </c>
      <c r="K125" s="16">
        <v>0</v>
      </c>
      <c r="L125" s="16">
        <v>0</v>
      </c>
      <c r="M125" s="16">
        <v>0</v>
      </c>
      <c r="N125" s="18">
        <f t="shared" si="3"/>
        <v>1986236328.7382841</v>
      </c>
      <c r="O125" s="4"/>
    </row>
    <row r="126" spans="1:15" ht="15" x14ac:dyDescent="0.2">
      <c r="A126" s="17" t="s">
        <v>121</v>
      </c>
      <c r="B126" s="16">
        <v>1641359839.9200001</v>
      </c>
      <c r="C126" s="16">
        <v>0</v>
      </c>
      <c r="D126" s="16">
        <v>201303294.27560115</v>
      </c>
      <c r="E126" s="16">
        <v>24136575.510000002</v>
      </c>
      <c r="F126" s="16">
        <v>18381588.59</v>
      </c>
      <c r="G126" s="16">
        <v>7383294.6200000001</v>
      </c>
      <c r="H126" s="16">
        <v>94420141.459999993</v>
      </c>
      <c r="I126" s="16">
        <v>44398962.710000001</v>
      </c>
      <c r="J126" s="16">
        <v>102511703.50999999</v>
      </c>
      <c r="K126" s="16">
        <v>0</v>
      </c>
      <c r="L126" s="16">
        <v>0</v>
      </c>
      <c r="M126" s="16">
        <v>0</v>
      </c>
      <c r="N126" s="18">
        <f t="shared" si="3"/>
        <v>2133895400.5956011</v>
      </c>
      <c r="O126" s="4"/>
    </row>
    <row r="127" spans="1:15" ht="15" x14ac:dyDescent="0.2">
      <c r="A127" s="17" t="s">
        <v>122</v>
      </c>
      <c r="B127" s="16">
        <v>926160772</v>
      </c>
      <c r="C127" s="16">
        <v>0</v>
      </c>
      <c r="D127" s="16">
        <v>69345883.277247876</v>
      </c>
      <c r="E127" s="16">
        <v>13560478.220000001</v>
      </c>
      <c r="F127" s="16">
        <v>19511698.800000001</v>
      </c>
      <c r="G127" s="16">
        <v>10547563.74</v>
      </c>
      <c r="H127" s="16">
        <v>53277915.659999996</v>
      </c>
      <c r="I127" s="16">
        <v>47128635.450000003</v>
      </c>
      <c r="J127" s="16">
        <v>113662282.85999998</v>
      </c>
      <c r="K127" s="16">
        <v>0</v>
      </c>
      <c r="L127" s="16">
        <v>0</v>
      </c>
      <c r="M127" s="16">
        <v>0</v>
      </c>
      <c r="N127" s="18">
        <f t="shared" si="3"/>
        <v>1253195230.0072479</v>
      </c>
      <c r="O127" s="4"/>
    </row>
    <row r="128" spans="1:15" ht="15" x14ac:dyDescent="0.2">
      <c r="A128" s="17" t="s">
        <v>123</v>
      </c>
      <c r="B128" s="16">
        <v>432817902.45000005</v>
      </c>
      <c r="C128" s="16">
        <v>0</v>
      </c>
      <c r="D128" s="16">
        <v>82759751.897913381</v>
      </c>
      <c r="E128" s="16">
        <v>6388125.1600000001</v>
      </c>
      <c r="F128" s="16">
        <v>1785112.86</v>
      </c>
      <c r="G128" s="16">
        <v>1261940.6599999999</v>
      </c>
      <c r="H128" s="16">
        <v>24898091.559999999</v>
      </c>
      <c r="I128" s="16">
        <v>4311768.78</v>
      </c>
      <c r="J128" s="16">
        <v>24426622.289999999</v>
      </c>
      <c r="K128" s="16">
        <v>0</v>
      </c>
      <c r="L128" s="16">
        <v>0</v>
      </c>
      <c r="M128" s="16">
        <v>0</v>
      </c>
      <c r="N128" s="18">
        <f t="shared" si="3"/>
        <v>578649315.65791345</v>
      </c>
      <c r="O128" s="4"/>
    </row>
    <row r="129" spans="1:15" ht="15" x14ac:dyDescent="0.2">
      <c r="A129" s="17" t="s">
        <v>124</v>
      </c>
      <c r="B129" s="16">
        <v>2697147062.71</v>
      </c>
      <c r="C129" s="16">
        <v>0</v>
      </c>
      <c r="D129" s="16">
        <v>693197233.04439533</v>
      </c>
      <c r="E129" s="16">
        <v>35101308.879999995</v>
      </c>
      <c r="F129" s="16">
        <v>22703683.57</v>
      </c>
      <c r="G129" s="16">
        <v>15651831.189999999</v>
      </c>
      <c r="H129" s="16">
        <v>155154891.08000001</v>
      </c>
      <c r="I129" s="16">
        <v>54838568.25</v>
      </c>
      <c r="J129" s="16">
        <v>153051862.76999998</v>
      </c>
      <c r="K129" s="16">
        <v>0</v>
      </c>
      <c r="L129" s="16">
        <v>0</v>
      </c>
      <c r="M129" s="16">
        <v>0</v>
      </c>
      <c r="N129" s="18">
        <f t="shared" si="3"/>
        <v>3826846441.4943957</v>
      </c>
      <c r="O129" s="4"/>
    </row>
    <row r="130" spans="1:15" ht="15" x14ac:dyDescent="0.2">
      <c r="A130" s="17" t="s">
        <v>125</v>
      </c>
      <c r="B130" s="16">
        <v>729312974.99000001</v>
      </c>
      <c r="C130" s="16">
        <v>0</v>
      </c>
      <c r="D130" s="16">
        <v>206830652.24020439</v>
      </c>
      <c r="E130" s="16">
        <v>10764225.91</v>
      </c>
      <c r="F130" s="16">
        <v>2809131.1</v>
      </c>
      <c r="G130" s="16">
        <v>1167765.99</v>
      </c>
      <c r="H130" s="16">
        <v>41954136.200000003</v>
      </c>
      <c r="I130" s="16">
        <v>6785186.5199999996</v>
      </c>
      <c r="J130" s="16">
        <v>42065844.469999999</v>
      </c>
      <c r="K130" s="16">
        <v>0</v>
      </c>
      <c r="L130" s="16">
        <v>0</v>
      </c>
      <c r="M130" s="16">
        <v>0</v>
      </c>
      <c r="N130" s="18">
        <f t="shared" si="3"/>
        <v>1041689917.4202044</v>
      </c>
      <c r="O130" s="4"/>
    </row>
    <row r="131" spans="1:15" ht="15" x14ac:dyDescent="0.2">
      <c r="A131" s="17" t="s">
        <v>126</v>
      </c>
      <c r="B131" s="16">
        <v>4580941589.8000002</v>
      </c>
      <c r="C131" s="16">
        <v>0</v>
      </c>
      <c r="D131" s="16">
        <v>314345475.63499999</v>
      </c>
      <c r="E131" s="16">
        <v>93242260.909999996</v>
      </c>
      <c r="F131" s="16">
        <v>124039974.61</v>
      </c>
      <c r="G131" s="16">
        <v>14020884.290794324</v>
      </c>
      <c r="H131" s="16">
        <v>263521223.31</v>
      </c>
      <c r="I131" s="16">
        <v>299606651.50999999</v>
      </c>
      <c r="J131" s="16">
        <v>330512046.09000015</v>
      </c>
      <c r="K131" s="16">
        <v>0</v>
      </c>
      <c r="L131" s="16">
        <v>0</v>
      </c>
      <c r="M131" s="16">
        <v>0</v>
      </c>
      <c r="N131" s="18">
        <f t="shared" si="3"/>
        <v>6020230106.1557951</v>
      </c>
      <c r="O131" s="4"/>
    </row>
    <row r="132" spans="1:15" ht="15" x14ac:dyDescent="0.2">
      <c r="A132" s="17" t="s">
        <v>127</v>
      </c>
      <c r="B132" s="16">
        <v>180544688.77000001</v>
      </c>
      <c r="C132" s="16">
        <v>0</v>
      </c>
      <c r="D132" s="16">
        <v>23334497.758045126</v>
      </c>
      <c r="E132" s="16">
        <v>2649480.13</v>
      </c>
      <c r="F132" s="16">
        <v>530459.89</v>
      </c>
      <c r="G132" s="16">
        <v>282524.03000000003</v>
      </c>
      <c r="H132" s="16">
        <v>10385934.060000001</v>
      </c>
      <c r="I132" s="16">
        <v>1281274.96</v>
      </c>
      <c r="J132" s="16">
        <v>11868363.360000001</v>
      </c>
      <c r="K132" s="16">
        <v>0</v>
      </c>
      <c r="L132" s="16">
        <v>0</v>
      </c>
      <c r="M132" s="16">
        <v>0</v>
      </c>
      <c r="N132" s="18">
        <f t="shared" si="3"/>
        <v>230877222.95804515</v>
      </c>
      <c r="O132" s="4"/>
    </row>
    <row r="133" spans="1:15" ht="15" x14ac:dyDescent="0.2">
      <c r="A133" s="17" t="s">
        <v>128</v>
      </c>
      <c r="B133" s="16">
        <v>1130735160.5900002</v>
      </c>
      <c r="C133" s="16">
        <v>0</v>
      </c>
      <c r="D133" s="16">
        <v>128612611.34021501</v>
      </c>
      <c r="E133" s="16">
        <v>12185801.58</v>
      </c>
      <c r="F133" s="16">
        <v>1918881.01</v>
      </c>
      <c r="G133" s="16">
        <v>1600969.5</v>
      </c>
      <c r="H133" s="16">
        <v>65046171.609999999</v>
      </c>
      <c r="I133" s="16">
        <v>4634872.9000000004</v>
      </c>
      <c r="J133" s="16">
        <v>43780473.479999989</v>
      </c>
      <c r="K133" s="16">
        <v>0</v>
      </c>
      <c r="L133" s="16">
        <v>0</v>
      </c>
      <c r="M133" s="16">
        <v>0</v>
      </c>
      <c r="N133" s="18">
        <f t="shared" si="3"/>
        <v>1388514942.010215</v>
      </c>
      <c r="O133" s="4"/>
    </row>
    <row r="134" spans="1:15" ht="15" x14ac:dyDescent="0.2">
      <c r="A134" s="17" t="s">
        <v>129</v>
      </c>
      <c r="B134" s="16">
        <v>1953436872.0500002</v>
      </c>
      <c r="C134" s="16">
        <v>0</v>
      </c>
      <c r="D134" s="16">
        <v>460683668.11997873</v>
      </c>
      <c r="E134" s="16">
        <v>28788933.100000001</v>
      </c>
      <c r="F134" s="16">
        <v>8953240.5099999998</v>
      </c>
      <c r="G134" s="16">
        <v>5292616.8099999996</v>
      </c>
      <c r="H134" s="16">
        <v>112372547.02</v>
      </c>
      <c r="I134" s="16">
        <v>21625693</v>
      </c>
      <c r="J134" s="16">
        <v>98871711.780000001</v>
      </c>
      <c r="K134" s="16">
        <v>0</v>
      </c>
      <c r="L134" s="16">
        <v>0</v>
      </c>
      <c r="M134" s="16">
        <v>0</v>
      </c>
      <c r="N134" s="18">
        <f t="shared" si="3"/>
        <v>2690025282.3899794</v>
      </c>
      <c r="O134" s="4"/>
    </row>
    <row r="135" spans="1:15" ht="15" x14ac:dyDescent="0.2">
      <c r="A135" s="17" t="s">
        <v>130</v>
      </c>
      <c r="B135" s="16">
        <v>1615733311.3099999</v>
      </c>
      <c r="C135" s="16">
        <v>0</v>
      </c>
      <c r="D135" s="16">
        <v>549158305.28649294</v>
      </c>
      <c r="E135" s="16">
        <v>27475107.289999999</v>
      </c>
      <c r="F135" s="16">
        <v>13478294.060000001</v>
      </c>
      <c r="G135" s="16">
        <v>6705236.9500000002</v>
      </c>
      <c r="H135" s="16">
        <v>92945961.090000004</v>
      </c>
      <c r="I135" s="16">
        <v>32555525.48</v>
      </c>
      <c r="J135" s="16">
        <v>101932316.84999999</v>
      </c>
      <c r="K135" s="16">
        <v>0</v>
      </c>
      <c r="L135" s="16">
        <v>0</v>
      </c>
      <c r="M135" s="16">
        <v>0</v>
      </c>
      <c r="N135" s="18">
        <f t="shared" si="3"/>
        <v>2439984058.3164926</v>
      </c>
      <c r="O135" s="4"/>
    </row>
    <row r="136" spans="1:15" ht="15" x14ac:dyDescent="0.2">
      <c r="A136" s="17" t="s">
        <v>131</v>
      </c>
      <c r="B136" s="16">
        <v>2606797452.3299999</v>
      </c>
      <c r="C136" s="16">
        <v>0</v>
      </c>
      <c r="D136" s="16">
        <v>56244501.349999994</v>
      </c>
      <c r="E136" s="16">
        <v>44516718.890000001</v>
      </c>
      <c r="F136" s="16">
        <v>80191698.280000001</v>
      </c>
      <c r="G136" s="16">
        <v>47423778.219693273</v>
      </c>
      <c r="H136" s="16">
        <v>149957479.28999999</v>
      </c>
      <c r="I136" s="16">
        <v>193695349.25</v>
      </c>
      <c r="J136" s="16">
        <v>231747008.24999994</v>
      </c>
      <c r="K136" s="16">
        <v>0</v>
      </c>
      <c r="L136" s="16">
        <v>0</v>
      </c>
      <c r="M136" s="16">
        <v>0</v>
      </c>
      <c r="N136" s="18">
        <f t="shared" ref="N136:N142" si="4">SUM(B136:M136)</f>
        <v>3410573985.8596931</v>
      </c>
      <c r="O136" s="4"/>
    </row>
    <row r="137" spans="1:15" ht="15" x14ac:dyDescent="0.2">
      <c r="A137" s="17" t="s">
        <v>132</v>
      </c>
      <c r="B137" s="16">
        <v>417390474.66000003</v>
      </c>
      <c r="C137" s="16">
        <v>0</v>
      </c>
      <c r="D137" s="16">
        <v>60661290.864564344</v>
      </c>
      <c r="E137" s="16">
        <v>6160445.3200000003</v>
      </c>
      <c r="F137" s="16">
        <v>959440.5</v>
      </c>
      <c r="G137" s="16">
        <v>979416.63</v>
      </c>
      <c r="H137" s="16">
        <v>24010620.16</v>
      </c>
      <c r="I137" s="16">
        <v>2317436.4500000002</v>
      </c>
      <c r="J137" s="16">
        <v>22733955.520000007</v>
      </c>
      <c r="K137" s="16">
        <v>0</v>
      </c>
      <c r="L137" s="16">
        <v>0</v>
      </c>
      <c r="M137" s="16">
        <v>0</v>
      </c>
      <c r="N137" s="18">
        <f t="shared" si="4"/>
        <v>535213080.10456437</v>
      </c>
      <c r="O137" s="4"/>
    </row>
    <row r="138" spans="1:15" ht="15" x14ac:dyDescent="0.2">
      <c r="A138" s="17" t="s">
        <v>133</v>
      </c>
      <c r="B138" s="16">
        <v>1178408230.4000001</v>
      </c>
      <c r="C138" s="16">
        <v>0</v>
      </c>
      <c r="D138" s="16">
        <v>373756273.10153544</v>
      </c>
      <c r="E138" s="16">
        <v>17218021.109999999</v>
      </c>
      <c r="F138" s="16">
        <v>8353590.1900000004</v>
      </c>
      <c r="G138" s="16">
        <v>3823491.86</v>
      </c>
      <c r="H138" s="16">
        <v>67788591.569999993</v>
      </c>
      <c r="I138" s="16">
        <v>20177295.219999999</v>
      </c>
      <c r="J138" s="16">
        <v>82603739.629999965</v>
      </c>
      <c r="K138" s="16">
        <v>0</v>
      </c>
      <c r="L138" s="16">
        <v>0</v>
      </c>
      <c r="M138" s="16">
        <v>0</v>
      </c>
      <c r="N138" s="18">
        <f t="shared" si="4"/>
        <v>1752129233.0815351</v>
      </c>
      <c r="O138" s="4"/>
    </row>
    <row r="139" spans="1:15" ht="15" x14ac:dyDescent="0.2">
      <c r="A139" s="17" t="s">
        <v>134</v>
      </c>
      <c r="B139" s="16">
        <v>4143024136.8500004</v>
      </c>
      <c r="C139" s="16">
        <v>0</v>
      </c>
      <c r="D139" s="16">
        <v>89095946.694999993</v>
      </c>
      <c r="E139" s="16">
        <v>61148639.109999999</v>
      </c>
      <c r="F139" s="16">
        <v>42962638.93</v>
      </c>
      <c r="G139" s="16">
        <v>44121000.163383909</v>
      </c>
      <c r="H139" s="16">
        <v>238329777.27000001</v>
      </c>
      <c r="I139" s="16">
        <v>103772130.27</v>
      </c>
      <c r="J139" s="16">
        <v>147493654.98999998</v>
      </c>
      <c r="K139" s="16">
        <v>0</v>
      </c>
      <c r="L139" s="16">
        <v>0</v>
      </c>
      <c r="M139" s="16">
        <v>0</v>
      </c>
      <c r="N139" s="18">
        <f t="shared" si="4"/>
        <v>4869947924.2783852</v>
      </c>
      <c r="O139" s="4"/>
    </row>
    <row r="140" spans="1:15" ht="15" x14ac:dyDescent="0.2">
      <c r="A140" s="17" t="s">
        <v>135</v>
      </c>
      <c r="B140" s="16">
        <v>1221213547.5</v>
      </c>
      <c r="C140" s="16">
        <v>0</v>
      </c>
      <c r="D140" s="16">
        <v>11885957.35</v>
      </c>
      <c r="E140" s="16">
        <v>18024425.59</v>
      </c>
      <c r="F140" s="16">
        <v>7085099.1399999997</v>
      </c>
      <c r="G140" s="16">
        <v>4030676.14</v>
      </c>
      <c r="H140" s="16">
        <v>70250991.349999994</v>
      </c>
      <c r="I140" s="16">
        <v>17113376.84</v>
      </c>
      <c r="J140" s="16">
        <v>37282243.770000003</v>
      </c>
      <c r="K140" s="16">
        <v>0</v>
      </c>
      <c r="L140" s="16">
        <v>0</v>
      </c>
      <c r="M140" s="16">
        <v>0</v>
      </c>
      <c r="N140" s="18">
        <f t="shared" si="4"/>
        <v>1386886317.6799998</v>
      </c>
      <c r="O140" s="4"/>
    </row>
    <row r="141" spans="1:15" ht="15" x14ac:dyDescent="0.2">
      <c r="A141" s="17" t="s">
        <v>136</v>
      </c>
      <c r="B141" s="16">
        <v>1415537324.6300001</v>
      </c>
      <c r="C141" s="16">
        <v>0</v>
      </c>
      <c r="D141" s="16">
        <v>170532901.0956322</v>
      </c>
      <c r="E141" s="16">
        <v>20804730.379999999</v>
      </c>
      <c r="F141" s="16">
        <v>10217118.869999999</v>
      </c>
      <c r="G141" s="16">
        <v>3522132.89</v>
      </c>
      <c r="H141" s="16">
        <v>81429575.150000006</v>
      </c>
      <c r="I141" s="16">
        <v>24678469.859999999</v>
      </c>
      <c r="J141" s="16">
        <v>103685641.31999999</v>
      </c>
      <c r="K141" s="16">
        <v>0</v>
      </c>
      <c r="L141" s="16">
        <v>0</v>
      </c>
      <c r="M141" s="16">
        <v>0</v>
      </c>
      <c r="N141" s="18">
        <f t="shared" si="4"/>
        <v>1830407894.1956322</v>
      </c>
      <c r="O141" s="4"/>
    </row>
    <row r="142" spans="1:15" ht="15" x14ac:dyDescent="0.2">
      <c r="A142" s="17" t="s">
        <v>137</v>
      </c>
      <c r="B142" s="16">
        <v>1383626501.5799999</v>
      </c>
      <c r="C142" s="16">
        <v>0</v>
      </c>
      <c r="D142" s="16">
        <v>140446457.26231524</v>
      </c>
      <c r="E142" s="16">
        <v>23475982.159999996</v>
      </c>
      <c r="F142" s="16">
        <v>43926692.130000003</v>
      </c>
      <c r="G142" s="16">
        <v>14220376.109999999</v>
      </c>
      <c r="H142" s="16">
        <v>79593887.230000004</v>
      </c>
      <c r="I142" s="16">
        <v>106100708.13</v>
      </c>
      <c r="J142" s="16">
        <v>140550949.99000001</v>
      </c>
      <c r="K142" s="16">
        <v>0</v>
      </c>
      <c r="L142" s="16">
        <v>0</v>
      </c>
      <c r="M142" s="16">
        <v>0</v>
      </c>
      <c r="N142" s="18">
        <f t="shared" si="4"/>
        <v>1931941554.5923154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257553051189.40988</v>
      </c>
      <c r="C143" s="23">
        <f t="shared" si="5"/>
        <v>0</v>
      </c>
      <c r="D143" s="23">
        <f t="shared" si="5"/>
        <v>26079735491.713989</v>
      </c>
      <c r="E143" s="23">
        <f t="shared" si="5"/>
        <v>4108044956.190002</v>
      </c>
      <c r="F143" s="23">
        <f t="shared" si="5"/>
        <v>4612694753.46</v>
      </c>
      <c r="G143" s="23">
        <f t="shared" si="5"/>
        <v>1883493524.9499996</v>
      </c>
      <c r="H143" s="23">
        <f t="shared" si="5"/>
        <v>14815883108.050003</v>
      </c>
      <c r="I143" s="23">
        <f t="shared" si="5"/>
        <v>11141521383.15</v>
      </c>
      <c r="J143" s="23">
        <f t="shared" ref="J143:N143" si="6">SUM(J8:J142)</f>
        <v>17430405960.170002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337624830367.09393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44AEAC"/>
  </sheetPr>
  <dimension ref="A1:Q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6.6640625" style="1" customWidth="1"/>
    <col min="3" max="7" width="22.33203125" style="1" customWidth="1"/>
    <col min="8" max="8" width="25" style="1" customWidth="1"/>
    <col min="9" max="9" width="23.1640625" style="1" customWidth="1"/>
    <col min="10" max="10" width="24.1640625" style="1" customWidth="1"/>
    <col min="11" max="11" width="24.83203125" style="1" customWidth="1"/>
    <col min="12" max="12" width="22.33203125" style="1" hidden="1" customWidth="1"/>
    <col min="13" max="13" width="22.33203125" style="1" customWidth="1"/>
    <col min="14" max="14" width="26.5" style="1" customWidth="1"/>
    <col min="15" max="15" width="12" style="1" customWidth="1"/>
    <col min="16" max="16384" width="12" style="1"/>
  </cols>
  <sheetData>
    <row r="1" spans="1:17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ht="17.25" customHeight="1" x14ac:dyDescent="0.25">
      <c r="A3" s="21" t="s">
        <v>0</v>
      </c>
      <c r="B3" s="2"/>
      <c r="C3" s="2"/>
      <c r="D3" s="2"/>
      <c r="E3" s="2"/>
      <c r="F3" s="24"/>
      <c r="G3" s="2"/>
      <c r="H3" s="2"/>
      <c r="I3" s="2"/>
      <c r="J3" s="2"/>
      <c r="K3" s="2"/>
      <c r="L3" s="2"/>
      <c r="M3" s="2"/>
      <c r="N3" s="2"/>
    </row>
    <row r="4" spans="1:17" ht="17.25" customHeight="1" x14ac:dyDescent="0.25">
      <c r="A4" s="21" t="s">
        <v>180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7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7" ht="18.75" customHeight="1" x14ac:dyDescent="0.2">
      <c r="A6" s="33" t="s">
        <v>2</v>
      </c>
      <c r="B6" s="34" t="s">
        <v>181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7" ht="60" customHeight="1" x14ac:dyDescent="0.2">
      <c r="A7" s="33"/>
      <c r="B7" s="19" t="s">
        <v>139</v>
      </c>
      <c r="C7" s="19" t="s">
        <v>173</v>
      </c>
      <c r="D7" s="19" t="s">
        <v>143</v>
      </c>
      <c r="E7" s="19" t="s">
        <v>141</v>
      </c>
      <c r="F7" s="19" t="s">
        <v>150</v>
      </c>
      <c r="G7" s="19" t="s">
        <v>144</v>
      </c>
      <c r="H7" s="19" t="s">
        <v>146</v>
      </c>
      <c r="I7" s="19" t="s">
        <v>145</v>
      </c>
      <c r="J7" s="19" t="s">
        <v>147</v>
      </c>
      <c r="K7" s="28" t="s">
        <v>176</v>
      </c>
      <c r="L7" s="19" t="s">
        <v>149</v>
      </c>
      <c r="M7" s="19" t="s">
        <v>142</v>
      </c>
      <c r="N7" s="20" t="s">
        <v>140</v>
      </c>
    </row>
    <row r="8" spans="1:17" ht="18" customHeight="1" x14ac:dyDescent="0.2">
      <c r="A8" s="17" t="s">
        <v>3</v>
      </c>
      <c r="B8" s="16">
        <f>ENERO!B8+FEBRERO!B8+MARZO!B8+ABRIL!B8+MAYO!B8+JUNIO!B8+JULIO!B8+AGOSTO!B8+SEPTIEMBRE!B8+OCTUBRE!B8+NOVIEMBRE!B8+DICIEMBRE!B8</f>
        <v>11399065535.83</v>
      </c>
      <c r="C8" s="16">
        <f>ENERO!C8+FEBRERO!C8+MARZO!C8+ABRIL!C8+MAYO!C8+JUNIO!C8+JULIO!C8+AGOSTO!C8+SEPTIEMBRE!C8+OCTUBRE!C8+NOVIEMBRE!C8+DICIEMBRE!C8</f>
        <v>39880.477993799999</v>
      </c>
      <c r="D8" s="16">
        <f>ENERO!D8+FEBRERO!D8+MARZO!D8+ABRIL!D8+MAYO!D8+JUNIO!D8+JULIO!D8+AGOSTO!D8+SEPTIEMBRE!D8+OCTUBRE!D8+NOVIEMBRE!D8+DICIEMBRE!D8</f>
        <v>858672304.00577545</v>
      </c>
      <c r="E8" s="16">
        <f>ENERO!E8+FEBRERO!E8+MARZO!E8+ABRIL!E8+MAYO!E8+JUNIO!E8+JULIO!E8+AGOSTO!E8+SEPTIEMBRE!E8+OCTUBRE!E8+NOVIEMBRE!E8+DICIEMBRE!E8</f>
        <v>97334458.450000018</v>
      </c>
      <c r="F8" s="16">
        <f>ENERO!F8+FEBRERO!F8+MARZO!F8+ABRIL!F8+MAYO!F8+JUNIO!F8+JULIO!F8+AGOSTO!F8+SEPTIEMBRE!F8+OCTUBRE!F8+NOVIEMBRE!F8+DICIEMBRE!F8</f>
        <v>25990909.890472397</v>
      </c>
      <c r="G8" s="16">
        <f>ENERO!G8+FEBRERO!G8+MARZO!G8+ABRIL!G8+MAYO!G8+JUNIO!G8+JULIO!G8+AGOSTO!G8+SEPTIEMBRE!G8+OCTUBRE!G8+NOVIEMBRE!G8+DICIEMBRE!G8</f>
        <v>13595399.530000001</v>
      </c>
      <c r="H8" s="16">
        <f>ENERO!H8+FEBRERO!H8+MARZO!H8+ABRIL!H8+MAYO!H8+JUNIO!H8+JULIO!H8+AGOSTO!H8+SEPTIEMBRE!H8+OCTUBRE!H8+NOVIEMBRE!H8+DICIEMBRE!H8</f>
        <v>604914431.31000006</v>
      </c>
      <c r="I8" s="16">
        <f>ENERO!I8+FEBRERO!I8+MARZO!I8+ABRIL!I8+MAYO!I8+JUNIO!I8+JULIO!I8+AGOSTO!I8+SEPTIEMBRE!I8+OCTUBRE!I8+NOVIEMBRE!I8+DICIEMBRE!I8</f>
        <v>83569533.49000001</v>
      </c>
      <c r="J8" s="16">
        <f>ENERO!J8+FEBRERO!J8+MARZO!J8+ABRIL!J8+MAYO!J8+JUNIO!J8+JULIO!J8+AGOSTO!J8+SEPTIEMBRE!J8+OCTUBRE!J8+NOVIEMBRE!J8+DICIEMBRE!J8</f>
        <v>642544922.95000005</v>
      </c>
      <c r="K8" s="16">
        <f>ENERO!K8+FEBRERO!K8+MARZO!K8+ABRIL!K8+MAYO!K8+JUNIO!K8+JULIO!K8+AGOSTO!K8+SEPTIEMBRE!K8+OCTUBRE!K8+NOVIEMBRE!K8+DICIEMBRE!K8</f>
        <v>545678244.79999995</v>
      </c>
      <c r="L8" s="16">
        <f>ENERO!L8+FEBRERO!L8+MARZO!L8+ABRIL!L8+MAYO!L8+JUNIO!L8+JULIO!L8+AGOSTO!L8+SEPTIEMBRE!L8+OCTUBRE!L8+NOVIEMBRE!L8+DICIEMBRE!L8</f>
        <v>0</v>
      </c>
      <c r="M8" s="16">
        <f>ENERO!M8+FEBRERO!M8+MARZO!M8+ABRIL!M8+MAYO!M8+JUNIO!M8+JULIO!M8+AGOSTO!M8+SEPTIEMBRE!M8+OCTUBRE!M8+NOVIEMBRE!M8+DICIEMBRE!M8</f>
        <v>110.88</v>
      </c>
      <c r="N8" s="18">
        <f t="shared" ref="N8:N39" si="0">SUM(B8:M8)</f>
        <v>14271405731.614241</v>
      </c>
      <c r="O8" s="4"/>
      <c r="P8" s="4"/>
      <c r="Q8" s="4"/>
    </row>
    <row r="9" spans="1:17" ht="18" customHeight="1" x14ac:dyDescent="0.2">
      <c r="A9" s="17" t="s">
        <v>4</v>
      </c>
      <c r="B9" s="16">
        <f>ENERO!B9+FEBRERO!B9+MARZO!B9+ABRIL!B9+MAYO!B9+JUNIO!B9+JULIO!B9+AGOSTO!B9+SEPTIEMBRE!B9+OCTUBRE!B9+NOVIEMBRE!B9+DICIEMBRE!B9</f>
        <v>6024243194.6500006</v>
      </c>
      <c r="C9" s="16">
        <f>ENERO!C9+FEBRERO!C9+MARZO!C9+ABRIL!C9+MAYO!C9+JUNIO!C9+JULIO!C9+AGOSTO!C9+SEPTIEMBRE!C9+OCTUBRE!C9+NOVIEMBRE!C9+DICIEMBRE!C9</f>
        <v>21043.338308290004</v>
      </c>
      <c r="D9" s="16">
        <f>ENERO!D9+FEBRERO!D9+MARZO!D9+ABRIL!D9+MAYO!D9+JUNIO!D9+JULIO!D9+AGOSTO!D9+SEPTIEMBRE!D9+OCTUBRE!D9+NOVIEMBRE!D9+DICIEMBRE!D9</f>
        <v>764262283.7694397</v>
      </c>
      <c r="E9" s="16">
        <f>ENERO!E9+FEBRERO!E9+MARZO!E9+ABRIL!E9+MAYO!E9+JUNIO!E9+JULIO!E9+AGOSTO!E9+SEPTIEMBRE!E9+OCTUBRE!E9+NOVIEMBRE!E9+DICIEMBRE!E9</f>
        <v>51191480.560000002</v>
      </c>
      <c r="F9" s="16">
        <f>ENERO!F9+FEBRERO!F9+MARZO!F9+ABRIL!F9+MAYO!F9+JUNIO!F9+JULIO!F9+AGOSTO!F9+SEPTIEMBRE!F9+OCTUBRE!F9+NOVIEMBRE!F9+DICIEMBRE!F9</f>
        <v>18209780.338455193</v>
      </c>
      <c r="G9" s="16">
        <f>ENERO!G9+FEBRERO!G9+MARZO!G9+ABRIL!G9+MAYO!G9+JUNIO!G9+JULIO!G9+AGOSTO!G9+SEPTIEMBRE!G9+OCTUBRE!G9+NOVIEMBRE!G9+DICIEMBRE!G9</f>
        <v>10038720.199999999</v>
      </c>
      <c r="H9" s="16">
        <f>ENERO!H9+FEBRERO!H9+MARZO!H9+ABRIL!H9+MAYO!H9+JUNIO!H9+JULIO!H9+AGOSTO!H9+SEPTIEMBRE!H9+OCTUBRE!H9+NOVIEMBRE!H9+DICIEMBRE!H9</f>
        <v>319666340.93000001</v>
      </c>
      <c r="I9" s="16">
        <f>ENERO!I9+FEBRERO!I9+MARZO!I9+ABRIL!I9+MAYO!I9+JUNIO!I9+JULIO!I9+AGOSTO!I9+SEPTIEMBRE!I9+OCTUBRE!I9+NOVIEMBRE!I9+DICIEMBRE!I9</f>
        <v>58550579.989999995</v>
      </c>
      <c r="J9" s="16">
        <f>ENERO!J9+FEBRERO!J9+MARZO!J9+ABRIL!J9+MAYO!J9+JUNIO!J9+JULIO!J9+AGOSTO!J9+SEPTIEMBRE!J9+OCTUBRE!J9+NOVIEMBRE!J9+DICIEMBRE!J9</f>
        <v>487274667.42999989</v>
      </c>
      <c r="K9" s="16">
        <f>ENERO!K9+FEBRERO!K9+MARZO!K9+ABRIL!K9+MAYO!K9+JUNIO!K9+JULIO!K9+AGOSTO!K9+SEPTIEMBRE!K9+OCTUBRE!K9+NOVIEMBRE!K9+DICIEMBRE!K9</f>
        <v>287932617.84000003</v>
      </c>
      <c r="L9" s="16">
        <f>ENERO!L9+FEBRERO!L9+MARZO!L9+ABRIL!L9+MAYO!L9+JUNIO!L9+JULIO!L9+AGOSTO!L9+SEPTIEMBRE!L9+OCTUBRE!L9+NOVIEMBRE!L9+DICIEMBRE!L9</f>
        <v>0</v>
      </c>
      <c r="M9" s="16">
        <f>ENERO!M9+FEBRERO!M9+MARZO!M9+ABRIL!M9+MAYO!M9+JUNIO!M9+JULIO!M9+AGOSTO!M9+SEPTIEMBRE!M9+OCTUBRE!M9+NOVIEMBRE!M9+DICIEMBRE!M9</f>
        <v>77.680000000000007</v>
      </c>
      <c r="N9" s="18">
        <f t="shared" si="0"/>
        <v>8021390786.7262049</v>
      </c>
      <c r="O9" s="4"/>
      <c r="P9" s="4"/>
      <c r="Q9" s="4"/>
    </row>
    <row r="10" spans="1:17" ht="18" customHeight="1" x14ac:dyDescent="0.2">
      <c r="A10" s="17" t="s">
        <v>5</v>
      </c>
      <c r="B10" s="16">
        <f>ENERO!B10+FEBRERO!B10+MARZO!B10+ABRIL!B10+MAYO!B10+JUNIO!B10+JULIO!B10+AGOSTO!B10+SEPTIEMBRE!B10+OCTUBRE!B10+NOVIEMBRE!B10+DICIEMBRE!B10</f>
        <v>6561309300.1199989</v>
      </c>
      <c r="C10" s="16">
        <f>ENERO!C10+FEBRERO!C10+MARZO!C10+ABRIL!C10+MAYO!C10+JUNIO!C10+JULIO!C10+AGOSTO!C10+SEPTIEMBRE!C10+OCTUBRE!C10+NOVIEMBRE!C10+DICIEMBRE!C10</f>
        <v>22332.88802785</v>
      </c>
      <c r="D10" s="16">
        <f>ENERO!D10+FEBRERO!D10+MARZO!D10+ABRIL!D10+MAYO!D10+JUNIO!D10+JULIO!D10+AGOSTO!D10+SEPTIEMBRE!D10+OCTUBRE!D10+NOVIEMBRE!D10+DICIEMBRE!D10</f>
        <v>565733658.65215099</v>
      </c>
      <c r="E10" s="16">
        <f>ENERO!E10+FEBRERO!E10+MARZO!E10+ABRIL!E10+MAYO!E10+JUNIO!E10+JULIO!E10+AGOSTO!E10+SEPTIEMBRE!E10+OCTUBRE!E10+NOVIEMBRE!E10+DICIEMBRE!E10</f>
        <v>55364320.530000001</v>
      </c>
      <c r="F10" s="16">
        <f>ENERO!F10+FEBRERO!F10+MARZO!F10+ABRIL!F10+MAYO!F10+JUNIO!F10+JULIO!F10+AGOSTO!F10+SEPTIEMBRE!F10+OCTUBRE!F10+NOVIEMBRE!F10+DICIEMBRE!F10</f>
        <v>12721016.746119412</v>
      </c>
      <c r="G10" s="16">
        <f>ENERO!G10+FEBRERO!G10+MARZO!G10+ABRIL!G10+MAYO!G10+JUNIO!G10+JULIO!G10+AGOSTO!G10+SEPTIEMBRE!G10+OCTUBRE!G10+NOVIEMBRE!G10+DICIEMBRE!G10</f>
        <v>9984928.0800000019</v>
      </c>
      <c r="H10" s="16">
        <f>ENERO!H10+FEBRERO!H10+MARZO!H10+ABRIL!H10+MAYO!H10+JUNIO!H10+JULIO!H10+AGOSTO!H10+SEPTIEMBRE!H10+OCTUBRE!H10+NOVIEMBRE!H10+DICIEMBRE!H10</f>
        <v>347767844.41999996</v>
      </c>
      <c r="I10" s="16">
        <f>ENERO!I10+FEBRERO!I10+MARZO!I10+ABRIL!I10+MAYO!I10+JUNIO!I10+JULIO!I10+AGOSTO!I10+SEPTIEMBRE!I10+OCTUBRE!I10+NOVIEMBRE!I10+DICIEMBRE!I10</f>
        <v>40902355.539999999</v>
      </c>
      <c r="J10" s="16">
        <f>ENERO!J10+FEBRERO!J10+MARZO!J10+ABRIL!J10+MAYO!J10+JUNIO!J10+JULIO!J10+AGOSTO!J10+SEPTIEMBRE!J10+OCTUBRE!J10+NOVIEMBRE!J10+DICIEMBRE!J10</f>
        <v>287992387.44</v>
      </c>
      <c r="K10" s="16">
        <f>ENERO!K10+FEBRERO!K10+MARZO!K10+ABRIL!K10+MAYO!K10+JUNIO!K10+JULIO!K10+AGOSTO!K10+SEPTIEMBRE!K10+OCTUBRE!K10+NOVIEMBRE!K10+DICIEMBRE!K10</f>
        <v>305577303.60000002</v>
      </c>
      <c r="L10" s="16">
        <f>ENERO!L10+FEBRERO!L10+MARZO!L10+ABRIL!L10+MAYO!L10+JUNIO!L10+JULIO!L10+AGOSTO!L10+SEPTIEMBRE!L10+OCTUBRE!L10+NOVIEMBRE!L10+DICIEMBRE!L10</f>
        <v>0</v>
      </c>
      <c r="M10" s="16">
        <f>ENERO!M10+FEBRERO!M10+MARZO!M10+ABRIL!M10+MAYO!M10+JUNIO!M10+JULIO!M10+AGOSTO!M10+SEPTIEMBRE!M10+OCTUBRE!M10+NOVIEMBRE!M10+DICIEMBRE!M10</f>
        <v>54.260000000000005</v>
      </c>
      <c r="N10" s="18">
        <f t="shared" si="0"/>
        <v>8187375502.2762976</v>
      </c>
      <c r="O10" s="4"/>
      <c r="P10" s="4"/>
      <c r="Q10" s="4"/>
    </row>
    <row r="11" spans="1:17" ht="18" customHeight="1" x14ac:dyDescent="0.2">
      <c r="A11" s="17" t="s">
        <v>6</v>
      </c>
      <c r="B11" s="16">
        <f>ENERO!B11+FEBRERO!B11+MARZO!B11+ABRIL!B11+MAYO!B11+JUNIO!B11+JULIO!B11+AGOSTO!B11+SEPTIEMBRE!B11+OCTUBRE!B11+NOVIEMBRE!B11+DICIEMBRE!B11</f>
        <v>52997111103.560005</v>
      </c>
      <c r="C11" s="16">
        <f>ENERO!C11+FEBRERO!C11+MARZO!C11+ABRIL!C11+MAYO!C11+JUNIO!C11+JULIO!C11+AGOSTO!C11+SEPTIEMBRE!C11+OCTUBRE!C11+NOVIEMBRE!C11+DICIEMBRE!C11</f>
        <v>197011.58042483</v>
      </c>
      <c r="D11" s="16">
        <f>ENERO!D11+FEBRERO!D11+MARZO!D11+ABRIL!D11+MAYO!D11+JUNIO!D11+JULIO!D11+AGOSTO!D11+SEPTIEMBRE!D11+OCTUBRE!D11+NOVIEMBRE!D11+DICIEMBRE!D11</f>
        <v>508307563.03757268</v>
      </c>
      <c r="E11" s="16">
        <f>ENERO!E11+FEBRERO!E11+MARZO!E11+ABRIL!E11+MAYO!E11+JUNIO!E11+JULIO!E11+AGOSTO!E11+SEPTIEMBRE!E11+OCTUBRE!E11+NOVIEMBRE!E11+DICIEMBRE!E11</f>
        <v>585207236.05999994</v>
      </c>
      <c r="F11" s="16">
        <f>ENERO!F11+FEBRERO!F11+MARZO!F11+ABRIL!F11+MAYO!F11+JUNIO!F11+JULIO!F11+AGOSTO!F11+SEPTIEMBRE!F11+OCTUBRE!F11+NOVIEMBRE!F11+DICIEMBRE!F11</f>
        <v>1365410660.7116494</v>
      </c>
      <c r="G11" s="16">
        <f>ENERO!G11+FEBRERO!G11+MARZO!G11+ABRIL!G11+MAYO!G11+JUNIO!G11+JULIO!G11+AGOSTO!G11+SEPTIEMBRE!G11+OCTUBRE!G11+NOVIEMBRE!G11+DICIEMBRE!G11</f>
        <v>847170518.86224973</v>
      </c>
      <c r="H11" s="16">
        <f>ENERO!H11+FEBRERO!H11+MARZO!H11+ABRIL!H11+MAYO!H11+JUNIO!H11+JULIO!H11+AGOSTO!H11+SEPTIEMBRE!H11+OCTUBRE!H11+NOVIEMBRE!H11+DICIEMBRE!H11</f>
        <v>2820249239.7800002</v>
      </c>
      <c r="I11" s="16">
        <f>ENERO!I11+FEBRERO!I11+MARZO!I11+ABRIL!I11+MAYO!I11+JUNIO!I11+JULIO!I11+AGOSTO!I11+SEPTIEMBRE!I11+OCTUBRE!I11+NOVIEMBRE!I11+DICIEMBRE!I11</f>
        <v>4390255369.1500006</v>
      </c>
      <c r="J11" s="16">
        <f>ENERO!J11+FEBRERO!J11+MARZO!J11+ABRIL!J11+MAYO!J11+JUNIO!J11+JULIO!J11+AGOSTO!J11+SEPTIEMBRE!J11+OCTUBRE!J11+NOVIEMBRE!J11+DICIEMBRE!J11</f>
        <v>5418330391.7199993</v>
      </c>
      <c r="K11" s="16">
        <f>ENERO!K11+FEBRERO!K11+MARZO!K11+ABRIL!K11+MAYO!K11+JUNIO!K11+JULIO!K11+AGOSTO!K11+SEPTIEMBRE!K11+OCTUBRE!K11+NOVIEMBRE!K11+DICIEMBRE!K11</f>
        <v>2695678177.6800003</v>
      </c>
      <c r="L11" s="16">
        <f>ENERO!L11+FEBRERO!L11+MARZO!L11+ABRIL!L11+MAYO!L11+JUNIO!L11+JULIO!L11+AGOSTO!L11+SEPTIEMBRE!L11+OCTUBRE!L11+NOVIEMBRE!L11+DICIEMBRE!L11</f>
        <v>0</v>
      </c>
      <c r="M11" s="16">
        <f>ENERO!M11+FEBRERO!M11+MARZO!M11+ABRIL!M11+MAYO!M11+JUNIO!M11+JULIO!M11+AGOSTO!M11+SEPTIEMBRE!M11+OCTUBRE!M11+NOVIEMBRE!M11+DICIEMBRE!M11</f>
        <v>5825.2</v>
      </c>
      <c r="N11" s="18">
        <f t="shared" si="0"/>
        <v>71627923097.341904</v>
      </c>
      <c r="O11" s="4"/>
      <c r="P11" s="4"/>
      <c r="Q11" s="4"/>
    </row>
    <row r="12" spans="1:17" ht="18" customHeight="1" x14ac:dyDescent="0.2">
      <c r="A12" s="17" t="s">
        <v>7</v>
      </c>
      <c r="B12" s="16">
        <f>ENERO!B12+FEBRERO!B12+MARZO!B12+ABRIL!B12+MAYO!B12+JUNIO!B12+JULIO!B12+AGOSTO!B12+SEPTIEMBRE!B12+OCTUBRE!B12+NOVIEMBRE!B12+DICIEMBRE!B12</f>
        <v>6823210301.5699997</v>
      </c>
      <c r="C12" s="16">
        <f>ENERO!C12+FEBRERO!C12+MARZO!C12+ABRIL!C12+MAYO!C12+JUNIO!C12+JULIO!C12+AGOSTO!C12+SEPTIEMBRE!C12+OCTUBRE!C12+NOVIEMBRE!C12+DICIEMBRE!C12</f>
        <v>25364.793458240005</v>
      </c>
      <c r="D12" s="16">
        <f>ENERO!D12+FEBRERO!D12+MARZO!D12+ABRIL!D12+MAYO!D12+JUNIO!D12+JULIO!D12+AGOSTO!D12+SEPTIEMBRE!D12+OCTUBRE!D12+NOVIEMBRE!D12+DICIEMBRE!D12</f>
        <v>743248892.54292905</v>
      </c>
      <c r="E12" s="16">
        <f>ENERO!E12+FEBRERO!E12+MARZO!E12+ABRIL!E12+MAYO!E12+JUNIO!E12+JULIO!E12+AGOSTO!E12+SEPTIEMBRE!E12+OCTUBRE!E12+NOVIEMBRE!E12+DICIEMBRE!E12</f>
        <v>59995254.039999999</v>
      </c>
      <c r="F12" s="16">
        <f>ENERO!F12+FEBRERO!F12+MARZO!F12+ABRIL!F12+MAYO!F12+JUNIO!F12+JULIO!F12+AGOSTO!F12+SEPTIEMBRE!F12+OCTUBRE!F12+NOVIEMBRE!F12+DICIEMBRE!F12</f>
        <v>46686777.312103219</v>
      </c>
      <c r="G12" s="16">
        <f>ENERO!G12+FEBRERO!G12+MARZO!G12+ABRIL!G12+MAYO!G12+JUNIO!G12+JULIO!G12+AGOSTO!G12+SEPTIEMBRE!G12+OCTUBRE!G12+NOVIEMBRE!G12+DICIEMBRE!G12</f>
        <v>24928511.440000001</v>
      </c>
      <c r="H12" s="16">
        <f>ENERO!H12+FEBRERO!H12+MARZO!H12+ABRIL!H12+MAYO!H12+JUNIO!H12+JULIO!H12+AGOSTO!H12+SEPTIEMBRE!H12+OCTUBRE!H12+NOVIEMBRE!H12+DICIEMBRE!H12</f>
        <v>363098280.94</v>
      </c>
      <c r="I12" s="16">
        <f>ENERO!I12+FEBRERO!I12+MARZO!I12+ABRIL!I12+MAYO!I12+JUNIO!I12+JULIO!I12+AGOSTO!I12+SEPTIEMBRE!I12+OCTUBRE!I12+NOVIEMBRE!I12+DICIEMBRE!I12</f>
        <v>150113721.06999999</v>
      </c>
      <c r="J12" s="16">
        <f>ENERO!J12+FEBRERO!J12+MARZO!J12+ABRIL!J12+MAYO!J12+JUNIO!J12+JULIO!J12+AGOSTO!J12+SEPTIEMBRE!J12+OCTUBRE!J12+NOVIEMBRE!J12+DICIEMBRE!J12</f>
        <v>584223631.43000007</v>
      </c>
      <c r="K12" s="16">
        <f>ENERO!K12+FEBRERO!K12+MARZO!K12+ABRIL!K12+MAYO!K12+JUNIO!K12+JULIO!K12+AGOSTO!K12+SEPTIEMBRE!K12+OCTUBRE!K12+NOVIEMBRE!K12+DICIEMBRE!K12</f>
        <v>347062423.03999996</v>
      </c>
      <c r="L12" s="16">
        <f>ENERO!L12+FEBRERO!L12+MARZO!L12+ABRIL!L12+MAYO!L12+JUNIO!L12+JULIO!L12+AGOSTO!L12+SEPTIEMBRE!L12+OCTUBRE!L12+NOVIEMBRE!L12+DICIEMBRE!L12</f>
        <v>0</v>
      </c>
      <c r="M12" s="16">
        <f>ENERO!M12+FEBRERO!M12+MARZO!M12+ABRIL!M12+MAYO!M12+JUNIO!M12+JULIO!M12+AGOSTO!M12+SEPTIEMBRE!M12+OCTUBRE!M12+NOVIEMBRE!M12+DICIEMBRE!M12</f>
        <v>199.17000000000002</v>
      </c>
      <c r="N12" s="18">
        <f t="shared" si="0"/>
        <v>9142593357.3484898</v>
      </c>
      <c r="O12" s="4"/>
      <c r="P12" s="4"/>
      <c r="Q12" s="4"/>
    </row>
    <row r="13" spans="1:17" ht="18" customHeight="1" x14ac:dyDescent="0.2">
      <c r="A13" s="17" t="s">
        <v>8</v>
      </c>
      <c r="B13" s="16">
        <f>ENERO!B13+FEBRERO!B13+MARZO!B13+ABRIL!B13+MAYO!B13+JUNIO!B13+JULIO!B13+AGOSTO!B13+SEPTIEMBRE!B13+OCTUBRE!B13+NOVIEMBRE!B13+DICIEMBRE!B13</f>
        <v>32433591156.66</v>
      </c>
      <c r="C13" s="16">
        <f>ENERO!C13+FEBRERO!C13+MARZO!C13+ABRIL!C13+MAYO!C13+JUNIO!C13+JULIO!C13+AGOSTO!C13+SEPTIEMBRE!C13+OCTUBRE!C13+NOVIEMBRE!C13+DICIEMBRE!C13</f>
        <v>115913.31806139002</v>
      </c>
      <c r="D13" s="16">
        <f>ENERO!D13+FEBRERO!D13+MARZO!D13+ABRIL!D13+MAYO!D13+JUNIO!D13+JULIO!D13+AGOSTO!D13+SEPTIEMBRE!D13+OCTUBRE!D13+NOVIEMBRE!D13+DICIEMBRE!D13</f>
        <v>445164570.62630141</v>
      </c>
      <c r="E13" s="16">
        <f>ENERO!E13+FEBRERO!E13+MARZO!E13+ABRIL!E13+MAYO!E13+JUNIO!E13+JULIO!E13+AGOSTO!E13+SEPTIEMBRE!E13+OCTUBRE!E13+NOVIEMBRE!E13+DICIEMBRE!E13</f>
        <v>344657635.81000006</v>
      </c>
      <c r="F13" s="16">
        <f>ENERO!F13+FEBRERO!F13+MARZO!F13+ABRIL!F13+MAYO!F13+JUNIO!F13+JULIO!F13+AGOSTO!F13+SEPTIEMBRE!F13+OCTUBRE!F13+NOVIEMBRE!F13+DICIEMBRE!F13</f>
        <v>663978960.43138492</v>
      </c>
      <c r="G13" s="16">
        <f>ENERO!G13+FEBRERO!G13+MARZO!G13+ABRIL!G13+MAYO!G13+JUNIO!G13+JULIO!G13+AGOSTO!G13+SEPTIEMBRE!G13+OCTUBRE!G13+NOVIEMBRE!G13+DICIEMBRE!G13</f>
        <v>0</v>
      </c>
      <c r="H13" s="16">
        <f>ENERO!H13+FEBRERO!H13+MARZO!H13+ABRIL!H13+MAYO!H13+JUNIO!H13+JULIO!H13+AGOSTO!H13+SEPTIEMBRE!H13+OCTUBRE!H13+NOVIEMBRE!H13+DICIEMBRE!H13</f>
        <v>1722807062.3399997</v>
      </c>
      <c r="I13" s="16">
        <f>ENERO!I13+FEBRERO!I13+MARZO!I13+ABRIL!I13+MAYO!I13+JUNIO!I13+JULIO!I13+AGOSTO!I13+SEPTIEMBRE!I13+OCTUBRE!I13+NOVIEMBRE!I13+DICIEMBRE!I13</f>
        <v>2134916095.21</v>
      </c>
      <c r="J13" s="16">
        <f>ENERO!J13+FEBRERO!J13+MARZO!J13+ABRIL!J13+MAYO!J13+JUNIO!J13+JULIO!J13+AGOSTO!J13+SEPTIEMBRE!J13+OCTUBRE!J13+NOVIEMBRE!J13+DICIEMBRE!J13</f>
        <v>4028920510.0299983</v>
      </c>
      <c r="K13" s="16">
        <f>ENERO!K13+FEBRERO!K13+MARZO!K13+ABRIL!K13+MAYO!K13+JUNIO!K13+JULIO!K13+AGOSTO!K13+SEPTIEMBRE!K13+OCTUBRE!K13+NOVIEMBRE!K13+DICIEMBRE!K13</f>
        <v>1586023495.4400001</v>
      </c>
      <c r="L13" s="16">
        <f>ENERO!L13+FEBRERO!L13+MARZO!L13+ABRIL!L13+MAYO!L13+JUNIO!L13+JULIO!L13+AGOSTO!L13+SEPTIEMBRE!L13+OCTUBRE!L13+NOVIEMBRE!L13+DICIEMBRE!L13</f>
        <v>0</v>
      </c>
      <c r="M13" s="16">
        <f>ENERO!M13+FEBRERO!M13+MARZO!M13+ABRIL!M13+MAYO!M13+JUNIO!M13+JULIO!M13+AGOSTO!M13+SEPTIEMBRE!M13+OCTUBRE!M13+NOVIEMBRE!M13+DICIEMBRE!M13</f>
        <v>2832.71</v>
      </c>
      <c r="N13" s="18">
        <f t="shared" si="0"/>
        <v>43360178232.575745</v>
      </c>
      <c r="O13" s="4"/>
      <c r="P13" s="4"/>
      <c r="Q13" s="4"/>
    </row>
    <row r="14" spans="1:17" ht="18" customHeight="1" x14ac:dyDescent="0.2">
      <c r="A14" s="17" t="s">
        <v>9</v>
      </c>
      <c r="B14" s="16">
        <f>ENERO!B14+FEBRERO!B14+MARZO!B14+ABRIL!B14+MAYO!B14+JUNIO!B14+JULIO!B14+AGOSTO!B14+SEPTIEMBRE!B14+OCTUBRE!B14+NOVIEMBRE!B14+DICIEMBRE!B14</f>
        <v>10960309836.09</v>
      </c>
      <c r="C14" s="16">
        <f>ENERO!C14+FEBRERO!C14+MARZO!C14+ABRIL!C14+MAYO!C14+JUNIO!C14+JULIO!C14+AGOSTO!C14+SEPTIEMBRE!C14+OCTUBRE!C14+NOVIEMBRE!C14+DICIEMBRE!C14</f>
        <v>38890.359619380004</v>
      </c>
      <c r="D14" s="16">
        <f>ENERO!D14+FEBRERO!D14+MARZO!D14+ABRIL!D14+MAYO!D14+JUNIO!D14+JULIO!D14+AGOSTO!D14+SEPTIEMBRE!D14+OCTUBRE!D14+NOVIEMBRE!D14+DICIEMBRE!D14</f>
        <v>1264092898.3985653</v>
      </c>
      <c r="E14" s="16">
        <f>ENERO!E14+FEBRERO!E14+MARZO!E14+ABRIL!E14+MAYO!E14+JUNIO!E14+JULIO!E14+AGOSTO!E14+SEPTIEMBRE!E14+OCTUBRE!E14+NOVIEMBRE!E14+DICIEMBRE!E14</f>
        <v>93962858.620000005</v>
      </c>
      <c r="F14" s="16">
        <f>ENERO!F14+FEBRERO!F14+MARZO!F14+ABRIL!F14+MAYO!F14+JUNIO!F14+JULIO!F14+AGOSTO!F14+SEPTIEMBRE!F14+OCTUBRE!F14+NOVIEMBRE!F14+DICIEMBRE!F14</f>
        <v>30220486.535095856</v>
      </c>
      <c r="G14" s="16">
        <f>ENERO!G14+FEBRERO!G14+MARZO!G14+ABRIL!G14+MAYO!G14+JUNIO!G14+JULIO!G14+AGOSTO!G14+SEPTIEMBRE!G14+OCTUBRE!G14+NOVIEMBRE!G14+DICIEMBRE!G14</f>
        <v>16956893.800000001</v>
      </c>
      <c r="H14" s="16">
        <f>ENERO!H14+FEBRERO!H14+MARZO!H14+ABRIL!H14+MAYO!H14+JUNIO!H14+JULIO!H14+AGOSTO!H14+SEPTIEMBRE!H14+OCTUBRE!H14+NOVIEMBRE!H14+DICIEMBRE!H14</f>
        <v>581999830.31000006</v>
      </c>
      <c r="I14" s="16">
        <f>ENERO!I14+FEBRERO!I14+MARZO!I14+ABRIL!I14+MAYO!I14+JUNIO!I14+JULIO!I14+AGOSTO!I14+SEPTIEMBRE!I14+OCTUBRE!I14+NOVIEMBRE!I14+DICIEMBRE!I14</f>
        <v>97169047.670000002</v>
      </c>
      <c r="J14" s="16">
        <f>ENERO!J14+FEBRERO!J14+MARZO!J14+ABRIL!J14+MAYO!J14+JUNIO!J14+JULIO!J14+AGOSTO!J14+SEPTIEMBRE!J14+OCTUBRE!J14+NOVIEMBRE!J14+DICIEMBRE!J14</f>
        <v>864910288.73000002</v>
      </c>
      <c r="K14" s="16">
        <f>ENERO!K14+FEBRERO!K14+MARZO!K14+ABRIL!K14+MAYO!K14+JUNIO!K14+JULIO!K14+AGOSTO!K14+SEPTIEMBRE!K14+OCTUBRE!K14+NOVIEMBRE!K14+DICIEMBRE!K14</f>
        <v>532130544.47999996</v>
      </c>
      <c r="L14" s="16">
        <f>ENERO!L14+FEBRERO!L14+MARZO!L14+ABRIL!L14+MAYO!L14+JUNIO!L14+JULIO!L14+AGOSTO!L14+SEPTIEMBRE!L14+OCTUBRE!L14+NOVIEMBRE!L14+DICIEMBRE!L14</f>
        <v>0</v>
      </c>
      <c r="M14" s="16">
        <f>ENERO!M14+FEBRERO!M14+MARZO!M14+ABRIL!M14+MAYO!M14+JUNIO!M14+JULIO!M14+AGOSTO!M14+SEPTIEMBRE!M14+OCTUBRE!M14+NOVIEMBRE!M14+DICIEMBRE!M14</f>
        <v>128.91</v>
      </c>
      <c r="N14" s="18">
        <f t="shared" si="0"/>
        <v>14441791703.903278</v>
      </c>
      <c r="O14" s="4"/>
      <c r="P14" s="4"/>
      <c r="Q14" s="4"/>
    </row>
    <row r="15" spans="1:17" ht="18" customHeight="1" x14ac:dyDescent="0.2">
      <c r="A15" s="17" t="s">
        <v>10</v>
      </c>
      <c r="B15" s="16">
        <f>ENERO!B15+FEBRERO!B15+MARZO!B15+ABRIL!B15+MAYO!B15+JUNIO!B15+JULIO!B15+AGOSTO!B15+SEPTIEMBRE!B15+OCTUBRE!B15+NOVIEMBRE!B15+DICIEMBRE!B15</f>
        <v>19088863859.489998</v>
      </c>
      <c r="C15" s="16">
        <f>ENERO!C15+FEBRERO!C15+MARZO!C15+ABRIL!C15+MAYO!C15+JUNIO!C15+JULIO!C15+AGOSTO!C15+SEPTIEMBRE!C15+OCTUBRE!C15+NOVIEMBRE!C15+DICIEMBRE!C15</f>
        <v>66132.528566780005</v>
      </c>
      <c r="D15" s="16">
        <f>ENERO!D15+FEBRERO!D15+MARZO!D15+ABRIL!D15+MAYO!D15+JUNIO!D15+JULIO!D15+AGOSTO!D15+SEPTIEMBRE!D15+OCTUBRE!D15+NOVIEMBRE!D15+DICIEMBRE!D15</f>
        <v>1976670138.7878494</v>
      </c>
      <c r="E15" s="16">
        <f>ENERO!E15+FEBRERO!E15+MARZO!E15+ABRIL!E15+MAYO!E15+JUNIO!E15+JULIO!E15+AGOSTO!E15+SEPTIEMBRE!E15+OCTUBRE!E15+NOVIEMBRE!E15+DICIEMBRE!E15</f>
        <v>163247605.38</v>
      </c>
      <c r="F15" s="16">
        <f>ENERO!F15+FEBRERO!F15+MARZO!F15+ABRIL!F15+MAYO!F15+JUNIO!F15+JULIO!F15+AGOSTO!F15+SEPTIEMBRE!F15+OCTUBRE!F15+NOVIEMBRE!F15+DICIEMBRE!F15</f>
        <v>112584227.29238169</v>
      </c>
      <c r="G15" s="16">
        <f>ENERO!G15+FEBRERO!G15+MARZO!G15+ABRIL!G15+MAYO!G15+JUNIO!G15+JULIO!G15+AGOSTO!G15+SEPTIEMBRE!G15+OCTUBRE!G15+NOVIEMBRE!G15+DICIEMBRE!G15</f>
        <v>58545506.599999994</v>
      </c>
      <c r="H15" s="16">
        <f>ENERO!H15+FEBRERO!H15+MARZO!H15+ABRIL!H15+MAYO!H15+JUNIO!H15+JULIO!H15+AGOSTO!H15+SEPTIEMBRE!H15+OCTUBRE!H15+NOVIEMBRE!H15+DICIEMBRE!H15</f>
        <v>1012548233.4699999</v>
      </c>
      <c r="I15" s="16">
        <f>ENERO!I15+FEBRERO!I15+MARZO!I15+ABRIL!I15+MAYO!I15+JUNIO!I15+JULIO!I15+AGOSTO!I15+SEPTIEMBRE!I15+OCTUBRE!I15+NOVIEMBRE!I15+DICIEMBRE!I15</f>
        <v>361996227.77000004</v>
      </c>
      <c r="J15" s="16">
        <f>ENERO!J15+FEBRERO!J15+MARZO!J15+ABRIL!J15+MAYO!J15+JUNIO!J15+JULIO!J15+AGOSTO!J15+SEPTIEMBRE!J15+OCTUBRE!J15+NOVIEMBRE!J15+DICIEMBRE!J15</f>
        <v>1379976544.76</v>
      </c>
      <c r="K15" s="16">
        <f>ENERO!K15+FEBRERO!K15+MARZO!K15+ABRIL!K15+MAYO!K15+JUNIO!K15+JULIO!K15+AGOSTO!K15+SEPTIEMBRE!K15+OCTUBRE!K15+NOVIEMBRE!K15+DICIEMBRE!K15</f>
        <v>904880814.87999988</v>
      </c>
      <c r="L15" s="16">
        <f>ENERO!L15+FEBRERO!L15+MARZO!L15+ABRIL!L15+MAYO!L15+JUNIO!L15+JULIO!L15+AGOSTO!L15+SEPTIEMBRE!L15+OCTUBRE!L15+NOVIEMBRE!L15+DICIEMBRE!L15</f>
        <v>0</v>
      </c>
      <c r="M15" s="16">
        <f>ENERO!M15+FEBRERO!M15+MARZO!M15+ABRIL!M15+MAYO!M15+JUNIO!M15+JULIO!M15+AGOSTO!M15+SEPTIEMBRE!M15+OCTUBRE!M15+NOVIEMBRE!M15+DICIEMBRE!M15</f>
        <v>480.29999999999995</v>
      </c>
      <c r="N15" s="18">
        <f t="shared" si="0"/>
        <v>25059379771.258797</v>
      </c>
      <c r="O15" s="4"/>
      <c r="P15" s="4"/>
      <c r="Q15" s="4"/>
    </row>
    <row r="16" spans="1:17" ht="18" customHeight="1" x14ac:dyDescent="0.2">
      <c r="A16" s="17" t="s">
        <v>11</v>
      </c>
      <c r="B16" s="16">
        <f>ENERO!B16+FEBRERO!B16+MARZO!B16+ABRIL!B16+MAYO!B16+JUNIO!B16+JULIO!B16+AGOSTO!B16+SEPTIEMBRE!B16+OCTUBRE!B16+NOVIEMBRE!B16+DICIEMBRE!B16</f>
        <v>34473662115.959999</v>
      </c>
      <c r="C16" s="16">
        <f>ENERO!C16+FEBRERO!C16+MARZO!C16+ABRIL!C16+MAYO!C16+JUNIO!C16+JULIO!C16+AGOSTO!C16+SEPTIEMBRE!C16+OCTUBRE!C16+NOVIEMBRE!C16+DICIEMBRE!C16</f>
        <v>122409.73555886</v>
      </c>
      <c r="D16" s="16">
        <f>ENERO!D16+FEBRERO!D16+MARZO!D16+ABRIL!D16+MAYO!D16+JUNIO!D16+JULIO!D16+AGOSTO!D16+SEPTIEMBRE!D16+OCTUBRE!D16+NOVIEMBRE!D16+DICIEMBRE!D16</f>
        <v>1012891853.1915765</v>
      </c>
      <c r="E16" s="16">
        <f>ENERO!E16+FEBRERO!E16+MARZO!E16+ABRIL!E16+MAYO!E16+JUNIO!E16+JULIO!E16+AGOSTO!E16+SEPTIEMBRE!E16+OCTUBRE!E16+NOVIEMBRE!E16+DICIEMBRE!E16</f>
        <v>358152369.50999999</v>
      </c>
      <c r="F16" s="16">
        <f>ENERO!F16+FEBRERO!F16+MARZO!F16+ABRIL!F16+MAYO!F16+JUNIO!F16+JULIO!F16+AGOSTO!F16+SEPTIEMBRE!F16+OCTUBRE!F16+NOVIEMBRE!F16+DICIEMBRE!F16</f>
        <v>419890414.76868767</v>
      </c>
      <c r="G16" s="16">
        <f>ENERO!G16+FEBRERO!G16+MARZO!G16+ABRIL!G16+MAYO!G16+JUNIO!G16+JULIO!G16+AGOSTO!G16+SEPTIEMBRE!G16+OCTUBRE!G16+NOVIEMBRE!G16+DICIEMBRE!G16</f>
        <v>260188070.65999997</v>
      </c>
      <c r="H16" s="16">
        <f>ENERO!H16+FEBRERO!H16+MARZO!H16+ABRIL!H16+MAYO!H16+JUNIO!H16+JULIO!H16+AGOSTO!H16+SEPTIEMBRE!H16+OCTUBRE!H16+NOVIEMBRE!H16+DICIEMBRE!H16</f>
        <v>1830633690.8499999</v>
      </c>
      <c r="I16" s="16">
        <f>ENERO!I16+FEBRERO!I16+MARZO!I16+ABRIL!I16+MAYO!I16+JUNIO!I16+JULIO!I16+AGOSTO!I16+SEPTIEMBRE!I16+OCTUBRE!I16+NOVIEMBRE!I16+DICIEMBRE!I16</f>
        <v>1350089171.8199999</v>
      </c>
      <c r="J16" s="16">
        <f>ENERO!J16+FEBRERO!J16+MARZO!J16+ABRIL!J16+MAYO!J16+JUNIO!J16+JULIO!J16+AGOSTO!J16+SEPTIEMBRE!J16+OCTUBRE!J16+NOVIEMBRE!J16+DICIEMBRE!J16</f>
        <v>3428039485.6400008</v>
      </c>
      <c r="K16" s="16">
        <f>ENERO!K16+FEBRERO!K16+MARZO!K16+ABRIL!K16+MAYO!K16+JUNIO!K16+JULIO!K16+AGOSTO!K16+SEPTIEMBRE!K16+OCTUBRE!K16+NOVIEMBRE!K16+DICIEMBRE!K16</f>
        <v>1674912998.5599999</v>
      </c>
      <c r="L16" s="16">
        <f>ENERO!L16+FEBRERO!L16+MARZO!L16+ABRIL!L16+MAYO!L16+JUNIO!L16+JULIO!L16+AGOSTO!L16+SEPTIEMBRE!L16+OCTUBRE!L16+NOVIEMBRE!L16+DICIEMBRE!L16</f>
        <v>0</v>
      </c>
      <c r="M16" s="16">
        <f>ENERO!M16+FEBRERO!M16+MARZO!M16+ABRIL!M16+MAYO!M16+JUNIO!M16+JULIO!M16+AGOSTO!M16+SEPTIEMBRE!M16+OCTUBRE!M16+NOVIEMBRE!M16+DICIEMBRE!M16</f>
        <v>1791.35</v>
      </c>
      <c r="N16" s="18">
        <f t="shared" si="0"/>
        <v>44808584372.045815</v>
      </c>
      <c r="O16" s="4"/>
      <c r="P16" s="4"/>
      <c r="Q16" s="4"/>
    </row>
    <row r="17" spans="1:17" ht="18" customHeight="1" x14ac:dyDescent="0.2">
      <c r="A17" s="17" t="s">
        <v>12</v>
      </c>
      <c r="B17" s="16">
        <f>ENERO!B17+FEBRERO!B17+MARZO!B17+ABRIL!B17+MAYO!B17+JUNIO!B17+JULIO!B17+AGOSTO!B17+SEPTIEMBRE!B17+OCTUBRE!B17+NOVIEMBRE!B17+DICIEMBRE!B17</f>
        <v>12940042133.689999</v>
      </c>
      <c r="C17" s="16">
        <f>ENERO!C17+FEBRERO!C17+MARZO!C17+ABRIL!C17+MAYO!C17+JUNIO!C17+JULIO!C17+AGOSTO!C17+SEPTIEMBRE!C17+OCTUBRE!C17+NOVIEMBRE!C17+DICIEMBRE!C17</f>
        <v>44568.408256360002</v>
      </c>
      <c r="D17" s="16">
        <f>ENERO!D17+FEBRERO!D17+MARZO!D17+ABRIL!D17+MAYO!D17+JUNIO!D17+JULIO!D17+AGOSTO!D17+SEPTIEMBRE!D17+OCTUBRE!D17+NOVIEMBRE!D17+DICIEMBRE!D17</f>
        <v>1846385531.9377141</v>
      </c>
      <c r="E17" s="16">
        <f>ENERO!E17+FEBRERO!E17+MARZO!E17+ABRIL!E17+MAYO!E17+JUNIO!E17+JULIO!E17+AGOSTO!E17+SEPTIEMBRE!E17+OCTUBRE!E17+NOVIEMBRE!E17+DICIEMBRE!E17</f>
        <v>110921521.19</v>
      </c>
      <c r="F17" s="16">
        <f>ENERO!F17+FEBRERO!F17+MARZO!F17+ABRIL!F17+MAYO!F17+JUNIO!F17+JULIO!F17+AGOSTO!F17+SEPTIEMBRE!F17+OCTUBRE!F17+NOVIEMBRE!F17+DICIEMBRE!F17</f>
        <v>86238162.037169904</v>
      </c>
      <c r="G17" s="16">
        <f>ENERO!G17+FEBRERO!G17+MARZO!G17+ABRIL!G17+MAYO!G17+JUNIO!G17+JULIO!G17+AGOSTO!G17+SEPTIEMBRE!G17+OCTUBRE!G17+NOVIEMBRE!G17+DICIEMBRE!G17</f>
        <v>37916500.780000001</v>
      </c>
      <c r="H17" s="16">
        <f>ENERO!H17+FEBRERO!H17+MARZO!H17+ABRIL!H17+MAYO!H17+JUNIO!H17+JULIO!H17+AGOSTO!H17+SEPTIEMBRE!H17+OCTUBRE!H17+NOVIEMBRE!H17+DICIEMBRE!H17</f>
        <v>686213388.36999989</v>
      </c>
      <c r="I17" s="16">
        <f>ENERO!I17+FEBRERO!I17+MARZO!I17+ABRIL!I17+MAYO!I17+JUNIO!I17+JULIO!I17+AGOSTO!I17+SEPTIEMBRE!I17+OCTUBRE!I17+NOVIEMBRE!I17+DICIEMBRE!I17</f>
        <v>277284750.31999999</v>
      </c>
      <c r="J17" s="16">
        <f>ENERO!J17+FEBRERO!J17+MARZO!J17+ABRIL!J17+MAYO!J17+JUNIO!J17+JULIO!J17+AGOSTO!J17+SEPTIEMBRE!J17+OCTUBRE!J17+NOVIEMBRE!J17+DICIEMBRE!J17</f>
        <v>929193775.91999996</v>
      </c>
      <c r="K17" s="16">
        <f>ENERO!K17+FEBRERO!K17+MARZO!K17+ABRIL!K17+MAYO!K17+JUNIO!K17+JULIO!K17+AGOSTO!K17+SEPTIEMBRE!K17+OCTUBRE!K17+NOVIEMBRE!K17+DICIEMBRE!K17</f>
        <v>609822458.56000006</v>
      </c>
      <c r="L17" s="16">
        <f>ENERO!L17+FEBRERO!L17+MARZO!L17+ABRIL!L17+MAYO!L17+JUNIO!L17+JULIO!L17+AGOSTO!L17+SEPTIEMBRE!L17+OCTUBRE!L17+NOVIEMBRE!L17+DICIEMBRE!L17</f>
        <v>0</v>
      </c>
      <c r="M17" s="16">
        <f>ENERO!M17+FEBRERO!M17+MARZO!M17+ABRIL!M17+MAYO!M17+JUNIO!M17+JULIO!M17+AGOSTO!M17+SEPTIEMBRE!M17+OCTUBRE!M17+NOVIEMBRE!M17+DICIEMBRE!M17</f>
        <v>367.90999999999997</v>
      </c>
      <c r="N17" s="18">
        <f t="shared" si="0"/>
        <v>17524063159.123138</v>
      </c>
      <c r="O17" s="4"/>
      <c r="P17" s="4"/>
      <c r="Q17" s="4"/>
    </row>
    <row r="18" spans="1:17" ht="18" customHeight="1" x14ac:dyDescent="0.2">
      <c r="A18" s="17" t="s">
        <v>13</v>
      </c>
      <c r="B18" s="16">
        <f>ENERO!B18+FEBRERO!B18+MARZO!B18+ABRIL!B18+MAYO!B18+JUNIO!B18+JULIO!B18+AGOSTO!B18+SEPTIEMBRE!B18+OCTUBRE!B18+NOVIEMBRE!B18+DICIEMBRE!B18</f>
        <v>7277310747.1899986</v>
      </c>
      <c r="C18" s="16">
        <f>ENERO!C18+FEBRERO!C18+MARZO!C18+ABRIL!C18+MAYO!C18+JUNIO!C18+JULIO!C18+AGOSTO!C18+SEPTIEMBRE!C18+OCTUBRE!C18+NOVIEMBRE!C18+DICIEMBRE!C18</f>
        <v>24845.845942890002</v>
      </c>
      <c r="D18" s="16">
        <f>ENERO!D18+FEBRERO!D18+MARZO!D18+ABRIL!D18+MAYO!D18+JUNIO!D18+JULIO!D18+AGOSTO!D18+SEPTIEMBRE!D18+OCTUBRE!D18+NOVIEMBRE!D18+DICIEMBRE!D18</f>
        <v>577179066.27876043</v>
      </c>
      <c r="E18" s="16">
        <f>ENERO!E18+FEBRERO!E18+MARZO!E18+ABRIL!E18+MAYO!E18+JUNIO!E18+JULIO!E18+AGOSTO!E18+SEPTIEMBRE!E18+OCTUBRE!E18+NOVIEMBRE!E18+DICIEMBRE!E18</f>
        <v>62477616.779999994</v>
      </c>
      <c r="F18" s="16">
        <f>ENERO!F18+FEBRERO!F18+MARZO!F18+ABRIL!F18+MAYO!F18+JUNIO!F18+JULIO!F18+AGOSTO!F18+SEPTIEMBRE!F18+OCTUBRE!F18+NOVIEMBRE!F18+DICIEMBRE!F18</f>
        <v>58116320.338261262</v>
      </c>
      <c r="G18" s="16">
        <f>ENERO!G18+FEBRERO!G18+MARZO!G18+ABRIL!G18+MAYO!G18+JUNIO!G18+JULIO!G18+AGOSTO!G18+SEPTIEMBRE!G18+OCTUBRE!G18+NOVIEMBRE!G18+DICIEMBRE!G18</f>
        <v>30767280.700000003</v>
      </c>
      <c r="H18" s="16">
        <f>ENERO!H18+FEBRERO!H18+MARZO!H18+ABRIL!H18+MAYO!H18+JUNIO!H18+JULIO!H18+AGOSTO!H18+SEPTIEMBRE!H18+OCTUBRE!H18+NOVIEMBRE!H18+DICIEMBRE!H18</f>
        <v>385769310.17999995</v>
      </c>
      <c r="I18" s="16">
        <f>ENERO!I18+FEBRERO!I18+MARZO!I18+ABRIL!I18+MAYO!I18+JUNIO!I18+JULIO!I18+AGOSTO!I18+SEPTIEMBRE!I18+OCTUBRE!I18+NOVIEMBRE!I18+DICIEMBRE!I18</f>
        <v>186863553.19000003</v>
      </c>
      <c r="J18" s="16">
        <f>ENERO!J18+FEBRERO!J18+MARZO!J18+ABRIL!J18+MAYO!J18+JUNIO!J18+JULIO!J18+AGOSTO!J18+SEPTIEMBRE!J18+OCTUBRE!J18+NOVIEMBRE!J18+DICIEMBRE!J18</f>
        <v>757547903.06000006</v>
      </c>
      <c r="K18" s="16">
        <f>ENERO!K18+FEBRERO!K18+MARZO!K18+ABRIL!K18+MAYO!K18+JUNIO!K18+JULIO!K18+AGOSTO!K18+SEPTIEMBRE!K18+OCTUBRE!K18+NOVIEMBRE!K18+DICIEMBRE!K18</f>
        <v>339961819.43999994</v>
      </c>
      <c r="L18" s="16">
        <f>ENERO!L18+FEBRERO!L18+MARZO!L18+ABRIL!L18+MAYO!L18+JUNIO!L18+JULIO!L18+AGOSTO!L18+SEPTIEMBRE!L18+OCTUBRE!L18+NOVIEMBRE!L18+DICIEMBRE!L18</f>
        <v>0</v>
      </c>
      <c r="M18" s="16">
        <f>ENERO!M18+FEBRERO!M18+MARZO!M18+ABRIL!M18+MAYO!M18+JUNIO!M18+JULIO!M18+AGOSTO!M18+SEPTIEMBRE!M18+OCTUBRE!M18+NOVIEMBRE!M18+DICIEMBRE!M18</f>
        <v>247.93</v>
      </c>
      <c r="N18" s="18">
        <f t="shared" si="0"/>
        <v>9676018710.9329624</v>
      </c>
      <c r="O18" s="4"/>
      <c r="P18" s="4"/>
      <c r="Q18" s="4"/>
    </row>
    <row r="19" spans="1:17" ht="18" customHeight="1" x14ac:dyDescent="0.2">
      <c r="A19" s="17" t="s">
        <v>14</v>
      </c>
      <c r="B19" s="16">
        <f>ENERO!B19+FEBRERO!B19+MARZO!B19+ABRIL!B19+MAYO!B19+JUNIO!B19+JULIO!B19+AGOSTO!B19+SEPTIEMBRE!B19+OCTUBRE!B19+NOVIEMBRE!B19+DICIEMBRE!B19</f>
        <v>12233923743.210001</v>
      </c>
      <c r="C19" s="16">
        <f>ENERO!C19+FEBRERO!C19+MARZO!C19+ABRIL!C19+MAYO!C19+JUNIO!C19+JULIO!C19+AGOSTO!C19+SEPTIEMBRE!C19+OCTUBRE!C19+NOVIEMBRE!C19+DICIEMBRE!C19</f>
        <v>43422.148505640005</v>
      </c>
      <c r="D19" s="16">
        <f>ENERO!D19+FEBRERO!D19+MARZO!D19+ABRIL!D19+MAYO!D19+JUNIO!D19+JULIO!D19+AGOSTO!D19+SEPTIEMBRE!D19+OCTUBRE!D19+NOVIEMBRE!D19+DICIEMBRE!D19</f>
        <v>1103806935.3829856</v>
      </c>
      <c r="E19" s="16">
        <f>ENERO!E19+FEBRERO!E19+MARZO!E19+ABRIL!E19+MAYO!E19+JUNIO!E19+JULIO!E19+AGOSTO!E19+SEPTIEMBRE!E19+OCTUBRE!E19+NOVIEMBRE!E19+DICIEMBRE!E19</f>
        <v>104517259.91000001</v>
      </c>
      <c r="F19" s="16">
        <f>ENERO!F19+FEBRERO!F19+MARZO!F19+ABRIL!F19+MAYO!F19+JUNIO!F19+JULIO!F19+AGOSTO!F19+SEPTIEMBRE!F19+OCTUBRE!F19+NOVIEMBRE!F19+DICIEMBRE!F19</f>
        <v>23472536.025047742</v>
      </c>
      <c r="G19" s="16">
        <f>ENERO!G19+FEBRERO!G19+MARZO!G19+ABRIL!G19+MAYO!G19+JUNIO!G19+JULIO!G19+AGOSTO!G19+SEPTIEMBRE!G19+OCTUBRE!G19+NOVIEMBRE!G19+DICIEMBRE!G19</f>
        <v>17215772.140000001</v>
      </c>
      <c r="H19" s="16">
        <f>ENERO!H19+FEBRERO!H19+MARZO!H19+ABRIL!H19+MAYO!H19+JUNIO!H19+JULIO!H19+AGOSTO!H19+SEPTIEMBRE!H19+OCTUBRE!H19+NOVIEMBRE!H19+DICIEMBRE!H19</f>
        <v>649638141.06999993</v>
      </c>
      <c r="I19" s="16">
        <f>ENERO!I19+FEBRERO!I19+MARZO!I19+ABRIL!I19+MAYO!I19+JUNIO!I19+JULIO!I19+AGOSTO!I19+SEPTIEMBRE!I19+OCTUBRE!I19+NOVIEMBRE!I19+DICIEMBRE!I19</f>
        <v>75472112.879999995</v>
      </c>
      <c r="J19" s="16">
        <f>ENERO!J19+FEBRERO!J19+MARZO!J19+ABRIL!J19+MAYO!J19+JUNIO!J19+JULIO!J19+AGOSTO!J19+SEPTIEMBRE!J19+OCTUBRE!J19+NOVIEMBRE!J19+DICIEMBRE!J19</f>
        <v>659092056</v>
      </c>
      <c r="K19" s="16">
        <f>ENERO!K19+FEBRERO!K19+MARZO!K19+ABRIL!K19+MAYO!K19+JUNIO!K19+JULIO!K19+AGOSTO!K19+SEPTIEMBRE!K19+OCTUBRE!K19+NOVIEMBRE!K19+DICIEMBRE!K19</f>
        <v>594138293.43999994</v>
      </c>
      <c r="L19" s="16">
        <f>ENERO!L19+FEBRERO!L19+MARZO!L19+ABRIL!L19+MAYO!L19+JUNIO!L19+JULIO!L19+AGOSTO!L19+SEPTIEMBRE!L19+OCTUBRE!L19+NOVIEMBRE!L19+DICIEMBRE!L19</f>
        <v>0</v>
      </c>
      <c r="M19" s="16">
        <f>ENERO!M19+FEBRERO!M19+MARZO!M19+ABRIL!M19+MAYO!M19+JUNIO!M19+JULIO!M19+AGOSTO!M19+SEPTIEMBRE!M19+OCTUBRE!M19+NOVIEMBRE!M19+DICIEMBRE!M19</f>
        <v>100.13</v>
      </c>
      <c r="N19" s="18">
        <f t="shared" si="0"/>
        <v>15461320372.336538</v>
      </c>
      <c r="O19" s="4"/>
      <c r="P19" s="4"/>
      <c r="Q19" s="4"/>
    </row>
    <row r="20" spans="1:17" ht="18" customHeight="1" x14ac:dyDescent="0.2">
      <c r="A20" s="17" t="s">
        <v>15</v>
      </c>
      <c r="B20" s="16">
        <f>ENERO!B20+FEBRERO!B20+MARZO!B20+ABRIL!B20+MAYO!B20+JUNIO!B20+JULIO!B20+AGOSTO!B20+SEPTIEMBRE!B20+OCTUBRE!B20+NOVIEMBRE!B20+DICIEMBRE!B20</f>
        <v>43319257908.159996</v>
      </c>
      <c r="C20" s="16">
        <f>ENERO!C20+FEBRERO!C20+MARZO!C20+ABRIL!C20+MAYO!C20+JUNIO!C20+JULIO!C20+AGOSTO!C20+SEPTIEMBRE!C20+OCTUBRE!C20+NOVIEMBRE!C20+DICIEMBRE!C20</f>
        <v>152598.40130138001</v>
      </c>
      <c r="D20" s="16">
        <f>ENERO!D20+FEBRERO!D20+MARZO!D20+ABRIL!D20+MAYO!D20+JUNIO!D20+JULIO!D20+AGOSTO!D20+SEPTIEMBRE!D20+OCTUBRE!D20+NOVIEMBRE!D20+DICIEMBRE!D20</f>
        <v>305172269.55510813</v>
      </c>
      <c r="E20" s="16">
        <f>ENERO!E20+FEBRERO!E20+MARZO!E20+ABRIL!E20+MAYO!E20+JUNIO!E20+JULIO!E20+AGOSTO!E20+SEPTIEMBRE!E20+OCTUBRE!E20+NOVIEMBRE!E20+DICIEMBRE!E20</f>
        <v>460638897.36000001</v>
      </c>
      <c r="F20" s="16">
        <f>ENERO!F20+FEBRERO!F20+MARZO!F20+ABRIL!F20+MAYO!F20+JUNIO!F20+JULIO!F20+AGOSTO!F20+SEPTIEMBRE!F20+OCTUBRE!F20+NOVIEMBRE!F20+DICIEMBRE!F20</f>
        <v>749183943.48658562</v>
      </c>
      <c r="G20" s="16">
        <f>ENERO!G20+FEBRERO!G20+MARZO!G20+ABRIL!G20+MAYO!G20+JUNIO!G20+JULIO!G20+AGOSTO!G20+SEPTIEMBRE!G20+OCTUBRE!G20+NOVIEMBRE!G20+DICIEMBRE!G20</f>
        <v>434004311.8848924</v>
      </c>
      <c r="H20" s="16">
        <f>ENERO!H20+FEBRERO!H20+MARZO!H20+ABRIL!H20+MAYO!H20+JUNIO!H20+JULIO!H20+AGOSTO!H20+SEPTIEMBRE!H20+OCTUBRE!H20+NOVIEMBRE!H20+DICIEMBRE!H20</f>
        <v>2299529767.52</v>
      </c>
      <c r="I20" s="16">
        <f>ENERO!I20+FEBRERO!I20+MARZO!I20+ABRIL!I20+MAYO!I20+JUNIO!I20+JULIO!I20+AGOSTO!I20+SEPTIEMBRE!I20+OCTUBRE!I20+NOVIEMBRE!I20+DICIEMBRE!I20</f>
        <v>2408878826.8099999</v>
      </c>
      <c r="J20" s="16">
        <f>ENERO!J20+FEBRERO!J20+MARZO!J20+ABRIL!J20+MAYO!J20+JUNIO!J20+JULIO!J20+AGOSTO!J20+SEPTIEMBRE!J20+OCTUBRE!J20+NOVIEMBRE!J20+DICIEMBRE!J20</f>
        <v>3747872444.8199992</v>
      </c>
      <c r="K20" s="16">
        <f>ENERO!K20+FEBRERO!K20+MARZO!K20+ABRIL!K20+MAYO!K20+JUNIO!K20+JULIO!K20+AGOSTO!K20+SEPTIEMBRE!K20+OCTUBRE!K20+NOVIEMBRE!K20+DICIEMBRE!K20</f>
        <v>2087979616.4799998</v>
      </c>
      <c r="L20" s="16">
        <f>ENERO!L20+FEBRERO!L20+MARZO!L20+ABRIL!L20+MAYO!L20+JUNIO!L20+JULIO!L20+AGOSTO!L20+SEPTIEMBRE!L20+OCTUBRE!L20+NOVIEMBRE!L20+DICIEMBRE!L20</f>
        <v>0</v>
      </c>
      <c r="M20" s="16">
        <f>ENERO!M20+FEBRERO!M20+MARZO!M20+ABRIL!M20+MAYO!M20+JUNIO!M20+JULIO!M20+AGOSTO!M20+SEPTIEMBRE!M20+OCTUBRE!M20+NOVIEMBRE!M20+DICIEMBRE!M20</f>
        <v>3196.22</v>
      </c>
      <c r="N20" s="18">
        <f t="shared" si="0"/>
        <v>55812673780.697884</v>
      </c>
      <c r="O20" s="4"/>
      <c r="P20" s="4"/>
      <c r="Q20" s="4"/>
    </row>
    <row r="21" spans="1:17" ht="18" customHeight="1" x14ac:dyDescent="0.2">
      <c r="A21" s="17" t="s">
        <v>16</v>
      </c>
      <c r="B21" s="16">
        <f>ENERO!B21+FEBRERO!B21+MARZO!B21+ABRIL!B21+MAYO!B21+JUNIO!B21+JULIO!B21+AGOSTO!B21+SEPTIEMBRE!B21+OCTUBRE!B21+NOVIEMBRE!B21+DICIEMBRE!B21</f>
        <v>18822801570.899998</v>
      </c>
      <c r="C21" s="16">
        <f>ENERO!C21+FEBRERO!C21+MARZO!C21+ABRIL!C21+MAYO!C21+JUNIO!C21+JULIO!C21+AGOSTO!C21+SEPTIEMBRE!C21+OCTUBRE!C21+NOVIEMBRE!C21+DICIEMBRE!C21</f>
        <v>66087.518640669994</v>
      </c>
      <c r="D21" s="16">
        <f>ENERO!D21+FEBRERO!D21+MARZO!D21+ABRIL!D21+MAYO!D21+JUNIO!D21+JULIO!D21+AGOSTO!D21+SEPTIEMBRE!D21+OCTUBRE!D21+NOVIEMBRE!D21+DICIEMBRE!D21</f>
        <v>144125790.61931548</v>
      </c>
      <c r="E21" s="16">
        <f>ENERO!E21+FEBRERO!E21+MARZO!E21+ABRIL!E21+MAYO!E21+JUNIO!E21+JULIO!E21+AGOSTO!E21+SEPTIEMBRE!E21+OCTUBRE!E21+NOVIEMBRE!E21+DICIEMBRE!E21</f>
        <v>166407090.99000001</v>
      </c>
      <c r="F21" s="16">
        <f>ENERO!F21+FEBRERO!F21+MARZO!F21+ABRIL!F21+MAYO!F21+JUNIO!F21+JULIO!F21+AGOSTO!F21+SEPTIEMBRE!F21+OCTUBRE!F21+NOVIEMBRE!F21+DICIEMBRE!F21</f>
        <v>199209831.49654001</v>
      </c>
      <c r="G21" s="16">
        <f>ENERO!G21+FEBRERO!G21+MARZO!G21+ABRIL!G21+MAYO!G21+JUNIO!G21+JULIO!G21+AGOSTO!G21+SEPTIEMBRE!G21+OCTUBRE!G21+NOVIEMBRE!G21+DICIEMBRE!G21</f>
        <v>57070745.780455329</v>
      </c>
      <c r="H21" s="16">
        <f>ENERO!H21+FEBRERO!H21+MARZO!H21+ABRIL!H21+MAYO!H21+JUNIO!H21+JULIO!H21+AGOSTO!H21+SEPTIEMBRE!H21+OCTUBRE!H21+NOVIEMBRE!H21+DICIEMBRE!H21</f>
        <v>999028747.3499999</v>
      </c>
      <c r="I21" s="16">
        <f>ENERO!I21+FEBRERO!I21+MARZO!I21+ABRIL!I21+MAYO!I21+JUNIO!I21+JULIO!I21+AGOSTO!I21+SEPTIEMBRE!I21+OCTUBRE!I21+NOVIEMBRE!I21+DICIEMBRE!I21</f>
        <v>640526735.10000014</v>
      </c>
      <c r="J21" s="16">
        <f>ENERO!J21+FEBRERO!J21+MARZO!J21+ABRIL!J21+MAYO!J21+JUNIO!J21+JULIO!J21+AGOSTO!J21+SEPTIEMBRE!J21+OCTUBRE!J21+NOVIEMBRE!J21+DICIEMBRE!J21</f>
        <v>1228757314.3600004</v>
      </c>
      <c r="K21" s="16">
        <f>ENERO!K21+FEBRERO!K21+MARZO!K21+ABRIL!K21+MAYO!K21+JUNIO!K21+JULIO!K21+AGOSTO!K21+SEPTIEMBRE!K21+OCTUBRE!K21+NOVIEMBRE!K21+DICIEMBRE!K21</f>
        <v>904265010.31999993</v>
      </c>
      <c r="L21" s="16">
        <f>ENERO!L21+FEBRERO!L21+MARZO!L21+ABRIL!L21+MAYO!L21+JUNIO!L21+JULIO!L21+AGOSTO!L21+SEPTIEMBRE!L21+OCTUBRE!L21+NOVIEMBRE!L21+DICIEMBRE!L21</f>
        <v>0</v>
      </c>
      <c r="M21" s="16">
        <f>ENERO!M21+FEBRERO!M21+MARZO!M21+ABRIL!M21+MAYO!M21+JUNIO!M21+JULIO!M21+AGOSTO!M21+SEPTIEMBRE!M21+OCTUBRE!M21+NOVIEMBRE!M21+DICIEMBRE!M21</f>
        <v>849.88</v>
      </c>
      <c r="N21" s="18">
        <f t="shared" si="0"/>
        <v>23162259774.314953</v>
      </c>
      <c r="O21" s="4"/>
      <c r="P21" s="4"/>
      <c r="Q21" s="4"/>
    </row>
    <row r="22" spans="1:17" ht="18" customHeight="1" x14ac:dyDescent="0.2">
      <c r="A22" s="17" t="s">
        <v>17</v>
      </c>
      <c r="B22" s="16">
        <f>ENERO!B22+FEBRERO!B22+MARZO!B22+ABRIL!B22+MAYO!B22+JUNIO!B22+JULIO!B22+AGOSTO!B22+SEPTIEMBRE!B22+OCTUBRE!B22+NOVIEMBRE!B22+DICIEMBRE!B22</f>
        <v>14911711937.499998</v>
      </c>
      <c r="C22" s="16">
        <f>ENERO!C22+FEBRERO!C22+MARZO!C22+ABRIL!C22+MAYO!C22+JUNIO!C22+JULIO!C22+AGOSTO!C22+SEPTIEMBRE!C22+OCTUBRE!C22+NOVIEMBRE!C22+DICIEMBRE!C22</f>
        <v>49269.199926380003</v>
      </c>
      <c r="D22" s="16">
        <f>ENERO!D22+FEBRERO!D22+MARZO!D22+ABRIL!D22+MAYO!D22+JUNIO!D22+JULIO!D22+AGOSTO!D22+SEPTIEMBRE!D22+OCTUBRE!D22+NOVIEMBRE!D22+DICIEMBRE!D22</f>
        <v>918825628.06199813</v>
      </c>
      <c r="E22" s="16">
        <f>ENERO!E22+FEBRERO!E22+MARZO!E22+ABRIL!E22+MAYO!E22+JUNIO!E22+JULIO!E22+AGOSTO!E22+SEPTIEMBRE!E22+OCTUBRE!E22+NOVIEMBRE!E22+DICIEMBRE!E22</f>
        <v>125041233.05000001</v>
      </c>
      <c r="F22" s="16">
        <f>ENERO!F22+FEBRERO!F22+MARZO!F22+ABRIL!F22+MAYO!F22+JUNIO!F22+JULIO!F22+AGOSTO!F22+SEPTIEMBRE!F22+OCTUBRE!F22+NOVIEMBRE!F22+DICIEMBRE!F22</f>
        <v>47429374.763831005</v>
      </c>
      <c r="G22" s="16">
        <f>ENERO!G22+FEBRERO!G22+MARZO!G22+ABRIL!G22+MAYO!G22+JUNIO!G22+JULIO!G22+AGOSTO!G22+SEPTIEMBRE!G22+OCTUBRE!G22+NOVIEMBRE!G22+DICIEMBRE!G22</f>
        <v>29138363.550000004</v>
      </c>
      <c r="H22" s="16">
        <f>ENERO!H22+FEBRERO!H22+MARZO!H22+ABRIL!H22+MAYO!H22+JUNIO!H22+JULIO!H22+AGOSTO!H22+SEPTIEMBRE!H22+OCTUBRE!H22+NOVIEMBRE!H22+DICIEMBRE!H22</f>
        <v>789356649.02999997</v>
      </c>
      <c r="I22" s="16">
        <f>ENERO!I22+FEBRERO!I22+MARZO!I22+ABRIL!I22+MAYO!I22+JUNIO!I22+JULIO!I22+AGOSTO!I22+SEPTIEMBRE!I22+OCTUBRE!I22+NOVIEMBRE!I22+DICIEMBRE!I22</f>
        <v>152501422.01999998</v>
      </c>
      <c r="J22" s="16">
        <f>ENERO!J22+FEBRERO!J22+MARZO!J22+ABRIL!J22+MAYO!J22+JUNIO!J22+JULIO!J22+AGOSTO!J22+SEPTIEMBRE!J22+OCTUBRE!J22+NOVIEMBRE!J22+DICIEMBRE!J22</f>
        <v>922729286.85000014</v>
      </c>
      <c r="K22" s="16">
        <f>ENERO!K22+FEBRERO!K22+MARZO!K22+ABRIL!K22+MAYO!K22+JUNIO!K22+JULIO!K22+AGOSTO!K22+SEPTIEMBRE!K22+OCTUBRE!K22+NOVIEMBRE!K22+DICIEMBRE!K22</f>
        <v>674142616.48000002</v>
      </c>
      <c r="L22" s="16">
        <f>ENERO!L22+FEBRERO!L22+MARZO!L22+ABRIL!L22+MAYO!L22+JUNIO!L22+JULIO!L22+AGOSTO!L22+SEPTIEMBRE!L22+OCTUBRE!L22+NOVIEMBRE!L22+DICIEMBRE!L22</f>
        <v>0</v>
      </c>
      <c r="M22" s="16">
        <f>ENERO!M22+FEBRERO!M22+MARZO!M22+ABRIL!M22+MAYO!M22+JUNIO!M22+JULIO!M22+AGOSTO!M22+SEPTIEMBRE!M22+OCTUBRE!M22+NOVIEMBRE!M22+DICIEMBRE!M22</f>
        <v>202.34</v>
      </c>
      <c r="N22" s="18">
        <f t="shared" si="0"/>
        <v>18570925982.845753</v>
      </c>
      <c r="O22" s="4"/>
      <c r="P22" s="4"/>
      <c r="Q22" s="4"/>
    </row>
    <row r="23" spans="1:17" ht="18" customHeight="1" x14ac:dyDescent="0.2">
      <c r="A23" s="17" t="s">
        <v>18</v>
      </c>
      <c r="B23" s="16">
        <f>ENERO!B23+FEBRERO!B23+MARZO!B23+ABRIL!B23+MAYO!B23+JUNIO!B23+JULIO!B23+AGOSTO!B23+SEPTIEMBRE!B23+OCTUBRE!B23+NOVIEMBRE!B23+DICIEMBRE!B23</f>
        <v>14325750709.710001</v>
      </c>
      <c r="C23" s="16">
        <f>ENERO!C23+FEBRERO!C23+MARZO!C23+ABRIL!C23+MAYO!C23+JUNIO!C23+JULIO!C23+AGOSTO!C23+SEPTIEMBRE!C23+OCTUBRE!C23+NOVIEMBRE!C23+DICIEMBRE!C23</f>
        <v>50167.473961800002</v>
      </c>
      <c r="D23" s="16">
        <f>ENERO!D23+FEBRERO!D23+MARZO!D23+ABRIL!D23+MAYO!D23+JUNIO!D23+JULIO!D23+AGOSTO!D23+SEPTIEMBRE!D23+OCTUBRE!D23+NOVIEMBRE!D23+DICIEMBRE!D23</f>
        <v>749852374.02446198</v>
      </c>
      <c r="E23" s="16">
        <f>ENERO!E23+FEBRERO!E23+MARZO!E23+ABRIL!E23+MAYO!E23+JUNIO!E23+JULIO!E23+AGOSTO!E23+SEPTIEMBRE!E23+OCTUBRE!E23+NOVIEMBRE!E23+DICIEMBRE!E23</f>
        <v>122842364.02999999</v>
      </c>
      <c r="F23" s="16">
        <f>ENERO!F23+FEBRERO!F23+MARZO!F23+ABRIL!F23+MAYO!F23+JUNIO!F23+JULIO!F23+AGOSTO!F23+SEPTIEMBRE!F23+OCTUBRE!F23+NOVIEMBRE!F23+DICIEMBRE!F23</f>
        <v>45459877.236639924</v>
      </c>
      <c r="G23" s="16">
        <f>ENERO!G23+FEBRERO!G23+MARZO!G23+ABRIL!G23+MAYO!G23+JUNIO!G23+JULIO!G23+AGOSTO!G23+SEPTIEMBRE!G23+OCTUBRE!G23+NOVIEMBRE!G23+DICIEMBRE!G23</f>
        <v>35885259.659999996</v>
      </c>
      <c r="H23" s="16">
        <f>ENERO!H23+FEBRERO!H23+MARZO!H23+ABRIL!H23+MAYO!H23+JUNIO!H23+JULIO!H23+AGOSTO!H23+SEPTIEMBRE!H23+OCTUBRE!H23+NOVIEMBRE!H23+DICIEMBRE!H23</f>
        <v>760257227.03000009</v>
      </c>
      <c r="I23" s="16">
        <f>ENERO!I23+FEBRERO!I23+MARZO!I23+ABRIL!I23+MAYO!I23+JUNIO!I23+JULIO!I23+AGOSTO!I23+SEPTIEMBRE!I23+OCTUBRE!I23+NOVIEMBRE!I23+DICIEMBRE!I23</f>
        <v>146168823.82999998</v>
      </c>
      <c r="J23" s="16">
        <f>ENERO!J23+FEBRERO!J23+MARZO!J23+ABRIL!J23+MAYO!J23+JUNIO!J23+JULIO!J23+AGOSTO!J23+SEPTIEMBRE!J23+OCTUBRE!J23+NOVIEMBRE!J23+DICIEMBRE!J23</f>
        <v>761676518.75000012</v>
      </c>
      <c r="K23" s="16">
        <f>ENERO!K23+FEBRERO!K23+MARZO!K23+ABRIL!K23+MAYO!K23+JUNIO!K23+JULIO!K23+AGOSTO!K23+SEPTIEMBRE!K23+OCTUBRE!K23+NOVIEMBRE!K23+DICIEMBRE!K23</f>
        <v>686433572.79999995</v>
      </c>
      <c r="L23" s="16">
        <f>ENERO!L23+FEBRERO!L23+MARZO!L23+ABRIL!L23+MAYO!L23+JUNIO!L23+JULIO!L23+AGOSTO!L23+SEPTIEMBRE!L23+OCTUBRE!L23+NOVIEMBRE!L23+DICIEMBRE!L23</f>
        <v>0</v>
      </c>
      <c r="M23" s="16">
        <f>ENERO!M23+FEBRERO!M23+MARZO!M23+ABRIL!M23+MAYO!M23+JUNIO!M23+JULIO!M23+AGOSTO!M23+SEPTIEMBRE!M23+OCTUBRE!M23+NOVIEMBRE!M23+DICIEMBRE!M23</f>
        <v>193.92999999999998</v>
      </c>
      <c r="N23" s="18">
        <f t="shared" si="0"/>
        <v>17634377088.475063</v>
      </c>
      <c r="O23" s="4"/>
      <c r="P23" s="4"/>
      <c r="Q23" s="4"/>
    </row>
    <row r="24" spans="1:17" ht="18" customHeight="1" x14ac:dyDescent="0.2">
      <c r="A24" s="17" t="s">
        <v>19</v>
      </c>
      <c r="B24" s="16">
        <f>ENERO!B24+FEBRERO!B24+MARZO!B24+ABRIL!B24+MAYO!B24+JUNIO!B24+JULIO!B24+AGOSTO!B24+SEPTIEMBRE!B24+OCTUBRE!B24+NOVIEMBRE!B24+DICIEMBRE!B24</f>
        <v>4509794801.5200014</v>
      </c>
      <c r="C24" s="16">
        <f>ENERO!C24+FEBRERO!C24+MARZO!C24+ABRIL!C24+MAYO!C24+JUNIO!C24+JULIO!C24+AGOSTO!C24+SEPTIEMBRE!C24+OCTUBRE!C24+NOVIEMBRE!C24+DICIEMBRE!C24</f>
        <v>15382.732295719999</v>
      </c>
      <c r="D24" s="16">
        <f>ENERO!D24+FEBRERO!D24+MARZO!D24+ABRIL!D24+MAYO!D24+JUNIO!D24+JULIO!D24+AGOSTO!D24+SEPTIEMBRE!D24+OCTUBRE!D24+NOVIEMBRE!D24+DICIEMBRE!D24</f>
        <v>572561509.62336922</v>
      </c>
      <c r="E24" s="16">
        <f>ENERO!E24+FEBRERO!E24+MARZO!E24+ABRIL!E24+MAYO!E24+JUNIO!E24+JULIO!E24+AGOSTO!E24+SEPTIEMBRE!E24+OCTUBRE!E24+NOVIEMBRE!E24+DICIEMBRE!E24</f>
        <v>39738263.869999997</v>
      </c>
      <c r="F24" s="16">
        <f>ENERO!F24+FEBRERO!F24+MARZO!F24+ABRIL!F24+MAYO!F24+JUNIO!F24+JULIO!F24+AGOSTO!F24+SEPTIEMBRE!F24+OCTUBRE!F24+NOVIEMBRE!F24+DICIEMBRE!F24</f>
        <v>47267940.512585826</v>
      </c>
      <c r="G24" s="16">
        <f>ENERO!G24+FEBRERO!G24+MARZO!G24+ABRIL!G24+MAYO!G24+JUNIO!G24+JULIO!G24+AGOSTO!G24+SEPTIEMBRE!G24+OCTUBRE!G24+NOVIEMBRE!G24+DICIEMBRE!G24</f>
        <v>9037768.7985397056</v>
      </c>
      <c r="H24" s="16">
        <f>ENERO!H24+FEBRERO!H24+MARZO!H24+ABRIL!H24+MAYO!H24+JUNIO!H24+JULIO!H24+AGOSTO!H24+SEPTIEMBRE!H24+OCTUBRE!H24+NOVIEMBRE!H24+DICIEMBRE!H24</f>
        <v>239053899.80000001</v>
      </c>
      <c r="I24" s="16">
        <f>ENERO!I24+FEBRERO!I24+MARZO!I24+ABRIL!I24+MAYO!I24+JUNIO!I24+JULIO!I24+AGOSTO!I24+SEPTIEMBRE!I24+OCTUBRE!I24+NOVIEMBRE!I24+DICIEMBRE!I24</f>
        <v>151982356.59</v>
      </c>
      <c r="J24" s="16">
        <f>ENERO!J24+FEBRERO!J24+MARZO!J24+ABRIL!J24+MAYO!J24+JUNIO!J24+JULIO!J24+AGOSTO!J24+SEPTIEMBRE!J24+OCTUBRE!J24+NOVIEMBRE!J24+DICIEMBRE!J24</f>
        <v>644494888.12000012</v>
      </c>
      <c r="K24" s="16">
        <f>ENERO!K24+FEBRERO!K24+MARZO!K24+ABRIL!K24+MAYO!K24+JUNIO!K24+JULIO!K24+AGOSTO!K24+SEPTIEMBRE!K24+OCTUBRE!K24+NOVIEMBRE!K24+DICIEMBRE!K24</f>
        <v>210479485.11999997</v>
      </c>
      <c r="L24" s="16">
        <f>ENERO!L24+FEBRERO!L24+MARZO!L24+ABRIL!L24+MAYO!L24+JUNIO!L24+JULIO!L24+AGOSTO!L24+SEPTIEMBRE!L24+OCTUBRE!L24+NOVIEMBRE!L24+DICIEMBRE!L24</f>
        <v>0</v>
      </c>
      <c r="M24" s="16">
        <f>ENERO!M24+FEBRERO!M24+MARZO!M24+ABRIL!M24+MAYO!M24+JUNIO!M24+JULIO!M24+AGOSTO!M24+SEPTIEMBRE!M24+OCTUBRE!M24+NOVIEMBRE!M24+DICIEMBRE!M24</f>
        <v>201.65</v>
      </c>
      <c r="N24" s="18">
        <f t="shared" si="0"/>
        <v>6424426498.336792</v>
      </c>
      <c r="O24" s="4"/>
      <c r="P24" s="4"/>
      <c r="Q24" s="4"/>
    </row>
    <row r="25" spans="1:17" ht="18" customHeight="1" x14ac:dyDescent="0.2">
      <c r="A25" s="17" t="s">
        <v>20</v>
      </c>
      <c r="B25" s="16">
        <f>ENERO!B25+FEBRERO!B25+MARZO!B25+ABRIL!B25+MAYO!B25+JUNIO!B25+JULIO!B25+AGOSTO!B25+SEPTIEMBRE!B25+OCTUBRE!B25+NOVIEMBRE!B25+DICIEMBRE!B25</f>
        <v>18665712986.239998</v>
      </c>
      <c r="C25" s="16">
        <f>ENERO!C25+FEBRERO!C25+MARZO!C25+ABRIL!C25+MAYO!C25+JUNIO!C25+JULIO!C25+AGOSTO!C25+SEPTIEMBRE!C25+OCTUBRE!C25+NOVIEMBRE!C25+DICIEMBRE!C25</f>
        <v>69387.619140939991</v>
      </c>
      <c r="D25" s="16">
        <f>ENERO!D25+FEBRERO!D25+MARZO!D25+ABRIL!D25+MAYO!D25+JUNIO!D25+JULIO!D25+AGOSTO!D25+SEPTIEMBRE!D25+OCTUBRE!D25+NOVIEMBRE!D25+DICIEMBRE!D25</f>
        <v>347245557.36646843</v>
      </c>
      <c r="E25" s="16">
        <f>ENERO!E25+FEBRERO!E25+MARZO!E25+ABRIL!E25+MAYO!E25+JUNIO!E25+JULIO!E25+AGOSTO!E25+SEPTIEMBRE!E25+OCTUBRE!E25+NOVIEMBRE!E25+DICIEMBRE!E25</f>
        <v>167471805.30000001</v>
      </c>
      <c r="F25" s="16">
        <f>ENERO!F25+FEBRERO!F25+MARZO!F25+ABRIL!F25+MAYO!F25+JUNIO!F25+JULIO!F25+AGOSTO!F25+SEPTIEMBRE!F25+OCTUBRE!F25+NOVIEMBRE!F25+DICIEMBRE!F25</f>
        <v>209638482.34297797</v>
      </c>
      <c r="G25" s="16">
        <f>ENERO!G25+FEBRERO!G25+MARZO!G25+ABRIL!G25+MAYO!G25+JUNIO!G25+JULIO!G25+AGOSTO!G25+SEPTIEMBRE!G25+OCTUBRE!G25+NOVIEMBRE!G25+DICIEMBRE!G25</f>
        <v>85292143.36999999</v>
      </c>
      <c r="H25" s="16">
        <f>ENERO!H25+FEBRERO!H25+MARZO!H25+ABRIL!H25+MAYO!H25+JUNIO!H25+JULIO!H25+AGOSTO!H25+SEPTIEMBRE!H25+OCTUBRE!H25+NOVIEMBRE!H25+DICIEMBRE!H25</f>
        <v>993298493.57000017</v>
      </c>
      <c r="I25" s="16">
        <f>ENERO!I25+FEBRERO!I25+MARZO!I25+ABRIL!I25+MAYO!I25+JUNIO!I25+JULIO!I25+AGOSTO!I25+SEPTIEMBRE!I25+OCTUBRE!I25+NOVIEMBRE!I25+DICIEMBRE!I25</f>
        <v>674058361.60000002</v>
      </c>
      <c r="J25" s="16">
        <f>ENERO!J25+FEBRERO!J25+MARZO!J25+ABRIL!J25+MAYO!J25+JUNIO!J25+JULIO!J25+AGOSTO!J25+SEPTIEMBRE!J25+OCTUBRE!J25+NOVIEMBRE!J25+DICIEMBRE!J25</f>
        <v>1489876946.9099994</v>
      </c>
      <c r="K25" s="16">
        <f>ENERO!K25+FEBRERO!K25+MARZO!K25+ABRIL!K25+MAYO!K25+JUNIO!K25+JULIO!K25+AGOSTO!K25+SEPTIEMBRE!K25+OCTUBRE!K25+NOVIEMBRE!K25+DICIEMBRE!K25</f>
        <v>949419822.24000001</v>
      </c>
      <c r="L25" s="16">
        <f>ENERO!L25+FEBRERO!L25+MARZO!L25+ABRIL!L25+MAYO!L25+JUNIO!L25+JULIO!L25+AGOSTO!L25+SEPTIEMBRE!L25+OCTUBRE!L25+NOVIEMBRE!L25+DICIEMBRE!L25</f>
        <v>0</v>
      </c>
      <c r="M25" s="16">
        <f>ENERO!M25+FEBRERO!M25+MARZO!M25+ABRIL!M25+MAYO!M25+JUNIO!M25+JULIO!M25+AGOSTO!M25+SEPTIEMBRE!M25+OCTUBRE!M25+NOVIEMBRE!M25+DICIEMBRE!M25</f>
        <v>894.36000000000013</v>
      </c>
      <c r="N25" s="18">
        <f t="shared" si="0"/>
        <v>23582084880.918587</v>
      </c>
      <c r="O25" s="4"/>
      <c r="P25" s="4"/>
      <c r="Q25" s="4"/>
    </row>
    <row r="26" spans="1:17" ht="18" customHeight="1" x14ac:dyDescent="0.2">
      <c r="A26" s="17" t="s">
        <v>21</v>
      </c>
      <c r="B26" s="16">
        <f>ENERO!B26+FEBRERO!B26+MARZO!B26+ABRIL!B26+MAYO!B26+JUNIO!B26+JULIO!B26+AGOSTO!B26+SEPTIEMBRE!B26+OCTUBRE!B26+NOVIEMBRE!B26+DICIEMBRE!B26</f>
        <v>7611514110.5900002</v>
      </c>
      <c r="C26" s="16">
        <f>ENERO!C26+FEBRERO!C26+MARZO!C26+ABRIL!C26+MAYO!C26+JUNIO!C26+JULIO!C26+AGOSTO!C26+SEPTIEMBRE!C26+OCTUBRE!C26+NOVIEMBRE!C26+DICIEMBRE!C26</f>
        <v>24845.845942890002</v>
      </c>
      <c r="D26" s="16">
        <f>ENERO!D26+FEBRERO!D26+MARZO!D26+ABRIL!D26+MAYO!D26+JUNIO!D26+JULIO!D26+AGOSTO!D26+SEPTIEMBRE!D26+OCTUBRE!D26+NOVIEMBRE!D26+DICIEMBRE!D26</f>
        <v>424133167.61289322</v>
      </c>
      <c r="E26" s="16">
        <f>ENERO!E26+FEBRERO!E26+MARZO!E26+ABRIL!E26+MAYO!E26+JUNIO!E26+JULIO!E26+AGOSTO!E26+SEPTIEMBRE!E26+OCTUBRE!E26+NOVIEMBRE!E26+DICIEMBRE!E26</f>
        <v>67680558.780000001</v>
      </c>
      <c r="F26" s="16">
        <f>ENERO!F26+FEBRERO!F26+MARZO!F26+ABRIL!F26+MAYO!F26+JUNIO!F26+JULIO!F26+AGOSTO!F26+SEPTIEMBRE!F26+OCTUBRE!F26+NOVIEMBRE!F26+DICIEMBRE!F26</f>
        <v>95343052.231397495</v>
      </c>
      <c r="G26" s="16">
        <f>ENERO!G26+FEBRERO!G26+MARZO!G26+ABRIL!G26+MAYO!G26+JUNIO!G26+JULIO!G26+AGOSTO!G26+SEPTIEMBRE!G26+OCTUBRE!G26+NOVIEMBRE!G26+DICIEMBRE!G26</f>
        <v>54148317.929999992</v>
      </c>
      <c r="H26" s="16">
        <f>ENERO!H26+FEBRERO!H26+MARZO!H26+ABRIL!H26+MAYO!H26+JUNIO!H26+JULIO!H26+AGOSTO!H26+SEPTIEMBRE!H26+OCTUBRE!H26+NOVIEMBRE!H26+DICIEMBRE!H26</f>
        <v>402712996.74000001</v>
      </c>
      <c r="I26" s="16">
        <f>ENERO!I26+FEBRERO!I26+MARZO!I26+ABRIL!I26+MAYO!I26+JUNIO!I26+JULIO!I26+AGOSTO!I26+SEPTIEMBRE!I26+OCTUBRE!I26+NOVIEMBRE!I26+DICIEMBRE!I26</f>
        <v>306560040.30000001</v>
      </c>
      <c r="J26" s="16">
        <f>ENERO!J26+FEBRERO!J26+MARZO!J26+ABRIL!J26+MAYO!J26+JUNIO!J26+JULIO!J26+AGOSTO!J26+SEPTIEMBRE!J26+OCTUBRE!J26+NOVIEMBRE!J26+DICIEMBRE!J26</f>
        <v>1099349100.2</v>
      </c>
      <c r="K26" s="16">
        <f>ENERO!K26+FEBRERO!K26+MARZO!K26+ABRIL!K26+MAYO!K26+JUNIO!K26+JULIO!K26+AGOSTO!K26+SEPTIEMBRE!K26+OCTUBRE!K26+NOVIEMBRE!K26+DICIEMBRE!K26</f>
        <v>339961819.43999994</v>
      </c>
      <c r="L26" s="16">
        <f>ENERO!L26+FEBRERO!L26+MARZO!L26+ABRIL!L26+MAYO!L26+JUNIO!L26+JULIO!L26+AGOSTO!L26+SEPTIEMBRE!L26+OCTUBRE!L26+NOVIEMBRE!L26+DICIEMBRE!L26</f>
        <v>0</v>
      </c>
      <c r="M26" s="16">
        <f>ENERO!M26+FEBRERO!M26+MARZO!M26+ABRIL!M26+MAYO!M26+JUNIO!M26+JULIO!M26+AGOSTO!M26+SEPTIEMBRE!M26+OCTUBRE!M26+NOVIEMBRE!M26+DICIEMBRE!M26</f>
        <v>406.75</v>
      </c>
      <c r="N26" s="18">
        <f t="shared" si="0"/>
        <v>10401428416.420235</v>
      </c>
      <c r="O26" s="4"/>
      <c r="P26" s="4"/>
      <c r="Q26" s="4"/>
    </row>
    <row r="27" spans="1:17" ht="18" customHeight="1" x14ac:dyDescent="0.2">
      <c r="A27" s="17" t="s">
        <v>22</v>
      </c>
      <c r="B27" s="16">
        <f>ENERO!B27+FEBRERO!B27+MARZO!B27+ABRIL!B27+MAYO!B27+JUNIO!B27+JULIO!B27+AGOSTO!B27+SEPTIEMBRE!B27+OCTUBRE!B27+NOVIEMBRE!B27+DICIEMBRE!B27</f>
        <v>3725132118.7299995</v>
      </c>
      <c r="C27" s="16">
        <f>ENERO!C27+FEBRERO!C27+MARZO!C27+ABRIL!C27+MAYO!C27+JUNIO!C27+JULIO!C27+AGOSTO!C27+SEPTIEMBRE!C27+OCTUBRE!C27+NOVIEMBRE!C27+DICIEMBRE!C27</f>
        <v>13847.95359103</v>
      </c>
      <c r="D27" s="16">
        <f>ENERO!D27+FEBRERO!D27+MARZO!D27+ABRIL!D27+MAYO!D27+JUNIO!D27+JULIO!D27+AGOSTO!D27+SEPTIEMBRE!D27+OCTUBRE!D27+NOVIEMBRE!D27+DICIEMBRE!D27</f>
        <v>310095449.02245688</v>
      </c>
      <c r="E27" s="16">
        <f>ENERO!E27+FEBRERO!E27+MARZO!E27+ABRIL!E27+MAYO!E27+JUNIO!E27+JULIO!E27+AGOSTO!E27+SEPTIEMBRE!E27+OCTUBRE!E27+NOVIEMBRE!E27+DICIEMBRE!E27</f>
        <v>34436635.469999999</v>
      </c>
      <c r="F27" s="16">
        <f>ENERO!F27+FEBRERO!F27+MARZO!F27+ABRIL!F27+MAYO!F27+JUNIO!F27+JULIO!F27+AGOSTO!F27+SEPTIEMBRE!F27+OCTUBRE!F27+NOVIEMBRE!F27+DICIEMBRE!F27</f>
        <v>23698543.930790979</v>
      </c>
      <c r="G27" s="16">
        <f>ENERO!G27+FEBRERO!G27+MARZO!G27+ABRIL!G27+MAYO!G27+JUNIO!G27+JULIO!G27+AGOSTO!G27+SEPTIEMBRE!G27+OCTUBRE!G27+NOVIEMBRE!G27+DICIEMBRE!G27</f>
        <v>12334816.559999999</v>
      </c>
      <c r="H27" s="16">
        <f>ENERO!H27+FEBRERO!H27+MARZO!H27+ABRIL!H27+MAYO!H27+JUNIO!H27+JULIO!H27+AGOSTO!H27+SEPTIEMBRE!H27+OCTUBRE!H27+NOVIEMBRE!H27+DICIEMBRE!H27</f>
        <v>198233557.41999999</v>
      </c>
      <c r="I27" s="16">
        <f>ENERO!I27+FEBRERO!I27+MARZO!I27+ABRIL!I27+MAYO!I27+JUNIO!I27+JULIO!I27+AGOSTO!I27+SEPTIEMBRE!I27+OCTUBRE!I27+NOVIEMBRE!I27+DICIEMBRE!I27</f>
        <v>76198804.469999999</v>
      </c>
      <c r="J27" s="16">
        <f>ENERO!J27+FEBRERO!J27+MARZO!J27+ABRIL!J27+MAYO!J27+JUNIO!J27+JULIO!J27+AGOSTO!J27+SEPTIEMBRE!J27+OCTUBRE!J27+NOVIEMBRE!J27+DICIEMBRE!J27</f>
        <v>294595723.15000004</v>
      </c>
      <c r="K27" s="16">
        <f>ENERO!K27+FEBRERO!K27+MARZO!K27+ABRIL!K27+MAYO!K27+JUNIO!K27+JULIO!K27+AGOSTO!K27+SEPTIEMBRE!K27+OCTUBRE!K27+NOVIEMBRE!K27+DICIEMBRE!K27</f>
        <v>189479292.88</v>
      </c>
      <c r="L27" s="16">
        <f>ENERO!L27+FEBRERO!L27+MARZO!L27+ABRIL!L27+MAYO!L27+JUNIO!L27+JULIO!L27+AGOSTO!L27+SEPTIEMBRE!L27+OCTUBRE!L27+NOVIEMBRE!L27+DICIEMBRE!L27</f>
        <v>0</v>
      </c>
      <c r="M27" s="16">
        <f>ENERO!M27+FEBRERO!M27+MARZO!M27+ABRIL!M27+MAYO!M27+JUNIO!M27+JULIO!M27+AGOSTO!M27+SEPTIEMBRE!M27+OCTUBRE!M27+NOVIEMBRE!M27+DICIEMBRE!M27</f>
        <v>101.1</v>
      </c>
      <c r="N27" s="18">
        <f t="shared" si="0"/>
        <v>4864218890.6868382</v>
      </c>
      <c r="O27" s="4"/>
      <c r="P27" s="4"/>
      <c r="Q27" s="4"/>
    </row>
    <row r="28" spans="1:17" ht="18" customHeight="1" x14ac:dyDescent="0.2">
      <c r="A28" s="17" t="s">
        <v>23</v>
      </c>
      <c r="B28" s="16">
        <f>ENERO!B28+FEBRERO!B28+MARZO!B28+ABRIL!B28+MAYO!B28+JUNIO!B28+JULIO!B28+AGOSTO!B28+SEPTIEMBRE!B28+OCTUBRE!B28+NOVIEMBRE!B28+DICIEMBRE!B28</f>
        <v>13192580239.400002</v>
      </c>
      <c r="C28" s="16">
        <f>ENERO!C28+FEBRERO!C28+MARZO!C28+ABRIL!C28+MAYO!C28+JUNIO!C28+JULIO!C28+AGOSTO!C28+SEPTIEMBRE!C28+OCTUBRE!C28+NOVIEMBRE!C28+DICIEMBRE!C28</f>
        <v>46191.362326489994</v>
      </c>
      <c r="D28" s="16">
        <f>ENERO!D28+FEBRERO!D28+MARZO!D28+ABRIL!D28+MAYO!D28+JUNIO!D28+JULIO!D28+AGOSTO!D28+SEPTIEMBRE!D28+OCTUBRE!D28+NOVIEMBRE!D28+DICIEMBRE!D28</f>
        <v>852445508.38048244</v>
      </c>
      <c r="E28" s="16">
        <f>ENERO!E28+FEBRERO!E28+MARZO!E28+ABRIL!E28+MAYO!E28+JUNIO!E28+JULIO!E28+AGOSTO!E28+SEPTIEMBRE!E28+OCTUBRE!E28+NOVIEMBRE!E28+DICIEMBRE!E28</f>
        <v>112711646.32999998</v>
      </c>
      <c r="F28" s="16">
        <f>ENERO!F28+FEBRERO!F28+MARZO!F28+ABRIL!F28+MAYO!F28+JUNIO!F28+JULIO!F28+AGOSTO!F28+SEPTIEMBRE!F28+OCTUBRE!F28+NOVIEMBRE!F28+DICIEMBRE!F28</f>
        <v>32641999.913773406</v>
      </c>
      <c r="G28" s="16">
        <f>ENERO!G28+FEBRERO!G28+MARZO!G28+ABRIL!G28+MAYO!G28+JUNIO!G28+JULIO!G28+AGOSTO!G28+SEPTIEMBRE!G28+OCTUBRE!G28+NOVIEMBRE!G28+DICIEMBRE!G28</f>
        <v>17934690.809999999</v>
      </c>
      <c r="H28" s="16">
        <f>ENERO!H28+FEBRERO!H28+MARZO!H28+ABRIL!H28+MAYO!H28+JUNIO!H28+JULIO!H28+AGOSTO!H28+SEPTIEMBRE!H28+OCTUBRE!H28+NOVIEMBRE!H28+DICIEMBRE!H28</f>
        <v>700115377.5</v>
      </c>
      <c r="I28" s="16">
        <f>ENERO!I28+FEBRERO!I28+MARZO!I28+ABRIL!I28+MAYO!I28+JUNIO!I28+JULIO!I28+AGOSTO!I28+SEPTIEMBRE!I28+OCTUBRE!I28+NOVIEMBRE!I28+DICIEMBRE!I28</f>
        <v>104955029.05000001</v>
      </c>
      <c r="J28" s="16">
        <f>ENERO!J28+FEBRERO!J28+MARZO!J28+ABRIL!J28+MAYO!J28+JUNIO!J28+JULIO!J28+AGOSTO!J28+SEPTIEMBRE!J28+OCTUBRE!J28+NOVIEMBRE!J28+DICIEMBRE!J28</f>
        <v>602314400.37</v>
      </c>
      <c r="K28" s="16">
        <f>ENERO!K28+FEBRERO!K28+MARZO!K28+ABRIL!K28+MAYO!K28+JUNIO!K28+JULIO!K28+AGOSTO!K28+SEPTIEMBRE!K28+OCTUBRE!K28+NOVIEMBRE!K28+DICIEMBRE!K28</f>
        <v>632029125.03999996</v>
      </c>
      <c r="L28" s="16">
        <f>ENERO!L28+FEBRERO!L28+MARZO!L28+ABRIL!L28+MAYO!L28+JUNIO!L28+JULIO!L28+AGOSTO!L28+SEPTIEMBRE!L28+OCTUBRE!L28+NOVIEMBRE!L28+DICIEMBRE!L28</f>
        <v>0</v>
      </c>
      <c r="M28" s="16">
        <f>ENERO!M28+FEBRERO!M28+MARZO!M28+ABRIL!M28+MAYO!M28+JUNIO!M28+JULIO!M28+AGOSTO!M28+SEPTIEMBRE!M28+OCTUBRE!M28+NOVIEMBRE!M28+DICIEMBRE!M28</f>
        <v>139.25</v>
      </c>
      <c r="N28" s="18">
        <f t="shared" si="0"/>
        <v>16247774347.406582</v>
      </c>
      <c r="O28" s="4"/>
      <c r="P28" s="4"/>
      <c r="Q28" s="4"/>
    </row>
    <row r="29" spans="1:17" ht="18" customHeight="1" x14ac:dyDescent="0.2">
      <c r="A29" s="17" t="s">
        <v>24</v>
      </c>
      <c r="B29" s="16">
        <f>ENERO!B29+FEBRERO!B29+MARZO!B29+ABRIL!B29+MAYO!B29+JUNIO!B29+JULIO!B29+AGOSTO!B29+SEPTIEMBRE!B29+OCTUBRE!B29+NOVIEMBRE!B29+DICIEMBRE!B29</f>
        <v>8158463272.6099997</v>
      </c>
      <c r="C29" s="16">
        <f>ENERO!C29+FEBRERO!C29+MARZO!C29+ABRIL!C29+MAYO!C29+JUNIO!C29+JULIO!C29+AGOSTO!C29+SEPTIEMBRE!C29+OCTUBRE!C29+NOVIEMBRE!C29+DICIEMBRE!C29</f>
        <v>30328.266737800004</v>
      </c>
      <c r="D29" s="16">
        <f>ENERO!D29+FEBRERO!D29+MARZO!D29+ABRIL!D29+MAYO!D29+JUNIO!D29+JULIO!D29+AGOSTO!D29+SEPTIEMBRE!D29+OCTUBRE!D29+NOVIEMBRE!D29+DICIEMBRE!D29</f>
        <v>830165631.61114287</v>
      </c>
      <c r="E29" s="16">
        <f>ENERO!E29+FEBRERO!E29+MARZO!E29+ABRIL!E29+MAYO!E29+JUNIO!E29+JULIO!E29+AGOSTO!E29+SEPTIEMBRE!E29+OCTUBRE!E29+NOVIEMBRE!E29+DICIEMBRE!E29</f>
        <v>71206248.879999995</v>
      </c>
      <c r="F29" s="16">
        <f>ENERO!F29+FEBRERO!F29+MARZO!F29+ABRIL!F29+MAYO!F29+JUNIO!F29+JULIO!F29+AGOSTO!F29+SEPTIEMBRE!F29+OCTUBRE!F29+NOVIEMBRE!F29+DICIEMBRE!F29</f>
        <v>20372998.939140476</v>
      </c>
      <c r="G29" s="16">
        <f>ENERO!G29+FEBRERO!G29+MARZO!G29+ABRIL!G29+MAYO!G29+JUNIO!G29+JULIO!G29+AGOSTO!G29+SEPTIEMBRE!G29+OCTUBRE!G29+NOVIEMBRE!G29+DICIEMBRE!G29</f>
        <v>10797424.530000001</v>
      </c>
      <c r="H29" s="16">
        <f>ENERO!H29+FEBRERO!H29+MARZO!H29+ABRIL!H29+MAYO!H29+JUNIO!H29+JULIO!H29+AGOSTO!H29+SEPTIEMBRE!H29+OCTUBRE!H29+NOVIEMBRE!H29+DICIEMBRE!H29</f>
        <v>434153835.26999998</v>
      </c>
      <c r="I29" s="16">
        <f>ENERO!I29+FEBRERO!I29+MARZO!I29+ABRIL!I29+MAYO!I29+JUNIO!I29+JULIO!I29+AGOSTO!I29+SEPTIEMBRE!I29+OCTUBRE!I29+NOVIEMBRE!I29+DICIEMBRE!I29</f>
        <v>65506056.699999996</v>
      </c>
      <c r="J29" s="16">
        <f>ENERO!J29+FEBRERO!J29+MARZO!J29+ABRIL!J29+MAYO!J29+JUNIO!J29+JULIO!J29+AGOSTO!J29+SEPTIEMBRE!J29+OCTUBRE!J29+NOVIEMBRE!J29+DICIEMBRE!J29</f>
        <v>536956901.63999999</v>
      </c>
      <c r="K29" s="16">
        <f>ENERO!K29+FEBRERO!K29+MARZO!K29+ABRIL!K29+MAYO!K29+JUNIO!K29+JULIO!K29+AGOSTO!K29+SEPTIEMBRE!K29+OCTUBRE!K29+NOVIEMBRE!K29+DICIEMBRE!K29</f>
        <v>414976868.79999995</v>
      </c>
      <c r="L29" s="16">
        <f>ENERO!L29+FEBRERO!L29+MARZO!L29+ABRIL!L29+MAYO!L29+JUNIO!L29+JULIO!L29+AGOSTO!L29+SEPTIEMBRE!L29+OCTUBRE!L29+NOVIEMBRE!L29+DICIEMBRE!L29</f>
        <v>0</v>
      </c>
      <c r="M29" s="16">
        <f>ENERO!M29+FEBRERO!M29+MARZO!M29+ABRIL!M29+MAYO!M29+JUNIO!M29+JULIO!M29+AGOSTO!M29+SEPTIEMBRE!M29+OCTUBRE!M29+NOVIEMBRE!M29+DICIEMBRE!M29</f>
        <v>86.91</v>
      </c>
      <c r="N29" s="18">
        <f t="shared" si="0"/>
        <v>10542629654.157021</v>
      </c>
      <c r="O29" s="4"/>
      <c r="P29" s="4"/>
      <c r="Q29" s="4"/>
    </row>
    <row r="30" spans="1:17" ht="18" customHeight="1" x14ac:dyDescent="0.2">
      <c r="A30" s="17" t="s">
        <v>25</v>
      </c>
      <c r="B30" s="16">
        <f>ENERO!B30+FEBRERO!B30+MARZO!B30+ABRIL!B30+MAYO!B30+JUNIO!B30+JULIO!B30+AGOSTO!B30+SEPTIEMBRE!B30+OCTUBRE!B30+NOVIEMBRE!B30+DICIEMBRE!B30</f>
        <v>2712118810.9400001</v>
      </c>
      <c r="C30" s="16">
        <f>ENERO!C30+FEBRERO!C30+MARZO!C30+ABRIL!C30+MAYO!C30+JUNIO!C30+JULIO!C30+AGOSTO!C30+SEPTIEMBRE!C30+OCTUBRE!C30+NOVIEMBRE!C30+DICIEMBRE!C30</f>
        <v>9343.7120064699993</v>
      </c>
      <c r="D30" s="16">
        <f>ENERO!D30+FEBRERO!D30+MARZO!D30+ABRIL!D30+MAYO!D30+JUNIO!D30+JULIO!D30+AGOSTO!D30+SEPTIEMBRE!D30+OCTUBRE!D30+NOVIEMBRE!D30+DICIEMBRE!D30</f>
        <v>546539416.03330457</v>
      </c>
      <c r="E30" s="16">
        <f>ENERO!E30+FEBRERO!E30+MARZO!E30+ABRIL!E30+MAYO!E30+JUNIO!E30+JULIO!E30+AGOSTO!E30+SEPTIEMBRE!E30+OCTUBRE!E30+NOVIEMBRE!E30+DICIEMBRE!E30</f>
        <v>23413232.77</v>
      </c>
      <c r="F30" s="16">
        <f>ENERO!F30+FEBRERO!F30+MARZO!F30+ABRIL!F30+MAYO!F30+JUNIO!F30+JULIO!F30+AGOSTO!F30+SEPTIEMBRE!F30+OCTUBRE!F30+NOVIEMBRE!F30+DICIEMBRE!F30</f>
        <v>17596330.29572355</v>
      </c>
      <c r="G30" s="16">
        <f>ENERO!G30+FEBRERO!G30+MARZO!G30+ABRIL!G30+MAYO!G30+JUNIO!G30+JULIO!G30+AGOSTO!G30+SEPTIEMBRE!G30+OCTUBRE!G30+NOVIEMBRE!G30+DICIEMBRE!G30</f>
        <v>13505746.009999998</v>
      </c>
      <c r="H30" s="16">
        <f>ENERO!H30+FEBRERO!H30+MARZO!H30+ABRIL!H30+MAYO!H30+JUNIO!H30+JULIO!H30+AGOSTO!H30+SEPTIEMBRE!H30+OCTUBRE!H30+NOVIEMBRE!H30+DICIEMBRE!H30</f>
        <v>143826018.86000001</v>
      </c>
      <c r="I30" s="16">
        <f>ENERO!I30+FEBRERO!I30+MARZO!I30+ABRIL!I30+MAYO!I30+JUNIO!I30+JULIO!I30+AGOSTO!I30+SEPTIEMBRE!I30+OCTUBRE!I30+NOVIEMBRE!I30+DICIEMBRE!I30</f>
        <v>56578131.369999997</v>
      </c>
      <c r="J30" s="16">
        <f>ENERO!J30+FEBRERO!J30+MARZO!J30+ABRIL!J30+MAYO!J30+JUNIO!J30+JULIO!J30+AGOSTO!J30+SEPTIEMBRE!J30+OCTUBRE!J30+NOVIEMBRE!J30+DICIEMBRE!J30</f>
        <v>417135162.13</v>
      </c>
      <c r="K30" s="16">
        <f>ENERO!K30+FEBRERO!K30+MARZO!K30+ABRIL!K30+MAYO!K30+JUNIO!K30+JULIO!K30+AGOSTO!K30+SEPTIEMBRE!K30+OCTUBRE!K30+NOVIEMBRE!K30+DICIEMBRE!K30</f>
        <v>127848567.11999999</v>
      </c>
      <c r="L30" s="16">
        <f>ENERO!L30+FEBRERO!L30+MARZO!L30+ABRIL!L30+MAYO!L30+JUNIO!L30+JULIO!L30+AGOSTO!L30+SEPTIEMBRE!L30+OCTUBRE!L30+NOVIEMBRE!L30+DICIEMBRE!L30</f>
        <v>0</v>
      </c>
      <c r="M30" s="16">
        <f>ENERO!M30+FEBRERO!M30+MARZO!M30+ABRIL!M30+MAYO!M30+JUNIO!M30+JULIO!M30+AGOSTO!M30+SEPTIEMBRE!M30+OCTUBRE!M30+NOVIEMBRE!M30+DICIEMBRE!M30</f>
        <v>75.06</v>
      </c>
      <c r="N30" s="18">
        <f t="shared" si="0"/>
        <v>4058570834.3010349</v>
      </c>
      <c r="O30" s="4"/>
      <c r="P30" s="4"/>
      <c r="Q30" s="4"/>
    </row>
    <row r="31" spans="1:17" ht="18" customHeight="1" x14ac:dyDescent="0.2">
      <c r="A31" s="17" t="s">
        <v>26</v>
      </c>
      <c r="B31" s="16">
        <f>ENERO!B31+FEBRERO!B31+MARZO!B31+ABRIL!B31+MAYO!B31+JUNIO!B31+JULIO!B31+AGOSTO!B31+SEPTIEMBRE!B31+OCTUBRE!B31+NOVIEMBRE!B31+DICIEMBRE!B31</f>
        <v>4725141404.6599998</v>
      </c>
      <c r="C31" s="16">
        <f>ENERO!C31+FEBRERO!C31+MARZO!C31+ABRIL!C31+MAYO!C31+JUNIO!C31+JULIO!C31+AGOSTO!C31+SEPTIEMBRE!C31+OCTUBRE!C31+NOVIEMBRE!C31+DICIEMBRE!C31</f>
        <v>17335.421742860002</v>
      </c>
      <c r="D31" s="16">
        <f>ENERO!D31+FEBRERO!D31+MARZO!D31+ABRIL!D31+MAYO!D31+JUNIO!D31+JULIO!D31+AGOSTO!D31+SEPTIEMBRE!D31+OCTUBRE!D31+NOVIEMBRE!D31+DICIEMBRE!D31</f>
        <v>291888479.16336536</v>
      </c>
      <c r="E31" s="16">
        <f>ENERO!E31+FEBRERO!E31+MARZO!E31+ABRIL!E31+MAYO!E31+JUNIO!E31+JULIO!E31+AGOSTO!E31+SEPTIEMBRE!E31+OCTUBRE!E31+NOVIEMBRE!E31+DICIEMBRE!E31</f>
        <v>40973152.640000001</v>
      </c>
      <c r="F31" s="16">
        <f>ENERO!F31+FEBRERO!F31+MARZO!F31+ABRIL!F31+MAYO!F31+JUNIO!F31+JULIO!F31+AGOSTO!F31+SEPTIEMBRE!F31+OCTUBRE!F31+NOVIEMBRE!F31+DICIEMBRE!F31</f>
        <v>21018735.824121159</v>
      </c>
      <c r="G31" s="16">
        <f>ENERO!G31+FEBRERO!G31+MARZO!G31+ABRIL!G31+MAYO!G31+JUNIO!G31+JULIO!G31+AGOSTO!G31+SEPTIEMBRE!G31+OCTUBRE!G31+NOVIEMBRE!G31+DICIEMBRE!G31</f>
        <v>7435930.2699999996</v>
      </c>
      <c r="H31" s="16">
        <f>ENERO!H31+FEBRERO!H31+MARZO!H31+ABRIL!H31+MAYO!H31+JUNIO!H31+JULIO!H31+AGOSTO!H31+SEPTIEMBRE!H31+OCTUBRE!H31+NOVIEMBRE!H31+DICIEMBRE!H31</f>
        <v>251293534.23000002</v>
      </c>
      <c r="I31" s="16">
        <f>ENERO!I31+FEBRERO!I31+MARZO!I31+ABRIL!I31+MAYO!I31+JUNIO!I31+JULIO!I31+AGOSTO!I31+SEPTIEMBRE!I31+OCTUBRE!I31+NOVIEMBRE!I31+DICIEMBRE!I31</f>
        <v>67582318.400000006</v>
      </c>
      <c r="J31" s="16">
        <f>ENERO!J31+FEBRERO!J31+MARZO!J31+ABRIL!J31+MAYO!J31+JUNIO!J31+JULIO!J31+AGOSTO!J31+SEPTIEMBRE!J31+OCTUBRE!J31+NOVIEMBRE!J31+DICIEMBRE!J31</f>
        <v>295635023.79000008</v>
      </c>
      <c r="K31" s="16">
        <f>ENERO!K31+FEBRERO!K31+MARZO!K31+ABRIL!K31+MAYO!K31+JUNIO!K31+JULIO!K31+AGOSTO!K31+SEPTIEMBRE!K31+OCTUBRE!K31+NOVIEMBRE!K31+DICIEMBRE!K31</f>
        <v>237197862.56</v>
      </c>
      <c r="L31" s="16">
        <f>ENERO!L31+FEBRERO!L31+MARZO!L31+ABRIL!L31+MAYO!L31+JUNIO!L31+JULIO!L31+AGOSTO!L31+SEPTIEMBRE!L31+OCTUBRE!L31+NOVIEMBRE!L31+DICIEMBRE!L31</f>
        <v>0</v>
      </c>
      <c r="M31" s="16">
        <f>ENERO!M31+FEBRERO!M31+MARZO!M31+ABRIL!M31+MAYO!M31+JUNIO!M31+JULIO!M31+AGOSTO!M31+SEPTIEMBRE!M31+OCTUBRE!M31+NOVIEMBRE!M31+DICIEMBRE!M31</f>
        <v>89.66</v>
      </c>
      <c r="N31" s="18">
        <f t="shared" si="0"/>
        <v>5938183866.6192303</v>
      </c>
      <c r="O31" s="4"/>
      <c r="P31" s="4"/>
      <c r="Q31" s="4"/>
    </row>
    <row r="32" spans="1:17" ht="18" customHeight="1" x14ac:dyDescent="0.2">
      <c r="A32" s="17" t="s">
        <v>27</v>
      </c>
      <c r="B32" s="16">
        <f>ENERO!B32+FEBRERO!B32+MARZO!B32+ABRIL!B32+MAYO!B32+JUNIO!B32+JULIO!B32+AGOSTO!B32+SEPTIEMBRE!B32+OCTUBRE!B32+NOVIEMBRE!B32+DICIEMBRE!B32</f>
        <v>20758060113.579998</v>
      </c>
      <c r="C32" s="16">
        <f>ENERO!C32+FEBRERO!C32+MARZO!C32+ABRIL!C32+MAYO!C32+JUNIO!C32+JULIO!C32+AGOSTO!C32+SEPTIEMBRE!C32+OCTUBRE!C32+NOVIEMBRE!C32+DICIEMBRE!C32</f>
        <v>74459.477140520001</v>
      </c>
      <c r="D32" s="16">
        <f>ENERO!D32+FEBRERO!D32+MARZO!D32+ABRIL!D32+MAYO!D32+JUNIO!D32+JULIO!D32+AGOSTO!D32+SEPTIEMBRE!D32+OCTUBRE!D32+NOVIEMBRE!D32+DICIEMBRE!D32</f>
        <v>1463343970.4467916</v>
      </c>
      <c r="E32" s="16">
        <f>ENERO!E32+FEBRERO!E32+MARZO!E32+ABRIL!E32+MAYO!E32+JUNIO!E32+JULIO!E32+AGOSTO!E32+SEPTIEMBRE!E32+OCTUBRE!E32+NOVIEMBRE!E32+DICIEMBRE!E32</f>
        <v>179154817.55000001</v>
      </c>
      <c r="F32" s="16">
        <f>ENERO!F32+FEBRERO!F32+MARZO!F32+ABRIL!F32+MAYO!F32+JUNIO!F32+JULIO!F32+AGOSTO!F32+SEPTIEMBRE!F32+OCTUBRE!F32+NOVIEMBRE!F32+DICIEMBRE!F32</f>
        <v>61990741.688145339</v>
      </c>
      <c r="G32" s="16">
        <f>ENERO!G32+FEBRERO!G32+MARZO!G32+ABRIL!G32+MAYO!G32+JUNIO!G32+JULIO!G32+AGOSTO!G32+SEPTIEMBRE!G32+OCTUBRE!G32+NOVIEMBRE!G32+DICIEMBRE!G32</f>
        <v>40825984.25</v>
      </c>
      <c r="H32" s="16">
        <f>ENERO!H32+FEBRERO!H32+MARZO!H32+ABRIL!H32+MAYO!H32+JUNIO!H32+JULIO!H32+AGOSTO!H32+SEPTIEMBRE!H32+OCTUBRE!H32+NOVIEMBRE!H32+DICIEMBRE!H32</f>
        <v>1102811127.3900001</v>
      </c>
      <c r="I32" s="16">
        <f>ENERO!I32+FEBRERO!I32+MARZO!I32+ABRIL!I32+MAYO!I32+JUNIO!I32+JULIO!I32+AGOSTO!I32+SEPTIEMBRE!I32+OCTUBRE!I32+NOVIEMBRE!I32+DICIEMBRE!I32</f>
        <v>199321123.40000001</v>
      </c>
      <c r="J32" s="16">
        <f>ENERO!J32+FEBRERO!J32+MARZO!J32+ABRIL!J32+MAYO!J32+JUNIO!J32+JULIO!J32+AGOSTO!J32+SEPTIEMBRE!J32+OCTUBRE!J32+NOVIEMBRE!J32+DICIEMBRE!J32</f>
        <v>925024323.92000008</v>
      </c>
      <c r="K32" s="16">
        <f>ENERO!K32+FEBRERO!K32+MARZO!K32+ABRIL!K32+MAYO!K32+JUNIO!K32+JULIO!K32+AGOSTO!K32+SEPTIEMBRE!K32+OCTUBRE!K32+NOVIEMBRE!K32+DICIEMBRE!K32</f>
        <v>1018817225.9200001</v>
      </c>
      <c r="L32" s="16">
        <f>ENERO!L32+FEBRERO!L32+MARZO!L32+ABRIL!L32+MAYO!L32+JUNIO!L32+JULIO!L32+AGOSTO!L32+SEPTIEMBRE!L32+OCTUBRE!L32+NOVIEMBRE!L32+DICIEMBRE!L32</f>
        <v>0</v>
      </c>
      <c r="M32" s="16">
        <f>ENERO!M32+FEBRERO!M32+MARZO!M32+ABRIL!M32+MAYO!M32+JUNIO!M32+JULIO!M32+AGOSTO!M32+SEPTIEMBRE!M32+OCTUBRE!M32+NOVIEMBRE!M32+DICIEMBRE!M32</f>
        <v>264.46000000000004</v>
      </c>
      <c r="N32" s="18">
        <f t="shared" si="0"/>
        <v>25749424152.082077</v>
      </c>
      <c r="O32" s="4"/>
      <c r="P32" s="4"/>
      <c r="Q32" s="4"/>
    </row>
    <row r="33" spans="1:17" ht="18" customHeight="1" x14ac:dyDescent="0.2">
      <c r="A33" s="17" t="s">
        <v>28</v>
      </c>
      <c r="B33" s="16">
        <f>ENERO!B33+FEBRERO!B33+MARZO!B33+ABRIL!B33+MAYO!B33+JUNIO!B33+JULIO!B33+AGOSTO!B33+SEPTIEMBRE!B33+OCTUBRE!B33+NOVIEMBRE!B33+DICIEMBRE!B33</f>
        <v>14115345635.050003</v>
      </c>
      <c r="C33" s="16">
        <f>ENERO!C33+FEBRERO!C33+MARZO!C33+ABRIL!C33+MAYO!C33+JUNIO!C33+JULIO!C33+AGOSTO!C33+SEPTIEMBRE!C33+OCTUBRE!C33+NOVIEMBRE!C33+DICIEMBRE!C33</f>
        <v>49345.436127749999</v>
      </c>
      <c r="D33" s="16">
        <f>ENERO!D33+FEBRERO!D33+MARZO!D33+ABRIL!D33+MAYO!D33+JUNIO!D33+JULIO!D33+AGOSTO!D33+SEPTIEMBRE!D33+OCTUBRE!D33+NOVIEMBRE!D33+DICIEMBRE!D33</f>
        <v>841425311.36136723</v>
      </c>
      <c r="E33" s="16">
        <f>ENERO!E33+FEBRERO!E33+MARZO!E33+ABRIL!E33+MAYO!E33+JUNIO!E33+JULIO!E33+AGOSTO!E33+SEPTIEMBRE!E33+OCTUBRE!E33+NOVIEMBRE!E33+DICIEMBRE!E33</f>
        <v>121208995.98999999</v>
      </c>
      <c r="F33" s="16">
        <f>ENERO!F33+FEBRERO!F33+MARZO!F33+ABRIL!F33+MAYO!F33+JUNIO!F33+JULIO!F33+AGOSTO!F33+SEPTIEMBRE!F33+OCTUBRE!F33+NOVIEMBRE!F33+DICIEMBRE!F33</f>
        <v>45492164.058888949</v>
      </c>
      <c r="G33" s="16">
        <f>ENERO!G33+FEBRERO!G33+MARZO!G33+ABRIL!G33+MAYO!G33+JUNIO!G33+JULIO!G33+AGOSTO!G33+SEPTIEMBRE!G33+OCTUBRE!G33+NOVIEMBRE!G33+DICIEMBRE!G33</f>
        <v>32722874.740000002</v>
      </c>
      <c r="H33" s="16">
        <f>ENERO!H33+FEBRERO!H33+MARZO!H33+ABRIL!H33+MAYO!H33+JUNIO!H33+JULIO!H33+AGOSTO!H33+SEPTIEMBRE!H33+OCTUBRE!H33+NOVIEMBRE!H33+DICIEMBRE!H33</f>
        <v>749033492.81999993</v>
      </c>
      <c r="I33" s="16">
        <f>ENERO!I33+FEBRERO!I33+MARZO!I33+ABRIL!I33+MAYO!I33+JUNIO!I33+JULIO!I33+AGOSTO!I33+SEPTIEMBRE!I33+OCTUBRE!I33+NOVIEMBRE!I33+DICIEMBRE!I33</f>
        <v>146272636.91</v>
      </c>
      <c r="J33" s="16">
        <f>ENERO!J33+FEBRERO!J33+MARZO!J33+ABRIL!J33+MAYO!J33+JUNIO!J33+JULIO!J33+AGOSTO!J33+SEPTIEMBRE!J33+OCTUBRE!J33+NOVIEMBRE!J33+DICIEMBRE!J33</f>
        <v>882353793.66000032</v>
      </c>
      <c r="K33" s="16">
        <f>ENERO!K33+FEBRERO!K33+MARZO!K33+ABRIL!K33+MAYO!K33+JUNIO!K33+JULIO!K33+AGOSTO!K33+SEPTIEMBRE!K33+OCTUBRE!K33+NOVIEMBRE!K33+DICIEMBRE!K33</f>
        <v>675185714</v>
      </c>
      <c r="L33" s="16">
        <f>ENERO!L33+FEBRERO!L33+MARZO!L33+ABRIL!L33+MAYO!L33+JUNIO!L33+JULIO!L33+AGOSTO!L33+SEPTIEMBRE!L33+OCTUBRE!L33+NOVIEMBRE!L33+DICIEMBRE!L33</f>
        <v>0</v>
      </c>
      <c r="M33" s="16">
        <f>ENERO!M33+FEBRERO!M33+MARZO!M33+ABRIL!M33+MAYO!M33+JUNIO!M33+JULIO!M33+AGOSTO!M33+SEPTIEMBRE!M33+OCTUBRE!M33+NOVIEMBRE!M33+DICIEMBRE!M33</f>
        <v>194.07</v>
      </c>
      <c r="N33" s="18">
        <f t="shared" si="0"/>
        <v>17609090158.09639</v>
      </c>
      <c r="O33" s="4"/>
      <c r="P33" s="4"/>
      <c r="Q33" s="4"/>
    </row>
    <row r="34" spans="1:17" ht="18" customHeight="1" x14ac:dyDescent="0.2">
      <c r="A34" s="17" t="s">
        <v>29</v>
      </c>
      <c r="B34" s="16">
        <f>ENERO!B34+FEBRERO!B34+MARZO!B34+ABRIL!B34+MAYO!B34+JUNIO!B34+JULIO!B34+AGOSTO!B34+SEPTIEMBRE!B34+OCTUBRE!B34+NOVIEMBRE!B34+DICIEMBRE!B34</f>
        <v>18372342251.649998</v>
      </c>
      <c r="C34" s="16">
        <f>ENERO!C34+FEBRERO!C34+MARZO!C34+ABRIL!C34+MAYO!C34+JUNIO!C34+JULIO!C34+AGOSTO!C34+SEPTIEMBRE!C34+OCTUBRE!C34+NOVIEMBRE!C34+DICIEMBRE!C34</f>
        <v>62990.393929590005</v>
      </c>
      <c r="D34" s="16">
        <f>ENERO!D34+FEBRERO!D34+MARZO!D34+ABRIL!D34+MAYO!D34+JUNIO!D34+JULIO!D34+AGOSTO!D34+SEPTIEMBRE!D34+OCTUBRE!D34+NOVIEMBRE!D34+DICIEMBRE!D34</f>
        <v>899525456.02786708</v>
      </c>
      <c r="E34" s="16">
        <f>ENERO!E34+FEBRERO!E34+MARZO!E34+ABRIL!E34+MAYO!E34+JUNIO!E34+JULIO!E34+AGOSTO!E34+SEPTIEMBRE!E34+OCTUBRE!E34+NOVIEMBRE!E34+DICIEMBRE!E34</f>
        <v>187308335.87</v>
      </c>
      <c r="F34" s="16">
        <f>ENERO!F34+FEBRERO!F34+MARZO!F34+ABRIL!F34+MAYO!F34+JUNIO!F34+JULIO!F34+AGOSTO!F34+SEPTIEMBRE!F34+OCTUBRE!F34+NOVIEMBRE!F34+DICIEMBRE!F34</f>
        <v>66155744.638270736</v>
      </c>
      <c r="G34" s="16">
        <f>ENERO!G34+FEBRERO!G34+MARZO!G34+ABRIL!G34+MAYO!G34+JUNIO!G34+JULIO!G34+AGOSTO!G34+SEPTIEMBRE!G34+OCTUBRE!G34+NOVIEMBRE!G34+DICIEMBRE!G34</f>
        <v>54749932.299999997</v>
      </c>
      <c r="H34" s="16">
        <f>ENERO!H34+FEBRERO!H34+MARZO!H34+ABRIL!H34+MAYO!H34+JUNIO!H34+JULIO!H34+AGOSTO!H34+SEPTIEMBRE!H34+OCTUBRE!H34+NOVIEMBRE!H34+DICIEMBRE!H34</f>
        <v>974094499.29000008</v>
      </c>
      <c r="I34" s="16">
        <f>ENERO!I34+FEBRERO!I34+MARZO!I34+ABRIL!I34+MAYO!I34+JUNIO!I34+JULIO!I34+AGOSTO!I34+SEPTIEMBRE!I34+OCTUBRE!I34+NOVIEMBRE!I34+DICIEMBRE!I34</f>
        <v>212713011.36999997</v>
      </c>
      <c r="J34" s="16">
        <f>ENERO!J34+FEBRERO!J34+MARZO!J34+ABRIL!J34+MAYO!J34+JUNIO!J34+JULIO!J34+AGOSTO!J34+SEPTIEMBRE!J34+OCTUBRE!J34+NOVIEMBRE!J34+DICIEMBRE!J34</f>
        <v>1109911577.6200004</v>
      </c>
      <c r="K34" s="16">
        <f>ENERO!K34+FEBRERO!K34+MARZO!K34+ABRIL!K34+MAYO!K34+JUNIO!K34+JULIO!K34+AGOSTO!K34+SEPTIEMBRE!K34+OCTUBRE!K34+NOVIEMBRE!K34+DICIEMBRE!K34</f>
        <v>861887602.63999999</v>
      </c>
      <c r="L34" s="16">
        <f>ENERO!L34+FEBRERO!L34+MARZO!L34+ABRIL!L34+MAYO!L34+JUNIO!L34+JULIO!L34+AGOSTO!L34+SEPTIEMBRE!L34+OCTUBRE!L34+NOVIEMBRE!L34+DICIEMBRE!L34</f>
        <v>0</v>
      </c>
      <c r="M34" s="16">
        <f>ENERO!M34+FEBRERO!M34+MARZO!M34+ABRIL!M34+MAYO!M34+JUNIO!M34+JULIO!M34+AGOSTO!M34+SEPTIEMBRE!M34+OCTUBRE!M34+NOVIEMBRE!M34+DICIEMBRE!M34</f>
        <v>282.23</v>
      </c>
      <c r="N34" s="18">
        <f t="shared" si="0"/>
        <v>22738751684.03006</v>
      </c>
      <c r="O34" s="4"/>
      <c r="P34" s="4"/>
      <c r="Q34" s="4"/>
    </row>
    <row r="35" spans="1:17" ht="18" customHeight="1" x14ac:dyDescent="0.2">
      <c r="A35" s="17" t="s">
        <v>30</v>
      </c>
      <c r="B35" s="16">
        <f>ENERO!B35+FEBRERO!B35+MARZO!B35+ABRIL!B35+MAYO!B35+JUNIO!B35+JULIO!B35+AGOSTO!B35+SEPTIEMBRE!B35+OCTUBRE!B35+NOVIEMBRE!B35+DICIEMBRE!B35</f>
        <v>8711134204.4100018</v>
      </c>
      <c r="C35" s="16">
        <f>ENERO!C35+FEBRERO!C35+MARZO!C35+ABRIL!C35+MAYO!C35+JUNIO!C35+JULIO!C35+AGOSTO!C35+SEPTIEMBRE!C35+OCTUBRE!C35+NOVIEMBRE!C35+DICIEMBRE!C35</f>
        <v>31796.923918410001</v>
      </c>
      <c r="D35" s="16">
        <f>ENERO!D35+FEBRERO!D35+MARZO!D35+ABRIL!D35+MAYO!D35+JUNIO!D35+JULIO!D35+AGOSTO!D35+SEPTIEMBRE!D35+OCTUBRE!D35+NOVIEMBRE!D35+DICIEMBRE!D35</f>
        <v>665014797.30292904</v>
      </c>
      <c r="E35" s="16">
        <f>ENERO!E35+FEBRERO!E35+MARZO!E35+ABRIL!E35+MAYO!E35+JUNIO!E35+JULIO!E35+AGOSTO!E35+SEPTIEMBRE!E35+OCTUBRE!E35+NOVIEMBRE!E35+DICIEMBRE!E35</f>
        <v>76059230.729999989</v>
      </c>
      <c r="F35" s="16">
        <f>ENERO!F35+FEBRERO!F35+MARZO!F35+ABRIL!F35+MAYO!F35+JUNIO!F35+JULIO!F35+AGOSTO!F35+SEPTIEMBRE!F35+OCTUBRE!F35+NOVIEMBRE!F35+DICIEMBRE!F35</f>
        <v>41359447.941012591</v>
      </c>
      <c r="G35" s="16">
        <f>ENERO!G35+FEBRERO!G35+MARZO!G35+ABRIL!G35+MAYO!G35+JUNIO!G35+JULIO!G35+AGOSTO!G35+SEPTIEMBRE!G35+OCTUBRE!G35+NOVIEMBRE!G35+DICIEMBRE!G35</f>
        <v>21272277.460000001</v>
      </c>
      <c r="H35" s="16">
        <f>ENERO!H35+FEBRERO!H35+MARZO!H35+ABRIL!H35+MAYO!H35+JUNIO!H35+JULIO!H35+AGOSTO!H35+SEPTIEMBRE!H35+OCTUBRE!H35+NOVIEMBRE!H35+DICIEMBRE!H35</f>
        <v>463167724.39999998</v>
      </c>
      <c r="I35" s="16">
        <f>ENERO!I35+FEBRERO!I35+MARZO!I35+ABRIL!I35+MAYO!I35+JUNIO!I35+JULIO!I35+AGOSTO!I35+SEPTIEMBRE!I35+OCTUBRE!I35+NOVIEMBRE!I35+DICIEMBRE!I35</f>
        <v>132984562.02000001</v>
      </c>
      <c r="J35" s="16">
        <f>ENERO!J35+FEBRERO!J35+MARZO!J35+ABRIL!J35+MAYO!J35+JUNIO!J35+JULIO!J35+AGOSTO!J35+SEPTIEMBRE!J35+OCTUBRE!J35+NOVIEMBRE!J35+DICIEMBRE!J35</f>
        <v>398905546.56999999</v>
      </c>
      <c r="K35" s="16">
        <f>ENERO!K35+FEBRERO!K35+MARZO!K35+ABRIL!K35+MAYO!K35+JUNIO!K35+JULIO!K35+AGOSTO!K35+SEPTIEMBRE!K35+OCTUBRE!K35+NOVIEMBRE!K35+DICIEMBRE!K35</f>
        <v>435072205.36000001</v>
      </c>
      <c r="L35" s="16">
        <f>ENERO!L35+FEBRERO!L35+MARZO!L35+ABRIL!L35+MAYO!L35+JUNIO!L35+JULIO!L35+AGOSTO!L35+SEPTIEMBRE!L35+OCTUBRE!L35+NOVIEMBRE!L35+DICIEMBRE!L35</f>
        <v>0</v>
      </c>
      <c r="M35" s="16">
        <f>ENERO!M35+FEBRERO!M35+MARZO!M35+ABRIL!M35+MAYO!M35+JUNIO!M35+JULIO!M35+AGOSTO!M35+SEPTIEMBRE!M35+OCTUBRE!M35+NOVIEMBRE!M35+DICIEMBRE!M35</f>
        <v>176.44</v>
      </c>
      <c r="N35" s="18">
        <f t="shared" si="0"/>
        <v>10945001969.557861</v>
      </c>
      <c r="O35" s="4"/>
      <c r="P35" s="4"/>
      <c r="Q35" s="4"/>
    </row>
    <row r="36" spans="1:17" ht="18" customHeight="1" x14ac:dyDescent="0.2">
      <c r="A36" s="17" t="s">
        <v>31</v>
      </c>
      <c r="B36" s="16">
        <f>ENERO!B36+FEBRERO!B36+MARZO!B36+ABRIL!B36+MAYO!B36+JUNIO!B36+JULIO!B36+AGOSTO!B36+SEPTIEMBRE!B36+OCTUBRE!B36+NOVIEMBRE!B36+DICIEMBRE!B36</f>
        <v>10247169273.92</v>
      </c>
      <c r="C36" s="16">
        <f>ENERO!C36+FEBRERO!C36+MARZO!C36+ABRIL!C36+MAYO!C36+JUNIO!C36+JULIO!C36+AGOSTO!C36+SEPTIEMBRE!C36+OCTUBRE!C36+NOVIEMBRE!C36+DICIEMBRE!C36</f>
        <v>35548.918166560004</v>
      </c>
      <c r="D36" s="16">
        <f>ENERO!D36+FEBRERO!D36+MARZO!D36+ABRIL!D36+MAYO!D36+JUNIO!D36+JULIO!D36+AGOSTO!D36+SEPTIEMBRE!D36+OCTUBRE!D36+NOVIEMBRE!D36+DICIEMBRE!D36</f>
        <v>709015841.28429556</v>
      </c>
      <c r="E36" s="16">
        <f>ENERO!E36+FEBRERO!E36+MARZO!E36+ABRIL!E36+MAYO!E36+JUNIO!E36+JULIO!E36+AGOSTO!E36+SEPTIEMBRE!E36+OCTUBRE!E36+NOVIEMBRE!E36+DICIEMBRE!E36</f>
        <v>86912359.640000001</v>
      </c>
      <c r="F36" s="16">
        <f>ENERO!F36+FEBRERO!F36+MARZO!F36+ABRIL!F36+MAYO!F36+JUNIO!F36+JULIO!F36+AGOSTO!F36+SEPTIEMBRE!F36+OCTUBRE!F36+NOVIEMBRE!F36+DICIEMBRE!F36</f>
        <v>26023196.722721428</v>
      </c>
      <c r="G36" s="16">
        <f>ENERO!G36+FEBRERO!G36+MARZO!G36+ABRIL!G36+MAYO!G36+JUNIO!G36+JULIO!G36+AGOSTO!G36+SEPTIEMBRE!G36+OCTUBRE!G36+NOVIEMBRE!G36+DICIEMBRE!G36</f>
        <v>12382631.769999998</v>
      </c>
      <c r="H36" s="16">
        <f>ENERO!H36+FEBRERO!H36+MARZO!H36+ABRIL!H36+MAYO!H36+JUNIO!H36+JULIO!H36+AGOSTO!H36+SEPTIEMBRE!H36+OCTUBRE!H36+NOVIEMBRE!H36+DICIEMBRE!H36</f>
        <v>543582591.69000006</v>
      </c>
      <c r="I36" s="16">
        <f>ENERO!I36+FEBRERO!I36+MARZO!I36+ABRIL!I36+MAYO!I36+JUNIO!I36+JULIO!I36+AGOSTO!I36+SEPTIEMBRE!I36+OCTUBRE!I36+NOVIEMBRE!I36+DICIEMBRE!I36</f>
        <v>83673346.600000009</v>
      </c>
      <c r="J36" s="16">
        <f>ENERO!J36+FEBRERO!J36+MARZO!J36+ABRIL!J36+MAYO!J36+JUNIO!J36+JULIO!J36+AGOSTO!J36+SEPTIEMBRE!J36+OCTUBRE!J36+NOVIEMBRE!J36+DICIEMBRE!J36</f>
        <v>401735547.57999986</v>
      </c>
      <c r="K36" s="16">
        <f>ENERO!K36+FEBRERO!K36+MARZO!K36+ABRIL!K36+MAYO!K36+JUNIO!K36+JULIO!K36+AGOSTO!K36+SEPTIEMBRE!K36+OCTUBRE!K36+NOVIEMBRE!K36+DICIEMBRE!K36</f>
        <v>486410197.76000005</v>
      </c>
      <c r="L36" s="16">
        <f>ENERO!L36+FEBRERO!L36+MARZO!L36+ABRIL!L36+MAYO!L36+JUNIO!L36+JULIO!L36+AGOSTO!L36+SEPTIEMBRE!L36+OCTUBRE!L36+NOVIEMBRE!L36+DICIEMBRE!L36</f>
        <v>0</v>
      </c>
      <c r="M36" s="16">
        <f>ENERO!M36+FEBRERO!M36+MARZO!M36+ABRIL!M36+MAYO!M36+JUNIO!M36+JULIO!M36+AGOSTO!M36+SEPTIEMBRE!M36+OCTUBRE!M36+NOVIEMBRE!M36+DICIEMBRE!M36</f>
        <v>111.00999999999999</v>
      </c>
      <c r="N36" s="18">
        <f t="shared" si="0"/>
        <v>12596940646.895185</v>
      </c>
      <c r="O36" s="4"/>
      <c r="P36" s="4"/>
      <c r="Q36" s="4"/>
    </row>
    <row r="37" spans="1:17" ht="18" customHeight="1" x14ac:dyDescent="0.2">
      <c r="A37" s="17" t="s">
        <v>32</v>
      </c>
      <c r="B37" s="16">
        <f>ENERO!B37+FEBRERO!B37+MARZO!B37+ABRIL!B37+MAYO!B37+JUNIO!B37+JULIO!B37+AGOSTO!B37+SEPTIEMBRE!B37+OCTUBRE!B37+NOVIEMBRE!B37+DICIEMBRE!B37</f>
        <v>10641711298.990002</v>
      </c>
      <c r="C37" s="16">
        <f>ENERO!C37+FEBRERO!C37+MARZO!C37+ABRIL!C37+MAYO!C37+JUNIO!C37+JULIO!C37+AGOSTO!C37+SEPTIEMBRE!C37+OCTUBRE!C37+NOVIEMBRE!C37+DICIEMBRE!C37</f>
        <v>39000.568826180002</v>
      </c>
      <c r="D37" s="16">
        <f>ENERO!D37+FEBRERO!D37+MARZO!D37+ABRIL!D37+MAYO!D37+JUNIO!D37+JULIO!D37+AGOSTO!D37+SEPTIEMBRE!D37+OCTUBRE!D37+NOVIEMBRE!D37+DICIEMBRE!D37</f>
        <v>787727746.9152292</v>
      </c>
      <c r="E37" s="16">
        <f>ENERO!E37+FEBRERO!E37+MARZO!E37+ABRIL!E37+MAYO!E37+JUNIO!E37+JULIO!E37+AGOSTO!E37+SEPTIEMBRE!E37+OCTUBRE!E37+NOVIEMBRE!E37+DICIEMBRE!E37</f>
        <v>92244960.600000009</v>
      </c>
      <c r="F37" s="16">
        <f>ENERO!F37+FEBRERO!F37+MARZO!F37+ABRIL!F37+MAYO!F37+JUNIO!F37+JULIO!F37+AGOSTO!F37+SEPTIEMBRE!F37+OCTUBRE!F37+NOVIEMBRE!F37+DICIEMBRE!F37</f>
        <v>48268832.722305879</v>
      </c>
      <c r="G37" s="16">
        <f>ENERO!G37+FEBRERO!G37+MARZO!G37+ABRIL!G37+MAYO!G37+JUNIO!G37+JULIO!G37+AGOSTO!G37+SEPTIEMBRE!G37+OCTUBRE!G37+NOVIEMBRE!G37+DICIEMBRE!G37</f>
        <v>18870649.530000001</v>
      </c>
      <c r="H37" s="16">
        <f>ENERO!H37+FEBRERO!H37+MARZO!H37+ABRIL!H37+MAYO!H37+JUNIO!H37+JULIO!H37+AGOSTO!H37+SEPTIEMBRE!H37+OCTUBRE!H37+NOVIEMBRE!H37+DICIEMBRE!H37</f>
        <v>565921898.33000004</v>
      </c>
      <c r="I37" s="16">
        <f>ENERO!I37+FEBRERO!I37+MARZO!I37+ABRIL!I37+MAYO!I37+JUNIO!I37+JULIO!I37+AGOSTO!I37+SEPTIEMBRE!I37+OCTUBRE!I37+NOVIEMBRE!I37+DICIEMBRE!I37</f>
        <v>155200562.22999999</v>
      </c>
      <c r="J37" s="16">
        <f>ENERO!J37+FEBRERO!J37+MARZO!J37+ABRIL!J37+MAYO!J37+JUNIO!J37+JULIO!J37+AGOSTO!J37+SEPTIEMBRE!J37+OCTUBRE!J37+NOVIEMBRE!J37+DICIEMBRE!J37</f>
        <v>681903576.92000008</v>
      </c>
      <c r="K37" s="16">
        <f>ENERO!K37+FEBRERO!K37+MARZO!K37+ABRIL!K37+MAYO!K37+JUNIO!K37+JULIO!K37+AGOSTO!K37+SEPTIEMBRE!K37+OCTUBRE!K37+NOVIEMBRE!K37+DICIEMBRE!K37</f>
        <v>533638637.27999997</v>
      </c>
      <c r="L37" s="16">
        <f>ENERO!L37+FEBRERO!L37+MARZO!L37+ABRIL!L37+MAYO!L37+JUNIO!L37+JULIO!L37+AGOSTO!L37+SEPTIEMBRE!L37+OCTUBRE!L37+NOVIEMBRE!L37+DICIEMBRE!L37</f>
        <v>0</v>
      </c>
      <c r="M37" s="16">
        <f>ENERO!M37+FEBRERO!M37+MARZO!M37+ABRIL!M37+MAYO!M37+JUNIO!M37+JULIO!M37+AGOSTO!M37+SEPTIEMBRE!M37+OCTUBRE!M37+NOVIEMBRE!M37+DICIEMBRE!M37</f>
        <v>205.91</v>
      </c>
      <c r="N37" s="18">
        <f t="shared" si="0"/>
        <v>13525527369.996365</v>
      </c>
      <c r="O37" s="4"/>
      <c r="P37" s="4"/>
      <c r="Q37" s="4"/>
    </row>
    <row r="38" spans="1:17" ht="18" customHeight="1" x14ac:dyDescent="0.2">
      <c r="A38" s="17" t="s">
        <v>33</v>
      </c>
      <c r="B38" s="16">
        <f>ENERO!B38+FEBRERO!B38+MARZO!B38+ABRIL!B38+MAYO!B38+JUNIO!B38+JULIO!B38+AGOSTO!B38+SEPTIEMBRE!B38+OCTUBRE!B38+NOVIEMBRE!B38+DICIEMBRE!B38</f>
        <v>9306198247.4799995</v>
      </c>
      <c r="C38" s="16">
        <f>ENERO!C38+FEBRERO!C38+MARZO!C38+ABRIL!C38+MAYO!C38+JUNIO!C38+JULIO!C38+AGOSTO!C38+SEPTIEMBRE!C38+OCTUBRE!C38+NOVIEMBRE!C38+DICIEMBRE!C38</f>
        <v>34559.712035529999</v>
      </c>
      <c r="D38" s="16">
        <f>ENERO!D38+FEBRERO!D38+MARZO!D38+ABRIL!D38+MAYO!D38+JUNIO!D38+JULIO!D38+AGOSTO!D38+SEPTIEMBRE!D38+OCTUBRE!D38+NOVIEMBRE!D38+DICIEMBRE!D38</f>
        <v>86617781.2325342</v>
      </c>
      <c r="E38" s="16">
        <f>ENERO!E38+FEBRERO!E38+MARZO!E38+ABRIL!E38+MAYO!E38+JUNIO!E38+JULIO!E38+AGOSTO!E38+SEPTIEMBRE!E38+OCTUBRE!E38+NOVIEMBRE!E38+DICIEMBRE!E38</f>
        <v>81957081.379999995</v>
      </c>
      <c r="F38" s="16">
        <f>ENERO!F38+FEBRERO!F38+MARZO!F38+ABRIL!F38+MAYO!F38+JUNIO!F38+JULIO!F38+AGOSTO!F38+SEPTIEMBRE!F38+OCTUBRE!F38+NOVIEMBRE!F38+DICIEMBRE!F38</f>
        <v>43135224.424709469</v>
      </c>
      <c r="G38" s="16">
        <f>ENERO!G38+FEBRERO!G38+MARZO!G38+ABRIL!G38+MAYO!G38+JUNIO!G38+JULIO!G38+AGOSTO!G38+SEPTIEMBRE!G38+OCTUBRE!G38+NOVIEMBRE!G38+DICIEMBRE!G38</f>
        <v>52212888.289999999</v>
      </c>
      <c r="H38" s="16">
        <f>ENERO!H38+FEBRERO!H38+MARZO!H38+ABRIL!H38+MAYO!H38+JUNIO!H38+JULIO!H38+AGOSTO!H38+SEPTIEMBRE!H38+OCTUBRE!H38+NOVIEMBRE!H38+DICIEMBRE!H38</f>
        <v>495206932.48999995</v>
      </c>
      <c r="I38" s="16">
        <f>ENERO!I38+FEBRERO!I38+MARZO!I38+ABRIL!I38+MAYO!I38+JUNIO!I38+JULIO!I38+AGOSTO!I38+SEPTIEMBRE!I38+OCTUBRE!I38+NOVIEMBRE!I38+DICIEMBRE!I38</f>
        <v>138694281.72</v>
      </c>
      <c r="J38" s="16">
        <f>ENERO!J38+FEBRERO!J38+MARZO!J38+ABRIL!J38+MAYO!J38+JUNIO!J38+JULIO!J38+AGOSTO!J38+SEPTIEMBRE!J38+OCTUBRE!J38+NOVIEMBRE!J38+DICIEMBRE!J38</f>
        <v>1125284648.4900002</v>
      </c>
      <c r="K38" s="16">
        <f>ENERO!K38+FEBRERO!K38+MARZO!K38+ABRIL!K38+MAYO!K38+JUNIO!K38+JULIO!K38+AGOSTO!K38+SEPTIEMBRE!K38+OCTUBRE!K38+NOVIEMBRE!K38+DICIEMBRE!K38</f>
        <v>472875064.88</v>
      </c>
      <c r="L38" s="16">
        <f>ENERO!L38+FEBRERO!L38+MARZO!L38+ABRIL!L38+MAYO!L38+JUNIO!L38+JULIO!L38+AGOSTO!L38+SEPTIEMBRE!L38+OCTUBRE!L38+NOVIEMBRE!L38+DICIEMBRE!L38</f>
        <v>0</v>
      </c>
      <c r="M38" s="16">
        <f>ENERO!M38+FEBRERO!M38+MARZO!M38+ABRIL!M38+MAYO!M38+JUNIO!M38+JULIO!M38+AGOSTO!M38+SEPTIEMBRE!M38+OCTUBRE!M38+NOVIEMBRE!M38+DICIEMBRE!M38</f>
        <v>184.01</v>
      </c>
      <c r="N38" s="18">
        <f t="shared" si="0"/>
        <v>11802216894.109278</v>
      </c>
      <c r="O38" s="4"/>
      <c r="P38" s="4"/>
      <c r="Q38" s="4"/>
    </row>
    <row r="39" spans="1:17" ht="18" customHeight="1" x14ac:dyDescent="0.2">
      <c r="A39" s="17" t="s">
        <v>34</v>
      </c>
      <c r="B39" s="16">
        <f>ENERO!B39+FEBRERO!B39+MARZO!B39+ABRIL!B39+MAYO!B39+JUNIO!B39+JULIO!B39+AGOSTO!B39+SEPTIEMBRE!B39+OCTUBRE!B39+NOVIEMBRE!B39+DICIEMBRE!B39</f>
        <v>17212123415.690002</v>
      </c>
      <c r="C39" s="16">
        <f>ENERO!C39+FEBRERO!C39+MARZO!C39+ABRIL!C39+MAYO!C39+JUNIO!C39+JULIO!C39+AGOSTO!C39+SEPTIEMBRE!C39+OCTUBRE!C39+NOVIEMBRE!C39+DICIEMBRE!C39</f>
        <v>59851.026022570004</v>
      </c>
      <c r="D39" s="16">
        <f>ENERO!D39+FEBRERO!D39+MARZO!D39+ABRIL!D39+MAYO!D39+JUNIO!D39+JULIO!D39+AGOSTO!D39+SEPTIEMBRE!D39+OCTUBRE!D39+NOVIEMBRE!D39+DICIEMBRE!D39</f>
        <v>1121621418.0882714</v>
      </c>
      <c r="E39" s="16">
        <f>ENERO!E39+FEBRERO!E39+MARZO!E39+ABRIL!E39+MAYO!E39+JUNIO!E39+JULIO!E39+AGOSTO!E39+SEPTIEMBRE!E39+OCTUBRE!E39+NOVIEMBRE!E39+DICIEMBRE!E39</f>
        <v>146090637.91999999</v>
      </c>
      <c r="F39" s="16">
        <f>ENERO!F39+FEBRERO!F39+MARZO!F39+ABRIL!F39+MAYO!F39+JUNIO!F39+JULIO!F39+AGOSTO!F39+SEPTIEMBRE!F39+OCTUBRE!F39+NOVIEMBRE!F39+DICIEMBRE!F39</f>
        <v>54952209.567855924</v>
      </c>
      <c r="G39" s="16">
        <f>ENERO!G39+FEBRERO!G39+MARZO!G39+ABRIL!G39+MAYO!G39+JUNIO!G39+JULIO!G39+AGOSTO!G39+SEPTIEMBRE!G39+OCTUBRE!G39+NOVIEMBRE!G39+DICIEMBRE!G39</f>
        <v>32529742.32</v>
      </c>
      <c r="H39" s="16">
        <f>ENERO!H39+FEBRERO!H39+MARZO!H39+ABRIL!H39+MAYO!H39+JUNIO!H39+JULIO!H39+AGOSTO!H39+SEPTIEMBRE!H39+OCTUBRE!H39+NOVIEMBRE!H39+DICIEMBRE!H39</f>
        <v>913147743.76999986</v>
      </c>
      <c r="I39" s="16">
        <f>ENERO!I39+FEBRERO!I39+MARZO!I39+ABRIL!I39+MAYO!I39+JUNIO!I39+JULIO!I39+AGOSTO!I39+SEPTIEMBRE!I39+OCTUBRE!I39+NOVIEMBRE!I39+DICIEMBRE!I39</f>
        <v>176689870.86000001</v>
      </c>
      <c r="J39" s="16">
        <f>ENERO!J39+FEBRERO!J39+MARZO!J39+ABRIL!J39+MAYO!J39+JUNIO!J39+JULIO!J39+AGOSTO!J39+SEPTIEMBRE!J39+OCTUBRE!J39+NOVIEMBRE!J39+DICIEMBRE!J39</f>
        <v>976932171.80999982</v>
      </c>
      <c r="K39" s="16">
        <f>ENERO!K39+FEBRERO!K39+MARZO!K39+ABRIL!K39+MAYO!K39+JUNIO!K39+JULIO!K39+AGOSTO!K39+SEPTIEMBRE!K39+OCTUBRE!K39+NOVIEMBRE!K39+DICIEMBRE!K39</f>
        <v>818932092.72000003</v>
      </c>
      <c r="L39" s="16">
        <f>ENERO!L39+FEBRERO!L39+MARZO!L39+ABRIL!L39+MAYO!L39+JUNIO!L39+JULIO!L39+AGOSTO!L39+SEPTIEMBRE!L39+OCTUBRE!L39+NOVIEMBRE!L39+DICIEMBRE!L39</f>
        <v>0</v>
      </c>
      <c r="M39" s="16">
        <f>ENERO!M39+FEBRERO!M39+MARZO!M39+ABRIL!M39+MAYO!M39+JUNIO!M39+JULIO!M39+AGOSTO!M39+SEPTIEMBRE!M39+OCTUBRE!M39+NOVIEMBRE!M39+DICIEMBRE!M39</f>
        <v>234.43</v>
      </c>
      <c r="N39" s="18">
        <f t="shared" si="0"/>
        <v>21453079388.202156</v>
      </c>
      <c r="O39" s="4"/>
      <c r="P39" s="4"/>
      <c r="Q39" s="4"/>
    </row>
    <row r="40" spans="1:17" ht="18" customHeight="1" x14ac:dyDescent="0.2">
      <c r="A40" s="17" t="s">
        <v>35</v>
      </c>
      <c r="B40" s="16">
        <f>ENERO!B40+FEBRERO!B40+MARZO!B40+ABRIL!B40+MAYO!B40+JUNIO!B40+JULIO!B40+AGOSTO!B40+SEPTIEMBRE!B40+OCTUBRE!B40+NOVIEMBRE!B40+DICIEMBRE!B40</f>
        <v>12120008511.189999</v>
      </c>
      <c r="C40" s="16">
        <f>ENERO!C40+FEBRERO!C40+MARZO!C40+ABRIL!C40+MAYO!C40+JUNIO!C40+JULIO!C40+AGOSTO!C40+SEPTIEMBRE!C40+OCTUBRE!C40+NOVIEMBRE!C40+DICIEMBRE!C40</f>
        <v>39567.272997809996</v>
      </c>
      <c r="D40" s="16">
        <f>ENERO!D40+FEBRERO!D40+MARZO!D40+ABRIL!D40+MAYO!D40+JUNIO!D40+JULIO!D40+AGOSTO!D40+SEPTIEMBRE!D40+OCTUBRE!D40+NOVIEMBRE!D40+DICIEMBRE!D40</f>
        <v>920391633.12754726</v>
      </c>
      <c r="E40" s="16">
        <f>ENERO!E40+FEBRERO!E40+MARZO!E40+ABRIL!E40+MAYO!E40+JUNIO!E40+JULIO!E40+AGOSTO!E40+SEPTIEMBRE!E40+OCTUBRE!E40+NOVIEMBRE!E40+DICIEMBRE!E40</f>
        <v>100797194.89</v>
      </c>
      <c r="F40" s="16">
        <f>ENERO!F40+FEBRERO!F40+MARZO!F40+ABRIL!F40+MAYO!F40+JUNIO!F40+JULIO!F40+AGOSTO!F40+SEPTIEMBRE!F40+OCTUBRE!F40+NOVIEMBRE!F40+DICIEMBRE!F40</f>
        <v>29348741.754371937</v>
      </c>
      <c r="G40" s="16">
        <f>ENERO!G40+FEBRERO!G40+MARZO!G40+ABRIL!G40+MAYO!G40+JUNIO!G40+JULIO!G40+AGOSTO!G40+SEPTIEMBRE!G40+OCTUBRE!G40+NOVIEMBRE!G40+DICIEMBRE!G40</f>
        <v>14236618.489999998</v>
      </c>
      <c r="H40" s="16">
        <f>ENERO!H40+FEBRERO!H40+MARZO!H40+ABRIL!H40+MAYO!H40+JUNIO!H40+JULIO!H40+AGOSTO!H40+SEPTIEMBRE!H40+OCTUBRE!H40+NOVIEMBRE!H40+DICIEMBRE!H40</f>
        <v>641253309.73000002</v>
      </c>
      <c r="I40" s="16">
        <f>ENERO!I40+FEBRERO!I40+MARZO!I40+ABRIL!I40+MAYO!I40+JUNIO!I40+JULIO!I40+AGOSTO!I40+SEPTIEMBRE!I40+OCTUBRE!I40+NOVIEMBRE!I40+DICIEMBRE!I40</f>
        <v>94366094.359999999</v>
      </c>
      <c r="J40" s="16">
        <f>ENERO!J40+FEBRERO!J40+MARZO!J40+ABRIL!J40+MAYO!J40+JUNIO!J40+JULIO!J40+AGOSTO!J40+SEPTIEMBRE!J40+OCTUBRE!J40+NOVIEMBRE!J40+DICIEMBRE!J40</f>
        <v>538210596.22000015</v>
      </c>
      <c r="K40" s="16">
        <f>ENERO!K40+FEBRERO!K40+MARZO!K40+ABRIL!K40+MAYO!K40+JUNIO!K40+JULIO!K40+AGOSTO!K40+SEPTIEMBRE!K40+OCTUBRE!K40+NOVIEMBRE!K40+DICIEMBRE!K40</f>
        <v>541392747.75999999</v>
      </c>
      <c r="L40" s="16">
        <f>ENERO!L40+FEBRERO!L40+MARZO!L40+ABRIL!L40+MAYO!L40+JUNIO!L40+JULIO!L40+AGOSTO!L40+SEPTIEMBRE!L40+OCTUBRE!L40+NOVIEMBRE!L40+DICIEMBRE!L40</f>
        <v>0</v>
      </c>
      <c r="M40" s="16">
        <f>ENERO!M40+FEBRERO!M40+MARZO!M40+ABRIL!M40+MAYO!M40+JUNIO!M40+JULIO!M40+AGOSTO!M40+SEPTIEMBRE!M40+OCTUBRE!M40+NOVIEMBRE!M40+DICIEMBRE!M40</f>
        <v>125.19999999999999</v>
      </c>
      <c r="N40" s="18">
        <f t="shared" ref="N40:N71" si="1">SUM(B40:M40)</f>
        <v>15000045139.994913</v>
      </c>
      <c r="O40" s="4"/>
      <c r="P40" s="4"/>
      <c r="Q40" s="4"/>
    </row>
    <row r="41" spans="1:17" ht="18" customHeight="1" x14ac:dyDescent="0.2">
      <c r="A41" s="17" t="s">
        <v>36</v>
      </c>
      <c r="B41" s="16">
        <f>ENERO!B41+FEBRERO!B41+MARZO!B41+ABRIL!B41+MAYO!B41+JUNIO!B41+JULIO!B41+AGOSTO!B41+SEPTIEMBRE!B41+OCTUBRE!B41+NOVIEMBRE!B41+DICIEMBRE!B41</f>
        <v>11187620139.360001</v>
      </c>
      <c r="C41" s="16">
        <f>ENERO!C41+FEBRERO!C41+MARZO!C41+ABRIL!C41+MAYO!C41+JUNIO!C41+JULIO!C41+AGOSTO!C41+SEPTIEMBRE!C41+OCTUBRE!C41+NOVIEMBRE!C41+DICIEMBRE!C41</f>
        <v>41474.04027545001</v>
      </c>
      <c r="D41" s="16">
        <f>ENERO!D41+FEBRERO!D41+MARZO!D41+ABRIL!D41+MAYO!D41+JUNIO!D41+JULIO!D41+AGOSTO!D41+SEPTIEMBRE!D41+OCTUBRE!D41+NOVIEMBRE!D41+DICIEMBRE!D41</f>
        <v>291484856.29422075</v>
      </c>
      <c r="E41" s="16">
        <f>ENERO!E41+FEBRERO!E41+MARZO!E41+ABRIL!E41+MAYO!E41+JUNIO!E41+JULIO!E41+AGOSTO!E41+SEPTIEMBRE!E41+OCTUBRE!E41+NOVIEMBRE!E41+DICIEMBRE!E41</f>
        <v>97610299.469999984</v>
      </c>
      <c r="F41" s="16">
        <f>ENERO!F41+FEBRERO!F41+MARZO!F41+ABRIL!F41+MAYO!F41+JUNIO!F41+JULIO!F41+AGOSTO!F41+SEPTIEMBRE!F41+OCTUBRE!F41+NOVIEMBRE!F41+DICIEMBRE!F41</f>
        <v>49689453.881263375</v>
      </c>
      <c r="G41" s="16">
        <f>ENERO!G41+FEBRERO!G41+MARZO!G41+ABRIL!G41+MAYO!G41+JUNIO!G41+JULIO!G41+AGOSTO!G41+SEPTIEMBRE!G41+OCTUBRE!G41+NOVIEMBRE!G41+DICIEMBRE!G41</f>
        <v>24721372.569999993</v>
      </c>
      <c r="H41" s="16">
        <f>ENERO!H41+FEBRERO!H41+MARZO!H41+ABRIL!H41+MAYO!H41+JUNIO!H41+JULIO!H41+AGOSTO!H41+SEPTIEMBRE!H41+OCTUBRE!H41+NOVIEMBRE!H41+DICIEMBRE!H41</f>
        <v>595273149.59000003</v>
      </c>
      <c r="I41" s="16">
        <f>ENERO!I41+FEBRERO!I41+MARZO!I41+ABRIL!I41+MAYO!I41+JUNIO!I41+JULIO!I41+AGOSTO!I41+SEPTIEMBRE!I41+OCTUBRE!I41+NOVIEMBRE!I41+DICIEMBRE!I41</f>
        <v>159768337.97999999</v>
      </c>
      <c r="J41" s="16">
        <f>ENERO!J41+FEBRERO!J41+MARZO!J41+ABRIL!J41+MAYO!J41+JUNIO!J41+JULIO!J41+AGOSTO!J41+SEPTIEMBRE!J41+OCTUBRE!J41+NOVIEMBRE!J41+DICIEMBRE!J41</f>
        <v>552274841.97000003</v>
      </c>
      <c r="K41" s="16">
        <f>ENERO!K41+FEBRERO!K41+MARZO!K41+ABRIL!K41+MAYO!K41+JUNIO!K41+JULIO!K41+AGOSTO!K41+SEPTIEMBRE!K41+OCTUBRE!K41+NOVIEMBRE!K41+DICIEMBRE!K41</f>
        <v>567482753.20000005</v>
      </c>
      <c r="L41" s="16">
        <f>ENERO!L41+FEBRERO!L41+MARZO!L41+ABRIL!L41+MAYO!L41+JUNIO!L41+JULIO!L41+AGOSTO!L41+SEPTIEMBRE!L41+OCTUBRE!L41+NOVIEMBRE!L41+DICIEMBRE!L41</f>
        <v>0</v>
      </c>
      <c r="M41" s="16">
        <f>ENERO!M41+FEBRERO!M41+MARZO!M41+ABRIL!M41+MAYO!M41+JUNIO!M41+JULIO!M41+AGOSTO!M41+SEPTIEMBRE!M41+OCTUBRE!M41+NOVIEMBRE!M41+DICIEMBRE!M41</f>
        <v>211.98</v>
      </c>
      <c r="N41" s="18">
        <f t="shared" si="1"/>
        <v>13525966890.335758</v>
      </c>
      <c r="O41" s="4"/>
      <c r="P41" s="4"/>
      <c r="Q41" s="4"/>
    </row>
    <row r="42" spans="1:17" ht="18" customHeight="1" x14ac:dyDescent="0.2">
      <c r="A42" s="17" t="s">
        <v>37</v>
      </c>
      <c r="B42" s="16">
        <f>ENERO!B42+FEBRERO!B42+MARZO!B42+ABRIL!B42+MAYO!B42+JUNIO!B42+JULIO!B42+AGOSTO!B42+SEPTIEMBRE!B42+OCTUBRE!B42+NOVIEMBRE!B42+DICIEMBRE!B42</f>
        <v>7504100889.5599995</v>
      </c>
      <c r="C42" s="16">
        <f>ENERO!C42+FEBRERO!C42+MARZO!C42+ABRIL!C42+MAYO!C42+JUNIO!C42+JULIO!C42+AGOSTO!C42+SEPTIEMBRE!C42+OCTUBRE!C42+NOVIEMBRE!C42+DICIEMBRE!C42</f>
        <v>25952.619227839998</v>
      </c>
      <c r="D42" s="16">
        <f>ENERO!D42+FEBRERO!D42+MARZO!D42+ABRIL!D42+MAYO!D42+JUNIO!D42+JULIO!D42+AGOSTO!D42+SEPTIEMBRE!D42+OCTUBRE!D42+NOVIEMBRE!D42+DICIEMBRE!D42</f>
        <v>82389286.207050622</v>
      </c>
      <c r="E42" s="16">
        <f>ENERO!E42+FEBRERO!E42+MARZO!E42+ABRIL!E42+MAYO!E42+JUNIO!E42+JULIO!E42+AGOSTO!E42+SEPTIEMBRE!E42+OCTUBRE!E42+NOVIEMBRE!E42+DICIEMBRE!E42</f>
        <v>67628633.88000001</v>
      </c>
      <c r="F42" s="16">
        <f>ENERO!F42+FEBRERO!F42+MARZO!F42+ABRIL!F42+MAYO!F42+JUNIO!F42+JULIO!F42+AGOSTO!F42+SEPTIEMBRE!F42+OCTUBRE!F42+NOVIEMBRE!F42+DICIEMBRE!F42</f>
        <v>134959010.61096224</v>
      </c>
      <c r="G42" s="16">
        <f>ENERO!G42+FEBRERO!G42+MARZO!G42+ABRIL!G42+MAYO!G42+JUNIO!G42+JULIO!G42+AGOSTO!G42+SEPTIEMBRE!G42+OCTUBRE!G42+NOVIEMBRE!G42+DICIEMBRE!G42</f>
        <v>0</v>
      </c>
      <c r="H42" s="16">
        <f>ENERO!H42+FEBRERO!H42+MARZO!H42+ABRIL!H42+MAYO!H42+JUNIO!H42+JULIO!H42+AGOSTO!H42+SEPTIEMBRE!H42+OCTUBRE!H42+NOVIEMBRE!H42+DICIEMBRE!H42</f>
        <v>398016488.25999999</v>
      </c>
      <c r="I42" s="16">
        <f>ENERO!I42+FEBRERO!I42+MARZO!I42+ABRIL!I42+MAYO!I42+JUNIO!I42+JULIO!I42+AGOSTO!I42+SEPTIEMBRE!I42+OCTUBRE!I42+NOVIEMBRE!I42+DICIEMBRE!I42</f>
        <v>433938695.75</v>
      </c>
      <c r="J42" s="16">
        <f>ENERO!J42+FEBRERO!J42+MARZO!J42+ABRIL!J42+MAYO!J42+JUNIO!J42+JULIO!J42+AGOSTO!J42+SEPTIEMBRE!J42+OCTUBRE!J42+NOVIEMBRE!J42+DICIEMBRE!J42</f>
        <v>841571971.1500001</v>
      </c>
      <c r="K42" s="16">
        <f>ENERO!K42+FEBRERO!K42+MARZO!K42+ABRIL!K42+MAYO!K42+JUNIO!K42+JULIO!K42+AGOSTO!K42+SEPTIEMBRE!K42+OCTUBRE!K42+NOVIEMBRE!K42+DICIEMBRE!K42</f>
        <v>355105584.63999999</v>
      </c>
      <c r="L42" s="16">
        <f>ENERO!L42+FEBRERO!L42+MARZO!L42+ABRIL!L42+MAYO!L42+JUNIO!L42+JULIO!L42+AGOSTO!L42+SEPTIEMBRE!L42+OCTUBRE!L42+NOVIEMBRE!L42+DICIEMBRE!L42</f>
        <v>0</v>
      </c>
      <c r="M42" s="16">
        <f>ENERO!M42+FEBRERO!M42+MARZO!M42+ABRIL!M42+MAYO!M42+JUNIO!M42+JULIO!M42+AGOSTO!M42+SEPTIEMBRE!M42+OCTUBRE!M42+NOVIEMBRE!M42+DICIEMBRE!M42</f>
        <v>575.76</v>
      </c>
      <c r="N42" s="18">
        <f t="shared" si="1"/>
        <v>9817737088.4372387</v>
      </c>
      <c r="O42" s="4"/>
      <c r="P42" s="4"/>
      <c r="Q42" s="4"/>
    </row>
    <row r="43" spans="1:17" ht="18" customHeight="1" x14ac:dyDescent="0.2">
      <c r="A43" s="17" t="s">
        <v>38</v>
      </c>
      <c r="B43" s="16">
        <f>ENERO!B43+FEBRERO!B43+MARZO!B43+ABRIL!B43+MAYO!B43+JUNIO!B43+JULIO!B43+AGOSTO!B43+SEPTIEMBRE!B43+OCTUBRE!B43+NOVIEMBRE!B43+DICIEMBRE!B43</f>
        <v>39122599953.309998</v>
      </c>
      <c r="C43" s="16">
        <f>ENERO!C43+FEBRERO!C43+MARZO!C43+ABRIL!C43+MAYO!C43+JUNIO!C43+JULIO!C43+AGOSTO!C43+SEPTIEMBRE!C43+OCTUBRE!C43+NOVIEMBRE!C43+DICIEMBRE!C43</f>
        <v>131117.86513945003</v>
      </c>
      <c r="D43" s="16">
        <f>ENERO!D43+FEBRERO!D43+MARZO!D43+ABRIL!D43+MAYO!D43+JUNIO!D43+JULIO!D43+AGOSTO!D43+SEPTIEMBRE!D43+OCTUBRE!D43+NOVIEMBRE!D43+DICIEMBRE!D43</f>
        <v>365610294.87391877</v>
      </c>
      <c r="E43" s="16">
        <f>ENERO!E43+FEBRERO!E43+MARZO!E43+ABRIL!E43+MAYO!E43+JUNIO!E43+JULIO!E43+AGOSTO!E43+SEPTIEMBRE!E43+OCTUBRE!E43+NOVIEMBRE!E43+DICIEMBRE!E43</f>
        <v>343604325.48999995</v>
      </c>
      <c r="F43" s="16">
        <f>ENERO!F43+FEBRERO!F43+MARZO!F43+ABRIL!F43+MAYO!F43+JUNIO!F43+JULIO!F43+AGOSTO!F43+SEPTIEMBRE!F43+OCTUBRE!F43+NOVIEMBRE!F43+DICIEMBRE!F43</f>
        <v>561209933.87270963</v>
      </c>
      <c r="G43" s="16">
        <f>ENERO!G43+FEBRERO!G43+MARZO!G43+ABRIL!G43+MAYO!G43+JUNIO!G43+JULIO!G43+AGOSTO!G43+SEPTIEMBRE!G43+OCTUBRE!G43+NOVIEMBRE!G43+DICIEMBRE!G43</f>
        <v>197410494.87</v>
      </c>
      <c r="H43" s="16">
        <f>ENERO!H43+FEBRERO!H43+MARZO!H43+ABRIL!H43+MAYO!H43+JUNIO!H43+JULIO!H43+AGOSTO!H43+SEPTIEMBRE!H43+OCTUBRE!H43+NOVIEMBRE!H43+DICIEMBRE!H43</f>
        <v>2072223728.0700002</v>
      </c>
      <c r="I43" s="16">
        <f>ENERO!I43+FEBRERO!I43+MARZO!I43+ABRIL!I43+MAYO!I43+JUNIO!I43+JULIO!I43+AGOSTO!I43+SEPTIEMBRE!I43+OCTUBRE!I43+NOVIEMBRE!I43+DICIEMBRE!I43</f>
        <v>1804479045.3100002</v>
      </c>
      <c r="J43" s="16">
        <f>ENERO!J43+FEBRERO!J43+MARZO!J43+ABRIL!J43+MAYO!J43+JUNIO!J43+JULIO!J43+AGOSTO!J43+SEPTIEMBRE!J43+OCTUBRE!J43+NOVIEMBRE!J43+DICIEMBRE!J43</f>
        <v>2756155253.1899986</v>
      </c>
      <c r="K43" s="16">
        <f>ENERO!K43+FEBRERO!K43+MARZO!K43+ABRIL!K43+MAYO!K43+JUNIO!K43+JULIO!K43+AGOSTO!K43+SEPTIEMBRE!K43+OCTUBRE!K43+NOVIEMBRE!K43+DICIEMBRE!K43</f>
        <v>1794064897.1999998</v>
      </c>
      <c r="L43" s="16">
        <f>ENERO!L43+FEBRERO!L43+MARZO!L43+ABRIL!L43+MAYO!L43+JUNIO!L43+JULIO!L43+AGOSTO!L43+SEPTIEMBRE!L43+OCTUBRE!L43+NOVIEMBRE!L43+DICIEMBRE!L43</f>
        <v>0</v>
      </c>
      <c r="M43" s="16">
        <f>ENERO!M43+FEBRERO!M43+MARZO!M43+ABRIL!M43+MAYO!M43+JUNIO!M43+JULIO!M43+AGOSTO!M43+SEPTIEMBRE!M43+OCTUBRE!M43+NOVIEMBRE!M43+DICIEMBRE!M43</f>
        <v>2394.27</v>
      </c>
      <c r="N43" s="18">
        <f t="shared" si="1"/>
        <v>49017491438.321754</v>
      </c>
      <c r="O43" s="4"/>
      <c r="P43" s="4"/>
      <c r="Q43" s="4"/>
    </row>
    <row r="44" spans="1:17" ht="18" customHeight="1" x14ac:dyDescent="0.2">
      <c r="A44" s="17" t="s">
        <v>39</v>
      </c>
      <c r="B44" s="16">
        <f>ENERO!B44+FEBRERO!B44+MARZO!B44+ABRIL!B44+MAYO!B44+JUNIO!B44+JULIO!B44+AGOSTO!B44+SEPTIEMBRE!B44+OCTUBRE!B44+NOVIEMBRE!B44+DICIEMBRE!B44</f>
        <v>38053669351.239998</v>
      </c>
      <c r="C44" s="16">
        <f>ENERO!C44+FEBRERO!C44+MARZO!C44+ABRIL!C44+MAYO!C44+JUNIO!C44+JULIO!C44+AGOSTO!C44+SEPTIEMBRE!C44+OCTUBRE!C44+NOVIEMBRE!C44+DICIEMBRE!C44</f>
        <v>127433.83690216001</v>
      </c>
      <c r="D44" s="16">
        <f>ENERO!D44+FEBRERO!D44+MARZO!D44+ABRIL!D44+MAYO!D44+JUNIO!D44+JULIO!D44+AGOSTO!D44+SEPTIEMBRE!D44+OCTUBRE!D44+NOVIEMBRE!D44+DICIEMBRE!D44</f>
        <v>330186248.05580813</v>
      </c>
      <c r="E44" s="16">
        <f>ENERO!E44+FEBRERO!E44+MARZO!E44+ABRIL!E44+MAYO!E44+JUNIO!E44+JULIO!E44+AGOSTO!E44+SEPTIEMBRE!E44+OCTUBRE!E44+NOVIEMBRE!E44+DICIEMBRE!E44</f>
        <v>340693322.87</v>
      </c>
      <c r="F44" s="16">
        <f>ENERO!F44+FEBRERO!F44+MARZO!F44+ABRIL!F44+MAYO!F44+JUNIO!F44+JULIO!F44+AGOSTO!F44+SEPTIEMBRE!F44+OCTUBRE!F44+NOVIEMBRE!F44+DICIEMBRE!F44</f>
        <v>706145579.55862343</v>
      </c>
      <c r="G44" s="16">
        <f>ENERO!G44+FEBRERO!G44+MARZO!G44+ABRIL!G44+MAYO!G44+JUNIO!G44+JULIO!G44+AGOSTO!G44+SEPTIEMBRE!G44+OCTUBRE!G44+NOVIEMBRE!G44+DICIEMBRE!G44</f>
        <v>344500040.14241707</v>
      </c>
      <c r="H44" s="16">
        <f>ENERO!H44+FEBRERO!H44+MARZO!H44+ABRIL!H44+MAYO!H44+JUNIO!H44+JULIO!H44+AGOSTO!H44+SEPTIEMBRE!H44+OCTUBRE!H44+NOVIEMBRE!H44+DICIEMBRE!H44</f>
        <v>2015536474.0299997</v>
      </c>
      <c r="I44" s="16">
        <f>ENERO!I44+FEBRERO!I44+MARZO!I44+ABRIL!I44+MAYO!I44+JUNIO!I44+JULIO!I44+AGOSTO!I44+SEPTIEMBRE!I44+OCTUBRE!I44+NOVIEMBRE!I44+DICIEMBRE!I44</f>
        <v>2270495984.3699999</v>
      </c>
      <c r="J44" s="16">
        <f>ENERO!J44+FEBRERO!J44+MARZO!J44+ABRIL!J44+MAYO!J44+JUNIO!J44+JULIO!J44+AGOSTO!J44+SEPTIEMBRE!J44+OCTUBRE!J44+NOVIEMBRE!J44+DICIEMBRE!J44</f>
        <v>3564126582.8200002</v>
      </c>
      <c r="K44" s="16">
        <f>ENERO!K44+FEBRERO!K44+MARZO!K44+ABRIL!K44+MAYO!K44+JUNIO!K44+JULIO!K44+AGOSTO!K44+SEPTIEMBRE!K44+OCTUBRE!K44+NOVIEMBRE!K44+DICIEMBRE!K44</f>
        <v>1743656895.3600001</v>
      </c>
      <c r="L44" s="16">
        <f>ENERO!L44+FEBRERO!L44+MARZO!L44+ABRIL!L44+MAYO!L44+JUNIO!L44+JULIO!L44+AGOSTO!L44+SEPTIEMBRE!L44+OCTUBRE!L44+NOVIEMBRE!L44+DICIEMBRE!L44</f>
        <v>0</v>
      </c>
      <c r="M44" s="16">
        <f>ENERO!M44+FEBRERO!M44+MARZO!M44+ABRIL!M44+MAYO!M44+JUNIO!M44+JULIO!M44+AGOSTO!M44+SEPTIEMBRE!M44+OCTUBRE!M44+NOVIEMBRE!M44+DICIEMBRE!M44</f>
        <v>3012.6</v>
      </c>
      <c r="N44" s="18">
        <f t="shared" si="1"/>
        <v>49369140924.883751</v>
      </c>
      <c r="O44" s="4"/>
      <c r="P44" s="4"/>
      <c r="Q44" s="4"/>
    </row>
    <row r="45" spans="1:17" ht="18" customHeight="1" x14ac:dyDescent="0.2">
      <c r="A45" s="17" t="s">
        <v>40</v>
      </c>
      <c r="B45" s="16">
        <f>ENERO!B45+FEBRERO!B45+MARZO!B45+ABRIL!B45+MAYO!B45+JUNIO!B45+JULIO!B45+AGOSTO!B45+SEPTIEMBRE!B45+OCTUBRE!B45+NOVIEMBRE!B45+DICIEMBRE!B45</f>
        <v>10655495562.200001</v>
      </c>
      <c r="C45" s="16">
        <f>ENERO!C45+FEBRERO!C45+MARZO!C45+ABRIL!C45+MAYO!C45+JUNIO!C45+JULIO!C45+AGOSTO!C45+SEPTIEMBRE!C45+OCTUBRE!C45+NOVIEMBRE!C45+DICIEMBRE!C45</f>
        <v>36633.647610150001</v>
      </c>
      <c r="D45" s="16">
        <f>ENERO!D45+FEBRERO!D45+MARZO!D45+ABRIL!D45+MAYO!D45+JUNIO!D45+JULIO!D45+AGOSTO!D45+SEPTIEMBRE!D45+OCTUBRE!D45+NOVIEMBRE!D45+DICIEMBRE!D45</f>
        <v>337248823.91317719</v>
      </c>
      <c r="E45" s="16">
        <f>ENERO!E45+FEBRERO!E45+MARZO!E45+ABRIL!E45+MAYO!E45+JUNIO!E45+JULIO!E45+AGOSTO!E45+SEPTIEMBRE!E45+OCTUBRE!E45+NOVIEMBRE!E45+DICIEMBRE!E45</f>
        <v>81634826.120000005</v>
      </c>
      <c r="F45" s="16">
        <f>ENERO!F45+FEBRERO!F45+MARZO!F45+ABRIL!F45+MAYO!F45+JUNIO!F45+JULIO!F45+AGOSTO!F45+SEPTIEMBRE!F45+OCTUBRE!F45+NOVIEMBRE!F45+DICIEMBRE!F45</f>
        <v>52595269.913676448</v>
      </c>
      <c r="G45" s="16">
        <f>ENERO!G45+FEBRERO!G45+MARZO!G45+ABRIL!G45+MAYO!G45+JUNIO!G45+JULIO!G45+AGOSTO!G45+SEPTIEMBRE!G45+OCTUBRE!G45+NOVIEMBRE!G45+DICIEMBRE!G45</f>
        <v>30783158.740000002</v>
      </c>
      <c r="H45" s="16">
        <f>ENERO!H45+FEBRERO!H45+MARZO!H45+ABRIL!H45+MAYO!H45+JUNIO!H45+JULIO!H45+AGOSTO!H45+SEPTIEMBRE!H45+OCTUBRE!H45+NOVIEMBRE!H45+DICIEMBRE!H45</f>
        <v>565018500.11000013</v>
      </c>
      <c r="I45" s="16">
        <f>ENERO!I45+FEBRERO!I45+MARZO!I45+ABRIL!I45+MAYO!I45+JUNIO!I45+JULIO!I45+AGOSTO!I45+SEPTIEMBRE!I45+OCTUBRE!I45+NOVIEMBRE!I45+DICIEMBRE!I45</f>
        <v>169111515.63</v>
      </c>
      <c r="J45" s="16">
        <f>ENERO!J45+FEBRERO!J45+MARZO!J45+ABRIL!J45+MAYO!J45+JUNIO!J45+JULIO!J45+AGOSTO!J45+SEPTIEMBRE!J45+OCTUBRE!J45+NOVIEMBRE!J45+DICIEMBRE!J45</f>
        <v>533561309.36999977</v>
      </c>
      <c r="K45" s="16">
        <f>ENERO!K45+FEBRERO!K45+MARZO!K45+ABRIL!K45+MAYO!K45+JUNIO!K45+JULIO!K45+AGOSTO!K45+SEPTIEMBRE!K45+OCTUBRE!K45+NOVIEMBRE!K45+DICIEMBRE!K45</f>
        <v>501252344.39999998</v>
      </c>
      <c r="L45" s="16">
        <f>ENERO!L45+FEBRERO!L45+MARZO!L45+ABRIL!L45+MAYO!L45+JUNIO!L45+JULIO!L45+AGOSTO!L45+SEPTIEMBRE!L45+OCTUBRE!L45+NOVIEMBRE!L45+DICIEMBRE!L45</f>
        <v>0</v>
      </c>
      <c r="M45" s="16">
        <f>ENERO!M45+FEBRERO!M45+MARZO!M45+ABRIL!M45+MAYO!M45+JUNIO!M45+JULIO!M45+AGOSTO!M45+SEPTIEMBRE!M45+OCTUBRE!M45+NOVIEMBRE!M45+DICIEMBRE!M45</f>
        <v>224.38</v>
      </c>
      <c r="N45" s="18">
        <f t="shared" si="1"/>
        <v>12926738168.424463</v>
      </c>
      <c r="O45" s="4"/>
      <c r="P45" s="4"/>
      <c r="Q45" s="4"/>
    </row>
    <row r="46" spans="1:17" ht="18" customHeight="1" x14ac:dyDescent="0.2">
      <c r="A46" s="17" t="s">
        <v>41</v>
      </c>
      <c r="B46" s="16">
        <f>ENERO!B46+FEBRERO!B46+MARZO!B46+ABRIL!B46+MAYO!B46+JUNIO!B46+JULIO!B46+AGOSTO!B46+SEPTIEMBRE!B46+OCTUBRE!B46+NOVIEMBRE!B46+DICIEMBRE!B46</f>
        <v>16842549112.710003</v>
      </c>
      <c r="C46" s="16">
        <f>ENERO!C46+FEBRERO!C46+MARZO!C46+ABRIL!C46+MAYO!C46+JUNIO!C46+JULIO!C46+AGOSTO!C46+SEPTIEMBRE!C46+OCTUBRE!C46+NOVIEMBRE!C46+DICIEMBRE!C46</f>
        <v>56064.126525600004</v>
      </c>
      <c r="D46" s="16">
        <f>ENERO!D46+FEBRERO!D46+MARZO!D46+ABRIL!D46+MAYO!D46+JUNIO!D46+JULIO!D46+AGOSTO!D46+SEPTIEMBRE!D46+OCTUBRE!D46+NOVIEMBRE!D46+DICIEMBRE!D46</f>
        <v>312463624.1458081</v>
      </c>
      <c r="E46" s="16">
        <f>ENERO!E46+FEBRERO!E46+MARZO!E46+ABRIL!E46+MAYO!E46+JUNIO!E46+JULIO!E46+AGOSTO!E46+SEPTIEMBRE!E46+OCTUBRE!E46+NOVIEMBRE!E46+DICIEMBRE!E46</f>
        <v>182052945.27000001</v>
      </c>
      <c r="F46" s="16">
        <f>ENERO!F46+FEBRERO!F46+MARZO!F46+ABRIL!F46+MAYO!F46+JUNIO!F46+JULIO!F46+AGOSTO!F46+SEPTIEMBRE!F46+OCTUBRE!F46+NOVIEMBRE!F46+DICIEMBRE!F46</f>
        <v>414853667.00783831</v>
      </c>
      <c r="G46" s="16">
        <f>ENERO!G46+FEBRERO!G46+MARZO!G46+ABRIL!G46+MAYO!G46+JUNIO!G46+JULIO!G46+AGOSTO!G46+SEPTIEMBRE!G46+OCTUBRE!G46+NOVIEMBRE!G46+DICIEMBRE!G46</f>
        <v>0</v>
      </c>
      <c r="H46" s="16">
        <f>ENERO!H46+FEBRERO!H46+MARZO!H46+ABRIL!H46+MAYO!H46+JUNIO!H46+JULIO!H46+AGOSTO!H46+SEPTIEMBRE!H46+OCTUBRE!H46+NOVIEMBRE!H46+DICIEMBRE!H46</f>
        <v>891847331.16000009</v>
      </c>
      <c r="I46" s="16">
        <f>ENERO!I46+FEBRERO!I46+MARZO!I46+ABRIL!I46+MAYO!I46+JUNIO!I46+JULIO!I46+AGOSTO!I46+SEPTIEMBRE!I46+OCTUBRE!I46+NOVIEMBRE!I46+DICIEMBRE!I46</f>
        <v>1333894330.53</v>
      </c>
      <c r="J46" s="16">
        <f>ENERO!J46+FEBRERO!J46+MARZO!J46+ABRIL!J46+MAYO!J46+JUNIO!J46+JULIO!J46+AGOSTO!J46+SEPTIEMBRE!J46+OCTUBRE!J46+NOVIEMBRE!J46+DICIEMBRE!J46</f>
        <v>2257433988.7000008</v>
      </c>
      <c r="K46" s="16">
        <f>ENERO!K46+FEBRERO!K46+MARZO!K46+ABRIL!K46+MAYO!K46+JUNIO!K46+JULIO!K46+AGOSTO!K46+SEPTIEMBRE!K46+OCTUBRE!K46+NOVIEMBRE!K46+DICIEMBRE!K46</f>
        <v>767116537.60000014</v>
      </c>
      <c r="L46" s="16">
        <f>ENERO!L46+FEBRERO!L46+MARZO!L46+ABRIL!L46+MAYO!L46+JUNIO!L46+JULIO!L46+AGOSTO!L46+SEPTIEMBRE!L46+OCTUBRE!L46+NOVIEMBRE!L46+DICIEMBRE!L46</f>
        <v>0</v>
      </c>
      <c r="M46" s="16">
        <f>ENERO!M46+FEBRERO!M46+MARZO!M46+ABRIL!M46+MAYO!M46+JUNIO!M46+JULIO!M46+AGOSTO!M46+SEPTIEMBRE!M46+OCTUBRE!M46+NOVIEMBRE!M46+DICIEMBRE!M46</f>
        <v>1769.8700000000001</v>
      </c>
      <c r="N46" s="18">
        <f t="shared" si="1"/>
        <v>23002269371.120171</v>
      </c>
      <c r="O46" s="4"/>
      <c r="P46" s="4"/>
      <c r="Q46" s="4"/>
    </row>
    <row r="47" spans="1:17" ht="18" customHeight="1" x14ac:dyDescent="0.2">
      <c r="A47" s="17" t="s">
        <v>42</v>
      </c>
      <c r="B47" s="16">
        <f>ENERO!B47+FEBRERO!B47+MARZO!B47+ABRIL!B47+MAYO!B47+JUNIO!B47+JULIO!B47+AGOSTO!B47+SEPTIEMBRE!B47+OCTUBRE!B47+NOVIEMBRE!B47+DICIEMBRE!B47</f>
        <v>51160423047.119995</v>
      </c>
      <c r="C47" s="16">
        <f>ENERO!C47+FEBRERO!C47+MARZO!C47+ABRIL!C47+MAYO!C47+JUNIO!C47+JULIO!C47+AGOSTO!C47+SEPTIEMBRE!C47+OCTUBRE!C47+NOVIEMBRE!C47+DICIEMBRE!C47</f>
        <v>175181.10953131001</v>
      </c>
      <c r="D47" s="16">
        <f>ENERO!D47+FEBRERO!D47+MARZO!D47+ABRIL!D47+MAYO!D47+JUNIO!D47+JULIO!D47+AGOSTO!D47+SEPTIEMBRE!D47+OCTUBRE!D47+NOVIEMBRE!D47+DICIEMBRE!D47</f>
        <v>380526531.49820411</v>
      </c>
      <c r="E47" s="16">
        <f>ENERO!E47+FEBRERO!E47+MARZO!E47+ABRIL!E47+MAYO!E47+JUNIO!E47+JULIO!E47+AGOSTO!E47+SEPTIEMBRE!E47+OCTUBRE!E47+NOVIEMBRE!E47+DICIEMBRE!E47</f>
        <v>559141423.4000001</v>
      </c>
      <c r="F47" s="16">
        <f>ENERO!F47+FEBRERO!F47+MARZO!F47+ABRIL!F47+MAYO!F47+JUNIO!F47+JULIO!F47+AGOSTO!F47+SEPTIEMBRE!F47+OCTUBRE!F47+NOVIEMBRE!F47+DICIEMBRE!F47</f>
        <v>1293281849.7373071</v>
      </c>
      <c r="G47" s="16">
        <f>ENERO!G47+FEBRERO!G47+MARZO!G47+ABRIL!G47+MAYO!G47+JUNIO!G47+JULIO!G47+AGOSTO!G47+SEPTIEMBRE!G47+OCTUBRE!G47+NOVIEMBRE!G47+DICIEMBRE!G47</f>
        <v>391823977.77313972</v>
      </c>
      <c r="H47" s="16">
        <f>ENERO!H47+FEBRERO!H47+MARZO!H47+ABRIL!H47+MAYO!H47+JUNIO!H47+JULIO!H47+AGOSTO!H47+SEPTIEMBRE!H47+OCTUBRE!H47+NOVIEMBRE!H47+DICIEMBRE!H47</f>
        <v>2712353794.5799999</v>
      </c>
      <c r="I47" s="16">
        <f>ENERO!I47+FEBRERO!I47+MARZO!I47+ABRIL!I47+MAYO!I47+JUNIO!I47+JULIO!I47+AGOSTO!I47+SEPTIEMBRE!I47+OCTUBRE!I47+NOVIEMBRE!I47+DICIEMBRE!I47</f>
        <v>4158336937.02</v>
      </c>
      <c r="J47" s="16">
        <f>ENERO!J47+FEBRERO!J47+MARZO!J47+ABRIL!J47+MAYO!J47+JUNIO!J47+JULIO!J47+AGOSTO!J47+SEPTIEMBRE!J47+OCTUBRE!J47+NOVIEMBRE!J47+DICIEMBRE!J47</f>
        <v>5431635070.460001</v>
      </c>
      <c r="K47" s="16">
        <f>ENERO!K47+FEBRERO!K47+MARZO!K47+ABRIL!K47+MAYO!K47+JUNIO!K47+JULIO!K47+AGOSTO!K47+SEPTIEMBRE!K47+OCTUBRE!K47+NOVIEMBRE!K47+DICIEMBRE!K47</f>
        <v>2396975263.7599998</v>
      </c>
      <c r="L47" s="16">
        <f>ENERO!L47+FEBRERO!L47+MARZO!L47+ABRIL!L47+MAYO!L47+JUNIO!L47+JULIO!L47+AGOSTO!L47+SEPTIEMBRE!L47+OCTUBRE!L47+NOVIEMBRE!L47+DICIEMBRE!L47</f>
        <v>0</v>
      </c>
      <c r="M47" s="16">
        <f>ENERO!M47+FEBRERO!M47+MARZO!M47+ABRIL!M47+MAYO!M47+JUNIO!M47+JULIO!M47+AGOSTO!M47+SEPTIEMBRE!M47+OCTUBRE!M47+NOVIEMBRE!M47+DICIEMBRE!M47</f>
        <v>5517.48</v>
      </c>
      <c r="N47" s="18">
        <f t="shared" si="1"/>
        <v>68484678593.938179</v>
      </c>
      <c r="O47" s="4"/>
      <c r="P47" s="4"/>
      <c r="Q47" s="4"/>
    </row>
    <row r="48" spans="1:17" ht="18" customHeight="1" x14ac:dyDescent="0.2">
      <c r="A48" s="17" t="s">
        <v>43</v>
      </c>
      <c r="B48" s="16">
        <f>ENERO!B48+FEBRERO!B48+MARZO!B48+ABRIL!B48+MAYO!B48+JUNIO!B48+JULIO!B48+AGOSTO!B48+SEPTIEMBRE!B48+OCTUBRE!B48+NOVIEMBRE!B48+DICIEMBRE!B48</f>
        <v>5268969601.4200001</v>
      </c>
      <c r="C48" s="16">
        <f>ENERO!C48+FEBRERO!C48+MARZO!C48+ABRIL!C48+MAYO!C48+JUNIO!C48+JULIO!C48+AGOSTO!C48+SEPTIEMBRE!C48+OCTUBRE!C48+NOVIEMBRE!C48+DICIEMBRE!C48</f>
        <v>18459.647652219999</v>
      </c>
      <c r="D48" s="16">
        <f>ENERO!D48+FEBRERO!D48+MARZO!D48+ABRIL!D48+MAYO!D48+JUNIO!D48+JULIO!D48+AGOSTO!D48+SEPTIEMBRE!D48+OCTUBRE!D48+NOVIEMBRE!D48+DICIEMBRE!D48</f>
        <v>446081659.16653872</v>
      </c>
      <c r="E48" s="16">
        <f>ENERO!E48+FEBRERO!E48+MARZO!E48+ABRIL!E48+MAYO!E48+JUNIO!E48+JULIO!E48+AGOSTO!E48+SEPTIEMBRE!E48+OCTUBRE!E48+NOVIEMBRE!E48+DICIEMBRE!E48</f>
        <v>44995376.549999997</v>
      </c>
      <c r="F48" s="16">
        <f>ENERO!F48+FEBRERO!F48+MARZO!F48+ABRIL!F48+MAYO!F48+JUNIO!F48+JULIO!F48+AGOSTO!F48+SEPTIEMBRE!F48+OCTUBRE!F48+NOVIEMBRE!F48+DICIEMBRE!F48</f>
        <v>11235821.882663842</v>
      </c>
      <c r="G48" s="16">
        <f>ENERO!G48+FEBRERO!G48+MARZO!G48+ABRIL!G48+MAYO!G48+JUNIO!G48+JULIO!G48+AGOSTO!G48+SEPTIEMBRE!G48+OCTUBRE!G48+NOVIEMBRE!G48+DICIEMBRE!G48</f>
        <v>8365912.1100000003</v>
      </c>
      <c r="H48" s="16">
        <f>ENERO!H48+FEBRERO!H48+MARZO!H48+ABRIL!H48+MAYO!H48+JUNIO!H48+JULIO!H48+AGOSTO!H48+SEPTIEMBRE!H48+OCTUBRE!H48+NOVIEMBRE!H48+DICIEMBRE!H48</f>
        <v>279625952.63</v>
      </c>
      <c r="I48" s="16">
        <f>ENERO!I48+FEBRERO!I48+MARZO!I48+ABRIL!I48+MAYO!I48+JUNIO!I48+JULIO!I48+AGOSTO!I48+SEPTIEMBRE!I48+OCTUBRE!I48+NOVIEMBRE!I48+DICIEMBRE!I48</f>
        <v>36126953.619999997</v>
      </c>
      <c r="J48" s="16">
        <f>ENERO!J48+FEBRERO!J48+MARZO!J48+ABRIL!J48+MAYO!J48+JUNIO!J48+JULIO!J48+AGOSTO!J48+SEPTIEMBRE!J48+OCTUBRE!J48+NOVIEMBRE!J48+DICIEMBRE!J48</f>
        <v>291414524.83000004</v>
      </c>
      <c r="K48" s="16">
        <f>ENERO!K48+FEBRERO!K48+MARZO!K48+ABRIL!K48+MAYO!K48+JUNIO!K48+JULIO!K48+AGOSTO!K48+SEPTIEMBRE!K48+OCTUBRE!K48+NOVIEMBRE!K48+DICIEMBRE!K48</f>
        <v>252580409.11999997</v>
      </c>
      <c r="L48" s="16">
        <f>ENERO!L48+FEBRERO!L48+MARZO!L48+ABRIL!L48+MAYO!L48+JUNIO!L48+JULIO!L48+AGOSTO!L48+SEPTIEMBRE!L48+OCTUBRE!L48+NOVIEMBRE!L48+DICIEMBRE!L48</f>
        <v>0</v>
      </c>
      <c r="M48" s="16">
        <f>ENERO!M48+FEBRERO!M48+MARZO!M48+ABRIL!M48+MAYO!M48+JUNIO!M48+JULIO!M48+AGOSTO!M48+SEPTIEMBRE!M48+OCTUBRE!M48+NOVIEMBRE!M48+DICIEMBRE!M48</f>
        <v>47.930000000000007</v>
      </c>
      <c r="N48" s="18">
        <f t="shared" si="1"/>
        <v>6639414718.9068556</v>
      </c>
      <c r="O48" s="4"/>
      <c r="P48" s="4"/>
      <c r="Q48" s="4"/>
    </row>
    <row r="49" spans="1:17" ht="18" customHeight="1" x14ac:dyDescent="0.2">
      <c r="A49" s="17" t="s">
        <v>44</v>
      </c>
      <c r="B49" s="16">
        <f>ENERO!B49+FEBRERO!B49+MARZO!B49+ABRIL!B49+MAYO!B49+JUNIO!B49+JULIO!B49+AGOSTO!B49+SEPTIEMBRE!B49+OCTUBRE!B49+NOVIEMBRE!B49+DICIEMBRE!B49</f>
        <v>9218291059.3400002</v>
      </c>
      <c r="C49" s="16">
        <f>ENERO!C49+FEBRERO!C49+MARZO!C49+ABRIL!C49+MAYO!C49+JUNIO!C49+JULIO!C49+AGOSTO!C49+SEPTIEMBRE!C49+OCTUBRE!C49+NOVIEMBRE!C49+DICIEMBRE!C49</f>
        <v>31994.396247259996</v>
      </c>
      <c r="D49" s="16">
        <f>ENERO!D49+FEBRERO!D49+MARZO!D49+ABRIL!D49+MAYO!D49+JUNIO!D49+JULIO!D49+AGOSTO!D49+SEPTIEMBRE!D49+OCTUBRE!D49+NOVIEMBRE!D49+DICIEMBRE!D49</f>
        <v>693666199.61311722</v>
      </c>
      <c r="E49" s="16">
        <f>ENERO!E49+FEBRERO!E49+MARZO!E49+ABRIL!E49+MAYO!E49+JUNIO!E49+JULIO!E49+AGOSTO!E49+SEPTIEMBRE!E49+OCTUBRE!E49+NOVIEMBRE!E49+DICIEMBRE!E49</f>
        <v>67322696.719999999</v>
      </c>
      <c r="F49" s="16">
        <f>ENERO!F49+FEBRERO!F49+MARZO!F49+ABRIL!F49+MAYO!F49+JUNIO!F49+JULIO!F49+AGOSTO!F49+SEPTIEMBRE!F49+OCTUBRE!F49+NOVIEMBRE!F49+DICIEMBRE!F49</f>
        <v>66349465.721764944</v>
      </c>
      <c r="G49" s="16">
        <f>ENERO!G49+FEBRERO!G49+MARZO!G49+ABRIL!G49+MAYO!G49+JUNIO!G49+JULIO!G49+AGOSTO!G49+SEPTIEMBRE!G49+OCTUBRE!G49+NOVIEMBRE!G49+DICIEMBRE!G49</f>
        <v>35166340.979999997</v>
      </c>
      <c r="H49" s="16">
        <f>ENERO!H49+FEBRERO!H49+MARZO!H49+ABRIL!H49+MAYO!H49+JUNIO!H49+JULIO!H49+AGOSTO!H49+SEPTIEMBRE!H49+OCTUBRE!H49+NOVIEMBRE!H49+DICIEMBRE!H49</f>
        <v>489013609.24000001</v>
      </c>
      <c r="I49" s="16">
        <f>ENERO!I49+FEBRERO!I49+MARZO!I49+ABRIL!I49+MAYO!I49+JUNIO!I49+JULIO!I49+AGOSTO!I49+SEPTIEMBRE!I49+OCTUBRE!I49+NOVIEMBRE!I49+DICIEMBRE!I49</f>
        <v>213335889.89000002</v>
      </c>
      <c r="J49" s="16">
        <f>ENERO!J49+FEBRERO!J49+MARZO!J49+ABRIL!J49+MAYO!J49+JUNIO!J49+JULIO!J49+AGOSTO!J49+SEPTIEMBRE!J49+OCTUBRE!J49+NOVIEMBRE!J49+DICIEMBRE!J49</f>
        <v>685872927.75999999</v>
      </c>
      <c r="K49" s="16">
        <f>ENERO!K49+FEBRERO!K49+MARZO!K49+ABRIL!K49+MAYO!K49+JUNIO!K49+JULIO!K49+AGOSTO!K49+SEPTIEMBRE!K49+OCTUBRE!K49+NOVIEMBRE!K49+DICIEMBRE!K49</f>
        <v>437774204.96000004</v>
      </c>
      <c r="L49" s="16">
        <f>ENERO!L49+FEBRERO!L49+MARZO!L49+ABRIL!L49+MAYO!L49+JUNIO!L49+JULIO!L49+AGOSTO!L49+SEPTIEMBRE!L49+OCTUBRE!L49+NOVIEMBRE!L49+DICIEMBRE!L49</f>
        <v>0</v>
      </c>
      <c r="M49" s="16">
        <f>ENERO!M49+FEBRERO!M49+MARZO!M49+ABRIL!M49+MAYO!M49+JUNIO!M49+JULIO!M49+AGOSTO!M49+SEPTIEMBRE!M49+OCTUBRE!M49+NOVIEMBRE!M49+DICIEMBRE!M49</f>
        <v>283.06</v>
      </c>
      <c r="N49" s="18">
        <f t="shared" si="1"/>
        <v>11906824671.681128</v>
      </c>
      <c r="O49" s="4"/>
      <c r="P49" s="4"/>
      <c r="Q49" s="4"/>
    </row>
    <row r="50" spans="1:17" ht="18" customHeight="1" x14ac:dyDescent="0.2">
      <c r="A50" s="17" t="s">
        <v>45</v>
      </c>
      <c r="B50" s="16">
        <f>ENERO!B50+FEBRERO!B50+MARZO!B50+ABRIL!B50+MAYO!B50+JUNIO!B50+JULIO!B50+AGOSTO!B50+SEPTIEMBRE!B50+OCTUBRE!B50+NOVIEMBRE!B50+DICIEMBRE!B50</f>
        <v>6171708803.2800007</v>
      </c>
      <c r="C50" s="16">
        <f>ENERO!C50+FEBRERO!C50+MARZO!C50+ABRIL!C50+MAYO!C50+JUNIO!C50+JULIO!C50+AGOSTO!C50+SEPTIEMBRE!C50+OCTUBRE!C50+NOVIEMBRE!C50+DICIEMBRE!C50</f>
        <v>22899.592199480005</v>
      </c>
      <c r="D50" s="16">
        <f>ENERO!D50+FEBRERO!D50+MARZO!D50+ABRIL!D50+MAYO!D50+JUNIO!D50+JULIO!D50+AGOSTO!D50+SEPTIEMBRE!D50+OCTUBRE!D50+NOVIEMBRE!D50+DICIEMBRE!D50</f>
        <v>487042078.64824963</v>
      </c>
      <c r="E50" s="16">
        <f>ENERO!E50+FEBRERO!E50+MARZO!E50+ABRIL!E50+MAYO!E50+JUNIO!E50+JULIO!E50+AGOSTO!E50+SEPTIEMBRE!E50+OCTUBRE!E50+NOVIEMBRE!E50+DICIEMBRE!E50</f>
        <v>53950237.850000009</v>
      </c>
      <c r="F50" s="16">
        <f>ENERO!F50+FEBRERO!F50+MARZO!F50+ABRIL!F50+MAYO!F50+JUNIO!F50+JULIO!F50+AGOSTO!F50+SEPTIEMBRE!F50+OCTUBRE!F50+NOVIEMBRE!F50+DICIEMBRE!F50</f>
        <v>18597222.465443604</v>
      </c>
      <c r="G50" s="16">
        <f>ENERO!G50+FEBRERO!G50+MARZO!G50+ABRIL!G50+MAYO!G50+JUNIO!G50+JULIO!G50+AGOSTO!G50+SEPTIEMBRE!G50+OCTUBRE!G50+NOVIEMBRE!G50+DICIEMBRE!G50</f>
        <v>10002858.789999999</v>
      </c>
      <c r="H50" s="16">
        <f>ENERO!H50+FEBRERO!H50+MARZO!H50+ABRIL!H50+MAYO!H50+JUNIO!H50+JULIO!H50+AGOSTO!H50+SEPTIEMBRE!H50+OCTUBRE!H50+NOVIEMBRE!H50+DICIEMBRE!H50</f>
        <v>328399211.61000001</v>
      </c>
      <c r="I50" s="16">
        <f>ENERO!I50+FEBRERO!I50+MARZO!I50+ABRIL!I50+MAYO!I50+JUNIO!I50+JULIO!I50+AGOSTO!I50+SEPTIEMBRE!I50+OCTUBRE!I50+NOVIEMBRE!I50+DICIEMBRE!I50</f>
        <v>59796337.030000001</v>
      </c>
      <c r="J50" s="16">
        <f>ENERO!J50+FEBRERO!J50+MARZO!J50+ABRIL!J50+MAYO!J50+JUNIO!J50+JULIO!J50+AGOSTO!J50+SEPTIEMBRE!J50+OCTUBRE!J50+NOVIEMBRE!J50+DICIEMBRE!J50</f>
        <v>495644200.24000001</v>
      </c>
      <c r="K50" s="16">
        <f>ENERO!K50+FEBRERO!K50+MARZO!K50+ABRIL!K50+MAYO!K50+JUNIO!K50+JULIO!K50+AGOSTO!K50+SEPTIEMBRE!K50+OCTUBRE!K50+NOVIEMBRE!K50+DICIEMBRE!K50</f>
        <v>313331414.07999998</v>
      </c>
      <c r="L50" s="16">
        <f>ENERO!L50+FEBRERO!L50+MARZO!L50+ABRIL!L50+MAYO!L50+JUNIO!L50+JULIO!L50+AGOSTO!L50+SEPTIEMBRE!L50+OCTUBRE!L50+NOVIEMBRE!L50+DICIEMBRE!L50</f>
        <v>0</v>
      </c>
      <c r="M50" s="16">
        <f>ENERO!M50+FEBRERO!M50+MARZO!M50+ABRIL!M50+MAYO!M50+JUNIO!M50+JULIO!M50+AGOSTO!M50+SEPTIEMBRE!M50+OCTUBRE!M50+NOVIEMBRE!M50+DICIEMBRE!M50</f>
        <v>79.33</v>
      </c>
      <c r="N50" s="18">
        <f t="shared" si="1"/>
        <v>7938495342.9158926</v>
      </c>
      <c r="O50" s="4"/>
      <c r="P50" s="4"/>
      <c r="Q50" s="4"/>
    </row>
    <row r="51" spans="1:17" ht="18" customHeight="1" x14ac:dyDescent="0.2">
      <c r="A51" s="17" t="s">
        <v>46</v>
      </c>
      <c r="B51" s="16">
        <f>ENERO!B51+FEBRERO!B51+MARZO!B51+ABRIL!B51+MAYO!B51+JUNIO!B51+JULIO!B51+AGOSTO!B51+SEPTIEMBRE!B51+OCTUBRE!B51+NOVIEMBRE!B51+DICIEMBRE!B51</f>
        <v>5925672708.5100012</v>
      </c>
      <c r="C51" s="16">
        <f>ENERO!C51+FEBRERO!C51+MARZO!C51+ABRIL!C51+MAYO!C51+JUNIO!C51+JULIO!C51+AGOSTO!C51+SEPTIEMBRE!C51+OCTUBRE!C51+NOVIEMBRE!C51+DICIEMBRE!C51</f>
        <v>22027.943222370002</v>
      </c>
      <c r="D51" s="16">
        <f>ENERO!D51+FEBRERO!D51+MARZO!D51+ABRIL!D51+MAYO!D51+JUNIO!D51+JULIO!D51+AGOSTO!D51+SEPTIEMBRE!D51+OCTUBRE!D51+NOVIEMBRE!D51+DICIEMBRE!D51</f>
        <v>604509040.88733721</v>
      </c>
      <c r="E51" s="16">
        <f>ENERO!E51+FEBRERO!E51+MARZO!E51+ABRIL!E51+MAYO!E51+JUNIO!E51+JULIO!E51+AGOSTO!E51+SEPTIEMBRE!E51+OCTUBRE!E51+NOVIEMBRE!E51+DICIEMBRE!E51</f>
        <v>51495971.029999994</v>
      </c>
      <c r="F51" s="16">
        <f>ENERO!F51+FEBRERO!F51+MARZO!F51+ABRIL!F51+MAYO!F51+JUNIO!F51+JULIO!F51+AGOSTO!F51+SEPTIEMBRE!F51+OCTUBRE!F51+NOVIEMBRE!F51+DICIEMBRE!F51</f>
        <v>23181954.424806431</v>
      </c>
      <c r="G51" s="16">
        <f>ENERO!G51+FEBRERO!G51+MARZO!G51+ABRIL!G51+MAYO!G51+JUNIO!G51+JULIO!G51+AGOSTO!G51+SEPTIEMBRE!G51+OCTUBRE!G51+NOVIEMBRE!G51+DICIEMBRE!G51</f>
        <v>12605648.699999999</v>
      </c>
      <c r="H51" s="16">
        <f>ENERO!H51+FEBRERO!H51+MARZO!H51+ABRIL!H51+MAYO!H51+JUNIO!H51+JULIO!H51+AGOSTO!H51+SEPTIEMBRE!H51+OCTUBRE!H51+NOVIEMBRE!H51+DICIEMBRE!H51</f>
        <v>315335455.5</v>
      </c>
      <c r="I51" s="16">
        <f>ENERO!I51+FEBRERO!I51+MARZO!I51+ABRIL!I51+MAYO!I51+JUNIO!I51+JULIO!I51+AGOSTO!I51+SEPTIEMBRE!I51+OCTUBRE!I51+NOVIEMBRE!I51+DICIEMBRE!I51</f>
        <v>74537795.109999999</v>
      </c>
      <c r="J51" s="16">
        <f>ENERO!J51+FEBRERO!J51+MARZO!J51+ABRIL!J51+MAYO!J51+JUNIO!J51+JULIO!J51+AGOSTO!J51+SEPTIEMBRE!J51+OCTUBRE!J51+NOVIEMBRE!J51+DICIEMBRE!J51</f>
        <v>343859378.56000006</v>
      </c>
      <c r="K51" s="16">
        <f>ENERO!K51+FEBRERO!K51+MARZO!K51+ABRIL!K51+MAYO!K51+JUNIO!K51+JULIO!K51+AGOSTO!K51+SEPTIEMBRE!K51+OCTUBRE!K51+NOVIEMBRE!K51+DICIEMBRE!K51</f>
        <v>301404913.51999998</v>
      </c>
      <c r="L51" s="16">
        <f>ENERO!L51+FEBRERO!L51+MARZO!L51+ABRIL!L51+MAYO!L51+JUNIO!L51+JULIO!L51+AGOSTO!L51+SEPTIEMBRE!L51+OCTUBRE!L51+NOVIEMBRE!L51+DICIEMBRE!L51</f>
        <v>0</v>
      </c>
      <c r="M51" s="16">
        <f>ENERO!M51+FEBRERO!M51+MARZO!M51+ABRIL!M51+MAYO!M51+JUNIO!M51+JULIO!M51+AGOSTO!M51+SEPTIEMBRE!M51+OCTUBRE!M51+NOVIEMBRE!M51+DICIEMBRE!M51</f>
        <v>98.89</v>
      </c>
      <c r="N51" s="18">
        <f t="shared" si="1"/>
        <v>7652624993.0753679</v>
      </c>
      <c r="O51" s="4"/>
      <c r="P51" s="4"/>
      <c r="Q51" s="4"/>
    </row>
    <row r="52" spans="1:17" ht="18" customHeight="1" x14ac:dyDescent="0.2">
      <c r="A52" s="17" t="s">
        <v>47</v>
      </c>
      <c r="B52" s="16">
        <f>ENERO!B52+FEBRERO!B52+MARZO!B52+ABRIL!B52+MAYO!B52+JUNIO!B52+JULIO!B52+AGOSTO!B52+SEPTIEMBRE!B52+OCTUBRE!B52+NOVIEMBRE!B52+DICIEMBRE!B52</f>
        <v>7138947953.9099998</v>
      </c>
      <c r="C52" s="16">
        <f>ENERO!C52+FEBRERO!C52+MARZO!C52+ABRIL!C52+MAYO!C52+JUNIO!C52+JULIO!C52+AGOSTO!C52+SEPTIEMBRE!C52+OCTUBRE!C52+NOVIEMBRE!C52+DICIEMBRE!C52</f>
        <v>25488.78631589</v>
      </c>
      <c r="D52" s="16">
        <f>ENERO!D52+FEBRERO!D52+MARZO!D52+ABRIL!D52+MAYO!D52+JUNIO!D52+JULIO!D52+AGOSTO!D52+SEPTIEMBRE!D52+OCTUBRE!D52+NOVIEMBRE!D52+DICIEMBRE!D52</f>
        <v>516461099.95402956</v>
      </c>
      <c r="E52" s="16">
        <f>ENERO!E52+FEBRERO!E52+MARZO!E52+ABRIL!E52+MAYO!E52+JUNIO!E52+JULIO!E52+AGOSTO!E52+SEPTIEMBRE!E52+OCTUBRE!E52+NOVIEMBRE!E52+DICIEMBRE!E52</f>
        <v>62105640.709999993</v>
      </c>
      <c r="F52" s="16">
        <f>ENERO!F52+FEBRERO!F52+MARZO!F52+ABRIL!F52+MAYO!F52+JUNIO!F52+JULIO!F52+AGOSTO!F52+SEPTIEMBRE!F52+OCTUBRE!F52+NOVIEMBRE!F52+DICIEMBRE!F52</f>
        <v>21341604.266611498</v>
      </c>
      <c r="G52" s="16">
        <f>ENERO!G52+FEBRERO!G52+MARZO!G52+ABRIL!G52+MAYO!G52+JUNIO!G52+JULIO!G52+AGOSTO!G52+SEPTIEMBRE!G52+OCTUBRE!G52+NOVIEMBRE!G52+DICIEMBRE!G52</f>
        <v>16066697.620000001</v>
      </c>
      <c r="H52" s="16">
        <f>ENERO!H52+FEBRERO!H52+MARZO!H52+ABRIL!H52+MAYO!H52+JUNIO!H52+JULIO!H52+AGOSTO!H52+SEPTIEMBRE!H52+OCTUBRE!H52+NOVIEMBRE!H52+DICIEMBRE!H52</f>
        <v>379189715.25000006</v>
      </c>
      <c r="I52" s="16">
        <f>ENERO!I52+FEBRERO!I52+MARZO!I52+ABRIL!I52+MAYO!I52+JUNIO!I52+JULIO!I52+AGOSTO!I52+SEPTIEMBRE!I52+OCTUBRE!I52+NOVIEMBRE!I52+DICIEMBRE!I52</f>
        <v>68620449.239999995</v>
      </c>
      <c r="J52" s="16">
        <f>ENERO!J52+FEBRERO!J52+MARZO!J52+ABRIL!J52+MAYO!J52+JUNIO!J52+JULIO!J52+AGOSTO!J52+SEPTIEMBRE!J52+OCTUBRE!J52+NOVIEMBRE!J52+DICIEMBRE!J52</f>
        <v>440765464.30000007</v>
      </c>
      <c r="K52" s="16">
        <f>ENERO!K52+FEBRERO!K52+MARZO!K52+ABRIL!K52+MAYO!K52+JUNIO!K52+JULIO!K52+AGOSTO!K52+SEPTIEMBRE!K52+OCTUBRE!K52+NOVIEMBRE!K52+DICIEMBRE!K52</f>
        <v>348759027.44</v>
      </c>
      <c r="L52" s="16">
        <f>ENERO!L52+FEBRERO!L52+MARZO!L52+ABRIL!L52+MAYO!L52+JUNIO!L52+JULIO!L52+AGOSTO!L52+SEPTIEMBRE!L52+OCTUBRE!L52+NOVIEMBRE!L52+DICIEMBRE!L52</f>
        <v>0</v>
      </c>
      <c r="M52" s="16">
        <f>ENERO!M52+FEBRERO!M52+MARZO!M52+ABRIL!M52+MAYO!M52+JUNIO!M52+JULIO!M52+AGOSTO!M52+SEPTIEMBRE!M52+OCTUBRE!M52+NOVIEMBRE!M52+DICIEMBRE!M52</f>
        <v>91.04</v>
      </c>
      <c r="N52" s="18">
        <f t="shared" si="1"/>
        <v>8992283232.5169563</v>
      </c>
      <c r="O52" s="4"/>
      <c r="P52" s="4"/>
      <c r="Q52" s="4"/>
    </row>
    <row r="53" spans="1:17" ht="18" customHeight="1" x14ac:dyDescent="0.2">
      <c r="A53" s="17" t="s">
        <v>48</v>
      </c>
      <c r="B53" s="16">
        <f>ENERO!B53+FEBRERO!B53+MARZO!B53+ABRIL!B53+MAYO!B53+JUNIO!B53+JULIO!B53+AGOSTO!B53+SEPTIEMBRE!B53+OCTUBRE!B53+NOVIEMBRE!B53+DICIEMBRE!B53</f>
        <v>2560231834.9099998</v>
      </c>
      <c r="C53" s="16">
        <f>ENERO!C53+FEBRERO!C53+MARZO!C53+ABRIL!C53+MAYO!C53+JUNIO!C53+JULIO!C53+AGOSTO!C53+SEPTIEMBRE!C53+OCTUBRE!C53+NOVIEMBRE!C53+DICIEMBRE!C53</f>
        <v>9517.306007180001</v>
      </c>
      <c r="D53" s="16">
        <f>ENERO!D53+FEBRERO!D53+MARZO!D53+ABRIL!D53+MAYO!D53+JUNIO!D53+JULIO!D53+AGOSTO!D53+SEPTIEMBRE!D53+OCTUBRE!D53+NOVIEMBRE!D53+DICIEMBRE!D53</f>
        <v>418251326.35713893</v>
      </c>
      <c r="E53" s="16">
        <f>ENERO!E53+FEBRERO!E53+MARZO!E53+ABRIL!E53+MAYO!E53+JUNIO!E53+JULIO!E53+AGOSTO!E53+SEPTIEMBRE!E53+OCTUBRE!E53+NOVIEMBRE!E53+DICIEMBRE!E53</f>
        <v>22207930.290000003</v>
      </c>
      <c r="F53" s="16">
        <f>ENERO!F53+FEBRERO!F53+MARZO!F53+ABRIL!F53+MAYO!F53+JUNIO!F53+JULIO!F53+AGOSTO!F53+SEPTIEMBRE!F53+OCTUBRE!F53+NOVIEMBRE!F53+DICIEMBRE!F53</f>
        <v>3712987.078638914</v>
      </c>
      <c r="G53" s="16">
        <f>ENERO!G53+FEBRERO!G53+MARZO!G53+ABRIL!G53+MAYO!G53+JUNIO!G53+JULIO!G53+AGOSTO!G53+SEPTIEMBRE!G53+OCTUBRE!G53+NOVIEMBRE!G53+DICIEMBRE!G53</f>
        <v>2437489.3200000003</v>
      </c>
      <c r="H53" s="16">
        <f>ENERO!H53+FEBRERO!H53+MARZO!H53+ABRIL!H53+MAYO!H53+JUNIO!H53+JULIO!H53+AGOSTO!H53+SEPTIEMBRE!H53+OCTUBRE!H53+NOVIEMBRE!H53+DICIEMBRE!H53</f>
        <v>136243052.10000002</v>
      </c>
      <c r="I53" s="16">
        <f>ENERO!I53+FEBRERO!I53+MARZO!I53+ABRIL!I53+MAYO!I53+JUNIO!I53+JULIO!I53+AGOSTO!I53+SEPTIEMBRE!I53+OCTUBRE!I53+NOVIEMBRE!I53+DICIEMBRE!I53</f>
        <v>11938504.759999998</v>
      </c>
      <c r="J53" s="16">
        <f>ENERO!J53+FEBRERO!J53+MARZO!J53+ABRIL!J53+MAYO!J53+JUNIO!J53+JULIO!J53+AGOSTO!J53+SEPTIEMBRE!J53+OCTUBRE!J53+NOVIEMBRE!J53+DICIEMBRE!J53</f>
        <v>233103440.95000005</v>
      </c>
      <c r="K53" s="16">
        <f>ENERO!K53+FEBRERO!K53+MARZO!K53+ABRIL!K53+MAYO!K53+JUNIO!K53+JULIO!K53+AGOSTO!K53+SEPTIEMBRE!K53+OCTUBRE!K53+NOVIEMBRE!K53+DICIEMBRE!K53</f>
        <v>130223813.28</v>
      </c>
      <c r="L53" s="16">
        <f>ENERO!L53+FEBRERO!L53+MARZO!L53+ABRIL!L53+MAYO!L53+JUNIO!L53+JULIO!L53+AGOSTO!L53+SEPTIEMBRE!L53+OCTUBRE!L53+NOVIEMBRE!L53+DICIEMBRE!L53</f>
        <v>0</v>
      </c>
      <c r="M53" s="16">
        <f>ENERO!M53+FEBRERO!M53+MARZO!M53+ABRIL!M53+MAYO!M53+JUNIO!M53+JULIO!M53+AGOSTO!M53+SEPTIEMBRE!M53+OCTUBRE!M53+NOVIEMBRE!M53+DICIEMBRE!M53</f>
        <v>15.83</v>
      </c>
      <c r="N53" s="18">
        <f t="shared" si="1"/>
        <v>3518359912.1817861</v>
      </c>
      <c r="O53" s="4"/>
      <c r="P53" s="4"/>
      <c r="Q53" s="4"/>
    </row>
    <row r="54" spans="1:17" ht="18" customHeight="1" x14ac:dyDescent="0.2">
      <c r="A54" s="17" t="s">
        <v>49</v>
      </c>
      <c r="B54" s="16">
        <f>ENERO!B54+FEBRERO!B54+MARZO!B54+ABRIL!B54+MAYO!B54+JUNIO!B54+JULIO!B54+AGOSTO!B54+SEPTIEMBRE!B54+OCTUBRE!B54+NOVIEMBRE!B54+DICIEMBRE!B54</f>
        <v>9264065216.6199989</v>
      </c>
      <c r="C54" s="16">
        <f>ENERO!C54+FEBRERO!C54+MARZO!C54+ABRIL!C54+MAYO!C54+JUNIO!C54+JULIO!C54+AGOSTO!C54+SEPTIEMBRE!C54+OCTUBRE!C54+NOVIEMBRE!C54+DICIEMBRE!C54</f>
        <v>31030.902931149998</v>
      </c>
      <c r="D54" s="16">
        <f>ENERO!D54+FEBRERO!D54+MARZO!D54+ABRIL!D54+MAYO!D54+JUNIO!D54+JULIO!D54+AGOSTO!D54+SEPTIEMBRE!D54+OCTUBRE!D54+NOVIEMBRE!D54+DICIEMBRE!D54</f>
        <v>667340716.97054005</v>
      </c>
      <c r="E54" s="16">
        <f>ENERO!E54+FEBRERO!E54+MARZO!E54+ABRIL!E54+MAYO!E54+JUNIO!E54+JULIO!E54+AGOSTO!E54+SEPTIEMBRE!E54+OCTUBRE!E54+NOVIEMBRE!E54+DICIEMBRE!E54</f>
        <v>77454051.920000002</v>
      </c>
      <c r="F54" s="16">
        <f>ENERO!F54+FEBRERO!F54+MARZO!F54+ABRIL!F54+MAYO!F54+JUNIO!F54+JULIO!F54+AGOSTO!F54+SEPTIEMBRE!F54+OCTUBRE!F54+NOVIEMBRE!F54+DICIEMBRE!F54</f>
        <v>12753303.598368445</v>
      </c>
      <c r="G54" s="16">
        <f>ENERO!G54+FEBRERO!G54+MARZO!G54+ABRIL!G54+MAYO!G54+JUNIO!G54+JULIO!G54+AGOSTO!G54+SEPTIEMBRE!G54+OCTUBRE!G54+NOVIEMBRE!G54+DICIEMBRE!G54</f>
        <v>8955391.6099999994</v>
      </c>
      <c r="H54" s="16">
        <f>ENERO!H54+FEBRERO!H54+MARZO!H54+ABRIL!H54+MAYO!H54+JUNIO!H54+JULIO!H54+AGOSTO!H54+SEPTIEMBRE!H54+OCTUBRE!H54+NOVIEMBRE!H54+DICIEMBRE!H54</f>
        <v>490682087.99000001</v>
      </c>
      <c r="I54" s="16">
        <f>ENERO!I54+FEBRERO!I54+MARZO!I54+ABRIL!I54+MAYO!I54+JUNIO!I54+JULIO!I54+AGOSTO!I54+SEPTIEMBRE!I54+OCTUBRE!I54+NOVIEMBRE!I54+DICIEMBRE!I54</f>
        <v>41006168.600000001</v>
      </c>
      <c r="J54" s="16">
        <f>ENERO!J54+FEBRERO!J54+MARZO!J54+ABRIL!J54+MAYO!J54+JUNIO!J54+JULIO!J54+AGOSTO!J54+SEPTIEMBRE!J54+OCTUBRE!J54+NOVIEMBRE!J54+DICIEMBRE!J54</f>
        <v>533297911.73000002</v>
      </c>
      <c r="K54" s="16">
        <f>ENERO!K54+FEBRERO!K54+MARZO!K54+ABRIL!K54+MAYO!K54+JUNIO!K54+JULIO!K54+AGOSTO!K54+SEPTIEMBRE!K54+OCTUBRE!K54+NOVIEMBRE!K54+DICIEMBRE!K54</f>
        <v>424590960.39999998</v>
      </c>
      <c r="L54" s="16">
        <f>ENERO!L54+FEBRERO!L54+MARZO!L54+ABRIL!L54+MAYO!L54+JUNIO!L54+JULIO!L54+AGOSTO!L54+SEPTIEMBRE!L54+OCTUBRE!L54+NOVIEMBRE!L54+DICIEMBRE!L54</f>
        <v>0</v>
      </c>
      <c r="M54" s="16">
        <f>ENERO!M54+FEBRERO!M54+MARZO!M54+ABRIL!M54+MAYO!M54+JUNIO!M54+JULIO!M54+AGOSTO!M54+SEPTIEMBRE!M54+OCTUBRE!M54+NOVIEMBRE!M54+DICIEMBRE!M54</f>
        <v>54.400000000000006</v>
      </c>
      <c r="N54" s="18">
        <f t="shared" si="1"/>
        <v>11520176894.741837</v>
      </c>
      <c r="O54" s="4"/>
      <c r="P54" s="4"/>
      <c r="Q54" s="4"/>
    </row>
    <row r="55" spans="1:17" ht="18" customHeight="1" x14ac:dyDescent="0.2">
      <c r="A55" s="17" t="s">
        <v>50</v>
      </c>
      <c r="B55" s="16">
        <f>ENERO!B55+FEBRERO!B55+MARZO!B55+ABRIL!B55+MAYO!B55+JUNIO!B55+JULIO!B55+AGOSTO!B55+SEPTIEMBRE!B55+OCTUBRE!B55+NOVIEMBRE!B55+DICIEMBRE!B55</f>
        <v>4282224417.96</v>
      </c>
      <c r="C55" s="16">
        <f>ENERO!C55+FEBRERO!C55+MARZO!C55+ABRIL!C55+MAYO!C55+JUNIO!C55+JULIO!C55+AGOSTO!C55+SEPTIEMBRE!C55+OCTUBRE!C55+NOVIEMBRE!C55+DICIEMBRE!C55</f>
        <v>15221.999702470001</v>
      </c>
      <c r="D55" s="16">
        <f>ENERO!D55+FEBRERO!D55+MARZO!D55+ABRIL!D55+MAYO!D55+JUNIO!D55+JULIO!D55+AGOSTO!D55+SEPTIEMBRE!D55+OCTUBRE!D55+NOVIEMBRE!D55+DICIEMBRE!D55</f>
        <v>205470664.68425345</v>
      </c>
      <c r="E55" s="16">
        <f>ENERO!E55+FEBRERO!E55+MARZO!E55+ABRIL!E55+MAYO!E55+JUNIO!E55+JULIO!E55+AGOSTO!E55+SEPTIEMBRE!E55+OCTUBRE!E55+NOVIEMBRE!E55+DICIEMBRE!E55</f>
        <v>37202347.329999998</v>
      </c>
      <c r="F55" s="16">
        <f>ENERO!F55+FEBRERO!F55+MARZO!F55+ABRIL!F55+MAYO!F55+JUNIO!F55+JULIO!F55+AGOSTO!F55+SEPTIEMBRE!F55+OCTUBRE!F55+NOVIEMBRE!F55+DICIEMBRE!F55</f>
        <v>23537109.699545808</v>
      </c>
      <c r="G55" s="16">
        <f>ENERO!G55+FEBRERO!G55+MARZO!G55+ABRIL!G55+MAYO!G55+JUNIO!G55+JULIO!G55+AGOSTO!G55+SEPTIEMBRE!G55+OCTUBRE!G55+NOVIEMBRE!G55+DICIEMBRE!G55</f>
        <v>13900040.429999998</v>
      </c>
      <c r="H55" s="16">
        <f>ENERO!H55+FEBRERO!H55+MARZO!H55+ABRIL!H55+MAYO!H55+JUNIO!H55+JULIO!H55+AGOSTO!H55+SEPTIEMBRE!H55+OCTUBRE!H55+NOVIEMBRE!H55+DICIEMBRE!H55</f>
        <v>227407564.24999994</v>
      </c>
      <c r="I55" s="16">
        <f>ENERO!I55+FEBRERO!I55+MARZO!I55+ABRIL!I55+MAYO!I55+JUNIO!I55+JULIO!I55+AGOSTO!I55+SEPTIEMBRE!I55+OCTUBRE!I55+NOVIEMBRE!I55+DICIEMBRE!I55</f>
        <v>75679739.050000012</v>
      </c>
      <c r="J55" s="16">
        <f>ENERO!J55+FEBRERO!J55+MARZO!J55+ABRIL!J55+MAYO!J55+JUNIO!J55+JULIO!J55+AGOSTO!J55+SEPTIEMBRE!J55+OCTUBRE!J55+NOVIEMBRE!J55+DICIEMBRE!J55</f>
        <v>376504437.17000014</v>
      </c>
      <c r="K55" s="16">
        <f>ENERO!K55+FEBRERO!K55+MARZO!K55+ABRIL!K55+MAYO!K55+JUNIO!K55+JULIO!K55+AGOSTO!K55+SEPTIEMBRE!K55+OCTUBRE!K55+NOVIEMBRE!K55+DICIEMBRE!K55</f>
        <v>208280183.11999997</v>
      </c>
      <c r="L55" s="16">
        <f>ENERO!L55+FEBRERO!L55+MARZO!L55+ABRIL!L55+MAYO!L55+JUNIO!L55+JULIO!L55+AGOSTO!L55+SEPTIEMBRE!L55+OCTUBRE!L55+NOVIEMBRE!L55+DICIEMBRE!L55</f>
        <v>0</v>
      </c>
      <c r="M55" s="16">
        <f>ENERO!M55+FEBRERO!M55+MARZO!M55+ABRIL!M55+MAYO!M55+JUNIO!M55+JULIO!M55+AGOSTO!M55+SEPTIEMBRE!M55+OCTUBRE!M55+NOVIEMBRE!M55+DICIEMBRE!M55</f>
        <v>100.41</v>
      </c>
      <c r="N55" s="18">
        <f t="shared" si="1"/>
        <v>5450221826.1035023</v>
      </c>
      <c r="O55" s="4"/>
      <c r="P55" s="4"/>
      <c r="Q55" s="4"/>
    </row>
    <row r="56" spans="1:17" ht="18" customHeight="1" x14ac:dyDescent="0.2">
      <c r="A56" s="17" t="s">
        <v>51</v>
      </c>
      <c r="B56" s="16">
        <f>ENERO!B56+FEBRERO!B56+MARZO!B56+ABRIL!B56+MAYO!B56+JUNIO!B56+JULIO!B56+AGOSTO!B56+SEPTIEMBRE!B56+OCTUBRE!B56+NOVIEMBRE!B56+DICIEMBRE!B56</f>
        <v>3137350327.8700004</v>
      </c>
      <c r="C56" s="16">
        <f>ENERO!C56+FEBRERO!C56+MARZO!C56+ABRIL!C56+MAYO!C56+JUNIO!C56+JULIO!C56+AGOSTO!C56+SEPTIEMBRE!C56+OCTUBRE!C56+NOVIEMBRE!C56+DICIEMBRE!C56</f>
        <v>11515.005380430002</v>
      </c>
      <c r="D56" s="16">
        <f>ENERO!D56+FEBRERO!D56+MARZO!D56+ABRIL!D56+MAYO!D56+JUNIO!D56+JULIO!D56+AGOSTO!D56+SEPTIEMBRE!D56+OCTUBRE!D56+NOVIEMBRE!D56+DICIEMBRE!D56</f>
        <v>231217559.87593609</v>
      </c>
      <c r="E56" s="16">
        <f>ENERO!E56+FEBRERO!E56+MARZO!E56+ABRIL!E56+MAYO!E56+JUNIO!E56+JULIO!E56+AGOSTO!E56+SEPTIEMBRE!E56+OCTUBRE!E56+NOVIEMBRE!E56+DICIEMBRE!E56</f>
        <v>27202215.620000005</v>
      </c>
      <c r="F56" s="16">
        <f>ENERO!F56+FEBRERO!F56+MARZO!F56+ABRIL!F56+MAYO!F56+JUNIO!F56+JULIO!F56+AGOSTO!F56+SEPTIEMBRE!F56+OCTUBRE!F56+NOVIEMBRE!F56+DICIEMBRE!F56</f>
        <v>6651089.9433010109</v>
      </c>
      <c r="G56" s="16">
        <f>ENERO!G56+FEBRERO!G56+MARZO!G56+ABRIL!G56+MAYO!G56+JUNIO!G56+JULIO!G56+AGOSTO!G56+SEPTIEMBRE!G56+OCTUBRE!G56+NOVIEMBRE!G56+DICIEMBRE!G56</f>
        <v>3767742.48</v>
      </c>
      <c r="H56" s="16">
        <f>ENERO!H56+FEBRERO!H56+MARZO!H56+ABRIL!H56+MAYO!H56+JUNIO!H56+JULIO!H56+AGOSTO!H56+SEPTIEMBRE!H56+OCTUBRE!H56+NOVIEMBRE!H56+DICIEMBRE!H56</f>
        <v>166854528</v>
      </c>
      <c r="I56" s="16">
        <f>ENERO!I56+FEBRERO!I56+MARZO!I56+ABRIL!I56+MAYO!I56+JUNIO!I56+JULIO!I56+AGOSTO!I56+SEPTIEMBRE!I56+OCTUBRE!I56+NOVIEMBRE!I56+DICIEMBRE!I56</f>
        <v>21385495.549999997</v>
      </c>
      <c r="J56" s="16">
        <f>ENERO!J56+FEBRERO!J56+MARZO!J56+ABRIL!J56+MAYO!J56+JUNIO!J56+JULIO!J56+AGOSTO!J56+SEPTIEMBRE!J56+OCTUBRE!J56+NOVIEMBRE!J56+DICIEMBRE!J56</f>
        <v>310805950.20999998</v>
      </c>
      <c r="K56" s="16">
        <f>ENERO!K56+FEBRERO!K56+MARZO!K56+ABRIL!K56+MAYO!K56+JUNIO!K56+JULIO!K56+AGOSTO!K56+SEPTIEMBRE!K56+OCTUBRE!K56+NOVIEMBRE!K56+DICIEMBRE!K56</f>
        <v>157557995.28</v>
      </c>
      <c r="L56" s="16">
        <f>ENERO!L56+FEBRERO!L56+MARZO!L56+ABRIL!L56+MAYO!L56+JUNIO!L56+JULIO!L56+AGOSTO!L56+SEPTIEMBRE!L56+OCTUBRE!L56+NOVIEMBRE!L56+DICIEMBRE!L56</f>
        <v>0</v>
      </c>
      <c r="M56" s="16">
        <f>ENERO!M56+FEBRERO!M56+MARZO!M56+ABRIL!M56+MAYO!M56+JUNIO!M56+JULIO!M56+AGOSTO!M56+SEPTIEMBRE!M56+OCTUBRE!M56+NOVIEMBRE!M56+DICIEMBRE!M56</f>
        <v>28.36</v>
      </c>
      <c r="N56" s="18">
        <f t="shared" si="1"/>
        <v>4062804448.1946187</v>
      </c>
      <c r="O56" s="4"/>
      <c r="P56" s="4"/>
      <c r="Q56" s="4"/>
    </row>
    <row r="57" spans="1:17" ht="18" customHeight="1" x14ac:dyDescent="0.2">
      <c r="A57" s="17" t="s">
        <v>52</v>
      </c>
      <c r="B57" s="16">
        <f>ENERO!B57+FEBRERO!B57+MARZO!B57+ABRIL!B57+MAYO!B57+JUNIO!B57+JULIO!B57+AGOSTO!B57+SEPTIEMBRE!B57+OCTUBRE!B57+NOVIEMBRE!B57+DICIEMBRE!B57</f>
        <v>8100465334.8900003</v>
      </c>
      <c r="C57" s="16">
        <f>ENERO!C57+FEBRERO!C57+MARZO!C57+ABRIL!C57+MAYO!C57+JUNIO!C57+JULIO!C57+AGOSTO!C57+SEPTIEMBRE!C57+OCTUBRE!C57+NOVIEMBRE!C57+DICIEMBRE!C57</f>
        <v>27793.254981399998</v>
      </c>
      <c r="D57" s="16">
        <f>ENERO!D57+FEBRERO!D57+MARZO!D57+ABRIL!D57+MAYO!D57+JUNIO!D57+JULIO!D57+AGOSTO!D57+SEPTIEMBRE!D57+OCTUBRE!D57+NOVIEMBRE!D57+DICIEMBRE!D57</f>
        <v>458973510.32869351</v>
      </c>
      <c r="E57" s="16">
        <f>ENERO!E57+FEBRERO!E57+MARZO!E57+ABRIL!E57+MAYO!E57+JUNIO!E57+JULIO!E57+AGOSTO!E57+SEPTIEMBRE!E57+OCTUBRE!E57+NOVIEMBRE!E57+DICIEMBRE!E57</f>
        <v>70005369.270000011</v>
      </c>
      <c r="F57" s="16">
        <f>ENERO!F57+FEBRERO!F57+MARZO!F57+ABRIL!F57+MAYO!F57+JUNIO!F57+JULIO!F57+AGOSTO!F57+SEPTIEMBRE!F57+OCTUBRE!F57+NOVIEMBRE!F57+DICIEMBRE!F57</f>
        <v>34159481.589478008</v>
      </c>
      <c r="G57" s="16">
        <f>ENERO!G57+FEBRERO!G57+MARZO!G57+ABRIL!G57+MAYO!G57+JUNIO!G57+JULIO!G57+AGOSTO!G57+SEPTIEMBRE!G57+OCTUBRE!G57+NOVIEMBRE!G57+DICIEMBRE!G57</f>
        <v>17450742.879999999</v>
      </c>
      <c r="H57" s="16">
        <f>ENERO!H57+FEBRERO!H57+MARZO!H57+ABRIL!H57+MAYO!H57+JUNIO!H57+JULIO!H57+AGOSTO!H57+SEPTIEMBRE!H57+OCTUBRE!H57+NOVIEMBRE!H57+DICIEMBRE!H57</f>
        <v>429497390.73999989</v>
      </c>
      <c r="I57" s="16">
        <f>ENERO!I57+FEBRERO!I57+MARZO!I57+ABRIL!I57+MAYO!I57+JUNIO!I57+JULIO!I57+AGOSTO!I57+SEPTIEMBRE!I57+OCTUBRE!I57+NOVIEMBRE!I57+DICIEMBRE!I57</f>
        <v>109834244.03000003</v>
      </c>
      <c r="J57" s="16">
        <f>ENERO!J57+FEBRERO!J57+MARZO!J57+ABRIL!J57+MAYO!J57+JUNIO!J57+JULIO!J57+AGOSTO!J57+SEPTIEMBRE!J57+OCTUBRE!J57+NOVIEMBRE!J57+DICIEMBRE!J57</f>
        <v>663604538.08000016</v>
      </c>
      <c r="K57" s="16">
        <f>ENERO!K57+FEBRERO!K57+MARZO!K57+ABRIL!K57+MAYO!K57+JUNIO!K57+JULIO!K57+AGOSTO!K57+SEPTIEMBRE!K57+OCTUBRE!K57+NOVIEMBRE!K57+DICIEMBRE!K57</f>
        <v>380290734.39999998</v>
      </c>
      <c r="L57" s="16">
        <f>ENERO!L57+FEBRERO!L57+MARZO!L57+ABRIL!L57+MAYO!L57+JUNIO!L57+JULIO!L57+AGOSTO!L57+SEPTIEMBRE!L57+OCTUBRE!L57+NOVIEMBRE!L57+DICIEMBRE!L57</f>
        <v>0</v>
      </c>
      <c r="M57" s="16">
        <f>ENERO!M57+FEBRERO!M57+MARZO!M57+ABRIL!M57+MAYO!M57+JUNIO!M57+JULIO!M57+AGOSTO!M57+SEPTIEMBRE!M57+OCTUBRE!M57+NOVIEMBRE!M57+DICIEMBRE!M57</f>
        <v>145.72999999999999</v>
      </c>
      <c r="N57" s="18">
        <f t="shared" si="1"/>
        <v>10264309285.193151</v>
      </c>
      <c r="O57" s="4"/>
      <c r="P57" s="4"/>
      <c r="Q57" s="4"/>
    </row>
    <row r="58" spans="1:17" ht="18" customHeight="1" x14ac:dyDescent="0.2">
      <c r="A58" s="17" t="s">
        <v>53</v>
      </c>
      <c r="B58" s="16">
        <f>ENERO!B58+FEBRERO!B58+MARZO!B58+ABRIL!B58+MAYO!B58+JUNIO!B58+JULIO!B58+AGOSTO!B58+SEPTIEMBRE!B58+OCTUBRE!B58+NOVIEMBRE!B58+DICIEMBRE!B58</f>
        <v>7217492246.3099995</v>
      </c>
      <c r="C58" s="16">
        <f>ENERO!C58+FEBRERO!C58+MARZO!C58+ABRIL!C58+MAYO!C58+JUNIO!C58+JULIO!C58+AGOSTO!C58+SEPTIEMBRE!C58+OCTUBRE!C58+NOVIEMBRE!C58+DICIEMBRE!C58</f>
        <v>23988.902860020004</v>
      </c>
      <c r="D58" s="16">
        <f>ENERO!D58+FEBRERO!D58+MARZO!D58+ABRIL!D58+MAYO!D58+JUNIO!D58+JULIO!D58+AGOSTO!D58+SEPTIEMBRE!D58+OCTUBRE!D58+NOVIEMBRE!D58+DICIEMBRE!D58</f>
        <v>260859654.07134867</v>
      </c>
      <c r="E58" s="16">
        <f>ENERO!E58+FEBRERO!E58+MARZO!E58+ABRIL!E58+MAYO!E58+JUNIO!E58+JULIO!E58+AGOSTO!E58+SEPTIEMBRE!E58+OCTUBRE!E58+NOVIEMBRE!E58+DICIEMBRE!E58</f>
        <v>60424270.280000001</v>
      </c>
      <c r="F58" s="16">
        <f>ENERO!F58+FEBRERO!F58+MARZO!F58+ABRIL!F58+MAYO!F58+JUNIO!F58+JULIO!F58+AGOSTO!F58+SEPTIEMBRE!F58+OCTUBRE!F58+NOVIEMBRE!F58+DICIEMBRE!F58</f>
        <v>19888696.245404966</v>
      </c>
      <c r="G58" s="16">
        <f>ENERO!G58+FEBRERO!G58+MARZO!G58+ABRIL!G58+MAYO!G58+JUNIO!G58+JULIO!G58+AGOSTO!G58+SEPTIEMBRE!G58+OCTUBRE!G58+NOVIEMBRE!G58+DICIEMBRE!G58</f>
        <v>10914909.91</v>
      </c>
      <c r="H58" s="16">
        <f>ENERO!H58+FEBRERO!H58+MARZO!H58+ABRIL!H58+MAYO!H58+JUNIO!H58+JULIO!H58+AGOSTO!H58+SEPTIEMBRE!H58+OCTUBRE!H58+NOVIEMBRE!H58+DICIEMBRE!H58</f>
        <v>382156497.82999998</v>
      </c>
      <c r="I58" s="16">
        <f>ENERO!I58+FEBRERO!I58+MARZO!I58+ABRIL!I58+MAYO!I58+JUNIO!I58+JULIO!I58+AGOSTO!I58+SEPTIEMBRE!I58+OCTUBRE!I58+NOVIEMBRE!I58+DICIEMBRE!I58</f>
        <v>63948860.440000005</v>
      </c>
      <c r="J58" s="16">
        <f>ENERO!J58+FEBRERO!J58+MARZO!J58+ABRIL!J58+MAYO!J58+JUNIO!J58+JULIO!J58+AGOSTO!J58+SEPTIEMBRE!J58+OCTUBRE!J58+NOVIEMBRE!J58+DICIEMBRE!J58</f>
        <v>375542727.12000006</v>
      </c>
      <c r="K58" s="16">
        <f>ENERO!K58+FEBRERO!K58+MARZO!K58+ABRIL!K58+MAYO!K58+JUNIO!K58+JULIO!K58+AGOSTO!K58+SEPTIEMBRE!K58+OCTUBRE!K58+NOVIEMBRE!K58+DICIEMBRE!K58</f>
        <v>328236397.92000002</v>
      </c>
      <c r="L58" s="16">
        <f>ENERO!L58+FEBRERO!L58+MARZO!L58+ABRIL!L58+MAYO!L58+JUNIO!L58+JULIO!L58+AGOSTO!L58+SEPTIEMBRE!L58+OCTUBRE!L58+NOVIEMBRE!L58+DICIEMBRE!L58</f>
        <v>0</v>
      </c>
      <c r="M58" s="16">
        <f>ENERO!M58+FEBRERO!M58+MARZO!M58+ABRIL!M58+MAYO!M58+JUNIO!M58+JULIO!M58+AGOSTO!M58+SEPTIEMBRE!M58+OCTUBRE!M58+NOVIEMBRE!M58+DICIEMBRE!M58</f>
        <v>84.84</v>
      </c>
      <c r="N58" s="18">
        <f t="shared" si="1"/>
        <v>8719488333.8696117</v>
      </c>
      <c r="O58" s="4"/>
      <c r="P58" s="4"/>
      <c r="Q58" s="4"/>
    </row>
    <row r="59" spans="1:17" ht="18" customHeight="1" x14ac:dyDescent="0.2">
      <c r="A59" s="17" t="s">
        <v>54</v>
      </c>
      <c r="B59" s="16">
        <f>ENERO!B59+FEBRERO!B59+MARZO!B59+ABRIL!B59+MAYO!B59+JUNIO!B59+JULIO!B59+AGOSTO!B59+SEPTIEMBRE!B59+OCTUBRE!B59+NOVIEMBRE!B59+DICIEMBRE!B59</f>
        <v>8005015814.0199986</v>
      </c>
      <c r="C59" s="16">
        <f>ENERO!C59+FEBRERO!C59+MARZO!C59+ABRIL!C59+MAYO!C59+JUNIO!C59+JULIO!C59+AGOSTO!C59+SEPTIEMBRE!C59+OCTUBRE!C59+NOVIEMBRE!C59+DICIEMBRE!C59</f>
        <v>28741.130159879998</v>
      </c>
      <c r="D59" s="16">
        <f>ENERO!D59+FEBRERO!D59+MARZO!D59+ABRIL!D59+MAYO!D59+JUNIO!D59+JULIO!D59+AGOSTO!D59+SEPTIEMBRE!D59+OCTUBRE!D59+NOVIEMBRE!D59+DICIEMBRE!D59</f>
        <v>809981146.88626623</v>
      </c>
      <c r="E59" s="16">
        <f>ENERO!E59+FEBRERO!E59+MARZO!E59+ABRIL!E59+MAYO!E59+JUNIO!E59+JULIO!E59+AGOSTO!E59+SEPTIEMBRE!E59+OCTUBRE!E59+NOVIEMBRE!E59+DICIEMBRE!E59</f>
        <v>68900688.420000002</v>
      </c>
      <c r="F59" s="16">
        <f>ENERO!F59+FEBRERO!F59+MARZO!F59+ABRIL!F59+MAYO!F59+JUNIO!F59+JULIO!F59+AGOSTO!F59+SEPTIEMBRE!F59+OCTUBRE!F59+NOVIEMBRE!F59+DICIEMBRE!F59</f>
        <v>19372106.749420423</v>
      </c>
      <c r="G59" s="16">
        <f>ENERO!G59+FEBRERO!G59+MARZO!G59+ABRIL!G59+MAYO!G59+JUNIO!G59+JULIO!G59+AGOSTO!G59+SEPTIEMBRE!G59+OCTUBRE!G59+NOVIEMBRE!G59+DICIEMBRE!G59</f>
        <v>10008835.690000001</v>
      </c>
      <c r="H59" s="16">
        <f>ENERO!H59+FEBRERO!H59+MARZO!H59+ABRIL!H59+MAYO!H59+JUNIO!H59+JULIO!H59+AGOSTO!H59+SEPTIEMBRE!H59+OCTUBRE!H59+NOVIEMBRE!H59+DICIEMBRE!H59</f>
        <v>425299864.38</v>
      </c>
      <c r="I59" s="16">
        <f>ENERO!I59+FEBRERO!I59+MARZO!I59+ABRIL!I59+MAYO!I59+JUNIO!I59+JULIO!I59+AGOSTO!I59+SEPTIEMBRE!I59+OCTUBRE!I59+NOVIEMBRE!I59+DICIEMBRE!I59</f>
        <v>62287851.050000004</v>
      </c>
      <c r="J59" s="16">
        <f>ENERO!J59+FEBRERO!J59+MARZO!J59+ABRIL!J59+MAYO!J59+JUNIO!J59+JULIO!J59+AGOSTO!J59+SEPTIEMBRE!J59+OCTUBRE!J59+NOVIEMBRE!J59+DICIEMBRE!J59</f>
        <v>420034585.02999985</v>
      </c>
      <c r="K59" s="16">
        <f>ENERO!K59+FEBRERO!K59+MARZO!K59+ABRIL!K59+MAYO!K59+JUNIO!K59+JULIO!K59+AGOSTO!K59+SEPTIEMBRE!K59+OCTUBRE!K59+NOVIEMBRE!K59+DICIEMBRE!K59</f>
        <v>393260332.47999996</v>
      </c>
      <c r="L59" s="16">
        <f>ENERO!L59+FEBRERO!L59+MARZO!L59+ABRIL!L59+MAYO!L59+JUNIO!L59+JULIO!L59+AGOSTO!L59+SEPTIEMBRE!L59+OCTUBRE!L59+NOVIEMBRE!L59+DICIEMBRE!L59</f>
        <v>0</v>
      </c>
      <c r="M59" s="16">
        <f>ENERO!M59+FEBRERO!M59+MARZO!M59+ABRIL!M59+MAYO!M59+JUNIO!M59+JULIO!M59+AGOSTO!M59+SEPTIEMBRE!M59+OCTUBRE!M59+NOVIEMBRE!M59+DICIEMBRE!M59</f>
        <v>82.63</v>
      </c>
      <c r="N59" s="18">
        <f t="shared" si="1"/>
        <v>10214190048.465843</v>
      </c>
      <c r="O59" s="4"/>
      <c r="P59" s="4"/>
      <c r="Q59" s="4"/>
    </row>
    <row r="60" spans="1:17" ht="18" customHeight="1" x14ac:dyDescent="0.2">
      <c r="A60" s="17" t="s">
        <v>55</v>
      </c>
      <c r="B60" s="16">
        <f>ENERO!B60+FEBRERO!B60+MARZO!B60+ABRIL!B60+MAYO!B60+JUNIO!B60+JULIO!B60+AGOSTO!B60+SEPTIEMBRE!B60+OCTUBRE!B60+NOVIEMBRE!B60+DICIEMBRE!B60</f>
        <v>55801038310.549995</v>
      </c>
      <c r="C60" s="16">
        <f>ENERO!C60+FEBRERO!C60+MARZO!C60+ABRIL!C60+MAYO!C60+JUNIO!C60+JULIO!C60+AGOSTO!C60+SEPTIEMBRE!C60+OCTUBRE!C60+NOVIEMBRE!C60+DICIEMBRE!C60</f>
        <v>204062.77292986005</v>
      </c>
      <c r="D60" s="16">
        <f>ENERO!D60+FEBRERO!D60+MARZO!D60+ABRIL!D60+MAYO!D60+JUNIO!D60+JULIO!D60+AGOSTO!D60+SEPTIEMBRE!D60+OCTUBRE!D60+NOVIEMBRE!D60+DICIEMBRE!D60</f>
        <v>2618627523.4214478</v>
      </c>
      <c r="E60" s="16">
        <f>ENERO!E60+FEBRERO!E60+MARZO!E60+ABRIL!E60+MAYO!E60+JUNIO!E60+JULIO!E60+AGOSTO!E60+SEPTIEMBRE!E60+OCTUBRE!E60+NOVIEMBRE!E60+DICIEMBRE!E60</f>
        <v>797048669.56999993</v>
      </c>
      <c r="F60" s="16">
        <f>ENERO!F60+FEBRERO!F60+MARZO!F60+ABRIL!F60+MAYO!F60+JUNIO!F60+JULIO!F60+AGOSTO!F60+SEPTIEMBRE!F60+OCTUBRE!F60+NOVIEMBRE!F60+DICIEMBRE!F60</f>
        <v>1065627308.0193683</v>
      </c>
      <c r="G60" s="16">
        <f>ENERO!G60+FEBRERO!G60+MARZO!G60+ABRIL!G60+MAYO!G60+JUNIO!G60+JULIO!G60+AGOSTO!G60+SEPTIEMBRE!G60+OCTUBRE!G60+NOVIEMBRE!G60+DICIEMBRE!G60</f>
        <v>516455414.15000004</v>
      </c>
      <c r="H60" s="16">
        <f>ENERO!H60+FEBRERO!H60+MARZO!H60+ABRIL!H60+MAYO!H60+JUNIO!H60+JULIO!H60+AGOSTO!H60+SEPTIEMBRE!H60+OCTUBRE!H60+NOVIEMBRE!H60+DICIEMBRE!H60</f>
        <v>2967177946.4099998</v>
      </c>
      <c r="I60" s="16">
        <f>ENERO!I60+FEBRERO!I60+MARZO!I60+ABRIL!I60+MAYO!I60+JUNIO!I60+JULIO!I60+AGOSTO!I60+SEPTIEMBRE!I60+OCTUBRE!I60+NOVIEMBRE!I60+DICIEMBRE!I60</f>
        <v>3426350873.9400001</v>
      </c>
      <c r="J60" s="16">
        <f>ENERO!J60+FEBRERO!J60+MARZO!J60+ABRIL!J60+MAYO!J60+JUNIO!J60+JULIO!J60+AGOSTO!J60+SEPTIEMBRE!J60+OCTUBRE!J60+NOVIEMBRE!J60+DICIEMBRE!J60</f>
        <v>7021113342.7699976</v>
      </c>
      <c r="K60" s="16">
        <f>ENERO!K60+FEBRERO!K60+MARZO!K60+ABRIL!K60+MAYO!K60+JUNIO!K60+JULIO!K60+AGOSTO!K60+SEPTIEMBRE!K60+OCTUBRE!K60+NOVIEMBRE!K60+DICIEMBRE!K60</f>
        <v>2792158414.5599999</v>
      </c>
      <c r="L60" s="16">
        <f>ENERO!L60+FEBRERO!L60+MARZO!L60+ABRIL!L60+MAYO!L60+JUNIO!L60+JULIO!L60+AGOSTO!L60+SEPTIEMBRE!L60+OCTUBRE!L60+NOVIEMBRE!L60+DICIEMBRE!L60</f>
        <v>0</v>
      </c>
      <c r="M60" s="16">
        <f>ENERO!M60+FEBRERO!M60+MARZO!M60+ABRIL!M60+MAYO!M60+JUNIO!M60+JULIO!M60+AGOSTO!M60+SEPTIEMBRE!M60+OCTUBRE!M60+NOVIEMBRE!M60+DICIEMBRE!M60</f>
        <v>4546.25</v>
      </c>
      <c r="N60" s="18">
        <f t="shared" si="1"/>
        <v>77005806412.413742</v>
      </c>
      <c r="O60" s="4"/>
      <c r="P60" s="4"/>
      <c r="Q60" s="4"/>
    </row>
    <row r="61" spans="1:17" ht="18" customHeight="1" x14ac:dyDescent="0.2">
      <c r="A61" s="17" t="s">
        <v>56</v>
      </c>
      <c r="B61" s="16">
        <f>ENERO!B61+FEBRERO!B61+MARZO!B61+ABRIL!B61+MAYO!B61+JUNIO!B61+JULIO!B61+AGOSTO!B61+SEPTIEMBRE!B61+OCTUBRE!B61+NOVIEMBRE!B61+DICIEMBRE!B61</f>
        <v>11869551049.019999</v>
      </c>
      <c r="C61" s="16">
        <f>ENERO!C61+FEBRERO!C61+MARZO!C61+ABRIL!C61+MAYO!C61+JUNIO!C61+JULIO!C61+AGOSTO!C61+SEPTIEMBRE!C61+OCTUBRE!C61+NOVIEMBRE!C61+DICIEMBRE!C61</f>
        <v>32715.39730841</v>
      </c>
      <c r="D61" s="16">
        <f>ENERO!D61+FEBRERO!D61+MARZO!D61+ABRIL!D61+MAYO!D61+JUNIO!D61+JULIO!D61+AGOSTO!D61+SEPTIEMBRE!D61+OCTUBRE!D61+NOVIEMBRE!D61+DICIEMBRE!D61</f>
        <v>257611464.94268084</v>
      </c>
      <c r="E61" s="16">
        <f>ENERO!E61+FEBRERO!E61+MARZO!E61+ABRIL!E61+MAYO!E61+JUNIO!E61+JULIO!E61+AGOSTO!E61+SEPTIEMBRE!E61+OCTUBRE!E61+NOVIEMBRE!E61+DICIEMBRE!E61</f>
        <v>101771466.90000001</v>
      </c>
      <c r="F61" s="16">
        <f>ENERO!F61+FEBRERO!F61+MARZO!F61+ABRIL!F61+MAYO!F61+JUNIO!F61+JULIO!F61+AGOSTO!F61+SEPTIEMBRE!F61+OCTUBRE!F61+NOVIEMBRE!F61+DICIEMBRE!F61</f>
        <v>190234088.69130853</v>
      </c>
      <c r="G61" s="16">
        <f>ENERO!G61+FEBRERO!G61+MARZO!G61+ABRIL!G61+MAYO!G61+JUNIO!G61+JULIO!G61+AGOSTO!G61+SEPTIEMBRE!G61+OCTUBRE!G61+NOVIEMBRE!G61+DICIEMBRE!G61</f>
        <v>47841531.26937785</v>
      </c>
      <c r="H61" s="16">
        <f>ENERO!H61+FEBRERO!H61+MARZO!H61+ABRIL!H61+MAYO!H61+JUNIO!H61+JULIO!H61+AGOSTO!H61+SEPTIEMBRE!H61+OCTUBRE!H61+NOVIEMBRE!H61+DICIEMBRE!H61</f>
        <v>623917198.95000005</v>
      </c>
      <c r="I61" s="16">
        <f>ENERO!I61+FEBRERO!I61+MARZO!I61+ABRIL!I61+MAYO!I61+JUNIO!I61+JULIO!I61+AGOSTO!I61+SEPTIEMBRE!I61+OCTUBRE!I61+NOVIEMBRE!I61+DICIEMBRE!I61</f>
        <v>611666697.45000005</v>
      </c>
      <c r="J61" s="16">
        <f>ENERO!J61+FEBRERO!J61+MARZO!J61+ABRIL!J61+MAYO!J61+JUNIO!J61+JULIO!J61+AGOSTO!J61+SEPTIEMBRE!J61+OCTUBRE!J61+NOVIEMBRE!J61+DICIEMBRE!J61</f>
        <v>1738473929.2399998</v>
      </c>
      <c r="K61" s="16">
        <f>ENERO!K61+FEBRERO!K61+MARZO!K61+ABRIL!K61+MAYO!K61+JUNIO!K61+JULIO!K61+AGOSTO!K61+SEPTIEMBRE!K61+OCTUBRE!K61+NOVIEMBRE!K61+DICIEMBRE!K61</f>
        <v>447639645.36000001</v>
      </c>
      <c r="L61" s="16">
        <f>ENERO!L61+FEBRERO!L61+MARZO!L61+ABRIL!L61+MAYO!L61+JUNIO!L61+JULIO!L61+AGOSTO!L61+SEPTIEMBRE!L61+OCTUBRE!L61+NOVIEMBRE!L61+DICIEMBRE!L61</f>
        <v>0</v>
      </c>
      <c r="M61" s="16">
        <f>ENERO!M61+FEBRERO!M61+MARZO!M61+ABRIL!M61+MAYO!M61+JUNIO!M61+JULIO!M61+AGOSTO!M61+SEPTIEMBRE!M61+OCTUBRE!M61+NOVIEMBRE!M61+DICIEMBRE!M61</f>
        <v>811.57999999999993</v>
      </c>
      <c r="N61" s="18">
        <f t="shared" si="1"/>
        <v>15888740598.800676</v>
      </c>
      <c r="O61" s="4"/>
      <c r="P61" s="4"/>
      <c r="Q61" s="4"/>
    </row>
    <row r="62" spans="1:17" ht="18" customHeight="1" x14ac:dyDescent="0.2">
      <c r="A62" s="17" t="s">
        <v>57</v>
      </c>
      <c r="B62" s="16">
        <f>ENERO!B62+FEBRERO!B62+MARZO!B62+ABRIL!B62+MAYO!B62+JUNIO!B62+JULIO!B62+AGOSTO!B62+SEPTIEMBRE!B62+OCTUBRE!B62+NOVIEMBRE!B62+DICIEMBRE!B62</f>
        <v>63872634717.949997</v>
      </c>
      <c r="C62" s="16">
        <f>ENERO!C62+FEBRERO!C62+MARZO!C62+ABRIL!C62+MAYO!C62+JUNIO!C62+JULIO!C62+AGOSTO!C62+SEPTIEMBRE!C62+OCTUBRE!C62+NOVIEMBRE!C62+DICIEMBRE!C62</f>
        <v>224037.91217558004</v>
      </c>
      <c r="D62" s="16">
        <f>ENERO!D62+FEBRERO!D62+MARZO!D62+ABRIL!D62+MAYO!D62+JUNIO!D62+JULIO!D62+AGOSTO!D62+SEPTIEMBRE!D62+OCTUBRE!D62+NOVIEMBRE!D62+DICIEMBRE!D62</f>
        <v>605981135.87999988</v>
      </c>
      <c r="E62" s="16">
        <f>ENERO!E62+FEBRERO!E62+MARZO!E62+ABRIL!E62+MAYO!E62+JUNIO!E62+JULIO!E62+AGOSTO!E62+SEPTIEMBRE!E62+OCTUBRE!E62+NOVIEMBRE!E62+DICIEMBRE!E62</f>
        <v>672187783.79999995</v>
      </c>
      <c r="F62" s="16">
        <f>ENERO!F62+FEBRERO!F62+MARZO!F62+ABRIL!F62+MAYO!F62+JUNIO!F62+JULIO!F62+AGOSTO!F62+SEPTIEMBRE!F62+OCTUBRE!F62+NOVIEMBRE!F62+DICIEMBRE!F62</f>
        <v>852986149.07722998</v>
      </c>
      <c r="G62" s="16">
        <f>ENERO!G62+FEBRERO!G62+MARZO!G62+ABRIL!G62+MAYO!G62+JUNIO!G62+JULIO!G62+AGOSTO!G62+SEPTIEMBRE!G62+OCTUBRE!G62+NOVIEMBRE!G62+DICIEMBRE!G62</f>
        <v>0</v>
      </c>
      <c r="H62" s="16">
        <f>ENERO!H62+FEBRERO!H62+MARZO!H62+ABRIL!H62+MAYO!H62+JUNIO!H62+JULIO!H62+AGOSTO!H62+SEPTIEMBRE!H62+OCTUBRE!H62+NOVIEMBRE!H62+DICIEMBRE!H62</f>
        <v>3389919405.7600007</v>
      </c>
      <c r="I62" s="16">
        <f>ENERO!I62+FEBRERO!I62+MARZO!I62+ABRIL!I62+MAYO!I62+JUNIO!I62+JULIO!I62+AGOSTO!I62+SEPTIEMBRE!I62+OCTUBRE!I62+NOVIEMBRE!I62+DICIEMBRE!I62</f>
        <v>2742637895.4400001</v>
      </c>
      <c r="J62" s="16">
        <f>ENERO!J62+FEBRERO!J62+MARZO!J62+ABRIL!J62+MAYO!J62+JUNIO!J62+JULIO!J62+AGOSTO!J62+SEPTIEMBRE!J62+OCTUBRE!J62+NOVIEMBRE!J62+DICIEMBRE!J62</f>
        <v>3457078641.6899996</v>
      </c>
      <c r="K62" s="16">
        <f>ENERO!K62+FEBRERO!K62+MARZO!K62+ABRIL!K62+MAYO!K62+JUNIO!K62+JULIO!K62+AGOSTO!K62+SEPTIEMBRE!K62+OCTUBRE!K62+NOVIEMBRE!K62+DICIEMBRE!K62</f>
        <v>3065475099.6800003</v>
      </c>
      <c r="L62" s="16">
        <f>ENERO!L62+FEBRERO!L62+MARZO!L62+ABRIL!L62+MAYO!L62+JUNIO!L62+JULIO!L62+AGOSTO!L62+SEPTIEMBRE!L62+OCTUBRE!L62+NOVIEMBRE!L62+DICIEMBRE!L62</f>
        <v>0</v>
      </c>
      <c r="M62" s="16">
        <f>ENERO!M62+FEBRERO!M62+MARZO!M62+ABRIL!M62+MAYO!M62+JUNIO!M62+JULIO!M62+AGOSTO!M62+SEPTIEMBRE!M62+OCTUBRE!M62+NOVIEMBRE!M62+DICIEMBRE!M62</f>
        <v>3639.06</v>
      </c>
      <c r="N62" s="18">
        <f t="shared" si="1"/>
        <v>78659128506.24942</v>
      </c>
      <c r="O62" s="4"/>
      <c r="P62" s="4"/>
      <c r="Q62" s="4"/>
    </row>
    <row r="63" spans="1:17" ht="18" customHeight="1" x14ac:dyDescent="0.2">
      <c r="A63" s="17" t="s">
        <v>58</v>
      </c>
      <c r="B63" s="16">
        <f>ENERO!B63+FEBRERO!B63+MARZO!B63+ABRIL!B63+MAYO!B63+JUNIO!B63+JULIO!B63+AGOSTO!B63+SEPTIEMBRE!B63+OCTUBRE!B63+NOVIEMBRE!B63+DICIEMBRE!B63</f>
        <v>10385792147.59</v>
      </c>
      <c r="C63" s="16">
        <f>ENERO!C63+FEBRERO!C63+MARZO!C63+ABRIL!C63+MAYO!C63+JUNIO!C63+JULIO!C63+AGOSTO!C63+SEPTIEMBRE!C63+OCTUBRE!C63+NOVIEMBRE!C63+DICIEMBRE!C63</f>
        <v>35048.345519009999</v>
      </c>
      <c r="D63" s="16">
        <f>ENERO!D63+FEBRERO!D63+MARZO!D63+ABRIL!D63+MAYO!D63+JUNIO!D63+JULIO!D63+AGOSTO!D63+SEPTIEMBRE!D63+OCTUBRE!D63+NOVIEMBRE!D63+DICIEMBRE!D63</f>
        <v>673898000.4882791</v>
      </c>
      <c r="E63" s="16">
        <f>ENERO!E63+FEBRERO!E63+MARZO!E63+ABRIL!E63+MAYO!E63+JUNIO!E63+JULIO!E63+AGOSTO!E63+SEPTIEMBRE!E63+OCTUBRE!E63+NOVIEMBRE!E63+DICIEMBRE!E63</f>
        <v>87195586.120000005</v>
      </c>
      <c r="F63" s="16">
        <f>ENERO!F63+FEBRERO!F63+MARZO!F63+ABRIL!F63+MAYO!F63+JUNIO!F63+JULIO!F63+AGOSTO!F63+SEPTIEMBRE!F63+OCTUBRE!F63+NOVIEMBRE!F63+DICIEMBRE!F63</f>
        <v>30059052.313850682</v>
      </c>
      <c r="G63" s="16">
        <f>ENERO!G63+FEBRERO!G63+MARZO!G63+ABRIL!G63+MAYO!G63+JUNIO!G63+JULIO!G63+AGOSTO!G63+SEPTIEMBRE!G63+OCTUBRE!G63+NOVIEMBRE!G63+DICIEMBRE!G63</f>
        <v>17390973.870000001</v>
      </c>
      <c r="H63" s="16">
        <f>ENERO!H63+FEBRERO!H63+MARZO!H63+ABRIL!H63+MAYO!H63+JUNIO!H63+JULIO!H63+AGOSTO!H63+SEPTIEMBRE!H63+OCTUBRE!H63+NOVIEMBRE!H63+DICIEMBRE!H63</f>
        <v>550271743.23000014</v>
      </c>
      <c r="I63" s="16">
        <f>ENERO!I63+FEBRERO!I63+MARZO!I63+ABRIL!I63+MAYO!I63+JUNIO!I63+JULIO!I63+AGOSTO!I63+SEPTIEMBRE!I63+OCTUBRE!I63+NOVIEMBRE!I63+DICIEMBRE!I63</f>
        <v>96649982.239999995</v>
      </c>
      <c r="J63" s="16">
        <f>ENERO!J63+FEBRERO!J63+MARZO!J63+ABRIL!J63+MAYO!J63+JUNIO!J63+JULIO!J63+AGOSTO!J63+SEPTIEMBRE!J63+OCTUBRE!J63+NOVIEMBRE!J63+DICIEMBRE!J63</f>
        <v>463911847.97000009</v>
      </c>
      <c r="K63" s="16">
        <f>ENERO!K63+FEBRERO!K63+MARZO!K63+ABRIL!K63+MAYO!K63+JUNIO!K63+JULIO!K63+AGOSTO!K63+SEPTIEMBRE!K63+OCTUBRE!K63+NOVIEMBRE!K63+DICIEMBRE!K63</f>
        <v>479560942.96000004</v>
      </c>
      <c r="L63" s="16">
        <f>ENERO!L63+FEBRERO!L63+MARZO!L63+ABRIL!L63+MAYO!L63+JUNIO!L63+JULIO!L63+AGOSTO!L63+SEPTIEMBRE!L63+OCTUBRE!L63+NOVIEMBRE!L63+DICIEMBRE!L63</f>
        <v>0</v>
      </c>
      <c r="M63" s="16">
        <f>ENERO!M63+FEBRERO!M63+MARZO!M63+ABRIL!M63+MAYO!M63+JUNIO!M63+JULIO!M63+AGOSTO!M63+SEPTIEMBRE!M63+OCTUBRE!M63+NOVIEMBRE!M63+DICIEMBRE!M63</f>
        <v>128.23000000000002</v>
      </c>
      <c r="N63" s="18">
        <f t="shared" si="1"/>
        <v>12784765453.357647</v>
      </c>
      <c r="O63" s="4"/>
      <c r="P63" s="4"/>
      <c r="Q63" s="4"/>
    </row>
    <row r="64" spans="1:17" ht="18" customHeight="1" x14ac:dyDescent="0.2">
      <c r="A64" s="17" t="s">
        <v>59</v>
      </c>
      <c r="B64" s="16">
        <f>ENERO!B64+FEBRERO!B64+MARZO!B64+ABRIL!B64+MAYO!B64+JUNIO!B64+JULIO!B64+AGOSTO!B64+SEPTIEMBRE!B64+OCTUBRE!B64+NOVIEMBRE!B64+DICIEMBRE!B64</f>
        <v>15739027812.24</v>
      </c>
      <c r="C64" s="16">
        <f>ENERO!C64+FEBRERO!C64+MARZO!C64+ABRIL!C64+MAYO!C64+JUNIO!C64+JULIO!C64+AGOSTO!C64+SEPTIEMBRE!C64+OCTUBRE!C64+NOVIEMBRE!C64+DICIEMBRE!C64</f>
        <v>56965.157291190008</v>
      </c>
      <c r="D64" s="16">
        <f>ENERO!D64+FEBRERO!D64+MARZO!D64+ABRIL!D64+MAYO!D64+JUNIO!D64+JULIO!D64+AGOSTO!D64+SEPTIEMBRE!D64+OCTUBRE!D64+NOVIEMBRE!D64+DICIEMBRE!D64</f>
        <v>2265898937.0350513</v>
      </c>
      <c r="E64" s="16">
        <f>ENERO!E64+FEBRERO!E64+MARZO!E64+ABRIL!E64+MAYO!E64+JUNIO!E64+JULIO!E64+AGOSTO!E64+SEPTIEMBRE!E64+OCTUBRE!E64+NOVIEMBRE!E64+DICIEMBRE!E64</f>
        <v>139263652.97999999</v>
      </c>
      <c r="F64" s="16">
        <f>ENERO!F64+FEBRERO!F64+MARZO!F64+ABRIL!F64+MAYO!F64+JUNIO!F64+JULIO!F64+AGOSTO!F64+SEPTIEMBRE!F64+OCTUBRE!F64+NOVIEMBRE!F64+DICIEMBRE!F64</f>
        <v>55016783.252353996</v>
      </c>
      <c r="G64" s="16">
        <f>ENERO!G64+FEBRERO!G64+MARZO!G64+ABRIL!G64+MAYO!G64+JUNIO!G64+JULIO!G64+AGOSTO!G64+SEPTIEMBRE!G64+OCTUBRE!G64+NOVIEMBRE!G64+DICIEMBRE!G64</f>
        <v>27200700.220000006</v>
      </c>
      <c r="H64" s="16">
        <f>ENERO!H64+FEBRERO!H64+MARZO!H64+ABRIL!H64+MAYO!H64+JUNIO!H64+JULIO!H64+AGOSTO!H64+SEPTIEMBRE!H64+OCTUBRE!H64+NOVIEMBRE!H64+DICIEMBRE!H64</f>
        <v>836510135.32000005</v>
      </c>
      <c r="I64" s="16">
        <f>ENERO!I64+FEBRERO!I64+MARZO!I64+ABRIL!I64+MAYO!I64+JUNIO!I64+JULIO!I64+AGOSTO!I64+SEPTIEMBRE!I64+OCTUBRE!I64+NOVIEMBRE!I64+DICIEMBRE!I64</f>
        <v>176897497.03</v>
      </c>
      <c r="J64" s="16">
        <f>ENERO!J64+FEBRERO!J64+MARZO!J64+ABRIL!J64+MAYO!J64+JUNIO!J64+JULIO!J64+AGOSTO!J64+SEPTIEMBRE!J64+OCTUBRE!J64+NOVIEMBRE!J64+DICIEMBRE!J64</f>
        <v>983429330.01000035</v>
      </c>
      <c r="K64" s="16">
        <f>ENERO!K64+FEBRERO!K64+MARZO!K64+ABRIL!K64+MAYO!K64+JUNIO!K64+JULIO!K64+AGOSTO!K64+SEPTIEMBRE!K64+OCTUBRE!K64+NOVIEMBRE!K64+DICIEMBRE!K64</f>
        <v>779445196.24000001</v>
      </c>
      <c r="L64" s="16">
        <f>ENERO!L64+FEBRERO!L64+MARZO!L64+ABRIL!L64+MAYO!L64+JUNIO!L64+JULIO!L64+AGOSTO!L64+SEPTIEMBRE!L64+OCTUBRE!L64+NOVIEMBRE!L64+DICIEMBRE!L64</f>
        <v>0</v>
      </c>
      <c r="M64" s="16">
        <f>ENERO!M64+FEBRERO!M64+MARZO!M64+ABRIL!M64+MAYO!M64+JUNIO!M64+JULIO!M64+AGOSTO!M64+SEPTIEMBRE!M64+OCTUBRE!M64+NOVIEMBRE!M64+DICIEMBRE!M64</f>
        <v>234.70999999999998</v>
      </c>
      <c r="N64" s="18">
        <f t="shared" si="1"/>
        <v>21002747244.194698</v>
      </c>
      <c r="O64" s="4"/>
      <c r="P64" s="4"/>
      <c r="Q64" s="4"/>
    </row>
    <row r="65" spans="1:17" ht="18" customHeight="1" x14ac:dyDescent="0.2">
      <c r="A65" s="17" t="s">
        <v>60</v>
      </c>
      <c r="B65" s="16">
        <f>ENERO!B65+FEBRERO!B65+MARZO!B65+ABRIL!B65+MAYO!B65+JUNIO!B65+JULIO!B65+AGOSTO!B65+SEPTIEMBRE!B65+OCTUBRE!B65+NOVIEMBRE!B65+DICIEMBRE!B65</f>
        <v>8699950745.5100002</v>
      </c>
      <c r="C65" s="16">
        <f>ENERO!C65+FEBRERO!C65+MARZO!C65+ABRIL!C65+MAYO!C65+JUNIO!C65+JULIO!C65+AGOSTO!C65+SEPTIEMBRE!C65+OCTUBRE!C65+NOVIEMBRE!C65+DICIEMBRE!C65</f>
        <v>31783.140267560004</v>
      </c>
      <c r="D65" s="16">
        <f>ENERO!D65+FEBRERO!D65+MARZO!D65+ABRIL!D65+MAYO!D65+JUNIO!D65+JULIO!D65+AGOSTO!D65+SEPTIEMBRE!D65+OCTUBRE!D65+NOVIEMBRE!D65+DICIEMBRE!D65</f>
        <v>625691985.75045049</v>
      </c>
      <c r="E65" s="16">
        <f>ENERO!E65+FEBRERO!E65+MARZO!E65+ABRIL!E65+MAYO!E65+JUNIO!E65+JULIO!E65+AGOSTO!E65+SEPTIEMBRE!E65+OCTUBRE!E65+NOVIEMBRE!E65+DICIEMBRE!E65</f>
        <v>74888343.160000011</v>
      </c>
      <c r="F65" s="16">
        <f>ENERO!F65+FEBRERO!F65+MARZO!F65+ABRIL!F65+MAYO!F65+JUNIO!F65+JULIO!F65+AGOSTO!F65+SEPTIEMBRE!F65+OCTUBRE!F65+NOVIEMBRE!F65+DICIEMBRE!F65</f>
        <v>11978419.324391626</v>
      </c>
      <c r="G65" s="16">
        <f>ENERO!G65+FEBRERO!G65+MARZO!G65+ABRIL!G65+MAYO!G65+JUNIO!G65+JULIO!G65+AGOSTO!G65+SEPTIEMBRE!G65+OCTUBRE!G65+NOVIEMBRE!G65+DICIEMBRE!G65</f>
        <v>9126669.0699999984</v>
      </c>
      <c r="H65" s="16">
        <f>ENERO!H65+FEBRERO!H65+MARZO!H65+ABRIL!H65+MAYO!H65+JUNIO!H65+JULIO!H65+AGOSTO!H65+SEPTIEMBRE!H65+OCTUBRE!H65+NOVIEMBRE!H65+DICIEMBRE!H65</f>
        <v>462591411</v>
      </c>
      <c r="I65" s="16">
        <f>ENERO!I65+FEBRERO!I65+MARZO!I65+ABRIL!I65+MAYO!I65+JUNIO!I65+JULIO!I65+AGOSTO!I65+SEPTIEMBRE!I65+OCTUBRE!I65+NOVIEMBRE!I65+DICIEMBRE!I65</f>
        <v>38514654.560000002</v>
      </c>
      <c r="J65" s="16">
        <f>ENERO!J65+FEBRERO!J65+MARZO!J65+ABRIL!J65+MAYO!J65+JUNIO!J65+JULIO!J65+AGOSTO!J65+SEPTIEMBRE!J65+OCTUBRE!J65+NOVIEMBRE!J65+DICIEMBRE!J65</f>
        <v>586575839.40999997</v>
      </c>
      <c r="K65" s="16">
        <f>ENERO!K65+FEBRERO!K65+MARZO!K65+ABRIL!K65+MAYO!K65+JUNIO!K65+JULIO!K65+AGOSTO!K65+SEPTIEMBRE!K65+OCTUBRE!K65+NOVIEMBRE!K65+DICIEMBRE!K65</f>
        <v>434883693.76000005</v>
      </c>
      <c r="L65" s="16">
        <f>ENERO!L65+FEBRERO!L65+MARZO!L65+ABRIL!L65+MAYO!L65+JUNIO!L65+JULIO!L65+AGOSTO!L65+SEPTIEMBRE!L65+OCTUBRE!L65+NOVIEMBRE!L65+DICIEMBRE!L65</f>
        <v>0</v>
      </c>
      <c r="M65" s="16">
        <f>ENERO!M65+FEBRERO!M65+MARZO!M65+ABRIL!M65+MAYO!M65+JUNIO!M65+JULIO!M65+AGOSTO!M65+SEPTIEMBRE!M65+OCTUBRE!M65+NOVIEMBRE!M65+DICIEMBRE!M65</f>
        <v>51.1</v>
      </c>
      <c r="N65" s="18">
        <f t="shared" si="1"/>
        <v>10944233595.78511</v>
      </c>
      <c r="O65" s="4"/>
      <c r="P65" s="4"/>
      <c r="Q65" s="4"/>
    </row>
    <row r="66" spans="1:17" ht="18" customHeight="1" x14ac:dyDescent="0.2">
      <c r="A66" s="17" t="s">
        <v>61</v>
      </c>
      <c r="B66" s="16">
        <f>ENERO!B66+FEBRERO!B66+MARZO!B66+ABRIL!B66+MAYO!B66+JUNIO!B66+JULIO!B66+AGOSTO!B66+SEPTIEMBRE!B66+OCTUBRE!B66+NOVIEMBRE!B66+DICIEMBRE!B66</f>
        <v>4988602888.7799997</v>
      </c>
      <c r="C66" s="16">
        <f>ENERO!C66+FEBRERO!C66+MARZO!C66+ABRIL!C66+MAYO!C66+JUNIO!C66+JULIO!C66+AGOSTO!C66+SEPTIEMBRE!C66+OCTUBRE!C66+NOVIEMBRE!C66+DICIEMBRE!C66</f>
        <v>17831.403173459999</v>
      </c>
      <c r="D66" s="16">
        <f>ENERO!D66+FEBRERO!D66+MARZO!D66+ABRIL!D66+MAYO!D66+JUNIO!D66+JULIO!D66+AGOSTO!D66+SEPTIEMBRE!D66+OCTUBRE!D66+NOVIEMBRE!D66+DICIEMBRE!D66</f>
        <v>457663488.19712102</v>
      </c>
      <c r="E66" s="16">
        <f>ENERO!E66+FEBRERO!E66+MARZO!E66+ABRIL!E66+MAYO!E66+JUNIO!E66+JULIO!E66+AGOSTO!E66+SEPTIEMBRE!E66+OCTUBRE!E66+NOVIEMBRE!E66+DICIEMBRE!E66</f>
        <v>42765842.619999997</v>
      </c>
      <c r="F66" s="16">
        <f>ENERO!F66+FEBRERO!F66+MARZO!F66+ABRIL!F66+MAYO!F66+JUNIO!F66+JULIO!F66+AGOSTO!F66+SEPTIEMBRE!F66+OCTUBRE!F66+NOVIEMBRE!F66+DICIEMBRE!F66</f>
        <v>11720124.556399353</v>
      </c>
      <c r="G66" s="16">
        <f>ENERO!G66+FEBRERO!G66+MARZO!G66+ABRIL!G66+MAYO!G66+JUNIO!G66+JULIO!G66+AGOSTO!G66+SEPTIEMBRE!G66+OCTUBRE!G66+NOVIEMBRE!G66+DICIEMBRE!G66</f>
        <v>8260380.5199999996</v>
      </c>
      <c r="H66" s="16">
        <f>ENERO!H66+FEBRERO!H66+MARZO!H66+ABRIL!H66+MAYO!H66+JUNIO!H66+JULIO!H66+AGOSTO!H66+SEPTIEMBRE!H66+OCTUBRE!H66+NOVIEMBRE!H66+DICIEMBRE!H66</f>
        <v>264986440.81</v>
      </c>
      <c r="I66" s="16">
        <f>ENERO!I66+FEBRERO!I66+MARZO!I66+ABRIL!I66+MAYO!I66+JUNIO!I66+JULIO!I66+AGOSTO!I66+SEPTIEMBRE!I66+OCTUBRE!I66+NOVIEMBRE!I66+DICIEMBRE!I66</f>
        <v>37684149.899999999</v>
      </c>
      <c r="J66" s="16">
        <f>ENERO!J66+FEBRERO!J66+MARZO!J66+ABRIL!J66+MAYO!J66+JUNIO!J66+JULIO!J66+AGOSTO!J66+SEPTIEMBRE!J66+OCTUBRE!J66+NOVIEMBRE!J66+DICIEMBRE!J66</f>
        <v>260382525.33000007</v>
      </c>
      <c r="K66" s="16">
        <f>ENERO!K66+FEBRERO!K66+MARZO!K66+ABRIL!K66+MAYO!K66+JUNIO!K66+JULIO!K66+AGOSTO!K66+SEPTIEMBRE!K66+OCTUBRE!K66+NOVIEMBRE!K66+DICIEMBRE!K66</f>
        <v>243984280.16</v>
      </c>
      <c r="L66" s="16">
        <f>ENERO!L66+FEBRERO!L66+MARZO!L66+ABRIL!L66+MAYO!L66+JUNIO!L66+JULIO!L66+AGOSTO!L66+SEPTIEMBRE!L66+OCTUBRE!L66+NOVIEMBRE!L66+DICIEMBRE!L66</f>
        <v>0</v>
      </c>
      <c r="M66" s="16">
        <f>ENERO!M66+FEBRERO!M66+MARZO!M66+ABRIL!M66+MAYO!M66+JUNIO!M66+JULIO!M66+AGOSTO!M66+SEPTIEMBRE!M66+OCTUBRE!M66+NOVIEMBRE!M66+DICIEMBRE!M66</f>
        <v>49.989999999999995</v>
      </c>
      <c r="N66" s="18">
        <f t="shared" si="1"/>
        <v>6316068002.2666931</v>
      </c>
      <c r="O66" s="4"/>
      <c r="P66" s="4"/>
      <c r="Q66" s="4"/>
    </row>
    <row r="67" spans="1:17" ht="18" customHeight="1" x14ac:dyDescent="0.2">
      <c r="A67" s="17" t="s">
        <v>62</v>
      </c>
      <c r="B67" s="16">
        <f>ENERO!B67+FEBRERO!B67+MARZO!B67+ABRIL!B67+MAYO!B67+JUNIO!B67+JULIO!B67+AGOSTO!B67+SEPTIEMBRE!B67+OCTUBRE!B67+NOVIEMBRE!B67+DICIEMBRE!B67</f>
        <v>22245200060.690002</v>
      </c>
      <c r="C67" s="16">
        <f>ENERO!C67+FEBRERO!C67+MARZO!C67+ABRIL!C67+MAYO!C67+JUNIO!C67+JULIO!C67+AGOSTO!C67+SEPTIEMBRE!C67+OCTUBRE!C67+NOVIEMBRE!C67+DICIEMBRE!C67</f>
        <v>82694.591375260017</v>
      </c>
      <c r="D67" s="16">
        <f>ENERO!D67+FEBRERO!D67+MARZO!D67+ABRIL!D67+MAYO!D67+JUNIO!D67+JULIO!D67+AGOSTO!D67+SEPTIEMBRE!D67+OCTUBRE!D67+NOVIEMBRE!D67+DICIEMBRE!D67</f>
        <v>164380397</v>
      </c>
      <c r="E67" s="16">
        <f>ENERO!E67+FEBRERO!E67+MARZO!E67+ABRIL!E67+MAYO!E67+JUNIO!E67+JULIO!E67+AGOSTO!E67+SEPTIEMBRE!E67+OCTUBRE!E67+NOVIEMBRE!E67+DICIEMBRE!E67</f>
        <v>237838507.38999999</v>
      </c>
      <c r="F67" s="16">
        <f>ENERO!F67+FEBRERO!F67+MARZO!F67+ABRIL!F67+MAYO!F67+JUNIO!F67+JULIO!F67+AGOSTO!F67+SEPTIEMBRE!F67+OCTUBRE!F67+NOVIEMBRE!F67+DICIEMBRE!F67</f>
        <v>314925882.78707796</v>
      </c>
      <c r="G67" s="16">
        <f>ENERO!G67+FEBRERO!G67+MARZO!G67+ABRIL!G67+MAYO!G67+JUNIO!G67+JULIO!G67+AGOSTO!G67+SEPTIEMBRE!G67+OCTUBRE!G67+NOVIEMBRE!G67+DICIEMBRE!G67</f>
        <v>176579706.20223501</v>
      </c>
      <c r="H67" s="16">
        <f>ENERO!H67+FEBRERO!H67+MARZO!H67+ABRIL!H67+MAYO!H67+JUNIO!H67+JULIO!H67+AGOSTO!H67+SEPTIEMBRE!H67+OCTUBRE!H67+NOVIEMBRE!H67+DICIEMBRE!H67</f>
        <v>1183781822.77</v>
      </c>
      <c r="I67" s="16">
        <f>ENERO!I67+FEBRERO!I67+MARZO!I67+ABRIL!I67+MAYO!I67+JUNIO!I67+JULIO!I67+AGOSTO!I67+SEPTIEMBRE!I67+OCTUBRE!I67+NOVIEMBRE!I67+DICIEMBRE!I67</f>
        <v>1012592832.1200001</v>
      </c>
      <c r="J67" s="16">
        <f>ENERO!J67+FEBRERO!J67+MARZO!J67+ABRIL!J67+MAYO!J67+JUNIO!J67+JULIO!J67+AGOSTO!J67+SEPTIEMBRE!J67+OCTUBRE!J67+NOVIEMBRE!J67+DICIEMBRE!J67</f>
        <v>1677671792.2200003</v>
      </c>
      <c r="K67" s="16">
        <f>ENERO!K67+FEBRERO!K67+MARZO!K67+ABRIL!K67+MAYO!K67+JUNIO!K67+JULIO!K67+AGOSTO!K67+SEPTIEMBRE!K67+OCTUBRE!K67+NOVIEMBRE!K67+DICIEMBRE!K67</f>
        <v>1131496892.96</v>
      </c>
      <c r="L67" s="16">
        <f>ENERO!L67+FEBRERO!L67+MARZO!L67+ABRIL!L67+MAYO!L67+JUNIO!L67+JULIO!L67+AGOSTO!L67+SEPTIEMBRE!L67+OCTUBRE!L67+NOVIEMBRE!L67+DICIEMBRE!L67</f>
        <v>0</v>
      </c>
      <c r="M67" s="16">
        <f>ENERO!M67+FEBRERO!M67+MARZO!M67+ABRIL!M67+MAYO!M67+JUNIO!M67+JULIO!M67+AGOSTO!M67+SEPTIEMBRE!M67+OCTUBRE!M67+NOVIEMBRE!M67+DICIEMBRE!M67</f>
        <v>1343.55</v>
      </c>
      <c r="N67" s="18">
        <f t="shared" si="1"/>
        <v>28144551932.280689</v>
      </c>
      <c r="O67" s="4"/>
      <c r="P67" s="4"/>
      <c r="Q67" s="4"/>
    </row>
    <row r="68" spans="1:17" ht="18" customHeight="1" x14ac:dyDescent="0.2">
      <c r="A68" s="17" t="s">
        <v>63</v>
      </c>
      <c r="B68" s="16">
        <f>ENERO!B68+FEBRERO!B68+MARZO!B68+ABRIL!B68+MAYO!B68+JUNIO!B68+JULIO!B68+AGOSTO!B68+SEPTIEMBRE!B68+OCTUBRE!B68+NOVIEMBRE!B68+DICIEMBRE!B68</f>
        <v>14094539199.889999</v>
      </c>
      <c r="C68" s="16">
        <f>ENERO!C68+FEBRERO!C68+MARZO!C68+ABRIL!C68+MAYO!C68+JUNIO!C68+JULIO!C68+AGOSTO!C68+SEPTIEMBRE!C68+OCTUBRE!C68+NOVIEMBRE!C68+DICIEMBRE!C68</f>
        <v>52394.794182550009</v>
      </c>
      <c r="D68" s="16">
        <f>ENERO!D68+FEBRERO!D68+MARZO!D68+ABRIL!D68+MAYO!D68+JUNIO!D68+JULIO!D68+AGOSTO!D68+SEPTIEMBRE!D68+OCTUBRE!D68+NOVIEMBRE!D68+DICIEMBRE!D68</f>
        <v>245702812.13999999</v>
      </c>
      <c r="E68" s="16">
        <f>ENERO!E68+FEBRERO!E68+MARZO!E68+ABRIL!E68+MAYO!E68+JUNIO!E68+JULIO!E68+AGOSTO!E68+SEPTIEMBRE!E68+OCTUBRE!E68+NOVIEMBRE!E68+DICIEMBRE!E68</f>
        <v>127618530.90000002</v>
      </c>
      <c r="F68" s="16">
        <f>ENERO!F68+FEBRERO!F68+MARZO!F68+ABRIL!F68+MAYO!F68+JUNIO!F68+JULIO!F68+AGOSTO!F68+SEPTIEMBRE!F68+OCTUBRE!F68+NOVIEMBRE!F68+DICIEMBRE!F68</f>
        <v>277731437.73619074</v>
      </c>
      <c r="G68" s="16">
        <f>ENERO!G68+FEBRERO!G68+MARZO!G68+ABRIL!G68+MAYO!G68+JUNIO!G68+JULIO!G68+AGOSTO!G68+SEPTIEMBRE!G68+OCTUBRE!G68+NOVIEMBRE!G68+DICIEMBRE!G68</f>
        <v>172904471.54817927</v>
      </c>
      <c r="H68" s="16">
        <f>ENERO!H68+FEBRERO!H68+MARZO!H68+ABRIL!H68+MAYO!H68+JUNIO!H68+JULIO!H68+AGOSTO!H68+SEPTIEMBRE!H68+OCTUBRE!H68+NOVIEMBRE!H68+DICIEMBRE!H68</f>
        <v>750042834.0999999</v>
      </c>
      <c r="I68" s="16">
        <f>ENERO!I68+FEBRERO!I68+MARZO!I68+ABRIL!I68+MAYO!I68+JUNIO!I68+JULIO!I68+AGOSTO!I68+SEPTIEMBRE!I68+OCTUBRE!I68+NOVIEMBRE!I68+DICIEMBRE!I68</f>
        <v>893000158.08999991</v>
      </c>
      <c r="J68" s="16">
        <f>ENERO!J68+FEBRERO!J68+MARZO!J68+ABRIL!J68+MAYO!J68+JUNIO!J68+JULIO!J68+AGOSTO!J68+SEPTIEMBRE!J68+OCTUBRE!J68+NOVIEMBRE!J68+DICIEMBRE!J68</f>
        <v>1408976906.2500007</v>
      </c>
      <c r="K68" s="16">
        <f>ENERO!K68+FEBRERO!K68+MARZO!K68+ABRIL!K68+MAYO!K68+JUNIO!K68+JULIO!K68+AGOSTO!K68+SEPTIEMBRE!K68+OCTUBRE!K68+NOVIEMBRE!K68+DICIEMBRE!K68</f>
        <v>716909614.79999995</v>
      </c>
      <c r="L68" s="16">
        <f>ENERO!L68+FEBRERO!L68+MARZO!L68+ABRIL!L68+MAYO!L68+JUNIO!L68+JULIO!L68+AGOSTO!L68+SEPTIEMBRE!L68+OCTUBRE!L68+NOVIEMBRE!L68+DICIEMBRE!L68</f>
        <v>0</v>
      </c>
      <c r="M68" s="16">
        <f>ENERO!M68+FEBRERO!M68+MARZO!M68+ABRIL!M68+MAYO!M68+JUNIO!M68+JULIO!M68+AGOSTO!M68+SEPTIEMBRE!M68+OCTUBRE!M68+NOVIEMBRE!M68+DICIEMBRE!M68</f>
        <v>1184.8699999999999</v>
      </c>
      <c r="N68" s="18">
        <f t="shared" si="1"/>
        <v>18687479545.118549</v>
      </c>
      <c r="O68" s="4"/>
      <c r="P68" s="4"/>
      <c r="Q68" s="4"/>
    </row>
    <row r="69" spans="1:17" ht="18" customHeight="1" x14ac:dyDescent="0.2">
      <c r="A69" s="17" t="s">
        <v>64</v>
      </c>
      <c r="B69" s="16">
        <f>ENERO!B69+FEBRERO!B69+MARZO!B69+ABRIL!B69+MAYO!B69+JUNIO!B69+JULIO!B69+AGOSTO!B69+SEPTIEMBRE!B69+OCTUBRE!B69+NOVIEMBRE!B69+DICIEMBRE!B69</f>
        <v>48604872658.919998</v>
      </c>
      <c r="C69" s="16">
        <f>ENERO!C69+FEBRERO!C69+MARZO!C69+ABRIL!C69+MAYO!C69+JUNIO!C69+JULIO!C69+AGOSTO!C69+SEPTIEMBRE!C69+OCTUBRE!C69+NOVIEMBRE!C69+DICIEMBRE!C69</f>
        <v>164340.27079914004</v>
      </c>
      <c r="D69" s="16">
        <f>ENERO!D69+FEBRERO!D69+MARZO!D69+ABRIL!D69+MAYO!D69+JUNIO!D69+JULIO!D69+AGOSTO!D69+SEPTIEMBRE!D69+OCTUBRE!D69+NOVIEMBRE!D69+DICIEMBRE!D69</f>
        <v>218208671.77757269</v>
      </c>
      <c r="E69" s="16">
        <f>ENERO!E69+FEBRERO!E69+MARZO!E69+ABRIL!E69+MAYO!E69+JUNIO!E69+JULIO!E69+AGOSTO!E69+SEPTIEMBRE!E69+OCTUBRE!E69+NOVIEMBRE!E69+DICIEMBRE!E69</f>
        <v>428648035.21999997</v>
      </c>
      <c r="F69" s="16">
        <f>ENERO!F69+FEBRERO!F69+MARZO!F69+ABRIL!F69+MAYO!F69+JUNIO!F69+JULIO!F69+AGOSTO!F69+SEPTIEMBRE!F69+OCTUBRE!F69+NOVIEMBRE!F69+DICIEMBRE!F69</f>
        <v>819666125.396227</v>
      </c>
      <c r="G69" s="16">
        <f>ENERO!G69+FEBRERO!G69+MARZO!G69+ABRIL!G69+MAYO!G69+JUNIO!G69+JULIO!G69+AGOSTO!G69+SEPTIEMBRE!G69+OCTUBRE!G69+NOVIEMBRE!G69+DICIEMBRE!G69</f>
        <v>166409449.45312321</v>
      </c>
      <c r="H69" s="16">
        <f>ENERO!H69+FEBRERO!H69+MARZO!H69+ABRIL!H69+MAYO!H69+JUNIO!H69+JULIO!H69+AGOSTO!H69+SEPTIEMBRE!H69+OCTUBRE!H69+NOVIEMBRE!H69+DICIEMBRE!H69</f>
        <v>2575452148.0400004</v>
      </c>
      <c r="I69" s="16">
        <f>ENERO!I69+FEBRERO!I69+MARZO!I69+ABRIL!I69+MAYO!I69+JUNIO!I69+JULIO!I69+AGOSTO!I69+SEPTIEMBRE!I69+OCTUBRE!I69+NOVIEMBRE!I69+DICIEMBRE!I69</f>
        <v>2635502791.5899997</v>
      </c>
      <c r="J69" s="16">
        <f>ENERO!J69+FEBRERO!J69+MARZO!J69+ABRIL!J69+MAYO!J69+JUNIO!J69+JULIO!J69+AGOSTO!J69+SEPTIEMBRE!J69+OCTUBRE!J69+NOVIEMBRE!J69+DICIEMBRE!J69</f>
        <v>3290206608.150001</v>
      </c>
      <c r="K69" s="16">
        <f>ENERO!K69+FEBRERO!K69+MARZO!K69+ABRIL!K69+MAYO!K69+JUNIO!K69+JULIO!K69+AGOSTO!K69+SEPTIEMBRE!K69+OCTUBRE!K69+NOVIEMBRE!K69+DICIEMBRE!K69</f>
        <v>2248641769.4400001</v>
      </c>
      <c r="L69" s="16">
        <f>ENERO!L69+FEBRERO!L69+MARZO!L69+ABRIL!L69+MAYO!L69+JUNIO!L69+JULIO!L69+AGOSTO!L69+SEPTIEMBRE!L69+OCTUBRE!L69+NOVIEMBRE!L69+DICIEMBRE!L69</f>
        <v>0</v>
      </c>
      <c r="M69" s="16">
        <f>ENERO!M69+FEBRERO!M69+MARZO!M69+ABRIL!M69+MAYO!M69+JUNIO!M69+JULIO!M69+AGOSTO!M69+SEPTIEMBRE!M69+OCTUBRE!M69+NOVIEMBRE!M69+DICIEMBRE!M69</f>
        <v>3496.91</v>
      </c>
      <c r="N69" s="18">
        <f t="shared" si="1"/>
        <v>60987776095.167725</v>
      </c>
      <c r="O69" s="4"/>
      <c r="P69" s="4"/>
      <c r="Q69" s="4"/>
    </row>
    <row r="70" spans="1:17" ht="18" customHeight="1" x14ac:dyDescent="0.2">
      <c r="A70" s="17" t="s">
        <v>65</v>
      </c>
      <c r="B70" s="16">
        <f>ENERO!B70+FEBRERO!B70+MARZO!B70+ABRIL!B70+MAYO!B70+JUNIO!B70+JULIO!B70+AGOSTO!B70+SEPTIEMBRE!B70+OCTUBRE!B70+NOVIEMBRE!B70+DICIEMBRE!B70</f>
        <v>10175387072.870001</v>
      </c>
      <c r="C70" s="16">
        <f>ENERO!C70+FEBRERO!C70+MARZO!C70+ABRIL!C70+MAYO!C70+JUNIO!C70+JULIO!C70+AGOSTO!C70+SEPTIEMBRE!C70+OCTUBRE!C70+NOVIEMBRE!C70+DICIEMBRE!C70</f>
        <v>35889.670464249997</v>
      </c>
      <c r="D70" s="16">
        <f>ENERO!D70+FEBRERO!D70+MARZO!D70+ABRIL!D70+MAYO!D70+JUNIO!D70+JULIO!D70+AGOSTO!D70+SEPTIEMBRE!D70+OCTUBRE!D70+NOVIEMBRE!D70+DICIEMBRE!D70</f>
        <v>991146738.20651066</v>
      </c>
      <c r="E70" s="16">
        <f>ENERO!E70+FEBRERO!E70+MARZO!E70+ABRIL!E70+MAYO!E70+JUNIO!E70+JULIO!E70+AGOSTO!E70+SEPTIEMBRE!E70+OCTUBRE!E70+NOVIEMBRE!E70+DICIEMBRE!E70</f>
        <v>90031888.489999995</v>
      </c>
      <c r="F70" s="16">
        <f>ENERO!F70+FEBRERO!F70+MARZO!F70+ABRIL!F70+MAYO!F70+JUNIO!F70+JULIO!F70+AGOSTO!F70+SEPTIEMBRE!F70+OCTUBRE!F70+NOVIEMBRE!F70+DICIEMBRE!F70</f>
        <v>182033230.1700539</v>
      </c>
      <c r="G70" s="16">
        <f>ENERO!G70+FEBRERO!G70+MARZO!G70+ABRIL!G70+MAYO!G70+JUNIO!G70+JULIO!G70+AGOSTO!G70+SEPTIEMBRE!G70+OCTUBRE!G70+NOVIEMBRE!G70+DICIEMBRE!G70</f>
        <v>80082639.320000008</v>
      </c>
      <c r="H70" s="16">
        <f>ENERO!H70+FEBRERO!H70+MARZO!H70+ABRIL!H70+MAYO!H70+JUNIO!H70+JULIO!H70+AGOSTO!H70+SEPTIEMBRE!H70+OCTUBRE!H70+NOVIEMBRE!H70+DICIEMBRE!H70</f>
        <v>540173993.41999996</v>
      </c>
      <c r="I70" s="16">
        <f>ENERO!I70+FEBRERO!I70+MARZO!I70+ABRIL!I70+MAYO!I70+JUNIO!I70+JULIO!I70+AGOSTO!I70+SEPTIEMBRE!I70+OCTUBRE!I70+NOVIEMBRE!I70+DICIEMBRE!I70</f>
        <v>585298173.83999991</v>
      </c>
      <c r="J70" s="16">
        <f>ENERO!J70+FEBRERO!J70+MARZO!J70+ABRIL!J70+MAYO!J70+JUNIO!J70+JULIO!J70+AGOSTO!J70+SEPTIEMBRE!J70+OCTUBRE!J70+NOVIEMBRE!J70+DICIEMBRE!J70</f>
        <v>1398538981.2500002</v>
      </c>
      <c r="K70" s="16">
        <f>ENERO!K70+FEBRERO!K70+MARZO!K70+ABRIL!K70+MAYO!K70+JUNIO!K70+JULIO!K70+AGOSTO!K70+SEPTIEMBRE!K70+OCTUBRE!K70+NOVIEMBRE!K70+DICIEMBRE!K70</f>
        <v>491072718</v>
      </c>
      <c r="L70" s="16">
        <f>ENERO!L70+FEBRERO!L70+MARZO!L70+ABRIL!L70+MAYO!L70+JUNIO!L70+JULIO!L70+AGOSTO!L70+SEPTIEMBRE!L70+OCTUBRE!L70+NOVIEMBRE!L70+DICIEMBRE!L70</f>
        <v>0</v>
      </c>
      <c r="M70" s="16">
        <f>ENERO!M70+FEBRERO!M70+MARZO!M70+ABRIL!M70+MAYO!M70+JUNIO!M70+JULIO!M70+AGOSTO!M70+SEPTIEMBRE!M70+OCTUBRE!M70+NOVIEMBRE!M70+DICIEMBRE!M70</f>
        <v>776.58999999999992</v>
      </c>
      <c r="N70" s="18">
        <f t="shared" si="1"/>
        <v>14533802101.827028</v>
      </c>
      <c r="O70" s="4"/>
      <c r="P70" s="4"/>
      <c r="Q70" s="4"/>
    </row>
    <row r="71" spans="1:17" ht="18" customHeight="1" x14ac:dyDescent="0.2">
      <c r="A71" s="17" t="s">
        <v>66</v>
      </c>
      <c r="B71" s="16">
        <f>ENERO!B71+FEBRERO!B71+MARZO!B71+ABRIL!B71+MAYO!B71+JUNIO!B71+JULIO!B71+AGOSTO!B71+SEPTIEMBRE!B71+OCTUBRE!B71+NOVIEMBRE!B71+DICIEMBRE!B71</f>
        <v>39422212618.360001</v>
      </c>
      <c r="C71" s="16">
        <f>ENERO!C71+FEBRERO!C71+MARZO!C71+ABRIL!C71+MAYO!C71+JUNIO!C71+JULIO!C71+AGOSTO!C71+SEPTIEMBRE!C71+OCTUBRE!C71+NOVIEMBRE!C71+DICIEMBRE!C71</f>
        <v>142657.67109141001</v>
      </c>
      <c r="D71" s="16">
        <f>ENERO!D71+FEBRERO!D71+MARZO!D71+ABRIL!D71+MAYO!D71+JUNIO!D71+JULIO!D71+AGOSTO!D71+SEPTIEMBRE!D71+OCTUBRE!D71+NOVIEMBRE!D71+DICIEMBRE!D71</f>
        <v>203309518.23000002</v>
      </c>
      <c r="E71" s="16">
        <f>ENERO!E71+FEBRERO!E71+MARZO!E71+ABRIL!E71+MAYO!E71+JUNIO!E71+JULIO!E71+AGOSTO!E71+SEPTIEMBRE!E71+OCTUBRE!E71+NOVIEMBRE!E71+DICIEMBRE!E71</f>
        <v>233073523.40000001</v>
      </c>
      <c r="F71" s="16">
        <f>ENERO!F71+FEBRERO!F71+MARZO!F71+ABRIL!F71+MAYO!F71+JUNIO!F71+JULIO!F71+AGOSTO!F71+SEPTIEMBRE!F71+OCTUBRE!F71+NOVIEMBRE!F71+DICIEMBRE!F71</f>
        <v>114618298.49407083</v>
      </c>
      <c r="G71" s="16">
        <f>ENERO!G71+FEBRERO!G71+MARZO!G71+ABRIL!G71+MAYO!G71+JUNIO!G71+JULIO!G71+AGOSTO!G71+SEPTIEMBRE!G71+OCTUBRE!G71+NOVIEMBRE!G71+DICIEMBRE!G71</f>
        <v>77093222.370000005</v>
      </c>
      <c r="H71" s="16">
        <f>ENERO!H71+FEBRERO!H71+MARZO!H71+ABRIL!H71+MAYO!H71+JUNIO!H71+JULIO!H71+AGOSTO!H71+SEPTIEMBRE!H71+OCTUBRE!H71+NOVIEMBRE!H71+DICIEMBRE!H71</f>
        <v>2095225343.6799998</v>
      </c>
      <c r="I71" s="16">
        <f>ENERO!I71+FEBRERO!I71+MARZO!I71+ABRIL!I71+MAYO!I71+JUNIO!I71+JULIO!I71+AGOSTO!I71+SEPTIEMBRE!I71+OCTUBRE!I71+NOVIEMBRE!I71+DICIEMBRE!I71</f>
        <v>368536452.12</v>
      </c>
      <c r="J71" s="16">
        <f>ENERO!J71+FEBRERO!J71+MARZO!J71+ABRIL!J71+MAYO!J71+JUNIO!J71+JULIO!J71+AGOSTO!J71+SEPTIEMBRE!J71+OCTUBRE!J71+NOVIEMBRE!J71+DICIEMBRE!J71</f>
        <v>1168841340.0100002</v>
      </c>
      <c r="K71" s="16">
        <f>ENERO!K71+FEBRERO!K71+MARZO!K71+ABRIL!K71+MAYO!K71+JUNIO!K71+JULIO!K71+AGOSTO!K71+SEPTIEMBRE!K71+OCTUBRE!K71+NOVIEMBRE!K71+DICIEMBRE!K71</f>
        <v>1951962213.3600001</v>
      </c>
      <c r="L71" s="16">
        <f>ENERO!L71+FEBRERO!L71+MARZO!L71+ABRIL!L71+MAYO!L71+JUNIO!L71+JULIO!L71+AGOSTO!L71+SEPTIEMBRE!L71+OCTUBRE!L71+NOVIEMBRE!L71+DICIEMBRE!L71</f>
        <v>0</v>
      </c>
      <c r="M71" s="16">
        <f>ENERO!M71+FEBRERO!M71+MARZO!M71+ABRIL!M71+MAYO!M71+JUNIO!M71+JULIO!M71+AGOSTO!M71+SEPTIEMBRE!M71+OCTUBRE!M71+NOVIEMBRE!M71+DICIEMBRE!M71</f>
        <v>488.98</v>
      </c>
      <c r="N71" s="18">
        <f t="shared" si="1"/>
        <v>45635015676.675179</v>
      </c>
      <c r="O71" s="4"/>
      <c r="P71" s="4"/>
      <c r="Q71" s="4"/>
    </row>
    <row r="72" spans="1:17" ht="18" customHeight="1" x14ac:dyDescent="0.2">
      <c r="A72" s="17" t="s">
        <v>67</v>
      </c>
      <c r="B72" s="16">
        <f>ENERO!B72+FEBRERO!B72+MARZO!B72+ABRIL!B72+MAYO!B72+JUNIO!B72+JULIO!B72+AGOSTO!B72+SEPTIEMBRE!B72+OCTUBRE!B72+NOVIEMBRE!B72+DICIEMBRE!B72</f>
        <v>183659182659.06</v>
      </c>
      <c r="C72" s="16">
        <f>ENERO!C72+FEBRERO!C72+MARZO!C72+ABRIL!C72+MAYO!C72+JUNIO!C72+JULIO!C72+AGOSTO!C72+SEPTIEMBRE!C72+OCTUBRE!C72+NOVIEMBRE!C72+DICIEMBRE!C72</f>
        <v>682735.06908869999</v>
      </c>
      <c r="D72" s="16">
        <f>ENERO!D72+FEBRERO!D72+MARZO!D72+ABRIL!D72+MAYO!D72+JUNIO!D72+JULIO!D72+AGOSTO!D72+SEPTIEMBRE!D72+OCTUBRE!D72+NOVIEMBRE!D72+DICIEMBRE!D72</f>
        <v>1132886815.1185131</v>
      </c>
      <c r="E72" s="16">
        <f>ENERO!E72+FEBRERO!E72+MARZO!E72+ABRIL!E72+MAYO!E72+JUNIO!E72+JULIO!E72+AGOSTO!E72+SEPTIEMBRE!E72+OCTUBRE!E72+NOVIEMBRE!E72+DICIEMBRE!E72</f>
        <v>2037265951.04</v>
      </c>
      <c r="F72" s="16">
        <f>ENERO!F72+FEBRERO!F72+MARZO!F72+ABRIL!F72+MAYO!F72+JUNIO!F72+JULIO!F72+AGOSTO!F72+SEPTIEMBRE!F72+OCTUBRE!F72+NOVIEMBRE!F72+DICIEMBRE!F72</f>
        <v>3335069626.8339705</v>
      </c>
      <c r="G72" s="16">
        <f>ENERO!G72+FEBRERO!G72+MARZO!G72+ABRIL!G72+MAYO!G72+JUNIO!G72+JULIO!G72+AGOSTO!G72+SEPTIEMBRE!G72+OCTUBRE!G72+NOVIEMBRE!G72+DICIEMBRE!G72</f>
        <v>0</v>
      </c>
      <c r="H72" s="16">
        <f>ENERO!H72+FEBRERO!H72+MARZO!H72+ABRIL!H72+MAYO!H72+JUNIO!H72+JULIO!H72+AGOSTO!H72+SEPTIEMBRE!H72+OCTUBRE!H72+NOVIEMBRE!H72+DICIEMBRE!H72</f>
        <v>9773451020.1199989</v>
      </c>
      <c r="I72" s="16">
        <f>ENERO!I72+FEBRERO!I72+MARZO!I72+ABRIL!I72+MAYO!I72+JUNIO!I72+JULIO!I72+AGOSTO!I72+SEPTIEMBRE!I72+OCTUBRE!I72+NOVIEMBRE!I72+DICIEMBRE!I72</f>
        <v>10723372626.080002</v>
      </c>
      <c r="J72" s="16">
        <f>ENERO!J72+FEBRERO!J72+MARZO!J72+ABRIL!J72+MAYO!J72+JUNIO!J72+JULIO!J72+AGOSTO!J72+SEPTIEMBRE!J72+OCTUBRE!J72+NOVIEMBRE!J72+DICIEMBRE!J72</f>
        <v>17124665096.149998</v>
      </c>
      <c r="K72" s="16">
        <f>ENERO!K72+FEBRERO!K72+MARZO!K72+ABRIL!K72+MAYO!K72+JUNIO!K72+JULIO!K72+AGOSTO!K72+SEPTIEMBRE!K72+OCTUBRE!K72+NOVIEMBRE!K72+DICIEMBRE!K72</f>
        <v>9341755175.2000008</v>
      </c>
      <c r="L72" s="16">
        <f>ENERO!L72+FEBRERO!L72+MARZO!L72+ABRIL!L72+MAYO!L72+JUNIO!L72+JULIO!L72+AGOSTO!L72+SEPTIEMBRE!L72+OCTUBRE!L72+NOVIEMBRE!L72+DICIEMBRE!L72</f>
        <v>0</v>
      </c>
      <c r="M72" s="16">
        <f>ENERO!M72+FEBRERO!M72+MARZO!M72+ABRIL!M72+MAYO!M72+JUNIO!M72+JULIO!M72+AGOSTO!M72+SEPTIEMBRE!M72+OCTUBRE!M72+NOVIEMBRE!M72+DICIEMBRE!M72</f>
        <v>14228.3</v>
      </c>
      <c r="N72" s="18">
        <f t="shared" ref="N72:N103" si="2">SUM(B72:M72)</f>
        <v>237128345932.97159</v>
      </c>
      <c r="O72" s="4"/>
      <c r="P72" s="4"/>
      <c r="Q72" s="4"/>
    </row>
    <row r="73" spans="1:17" ht="18" customHeight="1" x14ac:dyDescent="0.2">
      <c r="A73" s="17" t="s">
        <v>68</v>
      </c>
      <c r="B73" s="16">
        <f>ENERO!B73+FEBRERO!B73+MARZO!B73+ABRIL!B73+MAYO!B73+JUNIO!B73+JULIO!B73+AGOSTO!B73+SEPTIEMBRE!B73+OCTUBRE!B73+NOVIEMBRE!B73+DICIEMBRE!B73</f>
        <v>79467577968.480011</v>
      </c>
      <c r="C73" s="16">
        <f>ENERO!C73+FEBRERO!C73+MARZO!C73+ABRIL!C73+MAYO!C73+JUNIO!C73+JULIO!C73+AGOSTO!C73+SEPTIEMBRE!C73+OCTUBRE!C73+NOVIEMBRE!C73+DICIEMBRE!C73</f>
        <v>273125.24791074003</v>
      </c>
      <c r="D73" s="16">
        <f>ENERO!D73+FEBRERO!D73+MARZO!D73+ABRIL!D73+MAYO!D73+JUNIO!D73+JULIO!D73+AGOSTO!D73+SEPTIEMBRE!D73+OCTUBRE!D73+NOVIEMBRE!D73+DICIEMBRE!D73</f>
        <v>1887102715.2936993</v>
      </c>
      <c r="E73" s="16">
        <f>ENERO!E73+FEBRERO!E73+MARZO!E73+ABRIL!E73+MAYO!E73+JUNIO!E73+JULIO!E73+AGOSTO!E73+SEPTIEMBRE!E73+OCTUBRE!E73+NOVIEMBRE!E73+DICIEMBRE!E73</f>
        <v>842824863.07000005</v>
      </c>
      <c r="F73" s="16">
        <f>ENERO!F73+FEBRERO!F73+MARZO!F73+ABRIL!F73+MAYO!F73+JUNIO!F73+JULIO!F73+AGOSTO!F73+SEPTIEMBRE!F73+OCTUBRE!F73+NOVIEMBRE!F73+DICIEMBRE!F73</f>
        <v>1237877624.3179648</v>
      </c>
      <c r="G73" s="16">
        <f>ENERO!G73+FEBRERO!G73+MARZO!G73+ABRIL!G73+MAYO!G73+JUNIO!G73+JULIO!G73+AGOSTO!G73+SEPTIEMBRE!G73+OCTUBRE!G73+NOVIEMBRE!G73+DICIEMBRE!G73</f>
        <v>701038907.16413617</v>
      </c>
      <c r="H73" s="16">
        <f>ENERO!H73+FEBRERO!H73+MARZO!H73+ABRIL!H73+MAYO!H73+JUNIO!H73+JULIO!H73+AGOSTO!H73+SEPTIEMBRE!H73+OCTUBRE!H73+NOVIEMBRE!H73+DICIEMBRE!H73</f>
        <v>4213791909.5899992</v>
      </c>
      <c r="I73" s="16">
        <f>ENERO!I73+FEBRERO!I73+MARZO!I73+ABRIL!I73+MAYO!I73+JUNIO!I73+JULIO!I73+AGOSTO!I73+SEPTIEMBRE!I73+OCTUBRE!I73+NOVIEMBRE!I73+DICIEMBRE!I73</f>
        <v>3980193682.9900002</v>
      </c>
      <c r="J73" s="16">
        <f>ENERO!J73+FEBRERO!J73+MARZO!J73+ABRIL!J73+MAYO!J73+JUNIO!J73+JULIO!J73+AGOSTO!J73+SEPTIEMBRE!J73+OCTUBRE!J73+NOVIEMBRE!J73+DICIEMBRE!J73</f>
        <v>7459385710.8399982</v>
      </c>
      <c r="K73" s="16">
        <f>ENERO!K73+FEBRERO!K73+MARZO!K73+ABRIL!K73+MAYO!K73+JUNIO!K73+JULIO!K73+AGOSTO!K73+SEPTIEMBRE!K73+OCTUBRE!K73+NOVIEMBRE!K73+DICIEMBRE!K73</f>
        <v>3737129363.04</v>
      </c>
      <c r="L73" s="16">
        <f>ENERO!L73+FEBRERO!L73+MARZO!L73+ABRIL!L73+MAYO!L73+JUNIO!L73+JULIO!L73+AGOSTO!L73+SEPTIEMBRE!L73+OCTUBRE!L73+NOVIEMBRE!L73+DICIEMBRE!L73</f>
        <v>0</v>
      </c>
      <c r="M73" s="16">
        <f>ENERO!M73+FEBRERO!M73+MARZO!M73+ABRIL!M73+MAYO!M73+JUNIO!M73+JULIO!M73+AGOSTO!M73+SEPTIEMBRE!M73+OCTUBRE!M73+NOVIEMBRE!M73+DICIEMBRE!M73</f>
        <v>5281.1100000000006</v>
      </c>
      <c r="N73" s="18">
        <f t="shared" si="2"/>
        <v>103527201151.14372</v>
      </c>
      <c r="O73" s="4"/>
      <c r="P73" s="4"/>
      <c r="Q73" s="4"/>
    </row>
    <row r="74" spans="1:17" ht="18" customHeight="1" x14ac:dyDescent="0.2">
      <c r="A74" s="17" t="s">
        <v>69</v>
      </c>
      <c r="B74" s="16">
        <f>ENERO!B74+FEBRERO!B74+MARZO!B74+ABRIL!B74+MAYO!B74+JUNIO!B74+JULIO!B74+AGOSTO!B74+SEPTIEMBRE!B74+OCTUBRE!B74+NOVIEMBRE!B74+DICIEMBRE!B74</f>
        <v>44268811588.950005</v>
      </c>
      <c r="C74" s="16">
        <f>ENERO!C74+FEBRERO!C74+MARZO!C74+ABRIL!C74+MAYO!C74+JUNIO!C74+JULIO!C74+AGOSTO!C74+SEPTIEMBRE!C74+OCTUBRE!C74+NOVIEMBRE!C74+DICIEMBRE!C74</f>
        <v>164565.30042968999</v>
      </c>
      <c r="D74" s="16">
        <f>ENERO!D74+FEBRERO!D74+MARZO!D74+ABRIL!D74+MAYO!D74+JUNIO!D74+JULIO!D74+AGOSTO!D74+SEPTIEMBRE!D74+OCTUBRE!D74+NOVIEMBRE!D74+DICIEMBRE!D74</f>
        <v>486241833.5</v>
      </c>
      <c r="E74" s="16">
        <f>ENERO!E74+FEBRERO!E74+MARZO!E74+ABRIL!E74+MAYO!E74+JUNIO!E74+JULIO!E74+AGOSTO!E74+SEPTIEMBRE!E74+OCTUBRE!E74+NOVIEMBRE!E74+DICIEMBRE!E74</f>
        <v>473191354.05000007</v>
      </c>
      <c r="F74" s="16">
        <f>ENERO!F74+FEBRERO!F74+MARZO!F74+ABRIL!F74+MAYO!F74+JUNIO!F74+JULIO!F74+AGOSTO!F74+SEPTIEMBRE!F74+OCTUBRE!F74+NOVIEMBRE!F74+DICIEMBRE!F74</f>
        <v>898736607.96411145</v>
      </c>
      <c r="G74" s="16">
        <f>ENERO!G74+FEBRERO!G74+MARZO!G74+ABRIL!G74+MAYO!G74+JUNIO!G74+JULIO!G74+AGOSTO!G74+SEPTIEMBRE!G74+OCTUBRE!G74+NOVIEMBRE!G74+DICIEMBRE!G74</f>
        <v>1228947571.3436909</v>
      </c>
      <c r="H74" s="16">
        <f>ENERO!H74+FEBRERO!H74+MARZO!H74+ABRIL!H74+MAYO!H74+JUNIO!H74+JULIO!H74+AGOSTO!H74+SEPTIEMBRE!H74+OCTUBRE!H74+NOVIEMBRE!H74+DICIEMBRE!H74</f>
        <v>2355771680.6500001</v>
      </c>
      <c r="I74" s="16">
        <f>ENERO!I74+FEBRERO!I74+MARZO!I74+ABRIL!I74+MAYO!I74+JUNIO!I74+JULIO!I74+AGOSTO!I74+SEPTIEMBRE!I74+OCTUBRE!I74+NOVIEMBRE!I74+DICIEMBRE!I74</f>
        <v>2889741037.04</v>
      </c>
      <c r="J74" s="16">
        <f>ENERO!J74+FEBRERO!J74+MARZO!J74+ABRIL!J74+MAYO!J74+JUNIO!J74+JULIO!J74+AGOSTO!J74+SEPTIEMBRE!J74+OCTUBRE!J74+NOVIEMBRE!J74+DICIEMBRE!J74</f>
        <v>4001576087.4099994</v>
      </c>
      <c r="K74" s="16">
        <f>ENERO!K74+FEBRERO!K74+MARZO!K74+ABRIL!K74+MAYO!K74+JUNIO!K74+JULIO!K74+AGOSTO!K74+SEPTIEMBRE!K74+OCTUBRE!K74+NOVIEMBRE!K74+DICIEMBRE!K74</f>
        <v>2251720792.2400002</v>
      </c>
      <c r="L74" s="16">
        <f>ENERO!L74+FEBRERO!L74+MARZO!L74+ABRIL!L74+MAYO!L74+JUNIO!L74+JULIO!L74+AGOSTO!L74+SEPTIEMBRE!L74+OCTUBRE!L74+NOVIEMBRE!L74+DICIEMBRE!L74</f>
        <v>0</v>
      </c>
      <c r="M74" s="16">
        <f>ENERO!M74+FEBRERO!M74+MARZO!M74+ABRIL!M74+MAYO!M74+JUNIO!M74+JULIO!M74+AGOSTO!M74+SEPTIEMBRE!M74+OCTUBRE!M74+NOVIEMBRE!M74+DICIEMBRE!M74</f>
        <v>3834.25</v>
      </c>
      <c r="N74" s="18">
        <f t="shared" si="2"/>
        <v>58854906952.698235</v>
      </c>
      <c r="O74" s="4"/>
      <c r="P74" s="4"/>
      <c r="Q74" s="4"/>
    </row>
    <row r="75" spans="1:17" ht="18" customHeight="1" x14ac:dyDescent="0.2">
      <c r="A75" s="17" t="s">
        <v>70</v>
      </c>
      <c r="B75" s="16">
        <f>ENERO!B75+FEBRERO!B75+MARZO!B75+ABRIL!B75+MAYO!B75+JUNIO!B75+JULIO!B75+AGOSTO!B75+SEPTIEMBRE!B75+OCTUBRE!B75+NOVIEMBRE!B75+DICIEMBRE!B75</f>
        <v>7209169672.2900009</v>
      </c>
      <c r="C75" s="16">
        <f>ENERO!C75+FEBRERO!C75+MARZO!C75+ABRIL!C75+MAYO!C75+JUNIO!C75+JULIO!C75+AGOSTO!C75+SEPTIEMBRE!C75+OCTUBRE!C75+NOVIEMBRE!C75+DICIEMBRE!C75</f>
        <v>25745.042221700001</v>
      </c>
      <c r="D75" s="16">
        <f>ENERO!D75+FEBRERO!D75+MARZO!D75+ABRIL!D75+MAYO!D75+JUNIO!D75+JULIO!D75+AGOSTO!D75+SEPTIEMBRE!D75+OCTUBRE!D75+NOVIEMBRE!D75+DICIEMBRE!D75</f>
        <v>509518077.20394075</v>
      </c>
      <c r="E75" s="16">
        <f>ENERO!E75+FEBRERO!E75+MARZO!E75+ABRIL!E75+MAYO!E75+JUNIO!E75+JULIO!E75+AGOSTO!E75+SEPTIEMBRE!E75+OCTUBRE!E75+NOVIEMBRE!E75+DICIEMBRE!E75</f>
        <v>61805976.219999991</v>
      </c>
      <c r="F75" s="16">
        <f>ENERO!F75+FEBRERO!F75+MARZO!F75+ABRIL!F75+MAYO!F75+JUNIO!F75+JULIO!F75+AGOSTO!F75+SEPTIEMBRE!F75+OCTUBRE!F75+NOVIEMBRE!F75+DICIEMBRE!F75</f>
        <v>16337143.348011222</v>
      </c>
      <c r="G75" s="16">
        <f>ENERO!G75+FEBRERO!G75+MARZO!G75+ABRIL!G75+MAYO!G75+JUNIO!G75+JULIO!G75+AGOSTO!G75+SEPTIEMBRE!G75+OCTUBRE!G75+NOVIEMBRE!G75+DICIEMBRE!G75</f>
        <v>8931484.0099999998</v>
      </c>
      <c r="H75" s="16">
        <f>ENERO!H75+FEBRERO!H75+MARZO!H75+ABRIL!H75+MAYO!H75+JUNIO!H75+JULIO!H75+AGOSTO!H75+SEPTIEMBRE!H75+OCTUBRE!H75+NOVIEMBRE!H75+DICIEMBRE!H75</f>
        <v>382923334.79999995</v>
      </c>
      <c r="I75" s="16">
        <f>ENERO!I75+FEBRERO!I75+MARZO!I75+ABRIL!I75+MAYO!I75+JUNIO!I75+JULIO!I75+AGOSTO!I75+SEPTIEMBRE!I75+OCTUBRE!I75+NOVIEMBRE!I75+DICIEMBRE!I75</f>
        <v>52529421.059999995</v>
      </c>
      <c r="J75" s="16">
        <f>ENERO!J75+FEBRERO!J75+MARZO!J75+ABRIL!J75+MAYO!J75+JUNIO!J75+JULIO!J75+AGOSTO!J75+SEPTIEMBRE!J75+OCTUBRE!J75+NOVIEMBRE!J75+DICIEMBRE!J75</f>
        <v>450958366.58000016</v>
      </c>
      <c r="K75" s="16">
        <f>ENERO!K75+FEBRERO!K75+MARZO!K75+ABRIL!K75+MAYO!K75+JUNIO!K75+JULIO!K75+AGOSTO!K75+SEPTIEMBRE!K75+OCTUBRE!K75+NOVIEMBRE!K75+DICIEMBRE!K75</f>
        <v>352265343.19999999</v>
      </c>
      <c r="L75" s="16">
        <f>ENERO!L75+FEBRERO!L75+MARZO!L75+ABRIL!L75+MAYO!L75+JUNIO!L75+JULIO!L75+AGOSTO!L75+SEPTIEMBRE!L75+OCTUBRE!L75+NOVIEMBRE!L75+DICIEMBRE!L75</f>
        <v>0</v>
      </c>
      <c r="M75" s="16">
        <f>ENERO!M75+FEBRERO!M75+MARZO!M75+ABRIL!M75+MAYO!M75+JUNIO!M75+JULIO!M75+AGOSTO!M75+SEPTIEMBRE!M75+OCTUBRE!M75+NOVIEMBRE!M75+DICIEMBRE!M75</f>
        <v>69.69</v>
      </c>
      <c r="N75" s="18">
        <f t="shared" si="2"/>
        <v>9044464633.4441776</v>
      </c>
      <c r="O75" s="4"/>
      <c r="P75" s="4"/>
      <c r="Q75" s="4"/>
    </row>
    <row r="76" spans="1:17" ht="18" customHeight="1" x14ac:dyDescent="0.2">
      <c r="A76" s="17" t="s">
        <v>71</v>
      </c>
      <c r="B76" s="16">
        <f>ENERO!B76+FEBRERO!B76+MARZO!B76+ABRIL!B76+MAYO!B76+JUNIO!B76+JULIO!B76+AGOSTO!B76+SEPTIEMBRE!B76+OCTUBRE!B76+NOVIEMBRE!B76+DICIEMBRE!B76</f>
        <v>7182641467.5299988</v>
      </c>
      <c r="C76" s="16">
        <f>ENERO!C76+FEBRERO!C76+MARZO!C76+ABRIL!C76+MAYO!C76+JUNIO!C76+JULIO!C76+AGOSTO!C76+SEPTIEMBRE!C76+OCTUBRE!C76+NOVIEMBRE!C76+DICIEMBRE!C76</f>
        <v>25142.520557859996</v>
      </c>
      <c r="D76" s="16">
        <f>ENERO!D76+FEBRERO!D76+MARZO!D76+ABRIL!D76+MAYO!D76+JUNIO!D76+JULIO!D76+AGOSTO!D76+SEPTIEMBRE!D76+OCTUBRE!D76+NOVIEMBRE!D76+DICIEMBRE!D76</f>
        <v>702902538.2415868</v>
      </c>
      <c r="E76" s="16">
        <f>ENERO!E76+FEBRERO!E76+MARZO!E76+ABRIL!E76+MAYO!E76+JUNIO!E76+JULIO!E76+AGOSTO!E76+SEPTIEMBRE!E76+OCTUBRE!E76+NOVIEMBRE!E76+DICIEMBRE!E76</f>
        <v>61802547.659999996</v>
      </c>
      <c r="F76" s="16">
        <f>ENERO!F76+FEBRERO!F76+MARZO!F76+ABRIL!F76+MAYO!F76+JUNIO!F76+JULIO!F76+AGOSTO!F76+SEPTIEMBRE!F76+OCTUBRE!F76+NOVIEMBRE!F76+DICIEMBRE!F76</f>
        <v>29413315.418870009</v>
      </c>
      <c r="G76" s="16">
        <f>ENERO!G76+FEBRERO!G76+MARZO!G76+ABRIL!G76+MAYO!G76+JUNIO!G76+JULIO!G76+AGOSTO!G76+SEPTIEMBRE!G76+OCTUBRE!G76+NOVIEMBRE!G76+DICIEMBRE!G76</f>
        <v>20977537.690000001</v>
      </c>
      <c r="H76" s="16">
        <f>ENERO!H76+FEBRERO!H76+MARZO!H76+ABRIL!H76+MAYO!H76+JUNIO!H76+JULIO!H76+AGOSTO!H76+SEPTIEMBRE!H76+OCTUBRE!H76+NOVIEMBRE!H76+DICIEMBRE!H76</f>
        <v>381170522.21000004</v>
      </c>
      <c r="I76" s="16">
        <f>ENERO!I76+FEBRERO!I76+MARZO!I76+ABRIL!I76+MAYO!I76+JUNIO!I76+JULIO!I76+AGOSTO!I76+SEPTIEMBRE!I76+OCTUBRE!I76+NOVIEMBRE!I76+DICIEMBRE!I76</f>
        <v>94573720.519999996</v>
      </c>
      <c r="J76" s="16">
        <f>ENERO!J76+FEBRERO!J76+MARZO!J76+ABRIL!J76+MAYO!J76+JUNIO!J76+JULIO!J76+AGOSTO!J76+SEPTIEMBRE!J76+OCTUBRE!J76+NOVIEMBRE!J76+DICIEMBRE!J76</f>
        <v>669648407.95000005</v>
      </c>
      <c r="K76" s="16">
        <f>ENERO!K76+FEBRERO!K76+MARZO!K76+ABRIL!K76+MAYO!K76+JUNIO!K76+JULIO!K76+AGOSTO!K76+SEPTIEMBRE!K76+OCTUBRE!K76+NOVIEMBRE!K76+DICIEMBRE!K76</f>
        <v>344021102.56</v>
      </c>
      <c r="L76" s="16">
        <f>ENERO!L76+FEBRERO!L76+MARZO!L76+ABRIL!L76+MAYO!L76+JUNIO!L76+JULIO!L76+AGOSTO!L76+SEPTIEMBRE!L76+OCTUBRE!L76+NOVIEMBRE!L76+DICIEMBRE!L76</f>
        <v>0</v>
      </c>
      <c r="M76" s="16">
        <f>ENERO!M76+FEBRERO!M76+MARZO!M76+ABRIL!M76+MAYO!M76+JUNIO!M76+JULIO!M76+AGOSTO!M76+SEPTIEMBRE!M76+OCTUBRE!M76+NOVIEMBRE!M76+DICIEMBRE!M76</f>
        <v>125.47999999999999</v>
      </c>
      <c r="N76" s="18">
        <f t="shared" si="2"/>
        <v>9487176427.7810116</v>
      </c>
      <c r="O76" s="4"/>
      <c r="P76" s="4"/>
      <c r="Q76" s="4"/>
    </row>
    <row r="77" spans="1:17" ht="18" customHeight="1" x14ac:dyDescent="0.2">
      <c r="A77" s="17" t="s">
        <v>72</v>
      </c>
      <c r="B77" s="16">
        <f>ENERO!B77+FEBRERO!B77+MARZO!B77+ABRIL!B77+MAYO!B77+JUNIO!B77+JULIO!B77+AGOSTO!B77+SEPTIEMBRE!B77+OCTUBRE!B77+NOVIEMBRE!B77+DICIEMBRE!B77</f>
        <v>8404759447.8499994</v>
      </c>
      <c r="C77" s="16">
        <f>ENERO!C77+FEBRERO!C77+MARZO!C77+ABRIL!C77+MAYO!C77+JUNIO!C77+JULIO!C77+AGOSTO!C77+SEPTIEMBRE!C77+OCTUBRE!C77+NOVIEMBRE!C77+DICIEMBRE!C77</f>
        <v>31243.993397630002</v>
      </c>
      <c r="D77" s="16">
        <f>ENERO!D77+FEBRERO!D77+MARZO!D77+ABRIL!D77+MAYO!D77+JUNIO!D77+JULIO!D77+AGOSTO!D77+SEPTIEMBRE!D77+OCTUBRE!D77+NOVIEMBRE!D77+DICIEMBRE!D77</f>
        <v>636586847.58814406</v>
      </c>
      <c r="E77" s="16">
        <f>ENERO!E77+FEBRERO!E77+MARZO!E77+ABRIL!E77+MAYO!E77+JUNIO!E77+JULIO!E77+AGOSTO!E77+SEPTIEMBRE!E77+OCTUBRE!E77+NOVIEMBRE!E77+DICIEMBRE!E77</f>
        <v>73421449.979999989</v>
      </c>
      <c r="F77" s="16">
        <f>ENERO!F77+FEBRERO!F77+MARZO!F77+ABRIL!F77+MAYO!F77+JUNIO!F77+JULIO!F77+AGOSTO!F77+SEPTIEMBRE!F77+OCTUBRE!F77+NOVIEMBRE!F77+DICIEMBRE!F77</f>
        <v>34546923.736466423</v>
      </c>
      <c r="G77" s="16">
        <f>ENERO!G77+FEBRERO!G77+MARZO!G77+ABRIL!G77+MAYO!G77+JUNIO!G77+JULIO!G77+AGOSTO!G77+SEPTIEMBRE!G77+OCTUBRE!G77+NOVIEMBRE!G77+DICIEMBRE!G77</f>
        <v>13459983.460000001</v>
      </c>
      <c r="H77" s="16">
        <f>ENERO!H77+FEBRERO!H77+MARZO!H77+ABRIL!H77+MAYO!H77+JUNIO!H77+JULIO!H77+AGOSTO!H77+SEPTIEMBRE!H77+OCTUBRE!H77+NOVIEMBRE!H77+DICIEMBRE!H77</f>
        <v>447260621.00000006</v>
      </c>
      <c r="I77" s="16">
        <f>ENERO!I77+FEBRERO!I77+MARZO!I77+ABRIL!I77+MAYO!I77+JUNIO!I77+JULIO!I77+AGOSTO!I77+SEPTIEMBRE!I77+OCTUBRE!I77+NOVIEMBRE!I77+DICIEMBRE!I77</f>
        <v>111080001.06999999</v>
      </c>
      <c r="J77" s="16">
        <f>ENERO!J77+FEBRERO!J77+MARZO!J77+ABRIL!J77+MAYO!J77+JUNIO!J77+JULIO!J77+AGOSTO!J77+SEPTIEMBRE!J77+OCTUBRE!J77+NOVIEMBRE!J77+DICIEMBRE!J77</f>
        <v>455017560.35000002</v>
      </c>
      <c r="K77" s="16">
        <f>ENERO!K77+FEBRERO!K77+MARZO!K77+ABRIL!K77+MAYO!K77+JUNIO!K77+JULIO!K77+AGOSTO!K77+SEPTIEMBRE!K77+OCTUBRE!K77+NOVIEMBRE!K77+DICIEMBRE!K77</f>
        <v>427506606.47999996</v>
      </c>
      <c r="L77" s="16">
        <f>ENERO!L77+FEBRERO!L77+MARZO!L77+ABRIL!L77+MAYO!L77+JUNIO!L77+JULIO!L77+AGOSTO!L77+SEPTIEMBRE!L77+OCTUBRE!L77+NOVIEMBRE!L77+DICIEMBRE!L77</f>
        <v>0</v>
      </c>
      <c r="M77" s="16">
        <f>ENERO!M77+FEBRERO!M77+MARZO!M77+ABRIL!M77+MAYO!M77+JUNIO!M77+JULIO!M77+AGOSTO!M77+SEPTIEMBRE!M77+OCTUBRE!M77+NOVIEMBRE!M77+DICIEMBRE!M77</f>
        <v>147.38</v>
      </c>
      <c r="N77" s="18">
        <f t="shared" si="2"/>
        <v>10603670832.888006</v>
      </c>
      <c r="O77" s="4"/>
      <c r="P77" s="4"/>
      <c r="Q77" s="4"/>
    </row>
    <row r="78" spans="1:17" ht="18" customHeight="1" x14ac:dyDescent="0.2">
      <c r="A78" s="17" t="s">
        <v>73</v>
      </c>
      <c r="B78" s="16">
        <f>ENERO!B78+FEBRERO!B78+MARZO!B78+ABRIL!B78+MAYO!B78+JUNIO!B78+JULIO!B78+AGOSTO!B78+SEPTIEMBRE!B78+OCTUBRE!B78+NOVIEMBRE!B78+DICIEMBRE!B78</f>
        <v>3263229260.0900002</v>
      </c>
      <c r="C78" s="16">
        <f>ENERO!C78+FEBRERO!C78+MARZO!C78+ABRIL!C78+MAYO!C78+JUNIO!C78+JULIO!C78+AGOSTO!C78+SEPTIEMBRE!C78+OCTUBRE!C78+NOVIEMBRE!C78+DICIEMBRE!C78</f>
        <v>12130.388451730001</v>
      </c>
      <c r="D78" s="16">
        <f>ENERO!D78+FEBRERO!D78+MARZO!D78+ABRIL!D78+MAYO!D78+JUNIO!D78+JULIO!D78+AGOSTO!D78+SEPTIEMBRE!D78+OCTUBRE!D78+NOVIEMBRE!D78+DICIEMBRE!D78</f>
        <v>214698348.41430652</v>
      </c>
      <c r="E78" s="16">
        <f>ENERO!E78+FEBRERO!E78+MARZO!E78+ABRIL!E78+MAYO!E78+JUNIO!E78+JULIO!E78+AGOSTO!E78+SEPTIEMBRE!E78+OCTUBRE!E78+NOVIEMBRE!E78+DICIEMBRE!E78</f>
        <v>28306164.210000001</v>
      </c>
      <c r="F78" s="16">
        <f>ENERO!F78+FEBRERO!F78+MARZO!F78+ABRIL!F78+MAYO!F78+JUNIO!F78+JULIO!F78+AGOSTO!F78+SEPTIEMBRE!F78+OCTUBRE!F78+NOVIEMBRE!F78+DICIEMBRE!F78</f>
        <v>12269000.914632933</v>
      </c>
      <c r="G78" s="16">
        <f>ENERO!G78+FEBRERO!G78+MARZO!G78+ABRIL!G78+MAYO!G78+JUNIO!G78+JULIO!G78+AGOSTO!G78+SEPTIEMBRE!G78+OCTUBRE!G78+NOVIEMBRE!G78+DICIEMBRE!G78</f>
        <v>4745539.5</v>
      </c>
      <c r="H78" s="16">
        <f>ENERO!H78+FEBRERO!H78+MARZO!H78+ABRIL!H78+MAYO!H78+JUNIO!H78+JULIO!H78+AGOSTO!H78+SEPTIEMBRE!H78+OCTUBRE!H78+NOVIEMBRE!H78+DICIEMBRE!H78</f>
        <v>173653000.94</v>
      </c>
      <c r="I78" s="16">
        <f>ENERO!I78+FEBRERO!I78+MARZO!I78+ABRIL!I78+MAYO!I78+JUNIO!I78+JULIO!I78+AGOSTO!I78+SEPTIEMBRE!I78+OCTUBRE!I78+NOVIEMBRE!I78+DICIEMBRE!I78</f>
        <v>39448972.340000004</v>
      </c>
      <c r="J78" s="16">
        <f>ENERO!J78+FEBRERO!J78+MARZO!J78+ABRIL!J78+MAYO!J78+JUNIO!J78+JULIO!J78+AGOSTO!J78+SEPTIEMBRE!J78+OCTUBRE!J78+NOVIEMBRE!J78+DICIEMBRE!J78</f>
        <v>195133244.52000004</v>
      </c>
      <c r="K78" s="16">
        <f>ENERO!K78+FEBRERO!K78+MARZO!K78+ABRIL!K78+MAYO!K78+JUNIO!K78+JULIO!K78+AGOSTO!K78+SEPTIEMBRE!K78+OCTUBRE!K78+NOVIEMBRE!K78+DICIEMBRE!K78</f>
        <v>165978180.07999998</v>
      </c>
      <c r="L78" s="16">
        <f>ENERO!L78+FEBRERO!L78+MARZO!L78+ABRIL!L78+MAYO!L78+JUNIO!L78+JULIO!L78+AGOSTO!L78+SEPTIEMBRE!L78+OCTUBRE!L78+NOVIEMBRE!L78+DICIEMBRE!L78</f>
        <v>0</v>
      </c>
      <c r="M78" s="16">
        <f>ENERO!M78+FEBRERO!M78+MARZO!M78+ABRIL!M78+MAYO!M78+JUNIO!M78+JULIO!M78+AGOSTO!M78+SEPTIEMBRE!M78+OCTUBRE!M78+NOVIEMBRE!M78+DICIEMBRE!M78</f>
        <v>52.33</v>
      </c>
      <c r="N78" s="18">
        <f t="shared" si="2"/>
        <v>4097473893.7273912</v>
      </c>
      <c r="O78" s="4"/>
      <c r="P78" s="4"/>
      <c r="Q78" s="4"/>
    </row>
    <row r="79" spans="1:17" ht="18" customHeight="1" x14ac:dyDescent="0.2">
      <c r="A79" s="17" t="s">
        <v>74</v>
      </c>
      <c r="B79" s="16">
        <f>ENERO!B79+FEBRERO!B79+MARZO!B79+ABRIL!B79+MAYO!B79+JUNIO!B79+JULIO!B79+AGOSTO!B79+SEPTIEMBRE!B79+OCTUBRE!B79+NOVIEMBRE!B79+DICIEMBRE!B79</f>
        <v>15858924894.379999</v>
      </c>
      <c r="C79" s="16">
        <f>ENERO!C79+FEBRERO!C79+MARZO!C79+ABRIL!C79+MAYO!C79+JUNIO!C79+JULIO!C79+AGOSTO!C79+SEPTIEMBRE!C79+OCTUBRE!C79+NOVIEMBRE!C79+DICIEMBRE!C79</f>
        <v>53094.673645729999</v>
      </c>
      <c r="D79" s="16">
        <f>ENERO!D79+FEBRERO!D79+MARZO!D79+ABRIL!D79+MAYO!D79+JUNIO!D79+JULIO!D79+AGOSTO!D79+SEPTIEMBRE!D79+OCTUBRE!D79+NOVIEMBRE!D79+DICIEMBRE!D79</f>
        <v>1636995707.7455554</v>
      </c>
      <c r="E79" s="16">
        <f>ENERO!E79+FEBRERO!E79+MARZO!E79+ABRIL!E79+MAYO!E79+JUNIO!E79+JULIO!E79+AGOSTO!E79+SEPTIEMBRE!E79+OCTUBRE!E79+NOVIEMBRE!E79+DICIEMBRE!E79</f>
        <v>133744830.24999999</v>
      </c>
      <c r="F79" s="16">
        <f>ENERO!F79+FEBRERO!F79+MARZO!F79+ABRIL!F79+MAYO!F79+JUNIO!F79+JULIO!F79+AGOSTO!F79+SEPTIEMBRE!F79+OCTUBRE!F79+NOVIEMBRE!F79+DICIEMBRE!F79</f>
        <v>61667873.245655</v>
      </c>
      <c r="G79" s="16">
        <f>ENERO!G79+FEBRERO!G79+MARZO!G79+ABRIL!G79+MAYO!G79+JUNIO!G79+JULIO!G79+AGOSTO!G79+SEPTIEMBRE!G79+OCTUBRE!G79+NOVIEMBRE!G79+DICIEMBRE!G79</f>
        <v>35255994.5</v>
      </c>
      <c r="H79" s="16">
        <f>ENERO!H79+FEBRERO!H79+MARZO!H79+ABRIL!H79+MAYO!H79+JUNIO!H79+JULIO!H79+AGOSTO!H79+SEPTIEMBRE!H79+OCTUBRE!H79+NOVIEMBRE!H79+DICIEMBRE!H79</f>
        <v>839968721.98000002</v>
      </c>
      <c r="I79" s="16">
        <f>ENERO!I79+FEBRERO!I79+MARZO!I79+ABRIL!I79+MAYO!I79+JUNIO!I79+JULIO!I79+AGOSTO!I79+SEPTIEMBRE!I79+OCTUBRE!I79+NOVIEMBRE!I79+DICIEMBRE!I79</f>
        <v>198282992.55000001</v>
      </c>
      <c r="J79" s="16">
        <f>ENERO!J79+FEBRERO!J79+MARZO!J79+ABRIL!J79+MAYO!J79+JUNIO!J79+JULIO!J79+AGOSTO!J79+SEPTIEMBRE!J79+OCTUBRE!J79+NOVIEMBRE!J79+DICIEMBRE!J79</f>
        <v>1057046101.8100001</v>
      </c>
      <c r="K79" s="16">
        <f>ENERO!K79+FEBRERO!K79+MARZO!K79+ABRIL!K79+MAYO!K79+JUNIO!K79+JULIO!K79+AGOSTO!K79+SEPTIEMBRE!K79+OCTUBRE!K79+NOVIEMBRE!K79+DICIEMBRE!K79</f>
        <v>726486004.07999992</v>
      </c>
      <c r="L79" s="16">
        <f>ENERO!L79+FEBRERO!L79+MARZO!L79+ABRIL!L79+MAYO!L79+JUNIO!L79+JULIO!L79+AGOSTO!L79+SEPTIEMBRE!L79+OCTUBRE!L79+NOVIEMBRE!L79+DICIEMBRE!L79</f>
        <v>0</v>
      </c>
      <c r="M79" s="16">
        <f>ENERO!M79+FEBRERO!M79+MARZO!M79+ABRIL!M79+MAYO!M79+JUNIO!M79+JULIO!M79+AGOSTO!M79+SEPTIEMBRE!M79+OCTUBRE!M79+NOVIEMBRE!M79+DICIEMBRE!M79</f>
        <v>263.08</v>
      </c>
      <c r="N79" s="18">
        <f t="shared" si="2"/>
        <v>20548426478.294853</v>
      </c>
      <c r="O79" s="4"/>
      <c r="P79" s="4"/>
      <c r="Q79" s="4"/>
    </row>
    <row r="80" spans="1:17" ht="18" customHeight="1" x14ac:dyDescent="0.2">
      <c r="A80" s="17" t="s">
        <v>75</v>
      </c>
      <c r="B80" s="16">
        <f>ENERO!B80+FEBRERO!B80+MARZO!B80+ABRIL!B80+MAYO!B80+JUNIO!B80+JULIO!B80+AGOSTO!B80+SEPTIEMBRE!B80+OCTUBRE!B80+NOVIEMBRE!B80+DICIEMBRE!B80</f>
        <v>8430507411.2599983</v>
      </c>
      <c r="C80" s="16">
        <f>ENERO!C80+FEBRERO!C80+MARZO!C80+ABRIL!C80+MAYO!C80+JUNIO!C80+JULIO!C80+AGOSTO!C80+SEPTIEMBRE!C80+OCTUBRE!C80+NOVIEMBRE!C80+DICIEMBRE!C80</f>
        <v>30443.077161550005</v>
      </c>
      <c r="D80" s="16">
        <f>ENERO!D80+FEBRERO!D80+MARZO!D80+ABRIL!D80+MAYO!D80+JUNIO!D80+JULIO!D80+AGOSTO!D80+SEPTIEMBRE!D80+OCTUBRE!D80+NOVIEMBRE!D80+DICIEMBRE!D80</f>
        <v>1746674793.5512853</v>
      </c>
      <c r="E80" s="16">
        <f>ENERO!E80+FEBRERO!E80+MARZO!E80+ABRIL!E80+MAYO!E80+JUNIO!E80+JULIO!E80+AGOSTO!E80+SEPTIEMBRE!E80+OCTUBRE!E80+NOVIEMBRE!E80+DICIEMBRE!E80</f>
        <v>72699912.070000008</v>
      </c>
      <c r="F80" s="16">
        <f>ENERO!F80+FEBRERO!F80+MARZO!F80+ABRIL!F80+MAYO!F80+JUNIO!F80+JULIO!F80+AGOSTO!F80+SEPTIEMBRE!F80+OCTUBRE!F80+NOVIEMBRE!F80+DICIEMBRE!F80</f>
        <v>19953269.939903036</v>
      </c>
      <c r="G80" s="16">
        <f>ENERO!G80+FEBRERO!G80+MARZO!G80+ABRIL!G80+MAYO!G80+JUNIO!G80+JULIO!G80+AGOSTO!G80+SEPTIEMBRE!G80+OCTUBRE!G80+NOVIEMBRE!G80+DICIEMBRE!G80</f>
        <v>14131086.939999998</v>
      </c>
      <c r="H80" s="16">
        <f>ENERO!H80+FEBRERO!H80+MARZO!H80+ABRIL!H80+MAYO!H80+JUNIO!H80+JULIO!H80+AGOSTO!H80+SEPTIEMBRE!H80+OCTUBRE!H80+NOVIEMBRE!H80+DICIEMBRE!H80</f>
        <v>448023846.41000009</v>
      </c>
      <c r="I80" s="16">
        <f>ENERO!I80+FEBRERO!I80+MARZO!I80+ABRIL!I80+MAYO!I80+JUNIO!I80+JULIO!I80+AGOSTO!I80+SEPTIEMBRE!I80+OCTUBRE!I80+NOVIEMBRE!I80+DICIEMBRE!I80</f>
        <v>64156486.589999996</v>
      </c>
      <c r="J80" s="16">
        <f>ENERO!J80+FEBRERO!J80+MARZO!J80+ABRIL!J80+MAYO!J80+JUNIO!J80+JULIO!J80+AGOSTO!J80+SEPTIEMBRE!J80+OCTUBRE!J80+NOVIEMBRE!J80+DICIEMBRE!J80</f>
        <v>683153187.8900001</v>
      </c>
      <c r="K80" s="16">
        <f>ENERO!K80+FEBRERO!K80+MARZO!K80+ABRIL!K80+MAYO!K80+JUNIO!K80+JULIO!K80+AGOSTO!K80+SEPTIEMBRE!K80+OCTUBRE!K80+NOVIEMBRE!K80+DICIEMBRE!K80</f>
        <v>416547798.79999995</v>
      </c>
      <c r="L80" s="16">
        <f>ENERO!L80+FEBRERO!L80+MARZO!L80+ABRIL!L80+MAYO!L80+JUNIO!L80+JULIO!L80+AGOSTO!L80+SEPTIEMBRE!L80+OCTUBRE!L80+NOVIEMBRE!L80+DICIEMBRE!L80</f>
        <v>0</v>
      </c>
      <c r="M80" s="16">
        <f>ENERO!M80+FEBRERO!M80+MARZO!M80+ABRIL!M80+MAYO!M80+JUNIO!M80+JULIO!M80+AGOSTO!M80+SEPTIEMBRE!M80+OCTUBRE!M80+NOVIEMBRE!M80+DICIEMBRE!M80</f>
        <v>85.11</v>
      </c>
      <c r="N80" s="18">
        <f t="shared" si="2"/>
        <v>11895878321.638348</v>
      </c>
      <c r="O80" s="4"/>
      <c r="P80" s="4"/>
      <c r="Q80" s="4"/>
    </row>
    <row r="81" spans="1:17" ht="18" customHeight="1" x14ac:dyDescent="0.2">
      <c r="A81" s="17" t="s">
        <v>76</v>
      </c>
      <c r="B81" s="16">
        <f>ENERO!B81+FEBRERO!B81+MARZO!B81+ABRIL!B81+MAYO!B81+JUNIO!B81+JULIO!B81+AGOSTO!B81+SEPTIEMBRE!B81+OCTUBRE!B81+NOVIEMBRE!B81+DICIEMBRE!B81</f>
        <v>4702254326.0100002</v>
      </c>
      <c r="C81" s="16">
        <f>ENERO!C81+FEBRERO!C81+MARZO!C81+ABRIL!C81+MAYO!C81+JUNIO!C81+JULIO!C81+AGOSTO!C81+SEPTIEMBRE!C81+OCTUBRE!C81+NOVIEMBRE!C81+DICIEMBRE!C81</f>
        <v>16285.597548090002</v>
      </c>
      <c r="D81" s="16">
        <f>ENERO!D81+FEBRERO!D81+MARZO!D81+ABRIL!D81+MAYO!D81+JUNIO!D81+JULIO!D81+AGOSTO!D81+SEPTIEMBRE!D81+OCTUBRE!D81+NOVIEMBRE!D81+DICIEMBRE!D81</f>
        <v>500919353.51726371</v>
      </c>
      <c r="E81" s="16">
        <f>ENERO!E81+FEBRERO!E81+MARZO!E81+ABRIL!E81+MAYO!E81+JUNIO!E81+JULIO!E81+AGOSTO!E81+SEPTIEMBRE!E81+OCTUBRE!E81+NOVIEMBRE!E81+DICIEMBRE!E81</f>
        <v>41245887.869999997</v>
      </c>
      <c r="F81" s="16">
        <f>ENERO!F81+FEBRERO!F81+MARZO!F81+ABRIL!F81+MAYO!F81+JUNIO!F81+JULIO!F81+AGOSTO!F81+SEPTIEMBRE!F81+OCTUBRE!F81+NOVIEMBRE!F81+DICIEMBRE!F81</f>
        <v>51820385.629699625</v>
      </c>
      <c r="G81" s="16">
        <f>ENERO!G81+FEBRERO!G81+MARZO!G81+ABRIL!G81+MAYO!G81+JUNIO!G81+JULIO!G81+AGOSTO!G81+SEPTIEMBRE!G81+OCTUBRE!G81+NOVIEMBRE!G81+DICIEMBRE!G81</f>
        <v>32187187.359999999</v>
      </c>
      <c r="H81" s="16">
        <f>ENERO!H81+FEBRERO!H81+MARZO!H81+ABRIL!H81+MAYO!H81+JUNIO!H81+JULIO!H81+AGOSTO!H81+SEPTIEMBRE!H81+OCTUBRE!H81+NOVIEMBRE!H81+DICIEMBRE!H81</f>
        <v>249422531.19</v>
      </c>
      <c r="I81" s="16">
        <f>ENERO!I81+FEBRERO!I81+MARZO!I81+ABRIL!I81+MAYO!I81+JUNIO!I81+JULIO!I81+AGOSTO!I81+SEPTIEMBRE!I81+OCTUBRE!I81+NOVIEMBRE!I81+DICIEMBRE!I81</f>
        <v>166620001.56999999</v>
      </c>
      <c r="J81" s="16">
        <f>ENERO!J81+FEBRERO!J81+MARZO!J81+ABRIL!J81+MAYO!J81+JUNIO!J81+JULIO!J81+AGOSTO!J81+SEPTIEMBRE!J81+OCTUBRE!J81+NOVIEMBRE!J81+DICIEMBRE!J81</f>
        <v>798719717.51000011</v>
      </c>
      <c r="K81" s="16">
        <f>ENERO!K81+FEBRERO!K81+MARZO!K81+ABRIL!K81+MAYO!K81+JUNIO!K81+JULIO!K81+AGOSTO!K81+SEPTIEMBRE!K81+OCTUBRE!K81+NOVIEMBRE!K81+DICIEMBRE!K81</f>
        <v>222833278.63999999</v>
      </c>
      <c r="L81" s="16">
        <f>ENERO!L81+FEBRERO!L81+MARZO!L81+ABRIL!L81+MAYO!L81+JUNIO!L81+JULIO!L81+AGOSTO!L81+SEPTIEMBRE!L81+OCTUBRE!L81+NOVIEMBRE!L81+DICIEMBRE!L81</f>
        <v>0</v>
      </c>
      <c r="M81" s="16">
        <f>ENERO!M81+FEBRERO!M81+MARZO!M81+ABRIL!M81+MAYO!M81+JUNIO!M81+JULIO!M81+AGOSTO!M81+SEPTIEMBRE!M81+OCTUBRE!M81+NOVIEMBRE!M81+DICIEMBRE!M81</f>
        <v>221.07</v>
      </c>
      <c r="N81" s="18">
        <f t="shared" si="2"/>
        <v>6766039175.9645109</v>
      </c>
      <c r="O81" s="4"/>
      <c r="P81" s="4"/>
      <c r="Q81" s="4"/>
    </row>
    <row r="82" spans="1:17" ht="18" customHeight="1" x14ac:dyDescent="0.2">
      <c r="A82" s="17" t="s">
        <v>77</v>
      </c>
      <c r="B82" s="16">
        <f>ENERO!B82+FEBRERO!B82+MARZO!B82+ABRIL!B82+MAYO!B82+JUNIO!B82+JULIO!B82+AGOSTO!B82+SEPTIEMBRE!B82+OCTUBRE!B82+NOVIEMBRE!B82+DICIEMBRE!B82</f>
        <v>75377552993.360001</v>
      </c>
      <c r="C82" s="16">
        <f>ENERO!C82+FEBRERO!C82+MARZO!C82+ABRIL!C82+MAYO!C82+JUNIO!C82+JULIO!C82+AGOSTO!C82+SEPTIEMBRE!C82+OCTUBRE!C82+NOVIEMBRE!C82+DICIEMBRE!C82</f>
        <v>258596.70196772003</v>
      </c>
      <c r="D82" s="16">
        <f>ENERO!D82+FEBRERO!D82+MARZO!D82+ABRIL!D82+MAYO!D82+JUNIO!D82+JULIO!D82+AGOSTO!D82+SEPTIEMBRE!D82+OCTUBRE!D82+NOVIEMBRE!D82+DICIEMBRE!D82</f>
        <v>717722993.23000014</v>
      </c>
      <c r="E82" s="16">
        <f>ENERO!E82+FEBRERO!E82+MARZO!E82+ABRIL!E82+MAYO!E82+JUNIO!E82+JULIO!E82+AGOSTO!E82+SEPTIEMBRE!E82+OCTUBRE!E82+NOVIEMBRE!E82+DICIEMBRE!E82</f>
        <v>792415011.28000021</v>
      </c>
      <c r="F82" s="16">
        <f>ENERO!F82+FEBRERO!F82+MARZO!F82+ABRIL!F82+MAYO!F82+JUNIO!F82+JULIO!F82+AGOSTO!F82+SEPTIEMBRE!F82+OCTUBRE!F82+NOVIEMBRE!F82+DICIEMBRE!F82</f>
        <v>1493492573.4935675</v>
      </c>
      <c r="G82" s="16">
        <f>ENERO!G82+FEBRERO!G82+MARZO!G82+ABRIL!G82+MAYO!G82+JUNIO!G82+JULIO!G82+AGOSTO!G82+SEPTIEMBRE!G82+OCTUBRE!G82+NOVIEMBRE!G82+DICIEMBRE!G82</f>
        <v>1270805382.1020069</v>
      </c>
      <c r="H82" s="16">
        <f>ENERO!H82+FEBRERO!H82+MARZO!H82+ABRIL!H82+MAYO!H82+JUNIO!H82+JULIO!H82+AGOSTO!H82+SEPTIEMBRE!H82+OCTUBRE!H82+NOVIEMBRE!H82+DICIEMBRE!H82</f>
        <v>3996598032.54</v>
      </c>
      <c r="I82" s="16">
        <f>ENERO!I82+FEBRERO!I82+MARZO!I82+ABRIL!I82+MAYO!I82+JUNIO!I82+JULIO!I82+AGOSTO!I82+SEPTIEMBRE!I82+OCTUBRE!I82+NOVIEMBRE!I82+DICIEMBRE!I82</f>
        <v>4802081877.7700005</v>
      </c>
      <c r="J82" s="16">
        <f>ENERO!J82+FEBRERO!J82+MARZO!J82+ABRIL!J82+MAYO!J82+JUNIO!J82+JULIO!J82+AGOSTO!J82+SEPTIEMBRE!J82+OCTUBRE!J82+NOVIEMBRE!J82+DICIEMBRE!J82</f>
        <v>6630056656.1200018</v>
      </c>
      <c r="K82" s="16">
        <f>ENERO!K82+FEBRERO!K82+MARZO!K82+ABRIL!K82+MAYO!K82+JUNIO!K82+JULIO!K82+AGOSTO!K82+SEPTIEMBRE!K82+OCTUBRE!K82+NOVIEMBRE!K82+DICIEMBRE!K82</f>
        <v>3538337597.1199999</v>
      </c>
      <c r="L82" s="16">
        <f>ENERO!L82+FEBRERO!L82+MARZO!L82+ABRIL!L82+MAYO!L82+JUNIO!L82+JULIO!L82+AGOSTO!L82+SEPTIEMBRE!L82+OCTUBRE!L82+NOVIEMBRE!L82+DICIEMBRE!L82</f>
        <v>0</v>
      </c>
      <c r="M82" s="16">
        <f>ENERO!M82+FEBRERO!M82+MARZO!M82+ABRIL!M82+MAYO!M82+JUNIO!M82+JULIO!M82+AGOSTO!M82+SEPTIEMBRE!M82+OCTUBRE!M82+NOVIEMBRE!M82+DICIEMBRE!M82</f>
        <v>6371.64</v>
      </c>
      <c r="N82" s="18">
        <f t="shared" si="2"/>
        <v>98619328085.357513</v>
      </c>
      <c r="O82" s="4"/>
      <c r="P82" s="4"/>
      <c r="Q82" s="4"/>
    </row>
    <row r="83" spans="1:17" ht="18" customHeight="1" x14ac:dyDescent="0.2">
      <c r="A83" s="17" t="s">
        <v>78</v>
      </c>
      <c r="B83" s="16">
        <f>ENERO!B83+FEBRERO!B83+MARZO!B83+ABRIL!B83+MAYO!B83+JUNIO!B83+JULIO!B83+AGOSTO!B83+SEPTIEMBRE!B83+OCTUBRE!B83+NOVIEMBRE!B83+DICIEMBRE!B83</f>
        <v>21110989268.550003</v>
      </c>
      <c r="C83" s="16">
        <f>ENERO!C83+FEBRERO!C83+MARZO!C83+ABRIL!C83+MAYO!C83+JUNIO!C83+JULIO!C83+AGOSTO!C83+SEPTIEMBRE!C83+OCTUBRE!C83+NOVIEMBRE!C83+DICIEMBRE!C83</f>
        <v>78477.841971770002</v>
      </c>
      <c r="D83" s="16">
        <f>ENERO!D83+FEBRERO!D83+MARZO!D83+ABRIL!D83+MAYO!D83+JUNIO!D83+JULIO!D83+AGOSTO!D83+SEPTIEMBRE!D83+OCTUBRE!D83+NOVIEMBRE!D83+DICIEMBRE!D83</f>
        <v>596654234.01179671</v>
      </c>
      <c r="E83" s="16">
        <f>ENERO!E83+FEBRERO!E83+MARZO!E83+ABRIL!E83+MAYO!E83+JUNIO!E83+JULIO!E83+AGOSTO!E83+SEPTIEMBRE!E83+OCTUBRE!E83+NOVIEMBRE!E83+DICIEMBRE!E83</f>
        <v>223220624.38</v>
      </c>
      <c r="F83" s="16">
        <f>ENERO!F83+FEBRERO!F83+MARZO!F83+ABRIL!F83+MAYO!F83+JUNIO!F83+JULIO!F83+AGOSTO!F83+SEPTIEMBRE!F83+OCTUBRE!F83+NOVIEMBRE!F83+DICIEMBRE!F83</f>
        <v>165373218.28955233</v>
      </c>
      <c r="G83" s="16">
        <f>ENERO!G83+FEBRERO!G83+MARZO!G83+ABRIL!G83+MAYO!G83+JUNIO!G83+JULIO!G83+AGOSTO!G83+SEPTIEMBRE!G83+OCTUBRE!G83+NOVIEMBRE!G83+DICIEMBRE!G83</f>
        <v>85999289.350000009</v>
      </c>
      <c r="H83" s="16">
        <f>ENERO!H83+FEBRERO!H83+MARZO!H83+ABRIL!H83+MAYO!H83+JUNIO!H83+JULIO!H83+AGOSTO!H83+SEPTIEMBRE!H83+OCTUBRE!H83+NOVIEMBRE!H83+DICIEMBRE!H83</f>
        <v>1123424332.4400001</v>
      </c>
      <c r="I83" s="16">
        <f>ENERO!I83+FEBRERO!I83+MARZO!I83+ABRIL!I83+MAYO!I83+JUNIO!I83+JULIO!I83+AGOSTO!I83+SEPTIEMBRE!I83+OCTUBRE!I83+NOVIEMBRE!I83+DICIEMBRE!I83</f>
        <v>531730621.91999996</v>
      </c>
      <c r="J83" s="16">
        <f>ENERO!J83+FEBRERO!J83+MARZO!J83+ABRIL!J83+MAYO!J83+JUNIO!J83+JULIO!J83+AGOSTO!J83+SEPTIEMBRE!J83+OCTUBRE!J83+NOVIEMBRE!J83+DICIEMBRE!J83</f>
        <v>1434953289.5099998</v>
      </c>
      <c r="K83" s="16">
        <f>ENERO!K83+FEBRERO!K83+MARZO!K83+ABRIL!K83+MAYO!K83+JUNIO!K83+JULIO!K83+AGOSTO!K83+SEPTIEMBRE!K83+OCTUBRE!K83+NOVIEMBRE!K83+DICIEMBRE!K83</f>
        <v>1073799775.9200001</v>
      </c>
      <c r="L83" s="16">
        <f>ENERO!L83+FEBRERO!L83+MARZO!L83+ABRIL!L83+MAYO!L83+JUNIO!L83+JULIO!L83+AGOSTO!L83+SEPTIEMBRE!L83+OCTUBRE!L83+NOVIEMBRE!L83+DICIEMBRE!L83</f>
        <v>0</v>
      </c>
      <c r="M83" s="16">
        <f>ENERO!M83+FEBRERO!M83+MARZO!M83+ABRIL!M83+MAYO!M83+JUNIO!M83+JULIO!M83+AGOSTO!M83+SEPTIEMBRE!M83+OCTUBRE!M83+NOVIEMBRE!M83+DICIEMBRE!M83</f>
        <v>705.52</v>
      </c>
      <c r="N83" s="18">
        <f t="shared" si="2"/>
        <v>26346223837.733318</v>
      </c>
      <c r="O83" s="4"/>
      <c r="P83" s="4"/>
      <c r="Q83" s="4"/>
    </row>
    <row r="84" spans="1:17" ht="18" customHeight="1" x14ac:dyDescent="0.2">
      <c r="A84" s="17" t="s">
        <v>79</v>
      </c>
      <c r="B84" s="16">
        <f>ENERO!B84+FEBRERO!B84+MARZO!B84+ABRIL!B84+MAYO!B84+JUNIO!B84+JULIO!B84+AGOSTO!B84+SEPTIEMBRE!B84+OCTUBRE!B84+NOVIEMBRE!B84+DICIEMBRE!B84</f>
        <v>8109828230.6200008</v>
      </c>
      <c r="C84" s="16">
        <f>ENERO!C84+FEBRERO!C84+MARZO!C84+ABRIL!C84+MAYO!C84+JUNIO!C84+JULIO!C84+AGOSTO!C84+SEPTIEMBRE!C84+OCTUBRE!C84+NOVIEMBRE!C84+DICIEMBRE!C84</f>
        <v>27154.915825350003</v>
      </c>
      <c r="D84" s="16">
        <f>ENERO!D84+FEBRERO!D84+MARZO!D84+ABRIL!D84+MAYO!D84+JUNIO!D84+JULIO!D84+AGOSTO!D84+SEPTIEMBRE!D84+OCTUBRE!D84+NOVIEMBRE!D84+DICIEMBRE!D84</f>
        <v>398237876.73369229</v>
      </c>
      <c r="E84" s="16">
        <f>ENERO!E84+FEBRERO!E84+MARZO!E84+ABRIL!E84+MAYO!E84+JUNIO!E84+JULIO!E84+AGOSTO!E84+SEPTIEMBRE!E84+OCTUBRE!E84+NOVIEMBRE!E84+DICIEMBRE!E84</f>
        <v>68636165.090000004</v>
      </c>
      <c r="F84" s="16">
        <f>ENERO!F84+FEBRERO!F84+MARZO!F84+ABRIL!F84+MAYO!F84+JUNIO!F84+JULIO!F84+AGOSTO!F84+SEPTIEMBRE!F84+OCTUBRE!F84+NOVIEMBRE!F84+DICIEMBRE!F84</f>
        <v>33190876.262006983</v>
      </c>
      <c r="G84" s="16">
        <f>ENERO!G84+FEBRERO!G84+MARZO!G84+ABRIL!G84+MAYO!G84+JUNIO!G84+JULIO!G84+AGOSTO!G84+SEPTIEMBRE!G84+OCTUBRE!G84+NOVIEMBRE!G84+DICIEMBRE!G84</f>
        <v>7937849.9551498089</v>
      </c>
      <c r="H84" s="16">
        <f>ENERO!H84+FEBRERO!H84+MARZO!H84+ABRIL!H84+MAYO!H84+JUNIO!H84+JULIO!H84+AGOSTO!H84+SEPTIEMBRE!H84+OCTUBRE!H84+NOVIEMBRE!H84+DICIEMBRE!H84</f>
        <v>429539963.27999997</v>
      </c>
      <c r="I84" s="16">
        <f>ENERO!I84+FEBRERO!I84+MARZO!I84+ABRIL!I84+MAYO!I84+JUNIO!I84+JULIO!I84+AGOSTO!I84+SEPTIEMBRE!I84+OCTUBRE!I84+NOVIEMBRE!I84+DICIEMBRE!I84</f>
        <v>106719851.49000001</v>
      </c>
      <c r="J84" s="16">
        <f>ENERO!J84+FEBRERO!J84+MARZO!J84+ABRIL!J84+MAYO!J84+JUNIO!J84+JULIO!J84+AGOSTO!J84+SEPTIEMBRE!J84+OCTUBRE!J84+NOVIEMBRE!J84+DICIEMBRE!J84</f>
        <v>590075565.9399997</v>
      </c>
      <c r="K84" s="16">
        <f>ENERO!K84+FEBRERO!K84+MARZO!K84+ABRIL!K84+MAYO!K84+JUNIO!K84+JULIO!K84+AGOSTO!K84+SEPTIEMBRE!K84+OCTUBRE!K84+NOVIEMBRE!K84+DICIEMBRE!K84</f>
        <v>371556363.60000002</v>
      </c>
      <c r="L84" s="16">
        <f>ENERO!L84+FEBRERO!L84+MARZO!L84+ABRIL!L84+MAYO!L84+JUNIO!L84+JULIO!L84+AGOSTO!L84+SEPTIEMBRE!L84+OCTUBRE!L84+NOVIEMBRE!L84+DICIEMBRE!L84</f>
        <v>0</v>
      </c>
      <c r="M84" s="16">
        <f>ENERO!M84+FEBRERO!M84+MARZO!M84+ABRIL!M84+MAYO!M84+JUNIO!M84+JULIO!M84+AGOSTO!M84+SEPTIEMBRE!M84+OCTUBRE!M84+NOVIEMBRE!M84+DICIEMBRE!M84</f>
        <v>141.59</v>
      </c>
      <c r="N84" s="18">
        <f t="shared" si="2"/>
        <v>10115750039.476677</v>
      </c>
      <c r="O84" s="4"/>
      <c r="P84" s="4"/>
      <c r="Q84" s="4"/>
    </row>
    <row r="85" spans="1:17" ht="18" customHeight="1" x14ac:dyDescent="0.2">
      <c r="A85" s="17" t="s">
        <v>80</v>
      </c>
      <c r="B85" s="16">
        <f>ENERO!B85+FEBRERO!B85+MARZO!B85+ABRIL!B85+MAYO!B85+JUNIO!B85+JULIO!B85+AGOSTO!B85+SEPTIEMBRE!B85+OCTUBRE!B85+NOVIEMBRE!B85+DICIEMBRE!B85</f>
        <v>6700452334.6599989</v>
      </c>
      <c r="C85" s="16">
        <f>ENERO!C85+FEBRERO!C85+MARZO!C85+ABRIL!C85+MAYO!C85+JUNIO!C85+JULIO!C85+AGOSTO!C85+SEPTIEMBRE!C85+OCTUBRE!C85+NOVIEMBRE!C85+DICIEMBRE!C85</f>
        <v>24195.567622770002</v>
      </c>
      <c r="D85" s="16">
        <f>ENERO!D85+FEBRERO!D85+MARZO!D85+ABRIL!D85+MAYO!D85+JUNIO!D85+JULIO!D85+AGOSTO!D85+SEPTIEMBRE!D85+OCTUBRE!D85+NOVIEMBRE!D85+DICIEMBRE!D85</f>
        <v>398591512.73023033</v>
      </c>
      <c r="E85" s="16">
        <f>ENERO!E85+FEBRERO!E85+MARZO!E85+ABRIL!E85+MAYO!E85+JUNIO!E85+JULIO!E85+AGOSTO!E85+SEPTIEMBRE!E85+OCTUBRE!E85+NOVIEMBRE!E85+DICIEMBRE!E85</f>
        <v>57903469.88000001</v>
      </c>
      <c r="F85" s="16">
        <f>ENERO!F85+FEBRERO!F85+MARZO!F85+ABRIL!F85+MAYO!F85+JUNIO!F85+JULIO!F85+AGOSTO!F85+SEPTIEMBRE!F85+OCTUBRE!F85+NOVIEMBRE!F85+DICIEMBRE!F85</f>
        <v>15691406.463030541</v>
      </c>
      <c r="G85" s="16">
        <f>ENERO!G85+FEBRERO!G85+MARZO!G85+ABRIL!G85+MAYO!G85+JUNIO!G85+JULIO!G85+AGOSTO!G85+SEPTIEMBRE!G85+OCTUBRE!G85+NOVIEMBRE!G85+DICIEMBRE!G85</f>
        <v>8802044.8200000003</v>
      </c>
      <c r="H85" s="16">
        <f>ENERO!H85+FEBRERO!H85+MARZO!H85+ABRIL!H85+MAYO!H85+JUNIO!H85+JULIO!H85+AGOSTO!H85+SEPTIEMBRE!H85+OCTUBRE!H85+NOVIEMBRE!H85+DICIEMBRE!H85</f>
        <v>356083123.38</v>
      </c>
      <c r="I85" s="16">
        <f>ENERO!I85+FEBRERO!I85+MARZO!I85+ABRIL!I85+MAYO!I85+JUNIO!I85+JULIO!I85+AGOSTO!I85+SEPTIEMBRE!I85+OCTUBRE!I85+NOVIEMBRE!I85+DICIEMBRE!I85</f>
        <v>50453159.359999992</v>
      </c>
      <c r="J85" s="16">
        <f>ENERO!J85+FEBRERO!J85+MARZO!J85+ABRIL!J85+MAYO!J85+JUNIO!J85+JULIO!J85+AGOSTO!J85+SEPTIEMBRE!J85+OCTUBRE!J85+NOVIEMBRE!J85+DICIEMBRE!J85</f>
        <v>347853232.64000005</v>
      </c>
      <c r="K85" s="16">
        <f>ENERO!K85+FEBRERO!K85+MARZO!K85+ABRIL!K85+MAYO!K85+JUNIO!K85+JULIO!K85+AGOSTO!K85+SEPTIEMBRE!K85+OCTUBRE!K85+NOVIEMBRE!K85+DICIEMBRE!K85</f>
        <v>331064071.92000002</v>
      </c>
      <c r="L85" s="16">
        <f>ENERO!L85+FEBRERO!L85+MARZO!L85+ABRIL!L85+MAYO!L85+JUNIO!L85+JULIO!L85+AGOSTO!L85+SEPTIEMBRE!L85+OCTUBRE!L85+NOVIEMBRE!L85+DICIEMBRE!L85</f>
        <v>0</v>
      </c>
      <c r="M85" s="16">
        <f>ENERO!M85+FEBRERO!M85+MARZO!M85+ABRIL!M85+MAYO!M85+JUNIO!M85+JULIO!M85+AGOSTO!M85+SEPTIEMBRE!M85+OCTUBRE!M85+NOVIEMBRE!M85+DICIEMBRE!M85</f>
        <v>66.930000000000007</v>
      </c>
      <c r="N85" s="18">
        <f t="shared" si="2"/>
        <v>8266918618.3508835</v>
      </c>
      <c r="O85" s="4"/>
      <c r="P85" s="4"/>
      <c r="Q85" s="4"/>
    </row>
    <row r="86" spans="1:17" ht="18" customHeight="1" x14ac:dyDescent="0.2">
      <c r="A86" s="17" t="s">
        <v>81</v>
      </c>
      <c r="B86" s="16">
        <f>ENERO!B86+FEBRERO!B86+MARZO!B86+ABRIL!B86+MAYO!B86+JUNIO!B86+JULIO!B86+AGOSTO!B86+SEPTIEMBRE!B86+OCTUBRE!B86+NOVIEMBRE!B86+DICIEMBRE!B86</f>
        <v>86145143225.899994</v>
      </c>
      <c r="C86" s="16">
        <f>ENERO!C86+FEBRERO!C86+MARZO!C86+ABRIL!C86+MAYO!C86+JUNIO!C86+JULIO!C86+AGOSTO!C86+SEPTIEMBRE!C86+OCTUBRE!C86+NOVIEMBRE!C86+DICIEMBRE!C86</f>
        <v>305926.07385441998</v>
      </c>
      <c r="D86" s="16">
        <f>ENERO!D86+FEBRERO!D86+MARZO!D86+ABRIL!D86+MAYO!D86+JUNIO!D86+JULIO!D86+AGOSTO!D86+SEPTIEMBRE!D86+OCTUBRE!D86+NOVIEMBRE!D86+DICIEMBRE!D86</f>
        <v>695883081.55999994</v>
      </c>
      <c r="E86" s="16">
        <f>ENERO!E86+FEBRERO!E86+MARZO!E86+ABRIL!E86+MAYO!E86+JUNIO!E86+JULIO!E86+AGOSTO!E86+SEPTIEMBRE!E86+OCTUBRE!E86+NOVIEMBRE!E86+DICIEMBRE!E86</f>
        <v>896924692.70000005</v>
      </c>
      <c r="F86" s="16">
        <f>ENERO!F86+FEBRERO!F86+MARZO!F86+ABRIL!F86+MAYO!F86+JUNIO!F86+JULIO!F86+AGOSTO!F86+SEPTIEMBRE!F86+OCTUBRE!F86+NOVIEMBRE!F86+DICIEMBRE!F86</f>
        <v>937061092.56371474</v>
      </c>
      <c r="G86" s="16">
        <f>ENERO!G86+FEBRERO!G86+MARZO!G86+ABRIL!G86+MAYO!G86+JUNIO!G86+JULIO!G86+AGOSTO!G86+SEPTIEMBRE!G86+OCTUBRE!G86+NOVIEMBRE!G86+DICIEMBRE!G86</f>
        <v>317253586.29512745</v>
      </c>
      <c r="H86" s="16">
        <f>ENERO!H86+FEBRERO!H86+MARZO!H86+ABRIL!H86+MAYO!H86+JUNIO!H86+JULIO!H86+AGOSTO!H86+SEPTIEMBRE!H86+OCTUBRE!H86+NOVIEMBRE!H86+DICIEMBRE!H86</f>
        <v>4574539837.9200001</v>
      </c>
      <c r="I86" s="16">
        <f>ENERO!I86+FEBRERO!I86+MARZO!I86+ABRIL!I86+MAYO!I86+JUNIO!I86+JULIO!I86+AGOSTO!I86+SEPTIEMBRE!I86+OCTUBRE!I86+NOVIEMBRE!I86+DICIEMBRE!I86</f>
        <v>3012967169.0499997</v>
      </c>
      <c r="J86" s="16">
        <f>ENERO!J86+FEBRERO!J86+MARZO!J86+ABRIL!J86+MAYO!J86+JUNIO!J86+JULIO!J86+AGOSTO!J86+SEPTIEMBRE!J86+OCTUBRE!J86+NOVIEMBRE!J86+DICIEMBRE!J86</f>
        <v>2927078313.2200003</v>
      </c>
      <c r="K86" s="16">
        <f>ENERO!K86+FEBRERO!K86+MARZO!K86+ABRIL!K86+MAYO!K86+JUNIO!K86+JULIO!K86+AGOSTO!K86+SEPTIEMBRE!K86+OCTUBRE!K86+NOVIEMBRE!K86+DICIEMBRE!K86</f>
        <v>4185937780.3199997</v>
      </c>
      <c r="L86" s="16">
        <f>ENERO!L86+FEBRERO!L86+MARZO!L86+ABRIL!L86+MAYO!L86+JUNIO!L86+JULIO!L86+AGOSTO!L86+SEPTIEMBRE!L86+OCTUBRE!L86+NOVIEMBRE!L86+DICIEMBRE!L86</f>
        <v>0</v>
      </c>
      <c r="M86" s="16">
        <f>ENERO!M86+FEBRERO!M86+MARZO!M86+ABRIL!M86+MAYO!M86+JUNIO!M86+JULIO!M86+AGOSTO!M86+SEPTIEMBRE!M86+OCTUBRE!M86+NOVIEMBRE!M86+DICIEMBRE!M86</f>
        <v>3997.75</v>
      </c>
      <c r="N86" s="18">
        <f t="shared" si="2"/>
        <v>103693098703.35269</v>
      </c>
      <c r="O86" s="4"/>
      <c r="P86" s="4"/>
      <c r="Q86" s="4"/>
    </row>
    <row r="87" spans="1:17" ht="18" customHeight="1" x14ac:dyDescent="0.2">
      <c r="A87" s="17" t="s">
        <v>82</v>
      </c>
      <c r="B87" s="16">
        <f>ENERO!B87+FEBRERO!B87+MARZO!B87+ABRIL!B87+MAYO!B87+JUNIO!B87+JULIO!B87+AGOSTO!B87+SEPTIEMBRE!B87+OCTUBRE!B87+NOVIEMBRE!B87+DICIEMBRE!B87</f>
        <v>12748102770.129997</v>
      </c>
      <c r="C87" s="16">
        <f>ENERO!C87+FEBRERO!C87+MARZO!C87+ABRIL!C87+MAYO!C87+JUNIO!C87+JULIO!C87+AGOSTO!C87+SEPTIEMBRE!C87+OCTUBRE!C87+NOVIEMBRE!C87+DICIEMBRE!C87</f>
        <v>42646.022841090002</v>
      </c>
      <c r="D87" s="16">
        <f>ENERO!D87+FEBRERO!D87+MARZO!D87+ABRIL!D87+MAYO!D87+JUNIO!D87+JULIO!D87+AGOSTO!D87+SEPTIEMBRE!D87+OCTUBRE!D87+NOVIEMBRE!D87+DICIEMBRE!D87</f>
        <v>476549843.40628278</v>
      </c>
      <c r="E87" s="16">
        <f>ENERO!E87+FEBRERO!E87+MARZO!E87+ABRIL!E87+MAYO!E87+JUNIO!E87+JULIO!E87+AGOSTO!E87+SEPTIEMBRE!E87+OCTUBRE!E87+NOVIEMBRE!E87+DICIEMBRE!E87</f>
        <v>107132357.47</v>
      </c>
      <c r="F87" s="16">
        <f>ENERO!F87+FEBRERO!F87+MARZO!F87+ABRIL!F87+MAYO!F87+JUNIO!F87+JULIO!F87+AGOSTO!F87+SEPTIEMBRE!F87+OCTUBRE!F87+NOVIEMBRE!F87+DICIEMBRE!F87</f>
        <v>26604359.943204045</v>
      </c>
      <c r="G87" s="16">
        <f>ENERO!G87+FEBRERO!G87+MARZO!G87+ABRIL!G87+MAYO!G87+JUNIO!G87+JULIO!G87+AGOSTO!G87+SEPTIEMBRE!G87+OCTUBRE!G87+NOVIEMBRE!G87+DICIEMBRE!G87</f>
        <v>25276862.259999998</v>
      </c>
      <c r="H87" s="16">
        <f>ENERO!H87+FEBRERO!H87+MARZO!H87+ABRIL!H87+MAYO!H87+JUNIO!H87+JULIO!H87+AGOSTO!H87+SEPTIEMBRE!H87+OCTUBRE!H87+NOVIEMBRE!H87+DICIEMBRE!H87</f>
        <v>675180988.93999994</v>
      </c>
      <c r="I87" s="16">
        <f>ENERO!I87+FEBRERO!I87+MARZO!I87+ABRIL!I87+MAYO!I87+JUNIO!I87+JULIO!I87+AGOSTO!I87+SEPTIEMBRE!I87+OCTUBRE!I87+NOVIEMBRE!I87+DICIEMBRE!I87</f>
        <v>85541982.129999995</v>
      </c>
      <c r="J87" s="16">
        <f>ENERO!J87+FEBRERO!J87+MARZO!J87+ABRIL!J87+MAYO!J87+JUNIO!J87+JULIO!J87+AGOSTO!J87+SEPTIEMBRE!J87+OCTUBRE!J87+NOVIEMBRE!J87+DICIEMBRE!J87</f>
        <v>661868968.28000009</v>
      </c>
      <c r="K87" s="16">
        <f>ENERO!K87+FEBRERO!K87+MARZO!K87+ABRIL!K87+MAYO!K87+JUNIO!K87+JULIO!K87+AGOSTO!K87+SEPTIEMBRE!K87+OCTUBRE!K87+NOVIEMBRE!K87+DICIEMBRE!K87</f>
        <v>583518806.63999999</v>
      </c>
      <c r="L87" s="16">
        <f>ENERO!L87+FEBRERO!L87+MARZO!L87+ABRIL!L87+MAYO!L87+JUNIO!L87+JULIO!L87+AGOSTO!L87+SEPTIEMBRE!L87+OCTUBRE!L87+NOVIEMBRE!L87+DICIEMBRE!L87</f>
        <v>0</v>
      </c>
      <c r="M87" s="16">
        <f>ENERO!M87+FEBRERO!M87+MARZO!M87+ABRIL!M87+MAYO!M87+JUNIO!M87+JULIO!M87+AGOSTO!M87+SEPTIEMBRE!M87+OCTUBRE!M87+NOVIEMBRE!M87+DICIEMBRE!M87</f>
        <v>113.49</v>
      </c>
      <c r="N87" s="18">
        <f t="shared" si="2"/>
        <v>15389819698.712324</v>
      </c>
      <c r="O87" s="4"/>
      <c r="P87" s="4"/>
      <c r="Q87" s="4"/>
    </row>
    <row r="88" spans="1:17" ht="18" customHeight="1" x14ac:dyDescent="0.2">
      <c r="A88" s="17" t="s">
        <v>83</v>
      </c>
      <c r="B88" s="16">
        <f>ENERO!B88+FEBRERO!B88+MARZO!B88+ABRIL!B88+MAYO!B88+JUNIO!B88+JULIO!B88+AGOSTO!B88+SEPTIEMBRE!B88+OCTUBRE!B88+NOVIEMBRE!B88+DICIEMBRE!B88</f>
        <v>10216219701.629999</v>
      </c>
      <c r="C88" s="16">
        <f>ENERO!C88+FEBRERO!C88+MARZO!C88+ABRIL!C88+MAYO!C88+JUNIO!C88+JULIO!C88+AGOSTO!C88+SEPTIEMBRE!C88+OCTUBRE!C88+NOVIEMBRE!C88+DICIEMBRE!C88</f>
        <v>34534.911463999997</v>
      </c>
      <c r="D88" s="16">
        <f>ENERO!D88+FEBRERO!D88+MARZO!D88+ABRIL!D88+MAYO!D88+JUNIO!D88+JULIO!D88+AGOSTO!D88+SEPTIEMBRE!D88+OCTUBRE!D88+NOVIEMBRE!D88+DICIEMBRE!D88</f>
        <v>180060052.92933202</v>
      </c>
      <c r="E88" s="16">
        <f>ENERO!E88+FEBRERO!E88+MARZO!E88+ABRIL!E88+MAYO!E88+JUNIO!E88+JULIO!E88+AGOSTO!E88+SEPTIEMBRE!E88+OCTUBRE!E88+NOVIEMBRE!E88+DICIEMBRE!E88</f>
        <v>90196101.159999996</v>
      </c>
      <c r="F88" s="16">
        <f>ENERO!F88+FEBRERO!F88+MARZO!F88+ABRIL!F88+MAYO!F88+JUNIO!F88+JULIO!F88+AGOSTO!F88+SEPTIEMBRE!F88+OCTUBRE!F88+NOVIEMBRE!F88+DICIEMBRE!F88</f>
        <v>130567999.76509364</v>
      </c>
      <c r="G88" s="16">
        <f>ENERO!G88+FEBRERO!G88+MARZO!G88+ABRIL!G88+MAYO!G88+JUNIO!G88+JULIO!G88+AGOSTO!G88+SEPTIEMBRE!G88+OCTUBRE!G88+NOVIEMBRE!G88+DICIEMBRE!G88</f>
        <v>51519748.799999997</v>
      </c>
      <c r="H88" s="16">
        <f>ENERO!H88+FEBRERO!H88+MARZO!H88+ABRIL!H88+MAYO!H88+JUNIO!H88+JULIO!H88+AGOSTO!H88+SEPTIEMBRE!H88+OCTUBRE!H88+NOVIEMBRE!H88+DICIEMBRE!H88</f>
        <v>541327078.56000006</v>
      </c>
      <c r="I88" s="16">
        <f>ENERO!I88+FEBRERO!I88+MARZO!I88+ABRIL!I88+MAYO!I88+JUNIO!I88+JULIO!I88+AGOSTO!I88+SEPTIEMBRE!I88+OCTUBRE!I88+NOVIEMBRE!I88+DICIEMBRE!I88</f>
        <v>419820116.16999996</v>
      </c>
      <c r="J88" s="16">
        <f>ENERO!J88+FEBRERO!J88+MARZO!J88+ABRIL!J88+MAYO!J88+JUNIO!J88+JULIO!J88+AGOSTO!J88+SEPTIEMBRE!J88+OCTUBRE!J88+NOVIEMBRE!J88+DICIEMBRE!J88</f>
        <v>1007527216.1100003</v>
      </c>
      <c r="K88" s="16">
        <f>ENERO!K88+FEBRERO!K88+MARZO!K88+ABRIL!K88+MAYO!K88+JUNIO!K88+JULIO!K88+AGOSTO!K88+SEPTIEMBRE!K88+OCTUBRE!K88+NOVIEMBRE!K88+DICIEMBRE!K88</f>
        <v>472535744</v>
      </c>
      <c r="L88" s="16">
        <f>ENERO!L88+FEBRERO!L88+MARZO!L88+ABRIL!L88+MAYO!L88+JUNIO!L88+JULIO!L88+AGOSTO!L88+SEPTIEMBRE!L88+OCTUBRE!L88+NOVIEMBRE!L88+DICIEMBRE!L88</f>
        <v>0</v>
      </c>
      <c r="M88" s="16">
        <f>ENERO!M88+FEBRERO!M88+MARZO!M88+ABRIL!M88+MAYO!M88+JUNIO!M88+JULIO!M88+AGOSTO!M88+SEPTIEMBRE!M88+OCTUBRE!M88+NOVIEMBRE!M88+DICIEMBRE!M88</f>
        <v>557.03</v>
      </c>
      <c r="N88" s="18">
        <f t="shared" si="2"/>
        <v>13109808851.065889</v>
      </c>
      <c r="O88" s="4"/>
      <c r="P88" s="4"/>
      <c r="Q88" s="4"/>
    </row>
    <row r="89" spans="1:17" ht="18" customHeight="1" x14ac:dyDescent="0.2">
      <c r="A89" s="17" t="s">
        <v>84</v>
      </c>
      <c r="B89" s="16">
        <f>ENERO!B89+FEBRERO!B89+MARZO!B89+ABRIL!B89+MAYO!B89+JUNIO!B89+JULIO!B89+AGOSTO!B89+SEPTIEMBRE!B89+OCTUBRE!B89+NOVIEMBRE!B89+DICIEMBRE!B89</f>
        <v>17052694106.92</v>
      </c>
      <c r="C89" s="16">
        <f>ENERO!C89+FEBRERO!C89+MARZO!C89+ABRIL!C89+MAYO!C89+JUNIO!C89+JULIO!C89+AGOSTO!C89+SEPTIEMBRE!C89+OCTUBRE!C89+NOVIEMBRE!C89+DICIEMBRE!C89</f>
        <v>59884.09678461001</v>
      </c>
      <c r="D89" s="16">
        <f>ENERO!D89+FEBRERO!D89+MARZO!D89+ABRIL!D89+MAYO!D89+JUNIO!D89+JULIO!D89+AGOSTO!D89+SEPTIEMBRE!D89+OCTUBRE!D89+NOVIEMBRE!D89+DICIEMBRE!D89</f>
        <v>472732032.60201353</v>
      </c>
      <c r="E89" s="16">
        <f>ENERO!E89+FEBRERO!E89+MARZO!E89+ABRIL!E89+MAYO!E89+JUNIO!E89+JULIO!E89+AGOSTO!E89+SEPTIEMBRE!E89+OCTUBRE!E89+NOVIEMBRE!E89+DICIEMBRE!E89</f>
        <v>150257117.66</v>
      </c>
      <c r="F89" s="16">
        <f>ENERO!F89+FEBRERO!F89+MARZO!F89+ABRIL!F89+MAYO!F89+JUNIO!F89+JULIO!F89+AGOSTO!F89+SEPTIEMBRE!F89+OCTUBRE!F89+NOVIEMBRE!F89+DICIEMBRE!F89</f>
        <v>109807558.61896475</v>
      </c>
      <c r="G89" s="16">
        <f>ENERO!G89+FEBRERO!G89+MARZO!G89+ABRIL!G89+MAYO!G89+JUNIO!G89+JULIO!G89+AGOSTO!G89+SEPTIEMBRE!G89+OCTUBRE!G89+NOVIEMBRE!G89+DICIEMBRE!G89</f>
        <v>56267340.950000003</v>
      </c>
      <c r="H89" s="16">
        <f>ENERO!H89+FEBRERO!H89+MARZO!H89+ABRIL!H89+MAYO!H89+JUNIO!H89+JULIO!H89+AGOSTO!H89+SEPTIEMBRE!H89+OCTUBRE!H89+NOVIEMBRE!H89+DICIEMBRE!H89</f>
        <v>905087262.94999993</v>
      </c>
      <c r="I89" s="16">
        <f>ENERO!I89+FEBRERO!I89+MARZO!I89+ABRIL!I89+MAYO!I89+JUNIO!I89+JULIO!I89+AGOSTO!I89+SEPTIEMBRE!I89+OCTUBRE!I89+NOVIEMBRE!I89+DICIEMBRE!I89</f>
        <v>353068302.44000006</v>
      </c>
      <c r="J89" s="16">
        <f>ENERO!J89+FEBRERO!J89+MARZO!J89+ABRIL!J89+MAYO!J89+JUNIO!J89+JULIO!J89+AGOSTO!J89+SEPTIEMBRE!J89+OCTUBRE!J89+NOVIEMBRE!J89+DICIEMBRE!J89</f>
        <v>1034673579.2999998</v>
      </c>
      <c r="K89" s="16">
        <f>ENERO!K89+FEBRERO!K89+MARZO!K89+ABRIL!K89+MAYO!K89+JUNIO!K89+JULIO!K89+AGOSTO!K89+SEPTIEMBRE!K89+OCTUBRE!K89+NOVIEMBRE!K89+DICIEMBRE!K89</f>
        <v>819384520.56000006</v>
      </c>
      <c r="L89" s="16">
        <f>ENERO!L89+FEBRERO!L89+MARZO!L89+ABRIL!L89+MAYO!L89+JUNIO!L89+JULIO!L89+AGOSTO!L89+SEPTIEMBRE!L89+OCTUBRE!L89+NOVIEMBRE!L89+DICIEMBRE!L89</f>
        <v>0</v>
      </c>
      <c r="M89" s="16">
        <f>ENERO!M89+FEBRERO!M89+MARZO!M89+ABRIL!M89+MAYO!M89+JUNIO!M89+JULIO!M89+AGOSTO!M89+SEPTIEMBRE!M89+OCTUBRE!M89+NOVIEMBRE!M89+DICIEMBRE!M89</f>
        <v>468.46000000000004</v>
      </c>
      <c r="N89" s="18">
        <f t="shared" si="2"/>
        <v>20954032174.557762</v>
      </c>
      <c r="O89" s="4"/>
      <c r="P89" s="4"/>
      <c r="Q89" s="4"/>
    </row>
    <row r="90" spans="1:17" ht="18" customHeight="1" x14ac:dyDescent="0.2">
      <c r="A90" s="17" t="s">
        <v>85</v>
      </c>
      <c r="B90" s="16">
        <f>ENERO!B90+FEBRERO!B90+MARZO!B90+ABRIL!B90+MAYO!B90+JUNIO!B90+JULIO!B90+AGOSTO!B90+SEPTIEMBRE!B90+OCTUBRE!B90+NOVIEMBRE!B90+DICIEMBRE!B90</f>
        <v>79831950662.850006</v>
      </c>
      <c r="C90" s="16">
        <f>ENERO!C90+FEBRERO!C90+MARZO!C90+ABRIL!C90+MAYO!C90+JUNIO!C90+JULIO!C90+AGOSTO!C90+SEPTIEMBRE!C90+OCTUBRE!C90+NOVIEMBRE!C90+DICIEMBRE!C90</f>
        <v>296766.97276934003</v>
      </c>
      <c r="D90" s="16">
        <f>ENERO!D90+FEBRERO!D90+MARZO!D90+ABRIL!D90+MAYO!D90+JUNIO!D90+JULIO!D90+AGOSTO!D90+SEPTIEMBRE!D90+OCTUBRE!D90+NOVIEMBRE!D90+DICIEMBRE!D90</f>
        <v>358041767.47370327</v>
      </c>
      <c r="E90" s="16">
        <f>ENERO!E90+FEBRERO!E90+MARZO!E90+ABRIL!E90+MAYO!E90+JUNIO!E90+JULIO!E90+AGOSTO!E90+SEPTIEMBRE!E90+OCTUBRE!E90+NOVIEMBRE!E90+DICIEMBRE!E90</f>
        <v>863176001.26999986</v>
      </c>
      <c r="F90" s="16">
        <f>ENERO!F90+FEBRERO!F90+MARZO!F90+ABRIL!F90+MAYO!F90+JUNIO!F90+JULIO!F90+AGOSTO!F90+SEPTIEMBRE!F90+OCTUBRE!F90+NOVIEMBRE!F90+DICIEMBRE!F90</f>
        <v>1489521291.5769362</v>
      </c>
      <c r="G90" s="16">
        <f>ENERO!G90+FEBRERO!G90+MARZO!G90+ABRIL!G90+MAYO!G90+JUNIO!G90+JULIO!G90+AGOSTO!G90+SEPTIEMBRE!G90+OCTUBRE!G90+NOVIEMBRE!G90+DICIEMBRE!G90</f>
        <v>442243891.20091903</v>
      </c>
      <c r="H90" s="16">
        <f>ENERO!H90+FEBRERO!H90+MARZO!H90+ABRIL!H90+MAYO!H90+JUNIO!H90+JULIO!H90+AGOSTO!H90+SEPTIEMBRE!H90+OCTUBRE!H90+NOVIEMBRE!H90+DICIEMBRE!H90</f>
        <v>4248268919.46</v>
      </c>
      <c r="I90" s="16">
        <f>ENERO!I90+FEBRERO!I90+MARZO!I90+ABRIL!I90+MAYO!I90+JUNIO!I90+JULIO!I90+AGOSTO!I90+SEPTIEMBRE!I90+OCTUBRE!I90+NOVIEMBRE!I90+DICIEMBRE!I90</f>
        <v>4789312868.3100004</v>
      </c>
      <c r="J90" s="16">
        <f>ENERO!J90+FEBRERO!J90+MARZO!J90+ABRIL!J90+MAYO!J90+JUNIO!J90+JULIO!J90+AGOSTO!J90+SEPTIEMBRE!J90+OCTUBRE!J90+NOVIEMBRE!J90+DICIEMBRE!J90</f>
        <v>6031501296.0500021</v>
      </c>
      <c r="K90" s="16">
        <f>ENERO!K90+FEBRERO!K90+MARZO!K90+ABRIL!K90+MAYO!K90+JUNIO!K90+JULIO!K90+AGOSTO!K90+SEPTIEMBRE!K90+OCTUBRE!K90+NOVIEMBRE!K90+DICIEMBRE!K90</f>
        <v>4060615268.6399999</v>
      </c>
      <c r="L90" s="16">
        <f>ENERO!L90+FEBRERO!L90+MARZO!L90+ABRIL!L90+MAYO!L90+JUNIO!L90+JULIO!L90+AGOSTO!L90+SEPTIEMBRE!L90+OCTUBRE!L90+NOVIEMBRE!L90+DICIEMBRE!L90</f>
        <v>0</v>
      </c>
      <c r="M90" s="16">
        <f>ENERO!M90+FEBRERO!M90+MARZO!M90+ABRIL!M90+MAYO!M90+JUNIO!M90+JULIO!M90+AGOSTO!M90+SEPTIEMBRE!M90+OCTUBRE!M90+NOVIEMBRE!M90+DICIEMBRE!M90</f>
        <v>6354.6900000000005</v>
      </c>
      <c r="N90" s="18">
        <f t="shared" si="2"/>
        <v>102114935088.49434</v>
      </c>
      <c r="O90" s="4"/>
      <c r="P90" s="4"/>
      <c r="Q90" s="4"/>
    </row>
    <row r="91" spans="1:17" ht="18" customHeight="1" x14ac:dyDescent="0.2">
      <c r="A91" s="17" t="s">
        <v>86</v>
      </c>
      <c r="B91" s="16">
        <f>ENERO!B91+FEBRERO!B91+MARZO!B91+ABRIL!B91+MAYO!B91+JUNIO!B91+JULIO!B91+AGOSTO!B91+SEPTIEMBRE!B91+OCTUBRE!B91+NOVIEMBRE!B91+DICIEMBRE!B91</f>
        <v>3476235139.23</v>
      </c>
      <c r="C91" s="16">
        <f>ENERO!C91+FEBRERO!C91+MARZO!C91+ABRIL!C91+MAYO!C91+JUNIO!C91+JULIO!C91+AGOSTO!C91+SEPTIEMBRE!C91+OCTUBRE!C91+NOVIEMBRE!C91+DICIEMBRE!C91</f>
        <v>11867.70684219</v>
      </c>
      <c r="D91" s="16">
        <f>ENERO!D91+FEBRERO!D91+MARZO!D91+ABRIL!D91+MAYO!D91+JUNIO!D91+JULIO!D91+AGOSTO!D91+SEPTIEMBRE!D91+OCTUBRE!D91+NOVIEMBRE!D91+DICIEMBRE!D91</f>
        <v>594600780.85324764</v>
      </c>
      <c r="E91" s="16">
        <f>ENERO!E91+FEBRERO!E91+MARZO!E91+ABRIL!E91+MAYO!E91+JUNIO!E91+JULIO!E91+AGOSTO!E91+SEPTIEMBRE!E91+OCTUBRE!E91+NOVIEMBRE!E91+DICIEMBRE!E91</f>
        <v>30171778.800000004</v>
      </c>
      <c r="F91" s="16">
        <f>ENERO!F91+FEBRERO!F91+MARZO!F91+ABRIL!F91+MAYO!F91+JUNIO!F91+JULIO!F91+AGOSTO!F91+SEPTIEMBRE!F91+OCTUBRE!F91+NOVIEMBRE!F91+DICIEMBRE!F91</f>
        <v>34579210.578715459</v>
      </c>
      <c r="G91" s="16">
        <f>ENERO!G91+FEBRERO!G91+MARZO!G91+ABRIL!G91+MAYO!G91+JUNIO!G91+JULIO!G91+AGOSTO!G91+SEPTIEMBRE!G91+OCTUBRE!G91+NOVIEMBRE!G91+DICIEMBRE!G91</f>
        <v>19187244.239999998</v>
      </c>
      <c r="H91" s="16">
        <f>ENERO!H91+FEBRERO!H91+MARZO!H91+ABRIL!H91+MAYO!H91+JUNIO!H91+JULIO!H91+AGOSTO!H91+SEPTIEMBRE!H91+OCTUBRE!H91+NOVIEMBRE!H91+DICIEMBRE!H91</f>
        <v>184274309.02000004</v>
      </c>
      <c r="I91" s="16">
        <f>ENERO!I91+FEBRERO!I91+MARZO!I91+ABRIL!I91+MAYO!I91+JUNIO!I91+JULIO!I91+AGOSTO!I91+SEPTIEMBRE!I91+OCTUBRE!I91+NOVIEMBRE!I91+DICIEMBRE!I91</f>
        <v>111183814.15000001</v>
      </c>
      <c r="J91" s="16">
        <f>ENERO!J91+FEBRERO!J91+MARZO!J91+ABRIL!J91+MAYO!J91+JUNIO!J91+JULIO!J91+AGOSTO!J91+SEPTIEMBRE!J91+OCTUBRE!J91+NOVIEMBRE!J91+DICIEMBRE!J91</f>
        <v>465155333.46000016</v>
      </c>
      <c r="K91" s="16">
        <f>ENERO!K91+FEBRERO!K91+MARZO!K91+ABRIL!K91+MAYO!K91+JUNIO!K91+JULIO!K91+AGOSTO!K91+SEPTIEMBRE!K91+OCTUBRE!K91+NOVIEMBRE!K91+DICIEMBRE!K91</f>
        <v>162383892.24000001</v>
      </c>
      <c r="L91" s="16">
        <f>ENERO!L91+FEBRERO!L91+MARZO!L91+ABRIL!L91+MAYO!L91+JUNIO!L91+JULIO!L91+AGOSTO!L91+SEPTIEMBRE!L91+OCTUBRE!L91+NOVIEMBRE!L91+DICIEMBRE!L91</f>
        <v>0</v>
      </c>
      <c r="M91" s="16">
        <f>ENERO!M91+FEBRERO!M91+MARZO!M91+ABRIL!M91+MAYO!M91+JUNIO!M91+JULIO!M91+AGOSTO!M91+SEPTIEMBRE!M91+OCTUBRE!M91+NOVIEMBRE!M91+DICIEMBRE!M91</f>
        <v>147.51</v>
      </c>
      <c r="N91" s="18">
        <f t="shared" si="2"/>
        <v>5077783517.788805</v>
      </c>
      <c r="O91" s="4"/>
      <c r="P91" s="4"/>
      <c r="Q91" s="4"/>
    </row>
    <row r="92" spans="1:17" ht="18" customHeight="1" x14ac:dyDescent="0.2">
      <c r="A92" s="17" t="s">
        <v>87</v>
      </c>
      <c r="B92" s="16">
        <f>ENERO!B92+FEBRERO!B92+MARZO!B92+ABRIL!B92+MAYO!B92+JUNIO!B92+JULIO!B92+AGOSTO!B92+SEPTIEMBRE!B92+OCTUBRE!B92+NOVIEMBRE!B92+DICIEMBRE!B92</f>
        <v>5182102734.9200001</v>
      </c>
      <c r="C92" s="16">
        <f>ENERO!C92+FEBRERO!C92+MARZO!C92+ABRIL!C92+MAYO!C92+JUNIO!C92+JULIO!C92+AGOSTO!C92+SEPTIEMBRE!C92+OCTUBRE!C92+NOVIEMBRE!C92+DICIEMBRE!C92</f>
        <v>17768.02837955</v>
      </c>
      <c r="D92" s="16">
        <f>ENERO!D92+FEBRERO!D92+MARZO!D92+ABRIL!D92+MAYO!D92+JUNIO!D92+JULIO!D92+AGOSTO!D92+SEPTIEMBRE!D92+OCTUBRE!D92+NOVIEMBRE!D92+DICIEMBRE!D92</f>
        <v>13449012.16</v>
      </c>
      <c r="E92" s="16">
        <f>ENERO!E92+FEBRERO!E92+MARZO!E92+ABRIL!E92+MAYO!E92+JUNIO!E92+JULIO!E92+AGOSTO!E92+SEPTIEMBRE!E92+OCTUBRE!E92+NOVIEMBRE!E92+DICIEMBRE!E92</f>
        <v>38395705.710000001</v>
      </c>
      <c r="F92" s="16">
        <f>ENERO!F92+FEBRERO!F92+MARZO!F92+ABRIL!F92+MAYO!F92+JUNIO!F92+JULIO!F92+AGOSTO!F92+SEPTIEMBRE!F92+OCTUBRE!F92+NOVIEMBRE!F92+DICIEMBRE!F92</f>
        <v>7393687.3850287935</v>
      </c>
      <c r="G92" s="16">
        <f>ENERO!G92+FEBRERO!G92+MARZO!G92+ABRIL!G92+MAYO!G92+JUNIO!G92+JULIO!G92+AGOSTO!G92+SEPTIEMBRE!G92+OCTUBRE!G92+NOVIEMBRE!G92+DICIEMBRE!G92</f>
        <v>6464110.1499999994</v>
      </c>
      <c r="H92" s="16">
        <f>ENERO!H92+FEBRERO!H92+MARZO!H92+ABRIL!H92+MAYO!H92+JUNIO!H92+JULIO!H92+AGOSTO!H92+SEPTIEMBRE!H92+OCTUBRE!H92+NOVIEMBRE!H92+DICIEMBRE!H92</f>
        <v>274753736.96000004</v>
      </c>
      <c r="I92" s="16">
        <f>ENERO!I92+FEBRERO!I92+MARZO!I92+ABRIL!I92+MAYO!I92+JUNIO!I92+JULIO!I92+AGOSTO!I92+SEPTIEMBRE!I92+OCTUBRE!I92+NOVIEMBRE!I92+DICIEMBRE!I92</f>
        <v>23773196.489999998</v>
      </c>
      <c r="J92" s="16">
        <f>ENERO!J92+FEBRERO!J92+MARZO!J92+ABRIL!J92+MAYO!J92+JUNIO!J92+JULIO!J92+AGOSTO!J92+SEPTIEMBRE!J92+OCTUBRE!J92+NOVIEMBRE!J92+DICIEMBRE!J92</f>
        <v>180870939.37999997</v>
      </c>
      <c r="K92" s="16">
        <f>ENERO!K92+FEBRERO!K92+MARZO!K92+ABRIL!K92+MAYO!K92+JUNIO!K92+JULIO!K92+AGOSTO!K92+SEPTIEMBRE!K92+OCTUBRE!K92+NOVIEMBRE!K92+DICIEMBRE!K92</f>
        <v>243117126.80000001</v>
      </c>
      <c r="L92" s="16">
        <f>ENERO!L92+FEBRERO!L92+MARZO!L92+ABRIL!L92+MAYO!L92+JUNIO!L92+JULIO!L92+AGOSTO!L92+SEPTIEMBRE!L92+OCTUBRE!L92+NOVIEMBRE!L92+DICIEMBRE!L92</f>
        <v>0</v>
      </c>
      <c r="M92" s="16">
        <f>ENERO!M92+FEBRERO!M92+MARZO!M92+ABRIL!M92+MAYO!M92+JUNIO!M92+JULIO!M92+AGOSTO!M92+SEPTIEMBRE!M92+OCTUBRE!M92+NOVIEMBRE!M92+DICIEMBRE!M92</f>
        <v>31.53</v>
      </c>
      <c r="N92" s="18">
        <f t="shared" si="2"/>
        <v>5970338049.5134077</v>
      </c>
      <c r="O92" s="4"/>
      <c r="P92" s="4"/>
      <c r="Q92" s="4"/>
    </row>
    <row r="93" spans="1:17" ht="18" customHeight="1" x14ac:dyDescent="0.2">
      <c r="A93" s="17" t="s">
        <v>88</v>
      </c>
      <c r="B93" s="16">
        <f>ENERO!B93+FEBRERO!B93+MARZO!B93+ABRIL!B93+MAYO!B93+JUNIO!B93+JULIO!B93+AGOSTO!B93+SEPTIEMBRE!B93+OCTUBRE!B93+NOVIEMBRE!B93+DICIEMBRE!B93</f>
        <v>53721955285.469994</v>
      </c>
      <c r="C93" s="16">
        <f>ENERO!C93+FEBRERO!C93+MARZO!C93+ABRIL!C93+MAYO!C93+JUNIO!C93+JULIO!C93+AGOSTO!C93+SEPTIEMBRE!C93+OCTUBRE!C93+NOVIEMBRE!C93+DICIEMBRE!C93</f>
        <v>168362.30460395</v>
      </c>
      <c r="D93" s="16">
        <f>ENERO!D93+FEBRERO!D93+MARZO!D93+ABRIL!D93+MAYO!D93+JUNIO!D93+JULIO!D93+AGOSTO!D93+SEPTIEMBRE!D93+OCTUBRE!D93+NOVIEMBRE!D93+DICIEMBRE!D93</f>
        <v>355650905.32900637</v>
      </c>
      <c r="E93" s="16">
        <f>ENERO!E93+FEBRERO!E93+MARZO!E93+ABRIL!E93+MAYO!E93+JUNIO!E93+JULIO!E93+AGOSTO!E93+SEPTIEMBRE!E93+OCTUBRE!E93+NOVIEMBRE!E93+DICIEMBRE!E93</f>
        <v>561624570.01999998</v>
      </c>
      <c r="F93" s="16">
        <f>ENERO!F93+FEBRERO!F93+MARZO!F93+ABRIL!F93+MAYO!F93+JUNIO!F93+JULIO!F93+AGOSTO!F93+SEPTIEMBRE!F93+OCTUBRE!F93+NOVIEMBRE!F93+DICIEMBRE!F93</f>
        <v>1207205121.8713825</v>
      </c>
      <c r="G93" s="16">
        <f>ENERO!G93+FEBRERO!G93+MARZO!G93+ABRIL!G93+MAYO!G93+JUNIO!G93+JULIO!G93+AGOSTO!G93+SEPTIEMBRE!G93+OCTUBRE!G93+NOVIEMBRE!G93+DICIEMBRE!G93</f>
        <v>254371617.55752981</v>
      </c>
      <c r="H93" s="16">
        <f>ENERO!H93+FEBRERO!H93+MARZO!H93+ABRIL!H93+MAYO!H93+JUNIO!H93+JULIO!H93+AGOSTO!H93+SEPTIEMBRE!H93+OCTUBRE!H93+NOVIEMBRE!H93+DICIEMBRE!H93</f>
        <v>2837604377.2199998</v>
      </c>
      <c r="I93" s="16">
        <f>ENERO!I93+FEBRERO!I93+MARZO!I93+ABRIL!I93+MAYO!I93+JUNIO!I93+JULIO!I93+AGOSTO!I93+SEPTIEMBRE!I93+OCTUBRE!I93+NOVIEMBRE!I93+DICIEMBRE!I93</f>
        <v>3881571252.1300001</v>
      </c>
      <c r="J93" s="16">
        <f>ENERO!J93+FEBRERO!J93+MARZO!J93+ABRIL!J93+MAYO!J93+JUNIO!J93+JULIO!J93+AGOSTO!J93+SEPTIEMBRE!J93+OCTUBRE!J93+NOVIEMBRE!J93+DICIEMBRE!J93</f>
        <v>6226524281.1399975</v>
      </c>
      <c r="K93" s="16">
        <f>ENERO!K93+FEBRERO!K93+MARZO!K93+ABRIL!K93+MAYO!K93+JUNIO!K93+JULIO!K93+AGOSTO!K93+SEPTIEMBRE!K93+OCTUBRE!K93+NOVIEMBRE!K93+DICIEMBRE!K93</f>
        <v>2303674589.1999998</v>
      </c>
      <c r="L93" s="16">
        <f>ENERO!L93+FEBRERO!L93+MARZO!L93+ABRIL!L93+MAYO!L93+JUNIO!L93+JULIO!L93+AGOSTO!L93+SEPTIEMBRE!L93+OCTUBRE!L93+NOVIEMBRE!L93+DICIEMBRE!L93</f>
        <v>0</v>
      </c>
      <c r="M93" s="16">
        <f>ENERO!M93+FEBRERO!M93+MARZO!M93+ABRIL!M93+MAYO!M93+JUNIO!M93+JULIO!M93+AGOSTO!M93+SEPTIEMBRE!M93+OCTUBRE!M93+NOVIEMBRE!M93+DICIEMBRE!M93</f>
        <v>5150.25</v>
      </c>
      <c r="N93" s="18">
        <f t="shared" si="2"/>
        <v>71350355512.492508</v>
      </c>
      <c r="O93" s="4"/>
      <c r="P93" s="4"/>
      <c r="Q93" s="4"/>
    </row>
    <row r="94" spans="1:17" ht="18" customHeight="1" x14ac:dyDescent="0.2">
      <c r="A94" s="17" t="s">
        <v>89</v>
      </c>
      <c r="B94" s="16">
        <f>ENERO!B94+FEBRERO!B94+MARZO!B94+ABRIL!B94+MAYO!B94+JUNIO!B94+JULIO!B94+AGOSTO!B94+SEPTIEMBRE!B94+OCTUBRE!B94+NOVIEMBRE!B94+DICIEMBRE!B94</f>
        <v>30415366954.259995</v>
      </c>
      <c r="C94" s="16">
        <f>ENERO!C94+FEBRERO!C94+MARZO!C94+ABRIL!C94+MAYO!C94+JUNIO!C94+JULIO!C94+AGOSTO!C94+SEPTIEMBRE!C94+OCTUBRE!C94+NOVIEMBRE!C94+DICIEMBRE!C94</f>
        <v>113066.02355238999</v>
      </c>
      <c r="D94" s="16">
        <f>ENERO!D94+FEBRERO!D94+MARZO!D94+ABRIL!D94+MAYO!D94+JUNIO!D94+JULIO!D94+AGOSTO!D94+SEPTIEMBRE!D94+OCTUBRE!D94+NOVIEMBRE!D94+DICIEMBRE!D94</f>
        <v>558961822.34000003</v>
      </c>
      <c r="E94" s="16">
        <f>ENERO!E94+FEBRERO!E94+MARZO!E94+ABRIL!E94+MAYO!E94+JUNIO!E94+JULIO!E94+AGOSTO!E94+SEPTIEMBRE!E94+OCTUBRE!E94+NOVIEMBRE!E94+DICIEMBRE!E94</f>
        <v>322295471.68000007</v>
      </c>
      <c r="F94" s="16">
        <f>ENERO!F94+FEBRERO!F94+MARZO!F94+ABRIL!F94+MAYO!F94+JUNIO!F94+JULIO!F94+AGOSTO!F94+SEPTIEMBRE!F94+OCTUBRE!F94+NOVIEMBRE!F94+DICIEMBRE!F94</f>
        <v>545873682.65441847</v>
      </c>
      <c r="G94" s="16">
        <f>ENERO!G94+FEBRERO!G94+MARZO!G94+ABRIL!G94+MAYO!G94+JUNIO!G94+JULIO!G94+AGOSTO!G94+SEPTIEMBRE!G94+OCTUBRE!G94+NOVIEMBRE!G94+DICIEMBRE!G94</f>
        <v>313568321.74476099</v>
      </c>
      <c r="H94" s="16">
        <f>ENERO!H94+FEBRERO!H94+MARZO!H94+ABRIL!H94+MAYO!H94+JUNIO!H94+JULIO!H94+AGOSTO!H94+SEPTIEMBRE!H94+OCTUBRE!H94+NOVIEMBRE!H94+DICIEMBRE!H94</f>
        <v>1618558238.8699999</v>
      </c>
      <c r="I94" s="16">
        <f>ENERO!I94+FEBRERO!I94+MARZO!I94+ABRIL!I94+MAYO!I94+JUNIO!I94+JULIO!I94+AGOSTO!I94+SEPTIEMBRE!I94+OCTUBRE!I94+NOVIEMBRE!I94+DICIEMBRE!I94</f>
        <v>1755167829.9100001</v>
      </c>
      <c r="J94" s="16">
        <f>ENERO!J94+FEBRERO!J94+MARZO!J94+ABRIL!J94+MAYO!J94+JUNIO!J94+JULIO!J94+AGOSTO!J94+SEPTIEMBRE!J94+OCTUBRE!J94+NOVIEMBRE!J94+DICIEMBRE!J94</f>
        <v>2940701520.1400008</v>
      </c>
      <c r="K94" s="16">
        <f>ENERO!K94+FEBRERO!K94+MARZO!K94+ABRIL!K94+MAYO!K94+JUNIO!K94+JULIO!K94+AGOSTO!K94+SEPTIEMBRE!K94+OCTUBRE!K94+NOVIEMBRE!K94+DICIEMBRE!K94</f>
        <v>1547064431.4400001</v>
      </c>
      <c r="L94" s="16">
        <f>ENERO!L94+FEBRERO!L94+MARZO!L94+ABRIL!L94+MAYO!L94+JUNIO!L94+JULIO!L94+AGOSTO!L94+SEPTIEMBRE!L94+OCTUBRE!L94+NOVIEMBRE!L94+DICIEMBRE!L94</f>
        <v>0</v>
      </c>
      <c r="M94" s="16">
        <f>ENERO!M94+FEBRERO!M94+MARZO!M94+ABRIL!M94+MAYO!M94+JUNIO!M94+JULIO!M94+AGOSTO!M94+SEPTIEMBRE!M94+OCTUBRE!M94+NOVIEMBRE!M94+DICIEMBRE!M94</f>
        <v>2328.84</v>
      </c>
      <c r="N94" s="18">
        <f t="shared" si="2"/>
        <v>40017673667.902725</v>
      </c>
      <c r="O94" s="4"/>
      <c r="P94" s="4"/>
      <c r="Q94" s="4"/>
    </row>
    <row r="95" spans="1:17" ht="18" customHeight="1" x14ac:dyDescent="0.2">
      <c r="A95" s="17" t="s">
        <v>90</v>
      </c>
      <c r="B95" s="16">
        <f>ENERO!B95+FEBRERO!B95+MARZO!B95+ABRIL!B95+MAYO!B95+JUNIO!B95+JULIO!B95+AGOSTO!B95+SEPTIEMBRE!B95+OCTUBRE!B95+NOVIEMBRE!B95+DICIEMBRE!B95</f>
        <v>5662471304.7399998</v>
      </c>
      <c r="C95" s="16">
        <f>ENERO!C95+FEBRERO!C95+MARZO!C95+ABRIL!C95+MAYO!C95+JUNIO!C95+JULIO!C95+AGOSTO!C95+SEPTIEMBRE!C95+OCTUBRE!C95+NOVIEMBRE!C95+DICIEMBRE!C95</f>
        <v>20006.365520980002</v>
      </c>
      <c r="D95" s="16">
        <f>ENERO!D95+FEBRERO!D95+MARZO!D95+ABRIL!D95+MAYO!D95+JUNIO!D95+JULIO!D95+AGOSTO!D95+SEPTIEMBRE!D95+OCTUBRE!D95+NOVIEMBRE!D95+DICIEMBRE!D95</f>
        <v>407014125.35648251</v>
      </c>
      <c r="E95" s="16">
        <f>ENERO!E95+FEBRERO!E95+MARZO!E95+ABRIL!E95+MAYO!E95+JUNIO!E95+JULIO!E95+AGOSTO!E95+SEPTIEMBRE!E95+OCTUBRE!E95+NOVIEMBRE!E95+DICIEMBRE!E95</f>
        <v>48807930.529999994</v>
      </c>
      <c r="F95" s="16">
        <f>ENERO!F95+FEBRERO!F95+MARZO!F95+ABRIL!F95+MAYO!F95+JUNIO!F95+JULIO!F95+AGOSTO!F95+SEPTIEMBRE!F95+OCTUBRE!F95+NOVIEMBRE!F95+DICIEMBRE!F95</f>
        <v>26765794.164449215</v>
      </c>
      <c r="G95" s="16">
        <f>ENERO!G95+FEBRERO!G95+MARZO!G95+ABRIL!G95+MAYO!G95+JUNIO!G95+JULIO!G95+AGOSTO!G95+SEPTIEMBRE!G95+OCTUBRE!G95+NOVIEMBRE!G95+DICIEMBRE!G95</f>
        <v>15407547.960000001</v>
      </c>
      <c r="H95" s="16">
        <f>ENERO!H95+FEBRERO!H95+MARZO!H95+ABRIL!H95+MAYO!H95+JUNIO!H95+JULIO!H95+AGOSTO!H95+SEPTIEMBRE!H95+OCTUBRE!H95+NOVIEMBRE!H95+DICIEMBRE!H95</f>
        <v>300623012.34000003</v>
      </c>
      <c r="I95" s="16">
        <f>ENERO!I95+FEBRERO!I95+MARZO!I95+ABRIL!I95+MAYO!I95+JUNIO!I95+JULIO!I95+AGOSTO!I95+SEPTIEMBRE!I95+OCTUBRE!I95+NOVIEMBRE!I95+DICIEMBRE!I95</f>
        <v>86061047.560000002</v>
      </c>
      <c r="J95" s="16">
        <f>ENERO!J95+FEBRERO!J95+MARZO!J95+ABRIL!J95+MAYO!J95+JUNIO!J95+JULIO!J95+AGOSTO!J95+SEPTIEMBRE!J95+OCTUBRE!J95+NOVIEMBRE!J95+DICIEMBRE!J95</f>
        <v>470025139.7299999</v>
      </c>
      <c r="K95" s="16">
        <f>ENERO!K95+FEBRERO!K95+MARZO!K95+ABRIL!K95+MAYO!K95+JUNIO!K95+JULIO!K95+AGOSTO!K95+SEPTIEMBRE!K95+OCTUBRE!K95+NOVIEMBRE!K95+DICIEMBRE!K95</f>
        <v>273743978.07999998</v>
      </c>
      <c r="L95" s="16">
        <f>ENERO!L95+FEBRERO!L95+MARZO!L95+ABRIL!L95+MAYO!L95+JUNIO!L95+JULIO!L95+AGOSTO!L95+SEPTIEMBRE!L95+OCTUBRE!L95+NOVIEMBRE!L95+DICIEMBRE!L95</f>
        <v>0</v>
      </c>
      <c r="M95" s="16">
        <f>ENERO!M95+FEBRERO!M95+MARZO!M95+ABRIL!M95+MAYO!M95+JUNIO!M95+JULIO!M95+AGOSTO!M95+SEPTIEMBRE!M95+OCTUBRE!M95+NOVIEMBRE!M95+DICIEMBRE!M95</f>
        <v>114.18</v>
      </c>
      <c r="N95" s="18">
        <f t="shared" si="2"/>
        <v>7290940001.0064526</v>
      </c>
      <c r="O95" s="4"/>
      <c r="P95" s="4"/>
      <c r="Q95" s="4"/>
    </row>
    <row r="96" spans="1:17" ht="18" customHeight="1" x14ac:dyDescent="0.2">
      <c r="A96" s="17" t="s">
        <v>91</v>
      </c>
      <c r="B96" s="16">
        <f>ENERO!B96+FEBRERO!B96+MARZO!B96+ABRIL!B96+MAYO!B96+JUNIO!B96+JULIO!B96+AGOSTO!B96+SEPTIEMBRE!B96+OCTUBRE!B96+NOVIEMBRE!B96+DICIEMBRE!B96</f>
        <v>17661802493.810001</v>
      </c>
      <c r="C96" s="16">
        <f>ENERO!C96+FEBRERO!C96+MARZO!C96+ABRIL!C96+MAYO!C96+JUNIO!C96+JULIO!C96+AGOSTO!C96+SEPTIEMBRE!C96+OCTUBRE!C96+NOVIEMBRE!C96+DICIEMBRE!C96</f>
        <v>65654.912003980004</v>
      </c>
      <c r="D96" s="16">
        <f>ENERO!D96+FEBRERO!D96+MARZO!D96+ABRIL!D96+MAYO!D96+JUNIO!D96+JULIO!D96+AGOSTO!D96+SEPTIEMBRE!D96+OCTUBRE!D96+NOVIEMBRE!D96+DICIEMBRE!D96</f>
        <v>1128764219.7962835</v>
      </c>
      <c r="E96" s="16">
        <f>ENERO!E96+FEBRERO!E96+MARZO!E96+ABRIL!E96+MAYO!E96+JUNIO!E96+JULIO!E96+AGOSTO!E96+SEPTIEMBRE!E96+OCTUBRE!E96+NOVIEMBRE!E96+DICIEMBRE!E96</f>
        <v>109745922.55</v>
      </c>
      <c r="F96" s="16">
        <f>ENERO!F96+FEBRERO!F96+MARZO!F96+ABRIL!F96+MAYO!F96+JUNIO!F96+JULIO!F96+AGOSTO!F96+SEPTIEMBRE!F96+OCTUBRE!F96+NOVIEMBRE!F96+DICIEMBRE!F96</f>
        <v>150004680.23901212</v>
      </c>
      <c r="G96" s="16">
        <f>ENERO!G96+FEBRERO!G96+MARZO!G96+ABRIL!G96+MAYO!G96+JUNIO!G96+JULIO!G96+AGOSTO!G96+SEPTIEMBRE!G96+OCTUBRE!G96+NOVIEMBRE!G96+DICIEMBRE!G96</f>
        <v>79019294.079999998</v>
      </c>
      <c r="H96" s="16">
        <f>ENERO!H96+FEBRERO!H96+MARZO!H96+ABRIL!H96+MAYO!H96+JUNIO!H96+JULIO!H96+AGOSTO!H96+SEPTIEMBRE!H96+OCTUBRE!H96+NOVIEMBRE!H96+DICIEMBRE!H96</f>
        <v>939874724.01000011</v>
      </c>
      <c r="I96" s="16">
        <f>ENERO!I96+FEBRERO!I96+MARZO!I96+ABRIL!I96+MAYO!I96+JUNIO!I96+JULIO!I96+AGOSTO!I96+SEPTIEMBRE!I96+OCTUBRE!I96+NOVIEMBRE!I96+DICIEMBRE!I96</f>
        <v>482315593.41000003</v>
      </c>
      <c r="J96" s="16">
        <f>ENERO!J96+FEBRERO!J96+MARZO!J96+ABRIL!J96+MAYO!J96+JUNIO!J96+JULIO!J96+AGOSTO!J96+SEPTIEMBRE!J96+OCTUBRE!J96+NOVIEMBRE!J96+DICIEMBRE!J96</f>
        <v>1592808524.7300005</v>
      </c>
      <c r="K96" s="16">
        <f>ENERO!K96+FEBRERO!K96+MARZO!K96+ABRIL!K96+MAYO!K96+JUNIO!K96+JULIO!K96+AGOSTO!K96+SEPTIEMBRE!K96+OCTUBRE!K96+NOVIEMBRE!K96+DICIEMBRE!K96</f>
        <v>898345746.07999992</v>
      </c>
      <c r="L96" s="16">
        <f>ENERO!L96+FEBRERO!L96+MARZO!L96+ABRIL!L96+MAYO!L96+JUNIO!L96+JULIO!L96+AGOSTO!L96+SEPTIEMBRE!L96+OCTUBRE!L96+NOVIEMBRE!L96+DICIEMBRE!L96</f>
        <v>0</v>
      </c>
      <c r="M96" s="16">
        <f>ENERO!M96+FEBRERO!M96+MARZO!M96+ABRIL!M96+MAYO!M96+JUNIO!M96+JULIO!M96+AGOSTO!M96+SEPTIEMBRE!M96+OCTUBRE!M96+NOVIEMBRE!M96+DICIEMBRE!M96</f>
        <v>639.95000000000005</v>
      </c>
      <c r="N96" s="18">
        <f t="shared" si="2"/>
        <v>23042747493.567303</v>
      </c>
      <c r="O96" s="4"/>
      <c r="P96" s="4"/>
      <c r="Q96" s="4"/>
    </row>
    <row r="97" spans="1:17" ht="18" customHeight="1" x14ac:dyDescent="0.2">
      <c r="A97" s="17" t="s">
        <v>92</v>
      </c>
      <c r="B97" s="16">
        <f>ENERO!B97+FEBRERO!B97+MARZO!B97+ABRIL!B97+MAYO!B97+JUNIO!B97+JULIO!B97+AGOSTO!B97+SEPTIEMBRE!B97+OCTUBRE!B97+NOVIEMBRE!B97+DICIEMBRE!B97</f>
        <v>9184220521.8400002</v>
      </c>
      <c r="C97" s="16">
        <f>ENERO!C97+FEBRERO!C97+MARZO!C97+ABRIL!C97+MAYO!C97+JUNIO!C97+JULIO!C97+AGOSTO!C97+SEPTIEMBRE!C97+OCTUBRE!C97+NOVIEMBRE!C97+DICIEMBRE!C97</f>
        <v>31881.420310289999</v>
      </c>
      <c r="D97" s="16">
        <f>ENERO!D97+FEBRERO!D97+MARZO!D97+ABRIL!D97+MAYO!D97+JUNIO!D97+JULIO!D97+AGOSTO!D97+SEPTIEMBRE!D97+OCTUBRE!D97+NOVIEMBRE!D97+DICIEMBRE!D97</f>
        <v>1431399293.8107176</v>
      </c>
      <c r="E97" s="16">
        <f>ENERO!E97+FEBRERO!E97+MARZO!E97+ABRIL!E97+MAYO!E97+JUNIO!E97+JULIO!E97+AGOSTO!E97+SEPTIEMBRE!E97+OCTUBRE!E97+NOVIEMBRE!E97+DICIEMBRE!E97</f>
        <v>79384251.969999999</v>
      </c>
      <c r="F97" s="16">
        <f>ENERO!F97+FEBRERO!F97+MARZO!F97+ABRIL!F97+MAYO!F97+JUNIO!F97+JULIO!F97+AGOSTO!F97+SEPTIEMBRE!F97+OCTUBRE!F97+NOVIEMBRE!F97+DICIEMBRE!F97</f>
        <v>69255281.754178002</v>
      </c>
      <c r="G97" s="16">
        <f>ENERO!G97+FEBRERO!G97+MARZO!G97+ABRIL!G97+MAYO!G97+JUNIO!G97+JULIO!G97+AGOSTO!G97+SEPTIEMBRE!G97+OCTUBRE!G97+NOVIEMBRE!G97+DICIEMBRE!G97</f>
        <v>40654706.759999998</v>
      </c>
      <c r="H97" s="16">
        <f>ENERO!H97+FEBRERO!H97+MARZO!H97+ABRIL!H97+MAYO!H97+JUNIO!H97+JULIO!H97+AGOSTO!H97+SEPTIEMBRE!H97+OCTUBRE!H97+NOVIEMBRE!H97+DICIEMBRE!H97</f>
        <v>487209801.27999997</v>
      </c>
      <c r="I97" s="16">
        <f>ENERO!I97+FEBRERO!I97+MARZO!I97+ABRIL!I97+MAYO!I97+JUNIO!I97+JULIO!I97+AGOSTO!I97+SEPTIEMBRE!I97+OCTUBRE!I97+NOVIEMBRE!I97+DICIEMBRE!I97</f>
        <v>222679067.55000001</v>
      </c>
      <c r="J97" s="16">
        <f>ENERO!J97+FEBRERO!J97+MARZO!J97+ABRIL!J97+MAYO!J97+JUNIO!J97+JULIO!J97+AGOSTO!J97+SEPTIEMBRE!J97+OCTUBRE!J97+NOVIEMBRE!J97+DICIEMBRE!J97</f>
        <v>1082497731.6600001</v>
      </c>
      <c r="K97" s="16">
        <f>ENERO!K97+FEBRERO!K97+MARZO!K97+ABRIL!K97+MAYO!K97+JUNIO!K97+JULIO!K97+AGOSTO!K97+SEPTIEMBRE!K97+OCTUBRE!K97+NOVIEMBRE!K97+DICIEMBRE!K97</f>
        <v>436228409.83999991</v>
      </c>
      <c r="L97" s="16">
        <f>ENERO!L97+FEBRERO!L97+MARZO!L97+ABRIL!L97+MAYO!L97+JUNIO!L97+JULIO!L97+AGOSTO!L97+SEPTIEMBRE!L97+OCTUBRE!L97+NOVIEMBRE!L97+DICIEMBRE!L97</f>
        <v>0</v>
      </c>
      <c r="M97" s="16">
        <f>ENERO!M97+FEBRERO!M97+MARZO!M97+ABRIL!M97+MAYO!M97+JUNIO!M97+JULIO!M97+AGOSTO!M97+SEPTIEMBRE!M97+OCTUBRE!M97+NOVIEMBRE!M97+DICIEMBRE!M97</f>
        <v>295.45999999999998</v>
      </c>
      <c r="N97" s="18">
        <f t="shared" si="2"/>
        <v>13033561243.345205</v>
      </c>
      <c r="O97" s="4"/>
      <c r="P97" s="4"/>
      <c r="Q97" s="4"/>
    </row>
    <row r="98" spans="1:17" ht="18" customHeight="1" x14ac:dyDescent="0.2">
      <c r="A98" s="17" t="s">
        <v>93</v>
      </c>
      <c r="B98" s="16">
        <f>ENERO!B98+FEBRERO!B98+MARZO!B98+ABRIL!B98+MAYO!B98+JUNIO!B98+JULIO!B98+AGOSTO!B98+SEPTIEMBRE!B98+OCTUBRE!B98+NOVIEMBRE!B98+DICIEMBRE!B98</f>
        <v>25854596385.529999</v>
      </c>
      <c r="C98" s="16">
        <f>ENERO!C98+FEBRERO!C98+MARZO!C98+ABRIL!C98+MAYO!C98+JUNIO!C98+JULIO!C98+AGOSTO!C98+SEPTIEMBRE!C98+OCTUBRE!C98+NOVIEMBRE!C98+DICIEMBRE!C98</f>
        <v>88546.234012950008</v>
      </c>
      <c r="D98" s="16">
        <f>ENERO!D98+FEBRERO!D98+MARZO!D98+ABRIL!D98+MAYO!D98+JUNIO!D98+JULIO!D98+AGOSTO!D98+SEPTIEMBRE!D98+OCTUBRE!D98+NOVIEMBRE!D98+DICIEMBRE!D98</f>
        <v>1549024492.6657765</v>
      </c>
      <c r="E98" s="16">
        <f>ENERO!E98+FEBRERO!E98+MARZO!E98+ABRIL!E98+MAYO!E98+JUNIO!E98+JULIO!E98+AGOSTO!E98+SEPTIEMBRE!E98+OCTUBRE!E98+NOVIEMBRE!E98+DICIEMBRE!E98</f>
        <v>261602322.52000001</v>
      </c>
      <c r="F98" s="16">
        <f>ENERO!F98+FEBRERO!F98+MARZO!F98+ABRIL!F98+MAYO!F98+JUNIO!F98+JULIO!F98+AGOSTO!F98+SEPTIEMBRE!F98+OCTUBRE!F98+NOVIEMBRE!F98+DICIEMBRE!F98</f>
        <v>161046781.13818178</v>
      </c>
      <c r="G98" s="16">
        <f>ENERO!G98+FEBRERO!G98+MARZO!G98+ABRIL!G98+MAYO!G98+JUNIO!G98+JULIO!G98+AGOSTO!G98+SEPTIEMBRE!G98+OCTUBRE!G98+NOVIEMBRE!G98+DICIEMBRE!G98</f>
        <v>97210810.560000017</v>
      </c>
      <c r="H98" s="16">
        <f>ENERO!H98+FEBRERO!H98+MARZO!H98+ABRIL!H98+MAYO!H98+JUNIO!H98+JULIO!H98+AGOSTO!H98+SEPTIEMBRE!H98+OCTUBRE!H98+NOVIEMBRE!H98+DICIEMBRE!H98</f>
        <v>1370734789.8200002</v>
      </c>
      <c r="I98" s="16">
        <f>ENERO!I98+FEBRERO!I98+MARZO!I98+ABRIL!I98+MAYO!I98+JUNIO!I98+JULIO!I98+AGOSTO!I98+SEPTIEMBRE!I98+OCTUBRE!I98+NOVIEMBRE!I98+DICIEMBRE!I98</f>
        <v>517819668.51999998</v>
      </c>
      <c r="J98" s="16">
        <f>ENERO!J98+FEBRERO!J98+MARZO!J98+ABRIL!J98+MAYO!J98+JUNIO!J98+JULIO!J98+AGOSTO!J98+SEPTIEMBRE!J98+OCTUBRE!J98+NOVIEMBRE!J98+DICIEMBRE!J98</f>
        <v>2087094897.7599993</v>
      </c>
      <c r="K98" s="16">
        <f>ENERO!K98+FEBRERO!K98+MARZO!K98+ABRIL!K98+MAYO!K98+JUNIO!K98+JULIO!K98+AGOSTO!K98+SEPTIEMBRE!K98+OCTUBRE!K98+NOVIEMBRE!K98+DICIEMBRE!K98</f>
        <v>1211564053.2</v>
      </c>
      <c r="L98" s="16">
        <f>ENERO!L98+FEBRERO!L98+MARZO!L98+ABRIL!L98+MAYO!L98+JUNIO!L98+JULIO!L98+AGOSTO!L98+SEPTIEMBRE!L98+OCTUBRE!L98+NOVIEMBRE!L98+DICIEMBRE!L98</f>
        <v>0</v>
      </c>
      <c r="M98" s="16">
        <f>ENERO!M98+FEBRERO!M98+MARZO!M98+ABRIL!M98+MAYO!M98+JUNIO!M98+JULIO!M98+AGOSTO!M98+SEPTIEMBRE!M98+OCTUBRE!M98+NOVIEMBRE!M98+DICIEMBRE!M98</f>
        <v>687.06</v>
      </c>
      <c r="N98" s="18">
        <f t="shared" si="2"/>
        <v>33110783435.007973</v>
      </c>
      <c r="O98" s="4"/>
      <c r="P98" s="4"/>
      <c r="Q98" s="4"/>
    </row>
    <row r="99" spans="1:17" ht="18" customHeight="1" x14ac:dyDescent="0.2">
      <c r="A99" s="17" t="s">
        <v>94</v>
      </c>
      <c r="B99" s="16">
        <f>ENERO!B99+FEBRERO!B99+MARZO!B99+ABRIL!B99+MAYO!B99+JUNIO!B99+JULIO!B99+AGOSTO!B99+SEPTIEMBRE!B99+OCTUBRE!B99+NOVIEMBRE!B99+DICIEMBRE!B99</f>
        <v>18268049995.830002</v>
      </c>
      <c r="C99" s="16">
        <f>ENERO!C99+FEBRERO!C99+MARZO!C99+ABRIL!C99+MAYO!C99+JUNIO!C99+JULIO!C99+AGOSTO!C99+SEPTIEMBRE!C99+OCTUBRE!C99+NOVIEMBRE!C99+DICIEMBRE!C99</f>
        <v>63515.767148670006</v>
      </c>
      <c r="D99" s="16">
        <f>ENERO!D99+FEBRERO!D99+MARZO!D99+ABRIL!D99+MAYO!D99+JUNIO!D99+JULIO!D99+AGOSTO!D99+SEPTIEMBRE!D99+OCTUBRE!D99+NOVIEMBRE!D99+DICIEMBRE!D99</f>
        <v>837937397.2786504</v>
      </c>
      <c r="E99" s="16">
        <f>ENERO!E99+FEBRERO!E99+MARZO!E99+ABRIL!E99+MAYO!E99+JUNIO!E99+JULIO!E99+AGOSTO!E99+SEPTIEMBRE!E99+OCTUBRE!E99+NOVIEMBRE!E99+DICIEMBRE!E99</f>
        <v>156282981.53999999</v>
      </c>
      <c r="F99" s="16">
        <f>ENERO!F99+FEBRERO!F99+MARZO!F99+ABRIL!F99+MAYO!F99+JUNIO!F99+JULIO!F99+AGOSTO!F99+SEPTIEMBRE!F99+OCTUBRE!F99+NOVIEMBRE!F99+DICIEMBRE!F99</f>
        <v>59698375.718463942</v>
      </c>
      <c r="G99" s="16">
        <f>ENERO!G99+FEBRERO!G99+MARZO!G99+ABRIL!G99+MAYO!G99+JUNIO!G99+JULIO!G99+AGOSTO!G99+SEPTIEMBRE!G99+OCTUBRE!G99+NOVIEMBRE!G99+DICIEMBRE!G99</f>
        <v>28982964.120000005</v>
      </c>
      <c r="H99" s="16">
        <f>ENERO!H99+FEBRERO!H99+MARZO!H99+ABRIL!H99+MAYO!H99+JUNIO!H99+JULIO!H99+AGOSTO!H99+SEPTIEMBRE!H99+OCTUBRE!H99+NOVIEMBRE!H99+DICIEMBRE!H99</f>
        <v>969162653.70000005</v>
      </c>
      <c r="I99" s="16">
        <f>ENERO!I99+FEBRERO!I99+MARZO!I99+ABRIL!I99+MAYO!I99+JUNIO!I99+JULIO!I99+AGOSTO!I99+SEPTIEMBRE!I99+OCTUBRE!I99+NOVIEMBRE!I99+DICIEMBRE!I99</f>
        <v>191950394.35999998</v>
      </c>
      <c r="J99" s="16">
        <f>ENERO!J99+FEBRERO!J99+MARZO!J99+ABRIL!J99+MAYO!J99+JUNIO!J99+JULIO!J99+AGOSTO!J99+SEPTIEMBRE!J99+OCTUBRE!J99+NOVIEMBRE!J99+DICIEMBRE!J99</f>
        <v>1368554449.74</v>
      </c>
      <c r="K99" s="16">
        <f>ENERO!K99+FEBRERO!K99+MARZO!K99+ABRIL!K99+MAYO!K99+JUNIO!K99+JULIO!K99+AGOSTO!K99+SEPTIEMBRE!K99+OCTUBRE!K99+NOVIEMBRE!K99+DICIEMBRE!K99</f>
        <v>869076178.31999993</v>
      </c>
      <c r="L99" s="16">
        <f>ENERO!L99+FEBRERO!L99+MARZO!L99+ABRIL!L99+MAYO!L99+JUNIO!L99+JULIO!L99+AGOSTO!L99+SEPTIEMBRE!L99+OCTUBRE!L99+NOVIEMBRE!L99+DICIEMBRE!L99</f>
        <v>0</v>
      </c>
      <c r="M99" s="16">
        <f>ENERO!M99+FEBRERO!M99+MARZO!M99+ABRIL!M99+MAYO!M99+JUNIO!M99+JULIO!M99+AGOSTO!M99+SEPTIEMBRE!M99+OCTUBRE!M99+NOVIEMBRE!M99+DICIEMBRE!M99</f>
        <v>254.68</v>
      </c>
      <c r="N99" s="18">
        <f t="shared" si="2"/>
        <v>22749759161.054268</v>
      </c>
      <c r="O99" s="4"/>
      <c r="P99" s="4"/>
      <c r="Q99" s="4"/>
    </row>
    <row r="100" spans="1:17" ht="18" customHeight="1" x14ac:dyDescent="0.2">
      <c r="A100" s="17" t="s">
        <v>95</v>
      </c>
      <c r="B100" s="16">
        <f>ENERO!B100+FEBRERO!B100+MARZO!B100+ABRIL!B100+MAYO!B100+JUNIO!B100+JULIO!B100+AGOSTO!B100+SEPTIEMBRE!B100+OCTUBRE!B100+NOVIEMBRE!B100+DICIEMBRE!B100</f>
        <v>19930484158.440002</v>
      </c>
      <c r="C100" s="16">
        <f>ENERO!C100+FEBRERO!C100+MARZO!C100+ABRIL!C100+MAYO!C100+JUNIO!C100+JULIO!C100+AGOSTO!C100+SEPTIEMBRE!C100+OCTUBRE!C100+NOVIEMBRE!C100+DICIEMBRE!C100</f>
        <v>71384.406270799998</v>
      </c>
      <c r="D100" s="16">
        <f>ENERO!D100+FEBRERO!D100+MARZO!D100+ABRIL!D100+MAYO!D100+JUNIO!D100+JULIO!D100+AGOSTO!D100+SEPTIEMBRE!D100+OCTUBRE!D100+NOVIEMBRE!D100+DICIEMBRE!D100</f>
        <v>1309179102.5432658</v>
      </c>
      <c r="E100" s="16">
        <f>ENERO!E100+FEBRERO!E100+MARZO!E100+ABRIL!E100+MAYO!E100+JUNIO!E100+JULIO!E100+AGOSTO!E100+SEPTIEMBRE!E100+OCTUBRE!E100+NOVIEMBRE!E100+DICIEMBRE!E100</f>
        <v>171890659.21000001</v>
      </c>
      <c r="F100" s="16">
        <f>ENERO!F100+FEBRERO!F100+MARZO!F100+ABRIL!F100+MAYO!F100+JUNIO!F100+JULIO!F100+AGOSTO!F100+SEPTIEMBRE!F100+OCTUBRE!F100+NOVIEMBRE!F100+DICIEMBRE!F100</f>
        <v>67027489.448994651</v>
      </c>
      <c r="G100" s="16">
        <f>ENERO!G100+FEBRERO!G100+MARZO!G100+ABRIL!G100+MAYO!G100+JUNIO!G100+JULIO!G100+AGOSTO!G100+SEPTIEMBRE!G100+OCTUBRE!G100+NOVIEMBRE!G100+DICIEMBRE!G100</f>
        <v>34660538.089999996</v>
      </c>
      <c r="H100" s="16">
        <f>ENERO!H100+FEBRERO!H100+MARZO!H100+ABRIL!H100+MAYO!H100+JUNIO!H100+JULIO!H100+AGOSTO!H100+SEPTIEMBRE!H100+OCTUBRE!H100+NOVIEMBRE!H100+DICIEMBRE!H100</f>
        <v>1058772466.24</v>
      </c>
      <c r="I100" s="16">
        <f>ENERO!I100+FEBRERO!I100+MARZO!I100+ABRIL!I100+MAYO!I100+JUNIO!I100+JULIO!I100+AGOSTO!I100+SEPTIEMBRE!I100+OCTUBRE!I100+NOVIEMBRE!I100+DICIEMBRE!I100</f>
        <v>215515964.67000002</v>
      </c>
      <c r="J100" s="16">
        <f>ENERO!J100+FEBRERO!J100+MARZO!J100+ABRIL!J100+MAYO!J100+JUNIO!J100+JULIO!J100+AGOSTO!J100+SEPTIEMBRE!J100+OCTUBRE!J100+NOVIEMBRE!J100+DICIEMBRE!J100</f>
        <v>1058318174.1900003</v>
      </c>
      <c r="K100" s="16">
        <f>ENERO!K100+FEBRERO!K100+MARZO!K100+ABRIL!K100+MAYO!K100+JUNIO!K100+JULIO!K100+AGOSTO!K100+SEPTIEMBRE!K100+OCTUBRE!K100+NOVIEMBRE!K100+DICIEMBRE!K100</f>
        <v>976741436.79999995</v>
      </c>
      <c r="L100" s="16">
        <f>ENERO!L100+FEBRERO!L100+MARZO!L100+ABRIL!L100+MAYO!L100+JUNIO!L100+JULIO!L100+AGOSTO!L100+SEPTIEMBRE!L100+OCTUBRE!L100+NOVIEMBRE!L100+DICIEMBRE!L100</f>
        <v>0</v>
      </c>
      <c r="M100" s="16">
        <f>ENERO!M100+FEBRERO!M100+MARZO!M100+ABRIL!M100+MAYO!M100+JUNIO!M100+JULIO!M100+AGOSTO!M100+SEPTIEMBRE!M100+OCTUBRE!M100+NOVIEMBRE!M100+DICIEMBRE!M100</f>
        <v>285.94</v>
      </c>
      <c r="N100" s="18">
        <f t="shared" si="2"/>
        <v>24822661659.978527</v>
      </c>
      <c r="O100" s="4"/>
      <c r="P100" s="4"/>
      <c r="Q100" s="4"/>
    </row>
    <row r="101" spans="1:17" ht="18" customHeight="1" x14ac:dyDescent="0.2">
      <c r="A101" s="17" t="s">
        <v>96</v>
      </c>
      <c r="B101" s="16">
        <f>ENERO!B101+FEBRERO!B101+MARZO!B101+ABRIL!B101+MAYO!B101+JUNIO!B101+JULIO!B101+AGOSTO!B101+SEPTIEMBRE!B101+OCTUBRE!B101+NOVIEMBRE!B101+DICIEMBRE!B101</f>
        <v>4084303204.3299994</v>
      </c>
      <c r="C101" s="16">
        <f>ENERO!C101+FEBRERO!C101+MARZO!C101+ABRIL!C101+MAYO!C101+JUNIO!C101+JULIO!C101+AGOSTO!C101+SEPTIEMBRE!C101+OCTUBRE!C101+NOVIEMBRE!C101+DICIEMBRE!C101</f>
        <v>14129.000068369998</v>
      </c>
      <c r="D101" s="16">
        <f>ENERO!D101+FEBRERO!D101+MARZO!D101+ABRIL!D101+MAYO!D101+JUNIO!D101+JULIO!D101+AGOSTO!D101+SEPTIEMBRE!D101+OCTUBRE!D101+NOVIEMBRE!D101+DICIEMBRE!D101</f>
        <v>366996717.80833459</v>
      </c>
      <c r="E101" s="16">
        <f>ENERO!E101+FEBRERO!E101+MARZO!E101+ABRIL!E101+MAYO!E101+JUNIO!E101+JULIO!E101+AGOSTO!E101+SEPTIEMBRE!E101+OCTUBRE!E101+NOVIEMBRE!E101+DICIEMBRE!E101</f>
        <v>34603712.82</v>
      </c>
      <c r="F101" s="16">
        <f>ENERO!F101+FEBRERO!F101+MARZO!F101+ABRIL!F101+MAYO!F101+JUNIO!F101+JULIO!F101+AGOSTO!F101+SEPTIEMBRE!F101+OCTUBRE!F101+NOVIEMBRE!F101+DICIEMBRE!F101</f>
        <v>8007137.4177604401</v>
      </c>
      <c r="G101" s="16">
        <f>ENERO!G101+FEBRERO!G101+MARZO!G101+ABRIL!G101+MAYO!G101+JUNIO!G101+JULIO!G101+AGOSTO!G101+SEPTIEMBRE!G101+OCTUBRE!G101+NOVIEMBRE!G101+DICIEMBRE!G101</f>
        <v>5534128.3300000001</v>
      </c>
      <c r="H101" s="16">
        <f>ENERO!H101+FEBRERO!H101+MARZO!H101+ABRIL!H101+MAYO!H101+JUNIO!H101+JULIO!H101+AGOSTO!H101+SEPTIEMBRE!H101+OCTUBRE!H101+NOVIEMBRE!H101+DICIEMBRE!H101</f>
        <v>216633330.49000001</v>
      </c>
      <c r="I101" s="16">
        <f>ENERO!I101+FEBRERO!I101+MARZO!I101+ABRIL!I101+MAYO!I101+JUNIO!I101+JULIO!I101+AGOSTO!I101+SEPTIEMBRE!I101+OCTUBRE!I101+NOVIEMBRE!I101+DICIEMBRE!I101</f>
        <v>25745645.120000001</v>
      </c>
      <c r="J101" s="16">
        <f>ENERO!J101+FEBRERO!J101+MARZO!J101+ABRIL!J101+MAYO!J101+JUNIO!J101+JULIO!J101+AGOSTO!J101+SEPTIEMBRE!J101+OCTUBRE!J101+NOVIEMBRE!J101+DICIEMBRE!J101</f>
        <v>244247845.66000012</v>
      </c>
      <c r="K101" s="16">
        <f>ENERO!K101+FEBRERO!K101+MARZO!K101+ABRIL!K101+MAYO!K101+JUNIO!K101+JULIO!K101+AGOSTO!K101+SEPTIEMBRE!K101+OCTUBRE!K101+NOVIEMBRE!K101+DICIEMBRE!K101</f>
        <v>193324929.51999998</v>
      </c>
      <c r="L101" s="16">
        <f>ENERO!L101+FEBRERO!L101+MARZO!L101+ABRIL!L101+MAYO!L101+JUNIO!L101+JULIO!L101+AGOSTO!L101+SEPTIEMBRE!L101+OCTUBRE!L101+NOVIEMBRE!L101+DICIEMBRE!L101</f>
        <v>0</v>
      </c>
      <c r="M101" s="16">
        <f>ENERO!M101+FEBRERO!M101+MARZO!M101+ABRIL!M101+MAYO!M101+JUNIO!M101+JULIO!M101+AGOSTO!M101+SEPTIEMBRE!M101+OCTUBRE!M101+NOVIEMBRE!M101+DICIEMBRE!M101</f>
        <v>34.15</v>
      </c>
      <c r="N101" s="18">
        <f t="shared" si="2"/>
        <v>5179410814.646162</v>
      </c>
      <c r="O101" s="4"/>
      <c r="P101" s="4"/>
      <c r="Q101" s="4"/>
    </row>
    <row r="102" spans="1:17" ht="18" customHeight="1" x14ac:dyDescent="0.2">
      <c r="A102" s="17" t="s">
        <v>97</v>
      </c>
      <c r="B102" s="16">
        <f>ENERO!B102+FEBRERO!B102+MARZO!B102+ABRIL!B102+MAYO!B102+JUNIO!B102+JULIO!B102+AGOSTO!B102+SEPTIEMBRE!B102+OCTUBRE!B102+NOVIEMBRE!B102+DICIEMBRE!B102</f>
        <v>11218309631.15</v>
      </c>
      <c r="C102" s="16">
        <f>ENERO!C102+FEBRERO!C102+MARZO!C102+ABRIL!C102+MAYO!C102+JUNIO!C102+JULIO!C102+AGOSTO!C102+SEPTIEMBRE!C102+OCTUBRE!C102+NOVIEMBRE!C102+DICIEMBRE!C102</f>
        <v>39742.7014853</v>
      </c>
      <c r="D102" s="16">
        <f>ENERO!D102+FEBRERO!D102+MARZO!D102+ABRIL!D102+MAYO!D102+JUNIO!D102+JULIO!D102+AGOSTO!D102+SEPTIEMBRE!D102+OCTUBRE!D102+NOVIEMBRE!D102+DICIEMBRE!D102</f>
        <v>1710633779.777729</v>
      </c>
      <c r="E102" s="16">
        <f>ENERO!E102+FEBRERO!E102+MARZO!E102+ABRIL!E102+MAYO!E102+JUNIO!E102+JULIO!E102+AGOSTO!E102+SEPTIEMBRE!E102+OCTUBRE!E102+NOVIEMBRE!E102+DICIEMBRE!E102</f>
        <v>118647180.69</v>
      </c>
      <c r="F102" s="16">
        <f>ENERO!F102+FEBRERO!F102+MARZO!F102+ABRIL!F102+MAYO!F102+JUNIO!F102+JULIO!F102+AGOSTO!F102+SEPTIEMBRE!F102+OCTUBRE!F102+NOVIEMBRE!F102+DICIEMBRE!F102</f>
        <v>155041428.02986142</v>
      </c>
      <c r="G102" s="16">
        <f>ENERO!G102+FEBRERO!G102+MARZO!G102+ABRIL!G102+MAYO!G102+JUNIO!G102+JULIO!G102+AGOSTO!G102+SEPTIEMBRE!G102+OCTUBRE!G102+NOVIEMBRE!G102+DICIEMBRE!G102</f>
        <v>89169522.74000001</v>
      </c>
      <c r="H102" s="16">
        <f>ENERO!H102+FEBRERO!H102+MARZO!H102+ABRIL!H102+MAYO!H102+JUNIO!H102+JULIO!H102+AGOSTO!H102+SEPTIEMBRE!H102+OCTUBRE!H102+NOVIEMBRE!H102+DICIEMBRE!H102</f>
        <v>595657074.16000009</v>
      </c>
      <c r="I102" s="16">
        <f>ENERO!I102+FEBRERO!I102+MARZO!I102+ABRIL!I102+MAYO!I102+JUNIO!I102+JULIO!I102+AGOSTO!I102+SEPTIEMBRE!I102+OCTUBRE!I102+NOVIEMBRE!I102+DICIEMBRE!I102</f>
        <v>498510434.68000001</v>
      </c>
      <c r="J102" s="16">
        <f>ENERO!J102+FEBRERO!J102+MARZO!J102+ABRIL!J102+MAYO!J102+JUNIO!J102+JULIO!J102+AGOSTO!J102+SEPTIEMBRE!J102+OCTUBRE!J102+NOVIEMBRE!J102+DICIEMBRE!J102</f>
        <v>1573065900.6200006</v>
      </c>
      <c r="K102" s="16">
        <f>ENERO!K102+FEBRERO!K102+MARZO!K102+ABRIL!K102+MAYO!K102+JUNIO!K102+JULIO!K102+AGOSTO!K102+SEPTIEMBRE!K102+OCTUBRE!K102+NOVIEMBRE!K102+DICIEMBRE!K102</f>
        <v>543793128.79999995</v>
      </c>
      <c r="L102" s="16">
        <f>ENERO!L102+FEBRERO!L102+MARZO!L102+ABRIL!L102+MAYO!L102+JUNIO!L102+JULIO!L102+AGOSTO!L102+SEPTIEMBRE!L102+OCTUBRE!L102+NOVIEMBRE!L102+DICIEMBRE!L102</f>
        <v>0</v>
      </c>
      <c r="M102" s="16">
        <f>ENERO!M102+FEBRERO!M102+MARZO!M102+ABRIL!M102+MAYO!M102+JUNIO!M102+JULIO!M102+AGOSTO!M102+SEPTIEMBRE!M102+OCTUBRE!M102+NOVIEMBRE!M102+DICIEMBRE!M102</f>
        <v>661.43</v>
      </c>
      <c r="N102" s="18">
        <f t="shared" si="2"/>
        <v>16502868484.779076</v>
      </c>
      <c r="O102" s="4"/>
      <c r="P102" s="4"/>
      <c r="Q102" s="4"/>
    </row>
    <row r="103" spans="1:17" ht="18" customHeight="1" x14ac:dyDescent="0.2">
      <c r="A103" s="17" t="s">
        <v>98</v>
      </c>
      <c r="B103" s="16">
        <f>ENERO!B103+FEBRERO!B103+MARZO!B103+ABRIL!B103+MAYO!B103+JUNIO!B103+JULIO!B103+AGOSTO!B103+SEPTIEMBRE!B103+OCTUBRE!B103+NOVIEMBRE!B103+DICIEMBRE!B103</f>
        <v>4101468513.2400002</v>
      </c>
      <c r="C103" s="16">
        <f>ENERO!C103+FEBRERO!C103+MARZO!C103+ABRIL!C103+MAYO!C103+JUNIO!C103+JULIO!C103+AGOSTO!C103+SEPTIEMBRE!C103+OCTUBRE!C103+NOVIEMBRE!C103+DICIEMBRE!C103</f>
        <v>14104.209496840002</v>
      </c>
      <c r="D103" s="16">
        <f>ENERO!D103+FEBRERO!D103+MARZO!D103+ABRIL!D103+MAYO!D103+JUNIO!D103+JULIO!D103+AGOSTO!D103+SEPTIEMBRE!D103+OCTUBRE!D103+NOVIEMBRE!D103+DICIEMBRE!D103</f>
        <v>464929453.73893946</v>
      </c>
      <c r="E103" s="16">
        <f>ENERO!E103+FEBRERO!E103+MARZO!E103+ABRIL!E103+MAYO!E103+JUNIO!E103+JULIO!E103+AGOSTO!E103+SEPTIEMBRE!E103+OCTUBRE!E103+NOVIEMBRE!E103+DICIEMBRE!E103</f>
        <v>34630139.25</v>
      </c>
      <c r="F103" s="16">
        <f>ENERO!F103+FEBRERO!F103+MARZO!F103+ABRIL!F103+MAYO!F103+JUNIO!F103+JULIO!F103+AGOSTO!F103+SEPTIEMBRE!F103+OCTUBRE!F103+NOVIEMBRE!F103+DICIEMBRE!F103</f>
        <v>3842134.4576350497</v>
      </c>
      <c r="G103" s="16">
        <f>ENERO!G103+FEBRERO!G103+MARZO!G103+ABRIL!G103+MAYO!G103+JUNIO!G103+JULIO!G103+AGOSTO!G103+SEPTIEMBRE!G103+OCTUBRE!G103+NOVIEMBRE!G103+DICIEMBRE!G103</f>
        <v>3502887.2299999995</v>
      </c>
      <c r="H103" s="16">
        <f>ENERO!H103+FEBRERO!H103+MARZO!H103+ABRIL!H103+MAYO!H103+JUNIO!H103+JULIO!H103+AGOSTO!H103+SEPTIEMBRE!H103+OCTUBRE!H103+NOVIEMBRE!H103+DICIEMBRE!H103</f>
        <v>217486802.68999997</v>
      </c>
      <c r="I103" s="16">
        <f>ENERO!I103+FEBRERO!I103+MARZO!I103+ABRIL!I103+MAYO!I103+JUNIO!I103+JULIO!I103+AGOSTO!I103+SEPTIEMBRE!I103+OCTUBRE!I103+NOVIEMBRE!I103+DICIEMBRE!I103</f>
        <v>12353757.120000001</v>
      </c>
      <c r="J103" s="16">
        <f>ENERO!J103+FEBRERO!J103+MARZO!J103+ABRIL!J103+MAYO!J103+JUNIO!J103+JULIO!J103+AGOSTO!J103+SEPTIEMBRE!J103+OCTUBRE!J103+NOVIEMBRE!J103+DICIEMBRE!J103</f>
        <v>345268252.86999995</v>
      </c>
      <c r="K103" s="16">
        <f>ENERO!K103+FEBRERO!K103+MARZO!K103+ABRIL!K103+MAYO!K103+JUNIO!K103+JULIO!K103+AGOSTO!K103+SEPTIEMBRE!K103+OCTUBRE!K103+NOVIEMBRE!K103+DICIEMBRE!K103</f>
        <v>192985608.64000002</v>
      </c>
      <c r="L103" s="16">
        <f>ENERO!L103+FEBRERO!L103+MARZO!L103+ABRIL!L103+MAYO!L103+JUNIO!L103+JULIO!L103+AGOSTO!L103+SEPTIEMBRE!L103+OCTUBRE!L103+NOVIEMBRE!L103+DICIEMBRE!L103</f>
        <v>0</v>
      </c>
      <c r="M103" s="16">
        <f>ENERO!M103+FEBRERO!M103+MARZO!M103+ABRIL!M103+MAYO!M103+JUNIO!M103+JULIO!M103+AGOSTO!M103+SEPTIEMBRE!M103+OCTUBRE!M103+NOVIEMBRE!M103+DICIEMBRE!M103</f>
        <v>16.380000000000003</v>
      </c>
      <c r="N103" s="18">
        <f t="shared" si="2"/>
        <v>5376481669.8260708</v>
      </c>
      <c r="O103" s="4"/>
      <c r="P103" s="4"/>
      <c r="Q103" s="4"/>
    </row>
    <row r="104" spans="1:17" ht="18" customHeight="1" x14ac:dyDescent="0.2">
      <c r="A104" s="17" t="s">
        <v>99</v>
      </c>
      <c r="B104" s="16">
        <f>ENERO!B104+FEBRERO!B104+MARZO!B104+ABRIL!B104+MAYO!B104+JUNIO!B104+JULIO!B104+AGOSTO!B104+SEPTIEMBRE!B104+OCTUBRE!B104+NOVIEMBRE!B104+DICIEMBRE!B104</f>
        <v>60712657390.710007</v>
      </c>
      <c r="C104" s="16">
        <f>ENERO!C104+FEBRERO!C104+MARZO!C104+ABRIL!C104+MAYO!C104+JUNIO!C104+JULIO!C104+AGOSTO!C104+SEPTIEMBRE!C104+OCTUBRE!C104+NOVIEMBRE!C104+DICIEMBRE!C104</f>
        <v>196201.48175485001</v>
      </c>
      <c r="D104" s="16">
        <f>ENERO!D104+FEBRERO!D104+MARZO!D104+ABRIL!D104+MAYO!D104+JUNIO!D104+JULIO!D104+AGOSTO!D104+SEPTIEMBRE!D104+OCTUBRE!D104+NOVIEMBRE!D104+DICIEMBRE!D104</f>
        <v>658916473.06624842</v>
      </c>
      <c r="E104" s="16">
        <f>ENERO!E104+FEBRERO!E104+MARZO!E104+ABRIL!E104+MAYO!E104+JUNIO!E104+JULIO!E104+AGOSTO!E104+SEPTIEMBRE!E104+OCTUBRE!E104+NOVIEMBRE!E104+DICIEMBRE!E104</f>
        <v>621224832.92000008</v>
      </c>
      <c r="F104" s="16">
        <f>ENERO!F104+FEBRERO!F104+MARZO!F104+ABRIL!F104+MAYO!F104+JUNIO!F104+JULIO!F104+AGOSTO!F104+SEPTIEMBRE!F104+OCTUBRE!F104+NOVIEMBRE!F104+DICIEMBRE!F104</f>
        <v>787379280.72719312</v>
      </c>
      <c r="G104" s="16">
        <f>ENERO!G104+FEBRERO!G104+MARZO!G104+ABRIL!G104+MAYO!G104+JUNIO!G104+JULIO!G104+AGOSTO!G104+SEPTIEMBRE!G104+OCTUBRE!G104+NOVIEMBRE!G104+DICIEMBRE!G104</f>
        <v>172417229.85957092</v>
      </c>
      <c r="H104" s="16">
        <f>ENERO!H104+FEBRERO!H104+MARZO!H104+ABRIL!H104+MAYO!H104+JUNIO!H104+JULIO!H104+AGOSTO!H104+SEPTIEMBRE!H104+OCTUBRE!H104+NOVIEMBRE!H104+DICIEMBRE!H104</f>
        <v>3210869267.3899999</v>
      </c>
      <c r="I104" s="16">
        <f>ENERO!I104+FEBRERO!I104+MARZO!I104+ABRIL!I104+MAYO!I104+JUNIO!I104+JULIO!I104+AGOSTO!I104+SEPTIEMBRE!I104+OCTUBRE!I104+NOVIEMBRE!I104+DICIEMBRE!I104</f>
        <v>2531689706.5200005</v>
      </c>
      <c r="J104" s="16">
        <f>ENERO!J104+FEBRERO!J104+MARZO!J104+ABRIL!J104+MAYO!J104+JUNIO!J104+JULIO!J104+AGOSTO!J104+SEPTIEMBRE!J104+OCTUBRE!J104+NOVIEMBRE!J104+DICIEMBRE!J104</f>
        <v>3820192643.8799987</v>
      </c>
      <c r="K104" s="16">
        <f>ENERO!K104+FEBRERO!K104+MARZO!K104+ABRIL!K104+MAYO!K104+JUNIO!K104+JULIO!K104+AGOSTO!K104+SEPTIEMBRE!K104+OCTUBRE!K104+NOVIEMBRE!K104+DICIEMBRE!K104</f>
        <v>2684593695.6000004</v>
      </c>
      <c r="L104" s="16">
        <f>ENERO!L104+FEBRERO!L104+MARZO!L104+ABRIL!L104+MAYO!L104+JUNIO!L104+JULIO!L104+AGOSTO!L104+SEPTIEMBRE!L104+OCTUBRE!L104+NOVIEMBRE!L104+DICIEMBRE!L104</f>
        <v>0</v>
      </c>
      <c r="M104" s="16">
        <f>ENERO!M104+FEBRERO!M104+MARZO!M104+ABRIL!M104+MAYO!M104+JUNIO!M104+JULIO!M104+AGOSTO!M104+SEPTIEMBRE!M104+OCTUBRE!M104+NOVIEMBRE!M104+DICIEMBRE!M104</f>
        <v>3359.16</v>
      </c>
      <c r="N104" s="18">
        <f t="shared" ref="N104:N135" si="3">SUM(B104:M104)</f>
        <v>75200140081.314789</v>
      </c>
      <c r="O104" s="4"/>
      <c r="P104" s="4"/>
      <c r="Q104" s="4"/>
    </row>
    <row r="105" spans="1:17" ht="18" customHeight="1" x14ac:dyDescent="0.2">
      <c r="A105" s="17" t="s">
        <v>100</v>
      </c>
      <c r="B105" s="16">
        <f>ENERO!B105+FEBRERO!B105+MARZO!B105+ABRIL!B105+MAYO!B105+JUNIO!B105+JULIO!B105+AGOSTO!B105+SEPTIEMBRE!B105+OCTUBRE!B105+NOVIEMBRE!B105+DICIEMBRE!B105</f>
        <v>10794118435.959999</v>
      </c>
      <c r="C105" s="16">
        <f>ENERO!C105+FEBRERO!C105+MARZO!C105+ABRIL!C105+MAYO!C105+JUNIO!C105+JULIO!C105+AGOSTO!C105+SEPTIEMBRE!C105+OCTUBRE!C105+NOVIEMBRE!C105+DICIEMBRE!C105</f>
        <v>37095.646035320009</v>
      </c>
      <c r="D105" s="16">
        <f>ENERO!D105+FEBRERO!D105+MARZO!D105+ABRIL!D105+MAYO!D105+JUNIO!D105+JULIO!D105+AGOSTO!D105+SEPTIEMBRE!D105+OCTUBRE!D105+NOVIEMBRE!D105+DICIEMBRE!D105</f>
        <v>140635140.66</v>
      </c>
      <c r="E105" s="16">
        <f>ENERO!E105+FEBRERO!E105+MARZO!E105+ABRIL!E105+MAYO!E105+JUNIO!E105+JULIO!E105+AGOSTO!E105+SEPTIEMBRE!E105+OCTUBRE!E105+NOVIEMBRE!E105+DICIEMBRE!E105</f>
        <v>103961138.60000001</v>
      </c>
      <c r="F105" s="16">
        <f>ENERO!F105+FEBRERO!F105+MARZO!F105+ABRIL!F105+MAYO!F105+JUNIO!F105+JULIO!F105+AGOSTO!F105+SEPTIEMBRE!F105+OCTUBRE!F105+NOVIEMBRE!F105+DICIEMBRE!F105</f>
        <v>33933473.673734769</v>
      </c>
      <c r="G105" s="16">
        <f>ENERO!G105+FEBRERO!G105+MARZO!G105+ABRIL!G105+MAYO!G105+JUNIO!G105+JULIO!G105+AGOSTO!G105+SEPTIEMBRE!G105+OCTUBRE!G105+NOVIEMBRE!G105+DICIEMBRE!G105</f>
        <v>30110002.619999997</v>
      </c>
      <c r="H105" s="16">
        <f>ENERO!H105+FEBRERO!H105+MARZO!H105+ABRIL!H105+MAYO!H105+JUNIO!H105+JULIO!H105+AGOSTO!H105+SEPTIEMBRE!H105+OCTUBRE!H105+NOVIEMBRE!H105+DICIEMBRE!H105</f>
        <v>572359242.86000001</v>
      </c>
      <c r="I105" s="16">
        <f>ENERO!I105+FEBRERO!I105+MARZO!I105+ABRIL!I105+MAYO!I105+JUNIO!I105+JULIO!I105+AGOSTO!I105+SEPTIEMBRE!I105+OCTUBRE!I105+NOVIEMBRE!I105+DICIEMBRE!I105</f>
        <v>109107552.43000001</v>
      </c>
      <c r="J105" s="16">
        <f>ENERO!J105+FEBRERO!J105+MARZO!J105+ABRIL!J105+MAYO!J105+JUNIO!J105+JULIO!J105+AGOSTO!J105+SEPTIEMBRE!J105+OCTUBRE!J105+NOVIEMBRE!J105+DICIEMBRE!J105</f>
        <v>498866236.3900001</v>
      </c>
      <c r="K105" s="16">
        <f>ENERO!K105+FEBRERO!K105+MARZO!K105+ABRIL!K105+MAYO!K105+JUNIO!K105+JULIO!K105+AGOSTO!K105+SEPTIEMBRE!K105+OCTUBRE!K105+NOVIEMBRE!K105+DICIEMBRE!K105</f>
        <v>507573766.72000003</v>
      </c>
      <c r="L105" s="16">
        <f>ENERO!L105+FEBRERO!L105+MARZO!L105+ABRIL!L105+MAYO!L105+JUNIO!L105+JULIO!L105+AGOSTO!L105+SEPTIEMBRE!L105+OCTUBRE!L105+NOVIEMBRE!L105+DICIEMBRE!L105</f>
        <v>0</v>
      </c>
      <c r="M105" s="16">
        <f>ENERO!M105+FEBRERO!M105+MARZO!M105+ABRIL!M105+MAYO!M105+JUNIO!M105+JULIO!M105+AGOSTO!M105+SEPTIEMBRE!M105+OCTUBRE!M105+NOVIEMBRE!M105+DICIEMBRE!M105</f>
        <v>144.76</v>
      </c>
      <c r="N105" s="18">
        <f t="shared" si="3"/>
        <v>12790702230.319771</v>
      </c>
      <c r="O105" s="4"/>
      <c r="P105" s="4"/>
      <c r="Q105" s="4"/>
    </row>
    <row r="106" spans="1:17" ht="18" customHeight="1" x14ac:dyDescent="0.2">
      <c r="A106" s="17" t="s">
        <v>101</v>
      </c>
      <c r="B106" s="16">
        <f>ENERO!B106+FEBRERO!B106+MARZO!B106+ABRIL!B106+MAYO!B106+JUNIO!B106+JULIO!B106+AGOSTO!B106+SEPTIEMBRE!B106+OCTUBRE!B106+NOVIEMBRE!B106+DICIEMBRE!B106</f>
        <v>11084108124.93</v>
      </c>
      <c r="C106" s="16">
        <f>ENERO!C106+FEBRERO!C106+MARZO!C106+ABRIL!C106+MAYO!C106+JUNIO!C106+JULIO!C106+AGOSTO!C106+SEPTIEMBRE!C106+OCTUBRE!C106+NOVIEMBRE!C106+DICIEMBRE!C106</f>
        <v>35395.533520429999</v>
      </c>
      <c r="D106" s="16">
        <f>ENERO!D106+FEBRERO!D106+MARZO!D106+ABRIL!D106+MAYO!D106+JUNIO!D106+JULIO!D106+AGOSTO!D106+SEPTIEMBRE!D106+OCTUBRE!D106+NOVIEMBRE!D106+DICIEMBRE!D106</f>
        <v>88226633.219999999</v>
      </c>
      <c r="E106" s="16">
        <f>ENERO!E106+FEBRERO!E106+MARZO!E106+ABRIL!E106+MAYO!E106+JUNIO!E106+JULIO!E106+AGOSTO!E106+SEPTIEMBRE!E106+OCTUBRE!E106+NOVIEMBRE!E106+DICIEMBRE!E106</f>
        <v>101432376.35000001</v>
      </c>
      <c r="F106" s="16">
        <f>ENERO!F106+FEBRERO!F106+MARZO!F106+ABRIL!F106+MAYO!F106+JUNIO!F106+JULIO!F106+AGOSTO!F106+SEPTIEMBRE!F106+OCTUBRE!F106+NOVIEMBRE!F106+DICIEMBRE!F106</f>
        <v>240440132.14855644</v>
      </c>
      <c r="G106" s="16">
        <f>ENERO!G106+FEBRERO!G106+MARZO!G106+ABRIL!G106+MAYO!G106+JUNIO!G106+JULIO!G106+AGOSTO!G106+SEPTIEMBRE!G106+OCTUBRE!G106+NOVIEMBRE!G106+DICIEMBRE!G106</f>
        <v>74587730.524269223</v>
      </c>
      <c r="H106" s="16">
        <f>ENERO!H106+FEBRERO!H106+MARZO!H106+ABRIL!H106+MAYO!H106+JUNIO!H106+JULIO!H106+AGOSTO!H106+SEPTIEMBRE!H106+OCTUBRE!H106+NOVIEMBRE!H106+DICIEMBRE!H106</f>
        <v>585910497.88999999</v>
      </c>
      <c r="I106" s="16">
        <f>ENERO!I106+FEBRERO!I106+MARZO!I106+ABRIL!I106+MAYO!I106+JUNIO!I106+JULIO!I106+AGOSTO!I106+SEPTIEMBRE!I106+OCTUBRE!I106+NOVIEMBRE!I106+DICIEMBRE!I106</f>
        <v>773096044.78999996</v>
      </c>
      <c r="J106" s="16">
        <f>ENERO!J106+FEBRERO!J106+MARZO!J106+ABRIL!J106+MAYO!J106+JUNIO!J106+JULIO!J106+AGOSTO!J106+SEPTIEMBRE!J106+OCTUBRE!J106+NOVIEMBRE!J106+DICIEMBRE!J106</f>
        <v>1311115235.8900001</v>
      </c>
      <c r="K106" s="16">
        <f>ENERO!K106+FEBRERO!K106+MARZO!K106+ABRIL!K106+MAYO!K106+JUNIO!K106+JULIO!K106+AGOSTO!K106+SEPTIEMBRE!K106+OCTUBRE!K106+NOVIEMBRE!K106+DICIEMBRE!K106</f>
        <v>484311435.27999997</v>
      </c>
      <c r="L106" s="16">
        <f>ENERO!L106+FEBRERO!L106+MARZO!L106+ABRIL!L106+MAYO!L106+JUNIO!L106+JULIO!L106+AGOSTO!L106+SEPTIEMBRE!L106+OCTUBRE!L106+NOVIEMBRE!L106+DICIEMBRE!L106</f>
        <v>0</v>
      </c>
      <c r="M106" s="16">
        <f>ENERO!M106+FEBRERO!M106+MARZO!M106+ABRIL!M106+MAYO!M106+JUNIO!M106+JULIO!M106+AGOSTO!M106+SEPTIEMBRE!M106+OCTUBRE!M106+NOVIEMBRE!M106+DICIEMBRE!M106</f>
        <v>1025.77</v>
      </c>
      <c r="N106" s="18">
        <f t="shared" si="3"/>
        <v>14743264632.326345</v>
      </c>
      <c r="O106" s="4"/>
      <c r="P106" s="4"/>
      <c r="Q106" s="4"/>
    </row>
    <row r="107" spans="1:17" ht="18" customHeight="1" x14ac:dyDescent="0.2">
      <c r="A107" s="17" t="s">
        <v>102</v>
      </c>
      <c r="B107" s="16">
        <f>ENERO!B107+FEBRERO!B107+MARZO!B107+ABRIL!B107+MAYO!B107+JUNIO!B107+JULIO!B107+AGOSTO!B107+SEPTIEMBRE!B107+OCTUBRE!B107+NOVIEMBRE!B107+DICIEMBRE!B107</f>
        <v>15362431337.43</v>
      </c>
      <c r="C107" s="16">
        <f>ENERO!C107+FEBRERO!C107+MARZO!C107+ABRIL!C107+MAYO!C107+JUNIO!C107+JULIO!C107+AGOSTO!C107+SEPTIEMBRE!C107+OCTUBRE!C107+NOVIEMBRE!C107+DICIEMBRE!C107</f>
        <v>53787.215161789994</v>
      </c>
      <c r="D107" s="16">
        <f>ENERO!D107+FEBRERO!D107+MARZO!D107+ABRIL!D107+MAYO!D107+JUNIO!D107+JULIO!D107+AGOSTO!D107+SEPTIEMBRE!D107+OCTUBRE!D107+NOVIEMBRE!D107+DICIEMBRE!D107</f>
        <v>587085009.07685494</v>
      </c>
      <c r="E107" s="16">
        <f>ENERO!E107+FEBRERO!E107+MARZO!E107+ABRIL!E107+MAYO!E107+JUNIO!E107+JULIO!E107+AGOSTO!E107+SEPTIEMBRE!E107+OCTUBRE!E107+NOVIEMBRE!E107+DICIEMBRE!E107</f>
        <v>122639532.97999999</v>
      </c>
      <c r="F107" s="16">
        <f>ENERO!F107+FEBRERO!F107+MARZO!F107+ABRIL!F107+MAYO!F107+JUNIO!F107+JULIO!F107+AGOSTO!F107+SEPTIEMBRE!F107+OCTUBRE!F107+NOVIEMBRE!F107+DICIEMBRE!F107</f>
        <v>13366753.651100092</v>
      </c>
      <c r="G107" s="16">
        <f>ENERO!G107+FEBRERO!G107+MARZO!G107+ABRIL!G107+MAYO!G107+JUNIO!G107+JULIO!G107+AGOSTO!G107+SEPTIEMBRE!G107+OCTUBRE!G107+NOVIEMBRE!G107+DICIEMBRE!G107</f>
        <v>12900388.459999999</v>
      </c>
      <c r="H107" s="16">
        <f>ENERO!H107+FEBRERO!H107+MARZO!H107+ABRIL!H107+MAYO!H107+JUNIO!H107+JULIO!H107+AGOSTO!H107+SEPTIEMBRE!H107+OCTUBRE!H107+NOVIEMBRE!H107+DICIEMBRE!H107</f>
        <v>815265925.9799999</v>
      </c>
      <c r="I107" s="16">
        <f>ENERO!I107+FEBRERO!I107+MARZO!I107+ABRIL!I107+MAYO!I107+JUNIO!I107+JULIO!I107+AGOSTO!I107+SEPTIEMBRE!I107+OCTUBRE!I107+NOVIEMBRE!I107+DICIEMBRE!I107</f>
        <v>42978617.230000004</v>
      </c>
      <c r="J107" s="16">
        <f>ENERO!J107+FEBRERO!J107+MARZO!J107+ABRIL!J107+MAYO!J107+JUNIO!J107+JULIO!J107+AGOSTO!J107+SEPTIEMBRE!J107+OCTUBRE!J107+NOVIEMBRE!J107+DICIEMBRE!J107</f>
        <v>607435354.75999987</v>
      </c>
      <c r="K107" s="16">
        <f>ENERO!K107+FEBRERO!K107+MARZO!K107+ABRIL!K107+MAYO!K107+JUNIO!K107+JULIO!K107+AGOSTO!K107+SEPTIEMBRE!K107+OCTUBRE!K107+NOVIEMBRE!K107+DICIEMBRE!K107</f>
        <v>735961853.84000003</v>
      </c>
      <c r="L107" s="16">
        <f>ENERO!L107+FEBRERO!L107+MARZO!L107+ABRIL!L107+MAYO!L107+JUNIO!L107+JULIO!L107+AGOSTO!L107+SEPTIEMBRE!L107+OCTUBRE!L107+NOVIEMBRE!L107+DICIEMBRE!L107</f>
        <v>0</v>
      </c>
      <c r="M107" s="16">
        <f>ENERO!M107+FEBRERO!M107+MARZO!M107+ABRIL!M107+MAYO!M107+JUNIO!M107+JULIO!M107+AGOSTO!M107+SEPTIEMBRE!M107+OCTUBRE!M107+NOVIEMBRE!M107+DICIEMBRE!M107</f>
        <v>57.01</v>
      </c>
      <c r="N107" s="18">
        <f t="shared" si="3"/>
        <v>18300118617.633114</v>
      </c>
      <c r="O107" s="4"/>
      <c r="P107" s="4"/>
      <c r="Q107" s="4"/>
    </row>
    <row r="108" spans="1:17" ht="18" customHeight="1" x14ac:dyDescent="0.2">
      <c r="A108" s="17" t="s">
        <v>103</v>
      </c>
      <c r="B108" s="16">
        <f>ENERO!B108+FEBRERO!B108+MARZO!B108+ABRIL!B108+MAYO!B108+JUNIO!B108+JULIO!B108+AGOSTO!B108+SEPTIEMBRE!B108+OCTUBRE!B108+NOVIEMBRE!B108+DICIEMBRE!B108</f>
        <v>5447124701.6200008</v>
      </c>
      <c r="C108" s="16">
        <f>ENERO!C108+FEBRERO!C108+MARZO!C108+ABRIL!C108+MAYO!C108+JUNIO!C108+JULIO!C108+AGOSTO!C108+SEPTIEMBRE!C108+OCTUBRE!C108+NOVIEMBRE!C108+DICIEMBRE!C108</f>
        <v>18529.44814986</v>
      </c>
      <c r="D108" s="16">
        <f>ENERO!D108+FEBRERO!D108+MARZO!D108+ABRIL!D108+MAYO!D108+JUNIO!D108+JULIO!D108+AGOSTO!D108+SEPTIEMBRE!D108+OCTUBRE!D108+NOVIEMBRE!D108+DICIEMBRE!D108</f>
        <v>231025541.89607042</v>
      </c>
      <c r="E108" s="16">
        <f>ENERO!E108+FEBRERO!E108+MARZO!E108+ABRIL!E108+MAYO!E108+JUNIO!E108+JULIO!E108+AGOSTO!E108+SEPTIEMBRE!E108+OCTUBRE!E108+NOVIEMBRE!E108+DICIEMBRE!E108</f>
        <v>46043736.829999998</v>
      </c>
      <c r="F108" s="16">
        <f>ENERO!F108+FEBRERO!F108+MARZO!F108+ABRIL!F108+MAYO!F108+JUNIO!F108+JULIO!F108+AGOSTO!F108+SEPTIEMBRE!F108+OCTUBRE!F108+NOVIEMBRE!F108+DICIEMBRE!F108</f>
        <v>13560474.714594293</v>
      </c>
      <c r="G108" s="16">
        <f>ENERO!G108+FEBRERO!G108+MARZO!G108+ABRIL!G108+MAYO!G108+JUNIO!G108+JULIO!G108+AGOSTO!G108+SEPTIEMBRE!G108+OCTUBRE!G108+NOVIEMBRE!G108+DICIEMBRE!G108</f>
        <v>9437286.8900000006</v>
      </c>
      <c r="H108" s="16">
        <f>ENERO!H108+FEBRERO!H108+MARZO!H108+ABRIL!H108+MAYO!H108+JUNIO!H108+JULIO!H108+AGOSTO!H108+SEPTIEMBRE!H108+OCTUBRE!H108+NOVIEMBRE!H108+DICIEMBRE!H108</f>
        <v>288705443.01999998</v>
      </c>
      <c r="I108" s="16">
        <f>ENERO!I108+FEBRERO!I108+MARZO!I108+ABRIL!I108+MAYO!I108+JUNIO!I108+JULIO!I108+AGOSTO!I108+SEPTIEMBRE!I108+OCTUBRE!I108+NOVIEMBRE!I108+DICIEMBRE!I108</f>
        <v>43601495.739999995</v>
      </c>
      <c r="J108" s="16">
        <f>ENERO!J108+FEBRERO!J108+MARZO!J108+ABRIL!J108+MAYO!J108+JUNIO!J108+JULIO!J108+AGOSTO!J108+SEPTIEMBRE!J108+OCTUBRE!J108+NOVIEMBRE!J108+DICIEMBRE!J108</f>
        <v>324043248.8599999</v>
      </c>
      <c r="K108" s="16">
        <f>ENERO!K108+FEBRERO!K108+MARZO!K108+ABRIL!K108+MAYO!K108+JUNIO!K108+JULIO!K108+AGOSTO!K108+SEPTIEMBRE!K108+OCTUBRE!K108+NOVIEMBRE!K108+DICIEMBRE!K108</f>
        <v>253535534.56</v>
      </c>
      <c r="L108" s="16">
        <f>ENERO!L108+FEBRERO!L108+MARZO!L108+ABRIL!L108+MAYO!L108+JUNIO!L108+JULIO!L108+AGOSTO!L108+SEPTIEMBRE!L108+OCTUBRE!L108+NOVIEMBRE!L108+DICIEMBRE!L108</f>
        <v>0</v>
      </c>
      <c r="M108" s="16">
        <f>ENERO!M108+FEBRERO!M108+MARZO!M108+ABRIL!M108+MAYO!M108+JUNIO!M108+JULIO!M108+AGOSTO!M108+SEPTIEMBRE!M108+OCTUBRE!M108+NOVIEMBRE!M108+DICIEMBRE!M108</f>
        <v>57.849999999999994</v>
      </c>
      <c r="N108" s="18">
        <f t="shared" si="3"/>
        <v>6657096051.4288158</v>
      </c>
      <c r="O108" s="4"/>
      <c r="P108" s="4"/>
      <c r="Q108" s="4"/>
    </row>
    <row r="109" spans="1:17" ht="18" customHeight="1" x14ac:dyDescent="0.2">
      <c r="A109" s="17" t="s">
        <v>104</v>
      </c>
      <c r="B109" s="16">
        <f>ENERO!B109+FEBRERO!B109+MARZO!B109+ABRIL!B109+MAYO!B109+JUNIO!B109+JULIO!B109+AGOSTO!B109+SEPTIEMBRE!B109+OCTUBRE!B109+NOVIEMBRE!B109+DICIEMBRE!B109</f>
        <v>52360954351.069992</v>
      </c>
      <c r="C109" s="16">
        <f>ENERO!C109+FEBRERO!C109+MARZO!C109+ABRIL!C109+MAYO!C109+JUNIO!C109+JULIO!C109+AGOSTO!C109+SEPTIEMBRE!C109+OCTUBRE!C109+NOVIEMBRE!C109+DICIEMBRE!C109</f>
        <v>192394.37290330001</v>
      </c>
      <c r="D109" s="16">
        <f>ENERO!D109+FEBRERO!D109+MARZO!D109+ABRIL!D109+MAYO!D109+JUNIO!D109+JULIO!D109+AGOSTO!D109+SEPTIEMBRE!D109+OCTUBRE!D109+NOVIEMBRE!D109+DICIEMBRE!D109</f>
        <v>895086979.03002894</v>
      </c>
      <c r="E109" s="16">
        <f>ENERO!E109+FEBRERO!E109+MARZO!E109+ABRIL!E109+MAYO!E109+JUNIO!E109+JULIO!E109+AGOSTO!E109+SEPTIEMBRE!E109+OCTUBRE!E109+NOVIEMBRE!E109+DICIEMBRE!E109</f>
        <v>574838596.76999998</v>
      </c>
      <c r="F109" s="16">
        <f>ENERO!F109+FEBRERO!F109+MARZO!F109+ABRIL!F109+MAYO!F109+JUNIO!F109+JULIO!F109+AGOSTO!F109+SEPTIEMBRE!F109+OCTUBRE!F109+NOVIEMBRE!F109+DICIEMBRE!F109</f>
        <v>1384524472.7430775</v>
      </c>
      <c r="G109" s="16">
        <f>ENERO!G109+FEBRERO!G109+MARZO!G109+ABRIL!G109+MAYO!G109+JUNIO!G109+JULIO!G109+AGOSTO!G109+SEPTIEMBRE!G109+OCTUBRE!G109+NOVIEMBRE!G109+DICIEMBRE!G109</f>
        <v>812210719.65983844</v>
      </c>
      <c r="H109" s="16">
        <f>ENERO!H109+FEBRERO!H109+MARZO!H109+ABRIL!H109+MAYO!H109+JUNIO!H109+JULIO!H109+AGOSTO!H109+SEPTIEMBRE!H109+OCTUBRE!H109+NOVIEMBRE!H109+DICIEMBRE!H109</f>
        <v>2784871375.5799999</v>
      </c>
      <c r="I109" s="16">
        <f>ENERO!I109+FEBRERO!I109+MARZO!I109+ABRIL!I109+MAYO!I109+JUNIO!I109+JULIO!I109+AGOSTO!I109+SEPTIEMBRE!I109+OCTUBRE!I109+NOVIEMBRE!I109+DICIEMBRE!I109</f>
        <v>4451712715.5300007</v>
      </c>
      <c r="J109" s="16">
        <f>ENERO!J109+FEBRERO!J109+MARZO!J109+ABRIL!J109+MAYO!J109+JUNIO!J109+JULIO!J109+AGOSTO!J109+SEPTIEMBRE!J109+OCTUBRE!J109+NOVIEMBRE!J109+DICIEMBRE!J109</f>
        <v>5912420747.2099981</v>
      </c>
      <c r="K109" s="16">
        <f>ENERO!K109+FEBRERO!K109+MARZO!K109+ABRIL!K109+MAYO!K109+JUNIO!K109+JULIO!K109+AGOSTO!K109+SEPTIEMBRE!K109+OCTUBRE!K109+NOVIEMBRE!K109+DICIEMBRE!K109</f>
        <v>2632501656.8000002</v>
      </c>
      <c r="L109" s="16">
        <f>ENERO!L109+FEBRERO!L109+MARZO!L109+ABRIL!L109+MAYO!L109+JUNIO!L109+JULIO!L109+AGOSTO!L109+SEPTIEMBRE!L109+OCTUBRE!L109+NOVIEMBRE!L109+DICIEMBRE!L109</f>
        <v>0</v>
      </c>
      <c r="M109" s="16">
        <f>ENERO!M109+FEBRERO!M109+MARZO!M109+ABRIL!M109+MAYO!M109+JUNIO!M109+JULIO!M109+AGOSTO!M109+SEPTIEMBRE!M109+OCTUBRE!M109+NOVIEMBRE!M109+DICIEMBRE!M109</f>
        <v>5906.75</v>
      </c>
      <c r="N109" s="18">
        <f t="shared" si="3"/>
        <v>71809319915.515839</v>
      </c>
      <c r="O109" s="4"/>
      <c r="P109" s="4"/>
      <c r="Q109" s="4"/>
    </row>
    <row r="110" spans="1:17" ht="18" customHeight="1" x14ac:dyDescent="0.2">
      <c r="A110" s="17" t="s">
        <v>105</v>
      </c>
      <c r="B110" s="16">
        <f>ENERO!B110+FEBRERO!B110+MARZO!B110+ABRIL!B110+MAYO!B110+JUNIO!B110+JULIO!B110+AGOSTO!B110+SEPTIEMBRE!B110+OCTUBRE!B110+NOVIEMBRE!B110+DICIEMBRE!B110</f>
        <v>6001616196.5900002</v>
      </c>
      <c r="C110" s="16">
        <f>ENERO!C110+FEBRERO!C110+MARZO!C110+ABRIL!C110+MAYO!C110+JUNIO!C110+JULIO!C110+AGOSTO!C110+SEPTIEMBRE!C110+OCTUBRE!C110+NOVIEMBRE!C110+DICIEMBRE!C110</f>
        <v>21003.84184252</v>
      </c>
      <c r="D110" s="16">
        <f>ENERO!D110+FEBRERO!D110+MARZO!D110+ABRIL!D110+MAYO!D110+JUNIO!D110+JULIO!D110+AGOSTO!D110+SEPTIEMBRE!D110+OCTUBRE!D110+NOVIEMBRE!D110+DICIEMBRE!D110</f>
        <v>539711192.73314917</v>
      </c>
      <c r="E110" s="16">
        <f>ENERO!E110+FEBRERO!E110+MARZO!E110+ABRIL!E110+MAYO!E110+JUNIO!E110+JULIO!E110+AGOSTO!E110+SEPTIEMBRE!E110+OCTUBRE!E110+NOVIEMBRE!E110+DICIEMBRE!E110</f>
        <v>62289282.720000006</v>
      </c>
      <c r="F110" s="16">
        <f>ENERO!F110+FEBRERO!F110+MARZO!F110+ABRIL!F110+MAYO!F110+JUNIO!F110+JULIO!F110+AGOSTO!F110+SEPTIEMBRE!F110+OCTUBRE!F110+NOVIEMBRE!F110+DICIEMBRE!F110</f>
        <v>52918138.346166782</v>
      </c>
      <c r="G110" s="16">
        <f>ENERO!G110+FEBRERO!G110+MARZO!G110+ABRIL!G110+MAYO!G110+JUNIO!G110+JULIO!G110+AGOSTO!G110+SEPTIEMBRE!G110+OCTUBRE!G110+NOVIEMBRE!G110+DICIEMBRE!G110</f>
        <v>30643818.41</v>
      </c>
      <c r="H110" s="16">
        <f>ENERO!H110+FEBRERO!H110+MARZO!H110+ABRIL!H110+MAYO!H110+JUNIO!H110+JULIO!H110+AGOSTO!H110+SEPTIEMBRE!H110+OCTUBRE!H110+NOVIEMBRE!H110+DICIEMBRE!H110</f>
        <v>318492445.71000004</v>
      </c>
      <c r="I110" s="16">
        <f>ENERO!I110+FEBRERO!I110+MARZO!I110+ABRIL!I110+MAYO!I110+JUNIO!I110+JULIO!I110+AGOSTO!I110+SEPTIEMBRE!I110+OCTUBRE!I110+NOVIEMBRE!I110+DICIEMBRE!I110</f>
        <v>170149646.5</v>
      </c>
      <c r="J110" s="16">
        <f>ENERO!J110+FEBRERO!J110+MARZO!J110+ABRIL!J110+MAYO!J110+JUNIO!J110+JULIO!J110+AGOSTO!J110+SEPTIEMBRE!J110+OCTUBRE!J110+NOVIEMBRE!J110+DICIEMBRE!J110</f>
        <v>685070482.50999999</v>
      </c>
      <c r="K110" s="16">
        <f>ENERO!K110+FEBRERO!K110+MARZO!K110+ABRIL!K110+MAYO!K110+JUNIO!K110+JULIO!K110+AGOSTO!K110+SEPTIEMBRE!K110+OCTUBRE!K110+NOVIEMBRE!K110+DICIEMBRE!K110</f>
        <v>287392217.92000002</v>
      </c>
      <c r="L110" s="16">
        <f>ENERO!L110+FEBRERO!L110+MARZO!L110+ABRIL!L110+MAYO!L110+JUNIO!L110+JULIO!L110+AGOSTO!L110+SEPTIEMBRE!L110+OCTUBRE!L110+NOVIEMBRE!L110+DICIEMBRE!L110</f>
        <v>0</v>
      </c>
      <c r="M110" s="16">
        <f>ENERO!M110+FEBRERO!M110+MARZO!M110+ABRIL!M110+MAYO!M110+JUNIO!M110+JULIO!M110+AGOSTO!M110+SEPTIEMBRE!M110+OCTUBRE!M110+NOVIEMBRE!M110+DICIEMBRE!M110</f>
        <v>225.76000000000002</v>
      </c>
      <c r="N110" s="18">
        <f t="shared" si="3"/>
        <v>8148304651.0411596</v>
      </c>
      <c r="O110" s="4"/>
      <c r="P110" s="4"/>
      <c r="Q110" s="4"/>
    </row>
    <row r="111" spans="1:17" ht="18" customHeight="1" x14ac:dyDescent="0.2">
      <c r="A111" s="17" t="s">
        <v>106</v>
      </c>
      <c r="B111" s="16">
        <f>ENERO!B111+FEBRERO!B111+MARZO!B111+ABRIL!B111+MAYO!B111+JUNIO!B111+JULIO!B111+AGOSTO!B111+SEPTIEMBRE!B111+OCTUBRE!B111+NOVIEMBRE!B111+DICIEMBRE!B111</f>
        <v>6907476363.6799994</v>
      </c>
      <c r="C111" s="16">
        <f>ENERO!C111+FEBRERO!C111+MARZO!C111+ABRIL!C111+MAYO!C111+JUNIO!C111+JULIO!C111+AGOSTO!C111+SEPTIEMBRE!C111+OCTUBRE!C111+NOVIEMBRE!C111+DICIEMBRE!C111</f>
        <v>25004.744049360001</v>
      </c>
      <c r="D111" s="16">
        <f>ENERO!D111+FEBRERO!D111+MARZO!D111+ABRIL!D111+MAYO!D111+JUNIO!D111+JULIO!D111+AGOSTO!D111+SEPTIEMBRE!D111+OCTUBRE!D111+NOVIEMBRE!D111+DICIEMBRE!D111</f>
        <v>606509303.44180679</v>
      </c>
      <c r="E111" s="16">
        <f>ENERO!E111+FEBRERO!E111+MARZO!E111+ABRIL!E111+MAYO!E111+JUNIO!E111+JULIO!E111+AGOSTO!E111+SEPTIEMBRE!E111+OCTUBRE!E111+NOVIEMBRE!E111+DICIEMBRE!E111</f>
        <v>59476059.850000009</v>
      </c>
      <c r="F111" s="16">
        <f>ENERO!F111+FEBRERO!F111+MARZO!F111+ABRIL!F111+MAYO!F111+JUNIO!F111+JULIO!F111+AGOSTO!F111+SEPTIEMBRE!F111+OCTUBRE!F111+NOVIEMBRE!F111+DICIEMBRE!F111</f>
        <v>18435788.254198436</v>
      </c>
      <c r="G111" s="16">
        <f>ENERO!G111+FEBRERO!G111+MARZO!G111+ABRIL!G111+MAYO!G111+JUNIO!G111+JULIO!G111+AGOSTO!G111+SEPTIEMBRE!G111+OCTUBRE!G111+NOVIEMBRE!G111+DICIEMBRE!G111</f>
        <v>12876480.85</v>
      </c>
      <c r="H111" s="16">
        <f>ENERO!H111+FEBRERO!H111+MARZO!H111+ABRIL!H111+MAYO!H111+JUNIO!H111+JULIO!H111+AGOSTO!H111+SEPTIEMBRE!H111+OCTUBRE!H111+NOVIEMBRE!H111+DICIEMBRE!H111</f>
        <v>367126738.43000001</v>
      </c>
      <c r="I111" s="16">
        <f>ENERO!I111+FEBRERO!I111+MARZO!I111+ABRIL!I111+MAYO!I111+JUNIO!I111+JULIO!I111+AGOSTO!I111+SEPTIEMBRE!I111+OCTUBRE!I111+NOVIEMBRE!I111+DICIEMBRE!I111</f>
        <v>59277271.610000007</v>
      </c>
      <c r="J111" s="16">
        <f>ENERO!J111+FEBRERO!J111+MARZO!J111+ABRIL!J111+MAYO!J111+JUNIO!J111+JULIO!J111+AGOSTO!J111+SEPTIEMBRE!J111+OCTUBRE!J111+NOVIEMBRE!J111+DICIEMBRE!J111</f>
        <v>533708323.25000006</v>
      </c>
      <c r="K111" s="16">
        <f>ENERO!K111+FEBRERO!K111+MARZO!K111+ABRIL!K111+MAYO!K111+JUNIO!K111+JULIO!K111+AGOSTO!K111+SEPTIEMBRE!K111+OCTUBRE!K111+NOVIEMBRE!K111+DICIEMBRE!K111</f>
        <v>342135986.56</v>
      </c>
      <c r="L111" s="16">
        <f>ENERO!L111+FEBRERO!L111+MARZO!L111+ABRIL!L111+MAYO!L111+JUNIO!L111+JULIO!L111+AGOSTO!L111+SEPTIEMBRE!L111+OCTUBRE!L111+NOVIEMBRE!L111+DICIEMBRE!L111</f>
        <v>0</v>
      </c>
      <c r="M111" s="16">
        <f>ENERO!M111+FEBRERO!M111+MARZO!M111+ABRIL!M111+MAYO!M111+JUNIO!M111+JULIO!M111+AGOSTO!M111+SEPTIEMBRE!M111+OCTUBRE!M111+NOVIEMBRE!M111+DICIEMBRE!M111</f>
        <v>78.64</v>
      </c>
      <c r="N111" s="18">
        <f t="shared" si="3"/>
        <v>8907047399.3100529</v>
      </c>
      <c r="O111" s="4"/>
      <c r="P111" s="4"/>
      <c r="Q111" s="4"/>
    </row>
    <row r="112" spans="1:17" ht="18" customHeight="1" x14ac:dyDescent="0.2">
      <c r="A112" s="17" t="s">
        <v>107</v>
      </c>
      <c r="B112" s="16">
        <f>ENERO!B112+FEBRERO!B112+MARZO!B112+ABRIL!B112+MAYO!B112+JUNIO!B112+JULIO!B112+AGOSTO!B112+SEPTIEMBRE!B112+OCTUBRE!B112+NOVIEMBRE!B112+DICIEMBRE!B112</f>
        <v>10120250019.949999</v>
      </c>
      <c r="C112" s="16">
        <f>ENERO!C112+FEBRERO!C112+MARZO!C112+ABRIL!C112+MAYO!C112+JUNIO!C112+JULIO!C112+AGOSTO!C112+SEPTIEMBRE!C112+OCTUBRE!C112+NOVIEMBRE!C112+DICIEMBRE!C112</f>
        <v>34889.447412540001</v>
      </c>
      <c r="D112" s="16">
        <f>ENERO!D112+FEBRERO!D112+MARZO!D112+ABRIL!D112+MAYO!D112+JUNIO!D112+JULIO!D112+AGOSTO!D112+SEPTIEMBRE!D112+OCTUBRE!D112+NOVIEMBRE!D112+DICIEMBRE!D112</f>
        <v>1133717963.5860307</v>
      </c>
      <c r="E112" s="16">
        <f>ENERO!E112+FEBRERO!E112+MARZO!E112+ABRIL!E112+MAYO!E112+JUNIO!E112+JULIO!E112+AGOSTO!E112+SEPTIEMBRE!E112+OCTUBRE!E112+NOVIEMBRE!E112+DICIEMBRE!E112</f>
        <v>86078701.579999998</v>
      </c>
      <c r="F112" s="16">
        <f>ENERO!F112+FEBRERO!F112+MARZO!F112+ABRIL!F112+MAYO!F112+JUNIO!F112+JULIO!F112+AGOSTO!F112+SEPTIEMBRE!F112+OCTUBRE!F112+NOVIEMBRE!F112+DICIEMBRE!F112</f>
        <v>22407070.120829616</v>
      </c>
      <c r="G112" s="16">
        <f>ENERO!G112+FEBRERO!G112+MARZO!G112+ABRIL!G112+MAYO!G112+JUNIO!G112+JULIO!G112+AGOSTO!G112+SEPTIEMBRE!G112+OCTUBRE!G112+NOVIEMBRE!G112+DICIEMBRE!G112</f>
        <v>15284085.680000002</v>
      </c>
      <c r="H112" s="16">
        <f>ENERO!H112+FEBRERO!H112+MARZO!H112+ABRIL!H112+MAYO!H112+JUNIO!H112+JULIO!H112+AGOSTO!H112+SEPTIEMBRE!H112+OCTUBRE!H112+NOVIEMBRE!H112+DICIEMBRE!H112</f>
        <v>536701531.93000001</v>
      </c>
      <c r="I112" s="16">
        <f>ENERO!I112+FEBRERO!I112+MARZO!I112+ABRIL!I112+MAYO!I112+JUNIO!I112+JULIO!I112+AGOSTO!I112+SEPTIEMBRE!I112+OCTUBRE!I112+NOVIEMBRE!I112+DICIEMBRE!I112</f>
        <v>72046281.060000002</v>
      </c>
      <c r="J112" s="16">
        <f>ENERO!J112+FEBRERO!J112+MARZO!J112+ABRIL!J112+MAYO!J112+JUNIO!J112+JULIO!J112+AGOSTO!J112+SEPTIEMBRE!J112+OCTUBRE!J112+NOVIEMBRE!J112+DICIEMBRE!J112</f>
        <v>559854180.44999993</v>
      </c>
      <c r="K112" s="16">
        <f>ENERO!K112+FEBRERO!K112+MARZO!K112+ABRIL!K112+MAYO!K112+JUNIO!K112+JULIO!K112+AGOSTO!K112+SEPTIEMBRE!K112+OCTUBRE!K112+NOVIEMBRE!K112+DICIEMBRE!K112</f>
        <v>477386775.84000003</v>
      </c>
      <c r="L112" s="16">
        <f>ENERO!L112+FEBRERO!L112+MARZO!L112+ABRIL!L112+MAYO!L112+JUNIO!L112+JULIO!L112+AGOSTO!L112+SEPTIEMBRE!L112+OCTUBRE!L112+NOVIEMBRE!L112+DICIEMBRE!L112</f>
        <v>0</v>
      </c>
      <c r="M112" s="16">
        <f>ENERO!M112+FEBRERO!M112+MARZO!M112+ABRIL!M112+MAYO!M112+JUNIO!M112+JULIO!M112+AGOSTO!M112+SEPTIEMBRE!M112+OCTUBRE!M112+NOVIEMBRE!M112+DICIEMBRE!M112</f>
        <v>95.58</v>
      </c>
      <c r="N112" s="18">
        <f t="shared" si="3"/>
        <v>13023761595.224274</v>
      </c>
      <c r="O112" s="4"/>
      <c r="P112" s="4"/>
      <c r="Q112" s="4"/>
    </row>
    <row r="113" spans="1:17" ht="18" customHeight="1" x14ac:dyDescent="0.2">
      <c r="A113" s="17" t="s">
        <v>108</v>
      </c>
      <c r="B113" s="16">
        <f>ENERO!B113+FEBRERO!B113+MARZO!B113+ABRIL!B113+MAYO!B113+JUNIO!B113+JULIO!B113+AGOSTO!B113+SEPTIEMBRE!B113+OCTUBRE!B113+NOVIEMBRE!B113+DICIEMBRE!B113</f>
        <v>8009697261.8599997</v>
      </c>
      <c r="C113" s="16">
        <f>ENERO!C113+FEBRERO!C113+MARZO!C113+ABRIL!C113+MAYO!C113+JUNIO!C113+JULIO!C113+AGOSTO!C113+SEPTIEMBRE!C113+OCTUBRE!C113+NOVIEMBRE!C113+DICIEMBRE!C113</f>
        <v>27702.332885790001</v>
      </c>
      <c r="D113" s="16">
        <f>ENERO!D113+FEBRERO!D113+MARZO!D113+ABRIL!D113+MAYO!D113+JUNIO!D113+JULIO!D113+AGOSTO!D113+SEPTIEMBRE!D113+OCTUBRE!D113+NOVIEMBRE!D113+DICIEMBRE!D113</f>
        <v>1431371083.5483637</v>
      </c>
      <c r="E113" s="16">
        <f>ENERO!E113+FEBRERO!E113+MARZO!E113+ABRIL!E113+MAYO!E113+JUNIO!E113+JULIO!E113+AGOSTO!E113+SEPTIEMBRE!E113+OCTUBRE!E113+NOVIEMBRE!E113+DICIEMBRE!E113</f>
        <v>68617120.230000004</v>
      </c>
      <c r="F113" s="16">
        <f>ENERO!F113+FEBRERO!F113+MARZO!F113+ABRIL!F113+MAYO!F113+JUNIO!F113+JULIO!F113+AGOSTO!F113+SEPTIEMBRE!F113+OCTUBRE!F113+NOVIEMBRE!F113+DICIEMBRE!F113</f>
        <v>31576534.009555288</v>
      </c>
      <c r="G113" s="16">
        <f>ENERO!G113+FEBRERO!G113+MARZO!G113+ABRIL!G113+MAYO!G113+JUNIO!G113+JULIO!G113+AGOSTO!G113+SEPTIEMBRE!G113+OCTUBRE!G113+NOVIEMBRE!G113+DICIEMBRE!G113</f>
        <v>19794654.430000003</v>
      </c>
      <c r="H113" s="16">
        <f>ENERO!H113+FEBRERO!H113+MARZO!H113+ABRIL!H113+MAYO!H113+JUNIO!H113+JULIO!H113+AGOSTO!H113+SEPTIEMBRE!H113+OCTUBRE!H113+NOVIEMBRE!H113+DICIEMBRE!H113</f>
        <v>424834011.61999995</v>
      </c>
      <c r="I113" s="16">
        <f>ENERO!I113+FEBRERO!I113+MARZO!I113+ABRIL!I113+MAYO!I113+JUNIO!I113+JULIO!I113+AGOSTO!I113+SEPTIEMBRE!I113+OCTUBRE!I113+NOVIEMBRE!I113+DICIEMBRE!I113</f>
        <v>101529197.23</v>
      </c>
      <c r="J113" s="16">
        <f>ENERO!J113+FEBRERO!J113+MARZO!J113+ABRIL!J113+MAYO!J113+JUNIO!J113+JULIO!J113+AGOSTO!J113+SEPTIEMBRE!J113+OCTUBRE!J113+NOVIEMBRE!J113+DICIEMBRE!J113</f>
        <v>546747561.12</v>
      </c>
      <c r="K113" s="16">
        <f>ENERO!K113+FEBRERO!K113+MARZO!K113+ABRIL!K113+MAYO!K113+JUNIO!K113+JULIO!K113+AGOSTO!K113+SEPTIEMBRE!K113+OCTUBRE!K113+NOVIEMBRE!K113+DICIEMBRE!K113</f>
        <v>379046557.84000003</v>
      </c>
      <c r="L113" s="16">
        <f>ENERO!L113+FEBRERO!L113+MARZO!L113+ABRIL!L113+MAYO!L113+JUNIO!L113+JULIO!L113+AGOSTO!L113+SEPTIEMBRE!L113+OCTUBRE!L113+NOVIEMBRE!L113+DICIEMBRE!L113</f>
        <v>0</v>
      </c>
      <c r="M113" s="16">
        <f>ENERO!M113+FEBRERO!M113+MARZO!M113+ABRIL!M113+MAYO!M113+JUNIO!M113+JULIO!M113+AGOSTO!M113+SEPTIEMBRE!M113+OCTUBRE!M113+NOVIEMBRE!M113+DICIEMBRE!M113</f>
        <v>134.71</v>
      </c>
      <c r="N113" s="18">
        <f t="shared" si="3"/>
        <v>11013241818.930805</v>
      </c>
      <c r="O113" s="4"/>
      <c r="P113" s="4"/>
      <c r="Q113" s="4"/>
    </row>
    <row r="114" spans="1:17" ht="18" customHeight="1" x14ac:dyDescent="0.2">
      <c r="A114" s="17" t="s">
        <v>109</v>
      </c>
      <c r="B114" s="16">
        <f>ENERO!B114+FEBRERO!B114+MARZO!B114+ABRIL!B114+MAYO!B114+JUNIO!B114+JULIO!B114+AGOSTO!B114+SEPTIEMBRE!B114+OCTUBRE!B114+NOVIEMBRE!B114+DICIEMBRE!B114</f>
        <v>4960254121.0499992</v>
      </c>
      <c r="C114" s="16">
        <f>ENERO!C114+FEBRERO!C114+MARZO!C114+ABRIL!C114+MAYO!C114+JUNIO!C114+JULIO!C114+AGOSTO!C114+SEPTIEMBRE!C114+OCTUBRE!C114+NOVIEMBRE!C114+DICIEMBRE!C114</f>
        <v>18263.087566760001</v>
      </c>
      <c r="D114" s="16">
        <f>ENERO!D114+FEBRERO!D114+MARZO!D114+ABRIL!D114+MAYO!D114+JUNIO!D114+JULIO!D114+AGOSTO!D114+SEPTIEMBRE!D114+OCTUBRE!D114+NOVIEMBRE!D114+DICIEMBRE!D114</f>
        <v>427892287.81166792</v>
      </c>
      <c r="E114" s="16">
        <f>ENERO!E114+FEBRERO!E114+MARZO!E114+ABRIL!E114+MAYO!E114+JUNIO!E114+JULIO!E114+AGOSTO!E114+SEPTIEMBRE!E114+OCTUBRE!E114+NOVIEMBRE!E114+DICIEMBRE!E114</f>
        <v>43182907.199999996</v>
      </c>
      <c r="F114" s="16">
        <f>ENERO!F114+FEBRERO!F114+MARZO!F114+ABRIL!F114+MAYO!F114+JUNIO!F114+JULIO!F114+AGOSTO!F114+SEPTIEMBRE!F114+OCTUBRE!F114+NOVIEMBRE!F114+DICIEMBRE!F114</f>
        <v>19113811.991428148</v>
      </c>
      <c r="G114" s="16">
        <f>ENERO!G114+FEBRERO!G114+MARZO!G114+ABRIL!G114+MAYO!G114+JUNIO!G114+JULIO!G114+AGOSTO!G114+SEPTIEMBRE!G114+OCTUBRE!G114+NOVIEMBRE!G114+DICIEMBRE!G114</f>
        <v>10833285.940000001</v>
      </c>
      <c r="H114" s="16">
        <f>ENERO!H114+FEBRERO!H114+MARZO!H114+ABRIL!H114+MAYO!H114+JUNIO!H114+JULIO!H114+AGOSTO!H114+SEPTIEMBRE!H114+OCTUBRE!H114+NOVIEMBRE!H114+DICIEMBRE!H114</f>
        <v>263841415.49000001</v>
      </c>
      <c r="I114" s="16">
        <f>ENERO!I114+FEBRERO!I114+MARZO!I114+ABRIL!I114+MAYO!I114+JUNIO!I114+JULIO!I114+AGOSTO!I114+SEPTIEMBRE!I114+OCTUBRE!I114+NOVIEMBRE!I114+DICIEMBRE!I114</f>
        <v>61457346.379999995</v>
      </c>
      <c r="J114" s="16">
        <f>ENERO!J114+FEBRERO!J114+MARZO!J114+ABRIL!J114+MAYO!J114+JUNIO!J114+JULIO!J114+AGOSTO!J114+SEPTIEMBRE!J114+OCTUBRE!J114+NOVIEMBRE!J114+DICIEMBRE!J114</f>
        <v>417661958.80000019</v>
      </c>
      <c r="K114" s="16">
        <f>ENERO!K114+FEBRERO!K114+MARZO!K114+ABRIL!K114+MAYO!K114+JUNIO!K114+JULIO!K114+AGOSTO!K114+SEPTIEMBRE!K114+OCTUBRE!K114+NOVIEMBRE!K114+DICIEMBRE!K114</f>
        <v>249890976.96000001</v>
      </c>
      <c r="L114" s="16">
        <f>ENERO!L114+FEBRERO!L114+MARZO!L114+ABRIL!L114+MAYO!L114+JUNIO!L114+JULIO!L114+AGOSTO!L114+SEPTIEMBRE!L114+OCTUBRE!L114+NOVIEMBRE!L114+DICIEMBRE!L114</f>
        <v>0</v>
      </c>
      <c r="M114" s="16">
        <f>ENERO!M114+FEBRERO!M114+MARZO!M114+ABRIL!M114+MAYO!M114+JUNIO!M114+JULIO!M114+AGOSTO!M114+SEPTIEMBRE!M114+OCTUBRE!M114+NOVIEMBRE!M114+DICIEMBRE!M114</f>
        <v>81.53</v>
      </c>
      <c r="N114" s="18">
        <f t="shared" si="3"/>
        <v>6454146456.2406616</v>
      </c>
      <c r="O114" s="4"/>
      <c r="P114" s="4"/>
      <c r="Q114" s="4"/>
    </row>
    <row r="115" spans="1:17" ht="18" customHeight="1" x14ac:dyDescent="0.2">
      <c r="A115" s="17" t="s">
        <v>110</v>
      </c>
      <c r="B115" s="16">
        <f>ENERO!B115+FEBRERO!B115+MARZO!B115+ABRIL!B115+MAYO!B115+JUNIO!B115+JULIO!B115+AGOSTO!B115+SEPTIEMBRE!B115+OCTUBRE!B115+NOVIEMBRE!B115+DICIEMBRE!B115</f>
        <v>12925737709.500002</v>
      </c>
      <c r="C115" s="16">
        <f>ENERO!C115+FEBRERO!C115+MARZO!C115+ABRIL!C115+MAYO!C115+JUNIO!C115+JULIO!C115+AGOSTO!C115+SEPTIEMBRE!C115+OCTUBRE!C115+NOVIEMBRE!C115+DICIEMBRE!C115</f>
        <v>48050.372947850003</v>
      </c>
      <c r="D115" s="16">
        <f>ENERO!D115+FEBRERO!D115+MARZO!D115+ABRIL!D115+MAYO!D115+JUNIO!D115+JULIO!D115+AGOSTO!D115+SEPTIEMBRE!D115+OCTUBRE!D115+NOVIEMBRE!D115+DICIEMBRE!D115</f>
        <v>377481905.3935855</v>
      </c>
      <c r="E115" s="16">
        <f>ENERO!E115+FEBRERO!E115+MARZO!E115+ABRIL!E115+MAYO!E115+JUNIO!E115+JULIO!E115+AGOSTO!E115+SEPTIEMBRE!E115+OCTUBRE!E115+NOVIEMBRE!E115+DICIEMBRE!E115</f>
        <v>111943448.32000001</v>
      </c>
      <c r="F115" s="16">
        <f>ENERO!F115+FEBRERO!F115+MARZO!F115+ABRIL!F115+MAYO!F115+JUNIO!F115+JULIO!F115+AGOSTO!F115+SEPTIEMBRE!F115+OCTUBRE!F115+NOVIEMBRE!F115+DICIEMBRE!F115</f>
        <v>19791835.738657858</v>
      </c>
      <c r="G115" s="16">
        <f>ENERO!G115+FEBRERO!G115+MARZO!G115+ABRIL!G115+MAYO!G115+JUNIO!G115+JULIO!G115+AGOSTO!G115+SEPTIEMBRE!G115+OCTUBRE!G115+NOVIEMBRE!G115+DICIEMBRE!G115</f>
        <v>17492581.190000001</v>
      </c>
      <c r="H115" s="16">
        <f>ENERO!H115+FEBRERO!H115+MARZO!H115+ABRIL!H115+MAYO!H115+JUNIO!H115+JULIO!H115+AGOSTO!H115+SEPTIEMBRE!H115+OCTUBRE!H115+NOVIEMBRE!H115+DICIEMBRE!H115</f>
        <v>687845216.38</v>
      </c>
      <c r="I115" s="16">
        <f>ENERO!I115+FEBRERO!I115+MARZO!I115+ABRIL!I115+MAYO!I115+JUNIO!I115+JULIO!I115+AGOSTO!I115+SEPTIEMBRE!I115+OCTUBRE!I115+NOVIEMBRE!I115+DICIEMBRE!I115</f>
        <v>63637421.159999996</v>
      </c>
      <c r="J115" s="16">
        <f>ENERO!J115+FEBRERO!J115+MARZO!J115+ABRIL!J115+MAYO!J115+JUNIO!J115+JULIO!J115+AGOSTO!J115+SEPTIEMBRE!J115+OCTUBRE!J115+NOVIEMBRE!J115+DICIEMBRE!J115</f>
        <v>559627535.54999995</v>
      </c>
      <c r="K115" s="16">
        <f>ENERO!K115+FEBRERO!K115+MARZO!K115+ABRIL!K115+MAYO!K115+JUNIO!K115+JULIO!K115+AGOSTO!K115+SEPTIEMBRE!K115+OCTUBRE!K115+NOVIEMBRE!K115+DICIEMBRE!K115</f>
        <v>657465623.60000002</v>
      </c>
      <c r="L115" s="16">
        <f>ENERO!L115+FEBRERO!L115+MARZO!L115+ABRIL!L115+MAYO!L115+JUNIO!L115+JULIO!L115+AGOSTO!L115+SEPTIEMBRE!L115+OCTUBRE!L115+NOVIEMBRE!L115+DICIEMBRE!L115</f>
        <v>0</v>
      </c>
      <c r="M115" s="16">
        <f>ENERO!M115+FEBRERO!M115+MARZO!M115+ABRIL!M115+MAYO!M115+JUNIO!M115+JULIO!M115+AGOSTO!M115+SEPTIEMBRE!M115+OCTUBRE!M115+NOVIEMBRE!M115+DICIEMBRE!M115</f>
        <v>84.43</v>
      </c>
      <c r="N115" s="18">
        <f t="shared" si="3"/>
        <v>15421071411.635191</v>
      </c>
      <c r="O115" s="4"/>
      <c r="P115" s="4"/>
      <c r="Q115" s="4"/>
    </row>
    <row r="116" spans="1:17" ht="18" customHeight="1" x14ac:dyDescent="0.2">
      <c r="A116" s="17" t="s">
        <v>111</v>
      </c>
      <c r="B116" s="16">
        <f>ENERO!B116+FEBRERO!B116+MARZO!B116+ABRIL!B116+MAYO!B116+JUNIO!B116+JULIO!B116+AGOSTO!B116+SEPTIEMBRE!B116+OCTUBRE!B116+NOVIEMBRE!B116+DICIEMBRE!B116</f>
        <v>7775884947.6900005</v>
      </c>
      <c r="C116" s="16">
        <f>ENERO!C116+FEBRERO!C116+MARZO!C116+ABRIL!C116+MAYO!C116+JUNIO!C116+JULIO!C116+AGOSTO!C116+SEPTIEMBRE!C116+OCTUBRE!C116+NOVIEMBRE!C116+DICIEMBRE!C116</f>
        <v>27536.086832199999</v>
      </c>
      <c r="D116" s="16">
        <f>ENERO!D116+FEBRERO!D116+MARZO!D116+ABRIL!D116+MAYO!D116+JUNIO!D116+JULIO!D116+AGOSTO!D116+SEPTIEMBRE!D116+OCTUBRE!D116+NOVIEMBRE!D116+DICIEMBRE!D116</f>
        <v>621406701.69467819</v>
      </c>
      <c r="E116" s="16">
        <f>ENERO!E116+FEBRERO!E116+MARZO!E116+ABRIL!E116+MAYO!E116+JUNIO!E116+JULIO!E116+AGOSTO!E116+SEPTIEMBRE!E116+OCTUBRE!E116+NOVIEMBRE!E116+DICIEMBRE!E116</f>
        <v>67420553.319999993</v>
      </c>
      <c r="F116" s="16">
        <f>ENERO!F116+FEBRERO!F116+MARZO!F116+ABRIL!F116+MAYO!F116+JUNIO!F116+JULIO!F116+AGOSTO!F116+SEPTIEMBRE!F116+OCTUBRE!F116+NOVIEMBRE!F116+DICIEMBRE!F116</f>
        <v>54629341.11536558</v>
      </c>
      <c r="G116" s="16">
        <f>ENERO!G116+FEBRERO!G116+MARZO!G116+ABRIL!G116+MAYO!G116+JUNIO!G116+JULIO!G116+AGOSTO!G116+SEPTIEMBRE!G116+OCTUBRE!G116+NOVIEMBRE!G116+DICIEMBRE!G116</f>
        <v>27501416.859999999</v>
      </c>
      <c r="H116" s="16">
        <f>ENERO!H116+FEBRERO!H116+MARZO!H116+ABRIL!H116+MAYO!H116+JUNIO!H116+JULIO!H116+AGOSTO!H116+SEPTIEMBRE!H116+OCTUBRE!H116+NOVIEMBRE!H116+DICIEMBRE!H116</f>
        <v>412867487.64999998</v>
      </c>
      <c r="I116" s="16">
        <f>ENERO!I116+FEBRERO!I116+MARZO!I116+ABRIL!I116+MAYO!I116+JUNIO!I116+JULIO!I116+AGOSTO!I116+SEPTIEMBRE!I116+OCTUBRE!I116+NOVIEMBRE!I116+DICIEMBRE!I116</f>
        <v>175651739.98000002</v>
      </c>
      <c r="J116" s="16">
        <f>ENERO!J116+FEBRERO!J116+MARZO!J116+ABRIL!J116+MAYO!J116+JUNIO!J116+JULIO!J116+AGOSTO!J116+SEPTIEMBRE!J116+OCTUBRE!J116+NOVIEMBRE!J116+DICIEMBRE!J116</f>
        <v>759189547.75000012</v>
      </c>
      <c r="K116" s="16">
        <f>ENERO!K116+FEBRERO!K116+MARZO!K116+ABRIL!K116+MAYO!K116+JUNIO!K116+JULIO!K116+AGOSTO!K116+SEPTIEMBRE!K116+OCTUBRE!K116+NOVIEMBRE!K116+DICIEMBRE!K116</f>
        <v>376771851.19999999</v>
      </c>
      <c r="L116" s="16">
        <f>ENERO!L116+FEBRERO!L116+MARZO!L116+ABRIL!L116+MAYO!L116+JUNIO!L116+JULIO!L116+AGOSTO!L116+SEPTIEMBRE!L116+OCTUBRE!L116+NOVIEMBRE!L116+DICIEMBRE!L116</f>
        <v>0</v>
      </c>
      <c r="M116" s="16">
        <f>ENERO!M116+FEBRERO!M116+MARZO!M116+ABRIL!M116+MAYO!M116+JUNIO!M116+JULIO!M116+AGOSTO!M116+SEPTIEMBRE!M116+OCTUBRE!M116+NOVIEMBRE!M116+DICIEMBRE!M116</f>
        <v>233.06</v>
      </c>
      <c r="N116" s="18">
        <f t="shared" si="3"/>
        <v>10271351356.406876</v>
      </c>
      <c r="O116" s="4"/>
      <c r="P116" s="4"/>
      <c r="Q116" s="4"/>
    </row>
    <row r="117" spans="1:17" ht="18" customHeight="1" x14ac:dyDescent="0.2">
      <c r="A117" s="17" t="s">
        <v>112</v>
      </c>
      <c r="B117" s="16">
        <f>ENERO!B117+FEBRERO!B117+MARZO!B117+ABRIL!B117+MAYO!B117+JUNIO!B117+JULIO!B117+AGOSTO!B117+SEPTIEMBRE!B117+OCTUBRE!B117+NOVIEMBRE!B117+DICIEMBRE!B117</f>
        <v>3987813361.6900001</v>
      </c>
      <c r="C117" s="16">
        <f>ENERO!C117+FEBRERO!C117+MARZO!C117+ABRIL!C117+MAYO!C117+JUNIO!C117+JULIO!C117+AGOSTO!C117+SEPTIEMBRE!C117+OCTUBRE!C117+NOVIEMBRE!C117+DICIEMBRE!C117</f>
        <v>14039.912459539999</v>
      </c>
      <c r="D117" s="16">
        <f>ENERO!D117+FEBRERO!D117+MARZO!D117+ABRIL!D117+MAYO!D117+JUNIO!D117+JULIO!D117+AGOSTO!D117+SEPTIEMBRE!D117+OCTUBRE!D117+NOVIEMBRE!D117+DICIEMBRE!D117</f>
        <v>123742692.74668849</v>
      </c>
      <c r="E117" s="16">
        <f>ENERO!E117+FEBRERO!E117+MARZO!E117+ABRIL!E117+MAYO!E117+JUNIO!E117+JULIO!E117+AGOSTO!E117+SEPTIEMBRE!E117+OCTUBRE!E117+NOVIEMBRE!E117+DICIEMBRE!E117</f>
        <v>34277011.289999999</v>
      </c>
      <c r="F117" s="16">
        <f>ENERO!F117+FEBRERO!F117+MARZO!F117+ABRIL!F117+MAYO!F117+JUNIO!F117+JULIO!F117+AGOSTO!F117+SEPTIEMBRE!F117+OCTUBRE!F117+NOVIEMBRE!F117+DICIEMBRE!F117</f>
        <v>11494116.650656117</v>
      </c>
      <c r="G117" s="16">
        <f>ENERO!G117+FEBRERO!G117+MARZO!G117+ABRIL!G117+MAYO!G117+JUNIO!G117+JULIO!G117+AGOSTO!G117+SEPTIEMBRE!G117+OCTUBRE!G117+NOVIEMBRE!G117+DICIEMBRE!G117</f>
        <v>7318444.9100000011</v>
      </c>
      <c r="H117" s="16">
        <f>ENERO!H117+FEBRERO!H117+MARZO!H117+ABRIL!H117+MAYO!H117+JUNIO!H117+JULIO!H117+AGOSTO!H117+SEPTIEMBRE!H117+OCTUBRE!H117+NOVIEMBRE!H117+DICIEMBRE!H117</f>
        <v>211681108.38000003</v>
      </c>
      <c r="I117" s="16">
        <f>ENERO!I117+FEBRERO!I117+MARZO!I117+ABRIL!I117+MAYO!I117+JUNIO!I117+JULIO!I117+AGOSTO!I117+SEPTIEMBRE!I117+OCTUBRE!I117+NOVIEMBRE!I117+DICIEMBRE!I117</f>
        <v>36957458.32</v>
      </c>
      <c r="J117" s="16">
        <f>ENERO!J117+FEBRERO!J117+MARZO!J117+ABRIL!J117+MAYO!J117+JUNIO!J117+JULIO!J117+AGOSTO!J117+SEPTIEMBRE!J117+OCTUBRE!J117+NOVIEMBRE!J117+DICIEMBRE!J117</f>
        <v>223753821.78</v>
      </c>
      <c r="K117" s="16">
        <f>ENERO!K117+FEBRERO!K117+MARZO!K117+ABRIL!K117+MAYO!K117+JUNIO!K117+JULIO!K117+AGOSTO!K117+SEPTIEMBRE!K117+OCTUBRE!K117+NOVIEMBRE!K117+DICIEMBRE!K117</f>
        <v>192105887.84</v>
      </c>
      <c r="L117" s="16">
        <f>ENERO!L117+FEBRERO!L117+MARZO!L117+ABRIL!L117+MAYO!L117+JUNIO!L117+JULIO!L117+AGOSTO!L117+SEPTIEMBRE!L117+OCTUBRE!L117+NOVIEMBRE!L117+DICIEMBRE!L117</f>
        <v>0</v>
      </c>
      <c r="M117" s="16">
        <f>ENERO!M117+FEBRERO!M117+MARZO!M117+ABRIL!M117+MAYO!M117+JUNIO!M117+JULIO!M117+AGOSTO!M117+SEPTIEMBRE!M117+OCTUBRE!M117+NOVIEMBRE!M117+DICIEMBRE!M117</f>
        <v>49.03</v>
      </c>
      <c r="N117" s="18">
        <f t="shared" si="3"/>
        <v>4829157992.5498028</v>
      </c>
      <c r="O117" s="4"/>
      <c r="P117" s="4"/>
      <c r="Q117" s="4"/>
    </row>
    <row r="118" spans="1:17" ht="18" customHeight="1" x14ac:dyDescent="0.2">
      <c r="A118" s="17" t="s">
        <v>113</v>
      </c>
      <c r="B118" s="16">
        <f>ENERO!B118+FEBRERO!B118+MARZO!B118+ABRIL!B118+MAYO!B118+JUNIO!B118+JULIO!B118+AGOSTO!B118+SEPTIEMBRE!B118+OCTUBRE!B118+NOVIEMBRE!B118+DICIEMBRE!B118</f>
        <v>6992522667.0200005</v>
      </c>
      <c r="C118" s="16">
        <f>ENERO!C118+FEBRERO!C118+MARZO!C118+ABRIL!C118+MAYO!C118+JUNIO!C118+JULIO!C118+AGOSTO!C118+SEPTIEMBRE!C118+OCTUBRE!C118+NOVIEMBRE!C118+DICIEMBRE!C118</f>
        <v>23627.941207749998</v>
      </c>
      <c r="D118" s="16">
        <f>ENERO!D118+FEBRERO!D118+MARZO!D118+ABRIL!D118+MAYO!D118+JUNIO!D118+JULIO!D118+AGOSTO!D118+SEPTIEMBRE!D118+OCTUBRE!D118+NOVIEMBRE!D118+DICIEMBRE!D118</f>
        <v>1113488250.6146936</v>
      </c>
      <c r="E118" s="16">
        <f>ENERO!E118+FEBRERO!E118+MARZO!E118+ABRIL!E118+MAYO!E118+JUNIO!E118+JULIO!E118+AGOSTO!E118+SEPTIEMBRE!E118+OCTUBRE!E118+NOVIEMBRE!E118+DICIEMBRE!E118</f>
        <v>60418854.960000008</v>
      </c>
      <c r="F118" s="16">
        <f>ENERO!F118+FEBRERO!F118+MARZO!F118+ABRIL!F118+MAYO!F118+JUNIO!F118+JULIO!F118+AGOSTO!F118+SEPTIEMBRE!F118+OCTUBRE!F118+NOVIEMBRE!F118+DICIEMBRE!F118</f>
        <v>54209612.136128142</v>
      </c>
      <c r="G118" s="16">
        <f>ENERO!G118+FEBRERO!G118+MARZO!G118+ABRIL!G118+MAYO!G118+JUNIO!G118+JULIO!G118+AGOSTO!G118+SEPTIEMBRE!G118+OCTUBRE!G118+NOVIEMBRE!G118+DICIEMBRE!G118</f>
        <v>30372986.280000001</v>
      </c>
      <c r="H118" s="16">
        <f>ENERO!H118+FEBRERO!H118+MARZO!H118+ABRIL!H118+MAYO!H118+JUNIO!H118+JULIO!H118+AGOSTO!H118+SEPTIEMBRE!H118+OCTUBRE!H118+NOVIEMBRE!H118+DICIEMBRE!H118</f>
        <v>370506478.86000001</v>
      </c>
      <c r="I118" s="16">
        <f>ENERO!I118+FEBRERO!I118+MARZO!I118+ABRIL!I118+MAYO!I118+JUNIO!I118+JULIO!I118+AGOSTO!I118+SEPTIEMBRE!I118+OCTUBRE!I118+NOVIEMBRE!I118+DICIEMBRE!I118</f>
        <v>174302169.88999999</v>
      </c>
      <c r="J118" s="16">
        <f>ENERO!J118+FEBRERO!J118+MARZO!J118+ABRIL!J118+MAYO!J118+JUNIO!J118+JULIO!J118+AGOSTO!J118+SEPTIEMBRE!J118+OCTUBRE!J118+NOVIEMBRE!J118+DICIEMBRE!J118</f>
        <v>616754346.71000016</v>
      </c>
      <c r="K118" s="16">
        <f>ENERO!K118+FEBRERO!K118+MARZO!K118+ABRIL!K118+MAYO!K118+JUNIO!K118+JULIO!K118+AGOSTO!K118+SEPTIEMBRE!K118+OCTUBRE!K118+NOVIEMBRE!K118+DICIEMBRE!K118</f>
        <v>323297394</v>
      </c>
      <c r="L118" s="16">
        <f>ENERO!L118+FEBRERO!L118+MARZO!L118+ABRIL!L118+MAYO!L118+JUNIO!L118+JULIO!L118+AGOSTO!L118+SEPTIEMBRE!L118+OCTUBRE!L118+NOVIEMBRE!L118+DICIEMBRE!L118</f>
        <v>0</v>
      </c>
      <c r="M118" s="16">
        <f>ENERO!M118+FEBRERO!M118+MARZO!M118+ABRIL!M118+MAYO!M118+JUNIO!M118+JULIO!M118+AGOSTO!M118+SEPTIEMBRE!M118+OCTUBRE!M118+NOVIEMBRE!M118+DICIEMBRE!M118</f>
        <v>231.26</v>
      </c>
      <c r="N118" s="18">
        <f t="shared" si="3"/>
        <v>9735896619.6720314</v>
      </c>
      <c r="O118" s="4"/>
      <c r="P118" s="4"/>
      <c r="Q118" s="4"/>
    </row>
    <row r="119" spans="1:17" ht="18" customHeight="1" x14ac:dyDescent="0.2">
      <c r="A119" s="17" t="s">
        <v>114</v>
      </c>
      <c r="B119" s="16">
        <f>ENERO!B119+FEBRERO!B119+MARZO!B119+ABRIL!B119+MAYO!B119+JUNIO!B119+JULIO!B119+AGOSTO!B119+SEPTIEMBRE!B119+OCTUBRE!B119+NOVIEMBRE!B119+DICIEMBRE!B119</f>
        <v>9461726349.8299999</v>
      </c>
      <c r="C119" s="16">
        <f>ENERO!C119+FEBRERO!C119+MARZO!C119+ABRIL!C119+MAYO!C119+JUNIO!C119+JULIO!C119+AGOSTO!C119+SEPTIEMBRE!C119+OCTUBRE!C119+NOVIEMBRE!C119+DICIEMBRE!C119</f>
        <v>33021.254357279999</v>
      </c>
      <c r="D119" s="16">
        <f>ENERO!D119+FEBRERO!D119+MARZO!D119+ABRIL!D119+MAYO!D119+JUNIO!D119+JULIO!D119+AGOSTO!D119+SEPTIEMBRE!D119+OCTUBRE!D119+NOVIEMBRE!D119+DICIEMBRE!D119</f>
        <v>493146970.22090936</v>
      </c>
      <c r="E119" s="16">
        <f>ENERO!E119+FEBRERO!E119+MARZO!E119+ABRIL!E119+MAYO!E119+JUNIO!E119+JULIO!E119+AGOSTO!E119+SEPTIEMBRE!E119+OCTUBRE!E119+NOVIEMBRE!E119+DICIEMBRE!E119</f>
        <v>81129276.930000007</v>
      </c>
      <c r="F119" s="16">
        <f>ENERO!F119+FEBRERO!F119+MARZO!F119+ABRIL!F119+MAYO!F119+JUNIO!F119+JULIO!F119+AGOSTO!F119+SEPTIEMBRE!F119+OCTUBRE!F119+NOVIEMBRE!F119+DICIEMBRE!F119</f>
        <v>43554953.393946916</v>
      </c>
      <c r="G119" s="16">
        <f>ENERO!G119+FEBRERO!G119+MARZO!G119+ABRIL!G119+MAYO!G119+JUNIO!G119+JULIO!G119+AGOSTO!G119+SEPTIEMBRE!G119+OCTUBRE!G119+NOVIEMBRE!G119+DICIEMBRE!G119</f>
        <v>20423919.599999998</v>
      </c>
      <c r="H119" s="16">
        <f>ENERO!H119+FEBRERO!H119+MARZO!H119+ABRIL!H119+MAYO!H119+JUNIO!H119+JULIO!H119+AGOSTO!H119+SEPTIEMBRE!H119+OCTUBRE!H119+NOVIEMBRE!H119+DICIEMBRE!H119</f>
        <v>502050583.15000004</v>
      </c>
      <c r="I119" s="16">
        <f>ENERO!I119+FEBRERO!I119+MARZO!I119+ABRIL!I119+MAYO!I119+JUNIO!I119+JULIO!I119+AGOSTO!I119+SEPTIEMBRE!I119+OCTUBRE!I119+NOVIEMBRE!I119+DICIEMBRE!I119</f>
        <v>140043851.81</v>
      </c>
      <c r="J119" s="16">
        <f>ENERO!J119+FEBRERO!J119+MARZO!J119+ABRIL!J119+MAYO!J119+JUNIO!J119+JULIO!J119+AGOSTO!J119+SEPTIEMBRE!J119+OCTUBRE!J119+NOVIEMBRE!J119+DICIEMBRE!J119</f>
        <v>561410068.6500001</v>
      </c>
      <c r="K119" s="16">
        <f>ENERO!K119+FEBRERO!K119+MARZO!K119+ABRIL!K119+MAYO!K119+JUNIO!K119+JULIO!K119+AGOSTO!K119+SEPTIEMBRE!K119+OCTUBRE!K119+NOVIEMBRE!K119+DICIEMBRE!K119</f>
        <v>451824602.88</v>
      </c>
      <c r="L119" s="16">
        <f>ENERO!L119+FEBRERO!L119+MARZO!L119+ABRIL!L119+MAYO!L119+JUNIO!L119+JULIO!L119+AGOSTO!L119+SEPTIEMBRE!L119+OCTUBRE!L119+NOVIEMBRE!L119+DICIEMBRE!L119</f>
        <v>0</v>
      </c>
      <c r="M119" s="16">
        <f>ENERO!M119+FEBRERO!M119+MARZO!M119+ABRIL!M119+MAYO!M119+JUNIO!M119+JULIO!M119+AGOSTO!M119+SEPTIEMBRE!M119+OCTUBRE!M119+NOVIEMBRE!M119+DICIEMBRE!M119</f>
        <v>185.81</v>
      </c>
      <c r="N119" s="18">
        <f t="shared" si="3"/>
        <v>11755343783.529211</v>
      </c>
      <c r="O119" s="4"/>
      <c r="P119" s="4"/>
      <c r="Q119" s="4"/>
    </row>
    <row r="120" spans="1:17" ht="18" customHeight="1" x14ac:dyDescent="0.2">
      <c r="A120" s="17" t="s">
        <v>115</v>
      </c>
      <c r="B120" s="16">
        <f>ENERO!B120+FEBRERO!B120+MARZO!B120+ABRIL!B120+MAYO!B120+JUNIO!B120+JULIO!B120+AGOSTO!B120+SEPTIEMBRE!B120+OCTUBRE!B120+NOVIEMBRE!B120+DICIEMBRE!B120</f>
        <v>5876517505.6899986</v>
      </c>
      <c r="C120" s="16">
        <f>ENERO!C120+FEBRERO!C120+MARZO!C120+ABRIL!C120+MAYO!C120+JUNIO!C120+JULIO!C120+AGOSTO!C120+SEPTIEMBRE!C120+OCTUBRE!C120+NOVIEMBRE!C120+DICIEMBRE!C120</f>
        <v>20999.250625569999</v>
      </c>
      <c r="D120" s="16">
        <f>ENERO!D120+FEBRERO!D120+MARZO!D120+ABRIL!D120+MAYO!D120+JUNIO!D120+JULIO!D120+AGOSTO!D120+SEPTIEMBRE!D120+OCTUBRE!D120+NOVIEMBRE!D120+DICIEMBRE!D120</f>
        <v>573305240.18797255</v>
      </c>
      <c r="E120" s="16">
        <f>ENERO!E120+FEBRERO!E120+MARZO!E120+ABRIL!E120+MAYO!E120+JUNIO!E120+JULIO!E120+AGOSTO!E120+SEPTIEMBRE!E120+OCTUBRE!E120+NOVIEMBRE!E120+DICIEMBRE!E120</f>
        <v>51210306.530000001</v>
      </c>
      <c r="F120" s="16">
        <f>ENERO!F120+FEBRERO!F120+MARZO!F120+ABRIL!F120+MAYO!F120+JUNIO!F120+JULIO!F120+AGOSTO!F120+SEPTIEMBRE!F120+OCTUBRE!F120+NOVIEMBRE!F120+DICIEMBRE!F120</f>
        <v>29348741.754371937</v>
      </c>
      <c r="G120" s="16">
        <f>ENERO!G120+FEBRERO!G120+MARZO!G120+ABRIL!G120+MAYO!G120+JUNIO!G120+JULIO!G120+AGOSTO!G120+SEPTIEMBRE!G120+OCTUBRE!G120+NOVIEMBRE!G120+DICIEMBRE!G120</f>
        <v>20688774.850000001</v>
      </c>
      <c r="H120" s="16">
        <f>ENERO!H120+FEBRERO!H120+MARZO!H120+ABRIL!H120+MAYO!H120+JUNIO!H120+JULIO!H120+AGOSTO!H120+SEPTIEMBRE!H120+OCTUBRE!H120+NOVIEMBRE!H120+DICIEMBRE!H120</f>
        <v>312146992.06</v>
      </c>
      <c r="I120" s="16">
        <f>ENERO!I120+FEBRERO!I120+MARZO!I120+ABRIL!I120+MAYO!I120+JUNIO!I120+JULIO!I120+AGOSTO!I120+SEPTIEMBRE!I120+OCTUBRE!I120+NOVIEMBRE!I120+DICIEMBRE!I120</f>
        <v>94366094.359999999</v>
      </c>
      <c r="J120" s="16">
        <f>ENERO!J120+FEBRERO!J120+MARZO!J120+ABRIL!J120+MAYO!J120+JUNIO!J120+JULIO!J120+AGOSTO!J120+SEPTIEMBRE!J120+OCTUBRE!J120+NOVIEMBRE!J120+DICIEMBRE!J120</f>
        <v>582042937.76000011</v>
      </c>
      <c r="K120" s="16">
        <f>ENERO!K120+FEBRERO!K120+MARZO!K120+ABRIL!K120+MAYO!K120+JUNIO!K120+JULIO!K120+AGOSTO!K120+SEPTIEMBRE!K120+OCTUBRE!K120+NOVIEMBRE!K120+DICIEMBRE!K120</f>
        <v>287329380.71999997</v>
      </c>
      <c r="L120" s="16">
        <f>ENERO!L120+FEBRERO!L120+MARZO!L120+ABRIL!L120+MAYO!L120+JUNIO!L120+JULIO!L120+AGOSTO!L120+SEPTIEMBRE!L120+OCTUBRE!L120+NOVIEMBRE!L120+DICIEMBRE!L120</f>
        <v>0</v>
      </c>
      <c r="M120" s="16">
        <f>ENERO!M120+FEBRERO!M120+MARZO!M120+ABRIL!M120+MAYO!M120+JUNIO!M120+JULIO!M120+AGOSTO!M120+SEPTIEMBRE!M120+OCTUBRE!M120+NOVIEMBRE!M120+DICIEMBRE!M120</f>
        <v>125.19999999999999</v>
      </c>
      <c r="N120" s="18">
        <f t="shared" si="3"/>
        <v>7826977098.3629694</v>
      </c>
      <c r="O120" s="4"/>
      <c r="P120" s="4"/>
      <c r="Q120" s="4"/>
    </row>
    <row r="121" spans="1:17" ht="18" customHeight="1" x14ac:dyDescent="0.2">
      <c r="A121" s="17" t="s">
        <v>116</v>
      </c>
      <c r="B121" s="16">
        <f>ENERO!B121+FEBRERO!B121+MARZO!B121+ABRIL!B121+MAYO!B121+JUNIO!B121+JULIO!B121+AGOSTO!B121+SEPTIEMBRE!B121+OCTUBRE!B121+NOVIEMBRE!B121+DICIEMBRE!B121</f>
        <v>7183421708.9099998</v>
      </c>
      <c r="C121" s="16">
        <f>ENERO!C121+FEBRERO!C121+MARZO!C121+ABRIL!C121+MAYO!C121+JUNIO!C121+JULIO!C121+AGOSTO!C121+SEPTIEMBRE!C121+OCTUBRE!C121+NOVIEMBRE!C121+DICIEMBRE!C121</f>
        <v>24997.396102240004</v>
      </c>
      <c r="D121" s="16">
        <f>ENERO!D121+FEBRERO!D121+MARZO!D121+ABRIL!D121+MAYO!D121+JUNIO!D121+JULIO!D121+AGOSTO!D121+SEPTIEMBRE!D121+OCTUBRE!D121+NOVIEMBRE!D121+DICIEMBRE!D121</f>
        <v>610685171.13219702</v>
      </c>
      <c r="E121" s="16">
        <f>ENERO!E121+FEBRERO!E121+MARZO!E121+ABRIL!E121+MAYO!E121+JUNIO!E121+JULIO!E121+AGOSTO!E121+SEPTIEMBRE!E121+OCTUBRE!E121+NOVIEMBRE!E121+DICIEMBRE!E121</f>
        <v>60831074.230000004</v>
      </c>
      <c r="F121" s="16">
        <f>ENERO!F121+FEBRERO!F121+MARZO!F121+ABRIL!F121+MAYO!F121+JUNIO!F121+JULIO!F121+AGOSTO!F121+SEPTIEMBRE!F121+OCTUBRE!F121+NOVIEMBRE!F121+DICIEMBRE!F121</f>
        <v>12333574.609131003</v>
      </c>
      <c r="G121" s="16">
        <f>ENERO!G121+FEBRERO!G121+MARZO!G121+ABRIL!G121+MAYO!G121+JUNIO!G121+JULIO!G121+AGOSTO!G121+SEPTIEMBRE!G121+OCTUBRE!G121+NOVIEMBRE!G121+DICIEMBRE!G121</f>
        <v>6924150.4900000012</v>
      </c>
      <c r="H121" s="16">
        <f>ENERO!H121+FEBRERO!H121+MARZO!H121+ABRIL!H121+MAYO!H121+JUNIO!H121+JULIO!H121+AGOSTO!H121+SEPTIEMBRE!H121+OCTUBRE!H121+NOVIEMBRE!H121+DICIEMBRE!H121</f>
        <v>381111843.39999998</v>
      </c>
      <c r="I121" s="16">
        <f>ENERO!I121+FEBRERO!I121+MARZO!I121+ABRIL!I121+MAYO!I121+JUNIO!I121+JULIO!I121+AGOSTO!I121+SEPTIEMBRE!I121+OCTUBRE!I121+NOVIEMBRE!I121+DICIEMBRE!I121</f>
        <v>39656598.509999998</v>
      </c>
      <c r="J121" s="16">
        <f>ENERO!J121+FEBRERO!J121+MARZO!J121+ABRIL!J121+MAYO!J121+JUNIO!J121+JULIO!J121+AGOSTO!J121+SEPTIEMBRE!J121+OCTUBRE!J121+NOVIEMBRE!J121+DICIEMBRE!J121</f>
        <v>323422527.02999997</v>
      </c>
      <c r="K121" s="16">
        <f>ENERO!K121+FEBRERO!K121+MARZO!K121+ABRIL!K121+MAYO!K121+JUNIO!K121+JULIO!K121+AGOSTO!K121+SEPTIEMBRE!K121+OCTUBRE!K121+NOVIEMBRE!K121+DICIEMBRE!K121</f>
        <v>342035447.03999996</v>
      </c>
      <c r="L121" s="16">
        <f>ENERO!L121+FEBRERO!L121+MARZO!L121+ABRIL!L121+MAYO!L121+JUNIO!L121+JULIO!L121+AGOSTO!L121+SEPTIEMBRE!L121+OCTUBRE!L121+NOVIEMBRE!L121+DICIEMBRE!L121</f>
        <v>0</v>
      </c>
      <c r="M121" s="16">
        <f>ENERO!M121+FEBRERO!M121+MARZO!M121+ABRIL!M121+MAYO!M121+JUNIO!M121+JULIO!M121+AGOSTO!M121+SEPTIEMBRE!M121+OCTUBRE!M121+NOVIEMBRE!M121+DICIEMBRE!M121</f>
        <v>52.61</v>
      </c>
      <c r="N121" s="18">
        <f t="shared" si="3"/>
        <v>8960447145.3574295</v>
      </c>
      <c r="O121" s="4"/>
      <c r="P121" s="4"/>
      <c r="Q121" s="4"/>
    </row>
    <row r="122" spans="1:17" ht="18" customHeight="1" x14ac:dyDescent="0.2">
      <c r="A122" s="17" t="s">
        <v>117</v>
      </c>
      <c r="B122" s="16">
        <f>ENERO!B122+FEBRERO!B122+MARZO!B122+ABRIL!B122+MAYO!B122+JUNIO!B122+JULIO!B122+AGOSTO!B122+SEPTIEMBRE!B122+OCTUBRE!B122+NOVIEMBRE!B122+DICIEMBRE!B122</f>
        <v>23335197178.18</v>
      </c>
      <c r="C122" s="16">
        <f>ENERO!C122+FEBRERO!C122+MARZO!C122+ABRIL!C122+MAYO!C122+JUNIO!C122+JULIO!C122+AGOSTO!C122+SEPTIEMBRE!C122+OCTUBRE!C122+NOVIEMBRE!C122+DICIEMBRE!C122</f>
        <v>82638.56452847</v>
      </c>
      <c r="D122" s="16">
        <f>ENERO!D122+FEBRERO!D122+MARZO!D122+ABRIL!D122+MAYO!D122+JUNIO!D122+JULIO!D122+AGOSTO!D122+SEPTIEMBRE!D122+OCTUBRE!D122+NOVIEMBRE!D122+DICIEMBRE!D122</f>
        <v>1065237324.6999998</v>
      </c>
      <c r="E122" s="16">
        <f>ENERO!E122+FEBRERO!E122+MARZO!E122+ABRIL!E122+MAYO!E122+JUNIO!E122+JULIO!E122+AGOSTO!E122+SEPTIEMBRE!E122+OCTUBRE!E122+NOVIEMBRE!E122+DICIEMBRE!E122</f>
        <v>246858975.52999997</v>
      </c>
      <c r="F122" s="16">
        <f>ENERO!F122+FEBRERO!F122+MARZO!F122+ABRIL!F122+MAYO!F122+JUNIO!F122+JULIO!F122+AGOSTO!F122+SEPTIEMBRE!F122+OCTUBRE!F122+NOVIEMBRE!F122+DICIEMBRE!F122</f>
        <v>371298713.5538913</v>
      </c>
      <c r="G122" s="16">
        <f>ENERO!G122+FEBRERO!G122+MARZO!G122+ABRIL!G122+MAYO!G122+JUNIO!G122+JULIO!G122+AGOSTO!G122+SEPTIEMBRE!G122+OCTUBRE!G122+NOVIEMBRE!G122+DICIEMBRE!G122</f>
        <v>185769681.53013343</v>
      </c>
      <c r="H122" s="16">
        <f>ENERO!H122+FEBRERO!H122+MARZO!H122+ABRIL!H122+MAYO!H122+JUNIO!H122+JULIO!H122+AGOSTO!H122+SEPTIEMBRE!H122+OCTUBRE!H122+NOVIEMBRE!H122+DICIEMBRE!H122</f>
        <v>1239005367.2600002</v>
      </c>
      <c r="I122" s="16">
        <f>ENERO!I122+FEBRERO!I122+MARZO!I122+ABRIL!I122+MAYO!I122+JUNIO!I122+JULIO!I122+AGOSTO!I122+SEPTIEMBRE!I122+OCTUBRE!I122+NOVIEMBRE!I122+DICIEMBRE!I122</f>
        <v>1193850478.7300003</v>
      </c>
      <c r="J122" s="16">
        <f>ENERO!J122+FEBRERO!J122+MARZO!J122+ABRIL!J122+MAYO!J122+JUNIO!J122+JULIO!J122+AGOSTO!J122+SEPTIEMBRE!J122+OCTUBRE!J122+NOVIEMBRE!J122+DICIEMBRE!J122</f>
        <v>1517153989.4699996</v>
      </c>
      <c r="K122" s="16">
        <f>ENERO!K122+FEBRERO!K122+MARZO!K122+ABRIL!K122+MAYO!K122+JUNIO!K122+JULIO!K122+AGOSTO!K122+SEPTIEMBRE!K122+OCTUBRE!K122+NOVIEMBRE!K122+DICIEMBRE!K122</f>
        <v>1130730279.1200001</v>
      </c>
      <c r="L122" s="16">
        <f>ENERO!L122+FEBRERO!L122+MARZO!L122+ABRIL!L122+MAYO!L122+JUNIO!L122+JULIO!L122+AGOSTO!L122+SEPTIEMBRE!L122+OCTUBRE!L122+NOVIEMBRE!L122+DICIEMBRE!L122</f>
        <v>0</v>
      </c>
      <c r="M122" s="16">
        <f>ENERO!M122+FEBRERO!M122+MARZO!M122+ABRIL!M122+MAYO!M122+JUNIO!M122+JULIO!M122+AGOSTO!M122+SEPTIEMBRE!M122+OCTUBRE!M122+NOVIEMBRE!M122+DICIEMBRE!M122</f>
        <v>1584.06</v>
      </c>
      <c r="N122" s="18">
        <f t="shared" si="3"/>
        <v>30285186210.698551</v>
      </c>
      <c r="O122" s="4"/>
      <c r="P122" s="4"/>
      <c r="Q122" s="4"/>
    </row>
    <row r="123" spans="1:17" ht="18" customHeight="1" x14ac:dyDescent="0.2">
      <c r="A123" s="17" t="s">
        <v>118</v>
      </c>
      <c r="B123" s="16">
        <f>ENERO!B123+FEBRERO!B123+MARZO!B123+ABRIL!B123+MAYO!B123+JUNIO!B123+JULIO!B123+AGOSTO!B123+SEPTIEMBRE!B123+OCTUBRE!B123+NOVIEMBRE!B123+DICIEMBRE!B123</f>
        <v>51494106249.659996</v>
      </c>
      <c r="C123" s="16">
        <f>ENERO!C123+FEBRERO!C123+MARZO!C123+ABRIL!C123+MAYO!C123+JUNIO!C123+JULIO!C123+AGOSTO!C123+SEPTIEMBRE!C123+OCTUBRE!C123+NOVIEMBRE!C123+DICIEMBRE!C123</f>
        <v>187577.85856614003</v>
      </c>
      <c r="D123" s="16">
        <f>ENERO!D123+FEBRERO!D123+MARZO!D123+ABRIL!D123+MAYO!D123+JUNIO!D123+JULIO!D123+AGOSTO!D123+SEPTIEMBRE!D123+OCTUBRE!D123+NOVIEMBRE!D123+DICIEMBRE!D123</f>
        <v>844233459.11500001</v>
      </c>
      <c r="E123" s="16">
        <f>ENERO!E123+FEBRERO!E123+MARZO!E123+ABRIL!E123+MAYO!E123+JUNIO!E123+JULIO!E123+AGOSTO!E123+SEPTIEMBRE!E123+OCTUBRE!E123+NOVIEMBRE!E123+DICIEMBRE!E123</f>
        <v>452696168.09000003</v>
      </c>
      <c r="F123" s="16">
        <f>ENERO!F123+FEBRERO!F123+MARZO!F123+ABRIL!F123+MAYO!F123+JUNIO!F123+JULIO!F123+AGOSTO!F123+SEPTIEMBRE!F123+OCTUBRE!F123+NOVIEMBRE!F123+DICIEMBRE!F123</f>
        <v>516137498.69305807</v>
      </c>
      <c r="G123" s="16">
        <f>ENERO!G123+FEBRERO!G123+MARZO!G123+ABRIL!G123+MAYO!G123+JUNIO!G123+JULIO!G123+AGOSTO!G123+SEPTIEMBRE!G123+OCTUBRE!G123+NOVIEMBRE!G123+DICIEMBRE!G123</f>
        <v>462580484.62102973</v>
      </c>
      <c r="H123" s="16">
        <f>ENERO!H123+FEBRERO!H123+MARZO!H123+ABRIL!H123+MAYO!H123+JUNIO!H123+JULIO!H123+AGOSTO!H123+SEPTIEMBRE!H123+OCTUBRE!H123+NOVIEMBRE!H123+DICIEMBRE!H123</f>
        <v>2737662833.4899998</v>
      </c>
      <c r="I123" s="16">
        <f>ENERO!I123+FEBRERO!I123+MARZO!I123+ABRIL!I123+MAYO!I123+JUNIO!I123+JULIO!I123+AGOSTO!I123+SEPTIEMBRE!I123+OCTUBRE!I123+NOVIEMBRE!I123+DICIEMBRE!I123</f>
        <v>1659555978.52</v>
      </c>
      <c r="J123" s="16">
        <f>ENERO!J123+FEBRERO!J123+MARZO!J123+ABRIL!J123+MAYO!J123+JUNIO!J123+JULIO!J123+AGOSTO!J123+SEPTIEMBRE!J123+OCTUBRE!J123+NOVIEMBRE!J123+DICIEMBRE!J123</f>
        <v>1979595707.3200004</v>
      </c>
      <c r="K123" s="16">
        <f>ENERO!K123+FEBRERO!K123+MARZO!K123+ABRIL!K123+MAYO!K123+JUNIO!K123+JULIO!K123+AGOSTO!K123+SEPTIEMBRE!K123+OCTUBRE!K123+NOVIEMBRE!K123+DICIEMBRE!K123</f>
        <v>2566598001.4400001</v>
      </c>
      <c r="L123" s="16">
        <f>ENERO!L123+FEBRERO!L123+MARZO!L123+ABRIL!L123+MAYO!L123+JUNIO!L123+JULIO!L123+AGOSTO!L123+SEPTIEMBRE!L123+OCTUBRE!L123+NOVIEMBRE!L123+DICIEMBRE!L123</f>
        <v>0</v>
      </c>
      <c r="M123" s="16">
        <f>ENERO!M123+FEBRERO!M123+MARZO!M123+ABRIL!M123+MAYO!M123+JUNIO!M123+JULIO!M123+AGOSTO!M123+SEPTIEMBRE!M123+OCTUBRE!M123+NOVIEMBRE!M123+DICIEMBRE!M123</f>
        <v>2201.9700000000003</v>
      </c>
      <c r="N123" s="18">
        <f t="shared" si="3"/>
        <v>62713356160.777649</v>
      </c>
      <c r="O123" s="4"/>
      <c r="P123" s="4"/>
      <c r="Q123" s="4"/>
    </row>
    <row r="124" spans="1:17" ht="18" customHeight="1" x14ac:dyDescent="0.2">
      <c r="A124" s="17" t="s">
        <v>119</v>
      </c>
      <c r="B124" s="16">
        <f>ENERO!B124+FEBRERO!B124+MARZO!B124+ABRIL!B124+MAYO!B124+JUNIO!B124+JULIO!B124+AGOSTO!B124+SEPTIEMBRE!B124+OCTUBRE!B124+NOVIEMBRE!B124+DICIEMBRE!B124</f>
        <v>45227468085.130005</v>
      </c>
      <c r="C124" s="16">
        <f>ENERO!C124+FEBRERO!C124+MARZO!C124+ABRIL!C124+MAYO!C124+JUNIO!C124+JULIO!C124+AGOSTO!C124+SEPTIEMBRE!C124+OCTUBRE!C124+NOVIEMBRE!C124+DICIEMBRE!C124</f>
        <v>152407.35467626003</v>
      </c>
      <c r="D124" s="16">
        <f>ENERO!D124+FEBRERO!D124+MARZO!D124+ABRIL!D124+MAYO!D124+JUNIO!D124+JULIO!D124+AGOSTO!D124+SEPTIEMBRE!D124+OCTUBRE!D124+NOVIEMBRE!D124+DICIEMBRE!D124</f>
        <v>325483696.24000001</v>
      </c>
      <c r="E124" s="16">
        <f>ENERO!E124+FEBRERO!E124+MARZO!E124+ABRIL!E124+MAYO!E124+JUNIO!E124+JULIO!E124+AGOSTO!E124+SEPTIEMBRE!E124+OCTUBRE!E124+NOVIEMBRE!E124+DICIEMBRE!E124</f>
        <v>465317228.41999996</v>
      </c>
      <c r="F124" s="16">
        <f>ENERO!F124+FEBRERO!F124+MARZO!F124+ABRIL!F124+MAYO!F124+JUNIO!F124+JULIO!F124+AGOSTO!F124+SEPTIEMBRE!F124+OCTUBRE!F124+NOVIEMBRE!F124+DICIEMBRE!F124</f>
        <v>660943997.00997567</v>
      </c>
      <c r="G124" s="16">
        <f>ENERO!G124+FEBRERO!G124+MARZO!G124+ABRIL!G124+MAYO!G124+JUNIO!G124+JULIO!G124+AGOSTO!G124+SEPTIEMBRE!G124+OCTUBRE!G124+NOVIEMBRE!G124+DICIEMBRE!G124</f>
        <v>0</v>
      </c>
      <c r="H124" s="16">
        <f>ENERO!H124+FEBRERO!H124+MARZO!H124+ABRIL!H124+MAYO!H124+JUNIO!H124+JULIO!H124+AGOSTO!H124+SEPTIEMBRE!H124+OCTUBRE!H124+NOVIEMBRE!H124+DICIEMBRE!H124</f>
        <v>2396144279.2800002</v>
      </c>
      <c r="I124" s="16">
        <f>ENERO!I124+FEBRERO!I124+MARZO!I124+ABRIL!I124+MAYO!I124+JUNIO!I124+JULIO!I124+AGOSTO!I124+SEPTIEMBRE!I124+OCTUBRE!I124+NOVIEMBRE!I124+DICIEMBRE!I124</f>
        <v>2125157665.23</v>
      </c>
      <c r="J124" s="16">
        <f>ENERO!J124+FEBRERO!J124+MARZO!J124+ABRIL!J124+MAYO!J124+JUNIO!J124+JULIO!J124+AGOSTO!J124+SEPTIEMBRE!J124+OCTUBRE!J124+NOVIEMBRE!J124+DICIEMBRE!J124</f>
        <v>2832122192.6299992</v>
      </c>
      <c r="K124" s="16">
        <f>ENERO!K124+FEBRERO!K124+MARZO!K124+ABRIL!K124+MAYO!K124+JUNIO!K124+JULIO!K124+AGOSTO!K124+SEPTIEMBRE!K124+OCTUBRE!K124+NOVIEMBRE!K124+DICIEMBRE!K124</f>
        <v>2085365588.9599998</v>
      </c>
      <c r="L124" s="16">
        <f>ENERO!L124+FEBRERO!L124+MARZO!L124+ABRIL!L124+MAYO!L124+JUNIO!L124+JULIO!L124+AGOSTO!L124+SEPTIEMBRE!L124+OCTUBRE!L124+NOVIEMBRE!L124+DICIEMBRE!L124</f>
        <v>0</v>
      </c>
      <c r="M124" s="16">
        <f>ENERO!M124+FEBRERO!M124+MARZO!M124+ABRIL!M124+MAYO!M124+JUNIO!M124+JULIO!M124+AGOSTO!M124+SEPTIEMBRE!M124+OCTUBRE!M124+NOVIEMBRE!M124+DICIEMBRE!M124</f>
        <v>2819.76</v>
      </c>
      <c r="N124" s="18">
        <f t="shared" si="3"/>
        <v>56118157960.014656</v>
      </c>
      <c r="O124" s="4"/>
      <c r="P124" s="4"/>
      <c r="Q124" s="4"/>
    </row>
    <row r="125" spans="1:17" ht="18" customHeight="1" x14ac:dyDescent="0.2">
      <c r="A125" s="17" t="s">
        <v>120</v>
      </c>
      <c r="B125" s="16">
        <f>ENERO!B125+FEBRERO!B125+MARZO!B125+ABRIL!B125+MAYO!B125+JUNIO!B125+JULIO!B125+AGOSTO!B125+SEPTIEMBRE!B125+OCTUBRE!B125+NOVIEMBRE!B125+DICIEMBRE!B125</f>
        <v>14875040595.789999</v>
      </c>
      <c r="C125" s="16">
        <f>ENERO!C125+FEBRERO!C125+MARZO!C125+ABRIL!C125+MAYO!C125+JUNIO!C125+JULIO!C125+AGOSTO!C125+SEPTIEMBRE!C125+OCTUBRE!C125+NOVIEMBRE!C125+DICIEMBRE!C125</f>
        <v>52203.747557430012</v>
      </c>
      <c r="D125" s="16">
        <f>ENERO!D125+FEBRERO!D125+MARZO!D125+ABRIL!D125+MAYO!D125+JUNIO!D125+JULIO!D125+AGOSTO!D125+SEPTIEMBRE!D125+OCTUBRE!D125+NOVIEMBRE!D125+DICIEMBRE!D125</f>
        <v>598179488.90444398</v>
      </c>
      <c r="E125" s="16">
        <f>ENERO!E125+FEBRERO!E125+MARZO!E125+ABRIL!E125+MAYO!E125+JUNIO!E125+JULIO!E125+AGOSTO!E125+SEPTIEMBRE!E125+OCTUBRE!E125+NOVIEMBRE!E125+DICIEMBRE!E125</f>
        <v>132086040.04999998</v>
      </c>
      <c r="F125" s="16">
        <f>ENERO!F125+FEBRERO!F125+MARZO!F125+ABRIL!F125+MAYO!F125+JUNIO!F125+JULIO!F125+AGOSTO!F125+SEPTIEMBRE!F125+OCTUBRE!F125+NOVIEMBRE!F125+DICIEMBRE!F125</f>
        <v>257003283.4423109</v>
      </c>
      <c r="G125" s="16">
        <f>ENERO!G125+FEBRERO!G125+MARZO!G125+ABRIL!G125+MAYO!G125+JUNIO!G125+JULIO!G125+AGOSTO!G125+SEPTIEMBRE!G125+OCTUBRE!G125+NOVIEMBRE!G125+DICIEMBRE!G125</f>
        <v>129579176.55</v>
      </c>
      <c r="H125" s="16">
        <f>ENERO!H125+FEBRERO!H125+MARZO!H125+ABRIL!H125+MAYO!H125+JUNIO!H125+JULIO!H125+AGOSTO!H125+SEPTIEMBRE!H125+OCTUBRE!H125+NOVIEMBRE!H125+DICIEMBRE!H125</f>
        <v>789483941.27999997</v>
      </c>
      <c r="I125" s="16">
        <f>ENERO!I125+FEBRERO!I125+MARZO!I125+ABRIL!I125+MAYO!I125+JUNIO!I125+JULIO!I125+AGOSTO!I125+SEPTIEMBRE!I125+OCTUBRE!I125+NOVIEMBRE!I125+DICIEMBRE!I125</f>
        <v>826352157.45000005</v>
      </c>
      <c r="J125" s="16">
        <f>ENERO!J125+FEBRERO!J125+MARZO!J125+ABRIL!J125+MAYO!J125+JUNIO!J125+JULIO!J125+AGOSTO!J125+SEPTIEMBRE!J125+OCTUBRE!J125+NOVIEMBRE!J125+DICIEMBRE!J125</f>
        <v>1750145130.5699995</v>
      </c>
      <c r="K125" s="16">
        <f>ENERO!K125+FEBRERO!K125+MARZO!K125+ABRIL!K125+MAYO!K125+JUNIO!K125+JULIO!K125+AGOSTO!K125+SEPTIEMBRE!K125+OCTUBRE!K125+NOVIEMBRE!K125+DICIEMBRE!K125</f>
        <v>714295587.27999997</v>
      </c>
      <c r="L125" s="16">
        <f>ENERO!L125+FEBRERO!L125+MARZO!L125+ABRIL!L125+MAYO!L125+JUNIO!L125+JULIO!L125+AGOSTO!L125+SEPTIEMBRE!L125+OCTUBRE!L125+NOVIEMBRE!L125+DICIEMBRE!L125</f>
        <v>0</v>
      </c>
      <c r="M125" s="16">
        <f>ENERO!M125+FEBRERO!M125+MARZO!M125+ABRIL!M125+MAYO!M125+JUNIO!M125+JULIO!M125+AGOSTO!M125+SEPTIEMBRE!M125+OCTUBRE!M125+NOVIEMBRE!M125+DICIEMBRE!M125</f>
        <v>1096.44</v>
      </c>
      <c r="N125" s="18">
        <f t="shared" si="3"/>
        <v>20072218701.504307</v>
      </c>
      <c r="O125" s="4"/>
      <c r="P125" s="4"/>
      <c r="Q125" s="4"/>
    </row>
    <row r="126" spans="1:17" ht="18" customHeight="1" x14ac:dyDescent="0.2">
      <c r="A126" s="17" t="s">
        <v>121</v>
      </c>
      <c r="B126" s="16">
        <f>ENERO!B126+FEBRERO!B126+MARZO!B126+ABRIL!B126+MAYO!B126+JUNIO!B126+JULIO!B126+AGOSTO!B126+SEPTIEMBRE!B126+OCTUBRE!B126+NOVIEMBRE!B126+DICIEMBRE!B126</f>
        <v>16574666261.059999</v>
      </c>
      <c r="C126" s="16">
        <f>ENERO!C126+FEBRERO!C126+MARZO!C126+ABRIL!C126+MAYO!C126+JUNIO!C126+JULIO!C126+AGOSTO!C126+SEPTIEMBRE!C126+OCTUBRE!C126+NOVIEMBRE!C126+DICIEMBRE!C126</f>
        <v>59478.125206230005</v>
      </c>
      <c r="D126" s="16">
        <f>ENERO!D126+FEBRERO!D126+MARZO!D126+ABRIL!D126+MAYO!D126+JUNIO!D126+JULIO!D126+AGOSTO!D126+SEPTIEMBRE!D126+OCTUBRE!D126+NOVIEMBRE!D126+DICIEMBRE!D126</f>
        <v>680882242.63847733</v>
      </c>
      <c r="E126" s="16">
        <f>ENERO!E126+FEBRERO!E126+MARZO!E126+ABRIL!E126+MAYO!E126+JUNIO!E126+JULIO!E126+AGOSTO!E126+SEPTIEMBRE!E126+OCTUBRE!E126+NOVIEMBRE!E126+DICIEMBRE!E126</f>
        <v>145025640.95000002</v>
      </c>
      <c r="F126" s="16">
        <f>ENERO!F126+FEBRERO!F126+MARZO!F126+ABRIL!F126+MAYO!F126+JUNIO!F126+JULIO!F126+AGOSTO!F126+SEPTIEMBRE!F126+OCTUBRE!F126+NOVIEMBRE!F126+DICIEMBRE!F126</f>
        <v>128663075.93240064</v>
      </c>
      <c r="G126" s="16">
        <f>ENERO!G126+FEBRERO!G126+MARZO!G126+ABRIL!G126+MAYO!G126+JUNIO!G126+JULIO!G126+AGOSTO!G126+SEPTIEMBRE!G126+OCTUBRE!G126+NOVIEMBRE!G126+DICIEMBRE!G126</f>
        <v>52999424.480000004</v>
      </c>
      <c r="H126" s="16">
        <f>ENERO!H126+FEBRERO!H126+MARZO!H126+ABRIL!H126+MAYO!H126+JUNIO!H126+JULIO!H126+AGOSTO!H126+SEPTIEMBRE!H126+OCTUBRE!H126+NOVIEMBRE!H126+DICIEMBRE!H126</f>
        <v>880577045.28999996</v>
      </c>
      <c r="I126" s="16">
        <f>ENERO!I126+FEBRERO!I126+MARZO!I126+ABRIL!I126+MAYO!I126+JUNIO!I126+JULIO!I126+AGOSTO!I126+SEPTIEMBRE!I126+OCTUBRE!I126+NOVIEMBRE!I126+DICIEMBRE!I126</f>
        <v>413695144.17000002</v>
      </c>
      <c r="J126" s="16">
        <f>ENERO!J126+FEBRERO!J126+MARZO!J126+ABRIL!J126+MAYO!J126+JUNIO!J126+JULIO!J126+AGOSTO!J126+SEPTIEMBRE!J126+OCTUBRE!J126+NOVIEMBRE!J126+DICIEMBRE!J126</f>
        <v>1200851384.0899999</v>
      </c>
      <c r="K126" s="16">
        <f>ENERO!K126+FEBRERO!K126+MARZO!K126+ABRIL!K126+MAYO!K126+JUNIO!K126+JULIO!K126+AGOSTO!K126+SEPTIEMBRE!K126+OCTUBRE!K126+NOVIEMBRE!K126+DICIEMBRE!K126</f>
        <v>813829712.07999992</v>
      </c>
      <c r="L126" s="16">
        <f>ENERO!L126+FEBRERO!L126+MARZO!L126+ABRIL!L126+MAYO!L126+JUNIO!L126+JULIO!L126+AGOSTO!L126+SEPTIEMBRE!L126+OCTUBRE!L126+NOVIEMBRE!L126+DICIEMBRE!L126</f>
        <v>0</v>
      </c>
      <c r="M126" s="16">
        <f>ENERO!M126+FEBRERO!M126+MARZO!M126+ABRIL!M126+MAYO!M126+JUNIO!M126+JULIO!M126+AGOSTO!M126+SEPTIEMBRE!M126+OCTUBRE!M126+NOVIEMBRE!M126+DICIEMBRE!M126</f>
        <v>548.9</v>
      </c>
      <c r="N126" s="18">
        <f t="shared" si="3"/>
        <v>20891249957.716087</v>
      </c>
      <c r="O126" s="4"/>
      <c r="P126" s="4"/>
      <c r="Q126" s="4"/>
    </row>
    <row r="127" spans="1:17" ht="18" customHeight="1" x14ac:dyDescent="0.2">
      <c r="A127" s="17" t="s">
        <v>122</v>
      </c>
      <c r="B127" s="16">
        <f>ENERO!B127+FEBRERO!B127+MARZO!B127+ABRIL!B127+MAYO!B127+JUNIO!B127+JULIO!B127+AGOSTO!B127+SEPTIEMBRE!B127+OCTUBRE!B127+NOVIEMBRE!B127+DICIEMBRE!B127</f>
        <v>9352492565.4899998</v>
      </c>
      <c r="C127" s="16">
        <f>ENERO!C127+FEBRERO!C127+MARZO!C127+ABRIL!C127+MAYO!C127+JUNIO!C127+JULIO!C127+AGOSTO!C127+SEPTIEMBRE!C127+OCTUBRE!C127+NOVIEMBRE!C127+DICIEMBRE!C127</f>
        <v>32145.946406610001</v>
      </c>
      <c r="D127" s="16">
        <f>ENERO!D127+FEBRERO!D127+MARZO!D127+ABRIL!D127+MAYO!D127+JUNIO!D127+JULIO!D127+AGOSTO!D127+SEPTIEMBRE!D127+OCTUBRE!D127+NOVIEMBRE!D127+DICIEMBRE!D127</f>
        <v>270463336.60455084</v>
      </c>
      <c r="E127" s="16">
        <f>ENERO!E127+FEBRERO!E127+MARZO!E127+ABRIL!E127+MAYO!E127+JUNIO!E127+JULIO!E127+AGOSTO!E127+SEPTIEMBRE!E127+OCTUBRE!E127+NOVIEMBRE!E127+DICIEMBRE!E127</f>
        <v>85689288.769999996</v>
      </c>
      <c r="F127" s="16">
        <f>ENERO!F127+FEBRERO!F127+MARZO!F127+ABRIL!F127+MAYO!F127+JUNIO!F127+JULIO!F127+AGOSTO!F127+SEPTIEMBRE!F127+OCTUBRE!F127+NOVIEMBRE!F127+DICIEMBRE!F127</f>
        <v>136573352.87341398</v>
      </c>
      <c r="G127" s="16">
        <f>ENERO!G127+FEBRERO!G127+MARZO!G127+ABRIL!G127+MAYO!G127+JUNIO!G127+JULIO!G127+AGOSTO!G127+SEPTIEMBRE!G127+OCTUBRE!G127+NOVIEMBRE!G127+DICIEMBRE!G127</f>
        <v>74763136.200000003</v>
      </c>
      <c r="H127" s="16">
        <f>ENERO!H127+FEBRERO!H127+MARZO!H127+ABRIL!H127+MAYO!H127+JUNIO!H127+JULIO!H127+AGOSTO!H127+SEPTIEMBRE!H127+OCTUBRE!H127+NOVIEMBRE!H127+DICIEMBRE!H127</f>
        <v>495920043.68999994</v>
      </c>
      <c r="I127" s="16">
        <f>ENERO!I127+FEBRERO!I127+MARZO!I127+ABRIL!I127+MAYO!I127+JUNIO!I127+JULIO!I127+AGOSTO!I127+SEPTIEMBRE!I127+OCTUBRE!I127+NOVIEMBRE!I127+DICIEMBRE!I127</f>
        <v>439129350</v>
      </c>
      <c r="J127" s="16">
        <f>ENERO!J127+FEBRERO!J127+MARZO!J127+ABRIL!J127+MAYO!J127+JUNIO!J127+JULIO!J127+AGOSTO!J127+SEPTIEMBRE!J127+OCTUBRE!J127+NOVIEMBRE!J127+DICIEMBRE!J127</f>
        <v>1331472456.3899996</v>
      </c>
      <c r="K127" s="16">
        <f>ENERO!K127+FEBRERO!K127+MARZO!K127+ABRIL!K127+MAYO!K127+JUNIO!K127+JULIO!K127+AGOSTO!K127+SEPTIEMBRE!K127+OCTUBRE!K127+NOVIEMBRE!K127+DICIEMBRE!K127</f>
        <v>439847832.56000006</v>
      </c>
      <c r="L127" s="16">
        <f>ENERO!L127+FEBRERO!L127+MARZO!L127+ABRIL!L127+MAYO!L127+JUNIO!L127+JULIO!L127+AGOSTO!L127+SEPTIEMBRE!L127+OCTUBRE!L127+NOVIEMBRE!L127+DICIEMBRE!L127</f>
        <v>0</v>
      </c>
      <c r="M127" s="16">
        <f>ENERO!M127+FEBRERO!M127+MARZO!M127+ABRIL!M127+MAYO!M127+JUNIO!M127+JULIO!M127+AGOSTO!M127+SEPTIEMBRE!M127+OCTUBRE!M127+NOVIEMBRE!M127+DICIEMBRE!M127</f>
        <v>582.65</v>
      </c>
      <c r="N127" s="18">
        <f t="shared" si="3"/>
        <v>12626384091.174372</v>
      </c>
      <c r="O127" s="4"/>
      <c r="P127" s="4"/>
      <c r="Q127" s="4"/>
    </row>
    <row r="128" spans="1:17" ht="18" customHeight="1" x14ac:dyDescent="0.2">
      <c r="A128" s="17" t="s">
        <v>123</v>
      </c>
      <c r="B128" s="16">
        <f>ENERO!B128+FEBRERO!B128+MARZO!B128+ABRIL!B128+MAYO!B128+JUNIO!B128+JULIO!B128+AGOSTO!B128+SEPTIEMBRE!B128+OCTUBRE!B128+NOVIEMBRE!B128+DICIEMBRE!B128</f>
        <v>4370651767.0699997</v>
      </c>
      <c r="C128" s="16">
        <f>ENERO!C128+FEBRERO!C128+MARZO!C128+ABRIL!C128+MAYO!C128+JUNIO!C128+JULIO!C128+AGOSTO!C128+SEPTIEMBRE!C128+OCTUBRE!C128+NOVIEMBRE!C128+DICIEMBRE!C128</f>
        <v>16247.023325710001</v>
      </c>
      <c r="D128" s="16">
        <f>ENERO!D128+FEBRERO!D128+MARZO!D128+ABRIL!D128+MAYO!D128+JUNIO!D128+JULIO!D128+AGOSTO!D128+SEPTIEMBRE!D128+OCTUBRE!D128+NOVIEMBRE!D128+DICIEMBRE!D128</f>
        <v>265325926.292009</v>
      </c>
      <c r="E128" s="16">
        <f>ENERO!E128+FEBRERO!E128+MARZO!E128+ABRIL!E128+MAYO!E128+JUNIO!E128+JULIO!E128+AGOSTO!E128+SEPTIEMBRE!E128+OCTUBRE!E128+NOVIEMBRE!E128+DICIEMBRE!E128</f>
        <v>38236674.640000001</v>
      </c>
      <c r="F128" s="16">
        <f>ENERO!F128+FEBRERO!F128+MARZO!F128+ABRIL!F128+MAYO!F128+JUNIO!F128+JULIO!F128+AGOSTO!F128+SEPTIEMBRE!F128+OCTUBRE!F128+NOVIEMBRE!F128+DICIEMBRE!F128</f>
        <v>12495008.820376171</v>
      </c>
      <c r="G128" s="16">
        <f>ENERO!G128+FEBRERO!G128+MARZO!G128+ABRIL!G128+MAYO!G128+JUNIO!G128+JULIO!G128+AGOSTO!G128+SEPTIEMBRE!G128+OCTUBRE!G128+NOVIEMBRE!G128+DICIEMBRE!G128</f>
        <v>9060923.1600000001</v>
      </c>
      <c r="H128" s="16">
        <f>ENERO!H128+FEBRERO!H128+MARZO!H128+ABRIL!H128+MAYO!H128+JUNIO!H128+JULIO!H128+AGOSTO!H128+SEPTIEMBRE!H128+OCTUBRE!H128+NOVIEMBRE!H128+DICIEMBRE!H128</f>
        <v>232584588.70000002</v>
      </c>
      <c r="I128" s="16">
        <f>ENERO!I128+FEBRERO!I128+MARZO!I128+ABRIL!I128+MAYO!I128+JUNIO!I128+JULIO!I128+AGOSTO!I128+SEPTIEMBRE!I128+OCTUBRE!I128+NOVIEMBRE!I128+DICIEMBRE!I128</f>
        <v>40175663.940000005</v>
      </c>
      <c r="J128" s="16">
        <f>ENERO!J128+FEBRERO!J128+MARZO!J128+ABRIL!J128+MAYO!J128+JUNIO!J128+JULIO!J128+AGOSTO!J128+SEPTIEMBRE!J128+OCTUBRE!J128+NOVIEMBRE!J128+DICIEMBRE!J128</f>
        <v>286140432.48000002</v>
      </c>
      <c r="K128" s="16">
        <f>ENERO!K128+FEBRERO!K128+MARZO!K128+ABRIL!K128+MAYO!K128+JUNIO!K128+JULIO!K128+AGOSTO!K128+SEPTIEMBRE!K128+OCTUBRE!K128+NOVIEMBRE!K128+DICIEMBRE!K128</f>
        <v>222305446.16</v>
      </c>
      <c r="L128" s="16">
        <f>ENERO!L128+FEBRERO!L128+MARZO!L128+ABRIL!L128+MAYO!L128+JUNIO!L128+JULIO!L128+AGOSTO!L128+SEPTIEMBRE!L128+OCTUBRE!L128+NOVIEMBRE!L128+DICIEMBRE!L128</f>
        <v>0</v>
      </c>
      <c r="M128" s="16">
        <f>ENERO!M128+FEBRERO!M128+MARZO!M128+ABRIL!M128+MAYO!M128+JUNIO!M128+JULIO!M128+AGOSTO!M128+SEPTIEMBRE!M128+OCTUBRE!M128+NOVIEMBRE!M128+DICIEMBRE!M128</f>
        <v>53.3</v>
      </c>
      <c r="N128" s="18">
        <f t="shared" si="3"/>
        <v>5476992731.5857115</v>
      </c>
      <c r="O128" s="4"/>
      <c r="P128" s="4"/>
      <c r="Q128" s="4"/>
    </row>
    <row r="129" spans="1:17" ht="18" customHeight="1" x14ac:dyDescent="0.2">
      <c r="A129" s="17" t="s">
        <v>124</v>
      </c>
      <c r="B129" s="16">
        <f>ENERO!B129+FEBRERO!B129+MARZO!B129+ABRIL!B129+MAYO!B129+JUNIO!B129+JULIO!B129+AGOSTO!B129+SEPTIEMBRE!B129+OCTUBRE!B129+NOVIEMBRE!B129+DICIEMBRE!B129</f>
        <v>27236143674.639999</v>
      </c>
      <c r="C129" s="16">
        <f>ENERO!C129+FEBRERO!C129+MARZO!C129+ABRIL!C129+MAYO!C129+JUNIO!C129+JULIO!C129+AGOSTO!C129+SEPTIEMBRE!C129+OCTUBRE!C129+NOVIEMBRE!C129+DICIEMBRE!C129</f>
        <v>96038.293345180005</v>
      </c>
      <c r="D129" s="16">
        <f>ENERO!D129+FEBRERO!D129+MARZO!D129+ABRIL!D129+MAYO!D129+JUNIO!D129+JULIO!D129+AGOSTO!D129+SEPTIEMBRE!D129+OCTUBRE!D129+NOVIEMBRE!D129+DICIEMBRE!D129</f>
        <v>2367174779.8998833</v>
      </c>
      <c r="E129" s="16">
        <f>ENERO!E129+FEBRERO!E129+MARZO!E129+ABRIL!E129+MAYO!E129+JUNIO!E129+JULIO!E129+AGOSTO!E129+SEPTIEMBRE!E129+OCTUBRE!E129+NOVIEMBRE!E129+DICIEMBRE!E129</f>
        <v>194510546.19</v>
      </c>
      <c r="F129" s="16">
        <f>ENERO!F129+FEBRERO!F129+MARZO!F129+ABRIL!F129+MAYO!F129+JUNIO!F129+JULIO!F129+AGOSTO!F129+SEPTIEMBRE!F129+OCTUBRE!F129+NOVIEMBRE!F129+DICIEMBRE!F129</f>
        <v>158915849.37974551</v>
      </c>
      <c r="G129" s="16">
        <f>ENERO!G129+FEBRERO!G129+MARZO!G129+ABRIL!G129+MAYO!G129+JUNIO!G129+JULIO!G129+AGOSTO!G129+SEPTIEMBRE!G129+OCTUBRE!G129+NOVIEMBRE!G129+DICIEMBRE!G129</f>
        <v>112303635.41</v>
      </c>
      <c r="H129" s="16">
        <f>ENERO!H129+FEBRERO!H129+MARZO!H129+ABRIL!H129+MAYO!H129+JUNIO!H129+JULIO!H129+AGOSTO!H129+SEPTIEMBRE!H129+OCTUBRE!H129+NOVIEMBRE!H129+DICIEMBRE!H129</f>
        <v>1445849077.8100002</v>
      </c>
      <c r="I129" s="16">
        <f>ENERO!I129+FEBRERO!I129+MARZO!I129+ABRIL!I129+MAYO!I129+JUNIO!I129+JULIO!I129+AGOSTO!I129+SEPTIEMBRE!I129+OCTUBRE!I129+NOVIEMBRE!I129+DICIEMBRE!I129</f>
        <v>510968004.89999998</v>
      </c>
      <c r="J129" s="16">
        <f>ENERO!J129+FEBRERO!J129+MARZO!J129+ABRIL!J129+MAYO!J129+JUNIO!J129+JULIO!J129+AGOSTO!J129+SEPTIEMBRE!J129+OCTUBRE!J129+NOVIEMBRE!J129+DICIEMBRE!J129</f>
        <v>1792893249.98</v>
      </c>
      <c r="K129" s="16">
        <f>ENERO!K129+FEBRERO!K129+MARZO!K129+ABRIL!K129+MAYO!K129+JUNIO!K129+JULIO!K129+AGOSTO!K129+SEPTIEMBRE!K129+OCTUBRE!K129+NOVIEMBRE!K129+DICIEMBRE!K129</f>
        <v>1314076661.28</v>
      </c>
      <c r="L129" s="16">
        <f>ENERO!L129+FEBRERO!L129+MARZO!L129+ABRIL!L129+MAYO!L129+JUNIO!L129+JULIO!L129+AGOSTO!L129+SEPTIEMBRE!L129+OCTUBRE!L129+NOVIEMBRE!L129+DICIEMBRE!L129</f>
        <v>0</v>
      </c>
      <c r="M129" s="16">
        <f>ENERO!M129+FEBRERO!M129+MARZO!M129+ABRIL!M129+MAYO!M129+JUNIO!M129+JULIO!M129+AGOSTO!M129+SEPTIEMBRE!M129+OCTUBRE!M129+NOVIEMBRE!M129+DICIEMBRE!M129</f>
        <v>677.97</v>
      </c>
      <c r="N129" s="18">
        <f t="shared" si="3"/>
        <v>35132932195.752975</v>
      </c>
      <c r="O129" s="4"/>
      <c r="P129" s="4"/>
      <c r="Q129" s="4"/>
    </row>
    <row r="130" spans="1:17" ht="18" customHeight="1" x14ac:dyDescent="0.2">
      <c r="A130" s="17" t="s">
        <v>125</v>
      </c>
      <c r="B130" s="16">
        <f>ENERO!B130+FEBRERO!B130+MARZO!B130+ABRIL!B130+MAYO!B130+JUNIO!B130+JULIO!B130+AGOSTO!B130+SEPTIEMBRE!B130+OCTUBRE!B130+NOVIEMBRE!B130+DICIEMBRE!B130</f>
        <v>7364697774.5299988</v>
      </c>
      <c r="C130" s="16">
        <f>ENERO!C130+FEBRERO!C130+MARZO!C130+ABRIL!C130+MAYO!C130+JUNIO!C130+JULIO!C130+AGOSTO!C130+SEPTIEMBRE!C130+OCTUBRE!C130+NOVIEMBRE!C130+DICIEMBRE!C130</f>
        <v>27377.18872573</v>
      </c>
      <c r="D130" s="16">
        <f>ENERO!D130+FEBRERO!D130+MARZO!D130+ABRIL!D130+MAYO!D130+JUNIO!D130+JULIO!D130+AGOSTO!D130+SEPTIEMBRE!D130+OCTUBRE!D130+NOVIEMBRE!D130+DICIEMBRE!D130</f>
        <v>649486807.3438158</v>
      </c>
      <c r="E130" s="16">
        <f>ENERO!E130+FEBRERO!E130+MARZO!E130+ABRIL!E130+MAYO!E130+JUNIO!E130+JULIO!E130+AGOSTO!E130+SEPTIEMBRE!E130+OCTUBRE!E130+NOVIEMBRE!E130+DICIEMBRE!E130</f>
        <v>63922501.700000003</v>
      </c>
      <c r="F130" s="16">
        <f>ENERO!F130+FEBRERO!F130+MARZO!F130+ABRIL!F130+MAYO!F130+JUNIO!F130+JULIO!F130+AGOSTO!F130+SEPTIEMBRE!F130+OCTUBRE!F130+NOVIEMBRE!F130+DICIEMBRE!F130</f>
        <v>19662688.359661728</v>
      </c>
      <c r="G130" s="16">
        <f>ENERO!G130+FEBRERO!G130+MARZO!G130+ABRIL!G130+MAYO!G130+JUNIO!G130+JULIO!G130+AGOSTO!G130+SEPTIEMBRE!G130+OCTUBRE!G130+NOVIEMBRE!G130+DICIEMBRE!G130</f>
        <v>8377865.9100000001</v>
      </c>
      <c r="H130" s="16">
        <f>ENERO!H130+FEBRERO!H130+MARZO!H130+ABRIL!H130+MAYO!H130+JUNIO!H130+JULIO!H130+AGOSTO!H130+SEPTIEMBRE!H130+OCTUBRE!H130+NOVIEMBRE!H130+DICIEMBRE!H130</f>
        <v>391913257.2899999</v>
      </c>
      <c r="I130" s="16">
        <f>ENERO!I130+FEBRERO!I130+MARZO!I130+ABRIL!I130+MAYO!I130+JUNIO!I130+JULIO!I130+AGOSTO!I130+SEPTIEMBRE!I130+OCTUBRE!I130+NOVIEMBRE!I130+DICIEMBRE!I130</f>
        <v>63222168.819999993</v>
      </c>
      <c r="J130" s="16">
        <f>ENERO!J130+FEBRERO!J130+MARZO!J130+ABRIL!J130+MAYO!J130+JUNIO!J130+JULIO!J130+AGOSTO!J130+SEPTIEMBRE!J130+OCTUBRE!J130+NOVIEMBRE!J130+DICIEMBRE!J130</f>
        <v>492771321.01000011</v>
      </c>
      <c r="K130" s="16">
        <f>ENERO!K130+FEBRERO!K130+MARZO!K130+ABRIL!K130+MAYO!K130+JUNIO!K130+JULIO!K130+AGOSTO!K130+SEPTIEMBRE!K130+OCTUBRE!K130+NOVIEMBRE!K130+DICIEMBRE!K130</f>
        <v>374597684.07999998</v>
      </c>
      <c r="L130" s="16">
        <f>ENERO!L130+FEBRERO!L130+MARZO!L130+ABRIL!L130+MAYO!L130+JUNIO!L130+JULIO!L130+AGOSTO!L130+SEPTIEMBRE!L130+OCTUBRE!L130+NOVIEMBRE!L130+DICIEMBRE!L130</f>
        <v>0</v>
      </c>
      <c r="M130" s="16">
        <f>ENERO!M130+FEBRERO!M130+MARZO!M130+ABRIL!M130+MAYO!M130+JUNIO!M130+JULIO!M130+AGOSTO!M130+SEPTIEMBRE!M130+OCTUBRE!M130+NOVIEMBRE!M130+DICIEMBRE!M130</f>
        <v>83.88</v>
      </c>
      <c r="N130" s="18">
        <f t="shared" si="3"/>
        <v>9428679530.1121998</v>
      </c>
      <c r="O130" s="4"/>
      <c r="P130" s="4"/>
      <c r="Q130" s="4"/>
    </row>
    <row r="131" spans="1:17" ht="18" customHeight="1" x14ac:dyDescent="0.2">
      <c r="A131" s="17" t="s">
        <v>126</v>
      </c>
      <c r="B131" s="16">
        <f>ENERO!B131+FEBRERO!B131+MARZO!B131+ABRIL!B131+MAYO!B131+JUNIO!B131+JULIO!B131+AGOSTO!B131+SEPTIEMBRE!B131+OCTUBRE!B131+NOVIEMBRE!B131+DICIEMBRE!B131</f>
        <v>46258947104.080009</v>
      </c>
      <c r="C131" s="16">
        <f>ENERO!C131+FEBRERO!C131+MARZO!C131+ABRIL!C131+MAYO!C131+JUNIO!C131+JULIO!C131+AGOSTO!C131+SEPTIEMBRE!C131+OCTUBRE!C131+NOVIEMBRE!C131+DICIEMBRE!C131</f>
        <v>156000.45081794</v>
      </c>
      <c r="D131" s="16">
        <f>ENERO!D131+FEBRERO!D131+MARZO!D131+ABRIL!D131+MAYO!D131+JUNIO!D131+JULIO!D131+AGOSTO!D131+SEPTIEMBRE!D131+OCTUBRE!D131+NOVIEMBRE!D131+DICIEMBRE!D131</f>
        <v>1405814147.8749998</v>
      </c>
      <c r="E131" s="16">
        <f>ENERO!E131+FEBRERO!E131+MARZO!E131+ABRIL!E131+MAYO!E131+JUNIO!E131+JULIO!E131+AGOSTO!E131+SEPTIEMBRE!E131+OCTUBRE!E131+NOVIEMBRE!E131+DICIEMBRE!E131</f>
        <v>625071034.66999996</v>
      </c>
      <c r="F131" s="16">
        <f>ENERO!F131+FEBRERO!F131+MARZO!F131+ABRIL!F131+MAYO!F131+JUNIO!F131+JULIO!F131+AGOSTO!F131+SEPTIEMBRE!F131+OCTUBRE!F131+NOVIEMBRE!F131+DICIEMBRE!F131</f>
        <v>868225539.73877418</v>
      </c>
      <c r="G131" s="16">
        <f>ENERO!G131+FEBRERO!G131+MARZO!G131+ABRIL!G131+MAYO!G131+JUNIO!G131+JULIO!G131+AGOSTO!G131+SEPTIEMBRE!G131+OCTUBRE!G131+NOVIEMBRE!G131+DICIEMBRE!G131</f>
        <v>96124006.843070969</v>
      </c>
      <c r="H131" s="16">
        <f>ENERO!H131+FEBRERO!H131+MARZO!H131+ABRIL!H131+MAYO!H131+JUNIO!H131+JULIO!H131+AGOSTO!H131+SEPTIEMBRE!H131+OCTUBRE!H131+NOVIEMBRE!H131+DICIEMBRE!H131</f>
        <v>2450871232.5700002</v>
      </c>
      <c r="I131" s="16">
        <f>ENERO!I131+FEBRERO!I131+MARZO!I131+ABRIL!I131+MAYO!I131+JUNIO!I131+JULIO!I131+AGOSTO!I131+SEPTIEMBRE!I131+OCTUBRE!I131+NOVIEMBRE!I131+DICIEMBRE!I131</f>
        <v>2791637671.6000004</v>
      </c>
      <c r="J131" s="16">
        <f>ENERO!J131+FEBRERO!J131+MARZO!J131+ABRIL!J131+MAYO!J131+JUNIO!J131+JULIO!J131+AGOSTO!J131+SEPTIEMBRE!J131+OCTUBRE!J131+NOVIEMBRE!J131+DICIEMBRE!J131</f>
        <v>3871712540.3500013</v>
      </c>
      <c r="K131" s="16">
        <f>ENERO!K131+FEBRERO!K131+MARZO!K131+ABRIL!K131+MAYO!K131+JUNIO!K131+JULIO!K131+AGOSTO!K131+SEPTIEMBRE!K131+OCTUBRE!K131+NOVIEMBRE!K131+DICIEMBRE!K131</f>
        <v>2134529414.2400002</v>
      </c>
      <c r="L131" s="16">
        <f>ENERO!L131+FEBRERO!L131+MARZO!L131+ABRIL!L131+MAYO!L131+JUNIO!L131+JULIO!L131+AGOSTO!L131+SEPTIEMBRE!L131+OCTUBRE!L131+NOVIEMBRE!L131+DICIEMBRE!L131</f>
        <v>0</v>
      </c>
      <c r="M131" s="16">
        <f>ENERO!M131+FEBRERO!M131+MARZO!M131+ABRIL!M131+MAYO!M131+JUNIO!M131+JULIO!M131+AGOSTO!M131+SEPTIEMBRE!M131+OCTUBRE!M131+NOVIEMBRE!M131+DICIEMBRE!M131</f>
        <v>3704.0699999999997</v>
      </c>
      <c r="N131" s="18">
        <f t="shared" si="3"/>
        <v>60503092396.487671</v>
      </c>
      <c r="O131" s="4"/>
      <c r="P131" s="4"/>
      <c r="Q131" s="4"/>
    </row>
    <row r="132" spans="1:17" ht="18" customHeight="1" x14ac:dyDescent="0.2">
      <c r="A132" s="17" t="s">
        <v>127</v>
      </c>
      <c r="B132" s="16">
        <f>ENERO!B132+FEBRERO!B132+MARZO!B132+ABRIL!B132+MAYO!B132+JUNIO!B132+JULIO!B132+AGOSTO!B132+SEPTIEMBRE!B132+OCTUBRE!B132+NOVIEMBRE!B132+DICIEMBRE!B132</f>
        <v>1823163872.4000001</v>
      </c>
      <c r="C132" s="16">
        <f>ENERO!C132+FEBRERO!C132+MARZO!C132+ABRIL!C132+MAYO!C132+JUNIO!C132+JULIO!C132+AGOSTO!C132+SEPTIEMBRE!C132+OCTUBRE!C132+NOVIEMBRE!C132+DICIEMBRE!C132</f>
        <v>6410.9988622000001</v>
      </c>
      <c r="D132" s="16">
        <f>ENERO!D132+FEBRERO!D132+MARZO!D132+ABRIL!D132+MAYO!D132+JUNIO!D132+JULIO!D132+AGOSTO!D132+SEPTIEMBRE!D132+OCTUBRE!D132+NOVIEMBRE!D132+DICIEMBRE!D132</f>
        <v>73374796.865108117</v>
      </c>
      <c r="E132" s="16">
        <f>ENERO!E132+FEBRERO!E132+MARZO!E132+ABRIL!E132+MAYO!E132+JUNIO!E132+JULIO!E132+AGOSTO!E132+SEPTIEMBRE!E132+OCTUBRE!E132+NOVIEMBRE!E132+DICIEMBRE!E132</f>
        <v>15550325.41</v>
      </c>
      <c r="F132" s="16">
        <f>ENERO!F132+FEBRERO!F132+MARZO!F132+ABRIL!F132+MAYO!F132+JUNIO!F132+JULIO!F132+AGOSTO!F132+SEPTIEMBRE!F132+OCTUBRE!F132+NOVIEMBRE!F132+DICIEMBRE!F132</f>
        <v>3712987.078638914</v>
      </c>
      <c r="G132" s="16">
        <f>ENERO!G132+FEBRERO!G132+MARZO!G132+ABRIL!G132+MAYO!G132+JUNIO!G132+JULIO!G132+AGOSTO!G132+SEPTIEMBRE!G132+OCTUBRE!G132+NOVIEMBRE!G132+DICIEMBRE!G132</f>
        <v>2007333.5200000003</v>
      </c>
      <c r="H132" s="16">
        <f>ENERO!H132+FEBRERO!H132+MARZO!H132+ABRIL!H132+MAYO!H132+JUNIO!H132+JULIO!H132+AGOSTO!H132+SEPTIEMBRE!H132+OCTUBRE!H132+NOVIEMBRE!H132+DICIEMBRE!H132</f>
        <v>96771891.950000018</v>
      </c>
      <c r="I132" s="16">
        <f>ENERO!I132+FEBRERO!I132+MARZO!I132+ABRIL!I132+MAYO!I132+JUNIO!I132+JULIO!I132+AGOSTO!I132+SEPTIEMBRE!I132+OCTUBRE!I132+NOVIEMBRE!I132+DICIEMBRE!I132</f>
        <v>11938504.759999998</v>
      </c>
      <c r="J132" s="16">
        <f>ENERO!J132+FEBRERO!J132+MARZO!J132+ABRIL!J132+MAYO!J132+JUNIO!J132+JULIO!J132+AGOSTO!J132+SEPTIEMBRE!J132+OCTUBRE!J132+NOVIEMBRE!J132+DICIEMBRE!J132</f>
        <v>139029399.47</v>
      </c>
      <c r="K132" s="16">
        <f>ENERO!K132+FEBRERO!K132+MARZO!K132+ABRIL!K132+MAYO!K132+JUNIO!K132+JULIO!K132+AGOSTO!K132+SEPTIEMBRE!K132+OCTUBRE!K132+NOVIEMBRE!K132+DICIEMBRE!K132</f>
        <v>87720731.200000003</v>
      </c>
      <c r="L132" s="16">
        <f>ENERO!L132+FEBRERO!L132+MARZO!L132+ABRIL!L132+MAYO!L132+JUNIO!L132+JULIO!L132+AGOSTO!L132+SEPTIEMBRE!L132+OCTUBRE!L132+NOVIEMBRE!L132+DICIEMBRE!L132</f>
        <v>0</v>
      </c>
      <c r="M132" s="16">
        <f>ENERO!M132+FEBRERO!M132+MARZO!M132+ABRIL!M132+MAYO!M132+JUNIO!M132+JULIO!M132+AGOSTO!M132+SEPTIEMBRE!M132+OCTUBRE!M132+NOVIEMBRE!M132+DICIEMBRE!M132</f>
        <v>15.83</v>
      </c>
      <c r="N132" s="18">
        <f t="shared" si="3"/>
        <v>2253276269.4826093</v>
      </c>
      <c r="O132" s="4"/>
      <c r="P132" s="4"/>
      <c r="Q132" s="4"/>
    </row>
    <row r="133" spans="1:17" ht="18" customHeight="1" x14ac:dyDescent="0.2">
      <c r="A133" s="17" t="s">
        <v>128</v>
      </c>
      <c r="B133" s="16">
        <f>ENERO!B133+FEBRERO!B133+MARZO!B133+ABRIL!B133+MAYO!B133+JUNIO!B133+JULIO!B133+AGOSTO!B133+SEPTIEMBRE!B133+OCTUBRE!B133+NOVIEMBRE!B133+DICIEMBRE!B133</f>
        <v>11418311488.200001</v>
      </c>
      <c r="C133" s="16">
        <f>ENERO!C133+FEBRERO!C133+MARZO!C133+ABRIL!C133+MAYO!C133+JUNIO!C133+JULIO!C133+AGOSTO!C133+SEPTIEMBRE!C133+OCTUBRE!C133+NOVIEMBRE!C133+DICIEMBRE!C133</f>
        <v>39964.974385679998</v>
      </c>
      <c r="D133" s="16">
        <f>ENERO!D133+FEBRERO!D133+MARZO!D133+ABRIL!D133+MAYO!D133+JUNIO!D133+JULIO!D133+AGOSTO!D133+SEPTIEMBRE!D133+OCTUBRE!D133+NOVIEMBRE!D133+DICIEMBRE!D133</f>
        <v>417566154.21467823</v>
      </c>
      <c r="E133" s="16">
        <f>ENERO!E133+FEBRERO!E133+MARZO!E133+ABRIL!E133+MAYO!E133+JUNIO!E133+JULIO!E133+AGOSTO!E133+SEPTIEMBRE!E133+OCTUBRE!E133+NOVIEMBRE!E133+DICIEMBRE!E133</f>
        <v>54682200.429999992</v>
      </c>
      <c r="F133" s="16">
        <f>ENERO!F133+FEBRERO!F133+MARZO!F133+ABRIL!F133+MAYO!F133+JUNIO!F133+JULIO!F133+AGOSTO!F133+SEPTIEMBRE!F133+OCTUBRE!F133+NOVIEMBRE!F133+DICIEMBRE!F133</f>
        <v>13431327.335598158</v>
      </c>
      <c r="G133" s="16">
        <f>ENERO!G133+FEBRERO!G133+MARZO!G133+ABRIL!G133+MAYO!G133+JUNIO!G133+JULIO!G133+AGOSTO!G133+SEPTIEMBRE!G133+OCTUBRE!G133+NOVIEMBRE!G133+DICIEMBRE!G133</f>
        <v>11486458.699999999</v>
      </c>
      <c r="H133" s="16">
        <f>ENERO!H133+FEBRERO!H133+MARZO!H133+ABRIL!H133+MAYO!H133+JUNIO!H133+JULIO!H133+AGOSTO!H133+SEPTIEMBRE!H133+OCTUBRE!H133+NOVIEMBRE!H133+DICIEMBRE!H133</f>
        <v>605947377.43000007</v>
      </c>
      <c r="I133" s="16">
        <f>ENERO!I133+FEBRERO!I133+MARZO!I133+ABRIL!I133+MAYO!I133+JUNIO!I133+JULIO!I133+AGOSTO!I133+SEPTIEMBRE!I133+OCTUBRE!I133+NOVIEMBRE!I133+DICIEMBRE!I133</f>
        <v>43186243.419999994</v>
      </c>
      <c r="J133" s="16">
        <f>ENERO!J133+FEBRERO!J133+MARZO!J133+ABRIL!J133+MAYO!J133+JUNIO!J133+JULIO!J133+AGOSTO!J133+SEPTIEMBRE!J133+OCTUBRE!J133+NOVIEMBRE!J133+DICIEMBRE!J133</f>
        <v>512856975.20000017</v>
      </c>
      <c r="K133" s="16">
        <f>ENERO!K133+FEBRERO!K133+MARZO!K133+ABRIL!K133+MAYO!K133+JUNIO!K133+JULIO!K133+AGOSTO!K133+SEPTIEMBRE!K133+OCTUBRE!K133+NOVIEMBRE!K133+DICIEMBRE!K133</f>
        <v>546834449.27999997</v>
      </c>
      <c r="L133" s="16">
        <f>ENERO!L133+FEBRERO!L133+MARZO!L133+ABRIL!L133+MAYO!L133+JUNIO!L133+JULIO!L133+AGOSTO!L133+SEPTIEMBRE!L133+OCTUBRE!L133+NOVIEMBRE!L133+DICIEMBRE!L133</f>
        <v>0</v>
      </c>
      <c r="M133" s="16">
        <f>ENERO!M133+FEBRERO!M133+MARZO!M133+ABRIL!M133+MAYO!M133+JUNIO!M133+JULIO!M133+AGOSTO!M133+SEPTIEMBRE!M133+OCTUBRE!M133+NOVIEMBRE!M133+DICIEMBRE!M133</f>
        <v>57.289999999999992</v>
      </c>
      <c r="N133" s="18">
        <f t="shared" si="3"/>
        <v>13624342696.474667</v>
      </c>
      <c r="O133" s="4"/>
      <c r="P133" s="4"/>
      <c r="Q133" s="4"/>
    </row>
    <row r="134" spans="1:17" ht="18" customHeight="1" x14ac:dyDescent="0.2">
      <c r="A134" s="17" t="s">
        <v>129</v>
      </c>
      <c r="B134" s="16">
        <f>ENERO!B134+FEBRERO!B134+MARZO!B134+ABRIL!B134+MAYO!B134+JUNIO!B134+JULIO!B134+AGOSTO!B134+SEPTIEMBRE!B134+OCTUBRE!B134+NOVIEMBRE!B134+DICIEMBRE!B134</f>
        <v>19726060933.75</v>
      </c>
      <c r="C134" s="16">
        <f>ENERO!C134+FEBRERO!C134+MARZO!C134+ABRIL!C134+MAYO!C134+JUNIO!C134+JULIO!C134+AGOSTO!C134+SEPTIEMBRE!C134+OCTUBRE!C134+NOVIEMBRE!C134+DICIEMBRE!C134</f>
        <v>72304.724147579996</v>
      </c>
      <c r="D134" s="16">
        <f>ENERO!D134+FEBRERO!D134+MARZO!D134+ABRIL!D134+MAYO!D134+JUNIO!D134+JULIO!D134+AGOSTO!D134+SEPTIEMBRE!D134+OCTUBRE!D134+NOVIEMBRE!D134+DICIEMBRE!D134</f>
        <v>1412708649.1882753</v>
      </c>
      <c r="E134" s="16">
        <f>ENERO!E134+FEBRERO!E134+MARZO!E134+ABRIL!E134+MAYO!E134+JUNIO!E134+JULIO!E134+AGOSTO!E134+SEPTIEMBRE!E134+OCTUBRE!E134+NOVIEMBRE!E134+DICIEMBRE!E134</f>
        <v>171089772.56999999</v>
      </c>
      <c r="F134" s="16">
        <f>ENERO!F134+FEBRERO!F134+MARZO!F134+ABRIL!F134+MAYO!F134+JUNIO!F134+JULIO!F134+AGOSTO!F134+SEPTIEMBRE!F134+OCTUBRE!F134+NOVIEMBRE!F134+DICIEMBRE!F134</f>
        <v>62668765.425375067</v>
      </c>
      <c r="G134" s="16">
        <f>ENERO!G134+FEBRERO!G134+MARZO!G134+ABRIL!G134+MAYO!G134+JUNIO!G134+JULIO!G134+AGOSTO!G134+SEPTIEMBRE!G134+OCTUBRE!G134+NOVIEMBRE!G134+DICIEMBRE!G134</f>
        <v>38016055.460000001</v>
      </c>
      <c r="H134" s="16">
        <f>ENERO!H134+FEBRERO!H134+MARZO!H134+ABRIL!H134+MAYO!H134+JUNIO!H134+JULIO!H134+AGOSTO!H134+SEPTIEMBRE!H134+OCTUBRE!H134+NOVIEMBRE!H134+DICIEMBRE!H134</f>
        <v>1049031458.9200001</v>
      </c>
      <c r="I134" s="16">
        <f>ENERO!I134+FEBRERO!I134+MARZO!I134+ABRIL!I134+MAYO!I134+JUNIO!I134+JULIO!I134+AGOSTO!I134+SEPTIEMBRE!I134+OCTUBRE!I134+NOVIEMBRE!I134+DICIEMBRE!I134</f>
        <v>201501198.19</v>
      </c>
      <c r="J134" s="16">
        <f>ENERO!J134+FEBRERO!J134+MARZO!J134+ABRIL!J134+MAYO!J134+JUNIO!J134+JULIO!J134+AGOSTO!J134+SEPTIEMBRE!J134+OCTUBRE!J134+NOVIEMBRE!J134+DICIEMBRE!J134</f>
        <v>1158211481.1500001</v>
      </c>
      <c r="K134" s="16">
        <f>ENERO!K134+FEBRERO!K134+MARZO!K134+ABRIL!K134+MAYO!K134+JUNIO!K134+JULIO!K134+AGOSTO!K134+SEPTIEMBRE!K134+OCTUBRE!K134+NOVIEMBRE!K134+DICIEMBRE!K134</f>
        <v>989334011.68000007</v>
      </c>
      <c r="L134" s="16">
        <f>ENERO!L134+FEBRERO!L134+MARZO!L134+ABRIL!L134+MAYO!L134+JUNIO!L134+JULIO!L134+AGOSTO!L134+SEPTIEMBRE!L134+OCTUBRE!L134+NOVIEMBRE!L134+DICIEMBRE!L134</f>
        <v>0</v>
      </c>
      <c r="M134" s="16">
        <f>ENERO!M134+FEBRERO!M134+MARZO!M134+ABRIL!M134+MAYO!M134+JUNIO!M134+JULIO!M134+AGOSTO!M134+SEPTIEMBRE!M134+OCTUBRE!M134+NOVIEMBRE!M134+DICIEMBRE!M134</f>
        <v>267.36</v>
      </c>
      <c r="N134" s="18">
        <f t="shared" si="3"/>
        <v>24808694898.417797</v>
      </c>
      <c r="O134" s="4"/>
      <c r="P134" s="4"/>
      <c r="Q134" s="4"/>
    </row>
    <row r="135" spans="1:17" ht="18" customHeight="1" x14ac:dyDescent="0.2">
      <c r="A135" s="17" t="s">
        <v>130</v>
      </c>
      <c r="B135" s="16">
        <f>ENERO!B135+FEBRERO!B135+MARZO!B135+ABRIL!B135+MAYO!B135+JUNIO!B135+JULIO!B135+AGOSTO!B135+SEPTIEMBRE!B135+OCTUBRE!B135+NOVIEMBRE!B135+DICIEMBRE!B135</f>
        <v>16315886224.719999</v>
      </c>
      <c r="C135" s="16">
        <f>ENERO!C135+FEBRERO!C135+MARZO!C135+ABRIL!C135+MAYO!C135+JUNIO!C135+JULIO!C135+AGOSTO!C135+SEPTIEMBRE!C135+OCTUBRE!C135+NOVIEMBRE!C135+DICIEMBRE!C135</f>
        <v>57841.387485250001</v>
      </c>
      <c r="D135" s="16">
        <f>ENERO!D135+FEBRERO!D135+MARZO!D135+ABRIL!D135+MAYO!D135+JUNIO!D135+JULIO!D135+AGOSTO!D135+SEPTIEMBRE!D135+OCTUBRE!D135+NOVIEMBRE!D135+DICIEMBRE!D135</f>
        <v>1781261731.9537921</v>
      </c>
      <c r="E135" s="16">
        <f>ENERO!E135+FEBRERO!E135+MARZO!E135+ABRIL!E135+MAYO!E135+JUNIO!E135+JULIO!E135+AGOSTO!E135+SEPTIEMBRE!E135+OCTUBRE!E135+NOVIEMBRE!E135+DICIEMBRE!E135</f>
        <v>166265289.04999998</v>
      </c>
      <c r="F135" s="16">
        <f>ENERO!F135+FEBRERO!F135+MARZO!F135+ABRIL!F135+MAYO!F135+JUNIO!F135+JULIO!F135+AGOSTO!F135+SEPTIEMBRE!F135+OCTUBRE!F135+NOVIEMBRE!F135+DICIEMBRE!F135</f>
        <v>94342160.051677451</v>
      </c>
      <c r="G135" s="16">
        <f>ENERO!G135+FEBRERO!G135+MARZO!G135+ABRIL!G135+MAYO!G135+JUNIO!G135+JULIO!G135+AGOSTO!G135+SEPTIEMBRE!G135+OCTUBRE!G135+NOVIEMBRE!G135+DICIEMBRE!G135</f>
        <v>48267891.439999998</v>
      </c>
      <c r="H135" s="16">
        <f>ENERO!H135+FEBRERO!H135+MARZO!H135+ABRIL!H135+MAYO!H135+JUNIO!H135+JULIO!H135+AGOSTO!H135+SEPTIEMBRE!H135+OCTUBRE!H135+NOVIEMBRE!H135+DICIEMBRE!H135</f>
        <v>866349271.94999993</v>
      </c>
      <c r="I135" s="16">
        <f>ENERO!I135+FEBRERO!I135+MARZO!I135+ABRIL!I135+MAYO!I135+JUNIO!I135+JULIO!I135+AGOSTO!I135+SEPTIEMBRE!I135+OCTUBRE!I135+NOVIEMBRE!I135+DICIEMBRE!I135</f>
        <v>303341834.69</v>
      </c>
      <c r="J135" s="16">
        <f>ENERO!J135+FEBRERO!J135+MARZO!J135+ABRIL!J135+MAYO!J135+JUNIO!J135+JULIO!J135+AGOSTO!J135+SEPTIEMBRE!J135+OCTUBRE!J135+NOVIEMBRE!J135+DICIEMBRE!J135</f>
        <v>1194064283.1599994</v>
      </c>
      <c r="K135" s="16">
        <f>ENERO!K135+FEBRERO!K135+MARZO!K135+ABRIL!K135+MAYO!K135+JUNIO!K135+JULIO!K135+AGOSTO!K135+SEPTIEMBRE!K135+OCTUBRE!K135+NOVIEMBRE!K135+DICIEMBRE!K135</f>
        <v>791434534</v>
      </c>
      <c r="L135" s="16">
        <f>ENERO!L135+FEBRERO!L135+MARZO!L135+ABRIL!L135+MAYO!L135+JUNIO!L135+JULIO!L135+AGOSTO!L135+SEPTIEMBRE!L135+OCTUBRE!L135+NOVIEMBRE!L135+DICIEMBRE!L135</f>
        <v>0</v>
      </c>
      <c r="M135" s="16">
        <f>ENERO!M135+FEBRERO!M135+MARZO!M135+ABRIL!M135+MAYO!M135+JUNIO!M135+JULIO!M135+AGOSTO!M135+SEPTIEMBRE!M135+OCTUBRE!M135+NOVIEMBRE!M135+DICIEMBRE!M135</f>
        <v>402.47</v>
      </c>
      <c r="N135" s="18">
        <f t="shared" si="3"/>
        <v>21561271464.872952</v>
      </c>
      <c r="O135" s="4"/>
      <c r="P135" s="4"/>
      <c r="Q135" s="4"/>
    </row>
    <row r="136" spans="1:17" ht="18" customHeight="1" x14ac:dyDescent="0.2">
      <c r="A136" s="17" t="s">
        <v>131</v>
      </c>
      <c r="B136" s="16">
        <f>ENERO!B136+FEBRERO!B136+MARZO!B136+ABRIL!B136+MAYO!B136+JUNIO!B136+JULIO!B136+AGOSTO!B136+SEPTIEMBRE!B136+OCTUBRE!B136+NOVIEMBRE!B136+DICIEMBRE!B136</f>
        <v>26323781496.580002</v>
      </c>
      <c r="C136" s="16">
        <f>ENERO!C136+FEBRERO!C136+MARZO!C136+ABRIL!C136+MAYO!C136+JUNIO!C136+JULIO!C136+AGOSTO!C136+SEPTIEMBRE!C136+OCTUBRE!C136+NOVIEMBRE!C136+DICIEMBRE!C136</f>
        <v>97855.963013989996</v>
      </c>
      <c r="D136" s="16">
        <f>ENERO!D136+FEBRERO!D136+MARZO!D136+ABRIL!D136+MAYO!D136+JUNIO!D136+JULIO!D136+AGOSTO!D136+SEPTIEMBRE!D136+OCTUBRE!D136+NOVIEMBRE!D136+DICIEMBRE!D136</f>
        <v>387212579.90999997</v>
      </c>
      <c r="E136" s="16">
        <f>ENERO!E136+FEBRERO!E136+MARZO!E136+ABRIL!E136+MAYO!E136+JUNIO!E136+JULIO!E136+AGOSTO!E136+SEPTIEMBRE!E136+OCTUBRE!E136+NOVIEMBRE!E136+DICIEMBRE!E136</f>
        <v>286291605.74000001</v>
      </c>
      <c r="F136" s="16">
        <f>ENERO!F136+FEBRERO!F136+MARZO!F136+ABRIL!F136+MAYO!F136+JUNIO!F136+JULIO!F136+AGOSTO!F136+SEPTIEMBRE!F136+OCTUBRE!F136+NOVIEMBRE!F136+DICIEMBRE!F136</f>
        <v>561306794.39945674</v>
      </c>
      <c r="G136" s="16">
        <f>ENERO!G136+FEBRERO!G136+MARZO!G136+ABRIL!G136+MAYO!G136+JUNIO!G136+JULIO!G136+AGOSTO!G136+SEPTIEMBRE!G136+OCTUBRE!G136+NOVIEMBRE!G136+DICIEMBRE!G136</f>
        <v>344931244.91555572</v>
      </c>
      <c r="H136" s="16">
        <f>ENERO!H136+FEBRERO!H136+MARZO!H136+ABRIL!H136+MAYO!H136+JUNIO!H136+JULIO!H136+AGOSTO!H136+SEPTIEMBRE!H136+OCTUBRE!H136+NOVIEMBRE!H136+DICIEMBRE!H136</f>
        <v>1400823910.8000002</v>
      </c>
      <c r="I136" s="16">
        <f>ENERO!I136+FEBRERO!I136+MARZO!I136+ABRIL!I136+MAYO!I136+JUNIO!I136+JULIO!I136+AGOSTO!I136+SEPTIEMBRE!I136+OCTUBRE!I136+NOVIEMBRE!I136+DICIEMBRE!I136</f>
        <v>1804790484.5899997</v>
      </c>
      <c r="J136" s="16">
        <f>ENERO!J136+FEBRERO!J136+MARZO!J136+ABRIL!J136+MAYO!J136+JUNIO!J136+JULIO!J136+AGOSTO!J136+SEPTIEMBRE!J136+OCTUBRE!J136+NOVIEMBRE!J136+DICIEMBRE!J136</f>
        <v>2714750668.4799995</v>
      </c>
      <c r="K136" s="16">
        <f>ENERO!K136+FEBRERO!K136+MARZO!K136+ABRIL!K136+MAYO!K136+JUNIO!K136+JULIO!K136+AGOSTO!K136+SEPTIEMBRE!K136+OCTUBRE!K136+NOVIEMBRE!K136+DICIEMBRE!K136</f>
        <v>1338947625.04</v>
      </c>
      <c r="L136" s="16">
        <f>ENERO!L136+FEBRERO!L136+MARZO!L136+ABRIL!L136+MAYO!L136+JUNIO!L136+JULIO!L136+AGOSTO!L136+SEPTIEMBRE!L136+OCTUBRE!L136+NOVIEMBRE!L136+DICIEMBRE!L136</f>
        <v>0</v>
      </c>
      <c r="M136" s="16">
        <f>ENERO!M136+FEBRERO!M136+MARZO!M136+ABRIL!M136+MAYO!M136+JUNIO!M136+JULIO!M136+AGOSTO!M136+SEPTIEMBRE!M136+OCTUBRE!M136+NOVIEMBRE!M136+DICIEMBRE!M136</f>
        <v>2394.67</v>
      </c>
      <c r="N136" s="18">
        <f t="shared" ref="N136:N142" si="4">SUM(B136:M136)</f>
        <v>35162936661.08802</v>
      </c>
      <c r="O136" s="4"/>
      <c r="P136" s="4"/>
      <c r="Q136" s="4"/>
    </row>
    <row r="137" spans="1:17" ht="18" customHeight="1" x14ac:dyDescent="0.2">
      <c r="A137" s="17" t="s">
        <v>132</v>
      </c>
      <c r="B137" s="16">
        <f>ENERO!B137+FEBRERO!B137+MARZO!B137+ABRIL!B137+MAYO!B137+JUNIO!B137+JULIO!B137+AGOSTO!B137+SEPTIEMBRE!B137+OCTUBRE!B137+NOVIEMBRE!B137+DICIEMBRE!B137</f>
        <v>4214863584.3600001</v>
      </c>
      <c r="C137" s="16">
        <f>ENERO!C137+FEBRERO!C137+MARZO!C137+ABRIL!C137+MAYO!C137+JUNIO!C137+JULIO!C137+AGOSTO!C137+SEPTIEMBRE!C137+OCTUBRE!C137+NOVIEMBRE!C137+DICIEMBRE!C137</f>
        <v>15668.379990010002</v>
      </c>
      <c r="D137" s="16">
        <f>ENERO!D137+FEBRERO!D137+MARZO!D137+ABRIL!D137+MAYO!D137+JUNIO!D137+JULIO!D137+AGOSTO!D137+SEPTIEMBRE!D137+OCTUBRE!D137+NOVIEMBRE!D137+DICIEMBRE!D137</f>
        <v>211616717.19352847</v>
      </c>
      <c r="E137" s="16">
        <f>ENERO!E137+FEBRERO!E137+MARZO!E137+ABRIL!E137+MAYO!E137+JUNIO!E137+JULIO!E137+AGOSTO!E137+SEPTIEMBRE!E137+OCTUBRE!E137+NOVIEMBRE!E137+DICIEMBRE!E137</f>
        <v>36772969.289999999</v>
      </c>
      <c r="F137" s="16">
        <f>ENERO!F137+FEBRERO!F137+MARZO!F137+ABRIL!F137+MAYO!F137+JUNIO!F137+JULIO!F137+AGOSTO!F137+SEPTIEMBRE!F137+OCTUBRE!F137+NOVIEMBRE!F137+DICIEMBRE!F137</f>
        <v>6715663.6377990786</v>
      </c>
      <c r="G137" s="16">
        <f>ENERO!G137+FEBRERO!G137+MARZO!G137+ABRIL!G137+MAYO!G137+JUNIO!G137+JULIO!G137+AGOSTO!G137+SEPTIEMBRE!G137+OCTUBRE!G137+NOVIEMBRE!G137+DICIEMBRE!G137</f>
        <v>7065543.46</v>
      </c>
      <c r="H137" s="16">
        <f>ENERO!H137+FEBRERO!H137+MARZO!H137+ABRIL!H137+MAYO!H137+JUNIO!H137+JULIO!H137+AGOSTO!H137+SEPTIEMBRE!H137+OCTUBRE!H137+NOVIEMBRE!H137+DICIEMBRE!H137</f>
        <v>224294624.66</v>
      </c>
      <c r="I137" s="16">
        <f>ENERO!I137+FEBRERO!I137+MARZO!I137+ABRIL!I137+MAYO!I137+JUNIO!I137+JULIO!I137+AGOSTO!I137+SEPTIEMBRE!I137+OCTUBRE!I137+NOVIEMBRE!I137+DICIEMBRE!I137</f>
        <v>21593121.699999999</v>
      </c>
      <c r="J137" s="16">
        <f>ENERO!J137+FEBRERO!J137+MARZO!J137+ABRIL!J137+MAYO!J137+JUNIO!J137+JULIO!J137+AGOSTO!J137+SEPTIEMBRE!J137+OCTUBRE!J137+NOVIEMBRE!J137+DICIEMBRE!J137</f>
        <v>266312050.49999997</v>
      </c>
      <c r="K137" s="16">
        <f>ENERO!K137+FEBRERO!K137+MARZO!K137+ABRIL!K137+MAYO!K137+JUNIO!K137+JULIO!K137+AGOSTO!K137+SEPTIEMBRE!K137+OCTUBRE!K137+NOVIEMBRE!K137+DICIEMBRE!K137</f>
        <v>214387958.96000001</v>
      </c>
      <c r="L137" s="16">
        <f>ENERO!L137+FEBRERO!L137+MARZO!L137+ABRIL!L137+MAYO!L137+JUNIO!L137+JULIO!L137+AGOSTO!L137+SEPTIEMBRE!L137+OCTUBRE!L137+NOVIEMBRE!L137+DICIEMBRE!L137</f>
        <v>0</v>
      </c>
      <c r="M137" s="16">
        <f>ENERO!M137+FEBRERO!M137+MARZO!M137+ABRIL!M137+MAYO!M137+JUNIO!M137+JULIO!M137+AGOSTO!M137+SEPTIEMBRE!M137+OCTUBRE!M137+NOVIEMBRE!M137+DICIEMBRE!M137</f>
        <v>28.64</v>
      </c>
      <c r="N137" s="18">
        <f t="shared" si="4"/>
        <v>5203637930.7813177</v>
      </c>
      <c r="O137" s="4"/>
      <c r="P137" s="4"/>
      <c r="Q137" s="4"/>
    </row>
    <row r="138" spans="1:17" ht="18" customHeight="1" x14ac:dyDescent="0.2">
      <c r="A138" s="17" t="s">
        <v>133</v>
      </c>
      <c r="B138" s="16">
        <f>ENERO!B138+FEBRERO!B138+MARZO!B138+ABRIL!B138+MAYO!B138+JUNIO!B138+JULIO!B138+AGOSTO!B138+SEPTIEMBRE!B138+OCTUBRE!B138+NOVIEMBRE!B138+DICIEMBRE!B138</f>
        <v>11899720379.769999</v>
      </c>
      <c r="C138" s="16">
        <f>ENERO!C138+FEBRERO!C138+MARZO!C138+ABRIL!C138+MAYO!C138+JUNIO!C138+JULIO!C138+AGOSTO!C138+SEPTIEMBRE!C138+OCTUBRE!C138+NOVIEMBRE!C138+DICIEMBRE!C138</f>
        <v>40042.132830440001</v>
      </c>
      <c r="D138" s="16">
        <f>ENERO!D138+FEBRERO!D138+MARZO!D138+ABRIL!D138+MAYO!D138+JUNIO!D138+JULIO!D138+AGOSTO!D138+SEPTIEMBRE!D138+OCTUBRE!D138+NOVIEMBRE!D138+DICIEMBRE!D138</f>
        <v>1210468529.230937</v>
      </c>
      <c r="E138" s="16">
        <f>ENERO!E138+FEBRERO!E138+MARZO!E138+ABRIL!E138+MAYO!E138+JUNIO!E138+JULIO!E138+AGOSTO!E138+SEPTIEMBRE!E138+OCTUBRE!E138+NOVIEMBRE!E138+DICIEMBRE!E138</f>
        <v>101607652.27</v>
      </c>
      <c r="F138" s="16">
        <f>ENERO!F138+FEBRERO!F138+MARZO!F138+ABRIL!F138+MAYO!F138+JUNIO!F138+JULIO!F138+AGOSTO!F138+SEPTIEMBRE!F138+OCTUBRE!F138+NOVIEMBRE!F138+DICIEMBRE!F138</f>
        <v>58471475.633000635</v>
      </c>
      <c r="G138" s="16">
        <f>ENERO!G138+FEBRERO!G138+MARZO!G138+ABRIL!G138+MAYO!G138+JUNIO!G138+JULIO!G138+AGOSTO!G138+SEPTIEMBRE!G138+OCTUBRE!G138+NOVIEMBRE!G138+DICIEMBRE!G138</f>
        <v>27644862.489999995</v>
      </c>
      <c r="H138" s="16">
        <f>ENERO!H138+FEBRERO!H138+MARZO!H138+ABRIL!H138+MAYO!H138+JUNIO!H138+JULIO!H138+AGOSTO!H138+SEPTIEMBRE!H138+OCTUBRE!H138+NOVIEMBRE!H138+DICIEMBRE!H138</f>
        <v>630406424.28999996</v>
      </c>
      <c r="I138" s="16">
        <f>ENERO!I138+FEBRERO!I138+MARZO!I138+ABRIL!I138+MAYO!I138+JUNIO!I138+JULIO!I138+AGOSTO!I138+SEPTIEMBRE!I138+OCTUBRE!I138+NOVIEMBRE!I138+DICIEMBRE!I138</f>
        <v>188005497.10999998</v>
      </c>
      <c r="J138" s="16">
        <f>ENERO!J138+FEBRERO!J138+MARZO!J138+ABRIL!J138+MAYO!J138+JUNIO!J138+JULIO!J138+AGOSTO!J138+SEPTIEMBRE!J138+OCTUBRE!J138+NOVIEMBRE!J138+DICIEMBRE!J138</f>
        <v>967643807.15999973</v>
      </c>
      <c r="K138" s="16">
        <f>ENERO!K138+FEBRERO!K138+MARZO!K138+ABRIL!K138+MAYO!K138+JUNIO!K138+JULIO!K138+AGOSTO!K138+SEPTIEMBRE!K138+OCTUBRE!K138+NOVIEMBRE!K138+DICIEMBRE!K138</f>
        <v>547890114.24000001</v>
      </c>
      <c r="L138" s="16">
        <f>ENERO!L138+FEBRERO!L138+MARZO!L138+ABRIL!L138+MAYO!L138+JUNIO!L138+JULIO!L138+AGOSTO!L138+SEPTIEMBRE!L138+OCTUBRE!L138+NOVIEMBRE!L138+DICIEMBRE!L138</f>
        <v>0</v>
      </c>
      <c r="M138" s="16">
        <f>ENERO!M138+FEBRERO!M138+MARZO!M138+ABRIL!M138+MAYO!M138+JUNIO!M138+JULIO!M138+AGOSTO!M138+SEPTIEMBRE!M138+OCTUBRE!M138+NOVIEMBRE!M138+DICIEMBRE!M138</f>
        <v>249.44</v>
      </c>
      <c r="N138" s="18">
        <f t="shared" si="4"/>
        <v>15631899033.766769</v>
      </c>
      <c r="O138" s="4"/>
      <c r="P138" s="4"/>
      <c r="Q138" s="4"/>
    </row>
    <row r="139" spans="1:17" ht="18" customHeight="1" x14ac:dyDescent="0.2">
      <c r="A139" s="17" t="s">
        <v>134</v>
      </c>
      <c r="B139" s="16">
        <f>ENERO!B139+FEBRERO!B139+MARZO!B139+ABRIL!B139+MAYO!B139+JUNIO!B139+JULIO!B139+AGOSTO!B139+SEPTIEMBRE!B139+OCTUBRE!B139+NOVIEMBRE!B139+DICIEMBRE!B139</f>
        <v>41836799409.099998</v>
      </c>
      <c r="C139" s="16">
        <f>ENERO!C139+FEBRERO!C139+MARZO!C139+ABRIL!C139+MAYO!C139+JUNIO!C139+JULIO!C139+AGOSTO!C139+SEPTIEMBRE!C139+OCTUBRE!C139+NOVIEMBRE!C139+DICIEMBRE!C139</f>
        <v>155523.76649852999</v>
      </c>
      <c r="D139" s="16">
        <f>ENERO!D139+FEBRERO!D139+MARZO!D139+ABRIL!D139+MAYO!D139+JUNIO!D139+JULIO!D139+AGOSTO!D139+SEPTIEMBRE!D139+OCTUBRE!D139+NOVIEMBRE!D139+DICIEMBRE!D139</f>
        <v>540937354.42000008</v>
      </c>
      <c r="E139" s="16">
        <f>ENERO!E139+FEBRERO!E139+MARZO!E139+ABRIL!E139+MAYO!E139+JUNIO!E139+JULIO!E139+AGOSTO!E139+SEPTIEMBRE!E139+OCTUBRE!E139+NOVIEMBRE!E139+DICIEMBRE!E139</f>
        <v>371574340.25</v>
      </c>
      <c r="F139" s="16">
        <f>ENERO!F139+FEBRERO!F139+MARZO!F139+ABRIL!F139+MAYO!F139+JUNIO!F139+JULIO!F139+AGOSTO!F139+SEPTIEMBRE!F139+OCTUBRE!F139+NOVIEMBRE!F139+DICIEMBRE!F139</f>
        <v>300719671.13750297</v>
      </c>
      <c r="G139" s="16">
        <f>ENERO!G139+FEBRERO!G139+MARZO!G139+ABRIL!G139+MAYO!G139+JUNIO!G139+JULIO!G139+AGOSTO!G139+SEPTIEMBRE!G139+OCTUBRE!G139+NOVIEMBRE!G139+DICIEMBRE!G139</f>
        <v>316975187.31860089</v>
      </c>
      <c r="H139" s="16">
        <f>ENERO!H139+FEBRERO!H139+MARZO!H139+ABRIL!H139+MAYO!H139+JUNIO!H139+JULIO!H139+AGOSTO!H139+SEPTIEMBRE!H139+OCTUBRE!H139+NOVIEMBRE!H139+DICIEMBRE!H139</f>
        <v>2226351267.8099999</v>
      </c>
      <c r="I139" s="16">
        <f>ENERO!I139+FEBRERO!I139+MARZO!I139+ABRIL!I139+MAYO!I139+JUNIO!I139+JULIO!I139+AGOSTO!I139+SEPTIEMBRE!I139+OCTUBRE!I139+NOVIEMBRE!I139+DICIEMBRE!I139</f>
        <v>966915074.77999985</v>
      </c>
      <c r="J139" s="16">
        <f>ENERO!J139+FEBRERO!J139+MARZO!J139+ABRIL!J139+MAYO!J139+JUNIO!J139+JULIO!J139+AGOSTO!J139+SEPTIEMBRE!J139+OCTUBRE!J139+NOVIEMBRE!J139+DICIEMBRE!J139</f>
        <v>1727782815.7399998</v>
      </c>
      <c r="K139" s="16">
        <f>ENERO!K139+FEBRERO!K139+MARZO!K139+ABRIL!K139+MAYO!K139+JUNIO!K139+JULIO!K139+AGOSTO!K139+SEPTIEMBRE!K139+OCTUBRE!K139+NOVIEMBRE!K139+DICIEMBRE!K139</f>
        <v>2128006912.8800001</v>
      </c>
      <c r="L139" s="16">
        <f>ENERO!L139+FEBRERO!L139+MARZO!L139+ABRIL!L139+MAYO!L139+JUNIO!L139+JULIO!L139+AGOSTO!L139+SEPTIEMBRE!L139+OCTUBRE!L139+NOVIEMBRE!L139+DICIEMBRE!L139</f>
        <v>0</v>
      </c>
      <c r="M139" s="16">
        <f>ENERO!M139+FEBRERO!M139+MARZO!M139+ABRIL!M139+MAYO!M139+JUNIO!M139+JULIO!M139+AGOSTO!M139+SEPTIEMBRE!M139+OCTUBRE!M139+NOVIEMBRE!M139+DICIEMBRE!M139</f>
        <v>1282.95</v>
      </c>
      <c r="N139" s="18">
        <f t="shared" si="4"/>
        <v>50416218840.152588</v>
      </c>
      <c r="O139" s="4"/>
      <c r="P139" s="4"/>
      <c r="Q139" s="4"/>
    </row>
    <row r="140" spans="1:17" ht="18" customHeight="1" x14ac:dyDescent="0.2">
      <c r="A140" s="17" t="s">
        <v>135</v>
      </c>
      <c r="B140" s="16">
        <f>ENERO!B140+FEBRERO!B140+MARZO!B140+ABRIL!B140+MAYO!B140+JUNIO!B140+JULIO!B140+AGOSTO!B140+SEPTIEMBRE!B140+OCTUBRE!B140+NOVIEMBRE!B140+DICIEMBRE!B140</f>
        <v>12331974068.51</v>
      </c>
      <c r="C140" s="16">
        <f>ENERO!C140+FEBRERO!C140+MARZO!C140+ABRIL!C140+MAYO!C140+JUNIO!C140+JULIO!C140+AGOSTO!C140+SEPTIEMBRE!C140+OCTUBRE!C140+NOVIEMBRE!C140+DICIEMBRE!C140</f>
        <v>45843.262081680004</v>
      </c>
      <c r="D140" s="16">
        <f>ENERO!D140+FEBRERO!D140+MARZO!D140+ABRIL!D140+MAYO!D140+JUNIO!D140+JULIO!D140+AGOSTO!D140+SEPTIEMBRE!D140+OCTUBRE!D140+NOVIEMBRE!D140+DICIEMBRE!D140</f>
        <v>110277233.54999998</v>
      </c>
      <c r="E140" s="16">
        <f>ENERO!E140+FEBRERO!E140+MARZO!E140+ABRIL!E140+MAYO!E140+JUNIO!E140+JULIO!E140+AGOSTO!E140+SEPTIEMBRE!E140+OCTUBRE!E140+NOVIEMBRE!E140+DICIEMBRE!E140</f>
        <v>109293954.89</v>
      </c>
      <c r="F140" s="16">
        <f>ENERO!F140+FEBRERO!F140+MARZO!F140+ABRIL!F140+MAYO!F140+JUNIO!F140+JULIO!F140+AGOSTO!F140+SEPTIEMBRE!F140+OCTUBRE!F140+NOVIEMBRE!F140+DICIEMBRE!F140</f>
        <v>49592593.344516277</v>
      </c>
      <c r="G140" s="16">
        <f>ENERO!G140+FEBRERO!G140+MARZO!G140+ABRIL!G140+MAYO!G140+JUNIO!G140+JULIO!G140+AGOSTO!G140+SEPTIEMBRE!G140+OCTUBRE!G140+NOVIEMBRE!G140+DICIEMBRE!G140</f>
        <v>28913293.969999999</v>
      </c>
      <c r="H140" s="16">
        <f>ENERO!H140+FEBRERO!H140+MARZO!H140+ABRIL!H140+MAYO!H140+JUNIO!H140+JULIO!H140+AGOSTO!H140+SEPTIEMBRE!H140+OCTUBRE!H140+NOVIEMBRE!H140+DICIEMBRE!H140</f>
        <v>656248094.14999998</v>
      </c>
      <c r="I140" s="16">
        <f>ENERO!I140+FEBRERO!I140+MARZO!I140+ABRIL!I140+MAYO!I140+JUNIO!I140+JULIO!I140+AGOSTO!I140+SEPTIEMBRE!I140+OCTUBRE!I140+NOVIEMBRE!I140+DICIEMBRE!I140</f>
        <v>159456898.72999999</v>
      </c>
      <c r="J140" s="16">
        <f>ENERO!J140+FEBRERO!J140+MARZO!J140+ABRIL!J140+MAYO!J140+JUNIO!J140+JULIO!J140+AGOSTO!J140+SEPTIEMBRE!J140+OCTUBRE!J140+NOVIEMBRE!J140+DICIEMBRE!J140</f>
        <v>436734856.0399999</v>
      </c>
      <c r="K140" s="16">
        <f>ENERO!K140+FEBRERO!K140+MARZO!K140+ABRIL!K140+MAYO!K140+JUNIO!K140+JULIO!K140+AGOSTO!K140+SEPTIEMBRE!K140+OCTUBRE!K140+NOVIEMBRE!K140+DICIEMBRE!K140</f>
        <v>627266065.27999997</v>
      </c>
      <c r="L140" s="16">
        <f>ENERO!L140+FEBRERO!L140+MARZO!L140+ABRIL!L140+MAYO!L140+JUNIO!L140+JULIO!L140+AGOSTO!L140+SEPTIEMBRE!L140+OCTUBRE!L140+NOVIEMBRE!L140+DICIEMBRE!L140</f>
        <v>0</v>
      </c>
      <c r="M140" s="16">
        <f>ENERO!M140+FEBRERO!M140+MARZO!M140+ABRIL!M140+MAYO!M140+JUNIO!M140+JULIO!M140+AGOSTO!M140+SEPTIEMBRE!M140+OCTUBRE!M140+NOVIEMBRE!M140+DICIEMBRE!M140</f>
        <v>211.56</v>
      </c>
      <c r="N140" s="18">
        <f t="shared" si="4"/>
        <v>14509803113.286594</v>
      </c>
      <c r="O140" s="4"/>
      <c r="P140" s="4"/>
      <c r="Q140" s="4"/>
    </row>
    <row r="141" spans="1:17" ht="18" customHeight="1" x14ac:dyDescent="0.2">
      <c r="A141" s="17" t="s">
        <v>136</v>
      </c>
      <c r="B141" s="16">
        <f>ENERO!B141+FEBRERO!B141+MARZO!B141+ABRIL!B141+MAYO!B141+JUNIO!B141+JULIO!B141+AGOSTO!B141+SEPTIEMBRE!B141+OCTUBRE!B141+NOVIEMBRE!B141+DICIEMBRE!B141</f>
        <v>14294280976.659996</v>
      </c>
      <c r="C141" s="16">
        <f>ENERO!C141+FEBRERO!C141+MARZO!C141+ABRIL!C141+MAYO!C141+JUNIO!C141+JULIO!C141+AGOSTO!C141+SEPTIEMBRE!C141+OCTUBRE!C141+NOVIEMBRE!C141+DICIEMBRE!C141</f>
        <v>51029.008261620002</v>
      </c>
      <c r="D141" s="16">
        <f>ENERO!D141+FEBRERO!D141+MARZO!D141+ABRIL!D141+MAYO!D141+JUNIO!D141+JULIO!D141+AGOSTO!D141+SEPTIEMBRE!D141+OCTUBRE!D141+NOVIEMBRE!D141+DICIEMBRE!D141</f>
        <v>554262340.15950692</v>
      </c>
      <c r="E141" s="16">
        <f>ENERO!E141+FEBRERO!E141+MARZO!E141+ABRIL!E141+MAYO!E141+JUNIO!E141+JULIO!E141+AGOSTO!E141+SEPTIEMBRE!E141+OCTUBRE!E141+NOVIEMBRE!E141+DICIEMBRE!E141</f>
        <v>124722065.70999998</v>
      </c>
      <c r="F141" s="16">
        <f>ENERO!F141+FEBRERO!F141+MARZO!F141+ABRIL!F141+MAYO!F141+JUNIO!F141+JULIO!F141+AGOSTO!F141+SEPTIEMBRE!F141+OCTUBRE!F141+NOVIEMBRE!F141+DICIEMBRE!F141</f>
        <v>71515360.871610388</v>
      </c>
      <c r="G141" s="16">
        <f>ENERO!G141+FEBRERO!G141+MARZO!G141+ABRIL!G141+MAYO!G141+JUNIO!G141+JULIO!G141+AGOSTO!G141+SEPTIEMBRE!G141+OCTUBRE!G141+NOVIEMBRE!G141+DICIEMBRE!G141</f>
        <v>25388551.780000001</v>
      </c>
      <c r="H141" s="16">
        <f>ENERO!H141+FEBRERO!H141+MARZO!H141+ABRIL!H141+MAYO!H141+JUNIO!H141+JULIO!H141+AGOSTO!H141+SEPTIEMBRE!H141+OCTUBRE!H141+NOVIEMBRE!H141+DICIEMBRE!H141</f>
        <v>759244950.50999987</v>
      </c>
      <c r="I141" s="16">
        <f>ENERO!I141+FEBRERO!I141+MARZO!I141+ABRIL!I141+MAYO!I141+JUNIO!I141+JULIO!I141+AGOSTO!I141+SEPTIEMBRE!I141+OCTUBRE!I141+NOVIEMBRE!I141+DICIEMBRE!I141</f>
        <v>229945983.50999999</v>
      </c>
      <c r="J141" s="16">
        <f>ENERO!J141+FEBRERO!J141+MARZO!J141+ABRIL!J141+MAYO!J141+JUNIO!J141+JULIO!J141+AGOSTO!J141+SEPTIEMBRE!J141+OCTUBRE!J141+NOVIEMBRE!J141+DICIEMBRE!J141</f>
        <v>1214603227.0699999</v>
      </c>
      <c r="K141" s="16">
        <f>ENERO!K141+FEBRERO!K141+MARZO!K141+ABRIL!K141+MAYO!K141+JUNIO!K141+JULIO!K141+AGOSTO!K141+SEPTIEMBRE!K141+OCTUBRE!K141+NOVIEMBRE!K141+DICIEMBRE!K141</f>
        <v>698221831.51999998</v>
      </c>
      <c r="L141" s="16">
        <f>ENERO!L141+FEBRERO!L141+MARZO!L141+ABRIL!L141+MAYO!L141+JUNIO!L141+JULIO!L141+AGOSTO!L141+SEPTIEMBRE!L141+OCTUBRE!L141+NOVIEMBRE!L141+DICIEMBRE!L141</f>
        <v>0</v>
      </c>
      <c r="M141" s="16">
        <f>ENERO!M141+FEBRERO!M141+MARZO!M141+ABRIL!M141+MAYO!M141+JUNIO!M141+JULIO!M141+AGOSTO!M141+SEPTIEMBRE!M141+OCTUBRE!M141+NOVIEMBRE!M141+DICIEMBRE!M141</f>
        <v>305.08999999999997</v>
      </c>
      <c r="N141" s="18">
        <f t="shared" si="4"/>
        <v>17972236621.889378</v>
      </c>
      <c r="O141" s="4"/>
      <c r="P141" s="4"/>
      <c r="Q141" s="4"/>
    </row>
    <row r="142" spans="1:17" ht="18" customHeight="1" x14ac:dyDescent="0.2">
      <c r="A142" s="17" t="s">
        <v>137</v>
      </c>
      <c r="B142" s="16">
        <f>ENERO!B142+FEBRERO!B142+MARZO!B142+ABRIL!B142+MAYO!B142+JUNIO!B142+JULIO!B142+AGOSTO!B142+SEPTIEMBRE!B142+OCTUBRE!B142+NOVIEMBRE!B142+DICIEMBRE!B142</f>
        <v>13972041313.43</v>
      </c>
      <c r="C142" s="16">
        <f>ENERO!C142+FEBRERO!C142+MARZO!C142+ABRIL!C142+MAYO!C142+JUNIO!C142+JULIO!C142+AGOSTO!C142+SEPTIEMBRE!C142+OCTUBRE!C142+NOVIEMBRE!C142+DICIEMBRE!C142</f>
        <v>48278.159308570008</v>
      </c>
      <c r="D142" s="16">
        <f>ENERO!D142+FEBRERO!D142+MARZO!D142+ABRIL!D142+MAYO!D142+JUNIO!D142+JULIO!D142+AGOSTO!D142+SEPTIEMBRE!D142+OCTUBRE!D142+NOVIEMBRE!D142+DICIEMBRE!D142</f>
        <v>538634110.25646448</v>
      </c>
      <c r="E142" s="16">
        <f>ENERO!E142+FEBRERO!E142+MARZO!E142+ABRIL!E142+MAYO!E142+JUNIO!E142+JULIO!E142+AGOSTO!E142+SEPTIEMBRE!E142+OCTUBRE!E142+NOVIEMBRE!E142+DICIEMBRE!E142</f>
        <v>147346333.68000001</v>
      </c>
      <c r="F142" s="16">
        <f>ENERO!F142+FEBRERO!F142+MARZO!F142+ABRIL!F142+MAYO!F142+JUNIO!F142+JULIO!F142+AGOSTO!F142+SEPTIEMBRE!F142+OCTUBRE!F142+NOVIEMBRE!F142+DICIEMBRE!F142</f>
        <v>307467621.66755116</v>
      </c>
      <c r="G142" s="16">
        <f>ENERO!G142+FEBRERO!G142+MARZO!G142+ABRIL!G142+MAYO!G142+JUNIO!G142+JULIO!G142+AGOSTO!G142+SEPTIEMBRE!G142+OCTUBRE!G142+NOVIEMBRE!G142+DICIEMBRE!G142</f>
        <v>102095690.38000001</v>
      </c>
      <c r="H142" s="16">
        <f>ENERO!H142+FEBRERO!H142+MARZO!H142+ABRIL!H142+MAYO!H142+JUNIO!H142+JULIO!H142+AGOSTO!H142+SEPTIEMBRE!H142+OCTUBRE!H142+NOVIEMBRE!H142+DICIEMBRE!H142</f>
        <v>741045675.05999994</v>
      </c>
      <c r="I142" s="16">
        <f>ENERO!I142+FEBRERO!I142+MARZO!I142+ABRIL!I142+MAYO!I142+JUNIO!I142+JULIO!I142+AGOSTO!I142+SEPTIEMBRE!I142+OCTUBRE!I142+NOVIEMBRE!I142+DICIEMBRE!I142</f>
        <v>988612009.46000004</v>
      </c>
      <c r="J142" s="16">
        <f>ENERO!J142+FEBRERO!J142+MARZO!J142+ABRIL!J142+MAYO!J142+JUNIO!J142+JULIO!J142+AGOSTO!J142+SEPTIEMBRE!J142+OCTUBRE!J142+NOVIEMBRE!J142+DICIEMBRE!J142</f>
        <v>1646453985.7399998</v>
      </c>
      <c r="K142" s="16">
        <f>ENERO!K142+FEBRERO!K142+MARZO!K142+ABRIL!K142+MAYO!K142+JUNIO!K142+JULIO!K142+AGOSTO!K142+SEPTIEMBRE!K142+OCTUBRE!K142+NOVIEMBRE!K142+DICIEMBRE!K142</f>
        <v>660582348.72000003</v>
      </c>
      <c r="L142" s="16">
        <f>ENERO!L142+FEBRERO!L142+MARZO!L142+ABRIL!L142+MAYO!L142+JUNIO!L142+JULIO!L142+AGOSTO!L142+SEPTIEMBRE!L142+OCTUBRE!L142+NOVIEMBRE!L142+DICIEMBRE!L142</f>
        <v>0</v>
      </c>
      <c r="M142" s="16">
        <f>ENERO!M142+FEBRERO!M142+MARZO!M142+ABRIL!M142+MAYO!M142+JUNIO!M142+JULIO!M142+AGOSTO!M142+SEPTIEMBRE!M142+OCTUBRE!M142+NOVIEMBRE!M142+DICIEMBRE!M142</f>
        <v>1311.73</v>
      </c>
      <c r="N142" s="18">
        <f t="shared" si="4"/>
        <v>19104328678.283321</v>
      </c>
      <c r="O142" s="4"/>
      <c r="P142" s="4"/>
      <c r="Q142" s="4"/>
    </row>
    <row r="143" spans="1:17" ht="27.75" customHeight="1" x14ac:dyDescent="0.2">
      <c r="A143" s="22" t="s">
        <v>138</v>
      </c>
      <c r="B143" s="23">
        <f>SUM(B8:B142)</f>
        <v>2600804384379.4507</v>
      </c>
      <c r="C143" s="23">
        <f>SUM(C8:C142)</f>
        <v>9184817.6700000018</v>
      </c>
      <c r="D143" s="23">
        <f t="shared" ref="D143:J143" si="5">SUM(D8:D142)</f>
        <v>93523612903.899796</v>
      </c>
      <c r="E143" s="23">
        <f t="shared" si="5"/>
        <v>25375167288.429989</v>
      </c>
      <c r="F143" s="23">
        <f t="shared" si="5"/>
        <v>32286844662.334042</v>
      </c>
      <c r="G143" s="23">
        <f t="shared" si="5"/>
        <v>13541607420.609997</v>
      </c>
      <c r="H143" s="23">
        <f t="shared" si="5"/>
        <v>138074956302.13995</v>
      </c>
      <c r="I143" s="23">
        <f t="shared" si="5"/>
        <v>103813085106.55995</v>
      </c>
      <c r="J143" s="23">
        <f t="shared" si="5"/>
        <v>204184755548.54013</v>
      </c>
      <c r="K143" s="23">
        <f>SUM(K8:K142)</f>
        <v>125674400000.00003</v>
      </c>
      <c r="L143" s="23">
        <f>SUM(L8:L142)</f>
        <v>0</v>
      </c>
      <c r="M143" s="23">
        <f>SUM(M8:M142)</f>
        <v>137743.12</v>
      </c>
      <c r="N143" s="23">
        <f>SUM(N8:N142)</f>
        <v>3337288136172.7529</v>
      </c>
      <c r="O143" s="4"/>
      <c r="P143" s="4"/>
      <c r="Q143" s="4"/>
    </row>
    <row r="144" spans="1:17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6" x14ac:dyDescent="0.2">
      <c r="B145" s="7"/>
      <c r="C145" s="7"/>
      <c r="D145" s="7"/>
      <c r="E145" s="7"/>
      <c r="F145" s="7"/>
      <c r="G145" s="7"/>
      <c r="H145" s="7"/>
      <c r="I145" s="7"/>
      <c r="K145" s="7"/>
      <c r="L145" s="7"/>
      <c r="M145" s="7"/>
      <c r="N145" s="4"/>
      <c r="P145" s="4"/>
    </row>
    <row r="146" spans="1:16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6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6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6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6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6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4"/>
    </row>
    <row r="152" spans="1:16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6" x14ac:dyDescent="0.2">
      <c r="B153" s="4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6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6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6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6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6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6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6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26</vt:i4>
      </vt:variant>
    </vt:vector>
  </HeadingPairs>
  <TitlesOfParts>
    <vt:vector size="40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Hoja1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2021-03-03T11:28:05Z</cp:lastPrinted>
  <dcterms:created xsi:type="dcterms:W3CDTF">2012-05-08T12:18:55Z</dcterms:created>
  <dcterms:modified xsi:type="dcterms:W3CDTF">2025-01-06T12:12:10Z</dcterms:modified>
</cp:coreProperties>
</file>