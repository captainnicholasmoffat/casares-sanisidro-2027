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5\12-Diciembre\"/>
    </mc:Choice>
  </mc:AlternateContent>
  <bookViews>
    <workbookView xWindow="240" yWindow="1485" windowWidth="15120" windowHeight="4455" firstSheet="5" activeTab="11"/>
  </bookViews>
  <sheets>
    <sheet name="ENERO" sheetId="1" r:id="rId1"/>
    <sheet name="FEBRERO" sheetId="3" r:id="rId2"/>
    <sheet name="MARZO" sheetId="5" r:id="rId3"/>
    <sheet name="ABRIL" sheetId="6" r:id="rId4"/>
    <sheet name="MAYO" sheetId="7" r:id="rId5"/>
    <sheet name="JUNIO" sheetId="16" r:id="rId6"/>
    <sheet name="JULIO" sheetId="24" r:id="rId7"/>
    <sheet name="AGOSTO" sheetId="19" r:id="rId8"/>
    <sheet name="SEPTIEMBRE" sheetId="20" r:id="rId9"/>
    <sheet name="OCTUBRE" sheetId="21" r:id="rId10"/>
    <sheet name="NOVIEMBRE" sheetId="22" r:id="rId11"/>
    <sheet name="DICIEMBRE" sheetId="23" r:id="rId12"/>
    <sheet name="Acumulado" sheetId="2" r:id="rId13"/>
    <sheet name="Hoja1" sheetId="25" state="hidden" r:id="rId14"/>
  </sheets>
  <externalReferences>
    <externalReference r:id="rId15"/>
    <externalReference r:id="rId16"/>
    <externalReference r:id="rId17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ABRIL!$A$6:$D$142</definedName>
    <definedName name="_xlnm._FilterDatabase" localSheetId="12" hidden="1">Acumulado!$A$7:$D$143</definedName>
    <definedName name="_xlnm._FilterDatabase" localSheetId="7" hidden="1">AGOSTO!$A$6:$D$142</definedName>
    <definedName name="_xlnm._FilterDatabase" localSheetId="11" hidden="1">DICIEMBRE!$A$6:$D$142</definedName>
    <definedName name="_xlnm._FilterDatabase" localSheetId="0" hidden="1">ENERO!$A$8:$N$143</definedName>
    <definedName name="_xlnm._FilterDatabase" localSheetId="1" hidden="1">FEBRERO!$A$7:$D$143</definedName>
    <definedName name="_xlnm._FilterDatabase" localSheetId="6" hidden="1">JULIO!$A$6:$D$142</definedName>
    <definedName name="_xlnm._FilterDatabase" localSheetId="5" hidden="1">JUNIO!$A$6:$D$142</definedName>
    <definedName name="_xlnm._FilterDatabase" localSheetId="2" hidden="1">MARZO!$A$6:$D$142</definedName>
    <definedName name="_xlnm._FilterDatabase" localSheetId="4" hidden="1">MAYO!$A$6:$D$142</definedName>
    <definedName name="_xlnm._FilterDatabase" localSheetId="10" hidden="1">NOVIEMBRE!$A$6:$D$142</definedName>
    <definedName name="_xlnm._FilterDatabase" localSheetId="9" hidden="1">OCTUBRE!$A$6:$D$142</definedName>
    <definedName name="_xlnm._FilterDatabase" localSheetId="8" hidden="1">SEPTIEMBRE!$A$6:$D$142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ABRIL!$A$1:$N$143</definedName>
    <definedName name="_xlnm.Print_Area" localSheetId="12">Acumulado!$B$8:$N$143</definedName>
    <definedName name="_xlnm.Print_Area" localSheetId="7">AGOSTO!$A$1:$N$143</definedName>
    <definedName name="_xlnm.Print_Area" localSheetId="11">DICIEMBRE!$A$1:$N$143</definedName>
    <definedName name="_xlnm.Print_Area" localSheetId="0">ENERO!$A$1:$N$143</definedName>
    <definedName name="_xlnm.Print_Area" localSheetId="1">FEBRERO!$A$1:$N$143</definedName>
    <definedName name="_xlnm.Print_Area" localSheetId="6">JULIO!$A$1:$N$143</definedName>
    <definedName name="_xlnm.Print_Area" localSheetId="5">JUNIO!$A$1:$N$143</definedName>
    <definedName name="_xlnm.Print_Area" localSheetId="2">MARZO!$A$1:$N$143</definedName>
    <definedName name="_xlnm.Print_Area" localSheetId="4">MAYO!$A$1:$N$143</definedName>
    <definedName name="_xlnm.Print_Area" localSheetId="10">NOVIEMBRE!$A$1:$N$143</definedName>
    <definedName name="_xlnm.Print_Area" localSheetId="9">OCTUBRE!$A$1:$N$143</definedName>
    <definedName name="_xlnm.Print_Area" localSheetId="8">SEPTIEMBRE!$A$1:$N$143</definedName>
    <definedName name="con" localSheetId="7">#REF!</definedName>
    <definedName name="con" localSheetId="11">#REF!</definedName>
    <definedName name="con" localSheetId="6">#REF!</definedName>
    <definedName name="con" localSheetId="10">#REF!</definedName>
    <definedName name="con" localSheetId="9">#REF!</definedName>
    <definedName name="con" localSheetId="8">#REF!</definedName>
    <definedName name="con">#REF!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JULIO" localSheetId="7" hidden="1">#REF!</definedName>
    <definedName name="JULIO" localSheetId="11" hidden="1">#REF!</definedName>
    <definedName name="JULIO" localSheetId="6" hidden="1">#REF!</definedName>
    <definedName name="JULIO" localSheetId="10" hidden="1">#REF!</definedName>
    <definedName name="JULIO" localSheetId="9" hidden="1">#REF!</definedName>
    <definedName name="JULIO" localSheetId="8" hidden="1">#REF!</definedName>
    <definedName name="JULIO" hidden="1">#REF!</definedName>
    <definedName name="_xlnm.Print_Titles" localSheetId="3">ABRIL!$A:$A,ABRIL!$1:$7</definedName>
    <definedName name="_xlnm.Print_Titles" localSheetId="12">Acumulado!$A:$A,Acumulado!$3:$7</definedName>
    <definedName name="_xlnm.Print_Titles" localSheetId="7">AGOSTO!$A:$A,AGOSTO!$1:$7</definedName>
    <definedName name="_xlnm.Print_Titles" localSheetId="11">DICIEMBRE!$A:$A,DICIEMBRE!$1:$7</definedName>
    <definedName name="_xlnm.Print_Titles" localSheetId="0">ENERO!$A:$A,ENERO!$1:$7</definedName>
    <definedName name="_xlnm.Print_Titles" localSheetId="1">FEBRERO!$A:$A,FEBRERO!$1:$7</definedName>
    <definedName name="_xlnm.Print_Titles" localSheetId="6">JULIO!$A:$A,JULIO!$1:$7</definedName>
    <definedName name="_xlnm.Print_Titles" localSheetId="5">JUNIO!$A:$A,JUNIO!$1:$7</definedName>
    <definedName name="_xlnm.Print_Titles" localSheetId="2">MARZO!$A:$A,MARZO!$1:$7</definedName>
    <definedName name="_xlnm.Print_Titles" localSheetId="4">MAYO!$A:$A,MAYO!$1:$7</definedName>
    <definedName name="_xlnm.Print_Titles" localSheetId="10">NOVIEMBRE!$A:$A,NOVIEMBRE!$1:$7</definedName>
    <definedName name="_xlnm.Print_Titles" localSheetId="9">OCTUBRE!$A:$A,OCTUBRE!$1:$7</definedName>
    <definedName name="_xlnm.Print_Titles" localSheetId="8">SEPTIEMBRE!$A:$A,SEPTIEMBRE!$1:$7</definedName>
  </definedNames>
  <calcPr calcId="162913"/>
</workbook>
</file>

<file path=xl/calcChain.xml><?xml version="1.0" encoding="utf-8"?>
<calcChain xmlns="http://schemas.openxmlformats.org/spreadsheetml/2006/main">
  <c r="C143" i="21" l="1"/>
  <c r="C143" i="2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8" i="2"/>
  <c r="K8" i="2" l="1"/>
  <c r="J8" i="2" l="1"/>
  <c r="C143" i="16" l="1"/>
  <c r="B8" i="2" l="1"/>
  <c r="N8" i="1" l="1"/>
  <c r="N8" i="24"/>
  <c r="N9" i="5"/>
  <c r="N8" i="5" l="1"/>
  <c r="N8" i="21"/>
  <c r="C143" i="19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J143" i="3" l="1"/>
  <c r="N140" i="1" l="1"/>
  <c r="C143" i="23" l="1"/>
  <c r="M143" i="23" l="1"/>
  <c r="M143" i="20"/>
  <c r="M143" i="19"/>
  <c r="M143" i="24"/>
  <c r="M143" i="16"/>
  <c r="M143" i="7"/>
  <c r="M143" i="6"/>
  <c r="M143" i="5"/>
  <c r="M143" i="3"/>
  <c r="M143" i="1"/>
  <c r="N8" i="22"/>
  <c r="M143" i="22"/>
  <c r="C143" i="20" l="1"/>
  <c r="C143" i="24"/>
  <c r="K9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3" i="2" l="1"/>
  <c r="J143" i="2"/>
  <c r="K143" i="2"/>
  <c r="C143" i="1" l="1"/>
  <c r="K143" i="1"/>
  <c r="N9" i="1"/>
  <c r="N12" i="1" l="1"/>
  <c r="N142" i="23" l="1"/>
  <c r="N9" i="22" l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K143" i="22"/>
  <c r="J143" i="22"/>
  <c r="I143" i="22"/>
  <c r="H143" i="22"/>
  <c r="G143" i="22"/>
  <c r="F143" i="22"/>
  <c r="E143" i="22"/>
  <c r="D143" i="22"/>
  <c r="B143" i="22"/>
  <c r="N143" i="22" l="1"/>
  <c r="N8" i="20"/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8" i="2"/>
  <c r="N9" i="23" l="1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8" i="23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8" i="19"/>
  <c r="N13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9" i="24"/>
  <c r="N140" i="24"/>
  <c r="N141" i="24"/>
  <c r="N142" i="24"/>
  <c r="N139" i="16"/>
  <c r="N142" i="16"/>
  <c r="N135" i="16"/>
  <c r="N126" i="16"/>
  <c r="N141" i="16"/>
  <c r="K143" i="16"/>
  <c r="N143" i="20" l="1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7" i="16"/>
  <c r="N128" i="16"/>
  <c r="N129" i="16"/>
  <c r="N130" i="16"/>
  <c r="N131" i="16"/>
  <c r="N132" i="16"/>
  <c r="N133" i="16"/>
  <c r="N134" i="16"/>
  <c r="N136" i="16"/>
  <c r="N137" i="16"/>
  <c r="N138" i="16"/>
  <c r="N140" i="16"/>
  <c r="N8" i="16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8" i="7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8" i="6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14" i="1"/>
  <c r="N107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1" i="1"/>
  <c r="N142" i="1"/>
  <c r="N143" i="7" l="1"/>
  <c r="N143" i="1"/>
  <c r="N143" i="16"/>
  <c r="L143" i="6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8" i="2"/>
  <c r="L143" i="23"/>
  <c r="L143" i="22"/>
  <c r="L143" i="21"/>
  <c r="L143" i="20"/>
  <c r="L143" i="19"/>
  <c r="L143" i="24"/>
  <c r="L143" i="7"/>
  <c r="C143" i="7"/>
  <c r="L143" i="1"/>
  <c r="L143" i="3"/>
  <c r="L143" i="5"/>
  <c r="D143" i="5"/>
  <c r="E143" i="5"/>
  <c r="F143" i="5"/>
  <c r="G143" i="5"/>
  <c r="H143" i="5"/>
  <c r="I143" i="5"/>
  <c r="J143" i="5"/>
  <c r="K143" i="5"/>
  <c r="C143" i="5"/>
  <c r="C143" i="3"/>
  <c r="N133" i="3" l="1"/>
  <c r="N121" i="3"/>
  <c r="N109" i="3"/>
  <c r="N93" i="3"/>
  <c r="N81" i="3"/>
  <c r="N65" i="3"/>
  <c r="N57" i="3"/>
  <c r="N41" i="3"/>
  <c r="N29" i="3"/>
  <c r="N21" i="3"/>
  <c r="N13" i="3"/>
  <c r="N8" i="3"/>
  <c r="N142" i="3"/>
  <c r="N138" i="3"/>
  <c r="N134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N9" i="3"/>
  <c r="N141" i="3"/>
  <c r="N129" i="3"/>
  <c r="N117" i="3"/>
  <c r="N105" i="3"/>
  <c r="N97" i="3"/>
  <c r="N85" i="3"/>
  <c r="N73" i="3"/>
  <c r="N61" i="3"/>
  <c r="N49" i="3"/>
  <c r="N37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N92" i="3"/>
  <c r="N88" i="3"/>
  <c r="N84" i="3"/>
  <c r="N80" i="3"/>
  <c r="N76" i="3"/>
  <c r="N72" i="3"/>
  <c r="N68" i="3"/>
  <c r="N64" i="3"/>
  <c r="N60" i="3"/>
  <c r="N56" i="3"/>
  <c r="N52" i="3"/>
  <c r="N48" i="3"/>
  <c r="N44" i="3"/>
  <c r="N40" i="3"/>
  <c r="N36" i="3"/>
  <c r="N32" i="3"/>
  <c r="N28" i="3"/>
  <c r="N24" i="3"/>
  <c r="N20" i="3"/>
  <c r="N16" i="3"/>
  <c r="N12" i="3"/>
  <c r="N137" i="3"/>
  <c r="N125" i="3"/>
  <c r="N113" i="3"/>
  <c r="N101" i="3"/>
  <c r="N89" i="3"/>
  <c r="N77" i="3"/>
  <c r="N69" i="3"/>
  <c r="N53" i="3"/>
  <c r="N45" i="3"/>
  <c r="N33" i="3"/>
  <c r="N25" i="3"/>
  <c r="N17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N83" i="3"/>
  <c r="N79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5" i="3"/>
  <c r="N11" i="3"/>
  <c r="K143" i="3"/>
  <c r="C143" i="2"/>
  <c r="J143" i="1" l="1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K143" i="24"/>
  <c r="J143" i="24"/>
  <c r="I143" i="24"/>
  <c r="H143" i="24"/>
  <c r="G143" i="24"/>
  <c r="F143" i="24"/>
  <c r="E143" i="24"/>
  <c r="D143" i="24"/>
  <c r="B143" i="24"/>
  <c r="H143" i="2" l="1"/>
  <c r="N143" i="24"/>
  <c r="K143" i="23" l="1"/>
  <c r="J143" i="23"/>
  <c r="I143" i="23"/>
  <c r="H143" i="23"/>
  <c r="G143" i="23"/>
  <c r="F143" i="23"/>
  <c r="E143" i="23"/>
  <c r="D143" i="23"/>
  <c r="B143" i="23"/>
  <c r="N143" i="23" l="1"/>
  <c r="D143" i="2"/>
  <c r="K143" i="21" l="1"/>
  <c r="J143" i="21"/>
  <c r="I143" i="21"/>
  <c r="H143" i="21"/>
  <c r="G143" i="21"/>
  <c r="F143" i="21"/>
  <c r="E143" i="21"/>
  <c r="D143" i="21"/>
  <c r="B143" i="21"/>
  <c r="K143" i="20" l="1"/>
  <c r="J143" i="20"/>
  <c r="I143" i="20"/>
  <c r="H143" i="20"/>
  <c r="G143" i="20"/>
  <c r="F143" i="20"/>
  <c r="E143" i="20"/>
  <c r="D143" i="20"/>
  <c r="B143" i="20"/>
  <c r="K143" i="19" l="1"/>
  <c r="J143" i="19"/>
  <c r="I143" i="19"/>
  <c r="H143" i="19"/>
  <c r="G143" i="19"/>
  <c r="F143" i="19"/>
  <c r="E143" i="19"/>
  <c r="D143" i="19"/>
  <c r="B143" i="19"/>
  <c r="N143" i="19" l="1"/>
  <c r="L143" i="16" l="1"/>
  <c r="I143" i="16"/>
  <c r="H143" i="16"/>
  <c r="G143" i="16"/>
  <c r="F143" i="16"/>
  <c r="E143" i="16"/>
  <c r="D143" i="16"/>
  <c r="J143" i="16"/>
  <c r="B143" i="16"/>
  <c r="K143" i="7" l="1"/>
  <c r="H143" i="7"/>
  <c r="J143" i="6" l="1"/>
  <c r="F143" i="3" l="1"/>
  <c r="I143" i="3" l="1"/>
  <c r="H143" i="3"/>
  <c r="E143" i="3"/>
  <c r="J143" i="7" l="1"/>
  <c r="I143" i="7"/>
  <c r="G143" i="7"/>
  <c r="F143" i="7"/>
  <c r="E143" i="7"/>
  <c r="D143" i="7"/>
  <c r="B143" i="7"/>
  <c r="K143" i="6" l="1"/>
  <c r="I143" i="6"/>
  <c r="H143" i="6"/>
  <c r="G143" i="6"/>
  <c r="F143" i="6"/>
  <c r="E143" i="6"/>
  <c r="D143" i="6"/>
  <c r="B143" i="6"/>
  <c r="N143" i="6" l="1"/>
  <c r="B143" i="5"/>
  <c r="N143" i="5" l="1"/>
  <c r="G143" i="3" l="1"/>
  <c r="D143" i="3"/>
  <c r="B143" i="3"/>
  <c r="N143" i="3" l="1"/>
  <c r="I143" i="1"/>
  <c r="H143" i="1"/>
  <c r="G143" i="1"/>
  <c r="F143" i="1"/>
  <c r="E143" i="1"/>
  <c r="D143" i="1"/>
  <c r="B143" i="1"/>
  <c r="I143" i="2" l="1"/>
  <c r="G143" i="2"/>
  <c r="F143" i="2"/>
  <c r="E143" i="2"/>
  <c r="B143" i="2"/>
  <c r="N13" i="2" l="1"/>
  <c r="N13" i="21"/>
  <c r="N81" i="2"/>
  <c r="N81" i="21"/>
  <c r="N20" i="2"/>
  <c r="N20" i="21"/>
  <c r="N37" i="2"/>
  <c r="N37" i="21"/>
  <c r="N69" i="2"/>
  <c r="N69" i="21"/>
  <c r="N9" i="2"/>
  <c r="N9" i="21"/>
  <c r="N65" i="2"/>
  <c r="N65" i="21"/>
  <c r="N22" i="2"/>
  <c r="N22" i="21"/>
  <c r="N41" i="2"/>
  <c r="N41" i="21"/>
  <c r="N73" i="2"/>
  <c r="N73" i="21"/>
  <c r="N34" i="2"/>
  <c r="N34" i="21"/>
  <c r="M8" i="2"/>
  <c r="M143" i="21"/>
  <c r="N17" i="2"/>
  <c r="N17" i="21"/>
  <c r="N32" i="2"/>
  <c r="N32" i="21"/>
  <c r="N61" i="2"/>
  <c r="N61" i="21"/>
  <c r="N93" i="2"/>
  <c r="N93" i="21"/>
  <c r="N38" i="2"/>
  <c r="N38" i="21"/>
  <c r="N46" i="2"/>
  <c r="N46" i="21"/>
  <c r="N54" i="2"/>
  <c r="N54" i="21"/>
  <c r="N62" i="2"/>
  <c r="N62" i="21"/>
  <c r="N70" i="2"/>
  <c r="N70" i="21"/>
  <c r="N78" i="2"/>
  <c r="N78" i="21"/>
  <c r="N86" i="2"/>
  <c r="N86" i="21"/>
  <c r="N94" i="2"/>
  <c r="N94" i="21"/>
  <c r="N15" i="2"/>
  <c r="N15" i="21"/>
  <c r="N21" i="2"/>
  <c r="N21" i="21"/>
  <c r="N25" i="2"/>
  <c r="N25" i="21"/>
  <c r="N29" i="2"/>
  <c r="N29" i="21"/>
  <c r="N33" i="2"/>
  <c r="N33" i="21"/>
  <c r="N39" i="2"/>
  <c r="N39" i="21"/>
  <c r="N47" i="2"/>
  <c r="N47" i="21"/>
  <c r="N55" i="2"/>
  <c r="N55" i="21"/>
  <c r="N63" i="2"/>
  <c r="N63" i="21"/>
  <c r="N71" i="2"/>
  <c r="N71" i="21"/>
  <c r="N79" i="2"/>
  <c r="N79" i="21"/>
  <c r="N87" i="2"/>
  <c r="N87" i="21"/>
  <c r="N95" i="2"/>
  <c r="N95" i="21"/>
  <c r="N18" i="2"/>
  <c r="N18" i="21"/>
  <c r="N40" i="2"/>
  <c r="N40" i="21"/>
  <c r="N48" i="2"/>
  <c r="N48" i="21"/>
  <c r="N56" i="2"/>
  <c r="N56" i="21"/>
  <c r="N64" i="2"/>
  <c r="N64" i="21"/>
  <c r="N72" i="2"/>
  <c r="N72" i="21"/>
  <c r="N80" i="2"/>
  <c r="N80" i="21"/>
  <c r="N88" i="2"/>
  <c r="N88" i="21"/>
  <c r="N96" i="2"/>
  <c r="N96" i="21"/>
  <c r="N100" i="2"/>
  <c r="N100" i="21"/>
  <c r="N102" i="2"/>
  <c r="N102" i="21"/>
  <c r="N104" i="2"/>
  <c r="N104" i="21"/>
  <c r="N106" i="2"/>
  <c r="N106" i="21"/>
  <c r="N108" i="2"/>
  <c r="N108" i="21"/>
  <c r="N110" i="2"/>
  <c r="N110" i="21"/>
  <c r="N112" i="2"/>
  <c r="N112" i="21"/>
  <c r="N114" i="2"/>
  <c r="N114" i="21"/>
  <c r="N116" i="2"/>
  <c r="N116" i="21"/>
  <c r="N118" i="2"/>
  <c r="N118" i="21"/>
  <c r="N120" i="2"/>
  <c r="N120" i="21"/>
  <c r="N122" i="2"/>
  <c r="N122" i="21"/>
  <c r="N124" i="2"/>
  <c r="N124" i="21"/>
  <c r="N126" i="2"/>
  <c r="N126" i="21"/>
  <c r="N128" i="2"/>
  <c r="N128" i="21"/>
  <c r="N130" i="2"/>
  <c r="N130" i="21"/>
  <c r="N132" i="2"/>
  <c r="N132" i="21"/>
  <c r="N134" i="2"/>
  <c r="N134" i="21"/>
  <c r="N136" i="2"/>
  <c r="N136" i="21"/>
  <c r="N138" i="2"/>
  <c r="N138" i="21"/>
  <c r="N140" i="2"/>
  <c r="N140" i="21"/>
  <c r="N142" i="2"/>
  <c r="N142" i="21"/>
  <c r="N49" i="2"/>
  <c r="N49" i="21"/>
  <c r="N10" i="2"/>
  <c r="N10" i="21"/>
  <c r="N28" i="2"/>
  <c r="N28" i="21"/>
  <c r="N53" i="2"/>
  <c r="N53" i="21"/>
  <c r="N85" i="2"/>
  <c r="N85" i="21"/>
  <c r="N26" i="2"/>
  <c r="N26" i="21"/>
  <c r="N11" i="2"/>
  <c r="N11" i="21"/>
  <c r="N30" i="2"/>
  <c r="N30" i="21"/>
  <c r="N57" i="2"/>
  <c r="N57" i="21"/>
  <c r="N89" i="2"/>
  <c r="N89" i="21"/>
  <c r="N97" i="2"/>
  <c r="N97" i="21"/>
  <c r="N12" i="2"/>
  <c r="N12" i="21"/>
  <c r="N24" i="2"/>
  <c r="N24" i="21"/>
  <c r="N45" i="2"/>
  <c r="N45" i="21"/>
  <c r="N77" i="2"/>
  <c r="N77" i="21"/>
  <c r="N16" i="2"/>
  <c r="N16" i="21"/>
  <c r="N42" i="2"/>
  <c r="N42" i="21"/>
  <c r="N50" i="2"/>
  <c r="N50" i="21"/>
  <c r="N58" i="2"/>
  <c r="N58" i="21"/>
  <c r="N66" i="2"/>
  <c r="N66" i="21"/>
  <c r="N74" i="2"/>
  <c r="N74" i="21"/>
  <c r="N82" i="2"/>
  <c r="N82" i="21"/>
  <c r="N90" i="2"/>
  <c r="N90" i="21"/>
  <c r="N98" i="2"/>
  <c r="N98" i="21"/>
  <c r="N19" i="2"/>
  <c r="N19" i="21"/>
  <c r="N23" i="2"/>
  <c r="N23" i="21"/>
  <c r="N27" i="2"/>
  <c r="N27" i="21"/>
  <c r="N31" i="2"/>
  <c r="N31" i="21"/>
  <c r="N35" i="2"/>
  <c r="N35" i="21"/>
  <c r="N43" i="2"/>
  <c r="N43" i="21"/>
  <c r="N51" i="2"/>
  <c r="N51" i="21"/>
  <c r="N59" i="2"/>
  <c r="N59" i="21"/>
  <c r="N67" i="2"/>
  <c r="N67" i="21"/>
  <c r="N75" i="2"/>
  <c r="N75" i="21"/>
  <c r="N83" i="2"/>
  <c r="N83" i="21"/>
  <c r="N91" i="2"/>
  <c r="N91" i="21"/>
  <c r="N14" i="2"/>
  <c r="N14" i="21"/>
  <c r="N36" i="2"/>
  <c r="N36" i="21"/>
  <c r="N44" i="2"/>
  <c r="N44" i="21"/>
  <c r="N52" i="2"/>
  <c r="N52" i="21"/>
  <c r="N60" i="2"/>
  <c r="N60" i="21"/>
  <c r="N68" i="2"/>
  <c r="N68" i="21"/>
  <c r="N76" i="2"/>
  <c r="N76" i="21"/>
  <c r="N84" i="2"/>
  <c r="N84" i="21"/>
  <c r="N92" i="2"/>
  <c r="N92" i="21"/>
  <c r="N99" i="2"/>
  <c r="N99" i="21"/>
  <c r="N101" i="2"/>
  <c r="N101" i="21"/>
  <c r="N103" i="2"/>
  <c r="N103" i="21"/>
  <c r="N105" i="2"/>
  <c r="N105" i="21"/>
  <c r="N107" i="2"/>
  <c r="N107" i="21"/>
  <c r="N109" i="2"/>
  <c r="N109" i="21"/>
  <c r="N111" i="2"/>
  <c r="N111" i="21"/>
  <c r="N113" i="2"/>
  <c r="N113" i="21"/>
  <c r="N115" i="2"/>
  <c r="N115" i="21"/>
  <c r="N117" i="2"/>
  <c r="N117" i="21"/>
  <c r="N119" i="2"/>
  <c r="N119" i="21"/>
  <c r="N121" i="2"/>
  <c r="N121" i="21"/>
  <c r="N123" i="2"/>
  <c r="N123" i="21"/>
  <c r="N125" i="2"/>
  <c r="N125" i="21"/>
  <c r="N127" i="2"/>
  <c r="N127" i="21"/>
  <c r="N129" i="2"/>
  <c r="N129" i="21"/>
  <c r="N131" i="2"/>
  <c r="N131" i="21"/>
  <c r="N133" i="2"/>
  <c r="N133" i="21"/>
  <c r="N135" i="2"/>
  <c r="N135" i="21"/>
  <c r="N137" i="2"/>
  <c r="N137" i="21"/>
  <c r="N139" i="2"/>
  <c r="N139" i="21"/>
  <c r="N141" i="2"/>
  <c r="N141" i="21"/>
  <c r="N143" i="21" l="1"/>
  <c r="M143" i="2"/>
  <c r="N8" i="2"/>
  <c r="N143" i="2" s="1"/>
</calcChain>
</file>

<file path=xl/sharedStrings.xml><?xml version="1.0" encoding="utf-8"?>
<sst xmlns="http://schemas.openxmlformats.org/spreadsheetml/2006/main" count="1999" uniqueCount="179">
  <si>
    <t>TRANSFERENCIAS DE FONDOS</t>
  </si>
  <si>
    <t>(En pesos)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</si>
  <si>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</si>
  <si>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</si>
  <si>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</si>
  <si>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</si>
  <si>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</si>
  <si>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</si>
  <si>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</si>
  <si>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</si>
  <si>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</si>
  <si>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</si>
  <si>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</si>
  <si>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</si>
  <si>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</si>
  <si>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</si>
  <si>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</si>
  <si>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</si>
  <si>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</si>
  <si>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</si>
  <si>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</si>
  <si>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</si>
  <si>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</si>
  <si>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</si>
  <si>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</si>
  <si>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</si>
  <si>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</si>
  <si>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</si>
  <si>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</si>
  <si>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</si>
  <si>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</si>
  <si>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</si>
  <si>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</si>
  <si>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</si>
  <si>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</si>
  <si>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</si>
  <si>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</si>
  <si>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</si>
  <si>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</si>
  <si>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</si>
  <si>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</si>
  <si>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</si>
  <si>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</si>
  <si>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</si>
  <si>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</si>
  <si>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</si>
  <si>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</si>
  <si>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</si>
  <si>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</si>
  <si>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</si>
  <si>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</si>
  <si>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</si>
  <si>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</si>
  <si>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</si>
  <si>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</si>
  <si>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</si>
  <si>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</si>
  <si>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</si>
  <si>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</si>
  <si>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</si>
  <si>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</si>
  <si>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</si>
  <si>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</si>
  <si>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</si>
  <si>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</si>
  <si>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</si>
  <si>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</si>
  <si>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</si>
  <si>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</si>
  <si>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</si>
  <si>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</si>
  <si>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</si>
  <si>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</si>
  <si>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</si>
  <si>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</si>
  <si>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</si>
  <si>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</si>
  <si>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</si>
  <si>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</si>
  <si>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</si>
  <si>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</si>
  <si>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</si>
  <si>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</si>
  <si>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</si>
  <si>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</si>
  <si>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</si>
  <si>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</si>
  <si>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</si>
  <si>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</si>
  <si>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</si>
  <si>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</si>
  <si>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</si>
  <si>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</si>
  <si>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</si>
  <si>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</si>
  <si>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</si>
  <si>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</si>
  <si>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</si>
  <si>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</si>
  <si>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</si>
  <si>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</si>
  <si>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</si>
  <si>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</si>
  <si>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</si>
  <si>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</si>
  <si>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</si>
  <si>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</si>
  <si>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</si>
  <si>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</si>
  <si>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</si>
  <si>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</si>
  <si>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</si>
  <si>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</si>
  <si>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</si>
  <si>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</si>
  <si>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</si>
  <si>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</si>
  <si>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</si>
  <si>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</si>
  <si>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</si>
  <si>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</si>
  <si>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</si>
  <si>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</si>
  <si>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</si>
  <si>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</si>
  <si>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</si>
  <si>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</si>
  <si>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</si>
  <si>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</si>
  <si>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</si>
  <si>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</si>
  <si>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</si>
  <si>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</si>
  <si>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</si>
  <si>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</si>
  <si>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</si>
  <si>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</si>
  <si>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</si>
  <si>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</si>
  <si>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>Coparticipación
Bruta</t>
  </si>
  <si>
    <t>Total</t>
  </si>
  <si>
    <t>Juegos de Azar</t>
  </si>
  <si>
    <t>Fdo Ley 14890</t>
  </si>
  <si>
    <t>Descentralización</t>
  </si>
  <si>
    <t>F.S.A.
 (Tratamiento de Residuos)</t>
  </si>
  <si>
    <t>Fondo Inclusión
Social</t>
  </si>
  <si>
    <t>Fondo Fort. 
Recursos 
Municipales</t>
  </si>
  <si>
    <t>Fondo de 
Financ. Educativo</t>
  </si>
  <si>
    <t>Fdo. Para Infrestructura 
Municipal 2017</t>
  </si>
  <si>
    <t>F.F.P.S. 
(Programas Sociales)</t>
  </si>
  <si>
    <t>Omisión Coparticiación 2023</t>
  </si>
  <si>
    <t>Fondo Fortalecimiento Fiscal Municipal</t>
  </si>
  <si>
    <t>MES DE DICIEMBRE 2025</t>
  </si>
  <si>
    <t>DICIEMBRE 2025</t>
  </si>
  <si>
    <t>MES DE NOVIEMBRE 2025</t>
  </si>
  <si>
    <t>NOVIEMBRE 2025</t>
  </si>
  <si>
    <t>MES DE OCTUBRE 2025</t>
  </si>
  <si>
    <t>OCTUBRE 2025</t>
  </si>
  <si>
    <t>SEPTIEMBRE 2025</t>
  </si>
  <si>
    <t>MES DE SEPTIEMBRE 2025</t>
  </si>
  <si>
    <t>MES DE AGOSTO 2025</t>
  </si>
  <si>
    <t>AGOSTO 2025</t>
  </si>
  <si>
    <t>MES DE JULIO 2025</t>
  </si>
  <si>
    <t>JULIO 2025</t>
  </si>
  <si>
    <t>JUNIO 2025</t>
  </si>
  <si>
    <t>MES DE JUNIO 2025</t>
  </si>
  <si>
    <t>MAYO 2025</t>
  </si>
  <si>
    <t>MES DE MAYO 2025</t>
  </si>
  <si>
    <t>ABRIL 2025</t>
  </si>
  <si>
    <t>MES DE ABRIL 2025</t>
  </si>
  <si>
    <t>MARZO 2025</t>
  </si>
  <si>
    <t>MES DE MARZO 2025</t>
  </si>
  <si>
    <t>FEBRERO 2025</t>
  </si>
  <si>
    <t>MES DE FEBRERO 2025</t>
  </si>
  <si>
    <t>ENERO 2025</t>
  </si>
  <si>
    <t>MES DE ENERO 2025</t>
  </si>
  <si>
    <t>Omisión Coparticiación 2024</t>
  </si>
  <si>
    <t>ACUMULADO ENERO - DICIEMBRE 2025</t>
  </si>
  <si>
    <t>Acumulado ENERO -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</si>
</sst>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  <numFmt numFmtId="173" formatCode="_(* #,##0_);_(* \(#,##0\);_(* &quot;-&quot;??_);_(@_)"/>
    <numFmt numFmtId="174" formatCode="0.00000"/>
    <numFmt numFmtId="175" formatCode="_-* #,##0.00\ _€_-;\-* #,##0.00\ _€_-;_-* &quot;-&quot;??\ _€_-;_-@_-"/>
  </numFmts>
  <fonts count="3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2"/>
      <color rgb="FF44AEAC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AEAC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167" fontId="9" fillId="0" borderId="0">
      <protection locked="0"/>
    </xf>
    <xf numFmtId="167" fontId="9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11" fillId="0" borderId="0" applyFont="0" applyFill="0" applyBorder="0" applyAlignment="0" applyProtection="0"/>
    <xf numFmtId="168" fontId="8" fillId="0" borderId="0">
      <protection locked="0"/>
    </xf>
    <xf numFmtId="169" fontId="8" fillId="0" borderId="0">
      <protection locked="0"/>
    </xf>
    <xf numFmtId="166" fontId="5" fillId="0" borderId="0" applyFont="0" applyFill="0" applyBorder="0" applyAlignment="0" applyProtection="0"/>
    <xf numFmtId="170" fontId="8" fillId="0" borderId="0">
      <protection locked="0"/>
    </xf>
    <xf numFmtId="171" fontId="11" fillId="0" borderId="0" applyFont="0" applyFill="0" applyBorder="0" applyAlignment="0" applyProtection="0"/>
    <xf numFmtId="172" fontId="4" fillId="0" borderId="0" applyFill="0" applyBorder="0" applyAlignment="0" applyProtection="0"/>
    <xf numFmtId="3" fontId="11" fillId="0" borderId="0" applyFont="0" applyFill="0" applyBorder="0" applyAlignment="0" applyProtection="0"/>
    <xf numFmtId="0" fontId="5" fillId="0" borderId="0"/>
    <xf numFmtId="0" fontId="12" fillId="0" borderId="0"/>
    <xf numFmtId="0" fontId="1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16" borderId="3" applyNumberFormat="0" applyAlignment="0" applyProtection="0"/>
    <xf numFmtId="0" fontId="19" fillId="17" borderId="4" applyNumberFormat="0" applyAlignment="0" applyProtection="0"/>
    <xf numFmtId="0" fontId="20" fillId="0" borderId="5" applyNumberFormat="0" applyFill="0" applyAlignment="0" applyProtection="0"/>
    <xf numFmtId="0" fontId="9" fillId="0" borderId="0">
      <protection locked="0"/>
    </xf>
    <xf numFmtId="0" fontId="9" fillId="0" borderId="0">
      <protection locked="0"/>
    </xf>
    <xf numFmtId="0" fontId="21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1" borderId="0" applyNumberFormat="0" applyBorder="0" applyAlignment="0" applyProtection="0"/>
    <xf numFmtId="0" fontId="22" fillId="7" borderId="3" applyNumberFormat="0" applyAlignment="0" applyProtection="0"/>
    <xf numFmtId="0" fontId="8" fillId="0" borderId="0">
      <protection locked="0"/>
    </xf>
    <xf numFmtId="0" fontId="8" fillId="0" borderId="0">
      <protection locked="0"/>
    </xf>
    <xf numFmtId="0" fontId="23" fillId="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4" fillId="22" borderId="0" applyNumberFormat="0" applyBorder="0" applyAlignment="0" applyProtection="0"/>
    <xf numFmtId="0" fontId="4" fillId="0" borderId="0"/>
    <xf numFmtId="0" fontId="4" fillId="23" borderId="2" applyNumberFormat="0" applyFont="0" applyAlignment="0" applyProtection="0"/>
    <xf numFmtId="9" fontId="4" fillId="0" borderId="0" applyFont="0" applyFill="0" applyBorder="0" applyAlignment="0" applyProtection="0"/>
    <xf numFmtId="0" fontId="25" fillId="16" borderId="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21" fillId="0" borderId="9" applyNumberFormat="0" applyFill="0" applyAlignment="0" applyProtection="0"/>
    <xf numFmtId="0" fontId="8" fillId="0" borderId="10">
      <protection locked="0"/>
    </xf>
    <xf numFmtId="0" fontId="4" fillId="0" borderId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173" fontId="2" fillId="0" borderId="0" xfId="0" applyNumberFormat="1" applyFont="1"/>
    <xf numFmtId="173" fontId="2" fillId="0" borderId="0" xfId="16" applyNumberFormat="1" applyFont="1"/>
    <xf numFmtId="166" fontId="2" fillId="0" borderId="0" xfId="0" applyNumberFormat="1" applyFont="1"/>
    <xf numFmtId="173" fontId="2" fillId="0" borderId="0" xfId="0" applyNumberFormat="1" applyFont="1" applyFill="1" applyBorder="1"/>
    <xf numFmtId="173" fontId="2" fillId="0" borderId="0" xfId="0" applyNumberFormat="1" applyFont="1" applyFill="1"/>
    <xf numFmtId="166" fontId="2" fillId="0" borderId="0" xfId="16" applyFont="1"/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32" fillId="0" borderId="0" xfId="0" applyFont="1" applyAlignment="1">
      <alignment horizontal="right"/>
    </xf>
    <xf numFmtId="173" fontId="2" fillId="0" borderId="1" xfId="16" applyNumberFormat="1" applyFont="1" applyFill="1" applyBorder="1" applyAlignment="1" applyProtection="1">
      <alignment horizontal="right" vertical="center"/>
    </xf>
    <xf numFmtId="0" fontId="31" fillId="0" borderId="1" xfId="0" applyFont="1" applyFill="1" applyBorder="1" applyAlignment="1" applyProtection="1">
      <alignment horizontal="left" vertical="center"/>
    </xf>
    <xf numFmtId="173" fontId="31" fillId="0" borderId="1" xfId="16" applyNumberFormat="1" applyFont="1" applyFill="1" applyBorder="1" applyAlignment="1" applyProtection="1">
      <alignment horizontal="right" vertical="center"/>
    </xf>
    <xf numFmtId="49" fontId="13" fillId="24" borderId="1" xfId="0" applyNumberFormat="1" applyFont="1" applyFill="1" applyBorder="1" applyAlignment="1">
      <alignment horizontal="center" vertical="center" wrapText="1"/>
    </xf>
    <xf numFmtId="164" fontId="13" fillId="24" borderId="1" xfId="0" applyNumberFormat="1" applyFont="1" applyFill="1" applyBorder="1" applyAlignment="1">
      <alignment horizontal="center" vertical="center" wrapText="1"/>
    </xf>
    <xf numFmtId="0" fontId="33" fillId="0" borderId="0" xfId="0" applyFont="1" applyBorder="1" applyAlignment="1"/>
    <xf numFmtId="0" fontId="13" fillId="24" borderId="1" xfId="0" applyFont="1" applyFill="1" applyBorder="1" applyAlignment="1" applyProtection="1">
      <alignment horizontal="left" vertical="center" indent="1"/>
    </xf>
    <xf numFmtId="173" fontId="13" fillId="24" borderId="1" xfId="16" applyNumberFormat="1" applyFont="1" applyFill="1" applyBorder="1" applyAlignment="1" applyProtection="1">
      <alignment horizontal="right" vertical="center" wrapText="1" indent="1"/>
    </xf>
    <xf numFmtId="173" fontId="2" fillId="0" borderId="0" xfId="0" applyNumberFormat="1" applyFont="1" applyBorder="1"/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left" vertical="center" wrapText="1" indent="2"/>
    </xf>
    <xf numFmtId="49" fontId="13" fillId="24" borderId="1" xfId="0" quotePrefix="1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</cellXfs>
  <cellStyles count="84">
    <cellStyle name="20% - Énfasis1 2" xfId="24"/>
    <cellStyle name="20% - Énfasis2 2" xfId="25"/>
    <cellStyle name="20% - Énfasis3 2" xfId="26"/>
    <cellStyle name="20% - Énfasis4 2" xfId="27"/>
    <cellStyle name="20% - Énfasis5 2" xfId="28"/>
    <cellStyle name="20% - Énfasis6 2" xfId="29"/>
    <cellStyle name="40% - Énfasis1 2" xfId="30"/>
    <cellStyle name="40% - Énfasis2 2" xfId="31"/>
    <cellStyle name="40% - Énfasis3 2" xfId="32"/>
    <cellStyle name="40% - Énfasis4 2" xfId="33"/>
    <cellStyle name="40% - Énfasis5 2" xfId="34"/>
    <cellStyle name="40% - Énfasis6 2" xfId="35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Buena 2" xfId="42"/>
    <cellStyle name="Cabecera 1" xfId="1"/>
    <cellStyle name="Cabecera 2" xfId="2"/>
    <cellStyle name="Cálculo 2" xfId="43"/>
    <cellStyle name="Celda de comprobación 2" xfId="44"/>
    <cellStyle name="Celda vinculada 2" xfId="45"/>
    <cellStyle name="Dia" xfId="3"/>
    <cellStyle name="Encabez1" xfId="4"/>
    <cellStyle name="Encabez1 2" xfId="46"/>
    <cellStyle name="Encabez2" xfId="5"/>
    <cellStyle name="Encabez2 2" xfId="47"/>
    <cellStyle name="Encabezado 4 2" xfId="48"/>
    <cellStyle name="Énfasis1 2" xfId="49"/>
    <cellStyle name="Énfasis2 2" xfId="50"/>
    <cellStyle name="Énfasis3 2" xfId="51"/>
    <cellStyle name="Énfasis4 2" xfId="52"/>
    <cellStyle name="Énfasis5 2" xfId="53"/>
    <cellStyle name="Énfasis6 2" xfId="54"/>
    <cellStyle name="Entrada 2" xfId="55"/>
    <cellStyle name="F2" xfId="6"/>
    <cellStyle name="F3" xfId="7"/>
    <cellStyle name="F4" xfId="8"/>
    <cellStyle name="F4 2" xfId="56"/>
    <cellStyle name="F5" xfId="9"/>
    <cellStyle name="F6" xfId="10"/>
    <cellStyle name="F7" xfId="11"/>
    <cellStyle name="F8" xfId="12"/>
    <cellStyle name="F8 2" xfId="57"/>
    <cellStyle name="Fecha" xfId="13"/>
    <cellStyle name="Fijo" xfId="14"/>
    <cellStyle name="Financiero" xfId="15"/>
    <cellStyle name="Incorrecto 2" xfId="58"/>
    <cellStyle name="Millares" xfId="16" builtinId="3"/>
    <cellStyle name="Millares [0] 2" xfId="60"/>
    <cellStyle name="Millares 2" xfId="77"/>
    <cellStyle name="Millares 3" xfId="78"/>
    <cellStyle name="Millares 4" xfId="59"/>
    <cellStyle name="Millares 5" xfId="79"/>
    <cellStyle name="Moneda 2" xfId="74"/>
    <cellStyle name="Monetario" xfId="17"/>
    <cellStyle name="Monetario0" xfId="18"/>
    <cellStyle name="Neutral 2" xfId="61"/>
    <cellStyle name="Normal" xfId="0" builtinId="0"/>
    <cellStyle name="Normal 11" xfId="80"/>
    <cellStyle name="Normal 2" xfId="21"/>
    <cellStyle name="Normal 2 2" xfId="62"/>
    <cellStyle name="Normal 3" xfId="73"/>
    <cellStyle name="Normal 4" xfId="76"/>
    <cellStyle name="Normal 5" xfId="22"/>
    <cellStyle name="Normal 5 2" xfId="81"/>
    <cellStyle name="Normal 6" xfId="82"/>
    <cellStyle name="Normal 7" xfId="23"/>
    <cellStyle name="Notas 2" xfId="63"/>
    <cellStyle name="Porcentaje 2" xfId="83"/>
    <cellStyle name="Porcentaje 3" xfId="64"/>
    <cellStyle name="Porcentual 2" xfId="75"/>
    <cellStyle name="Punto" xfId="19"/>
    <cellStyle name="Punto0" xfId="20"/>
    <cellStyle name="Salida 2" xfId="65"/>
    <cellStyle name="Texto de advertencia 2" xfId="66"/>
    <cellStyle name="Texto explicativo 2" xfId="67"/>
    <cellStyle name="Título 1 2" xfId="69"/>
    <cellStyle name="Título 2 2" xfId="70"/>
    <cellStyle name="Título 3 2" xfId="71"/>
    <cellStyle name="Título 4" xfId="68"/>
    <cellStyle name="Total 2" xfId="72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  <sheetName val="DISTRIBUIDO FEBRERO CUOTA CTE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</sheetPr>
  <dimension ref="A1:X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83203125" style="1" customWidth="1"/>
    <col min="3" max="3" width="22.33203125" style="1" hidden="1" customWidth="1"/>
    <col min="4" max="9" width="22.33203125" style="1" customWidth="1"/>
    <col min="10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174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176</v>
      </c>
      <c r="D7" s="19" t="s">
        <v>143</v>
      </c>
      <c r="E7" s="19" t="s">
        <v>141</v>
      </c>
      <c r="F7" s="19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20" t="s">
        <v>142</v>
      </c>
      <c r="N7" s="19" t="s">
        <v>140</v>
      </c>
    </row>
    <row r="8" spans="1:24" ht="18" customHeight="1" x14ac:dyDescent="0.2">
      <c r="A8" s="17" t="s">
        <v>3</v>
      </c>
      <c r="B8" s="16">
        <v>1341705682.6399999</v>
      </c>
      <c r="C8" s="16">
        <v>0</v>
      </c>
      <c r="D8" s="16">
        <v>51102115.854271419</v>
      </c>
      <c r="E8" s="16">
        <v>20426795.350000001</v>
      </c>
      <c r="F8" s="16">
        <v>3122100.2889704322</v>
      </c>
      <c r="G8" s="16">
        <v>1711406.18</v>
      </c>
      <c r="H8" s="16">
        <v>61801588.630000003</v>
      </c>
      <c r="I8" s="16">
        <v>8545246.3100000005</v>
      </c>
      <c r="J8" s="16">
        <v>0</v>
      </c>
      <c r="K8" s="16">
        <v>0</v>
      </c>
      <c r="L8" s="16">
        <v>0</v>
      </c>
      <c r="M8" s="16">
        <v>0</v>
      </c>
      <c r="N8" s="18">
        <f t="shared" ref="N8:N39" si="0">SUM(B8:M8)</f>
        <v>1488414935.2532418</v>
      </c>
      <c r="O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>
        <v>744157547.65999997</v>
      </c>
      <c r="C9" s="16">
        <v>0</v>
      </c>
      <c r="D9" s="16">
        <v>32186775.386052854</v>
      </c>
      <c r="E9" s="16">
        <v>10795269.359999999</v>
      </c>
      <c r="F9" s="16">
        <v>2187409.395005371</v>
      </c>
      <c r="G9" s="16">
        <v>1266440.57</v>
      </c>
      <c r="H9" s="16">
        <v>32661256.190000001</v>
      </c>
      <c r="I9" s="16">
        <v>5986980.0199999996</v>
      </c>
      <c r="J9" s="16">
        <v>0</v>
      </c>
      <c r="K9" s="16">
        <v>0</v>
      </c>
      <c r="L9" s="16">
        <v>0</v>
      </c>
      <c r="M9" s="16">
        <v>0</v>
      </c>
      <c r="N9" s="18">
        <f t="shared" si="0"/>
        <v>829241678.58105826</v>
      </c>
      <c r="O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>
        <v>793863954.0200001</v>
      </c>
      <c r="C10" s="16">
        <v>0</v>
      </c>
      <c r="D10" s="16">
        <v>28485480.837043054</v>
      </c>
      <c r="E10" s="16">
        <v>11757676.27</v>
      </c>
      <c r="F10" s="16">
        <v>1528083.86814205</v>
      </c>
      <c r="G10" s="16">
        <v>1266440.57</v>
      </c>
      <c r="H10" s="16">
        <v>35573033.329999998</v>
      </c>
      <c r="I10" s="16">
        <v>4182393.85</v>
      </c>
      <c r="J10" s="16">
        <v>0</v>
      </c>
      <c r="K10" s="16">
        <v>0</v>
      </c>
      <c r="L10" s="16">
        <v>0</v>
      </c>
      <c r="M10" s="16">
        <v>0</v>
      </c>
      <c r="N10" s="18">
        <f t="shared" si="0"/>
        <v>876657062.74518526</v>
      </c>
      <c r="O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>
        <v>6152881799.8099995</v>
      </c>
      <c r="C11" s="16">
        <v>0</v>
      </c>
      <c r="D11" s="16">
        <v>61732149.855040364</v>
      </c>
      <c r="E11" s="16">
        <v>120070661.81999999</v>
      </c>
      <c r="F11" s="16">
        <v>164016920.77088147</v>
      </c>
      <c r="G11" s="16">
        <v>104761282.20573872</v>
      </c>
      <c r="H11" s="16">
        <v>287331066.62</v>
      </c>
      <c r="I11" s="16">
        <v>448917349.64999998</v>
      </c>
      <c r="J11" s="16">
        <v>0</v>
      </c>
      <c r="K11" s="16">
        <v>0</v>
      </c>
      <c r="L11" s="16">
        <v>0</v>
      </c>
      <c r="M11" s="16">
        <v>0</v>
      </c>
      <c r="N11" s="18">
        <f t="shared" si="0"/>
        <v>7339711230.7316599</v>
      </c>
      <c r="O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>
        <v>810514375.8599999</v>
      </c>
      <c r="C12" s="16">
        <v>0</v>
      </c>
      <c r="D12" s="16">
        <v>43990021.047909737</v>
      </c>
      <c r="E12" s="16">
        <v>12226995.280000001</v>
      </c>
      <c r="F12" s="16">
        <v>5608145.3637903668</v>
      </c>
      <c r="G12" s="16">
        <v>3148987.37</v>
      </c>
      <c r="H12" s="16">
        <v>36992965.340000004</v>
      </c>
      <c r="I12" s="16">
        <v>15349597.720000001</v>
      </c>
      <c r="J12" s="16">
        <v>0</v>
      </c>
      <c r="K12" s="16">
        <v>0</v>
      </c>
      <c r="L12" s="16">
        <v>0</v>
      </c>
      <c r="M12" s="16">
        <v>0</v>
      </c>
      <c r="N12" s="18">
        <f t="shared" si="0"/>
        <v>927831087.98170006</v>
      </c>
      <c r="O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>
        <v>3653910584.9700003</v>
      </c>
      <c r="C13" s="16">
        <v>0</v>
      </c>
      <c r="D13" s="16">
        <v>60790952.811201327</v>
      </c>
      <c r="E13" s="16">
        <v>73481793.139999986</v>
      </c>
      <c r="F13" s="16">
        <v>79758996.823201165</v>
      </c>
      <c r="G13" s="16">
        <v>0</v>
      </c>
      <c r="H13" s="16">
        <v>175843138.38</v>
      </c>
      <c r="I13" s="16">
        <v>218301851.40000001</v>
      </c>
      <c r="J13" s="16">
        <v>0</v>
      </c>
      <c r="K13" s="16">
        <v>0</v>
      </c>
      <c r="L13" s="16">
        <v>0</v>
      </c>
      <c r="M13" s="16">
        <v>0</v>
      </c>
      <c r="N13" s="18">
        <f t="shared" si="0"/>
        <v>4262087317.5244026</v>
      </c>
      <c r="O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>
        <v>1327136563.5400002</v>
      </c>
      <c r="C14" s="16">
        <v>0</v>
      </c>
      <c r="D14" s="16">
        <v>40357886.923531741</v>
      </c>
      <c r="E14" s="16">
        <v>19640557.850000001</v>
      </c>
      <c r="F14" s="16">
        <v>3630168.7832004027</v>
      </c>
      <c r="G14" s="16">
        <v>2139257.7200000002</v>
      </c>
      <c r="H14" s="16">
        <v>59422814.759999998</v>
      </c>
      <c r="I14" s="16">
        <v>9935839.1899999995</v>
      </c>
      <c r="J14" s="16">
        <v>0</v>
      </c>
      <c r="K14" s="16">
        <v>0</v>
      </c>
      <c r="L14" s="16">
        <v>0</v>
      </c>
      <c r="M14" s="16">
        <v>0</v>
      </c>
      <c r="N14" s="18">
        <f t="shared" si="0"/>
        <v>1462263088.7667325</v>
      </c>
      <c r="O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>
        <v>2245695037.0800004</v>
      </c>
      <c r="C15" s="16">
        <v>0</v>
      </c>
      <c r="D15" s="16">
        <v>98634281.488081276</v>
      </c>
      <c r="E15" s="16">
        <v>34206691.269999996</v>
      </c>
      <c r="F15" s="16">
        <v>13523930.071602356</v>
      </c>
      <c r="G15" s="16">
        <v>7410388.75</v>
      </c>
      <c r="H15" s="16">
        <v>103492879.13</v>
      </c>
      <c r="I15" s="16">
        <v>37015247.060000002</v>
      </c>
      <c r="J15" s="16">
        <v>0</v>
      </c>
      <c r="K15" s="16">
        <v>0</v>
      </c>
      <c r="L15" s="16">
        <v>0</v>
      </c>
      <c r="M15" s="16">
        <v>0</v>
      </c>
      <c r="N15" s="18">
        <f t="shared" si="0"/>
        <v>2539978454.8496842</v>
      </c>
      <c r="O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>
        <v>4070538419.5100002</v>
      </c>
      <c r="C16" s="16">
        <v>0</v>
      </c>
      <c r="D16" s="16">
        <v>158649235.42678052</v>
      </c>
      <c r="E16" s="16">
        <v>78103793.580000013</v>
      </c>
      <c r="F16" s="16">
        <v>50438402.805044062</v>
      </c>
      <c r="G16" s="16">
        <v>32876112.690000001</v>
      </c>
      <c r="H16" s="16">
        <v>186903661.34999999</v>
      </c>
      <c r="I16" s="16">
        <v>138050842.56999999</v>
      </c>
      <c r="J16" s="16">
        <v>0</v>
      </c>
      <c r="K16" s="16">
        <v>0</v>
      </c>
      <c r="L16" s="16">
        <v>0</v>
      </c>
      <c r="M16" s="16">
        <v>0</v>
      </c>
      <c r="N16" s="18">
        <f t="shared" si="0"/>
        <v>4715560467.9318247</v>
      </c>
      <c r="O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>
        <v>1575882847.0599999</v>
      </c>
      <c r="C17" s="16">
        <v>0</v>
      </c>
      <c r="D17" s="16">
        <v>57693463.683488876</v>
      </c>
      <c r="E17" s="16">
        <v>23188180.789999999</v>
      </c>
      <c r="F17" s="16">
        <v>10359167.542658415</v>
      </c>
      <c r="G17" s="16">
        <v>4791937.3</v>
      </c>
      <c r="H17" s="16">
        <v>70156203.450000003</v>
      </c>
      <c r="I17" s="16">
        <v>28353233.41</v>
      </c>
      <c r="J17" s="16">
        <v>0</v>
      </c>
      <c r="K17" s="16">
        <v>0</v>
      </c>
      <c r="L17" s="16">
        <v>0</v>
      </c>
      <c r="M17" s="16">
        <v>0</v>
      </c>
      <c r="N17" s="18">
        <f t="shared" si="0"/>
        <v>1770425033.2361472</v>
      </c>
      <c r="O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>
        <v>884829126.25</v>
      </c>
      <c r="C18" s="16">
        <v>0</v>
      </c>
      <c r="D18" s="16">
        <v>36771965.081374638</v>
      </c>
      <c r="E18" s="16">
        <v>13040730.129999999</v>
      </c>
      <c r="F18" s="16">
        <v>6981093.813846929</v>
      </c>
      <c r="G18" s="16">
        <v>3902006.09</v>
      </c>
      <c r="H18" s="16">
        <v>39454932.840000004</v>
      </c>
      <c r="I18" s="16">
        <v>19107383.050000001</v>
      </c>
      <c r="J18" s="16">
        <v>0</v>
      </c>
      <c r="K18" s="16">
        <v>0</v>
      </c>
      <c r="L18" s="16">
        <v>0</v>
      </c>
      <c r="M18" s="16">
        <v>0</v>
      </c>
      <c r="N18" s="18">
        <f t="shared" si="0"/>
        <v>1004087237.2552216</v>
      </c>
      <c r="O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>
        <v>1426120872.7299998</v>
      </c>
      <c r="C19" s="16">
        <v>0</v>
      </c>
      <c r="D19" s="16">
        <v>41287789.185011074</v>
      </c>
      <c r="E19" s="16">
        <v>21922837.079999998</v>
      </c>
      <c r="F19" s="16">
        <v>2819586.2237037318</v>
      </c>
      <c r="G19" s="16">
        <v>2173485.85</v>
      </c>
      <c r="H19" s="16">
        <v>66327886.280000001</v>
      </c>
      <c r="I19" s="16">
        <v>7717259.71</v>
      </c>
      <c r="J19" s="16">
        <v>0</v>
      </c>
      <c r="K19" s="16">
        <v>0</v>
      </c>
      <c r="L19" s="16">
        <v>0</v>
      </c>
      <c r="M19" s="16">
        <v>0</v>
      </c>
      <c r="N19" s="18">
        <f t="shared" si="0"/>
        <v>1568369717.0587144</v>
      </c>
      <c r="O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>
        <v>5108037222.4699993</v>
      </c>
      <c r="C20" s="16">
        <v>0</v>
      </c>
      <c r="D20" s="16">
        <v>37167719.283768646</v>
      </c>
      <c r="E20" s="16">
        <v>98144443.310000002</v>
      </c>
      <c r="F20" s="16">
        <v>89994056.031391189</v>
      </c>
      <c r="G20" s="16">
        <v>52896229.821282431</v>
      </c>
      <c r="H20" s="16">
        <v>234861265.47</v>
      </c>
      <c r="I20" s="16">
        <v>246315398</v>
      </c>
      <c r="J20" s="16">
        <v>0</v>
      </c>
      <c r="K20" s="16">
        <v>0</v>
      </c>
      <c r="L20" s="16">
        <v>0</v>
      </c>
      <c r="M20" s="16">
        <v>0</v>
      </c>
      <c r="N20" s="18">
        <f t="shared" si="0"/>
        <v>5867416334.3864422</v>
      </c>
      <c r="O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>
        <v>2217107731.9200001</v>
      </c>
      <c r="C21" s="16">
        <v>0</v>
      </c>
      <c r="D21" s="16">
        <v>18685185.226112965</v>
      </c>
      <c r="E21" s="16">
        <v>33729915.370000005</v>
      </c>
      <c r="F21" s="16">
        <v>23929638.239686418</v>
      </c>
      <c r="G21" s="16">
        <v>7266467.0588051165</v>
      </c>
      <c r="H21" s="16">
        <v>102050386.14</v>
      </c>
      <c r="I21" s="16">
        <v>65495863.030000001</v>
      </c>
      <c r="J21" s="16">
        <v>0</v>
      </c>
      <c r="K21" s="16">
        <v>0</v>
      </c>
      <c r="L21" s="16">
        <v>0</v>
      </c>
      <c r="M21" s="16">
        <v>0</v>
      </c>
      <c r="N21" s="18">
        <f t="shared" si="0"/>
        <v>2468265186.9846044</v>
      </c>
      <c r="O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>
        <v>1815110231.3099995</v>
      </c>
      <c r="C22" s="16">
        <v>0</v>
      </c>
      <c r="D22" s="16">
        <v>50485682.547202595</v>
      </c>
      <c r="E22" s="16">
        <v>26721355.98</v>
      </c>
      <c r="F22" s="16">
        <v>5697348.2291895207</v>
      </c>
      <c r="G22" s="16">
        <v>3679523.28</v>
      </c>
      <c r="H22" s="16">
        <v>80845880.219999999</v>
      </c>
      <c r="I22" s="16">
        <v>15593747.609999999</v>
      </c>
      <c r="J22" s="16">
        <v>0</v>
      </c>
      <c r="K22" s="16">
        <v>0</v>
      </c>
      <c r="L22" s="16">
        <v>0</v>
      </c>
      <c r="M22" s="16">
        <v>0</v>
      </c>
      <c r="N22" s="18">
        <f t="shared" si="0"/>
        <v>1998133769.1763916</v>
      </c>
      <c r="O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>
        <v>1712085746.23</v>
      </c>
      <c r="C23" s="16">
        <v>0</v>
      </c>
      <c r="D23" s="16">
        <v>43599466.520955846</v>
      </c>
      <c r="E23" s="16">
        <v>25671330.439999998</v>
      </c>
      <c r="F23" s="16">
        <v>5460766.7166091539</v>
      </c>
      <c r="G23" s="16">
        <v>4535226.37</v>
      </c>
      <c r="H23" s="16">
        <v>77669011.5</v>
      </c>
      <c r="I23" s="16">
        <v>14946219.630000001</v>
      </c>
      <c r="J23" s="16">
        <v>0</v>
      </c>
      <c r="K23" s="16">
        <v>0</v>
      </c>
      <c r="L23" s="16">
        <v>0</v>
      </c>
      <c r="M23" s="16">
        <v>0</v>
      </c>
      <c r="N23" s="18">
        <f t="shared" si="0"/>
        <v>1883967767.4075651</v>
      </c>
      <c r="O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>
        <v>543250619.51999998</v>
      </c>
      <c r="C24" s="16">
        <v>0</v>
      </c>
      <c r="D24" s="16">
        <v>62130771.191098347</v>
      </c>
      <c r="E24" s="16">
        <v>8081421.6899999995</v>
      </c>
      <c r="F24" s="16">
        <v>5677956.3019288359</v>
      </c>
      <c r="G24" s="16">
        <v>1253189.1779256552</v>
      </c>
      <c r="H24" s="16">
        <v>24450467.66</v>
      </c>
      <c r="I24" s="16">
        <v>15540671.550000001</v>
      </c>
      <c r="J24" s="16">
        <v>0</v>
      </c>
      <c r="K24" s="16">
        <v>0</v>
      </c>
      <c r="L24" s="16">
        <v>0</v>
      </c>
      <c r="M24" s="16">
        <v>0</v>
      </c>
      <c r="N24" s="18">
        <f t="shared" si="0"/>
        <v>660385097.09095287</v>
      </c>
      <c r="O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>
        <v>2134651415</v>
      </c>
      <c r="C25" s="16">
        <v>0</v>
      </c>
      <c r="D25" s="16">
        <v>34053018.803011872</v>
      </c>
      <c r="E25" s="16">
        <v>33448417.160000004</v>
      </c>
      <c r="F25" s="16">
        <v>25182356.740726728</v>
      </c>
      <c r="G25" s="16">
        <v>10798972.99</v>
      </c>
      <c r="H25" s="16">
        <v>101198708.95</v>
      </c>
      <c r="I25" s="16">
        <v>68924576.760000005</v>
      </c>
      <c r="J25" s="16">
        <v>0</v>
      </c>
      <c r="K25" s="16">
        <v>0</v>
      </c>
      <c r="L25" s="16">
        <v>0</v>
      </c>
      <c r="M25" s="16">
        <v>0</v>
      </c>
      <c r="N25" s="18">
        <f t="shared" si="0"/>
        <v>2408257466.4037385</v>
      </c>
      <c r="O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>
        <v>913569468.33000004</v>
      </c>
      <c r="C26" s="16">
        <v>0</v>
      </c>
      <c r="D26" s="16">
        <v>26482744.122289322</v>
      </c>
      <c r="E26" s="16">
        <v>13639612.870000001</v>
      </c>
      <c r="F26" s="16">
        <v>11452872.240161102</v>
      </c>
      <c r="G26" s="16">
        <v>6896966.9000000004</v>
      </c>
      <c r="H26" s="16">
        <v>41266861.960000001</v>
      </c>
      <c r="I26" s="16">
        <v>31346723.420000002</v>
      </c>
      <c r="J26" s="16">
        <v>0</v>
      </c>
      <c r="K26" s="16">
        <v>0</v>
      </c>
      <c r="L26" s="16">
        <v>0</v>
      </c>
      <c r="M26" s="16">
        <v>0</v>
      </c>
      <c r="N26" s="18">
        <f t="shared" si="0"/>
        <v>1044655249.8424504</v>
      </c>
      <c r="O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>
        <v>416474797.45999998</v>
      </c>
      <c r="C27" s="16">
        <v>0</v>
      </c>
      <c r="D27" s="16">
        <v>11463101.483157724</v>
      </c>
      <c r="E27" s="16">
        <v>6675328.8800000008</v>
      </c>
      <c r="F27" s="16">
        <v>2846734.9218686926</v>
      </c>
      <c r="G27" s="16">
        <v>1557379.62</v>
      </c>
      <c r="H27" s="16">
        <v>20196311.890000001</v>
      </c>
      <c r="I27" s="16">
        <v>7791566.2000000002</v>
      </c>
      <c r="J27" s="16">
        <v>0</v>
      </c>
      <c r="K27" s="16">
        <v>0</v>
      </c>
      <c r="L27" s="16">
        <v>0</v>
      </c>
      <c r="M27" s="16">
        <v>0</v>
      </c>
      <c r="N27" s="18">
        <f t="shared" si="0"/>
        <v>467005220.45502633</v>
      </c>
      <c r="O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>
        <v>1596297978.2599998</v>
      </c>
      <c r="C28" s="16">
        <v>0</v>
      </c>
      <c r="D28" s="16">
        <v>38586344.642665118</v>
      </c>
      <c r="E28" s="16">
        <v>23640721.760000002</v>
      </c>
      <c r="F28" s="16">
        <v>3921047.6921106917</v>
      </c>
      <c r="G28" s="16">
        <v>2259056.16</v>
      </c>
      <c r="H28" s="16">
        <v>71525373.230000004</v>
      </c>
      <c r="I28" s="16">
        <v>10731980.15</v>
      </c>
      <c r="J28" s="16">
        <v>0</v>
      </c>
      <c r="K28" s="16">
        <v>0</v>
      </c>
      <c r="L28" s="16">
        <v>0</v>
      </c>
      <c r="M28" s="16">
        <v>0</v>
      </c>
      <c r="N28" s="18">
        <f t="shared" si="0"/>
        <v>1746962501.8947759</v>
      </c>
      <c r="O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>
        <v>912130920.88000011</v>
      </c>
      <c r="C29" s="16">
        <v>0</v>
      </c>
      <c r="D29" s="16">
        <v>26996508.377448022</v>
      </c>
      <c r="E29" s="16">
        <v>14619729.939999999</v>
      </c>
      <c r="F29" s="16">
        <v>2447261.2202985622</v>
      </c>
      <c r="G29" s="16">
        <v>1369124.94</v>
      </c>
      <c r="H29" s="16">
        <v>44232221.450000003</v>
      </c>
      <c r="I29" s="16">
        <v>6698199.2800000003</v>
      </c>
      <c r="J29" s="16">
        <v>0</v>
      </c>
      <c r="K29" s="16">
        <v>0</v>
      </c>
      <c r="L29" s="16">
        <v>0</v>
      </c>
      <c r="M29" s="16">
        <v>0</v>
      </c>
      <c r="N29" s="18">
        <f t="shared" si="0"/>
        <v>1008493966.0877469</v>
      </c>
      <c r="O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>
        <v>319908472.30999994</v>
      </c>
      <c r="C30" s="16">
        <v>0</v>
      </c>
      <c r="D30" s="16">
        <v>19165295.374798305</v>
      </c>
      <c r="E30" s="16">
        <v>4860038.379999999</v>
      </c>
      <c r="F30" s="16">
        <v>2113720.0714147645</v>
      </c>
      <c r="G30" s="16">
        <v>1711406.18</v>
      </c>
      <c r="H30" s="16">
        <v>14704122.07</v>
      </c>
      <c r="I30" s="16">
        <v>5785290.9800000004</v>
      </c>
      <c r="J30" s="16">
        <v>0</v>
      </c>
      <c r="K30" s="16">
        <v>0</v>
      </c>
      <c r="L30" s="16">
        <v>0</v>
      </c>
      <c r="M30" s="16">
        <v>0</v>
      </c>
      <c r="N30" s="18">
        <f t="shared" si="0"/>
        <v>368248345.36621302</v>
      </c>
      <c r="O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>
        <v>550688216.06000006</v>
      </c>
      <c r="C31" s="16">
        <v>0</v>
      </c>
      <c r="D31" s="16">
        <v>11378380.287041344</v>
      </c>
      <c r="E31" s="16">
        <v>8467316.5700000003</v>
      </c>
      <c r="F31" s="16">
        <v>2524828.929341306</v>
      </c>
      <c r="G31" s="16">
        <v>941273.4</v>
      </c>
      <c r="H31" s="16">
        <v>25617998.640000001</v>
      </c>
      <c r="I31" s="16">
        <v>6910503.54</v>
      </c>
      <c r="J31" s="16">
        <v>0</v>
      </c>
      <c r="K31" s="16">
        <v>0</v>
      </c>
      <c r="L31" s="16">
        <v>0</v>
      </c>
      <c r="M31" s="16">
        <v>0</v>
      </c>
      <c r="N31" s="18">
        <f t="shared" si="0"/>
        <v>606528517.42638266</v>
      </c>
      <c r="O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>
        <v>2519876064.1900005</v>
      </c>
      <c r="C32" s="16">
        <v>0</v>
      </c>
      <c r="D32" s="16">
        <v>66895519.451980442</v>
      </c>
      <c r="E32" s="16">
        <v>37197842.619999997</v>
      </c>
      <c r="F32" s="16">
        <v>7446500.0681033907</v>
      </c>
      <c r="G32" s="16">
        <v>5151332.5999999996</v>
      </c>
      <c r="H32" s="16">
        <v>112542654.3</v>
      </c>
      <c r="I32" s="16">
        <v>20381208.59</v>
      </c>
      <c r="J32" s="16">
        <v>0</v>
      </c>
      <c r="K32" s="16">
        <v>0</v>
      </c>
      <c r="L32" s="16">
        <v>0</v>
      </c>
      <c r="M32" s="16">
        <v>0</v>
      </c>
      <c r="N32" s="18">
        <f t="shared" si="0"/>
        <v>2769491121.8200846</v>
      </c>
      <c r="O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>
        <v>1578086579.3599999</v>
      </c>
      <c r="C33" s="16">
        <v>0</v>
      </c>
      <c r="D33" s="16">
        <v>39806569.780617788</v>
      </c>
      <c r="E33" s="16">
        <v>25294290.640000001</v>
      </c>
      <c r="F33" s="16">
        <v>5464645.1020612903</v>
      </c>
      <c r="G33" s="16">
        <v>4141602.95</v>
      </c>
      <c r="H33" s="16">
        <v>76528271.689999998</v>
      </c>
      <c r="I33" s="16">
        <v>14956834.85</v>
      </c>
      <c r="J33" s="16">
        <v>0</v>
      </c>
      <c r="K33" s="16">
        <v>0</v>
      </c>
      <c r="L33" s="16">
        <v>0</v>
      </c>
      <c r="M33" s="16">
        <v>0</v>
      </c>
      <c r="N33" s="18">
        <f t="shared" si="0"/>
        <v>1744278794.372679</v>
      </c>
      <c r="O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>
        <v>2157178456.2799997</v>
      </c>
      <c r="C34" s="16">
        <v>0</v>
      </c>
      <c r="D34" s="16">
        <v>49275129.033329323</v>
      </c>
      <c r="E34" s="16">
        <v>41624519.670000002</v>
      </c>
      <c r="F34" s="16">
        <v>7946811.7914290866</v>
      </c>
      <c r="G34" s="16">
        <v>6914080.96</v>
      </c>
      <c r="H34" s="16">
        <v>99608159.5</v>
      </c>
      <c r="I34" s="16">
        <v>21750571.039999999</v>
      </c>
      <c r="J34" s="16">
        <v>0</v>
      </c>
      <c r="K34" s="16">
        <v>0</v>
      </c>
      <c r="L34" s="16">
        <v>0</v>
      </c>
      <c r="M34" s="16">
        <v>0</v>
      </c>
      <c r="N34" s="18">
        <f t="shared" si="0"/>
        <v>2384297728.2747583</v>
      </c>
      <c r="O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>
        <v>1064463916.1799998</v>
      </c>
      <c r="C35" s="16">
        <v>0</v>
      </c>
      <c r="D35" s="16">
        <v>37667468.717909753</v>
      </c>
      <c r="E35" s="16">
        <v>15610100.24</v>
      </c>
      <c r="F35" s="16">
        <v>4968211.7641877308</v>
      </c>
      <c r="G35" s="16">
        <v>2686907.7</v>
      </c>
      <c r="H35" s="16">
        <v>47228602.289999999</v>
      </c>
      <c r="I35" s="16">
        <v>13598087.609999999</v>
      </c>
      <c r="J35" s="16">
        <v>0</v>
      </c>
      <c r="K35" s="16">
        <v>0</v>
      </c>
      <c r="L35" s="16">
        <v>0</v>
      </c>
      <c r="M35" s="16">
        <v>0</v>
      </c>
      <c r="N35" s="18">
        <f t="shared" si="0"/>
        <v>1186223294.5020974</v>
      </c>
      <c r="O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>
        <v>1221326805.6900001</v>
      </c>
      <c r="C36" s="16">
        <v>0</v>
      </c>
      <c r="D36" s="16">
        <v>23436909.836663775</v>
      </c>
      <c r="E36" s="16">
        <v>18362630.609999999</v>
      </c>
      <c r="F36" s="16">
        <v>3125978.6744225691</v>
      </c>
      <c r="G36" s="16">
        <v>1557379.62</v>
      </c>
      <c r="H36" s="16">
        <v>55556425.93</v>
      </c>
      <c r="I36" s="16">
        <v>8555861.5199999996</v>
      </c>
      <c r="J36" s="16">
        <v>0</v>
      </c>
      <c r="K36" s="16">
        <v>0</v>
      </c>
      <c r="L36" s="16">
        <v>0</v>
      </c>
      <c r="M36" s="16">
        <v>0</v>
      </c>
      <c r="N36" s="18">
        <f t="shared" si="0"/>
        <v>1331921991.8810861</v>
      </c>
      <c r="O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>
        <v>1271675967.3099999</v>
      </c>
      <c r="C37" s="16">
        <v>0</v>
      </c>
      <c r="D37" s="16">
        <v>30455381.987170018</v>
      </c>
      <c r="E37" s="16">
        <v>19069638.489999998</v>
      </c>
      <c r="F37" s="16">
        <v>5798186.2509450875</v>
      </c>
      <c r="G37" s="16">
        <v>2378854.59</v>
      </c>
      <c r="H37" s="16">
        <v>57695489.340000004</v>
      </c>
      <c r="I37" s="16">
        <v>15869743.15</v>
      </c>
      <c r="J37" s="16">
        <v>0</v>
      </c>
      <c r="K37" s="16">
        <v>0</v>
      </c>
      <c r="L37" s="16">
        <v>0</v>
      </c>
      <c r="M37" s="16">
        <v>0</v>
      </c>
      <c r="N37" s="18">
        <f t="shared" si="0"/>
        <v>1402943261.1181149</v>
      </c>
      <c r="O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>
        <v>1073340060.16</v>
      </c>
      <c r="C38" s="16">
        <v>0</v>
      </c>
      <c r="D38" s="16">
        <v>7908468.6320456145</v>
      </c>
      <c r="E38" s="16">
        <v>16676437.77</v>
      </c>
      <c r="F38" s="16">
        <v>5181522.9640552755</v>
      </c>
      <c r="G38" s="16">
        <v>6588913.79</v>
      </c>
      <c r="H38" s="16">
        <v>50454823.159999996</v>
      </c>
      <c r="I38" s="16">
        <v>14181924.310000001</v>
      </c>
      <c r="J38" s="16">
        <v>0</v>
      </c>
      <c r="K38" s="16">
        <v>0</v>
      </c>
      <c r="L38" s="16">
        <v>0</v>
      </c>
      <c r="M38" s="16">
        <v>0</v>
      </c>
      <c r="N38" s="18">
        <f t="shared" si="0"/>
        <v>1174332150.7861009</v>
      </c>
      <c r="O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>
        <v>2063183152.1599998</v>
      </c>
      <c r="C39" s="16">
        <v>0</v>
      </c>
      <c r="D39" s="16">
        <v>56280215.125242792</v>
      </c>
      <c r="E39" s="16">
        <v>30843626.740000002</v>
      </c>
      <c r="F39" s="16">
        <v>6601012.0395374848</v>
      </c>
      <c r="G39" s="16">
        <v>4107374.83</v>
      </c>
      <c r="H39" s="16">
        <v>93317874.829999998</v>
      </c>
      <c r="I39" s="16">
        <v>18067092.199999999</v>
      </c>
      <c r="J39" s="16">
        <v>0</v>
      </c>
      <c r="K39" s="16">
        <v>0</v>
      </c>
      <c r="L39" s="16">
        <v>0</v>
      </c>
      <c r="M39" s="16">
        <v>0</v>
      </c>
      <c r="N39" s="18">
        <f t="shared" si="0"/>
        <v>2272400347.9247794</v>
      </c>
      <c r="O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>
        <v>1355019898.6099999</v>
      </c>
      <c r="C40" s="16">
        <v>0</v>
      </c>
      <c r="D40" s="16">
        <v>35303863.761678331</v>
      </c>
      <c r="E40" s="16">
        <v>21718704.289999999</v>
      </c>
      <c r="F40" s="16">
        <v>3525452.3759926986</v>
      </c>
      <c r="G40" s="16">
        <v>1796976.49</v>
      </c>
      <c r="H40" s="16">
        <v>65710279.310000002</v>
      </c>
      <c r="I40" s="16">
        <v>9649228.4399999995</v>
      </c>
      <c r="J40" s="16">
        <v>0</v>
      </c>
      <c r="K40" s="16">
        <v>0</v>
      </c>
      <c r="L40" s="16">
        <v>0</v>
      </c>
      <c r="M40" s="16">
        <v>0</v>
      </c>
      <c r="N40" s="18">
        <f t="shared" ref="N40:N71" si="1">SUM(B40:M40)</f>
        <v>1492724403.2776709</v>
      </c>
      <c r="O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>
        <v>1415989825.6299999</v>
      </c>
      <c r="C41" s="16">
        <v>0</v>
      </c>
      <c r="D41" s="16">
        <v>15317717.51679593</v>
      </c>
      <c r="E41" s="16">
        <v>20047891.330000002</v>
      </c>
      <c r="F41" s="16">
        <v>5968835.2108391253</v>
      </c>
      <c r="G41" s="16">
        <v>3131873.31</v>
      </c>
      <c r="H41" s="16">
        <v>60655208.579999998</v>
      </c>
      <c r="I41" s="16">
        <v>16336812.51</v>
      </c>
      <c r="J41" s="16">
        <v>0</v>
      </c>
      <c r="K41" s="16">
        <v>0</v>
      </c>
      <c r="L41" s="16">
        <v>0</v>
      </c>
      <c r="M41" s="16">
        <v>0</v>
      </c>
      <c r="N41" s="18">
        <f t="shared" si="1"/>
        <v>1537448164.0876346</v>
      </c>
      <c r="O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>
        <v>858935271.68999994</v>
      </c>
      <c r="C42" s="16">
        <v>0</v>
      </c>
      <c r="D42" s="16">
        <v>10610602.841388404</v>
      </c>
      <c r="E42" s="16">
        <v>13447131.489999998</v>
      </c>
      <c r="F42" s="16">
        <v>16211651.189933425</v>
      </c>
      <c r="G42" s="16">
        <v>0</v>
      </c>
      <c r="H42" s="16">
        <v>40684506.530000001</v>
      </c>
      <c r="I42" s="16">
        <v>44371589.539999999</v>
      </c>
      <c r="J42" s="16">
        <v>0</v>
      </c>
      <c r="K42" s="16">
        <v>0</v>
      </c>
      <c r="L42" s="16">
        <v>0</v>
      </c>
      <c r="M42" s="16">
        <v>0</v>
      </c>
      <c r="N42" s="18">
        <f t="shared" si="1"/>
        <v>984260753.28132164</v>
      </c>
      <c r="O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>
        <v>5202063134.0100002</v>
      </c>
      <c r="C43" s="16">
        <v>0</v>
      </c>
      <c r="D43" s="16">
        <v>31326239.770392977</v>
      </c>
      <c r="E43" s="16">
        <v>70106566.210000008</v>
      </c>
      <c r="F43" s="16">
        <v>67414095.929048508</v>
      </c>
      <c r="G43" s="16">
        <v>25020758.329999998</v>
      </c>
      <c r="H43" s="16">
        <v>212108511.94999999</v>
      </c>
      <c r="I43" s="16">
        <v>184513629.03</v>
      </c>
      <c r="J43" s="16">
        <v>0</v>
      </c>
      <c r="K43" s="16">
        <v>0</v>
      </c>
      <c r="L43" s="16">
        <v>0</v>
      </c>
      <c r="M43" s="16">
        <v>0</v>
      </c>
      <c r="N43" s="18">
        <f t="shared" si="1"/>
        <v>5792552935.2294416</v>
      </c>
      <c r="O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>
        <v>4734810671.3500004</v>
      </c>
      <c r="C44" s="16">
        <v>0</v>
      </c>
      <c r="D44" s="16">
        <v>36689217.958228976</v>
      </c>
      <c r="E44" s="16">
        <v>68191073.530000001</v>
      </c>
      <c r="F44" s="16">
        <v>84824168.223692328</v>
      </c>
      <c r="G44" s="16">
        <v>43540150.661402404</v>
      </c>
      <c r="H44" s="16">
        <v>206313158.88999999</v>
      </c>
      <c r="I44" s="16">
        <v>232165319.31999999</v>
      </c>
      <c r="J44" s="16">
        <v>0</v>
      </c>
      <c r="K44" s="16">
        <v>0</v>
      </c>
      <c r="L44" s="16">
        <v>0</v>
      </c>
      <c r="M44" s="16">
        <v>0</v>
      </c>
      <c r="N44" s="18">
        <f t="shared" si="1"/>
        <v>5406533759.9333239</v>
      </c>
      <c r="O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>
        <v>1265432059.1100001</v>
      </c>
      <c r="C45" s="16">
        <v>0</v>
      </c>
      <c r="D45" s="16">
        <v>15373564.772665184</v>
      </c>
      <c r="E45" s="16">
        <v>19094339.490000002</v>
      </c>
      <c r="F45" s="16">
        <v>6317889.90153147</v>
      </c>
      <c r="G45" s="16">
        <v>3919120.15</v>
      </c>
      <c r="H45" s="16">
        <v>57770222.600000001</v>
      </c>
      <c r="I45" s="16">
        <v>17292181.66</v>
      </c>
      <c r="J45" s="16">
        <v>0</v>
      </c>
      <c r="K45" s="16">
        <v>0</v>
      </c>
      <c r="L45" s="16">
        <v>0</v>
      </c>
      <c r="M45" s="16">
        <v>0</v>
      </c>
      <c r="N45" s="18">
        <f t="shared" si="1"/>
        <v>1385199377.6841969</v>
      </c>
      <c r="O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>
        <v>2002182617.7699997</v>
      </c>
      <c r="C46" s="16">
        <v>0</v>
      </c>
      <c r="D46" s="16">
        <v>29208624.428228971</v>
      </c>
      <c r="E46" s="16">
        <v>38158608.590000004</v>
      </c>
      <c r="F46" s="16">
        <v>49833374.674510658</v>
      </c>
      <c r="G46" s="16">
        <v>0</v>
      </c>
      <c r="H46" s="16">
        <v>91314177.329999998</v>
      </c>
      <c r="I46" s="16">
        <v>136394869.37</v>
      </c>
      <c r="J46" s="16">
        <v>0</v>
      </c>
      <c r="K46" s="16">
        <v>0</v>
      </c>
      <c r="L46" s="16">
        <v>0</v>
      </c>
      <c r="M46" s="16">
        <v>0</v>
      </c>
      <c r="N46" s="18">
        <f t="shared" si="1"/>
        <v>2347092272.1627393</v>
      </c>
      <c r="O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>
        <v>6088453237.4000006</v>
      </c>
      <c r="C47" s="16">
        <v>0</v>
      </c>
      <c r="D47" s="16">
        <v>47906120.289143652</v>
      </c>
      <c r="E47" s="16">
        <v>115909447.26000001</v>
      </c>
      <c r="F47" s="16">
        <v>155352607.670807</v>
      </c>
      <c r="G47" s="16">
        <v>49928683.088422909</v>
      </c>
      <c r="H47" s="16">
        <v>277373211.80000001</v>
      </c>
      <c r="I47" s="16">
        <v>425202964.24000001</v>
      </c>
      <c r="J47" s="16">
        <v>0</v>
      </c>
      <c r="K47" s="16">
        <v>0</v>
      </c>
      <c r="L47" s="16">
        <v>0</v>
      </c>
      <c r="M47" s="16">
        <v>0</v>
      </c>
      <c r="N47" s="18">
        <f t="shared" si="1"/>
        <v>7160126271.748374</v>
      </c>
      <c r="O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>
        <v>589069886.99000001</v>
      </c>
      <c r="C48" s="16">
        <v>0</v>
      </c>
      <c r="D48" s="16">
        <v>15133867.611304242</v>
      </c>
      <c r="E48" s="16">
        <v>9441840.9499999993</v>
      </c>
      <c r="F48" s="16">
        <v>1349678.1373437396</v>
      </c>
      <c r="G48" s="16">
        <v>1061071.83</v>
      </c>
      <c r="H48" s="16">
        <v>28566437.379999999</v>
      </c>
      <c r="I48" s="16">
        <v>3694094.06</v>
      </c>
      <c r="J48" s="16">
        <v>0</v>
      </c>
      <c r="K48" s="16">
        <v>0</v>
      </c>
      <c r="L48" s="16">
        <v>0</v>
      </c>
      <c r="M48" s="16">
        <v>0</v>
      </c>
      <c r="N48" s="18">
        <f t="shared" si="1"/>
        <v>648316876.95864809</v>
      </c>
      <c r="O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>
        <v>1112333878.95</v>
      </c>
      <c r="C49" s="16">
        <v>0</v>
      </c>
      <c r="D49" s="16">
        <v>31352857.60228591</v>
      </c>
      <c r="E49" s="16">
        <v>13617844.560000001</v>
      </c>
      <c r="F49" s="16">
        <v>7970082.1041419096</v>
      </c>
      <c r="G49" s="16">
        <v>4449656.0599999996</v>
      </c>
      <c r="H49" s="16">
        <v>49978222.350000001</v>
      </c>
      <c r="I49" s="16">
        <v>21814262.32</v>
      </c>
      <c r="J49" s="16">
        <v>0</v>
      </c>
      <c r="K49" s="16">
        <v>0</v>
      </c>
      <c r="L49" s="16">
        <v>0</v>
      </c>
      <c r="M49" s="16">
        <v>0</v>
      </c>
      <c r="N49" s="18">
        <f t="shared" si="1"/>
        <v>1241516803.9464276</v>
      </c>
      <c r="O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>
        <v>722181439.44999993</v>
      </c>
      <c r="C50" s="16">
        <v>0</v>
      </c>
      <c r="D50" s="16">
        <v>21065139.045158692</v>
      </c>
      <c r="E50" s="16">
        <v>11059523.469999999</v>
      </c>
      <c r="F50" s="16">
        <v>2233950.0204310175</v>
      </c>
      <c r="G50" s="16">
        <v>1266440.57</v>
      </c>
      <c r="H50" s="16">
        <v>33460761.100000001</v>
      </c>
      <c r="I50" s="16">
        <v>6114362.5800000001</v>
      </c>
      <c r="J50" s="16">
        <v>0</v>
      </c>
      <c r="K50" s="16">
        <v>0</v>
      </c>
      <c r="L50" s="16">
        <v>0</v>
      </c>
      <c r="M50" s="16">
        <v>0</v>
      </c>
      <c r="N50" s="18">
        <f t="shared" si="1"/>
        <v>797381616.23558986</v>
      </c>
      <c r="O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>
        <v>706051343.31000018</v>
      </c>
      <c r="C51" s="16">
        <v>0</v>
      </c>
      <c r="D51" s="16">
        <v>27801847.127218075</v>
      </c>
      <c r="E51" s="16">
        <v>10618633.91</v>
      </c>
      <c r="F51" s="16">
        <v>2784680.7546344972</v>
      </c>
      <c r="G51" s="16">
        <v>1591607.75</v>
      </c>
      <c r="H51" s="16">
        <v>32126842.850000001</v>
      </c>
      <c r="I51" s="16">
        <v>7621722.7999999998</v>
      </c>
      <c r="J51" s="16">
        <v>0</v>
      </c>
      <c r="K51" s="16">
        <v>0</v>
      </c>
      <c r="L51" s="16">
        <v>0</v>
      </c>
      <c r="M51" s="16">
        <v>0</v>
      </c>
      <c r="N51" s="18">
        <f t="shared" si="1"/>
        <v>788596678.50185275</v>
      </c>
      <c r="O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>
        <v>832643521.04999995</v>
      </c>
      <c r="C52" s="16">
        <v>0</v>
      </c>
      <c r="D52" s="16">
        <v>27462372.235881247</v>
      </c>
      <c r="E52" s="16">
        <v>12792788.009999998</v>
      </c>
      <c r="F52" s="16">
        <v>2563612.7838626783</v>
      </c>
      <c r="G52" s="16">
        <v>2036573.35</v>
      </c>
      <c r="H52" s="16">
        <v>38704780.090000004</v>
      </c>
      <c r="I52" s="16">
        <v>7016655.6699999999</v>
      </c>
      <c r="J52" s="16">
        <v>0</v>
      </c>
      <c r="K52" s="16">
        <v>0</v>
      </c>
      <c r="L52" s="16">
        <v>0</v>
      </c>
      <c r="M52" s="16">
        <v>0</v>
      </c>
      <c r="N52" s="18">
        <f t="shared" si="1"/>
        <v>923220303.18974388</v>
      </c>
      <c r="O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>
        <v>286240339.90999997</v>
      </c>
      <c r="C53" s="16">
        <v>0</v>
      </c>
      <c r="D53" s="16">
        <v>15186221.195707867</v>
      </c>
      <c r="E53" s="16">
        <v>4587861.32</v>
      </c>
      <c r="F53" s="16">
        <v>446014.32699577598</v>
      </c>
      <c r="G53" s="16">
        <v>308053.11</v>
      </c>
      <c r="H53" s="16">
        <v>13880646.109999999</v>
      </c>
      <c r="I53" s="16">
        <v>1220749.47</v>
      </c>
      <c r="J53" s="16">
        <v>0</v>
      </c>
      <c r="K53" s="16">
        <v>0</v>
      </c>
      <c r="L53" s="16">
        <v>0</v>
      </c>
      <c r="M53" s="16">
        <v>0</v>
      </c>
      <c r="N53" s="18">
        <f t="shared" si="1"/>
        <v>321869885.44270366</v>
      </c>
      <c r="O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>
        <v>1111323835.01</v>
      </c>
      <c r="C54" s="16">
        <v>0</v>
      </c>
      <c r="D54" s="16">
        <v>26988088.864024352</v>
      </c>
      <c r="E54" s="16">
        <v>16600936.59</v>
      </c>
      <c r="F54" s="16">
        <v>1531962.2535941871</v>
      </c>
      <c r="G54" s="16">
        <v>1129528.08</v>
      </c>
      <c r="H54" s="16">
        <v>50226393.189999998</v>
      </c>
      <c r="I54" s="16">
        <v>4193009.06</v>
      </c>
      <c r="J54" s="16">
        <v>0</v>
      </c>
      <c r="K54" s="16">
        <v>0</v>
      </c>
      <c r="L54" s="16">
        <v>0</v>
      </c>
      <c r="M54" s="16">
        <v>0</v>
      </c>
      <c r="N54" s="18">
        <f t="shared" si="1"/>
        <v>1211993753.0476184</v>
      </c>
      <c r="O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>
        <v>504807733.8599999</v>
      </c>
      <c r="C55" s="16">
        <v>0</v>
      </c>
      <c r="D55" s="16">
        <v>10873156.531532545</v>
      </c>
      <c r="E55" s="16">
        <v>7673622.1499999994</v>
      </c>
      <c r="F55" s="16">
        <v>2827342.9946080064</v>
      </c>
      <c r="G55" s="16">
        <v>1762748.36</v>
      </c>
      <c r="H55" s="16">
        <v>23216663.780000001</v>
      </c>
      <c r="I55" s="16">
        <v>7738490.1399999997</v>
      </c>
      <c r="J55" s="16">
        <v>0</v>
      </c>
      <c r="K55" s="16">
        <v>0</v>
      </c>
      <c r="L55" s="16">
        <v>0</v>
      </c>
      <c r="M55" s="16">
        <v>0</v>
      </c>
      <c r="N55" s="18">
        <f t="shared" si="1"/>
        <v>558899757.81614041</v>
      </c>
      <c r="O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>
        <v>385010397.38</v>
      </c>
      <c r="C56" s="16">
        <v>0</v>
      </c>
      <c r="D56" s="16">
        <v>6837447.1478805756</v>
      </c>
      <c r="E56" s="16">
        <v>5622040.9400000004</v>
      </c>
      <c r="F56" s="16">
        <v>798947.40314025967</v>
      </c>
      <c r="G56" s="16">
        <v>479193.73</v>
      </c>
      <c r="H56" s="16">
        <v>17009572.739999998</v>
      </c>
      <c r="I56" s="16">
        <v>2186733.84</v>
      </c>
      <c r="J56" s="16">
        <v>0</v>
      </c>
      <c r="K56" s="16">
        <v>0</v>
      </c>
      <c r="L56" s="16">
        <v>0</v>
      </c>
      <c r="M56" s="16">
        <v>0</v>
      </c>
      <c r="N56" s="18">
        <f t="shared" si="1"/>
        <v>417944333.1810208</v>
      </c>
      <c r="O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>
        <v>958317477.00999999</v>
      </c>
      <c r="C57" s="16">
        <v>0</v>
      </c>
      <c r="D57" s="16">
        <v>18956326.012404293</v>
      </c>
      <c r="E57" s="16">
        <v>14515799.309999999</v>
      </c>
      <c r="F57" s="16">
        <v>4103331.8083611391</v>
      </c>
      <c r="G57" s="16">
        <v>2207713.9700000002</v>
      </c>
      <c r="H57" s="16">
        <v>43917777.719999999</v>
      </c>
      <c r="I57" s="16">
        <v>11230895.15</v>
      </c>
      <c r="J57" s="16">
        <v>0</v>
      </c>
      <c r="K57" s="16">
        <v>0</v>
      </c>
      <c r="L57" s="16">
        <v>0</v>
      </c>
      <c r="M57" s="16">
        <v>0</v>
      </c>
      <c r="N57" s="18">
        <f t="shared" si="1"/>
        <v>1053249320.9807655</v>
      </c>
      <c r="O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>
        <v>899551282.29999995</v>
      </c>
      <c r="C58" s="16">
        <v>0</v>
      </c>
      <c r="D58" s="16">
        <v>13154060.577072224</v>
      </c>
      <c r="E58" s="16">
        <v>12933537.109999999</v>
      </c>
      <c r="F58" s="16">
        <v>2389085.4385165046</v>
      </c>
      <c r="G58" s="16">
        <v>1386239</v>
      </c>
      <c r="H58" s="16">
        <v>39130618.68</v>
      </c>
      <c r="I58" s="16">
        <v>6538971.0899999999</v>
      </c>
      <c r="J58" s="16">
        <v>0</v>
      </c>
      <c r="K58" s="16">
        <v>0</v>
      </c>
      <c r="L58" s="16">
        <v>0</v>
      </c>
      <c r="M58" s="16">
        <v>0</v>
      </c>
      <c r="N58" s="18">
        <f t="shared" si="1"/>
        <v>975083794.19558871</v>
      </c>
      <c r="O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>
        <v>915008015.81000006</v>
      </c>
      <c r="C59" s="16">
        <v>0</v>
      </c>
      <c r="D59" s="16">
        <v>27059585.067444667</v>
      </c>
      <c r="E59" s="16">
        <v>14344756.539999999</v>
      </c>
      <c r="F59" s="16">
        <v>2327031.2712823097</v>
      </c>
      <c r="G59" s="16">
        <v>1266440.57</v>
      </c>
      <c r="H59" s="16">
        <v>43400285.119999997</v>
      </c>
      <c r="I59" s="16">
        <v>6369127.6799999997</v>
      </c>
      <c r="J59" s="16">
        <v>0</v>
      </c>
      <c r="K59" s="16">
        <v>0</v>
      </c>
      <c r="L59" s="16">
        <v>0</v>
      </c>
      <c r="M59" s="16">
        <v>0</v>
      </c>
      <c r="N59" s="18">
        <f t="shared" si="1"/>
        <v>1009775242.058727</v>
      </c>
      <c r="O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>
        <v>6538045234.25</v>
      </c>
      <c r="C60" s="16">
        <v>0</v>
      </c>
      <c r="D60" s="16">
        <v>263210041.93604419</v>
      </c>
      <c r="E60" s="16">
        <v>155494606.42999998</v>
      </c>
      <c r="F60" s="16">
        <v>128006111.84778772</v>
      </c>
      <c r="G60" s="16">
        <v>65153233.25</v>
      </c>
      <c r="H60" s="16">
        <v>302532940.43000001</v>
      </c>
      <c r="I60" s="16">
        <v>350355098.73000002</v>
      </c>
      <c r="J60" s="16">
        <v>0</v>
      </c>
      <c r="K60" s="16">
        <v>0</v>
      </c>
      <c r="L60" s="16">
        <v>0</v>
      </c>
      <c r="M60" s="16">
        <v>0</v>
      </c>
      <c r="N60" s="18">
        <f t="shared" si="1"/>
        <v>7802797266.8738327</v>
      </c>
      <c r="O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>
        <v>1535328051.25</v>
      </c>
      <c r="C61" s="16">
        <v>0</v>
      </c>
      <c r="D61" s="16">
        <v>22317597.518809024</v>
      </c>
      <c r="E61" s="16">
        <v>21269891.769999996</v>
      </c>
      <c r="F61" s="16">
        <v>22851447.083992276</v>
      </c>
      <c r="G61" s="16">
        <v>6395105.5682094935</v>
      </c>
      <c r="H61" s="16">
        <v>64352390.020000003</v>
      </c>
      <c r="I61" s="16">
        <v>62544833.859999999</v>
      </c>
      <c r="J61" s="16">
        <v>0</v>
      </c>
      <c r="K61" s="16">
        <v>0</v>
      </c>
      <c r="L61" s="16">
        <v>0</v>
      </c>
      <c r="M61" s="16">
        <v>0</v>
      </c>
      <c r="N61" s="18">
        <f t="shared" si="1"/>
        <v>1735059317.0710106</v>
      </c>
      <c r="O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>
        <v>7140980270.3999996</v>
      </c>
      <c r="C62" s="16">
        <v>0</v>
      </c>
      <c r="D62" s="16">
        <v>85930156.540000007</v>
      </c>
      <c r="E62" s="16">
        <v>144710331.62</v>
      </c>
      <c r="F62" s="16">
        <v>102463065.26001222</v>
      </c>
      <c r="G62" s="16">
        <v>0</v>
      </c>
      <c r="H62" s="16">
        <v>346294201.31</v>
      </c>
      <c r="I62" s="16">
        <v>280443307.17000002</v>
      </c>
      <c r="J62" s="16">
        <v>0</v>
      </c>
      <c r="K62" s="16">
        <v>0</v>
      </c>
      <c r="L62" s="16">
        <v>0</v>
      </c>
      <c r="M62" s="16">
        <v>0</v>
      </c>
      <c r="N62" s="18">
        <f t="shared" si="1"/>
        <v>8100821332.3000126</v>
      </c>
      <c r="O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>
        <v>1257565959.1000001</v>
      </c>
      <c r="C63" s="16">
        <v>0</v>
      </c>
      <c r="D63" s="16">
        <v>34450151.94335679</v>
      </c>
      <c r="E63" s="16">
        <v>18611038.77</v>
      </c>
      <c r="F63" s="16">
        <v>3610776.8559397175</v>
      </c>
      <c r="G63" s="16">
        <v>2207713.9700000002</v>
      </c>
      <c r="H63" s="16">
        <v>56307988.75</v>
      </c>
      <c r="I63" s="16">
        <v>9882763.1199999992</v>
      </c>
      <c r="J63" s="16">
        <v>0</v>
      </c>
      <c r="K63" s="16">
        <v>0</v>
      </c>
      <c r="L63" s="16">
        <v>0</v>
      </c>
      <c r="M63" s="16">
        <v>0</v>
      </c>
      <c r="N63" s="18">
        <f t="shared" si="1"/>
        <v>1382636392.5092964</v>
      </c>
      <c r="O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>
        <v>1959760770.9799998</v>
      </c>
      <c r="C64" s="16">
        <v>0</v>
      </c>
      <c r="D64" s="16">
        <v>121148687.40070696</v>
      </c>
      <c r="E64" s="16">
        <v>28203882.080000002</v>
      </c>
      <c r="F64" s="16">
        <v>6608768.8104417585</v>
      </c>
      <c r="G64" s="16">
        <v>3439926.42</v>
      </c>
      <c r="H64" s="16">
        <v>85331286.079999998</v>
      </c>
      <c r="I64" s="16">
        <v>18088322.620000001</v>
      </c>
      <c r="J64" s="16">
        <v>0</v>
      </c>
      <c r="K64" s="16">
        <v>0</v>
      </c>
      <c r="L64" s="16">
        <v>0</v>
      </c>
      <c r="M64" s="16">
        <v>0</v>
      </c>
      <c r="N64" s="18">
        <f t="shared" si="1"/>
        <v>2222581644.3911486</v>
      </c>
      <c r="O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>
        <v>1027520792.76</v>
      </c>
      <c r="C65" s="16">
        <v>0</v>
      </c>
      <c r="D65" s="16">
        <v>21858307.131101694</v>
      </c>
      <c r="E65" s="16">
        <v>15590059.809999999</v>
      </c>
      <c r="F65" s="16">
        <v>1438881.0027428949</v>
      </c>
      <c r="G65" s="16">
        <v>1146642.1399999999</v>
      </c>
      <c r="H65" s="16">
        <v>47167969.640000001</v>
      </c>
      <c r="I65" s="16">
        <v>3938243.95</v>
      </c>
      <c r="J65" s="16">
        <v>0</v>
      </c>
      <c r="K65" s="16">
        <v>0</v>
      </c>
      <c r="L65" s="16">
        <v>0</v>
      </c>
      <c r="M65" s="16">
        <v>0</v>
      </c>
      <c r="N65" s="18">
        <f t="shared" si="1"/>
        <v>1118660896.4338446</v>
      </c>
      <c r="O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>
        <v>573704975.63999999</v>
      </c>
      <c r="C66" s="16">
        <v>0</v>
      </c>
      <c r="D66" s="16">
        <v>24380017.529680774</v>
      </c>
      <c r="E66" s="16">
        <v>8939431.9199999999</v>
      </c>
      <c r="F66" s="16">
        <v>1407853.9191257972</v>
      </c>
      <c r="G66" s="16">
        <v>1043957.77</v>
      </c>
      <c r="H66" s="16">
        <v>27046391.010000002</v>
      </c>
      <c r="I66" s="16">
        <v>3853322.25</v>
      </c>
      <c r="J66" s="16">
        <v>0</v>
      </c>
      <c r="K66" s="16">
        <v>0</v>
      </c>
      <c r="L66" s="16">
        <v>0</v>
      </c>
      <c r="M66" s="16">
        <v>0</v>
      </c>
      <c r="N66" s="18">
        <f t="shared" si="1"/>
        <v>640375950.03880644</v>
      </c>
      <c r="O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>
        <v>2573806290.8099999</v>
      </c>
      <c r="C67" s="16">
        <v>0</v>
      </c>
      <c r="D67" s="16">
        <v>27124585.570000004</v>
      </c>
      <c r="E67" s="16">
        <v>50398896.049999997</v>
      </c>
      <c r="F67" s="16">
        <v>37829771.700146087</v>
      </c>
      <c r="G67" s="16">
        <v>21878566.283619635</v>
      </c>
      <c r="H67" s="16">
        <v>120605386.36</v>
      </c>
      <c r="I67" s="16">
        <v>103540785.73</v>
      </c>
      <c r="J67" s="16">
        <v>0</v>
      </c>
      <c r="K67" s="16">
        <v>0</v>
      </c>
      <c r="L67" s="16">
        <v>0</v>
      </c>
      <c r="M67" s="16">
        <v>0</v>
      </c>
      <c r="N67" s="18">
        <f t="shared" si="1"/>
        <v>2935184282.5037661</v>
      </c>
      <c r="O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>
        <v>1609979482.9200001</v>
      </c>
      <c r="C68" s="16">
        <v>0</v>
      </c>
      <c r="D68" s="16">
        <v>32545201</v>
      </c>
      <c r="E68" s="16">
        <v>25257006.100000001</v>
      </c>
      <c r="F68" s="16">
        <v>33361871.659284044</v>
      </c>
      <c r="G68" s="16">
        <v>20933652.729895346</v>
      </c>
      <c r="H68" s="16">
        <v>76415466.760000005</v>
      </c>
      <c r="I68" s="16">
        <v>91312060.569999993</v>
      </c>
      <c r="J68" s="16">
        <v>0</v>
      </c>
      <c r="K68" s="16">
        <v>0</v>
      </c>
      <c r="L68" s="16">
        <v>0</v>
      </c>
      <c r="M68" s="16">
        <v>0</v>
      </c>
      <c r="N68" s="18">
        <f t="shared" si="1"/>
        <v>1889804741.7391794</v>
      </c>
      <c r="O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>
        <v>5750333366.1399994</v>
      </c>
      <c r="C69" s="16">
        <v>0</v>
      </c>
      <c r="D69" s="16">
        <v>26964257.365040369</v>
      </c>
      <c r="E69" s="16">
        <v>87098524.320000008</v>
      </c>
      <c r="F69" s="16">
        <v>98460571.473406658</v>
      </c>
      <c r="G69" s="16">
        <v>23188754.745506577</v>
      </c>
      <c r="H69" s="16">
        <v>263517946.80000001</v>
      </c>
      <c r="I69" s="16">
        <v>269488407.56</v>
      </c>
      <c r="J69" s="16">
        <v>0</v>
      </c>
      <c r="K69" s="16">
        <v>0</v>
      </c>
      <c r="L69" s="16">
        <v>0</v>
      </c>
      <c r="M69" s="16">
        <v>0</v>
      </c>
      <c r="N69" s="18">
        <f t="shared" si="1"/>
        <v>6519051828.4039536</v>
      </c>
      <c r="O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>
        <v>1194361692.3800001</v>
      </c>
      <c r="C70" s="16">
        <v>0</v>
      </c>
      <c r="D70" s="16">
        <v>52927495.128143102</v>
      </c>
      <c r="E70" s="16">
        <v>18233998.98</v>
      </c>
      <c r="F70" s="16">
        <v>21866337.179149438</v>
      </c>
      <c r="G70" s="16">
        <v>10131524.58</v>
      </c>
      <c r="H70" s="16">
        <v>55167248.939999998</v>
      </c>
      <c r="I70" s="16">
        <v>59848569.810000002</v>
      </c>
      <c r="J70" s="16">
        <v>0</v>
      </c>
      <c r="K70" s="16">
        <v>0</v>
      </c>
      <c r="L70" s="16">
        <v>0</v>
      </c>
      <c r="M70" s="16">
        <v>0</v>
      </c>
      <c r="N70" s="18">
        <f t="shared" si="1"/>
        <v>1412536866.9972925</v>
      </c>
      <c r="O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>
        <v>4653303183.5900002</v>
      </c>
      <c r="C71" s="16">
        <v>0</v>
      </c>
      <c r="D71" s="16">
        <v>21882342.27</v>
      </c>
      <c r="E71" s="16">
        <v>57132364.82</v>
      </c>
      <c r="F71" s="16">
        <v>13768268.355086999</v>
      </c>
      <c r="G71" s="16">
        <v>9840585.5299999993</v>
      </c>
      <c r="H71" s="16">
        <v>213732902.88</v>
      </c>
      <c r="I71" s="16">
        <v>37684005.469999999</v>
      </c>
      <c r="J71" s="16">
        <v>0</v>
      </c>
      <c r="K71" s="16">
        <v>0</v>
      </c>
      <c r="L71" s="16">
        <v>0</v>
      </c>
      <c r="M71" s="16">
        <v>0</v>
      </c>
      <c r="N71" s="18">
        <f t="shared" si="1"/>
        <v>5007343652.9150877</v>
      </c>
      <c r="O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>
        <v>20533122680.019997</v>
      </c>
      <c r="C72" s="16">
        <v>0</v>
      </c>
      <c r="D72" s="16">
        <v>161358589.56614217</v>
      </c>
      <c r="E72" s="16">
        <v>416099654.31999999</v>
      </c>
      <c r="F72" s="16">
        <v>400617825.27851027</v>
      </c>
      <c r="G72" s="16">
        <v>0</v>
      </c>
      <c r="H72" s="16">
        <v>995733309.76999998</v>
      </c>
      <c r="I72" s="16">
        <v>1096498407</v>
      </c>
      <c r="J72" s="16">
        <v>0</v>
      </c>
      <c r="K72" s="16">
        <v>0</v>
      </c>
      <c r="L72" s="16">
        <v>0</v>
      </c>
      <c r="M72" s="16">
        <v>0</v>
      </c>
      <c r="N72" s="18">
        <f t="shared" ref="N72:N103" si="2">SUM(B72:M72)</f>
        <v>23603430465.954651</v>
      </c>
      <c r="O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>
        <v>9505829888.7999992</v>
      </c>
      <c r="C73" s="16">
        <v>0</v>
      </c>
      <c r="D73" s="16">
        <v>240368744.14631715</v>
      </c>
      <c r="E73" s="16">
        <v>180042354.78</v>
      </c>
      <c r="F73" s="16">
        <v>148697298.2349396</v>
      </c>
      <c r="G73" s="16">
        <v>88202747.440808043</v>
      </c>
      <c r="H73" s="16">
        <v>430844313.27999997</v>
      </c>
      <c r="I73" s="16">
        <v>406987259.06</v>
      </c>
      <c r="J73" s="16">
        <v>0</v>
      </c>
      <c r="K73" s="16">
        <v>0</v>
      </c>
      <c r="L73" s="16">
        <v>0</v>
      </c>
      <c r="M73" s="16">
        <v>0</v>
      </c>
      <c r="N73" s="18">
        <f t="shared" si="2"/>
        <v>11000972605.742064</v>
      </c>
      <c r="O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>
        <v>4949246067.2400007</v>
      </c>
      <c r="C74" s="16">
        <v>0</v>
      </c>
      <c r="D74" s="16">
        <v>70210551.060000002</v>
      </c>
      <c r="E74" s="16">
        <v>100295759.42</v>
      </c>
      <c r="F74" s="16">
        <v>107958737.44569062</v>
      </c>
      <c r="G74" s="16">
        <v>154863631.023637</v>
      </c>
      <c r="H74" s="16">
        <v>240009400.27000001</v>
      </c>
      <c r="I74" s="16">
        <v>295485063.72000003</v>
      </c>
      <c r="J74" s="16">
        <v>0</v>
      </c>
      <c r="K74" s="16">
        <v>0</v>
      </c>
      <c r="L74" s="16">
        <v>0</v>
      </c>
      <c r="M74" s="16">
        <v>0</v>
      </c>
      <c r="N74" s="18">
        <f t="shared" si="2"/>
        <v>5918069210.1793289</v>
      </c>
      <c r="O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>
        <v>838489533.11999989</v>
      </c>
      <c r="C75" s="16">
        <v>0</v>
      </c>
      <c r="D75" s="16">
        <v>18564344.004822355</v>
      </c>
      <c r="E75" s="16">
        <v>12918623.290000001</v>
      </c>
      <c r="F75" s="16">
        <v>1962463.0387814143</v>
      </c>
      <c r="G75" s="16">
        <v>1129528.08</v>
      </c>
      <c r="H75" s="16">
        <v>39085496.710000001</v>
      </c>
      <c r="I75" s="16">
        <v>5371297.6799999997</v>
      </c>
      <c r="J75" s="16">
        <v>0</v>
      </c>
      <c r="K75" s="16">
        <v>0</v>
      </c>
      <c r="L75" s="16">
        <v>0</v>
      </c>
      <c r="M75" s="16">
        <v>0</v>
      </c>
      <c r="N75" s="18">
        <f t="shared" si="2"/>
        <v>917521285.92360365</v>
      </c>
      <c r="O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>
        <v>846875958.8499999</v>
      </c>
      <c r="C76" s="16">
        <v>0</v>
      </c>
      <c r="D76" s="16">
        <v>32795212.784693614</v>
      </c>
      <c r="E76" s="16">
        <v>12871085.510000002</v>
      </c>
      <c r="F76" s="16">
        <v>3533209.1468969733</v>
      </c>
      <c r="G76" s="16">
        <v>2652679.58</v>
      </c>
      <c r="H76" s="16">
        <v>38941670.43</v>
      </c>
      <c r="I76" s="16">
        <v>9670458.8699999992</v>
      </c>
      <c r="J76" s="16">
        <v>0</v>
      </c>
      <c r="K76" s="16">
        <v>0</v>
      </c>
      <c r="L76" s="16">
        <v>0</v>
      </c>
      <c r="M76" s="16">
        <v>0</v>
      </c>
      <c r="N76" s="18">
        <f t="shared" si="2"/>
        <v>947340275.17159045</v>
      </c>
      <c r="O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>
        <v>949257688.67000008</v>
      </c>
      <c r="C77" s="16">
        <v>0</v>
      </c>
      <c r="D77" s="16">
        <v>25405788.638764378</v>
      </c>
      <c r="E77" s="16">
        <v>15061085.57</v>
      </c>
      <c r="F77" s="16">
        <v>4149872.4337867857</v>
      </c>
      <c r="G77" s="16">
        <v>1694292.12</v>
      </c>
      <c r="H77" s="16">
        <v>45567549.759999998</v>
      </c>
      <c r="I77" s="16">
        <v>11358277.699999999</v>
      </c>
      <c r="J77" s="16">
        <v>0</v>
      </c>
      <c r="K77" s="16">
        <v>0</v>
      </c>
      <c r="L77" s="16">
        <v>0</v>
      </c>
      <c r="M77" s="16">
        <v>0</v>
      </c>
      <c r="N77" s="18">
        <f t="shared" si="2"/>
        <v>1052494554.8925513</v>
      </c>
      <c r="O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>
        <v>364840125.29999995</v>
      </c>
      <c r="C78" s="16">
        <v>0</v>
      </c>
      <c r="D78" s="16">
        <v>9286098.1413162984</v>
      </c>
      <c r="E78" s="16">
        <v>5847612.3300000001</v>
      </c>
      <c r="F78" s="16">
        <v>1473786.4718121293</v>
      </c>
      <c r="G78" s="16">
        <v>598992.16</v>
      </c>
      <c r="H78" s="16">
        <v>17692042.539999999</v>
      </c>
      <c r="I78" s="16">
        <v>4033780.87</v>
      </c>
      <c r="J78" s="16">
        <v>0</v>
      </c>
      <c r="K78" s="16">
        <v>0</v>
      </c>
      <c r="L78" s="16">
        <v>0</v>
      </c>
      <c r="M78" s="16">
        <v>0</v>
      </c>
      <c r="N78" s="18">
        <f t="shared" si="2"/>
        <v>403772437.81312841</v>
      </c>
      <c r="O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>
        <v>1877396276.2100003</v>
      </c>
      <c r="C79" s="16">
        <v>0</v>
      </c>
      <c r="D79" s="16">
        <v>83978195.482677102</v>
      </c>
      <c r="E79" s="16">
        <v>28418734.170000002</v>
      </c>
      <c r="F79" s="16">
        <v>7407716.2135820184</v>
      </c>
      <c r="G79" s="16">
        <v>4449656.0599999996</v>
      </c>
      <c r="H79" s="16">
        <v>85981324.469999999</v>
      </c>
      <c r="I79" s="16">
        <v>20275056.460000001</v>
      </c>
      <c r="J79" s="16">
        <v>0</v>
      </c>
      <c r="K79" s="16">
        <v>0</v>
      </c>
      <c r="L79" s="16">
        <v>0</v>
      </c>
      <c r="M79" s="16">
        <v>0</v>
      </c>
      <c r="N79" s="18">
        <f t="shared" si="2"/>
        <v>2107906959.0662596</v>
      </c>
      <c r="O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>
        <v>1001198434.73</v>
      </c>
      <c r="C80" s="16">
        <v>0</v>
      </c>
      <c r="D80" s="16">
        <v>73272368.570154428</v>
      </c>
      <c r="E80" s="16">
        <v>15107225.15</v>
      </c>
      <c r="F80" s="16">
        <v>2396842.2094207793</v>
      </c>
      <c r="G80" s="16">
        <v>1779862.43</v>
      </c>
      <c r="H80" s="16">
        <v>45707145.850000001</v>
      </c>
      <c r="I80" s="16">
        <v>6560201.5199999996</v>
      </c>
      <c r="J80" s="16">
        <v>0</v>
      </c>
      <c r="K80" s="16">
        <v>0</v>
      </c>
      <c r="L80" s="16">
        <v>0</v>
      </c>
      <c r="M80" s="16">
        <v>0</v>
      </c>
      <c r="N80" s="18">
        <f t="shared" si="2"/>
        <v>1146022080.4595752</v>
      </c>
      <c r="O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>
        <v>562135381.07999992</v>
      </c>
      <c r="C81" s="16">
        <v>0</v>
      </c>
      <c r="D81" s="16">
        <v>24123755.442387179</v>
      </c>
      <c r="E81" s="16">
        <v>8426303.5800000001</v>
      </c>
      <c r="F81" s="16">
        <v>6224808.6506801788</v>
      </c>
      <c r="G81" s="16">
        <v>4073146.7</v>
      </c>
      <c r="H81" s="16">
        <v>25493913.219999999</v>
      </c>
      <c r="I81" s="16">
        <v>17037416.559999999</v>
      </c>
      <c r="J81" s="16">
        <v>0</v>
      </c>
      <c r="K81" s="16">
        <v>0</v>
      </c>
      <c r="L81" s="16">
        <v>0</v>
      </c>
      <c r="M81" s="16">
        <v>0</v>
      </c>
      <c r="N81" s="18">
        <f t="shared" si="2"/>
        <v>647514725.23306739</v>
      </c>
      <c r="O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>
        <v>9129879279.6899986</v>
      </c>
      <c r="C82" s="16">
        <v>0</v>
      </c>
      <c r="D82" s="16">
        <v>99859899.24000001</v>
      </c>
      <c r="E82" s="16">
        <v>170775962.80000001</v>
      </c>
      <c r="F82" s="16">
        <v>179402475.85950965</v>
      </c>
      <c r="G82" s="16">
        <v>163057339.74560267</v>
      </c>
      <c r="H82" s="16">
        <v>408669685</v>
      </c>
      <c r="I82" s="16">
        <v>491027898.86000001</v>
      </c>
      <c r="J82" s="16">
        <v>0</v>
      </c>
      <c r="K82" s="16">
        <v>0</v>
      </c>
      <c r="L82" s="16">
        <v>0</v>
      </c>
      <c r="M82" s="16">
        <v>0</v>
      </c>
      <c r="N82" s="18">
        <f t="shared" si="2"/>
        <v>10642672541.195112</v>
      </c>
      <c r="O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>
        <v>2360197294.5500002</v>
      </c>
      <c r="C83" s="16">
        <v>0</v>
      </c>
      <c r="D83" s="16">
        <v>52085943.958374828</v>
      </c>
      <c r="E83" s="16">
        <v>47829219.370000005</v>
      </c>
      <c r="F83" s="16">
        <v>19865090.285846651</v>
      </c>
      <c r="G83" s="16">
        <v>10833201.109999999</v>
      </c>
      <c r="H83" s="16">
        <v>114456107.84999999</v>
      </c>
      <c r="I83" s="16">
        <v>54371120</v>
      </c>
      <c r="J83" s="16">
        <v>0</v>
      </c>
      <c r="K83" s="16">
        <v>0</v>
      </c>
      <c r="L83" s="16">
        <v>0</v>
      </c>
      <c r="M83" s="16">
        <v>0</v>
      </c>
      <c r="N83" s="18">
        <f t="shared" si="2"/>
        <v>2659637977.1242218</v>
      </c>
      <c r="O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>
        <v>992322290.70000005</v>
      </c>
      <c r="C84" s="16">
        <v>0</v>
      </c>
      <c r="D84" s="16">
        <v>27718439.845721632</v>
      </c>
      <c r="E84" s="16">
        <v>14532577.350000001</v>
      </c>
      <c r="F84" s="16">
        <v>3986980.2447970239</v>
      </c>
      <c r="G84" s="16">
        <v>1084344.6797389756</v>
      </c>
      <c r="H84" s="16">
        <v>43968539.93</v>
      </c>
      <c r="I84" s="16">
        <v>10912438.77</v>
      </c>
      <c r="J84" s="16">
        <v>0</v>
      </c>
      <c r="K84" s="16">
        <v>0</v>
      </c>
      <c r="L84" s="16">
        <v>0</v>
      </c>
      <c r="M84" s="16">
        <v>0</v>
      </c>
      <c r="N84" s="18">
        <f t="shared" si="2"/>
        <v>1094525611.5202577</v>
      </c>
      <c r="O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>
        <v>794139420.56000006</v>
      </c>
      <c r="C85" s="16">
        <v>0</v>
      </c>
      <c r="D85" s="16">
        <v>16474758.049507394</v>
      </c>
      <c r="E85" s="16">
        <v>12007016.559999999</v>
      </c>
      <c r="F85" s="16">
        <v>1884895.3297386705</v>
      </c>
      <c r="G85" s="16">
        <v>1112414.02</v>
      </c>
      <c r="H85" s="16">
        <v>36327416.280000001</v>
      </c>
      <c r="I85" s="16">
        <v>5158993.42</v>
      </c>
      <c r="J85" s="16">
        <v>0</v>
      </c>
      <c r="K85" s="16">
        <v>0</v>
      </c>
      <c r="L85" s="16">
        <v>0</v>
      </c>
      <c r="M85" s="16">
        <v>0</v>
      </c>
      <c r="N85" s="18">
        <f t="shared" si="2"/>
        <v>867104914.21924591</v>
      </c>
      <c r="O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>
        <v>9922855619.4400005</v>
      </c>
      <c r="C86" s="16">
        <v>0</v>
      </c>
      <c r="D86" s="16">
        <v>85417769.799999997</v>
      </c>
      <c r="E86" s="16">
        <v>195171097.89999998</v>
      </c>
      <c r="F86" s="16">
        <v>112562380.97737746</v>
      </c>
      <c r="G86" s="16">
        <v>41284066.584176898</v>
      </c>
      <c r="H86" s="16">
        <v>467047644.13999999</v>
      </c>
      <c r="I86" s="16">
        <v>308085321.32999998</v>
      </c>
      <c r="J86" s="16">
        <v>0</v>
      </c>
      <c r="K86" s="16">
        <v>0</v>
      </c>
      <c r="L86" s="16">
        <v>0</v>
      </c>
      <c r="M86" s="16">
        <v>0</v>
      </c>
      <c r="N86" s="18">
        <f t="shared" si="2"/>
        <v>11132423900.171553</v>
      </c>
      <c r="O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>
        <v>1546132460.98</v>
      </c>
      <c r="C87" s="16">
        <v>0</v>
      </c>
      <c r="D87" s="16">
        <v>23879686.478434809</v>
      </c>
      <c r="E87" s="16">
        <v>22844231.02</v>
      </c>
      <c r="F87" s="16">
        <v>3195789.6125610387</v>
      </c>
      <c r="G87" s="16">
        <v>3234557.68</v>
      </c>
      <c r="H87" s="16">
        <v>69115578.010000005</v>
      </c>
      <c r="I87" s="16">
        <v>8746935.3499999996</v>
      </c>
      <c r="J87" s="16">
        <v>0</v>
      </c>
      <c r="K87" s="16">
        <v>0</v>
      </c>
      <c r="L87" s="16">
        <v>0</v>
      </c>
      <c r="M87" s="16">
        <v>0</v>
      </c>
      <c r="N87" s="18">
        <f t="shared" si="2"/>
        <v>1677149239.1309958</v>
      </c>
      <c r="O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>
        <v>1420183038.47</v>
      </c>
      <c r="C88" s="16">
        <v>0</v>
      </c>
      <c r="D88" s="16">
        <v>10438668.067103101</v>
      </c>
      <c r="E88" s="16">
        <v>18307169.869999997</v>
      </c>
      <c r="F88" s="16">
        <v>15684190.768442767</v>
      </c>
      <c r="G88" s="16">
        <v>6537571.5999999996</v>
      </c>
      <c r="H88" s="16">
        <v>55388628.600000001</v>
      </c>
      <c r="I88" s="16">
        <v>42927920.600000001</v>
      </c>
      <c r="J88" s="16">
        <v>0</v>
      </c>
      <c r="K88" s="16">
        <v>0</v>
      </c>
      <c r="L88" s="16">
        <v>0</v>
      </c>
      <c r="M88" s="16">
        <v>0</v>
      </c>
      <c r="N88" s="18">
        <f t="shared" si="2"/>
        <v>1569467187.9755456</v>
      </c>
      <c r="O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>
        <v>2009405962.5400002</v>
      </c>
      <c r="C89" s="16">
        <v>0</v>
      </c>
      <c r="D89" s="16">
        <v>29452180.903430603</v>
      </c>
      <c r="E89" s="16">
        <v>30557934.030000001</v>
      </c>
      <c r="F89" s="16">
        <v>13190388.922718558</v>
      </c>
      <c r="G89" s="16">
        <v>7119449.7000000002</v>
      </c>
      <c r="H89" s="16">
        <v>92453507.079999998</v>
      </c>
      <c r="I89" s="16">
        <v>36102338.759999998</v>
      </c>
      <c r="J89" s="16">
        <v>0</v>
      </c>
      <c r="K89" s="16">
        <v>0</v>
      </c>
      <c r="L89" s="16">
        <v>0</v>
      </c>
      <c r="M89" s="16">
        <v>0</v>
      </c>
      <c r="N89" s="18">
        <f t="shared" si="2"/>
        <v>2218281761.9361496</v>
      </c>
      <c r="O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>
        <v>9126236999.9099998</v>
      </c>
      <c r="C90" s="16">
        <v>0</v>
      </c>
      <c r="D90" s="16">
        <v>45589553.470374152</v>
      </c>
      <c r="E90" s="16">
        <v>180867880.36000001</v>
      </c>
      <c r="F90" s="16">
        <v>178925434.4488968</v>
      </c>
      <c r="G90" s="16">
        <v>60129543.460760951</v>
      </c>
      <c r="H90" s="16">
        <v>432819809.54000002</v>
      </c>
      <c r="I90" s="16">
        <v>489722227.68000001</v>
      </c>
      <c r="J90" s="16">
        <v>0</v>
      </c>
      <c r="K90" s="16">
        <v>0</v>
      </c>
      <c r="L90" s="16">
        <v>0</v>
      </c>
      <c r="M90" s="16">
        <v>0</v>
      </c>
      <c r="N90" s="18">
        <f t="shared" si="2"/>
        <v>10514291448.870033</v>
      </c>
      <c r="O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>
        <v>421586232.06999999</v>
      </c>
      <c r="C91" s="16">
        <v>0</v>
      </c>
      <c r="D91" s="16">
        <v>31743302.680957548</v>
      </c>
      <c r="E91" s="16">
        <v>6229312.71</v>
      </c>
      <c r="F91" s="16">
        <v>4153750.8192389226</v>
      </c>
      <c r="G91" s="16">
        <v>2430196.77</v>
      </c>
      <c r="H91" s="16">
        <v>18846882.969999999</v>
      </c>
      <c r="I91" s="16">
        <v>11368892.92</v>
      </c>
      <c r="J91" s="16">
        <v>0</v>
      </c>
      <c r="K91" s="16">
        <v>0</v>
      </c>
      <c r="L91" s="16">
        <v>0</v>
      </c>
      <c r="M91" s="16">
        <v>0</v>
      </c>
      <c r="N91" s="18">
        <f t="shared" si="2"/>
        <v>496358570.94019645</v>
      </c>
      <c r="O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>
        <v>584509385.41999996</v>
      </c>
      <c r="C92" s="16">
        <v>0</v>
      </c>
      <c r="D92" s="16">
        <v>1105443.2799999998</v>
      </c>
      <c r="E92" s="16">
        <v>7597391.5700000003</v>
      </c>
      <c r="F92" s="16">
        <v>888150.26853941486</v>
      </c>
      <c r="G92" s="16">
        <v>821474.97</v>
      </c>
      <c r="H92" s="16">
        <v>28095476.82</v>
      </c>
      <c r="I92" s="16">
        <v>2430883.73</v>
      </c>
      <c r="J92" s="16">
        <v>0</v>
      </c>
      <c r="K92" s="16">
        <v>0</v>
      </c>
      <c r="L92" s="16">
        <v>0</v>
      </c>
      <c r="M92" s="16">
        <v>0</v>
      </c>
      <c r="N92" s="18">
        <f t="shared" si="2"/>
        <v>625448206.05853951</v>
      </c>
      <c r="O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>
        <v>6612451806.8099995</v>
      </c>
      <c r="C93" s="16">
        <v>0</v>
      </c>
      <c r="D93" s="16">
        <v>53259143.219114497</v>
      </c>
      <c r="E93" s="16">
        <v>121712874.35999998</v>
      </c>
      <c r="F93" s="16">
        <v>145012832.05540925</v>
      </c>
      <c r="G93" s="16">
        <v>32245262.270528376</v>
      </c>
      <c r="H93" s="16">
        <v>291260908.22000003</v>
      </c>
      <c r="I93" s="16">
        <v>396902806.88999999</v>
      </c>
      <c r="J93" s="16">
        <v>0</v>
      </c>
      <c r="K93" s="16">
        <v>0</v>
      </c>
      <c r="L93" s="16">
        <v>0</v>
      </c>
      <c r="M93" s="16">
        <v>0</v>
      </c>
      <c r="N93" s="18">
        <f t="shared" si="2"/>
        <v>7652845633.8250523</v>
      </c>
      <c r="O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>
        <v>3400450762.9299998</v>
      </c>
      <c r="C94" s="16">
        <v>0</v>
      </c>
      <c r="D94" s="16">
        <v>77420832.010000005</v>
      </c>
      <c r="E94" s="16">
        <v>68909288.890000001</v>
      </c>
      <c r="F94" s="16">
        <v>65571862.839283355</v>
      </c>
      <c r="G94" s="16">
        <v>39104636.823248044</v>
      </c>
      <c r="H94" s="16">
        <v>164901060.58000001</v>
      </c>
      <c r="I94" s="16">
        <v>179471402.94</v>
      </c>
      <c r="J94" s="16">
        <v>0</v>
      </c>
      <c r="K94" s="16">
        <v>0</v>
      </c>
      <c r="L94" s="16">
        <v>0</v>
      </c>
      <c r="M94" s="16">
        <v>0</v>
      </c>
      <c r="N94" s="18">
        <f t="shared" si="2"/>
        <v>3995829847.0125313</v>
      </c>
      <c r="O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>
        <v>691114935.48000002</v>
      </c>
      <c r="C95" s="16">
        <v>0</v>
      </c>
      <c r="D95" s="16">
        <v>17911947.674981967</v>
      </c>
      <c r="E95" s="16">
        <v>10146984.609999999</v>
      </c>
      <c r="F95" s="16">
        <v>3215181.5398217244</v>
      </c>
      <c r="G95" s="16">
        <v>1951003.04</v>
      </c>
      <c r="H95" s="16">
        <v>30699860.539999999</v>
      </c>
      <c r="I95" s="16">
        <v>8800011.4199999999</v>
      </c>
      <c r="J95" s="16">
        <v>0</v>
      </c>
      <c r="K95" s="16">
        <v>0</v>
      </c>
      <c r="L95" s="16">
        <v>0</v>
      </c>
      <c r="M95" s="16">
        <v>0</v>
      </c>
      <c r="N95" s="18">
        <f t="shared" si="2"/>
        <v>763839924.30480361</v>
      </c>
      <c r="O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>
        <v>2127611714.5599999</v>
      </c>
      <c r="C96" s="16">
        <v>0</v>
      </c>
      <c r="D96" s="16">
        <v>67016132.205953293</v>
      </c>
      <c r="E96" s="16">
        <v>26074093.25</v>
      </c>
      <c r="F96" s="16">
        <v>18018978.810629353</v>
      </c>
      <c r="G96" s="16">
        <v>9977498.0199999996</v>
      </c>
      <c r="H96" s="16">
        <v>95755871.280000001</v>
      </c>
      <c r="I96" s="16">
        <v>49318278.710000001</v>
      </c>
      <c r="J96" s="16">
        <v>0</v>
      </c>
      <c r="K96" s="16">
        <v>0</v>
      </c>
      <c r="L96" s="16">
        <v>0</v>
      </c>
      <c r="M96" s="16">
        <v>0</v>
      </c>
      <c r="N96" s="18">
        <f t="shared" si="2"/>
        <v>2393772566.8365827</v>
      </c>
      <c r="O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>
        <v>1080073686.6700001</v>
      </c>
      <c r="C97" s="16">
        <v>0</v>
      </c>
      <c r="D97" s="16">
        <v>88413249.983747989</v>
      </c>
      <c r="E97" s="16">
        <v>16457857.209999999</v>
      </c>
      <c r="F97" s="16">
        <v>8319136.7948342571</v>
      </c>
      <c r="G97" s="16">
        <v>5134218.54</v>
      </c>
      <c r="H97" s="16">
        <v>49793504.289999999</v>
      </c>
      <c r="I97" s="16">
        <v>22769631.469999999</v>
      </c>
      <c r="J97" s="16">
        <v>0</v>
      </c>
      <c r="K97" s="16">
        <v>0</v>
      </c>
      <c r="L97" s="16">
        <v>0</v>
      </c>
      <c r="M97" s="16">
        <v>0</v>
      </c>
      <c r="N97" s="18">
        <f t="shared" si="2"/>
        <v>1270961284.9585824</v>
      </c>
      <c r="O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>
        <v>3107660440.8100004</v>
      </c>
      <c r="C98" s="16">
        <v>0</v>
      </c>
      <c r="D98" s="16">
        <v>73374060.291789889</v>
      </c>
      <c r="E98" s="16">
        <v>58576372.079999998</v>
      </c>
      <c r="F98" s="16">
        <v>19345386.635260269</v>
      </c>
      <c r="G98" s="16">
        <v>12287896.359999999</v>
      </c>
      <c r="H98" s="16">
        <v>140174220.86000001</v>
      </c>
      <c r="I98" s="16">
        <v>52948681.490000002</v>
      </c>
      <c r="J98" s="16">
        <v>0</v>
      </c>
      <c r="K98" s="16">
        <v>0</v>
      </c>
      <c r="L98" s="16">
        <v>0</v>
      </c>
      <c r="M98" s="16">
        <v>0</v>
      </c>
      <c r="N98" s="18">
        <f t="shared" si="2"/>
        <v>3464367058.5270505</v>
      </c>
      <c r="O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>
        <v>2204191412.0599995</v>
      </c>
      <c r="C99" s="16">
        <v>0</v>
      </c>
      <c r="D99" s="16">
        <v>34800560.637227669</v>
      </c>
      <c r="E99" s="16">
        <v>32735816.59</v>
      </c>
      <c r="F99" s="16">
        <v>7171134.7010016516</v>
      </c>
      <c r="G99" s="16">
        <v>3679523.28</v>
      </c>
      <c r="H99" s="16">
        <v>99042724.810000002</v>
      </c>
      <c r="I99" s="16">
        <v>19627528.48</v>
      </c>
      <c r="J99" s="16">
        <v>0</v>
      </c>
      <c r="K99" s="16">
        <v>0</v>
      </c>
      <c r="L99" s="16">
        <v>0</v>
      </c>
      <c r="M99" s="16">
        <v>0</v>
      </c>
      <c r="N99" s="18">
        <f t="shared" si="2"/>
        <v>2401248700.558229</v>
      </c>
      <c r="O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>
        <v>2328855324.0500002</v>
      </c>
      <c r="C100" s="16">
        <v>0</v>
      </c>
      <c r="D100" s="16">
        <v>82958300.956984654</v>
      </c>
      <c r="E100" s="16">
        <v>35714850.480000004</v>
      </c>
      <c r="F100" s="16">
        <v>8051528.1986367917</v>
      </c>
      <c r="G100" s="16">
        <v>4381199.82</v>
      </c>
      <c r="H100" s="16">
        <v>108055838.37</v>
      </c>
      <c r="I100" s="16">
        <v>22037181.789999999</v>
      </c>
      <c r="J100" s="16">
        <v>0</v>
      </c>
      <c r="K100" s="16">
        <v>0</v>
      </c>
      <c r="L100" s="16">
        <v>0</v>
      </c>
      <c r="M100" s="16">
        <v>0</v>
      </c>
      <c r="N100" s="18">
        <f t="shared" si="2"/>
        <v>2590054223.6656218</v>
      </c>
      <c r="O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>
        <v>477199865.32000005</v>
      </c>
      <c r="C101" s="16">
        <v>0</v>
      </c>
      <c r="D101" s="16">
        <v>9396961.4121605866</v>
      </c>
      <c r="E101" s="16">
        <v>7318953.0700000003</v>
      </c>
      <c r="F101" s="16">
        <v>961839.59213002131</v>
      </c>
      <c r="G101" s="16">
        <v>701676.53</v>
      </c>
      <c r="H101" s="16">
        <v>22143606.920000002</v>
      </c>
      <c r="I101" s="16">
        <v>2632572.7799999998</v>
      </c>
      <c r="J101" s="16">
        <v>0</v>
      </c>
      <c r="K101" s="16">
        <v>0</v>
      </c>
      <c r="L101" s="16">
        <v>0</v>
      </c>
      <c r="M101" s="16">
        <v>0</v>
      </c>
      <c r="N101" s="18">
        <f t="shared" si="2"/>
        <v>520355475.62429059</v>
      </c>
      <c r="O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>
        <v>1322484239.7800002</v>
      </c>
      <c r="C102" s="16">
        <v>0</v>
      </c>
      <c r="D102" s="16">
        <v>84584554.932198405</v>
      </c>
      <c r="E102" s="16">
        <v>25416288.43</v>
      </c>
      <c r="F102" s="16">
        <v>18624006.941162754</v>
      </c>
      <c r="G102" s="16">
        <v>11261052.65</v>
      </c>
      <c r="H102" s="16">
        <v>60821595.840000004</v>
      </c>
      <c r="I102" s="16">
        <v>50974251.899999999</v>
      </c>
      <c r="J102" s="16">
        <v>0</v>
      </c>
      <c r="K102" s="16">
        <v>0</v>
      </c>
      <c r="L102" s="16">
        <v>0</v>
      </c>
      <c r="M102" s="16">
        <v>0</v>
      </c>
      <c r="N102" s="18">
        <f t="shared" si="2"/>
        <v>1574165990.4733617</v>
      </c>
      <c r="O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>
        <v>490881370.01000005</v>
      </c>
      <c r="C103" s="16">
        <v>0</v>
      </c>
      <c r="D103" s="16">
        <v>20927538.498139691</v>
      </c>
      <c r="E103" s="16">
        <v>7349712.8000000007</v>
      </c>
      <c r="F103" s="16">
        <v>461527.86880432477</v>
      </c>
      <c r="G103" s="16">
        <v>444965.61</v>
      </c>
      <c r="H103" s="16">
        <v>22236670.989999998</v>
      </c>
      <c r="I103" s="16">
        <v>1263210.32</v>
      </c>
      <c r="J103" s="16">
        <v>0</v>
      </c>
      <c r="K103" s="16">
        <v>0</v>
      </c>
      <c r="L103" s="16">
        <v>0</v>
      </c>
      <c r="M103" s="16">
        <v>0</v>
      </c>
      <c r="N103" s="18">
        <f t="shared" si="2"/>
        <v>543564996.09694409</v>
      </c>
      <c r="O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>
        <v>7359761916.1000004</v>
      </c>
      <c r="C104" s="16">
        <v>0</v>
      </c>
      <c r="D104" s="16">
        <v>65660606.831417575</v>
      </c>
      <c r="E104" s="16">
        <v>137551062.71999997</v>
      </c>
      <c r="F104" s="16">
        <v>94582186.02126947</v>
      </c>
      <c r="G104" s="16">
        <v>22022532.794755362</v>
      </c>
      <c r="H104" s="16">
        <v>329161953.20999998</v>
      </c>
      <c r="I104" s="16">
        <v>258873194.75</v>
      </c>
      <c r="J104" s="16">
        <v>0</v>
      </c>
      <c r="K104" s="16">
        <v>0</v>
      </c>
      <c r="L104" s="16">
        <v>0</v>
      </c>
      <c r="M104" s="16">
        <v>0</v>
      </c>
      <c r="N104" s="18">
        <f t="shared" ref="N104:N135" si="3">SUM(B104:M104)</f>
        <v>8267613452.4274435</v>
      </c>
      <c r="O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>
        <v>1261453098</v>
      </c>
      <c r="C105" s="16">
        <v>0</v>
      </c>
      <c r="D105" s="16">
        <v>19487669.670000002</v>
      </c>
      <c r="E105" s="16">
        <v>20322495.629999999</v>
      </c>
      <c r="F105" s="16">
        <v>4076183.1101961792</v>
      </c>
      <c r="G105" s="16">
        <v>3850663.9</v>
      </c>
      <c r="H105" s="16">
        <v>58521785.420000002</v>
      </c>
      <c r="I105" s="16">
        <v>11156588.66</v>
      </c>
      <c r="J105" s="16">
        <v>0</v>
      </c>
      <c r="K105" s="16">
        <v>0</v>
      </c>
      <c r="L105" s="16">
        <v>0</v>
      </c>
      <c r="M105" s="16">
        <v>0</v>
      </c>
      <c r="N105" s="18">
        <f t="shared" si="3"/>
        <v>1378868484.3901966</v>
      </c>
      <c r="O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>
        <v>1345286747.6400001</v>
      </c>
      <c r="C106" s="16">
        <v>0</v>
      </c>
      <c r="D106" s="16">
        <v>12567123.620000003</v>
      </c>
      <c r="E106" s="16">
        <v>19862400.790000003</v>
      </c>
      <c r="F106" s="16">
        <v>28882336.4620656</v>
      </c>
      <c r="G106" s="16">
        <v>9231923.6439218614</v>
      </c>
      <c r="H106" s="16">
        <v>60094004.07</v>
      </c>
      <c r="I106" s="16">
        <v>79051489.780000001</v>
      </c>
      <c r="J106" s="16">
        <v>0</v>
      </c>
      <c r="K106" s="16">
        <v>0</v>
      </c>
      <c r="L106" s="16">
        <v>0</v>
      </c>
      <c r="M106" s="16">
        <v>0</v>
      </c>
      <c r="N106" s="18">
        <f t="shared" si="3"/>
        <v>1554976026.0059874</v>
      </c>
      <c r="O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>
        <v>1805744369.0100002</v>
      </c>
      <c r="C107" s="16">
        <v>0</v>
      </c>
      <c r="D107" s="16">
        <v>25138068.639677294</v>
      </c>
      <c r="E107" s="16">
        <v>27529032.090000004</v>
      </c>
      <c r="F107" s="16">
        <v>1605651.5771847935</v>
      </c>
      <c r="G107" s="16">
        <v>1625835.87</v>
      </c>
      <c r="H107" s="16">
        <v>83289516.930000007</v>
      </c>
      <c r="I107" s="16">
        <v>4394698.0999999996</v>
      </c>
      <c r="J107" s="16">
        <v>0</v>
      </c>
      <c r="K107" s="16">
        <v>0</v>
      </c>
      <c r="L107" s="16">
        <v>0</v>
      </c>
      <c r="M107" s="16">
        <v>0</v>
      </c>
      <c r="N107" s="18">
        <f t="shared" si="3"/>
        <v>1949327172.216862</v>
      </c>
      <c r="O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>
        <v>659956609.35000002</v>
      </c>
      <c r="C108" s="16">
        <v>0</v>
      </c>
      <c r="D108" s="16">
        <v>10184885.194563238</v>
      </c>
      <c r="E108" s="16">
        <v>9761089.7200000007</v>
      </c>
      <c r="F108" s="16">
        <v>1628921.8898976168</v>
      </c>
      <c r="G108" s="16">
        <v>1197984.32</v>
      </c>
      <c r="H108" s="16">
        <v>29532329.559999999</v>
      </c>
      <c r="I108" s="16">
        <v>4458389.38</v>
      </c>
      <c r="J108" s="16">
        <v>0</v>
      </c>
      <c r="K108" s="16">
        <v>0</v>
      </c>
      <c r="L108" s="16">
        <v>0</v>
      </c>
      <c r="M108" s="16">
        <v>0</v>
      </c>
      <c r="N108" s="18">
        <f t="shared" si="3"/>
        <v>716720209.4144609</v>
      </c>
      <c r="O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>
        <v>6046735360.6099987</v>
      </c>
      <c r="C109" s="16">
        <v>0</v>
      </c>
      <c r="D109" s="16">
        <v>160472972.2006796</v>
      </c>
      <c r="E109" s="16">
        <v>118629380.2</v>
      </c>
      <c r="F109" s="16">
        <v>166312924.95854667</v>
      </c>
      <c r="G109" s="16">
        <v>99407889.980776131</v>
      </c>
      <c r="H109" s="16">
        <v>283882056.01999998</v>
      </c>
      <c r="I109" s="16">
        <v>455201555.63</v>
      </c>
      <c r="J109" s="16">
        <v>0</v>
      </c>
      <c r="K109" s="16">
        <v>0</v>
      </c>
      <c r="L109" s="16">
        <v>0</v>
      </c>
      <c r="M109" s="16">
        <v>0</v>
      </c>
      <c r="N109" s="18">
        <f t="shared" si="3"/>
        <v>7330642139.6000013</v>
      </c>
      <c r="O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>
        <v>699562575.99000001</v>
      </c>
      <c r="C110" s="16">
        <v>0</v>
      </c>
      <c r="D110" s="16">
        <v>26769428.859504044</v>
      </c>
      <c r="E110" s="16">
        <v>13597307.74</v>
      </c>
      <c r="F110" s="16">
        <v>6356673.7560528424</v>
      </c>
      <c r="G110" s="16">
        <v>3884892.03</v>
      </c>
      <c r="H110" s="16">
        <v>32538580.829999998</v>
      </c>
      <c r="I110" s="16">
        <v>17398333.789999999</v>
      </c>
      <c r="J110" s="16">
        <v>0</v>
      </c>
      <c r="K110" s="16">
        <v>0</v>
      </c>
      <c r="L110" s="16">
        <v>0</v>
      </c>
      <c r="M110" s="16">
        <v>0</v>
      </c>
      <c r="N110" s="18">
        <f t="shared" si="3"/>
        <v>800107792.99555683</v>
      </c>
      <c r="O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>
        <v>835183934.67999995</v>
      </c>
      <c r="C111" s="16">
        <v>0</v>
      </c>
      <c r="D111" s="16">
        <v>23834535.076287918</v>
      </c>
      <c r="E111" s="16">
        <v>12377997.620000001</v>
      </c>
      <c r="F111" s="16">
        <v>2214558.0931703313</v>
      </c>
      <c r="G111" s="16">
        <v>1625835.87</v>
      </c>
      <c r="H111" s="16">
        <v>37449825.289999999</v>
      </c>
      <c r="I111" s="16">
        <v>6061286.5099999998</v>
      </c>
      <c r="J111" s="16">
        <v>0</v>
      </c>
      <c r="K111" s="16">
        <v>0</v>
      </c>
      <c r="L111" s="16">
        <v>0</v>
      </c>
      <c r="M111" s="16">
        <v>0</v>
      </c>
      <c r="N111" s="18">
        <f t="shared" si="3"/>
        <v>918747973.13945806</v>
      </c>
      <c r="O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>
        <v>1202105362.8399999</v>
      </c>
      <c r="C112" s="16">
        <v>0</v>
      </c>
      <c r="D112" s="16">
        <v>38577094.80962237</v>
      </c>
      <c r="E112" s="16">
        <v>18135194.98</v>
      </c>
      <c r="F112" s="16">
        <v>2691599.5037832051</v>
      </c>
      <c r="G112" s="16">
        <v>1933888.98</v>
      </c>
      <c r="H112" s="16">
        <v>54868315.880000003</v>
      </c>
      <c r="I112" s="16">
        <v>7366957.6900000004</v>
      </c>
      <c r="J112" s="16">
        <v>0</v>
      </c>
      <c r="K112" s="16">
        <v>0</v>
      </c>
      <c r="L112" s="16">
        <v>0</v>
      </c>
      <c r="M112" s="16">
        <v>0</v>
      </c>
      <c r="N112" s="18">
        <f t="shared" si="3"/>
        <v>1325678414.6834056</v>
      </c>
      <c r="O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>
        <v>951522635.76999986</v>
      </c>
      <c r="C113" s="16">
        <v>0</v>
      </c>
      <c r="D113" s="16">
        <v>58650855.210358694</v>
      </c>
      <c r="E113" s="16">
        <v>14353145.560000001</v>
      </c>
      <c r="F113" s="16">
        <v>3793060.9721901645</v>
      </c>
      <c r="G113" s="16">
        <v>2498653.02</v>
      </c>
      <c r="H113" s="16">
        <v>43425666.229999997</v>
      </c>
      <c r="I113" s="16">
        <v>10381678.130000001</v>
      </c>
      <c r="J113" s="16">
        <v>0</v>
      </c>
      <c r="K113" s="16">
        <v>0</v>
      </c>
      <c r="L113" s="16">
        <v>0</v>
      </c>
      <c r="M113" s="16">
        <v>0</v>
      </c>
      <c r="N113" s="18">
        <f t="shared" si="3"/>
        <v>1084625694.8925488</v>
      </c>
      <c r="O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>
        <v>582336260.51999998</v>
      </c>
      <c r="C114" s="16">
        <v>0</v>
      </c>
      <c r="D114" s="16">
        <v>22135201.36763851</v>
      </c>
      <c r="E114" s="16">
        <v>8888631.7300000004</v>
      </c>
      <c r="F114" s="16">
        <v>2296004.187665212</v>
      </c>
      <c r="G114" s="16">
        <v>1369124.94</v>
      </c>
      <c r="H114" s="16">
        <v>26892694.300000001</v>
      </c>
      <c r="I114" s="16">
        <v>6284205.9800000004</v>
      </c>
      <c r="J114" s="16">
        <v>0</v>
      </c>
      <c r="K114" s="16">
        <v>0</v>
      </c>
      <c r="L114" s="16">
        <v>0</v>
      </c>
      <c r="M114" s="16">
        <v>0</v>
      </c>
      <c r="N114" s="18">
        <f t="shared" si="3"/>
        <v>650202123.02530372</v>
      </c>
      <c r="O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>
        <v>1445097456.4400001</v>
      </c>
      <c r="C115" s="16">
        <v>0</v>
      </c>
      <c r="D115" s="16">
        <v>18423917.458635643</v>
      </c>
      <c r="E115" s="16">
        <v>23162547.68</v>
      </c>
      <c r="F115" s="16">
        <v>2377450.2821600931</v>
      </c>
      <c r="G115" s="16">
        <v>2207713.9700000002</v>
      </c>
      <c r="H115" s="16">
        <v>70078650.060000002</v>
      </c>
      <c r="I115" s="16">
        <v>6507125.4500000002</v>
      </c>
      <c r="J115" s="16">
        <v>0</v>
      </c>
      <c r="K115" s="16">
        <v>0</v>
      </c>
      <c r="L115" s="16">
        <v>0</v>
      </c>
      <c r="M115" s="16">
        <v>0</v>
      </c>
      <c r="N115" s="18">
        <f t="shared" si="3"/>
        <v>1567854861.3407958</v>
      </c>
      <c r="O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>
        <v>910263869.88999999</v>
      </c>
      <c r="C116" s="16">
        <v>0</v>
      </c>
      <c r="D116" s="16">
        <v>27356740.288493145</v>
      </c>
      <c r="E116" s="16">
        <v>13934160.66</v>
      </c>
      <c r="F116" s="16">
        <v>6562228.1850161124</v>
      </c>
      <c r="G116" s="16">
        <v>3474154.54</v>
      </c>
      <c r="H116" s="16">
        <v>42158020.880000003</v>
      </c>
      <c r="I116" s="16">
        <v>17960940.07</v>
      </c>
      <c r="J116" s="16">
        <v>0</v>
      </c>
      <c r="K116" s="16">
        <v>0</v>
      </c>
      <c r="L116" s="16">
        <v>0</v>
      </c>
      <c r="M116" s="16">
        <v>0</v>
      </c>
      <c r="N116" s="18">
        <f t="shared" si="3"/>
        <v>1021710114.5135093</v>
      </c>
      <c r="O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>
        <v>492748420.98000002</v>
      </c>
      <c r="C117" s="16">
        <v>0</v>
      </c>
      <c r="D117" s="16">
        <v>8793535.144606173</v>
      </c>
      <c r="E117" s="16">
        <v>7146046.0599999996</v>
      </c>
      <c r="F117" s="16">
        <v>1380705.2209608371</v>
      </c>
      <c r="G117" s="16">
        <v>924159.34</v>
      </c>
      <c r="H117" s="16">
        <v>21620474.079999998</v>
      </c>
      <c r="I117" s="16">
        <v>3779015.76</v>
      </c>
      <c r="J117" s="16">
        <v>0</v>
      </c>
      <c r="K117" s="16">
        <v>0</v>
      </c>
      <c r="L117" s="16">
        <v>0</v>
      </c>
      <c r="M117" s="16">
        <v>0</v>
      </c>
      <c r="N117" s="18">
        <f t="shared" si="3"/>
        <v>536392356.585567</v>
      </c>
      <c r="O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>
        <v>845100730.01999986</v>
      </c>
      <c r="C118" s="16">
        <v>0</v>
      </c>
      <c r="D118" s="16">
        <v>49897279.044721141</v>
      </c>
      <c r="E118" s="16">
        <v>12530398.140000001</v>
      </c>
      <c r="F118" s="16">
        <v>6511809.174138329</v>
      </c>
      <c r="G118" s="16">
        <v>3850663.9</v>
      </c>
      <c r="H118" s="16">
        <v>37910915.420000002</v>
      </c>
      <c r="I118" s="16">
        <v>17822942.300000001</v>
      </c>
      <c r="J118" s="16">
        <v>0</v>
      </c>
      <c r="K118" s="16">
        <v>0</v>
      </c>
      <c r="L118" s="16">
        <v>0</v>
      </c>
      <c r="M118" s="16">
        <v>0</v>
      </c>
      <c r="N118" s="18">
        <f t="shared" si="3"/>
        <v>973624737.99885917</v>
      </c>
      <c r="O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>
        <v>1107650947.8099999</v>
      </c>
      <c r="C119" s="16">
        <v>0</v>
      </c>
      <c r="D119" s="16">
        <v>23522984.3714021</v>
      </c>
      <c r="E119" s="16">
        <v>16955139.630000003</v>
      </c>
      <c r="F119" s="16">
        <v>5231941.974933059</v>
      </c>
      <c r="G119" s="16">
        <v>2584223.33</v>
      </c>
      <c r="H119" s="16">
        <v>51298039.979999997</v>
      </c>
      <c r="I119" s="16">
        <v>14319922.08</v>
      </c>
      <c r="J119" s="16">
        <v>0</v>
      </c>
      <c r="K119" s="16">
        <v>0</v>
      </c>
      <c r="L119" s="16">
        <v>0</v>
      </c>
      <c r="M119" s="16">
        <v>0</v>
      </c>
      <c r="N119" s="18">
        <f t="shared" si="3"/>
        <v>1221563199.1763351</v>
      </c>
      <c r="O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>
        <v>684932242.07999992</v>
      </c>
      <c r="C120" s="16">
        <v>0</v>
      </c>
      <c r="D120" s="16">
        <v>41243375.575378351</v>
      </c>
      <c r="E120" s="16">
        <v>10530549.210000001</v>
      </c>
      <c r="F120" s="16">
        <v>3525452.3759926986</v>
      </c>
      <c r="G120" s="16">
        <v>2618451.4500000002</v>
      </c>
      <c r="H120" s="16">
        <v>31860341.219999999</v>
      </c>
      <c r="I120" s="16">
        <v>9649228.4399999995</v>
      </c>
      <c r="J120" s="16">
        <v>0</v>
      </c>
      <c r="K120" s="16">
        <v>0</v>
      </c>
      <c r="L120" s="16">
        <v>0</v>
      </c>
      <c r="M120" s="16">
        <v>0</v>
      </c>
      <c r="N120" s="18">
        <f t="shared" si="3"/>
        <v>784359640.35137105</v>
      </c>
      <c r="O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>
        <v>878799469.80999994</v>
      </c>
      <c r="C121" s="16">
        <v>0</v>
      </c>
      <c r="D121" s="16">
        <v>20088935.066231284</v>
      </c>
      <c r="E121" s="16">
        <v>12872483.690000001</v>
      </c>
      <c r="F121" s="16">
        <v>1481543.2427164037</v>
      </c>
      <c r="G121" s="16">
        <v>872817.15</v>
      </c>
      <c r="H121" s="16">
        <v>38945900.609999999</v>
      </c>
      <c r="I121" s="16">
        <v>4055011.29</v>
      </c>
      <c r="J121" s="16">
        <v>0</v>
      </c>
      <c r="K121" s="16">
        <v>0</v>
      </c>
      <c r="L121" s="16">
        <v>0</v>
      </c>
      <c r="M121" s="16">
        <v>0</v>
      </c>
      <c r="N121" s="18">
        <f t="shared" si="3"/>
        <v>957116160.85894763</v>
      </c>
      <c r="O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>
        <v>2728771521.9200001</v>
      </c>
      <c r="C122" s="16">
        <v>0</v>
      </c>
      <c r="D122" s="16">
        <v>59012115.539999992</v>
      </c>
      <c r="E122" s="16">
        <v>52868401.890000001</v>
      </c>
      <c r="F122" s="16">
        <v>44601432.6995776</v>
      </c>
      <c r="G122" s="16">
        <v>24110705.177711509</v>
      </c>
      <c r="H122" s="16">
        <v>126514954.41</v>
      </c>
      <c r="I122" s="16">
        <v>122074947.29000001</v>
      </c>
      <c r="J122" s="16">
        <v>0</v>
      </c>
      <c r="K122" s="16">
        <v>0</v>
      </c>
      <c r="L122" s="16">
        <v>0</v>
      </c>
      <c r="M122" s="16">
        <v>0</v>
      </c>
      <c r="N122" s="18">
        <f t="shared" si="3"/>
        <v>3157954078.927289</v>
      </c>
      <c r="O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>
        <v>5757036385.1999989</v>
      </c>
      <c r="C123" s="16">
        <v>0</v>
      </c>
      <c r="D123" s="16">
        <v>95297386.694999993</v>
      </c>
      <c r="E123" s="16">
        <v>92275947.25</v>
      </c>
      <c r="F123" s="16">
        <v>61999869.837865002</v>
      </c>
      <c r="G123" s="16">
        <v>57490654.919692598</v>
      </c>
      <c r="H123" s="16">
        <v>279182320.80000001</v>
      </c>
      <c r="I123" s="16">
        <v>169694791.94999999</v>
      </c>
      <c r="J123" s="16">
        <v>0</v>
      </c>
      <c r="K123" s="16">
        <v>0</v>
      </c>
      <c r="L123" s="16">
        <v>0</v>
      </c>
      <c r="M123" s="16">
        <v>0</v>
      </c>
      <c r="N123" s="18">
        <f t="shared" si="3"/>
        <v>6512977356.6525564</v>
      </c>
      <c r="O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>
        <v>5543274351.9599991</v>
      </c>
      <c r="C124" s="16">
        <v>0</v>
      </c>
      <c r="D124" s="16">
        <v>48969273.369999997</v>
      </c>
      <c r="E124" s="16">
        <v>102467698.95</v>
      </c>
      <c r="F124" s="16">
        <v>79394428.590700269</v>
      </c>
      <c r="G124" s="16">
        <v>0</v>
      </c>
      <c r="H124" s="16">
        <v>245206887.22</v>
      </c>
      <c r="I124" s="16">
        <v>217304021.38999999</v>
      </c>
      <c r="J124" s="16">
        <v>0</v>
      </c>
      <c r="K124" s="16">
        <v>0</v>
      </c>
      <c r="L124" s="16">
        <v>0</v>
      </c>
      <c r="M124" s="16">
        <v>0</v>
      </c>
      <c r="N124" s="18">
        <f t="shared" si="3"/>
        <v>6236616661.4806995</v>
      </c>
      <c r="O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>
        <v>1768709423.4099998</v>
      </c>
      <c r="C125" s="16">
        <v>0</v>
      </c>
      <c r="D125" s="16">
        <v>50158618.394928753</v>
      </c>
      <c r="E125" s="16">
        <v>26655642.010000002</v>
      </c>
      <c r="F125" s="16">
        <v>30871948.199011974</v>
      </c>
      <c r="G125" s="16">
        <v>16395271.189999999</v>
      </c>
      <c r="H125" s="16">
        <v>80647061.540000007</v>
      </c>
      <c r="I125" s="16">
        <v>84497093.950000003</v>
      </c>
      <c r="J125" s="16">
        <v>0</v>
      </c>
      <c r="K125" s="16">
        <v>0</v>
      </c>
      <c r="L125" s="16">
        <v>0</v>
      </c>
      <c r="M125" s="16">
        <v>0</v>
      </c>
      <c r="N125" s="18">
        <f t="shared" si="3"/>
        <v>2057935058.6939406</v>
      </c>
      <c r="O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>
        <v>1922052462.72</v>
      </c>
      <c r="C126" s="16">
        <v>0</v>
      </c>
      <c r="D126" s="16">
        <v>33266193.844866991</v>
      </c>
      <c r="E126" s="16">
        <v>29701321.969999999</v>
      </c>
      <c r="F126" s="16">
        <v>15455366.026766675</v>
      </c>
      <c r="G126" s="16">
        <v>6708712.2199999997</v>
      </c>
      <c r="H126" s="16">
        <v>89861813.909999996</v>
      </c>
      <c r="I126" s="16">
        <v>42301623.039999999</v>
      </c>
      <c r="J126" s="16">
        <v>0</v>
      </c>
      <c r="K126" s="16">
        <v>0</v>
      </c>
      <c r="L126" s="16">
        <v>0</v>
      </c>
      <c r="M126" s="16">
        <v>0</v>
      </c>
      <c r="N126" s="18">
        <f t="shared" si="3"/>
        <v>2139347493.7316339</v>
      </c>
      <c r="O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>
        <v>1128004864.21</v>
      </c>
      <c r="C127" s="16">
        <v>0</v>
      </c>
      <c r="D127" s="16">
        <v>19475746.042014737</v>
      </c>
      <c r="E127" s="16">
        <v>16759395.850000001</v>
      </c>
      <c r="F127" s="16">
        <v>16405570.462540284</v>
      </c>
      <c r="G127" s="16">
        <v>9583874.5999999996</v>
      </c>
      <c r="H127" s="16">
        <v>50705814.119999997</v>
      </c>
      <c r="I127" s="16">
        <v>44902350.18</v>
      </c>
      <c r="J127" s="16">
        <v>0</v>
      </c>
      <c r="K127" s="16">
        <v>0</v>
      </c>
      <c r="L127" s="16">
        <v>0</v>
      </c>
      <c r="M127" s="16">
        <v>0</v>
      </c>
      <c r="N127" s="18">
        <f t="shared" si="3"/>
        <v>1285837615.464555</v>
      </c>
      <c r="O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>
        <v>488647030.30999994</v>
      </c>
      <c r="C128" s="16">
        <v>0</v>
      </c>
      <c r="D128" s="16">
        <v>8613419.621855123</v>
      </c>
      <c r="E128" s="16">
        <v>7832081.4000000004</v>
      </c>
      <c r="F128" s="16">
        <v>1500935.1699770899</v>
      </c>
      <c r="G128" s="16">
        <v>1146642.1399999999</v>
      </c>
      <c r="H128" s="16">
        <v>23696084.719999999</v>
      </c>
      <c r="I128" s="16">
        <v>4108087.36</v>
      </c>
      <c r="J128" s="16">
        <v>0</v>
      </c>
      <c r="K128" s="16">
        <v>0</v>
      </c>
      <c r="L128" s="16">
        <v>0</v>
      </c>
      <c r="M128" s="16">
        <v>0</v>
      </c>
      <c r="N128" s="18">
        <f t="shared" si="3"/>
        <v>535544280.72183216</v>
      </c>
      <c r="O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>
        <v>3224886756.29</v>
      </c>
      <c r="C129" s="16">
        <v>0</v>
      </c>
      <c r="D129" s="16">
        <v>146547271.64655903</v>
      </c>
      <c r="E129" s="16">
        <v>40940447.120000005</v>
      </c>
      <c r="F129" s="16">
        <v>19089413.195419215</v>
      </c>
      <c r="G129" s="16">
        <v>14221785.34</v>
      </c>
      <c r="H129" s="16">
        <v>147664467.93000001</v>
      </c>
      <c r="I129" s="16">
        <v>52248077.439999998</v>
      </c>
      <c r="J129" s="16">
        <v>0</v>
      </c>
      <c r="K129" s="16">
        <v>0</v>
      </c>
      <c r="L129" s="16">
        <v>0</v>
      </c>
      <c r="M129" s="16">
        <v>0</v>
      </c>
      <c r="N129" s="18">
        <f t="shared" si="3"/>
        <v>3645598218.9619784</v>
      </c>
      <c r="O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>
        <v>842958212.53000009</v>
      </c>
      <c r="C130" s="16">
        <v>0</v>
      </c>
      <c r="D130" s="16">
        <v>29085952.79814304</v>
      </c>
      <c r="E130" s="16">
        <v>13197325.16</v>
      </c>
      <c r="F130" s="16">
        <v>2361936.7403515442</v>
      </c>
      <c r="G130" s="16">
        <v>1061071.83</v>
      </c>
      <c r="H130" s="16">
        <v>39928713.530000001</v>
      </c>
      <c r="I130" s="16">
        <v>6464664.5999999996</v>
      </c>
      <c r="J130" s="16">
        <v>0</v>
      </c>
      <c r="K130" s="16">
        <v>0</v>
      </c>
      <c r="L130" s="16">
        <v>0</v>
      </c>
      <c r="M130" s="16">
        <v>0</v>
      </c>
      <c r="N130" s="18">
        <f t="shared" si="3"/>
        <v>935057877.18849468</v>
      </c>
      <c r="O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>
        <v>5468041379.8000002</v>
      </c>
      <c r="C131" s="16">
        <v>0</v>
      </c>
      <c r="D131" s="16">
        <v>130878314.925</v>
      </c>
      <c r="E131" s="16">
        <v>136870418.27000001</v>
      </c>
      <c r="F131" s="16">
        <v>104293663.19342098</v>
      </c>
      <c r="G131" s="16">
        <v>12255592.696569536</v>
      </c>
      <c r="H131" s="16">
        <v>250799191.41999999</v>
      </c>
      <c r="I131" s="16">
        <v>285453687.62</v>
      </c>
      <c r="J131" s="16">
        <v>0</v>
      </c>
      <c r="K131" s="16">
        <v>0</v>
      </c>
      <c r="L131" s="16">
        <v>0</v>
      </c>
      <c r="M131" s="16">
        <v>0</v>
      </c>
      <c r="N131" s="18">
        <f t="shared" si="3"/>
        <v>6388592247.9249916</v>
      </c>
      <c r="O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>
        <v>203845237.75</v>
      </c>
      <c r="C132" s="16">
        <v>0</v>
      </c>
      <c r="D132" s="16">
        <v>1296363.9937686501</v>
      </c>
      <c r="E132" s="16">
        <v>3267056.87</v>
      </c>
      <c r="F132" s="16">
        <v>446014.32699577598</v>
      </c>
      <c r="G132" s="16">
        <v>256710.93</v>
      </c>
      <c r="H132" s="16">
        <v>9884531.6199999992</v>
      </c>
      <c r="I132" s="16">
        <v>1220749.47</v>
      </c>
      <c r="J132" s="16">
        <v>0</v>
      </c>
      <c r="K132" s="16">
        <v>0</v>
      </c>
      <c r="L132" s="16">
        <v>0</v>
      </c>
      <c r="M132" s="16">
        <v>0</v>
      </c>
      <c r="N132" s="18">
        <f t="shared" si="3"/>
        <v>220216664.96076447</v>
      </c>
      <c r="O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>
        <v>1371639713.0700002</v>
      </c>
      <c r="C133" s="16">
        <v>0</v>
      </c>
      <c r="D133" s="16">
        <v>19354346.158493146</v>
      </c>
      <c r="E133" s="16">
        <v>12198809.34</v>
      </c>
      <c r="F133" s="16">
        <v>1613408.348089068</v>
      </c>
      <c r="G133" s="16">
        <v>1454695.25</v>
      </c>
      <c r="H133" s="16">
        <v>61905933.189999998</v>
      </c>
      <c r="I133" s="16">
        <v>4415928.53</v>
      </c>
      <c r="J133" s="16">
        <v>0</v>
      </c>
      <c r="K133" s="16">
        <v>0</v>
      </c>
      <c r="L133" s="16">
        <v>0</v>
      </c>
      <c r="M133" s="16">
        <v>0</v>
      </c>
      <c r="N133" s="18">
        <f t="shared" si="3"/>
        <v>1472582833.8865821</v>
      </c>
      <c r="O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>
        <v>2364543544.3600001</v>
      </c>
      <c r="C134" s="16">
        <v>0</v>
      </c>
      <c r="D134" s="16">
        <v>80336892.8992998</v>
      </c>
      <c r="E134" s="16">
        <v>35348529.960000001</v>
      </c>
      <c r="F134" s="16">
        <v>7527946.1625982709</v>
      </c>
      <c r="G134" s="16">
        <v>4809051.3600000003</v>
      </c>
      <c r="H134" s="16">
        <v>106947529.98</v>
      </c>
      <c r="I134" s="16">
        <v>20604128.059999999</v>
      </c>
      <c r="J134" s="16">
        <v>0</v>
      </c>
      <c r="K134" s="16">
        <v>0</v>
      </c>
      <c r="L134" s="16">
        <v>0</v>
      </c>
      <c r="M134" s="16">
        <v>0</v>
      </c>
      <c r="N134" s="18">
        <f t="shared" si="3"/>
        <v>2620117622.781898</v>
      </c>
      <c r="O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>
        <v>1971820083.8399999</v>
      </c>
      <c r="C135" s="16">
        <v>0</v>
      </c>
      <c r="D135" s="16">
        <v>64381091.07655739</v>
      </c>
      <c r="E135" s="16">
        <v>36965397.099999994</v>
      </c>
      <c r="F135" s="16">
        <v>11332642.291144848</v>
      </c>
      <c r="G135" s="16">
        <v>6092606</v>
      </c>
      <c r="H135" s="16">
        <v>88458802.650000006</v>
      </c>
      <c r="I135" s="16">
        <v>31017651.82</v>
      </c>
      <c r="J135" s="16">
        <v>0</v>
      </c>
      <c r="K135" s="16">
        <v>0</v>
      </c>
      <c r="L135" s="16">
        <v>0</v>
      </c>
      <c r="M135" s="16">
        <v>0</v>
      </c>
      <c r="N135" s="18">
        <f t="shared" si="3"/>
        <v>2210068274.7777023</v>
      </c>
      <c r="O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>
        <v>3067962651.98</v>
      </c>
      <c r="C136" s="16">
        <v>0</v>
      </c>
      <c r="D136" s="16">
        <v>52550843.060000002</v>
      </c>
      <c r="E136" s="16">
        <v>59639361.469999999</v>
      </c>
      <c r="F136" s="16">
        <v>67425731.085404918</v>
      </c>
      <c r="G136" s="16">
        <v>42978745.680644579</v>
      </c>
      <c r="H136" s="16">
        <v>142717971.93000001</v>
      </c>
      <c r="I136" s="16">
        <v>184545474.66999999</v>
      </c>
      <c r="J136" s="16">
        <v>0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3617820779.876049</v>
      </c>
      <c r="O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>
        <v>480229997.23000002</v>
      </c>
      <c r="C137" s="16">
        <v>0</v>
      </c>
      <c r="D137" s="16">
        <v>9680296.4604496062</v>
      </c>
      <c r="E137" s="16">
        <v>7552913.4800000004</v>
      </c>
      <c r="F137" s="16">
        <v>806704.17404453398</v>
      </c>
      <c r="G137" s="16">
        <v>889931.21</v>
      </c>
      <c r="H137" s="16">
        <v>22851457.829999998</v>
      </c>
      <c r="I137" s="16">
        <v>2207964.2599999998</v>
      </c>
      <c r="J137" s="16">
        <v>0</v>
      </c>
      <c r="K137" s="16">
        <v>0</v>
      </c>
      <c r="L137" s="16">
        <v>0</v>
      </c>
      <c r="M137" s="16">
        <v>0</v>
      </c>
      <c r="N137" s="18">
        <f t="shared" si="4"/>
        <v>524219264.64449412</v>
      </c>
      <c r="O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>
        <v>1429365256.4100001</v>
      </c>
      <c r="C138" s="16">
        <v>0</v>
      </c>
      <c r="D138" s="16">
        <v>69855915.74782382</v>
      </c>
      <c r="E138" s="16">
        <v>21323954.330000002</v>
      </c>
      <c r="F138" s="16">
        <v>7023756.0538204387</v>
      </c>
      <c r="G138" s="16">
        <v>3474154.54</v>
      </c>
      <c r="H138" s="16">
        <v>64515957.159999996</v>
      </c>
      <c r="I138" s="16">
        <v>19224150.399999999</v>
      </c>
      <c r="J138" s="16">
        <v>0</v>
      </c>
      <c r="K138" s="16">
        <v>0</v>
      </c>
      <c r="L138" s="16">
        <v>0</v>
      </c>
      <c r="M138" s="16">
        <v>0</v>
      </c>
      <c r="N138" s="18">
        <f t="shared" si="4"/>
        <v>1614783144.6416442</v>
      </c>
      <c r="O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>
        <v>4863973870.1199989</v>
      </c>
      <c r="C139" s="16">
        <v>0</v>
      </c>
      <c r="D139" s="16">
        <v>76478167.484999999</v>
      </c>
      <c r="E139" s="16">
        <v>74970333.120000005</v>
      </c>
      <c r="F139" s="16">
        <v>36123282.101205721</v>
      </c>
      <c r="G139" s="16">
        <v>39471580.5266193</v>
      </c>
      <c r="H139" s="16">
        <v>226823914.54999998</v>
      </c>
      <c r="I139" s="16">
        <v>98870092.13000001</v>
      </c>
      <c r="J139" s="16">
        <v>0</v>
      </c>
      <c r="K139" s="16">
        <v>0</v>
      </c>
      <c r="L139" s="16">
        <v>0</v>
      </c>
      <c r="M139" s="16">
        <v>0</v>
      </c>
      <c r="N139" s="18">
        <f t="shared" si="4"/>
        <v>5416711240.0328236</v>
      </c>
      <c r="O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>
        <v>1458044383.7</v>
      </c>
      <c r="C140" s="16">
        <v>0</v>
      </c>
      <c r="D140" s="16">
        <v>13965063.990000002</v>
      </c>
      <c r="E140" s="16">
        <v>22098540.43</v>
      </c>
      <c r="F140" s="16">
        <v>5957200.0544827115</v>
      </c>
      <c r="G140" s="16">
        <v>3662409.22</v>
      </c>
      <c r="H140" s="16">
        <v>66859479.490000002</v>
      </c>
      <c r="I140" s="16">
        <v>16304966.869999999</v>
      </c>
      <c r="J140" s="16">
        <v>0</v>
      </c>
      <c r="K140" s="16">
        <v>0</v>
      </c>
      <c r="L140" s="16">
        <v>0</v>
      </c>
      <c r="M140" s="16">
        <v>0</v>
      </c>
      <c r="N140" s="18">
        <f t="shared" si="4"/>
        <v>1586892043.7544827</v>
      </c>
      <c r="O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>
        <v>1647136858.1099997</v>
      </c>
      <c r="C141" s="16">
        <v>0</v>
      </c>
      <c r="D141" s="16">
        <v>22838987.337806702</v>
      </c>
      <c r="E141" s="16">
        <v>25614937.57</v>
      </c>
      <c r="F141" s="16">
        <v>8590623.7764838599</v>
      </c>
      <c r="G141" s="16">
        <v>3200329.55</v>
      </c>
      <c r="H141" s="16">
        <v>77498394.049999997</v>
      </c>
      <c r="I141" s="16">
        <v>23512696.370000001</v>
      </c>
      <c r="J141" s="16">
        <v>0</v>
      </c>
      <c r="K141" s="16">
        <v>0</v>
      </c>
      <c r="L141" s="16">
        <v>0</v>
      </c>
      <c r="M141" s="16">
        <v>0</v>
      </c>
      <c r="N141" s="18">
        <f t="shared" si="4"/>
        <v>1808392826.7642899</v>
      </c>
      <c r="O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>
        <v>1674132578.8099999</v>
      </c>
      <c r="C142" s="16">
        <v>0</v>
      </c>
      <c r="D142" s="16">
        <v>34966233.848954871</v>
      </c>
      <c r="E142" s="16">
        <v>31655164.07</v>
      </c>
      <c r="F142" s="16">
        <v>36933864.660702392</v>
      </c>
      <c r="G142" s="16">
        <v>12921116.65</v>
      </c>
      <c r="H142" s="16">
        <v>75751327.760000005</v>
      </c>
      <c r="I142" s="16">
        <v>101088671.56999999</v>
      </c>
      <c r="J142" s="16">
        <v>0</v>
      </c>
      <c r="K142" s="16">
        <v>0</v>
      </c>
      <c r="L142" s="16">
        <v>0</v>
      </c>
      <c r="M142" s="16">
        <v>0</v>
      </c>
      <c r="N142" s="18">
        <f t="shared" si="4"/>
        <v>1967448957.3696573</v>
      </c>
      <c r="O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306073930717.12994</v>
      </c>
      <c r="C143" s="23">
        <f t="shared" si="5"/>
        <v>0</v>
      </c>
      <c r="D143" s="23">
        <f t="shared" si="5"/>
        <v>6094954038.4928312</v>
      </c>
      <c r="E143" s="23">
        <f t="shared" si="5"/>
        <v>5333227745.6600018</v>
      </c>
      <c r="F143" s="23">
        <f t="shared" si="5"/>
        <v>3878385452.1371846</v>
      </c>
      <c r="G143" s="23">
        <f t="shared" si="5"/>
        <v>1711406178.5499995</v>
      </c>
      <c r="H143" s="23">
        <f t="shared" si="5"/>
        <v>14100615718.620001</v>
      </c>
      <c r="I143" s="23">
        <f t="shared" si="5"/>
        <v>10615212807.980007</v>
      </c>
      <c r="J143" s="23">
        <f t="shared" ref="J143:L143" si="6">SUM(J8:J142)</f>
        <v>0</v>
      </c>
      <c r="K143" s="23">
        <f t="shared" si="6"/>
        <v>0</v>
      </c>
      <c r="L143" s="23">
        <f t="shared" si="6"/>
        <v>0</v>
      </c>
      <c r="M143" s="23">
        <f t="shared" ref="M143" si="7">SUM(M8:M142)</f>
        <v>0</v>
      </c>
      <c r="N143" s="23">
        <f>SUM(N8:N142)</f>
        <v>347807732658.56989</v>
      </c>
      <c r="O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5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44AEAC"/>
  </sheetPr>
  <dimension ref="A1:N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5.33203125" style="1" customWidth="1"/>
    <col min="3" max="3" width="22.33203125" style="1" hidden="1" customWidth="1"/>
    <col min="4" max="9" width="22.33203125" style="1" customWidth="1"/>
    <col min="10" max="11" width="22.33203125" style="1" hidden="1" customWidth="1"/>
    <col min="12" max="12" width="22.5" style="1" hidden="1" customWidth="1"/>
    <col min="13" max="13" width="22.33203125" style="1" hidden="1" customWidth="1"/>
    <col min="14" max="14" width="23.83203125" style="1" customWidth="1"/>
    <col min="15" max="16384" width="12" style="1"/>
  </cols>
  <sheetData>
    <row r="1" spans="1:1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7.25" customHeight="1" x14ac:dyDescent="0.25">
      <c r="A4" s="21" t="s">
        <v>173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4" ht="18.75" customHeight="1" x14ac:dyDescent="0.2">
      <c r="A6" s="33" t="s">
        <v>2</v>
      </c>
      <c r="B6" s="34" t="s">
        <v>172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/>
      <c r="M7" s="19" t="s">
        <v>142</v>
      </c>
      <c r="N7" s="20" t="s">
        <v>140</v>
      </c>
    </row>
    <row r="8" spans="1:14" ht="18" customHeight="1" x14ac:dyDescent="0.2">
      <c r="A8" s="17" t="s">
        <v>3</v>
      </c>
      <c r="B8" s="16">
        <v>1225788331.0700002</v>
      </c>
      <c r="C8" s="16">
        <v>0</v>
      </c>
      <c r="D8" s="16">
        <v>26243087.782019645</v>
      </c>
      <c r="E8" s="16">
        <v>15035828.150000002</v>
      </c>
      <c r="F8" s="16">
        <v>3423171.63</v>
      </c>
      <c r="G8" s="16">
        <v>1912660.37</v>
      </c>
      <c r="H8" s="16">
        <v>68474653.480000004</v>
      </c>
      <c r="I8" s="16">
        <v>9455501.1400000006</v>
      </c>
      <c r="J8" s="16">
        <v>0</v>
      </c>
      <c r="K8" s="16">
        <v>0</v>
      </c>
      <c r="L8" s="16">
        <v>0</v>
      </c>
      <c r="M8" s="16">
        <v>0</v>
      </c>
      <c r="N8" s="18">
        <f t="shared" ref="N8:N39" si="0">SUM(B8:M8)</f>
        <v>1350333233.62202</v>
      </c>
    </row>
    <row r="9" spans="1:14" ht="18" customHeight="1" x14ac:dyDescent="0.2">
      <c r="A9" s="17" t="s">
        <v>4</v>
      </c>
      <c r="B9" s="16">
        <v>679865674.16999996</v>
      </c>
      <c r="C9" s="16">
        <v>0</v>
      </c>
      <c r="D9" s="16">
        <v>22067477.97555555</v>
      </c>
      <c r="E9" s="16">
        <v>7946220.25</v>
      </c>
      <c r="F9" s="16">
        <v>2398346.33</v>
      </c>
      <c r="G9" s="16">
        <v>1415368.67</v>
      </c>
      <c r="H9" s="16">
        <v>37978470.890000001</v>
      </c>
      <c r="I9" s="16">
        <v>6624723.7800000003</v>
      </c>
      <c r="J9" s="16">
        <v>0</v>
      </c>
      <c r="K9" s="16">
        <v>0</v>
      </c>
      <c r="L9" s="16">
        <v>0</v>
      </c>
      <c r="M9" s="16">
        <v>0</v>
      </c>
      <c r="N9" s="18">
        <f t="shared" si="0"/>
        <v>758296282.06555545</v>
      </c>
    </row>
    <row r="10" spans="1:14" ht="18" customHeight="1" x14ac:dyDescent="0.2">
      <c r="A10" s="17" t="s">
        <v>5</v>
      </c>
      <c r="B10" s="16">
        <v>725277669.97000003</v>
      </c>
      <c r="C10" s="16">
        <v>0</v>
      </c>
      <c r="D10" s="16">
        <v>12380352.164881049</v>
      </c>
      <c r="E10" s="16">
        <v>8654632.1500000004</v>
      </c>
      <c r="F10" s="16">
        <v>1675440.52</v>
      </c>
      <c r="G10" s="16">
        <v>1415368.67</v>
      </c>
      <c r="H10" s="16">
        <v>40515263.420000002</v>
      </c>
      <c r="I10" s="16">
        <v>4627909.87</v>
      </c>
      <c r="J10" s="16">
        <v>0</v>
      </c>
      <c r="K10" s="16">
        <v>0</v>
      </c>
      <c r="L10" s="16">
        <v>0</v>
      </c>
      <c r="M10" s="16">
        <v>0</v>
      </c>
      <c r="N10" s="18">
        <f t="shared" si="0"/>
        <v>794546636.7648809</v>
      </c>
    </row>
    <row r="11" spans="1:14" ht="18" customHeight="1" x14ac:dyDescent="0.2">
      <c r="A11" s="17" t="s">
        <v>6</v>
      </c>
      <c r="B11" s="16">
        <v>5621300416.5099983</v>
      </c>
      <c r="C11" s="16">
        <v>0</v>
      </c>
      <c r="D11" s="16">
        <v>72362769.861314729</v>
      </c>
      <c r="E11" s="16">
        <v>69905331.489999995</v>
      </c>
      <c r="F11" s="16">
        <v>179833451.47999999</v>
      </c>
      <c r="G11" s="16">
        <v>115672859.16725783</v>
      </c>
      <c r="H11" s="16">
        <v>314015550.94</v>
      </c>
      <c r="I11" s="16">
        <v>496736823.81</v>
      </c>
      <c r="J11" s="16">
        <v>0</v>
      </c>
      <c r="K11" s="16">
        <v>0</v>
      </c>
      <c r="L11" s="16">
        <v>0</v>
      </c>
      <c r="M11" s="16">
        <v>0</v>
      </c>
      <c r="N11" s="18">
        <f t="shared" si="0"/>
        <v>6869827203.2585707</v>
      </c>
    </row>
    <row r="12" spans="1:14" ht="18" customHeight="1" x14ac:dyDescent="0.2">
      <c r="A12" s="17" t="s">
        <v>7</v>
      </c>
      <c r="B12" s="16">
        <v>740489570.05999994</v>
      </c>
      <c r="C12" s="16">
        <v>0</v>
      </c>
      <c r="D12" s="16">
        <v>33303677.647375457</v>
      </c>
      <c r="E12" s="16">
        <v>9000090.1600000001</v>
      </c>
      <c r="F12" s="16">
        <v>6148951.7800000003</v>
      </c>
      <c r="G12" s="16">
        <v>3519295.08</v>
      </c>
      <c r="H12" s="16">
        <v>41365026.439999998</v>
      </c>
      <c r="I12" s="16">
        <v>16984664.16</v>
      </c>
      <c r="J12" s="16">
        <v>0</v>
      </c>
      <c r="K12" s="16">
        <v>0</v>
      </c>
      <c r="L12" s="16">
        <v>0</v>
      </c>
      <c r="M12" s="16">
        <v>0</v>
      </c>
      <c r="N12" s="18">
        <f t="shared" si="0"/>
        <v>850811275.32737529</v>
      </c>
    </row>
    <row r="13" spans="1:14" ht="18" customHeight="1" x14ac:dyDescent="0.2">
      <c r="A13" s="17" t="s">
        <v>8</v>
      </c>
      <c r="B13" s="16">
        <v>3338229103.29</v>
      </c>
      <c r="C13" s="16">
        <v>0</v>
      </c>
      <c r="D13" s="16">
        <v>66101978.202225715</v>
      </c>
      <c r="E13" s="16">
        <v>42781217.579999998</v>
      </c>
      <c r="F13" s="16">
        <v>87450341.209999993</v>
      </c>
      <c r="G13" s="16">
        <v>0</v>
      </c>
      <c r="H13" s="16">
        <v>186479243.83000001</v>
      </c>
      <c r="I13" s="16">
        <v>241555752.69999999</v>
      </c>
      <c r="J13" s="16">
        <v>0</v>
      </c>
      <c r="K13" s="16">
        <v>0</v>
      </c>
      <c r="L13" s="16">
        <v>0</v>
      </c>
      <c r="M13" s="16">
        <v>0</v>
      </c>
      <c r="N13" s="18">
        <f t="shared" si="0"/>
        <v>3962597636.8122253</v>
      </c>
    </row>
    <row r="14" spans="1:14" ht="18" customHeight="1" x14ac:dyDescent="0.2">
      <c r="A14" s="17" t="s">
        <v>9</v>
      </c>
      <c r="B14" s="16">
        <v>1212477918.5</v>
      </c>
      <c r="C14" s="16">
        <v>0</v>
      </c>
      <c r="D14" s="16">
        <v>35437758.747838102</v>
      </c>
      <c r="E14" s="16">
        <v>14457091.649999999</v>
      </c>
      <c r="F14" s="16">
        <v>3980234.34</v>
      </c>
      <c r="G14" s="16">
        <v>2390825.46</v>
      </c>
      <c r="H14" s="16">
        <v>67731110.840000004</v>
      </c>
      <c r="I14" s="16">
        <v>10994222.439999999</v>
      </c>
      <c r="J14" s="16">
        <v>0</v>
      </c>
      <c r="K14" s="16">
        <v>0</v>
      </c>
      <c r="L14" s="16">
        <v>0</v>
      </c>
      <c r="M14" s="16">
        <v>0</v>
      </c>
      <c r="N14" s="18">
        <f t="shared" si="0"/>
        <v>1347469161.977838</v>
      </c>
    </row>
    <row r="15" spans="1:14" ht="18" customHeight="1" x14ac:dyDescent="0.2">
      <c r="A15" s="17" t="s">
        <v>10</v>
      </c>
      <c r="B15" s="16">
        <v>2051677060.9200001</v>
      </c>
      <c r="C15" s="16">
        <v>0</v>
      </c>
      <c r="D15" s="16">
        <v>66362714.678508066</v>
      </c>
      <c r="E15" s="16">
        <v>25178982.940000001</v>
      </c>
      <c r="F15" s="16">
        <v>14828073.9</v>
      </c>
      <c r="G15" s="16">
        <v>8281819.4000000004</v>
      </c>
      <c r="H15" s="16">
        <v>114610224.48999999</v>
      </c>
      <c r="I15" s="16">
        <v>40958176.979999997</v>
      </c>
      <c r="J15" s="16">
        <v>0</v>
      </c>
      <c r="K15" s="16">
        <v>0</v>
      </c>
      <c r="L15" s="16">
        <v>0</v>
      </c>
      <c r="M15" s="16">
        <v>0</v>
      </c>
      <c r="N15" s="18">
        <f t="shared" si="0"/>
        <v>2321897053.3085079</v>
      </c>
    </row>
    <row r="16" spans="1:14" ht="18" customHeight="1" x14ac:dyDescent="0.2">
      <c r="A16" s="17" t="s">
        <v>11</v>
      </c>
      <c r="B16" s="16">
        <v>3718862162.0500002</v>
      </c>
      <c r="C16" s="16">
        <v>0</v>
      </c>
      <c r="D16" s="16">
        <v>121450009.39147583</v>
      </c>
      <c r="E16" s="16">
        <v>45472153.630000003</v>
      </c>
      <c r="F16" s="16">
        <v>55302294.549999997</v>
      </c>
      <c r="G16" s="16">
        <v>36742205.710000001</v>
      </c>
      <c r="H16" s="16">
        <v>207742063.96000001</v>
      </c>
      <c r="I16" s="16">
        <v>152756263.74000001</v>
      </c>
      <c r="J16" s="16">
        <v>0</v>
      </c>
      <c r="K16" s="16">
        <v>0</v>
      </c>
      <c r="L16" s="16">
        <v>0</v>
      </c>
      <c r="M16" s="16">
        <v>0</v>
      </c>
      <c r="N16" s="18">
        <f t="shared" si="0"/>
        <v>4338327153.031476</v>
      </c>
    </row>
    <row r="17" spans="1:14" ht="15" x14ac:dyDescent="0.2">
      <c r="A17" s="17" t="s">
        <v>12</v>
      </c>
      <c r="B17" s="16">
        <v>1439733639.0599999</v>
      </c>
      <c r="C17" s="16">
        <v>0</v>
      </c>
      <c r="D17" s="16">
        <v>53943829.535369076</v>
      </c>
      <c r="E17" s="16">
        <v>17068438.57</v>
      </c>
      <c r="F17" s="16">
        <v>11358126</v>
      </c>
      <c r="G17" s="16">
        <v>5355449.04</v>
      </c>
      <c r="H17" s="16">
        <v>80426007.930000007</v>
      </c>
      <c r="I17" s="16">
        <v>31373470.239999998</v>
      </c>
      <c r="J17" s="16">
        <v>0</v>
      </c>
      <c r="K17" s="16">
        <v>0</v>
      </c>
      <c r="L17" s="16">
        <v>0</v>
      </c>
      <c r="M17" s="16">
        <v>0</v>
      </c>
      <c r="N17" s="18">
        <f t="shared" si="0"/>
        <v>1639258960.3753691</v>
      </c>
    </row>
    <row r="18" spans="1:14" ht="15" x14ac:dyDescent="0.2">
      <c r="A18" s="17" t="s">
        <v>13</v>
      </c>
      <c r="B18" s="16">
        <v>808383859.38999999</v>
      </c>
      <c r="C18" s="16">
        <v>0</v>
      </c>
      <c r="D18" s="16">
        <v>24560314.036222011</v>
      </c>
      <c r="E18" s="16">
        <v>9599066.9900000002</v>
      </c>
      <c r="F18" s="16">
        <v>7654296.8200000003</v>
      </c>
      <c r="G18" s="16">
        <v>4360865.6399999997</v>
      </c>
      <c r="H18" s="16">
        <v>45157718.710000001</v>
      </c>
      <c r="I18" s="16">
        <v>21142735.469999999</v>
      </c>
      <c r="J18" s="16">
        <v>0</v>
      </c>
      <c r="K18" s="16">
        <v>0</v>
      </c>
      <c r="L18" s="16">
        <v>0</v>
      </c>
      <c r="M18" s="16">
        <v>0</v>
      </c>
      <c r="N18" s="18">
        <f t="shared" si="0"/>
        <v>920858857.05622208</v>
      </c>
    </row>
    <row r="19" spans="1:14" ht="15" x14ac:dyDescent="0.2">
      <c r="A19" s="17" t="s">
        <v>14</v>
      </c>
      <c r="B19" s="16">
        <v>1302910427.46</v>
      </c>
      <c r="C19" s="16">
        <v>0</v>
      </c>
      <c r="D19" s="16">
        <v>32576840.24620118</v>
      </c>
      <c r="E19" s="16">
        <v>16137039.870000001</v>
      </c>
      <c r="F19" s="16">
        <v>3091485.43</v>
      </c>
      <c r="G19" s="16">
        <v>2429078.67</v>
      </c>
      <c r="H19" s="16">
        <v>72782827</v>
      </c>
      <c r="I19" s="16">
        <v>8539315.9399999995</v>
      </c>
      <c r="J19" s="16">
        <v>0</v>
      </c>
      <c r="K19" s="16">
        <v>0</v>
      </c>
      <c r="L19" s="16">
        <v>0</v>
      </c>
      <c r="M19" s="16">
        <v>0</v>
      </c>
      <c r="N19" s="18">
        <f t="shared" si="0"/>
        <v>1438467014.6162014</v>
      </c>
    </row>
    <row r="20" spans="1:14" ht="15" x14ac:dyDescent="0.2">
      <c r="A20" s="17" t="s">
        <v>15</v>
      </c>
      <c r="B20" s="16">
        <v>4666725723.0599995</v>
      </c>
      <c r="C20" s="16">
        <v>0</v>
      </c>
      <c r="D20" s="16">
        <v>40289034.8643701</v>
      </c>
      <c r="E20" s="16">
        <v>57139851.990000002</v>
      </c>
      <c r="F20" s="16">
        <v>98672390.829999998</v>
      </c>
      <c r="G20" s="16">
        <v>59729663.971416965</v>
      </c>
      <c r="H20" s="16">
        <v>260691359.72999999</v>
      </c>
      <c r="I20" s="16">
        <v>272553352.07999998</v>
      </c>
      <c r="J20" s="16">
        <v>0</v>
      </c>
      <c r="K20" s="16">
        <v>0</v>
      </c>
      <c r="L20" s="16">
        <v>0</v>
      </c>
      <c r="M20" s="16">
        <v>0</v>
      </c>
      <c r="N20" s="18">
        <f t="shared" si="0"/>
        <v>5455801376.5257864</v>
      </c>
    </row>
    <row r="21" spans="1:14" ht="15" x14ac:dyDescent="0.2">
      <c r="A21" s="17" t="s">
        <v>16</v>
      </c>
      <c r="B21" s="16">
        <v>2025559570.6799998</v>
      </c>
      <c r="C21" s="16">
        <v>0</v>
      </c>
      <c r="D21" s="16">
        <v>16829509.273620389</v>
      </c>
      <c r="E21" s="16">
        <v>24828036.02</v>
      </c>
      <c r="F21" s="16">
        <v>26237228.550000001</v>
      </c>
      <c r="G21" s="16">
        <v>7946541.6184248189</v>
      </c>
      <c r="H21" s="16">
        <v>113151256.37</v>
      </c>
      <c r="I21" s="16">
        <v>72472598.790000007</v>
      </c>
      <c r="J21" s="16">
        <v>0</v>
      </c>
      <c r="K21" s="16">
        <v>0</v>
      </c>
      <c r="L21" s="16">
        <v>0</v>
      </c>
      <c r="M21" s="16">
        <v>0</v>
      </c>
      <c r="N21" s="18">
        <f t="shared" si="0"/>
        <v>2287024741.3020449</v>
      </c>
    </row>
    <row r="22" spans="1:14" ht="15" x14ac:dyDescent="0.2">
      <c r="A22" s="17" t="s">
        <v>17</v>
      </c>
      <c r="B22" s="16">
        <v>1658292850.6100001</v>
      </c>
      <c r="C22" s="16">
        <v>0</v>
      </c>
      <c r="D22" s="16">
        <v>34403320.387752399</v>
      </c>
      <c r="E22" s="16">
        <v>19669150.719999999</v>
      </c>
      <c r="F22" s="16">
        <v>6246756.6799999997</v>
      </c>
      <c r="G22" s="16">
        <v>4112219.8</v>
      </c>
      <c r="H22" s="16">
        <v>92635103.010000005</v>
      </c>
      <c r="I22" s="16">
        <v>17254821.329999998</v>
      </c>
      <c r="J22" s="16">
        <v>0</v>
      </c>
      <c r="K22" s="16">
        <v>0</v>
      </c>
      <c r="L22" s="16">
        <v>0</v>
      </c>
      <c r="M22" s="16">
        <v>0</v>
      </c>
      <c r="N22" s="18">
        <f t="shared" si="0"/>
        <v>1832614222.5377524</v>
      </c>
    </row>
    <row r="23" spans="1:14" ht="15" x14ac:dyDescent="0.2">
      <c r="A23" s="17" t="s">
        <v>18</v>
      </c>
      <c r="B23" s="16">
        <v>1564169218.8299999</v>
      </c>
      <c r="C23" s="16">
        <v>0</v>
      </c>
      <c r="D23" s="16">
        <v>25817495.130646855</v>
      </c>
      <c r="E23" s="16">
        <v>18896244.18</v>
      </c>
      <c r="F23" s="16">
        <v>5987361.0700000003</v>
      </c>
      <c r="G23" s="16">
        <v>5068549.9800000004</v>
      </c>
      <c r="H23" s="16">
        <v>87377194.359999999</v>
      </c>
      <c r="I23" s="16">
        <v>16538317.52</v>
      </c>
      <c r="J23" s="16">
        <v>0</v>
      </c>
      <c r="K23" s="16">
        <v>0</v>
      </c>
      <c r="L23" s="16">
        <v>0</v>
      </c>
      <c r="M23" s="16">
        <v>0</v>
      </c>
      <c r="N23" s="18">
        <f t="shared" si="0"/>
        <v>1723854381.0706468</v>
      </c>
    </row>
    <row r="24" spans="1:14" ht="15" x14ac:dyDescent="0.2">
      <c r="A24" s="17" t="s">
        <v>19</v>
      </c>
      <c r="B24" s="16">
        <v>496316203.24000001</v>
      </c>
      <c r="C24" s="16">
        <v>0</v>
      </c>
      <c r="D24" s="16">
        <v>17472191.781691857</v>
      </c>
      <c r="E24" s="16">
        <v>5948601.6099999994</v>
      </c>
      <c r="F24" s="16">
        <v>6225494.75</v>
      </c>
      <c r="G24" s="16">
        <v>1347364.3962418279</v>
      </c>
      <c r="H24" s="16">
        <v>27725080.41</v>
      </c>
      <c r="I24" s="16">
        <v>17196091.510000002</v>
      </c>
      <c r="J24" s="16">
        <v>0</v>
      </c>
      <c r="K24" s="16">
        <v>0</v>
      </c>
      <c r="L24" s="16">
        <v>0</v>
      </c>
      <c r="M24" s="16">
        <v>0</v>
      </c>
      <c r="N24" s="18">
        <f t="shared" si="0"/>
        <v>572231027.69793367</v>
      </c>
    </row>
    <row r="25" spans="1:14" ht="15" x14ac:dyDescent="0.2">
      <c r="A25" s="17" t="s">
        <v>20</v>
      </c>
      <c r="B25" s="16">
        <v>1950227109.5999999</v>
      </c>
      <c r="C25" s="16">
        <v>0</v>
      </c>
      <c r="D25" s="16">
        <v>30959719.277105726</v>
      </c>
      <c r="E25" s="16">
        <v>24620829.82</v>
      </c>
      <c r="F25" s="16">
        <v>27610749.59</v>
      </c>
      <c r="G25" s="16">
        <v>12068886.939999999</v>
      </c>
      <c r="H25" s="16">
        <v>108943054.97</v>
      </c>
      <c r="I25" s="16">
        <v>76266545.209999993</v>
      </c>
      <c r="J25" s="16">
        <v>0</v>
      </c>
      <c r="K25" s="16">
        <v>0</v>
      </c>
      <c r="L25" s="16">
        <v>0</v>
      </c>
      <c r="M25" s="16">
        <v>0</v>
      </c>
      <c r="N25" s="18">
        <f t="shared" si="0"/>
        <v>2230696895.4071054</v>
      </c>
    </row>
    <row r="26" spans="1:14" ht="15" x14ac:dyDescent="0.2">
      <c r="A26" s="17" t="s">
        <v>21</v>
      </c>
      <c r="B26" s="16">
        <v>834641164.88</v>
      </c>
      <c r="C26" s="16">
        <v>0</v>
      </c>
      <c r="D26" s="16">
        <v>19348230.686007023</v>
      </c>
      <c r="E26" s="16">
        <v>10039894.75</v>
      </c>
      <c r="F26" s="16">
        <v>12557299.17</v>
      </c>
      <c r="G26" s="16">
        <v>7708021.29</v>
      </c>
      <c r="H26" s="16">
        <v>46624497.149999999</v>
      </c>
      <c r="I26" s="16">
        <v>34685832.130000003</v>
      </c>
      <c r="J26" s="16">
        <v>0</v>
      </c>
      <c r="K26" s="16">
        <v>0</v>
      </c>
      <c r="L26" s="16">
        <v>0</v>
      </c>
      <c r="M26" s="16">
        <v>0</v>
      </c>
      <c r="N26" s="18">
        <f t="shared" si="0"/>
        <v>965604940.05600691</v>
      </c>
    </row>
    <row r="27" spans="1:14" ht="15" x14ac:dyDescent="0.2">
      <c r="A27" s="17" t="s">
        <v>22</v>
      </c>
      <c r="B27" s="16">
        <v>380493243.40999997</v>
      </c>
      <c r="C27" s="16">
        <v>0</v>
      </c>
      <c r="D27" s="16">
        <v>14501699.940108631</v>
      </c>
      <c r="E27" s="16">
        <v>4913599.83</v>
      </c>
      <c r="F27" s="16">
        <v>3121252.14</v>
      </c>
      <c r="G27" s="16">
        <v>1740520.94</v>
      </c>
      <c r="H27" s="16">
        <v>21255009.809999999</v>
      </c>
      <c r="I27" s="16">
        <v>8621537.6799999997</v>
      </c>
      <c r="J27" s="16">
        <v>0</v>
      </c>
      <c r="K27" s="16">
        <v>0</v>
      </c>
      <c r="L27" s="16">
        <v>0</v>
      </c>
      <c r="M27" s="16">
        <v>0</v>
      </c>
      <c r="N27" s="18">
        <f t="shared" si="0"/>
        <v>434646863.7501086</v>
      </c>
    </row>
    <row r="28" spans="1:14" ht="15" x14ac:dyDescent="0.2">
      <c r="A28" s="17" t="s">
        <v>23</v>
      </c>
      <c r="B28" s="16">
        <v>1458384994.54</v>
      </c>
      <c r="C28" s="16">
        <v>0</v>
      </c>
      <c r="D28" s="16">
        <v>31466656.196600184</v>
      </c>
      <c r="E28" s="16">
        <v>17401546.530000001</v>
      </c>
      <c r="F28" s="16">
        <v>4299163.38</v>
      </c>
      <c r="G28" s="16">
        <v>2524711.69</v>
      </c>
      <c r="H28" s="16">
        <v>81467904.870000005</v>
      </c>
      <c r="I28" s="16">
        <v>11875169.75</v>
      </c>
      <c r="J28" s="16">
        <v>0</v>
      </c>
      <c r="K28" s="16">
        <v>0</v>
      </c>
      <c r="L28" s="16">
        <v>0</v>
      </c>
      <c r="M28" s="16">
        <v>0</v>
      </c>
      <c r="N28" s="18">
        <f t="shared" si="0"/>
        <v>1607420146.9566002</v>
      </c>
    </row>
    <row r="29" spans="1:14" ht="15" x14ac:dyDescent="0.2">
      <c r="A29" s="17" t="s">
        <v>24</v>
      </c>
      <c r="B29" s="16">
        <v>833326901.46999991</v>
      </c>
      <c r="C29" s="16">
        <v>0</v>
      </c>
      <c r="D29" s="16">
        <v>25111793.808074784</v>
      </c>
      <c r="E29" s="16">
        <v>10761342.800000001</v>
      </c>
      <c r="F29" s="16">
        <v>2683256.27</v>
      </c>
      <c r="G29" s="16">
        <v>1530128.3</v>
      </c>
      <c r="H29" s="16">
        <v>46551080.130000003</v>
      </c>
      <c r="I29" s="16">
        <v>7411703.3799999999</v>
      </c>
      <c r="J29" s="16">
        <v>0</v>
      </c>
      <c r="K29" s="16">
        <v>0</v>
      </c>
      <c r="L29" s="16">
        <v>0</v>
      </c>
      <c r="M29" s="16">
        <v>0</v>
      </c>
      <c r="N29" s="18">
        <f t="shared" si="0"/>
        <v>927376206.15807462</v>
      </c>
    </row>
    <row r="30" spans="1:14" ht="15" x14ac:dyDescent="0.2">
      <c r="A30" s="17" t="s">
        <v>25</v>
      </c>
      <c r="B30" s="16">
        <v>292269815.51999998</v>
      </c>
      <c r="C30" s="16">
        <v>0</v>
      </c>
      <c r="D30" s="16">
        <v>12393266.962950245</v>
      </c>
      <c r="E30" s="16">
        <v>3577394.33</v>
      </c>
      <c r="F30" s="16">
        <v>2317550.98</v>
      </c>
      <c r="G30" s="16">
        <v>1912660.37</v>
      </c>
      <c r="H30" s="16">
        <v>16326696.74</v>
      </c>
      <c r="I30" s="16">
        <v>6401550.46</v>
      </c>
      <c r="J30" s="16">
        <v>0</v>
      </c>
      <c r="K30" s="16">
        <v>0</v>
      </c>
      <c r="L30" s="16">
        <v>0</v>
      </c>
      <c r="M30" s="16">
        <v>0</v>
      </c>
      <c r="N30" s="18">
        <f t="shared" si="0"/>
        <v>335198935.36295021</v>
      </c>
    </row>
    <row r="31" spans="1:14" ht="15" x14ac:dyDescent="0.2">
      <c r="A31" s="17" t="s">
        <v>26</v>
      </c>
      <c r="B31" s="16">
        <v>503111224.79999995</v>
      </c>
      <c r="C31" s="16">
        <v>0</v>
      </c>
      <c r="D31" s="16">
        <v>10471684.143273855</v>
      </c>
      <c r="E31" s="16">
        <v>6232652.4899999993</v>
      </c>
      <c r="F31" s="16">
        <v>2768304.01</v>
      </c>
      <c r="G31" s="16">
        <v>1051963.2</v>
      </c>
      <c r="H31" s="16">
        <v>28104662.050000001</v>
      </c>
      <c r="I31" s="16">
        <v>7646622.6600000001</v>
      </c>
      <c r="J31" s="16">
        <v>0</v>
      </c>
      <c r="K31" s="16">
        <v>0</v>
      </c>
      <c r="L31" s="16">
        <v>0</v>
      </c>
      <c r="M31" s="16">
        <v>0</v>
      </c>
      <c r="N31" s="18">
        <f t="shared" si="0"/>
        <v>559387113.35327375</v>
      </c>
    </row>
    <row r="32" spans="1:14" ht="15" x14ac:dyDescent="0.2">
      <c r="A32" s="17" t="s">
        <v>27</v>
      </c>
      <c r="B32" s="16">
        <v>2302170077.4000006</v>
      </c>
      <c r="C32" s="16">
        <v>0</v>
      </c>
      <c r="D32" s="16">
        <v>34544510.235661909</v>
      </c>
      <c r="E32" s="16">
        <v>27380720.249999996</v>
      </c>
      <c r="F32" s="16">
        <v>8164583.2699999996</v>
      </c>
      <c r="G32" s="16">
        <v>5757107.71</v>
      </c>
      <c r="H32" s="16">
        <v>128603197.06</v>
      </c>
      <c r="I32" s="16">
        <v>22552251.16</v>
      </c>
      <c r="J32" s="16">
        <v>0</v>
      </c>
      <c r="K32" s="16">
        <v>0</v>
      </c>
      <c r="L32" s="16">
        <v>0</v>
      </c>
      <c r="M32" s="16">
        <v>0</v>
      </c>
      <c r="N32" s="18">
        <f t="shared" si="0"/>
        <v>2529172447.0856624</v>
      </c>
    </row>
    <row r="33" spans="1:14" ht="15" x14ac:dyDescent="0.2">
      <c r="A33" s="17" t="s">
        <v>28</v>
      </c>
      <c r="B33" s="16">
        <v>1441746978.8000002</v>
      </c>
      <c r="C33" s="16">
        <v>0</v>
      </c>
      <c r="D33" s="16">
        <v>31402444.667701159</v>
      </c>
      <c r="E33" s="16">
        <v>18618711.379999999</v>
      </c>
      <c r="F33" s="16">
        <v>5991613.4500000002</v>
      </c>
      <c r="G33" s="16">
        <v>4628638.0999999996</v>
      </c>
      <c r="H33" s="16">
        <v>80538476.569999993</v>
      </c>
      <c r="I33" s="16">
        <v>16550063.48</v>
      </c>
      <c r="J33" s="16">
        <v>0</v>
      </c>
      <c r="K33" s="16">
        <v>0</v>
      </c>
      <c r="L33" s="16">
        <v>0</v>
      </c>
      <c r="M33" s="16">
        <v>0</v>
      </c>
      <c r="N33" s="18">
        <f t="shared" si="0"/>
        <v>1599476926.4477015</v>
      </c>
    </row>
    <row r="34" spans="1:14" ht="15" x14ac:dyDescent="0.2">
      <c r="A34" s="17" t="s">
        <v>29</v>
      </c>
      <c r="B34" s="16">
        <v>1970807915.6099999</v>
      </c>
      <c r="C34" s="16">
        <v>0</v>
      </c>
      <c r="D34" s="16">
        <v>31940837.132497724</v>
      </c>
      <c r="E34" s="16">
        <v>24233861.969999999</v>
      </c>
      <c r="F34" s="16">
        <v>8713141.2100000009</v>
      </c>
      <c r="G34" s="16">
        <v>7727147.9000000004</v>
      </c>
      <c r="H34" s="16">
        <v>110092734.34</v>
      </c>
      <c r="I34" s="16">
        <v>24067480.539999999</v>
      </c>
      <c r="J34" s="16">
        <v>0</v>
      </c>
      <c r="K34" s="16">
        <v>0</v>
      </c>
      <c r="L34" s="16">
        <v>0</v>
      </c>
      <c r="M34" s="16">
        <v>0</v>
      </c>
      <c r="N34" s="18">
        <f t="shared" si="0"/>
        <v>2177583118.702498</v>
      </c>
    </row>
    <row r="35" spans="1:14" ht="15" x14ac:dyDescent="0.2">
      <c r="A35" s="17" t="s">
        <v>30</v>
      </c>
      <c r="B35" s="16">
        <v>972499009.42999983</v>
      </c>
      <c r="C35" s="16">
        <v>0</v>
      </c>
      <c r="D35" s="16">
        <v>34463579.587375462</v>
      </c>
      <c r="E35" s="16">
        <v>11490338.09</v>
      </c>
      <c r="F35" s="16">
        <v>5447307.9000000004</v>
      </c>
      <c r="G35" s="16">
        <v>3002876.78</v>
      </c>
      <c r="H35" s="16">
        <v>54325474.469999999</v>
      </c>
      <c r="I35" s="16">
        <v>15046580.07</v>
      </c>
      <c r="J35" s="16">
        <v>0</v>
      </c>
      <c r="K35" s="16">
        <v>0</v>
      </c>
      <c r="L35" s="16">
        <v>0</v>
      </c>
      <c r="M35" s="16">
        <v>0</v>
      </c>
      <c r="N35" s="18">
        <f t="shared" si="0"/>
        <v>1096275166.3273752</v>
      </c>
    </row>
    <row r="36" spans="1:14" ht="15" x14ac:dyDescent="0.2">
      <c r="A36" s="17" t="s">
        <v>31</v>
      </c>
      <c r="B36" s="16">
        <v>1115809649</v>
      </c>
      <c r="C36" s="16">
        <v>0</v>
      </c>
      <c r="D36" s="16">
        <v>18994819.319817021</v>
      </c>
      <c r="E36" s="16">
        <v>13516430.43</v>
      </c>
      <c r="F36" s="16">
        <v>3427424.02</v>
      </c>
      <c r="G36" s="16">
        <v>1740520.94</v>
      </c>
      <c r="H36" s="16">
        <v>62331054.340000004</v>
      </c>
      <c r="I36" s="16">
        <v>9467247.0999999996</v>
      </c>
      <c r="J36" s="16">
        <v>0</v>
      </c>
      <c r="K36" s="16">
        <v>0</v>
      </c>
      <c r="L36" s="16">
        <v>0</v>
      </c>
      <c r="M36" s="16">
        <v>0</v>
      </c>
      <c r="N36" s="18">
        <f t="shared" si="0"/>
        <v>1225287145.149817</v>
      </c>
    </row>
    <row r="37" spans="1:14" ht="15" x14ac:dyDescent="0.2">
      <c r="A37" s="17" t="s">
        <v>32</v>
      </c>
      <c r="B37" s="16">
        <v>1161808868.9400001</v>
      </c>
      <c r="C37" s="16">
        <v>0</v>
      </c>
      <c r="D37" s="16">
        <v>25283906.75193743</v>
      </c>
      <c r="E37" s="16">
        <v>14036847.300000001</v>
      </c>
      <c r="F37" s="16">
        <v>6357318.75</v>
      </c>
      <c r="G37" s="16">
        <v>2658597.91</v>
      </c>
      <c r="H37" s="16">
        <v>64900650.219999999</v>
      </c>
      <c r="I37" s="16">
        <v>17560216.399999999</v>
      </c>
      <c r="J37" s="16">
        <v>0</v>
      </c>
      <c r="K37" s="16">
        <v>0</v>
      </c>
      <c r="L37" s="16">
        <v>0</v>
      </c>
      <c r="M37" s="16">
        <v>0</v>
      </c>
      <c r="N37" s="18">
        <f t="shared" si="0"/>
        <v>1292606406.2719376</v>
      </c>
    </row>
    <row r="38" spans="1:14" ht="15" x14ac:dyDescent="0.2">
      <c r="A38" s="17" t="s">
        <v>33</v>
      </c>
      <c r="B38" s="16">
        <v>980608294.41000009</v>
      </c>
      <c r="C38" s="16">
        <v>0</v>
      </c>
      <c r="D38" s="16">
        <v>6100583.3972918363</v>
      </c>
      <c r="E38" s="16">
        <v>12275251.609999999</v>
      </c>
      <c r="F38" s="16">
        <v>5681189.1900000004</v>
      </c>
      <c r="G38" s="16">
        <v>7363742.4299999997</v>
      </c>
      <c r="H38" s="16">
        <v>54778473.130000003</v>
      </c>
      <c r="I38" s="16">
        <v>15692608.1</v>
      </c>
      <c r="J38" s="16">
        <v>0</v>
      </c>
      <c r="K38" s="16">
        <v>0</v>
      </c>
      <c r="L38" s="16">
        <v>0</v>
      </c>
      <c r="M38" s="16">
        <v>0</v>
      </c>
      <c r="N38" s="18">
        <f t="shared" si="0"/>
        <v>1082500142.2672918</v>
      </c>
    </row>
    <row r="39" spans="1:14" ht="15" x14ac:dyDescent="0.2">
      <c r="A39" s="17" t="s">
        <v>34</v>
      </c>
      <c r="B39" s="16">
        <v>1884933384.04</v>
      </c>
      <c r="C39" s="16">
        <v>0</v>
      </c>
      <c r="D39" s="16">
        <v>47189999.186655104</v>
      </c>
      <c r="E39" s="16">
        <v>22703486.43</v>
      </c>
      <c r="F39" s="16">
        <v>7237562.8799999999</v>
      </c>
      <c r="G39" s="16">
        <v>4590384.8899999997</v>
      </c>
      <c r="H39" s="16">
        <v>105295634.68000001</v>
      </c>
      <c r="I39" s="16">
        <v>19991630.98</v>
      </c>
      <c r="J39" s="16">
        <v>0</v>
      </c>
      <c r="K39" s="16">
        <v>0</v>
      </c>
      <c r="L39" s="16">
        <v>0</v>
      </c>
      <c r="M39" s="16">
        <v>0</v>
      </c>
      <c r="N39" s="18">
        <f t="shared" si="0"/>
        <v>2091942083.0866554</v>
      </c>
    </row>
    <row r="40" spans="1:14" ht="15" x14ac:dyDescent="0.2">
      <c r="A40" s="17" t="s">
        <v>35</v>
      </c>
      <c r="B40" s="16">
        <v>1237952258.55</v>
      </c>
      <c r="C40" s="16">
        <v>0</v>
      </c>
      <c r="D40" s="16">
        <v>27943512.770489074</v>
      </c>
      <c r="E40" s="16">
        <v>15986781.079999998</v>
      </c>
      <c r="F40" s="16">
        <v>3865419.89</v>
      </c>
      <c r="G40" s="16">
        <v>2008293.39</v>
      </c>
      <c r="H40" s="16">
        <v>69154151.480000004</v>
      </c>
      <c r="I40" s="16">
        <v>10677081.41</v>
      </c>
      <c r="J40" s="16">
        <v>0</v>
      </c>
      <c r="K40" s="16">
        <v>0</v>
      </c>
      <c r="L40" s="16">
        <v>0</v>
      </c>
      <c r="M40" s="16">
        <v>0</v>
      </c>
      <c r="N40" s="18">
        <f t="shared" ref="N40:N71" si="1">SUM(B40:M40)</f>
        <v>1367587498.5704892</v>
      </c>
    </row>
    <row r="41" spans="1:14" ht="15" x14ac:dyDescent="0.2">
      <c r="A41" s="17" t="s">
        <v>36</v>
      </c>
      <c r="B41" s="16">
        <v>1293654657.3799999</v>
      </c>
      <c r="C41" s="16">
        <v>0</v>
      </c>
      <c r="D41" s="16">
        <v>15414085.932951471</v>
      </c>
      <c r="E41" s="16">
        <v>14756923.129999999</v>
      </c>
      <c r="F41" s="16">
        <v>6544423.7800000003</v>
      </c>
      <c r="G41" s="16">
        <v>3500168.48</v>
      </c>
      <c r="H41" s="16">
        <v>72265783.689999998</v>
      </c>
      <c r="I41" s="16">
        <v>18077038.82</v>
      </c>
      <c r="J41" s="16">
        <v>0</v>
      </c>
      <c r="K41" s="16">
        <v>0</v>
      </c>
      <c r="L41" s="16">
        <v>0</v>
      </c>
      <c r="M41" s="16">
        <v>0</v>
      </c>
      <c r="N41" s="18">
        <f t="shared" si="1"/>
        <v>1424213081.2129514</v>
      </c>
    </row>
    <row r="42" spans="1:14" ht="15" x14ac:dyDescent="0.2">
      <c r="A42" s="17" t="s">
        <v>37</v>
      </c>
      <c r="B42" s="16">
        <v>784727117.7299999</v>
      </c>
      <c r="C42" s="16">
        <v>0</v>
      </c>
      <c r="D42" s="16">
        <v>10245368.087346949</v>
      </c>
      <c r="E42" s="16">
        <v>9898212.370000001</v>
      </c>
      <c r="F42" s="16">
        <v>17774978.170000002</v>
      </c>
      <c r="G42" s="16">
        <v>0</v>
      </c>
      <c r="H42" s="16">
        <v>43836212.259999998</v>
      </c>
      <c r="I42" s="16">
        <v>49098130.140000001</v>
      </c>
      <c r="J42" s="16">
        <v>0</v>
      </c>
      <c r="K42" s="16">
        <v>0</v>
      </c>
      <c r="L42" s="16">
        <v>0</v>
      </c>
      <c r="M42" s="16">
        <v>0</v>
      </c>
      <c r="N42" s="18">
        <f t="shared" si="1"/>
        <v>915580018.75734675</v>
      </c>
    </row>
    <row r="43" spans="1:14" ht="15" x14ac:dyDescent="0.2">
      <c r="A43" s="17" t="s">
        <v>38</v>
      </c>
      <c r="B43" s="16">
        <v>4752628217.6700001</v>
      </c>
      <c r="C43" s="16">
        <v>0</v>
      </c>
      <c r="D43" s="16">
        <v>38131308.344932467</v>
      </c>
      <c r="E43" s="16">
        <v>51604290.530000001</v>
      </c>
      <c r="F43" s="16">
        <v>73914992.989999995</v>
      </c>
      <c r="G43" s="16">
        <v>27963094.609999999</v>
      </c>
      <c r="H43" s="16">
        <v>265490021.44999999</v>
      </c>
      <c r="I43" s="16">
        <v>204168348.81999999</v>
      </c>
      <c r="J43" s="16">
        <v>0</v>
      </c>
      <c r="K43" s="16">
        <v>0</v>
      </c>
      <c r="L43" s="16">
        <v>0</v>
      </c>
      <c r="M43" s="16">
        <v>0</v>
      </c>
      <c r="N43" s="18">
        <f t="shared" si="1"/>
        <v>5413900274.4149313</v>
      </c>
    </row>
    <row r="44" spans="1:14" ht="15" x14ac:dyDescent="0.2">
      <c r="A44" s="17" t="s">
        <v>39</v>
      </c>
      <c r="B44" s="16">
        <v>4325744271.5299997</v>
      </c>
      <c r="C44" s="16">
        <v>0</v>
      </c>
      <c r="D44" s="16">
        <v>41273793.59563113</v>
      </c>
      <c r="E44" s="16">
        <v>50194327.870000005</v>
      </c>
      <c r="F44" s="16">
        <v>93003958.790000007</v>
      </c>
      <c r="G44" s="16">
        <v>47802523.796257943</v>
      </c>
      <c r="H44" s="16">
        <v>241643546.86000001</v>
      </c>
      <c r="I44" s="16">
        <v>256895981.88</v>
      </c>
      <c r="J44" s="16">
        <v>0</v>
      </c>
      <c r="K44" s="16">
        <v>0</v>
      </c>
      <c r="L44" s="16">
        <v>0</v>
      </c>
      <c r="M44" s="16">
        <v>0</v>
      </c>
      <c r="N44" s="18">
        <f t="shared" si="1"/>
        <v>5056558404.3218889</v>
      </c>
    </row>
    <row r="45" spans="1:14" ht="15" x14ac:dyDescent="0.2">
      <c r="A45" s="17" t="s">
        <v>40</v>
      </c>
      <c r="B45" s="16">
        <v>1156104406.4100003</v>
      </c>
      <c r="C45" s="16">
        <v>0</v>
      </c>
      <c r="D45" s="16">
        <v>15803317.707856664</v>
      </c>
      <c r="E45" s="16">
        <v>14055029.299999999</v>
      </c>
      <c r="F45" s="16">
        <v>6927138.6200000001</v>
      </c>
      <c r="G45" s="16">
        <v>4379992.25</v>
      </c>
      <c r="H45" s="16">
        <v>64581989.090000004</v>
      </c>
      <c r="I45" s="16">
        <v>19134175.600000001</v>
      </c>
      <c r="J45" s="16">
        <v>0</v>
      </c>
      <c r="K45" s="16">
        <v>0</v>
      </c>
      <c r="L45" s="16">
        <v>0</v>
      </c>
      <c r="M45" s="16">
        <v>0</v>
      </c>
      <c r="N45" s="18">
        <f t="shared" si="1"/>
        <v>1280986048.9778566</v>
      </c>
    </row>
    <row r="46" spans="1:14" ht="15" x14ac:dyDescent="0.2">
      <c r="A46" s="17" t="s">
        <v>41</v>
      </c>
      <c r="B46" s="16">
        <v>1829203022.1899998</v>
      </c>
      <c r="C46" s="16">
        <v>0</v>
      </c>
      <c r="D46" s="16">
        <v>34398192.805631131</v>
      </c>
      <c r="E46" s="16">
        <v>22216003</v>
      </c>
      <c r="F46" s="16">
        <v>54638922.159999996</v>
      </c>
      <c r="G46" s="16">
        <v>0</v>
      </c>
      <c r="H46" s="16">
        <v>102182440.40000001</v>
      </c>
      <c r="I46" s="16">
        <v>150923893.33000001</v>
      </c>
      <c r="J46" s="16">
        <v>0</v>
      </c>
      <c r="K46" s="16">
        <v>0</v>
      </c>
      <c r="L46" s="16">
        <v>0</v>
      </c>
      <c r="M46" s="16">
        <v>0</v>
      </c>
      <c r="N46" s="18">
        <f t="shared" si="1"/>
        <v>2193562473.8856311</v>
      </c>
    </row>
    <row r="47" spans="1:14" ht="15" x14ac:dyDescent="0.2">
      <c r="A47" s="17" t="s">
        <v>42</v>
      </c>
      <c r="B47" s="16">
        <v>5562438192.8400002</v>
      </c>
      <c r="C47" s="16">
        <v>0</v>
      </c>
      <c r="D47" s="16">
        <v>57804145.505416155</v>
      </c>
      <c r="E47" s="16">
        <v>67482665.710000008</v>
      </c>
      <c r="F47" s="16">
        <v>170333618.65000001</v>
      </c>
      <c r="G47" s="16">
        <v>54580707.570315287</v>
      </c>
      <c r="H47" s="16">
        <v>310727405.44999999</v>
      </c>
      <c r="I47" s="16">
        <v>470496339.89999998</v>
      </c>
      <c r="J47" s="16">
        <v>0</v>
      </c>
      <c r="K47" s="16">
        <v>0</v>
      </c>
      <c r="L47" s="16">
        <v>0</v>
      </c>
      <c r="M47" s="16">
        <v>0</v>
      </c>
      <c r="N47" s="18">
        <f t="shared" si="1"/>
        <v>6693863075.6257305</v>
      </c>
    </row>
    <row r="48" spans="1:14" ht="15" x14ac:dyDescent="0.2">
      <c r="A48" s="17" t="s">
        <v>43</v>
      </c>
      <c r="B48" s="16">
        <v>538176891.54999995</v>
      </c>
      <c r="C48" s="16">
        <v>0</v>
      </c>
      <c r="D48" s="16">
        <v>11528314.351503108</v>
      </c>
      <c r="E48" s="16">
        <v>6949983.8500000006</v>
      </c>
      <c r="F48" s="16">
        <v>1479830.71</v>
      </c>
      <c r="G48" s="16">
        <v>1185849.43</v>
      </c>
      <c r="H48" s="16">
        <v>30063490.760000002</v>
      </c>
      <c r="I48" s="16">
        <v>4087595.52</v>
      </c>
      <c r="J48" s="16">
        <v>0</v>
      </c>
      <c r="K48" s="16">
        <v>0</v>
      </c>
      <c r="L48" s="16">
        <v>0</v>
      </c>
      <c r="M48" s="16">
        <v>0</v>
      </c>
      <c r="N48" s="18">
        <f t="shared" si="1"/>
        <v>593471956.17150307</v>
      </c>
    </row>
    <row r="49" spans="1:14" ht="15" x14ac:dyDescent="0.2">
      <c r="A49" s="17" t="s">
        <v>44</v>
      </c>
      <c r="B49" s="16">
        <v>1016233222.1700001</v>
      </c>
      <c r="C49" s="16">
        <v>0</v>
      </c>
      <c r="D49" s="16">
        <v>26450476.362792641</v>
      </c>
      <c r="E49" s="16">
        <v>8320518.71</v>
      </c>
      <c r="F49" s="16">
        <v>8738655.5399999991</v>
      </c>
      <c r="G49" s="16">
        <v>4972916.96</v>
      </c>
      <c r="H49" s="16">
        <v>56768543.130000003</v>
      </c>
      <c r="I49" s="16">
        <v>24137956.32</v>
      </c>
      <c r="J49" s="16">
        <v>0</v>
      </c>
      <c r="K49" s="16">
        <v>0</v>
      </c>
      <c r="L49" s="16">
        <v>0</v>
      </c>
      <c r="M49" s="16">
        <v>0</v>
      </c>
      <c r="N49" s="18">
        <f t="shared" si="1"/>
        <v>1145622289.1927927</v>
      </c>
    </row>
    <row r="50" spans="1:14" ht="15" x14ac:dyDescent="0.2">
      <c r="A50" s="17" t="s">
        <v>45</v>
      </c>
      <c r="B50" s="16">
        <v>659788203.06999993</v>
      </c>
      <c r="C50" s="16">
        <v>0</v>
      </c>
      <c r="D50" s="16">
        <v>13415671.002067754</v>
      </c>
      <c r="E50" s="16">
        <v>8140733.3600000003</v>
      </c>
      <c r="F50" s="16">
        <v>2449374.98</v>
      </c>
      <c r="G50" s="16">
        <v>1415368.67</v>
      </c>
      <c r="H50" s="16">
        <v>36856908.68</v>
      </c>
      <c r="I50" s="16">
        <v>6765675.3499999996</v>
      </c>
      <c r="J50" s="16">
        <v>0</v>
      </c>
      <c r="K50" s="16">
        <v>0</v>
      </c>
      <c r="L50" s="16">
        <v>0</v>
      </c>
      <c r="M50" s="16">
        <v>0</v>
      </c>
      <c r="N50" s="18">
        <f t="shared" si="1"/>
        <v>728831935.1120677</v>
      </c>
    </row>
    <row r="51" spans="1:14" ht="15" x14ac:dyDescent="0.2">
      <c r="A51" s="17" t="s">
        <v>46</v>
      </c>
      <c r="B51" s="16">
        <v>645051674.86999989</v>
      </c>
      <c r="C51" s="16">
        <v>0</v>
      </c>
      <c r="D51" s="16">
        <v>15802025.400484525</v>
      </c>
      <c r="E51" s="16">
        <v>7816201.79</v>
      </c>
      <c r="F51" s="16">
        <v>3053213.95</v>
      </c>
      <c r="G51" s="16">
        <v>1778774.14</v>
      </c>
      <c r="H51" s="16">
        <v>36033700.759999998</v>
      </c>
      <c r="I51" s="16">
        <v>8433602.2599999998</v>
      </c>
      <c r="J51" s="16">
        <v>0</v>
      </c>
      <c r="K51" s="16">
        <v>0</v>
      </c>
      <c r="L51" s="16">
        <v>0</v>
      </c>
      <c r="M51" s="16">
        <v>0</v>
      </c>
      <c r="N51" s="18">
        <f t="shared" si="1"/>
        <v>717969193.17048442</v>
      </c>
    </row>
    <row r="52" spans="1:14" ht="15" x14ac:dyDescent="0.2">
      <c r="A52" s="17" t="s">
        <v>47</v>
      </c>
      <c r="B52" s="16">
        <v>760706856.41999996</v>
      </c>
      <c r="C52" s="16">
        <v>0</v>
      </c>
      <c r="D52" s="16">
        <v>40395150.433166452</v>
      </c>
      <c r="E52" s="16">
        <v>9416560.879999999</v>
      </c>
      <c r="F52" s="16">
        <v>2810827.88</v>
      </c>
      <c r="G52" s="16">
        <v>2276065.84</v>
      </c>
      <c r="H52" s="16">
        <v>42494398.969999999</v>
      </c>
      <c r="I52" s="16">
        <v>7764082.2999999998</v>
      </c>
      <c r="J52" s="16">
        <v>0</v>
      </c>
      <c r="K52" s="16">
        <v>0</v>
      </c>
      <c r="L52" s="16">
        <v>0</v>
      </c>
      <c r="M52" s="16">
        <v>0</v>
      </c>
      <c r="N52" s="18">
        <f t="shared" si="1"/>
        <v>865863942.72316647</v>
      </c>
    </row>
    <row r="53" spans="1:14" ht="15" x14ac:dyDescent="0.2">
      <c r="A53" s="17" t="s">
        <v>48</v>
      </c>
      <c r="B53" s="16">
        <v>261510458.75</v>
      </c>
      <c r="C53" s="16">
        <v>0</v>
      </c>
      <c r="D53" s="16">
        <v>11725837.057913681</v>
      </c>
      <c r="E53" s="16">
        <v>3377049.27</v>
      </c>
      <c r="F53" s="16">
        <v>489024.51</v>
      </c>
      <c r="G53" s="16">
        <v>344278.87</v>
      </c>
      <c r="H53" s="16">
        <v>14608425.939999999</v>
      </c>
      <c r="I53" s="16">
        <v>1350785.88</v>
      </c>
      <c r="J53" s="16">
        <v>0</v>
      </c>
      <c r="K53" s="16">
        <v>0</v>
      </c>
      <c r="L53" s="16">
        <v>0</v>
      </c>
      <c r="M53" s="16">
        <v>0</v>
      </c>
      <c r="N53" s="18">
        <f t="shared" si="1"/>
        <v>293405860.27791363</v>
      </c>
    </row>
    <row r="54" spans="1:14" ht="15" x14ac:dyDescent="0.2">
      <c r="A54" s="17" t="s">
        <v>49</v>
      </c>
      <c r="B54" s="16">
        <v>1015310441.4499998</v>
      </c>
      <c r="C54" s="16">
        <v>0</v>
      </c>
      <c r="D54" s="16">
        <v>17358220.181346551</v>
      </c>
      <c r="E54" s="16">
        <v>12219676.440000001</v>
      </c>
      <c r="F54" s="16">
        <v>1679692.91</v>
      </c>
      <c r="G54" s="16">
        <v>1262355.8400000001</v>
      </c>
      <c r="H54" s="16">
        <v>56716995.009999998</v>
      </c>
      <c r="I54" s="16">
        <v>4639655.84</v>
      </c>
      <c r="J54" s="16">
        <v>0</v>
      </c>
      <c r="K54" s="16">
        <v>0</v>
      </c>
      <c r="L54" s="16">
        <v>0</v>
      </c>
      <c r="M54" s="16">
        <v>0</v>
      </c>
      <c r="N54" s="18">
        <f t="shared" si="1"/>
        <v>1109187037.6713464</v>
      </c>
    </row>
    <row r="55" spans="1:14" ht="15" x14ac:dyDescent="0.2">
      <c r="A55" s="17" t="s">
        <v>50</v>
      </c>
      <c r="B55" s="16">
        <v>461194610.39999998</v>
      </c>
      <c r="C55" s="16">
        <v>0</v>
      </c>
      <c r="D55" s="16">
        <v>8059152.4587426558</v>
      </c>
      <c r="E55" s="16">
        <v>5648427.0799999991</v>
      </c>
      <c r="F55" s="16">
        <v>3099990.21</v>
      </c>
      <c r="G55" s="16">
        <v>1970040.18</v>
      </c>
      <c r="H55" s="16">
        <v>25763127.559999999</v>
      </c>
      <c r="I55" s="16">
        <v>8562807.8599999994</v>
      </c>
      <c r="J55" s="16">
        <v>0</v>
      </c>
      <c r="K55" s="16">
        <v>0</v>
      </c>
      <c r="L55" s="16">
        <v>0</v>
      </c>
      <c r="M55" s="16">
        <v>0</v>
      </c>
      <c r="N55" s="18">
        <f t="shared" si="1"/>
        <v>514298155.74874264</v>
      </c>
    </row>
    <row r="56" spans="1:14" ht="15" x14ac:dyDescent="0.2">
      <c r="A56" s="17" t="s">
        <v>51</v>
      </c>
      <c r="B56" s="16">
        <v>351747226.32999998</v>
      </c>
      <c r="C56" s="16">
        <v>0</v>
      </c>
      <c r="D56" s="16">
        <v>5931790.8247748753</v>
      </c>
      <c r="E56" s="16">
        <v>4138291.89</v>
      </c>
      <c r="F56" s="16">
        <v>875991.74</v>
      </c>
      <c r="G56" s="16">
        <v>535544.9</v>
      </c>
      <c r="H56" s="16">
        <v>19649207.640000001</v>
      </c>
      <c r="I56" s="16">
        <v>2419668.61</v>
      </c>
      <c r="J56" s="16">
        <v>0</v>
      </c>
      <c r="K56" s="16">
        <v>0</v>
      </c>
      <c r="L56" s="16">
        <v>0</v>
      </c>
      <c r="M56" s="16">
        <v>0</v>
      </c>
      <c r="N56" s="18">
        <f t="shared" si="1"/>
        <v>385297721.93477482</v>
      </c>
    </row>
    <row r="57" spans="1:14" ht="15" x14ac:dyDescent="0.2">
      <c r="A57" s="17" t="s">
        <v>52</v>
      </c>
      <c r="B57" s="16">
        <v>875523146.36000013</v>
      </c>
      <c r="C57" s="16">
        <v>0</v>
      </c>
      <c r="D57" s="16">
        <v>21905211.984802157</v>
      </c>
      <c r="E57" s="16">
        <v>10684841.170000002</v>
      </c>
      <c r="F57" s="16">
        <v>4499025.57</v>
      </c>
      <c r="G57" s="16">
        <v>2467331.88</v>
      </c>
      <c r="H57" s="16">
        <v>48908235.25</v>
      </c>
      <c r="I57" s="16">
        <v>12427230.07</v>
      </c>
      <c r="J57" s="16">
        <v>0</v>
      </c>
      <c r="K57" s="16">
        <v>0</v>
      </c>
      <c r="L57" s="16">
        <v>0</v>
      </c>
      <c r="M57" s="16">
        <v>0</v>
      </c>
      <c r="N57" s="18">
        <f t="shared" si="1"/>
        <v>976415022.28480232</v>
      </c>
    </row>
    <row r="58" spans="1:14" ht="15" x14ac:dyDescent="0.2">
      <c r="A58" s="17" t="s">
        <v>53</v>
      </c>
      <c r="B58" s="16">
        <v>821834087.25999999</v>
      </c>
      <c r="C58" s="16">
        <v>0</v>
      </c>
      <c r="D58" s="16">
        <v>8100547.0074816281</v>
      </c>
      <c r="E58" s="16">
        <v>9520163.9800000004</v>
      </c>
      <c r="F58" s="16">
        <v>2619470.46</v>
      </c>
      <c r="G58" s="16">
        <v>1549254.9</v>
      </c>
      <c r="H58" s="16">
        <v>45909071.670000002</v>
      </c>
      <c r="I58" s="16">
        <v>7235513.9199999999</v>
      </c>
      <c r="J58" s="16">
        <v>0</v>
      </c>
      <c r="K58" s="16">
        <v>0</v>
      </c>
      <c r="L58" s="16">
        <v>0</v>
      </c>
      <c r="M58" s="16">
        <v>0</v>
      </c>
      <c r="N58" s="18">
        <f t="shared" si="1"/>
        <v>896768109.19748151</v>
      </c>
    </row>
    <row r="59" spans="1:14" ht="15" x14ac:dyDescent="0.2">
      <c r="A59" s="17" t="s">
        <v>54</v>
      </c>
      <c r="B59" s="16">
        <v>835955428.34000003</v>
      </c>
      <c r="C59" s="16">
        <v>0</v>
      </c>
      <c r="D59" s="16">
        <v>16741558.926116884</v>
      </c>
      <c r="E59" s="16">
        <v>10558939.389999999</v>
      </c>
      <c r="F59" s="16">
        <v>2551432.27</v>
      </c>
      <c r="G59" s="16">
        <v>1415368.67</v>
      </c>
      <c r="H59" s="16">
        <v>46697914.18</v>
      </c>
      <c r="I59" s="16">
        <v>7047578.4900000002</v>
      </c>
      <c r="J59" s="16">
        <v>0</v>
      </c>
      <c r="K59" s="16">
        <v>0</v>
      </c>
      <c r="L59" s="16">
        <v>0</v>
      </c>
      <c r="M59" s="16">
        <v>0</v>
      </c>
      <c r="N59" s="18">
        <f t="shared" si="1"/>
        <v>920968220.26611674</v>
      </c>
    </row>
    <row r="60" spans="1:14" ht="15" x14ac:dyDescent="0.2">
      <c r="A60" s="17" t="s">
        <v>55</v>
      </c>
      <c r="B60" s="16">
        <v>5973187458.1999998</v>
      </c>
      <c r="C60" s="16">
        <v>0</v>
      </c>
      <c r="D60" s="16">
        <v>330907422.34925216</v>
      </c>
      <c r="E60" s="16">
        <v>114959267.39</v>
      </c>
      <c r="F60" s="16">
        <v>140350037.03</v>
      </c>
      <c r="G60" s="16">
        <v>72814980.300000012</v>
      </c>
      <c r="H60" s="16">
        <v>333672568.89999998</v>
      </c>
      <c r="I60" s="16">
        <v>387675546.69999999</v>
      </c>
      <c r="J60" s="16">
        <v>0</v>
      </c>
      <c r="K60" s="16">
        <v>0</v>
      </c>
      <c r="L60" s="16">
        <v>0</v>
      </c>
      <c r="M60" s="16">
        <v>0</v>
      </c>
      <c r="N60" s="18">
        <f t="shared" si="1"/>
        <v>7353567280.8692513</v>
      </c>
    </row>
    <row r="61" spans="1:14" ht="15" x14ac:dyDescent="0.2">
      <c r="A61" s="17" t="s">
        <v>56</v>
      </c>
      <c r="B61" s="16">
        <v>1402682595.6900003</v>
      </c>
      <c r="C61" s="16">
        <v>0</v>
      </c>
      <c r="D61" s="16">
        <v>22301414.685684826</v>
      </c>
      <c r="E61" s="16">
        <v>15656417.559999999</v>
      </c>
      <c r="F61" s="16">
        <v>25055064.93</v>
      </c>
      <c r="G61" s="16">
        <v>6991191.636835699</v>
      </c>
      <c r="H61" s="16">
        <v>78356272.650000006</v>
      </c>
      <c r="I61" s="16">
        <v>69207220.760000005</v>
      </c>
      <c r="J61" s="16">
        <v>0</v>
      </c>
      <c r="K61" s="16">
        <v>0</v>
      </c>
      <c r="L61" s="16">
        <v>0</v>
      </c>
      <c r="M61" s="16">
        <v>0</v>
      </c>
      <c r="N61" s="18">
        <f t="shared" si="1"/>
        <v>1620250177.9125211</v>
      </c>
    </row>
    <row r="62" spans="1:14" ht="15" x14ac:dyDescent="0.2">
      <c r="A62" s="17" t="s">
        <v>57</v>
      </c>
      <c r="B62" s="16">
        <v>6524031612.2199993</v>
      </c>
      <c r="C62" s="16">
        <v>0</v>
      </c>
      <c r="D62" s="16">
        <v>97161195.779999986</v>
      </c>
      <c r="E62" s="16">
        <v>84250586.699999988</v>
      </c>
      <c r="F62" s="16">
        <v>112343815.43000001</v>
      </c>
      <c r="G62" s="16">
        <v>0</v>
      </c>
      <c r="H62" s="16">
        <v>364443674.81</v>
      </c>
      <c r="I62" s="16">
        <v>310316626.81999999</v>
      </c>
      <c r="J62" s="16">
        <v>0</v>
      </c>
      <c r="K62" s="16">
        <v>0</v>
      </c>
      <c r="L62" s="16">
        <v>0</v>
      </c>
      <c r="M62" s="16">
        <v>0</v>
      </c>
      <c r="N62" s="18">
        <f t="shared" si="1"/>
        <v>7492547511.7599993</v>
      </c>
    </row>
    <row r="63" spans="1:14" ht="15" x14ac:dyDescent="0.2">
      <c r="A63" s="17" t="s">
        <v>58</v>
      </c>
      <c r="B63" s="16">
        <v>1148917902.1500001</v>
      </c>
      <c r="C63" s="16">
        <v>0</v>
      </c>
      <c r="D63" s="16">
        <v>21288542.88349111</v>
      </c>
      <c r="E63" s="16">
        <v>13699279.6</v>
      </c>
      <c r="F63" s="16">
        <v>3958972.41</v>
      </c>
      <c r="G63" s="16">
        <v>2467331.88</v>
      </c>
      <c r="H63" s="16">
        <v>64180538.539999999</v>
      </c>
      <c r="I63" s="16">
        <v>10935492.619999999</v>
      </c>
      <c r="J63" s="16">
        <v>0</v>
      </c>
      <c r="K63" s="16">
        <v>0</v>
      </c>
      <c r="L63" s="16">
        <v>0</v>
      </c>
      <c r="M63" s="16">
        <v>0</v>
      </c>
      <c r="N63" s="18">
        <f t="shared" si="1"/>
        <v>1265448060.0834911</v>
      </c>
    </row>
    <row r="64" spans="1:14" ht="15" x14ac:dyDescent="0.2">
      <c r="A64" s="17" t="s">
        <v>59</v>
      </c>
      <c r="B64" s="16">
        <v>1790446232.5899999</v>
      </c>
      <c r="C64" s="16">
        <v>0</v>
      </c>
      <c r="D64" s="16">
        <v>56786225.055853605</v>
      </c>
      <c r="E64" s="16">
        <v>20760413.800000001</v>
      </c>
      <c r="F64" s="16">
        <v>7246067.6500000004</v>
      </c>
      <c r="G64" s="16">
        <v>3844447.34</v>
      </c>
      <c r="H64" s="16">
        <v>100017419.19</v>
      </c>
      <c r="I64" s="16">
        <v>20015122.91</v>
      </c>
      <c r="J64" s="16">
        <v>0</v>
      </c>
      <c r="K64" s="16">
        <v>0</v>
      </c>
      <c r="L64" s="16">
        <v>0</v>
      </c>
      <c r="M64" s="16">
        <v>0</v>
      </c>
      <c r="N64" s="18">
        <f t="shared" si="1"/>
        <v>1999115928.5358536</v>
      </c>
    </row>
    <row r="65" spans="1:14" ht="15" x14ac:dyDescent="0.2">
      <c r="A65" s="17" t="s">
        <v>60</v>
      </c>
      <c r="B65" s="16">
        <v>938747606.1099999</v>
      </c>
      <c r="C65" s="16">
        <v>0</v>
      </c>
      <c r="D65" s="16">
        <v>18454073.983649757</v>
      </c>
      <c r="E65" s="16">
        <v>11475586.65</v>
      </c>
      <c r="F65" s="16">
        <v>1577635.62</v>
      </c>
      <c r="G65" s="16">
        <v>1281482.45</v>
      </c>
      <c r="H65" s="16">
        <v>52440062.780000001</v>
      </c>
      <c r="I65" s="16">
        <v>4357752.7</v>
      </c>
      <c r="J65" s="16">
        <v>0</v>
      </c>
      <c r="K65" s="16">
        <v>0</v>
      </c>
      <c r="L65" s="16">
        <v>0</v>
      </c>
      <c r="M65" s="16">
        <v>0</v>
      </c>
      <c r="N65" s="18">
        <f t="shared" si="1"/>
        <v>1028334200.2936497</v>
      </c>
    </row>
    <row r="66" spans="1:14" ht="15" x14ac:dyDescent="0.2">
      <c r="A66" s="17" t="s">
        <v>61</v>
      </c>
      <c r="B66" s="16">
        <v>524139439.60999995</v>
      </c>
      <c r="C66" s="16">
        <v>0</v>
      </c>
      <c r="D66" s="16">
        <v>12430293.961744327</v>
      </c>
      <c r="E66" s="16">
        <v>6580168.8300000001</v>
      </c>
      <c r="F66" s="16">
        <v>1543616.52</v>
      </c>
      <c r="G66" s="16">
        <v>1166722.83</v>
      </c>
      <c r="H66" s="16">
        <v>29279334.449999999</v>
      </c>
      <c r="I66" s="16">
        <v>4263784.99</v>
      </c>
      <c r="J66" s="16">
        <v>0</v>
      </c>
      <c r="K66" s="16">
        <v>0</v>
      </c>
      <c r="L66" s="16">
        <v>0</v>
      </c>
      <c r="M66" s="16">
        <v>0</v>
      </c>
      <c r="N66" s="18">
        <f t="shared" si="1"/>
        <v>579403361.19174433</v>
      </c>
    </row>
    <row r="67" spans="1:14" ht="15" x14ac:dyDescent="0.2">
      <c r="A67" s="17" t="s">
        <v>62</v>
      </c>
      <c r="B67" s="16">
        <v>2351440974.3600001</v>
      </c>
      <c r="C67" s="16">
        <v>0</v>
      </c>
      <c r="D67" s="16">
        <v>29614359.259999998</v>
      </c>
      <c r="E67" s="16">
        <v>29342317.949999999</v>
      </c>
      <c r="F67" s="16">
        <v>41477784.009999998</v>
      </c>
      <c r="G67" s="16">
        <v>23626337.7660647</v>
      </c>
      <c r="H67" s="16">
        <v>131355554.47</v>
      </c>
      <c r="I67" s="16">
        <v>114570134.3</v>
      </c>
      <c r="J67" s="16">
        <v>0</v>
      </c>
      <c r="K67" s="16">
        <v>0</v>
      </c>
      <c r="L67" s="16">
        <v>0</v>
      </c>
      <c r="M67" s="16">
        <v>0</v>
      </c>
      <c r="N67" s="18">
        <f t="shared" si="1"/>
        <v>2721427462.116065</v>
      </c>
    </row>
    <row r="68" spans="1:14" ht="15" x14ac:dyDescent="0.2">
      <c r="A68" s="17" t="s">
        <v>63</v>
      </c>
      <c r="B68" s="16">
        <v>1470884478.6199999</v>
      </c>
      <c r="C68" s="16">
        <v>0</v>
      </c>
      <c r="D68" s="16">
        <v>38454783.269999996</v>
      </c>
      <c r="E68" s="16">
        <v>18591266.850000001</v>
      </c>
      <c r="F68" s="16">
        <v>36579034.039999999</v>
      </c>
      <c r="G68" s="16">
        <v>23958774.094936647</v>
      </c>
      <c r="H68" s="16">
        <v>82166147.640000001</v>
      </c>
      <c r="I68" s="16">
        <v>101038783.59999999</v>
      </c>
      <c r="J68" s="16">
        <v>0</v>
      </c>
      <c r="K68" s="16">
        <v>0</v>
      </c>
      <c r="L68" s="16">
        <v>0</v>
      </c>
      <c r="M68" s="16">
        <v>0</v>
      </c>
      <c r="N68" s="18">
        <f t="shared" si="1"/>
        <v>1771673268.1149364</v>
      </c>
    </row>
    <row r="69" spans="1:14" ht="15" x14ac:dyDescent="0.2">
      <c r="A69" s="17" t="s">
        <v>64</v>
      </c>
      <c r="B69" s="16">
        <v>5253530361.4800005</v>
      </c>
      <c r="C69" s="16">
        <v>0</v>
      </c>
      <c r="D69" s="16">
        <v>29222855.16131473</v>
      </c>
      <c r="E69" s="16">
        <v>64111791.469999999</v>
      </c>
      <c r="F69" s="16">
        <v>107955351.92</v>
      </c>
      <c r="G69" s="16">
        <v>24204078.963558722</v>
      </c>
      <c r="H69" s="16">
        <v>293471280.41000003</v>
      </c>
      <c r="I69" s="16">
        <v>298194791.81999999</v>
      </c>
      <c r="J69" s="16">
        <v>0</v>
      </c>
      <c r="K69" s="16">
        <v>0</v>
      </c>
      <c r="L69" s="16">
        <v>0</v>
      </c>
      <c r="M69" s="16">
        <v>0</v>
      </c>
      <c r="N69" s="18">
        <f t="shared" si="1"/>
        <v>6070690511.2248745</v>
      </c>
    </row>
    <row r="70" spans="1:14" ht="15" x14ac:dyDescent="0.2">
      <c r="A70" s="17" t="s">
        <v>65</v>
      </c>
      <c r="B70" s="16">
        <v>1091174200.54</v>
      </c>
      <c r="C70" s="16">
        <v>0</v>
      </c>
      <c r="D70" s="16">
        <v>52787245.318180099</v>
      </c>
      <c r="E70" s="16">
        <v>13421746.799999999</v>
      </c>
      <c r="F70" s="16">
        <v>23974958.600000001</v>
      </c>
      <c r="G70" s="16">
        <v>11322949.390000001</v>
      </c>
      <c r="H70" s="16">
        <v>60954875.630000003</v>
      </c>
      <c r="I70" s="16">
        <v>66223745.869999997</v>
      </c>
      <c r="J70" s="16">
        <v>0</v>
      </c>
      <c r="K70" s="16">
        <v>0</v>
      </c>
      <c r="L70" s="16">
        <v>0</v>
      </c>
      <c r="M70" s="16">
        <v>0</v>
      </c>
      <c r="N70" s="18">
        <f t="shared" si="1"/>
        <v>1319859722.14818</v>
      </c>
    </row>
    <row r="71" spans="1:14" ht="15" x14ac:dyDescent="0.2">
      <c r="A71" s="17" t="s">
        <v>66</v>
      </c>
      <c r="B71" s="16">
        <v>4251278665.0599999</v>
      </c>
      <c r="C71" s="16">
        <v>0</v>
      </c>
      <c r="D71" s="16">
        <v>38383104.780000001</v>
      </c>
      <c r="E71" s="16">
        <v>12201132.74</v>
      </c>
      <c r="F71" s="16">
        <v>15095974.289999999</v>
      </c>
      <c r="G71" s="16">
        <v>10997797.130000001</v>
      </c>
      <c r="H71" s="16">
        <v>237483769.46000001</v>
      </c>
      <c r="I71" s="16">
        <v>41698172.719999999</v>
      </c>
      <c r="J71" s="16">
        <v>0</v>
      </c>
      <c r="K71" s="16">
        <v>0</v>
      </c>
      <c r="L71" s="16">
        <v>0</v>
      </c>
      <c r="M71" s="16">
        <v>0</v>
      </c>
      <c r="N71" s="18">
        <f t="shared" si="1"/>
        <v>4607138616.1800003</v>
      </c>
    </row>
    <row r="72" spans="1:14" ht="15" x14ac:dyDescent="0.2">
      <c r="A72" s="17" t="s">
        <v>67</v>
      </c>
      <c r="B72" s="16">
        <v>18759152999.950001</v>
      </c>
      <c r="C72" s="16">
        <v>0</v>
      </c>
      <c r="D72" s="16">
        <v>171816065.51622099</v>
      </c>
      <c r="E72" s="16">
        <v>242253884.75</v>
      </c>
      <c r="F72" s="16">
        <v>439250328.69</v>
      </c>
      <c r="G72" s="16">
        <v>0</v>
      </c>
      <c r="H72" s="16">
        <v>1047918689.24</v>
      </c>
      <c r="I72" s="16">
        <v>1213299366.6400001</v>
      </c>
      <c r="J72" s="16">
        <v>0</v>
      </c>
      <c r="K72" s="16">
        <v>0</v>
      </c>
      <c r="L72" s="16">
        <v>0</v>
      </c>
      <c r="M72" s="16">
        <v>0</v>
      </c>
      <c r="N72" s="18">
        <f t="shared" ref="N72:N103" si="2">SUM(B72:M72)</f>
        <v>21873691334.786221</v>
      </c>
    </row>
    <row r="73" spans="1:14" ht="15" x14ac:dyDescent="0.2">
      <c r="A73" s="17" t="s">
        <v>68</v>
      </c>
      <c r="B73" s="16">
        <v>8684568833.2399979</v>
      </c>
      <c r="C73" s="16">
        <v>0</v>
      </c>
      <c r="D73" s="16">
        <v>269837644.61182451</v>
      </c>
      <c r="E73" s="16">
        <v>104820947.11999999</v>
      </c>
      <c r="F73" s="16">
        <v>163036522.34</v>
      </c>
      <c r="G73" s="16">
        <v>98073274.508700684</v>
      </c>
      <c r="H73" s="16">
        <v>485135015.87</v>
      </c>
      <c r="I73" s="16">
        <v>450340265.42000002</v>
      </c>
      <c r="J73" s="16">
        <v>0</v>
      </c>
      <c r="K73" s="16">
        <v>0</v>
      </c>
      <c r="L73" s="16">
        <v>0</v>
      </c>
      <c r="M73" s="16">
        <v>0</v>
      </c>
      <c r="N73" s="18">
        <f t="shared" si="2"/>
        <v>10255812503.110525</v>
      </c>
    </row>
    <row r="74" spans="1:14" ht="15" x14ac:dyDescent="0.2">
      <c r="A74" s="17" t="s">
        <v>69</v>
      </c>
      <c r="B74" s="16">
        <v>4521653411.25</v>
      </c>
      <c r="C74" s="16">
        <v>0</v>
      </c>
      <c r="D74" s="16">
        <v>78276841.699999988</v>
      </c>
      <c r="E74" s="16">
        <v>58392351.670000002</v>
      </c>
      <c r="F74" s="16">
        <v>118369447.98999999</v>
      </c>
      <c r="G74" s="16">
        <v>172093464.69719452</v>
      </c>
      <c r="H74" s="16">
        <v>252587369.80000001</v>
      </c>
      <c r="I74" s="16">
        <v>326960658.01999998</v>
      </c>
      <c r="J74" s="16">
        <v>0</v>
      </c>
      <c r="K74" s="16">
        <v>0</v>
      </c>
      <c r="L74" s="16">
        <v>0</v>
      </c>
      <c r="M74" s="16">
        <v>0</v>
      </c>
      <c r="N74" s="18">
        <f t="shared" si="2"/>
        <v>5528333545.1271935</v>
      </c>
    </row>
    <row r="75" spans="1:14" ht="15" x14ac:dyDescent="0.2">
      <c r="A75" s="17" t="s">
        <v>70</v>
      </c>
      <c r="B75" s="16">
        <v>766047799.25999999</v>
      </c>
      <c r="C75" s="16">
        <v>0</v>
      </c>
      <c r="D75" s="16">
        <v>16108851.940729249</v>
      </c>
      <c r="E75" s="16">
        <v>9509186.1699999999</v>
      </c>
      <c r="F75" s="16">
        <v>2151707.88</v>
      </c>
      <c r="G75" s="16">
        <v>1262355.8400000001</v>
      </c>
      <c r="H75" s="16">
        <v>42792753.270000003</v>
      </c>
      <c r="I75" s="16">
        <v>5943457.8600000003</v>
      </c>
      <c r="J75" s="16">
        <v>0</v>
      </c>
      <c r="K75" s="16">
        <v>0</v>
      </c>
      <c r="L75" s="16">
        <v>0</v>
      </c>
      <c r="M75" s="16">
        <v>0</v>
      </c>
      <c r="N75" s="18">
        <f t="shared" si="2"/>
        <v>843816112.22072923</v>
      </c>
    </row>
    <row r="76" spans="1:14" ht="15" x14ac:dyDescent="0.2">
      <c r="A76" s="17" t="s">
        <v>71</v>
      </c>
      <c r="B76" s="16">
        <v>773709675.40999985</v>
      </c>
      <c r="C76" s="16">
        <v>0</v>
      </c>
      <c r="D76" s="16">
        <v>24827559.260809179</v>
      </c>
      <c r="E76" s="16">
        <v>9474194.3900000006</v>
      </c>
      <c r="F76" s="16">
        <v>3873924.67</v>
      </c>
      <c r="G76" s="16">
        <v>2964623.57</v>
      </c>
      <c r="H76" s="16">
        <v>43220758.899999999</v>
      </c>
      <c r="I76" s="16">
        <v>10700573.34</v>
      </c>
      <c r="J76" s="16">
        <v>0</v>
      </c>
      <c r="K76" s="16">
        <v>0</v>
      </c>
      <c r="L76" s="16">
        <v>0</v>
      </c>
      <c r="M76" s="16">
        <v>0</v>
      </c>
      <c r="N76" s="18">
        <f t="shared" si="2"/>
        <v>868771309.54080904</v>
      </c>
    </row>
    <row r="77" spans="1:14" ht="15" x14ac:dyDescent="0.2">
      <c r="A77" s="17" t="s">
        <v>72</v>
      </c>
      <c r="B77" s="16">
        <v>867246083.10000014</v>
      </c>
      <c r="C77" s="16">
        <v>0</v>
      </c>
      <c r="D77" s="16">
        <v>21838177.85035212</v>
      </c>
      <c r="E77" s="16">
        <v>11086217.4</v>
      </c>
      <c r="F77" s="16">
        <v>4550054.22</v>
      </c>
      <c r="G77" s="16">
        <v>1893533.77</v>
      </c>
      <c r="H77" s="16">
        <v>48445864.200000003</v>
      </c>
      <c r="I77" s="16">
        <v>12568181.640000001</v>
      </c>
      <c r="J77" s="16">
        <v>0</v>
      </c>
      <c r="K77" s="16">
        <v>0</v>
      </c>
      <c r="L77" s="16">
        <v>0</v>
      </c>
      <c r="M77" s="16">
        <v>0</v>
      </c>
      <c r="N77" s="18">
        <f t="shared" si="2"/>
        <v>967628112.18035233</v>
      </c>
    </row>
    <row r="78" spans="1:14" ht="15" x14ac:dyDescent="0.2">
      <c r="A78" s="17" t="s">
        <v>73</v>
      </c>
      <c r="B78" s="16">
        <v>333319575.30000001</v>
      </c>
      <c r="C78" s="16">
        <v>0</v>
      </c>
      <c r="D78" s="16">
        <v>6769002.2310208511</v>
      </c>
      <c r="E78" s="16">
        <v>4304331.28</v>
      </c>
      <c r="F78" s="16">
        <v>1615907.1</v>
      </c>
      <c r="G78" s="16">
        <v>669431.13</v>
      </c>
      <c r="H78" s="16">
        <v>18619807.219999999</v>
      </c>
      <c r="I78" s="16">
        <v>4463466.38</v>
      </c>
      <c r="J78" s="16">
        <v>0</v>
      </c>
      <c r="K78" s="16">
        <v>0</v>
      </c>
      <c r="L78" s="16">
        <v>0</v>
      </c>
      <c r="M78" s="16">
        <v>0</v>
      </c>
      <c r="N78" s="18">
        <f t="shared" si="2"/>
        <v>369761520.64102089</v>
      </c>
    </row>
    <row r="79" spans="1:14" ht="15" x14ac:dyDescent="0.2">
      <c r="A79" s="17" t="s">
        <v>74</v>
      </c>
      <c r="B79" s="16">
        <v>1715197660.6699998</v>
      </c>
      <c r="C79" s="16">
        <v>0</v>
      </c>
      <c r="D79" s="16">
        <v>53562203.334861442</v>
      </c>
      <c r="E79" s="16">
        <v>20918562.890000001</v>
      </c>
      <c r="F79" s="16">
        <v>8122059.4000000004</v>
      </c>
      <c r="G79" s="16">
        <v>4972916.96</v>
      </c>
      <c r="H79" s="16">
        <v>95813903.989999995</v>
      </c>
      <c r="I79" s="16">
        <v>22434791.52</v>
      </c>
      <c r="J79" s="16">
        <v>0</v>
      </c>
      <c r="K79" s="16">
        <v>0</v>
      </c>
      <c r="L79" s="16">
        <v>0</v>
      </c>
      <c r="M79" s="16">
        <v>0</v>
      </c>
      <c r="N79" s="18">
        <f t="shared" si="2"/>
        <v>1921022098.7648616</v>
      </c>
    </row>
    <row r="80" spans="1:14" ht="15" x14ac:dyDescent="0.2">
      <c r="A80" s="17" t="s">
        <v>75</v>
      </c>
      <c r="B80" s="16">
        <v>914699381.71000016</v>
      </c>
      <c r="C80" s="16">
        <v>0</v>
      </c>
      <c r="D80" s="16">
        <v>36536118.96804978</v>
      </c>
      <c r="E80" s="16">
        <v>11120180.010000002</v>
      </c>
      <c r="F80" s="16">
        <v>2627975.2400000002</v>
      </c>
      <c r="G80" s="16">
        <v>1989166.78</v>
      </c>
      <c r="H80" s="16">
        <v>51096687.43</v>
      </c>
      <c r="I80" s="16">
        <v>7259005.8399999999</v>
      </c>
      <c r="J80" s="16">
        <v>0</v>
      </c>
      <c r="K80" s="16">
        <v>0</v>
      </c>
      <c r="L80" s="16">
        <v>0</v>
      </c>
      <c r="M80" s="16">
        <v>0</v>
      </c>
      <c r="N80" s="18">
        <f t="shared" si="2"/>
        <v>1025328515.9780499</v>
      </c>
    </row>
    <row r="81" spans="1:14" ht="15" x14ac:dyDescent="0.2">
      <c r="A81" s="17" t="s">
        <v>76</v>
      </c>
      <c r="B81" s="16">
        <v>513569406.0999999</v>
      </c>
      <c r="C81" s="16">
        <v>0</v>
      </c>
      <c r="D81" s="16">
        <v>22424868.301719319</v>
      </c>
      <c r="E81" s="16">
        <v>6202463.5100000007</v>
      </c>
      <c r="F81" s="16">
        <v>6825081.3300000001</v>
      </c>
      <c r="G81" s="16">
        <v>4552131.68</v>
      </c>
      <c r="H81" s="16">
        <v>28688874.120000001</v>
      </c>
      <c r="I81" s="16">
        <v>18852272.460000001</v>
      </c>
      <c r="J81" s="16">
        <v>0</v>
      </c>
      <c r="K81" s="16">
        <v>0</v>
      </c>
      <c r="L81" s="16">
        <v>0</v>
      </c>
      <c r="M81" s="16">
        <v>0</v>
      </c>
      <c r="N81" s="18">
        <f t="shared" si="2"/>
        <v>601115097.50171924</v>
      </c>
    </row>
    <row r="82" spans="1:14" ht="15" x14ac:dyDescent="0.2">
      <c r="A82" s="17" t="s">
        <v>77</v>
      </c>
      <c r="B82" s="16">
        <v>8341098670.0999994</v>
      </c>
      <c r="C82" s="16">
        <v>0</v>
      </c>
      <c r="D82" s="16">
        <v>107146850.80000003</v>
      </c>
      <c r="E82" s="16">
        <v>99426038.879999995</v>
      </c>
      <c r="F82" s="16">
        <v>196702671.19999999</v>
      </c>
      <c r="G82" s="16">
        <v>189023470.01455611</v>
      </c>
      <c r="H82" s="16">
        <v>465948179.27999997</v>
      </c>
      <c r="I82" s="16">
        <v>543333063.58000004</v>
      </c>
      <c r="J82" s="16">
        <v>0</v>
      </c>
      <c r="K82" s="16">
        <v>0</v>
      </c>
      <c r="L82" s="16">
        <v>0</v>
      </c>
      <c r="M82" s="16">
        <v>0</v>
      </c>
      <c r="N82" s="18">
        <f t="shared" si="2"/>
        <v>9942678943.854557</v>
      </c>
    </row>
    <row r="83" spans="1:14" ht="15" x14ac:dyDescent="0.2">
      <c r="A83" s="17" t="s">
        <v>78</v>
      </c>
      <c r="B83" s="16">
        <v>2156286837.0600004</v>
      </c>
      <c r="C83" s="16">
        <v>0</v>
      </c>
      <c r="D83" s="16">
        <v>49273300.958634034</v>
      </c>
      <c r="E83" s="16">
        <v>27846248.07</v>
      </c>
      <c r="F83" s="16">
        <v>21780726.850000001</v>
      </c>
      <c r="G83" s="16">
        <v>12107140.140000001</v>
      </c>
      <c r="H83" s="16">
        <v>120453907.27</v>
      </c>
      <c r="I83" s="16">
        <v>60162828.359999999</v>
      </c>
      <c r="J83" s="16">
        <v>0</v>
      </c>
      <c r="K83" s="16">
        <v>0</v>
      </c>
      <c r="L83" s="16">
        <v>0</v>
      </c>
      <c r="M83" s="16">
        <v>0</v>
      </c>
      <c r="N83" s="18">
        <f t="shared" si="2"/>
        <v>2447910988.7086344</v>
      </c>
    </row>
    <row r="84" spans="1:14" ht="15" x14ac:dyDescent="0.2">
      <c r="A84" s="17" t="s">
        <v>79</v>
      </c>
      <c r="B84" s="16">
        <v>906590096.73000002</v>
      </c>
      <c r="C84" s="16">
        <v>0</v>
      </c>
      <c r="D84" s="16">
        <v>14099382.129038619</v>
      </c>
      <c r="E84" s="16">
        <v>10697191.199999999</v>
      </c>
      <c r="F84" s="16">
        <v>4371453.96</v>
      </c>
      <c r="G84" s="16">
        <v>1281431.4972129758</v>
      </c>
      <c r="H84" s="16">
        <v>50643688.759999998</v>
      </c>
      <c r="I84" s="16">
        <v>12074851.140000001</v>
      </c>
      <c r="J84" s="16">
        <v>0</v>
      </c>
      <c r="K84" s="16">
        <v>0</v>
      </c>
      <c r="L84" s="16">
        <v>0</v>
      </c>
      <c r="M84" s="16">
        <v>0</v>
      </c>
      <c r="N84" s="18">
        <f t="shared" si="2"/>
        <v>999758095.41625166</v>
      </c>
    </row>
    <row r="85" spans="1:14" ht="15" x14ac:dyDescent="0.2">
      <c r="A85" s="17" t="s">
        <v>80</v>
      </c>
      <c r="B85" s="16">
        <v>725529337.44999993</v>
      </c>
      <c r="C85" s="16">
        <v>0</v>
      </c>
      <c r="D85" s="16">
        <v>12889086.716491556</v>
      </c>
      <c r="E85" s="16">
        <v>8838167.4399999995</v>
      </c>
      <c r="F85" s="16">
        <v>2066660.14</v>
      </c>
      <c r="G85" s="16">
        <v>1243229.24</v>
      </c>
      <c r="H85" s="16">
        <v>40529322</v>
      </c>
      <c r="I85" s="16">
        <v>5708538.5800000001</v>
      </c>
      <c r="J85" s="16">
        <v>0</v>
      </c>
      <c r="K85" s="16">
        <v>0</v>
      </c>
      <c r="L85" s="16">
        <v>0</v>
      </c>
      <c r="M85" s="16">
        <v>0</v>
      </c>
      <c r="N85" s="18">
        <f t="shared" si="2"/>
        <v>796804341.5664916</v>
      </c>
    </row>
    <row r="86" spans="1:14" ht="15" x14ac:dyDescent="0.2">
      <c r="A86" s="17" t="s">
        <v>81</v>
      </c>
      <c r="B86" s="16">
        <v>9065565411.6699982</v>
      </c>
      <c r="C86" s="16">
        <v>0</v>
      </c>
      <c r="D86" s="16">
        <v>74100242.400000006</v>
      </c>
      <c r="E86" s="16">
        <v>113628925.58000001</v>
      </c>
      <c r="F86" s="16">
        <v>123417031.5</v>
      </c>
      <c r="G86" s="16">
        <v>44134035.834764838</v>
      </c>
      <c r="H86" s="16">
        <v>506418142.83999997</v>
      </c>
      <c r="I86" s="16">
        <v>340903117.45999998</v>
      </c>
      <c r="J86" s="16">
        <v>0</v>
      </c>
      <c r="K86" s="16">
        <v>0</v>
      </c>
      <c r="L86" s="16">
        <v>0</v>
      </c>
      <c r="M86" s="16">
        <v>0</v>
      </c>
      <c r="N86" s="18">
        <f t="shared" si="2"/>
        <v>10268166907.284761</v>
      </c>
    </row>
    <row r="87" spans="1:14" ht="15" x14ac:dyDescent="0.2">
      <c r="A87" s="17" t="s">
        <v>82</v>
      </c>
      <c r="B87" s="16">
        <v>1412553552.8900001</v>
      </c>
      <c r="C87" s="16">
        <v>0</v>
      </c>
      <c r="D87" s="16">
        <v>15494943.664185897</v>
      </c>
      <c r="E87" s="16">
        <v>16815262.780000001</v>
      </c>
      <c r="F87" s="16">
        <v>3503966.99</v>
      </c>
      <c r="G87" s="16">
        <v>3614928.1</v>
      </c>
      <c r="H87" s="16">
        <v>78907681.370000005</v>
      </c>
      <c r="I87" s="16">
        <v>9678674.4600000009</v>
      </c>
      <c r="J87" s="16">
        <v>0</v>
      </c>
      <c r="K87" s="16">
        <v>0</v>
      </c>
      <c r="L87" s="16">
        <v>0</v>
      </c>
      <c r="M87" s="16">
        <v>0</v>
      </c>
      <c r="N87" s="18">
        <f t="shared" si="2"/>
        <v>1540569010.2541862</v>
      </c>
    </row>
    <row r="88" spans="1:14" ht="15" x14ac:dyDescent="0.2">
      <c r="A88" s="17" t="s">
        <v>83</v>
      </c>
      <c r="B88" s="16">
        <v>1297485595.4800003</v>
      </c>
      <c r="C88" s="16">
        <v>0</v>
      </c>
      <c r="D88" s="16">
        <v>12419237.161689401</v>
      </c>
      <c r="E88" s="16">
        <v>13475606.689999999</v>
      </c>
      <c r="F88" s="16">
        <v>17196653.530000001</v>
      </c>
      <c r="G88" s="16">
        <v>7306362.6100000003</v>
      </c>
      <c r="H88" s="16">
        <v>72479786.510000005</v>
      </c>
      <c r="I88" s="16">
        <v>47500679.009999998</v>
      </c>
      <c r="J88" s="16">
        <v>0</v>
      </c>
      <c r="K88" s="16">
        <v>0</v>
      </c>
      <c r="L88" s="16">
        <v>0</v>
      </c>
      <c r="M88" s="16">
        <v>0</v>
      </c>
      <c r="N88" s="18">
        <f t="shared" si="2"/>
        <v>1467863920.9916897</v>
      </c>
    </row>
    <row r="89" spans="1:14" ht="15" x14ac:dyDescent="0.2">
      <c r="A89" s="17" t="s">
        <v>84</v>
      </c>
      <c r="B89" s="16">
        <v>1835802302.3500001</v>
      </c>
      <c r="C89" s="16">
        <v>0</v>
      </c>
      <c r="D89" s="16">
        <v>26360441.451424398</v>
      </c>
      <c r="E89" s="16">
        <v>22493192.73</v>
      </c>
      <c r="F89" s="16">
        <v>14462368.6</v>
      </c>
      <c r="G89" s="16">
        <v>7956667.1399999997</v>
      </c>
      <c r="H89" s="16">
        <v>102551087.59</v>
      </c>
      <c r="I89" s="16">
        <v>39948024.07</v>
      </c>
      <c r="J89" s="16">
        <v>0</v>
      </c>
      <c r="K89" s="16">
        <v>0</v>
      </c>
      <c r="L89" s="16">
        <v>0</v>
      </c>
      <c r="M89" s="16">
        <v>0</v>
      </c>
      <c r="N89" s="18">
        <f t="shared" si="2"/>
        <v>2049574083.9314244</v>
      </c>
    </row>
    <row r="90" spans="1:14" ht="15" x14ac:dyDescent="0.2">
      <c r="A90" s="17" t="s">
        <v>85</v>
      </c>
      <c r="B90" s="16">
        <v>8337771066.9499989</v>
      </c>
      <c r="C90" s="16">
        <v>0</v>
      </c>
      <c r="D90" s="16">
        <v>53716706.150242448</v>
      </c>
      <c r="E90" s="16">
        <v>105301569.43000001</v>
      </c>
      <c r="F90" s="16">
        <v>196179627.59</v>
      </c>
      <c r="G90" s="16">
        <v>66890086.370045379</v>
      </c>
      <c r="H90" s="16">
        <v>465762293.62</v>
      </c>
      <c r="I90" s="16">
        <v>541888309.99000001</v>
      </c>
      <c r="J90" s="16">
        <v>0</v>
      </c>
      <c r="K90" s="16">
        <v>0</v>
      </c>
      <c r="L90" s="16">
        <v>0</v>
      </c>
      <c r="M90" s="16">
        <v>0</v>
      </c>
      <c r="N90" s="18">
        <f t="shared" si="2"/>
        <v>9767509660.1002865</v>
      </c>
    </row>
    <row r="91" spans="1:14" ht="15" x14ac:dyDescent="0.2">
      <c r="A91" s="17" t="s">
        <v>86</v>
      </c>
      <c r="B91" s="16">
        <v>385163073.01999998</v>
      </c>
      <c r="C91" s="16">
        <v>0</v>
      </c>
      <c r="D91" s="16">
        <v>17132568.112254046</v>
      </c>
      <c r="E91" s="16">
        <v>4585294.6500000004</v>
      </c>
      <c r="F91" s="16">
        <v>4554306.6100000003</v>
      </c>
      <c r="G91" s="16">
        <v>2715977.73</v>
      </c>
      <c r="H91" s="16">
        <v>21515874.559999999</v>
      </c>
      <c r="I91" s="16">
        <v>12579927.6</v>
      </c>
      <c r="J91" s="16">
        <v>0</v>
      </c>
      <c r="K91" s="16">
        <v>0</v>
      </c>
      <c r="L91" s="16">
        <v>0</v>
      </c>
      <c r="M91" s="16">
        <v>0</v>
      </c>
      <c r="N91" s="18">
        <f t="shared" si="2"/>
        <v>448247022.28225404</v>
      </c>
    </row>
    <row r="92" spans="1:14" ht="15" x14ac:dyDescent="0.2">
      <c r="A92" s="17" t="s">
        <v>87</v>
      </c>
      <c r="B92" s="16">
        <v>534010396.84000003</v>
      </c>
      <c r="C92" s="16">
        <v>0</v>
      </c>
      <c r="D92" s="16">
        <v>2305183.27</v>
      </c>
      <c r="E92" s="16">
        <v>5629307.1999999993</v>
      </c>
      <c r="F92" s="16">
        <v>973796.65</v>
      </c>
      <c r="G92" s="16">
        <v>918076.98</v>
      </c>
      <c r="H92" s="16">
        <v>29830743.170000002</v>
      </c>
      <c r="I92" s="16">
        <v>2689825.79</v>
      </c>
      <c r="J92" s="16">
        <v>0</v>
      </c>
      <c r="K92" s="16">
        <v>0</v>
      </c>
      <c r="L92" s="16">
        <v>0</v>
      </c>
      <c r="M92" s="16">
        <v>0</v>
      </c>
      <c r="N92" s="18">
        <f t="shared" si="2"/>
        <v>576357329.89999998</v>
      </c>
    </row>
    <row r="93" spans="1:14" ht="15" x14ac:dyDescent="0.2">
      <c r="A93" s="17" t="s">
        <v>88</v>
      </c>
      <c r="B93" s="16">
        <v>6041165636.7099991</v>
      </c>
      <c r="C93" s="16">
        <v>0</v>
      </c>
      <c r="D93" s="16">
        <v>84286375.89281556</v>
      </c>
      <c r="E93" s="16">
        <v>70861430.269999996</v>
      </c>
      <c r="F93" s="16">
        <v>158996754.56999999</v>
      </c>
      <c r="G93" s="16">
        <v>35493841.607692927</v>
      </c>
      <c r="H93" s="16">
        <v>337469947.37</v>
      </c>
      <c r="I93" s="16">
        <v>439181599.48000002</v>
      </c>
      <c r="J93" s="16">
        <v>0</v>
      </c>
      <c r="K93" s="16">
        <v>0</v>
      </c>
      <c r="L93" s="16">
        <v>0</v>
      </c>
      <c r="M93" s="16">
        <v>0</v>
      </c>
      <c r="N93" s="18">
        <f t="shared" si="2"/>
        <v>7167455585.900507</v>
      </c>
    </row>
    <row r="94" spans="1:14" ht="15" x14ac:dyDescent="0.2">
      <c r="A94" s="17" t="s">
        <v>89</v>
      </c>
      <c r="B94" s="16">
        <v>3106667072.75</v>
      </c>
      <c r="C94" s="16">
        <v>0</v>
      </c>
      <c r="D94" s="16">
        <v>90410324.369999975</v>
      </c>
      <c r="E94" s="16">
        <v>40119098.289999999</v>
      </c>
      <c r="F94" s="16">
        <v>71895109.109999999</v>
      </c>
      <c r="G94" s="16">
        <v>44003216.176316984</v>
      </c>
      <c r="H94" s="16">
        <v>173543788.83000001</v>
      </c>
      <c r="I94" s="16">
        <v>198589015.84999999</v>
      </c>
      <c r="J94" s="16">
        <v>0</v>
      </c>
      <c r="K94" s="16">
        <v>0</v>
      </c>
      <c r="L94" s="16">
        <v>0</v>
      </c>
      <c r="M94" s="16">
        <v>0</v>
      </c>
      <c r="N94" s="18">
        <f t="shared" si="2"/>
        <v>3725227625.376317</v>
      </c>
    </row>
    <row r="95" spans="1:14" ht="15" x14ac:dyDescent="0.2">
      <c r="A95" s="17" t="s">
        <v>90</v>
      </c>
      <c r="B95" s="16">
        <v>631405705.65999997</v>
      </c>
      <c r="C95" s="16">
        <v>0</v>
      </c>
      <c r="D95" s="16">
        <v>16365983.444857083</v>
      </c>
      <c r="E95" s="16">
        <v>7469028.5099999998</v>
      </c>
      <c r="F95" s="16">
        <v>3525228.92</v>
      </c>
      <c r="G95" s="16">
        <v>2180432.8199999998</v>
      </c>
      <c r="H95" s="16">
        <v>35271413.350000001</v>
      </c>
      <c r="I95" s="16">
        <v>9737404.2799999993</v>
      </c>
      <c r="J95" s="16">
        <v>0</v>
      </c>
      <c r="K95" s="16">
        <v>0</v>
      </c>
      <c r="L95" s="16">
        <v>0</v>
      </c>
      <c r="M95" s="16">
        <v>0</v>
      </c>
      <c r="N95" s="18">
        <f t="shared" si="2"/>
        <v>705955196.98485708</v>
      </c>
    </row>
    <row r="96" spans="1:14" ht="15" x14ac:dyDescent="0.2">
      <c r="A96" s="17" t="s">
        <v>91</v>
      </c>
      <c r="B96" s="16">
        <v>1943795607.7199998</v>
      </c>
      <c r="C96" s="16">
        <v>0</v>
      </c>
      <c r="D96" s="16">
        <v>64206162.288236067</v>
      </c>
      <c r="E96" s="16">
        <v>5777933.0300000003</v>
      </c>
      <c r="F96" s="16">
        <v>19756590.57</v>
      </c>
      <c r="G96" s="16">
        <v>11150809.960000001</v>
      </c>
      <c r="H96" s="16">
        <v>108583780.17</v>
      </c>
      <c r="I96" s="16">
        <v>54571749.43</v>
      </c>
      <c r="J96" s="16">
        <v>0</v>
      </c>
      <c r="K96" s="16">
        <v>0</v>
      </c>
      <c r="L96" s="16">
        <v>0</v>
      </c>
      <c r="M96" s="16">
        <v>0</v>
      </c>
      <c r="N96" s="18">
        <f t="shared" si="2"/>
        <v>2207842633.1682358</v>
      </c>
    </row>
    <row r="97" spans="1:14" ht="15" x14ac:dyDescent="0.2">
      <c r="A97" s="17" t="s">
        <v>92</v>
      </c>
      <c r="B97" s="16">
        <v>986760165.74000001</v>
      </c>
      <c r="C97" s="16">
        <v>0</v>
      </c>
      <c r="D97" s="16">
        <v>46762895.475559905</v>
      </c>
      <c r="E97" s="16">
        <v>12114358.059999999</v>
      </c>
      <c r="F97" s="16">
        <v>9121370.3800000008</v>
      </c>
      <c r="G97" s="16">
        <v>5737981.1100000003</v>
      </c>
      <c r="H97" s="16">
        <v>55122127.289999999</v>
      </c>
      <c r="I97" s="16">
        <v>25195093.100000001</v>
      </c>
      <c r="J97" s="16">
        <v>0</v>
      </c>
      <c r="K97" s="16">
        <v>0</v>
      </c>
      <c r="L97" s="16">
        <v>0</v>
      </c>
      <c r="M97" s="16">
        <v>0</v>
      </c>
      <c r="N97" s="18">
        <f t="shared" si="2"/>
        <v>1140813991.1555598</v>
      </c>
    </row>
    <row r="98" spans="1:14" ht="15" x14ac:dyDescent="0.2">
      <c r="A98" s="17" t="s">
        <v>93</v>
      </c>
      <c r="B98" s="16">
        <v>2839172520.8699999</v>
      </c>
      <c r="C98" s="16">
        <v>0</v>
      </c>
      <c r="D98" s="16">
        <v>59312278.876069814</v>
      </c>
      <c r="E98" s="16">
        <v>34103257.579999998</v>
      </c>
      <c r="F98" s="16">
        <v>21210906.969999999</v>
      </c>
      <c r="G98" s="16">
        <v>13732901.460000001</v>
      </c>
      <c r="H98" s="16">
        <v>158601081.12</v>
      </c>
      <c r="I98" s="16">
        <v>58588869.170000002</v>
      </c>
      <c r="J98" s="16">
        <v>0</v>
      </c>
      <c r="K98" s="16">
        <v>0</v>
      </c>
      <c r="L98" s="16">
        <v>0</v>
      </c>
      <c r="M98" s="16">
        <v>0</v>
      </c>
      <c r="N98" s="18">
        <f t="shared" si="2"/>
        <v>3184721816.0460696</v>
      </c>
    </row>
    <row r="99" spans="1:14" ht="15" x14ac:dyDescent="0.2">
      <c r="A99" s="17" t="s">
        <v>94</v>
      </c>
      <c r="B99" s="16">
        <v>2013759162.8900003</v>
      </c>
      <c r="C99" s="16">
        <v>0</v>
      </c>
      <c r="D99" s="16">
        <v>25320692.044797488</v>
      </c>
      <c r="E99" s="16">
        <v>24096296.280000001</v>
      </c>
      <c r="F99" s="16">
        <v>7862663.79</v>
      </c>
      <c r="G99" s="16">
        <v>4112219.8</v>
      </c>
      <c r="H99" s="16">
        <v>112492065.20999999</v>
      </c>
      <c r="I99" s="16">
        <v>21718287.710000001</v>
      </c>
      <c r="J99" s="16">
        <v>0</v>
      </c>
      <c r="K99" s="16">
        <v>0</v>
      </c>
      <c r="L99" s="16">
        <v>0</v>
      </c>
      <c r="M99" s="16">
        <v>0</v>
      </c>
      <c r="N99" s="18">
        <f t="shared" si="2"/>
        <v>2209361387.7247977</v>
      </c>
    </row>
    <row r="100" spans="1:14" ht="15" x14ac:dyDescent="0.2">
      <c r="A100" s="17" t="s">
        <v>95</v>
      </c>
      <c r="B100" s="16">
        <v>2127652672.1800001</v>
      </c>
      <c r="C100" s="16">
        <v>0</v>
      </c>
      <c r="D100" s="16">
        <v>50273902.228423402</v>
      </c>
      <c r="E100" s="16">
        <v>26289114.130000003</v>
      </c>
      <c r="F100" s="16">
        <v>8827955.6699999999</v>
      </c>
      <c r="G100" s="16">
        <v>4896410.55</v>
      </c>
      <c r="H100" s="16">
        <v>118854353.37</v>
      </c>
      <c r="I100" s="16">
        <v>24384621.57</v>
      </c>
      <c r="J100" s="16">
        <v>0</v>
      </c>
      <c r="K100" s="16">
        <v>0</v>
      </c>
      <c r="L100" s="16">
        <v>0</v>
      </c>
      <c r="M100" s="16">
        <v>0</v>
      </c>
      <c r="N100" s="18">
        <f t="shared" si="2"/>
        <v>2361179029.6984239</v>
      </c>
    </row>
    <row r="101" spans="1:14" ht="15" x14ac:dyDescent="0.2">
      <c r="A101" s="17" t="s">
        <v>96</v>
      </c>
      <c r="B101" s="16">
        <v>435971937.82000005</v>
      </c>
      <c r="C101" s="16">
        <v>0</v>
      </c>
      <c r="D101" s="16">
        <v>8497233.0860869624</v>
      </c>
      <c r="E101" s="16">
        <v>5387361</v>
      </c>
      <c r="F101" s="16">
        <v>1054592</v>
      </c>
      <c r="G101" s="16">
        <v>784190.75</v>
      </c>
      <c r="H101" s="16">
        <v>24354145.510000002</v>
      </c>
      <c r="I101" s="16">
        <v>2912999.11</v>
      </c>
      <c r="J101" s="16">
        <v>0</v>
      </c>
      <c r="K101" s="16">
        <v>0</v>
      </c>
      <c r="L101" s="16">
        <v>0</v>
      </c>
      <c r="M101" s="16">
        <v>0</v>
      </c>
      <c r="N101" s="18">
        <f t="shared" si="2"/>
        <v>478962459.27608705</v>
      </c>
    </row>
    <row r="102" spans="1:14" ht="15" x14ac:dyDescent="0.2">
      <c r="A102" s="17" t="s">
        <v>97</v>
      </c>
      <c r="B102" s="16">
        <v>1208227534.6500001</v>
      </c>
      <c r="C102" s="16">
        <v>0</v>
      </c>
      <c r="D102" s="16">
        <v>74031467.704990894</v>
      </c>
      <c r="E102" s="16">
        <v>14797403.799999999</v>
      </c>
      <c r="F102" s="16">
        <v>20419962.969999999</v>
      </c>
      <c r="G102" s="16">
        <v>12585305.24</v>
      </c>
      <c r="H102" s="16">
        <v>67493677.060000002</v>
      </c>
      <c r="I102" s="16">
        <v>56404119.840000004</v>
      </c>
      <c r="J102" s="16">
        <v>0</v>
      </c>
      <c r="K102" s="16">
        <v>0</v>
      </c>
      <c r="L102" s="16">
        <v>0</v>
      </c>
      <c r="M102" s="16">
        <v>0</v>
      </c>
      <c r="N102" s="18">
        <f t="shared" si="2"/>
        <v>1453959471.2649908</v>
      </c>
    </row>
    <row r="103" spans="1:14" ht="15" x14ac:dyDescent="0.2">
      <c r="A103" s="17" t="s">
        <v>98</v>
      </c>
      <c r="B103" s="16">
        <v>448471421.91999996</v>
      </c>
      <c r="C103" s="16">
        <v>0</v>
      </c>
      <c r="D103" s="16">
        <v>18131384.264965713</v>
      </c>
      <c r="E103" s="16">
        <v>5410002.7400000002</v>
      </c>
      <c r="F103" s="16">
        <v>506034.06</v>
      </c>
      <c r="G103" s="16">
        <v>497291.7</v>
      </c>
      <c r="H103" s="16">
        <v>25052388.280000001</v>
      </c>
      <c r="I103" s="16">
        <v>1397769.73</v>
      </c>
      <c r="J103" s="16">
        <v>0</v>
      </c>
      <c r="K103" s="16">
        <v>0</v>
      </c>
      <c r="L103" s="16">
        <v>0</v>
      </c>
      <c r="M103" s="16">
        <v>0</v>
      </c>
      <c r="N103" s="18">
        <f t="shared" si="2"/>
        <v>499466292.69496572</v>
      </c>
    </row>
    <row r="104" spans="1:14" ht="15" x14ac:dyDescent="0.2">
      <c r="A104" s="17" t="s">
        <v>99</v>
      </c>
      <c r="B104" s="16">
        <v>6723911505.2700005</v>
      </c>
      <c r="C104" s="16">
        <v>0</v>
      </c>
      <c r="D104" s="16">
        <v>82275131.739947513</v>
      </c>
      <c r="E104" s="16">
        <v>80082448.879999995</v>
      </c>
      <c r="F104" s="16">
        <v>103702964.8</v>
      </c>
      <c r="G104" s="16">
        <v>24538982.327985208</v>
      </c>
      <c r="H104" s="16">
        <v>375609310.88999999</v>
      </c>
      <c r="I104" s="16">
        <v>286448827.67000002</v>
      </c>
      <c r="J104" s="16">
        <v>0</v>
      </c>
      <c r="K104" s="16">
        <v>0</v>
      </c>
      <c r="L104" s="16">
        <v>0</v>
      </c>
      <c r="M104" s="16">
        <v>0</v>
      </c>
      <c r="N104" s="18">
        <f t="shared" ref="N104:N135" si="3">SUM(B104:M104)</f>
        <v>7676569171.5779333</v>
      </c>
    </row>
    <row r="105" spans="1:14" ht="15" x14ac:dyDescent="0.2">
      <c r="A105" s="17" t="s">
        <v>100</v>
      </c>
      <c r="B105" s="16">
        <v>1152469209.6799998</v>
      </c>
      <c r="C105" s="16">
        <v>0</v>
      </c>
      <c r="D105" s="16">
        <v>27182158.749999996</v>
      </c>
      <c r="E105" s="16">
        <v>10291033.24</v>
      </c>
      <c r="F105" s="16">
        <v>4469258.8600000003</v>
      </c>
      <c r="G105" s="16">
        <v>4303485.83</v>
      </c>
      <c r="H105" s="16">
        <v>64378920.719999999</v>
      </c>
      <c r="I105" s="16">
        <v>12345008.32</v>
      </c>
      <c r="J105" s="16">
        <v>0</v>
      </c>
      <c r="K105" s="16">
        <v>0</v>
      </c>
      <c r="L105" s="16">
        <v>0</v>
      </c>
      <c r="M105" s="16">
        <v>0</v>
      </c>
      <c r="N105" s="18">
        <f t="shared" si="3"/>
        <v>1275439075.3999996</v>
      </c>
    </row>
    <row r="106" spans="1:14" ht="15" x14ac:dyDescent="0.2">
      <c r="A106" s="17" t="s">
        <v>101</v>
      </c>
      <c r="B106" s="16">
        <v>1229060008.1300001</v>
      </c>
      <c r="C106" s="16">
        <v>0</v>
      </c>
      <c r="D106" s="16">
        <v>10089460.009999998</v>
      </c>
      <c r="E106" s="16">
        <v>14620386.600000001</v>
      </c>
      <c r="F106" s="16">
        <v>31667526.91</v>
      </c>
      <c r="G106" s="16">
        <v>10428019.463953678</v>
      </c>
      <c r="H106" s="16">
        <v>68657415.010000005</v>
      </c>
      <c r="I106" s="16">
        <v>87472195.010000005</v>
      </c>
      <c r="J106" s="16">
        <v>0</v>
      </c>
      <c r="K106" s="16">
        <v>0</v>
      </c>
      <c r="L106" s="16">
        <v>0</v>
      </c>
      <c r="M106" s="16">
        <v>0</v>
      </c>
      <c r="N106" s="18">
        <f t="shared" si="3"/>
        <v>1451995011.1339538</v>
      </c>
    </row>
    <row r="107" spans="1:14" ht="15" x14ac:dyDescent="0.2">
      <c r="A107" s="17" t="s">
        <v>102</v>
      </c>
      <c r="B107" s="16">
        <v>1649736156.8099999</v>
      </c>
      <c r="C107" s="16">
        <v>0</v>
      </c>
      <c r="D107" s="16">
        <v>20161137.347273458</v>
      </c>
      <c r="E107" s="16">
        <v>20263667.830000002</v>
      </c>
      <c r="F107" s="16">
        <v>1760488.26</v>
      </c>
      <c r="G107" s="16">
        <v>1817027.35</v>
      </c>
      <c r="H107" s="16">
        <v>92157111.310000002</v>
      </c>
      <c r="I107" s="16">
        <v>4862829.16</v>
      </c>
      <c r="J107" s="16">
        <v>0</v>
      </c>
      <c r="K107" s="16">
        <v>0</v>
      </c>
      <c r="L107" s="16">
        <v>0</v>
      </c>
      <c r="M107" s="16">
        <v>0</v>
      </c>
      <c r="N107" s="18">
        <f t="shared" si="3"/>
        <v>1790758418.0672731</v>
      </c>
    </row>
    <row r="108" spans="1:14" ht="15" x14ac:dyDescent="0.2">
      <c r="A108" s="17" t="s">
        <v>103</v>
      </c>
      <c r="B108" s="16">
        <v>602939319.08999991</v>
      </c>
      <c r="C108" s="16">
        <v>0</v>
      </c>
      <c r="D108" s="16">
        <v>9871350.7305384111</v>
      </c>
      <c r="E108" s="16">
        <v>7184977.6299999999</v>
      </c>
      <c r="F108" s="16">
        <v>1786002.59</v>
      </c>
      <c r="G108" s="16">
        <v>1338862.26</v>
      </c>
      <c r="H108" s="16">
        <v>33681231.829999998</v>
      </c>
      <c r="I108" s="16">
        <v>4933304.9400000004</v>
      </c>
      <c r="J108" s="16">
        <v>0</v>
      </c>
      <c r="K108" s="16">
        <v>0</v>
      </c>
      <c r="L108" s="16">
        <v>0</v>
      </c>
      <c r="M108" s="16">
        <v>0</v>
      </c>
      <c r="N108" s="18">
        <f t="shared" si="3"/>
        <v>661735049.0705384</v>
      </c>
    </row>
    <row r="109" spans="1:14" ht="15" x14ac:dyDescent="0.2">
      <c r="A109" s="17" t="s">
        <v>104</v>
      </c>
      <c r="B109" s="16">
        <v>5524324553.4699993</v>
      </c>
      <c r="C109" s="16">
        <v>0</v>
      </c>
      <c r="D109" s="16">
        <v>113453932.0973732</v>
      </c>
      <c r="E109" s="16">
        <v>69066215.030000001</v>
      </c>
      <c r="F109" s="16">
        <v>182350864.66</v>
      </c>
      <c r="G109" s="16">
        <v>112420004.95738375</v>
      </c>
      <c r="H109" s="16">
        <v>308598311.72000003</v>
      </c>
      <c r="I109" s="16">
        <v>503690434.57999998</v>
      </c>
      <c r="J109" s="16">
        <v>0</v>
      </c>
      <c r="K109" s="16">
        <v>0</v>
      </c>
      <c r="L109" s="16">
        <v>0</v>
      </c>
      <c r="M109" s="16">
        <v>0</v>
      </c>
      <c r="N109" s="18">
        <f t="shared" si="3"/>
        <v>6813904316.5147562</v>
      </c>
    </row>
    <row r="110" spans="1:14" ht="15" x14ac:dyDescent="0.2">
      <c r="A110" s="17" t="s">
        <v>105</v>
      </c>
      <c r="B110" s="16">
        <v>639123507.92000008</v>
      </c>
      <c r="C110" s="16">
        <v>0</v>
      </c>
      <c r="D110" s="16">
        <v>19072324.114533655</v>
      </c>
      <c r="E110" s="16">
        <v>7916374.3300000001</v>
      </c>
      <c r="F110" s="16">
        <v>6969662.4900000002</v>
      </c>
      <c r="G110" s="16">
        <v>4341739.04</v>
      </c>
      <c r="H110" s="16">
        <v>35702543.109999999</v>
      </c>
      <c r="I110" s="16">
        <v>19251635.239999998</v>
      </c>
      <c r="J110" s="16">
        <v>0</v>
      </c>
      <c r="K110" s="16">
        <v>0</v>
      </c>
      <c r="L110" s="16">
        <v>0</v>
      </c>
      <c r="M110" s="16">
        <v>0</v>
      </c>
      <c r="N110" s="18">
        <f t="shared" si="3"/>
        <v>732377786.24453378</v>
      </c>
    </row>
    <row r="111" spans="1:14" ht="15" x14ac:dyDescent="0.2">
      <c r="A111" s="17" t="s">
        <v>106</v>
      </c>
      <c r="B111" s="16">
        <v>763027789.69000006</v>
      </c>
      <c r="C111" s="16">
        <v>0</v>
      </c>
      <c r="D111" s="16">
        <v>21143785.587967385</v>
      </c>
      <c r="E111" s="16">
        <v>9111240.4900000002</v>
      </c>
      <c r="F111" s="16">
        <v>2428113.04</v>
      </c>
      <c r="G111" s="16">
        <v>1817027.35</v>
      </c>
      <c r="H111" s="16">
        <v>42624050.310000002</v>
      </c>
      <c r="I111" s="16">
        <v>6706945.5300000003</v>
      </c>
      <c r="J111" s="16">
        <v>0</v>
      </c>
      <c r="K111" s="16">
        <v>0</v>
      </c>
      <c r="L111" s="16">
        <v>0</v>
      </c>
      <c r="M111" s="16">
        <v>0</v>
      </c>
      <c r="N111" s="18">
        <f t="shared" si="3"/>
        <v>846858951.99796748</v>
      </c>
    </row>
    <row r="112" spans="1:14" ht="15" x14ac:dyDescent="0.2">
      <c r="A112" s="17" t="s">
        <v>107</v>
      </c>
      <c r="B112" s="16">
        <v>1098248852.6100001</v>
      </c>
      <c r="C112" s="16">
        <v>0</v>
      </c>
      <c r="D112" s="16">
        <v>28380214.825286679</v>
      </c>
      <c r="E112" s="16">
        <v>13349018.799999999</v>
      </c>
      <c r="F112" s="16">
        <v>2951156.66</v>
      </c>
      <c r="G112" s="16">
        <v>2161306.2200000002</v>
      </c>
      <c r="H112" s="16">
        <v>61350077.920000002</v>
      </c>
      <c r="I112" s="16">
        <v>8151699.1200000001</v>
      </c>
      <c r="J112" s="16">
        <v>0</v>
      </c>
      <c r="K112" s="16">
        <v>0</v>
      </c>
      <c r="L112" s="16">
        <v>0</v>
      </c>
      <c r="M112" s="16">
        <v>0</v>
      </c>
      <c r="N112" s="18">
        <f t="shared" si="3"/>
        <v>1214592326.1552868</v>
      </c>
    </row>
    <row r="113" spans="1:14" ht="15" x14ac:dyDescent="0.2">
      <c r="A113" s="17" t="s">
        <v>108</v>
      </c>
      <c r="B113" s="16">
        <v>869315348.90999997</v>
      </c>
      <c r="C113" s="16">
        <v>0</v>
      </c>
      <c r="D113" s="16">
        <v>40601509.247510321</v>
      </c>
      <c r="E113" s="16">
        <v>10565114.41</v>
      </c>
      <c r="F113" s="16">
        <v>4158834.6</v>
      </c>
      <c r="G113" s="16">
        <v>2792484.14</v>
      </c>
      <c r="H113" s="16">
        <v>48561456.960000001</v>
      </c>
      <c r="I113" s="16">
        <v>11487552.939999999</v>
      </c>
      <c r="J113" s="16">
        <v>0</v>
      </c>
      <c r="K113" s="16">
        <v>0</v>
      </c>
      <c r="L113" s="16">
        <v>0</v>
      </c>
      <c r="M113" s="16">
        <v>0</v>
      </c>
      <c r="N113" s="18">
        <f t="shared" si="3"/>
        <v>987482301.20751035</v>
      </c>
    </row>
    <row r="114" spans="1:14" ht="15" x14ac:dyDescent="0.2">
      <c r="A114" s="17" t="s">
        <v>109</v>
      </c>
      <c r="B114" s="16">
        <v>532025020.18000007</v>
      </c>
      <c r="C114" s="16">
        <v>0</v>
      </c>
      <c r="D114" s="16">
        <v>10207153.736410391</v>
      </c>
      <c r="E114" s="16">
        <v>6542775.6700000009</v>
      </c>
      <c r="F114" s="16">
        <v>2517413.17</v>
      </c>
      <c r="G114" s="16">
        <v>1530128.3</v>
      </c>
      <c r="H114" s="16">
        <v>29719836.600000001</v>
      </c>
      <c r="I114" s="16">
        <v>6953610.7800000003</v>
      </c>
      <c r="J114" s="16">
        <v>0</v>
      </c>
      <c r="K114" s="16">
        <v>0</v>
      </c>
      <c r="L114" s="16">
        <v>0</v>
      </c>
      <c r="M114" s="16">
        <v>0</v>
      </c>
      <c r="N114" s="18">
        <f t="shared" si="3"/>
        <v>589495938.43641031</v>
      </c>
    </row>
    <row r="115" spans="1:14" ht="15" x14ac:dyDescent="0.2">
      <c r="A115" s="17" t="s">
        <v>110</v>
      </c>
      <c r="B115" s="16">
        <v>1320247519.4700003</v>
      </c>
      <c r="C115" s="16">
        <v>0</v>
      </c>
      <c r="D115" s="16">
        <v>16075890.040432055</v>
      </c>
      <c r="E115" s="16">
        <v>17049570.449999999</v>
      </c>
      <c r="F115" s="16">
        <v>2606713.2999999998</v>
      </c>
      <c r="G115" s="16">
        <v>2467331.88</v>
      </c>
      <c r="H115" s="16">
        <v>73751306.909999996</v>
      </c>
      <c r="I115" s="16">
        <v>7200276.0199999996</v>
      </c>
      <c r="J115" s="16">
        <v>0</v>
      </c>
      <c r="K115" s="16">
        <v>0</v>
      </c>
      <c r="L115" s="16">
        <v>0</v>
      </c>
      <c r="M115" s="16">
        <v>0</v>
      </c>
      <c r="N115" s="18">
        <f t="shared" si="3"/>
        <v>1439398608.0704324</v>
      </c>
    </row>
    <row r="116" spans="1:14" ht="15" x14ac:dyDescent="0.2">
      <c r="A116" s="17" t="s">
        <v>111</v>
      </c>
      <c r="B116" s="16">
        <v>831621155.32000005</v>
      </c>
      <c r="C116" s="16">
        <v>0</v>
      </c>
      <c r="D116" s="16">
        <v>26729790.129387051</v>
      </c>
      <c r="E116" s="16">
        <v>10256706.51</v>
      </c>
      <c r="F116" s="16">
        <v>7195039.0099999998</v>
      </c>
      <c r="G116" s="16">
        <v>3882700.55</v>
      </c>
      <c r="H116" s="16">
        <v>46455794.200000003</v>
      </c>
      <c r="I116" s="16">
        <v>19874171.34</v>
      </c>
      <c r="J116" s="16">
        <v>0</v>
      </c>
      <c r="K116" s="16">
        <v>0</v>
      </c>
      <c r="L116" s="16">
        <v>0</v>
      </c>
      <c r="M116" s="16">
        <v>0</v>
      </c>
      <c r="N116" s="18">
        <f t="shared" si="3"/>
        <v>946015357.05938709</v>
      </c>
    </row>
    <row r="117" spans="1:14" ht="15" x14ac:dyDescent="0.2">
      <c r="A117" s="17" t="s">
        <v>112</v>
      </c>
      <c r="B117" s="16">
        <v>450177168.06</v>
      </c>
      <c r="C117" s="16">
        <v>0</v>
      </c>
      <c r="D117" s="16">
        <v>5784580.1942639276</v>
      </c>
      <c r="E117" s="16">
        <v>5260087</v>
      </c>
      <c r="F117" s="16">
        <v>1513849.81</v>
      </c>
      <c r="G117" s="16">
        <v>1032836.6</v>
      </c>
      <c r="H117" s="16">
        <v>25147674.199999999</v>
      </c>
      <c r="I117" s="16">
        <v>4181563.24</v>
      </c>
      <c r="J117" s="16">
        <v>0</v>
      </c>
      <c r="K117" s="16">
        <v>0</v>
      </c>
      <c r="L117" s="16">
        <v>0</v>
      </c>
      <c r="M117" s="16">
        <v>0</v>
      </c>
      <c r="N117" s="18">
        <f t="shared" si="3"/>
        <v>493097759.10426396</v>
      </c>
    </row>
    <row r="118" spans="1:14" ht="15" x14ac:dyDescent="0.2">
      <c r="A118" s="17" t="s">
        <v>113</v>
      </c>
      <c r="B118" s="16">
        <v>772087818.41000009</v>
      </c>
      <c r="C118" s="16">
        <v>0</v>
      </c>
      <c r="D118" s="16">
        <v>35757531.103059053</v>
      </c>
      <c r="E118" s="16">
        <v>9223420.0099999998</v>
      </c>
      <c r="F118" s="16">
        <v>7139757.9800000004</v>
      </c>
      <c r="G118" s="16">
        <v>4303485.83</v>
      </c>
      <c r="H118" s="16">
        <v>43130159.170000002</v>
      </c>
      <c r="I118" s="16">
        <v>19721473.800000001</v>
      </c>
      <c r="J118" s="16">
        <v>0</v>
      </c>
      <c r="K118" s="16">
        <v>0</v>
      </c>
      <c r="L118" s="16">
        <v>0</v>
      </c>
      <c r="M118" s="16">
        <v>0</v>
      </c>
      <c r="N118" s="18">
        <f t="shared" si="3"/>
        <v>891363646.3030591</v>
      </c>
    </row>
    <row r="119" spans="1:14" ht="15" x14ac:dyDescent="0.2">
      <c r="A119" s="17" t="s">
        <v>114</v>
      </c>
      <c r="B119" s="16">
        <v>1011954875.26</v>
      </c>
      <c r="C119" s="16">
        <v>0</v>
      </c>
      <c r="D119" s="16">
        <v>19159899.847215403</v>
      </c>
      <c r="E119" s="16">
        <v>12480399.469999999</v>
      </c>
      <c r="F119" s="16">
        <v>5736470.2300000004</v>
      </c>
      <c r="G119" s="16">
        <v>2888117.16</v>
      </c>
      <c r="H119" s="16">
        <v>56529547.289999999</v>
      </c>
      <c r="I119" s="16">
        <v>15845305.640000001</v>
      </c>
      <c r="J119" s="16">
        <v>0</v>
      </c>
      <c r="K119" s="16">
        <v>0</v>
      </c>
      <c r="L119" s="16">
        <v>0</v>
      </c>
      <c r="M119" s="16">
        <v>0</v>
      </c>
      <c r="N119" s="18">
        <f t="shared" si="3"/>
        <v>1124594614.8972156</v>
      </c>
    </row>
    <row r="120" spans="1:14" ht="15" x14ac:dyDescent="0.2">
      <c r="A120" s="17" t="s">
        <v>115</v>
      </c>
      <c r="B120" s="16">
        <v>625757169.23000002</v>
      </c>
      <c r="C120" s="16">
        <v>0</v>
      </c>
      <c r="D120" s="16">
        <v>26809800.463003945</v>
      </c>
      <c r="E120" s="16">
        <v>7751364.0999999996</v>
      </c>
      <c r="F120" s="16">
        <v>3865419.89</v>
      </c>
      <c r="G120" s="16">
        <v>2926370.37</v>
      </c>
      <c r="H120" s="16">
        <v>34955876.350000001</v>
      </c>
      <c r="I120" s="16">
        <v>10677081.41</v>
      </c>
      <c r="J120" s="16">
        <v>0</v>
      </c>
      <c r="K120" s="16">
        <v>0</v>
      </c>
      <c r="L120" s="16">
        <v>0</v>
      </c>
      <c r="M120" s="16">
        <v>0</v>
      </c>
      <c r="N120" s="18">
        <f t="shared" si="3"/>
        <v>712743081.81300402</v>
      </c>
    </row>
    <row r="121" spans="1:14" ht="15" x14ac:dyDescent="0.2">
      <c r="A121" s="17" t="s">
        <v>116</v>
      </c>
      <c r="B121" s="16">
        <v>802875138.25</v>
      </c>
      <c r="C121" s="16">
        <v>0</v>
      </c>
      <c r="D121" s="16">
        <v>17436345.464373417</v>
      </c>
      <c r="E121" s="16">
        <v>9475223.5600000005</v>
      </c>
      <c r="F121" s="16">
        <v>1624411.88</v>
      </c>
      <c r="G121" s="16">
        <v>975456.79</v>
      </c>
      <c r="H121" s="16">
        <v>44849992.030000001</v>
      </c>
      <c r="I121" s="16">
        <v>4486958.3</v>
      </c>
      <c r="J121" s="16">
        <v>0</v>
      </c>
      <c r="K121" s="16">
        <v>0</v>
      </c>
      <c r="L121" s="16">
        <v>0</v>
      </c>
      <c r="M121" s="16">
        <v>0</v>
      </c>
      <c r="N121" s="18">
        <f t="shared" si="3"/>
        <v>881723526.27437329</v>
      </c>
    </row>
    <row r="122" spans="1:14" ht="15" x14ac:dyDescent="0.2">
      <c r="A122" s="17" t="s">
        <v>117</v>
      </c>
      <c r="B122" s="16">
        <v>2493017904.75</v>
      </c>
      <c r="C122" s="16">
        <v>0</v>
      </c>
      <c r="D122" s="16">
        <v>39356356.865000002</v>
      </c>
      <c r="E122" s="16">
        <v>30780068.199999999</v>
      </c>
      <c r="F122" s="16">
        <v>48902451.920000002</v>
      </c>
      <c r="G122" s="16">
        <v>26945427.531513572</v>
      </c>
      <c r="H122" s="16">
        <v>139264286.34999999</v>
      </c>
      <c r="I122" s="16">
        <v>135078587.69999999</v>
      </c>
      <c r="J122" s="16">
        <v>0</v>
      </c>
      <c r="K122" s="16">
        <v>0</v>
      </c>
      <c r="L122" s="16">
        <v>0</v>
      </c>
      <c r="M122" s="16">
        <v>0</v>
      </c>
      <c r="N122" s="18">
        <f t="shared" si="3"/>
        <v>2913345083.3165131</v>
      </c>
    </row>
    <row r="123" spans="1:14" ht="15" x14ac:dyDescent="0.2">
      <c r="A123" s="17" t="s">
        <v>118</v>
      </c>
      <c r="B123" s="16">
        <v>5259654269.8299999</v>
      </c>
      <c r="C123" s="16">
        <v>0</v>
      </c>
      <c r="D123" s="16">
        <v>171604259.09</v>
      </c>
      <c r="E123" s="16">
        <v>67922807.349999994</v>
      </c>
      <c r="F123" s="16">
        <v>67978660.560000002</v>
      </c>
      <c r="G123" s="16">
        <v>64746189.611827947</v>
      </c>
      <c r="H123" s="16">
        <v>293813372.50999999</v>
      </c>
      <c r="I123" s="16">
        <v>187770982.87</v>
      </c>
      <c r="J123" s="16">
        <v>0</v>
      </c>
      <c r="K123" s="16">
        <v>0</v>
      </c>
      <c r="L123" s="16">
        <v>0</v>
      </c>
      <c r="M123" s="16">
        <v>0</v>
      </c>
      <c r="N123" s="18">
        <f t="shared" si="3"/>
        <v>6113490541.8218288</v>
      </c>
    </row>
    <row r="124" spans="1:14" ht="15" x14ac:dyDescent="0.2">
      <c r="A124" s="17" t="s">
        <v>119</v>
      </c>
      <c r="B124" s="16">
        <v>5064360317.2600002</v>
      </c>
      <c r="C124" s="16">
        <v>0</v>
      </c>
      <c r="D124" s="16">
        <v>51047923.690000005</v>
      </c>
      <c r="E124" s="16">
        <v>59656858.329999998</v>
      </c>
      <c r="F124" s="16">
        <v>87050616.819999993</v>
      </c>
      <c r="G124" s="16">
        <v>0</v>
      </c>
      <c r="H124" s="16">
        <v>282903914.99000001</v>
      </c>
      <c r="I124" s="16">
        <v>240451632.06999999</v>
      </c>
      <c r="J124" s="16">
        <v>0</v>
      </c>
      <c r="K124" s="16">
        <v>0</v>
      </c>
      <c r="L124" s="16">
        <v>0</v>
      </c>
      <c r="M124" s="16">
        <v>0</v>
      </c>
      <c r="N124" s="18">
        <f t="shared" si="3"/>
        <v>5785471263.1599989</v>
      </c>
    </row>
    <row r="125" spans="1:14" ht="15" x14ac:dyDescent="0.2">
      <c r="A125" s="17" t="s">
        <v>120</v>
      </c>
      <c r="B125" s="16">
        <v>1615900864.3399999</v>
      </c>
      <c r="C125" s="16">
        <v>0</v>
      </c>
      <c r="D125" s="16">
        <v>38484057.404477507</v>
      </c>
      <c r="E125" s="16">
        <v>19620779.740000002</v>
      </c>
      <c r="F125" s="16">
        <v>33849001.5</v>
      </c>
      <c r="G125" s="16">
        <v>18323286.350000001</v>
      </c>
      <c r="H125" s="16">
        <v>90267013.430000007</v>
      </c>
      <c r="I125" s="16">
        <v>93497874.620000005</v>
      </c>
      <c r="J125" s="16">
        <v>0</v>
      </c>
      <c r="K125" s="16">
        <v>0</v>
      </c>
      <c r="L125" s="16">
        <v>0</v>
      </c>
      <c r="M125" s="16">
        <v>0</v>
      </c>
      <c r="N125" s="18">
        <f t="shared" si="3"/>
        <v>1909942877.3844776</v>
      </c>
    </row>
    <row r="126" spans="1:14" ht="15" x14ac:dyDescent="0.2">
      <c r="A126" s="17" t="s">
        <v>121</v>
      </c>
      <c r="B126" s="16">
        <v>1755995753.0100002</v>
      </c>
      <c r="C126" s="16">
        <v>0</v>
      </c>
      <c r="D126" s="16">
        <v>28970374.896061957</v>
      </c>
      <c r="E126" s="16">
        <v>21862654.68</v>
      </c>
      <c r="F126" s="16">
        <v>16945762.690000001</v>
      </c>
      <c r="G126" s="16">
        <v>7497628.6500000004</v>
      </c>
      <c r="H126" s="16">
        <v>98092955.900000006</v>
      </c>
      <c r="I126" s="16">
        <v>46807667.130000003</v>
      </c>
      <c r="J126" s="16">
        <v>0</v>
      </c>
      <c r="K126" s="16">
        <v>0</v>
      </c>
      <c r="L126" s="16">
        <v>0</v>
      </c>
      <c r="M126" s="16">
        <v>0</v>
      </c>
      <c r="N126" s="18">
        <f t="shared" si="3"/>
        <v>1976172796.9560626</v>
      </c>
    </row>
    <row r="127" spans="1:14" ht="15" x14ac:dyDescent="0.2">
      <c r="A127" s="17" t="s">
        <v>122</v>
      </c>
      <c r="B127" s="16">
        <v>1030550304.61</v>
      </c>
      <c r="C127" s="16">
        <v>0</v>
      </c>
      <c r="D127" s="16">
        <v>19776761.11308407</v>
      </c>
      <c r="E127" s="16">
        <v>12336315.690000001</v>
      </c>
      <c r="F127" s="16">
        <v>17987597.530000001</v>
      </c>
      <c r="G127" s="16">
        <v>10710898.07</v>
      </c>
      <c r="H127" s="16">
        <v>57568320.090000004</v>
      </c>
      <c r="I127" s="16">
        <v>49685428.340000004</v>
      </c>
      <c r="J127" s="16">
        <v>0</v>
      </c>
      <c r="K127" s="16">
        <v>0</v>
      </c>
      <c r="L127" s="16">
        <v>0</v>
      </c>
      <c r="M127" s="16">
        <v>0</v>
      </c>
      <c r="N127" s="18">
        <f t="shared" si="3"/>
        <v>1198615625.443084</v>
      </c>
    </row>
    <row r="128" spans="1:14" ht="15" x14ac:dyDescent="0.2">
      <c r="A128" s="17" t="s">
        <v>123</v>
      </c>
      <c r="B128" s="16">
        <v>446430119.13999999</v>
      </c>
      <c r="C128" s="16">
        <v>0</v>
      </c>
      <c r="D128" s="16">
        <v>8417632.1689562276</v>
      </c>
      <c r="E128" s="16">
        <v>5765066.3300000001</v>
      </c>
      <c r="F128" s="16">
        <v>1645673.81</v>
      </c>
      <c r="G128" s="16">
        <v>1281482.45</v>
      </c>
      <c r="H128" s="16">
        <v>24938357.579999998</v>
      </c>
      <c r="I128" s="16">
        <v>4545688.13</v>
      </c>
      <c r="J128" s="16">
        <v>0</v>
      </c>
      <c r="K128" s="16">
        <v>0</v>
      </c>
      <c r="L128" s="16">
        <v>0</v>
      </c>
      <c r="M128" s="16">
        <v>0</v>
      </c>
      <c r="N128" s="18">
        <f t="shared" si="3"/>
        <v>493024019.60895616</v>
      </c>
    </row>
    <row r="129" spans="1:14" ht="15" x14ac:dyDescent="0.2">
      <c r="A129" s="17" t="s">
        <v>124</v>
      </c>
      <c r="B129" s="16">
        <v>2946271008.5900006</v>
      </c>
      <c r="C129" s="16">
        <v>0</v>
      </c>
      <c r="D129" s="16">
        <v>118495782.28641948</v>
      </c>
      <c r="E129" s="16">
        <v>24549987.41</v>
      </c>
      <c r="F129" s="16">
        <v>20930249.420000002</v>
      </c>
      <c r="G129" s="16">
        <v>15894207.68</v>
      </c>
      <c r="H129" s="16">
        <v>164583787.63999999</v>
      </c>
      <c r="I129" s="16">
        <v>57813635.539999999</v>
      </c>
      <c r="J129" s="16">
        <v>0</v>
      </c>
      <c r="K129" s="16">
        <v>0</v>
      </c>
      <c r="L129" s="16">
        <v>0</v>
      </c>
      <c r="M129" s="16">
        <v>0</v>
      </c>
      <c r="N129" s="18">
        <f t="shared" si="3"/>
        <v>3348538658.5664196</v>
      </c>
    </row>
    <row r="130" spans="1:14" ht="15" x14ac:dyDescent="0.2">
      <c r="A130" s="17" t="s">
        <v>125</v>
      </c>
      <c r="B130" s="16">
        <v>770130404.77999997</v>
      </c>
      <c r="C130" s="16">
        <v>0</v>
      </c>
      <c r="D130" s="16">
        <v>16318024.596923608</v>
      </c>
      <c r="E130" s="16">
        <v>9714334.0199999996</v>
      </c>
      <c r="F130" s="16">
        <v>2589703.75</v>
      </c>
      <c r="G130" s="16">
        <v>1185849.43</v>
      </c>
      <c r="H130" s="16">
        <v>43020814.659999996</v>
      </c>
      <c r="I130" s="16">
        <v>7153292.1699999999</v>
      </c>
      <c r="J130" s="16">
        <v>0</v>
      </c>
      <c r="K130" s="16">
        <v>0</v>
      </c>
      <c r="L130" s="16">
        <v>0</v>
      </c>
      <c r="M130" s="16">
        <v>0</v>
      </c>
      <c r="N130" s="18">
        <f t="shared" si="3"/>
        <v>850112423.40692341</v>
      </c>
    </row>
    <row r="131" spans="1:14" ht="15" x14ac:dyDescent="0.2">
      <c r="A131" s="17" t="s">
        <v>126</v>
      </c>
      <c r="B131" s="16">
        <v>4995627136.3400002</v>
      </c>
      <c r="C131" s="16">
        <v>0</v>
      </c>
      <c r="D131" s="16">
        <v>126840201.16999999</v>
      </c>
      <c r="E131" s="16">
        <v>122270143.23999999</v>
      </c>
      <c r="F131" s="16">
        <v>114350942.16</v>
      </c>
      <c r="G131" s="16">
        <v>13473167.177680496</v>
      </c>
      <c r="H131" s="16">
        <v>279064360.77999997</v>
      </c>
      <c r="I131" s="16">
        <v>315860721.89999998</v>
      </c>
      <c r="J131" s="16">
        <v>0</v>
      </c>
      <c r="K131" s="16">
        <v>0</v>
      </c>
      <c r="L131" s="16">
        <v>0</v>
      </c>
      <c r="M131" s="16">
        <v>0</v>
      </c>
      <c r="N131" s="18">
        <f t="shared" si="3"/>
        <v>5967486672.7676802</v>
      </c>
    </row>
    <row r="132" spans="1:14" ht="15" x14ac:dyDescent="0.2">
      <c r="A132" s="17" t="s">
        <v>127</v>
      </c>
      <c r="B132" s="16">
        <v>186233923.76000002</v>
      </c>
      <c r="C132" s="16">
        <v>0</v>
      </c>
      <c r="D132" s="16">
        <v>850139.50437009986</v>
      </c>
      <c r="E132" s="16">
        <v>2404826.84</v>
      </c>
      <c r="F132" s="16">
        <v>489024.51</v>
      </c>
      <c r="G132" s="16">
        <v>286899.06</v>
      </c>
      <c r="H132" s="16">
        <v>10403348.67</v>
      </c>
      <c r="I132" s="16">
        <v>1350785.88</v>
      </c>
      <c r="J132" s="16">
        <v>0</v>
      </c>
      <c r="K132" s="16">
        <v>0</v>
      </c>
      <c r="L132" s="16">
        <v>0</v>
      </c>
      <c r="M132" s="16">
        <v>0</v>
      </c>
      <c r="N132" s="18">
        <f t="shared" si="3"/>
        <v>202018948.22437009</v>
      </c>
    </row>
    <row r="133" spans="1:14" ht="15" x14ac:dyDescent="0.2">
      <c r="A133" s="17" t="s">
        <v>128</v>
      </c>
      <c r="B133" s="16">
        <v>1253136195.5700002</v>
      </c>
      <c r="C133" s="16">
        <v>0</v>
      </c>
      <c r="D133" s="16">
        <v>14515319.089387054</v>
      </c>
      <c r="E133" s="16">
        <v>5066689.1400000006</v>
      </c>
      <c r="F133" s="16">
        <v>1768993.04</v>
      </c>
      <c r="G133" s="16">
        <v>1625761.31</v>
      </c>
      <c r="H133" s="16">
        <v>70002352.430000007</v>
      </c>
      <c r="I133" s="16">
        <v>4886321.09</v>
      </c>
      <c r="J133" s="16">
        <v>0</v>
      </c>
      <c r="K133" s="16">
        <v>0</v>
      </c>
      <c r="L133" s="16">
        <v>0</v>
      </c>
      <c r="M133" s="16">
        <v>0</v>
      </c>
      <c r="N133" s="18">
        <f t="shared" si="3"/>
        <v>1351001631.6693871</v>
      </c>
    </row>
    <row r="134" spans="1:14" ht="15" x14ac:dyDescent="0.2">
      <c r="A134" s="17" t="s">
        <v>129</v>
      </c>
      <c r="B134" s="16">
        <v>2160257590.4099998</v>
      </c>
      <c r="C134" s="16">
        <v>0</v>
      </c>
      <c r="D134" s="16">
        <v>56632666.63507311</v>
      </c>
      <c r="E134" s="16">
        <v>26019471.629999999</v>
      </c>
      <c r="F134" s="16">
        <v>8253883.4000000004</v>
      </c>
      <c r="G134" s="16">
        <v>5374575.6399999997</v>
      </c>
      <c r="H134" s="16">
        <v>120675720.41</v>
      </c>
      <c r="I134" s="16">
        <v>22798916.41</v>
      </c>
      <c r="J134" s="16">
        <v>0</v>
      </c>
      <c r="K134" s="16">
        <v>0</v>
      </c>
      <c r="L134" s="16">
        <v>0</v>
      </c>
      <c r="M134" s="16">
        <v>0</v>
      </c>
      <c r="N134" s="18">
        <f t="shared" si="3"/>
        <v>2400012824.5350728</v>
      </c>
    </row>
    <row r="135" spans="1:14" ht="15" x14ac:dyDescent="0.2">
      <c r="A135" s="17" t="s">
        <v>130</v>
      </c>
      <c r="B135" s="16">
        <v>1801463674.95</v>
      </c>
      <c r="C135" s="16">
        <v>0</v>
      </c>
      <c r="D135" s="16">
        <v>69871129.876068771</v>
      </c>
      <c r="E135" s="16">
        <v>21521313.359999999</v>
      </c>
      <c r="F135" s="16">
        <v>12425475.17</v>
      </c>
      <c r="G135" s="16">
        <v>6809070.9199999999</v>
      </c>
      <c r="H135" s="16">
        <v>100632872.55</v>
      </c>
      <c r="I135" s="16">
        <v>34321707.240000002</v>
      </c>
      <c r="J135" s="16">
        <v>0</v>
      </c>
      <c r="K135" s="16">
        <v>0</v>
      </c>
      <c r="L135" s="16">
        <v>0</v>
      </c>
      <c r="M135" s="16">
        <v>0</v>
      </c>
      <c r="N135" s="18">
        <f t="shared" si="3"/>
        <v>2047045244.0660689</v>
      </c>
    </row>
    <row r="136" spans="1:14" ht="15" x14ac:dyDescent="0.2">
      <c r="A136" s="17" t="s">
        <v>131</v>
      </c>
      <c r="B136" s="16">
        <v>2802904442.9099998</v>
      </c>
      <c r="C136" s="16">
        <v>0</v>
      </c>
      <c r="D136" s="16">
        <v>64837753.50999999</v>
      </c>
      <c r="E136" s="16">
        <v>34722131.700000003</v>
      </c>
      <c r="F136" s="16">
        <v>73927750.150000006</v>
      </c>
      <c r="G136" s="16">
        <v>48687533.039487801</v>
      </c>
      <c r="H136" s="16">
        <v>156575083.63999999</v>
      </c>
      <c r="I136" s="16">
        <v>204203586.71000001</v>
      </c>
      <c r="J136" s="16">
        <v>0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3385858281.6594877</v>
      </c>
    </row>
    <row r="137" spans="1:14" ht="15" x14ac:dyDescent="0.2">
      <c r="A137" s="17" t="s">
        <v>132</v>
      </c>
      <c r="B137" s="16">
        <v>438740279.94000006</v>
      </c>
      <c r="C137" s="16">
        <v>0</v>
      </c>
      <c r="D137" s="16">
        <v>8608799.2485264428</v>
      </c>
      <c r="E137" s="16">
        <v>5559575.4200000009</v>
      </c>
      <c r="F137" s="16">
        <v>884496.52</v>
      </c>
      <c r="G137" s="16">
        <v>994583.39</v>
      </c>
      <c r="H137" s="16">
        <v>24508789.879999999</v>
      </c>
      <c r="I137" s="16">
        <v>2443160.54</v>
      </c>
      <c r="J137" s="16">
        <v>0</v>
      </c>
      <c r="K137" s="16">
        <v>0</v>
      </c>
      <c r="L137" s="16">
        <v>0</v>
      </c>
      <c r="M137" s="16">
        <v>0</v>
      </c>
      <c r="N137" s="18">
        <f t="shared" si="4"/>
        <v>481739684.93852651</v>
      </c>
    </row>
    <row r="138" spans="1:14" ht="15" x14ac:dyDescent="0.2">
      <c r="A138" s="17" t="s">
        <v>133</v>
      </c>
      <c r="B138" s="16">
        <v>1305874510.9299998</v>
      </c>
      <c r="C138" s="16">
        <v>0</v>
      </c>
      <c r="D138" s="16">
        <v>41461760.558667935</v>
      </c>
      <c r="E138" s="16">
        <v>15696212.130000001</v>
      </c>
      <c r="F138" s="16">
        <v>7701073.0800000001</v>
      </c>
      <c r="G138" s="16">
        <v>3882700.55</v>
      </c>
      <c r="H138" s="16">
        <v>72948405.819999993</v>
      </c>
      <c r="I138" s="16">
        <v>21271941.07</v>
      </c>
      <c r="J138" s="16">
        <v>0</v>
      </c>
      <c r="K138" s="16">
        <v>0</v>
      </c>
      <c r="L138" s="16">
        <v>0</v>
      </c>
      <c r="M138" s="16">
        <v>0</v>
      </c>
      <c r="N138" s="18">
        <f t="shared" si="4"/>
        <v>1468836604.1386676</v>
      </c>
    </row>
    <row r="139" spans="1:14" ht="15" x14ac:dyDescent="0.2">
      <c r="A139" s="17" t="s">
        <v>134</v>
      </c>
      <c r="B139" s="16">
        <v>4443748349.3899994</v>
      </c>
      <c r="C139" s="16">
        <v>0</v>
      </c>
      <c r="D139" s="16">
        <v>75918218.794999987</v>
      </c>
      <c r="E139" s="16">
        <v>55184429.350000009</v>
      </c>
      <c r="F139" s="16">
        <v>39606733.670000002</v>
      </c>
      <c r="G139" s="16">
        <v>44238414.062372684</v>
      </c>
      <c r="H139" s="16">
        <v>248235458.51999998</v>
      </c>
      <c r="I139" s="16">
        <v>109401910.03999999</v>
      </c>
      <c r="J139" s="16">
        <v>0</v>
      </c>
      <c r="K139" s="16">
        <v>0</v>
      </c>
      <c r="L139" s="16">
        <v>0</v>
      </c>
      <c r="M139" s="16">
        <v>0</v>
      </c>
      <c r="N139" s="18">
        <f t="shared" si="4"/>
        <v>5016333513.8273726</v>
      </c>
    </row>
    <row r="140" spans="1:14" ht="15" x14ac:dyDescent="0.2">
      <c r="A140" s="17" t="s">
        <v>135</v>
      </c>
      <c r="B140" s="16">
        <v>1332075890.3</v>
      </c>
      <c r="C140" s="16">
        <v>0</v>
      </c>
      <c r="D140" s="16">
        <v>22185089.769999996</v>
      </c>
      <c r="E140" s="16">
        <v>16266372.210000001</v>
      </c>
      <c r="F140" s="16">
        <v>6531666.6200000001</v>
      </c>
      <c r="G140" s="16">
        <v>4093093.19</v>
      </c>
      <c r="H140" s="16">
        <v>74412060.129999995</v>
      </c>
      <c r="I140" s="16">
        <v>18041800.93</v>
      </c>
      <c r="J140" s="16">
        <v>0</v>
      </c>
      <c r="K140" s="16">
        <v>0</v>
      </c>
      <c r="L140" s="16">
        <v>0</v>
      </c>
      <c r="M140" s="16">
        <v>0</v>
      </c>
      <c r="N140" s="18">
        <f t="shared" si="4"/>
        <v>1473605973.1499999</v>
      </c>
    </row>
    <row r="141" spans="1:14" ht="15" x14ac:dyDescent="0.2">
      <c r="A141" s="17" t="s">
        <v>136</v>
      </c>
      <c r="B141" s="16">
        <v>1504831623.2799997</v>
      </c>
      <c r="C141" s="16">
        <v>0</v>
      </c>
      <c r="D141" s="16">
        <v>16623424.655585105</v>
      </c>
      <c r="E141" s="16">
        <v>18854734.330000002</v>
      </c>
      <c r="F141" s="16">
        <v>9419037.4800000004</v>
      </c>
      <c r="G141" s="16">
        <v>3576674.89</v>
      </c>
      <c r="H141" s="16">
        <v>84062493.780000001</v>
      </c>
      <c r="I141" s="16">
        <v>26017310.59</v>
      </c>
      <c r="J141" s="16">
        <v>0</v>
      </c>
      <c r="K141" s="16">
        <v>0</v>
      </c>
      <c r="L141" s="16">
        <v>0</v>
      </c>
      <c r="M141" s="16">
        <v>0</v>
      </c>
      <c r="N141" s="18">
        <f t="shared" si="4"/>
        <v>1663385299.0055847</v>
      </c>
    </row>
    <row r="142" spans="1:14" ht="15" x14ac:dyDescent="0.2">
      <c r="A142" s="17" t="s">
        <v>137</v>
      </c>
      <c r="B142" s="16">
        <v>1529495034.78</v>
      </c>
      <c r="C142" s="16">
        <v>0</v>
      </c>
      <c r="D142" s="16">
        <v>30535338.928687729</v>
      </c>
      <c r="E142" s="16">
        <v>18429687.199999999</v>
      </c>
      <c r="F142" s="16">
        <v>40495482.579999998</v>
      </c>
      <c r="G142" s="16">
        <v>14440585.789999999</v>
      </c>
      <c r="H142" s="16">
        <v>85440234.540000007</v>
      </c>
      <c r="I142" s="16">
        <v>111856816.58</v>
      </c>
      <c r="J142" s="16">
        <v>0</v>
      </c>
      <c r="K142" s="16">
        <v>0</v>
      </c>
      <c r="L142" s="16">
        <v>0</v>
      </c>
      <c r="M142" s="16">
        <v>0</v>
      </c>
      <c r="N142" s="18">
        <f t="shared" si="4"/>
        <v>1830693180.3986876</v>
      </c>
    </row>
    <row r="143" spans="1:14" ht="24.75" customHeight="1" x14ac:dyDescent="0.2">
      <c r="A143" s="22" t="s">
        <v>138</v>
      </c>
      <c r="B143" s="23">
        <f>SUM(B8:B142)</f>
        <v>279630516268.69019</v>
      </c>
      <c r="C143" s="23">
        <f>SUM(C8:C142)</f>
        <v>0</v>
      </c>
      <c r="D143" s="23">
        <f t="shared" ref="D143:I143" si="5">SUM(D8:D142)</f>
        <v>5438072275.7179613</v>
      </c>
      <c r="E143" s="23">
        <f t="shared" si="5"/>
        <v>3445495372.9399986</v>
      </c>
      <c r="F143" s="23">
        <f>SUM(F8:F142)</f>
        <v>4252387124.3200006</v>
      </c>
      <c r="G143" s="23">
        <f t="shared" si="5"/>
        <v>1912660370.1700001</v>
      </c>
      <c r="H143" s="23">
        <f t="shared" si="5"/>
        <v>15620643644.900007</v>
      </c>
      <c r="I143" s="23">
        <f t="shared" si="5"/>
        <v>11745964147.750006</v>
      </c>
      <c r="J143" s="23">
        <f t="shared" ref="J143:N143" si="6">SUM(J8:J142)</f>
        <v>0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322045739204.48792</v>
      </c>
    </row>
    <row r="144" spans="1:1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K145" s="8"/>
      <c r="M145" s="9"/>
    </row>
    <row r="146" spans="1:14" x14ac:dyDescent="0.2">
      <c r="B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44AEAC"/>
  </sheetPr>
  <dimension ref="A1:Y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171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170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6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1233678664.9699998</v>
      </c>
      <c r="C8" s="16">
        <v>0</v>
      </c>
      <c r="D8" s="16">
        <v>20953231.051290207</v>
      </c>
      <c r="E8" s="16">
        <v>6919925.9000000004</v>
      </c>
      <c r="F8" s="16">
        <v>4240526.05</v>
      </c>
      <c r="G8" s="16">
        <v>2295615.7599999998</v>
      </c>
      <c r="H8" s="16">
        <v>65809555.950000003</v>
      </c>
      <c r="I8" s="16">
        <v>9078383.6699999999</v>
      </c>
      <c r="J8" s="16">
        <v>46062104.539999999</v>
      </c>
      <c r="K8" s="16">
        <v>0</v>
      </c>
      <c r="L8" s="16">
        <v>0</v>
      </c>
      <c r="M8" s="16">
        <v>0</v>
      </c>
      <c r="N8" s="18">
        <f t="shared" ref="N8:N39" si="0">SUM(B8:M8)</f>
        <v>1389038007.8912902</v>
      </c>
      <c r="O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684241933.1099999</v>
      </c>
      <c r="C9" s="16">
        <v>0</v>
      </c>
      <c r="D9" s="16">
        <v>16587943.409304071</v>
      </c>
      <c r="E9" s="16">
        <v>3657081.93</v>
      </c>
      <c r="F9" s="16">
        <v>2971002.1</v>
      </c>
      <c r="G9" s="16">
        <v>1698755.66</v>
      </c>
      <c r="H9" s="16">
        <v>36500313.299999997</v>
      </c>
      <c r="I9" s="16">
        <v>6360507.3200000003</v>
      </c>
      <c r="J9" s="16">
        <v>34931248.969999999</v>
      </c>
      <c r="K9" s="16">
        <v>0</v>
      </c>
      <c r="L9" s="16">
        <v>0</v>
      </c>
      <c r="M9" s="16">
        <v>0</v>
      </c>
      <c r="N9" s="18">
        <f t="shared" si="0"/>
        <v>786948785.79930389</v>
      </c>
      <c r="O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729946243.51999998</v>
      </c>
      <c r="C10" s="16">
        <v>0</v>
      </c>
      <c r="D10" s="16">
        <v>12632367.675054777</v>
      </c>
      <c r="E10" s="16">
        <v>3983113.71</v>
      </c>
      <c r="F10" s="16">
        <v>2075487.28</v>
      </c>
      <c r="G10" s="16">
        <v>1698755.66</v>
      </c>
      <c r="H10" s="16">
        <v>38938371.490000002</v>
      </c>
      <c r="I10" s="16">
        <v>4443333.13</v>
      </c>
      <c r="J10" s="16">
        <v>20645304.350000001</v>
      </c>
      <c r="K10" s="16">
        <v>0</v>
      </c>
      <c r="L10" s="16">
        <v>0</v>
      </c>
      <c r="M10" s="16">
        <v>0</v>
      </c>
      <c r="N10" s="18">
        <f t="shared" si="0"/>
        <v>814362976.81505477</v>
      </c>
      <c r="O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5657484426.4300003</v>
      </c>
      <c r="C11" s="16">
        <v>0</v>
      </c>
      <c r="D11" s="16">
        <v>80332943.360132739</v>
      </c>
      <c r="E11" s="16">
        <v>39154668.240000002</v>
      </c>
      <c r="F11" s="16">
        <v>222772480.50999999</v>
      </c>
      <c r="G11" s="16">
        <v>138113362.39486328</v>
      </c>
      <c r="H11" s="16">
        <v>301793772.12</v>
      </c>
      <c r="I11" s="16">
        <v>476925273.86000001</v>
      </c>
      <c r="J11" s="16">
        <v>388423737.69999999</v>
      </c>
      <c r="K11" s="16">
        <v>0</v>
      </c>
      <c r="L11" s="16">
        <v>0</v>
      </c>
      <c r="M11" s="16">
        <v>0</v>
      </c>
      <c r="N11" s="18">
        <f t="shared" si="0"/>
        <v>7305000664.614996</v>
      </c>
      <c r="O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745256061.80999994</v>
      </c>
      <c r="C12" s="16">
        <v>0</v>
      </c>
      <c r="D12" s="16">
        <v>27730749.638659015</v>
      </c>
      <c r="E12" s="16">
        <v>4142103.55</v>
      </c>
      <c r="F12" s="16">
        <v>7617143.6900000004</v>
      </c>
      <c r="G12" s="16">
        <v>4223933</v>
      </c>
      <c r="H12" s="16">
        <v>39755060.939999998</v>
      </c>
      <c r="I12" s="16">
        <v>16307258.119999999</v>
      </c>
      <c r="J12" s="16">
        <v>41881227.32</v>
      </c>
      <c r="K12" s="16">
        <v>0</v>
      </c>
      <c r="L12" s="16">
        <v>0</v>
      </c>
      <c r="M12" s="16">
        <v>0</v>
      </c>
      <c r="N12" s="18">
        <f t="shared" si="0"/>
        <v>886913538.06865907</v>
      </c>
      <c r="O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3359717105.3800001</v>
      </c>
      <c r="C13" s="16">
        <v>0</v>
      </c>
      <c r="D13" s="16">
        <v>72647915.712277085</v>
      </c>
      <c r="E13" s="16">
        <v>23962183.510000002</v>
      </c>
      <c r="F13" s="16">
        <v>108330954.40000001</v>
      </c>
      <c r="G13" s="16">
        <v>0</v>
      </c>
      <c r="H13" s="16">
        <v>179221297.31999999</v>
      </c>
      <c r="I13" s="16">
        <v>231921689.69</v>
      </c>
      <c r="J13" s="16">
        <v>288821140.54000002</v>
      </c>
      <c r="K13" s="16">
        <v>0</v>
      </c>
      <c r="L13" s="16">
        <v>0</v>
      </c>
      <c r="M13" s="16">
        <v>0</v>
      </c>
      <c r="N13" s="18">
        <f t="shared" si="0"/>
        <v>4264622286.5522776</v>
      </c>
      <c r="O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1220282573.98</v>
      </c>
      <c r="C14" s="16">
        <v>0</v>
      </c>
      <c r="D14" s="16">
        <v>33684073.627794303</v>
      </c>
      <c r="E14" s="16">
        <v>6653574.5199999996</v>
      </c>
      <c r="F14" s="16">
        <v>4930599.2300000004</v>
      </c>
      <c r="G14" s="16">
        <v>2869519.7</v>
      </c>
      <c r="H14" s="16">
        <v>65094952.689999998</v>
      </c>
      <c r="I14" s="16">
        <v>10555735.550000001</v>
      </c>
      <c r="J14" s="16">
        <v>62002805.909999996</v>
      </c>
      <c r="K14" s="16">
        <v>0</v>
      </c>
      <c r="L14" s="16">
        <v>0</v>
      </c>
      <c r="M14" s="16">
        <v>0</v>
      </c>
      <c r="N14" s="18">
        <f t="shared" si="0"/>
        <v>1406073835.2077944</v>
      </c>
      <c r="O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2064883596.3699999</v>
      </c>
      <c r="C15" s="16">
        <v>0</v>
      </c>
      <c r="D15" s="16">
        <v>55232131.367647618</v>
      </c>
      <c r="E15" s="16">
        <v>11588101.08</v>
      </c>
      <c r="F15" s="16">
        <v>18368589.25</v>
      </c>
      <c r="G15" s="16">
        <v>9940016.25</v>
      </c>
      <c r="H15" s="16">
        <v>110149487.40000001</v>
      </c>
      <c r="I15" s="16">
        <v>39324625.920000002</v>
      </c>
      <c r="J15" s="16">
        <v>98926349.810000002</v>
      </c>
      <c r="K15" s="16">
        <v>0</v>
      </c>
      <c r="L15" s="16">
        <v>0</v>
      </c>
      <c r="M15" s="16">
        <v>0</v>
      </c>
      <c r="N15" s="18">
        <f t="shared" si="0"/>
        <v>2408412897.4476476</v>
      </c>
      <c r="O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3742800278.75</v>
      </c>
      <c r="C16" s="16">
        <v>0</v>
      </c>
      <c r="D16" s="16">
        <v>143819684.99157047</v>
      </c>
      <c r="E16" s="16">
        <v>25469403.43</v>
      </c>
      <c r="F16" s="16">
        <v>68506883.629999995</v>
      </c>
      <c r="G16" s="16">
        <v>44098778.780000001</v>
      </c>
      <c r="H16" s="16">
        <v>199656548.62</v>
      </c>
      <c r="I16" s="16">
        <v>146663825.65000001</v>
      </c>
      <c r="J16" s="16">
        <v>245745795.08000001</v>
      </c>
      <c r="K16" s="16">
        <v>0</v>
      </c>
      <c r="L16" s="16">
        <v>0</v>
      </c>
      <c r="M16" s="16">
        <v>0</v>
      </c>
      <c r="N16" s="18">
        <f t="shared" si="0"/>
        <v>4616761198.9315701</v>
      </c>
      <c r="O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1449001127.4699998</v>
      </c>
      <c r="C17" s="16">
        <v>0</v>
      </c>
      <c r="D17" s="16">
        <v>45312588.706028208</v>
      </c>
      <c r="E17" s="16">
        <v>7855392.4000000004</v>
      </c>
      <c r="F17" s="16">
        <v>14070118.119999999</v>
      </c>
      <c r="G17" s="16">
        <v>6427724.1299999999</v>
      </c>
      <c r="H17" s="16">
        <v>77295752.519999996</v>
      </c>
      <c r="I17" s="16">
        <v>30122189.800000001</v>
      </c>
      <c r="J17" s="16">
        <v>66611094.880000003</v>
      </c>
      <c r="K17" s="16">
        <v>0</v>
      </c>
      <c r="L17" s="16">
        <v>0</v>
      </c>
      <c r="M17" s="16">
        <v>0</v>
      </c>
      <c r="N17" s="18">
        <f t="shared" si="0"/>
        <v>1696695988.0260282</v>
      </c>
      <c r="O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813587383.05999994</v>
      </c>
      <c r="C18" s="16">
        <v>0</v>
      </c>
      <c r="D18" s="16">
        <v>17756046.882228255</v>
      </c>
      <c r="E18" s="16">
        <v>4417770.13</v>
      </c>
      <c r="F18" s="16">
        <v>9481921.6099999994</v>
      </c>
      <c r="G18" s="16">
        <v>5234003.9400000004</v>
      </c>
      <c r="H18" s="16">
        <v>43400138.079999998</v>
      </c>
      <c r="I18" s="16">
        <v>20299491.440000001</v>
      </c>
      <c r="J18" s="16">
        <v>54306320.759999998</v>
      </c>
      <c r="K18" s="16">
        <v>0</v>
      </c>
      <c r="L18" s="16">
        <v>0</v>
      </c>
      <c r="M18" s="16">
        <v>0</v>
      </c>
      <c r="N18" s="18">
        <f t="shared" si="0"/>
        <v>968483075.90222836</v>
      </c>
      <c r="O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1311297192.1700001</v>
      </c>
      <c r="C19" s="16">
        <v>0</v>
      </c>
      <c r="D19" s="16">
        <v>31607283.214786105</v>
      </c>
      <c r="E19" s="16">
        <v>7426735.5999999996</v>
      </c>
      <c r="F19" s="16">
        <v>3829642.78</v>
      </c>
      <c r="G19" s="16">
        <v>2915432.02</v>
      </c>
      <c r="H19" s="16">
        <v>69950051.329999998</v>
      </c>
      <c r="I19" s="16">
        <v>8198739.04</v>
      </c>
      <c r="J19" s="16">
        <v>47248318.490000002</v>
      </c>
      <c r="K19" s="16">
        <v>0</v>
      </c>
      <c r="L19" s="16">
        <v>0</v>
      </c>
      <c r="M19" s="16">
        <v>0</v>
      </c>
      <c r="N19" s="18">
        <f t="shared" si="0"/>
        <v>1482473394.6447859</v>
      </c>
      <c r="O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4696765186.79</v>
      </c>
      <c r="C20" s="16">
        <v>0</v>
      </c>
      <c r="D20" s="16">
        <v>49321914.521705478</v>
      </c>
      <c r="E20" s="16">
        <v>32004596.789999999</v>
      </c>
      <c r="F20" s="16">
        <v>122232505.03</v>
      </c>
      <c r="G20" s="16">
        <v>72216589.975787476</v>
      </c>
      <c r="H20" s="16">
        <v>250545008.28999999</v>
      </c>
      <c r="I20" s="16">
        <v>261682999.63999999</v>
      </c>
      <c r="J20" s="16">
        <v>268673653.76999998</v>
      </c>
      <c r="K20" s="16">
        <v>0</v>
      </c>
      <c r="L20" s="16">
        <v>0</v>
      </c>
      <c r="M20" s="16">
        <v>0</v>
      </c>
      <c r="N20" s="18">
        <f t="shared" si="0"/>
        <v>5753442454.8074932</v>
      </c>
      <c r="O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2038597989.23</v>
      </c>
      <c r="C21" s="16">
        <v>0</v>
      </c>
      <c r="D21" s="16">
        <v>21621545.883263145</v>
      </c>
      <c r="E21" s="16">
        <v>11426585.09</v>
      </c>
      <c r="F21" s="16">
        <v>32501920.18</v>
      </c>
      <c r="G21" s="16">
        <v>9451716.7039963268</v>
      </c>
      <c r="H21" s="16">
        <v>108747303.69</v>
      </c>
      <c r="I21" s="16">
        <v>69582145.650000006</v>
      </c>
      <c r="J21" s="16">
        <v>88085900.030000001</v>
      </c>
      <c r="K21" s="16">
        <v>0</v>
      </c>
      <c r="L21" s="16">
        <v>0</v>
      </c>
      <c r="M21" s="16">
        <v>0</v>
      </c>
      <c r="N21" s="18">
        <f t="shared" si="0"/>
        <v>2380015106.4572597</v>
      </c>
      <c r="O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1668967192.98</v>
      </c>
      <c r="C22" s="16">
        <v>0</v>
      </c>
      <c r="D22" s="16">
        <v>30123245.972813897</v>
      </c>
      <c r="E22" s="16">
        <v>9052315.8599999994</v>
      </c>
      <c r="F22" s="16">
        <v>7738301.5800000001</v>
      </c>
      <c r="G22" s="16">
        <v>4935573.8899999997</v>
      </c>
      <c r="H22" s="16">
        <v>89029658.189999998</v>
      </c>
      <c r="I22" s="16">
        <v>16566640.51</v>
      </c>
      <c r="J22" s="16">
        <v>66147675.159999996</v>
      </c>
      <c r="K22" s="16">
        <v>0</v>
      </c>
      <c r="L22" s="16">
        <v>0</v>
      </c>
      <c r="M22" s="16">
        <v>0</v>
      </c>
      <c r="N22" s="18">
        <f t="shared" si="0"/>
        <v>1892560604.1428139</v>
      </c>
      <c r="O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1574237692.3599999</v>
      </c>
      <c r="C23" s="16">
        <v>0</v>
      </c>
      <c r="D23" s="16">
        <v>22437386.545213163</v>
      </c>
      <c r="E23" s="16">
        <v>8696601.7699999996</v>
      </c>
      <c r="F23" s="16">
        <v>7416969.79</v>
      </c>
      <c r="G23" s="16">
        <v>6083381.7699999996</v>
      </c>
      <c r="H23" s="16">
        <v>83976392.260000005</v>
      </c>
      <c r="I23" s="16">
        <v>15878713.300000001</v>
      </c>
      <c r="J23" s="16">
        <v>54602288.759999998</v>
      </c>
      <c r="K23" s="16">
        <v>0</v>
      </c>
      <c r="L23" s="16">
        <v>0</v>
      </c>
      <c r="M23" s="16">
        <v>0</v>
      </c>
      <c r="N23" s="18">
        <f t="shared" si="0"/>
        <v>1773329426.555213</v>
      </c>
      <c r="O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499510964.10999995</v>
      </c>
      <c r="C24" s="16">
        <v>0</v>
      </c>
      <c r="D24" s="16">
        <v>16037970.566551913</v>
      </c>
      <c r="E24" s="16">
        <v>2737719.6799999997</v>
      </c>
      <c r="F24" s="16">
        <v>7711962.9100000001</v>
      </c>
      <c r="G24" s="16">
        <v>1392635.8684452425</v>
      </c>
      <c r="H24" s="16">
        <v>26645994.359999999</v>
      </c>
      <c r="I24" s="16">
        <v>16510253.039999999</v>
      </c>
      <c r="J24" s="16">
        <v>46201891.600000001</v>
      </c>
      <c r="K24" s="16">
        <v>0</v>
      </c>
      <c r="L24" s="16">
        <v>0</v>
      </c>
      <c r="M24" s="16">
        <v>0</v>
      </c>
      <c r="N24" s="18">
        <f t="shared" si="0"/>
        <v>616749392.13499713</v>
      </c>
      <c r="O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1962780617.1500003</v>
      </c>
      <c r="C25" s="16">
        <v>0</v>
      </c>
      <c r="D25" s="16">
        <v>62801424.069865011</v>
      </c>
      <c r="E25" s="16">
        <v>11331222.76</v>
      </c>
      <c r="F25" s="16">
        <v>34203398.340000004</v>
      </c>
      <c r="G25" s="16">
        <v>14485335.460000001</v>
      </c>
      <c r="H25" s="16">
        <v>104702889.42</v>
      </c>
      <c r="I25" s="16">
        <v>73224776.620000005</v>
      </c>
      <c r="J25" s="16">
        <v>106804777.7</v>
      </c>
      <c r="K25" s="16">
        <v>0</v>
      </c>
      <c r="L25" s="16">
        <v>0</v>
      </c>
      <c r="M25" s="16">
        <v>0</v>
      </c>
      <c r="N25" s="18">
        <f t="shared" si="0"/>
        <v>2370334441.519865</v>
      </c>
      <c r="O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840013705.38999999</v>
      </c>
      <c r="C26" s="16">
        <v>0</v>
      </c>
      <c r="D26" s="16">
        <v>19851699.694713686</v>
      </c>
      <c r="E26" s="16">
        <v>4620651.8900000006</v>
      </c>
      <c r="F26" s="16">
        <v>15555619.17</v>
      </c>
      <c r="G26" s="16">
        <v>9251331.5199999996</v>
      </c>
      <c r="H26" s="16">
        <v>44809828.130000003</v>
      </c>
      <c r="I26" s="16">
        <v>33302443.460000001</v>
      </c>
      <c r="J26" s="16">
        <v>78809016.060000002</v>
      </c>
      <c r="K26" s="16">
        <v>0</v>
      </c>
      <c r="L26" s="16">
        <v>0</v>
      </c>
      <c r="M26" s="16">
        <v>0</v>
      </c>
      <c r="N26" s="18">
        <f t="shared" si="0"/>
        <v>1046214295.3147137</v>
      </c>
      <c r="O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382942458.06</v>
      </c>
      <c r="C27" s="16">
        <v>0</v>
      </c>
      <c r="D27" s="16">
        <v>9558021.8673562817</v>
      </c>
      <c r="E27" s="16">
        <v>2261381.7000000002</v>
      </c>
      <c r="F27" s="16">
        <v>3866516.92</v>
      </c>
      <c r="G27" s="16">
        <v>2089010.34</v>
      </c>
      <c r="H27" s="16">
        <v>20427744.949999999</v>
      </c>
      <c r="I27" s="16">
        <v>8277681.5099999998</v>
      </c>
      <c r="J27" s="16">
        <v>21118677.48</v>
      </c>
      <c r="K27" s="16">
        <v>0</v>
      </c>
      <c r="L27" s="16">
        <v>0</v>
      </c>
      <c r="M27" s="16">
        <v>0</v>
      </c>
      <c r="N27" s="18">
        <f t="shared" si="0"/>
        <v>450541492.82735628</v>
      </c>
      <c r="O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1467772540.6900001</v>
      </c>
      <c r="C28" s="16">
        <v>0</v>
      </c>
      <c r="D28" s="16">
        <v>24619645.416114271</v>
      </c>
      <c r="E28" s="16">
        <v>8008698.3900000006</v>
      </c>
      <c r="F28" s="16">
        <v>5325679.3</v>
      </c>
      <c r="G28" s="16">
        <v>3030212.81</v>
      </c>
      <c r="H28" s="16">
        <v>78297097.840000004</v>
      </c>
      <c r="I28" s="16">
        <v>11401547.689999999</v>
      </c>
      <c r="J28" s="16">
        <v>43178099.920000002</v>
      </c>
      <c r="K28" s="16">
        <v>0</v>
      </c>
      <c r="L28" s="16">
        <v>0</v>
      </c>
      <c r="M28" s="16">
        <v>0</v>
      </c>
      <c r="N28" s="18">
        <f t="shared" si="0"/>
        <v>1641633522.0561144</v>
      </c>
      <c r="O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838690982.14999998</v>
      </c>
      <c r="C29" s="16">
        <v>0</v>
      </c>
      <c r="D29" s="16">
        <v>19807783.137953624</v>
      </c>
      <c r="E29" s="16">
        <v>4952683.29</v>
      </c>
      <c r="F29" s="16">
        <v>3323940.29</v>
      </c>
      <c r="G29" s="16">
        <v>1836492.61</v>
      </c>
      <c r="H29" s="16">
        <v>44739268.57</v>
      </c>
      <c r="I29" s="16">
        <v>7116099.5</v>
      </c>
      <c r="J29" s="16">
        <v>38492818.299999997</v>
      </c>
      <c r="K29" s="16">
        <v>0</v>
      </c>
      <c r="L29" s="16">
        <v>0</v>
      </c>
      <c r="M29" s="16">
        <v>0</v>
      </c>
      <c r="N29" s="18">
        <f t="shared" si="0"/>
        <v>958960067.84795356</v>
      </c>
      <c r="O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294151140.67000002</v>
      </c>
      <c r="C30" s="16">
        <v>0</v>
      </c>
      <c r="D30" s="16">
        <v>14608178.351145562</v>
      </c>
      <c r="E30" s="16">
        <v>1646421.0299999998</v>
      </c>
      <c r="F30" s="16">
        <v>2870915.15</v>
      </c>
      <c r="G30" s="16">
        <v>2295615.7599999998</v>
      </c>
      <c r="H30" s="16">
        <v>15691246.439999999</v>
      </c>
      <c r="I30" s="16">
        <v>6146234.9100000001</v>
      </c>
      <c r="J30" s="16">
        <v>29903159.710000001</v>
      </c>
      <c r="K30" s="16">
        <v>0</v>
      </c>
      <c r="L30" s="16">
        <v>0</v>
      </c>
      <c r="M30" s="16">
        <v>0</v>
      </c>
      <c r="N30" s="18">
        <f t="shared" si="0"/>
        <v>367312912.02114552</v>
      </c>
      <c r="O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506349724.82000011</v>
      </c>
      <c r="C31" s="16">
        <v>0</v>
      </c>
      <c r="D31" s="16">
        <v>9277115.906016415</v>
      </c>
      <c r="E31" s="16">
        <v>2868448.15</v>
      </c>
      <c r="F31" s="16">
        <v>3429294.98</v>
      </c>
      <c r="G31" s="16">
        <v>1262588.67</v>
      </c>
      <c r="H31" s="16">
        <v>27010802.32</v>
      </c>
      <c r="I31" s="16">
        <v>7341649.4000000004</v>
      </c>
      <c r="J31" s="16">
        <v>21193181.789999999</v>
      </c>
      <c r="K31" s="16">
        <v>0</v>
      </c>
      <c r="L31" s="16">
        <v>0</v>
      </c>
      <c r="M31" s="16">
        <v>0</v>
      </c>
      <c r="N31" s="18">
        <f t="shared" si="0"/>
        <v>578732806.03601646</v>
      </c>
      <c r="O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2316989022.9800005</v>
      </c>
      <c r="C32" s="16">
        <v>0</v>
      </c>
      <c r="D32" s="16">
        <v>31370638.519462358</v>
      </c>
      <c r="E32" s="16">
        <v>12601404.710000001</v>
      </c>
      <c r="F32" s="16">
        <v>10114049.710000001</v>
      </c>
      <c r="G32" s="16">
        <v>6909803.4400000004</v>
      </c>
      <c r="H32" s="16">
        <v>123597840.40000001</v>
      </c>
      <c r="I32" s="16">
        <v>21652790.870000001</v>
      </c>
      <c r="J32" s="16">
        <v>66312199.409999996</v>
      </c>
      <c r="K32" s="16">
        <v>0</v>
      </c>
      <c r="L32" s="16">
        <v>0</v>
      </c>
      <c r="M32" s="16">
        <v>0</v>
      </c>
      <c r="N32" s="18">
        <f t="shared" si="0"/>
        <v>2589547750.039463</v>
      </c>
      <c r="O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1451027426.9400001</v>
      </c>
      <c r="C33" s="16">
        <v>0</v>
      </c>
      <c r="D33" s="16">
        <v>33170747.218463585</v>
      </c>
      <c r="E33" s="16">
        <v>8568873.0899999999</v>
      </c>
      <c r="F33" s="16">
        <v>7422237.5199999996</v>
      </c>
      <c r="G33" s="16">
        <v>5555390.1399999997</v>
      </c>
      <c r="H33" s="16">
        <v>77403843.769999996</v>
      </c>
      <c r="I33" s="16">
        <v>15889990.800000001</v>
      </c>
      <c r="J33" s="16">
        <v>63253278</v>
      </c>
      <c r="K33" s="16">
        <v>0</v>
      </c>
      <c r="L33" s="16">
        <v>0</v>
      </c>
      <c r="M33" s="16">
        <v>0</v>
      </c>
      <c r="N33" s="18">
        <f t="shared" si="0"/>
        <v>1662291787.4784636</v>
      </c>
      <c r="O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1983493900.6999998</v>
      </c>
      <c r="C34" s="16">
        <v>0</v>
      </c>
      <c r="D34" s="16">
        <v>34539363.288269088</v>
      </c>
      <c r="E34" s="16">
        <v>13573626.01</v>
      </c>
      <c r="F34" s="16">
        <v>10793587.43</v>
      </c>
      <c r="G34" s="16">
        <v>9274287.6799999997</v>
      </c>
      <c r="H34" s="16">
        <v>105807822.2</v>
      </c>
      <c r="I34" s="16">
        <v>23107587.75</v>
      </c>
      <c r="J34" s="16">
        <v>79566208.159999996</v>
      </c>
      <c r="K34" s="16">
        <v>0</v>
      </c>
      <c r="L34" s="16">
        <v>0</v>
      </c>
      <c r="M34" s="16">
        <v>0</v>
      </c>
      <c r="N34" s="18">
        <f t="shared" si="0"/>
        <v>2260156383.2182689</v>
      </c>
      <c r="O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978758933.51999998</v>
      </c>
      <c r="C35" s="16">
        <v>0</v>
      </c>
      <c r="D35" s="16">
        <v>14671065.108659014</v>
      </c>
      <c r="E35" s="16">
        <v>5288188.1500000004</v>
      </c>
      <c r="F35" s="16">
        <v>6747967.54</v>
      </c>
      <c r="G35" s="16">
        <v>3604116.75</v>
      </c>
      <c r="H35" s="16">
        <v>52211076.210000001</v>
      </c>
      <c r="I35" s="16">
        <v>14446471.41</v>
      </c>
      <c r="J35" s="16">
        <v>28596333.68</v>
      </c>
      <c r="K35" s="16">
        <v>0</v>
      </c>
      <c r="L35" s="16">
        <v>0</v>
      </c>
      <c r="M35" s="16">
        <v>0</v>
      </c>
      <c r="N35" s="18">
        <f t="shared" si="0"/>
        <v>1104324152.368659</v>
      </c>
      <c r="O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1122992056.04</v>
      </c>
      <c r="C36" s="16">
        <v>0</v>
      </c>
      <c r="D36" s="16">
        <v>27214574.62365327</v>
      </c>
      <c r="E36" s="16">
        <v>6220654.8399999999</v>
      </c>
      <c r="F36" s="16">
        <v>4245793.78</v>
      </c>
      <c r="G36" s="16">
        <v>2089010.34</v>
      </c>
      <c r="H36" s="16">
        <v>59905071.43</v>
      </c>
      <c r="I36" s="16">
        <v>9089661.1699999999</v>
      </c>
      <c r="J36" s="16">
        <v>28799207.879999999</v>
      </c>
      <c r="K36" s="16">
        <v>0</v>
      </c>
      <c r="L36" s="16">
        <v>0</v>
      </c>
      <c r="M36" s="16">
        <v>0</v>
      </c>
      <c r="N36" s="18">
        <f t="shared" si="0"/>
        <v>1260556030.1036532</v>
      </c>
      <c r="O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1169287370.4500003</v>
      </c>
      <c r="C37" s="16">
        <v>0</v>
      </c>
      <c r="D37" s="16">
        <v>18999719.43323892</v>
      </c>
      <c r="E37" s="16">
        <v>6460165.8399999999</v>
      </c>
      <c r="F37" s="16">
        <v>7875262.6699999999</v>
      </c>
      <c r="G37" s="16">
        <v>3190905.91</v>
      </c>
      <c r="H37" s="16">
        <v>62374656.229999997</v>
      </c>
      <c r="I37" s="16">
        <v>16859855.390000001</v>
      </c>
      <c r="J37" s="16">
        <v>48883607.509999998</v>
      </c>
      <c r="K37" s="16">
        <v>0</v>
      </c>
      <c r="L37" s="16">
        <v>0</v>
      </c>
      <c r="M37" s="16">
        <v>0</v>
      </c>
      <c r="N37" s="18">
        <f t="shared" si="0"/>
        <v>1333931543.4332395</v>
      </c>
      <c r="O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986920417.51999998</v>
      </c>
      <c r="C38" s="16">
        <v>0</v>
      </c>
      <c r="D38" s="16">
        <v>6359304.3086123206</v>
      </c>
      <c r="E38" s="16">
        <v>5649428.21</v>
      </c>
      <c r="F38" s="16">
        <v>7037692.9199999999</v>
      </c>
      <c r="G38" s="16">
        <v>8838120.6799999997</v>
      </c>
      <c r="H38" s="16">
        <v>52646443.75</v>
      </c>
      <c r="I38" s="16">
        <v>15066733.65</v>
      </c>
      <c r="J38" s="16">
        <v>80668257.120000005</v>
      </c>
      <c r="K38" s="16">
        <v>0</v>
      </c>
      <c r="L38" s="16">
        <v>0</v>
      </c>
      <c r="M38" s="16">
        <v>0</v>
      </c>
      <c r="N38" s="18">
        <f t="shared" si="0"/>
        <v>1163186398.1586123</v>
      </c>
      <c r="O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1897066599.3799996</v>
      </c>
      <c r="C39" s="16">
        <v>0</v>
      </c>
      <c r="D39" s="16">
        <v>38682457.53965798</v>
      </c>
      <c r="E39" s="16">
        <v>10448805.5</v>
      </c>
      <c r="F39" s="16">
        <v>8965683.6500000004</v>
      </c>
      <c r="G39" s="16">
        <v>5509477.8300000001</v>
      </c>
      <c r="H39" s="16">
        <v>101197430.14</v>
      </c>
      <c r="I39" s="16">
        <v>19194296.91</v>
      </c>
      <c r="J39" s="16">
        <v>70033316.269999996</v>
      </c>
      <c r="K39" s="16">
        <v>0</v>
      </c>
      <c r="L39" s="16">
        <v>0</v>
      </c>
      <c r="M39" s="16">
        <v>0</v>
      </c>
      <c r="N39" s="18">
        <f t="shared" si="0"/>
        <v>2151098067.2196579</v>
      </c>
      <c r="O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1245920890.99</v>
      </c>
      <c r="C40" s="16">
        <v>0</v>
      </c>
      <c r="D40" s="16">
        <v>21967625.098440289</v>
      </c>
      <c r="E40" s="16">
        <v>7357582.1399999997</v>
      </c>
      <c r="F40" s="16">
        <v>4788370.41</v>
      </c>
      <c r="G40" s="16">
        <v>2410396.5499999998</v>
      </c>
      <c r="H40" s="16">
        <v>66462607.25</v>
      </c>
      <c r="I40" s="16">
        <v>10251243.18</v>
      </c>
      <c r="J40" s="16">
        <v>38582691.859999999</v>
      </c>
      <c r="K40" s="16">
        <v>0</v>
      </c>
      <c r="L40" s="16">
        <v>0</v>
      </c>
      <c r="M40" s="16">
        <v>0</v>
      </c>
      <c r="N40" s="18">
        <f t="shared" ref="N40:N71" si="1">SUM(B40:M40)</f>
        <v>1397741407.4784405</v>
      </c>
      <c r="O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1301981843.1800003</v>
      </c>
      <c r="C41" s="16">
        <v>0</v>
      </c>
      <c r="D41" s="16">
        <v>13211053.680876689</v>
      </c>
      <c r="E41" s="16">
        <v>6791565.7000000002</v>
      </c>
      <c r="F41" s="16">
        <v>8107042.9699999997</v>
      </c>
      <c r="G41" s="16">
        <v>4200976.84</v>
      </c>
      <c r="H41" s="16">
        <v>69453131.829999998</v>
      </c>
      <c r="I41" s="16">
        <v>17356065.18</v>
      </c>
      <c r="J41" s="16">
        <v>39590915.170000002</v>
      </c>
      <c r="K41" s="16">
        <v>0</v>
      </c>
      <c r="L41" s="16">
        <v>0</v>
      </c>
      <c r="M41" s="16">
        <v>0</v>
      </c>
      <c r="N41" s="18">
        <f t="shared" si="1"/>
        <v>1460692594.5508771</v>
      </c>
      <c r="O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789778364.21999991</v>
      </c>
      <c r="C42" s="16">
        <v>0</v>
      </c>
      <c r="D42" s="16">
        <v>12581570.764420301</v>
      </c>
      <c r="E42" s="16">
        <v>4555445.53</v>
      </c>
      <c r="F42" s="16">
        <v>22019129.07</v>
      </c>
      <c r="G42" s="16">
        <v>0</v>
      </c>
      <c r="H42" s="16">
        <v>42130065.899999999</v>
      </c>
      <c r="I42" s="16">
        <v>47139930.119999997</v>
      </c>
      <c r="J42" s="16">
        <v>60329752.43</v>
      </c>
      <c r="K42" s="16">
        <v>0</v>
      </c>
      <c r="L42" s="16">
        <v>0</v>
      </c>
      <c r="M42" s="16">
        <v>0</v>
      </c>
      <c r="N42" s="18">
        <f t="shared" si="1"/>
        <v>978534258.03442013</v>
      </c>
      <c r="O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4783220631.1700001</v>
      </c>
      <c r="C43" s="16">
        <v>0</v>
      </c>
      <c r="D43" s="16">
        <v>38237953.271669365</v>
      </c>
      <c r="E43" s="16">
        <v>23749797.050000001</v>
      </c>
      <c r="F43" s="16">
        <v>91563756.349999994</v>
      </c>
      <c r="G43" s="16">
        <v>33561902.439999998</v>
      </c>
      <c r="H43" s="16">
        <v>255156901.61000001</v>
      </c>
      <c r="I43" s="16">
        <v>196025422.33000001</v>
      </c>
      <c r="J43" s="16">
        <v>197580444.21000001</v>
      </c>
      <c r="K43" s="16">
        <v>0</v>
      </c>
      <c r="L43" s="16">
        <v>0</v>
      </c>
      <c r="M43" s="16">
        <v>0</v>
      </c>
      <c r="N43" s="18">
        <f t="shared" si="1"/>
        <v>5619096808.4316692</v>
      </c>
      <c r="O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4353588855.8900003</v>
      </c>
      <c r="C44" s="16">
        <v>0</v>
      </c>
      <c r="D44" s="16">
        <v>49710384.368025661</v>
      </c>
      <c r="E44" s="16">
        <v>23100891.18</v>
      </c>
      <c r="F44" s="16">
        <v>115210615.3</v>
      </c>
      <c r="G44" s="16">
        <v>57488906.635641158</v>
      </c>
      <c r="H44" s="16">
        <v>232238554.11000001</v>
      </c>
      <c r="I44" s="16">
        <v>246650098.47999999</v>
      </c>
      <c r="J44" s="16">
        <v>255501468.02000001</v>
      </c>
      <c r="K44" s="16">
        <v>0</v>
      </c>
      <c r="L44" s="16">
        <v>0</v>
      </c>
      <c r="M44" s="16">
        <v>0</v>
      </c>
      <c r="N44" s="18">
        <f t="shared" si="1"/>
        <v>5333489773.9836674</v>
      </c>
      <c r="O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1163546188.6200001</v>
      </c>
      <c r="C45" s="16">
        <v>0</v>
      </c>
      <c r="D45" s="16">
        <v>11139368.268038474</v>
      </c>
      <c r="E45" s="16">
        <v>6468533.7200000007</v>
      </c>
      <c r="F45" s="16">
        <v>8581139.0500000007</v>
      </c>
      <c r="G45" s="16">
        <v>5256960.09</v>
      </c>
      <c r="H45" s="16">
        <v>62068397.689999998</v>
      </c>
      <c r="I45" s="16">
        <v>18371039.75</v>
      </c>
      <c r="J45" s="16">
        <v>38249398.530000001</v>
      </c>
      <c r="K45" s="16">
        <v>0</v>
      </c>
      <c r="L45" s="16">
        <v>0</v>
      </c>
      <c r="M45" s="16">
        <v>0</v>
      </c>
      <c r="N45" s="18">
        <f t="shared" si="1"/>
        <v>1313681025.7180386</v>
      </c>
      <c r="O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1840977504.1099999</v>
      </c>
      <c r="C46" s="16">
        <v>0</v>
      </c>
      <c r="D46" s="16">
        <v>32504941.708025653</v>
      </c>
      <c r="E46" s="16">
        <v>12443403.220000001</v>
      </c>
      <c r="F46" s="16">
        <v>67685117.090000004</v>
      </c>
      <c r="G46" s="16">
        <v>0</v>
      </c>
      <c r="H46" s="16">
        <v>98205404.290000007</v>
      </c>
      <c r="I46" s="16">
        <v>144904536.38999999</v>
      </c>
      <c r="J46" s="16">
        <v>161828623.25</v>
      </c>
      <c r="K46" s="16">
        <v>0</v>
      </c>
      <c r="L46" s="16">
        <v>0</v>
      </c>
      <c r="M46" s="16">
        <v>0</v>
      </c>
      <c r="N46" s="18">
        <f t="shared" si="1"/>
        <v>2358549530.0580254</v>
      </c>
      <c r="O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5598243309.7900009</v>
      </c>
      <c r="C47" s="16">
        <v>0</v>
      </c>
      <c r="D47" s="16">
        <v>54267867.020511091</v>
      </c>
      <c r="E47" s="16">
        <v>37797709.159999996</v>
      </c>
      <c r="F47" s="16">
        <v>211004362.24000001</v>
      </c>
      <c r="G47" s="16">
        <v>64688736.251294918</v>
      </c>
      <c r="H47" s="16">
        <v>298633604.32999998</v>
      </c>
      <c r="I47" s="16">
        <v>451731349.49000001</v>
      </c>
      <c r="J47" s="16">
        <v>389377509.93000001</v>
      </c>
      <c r="K47" s="16">
        <v>0</v>
      </c>
      <c r="L47" s="16">
        <v>0</v>
      </c>
      <c r="M47" s="16">
        <v>0</v>
      </c>
      <c r="N47" s="18">
        <f t="shared" si="1"/>
        <v>7105744448.2118063</v>
      </c>
      <c r="O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541641107.38999987</v>
      </c>
      <c r="C48" s="16">
        <v>0</v>
      </c>
      <c r="D48" s="16">
        <v>10531503.876078062</v>
      </c>
      <c r="E48" s="16">
        <v>3198584.9299999997</v>
      </c>
      <c r="F48" s="16">
        <v>1833171.51</v>
      </c>
      <c r="G48" s="16">
        <v>1423281.77</v>
      </c>
      <c r="H48" s="16">
        <v>28893391.59</v>
      </c>
      <c r="I48" s="16">
        <v>3924568.34</v>
      </c>
      <c r="J48" s="16">
        <v>20890626.969999999</v>
      </c>
      <c r="K48" s="16">
        <v>0</v>
      </c>
      <c r="L48" s="16">
        <v>0</v>
      </c>
      <c r="M48" s="16">
        <v>0</v>
      </c>
      <c r="N48" s="18">
        <f t="shared" si="1"/>
        <v>612336236.37607789</v>
      </c>
      <c r="O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1022774661.04</v>
      </c>
      <c r="C49" s="16">
        <v>0</v>
      </c>
      <c r="D49" s="16">
        <v>30248694.85663696</v>
      </c>
      <c r="E49" s="16">
        <v>5596063.2000000002</v>
      </c>
      <c r="F49" s="16">
        <v>10825193.83</v>
      </c>
      <c r="G49" s="16">
        <v>5968600.9800000004</v>
      </c>
      <c r="H49" s="16">
        <v>54559058.359999999</v>
      </c>
      <c r="I49" s="16">
        <v>23175252.73</v>
      </c>
      <c r="J49" s="16">
        <v>49168158.340000004</v>
      </c>
      <c r="K49" s="16">
        <v>0</v>
      </c>
      <c r="L49" s="16">
        <v>0</v>
      </c>
      <c r="M49" s="16">
        <v>0</v>
      </c>
      <c r="N49" s="18">
        <f t="shared" si="1"/>
        <v>1202315683.3366368</v>
      </c>
      <c r="O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664035224.40999997</v>
      </c>
      <c r="C50" s="16">
        <v>0</v>
      </c>
      <c r="D50" s="16">
        <v>12415295.12323994</v>
      </c>
      <c r="E50" s="16">
        <v>3746602.52</v>
      </c>
      <c r="F50" s="16">
        <v>3034214.91</v>
      </c>
      <c r="G50" s="16">
        <v>1698755.66</v>
      </c>
      <c r="H50" s="16">
        <v>35422403.340000004</v>
      </c>
      <c r="I50" s="16">
        <v>6495837.2599999998</v>
      </c>
      <c r="J50" s="16">
        <v>35531235.520000003</v>
      </c>
      <c r="K50" s="16">
        <v>0</v>
      </c>
      <c r="L50" s="16">
        <v>0</v>
      </c>
      <c r="M50" s="16">
        <v>0</v>
      </c>
      <c r="N50" s="18">
        <f t="shared" si="1"/>
        <v>762379568.74323988</v>
      </c>
      <c r="O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649203837.96000004</v>
      </c>
      <c r="C51" s="16">
        <v>0</v>
      </c>
      <c r="D51" s="16">
        <v>13968267.964044308</v>
      </c>
      <c r="E51" s="16">
        <v>3597243.6500000004</v>
      </c>
      <c r="F51" s="16">
        <v>3782233.17</v>
      </c>
      <c r="G51" s="16">
        <v>2134922.66</v>
      </c>
      <c r="H51" s="16">
        <v>34631235.439999998</v>
      </c>
      <c r="I51" s="16">
        <v>8097241.5899999999</v>
      </c>
      <c r="J51" s="16">
        <v>24650240.16</v>
      </c>
      <c r="K51" s="16">
        <v>0</v>
      </c>
      <c r="L51" s="16">
        <v>0</v>
      </c>
      <c r="M51" s="16">
        <v>0</v>
      </c>
      <c r="N51" s="18">
        <f t="shared" si="1"/>
        <v>740065222.59404421</v>
      </c>
      <c r="O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765603485.71999991</v>
      </c>
      <c r="C52" s="16">
        <v>0</v>
      </c>
      <c r="D52" s="16">
        <v>17465407.208391264</v>
      </c>
      <c r="E52" s="16">
        <v>4333775.5</v>
      </c>
      <c r="F52" s="16">
        <v>3481972.32</v>
      </c>
      <c r="G52" s="16">
        <v>2731782.76</v>
      </c>
      <c r="H52" s="16">
        <v>40840477.240000002</v>
      </c>
      <c r="I52" s="16">
        <v>7454424.3600000003</v>
      </c>
      <c r="J52" s="16">
        <v>31597144.66</v>
      </c>
      <c r="K52" s="16">
        <v>0</v>
      </c>
      <c r="L52" s="16">
        <v>0</v>
      </c>
      <c r="M52" s="16">
        <v>0</v>
      </c>
      <c r="N52" s="18">
        <f t="shared" si="1"/>
        <v>873508469.76839125</v>
      </c>
      <c r="O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263193787.58000004</v>
      </c>
      <c r="C53" s="16">
        <v>0</v>
      </c>
      <c r="D53" s="16">
        <v>7495842.0265158964</v>
      </c>
      <c r="E53" s="16">
        <v>1554216.4</v>
      </c>
      <c r="F53" s="16">
        <v>605789.43000000005</v>
      </c>
      <c r="G53" s="16">
        <v>413210.84</v>
      </c>
      <c r="H53" s="16">
        <v>14039852.34</v>
      </c>
      <c r="I53" s="16">
        <v>1296911.95</v>
      </c>
      <c r="J53" s="16">
        <v>16710481.619999999</v>
      </c>
      <c r="K53" s="16">
        <v>0</v>
      </c>
      <c r="L53" s="16">
        <v>0</v>
      </c>
      <c r="M53" s="16">
        <v>0</v>
      </c>
      <c r="N53" s="18">
        <f t="shared" si="1"/>
        <v>305310092.18651587</v>
      </c>
      <c r="O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1021845940.4399998</v>
      </c>
      <c r="C54" s="16">
        <v>0</v>
      </c>
      <c r="D54" s="16">
        <v>15230369.279036321</v>
      </c>
      <c r="E54" s="16">
        <v>5623850.9000000004</v>
      </c>
      <c r="F54" s="16">
        <v>2080755.02</v>
      </c>
      <c r="G54" s="16">
        <v>1515106.4</v>
      </c>
      <c r="H54" s="16">
        <v>54509516.539999999</v>
      </c>
      <c r="I54" s="16">
        <v>4454610.62</v>
      </c>
      <c r="J54" s="16">
        <v>38230516.299999997</v>
      </c>
      <c r="K54" s="16">
        <v>0</v>
      </c>
      <c r="L54" s="16">
        <v>0</v>
      </c>
      <c r="M54" s="16">
        <v>0</v>
      </c>
      <c r="N54" s="18">
        <f t="shared" si="1"/>
        <v>1143490665.4990358</v>
      </c>
      <c r="O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464163295.44999999</v>
      </c>
      <c r="C55" s="16">
        <v>0</v>
      </c>
      <c r="D55" s="16">
        <v>8299614.1828732155</v>
      </c>
      <c r="E55" s="16">
        <v>2599570.6</v>
      </c>
      <c r="F55" s="16">
        <v>3840178.25</v>
      </c>
      <c r="G55" s="16">
        <v>2364484.23</v>
      </c>
      <c r="H55" s="16">
        <v>24760402.550000001</v>
      </c>
      <c r="I55" s="16">
        <v>8221294.0300000003</v>
      </c>
      <c r="J55" s="16">
        <v>26990465.809999999</v>
      </c>
      <c r="K55" s="16">
        <v>0</v>
      </c>
      <c r="L55" s="16">
        <v>0</v>
      </c>
      <c r="M55" s="16">
        <v>0</v>
      </c>
      <c r="N55" s="18">
        <f t="shared" si="1"/>
        <v>541239305.10287321</v>
      </c>
      <c r="O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354011404.40999997</v>
      </c>
      <c r="C56" s="16">
        <v>0</v>
      </c>
      <c r="D56" s="16">
        <v>4058253.4171607597</v>
      </c>
      <c r="E56" s="16">
        <v>1904562.4200000002</v>
      </c>
      <c r="F56" s="16">
        <v>1085153.25</v>
      </c>
      <c r="G56" s="16">
        <v>642772.41</v>
      </c>
      <c r="H56" s="16">
        <v>18884442.109999999</v>
      </c>
      <c r="I56" s="16">
        <v>2323164.02</v>
      </c>
      <c r="J56" s="16">
        <v>22280739.739999998</v>
      </c>
      <c r="K56" s="16">
        <v>0</v>
      </c>
      <c r="L56" s="16">
        <v>0</v>
      </c>
      <c r="M56" s="16">
        <v>0</v>
      </c>
      <c r="N56" s="18">
        <f t="shared" si="1"/>
        <v>405190491.77716076</v>
      </c>
      <c r="O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881158842.03000009</v>
      </c>
      <c r="C57" s="16">
        <v>0</v>
      </c>
      <c r="D57" s="16">
        <v>17577907.08166834</v>
      </c>
      <c r="E57" s="16">
        <v>4917475.01</v>
      </c>
      <c r="F57" s="16">
        <v>5573262.8099999996</v>
      </c>
      <c r="G57" s="16">
        <v>2961344.33</v>
      </c>
      <c r="H57" s="16">
        <v>47004681.009999998</v>
      </c>
      <c r="I57" s="16">
        <v>11931589.970000001</v>
      </c>
      <c r="J57" s="16">
        <v>47571804.770000003</v>
      </c>
      <c r="K57" s="16">
        <v>0</v>
      </c>
      <c r="L57" s="16">
        <v>0</v>
      </c>
      <c r="M57" s="16">
        <v>0</v>
      </c>
      <c r="N57" s="18">
        <f t="shared" si="1"/>
        <v>1018696907.0116684</v>
      </c>
      <c r="O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827124189.28999996</v>
      </c>
      <c r="C58" s="16">
        <v>0</v>
      </c>
      <c r="D58" s="16">
        <v>6542687.9065530319</v>
      </c>
      <c r="E58" s="16">
        <v>4381456.66</v>
      </c>
      <c r="F58" s="16">
        <v>3244924.28</v>
      </c>
      <c r="G58" s="16">
        <v>1859448.77</v>
      </c>
      <c r="H58" s="16">
        <v>44122247.68</v>
      </c>
      <c r="I58" s="16">
        <v>6946937.0700000003</v>
      </c>
      <c r="J58" s="16">
        <v>26921523.710000001</v>
      </c>
      <c r="K58" s="16">
        <v>0</v>
      </c>
      <c r="L58" s="16">
        <v>0</v>
      </c>
      <c r="M58" s="16">
        <v>0</v>
      </c>
      <c r="N58" s="18">
        <f t="shared" si="1"/>
        <v>921143415.36655295</v>
      </c>
      <c r="O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841336428.69000006</v>
      </c>
      <c r="C59" s="16">
        <v>0</v>
      </c>
      <c r="D59" s="16">
        <v>15858928.681801096</v>
      </c>
      <c r="E59" s="16">
        <v>4859531.3499999996</v>
      </c>
      <c r="F59" s="16">
        <v>3160640.53</v>
      </c>
      <c r="G59" s="16">
        <v>1698755.66</v>
      </c>
      <c r="H59" s="16">
        <v>44880387.700000003</v>
      </c>
      <c r="I59" s="16">
        <v>6766497.1500000004</v>
      </c>
      <c r="J59" s="16">
        <v>30111010.620000001</v>
      </c>
      <c r="K59" s="16">
        <v>0</v>
      </c>
      <c r="L59" s="16">
        <v>0</v>
      </c>
      <c r="M59" s="16">
        <v>0</v>
      </c>
      <c r="N59" s="18">
        <f t="shared" si="1"/>
        <v>948672180.38180113</v>
      </c>
      <c r="O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6011636546.2000008</v>
      </c>
      <c r="C60" s="16">
        <v>0</v>
      </c>
      <c r="D60" s="16">
        <v>439099046.14422709</v>
      </c>
      <c r="E60" s="16">
        <v>41226230.960000001</v>
      </c>
      <c r="F60" s="16">
        <v>173861568.19999999</v>
      </c>
      <c r="G60" s="16">
        <v>87394092.069999993</v>
      </c>
      <c r="H60" s="16">
        <v>320685720.56999999</v>
      </c>
      <c r="I60" s="16">
        <v>372213730.51999998</v>
      </c>
      <c r="J60" s="16">
        <v>503322405.64999998</v>
      </c>
      <c r="K60" s="16">
        <v>0</v>
      </c>
      <c r="L60" s="16">
        <v>0</v>
      </c>
      <c r="M60" s="16">
        <v>0</v>
      </c>
      <c r="N60" s="18">
        <f t="shared" si="1"/>
        <v>7949439340.3142262</v>
      </c>
      <c r="O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1411711588.5000002</v>
      </c>
      <c r="C61" s="16">
        <v>0</v>
      </c>
      <c r="D61" s="16">
        <v>26986379.221838236</v>
      </c>
      <c r="E61" s="16">
        <v>7205539.2300000004</v>
      </c>
      <c r="F61" s="16">
        <v>31037490.07</v>
      </c>
      <c r="G61" s="16">
        <v>8714357.8025752567</v>
      </c>
      <c r="H61" s="16">
        <v>75306573.269999996</v>
      </c>
      <c r="I61" s="16">
        <v>66447001.979999997</v>
      </c>
      <c r="J61" s="16">
        <v>124625944.34999999</v>
      </c>
      <c r="K61" s="16">
        <v>0</v>
      </c>
      <c r="L61" s="16">
        <v>0</v>
      </c>
      <c r="M61" s="16">
        <v>0</v>
      </c>
      <c r="N61" s="18">
        <f t="shared" si="1"/>
        <v>1752034874.4244137</v>
      </c>
      <c r="O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6566026454.5400009</v>
      </c>
      <c r="C62" s="16">
        <v>0</v>
      </c>
      <c r="D62" s="16">
        <v>113973164.49999999</v>
      </c>
      <c r="E62" s="16">
        <v>47189587.700000003</v>
      </c>
      <c r="F62" s="16">
        <v>139168270.56999999</v>
      </c>
      <c r="G62" s="16">
        <v>0</v>
      </c>
      <c r="H62" s="16">
        <v>350259186.26999998</v>
      </c>
      <c r="I62" s="16">
        <v>297940146.85000002</v>
      </c>
      <c r="J62" s="16">
        <v>247827524.44999999</v>
      </c>
      <c r="K62" s="16">
        <v>0</v>
      </c>
      <c r="L62" s="16">
        <v>0</v>
      </c>
      <c r="M62" s="16">
        <v>0</v>
      </c>
      <c r="N62" s="18">
        <f t="shared" si="1"/>
        <v>7762384334.8800001</v>
      </c>
      <c r="O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1156313425.21</v>
      </c>
      <c r="C63" s="16">
        <v>0</v>
      </c>
      <c r="D63" s="16">
        <v>16412960.640728978</v>
      </c>
      <c r="E63" s="16">
        <v>6304807.3499999996</v>
      </c>
      <c r="F63" s="16">
        <v>4904260.5599999996</v>
      </c>
      <c r="G63" s="16">
        <v>2961344.33</v>
      </c>
      <c r="H63" s="16">
        <v>61682571.979999997</v>
      </c>
      <c r="I63" s="16">
        <v>10499348.07</v>
      </c>
      <c r="J63" s="16">
        <v>33256439</v>
      </c>
      <c r="K63" s="16">
        <v>0</v>
      </c>
      <c r="L63" s="16">
        <v>0</v>
      </c>
      <c r="M63" s="16">
        <v>0</v>
      </c>
      <c r="N63" s="18">
        <f t="shared" si="1"/>
        <v>1292335157.1407287</v>
      </c>
      <c r="O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1801971239.21</v>
      </c>
      <c r="C64" s="16">
        <v>0</v>
      </c>
      <c r="D64" s="16">
        <v>44774130.200072512</v>
      </c>
      <c r="E64" s="16">
        <v>9554546.9000000004</v>
      </c>
      <c r="F64" s="16">
        <v>8976219.1199999992</v>
      </c>
      <c r="G64" s="16">
        <v>4614187.68</v>
      </c>
      <c r="H64" s="16">
        <v>96124647.730000004</v>
      </c>
      <c r="I64" s="16">
        <v>19216851.899999999</v>
      </c>
      <c r="J64" s="16">
        <v>70499077.959999993</v>
      </c>
      <c r="K64" s="16">
        <v>0</v>
      </c>
      <c r="L64" s="16">
        <v>0</v>
      </c>
      <c r="M64" s="16">
        <v>0</v>
      </c>
      <c r="N64" s="18">
        <f t="shared" si="1"/>
        <v>2055730900.7000728</v>
      </c>
      <c r="O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944790274.21000004</v>
      </c>
      <c r="C65" s="16">
        <v>0</v>
      </c>
      <c r="D65" s="16">
        <v>13950836.162704438</v>
      </c>
      <c r="E65" s="16">
        <v>5281399.1099999994</v>
      </c>
      <c r="F65" s="16">
        <v>1954329.39</v>
      </c>
      <c r="G65" s="16">
        <v>1538062.56</v>
      </c>
      <c r="H65" s="16">
        <v>50399046.509999998</v>
      </c>
      <c r="I65" s="16">
        <v>4183950.74</v>
      </c>
      <c r="J65" s="16">
        <v>42049850.030000001</v>
      </c>
      <c r="K65" s="16">
        <v>0</v>
      </c>
      <c r="L65" s="16">
        <v>0</v>
      </c>
      <c r="M65" s="16">
        <v>0</v>
      </c>
      <c r="N65" s="18">
        <f t="shared" si="1"/>
        <v>1064147748.7127044</v>
      </c>
      <c r="O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527513297.16000003</v>
      </c>
      <c r="C66" s="16">
        <v>0</v>
      </c>
      <c r="D66" s="16">
        <v>9494821.8706333581</v>
      </c>
      <c r="E66" s="16">
        <v>3028385.2800000003</v>
      </c>
      <c r="F66" s="16">
        <v>1912187.52</v>
      </c>
      <c r="G66" s="16">
        <v>1400325.61</v>
      </c>
      <c r="H66" s="16">
        <v>28139755.379999999</v>
      </c>
      <c r="I66" s="16">
        <v>4093730.77</v>
      </c>
      <c r="J66" s="16">
        <v>18666036.699999999</v>
      </c>
      <c r="K66" s="16">
        <v>0</v>
      </c>
      <c r="L66" s="16">
        <v>0</v>
      </c>
      <c r="M66" s="16">
        <v>0</v>
      </c>
      <c r="N66" s="18">
        <f t="shared" si="1"/>
        <v>594248540.29063332</v>
      </c>
      <c r="O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2366577074.0699997</v>
      </c>
      <c r="C67" s="16">
        <v>0</v>
      </c>
      <c r="D67" s="16">
        <v>30905673.420000002</v>
      </c>
      <c r="E67" s="16">
        <v>16434922.779999999</v>
      </c>
      <c r="F67" s="16">
        <v>51381479.659999996</v>
      </c>
      <c r="G67" s="16">
        <v>29339683.768871747</v>
      </c>
      <c r="H67" s="16">
        <v>126243073.48999999</v>
      </c>
      <c r="I67" s="16">
        <v>110000688.61</v>
      </c>
      <c r="J67" s="16">
        <v>120267222.86</v>
      </c>
      <c r="K67" s="16">
        <v>0</v>
      </c>
      <c r="L67" s="16">
        <v>0</v>
      </c>
      <c r="M67" s="16">
        <v>0</v>
      </c>
      <c r="N67" s="18">
        <f t="shared" si="1"/>
        <v>2851149818.6588717</v>
      </c>
      <c r="O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1480352483.2800002</v>
      </c>
      <c r="C68" s="16">
        <v>0</v>
      </c>
      <c r="D68" s="16">
        <v>45108780.340000004</v>
      </c>
      <c r="E68" s="16">
        <v>8556242.3200000003</v>
      </c>
      <c r="F68" s="16">
        <v>45313049.829999998</v>
      </c>
      <c r="G68" s="16">
        <v>29633798.180332489</v>
      </c>
      <c r="H68" s="16">
        <v>78968164.349999994</v>
      </c>
      <c r="I68" s="16">
        <v>97009014.090000004</v>
      </c>
      <c r="J68" s="16">
        <v>101005298.08</v>
      </c>
      <c r="K68" s="16">
        <v>0</v>
      </c>
      <c r="L68" s="16">
        <v>0</v>
      </c>
      <c r="M68" s="16">
        <v>0</v>
      </c>
      <c r="N68" s="18">
        <f t="shared" si="1"/>
        <v>1885946830.4703321</v>
      </c>
      <c r="O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5287347055.2800007</v>
      </c>
      <c r="C69" s="16">
        <v>0</v>
      </c>
      <c r="D69" s="16">
        <v>36789003.250132754</v>
      </c>
      <c r="E69" s="16">
        <v>29506113.149999999</v>
      </c>
      <c r="F69" s="16">
        <v>133731968.84999999</v>
      </c>
      <c r="G69" s="16">
        <v>32312782.898587704</v>
      </c>
      <c r="H69" s="16">
        <v>282049103.81999999</v>
      </c>
      <c r="I69" s="16">
        <v>286301771.75999999</v>
      </c>
      <c r="J69" s="16">
        <v>235864972.47</v>
      </c>
      <c r="K69" s="16">
        <v>0</v>
      </c>
      <c r="L69" s="16">
        <v>0</v>
      </c>
      <c r="M69" s="16">
        <v>0</v>
      </c>
      <c r="N69" s="18">
        <f t="shared" si="1"/>
        <v>6323902771.4787207</v>
      </c>
      <c r="O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1098198030.49</v>
      </c>
      <c r="C70" s="16">
        <v>0</v>
      </c>
      <c r="D70" s="16">
        <v>66644006.720645055</v>
      </c>
      <c r="E70" s="16">
        <v>6177078.6799999997</v>
      </c>
      <c r="F70" s="16">
        <v>29699485.57</v>
      </c>
      <c r="G70" s="16">
        <v>13590045.310000001</v>
      </c>
      <c r="H70" s="16">
        <v>58582454.890000001</v>
      </c>
      <c r="I70" s="16">
        <v>63582518.18</v>
      </c>
      <c r="J70" s="16">
        <v>100257034.79000001</v>
      </c>
      <c r="K70" s="16">
        <v>0</v>
      </c>
      <c r="L70" s="16">
        <v>0</v>
      </c>
      <c r="M70" s="16">
        <v>0</v>
      </c>
      <c r="N70" s="18">
        <f t="shared" si="1"/>
        <v>1436730654.630645</v>
      </c>
      <c r="O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4278643918.3000002</v>
      </c>
      <c r="C71" s="16">
        <v>0</v>
      </c>
      <c r="D71" s="16">
        <v>73382984.230000004</v>
      </c>
      <c r="E71" s="16">
        <v>29125430.129999999</v>
      </c>
      <c r="F71" s="16">
        <v>18700456.510000002</v>
      </c>
      <c r="G71" s="16">
        <v>13199790.630000001</v>
      </c>
      <c r="H71" s="16">
        <v>228240679.13</v>
      </c>
      <c r="I71" s="16">
        <v>40035108.119999997</v>
      </c>
      <c r="J71" s="16">
        <v>83790704.799999997</v>
      </c>
      <c r="K71" s="16">
        <v>0</v>
      </c>
      <c r="L71" s="16">
        <v>0</v>
      </c>
      <c r="M71" s="16">
        <v>0</v>
      </c>
      <c r="N71" s="18">
        <f t="shared" si="1"/>
        <v>4765119071.8500004</v>
      </c>
      <c r="O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18879904663.830002</v>
      </c>
      <c r="C72" s="16">
        <v>0</v>
      </c>
      <c r="D72" s="16">
        <v>202996108.58476141</v>
      </c>
      <c r="E72" s="16">
        <v>135688799.19999999</v>
      </c>
      <c r="F72" s="16">
        <v>544130607.74000001</v>
      </c>
      <c r="G72" s="16">
        <v>0</v>
      </c>
      <c r="H72" s="16">
        <v>1007132714.16</v>
      </c>
      <c r="I72" s="16">
        <v>1164908871.21</v>
      </c>
      <c r="J72" s="16">
        <v>1227615509.3099999</v>
      </c>
      <c r="K72" s="16">
        <v>0</v>
      </c>
      <c r="L72" s="16">
        <v>0</v>
      </c>
      <c r="M72" s="16">
        <v>0</v>
      </c>
      <c r="N72" s="18">
        <f t="shared" ref="N72:N103" si="2">SUM(B72:M72)</f>
        <v>23162377274.034767</v>
      </c>
      <c r="O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8740470938.0200005</v>
      </c>
      <c r="C73" s="16">
        <v>0</v>
      </c>
      <c r="D73" s="16">
        <v>294614931.20375097</v>
      </c>
      <c r="E73" s="16">
        <v>58711250.229999997</v>
      </c>
      <c r="F73" s="16">
        <v>201964930.30000001</v>
      </c>
      <c r="G73" s="16">
        <v>118888979.75145145</v>
      </c>
      <c r="H73" s="16">
        <v>466253107.5</v>
      </c>
      <c r="I73" s="16">
        <v>432379167.64999998</v>
      </c>
      <c r="J73" s="16">
        <v>534740827.81</v>
      </c>
      <c r="K73" s="16">
        <v>0</v>
      </c>
      <c r="L73" s="16">
        <v>0</v>
      </c>
      <c r="M73" s="16">
        <v>0</v>
      </c>
      <c r="N73" s="18">
        <f t="shared" si="2"/>
        <v>10848024132.4652</v>
      </c>
      <c r="O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4550759052.2600002</v>
      </c>
      <c r="C74" s="16">
        <v>0</v>
      </c>
      <c r="D74" s="16">
        <v>90665203.799999997</v>
      </c>
      <c r="E74" s="16">
        <v>32706134.260000002</v>
      </c>
      <c r="F74" s="16">
        <v>146632649.97</v>
      </c>
      <c r="G74" s="16">
        <v>207803063.94365209</v>
      </c>
      <c r="H74" s="16">
        <v>242756433.22999999</v>
      </c>
      <c r="I74" s="16">
        <v>313920357.61000001</v>
      </c>
      <c r="J74" s="16">
        <v>286860901.5</v>
      </c>
      <c r="K74" s="16">
        <v>0</v>
      </c>
      <c r="L74" s="16">
        <v>0</v>
      </c>
      <c r="M74" s="16">
        <v>0</v>
      </c>
      <c r="N74" s="18">
        <f t="shared" si="2"/>
        <v>5872103796.5736523</v>
      </c>
      <c r="O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770978807.95999992</v>
      </c>
      <c r="C75" s="16">
        <v>0</v>
      </c>
      <c r="D75" s="16">
        <v>11961121.995528728</v>
      </c>
      <c r="E75" s="16">
        <v>4376404.3499999996</v>
      </c>
      <c r="F75" s="16">
        <v>2665473.5099999998</v>
      </c>
      <c r="G75" s="16">
        <v>1515106.4</v>
      </c>
      <c r="H75" s="16">
        <v>41127219.299999997</v>
      </c>
      <c r="I75" s="16">
        <v>5706412.5899999999</v>
      </c>
      <c r="J75" s="16">
        <v>32327843.079999998</v>
      </c>
      <c r="K75" s="16">
        <v>0</v>
      </c>
      <c r="L75" s="16">
        <v>0</v>
      </c>
      <c r="M75" s="16">
        <v>0</v>
      </c>
      <c r="N75" s="18">
        <f t="shared" si="2"/>
        <v>870658389.18552864</v>
      </c>
      <c r="O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778690003.18000007</v>
      </c>
      <c r="C76" s="16">
        <v>0</v>
      </c>
      <c r="D76" s="16">
        <v>20597066.116382021</v>
      </c>
      <c r="E76" s="16">
        <v>4360300.1099999994</v>
      </c>
      <c r="F76" s="16">
        <v>4798905.88</v>
      </c>
      <c r="G76" s="16">
        <v>3558204.43</v>
      </c>
      <c r="H76" s="16">
        <v>41538566.560000002</v>
      </c>
      <c r="I76" s="16">
        <v>10273798.17</v>
      </c>
      <c r="J76" s="16">
        <v>48005071.469999999</v>
      </c>
      <c r="K76" s="16">
        <v>0</v>
      </c>
      <c r="L76" s="16">
        <v>0</v>
      </c>
      <c r="M76" s="16">
        <v>0</v>
      </c>
      <c r="N76" s="18">
        <f t="shared" si="2"/>
        <v>911821915.91638196</v>
      </c>
      <c r="O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872828499.73000002</v>
      </c>
      <c r="C77" s="16">
        <v>0</v>
      </c>
      <c r="D77" s="16">
        <v>13127778.049109569</v>
      </c>
      <c r="E77" s="16">
        <v>5102200.04</v>
      </c>
      <c r="F77" s="16">
        <v>5636475.6200000001</v>
      </c>
      <c r="G77" s="16">
        <v>2272659.6</v>
      </c>
      <c r="H77" s="16">
        <v>46560305.869999997</v>
      </c>
      <c r="I77" s="16">
        <v>12066919.91</v>
      </c>
      <c r="J77" s="16">
        <v>32618834.359999999</v>
      </c>
      <c r="K77" s="16">
        <v>0</v>
      </c>
      <c r="L77" s="16">
        <v>0</v>
      </c>
      <c r="M77" s="16">
        <v>0</v>
      </c>
      <c r="N77" s="18">
        <f t="shared" si="2"/>
        <v>990213673.17910957</v>
      </c>
      <c r="O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335465135.56999999</v>
      </c>
      <c r="C78" s="16">
        <v>0</v>
      </c>
      <c r="D78" s="16">
        <v>4857662.2192317462</v>
      </c>
      <c r="E78" s="16">
        <v>1980978.58</v>
      </c>
      <c r="F78" s="16">
        <v>2001739</v>
      </c>
      <c r="G78" s="16">
        <v>803465.52</v>
      </c>
      <c r="H78" s="16">
        <v>17895106.920000002</v>
      </c>
      <c r="I78" s="16">
        <v>4285448.1900000004</v>
      </c>
      <c r="J78" s="16">
        <v>13988512.890000001</v>
      </c>
      <c r="K78" s="16">
        <v>0</v>
      </c>
      <c r="L78" s="16">
        <v>0</v>
      </c>
      <c r="M78" s="16">
        <v>0</v>
      </c>
      <c r="N78" s="18">
        <f t="shared" si="2"/>
        <v>381278048.88923168</v>
      </c>
      <c r="O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1726238296.21</v>
      </c>
      <c r="C79" s="16">
        <v>0</v>
      </c>
      <c r="D79" s="16">
        <v>45065037.177343756</v>
      </c>
      <c r="E79" s="16">
        <v>9627331.7199999988</v>
      </c>
      <c r="F79" s="16">
        <v>10061372.369999999</v>
      </c>
      <c r="G79" s="16">
        <v>5968600.9800000004</v>
      </c>
      <c r="H79" s="16">
        <v>92084737.269999996</v>
      </c>
      <c r="I79" s="16">
        <v>21540015.920000002</v>
      </c>
      <c r="J79" s="16">
        <v>75776441.950000003</v>
      </c>
      <c r="K79" s="16">
        <v>0</v>
      </c>
      <c r="L79" s="16">
        <v>0</v>
      </c>
      <c r="M79" s="16">
        <v>0</v>
      </c>
      <c r="N79" s="18">
        <f t="shared" si="2"/>
        <v>1986361833.5973439</v>
      </c>
      <c r="O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920587252.68999994</v>
      </c>
      <c r="C80" s="16">
        <v>0</v>
      </c>
      <c r="D80" s="16">
        <v>27635881.760644037</v>
      </c>
      <c r="E80" s="16">
        <v>5117830.63</v>
      </c>
      <c r="F80" s="16">
        <v>3255459.75</v>
      </c>
      <c r="G80" s="16">
        <v>2387440.39</v>
      </c>
      <c r="H80" s="16">
        <v>49107956.579999998</v>
      </c>
      <c r="I80" s="16">
        <v>6969492.0599999996</v>
      </c>
      <c r="J80" s="16">
        <v>48973188.329999998</v>
      </c>
      <c r="K80" s="16">
        <v>0</v>
      </c>
      <c r="L80" s="16">
        <v>0</v>
      </c>
      <c r="M80" s="16">
        <v>0</v>
      </c>
      <c r="N80" s="18">
        <f t="shared" si="2"/>
        <v>1064034502.190644</v>
      </c>
      <c r="O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516875224.8900001</v>
      </c>
      <c r="C81" s="16">
        <v>0</v>
      </c>
      <c r="D81" s="16">
        <v>21310893.97332377</v>
      </c>
      <c r="E81" s="16">
        <v>2854554.3</v>
      </c>
      <c r="F81" s="16">
        <v>8454713.4299999997</v>
      </c>
      <c r="G81" s="16">
        <v>5463565.5099999998</v>
      </c>
      <c r="H81" s="16">
        <v>27572276.32</v>
      </c>
      <c r="I81" s="16">
        <v>18100379.870000001</v>
      </c>
      <c r="J81" s="16">
        <v>57257803.740000002</v>
      </c>
      <c r="K81" s="16">
        <v>0</v>
      </c>
      <c r="L81" s="16">
        <v>0</v>
      </c>
      <c r="M81" s="16">
        <v>0</v>
      </c>
      <c r="N81" s="18">
        <f t="shared" si="2"/>
        <v>657889412.03332388</v>
      </c>
      <c r="O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8394789875.8200016</v>
      </c>
      <c r="C82" s="16">
        <v>0</v>
      </c>
      <c r="D82" s="16">
        <v>120465746.84</v>
      </c>
      <c r="E82" s="16">
        <v>55689508.710000001</v>
      </c>
      <c r="F82" s="16">
        <v>243669582.19</v>
      </c>
      <c r="G82" s="16">
        <v>220834870.91769373</v>
      </c>
      <c r="H82" s="16">
        <v>447813040.52999997</v>
      </c>
      <c r="I82" s="16">
        <v>521663097.5</v>
      </c>
      <c r="J82" s="16">
        <v>475288733.17000002</v>
      </c>
      <c r="K82" s="16">
        <v>0</v>
      </c>
      <c r="L82" s="16">
        <v>0</v>
      </c>
      <c r="M82" s="16">
        <v>0</v>
      </c>
      <c r="N82" s="18">
        <f t="shared" si="2"/>
        <v>10480214455.677696</v>
      </c>
      <c r="O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2170166740.02</v>
      </c>
      <c r="C83" s="16">
        <v>0</v>
      </c>
      <c r="D83" s="16">
        <v>54052303.535516933</v>
      </c>
      <c r="E83" s="16">
        <v>15596959.23</v>
      </c>
      <c r="F83" s="16">
        <v>26981334.710000001</v>
      </c>
      <c r="G83" s="16">
        <v>14531247.77</v>
      </c>
      <c r="H83" s="16">
        <v>115765728.59</v>
      </c>
      <c r="I83" s="16">
        <v>57763330.640000001</v>
      </c>
      <c r="J83" s="16">
        <v>102867466.62</v>
      </c>
      <c r="K83" s="16">
        <v>0</v>
      </c>
      <c r="L83" s="16">
        <v>0</v>
      </c>
      <c r="M83" s="16">
        <v>0</v>
      </c>
      <c r="N83" s="18">
        <f t="shared" si="2"/>
        <v>2557725111.1155167</v>
      </c>
      <c r="O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912425768.66999996</v>
      </c>
      <c r="C84" s="16">
        <v>0</v>
      </c>
      <c r="D84" s="16">
        <v>12825766.538707945</v>
      </c>
      <c r="E84" s="16">
        <v>4923158.8499999996</v>
      </c>
      <c r="F84" s="16">
        <v>5415230.7800000003</v>
      </c>
      <c r="G84" s="16">
        <v>1491212.5590245749</v>
      </c>
      <c r="H84" s="16">
        <v>48672589.049999997</v>
      </c>
      <c r="I84" s="16">
        <v>11593265.109999999</v>
      </c>
      <c r="J84" s="16">
        <v>42300734.869999997</v>
      </c>
      <c r="K84" s="16">
        <v>0</v>
      </c>
      <c r="L84" s="16">
        <v>0</v>
      </c>
      <c r="M84" s="16">
        <v>0</v>
      </c>
      <c r="N84" s="18">
        <f t="shared" si="2"/>
        <v>1039647726.4277325</v>
      </c>
      <c r="O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730199530.98999989</v>
      </c>
      <c r="C85" s="16">
        <v>0</v>
      </c>
      <c r="D85" s="16">
        <v>11151166.868757987</v>
      </c>
      <c r="E85" s="16">
        <v>4067581.99</v>
      </c>
      <c r="F85" s="16">
        <v>2560118.83</v>
      </c>
      <c r="G85" s="16">
        <v>1492150.25</v>
      </c>
      <c r="H85" s="16">
        <v>38951882.899999999</v>
      </c>
      <c r="I85" s="16">
        <v>5480862.6900000004</v>
      </c>
      <c r="J85" s="16">
        <v>24936547.48</v>
      </c>
      <c r="K85" s="16">
        <v>0</v>
      </c>
      <c r="L85" s="16">
        <v>0</v>
      </c>
      <c r="M85" s="16">
        <v>0</v>
      </c>
      <c r="N85" s="18">
        <f t="shared" si="2"/>
        <v>818839841.99875796</v>
      </c>
      <c r="O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9123919971.0100002</v>
      </c>
      <c r="C86" s="16">
        <v>0</v>
      </c>
      <c r="D86" s="16">
        <v>83690812.200000003</v>
      </c>
      <c r="E86" s="16">
        <v>63644686.159999996</v>
      </c>
      <c r="F86" s="16">
        <v>152885450.5</v>
      </c>
      <c r="G86" s="16">
        <v>48428805.02889502</v>
      </c>
      <c r="H86" s="16">
        <v>486707875.26999998</v>
      </c>
      <c r="I86" s="16">
        <v>327306744.45999998</v>
      </c>
      <c r="J86" s="16">
        <v>209833401.97</v>
      </c>
      <c r="K86" s="16">
        <v>0</v>
      </c>
      <c r="L86" s="16">
        <v>0</v>
      </c>
      <c r="M86" s="16">
        <v>0</v>
      </c>
      <c r="N86" s="18">
        <f t="shared" si="2"/>
        <v>10496417746.598894</v>
      </c>
      <c r="O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1421646084.52</v>
      </c>
      <c r="C87" s="16">
        <v>0</v>
      </c>
      <c r="D87" s="16">
        <v>15006655.105627604</v>
      </c>
      <c r="E87" s="16">
        <v>7738873.5500000007</v>
      </c>
      <c r="F87" s="16">
        <v>4340613</v>
      </c>
      <c r="G87" s="16">
        <v>4338713.79</v>
      </c>
      <c r="H87" s="16">
        <v>75836520.640000001</v>
      </c>
      <c r="I87" s="16">
        <v>9292656.0800000001</v>
      </c>
      <c r="J87" s="16">
        <v>47447386.969999999</v>
      </c>
      <c r="K87" s="16">
        <v>0</v>
      </c>
      <c r="L87" s="16">
        <v>0</v>
      </c>
      <c r="M87" s="16">
        <v>0</v>
      </c>
      <c r="N87" s="18">
        <f t="shared" si="2"/>
        <v>1585647503.6556275</v>
      </c>
      <c r="O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1305837440.8100002</v>
      </c>
      <c r="C88" s="16">
        <v>0</v>
      </c>
      <c r="D88" s="16">
        <v>11008734.687089648</v>
      </c>
      <c r="E88" s="16">
        <v>6201866.5600000005</v>
      </c>
      <c r="F88" s="16">
        <v>21302717.210000001</v>
      </c>
      <c r="G88" s="16">
        <v>8769252.2100000009</v>
      </c>
      <c r="H88" s="16">
        <v>69658805.459999993</v>
      </c>
      <c r="I88" s="16">
        <v>45606190.770000003</v>
      </c>
      <c r="J88" s="16">
        <v>72226582.530000001</v>
      </c>
      <c r="K88" s="16">
        <v>0</v>
      </c>
      <c r="L88" s="16">
        <v>0</v>
      </c>
      <c r="M88" s="16">
        <v>0</v>
      </c>
      <c r="N88" s="18">
        <f t="shared" si="2"/>
        <v>1540611590.2370899</v>
      </c>
      <c r="O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1847619263.51</v>
      </c>
      <c r="C89" s="16">
        <v>0</v>
      </c>
      <c r="D89" s="16">
        <v>28435100.504955899</v>
      </c>
      <c r="E89" s="16">
        <v>10352022.23</v>
      </c>
      <c r="F89" s="16">
        <v>17915564.109999999</v>
      </c>
      <c r="G89" s="16">
        <v>9549761.5700000003</v>
      </c>
      <c r="H89" s="16">
        <v>98559703.390000001</v>
      </c>
      <c r="I89" s="16">
        <v>38354761.32</v>
      </c>
      <c r="J89" s="16">
        <v>74172623.310000002</v>
      </c>
      <c r="K89" s="16">
        <v>0</v>
      </c>
      <c r="L89" s="16">
        <v>0</v>
      </c>
      <c r="M89" s="16">
        <v>0</v>
      </c>
      <c r="N89" s="18">
        <f t="shared" si="2"/>
        <v>2124958799.9449558</v>
      </c>
      <c r="O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8391440853.0499992</v>
      </c>
      <c r="C90" s="16">
        <v>0</v>
      </c>
      <c r="D90" s="16">
        <v>57871302.864286438</v>
      </c>
      <c r="E90" s="16">
        <v>58980451.539999999</v>
      </c>
      <c r="F90" s="16">
        <v>243021650.88</v>
      </c>
      <c r="G90" s="16">
        <v>82877800.093611032</v>
      </c>
      <c r="H90" s="16">
        <v>447634389.72000003</v>
      </c>
      <c r="I90" s="16">
        <v>520275965.57999998</v>
      </c>
      <c r="J90" s="16">
        <v>432380107.56999999</v>
      </c>
      <c r="K90" s="16">
        <v>0</v>
      </c>
      <c r="L90" s="16">
        <v>0</v>
      </c>
      <c r="M90" s="16">
        <v>0</v>
      </c>
      <c r="N90" s="18">
        <f t="shared" si="2"/>
        <v>10234482521.297895</v>
      </c>
      <c r="O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387642347.13</v>
      </c>
      <c r="C91" s="16">
        <v>0</v>
      </c>
      <c r="D91" s="16">
        <v>17934222.444251526</v>
      </c>
      <c r="E91" s="16">
        <v>2110286.1100000003</v>
      </c>
      <c r="F91" s="16">
        <v>5641743.3499999996</v>
      </c>
      <c r="G91" s="16">
        <v>3259774.38</v>
      </c>
      <c r="H91" s="16">
        <v>20678456.600000001</v>
      </c>
      <c r="I91" s="16">
        <v>12078197.41</v>
      </c>
      <c r="J91" s="16">
        <v>33345580.690000001</v>
      </c>
      <c r="K91" s="16">
        <v>0</v>
      </c>
      <c r="L91" s="16">
        <v>0</v>
      </c>
      <c r="M91" s="16">
        <v>0</v>
      </c>
      <c r="N91" s="18">
        <f t="shared" si="2"/>
        <v>482690608.11425161</v>
      </c>
      <c r="O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537447793.20000005</v>
      </c>
      <c r="C92" s="16">
        <v>0</v>
      </c>
      <c r="D92" s="16">
        <v>6392601.5800000001</v>
      </c>
      <c r="E92" s="16">
        <v>3145851.47</v>
      </c>
      <c r="F92" s="16">
        <v>1206311.1299999999</v>
      </c>
      <c r="G92" s="16">
        <v>1101895.57</v>
      </c>
      <c r="H92" s="16">
        <v>28669702.760000002</v>
      </c>
      <c r="I92" s="16">
        <v>2582546.41</v>
      </c>
      <c r="J92" s="16">
        <v>12966091.310000001</v>
      </c>
      <c r="K92" s="16">
        <v>0</v>
      </c>
      <c r="L92" s="16">
        <v>0</v>
      </c>
      <c r="M92" s="16">
        <v>0</v>
      </c>
      <c r="N92" s="18">
        <f t="shared" si="2"/>
        <v>593512793.43000007</v>
      </c>
      <c r="O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6080052296.6099997</v>
      </c>
      <c r="C93" s="16">
        <v>0</v>
      </c>
      <c r="D93" s="16">
        <v>86290951.299012825</v>
      </c>
      <c r="E93" s="16">
        <v>39690188.630000003</v>
      </c>
      <c r="F93" s="16">
        <v>196960582.78999999</v>
      </c>
      <c r="G93" s="16">
        <v>42867313.880561762</v>
      </c>
      <c r="H93" s="16">
        <v>324335301.51999998</v>
      </c>
      <c r="I93" s="16">
        <v>421665547.17000002</v>
      </c>
      <c r="J93" s="16">
        <v>446360716.26999998</v>
      </c>
      <c r="K93" s="16">
        <v>0</v>
      </c>
      <c r="L93" s="16">
        <v>0</v>
      </c>
      <c r="M93" s="16">
        <v>0</v>
      </c>
      <c r="N93" s="18">
        <f t="shared" si="2"/>
        <v>7638222898.1695747</v>
      </c>
      <c r="O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3126664522.4200001</v>
      </c>
      <c r="C94" s="16">
        <v>0</v>
      </c>
      <c r="D94" s="16">
        <v>95119233.109999999</v>
      </c>
      <c r="E94" s="16">
        <v>22471104.140000001</v>
      </c>
      <c r="F94" s="16">
        <v>89061582.590000004</v>
      </c>
      <c r="G94" s="16">
        <v>53526895.48676005</v>
      </c>
      <c r="H94" s="16">
        <v>166789302.31999999</v>
      </c>
      <c r="I94" s="16">
        <v>190668612.09</v>
      </c>
      <c r="J94" s="16">
        <v>210810008.52000001</v>
      </c>
      <c r="K94" s="16">
        <v>0</v>
      </c>
      <c r="L94" s="16">
        <v>0</v>
      </c>
      <c r="M94" s="16">
        <v>0</v>
      </c>
      <c r="N94" s="18">
        <f t="shared" si="2"/>
        <v>3955111260.6767607</v>
      </c>
      <c r="O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635470030.38000011</v>
      </c>
      <c r="C95" s="16">
        <v>0</v>
      </c>
      <c r="D95" s="16">
        <v>13418501.215212047</v>
      </c>
      <c r="E95" s="16">
        <v>3437464.3899999997</v>
      </c>
      <c r="F95" s="16">
        <v>4366951.67</v>
      </c>
      <c r="G95" s="16">
        <v>2617001.9700000002</v>
      </c>
      <c r="H95" s="16">
        <v>33898616.969999999</v>
      </c>
      <c r="I95" s="16">
        <v>9349043.5600000005</v>
      </c>
      <c r="J95" s="16">
        <v>33694682.409999996</v>
      </c>
      <c r="K95" s="16">
        <v>0</v>
      </c>
      <c r="L95" s="16">
        <v>0</v>
      </c>
      <c r="M95" s="16">
        <v>0</v>
      </c>
      <c r="N95" s="18">
        <f t="shared" si="2"/>
        <v>736252292.56521213</v>
      </c>
      <c r="O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1956307716.03</v>
      </c>
      <c r="C96" s="16">
        <v>0</v>
      </c>
      <c r="D96" s="16">
        <v>57414408.041655615</v>
      </c>
      <c r="E96" s="16">
        <v>13048673.84</v>
      </c>
      <c r="F96" s="16">
        <v>24473893.219999999</v>
      </c>
      <c r="G96" s="16">
        <v>13383439.890000001</v>
      </c>
      <c r="H96" s="16">
        <v>104357597.93000001</v>
      </c>
      <c r="I96" s="16">
        <v>52395242.899999999</v>
      </c>
      <c r="J96" s="16">
        <v>114183631.53</v>
      </c>
      <c r="K96" s="16">
        <v>0</v>
      </c>
      <c r="L96" s="16">
        <v>0</v>
      </c>
      <c r="M96" s="16">
        <v>0</v>
      </c>
      <c r="N96" s="18">
        <f t="shared" si="2"/>
        <v>2335564603.3816557</v>
      </c>
      <c r="O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993111888.14999998</v>
      </c>
      <c r="C97" s="16">
        <v>0</v>
      </c>
      <c r="D97" s="16">
        <v>47152202.631435782</v>
      </c>
      <c r="E97" s="16">
        <v>5575380.3100000005</v>
      </c>
      <c r="F97" s="16">
        <v>11299289.91</v>
      </c>
      <c r="G97" s="16">
        <v>6886847.2800000003</v>
      </c>
      <c r="H97" s="16">
        <v>52976722.57</v>
      </c>
      <c r="I97" s="16">
        <v>24190227.300000001</v>
      </c>
      <c r="J97" s="16">
        <v>77600992.400000006</v>
      </c>
      <c r="K97" s="16">
        <v>0</v>
      </c>
      <c r="L97" s="16">
        <v>0</v>
      </c>
      <c r="M97" s="16">
        <v>0</v>
      </c>
      <c r="N97" s="18">
        <f t="shared" si="2"/>
        <v>1218793550.5514357</v>
      </c>
      <c r="O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2857448122.4499998</v>
      </c>
      <c r="C98" s="16">
        <v>0</v>
      </c>
      <c r="D98" s="16">
        <v>59071490.107318215</v>
      </c>
      <c r="E98" s="16">
        <v>19101572.199999999</v>
      </c>
      <c r="F98" s="16">
        <v>26275458.329999998</v>
      </c>
      <c r="G98" s="16">
        <v>16482521.17</v>
      </c>
      <c r="H98" s="16">
        <v>152428178.77000001</v>
      </c>
      <c r="I98" s="16">
        <v>56252146.280000001</v>
      </c>
      <c r="J98" s="16">
        <v>149617528.41999999</v>
      </c>
      <c r="K98" s="16">
        <v>0</v>
      </c>
      <c r="L98" s="16">
        <v>0</v>
      </c>
      <c r="M98" s="16">
        <v>0</v>
      </c>
      <c r="N98" s="18">
        <f t="shared" si="2"/>
        <v>3336677017.7273183</v>
      </c>
      <c r="O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2026721622.8499999</v>
      </c>
      <c r="C99" s="16">
        <v>0</v>
      </c>
      <c r="D99" s="16">
        <v>16788611.58503478</v>
      </c>
      <c r="E99" s="16">
        <v>11089817.16</v>
      </c>
      <c r="F99" s="16">
        <v>9740040.5800000001</v>
      </c>
      <c r="G99" s="16">
        <v>4935573.8899999997</v>
      </c>
      <c r="H99" s="16">
        <v>108113768.86</v>
      </c>
      <c r="I99" s="16">
        <v>20852088.710000001</v>
      </c>
      <c r="J99" s="16">
        <v>98107534.310000002</v>
      </c>
      <c r="K99" s="16">
        <v>0</v>
      </c>
      <c r="L99" s="16">
        <v>0</v>
      </c>
      <c r="M99" s="16">
        <v>0</v>
      </c>
      <c r="N99" s="18">
        <f t="shared" si="2"/>
        <v>2296349057.945035</v>
      </c>
      <c r="O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2141348258.5699999</v>
      </c>
      <c r="C100" s="16">
        <v>0</v>
      </c>
      <c r="D100" s="16">
        <v>40082362.010134064</v>
      </c>
      <c r="E100" s="16">
        <v>12099015.77</v>
      </c>
      <c r="F100" s="16">
        <v>10935816.25</v>
      </c>
      <c r="G100" s="16">
        <v>5876776.3499999996</v>
      </c>
      <c r="H100" s="16">
        <v>114228430.81999999</v>
      </c>
      <c r="I100" s="16">
        <v>23412080.129999999</v>
      </c>
      <c r="J100" s="16">
        <v>75867632.879999995</v>
      </c>
      <c r="K100" s="16">
        <v>0</v>
      </c>
      <c r="L100" s="16">
        <v>0</v>
      </c>
      <c r="M100" s="16">
        <v>0</v>
      </c>
      <c r="N100" s="18">
        <f t="shared" si="2"/>
        <v>2423850372.7801342</v>
      </c>
      <c r="O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438778265.87000006</v>
      </c>
      <c r="C101" s="16">
        <v>0</v>
      </c>
      <c r="D101" s="16">
        <v>11261977.55556698</v>
      </c>
      <c r="E101" s="16">
        <v>2479420.39</v>
      </c>
      <c r="F101" s="16">
        <v>1306398.08</v>
      </c>
      <c r="G101" s="16">
        <v>941202.46</v>
      </c>
      <c r="H101" s="16">
        <v>23406259.399999999</v>
      </c>
      <c r="I101" s="16">
        <v>2796818.82</v>
      </c>
      <c r="J101" s="16">
        <v>17509390.27</v>
      </c>
      <c r="K101" s="16">
        <v>0</v>
      </c>
      <c r="L101" s="16">
        <v>0</v>
      </c>
      <c r="M101" s="16">
        <v>0</v>
      </c>
      <c r="N101" s="18">
        <f t="shared" si="2"/>
        <v>498479732.84556693</v>
      </c>
      <c r="O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1216004830.6500001</v>
      </c>
      <c r="C102" s="16">
        <v>0</v>
      </c>
      <c r="D102" s="16">
        <v>67565909.982142195</v>
      </c>
      <c r="E102" s="16">
        <v>8288172.3700000001</v>
      </c>
      <c r="F102" s="16">
        <v>25295659.760000002</v>
      </c>
      <c r="G102" s="16">
        <v>15105151.710000001</v>
      </c>
      <c r="H102" s="16">
        <v>64866760.049999997</v>
      </c>
      <c r="I102" s="16">
        <v>54154532.159999996</v>
      </c>
      <c r="J102" s="16">
        <v>112768342.45</v>
      </c>
      <c r="K102" s="16">
        <v>0</v>
      </c>
      <c r="L102" s="16">
        <v>0</v>
      </c>
      <c r="M102" s="16">
        <v>0</v>
      </c>
      <c r="N102" s="18">
        <f t="shared" si="2"/>
        <v>1564049359.1321423</v>
      </c>
      <c r="O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451358208.48000002</v>
      </c>
      <c r="C103" s="16">
        <v>0</v>
      </c>
      <c r="D103" s="16">
        <v>8717556.9825683292</v>
      </c>
      <c r="E103" s="16">
        <v>2489840.79</v>
      </c>
      <c r="F103" s="16">
        <v>626860.37</v>
      </c>
      <c r="G103" s="16">
        <v>596860.1</v>
      </c>
      <c r="H103" s="16">
        <v>24077325.899999999</v>
      </c>
      <c r="I103" s="16">
        <v>1342021.93</v>
      </c>
      <c r="J103" s="16">
        <v>24751238.140000001</v>
      </c>
      <c r="K103" s="16">
        <v>0</v>
      </c>
      <c r="L103" s="16">
        <v>0</v>
      </c>
      <c r="M103" s="16">
        <v>0</v>
      </c>
      <c r="N103" s="18">
        <f t="shared" si="2"/>
        <v>513959912.69256836</v>
      </c>
      <c r="O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6767192963.7600002</v>
      </c>
      <c r="C104" s="16">
        <v>0</v>
      </c>
      <c r="D104" s="16">
        <v>77717595.415918559</v>
      </c>
      <c r="E104" s="16">
        <v>44854972.450000003</v>
      </c>
      <c r="F104" s="16">
        <v>128464234.62</v>
      </c>
      <c r="G104" s="16">
        <v>29332513.710917819</v>
      </c>
      <c r="H104" s="16">
        <v>360990245.36000001</v>
      </c>
      <c r="I104" s="16">
        <v>275024276.50999999</v>
      </c>
      <c r="J104" s="16">
        <v>273858070.33999997</v>
      </c>
      <c r="K104" s="16">
        <v>0</v>
      </c>
      <c r="L104" s="16">
        <v>0</v>
      </c>
      <c r="M104" s="16">
        <v>0</v>
      </c>
      <c r="N104" s="18">
        <f t="shared" ref="N104:N135" si="3">SUM(B104:M104)</f>
        <v>7957434872.1668358</v>
      </c>
      <c r="O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1159887592.3199999</v>
      </c>
      <c r="C105" s="16">
        <v>0</v>
      </c>
      <c r="D105" s="16">
        <v>39055075.060000002</v>
      </c>
      <c r="E105" s="16">
        <v>7974776.6900000004</v>
      </c>
      <c r="F105" s="16">
        <v>5536388.6699999999</v>
      </c>
      <c r="G105" s="16">
        <v>5165135.46</v>
      </c>
      <c r="H105" s="16">
        <v>61873232.939999998</v>
      </c>
      <c r="I105" s="16">
        <v>11852647.5</v>
      </c>
      <c r="J105" s="16">
        <v>35762213.5</v>
      </c>
      <c r="K105" s="16">
        <v>0</v>
      </c>
      <c r="L105" s="16">
        <v>0</v>
      </c>
      <c r="M105" s="16">
        <v>0</v>
      </c>
      <c r="N105" s="18">
        <f t="shared" si="3"/>
        <v>1327107062.1400001</v>
      </c>
      <c r="O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1236971401.6099999</v>
      </c>
      <c r="C106" s="16">
        <v>0</v>
      </c>
      <c r="D106" s="16">
        <v>11418701.160000004</v>
      </c>
      <c r="E106" s="16">
        <v>6728727.6099999994</v>
      </c>
      <c r="F106" s="16">
        <v>39228816.789999999</v>
      </c>
      <c r="G106" s="16">
        <v>12280858.56648992</v>
      </c>
      <c r="H106" s="16">
        <v>65985204.229999997</v>
      </c>
      <c r="I106" s="16">
        <v>83983507.079999998</v>
      </c>
      <c r="J106" s="16">
        <v>93989890.599999994</v>
      </c>
      <c r="K106" s="16">
        <v>0</v>
      </c>
      <c r="L106" s="16">
        <v>0</v>
      </c>
      <c r="M106" s="16">
        <v>0</v>
      </c>
      <c r="N106" s="18">
        <f t="shared" si="3"/>
        <v>1550587107.6464896</v>
      </c>
      <c r="O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1660355420.1900003</v>
      </c>
      <c r="C107" s="16">
        <v>0</v>
      </c>
      <c r="D107" s="16">
        <v>12773732.690632431</v>
      </c>
      <c r="E107" s="16">
        <v>9325929.9499999993</v>
      </c>
      <c r="F107" s="16">
        <v>2180841.9700000002</v>
      </c>
      <c r="G107" s="16">
        <v>2180834.9700000002</v>
      </c>
      <c r="H107" s="16">
        <v>88570270.379999995</v>
      </c>
      <c r="I107" s="16">
        <v>4668883.03</v>
      </c>
      <c r="J107" s="16">
        <v>43545205.619999997</v>
      </c>
      <c r="K107" s="16">
        <v>0</v>
      </c>
      <c r="L107" s="16">
        <v>0</v>
      </c>
      <c r="M107" s="16">
        <v>0</v>
      </c>
      <c r="N107" s="18">
        <f t="shared" si="3"/>
        <v>1823601118.8006327</v>
      </c>
      <c r="O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606820407.25</v>
      </c>
      <c r="C108" s="16">
        <v>0</v>
      </c>
      <c r="D108" s="16">
        <v>9176190.0901211556</v>
      </c>
      <c r="E108" s="16">
        <v>3306735.91</v>
      </c>
      <c r="F108" s="16">
        <v>2212448.37</v>
      </c>
      <c r="G108" s="16">
        <v>1606931.03</v>
      </c>
      <c r="H108" s="16">
        <v>32370326.800000001</v>
      </c>
      <c r="I108" s="16">
        <v>4736548</v>
      </c>
      <c r="J108" s="16">
        <v>23229681.629999999</v>
      </c>
      <c r="K108" s="16">
        <v>0</v>
      </c>
      <c r="L108" s="16">
        <v>0</v>
      </c>
      <c r="M108" s="16">
        <v>0</v>
      </c>
      <c r="N108" s="18">
        <f t="shared" si="3"/>
        <v>683459269.08012104</v>
      </c>
      <c r="O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5559884334.960001</v>
      </c>
      <c r="C109" s="16">
        <v>0</v>
      </c>
      <c r="D109" s="16">
        <v>119702535.49146104</v>
      </c>
      <c r="E109" s="16">
        <v>38684670.799999997</v>
      </c>
      <c r="F109" s="16">
        <v>225890979.16999999</v>
      </c>
      <c r="G109" s="16">
        <v>132390489.93557307</v>
      </c>
      <c r="H109" s="16">
        <v>296587376.92000002</v>
      </c>
      <c r="I109" s="16">
        <v>483601551.05000001</v>
      </c>
      <c r="J109" s="16">
        <v>423843582.69999999</v>
      </c>
      <c r="K109" s="16">
        <v>0</v>
      </c>
      <c r="L109" s="16">
        <v>0</v>
      </c>
      <c r="M109" s="16">
        <v>0</v>
      </c>
      <c r="N109" s="18">
        <f t="shared" si="3"/>
        <v>7280585521.0270348</v>
      </c>
      <c r="O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643237511.75</v>
      </c>
      <c r="C110" s="16">
        <v>0</v>
      </c>
      <c r="D110" s="16">
        <v>22185552.062605463</v>
      </c>
      <c r="E110" s="16">
        <v>4434039.63</v>
      </c>
      <c r="F110" s="16">
        <v>8633816.4000000004</v>
      </c>
      <c r="G110" s="16">
        <v>5211047.78</v>
      </c>
      <c r="H110" s="16">
        <v>34312966.759999998</v>
      </c>
      <c r="I110" s="16">
        <v>18483814.699999999</v>
      </c>
      <c r="J110" s="16">
        <v>49110633.409999996</v>
      </c>
      <c r="K110" s="16">
        <v>0</v>
      </c>
      <c r="L110" s="16">
        <v>0</v>
      </c>
      <c r="M110" s="16">
        <v>0</v>
      </c>
      <c r="N110" s="18">
        <f t="shared" si="3"/>
        <v>785609382.49260545</v>
      </c>
      <c r="O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767939358.73000002</v>
      </c>
      <c r="C111" s="16">
        <v>0</v>
      </c>
      <c r="D111" s="16">
        <v>15973620.080328472</v>
      </c>
      <c r="E111" s="16">
        <v>4193258.17</v>
      </c>
      <c r="F111" s="16">
        <v>3007876.24</v>
      </c>
      <c r="G111" s="16">
        <v>2180834.9700000002</v>
      </c>
      <c r="H111" s="16">
        <v>40965082.43</v>
      </c>
      <c r="I111" s="16">
        <v>6439449.7800000003</v>
      </c>
      <c r="J111" s="16">
        <v>38259937.450000003</v>
      </c>
      <c r="K111" s="16">
        <v>0</v>
      </c>
      <c r="L111" s="16">
        <v>0</v>
      </c>
      <c r="M111" s="16">
        <v>0</v>
      </c>
      <c r="N111" s="18">
        <f t="shared" si="3"/>
        <v>878959417.85032845</v>
      </c>
      <c r="O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1105318221.6900001</v>
      </c>
      <c r="C112" s="16">
        <v>0</v>
      </c>
      <c r="D112" s="16">
        <v>24266792.315712646</v>
      </c>
      <c r="E112" s="16">
        <v>6143607.1400000006</v>
      </c>
      <c r="F112" s="16">
        <v>3655807.55</v>
      </c>
      <c r="G112" s="16">
        <v>2594045.81</v>
      </c>
      <c r="H112" s="16">
        <v>58962275.530000001</v>
      </c>
      <c r="I112" s="16">
        <v>7826581.7000000002</v>
      </c>
      <c r="J112" s="16">
        <v>40134255.020000003</v>
      </c>
      <c r="K112" s="16">
        <v>0</v>
      </c>
      <c r="L112" s="16">
        <v>0</v>
      </c>
      <c r="M112" s="16">
        <v>0</v>
      </c>
      <c r="N112" s="18">
        <f t="shared" si="3"/>
        <v>1248901586.7557127</v>
      </c>
      <c r="O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874911085.28999996</v>
      </c>
      <c r="C113" s="16">
        <v>0</v>
      </c>
      <c r="D113" s="16">
        <v>30176585.633056019</v>
      </c>
      <c r="E113" s="16">
        <v>4862373.2700000005</v>
      </c>
      <c r="F113" s="16">
        <v>5151844.07</v>
      </c>
      <c r="G113" s="16">
        <v>3351599.01</v>
      </c>
      <c r="H113" s="16">
        <v>46671399.659999996</v>
      </c>
      <c r="I113" s="16">
        <v>11029390.35</v>
      </c>
      <c r="J113" s="16">
        <v>39194681.07</v>
      </c>
      <c r="K113" s="16">
        <v>0</v>
      </c>
      <c r="L113" s="16">
        <v>0</v>
      </c>
      <c r="M113" s="16">
        <v>0</v>
      </c>
      <c r="N113" s="18">
        <f t="shared" si="3"/>
        <v>1015348958.3530561</v>
      </c>
      <c r="O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535449636.76999986</v>
      </c>
      <c r="C114" s="16">
        <v>0</v>
      </c>
      <c r="D114" s="16">
        <v>8706767.9481735602</v>
      </c>
      <c r="E114" s="16">
        <v>3011175.87</v>
      </c>
      <c r="F114" s="16">
        <v>3118498.66</v>
      </c>
      <c r="G114" s="16">
        <v>1836492.61</v>
      </c>
      <c r="H114" s="16">
        <v>28563112.77</v>
      </c>
      <c r="I114" s="16">
        <v>6676277.1799999997</v>
      </c>
      <c r="J114" s="16">
        <v>29940924.170000002</v>
      </c>
      <c r="K114" s="16">
        <v>0</v>
      </c>
      <c r="L114" s="16">
        <v>0</v>
      </c>
      <c r="M114" s="16">
        <v>0</v>
      </c>
      <c r="N114" s="18">
        <f t="shared" si="3"/>
        <v>617302885.97817326</v>
      </c>
      <c r="O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1328745882.1199999</v>
      </c>
      <c r="C115" s="16">
        <v>0</v>
      </c>
      <c r="D115" s="16">
        <v>16742950.349962864</v>
      </c>
      <c r="E115" s="16">
        <v>7846708.75</v>
      </c>
      <c r="F115" s="16">
        <v>3229121.08</v>
      </c>
      <c r="G115" s="16">
        <v>2961344.33</v>
      </c>
      <c r="H115" s="16">
        <v>70880837.090000004</v>
      </c>
      <c r="I115" s="16">
        <v>6913104.5800000001</v>
      </c>
      <c r="J115" s="16">
        <v>40118007.520000003</v>
      </c>
      <c r="K115" s="16">
        <v>0</v>
      </c>
      <c r="L115" s="16">
        <v>0</v>
      </c>
      <c r="M115" s="16">
        <v>0</v>
      </c>
      <c r="N115" s="18">
        <f t="shared" si="3"/>
        <v>1477437955.8199625</v>
      </c>
      <c r="O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836974256.20999992</v>
      </c>
      <c r="C116" s="16">
        <v>0</v>
      </c>
      <c r="D116" s="16">
        <v>24956627.198624112</v>
      </c>
      <c r="E116" s="16">
        <v>4720434.99</v>
      </c>
      <c r="F116" s="16">
        <v>8913006.3100000005</v>
      </c>
      <c r="G116" s="16">
        <v>4660100</v>
      </c>
      <c r="H116" s="16">
        <v>44647691.259999998</v>
      </c>
      <c r="I116" s="16">
        <v>19081521.949999999</v>
      </c>
      <c r="J116" s="16">
        <v>54424005.369999997</v>
      </c>
      <c r="K116" s="16">
        <v>0</v>
      </c>
      <c r="L116" s="16">
        <v>0</v>
      </c>
      <c r="M116" s="16">
        <v>0</v>
      </c>
      <c r="N116" s="18">
        <f t="shared" si="3"/>
        <v>998377643.28862405</v>
      </c>
      <c r="O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453074934.37</v>
      </c>
      <c r="C117" s="16">
        <v>0</v>
      </c>
      <c r="D117" s="16">
        <v>5268385.303811457</v>
      </c>
      <c r="E117" s="16">
        <v>2420845.19</v>
      </c>
      <c r="F117" s="16">
        <v>1875313.38</v>
      </c>
      <c r="G117" s="16">
        <v>1239632.51</v>
      </c>
      <c r="H117" s="16">
        <v>24168903.210000001</v>
      </c>
      <c r="I117" s="16">
        <v>4014788.31</v>
      </c>
      <c r="J117" s="16">
        <v>16040235.609999999</v>
      </c>
      <c r="K117" s="16">
        <v>0</v>
      </c>
      <c r="L117" s="16">
        <v>0</v>
      </c>
      <c r="M117" s="16">
        <v>0</v>
      </c>
      <c r="N117" s="18">
        <f t="shared" si="3"/>
        <v>508103037.88381141</v>
      </c>
      <c r="O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777057706.38999987</v>
      </c>
      <c r="C118" s="16">
        <v>0</v>
      </c>
      <c r="D118" s="16">
        <v>35771807.500766113</v>
      </c>
      <c r="E118" s="16">
        <v>4244886.4399999995</v>
      </c>
      <c r="F118" s="16">
        <v>8844525.7599999998</v>
      </c>
      <c r="G118" s="16">
        <v>5165135.46</v>
      </c>
      <c r="H118" s="16">
        <v>41451493.049999997</v>
      </c>
      <c r="I118" s="16">
        <v>18934914.510000002</v>
      </c>
      <c r="J118" s="16">
        <v>44213256.020000003</v>
      </c>
      <c r="K118" s="16">
        <v>0</v>
      </c>
      <c r="L118" s="16">
        <v>0</v>
      </c>
      <c r="M118" s="16">
        <v>0</v>
      </c>
      <c r="N118" s="18">
        <f t="shared" si="3"/>
        <v>935683725.13076603</v>
      </c>
      <c r="O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1018468774.6199999</v>
      </c>
      <c r="C119" s="16">
        <v>0</v>
      </c>
      <c r="D119" s="16">
        <v>15991795.434688151</v>
      </c>
      <c r="E119" s="16">
        <v>5743843.2300000004</v>
      </c>
      <c r="F119" s="16">
        <v>7106173.4699999997</v>
      </c>
      <c r="G119" s="16">
        <v>3466379.8</v>
      </c>
      <c r="H119" s="16">
        <v>54329364.460000001</v>
      </c>
      <c r="I119" s="16">
        <v>15213341.08</v>
      </c>
      <c r="J119" s="16">
        <v>40245791.920000002</v>
      </c>
      <c r="K119" s="16">
        <v>0</v>
      </c>
      <c r="L119" s="16">
        <v>0</v>
      </c>
      <c r="M119" s="16">
        <v>0</v>
      </c>
      <c r="N119" s="18">
        <f t="shared" si="3"/>
        <v>1160565464.014688</v>
      </c>
      <c r="O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629785134.6400001</v>
      </c>
      <c r="C120" s="16">
        <v>0</v>
      </c>
      <c r="D120" s="16">
        <v>16826157.554958135</v>
      </c>
      <c r="E120" s="16">
        <v>3567403.4499999997</v>
      </c>
      <c r="F120" s="16">
        <v>4788370.41</v>
      </c>
      <c r="G120" s="16">
        <v>3512292.12</v>
      </c>
      <c r="H120" s="16">
        <v>33595360.960000001</v>
      </c>
      <c r="I120" s="16">
        <v>10251243.18</v>
      </c>
      <c r="J120" s="16">
        <v>41724900.009999998</v>
      </c>
      <c r="K120" s="16">
        <v>0</v>
      </c>
      <c r="L120" s="16">
        <v>0</v>
      </c>
      <c r="M120" s="16">
        <v>0</v>
      </c>
      <c r="N120" s="18">
        <f t="shared" si="3"/>
        <v>744050862.32495821</v>
      </c>
      <c r="O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808043202.56000018</v>
      </c>
      <c r="C121" s="16">
        <v>0</v>
      </c>
      <c r="D121" s="16">
        <v>11800064.746370323</v>
      </c>
      <c r="E121" s="16">
        <v>4360773.76</v>
      </c>
      <c r="F121" s="16">
        <v>2012274.47</v>
      </c>
      <c r="G121" s="16">
        <v>1170764.04</v>
      </c>
      <c r="H121" s="16">
        <v>43104388.409999996</v>
      </c>
      <c r="I121" s="16">
        <v>4308003.18</v>
      </c>
      <c r="J121" s="16">
        <v>23185183.969999999</v>
      </c>
      <c r="K121" s="16">
        <v>0</v>
      </c>
      <c r="L121" s="16">
        <v>0</v>
      </c>
      <c r="M121" s="16">
        <v>0</v>
      </c>
      <c r="N121" s="18">
        <f t="shared" si="3"/>
        <v>897984655.13637042</v>
      </c>
      <c r="O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2509065327.6300001</v>
      </c>
      <c r="C122" s="16">
        <v>0</v>
      </c>
      <c r="D122" s="16">
        <v>41402619.75</v>
      </c>
      <c r="E122" s="16">
        <v>17240220.93</v>
      </c>
      <c r="F122" s="16">
        <v>60578943.619999997</v>
      </c>
      <c r="G122" s="16">
        <v>32442848.486303054</v>
      </c>
      <c r="H122" s="16">
        <v>133843990.13</v>
      </c>
      <c r="I122" s="16">
        <v>129691195.3</v>
      </c>
      <c r="J122" s="16">
        <v>108760186.41</v>
      </c>
      <c r="K122" s="16">
        <v>0</v>
      </c>
      <c r="L122" s="16">
        <v>0</v>
      </c>
      <c r="M122" s="16">
        <v>0</v>
      </c>
      <c r="N122" s="18">
        <f t="shared" si="3"/>
        <v>3033025332.2563028</v>
      </c>
      <c r="O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5293510382.8699989</v>
      </c>
      <c r="C123" s="16">
        <v>0</v>
      </c>
      <c r="D123" s="16">
        <v>160320521.76499999</v>
      </c>
      <c r="E123" s="16">
        <v>31260053.630000003</v>
      </c>
      <c r="F123" s="16">
        <v>84209999.370000005</v>
      </c>
      <c r="G123" s="16">
        <v>79246658.622393444</v>
      </c>
      <c r="H123" s="16">
        <v>282377881.37</v>
      </c>
      <c r="I123" s="16">
        <v>180282038.97</v>
      </c>
      <c r="J123" s="16">
        <v>141911236.21000001</v>
      </c>
      <c r="K123" s="16">
        <v>0</v>
      </c>
      <c r="L123" s="16">
        <v>0</v>
      </c>
      <c r="M123" s="16">
        <v>0</v>
      </c>
      <c r="N123" s="18">
        <f t="shared" si="3"/>
        <v>6253118772.8073931</v>
      </c>
      <c r="O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5096959333.5699997</v>
      </c>
      <c r="C124" s="16">
        <v>0</v>
      </c>
      <c r="D124" s="16">
        <v>57087338.289999999</v>
      </c>
      <c r="E124" s="16">
        <v>33414396.960000001</v>
      </c>
      <c r="F124" s="16">
        <v>107835787.38</v>
      </c>
      <c r="G124" s="16">
        <v>0</v>
      </c>
      <c r="H124" s="16">
        <v>271893030.13</v>
      </c>
      <c r="I124" s="16">
        <v>230861605.13999999</v>
      </c>
      <c r="J124" s="16">
        <v>203026284.53</v>
      </c>
      <c r="K124" s="16">
        <v>0</v>
      </c>
      <c r="L124" s="16">
        <v>0</v>
      </c>
      <c r="M124" s="16">
        <v>0</v>
      </c>
      <c r="N124" s="18">
        <f t="shared" si="3"/>
        <v>6001077776</v>
      </c>
      <c r="O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1626302331.7399998</v>
      </c>
      <c r="C125" s="16">
        <v>0</v>
      </c>
      <c r="D125" s="16">
        <v>47985699.119330622</v>
      </c>
      <c r="E125" s="16">
        <v>9030054.129999999</v>
      </c>
      <c r="F125" s="16">
        <v>41931164.450000003</v>
      </c>
      <c r="G125" s="16">
        <v>21991999</v>
      </c>
      <c r="H125" s="16">
        <v>86753736.879999995</v>
      </c>
      <c r="I125" s="16">
        <v>89768862.140000001</v>
      </c>
      <c r="J125" s="16">
        <v>125462617.47</v>
      </c>
      <c r="K125" s="16">
        <v>0</v>
      </c>
      <c r="L125" s="16">
        <v>0</v>
      </c>
      <c r="M125" s="16">
        <v>0</v>
      </c>
      <c r="N125" s="18">
        <f t="shared" si="3"/>
        <v>2049226464.9293308</v>
      </c>
      <c r="O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1767299003.6899996</v>
      </c>
      <c r="C126" s="16">
        <v>0</v>
      </c>
      <c r="D126" s="16">
        <v>24607400.988257386</v>
      </c>
      <c r="E126" s="16">
        <v>10061830.25</v>
      </c>
      <c r="F126" s="16">
        <v>20991920.890000001</v>
      </c>
      <c r="G126" s="16">
        <v>8998813.7899999991</v>
      </c>
      <c r="H126" s="16">
        <v>94275086.349999994</v>
      </c>
      <c r="I126" s="16">
        <v>44940818.549999997</v>
      </c>
      <c r="J126" s="16">
        <v>86085408.159999996</v>
      </c>
      <c r="K126" s="16">
        <v>0</v>
      </c>
      <c r="L126" s="16">
        <v>0</v>
      </c>
      <c r="M126" s="16">
        <v>0</v>
      </c>
      <c r="N126" s="18">
        <f t="shared" si="3"/>
        <v>2057260282.668257</v>
      </c>
      <c r="O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1037183901.76</v>
      </c>
      <c r="C127" s="16">
        <v>0</v>
      </c>
      <c r="D127" s="16">
        <v>20021764.778075699</v>
      </c>
      <c r="E127" s="16">
        <v>5677531.6699999999</v>
      </c>
      <c r="F127" s="16">
        <v>22282515.780000001</v>
      </c>
      <c r="G127" s="16">
        <v>12855448.27</v>
      </c>
      <c r="H127" s="16">
        <v>55327707.25</v>
      </c>
      <c r="I127" s="16">
        <v>47703804.880000003</v>
      </c>
      <c r="J127" s="16">
        <v>95449238.219999999</v>
      </c>
      <c r="K127" s="16">
        <v>0</v>
      </c>
      <c r="L127" s="16">
        <v>0</v>
      </c>
      <c r="M127" s="16">
        <v>0</v>
      </c>
      <c r="N127" s="18">
        <f t="shared" si="3"/>
        <v>1296501912.6080759</v>
      </c>
      <c r="O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449303765.95000005</v>
      </c>
      <c r="C128" s="16">
        <v>0</v>
      </c>
      <c r="D128" s="16">
        <v>6443869.1483923821</v>
      </c>
      <c r="E128" s="16">
        <v>2653251.3899999997</v>
      </c>
      <c r="F128" s="16">
        <v>2038613.14</v>
      </c>
      <c r="G128" s="16">
        <v>1538062.56</v>
      </c>
      <c r="H128" s="16">
        <v>23967733.390000001</v>
      </c>
      <c r="I128" s="16">
        <v>4364390.66</v>
      </c>
      <c r="J128" s="16">
        <v>20512543.23</v>
      </c>
      <c r="K128" s="16">
        <v>0</v>
      </c>
      <c r="L128" s="16">
        <v>0</v>
      </c>
      <c r="M128" s="16">
        <v>0</v>
      </c>
      <c r="N128" s="18">
        <f t="shared" si="3"/>
        <v>510822229.46839243</v>
      </c>
      <c r="O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2965235997.4099998</v>
      </c>
      <c r="C129" s="16">
        <v>0</v>
      </c>
      <c r="D129" s="16">
        <v>108733168.04696552</v>
      </c>
      <c r="E129" s="16">
        <v>16533995.32</v>
      </c>
      <c r="F129" s="16">
        <v>25927787.870000001</v>
      </c>
      <c r="G129" s="16">
        <v>19076566.98</v>
      </c>
      <c r="H129" s="16">
        <v>158178032.75</v>
      </c>
      <c r="I129" s="16">
        <v>55507831.590000004</v>
      </c>
      <c r="J129" s="16">
        <v>128527101.09</v>
      </c>
      <c r="K129" s="16">
        <v>0</v>
      </c>
      <c r="L129" s="16">
        <v>0</v>
      </c>
      <c r="M129" s="16">
        <v>0</v>
      </c>
      <c r="N129" s="18">
        <f t="shared" si="3"/>
        <v>3477720481.0569658</v>
      </c>
      <c r="O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775087692.99999988</v>
      </c>
      <c r="C130" s="16">
        <v>0</v>
      </c>
      <c r="D130" s="16">
        <v>12122591.498720853</v>
      </c>
      <c r="E130" s="16">
        <v>4470819.37</v>
      </c>
      <c r="F130" s="16">
        <v>3208050.14</v>
      </c>
      <c r="G130" s="16">
        <v>1423281.77</v>
      </c>
      <c r="H130" s="16">
        <v>41346404.340000004</v>
      </c>
      <c r="I130" s="16">
        <v>6867994.5999999996</v>
      </c>
      <c r="J130" s="16">
        <v>35325287.460000001</v>
      </c>
      <c r="K130" s="16">
        <v>0</v>
      </c>
      <c r="L130" s="16">
        <v>0</v>
      </c>
      <c r="M130" s="16">
        <v>0</v>
      </c>
      <c r="N130" s="18">
        <f t="shared" si="3"/>
        <v>879852122.17872083</v>
      </c>
      <c r="O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5027783720.8600006</v>
      </c>
      <c r="C131" s="16">
        <v>0</v>
      </c>
      <c r="D131" s="16">
        <v>122494611.05500002</v>
      </c>
      <c r="E131" s="16">
        <v>28081993.699999999</v>
      </c>
      <c r="F131" s="16">
        <v>141654641.13</v>
      </c>
      <c r="G131" s="16">
        <v>16061896.605513517</v>
      </c>
      <c r="H131" s="16">
        <v>268202914.96000001</v>
      </c>
      <c r="I131" s="16">
        <v>303263124.60000002</v>
      </c>
      <c r="J131" s="16">
        <v>277551376.16000003</v>
      </c>
      <c r="K131" s="16">
        <v>0</v>
      </c>
      <c r="L131" s="16">
        <v>0</v>
      </c>
      <c r="M131" s="16">
        <v>0</v>
      </c>
      <c r="N131" s="18">
        <f t="shared" si="3"/>
        <v>6185094279.0705147</v>
      </c>
      <c r="O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187432701.53</v>
      </c>
      <c r="C132" s="16">
        <v>0</v>
      </c>
      <c r="D132" s="16">
        <v>837567.83170547488</v>
      </c>
      <c r="E132" s="16">
        <v>1106771.33</v>
      </c>
      <c r="F132" s="16">
        <v>605789.43000000005</v>
      </c>
      <c r="G132" s="16">
        <v>344342.36</v>
      </c>
      <c r="H132" s="16">
        <v>9998440.6099999994</v>
      </c>
      <c r="I132" s="16">
        <v>1296911.95</v>
      </c>
      <c r="J132" s="16">
        <v>9966597.6999999993</v>
      </c>
      <c r="K132" s="16">
        <v>0</v>
      </c>
      <c r="L132" s="16">
        <v>0</v>
      </c>
      <c r="M132" s="16">
        <v>0</v>
      </c>
      <c r="N132" s="18">
        <f t="shared" si="3"/>
        <v>211589122.74170548</v>
      </c>
      <c r="O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1261202566.1900001</v>
      </c>
      <c r="C133" s="16">
        <v>0</v>
      </c>
      <c r="D133" s="16">
        <v>9865937.5086241141</v>
      </c>
      <c r="E133" s="16">
        <v>6931609.3700000001</v>
      </c>
      <c r="F133" s="16">
        <v>2191377.4300000002</v>
      </c>
      <c r="G133" s="16">
        <v>1951273.4</v>
      </c>
      <c r="H133" s="16">
        <v>67277795.430000007</v>
      </c>
      <c r="I133" s="16">
        <v>4691438.0199999996</v>
      </c>
      <c r="J133" s="16">
        <v>36765167.350000001</v>
      </c>
      <c r="K133" s="16">
        <v>0</v>
      </c>
      <c r="L133" s="16">
        <v>0</v>
      </c>
      <c r="M133" s="16">
        <v>0</v>
      </c>
      <c r="N133" s="18">
        <f t="shared" si="3"/>
        <v>1390877164.6986241</v>
      </c>
      <c r="O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2174163052.8800001</v>
      </c>
      <c r="C134" s="16">
        <v>0</v>
      </c>
      <c r="D134" s="16">
        <v>39575202.190193474</v>
      </c>
      <c r="E134" s="16">
        <v>11974918.449999999</v>
      </c>
      <c r="F134" s="16">
        <v>10224672.130000001</v>
      </c>
      <c r="G134" s="16">
        <v>6450680.29</v>
      </c>
      <c r="H134" s="16">
        <v>115978908.56</v>
      </c>
      <c r="I134" s="16">
        <v>21889618.27</v>
      </c>
      <c r="J134" s="16">
        <v>83028682.359999999</v>
      </c>
      <c r="K134" s="16">
        <v>0</v>
      </c>
      <c r="L134" s="16">
        <v>0</v>
      </c>
      <c r="M134" s="16">
        <v>0</v>
      </c>
      <c r="N134" s="18">
        <f t="shared" si="3"/>
        <v>2463285735.1301937</v>
      </c>
      <c r="O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1813059600.2099998</v>
      </c>
      <c r="C135" s="16">
        <v>0</v>
      </c>
      <c r="D135" s="16">
        <v>57468556.819851369</v>
      </c>
      <c r="E135" s="16">
        <v>12054300.68</v>
      </c>
      <c r="F135" s="16">
        <v>15392319.41</v>
      </c>
      <c r="G135" s="16">
        <v>8172392.1100000003</v>
      </c>
      <c r="H135" s="16">
        <v>96716147.069999993</v>
      </c>
      <c r="I135" s="16">
        <v>32952841.100000001</v>
      </c>
      <c r="J135" s="16">
        <v>85598861.379999995</v>
      </c>
      <c r="K135" s="16">
        <v>0</v>
      </c>
      <c r="L135" s="16">
        <v>0</v>
      </c>
      <c r="M135" s="16">
        <v>0</v>
      </c>
      <c r="N135" s="18">
        <f t="shared" si="3"/>
        <v>2121415018.779851</v>
      </c>
      <c r="O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2820946588.8099999</v>
      </c>
      <c r="C136" s="16">
        <v>0</v>
      </c>
      <c r="D136" s="16">
        <v>69914095.640000001</v>
      </c>
      <c r="E136" s="16">
        <v>19448209.719999999</v>
      </c>
      <c r="F136" s="16">
        <v>91579559.549999997</v>
      </c>
      <c r="G136" s="16">
        <v>58889432.243556887</v>
      </c>
      <c r="H136" s="16">
        <v>150481035</v>
      </c>
      <c r="I136" s="16">
        <v>196059254.81</v>
      </c>
      <c r="J136" s="16">
        <v>194612274.61000001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3601930450.3835568</v>
      </c>
      <c r="O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441564427.67000002</v>
      </c>
      <c r="C137" s="16">
        <v>0</v>
      </c>
      <c r="D137" s="16">
        <v>7796659.5356275085</v>
      </c>
      <c r="E137" s="16">
        <v>2558678.48</v>
      </c>
      <c r="F137" s="16">
        <v>1095688.71</v>
      </c>
      <c r="G137" s="16">
        <v>1193720.2</v>
      </c>
      <c r="H137" s="16">
        <v>23554884.859999999</v>
      </c>
      <c r="I137" s="16">
        <v>2345719.0099999998</v>
      </c>
      <c r="J137" s="16">
        <v>19091106.460000001</v>
      </c>
      <c r="K137" s="16">
        <v>0</v>
      </c>
      <c r="L137" s="16">
        <v>0</v>
      </c>
      <c r="M137" s="16">
        <v>0</v>
      </c>
      <c r="N137" s="18">
        <f t="shared" si="4"/>
        <v>499200884.92562747</v>
      </c>
      <c r="O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1314280355.2600002</v>
      </c>
      <c r="C138" s="16">
        <v>0</v>
      </c>
      <c r="D138" s="16">
        <v>31621813.069354206</v>
      </c>
      <c r="E138" s="16">
        <v>7223853.8499999996</v>
      </c>
      <c r="F138" s="16">
        <v>9539866.6799999997</v>
      </c>
      <c r="G138" s="16">
        <v>4660100</v>
      </c>
      <c r="H138" s="16">
        <v>70109185.670000002</v>
      </c>
      <c r="I138" s="16">
        <v>20423543.890000001</v>
      </c>
      <c r="J138" s="16">
        <v>69367461.469999999</v>
      </c>
      <c r="K138" s="16">
        <v>0</v>
      </c>
      <c r="L138" s="16">
        <v>0</v>
      </c>
      <c r="M138" s="16">
        <v>0</v>
      </c>
      <c r="N138" s="18">
        <f t="shared" si="4"/>
        <v>1527226179.8893547</v>
      </c>
      <c r="O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4472352519.6799994</v>
      </c>
      <c r="C139" s="16">
        <v>0</v>
      </c>
      <c r="D139" s="16">
        <v>94051101.695000008</v>
      </c>
      <c r="E139" s="16">
        <v>25397481.140000001</v>
      </c>
      <c r="F139" s="16">
        <v>49063676.600000001</v>
      </c>
      <c r="G139" s="16">
        <v>54382028.247207023</v>
      </c>
      <c r="H139" s="16">
        <v>238573902.37</v>
      </c>
      <c r="I139" s="16">
        <v>105038590.67</v>
      </c>
      <c r="J139" s="16">
        <v>123859530.7</v>
      </c>
      <c r="K139" s="16">
        <v>0</v>
      </c>
      <c r="L139" s="16">
        <v>0</v>
      </c>
      <c r="M139" s="16">
        <v>0</v>
      </c>
      <c r="N139" s="18">
        <f t="shared" si="4"/>
        <v>5162718831.1022062</v>
      </c>
      <c r="O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1340650391.53</v>
      </c>
      <c r="C140" s="16">
        <v>0</v>
      </c>
      <c r="D140" s="16">
        <v>34532762.019999996</v>
      </c>
      <c r="E140" s="16">
        <v>7486258.1200000001</v>
      </c>
      <c r="F140" s="16">
        <v>8091239.7699999996</v>
      </c>
      <c r="G140" s="16">
        <v>4912617.7300000004</v>
      </c>
      <c r="H140" s="16">
        <v>71515873.180000007</v>
      </c>
      <c r="I140" s="16">
        <v>17322232.690000001</v>
      </c>
      <c r="J140" s="16">
        <v>31308202.609999999</v>
      </c>
      <c r="K140" s="16">
        <v>0</v>
      </c>
      <c r="L140" s="16">
        <v>0</v>
      </c>
      <c r="M140" s="16">
        <v>0</v>
      </c>
      <c r="N140" s="18">
        <f t="shared" si="4"/>
        <v>1515819577.6499999</v>
      </c>
      <c r="O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1514518143.9099998</v>
      </c>
      <c r="C141" s="16">
        <v>0</v>
      </c>
      <c r="D141" s="16">
        <v>11410339.32100964</v>
      </c>
      <c r="E141" s="16">
        <v>8677497.7300000004</v>
      </c>
      <c r="F141" s="16">
        <v>11668031.310000001</v>
      </c>
      <c r="G141" s="16">
        <v>4292801.47</v>
      </c>
      <c r="H141" s="16">
        <v>80790702.930000007</v>
      </c>
      <c r="I141" s="16">
        <v>24979651.969999999</v>
      </c>
      <c r="J141" s="16">
        <v>87071236.269999996</v>
      </c>
      <c r="K141" s="16">
        <v>0</v>
      </c>
      <c r="L141" s="16">
        <v>0</v>
      </c>
      <c r="M141" s="16">
        <v>0</v>
      </c>
      <c r="N141" s="18">
        <f t="shared" si="4"/>
        <v>1743408404.9110096</v>
      </c>
      <c r="O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1539340312.5</v>
      </c>
      <c r="C142" s="16">
        <v>0</v>
      </c>
      <c r="D142" s="16">
        <v>31175344.999329507</v>
      </c>
      <c r="E142" s="16">
        <v>10322650.25</v>
      </c>
      <c r="F142" s="16">
        <v>50164633.049999997</v>
      </c>
      <c r="G142" s="16">
        <v>17331899</v>
      </c>
      <c r="H142" s="16">
        <v>82114820.739999995</v>
      </c>
      <c r="I142" s="16">
        <v>107395587.20999999</v>
      </c>
      <c r="J142" s="16">
        <v>118029312.56</v>
      </c>
      <c r="K142" s="16">
        <v>0</v>
      </c>
      <c r="L142" s="16">
        <v>0</v>
      </c>
      <c r="M142" s="16">
        <v>0</v>
      </c>
      <c r="N142" s="18">
        <f t="shared" si="4"/>
        <v>1955874560.3093295</v>
      </c>
      <c r="O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L143" si="5">SUM(B8:B142)</f>
        <v>281430482937.19019</v>
      </c>
      <c r="C143" s="23">
        <f t="shared" si="5"/>
        <v>0</v>
      </c>
      <c r="D143" s="23">
        <f t="shared" si="5"/>
        <v>5516735287.7714701</v>
      </c>
      <c r="E143" s="23">
        <f t="shared" si="5"/>
        <v>1762595890.7600007</v>
      </c>
      <c r="F143" s="23">
        <f t="shared" si="5"/>
        <v>5267734228.1900024</v>
      </c>
      <c r="G143" s="23">
        <f t="shared" si="5"/>
        <v>2295615761.6599998</v>
      </c>
      <c r="H143" s="23">
        <f t="shared" si="5"/>
        <v>15012673590.569992</v>
      </c>
      <c r="I143" s="23">
        <f t="shared" si="5"/>
        <v>11277495243.859999</v>
      </c>
      <c r="J143" s="23">
        <f t="shared" si="5"/>
        <v>14637388316.290001</v>
      </c>
      <c r="K143" s="23">
        <f t="shared" si="5"/>
        <v>0</v>
      </c>
      <c r="L143" s="23">
        <f t="shared" si="5"/>
        <v>0</v>
      </c>
      <c r="M143" s="23">
        <f>SUM(M8:M142)</f>
        <v>0</v>
      </c>
      <c r="N143" s="23">
        <f>SUM(N8:N142)</f>
        <v>337200721256.29132</v>
      </c>
      <c r="O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44AEAC"/>
  </sheetPr>
  <dimension ref="A1:W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8" width="22.33203125" style="1" customWidth="1"/>
    <col min="9" max="9" width="23" style="1" customWidth="1"/>
    <col min="10" max="10" width="22.33203125" style="1" customWidth="1"/>
    <col min="11" max="13" width="22.33203125" style="1" hidden="1" customWidth="1"/>
    <col min="14" max="14" width="23.83203125" style="1" customWidth="1"/>
    <col min="15" max="16384" width="12" style="1"/>
  </cols>
  <sheetData>
    <row r="1" spans="1:23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3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3" ht="17.25" customHeight="1" x14ac:dyDescent="0.25">
      <c r="A4" s="21" t="s">
        <v>169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3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3" ht="18.75" customHeight="1" x14ac:dyDescent="0.2">
      <c r="A6" s="33" t="s">
        <v>2</v>
      </c>
      <c r="B6" s="34" t="s">
        <v>168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3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7" t="s">
        <v>151</v>
      </c>
      <c r="L7" s="19"/>
      <c r="M7" s="19" t="s">
        <v>142</v>
      </c>
      <c r="N7" s="20" t="s">
        <v>140</v>
      </c>
    </row>
    <row r="8" spans="1:23" ht="18" customHeight="1" x14ac:dyDescent="0.2">
      <c r="A8" s="17" t="s">
        <v>3</v>
      </c>
      <c r="B8" s="16">
        <v>1071090728.54</v>
      </c>
      <c r="C8" s="16">
        <v>0</v>
      </c>
      <c r="D8" s="16">
        <v>22338043.040559173</v>
      </c>
      <c r="E8" s="16">
        <v>10588160.25</v>
      </c>
      <c r="F8" s="16">
        <v>3064489.53</v>
      </c>
      <c r="G8" s="16">
        <v>1950772.89</v>
      </c>
      <c r="H8" s="16">
        <v>61811056.310000002</v>
      </c>
      <c r="I8" s="16">
        <v>8532523.6799999997</v>
      </c>
      <c r="J8" s="16">
        <v>184248418.09</v>
      </c>
      <c r="K8" s="16">
        <v>0</v>
      </c>
      <c r="L8" s="16">
        <v>0</v>
      </c>
      <c r="M8" s="16">
        <v>0</v>
      </c>
      <c r="N8" s="18">
        <f t="shared" ref="N8:N39" si="0">SUM(B8:M8)</f>
        <v>1363624192.3305593</v>
      </c>
      <c r="O8" s="10"/>
      <c r="P8" s="10"/>
      <c r="Q8" s="4"/>
      <c r="R8" s="4"/>
      <c r="S8" s="4"/>
      <c r="T8" s="4"/>
      <c r="U8" s="4"/>
      <c r="V8" s="4"/>
      <c r="W8" s="4"/>
    </row>
    <row r="9" spans="1:23" ht="18" customHeight="1" x14ac:dyDescent="0.2">
      <c r="A9" s="17" t="s">
        <v>4</v>
      </c>
      <c r="B9" s="16">
        <v>594064898.29999995</v>
      </c>
      <c r="C9" s="16">
        <v>0</v>
      </c>
      <c r="D9" s="16">
        <v>21821571.555279791</v>
      </c>
      <c r="E9" s="16">
        <v>5595691.3399999999</v>
      </c>
      <c r="F9" s="16">
        <v>2147046.08</v>
      </c>
      <c r="G9" s="16">
        <v>1443571.94</v>
      </c>
      <c r="H9" s="16">
        <v>34282603.619999997</v>
      </c>
      <c r="I9" s="16">
        <v>5978066.2800000003</v>
      </c>
      <c r="J9" s="16">
        <v>139724995.81</v>
      </c>
      <c r="K9" s="16">
        <v>0</v>
      </c>
      <c r="L9" s="16">
        <v>0</v>
      </c>
      <c r="M9" s="16">
        <v>0</v>
      </c>
      <c r="N9" s="18">
        <f t="shared" si="0"/>
        <v>805058444.92527986</v>
      </c>
      <c r="P9" s="10"/>
      <c r="Q9" s="4"/>
      <c r="R9" s="4"/>
      <c r="S9" s="4"/>
      <c r="T9" s="4"/>
      <c r="U9" s="4"/>
      <c r="V9" s="4"/>
      <c r="W9" s="4"/>
    </row>
    <row r="10" spans="1:23" ht="18" customHeight="1" x14ac:dyDescent="0.2">
      <c r="A10" s="17" t="s">
        <v>5</v>
      </c>
      <c r="B10" s="16">
        <v>633745784.86000001</v>
      </c>
      <c r="C10" s="16">
        <v>0</v>
      </c>
      <c r="D10" s="16">
        <v>14385459.116761308</v>
      </c>
      <c r="E10" s="16">
        <v>6094551.71</v>
      </c>
      <c r="F10" s="16">
        <v>1499886.8</v>
      </c>
      <c r="G10" s="16">
        <v>1443571.94</v>
      </c>
      <c r="H10" s="16">
        <v>36572528.689999998</v>
      </c>
      <c r="I10" s="16">
        <v>4176166.87</v>
      </c>
      <c r="J10" s="16">
        <v>82581217.310000017</v>
      </c>
      <c r="K10" s="16">
        <v>0</v>
      </c>
      <c r="L10" s="16">
        <v>0</v>
      </c>
      <c r="M10" s="16">
        <v>0</v>
      </c>
      <c r="N10" s="18">
        <f t="shared" si="0"/>
        <v>780499167.29676151</v>
      </c>
      <c r="P10" s="10"/>
      <c r="Q10" s="4"/>
      <c r="R10" s="4"/>
      <c r="S10" s="4"/>
      <c r="T10" s="4"/>
      <c r="U10" s="4"/>
      <c r="V10" s="4"/>
      <c r="W10" s="4"/>
    </row>
    <row r="11" spans="1:23" ht="18" customHeight="1" x14ac:dyDescent="0.2">
      <c r="A11" s="17" t="s">
        <v>6</v>
      </c>
      <c r="B11" s="16">
        <v>4911878018.3599997</v>
      </c>
      <c r="C11" s="16">
        <v>0</v>
      </c>
      <c r="D11" s="16">
        <v>87265574.863331586</v>
      </c>
      <c r="E11" s="16">
        <v>79223970.730000004</v>
      </c>
      <c r="F11" s="16">
        <v>160990388.34</v>
      </c>
      <c r="G11" s="16">
        <v>120206376.47105648</v>
      </c>
      <c r="H11" s="16">
        <v>283457190.58999997</v>
      </c>
      <c r="I11" s="16">
        <v>448248976.86000001</v>
      </c>
      <c r="J11" s="16">
        <v>1553694950.7700005</v>
      </c>
      <c r="K11" s="16">
        <v>0</v>
      </c>
      <c r="L11" s="16">
        <v>0</v>
      </c>
      <c r="M11" s="16">
        <v>0</v>
      </c>
      <c r="N11" s="18">
        <f t="shared" si="0"/>
        <v>7644965446.9843884</v>
      </c>
      <c r="P11" s="10"/>
      <c r="Q11" s="4"/>
      <c r="R11" s="4"/>
      <c r="S11" s="4"/>
      <c r="T11" s="4"/>
      <c r="U11" s="4"/>
      <c r="V11" s="4"/>
      <c r="W11" s="4"/>
    </row>
    <row r="12" spans="1:23" ht="18" customHeight="1" x14ac:dyDescent="0.2">
      <c r="A12" s="17" t="s">
        <v>7</v>
      </c>
      <c r="B12" s="16">
        <v>647037904.49000001</v>
      </c>
      <c r="C12" s="16">
        <v>0</v>
      </c>
      <c r="D12" s="16">
        <v>24352709.444304176</v>
      </c>
      <c r="E12" s="16">
        <v>6337821.6299999999</v>
      </c>
      <c r="F12" s="16">
        <v>5504660.71</v>
      </c>
      <c r="G12" s="16">
        <v>3589422.12</v>
      </c>
      <c r="H12" s="16">
        <v>37339597.189999998</v>
      </c>
      <c r="I12" s="16">
        <v>15326744.4</v>
      </c>
      <c r="J12" s="16">
        <v>167524909.19</v>
      </c>
      <c r="K12" s="16">
        <v>0</v>
      </c>
      <c r="L12" s="16">
        <v>0</v>
      </c>
      <c r="M12" s="16">
        <v>0</v>
      </c>
      <c r="N12" s="18">
        <f t="shared" si="0"/>
        <v>907013769.17430425</v>
      </c>
      <c r="P12" s="10"/>
      <c r="Q12" s="4"/>
      <c r="R12" s="4"/>
      <c r="S12" s="4"/>
      <c r="T12" s="4"/>
      <c r="U12" s="4"/>
      <c r="V12" s="4"/>
      <c r="W12" s="4"/>
    </row>
    <row r="13" spans="1:23" ht="18" customHeight="1" x14ac:dyDescent="0.2">
      <c r="A13" s="17" t="s">
        <v>8</v>
      </c>
      <c r="B13" s="16">
        <v>2916936106.9200001</v>
      </c>
      <c r="C13" s="16">
        <v>0</v>
      </c>
      <c r="D13" s="16">
        <v>71530190.393814862</v>
      </c>
      <c r="E13" s="16">
        <v>48484112.109999999</v>
      </c>
      <c r="F13" s="16">
        <v>78287238.969999999</v>
      </c>
      <c r="G13" s="16">
        <v>0</v>
      </c>
      <c r="H13" s="16">
        <v>168332053.63</v>
      </c>
      <c r="I13" s="16">
        <v>217976831.62</v>
      </c>
      <c r="J13" s="16">
        <v>1155284562.1000001</v>
      </c>
      <c r="K13" s="16">
        <v>0</v>
      </c>
      <c r="L13" s="16">
        <v>0</v>
      </c>
      <c r="M13" s="16">
        <v>0</v>
      </c>
      <c r="N13" s="18">
        <f t="shared" si="0"/>
        <v>4656831095.7438154</v>
      </c>
      <c r="P13" s="10"/>
      <c r="Q13" s="4"/>
      <c r="R13" s="4"/>
      <c r="S13" s="4"/>
      <c r="T13" s="4"/>
      <c r="U13" s="4"/>
      <c r="V13" s="4"/>
      <c r="W13" s="4"/>
    </row>
    <row r="14" spans="1:23" ht="18" customHeight="1" x14ac:dyDescent="0.2">
      <c r="A14" s="17" t="s">
        <v>9</v>
      </c>
      <c r="B14" s="16">
        <v>1059460123.8600001</v>
      </c>
      <c r="C14" s="16">
        <v>0</v>
      </c>
      <c r="D14" s="16">
        <v>31733179.941899318</v>
      </c>
      <c r="E14" s="16">
        <v>10180616.710000001</v>
      </c>
      <c r="F14" s="16">
        <v>3563182.86</v>
      </c>
      <c r="G14" s="16">
        <v>2438466.12</v>
      </c>
      <c r="H14" s="16">
        <v>61139871.380000003</v>
      </c>
      <c r="I14" s="16">
        <v>9921046.1699999999</v>
      </c>
      <c r="J14" s="16">
        <v>248011223.56</v>
      </c>
      <c r="K14" s="16">
        <v>0</v>
      </c>
      <c r="L14" s="16">
        <v>0</v>
      </c>
      <c r="M14" s="16">
        <v>0</v>
      </c>
      <c r="N14" s="18">
        <f t="shared" si="0"/>
        <v>1426447710.6018994</v>
      </c>
      <c r="P14" s="10"/>
      <c r="Q14" s="4"/>
      <c r="R14" s="4"/>
      <c r="S14" s="4"/>
      <c r="T14" s="4"/>
      <c r="U14" s="4"/>
      <c r="V14" s="4"/>
      <c r="W14" s="4"/>
    </row>
    <row r="15" spans="1:23" ht="18" customHeight="1" x14ac:dyDescent="0.2">
      <c r="A15" s="17" t="s">
        <v>10</v>
      </c>
      <c r="B15" s="16">
        <v>1792750201.8399999</v>
      </c>
      <c r="C15" s="16">
        <v>0</v>
      </c>
      <c r="D15" s="16">
        <v>50090543.087991968</v>
      </c>
      <c r="E15" s="16">
        <v>17730922.689999998</v>
      </c>
      <c r="F15" s="16">
        <v>13274378.91</v>
      </c>
      <c r="G15" s="16">
        <v>8446846.6199999992</v>
      </c>
      <c r="H15" s="16">
        <v>103456953.48</v>
      </c>
      <c r="I15" s="16">
        <v>36960136.729999997</v>
      </c>
      <c r="J15" s="16">
        <v>395705399.18000007</v>
      </c>
      <c r="K15" s="16">
        <v>0</v>
      </c>
      <c r="L15" s="16">
        <v>0</v>
      </c>
      <c r="M15" s="16">
        <v>0</v>
      </c>
      <c r="N15" s="18">
        <f t="shared" si="0"/>
        <v>2418415382.537992</v>
      </c>
      <c r="P15" s="10"/>
      <c r="Q15" s="4"/>
      <c r="R15" s="4"/>
      <c r="S15" s="4"/>
      <c r="T15" s="4"/>
      <c r="U15" s="4"/>
      <c r="V15" s="4"/>
      <c r="W15" s="4"/>
    </row>
    <row r="16" spans="1:23" ht="18" customHeight="1" x14ac:dyDescent="0.2">
      <c r="A16" s="17" t="s">
        <v>11</v>
      </c>
      <c r="B16" s="16">
        <v>3249532306.3400002</v>
      </c>
      <c r="C16" s="16">
        <v>0</v>
      </c>
      <c r="D16" s="16">
        <v>120455518.39800596</v>
      </c>
      <c r="E16" s="16">
        <v>51533759.879999995</v>
      </c>
      <c r="F16" s="16">
        <v>49507685.039999999</v>
      </c>
      <c r="G16" s="16">
        <v>37474347.259999998</v>
      </c>
      <c r="H16" s="16">
        <v>187525686.68000001</v>
      </c>
      <c r="I16" s="16">
        <v>137845304.90000001</v>
      </c>
      <c r="J16" s="16">
        <v>982983180.25999999</v>
      </c>
      <c r="K16" s="16">
        <v>0</v>
      </c>
      <c r="L16" s="16">
        <v>0</v>
      </c>
      <c r="M16" s="16">
        <v>0</v>
      </c>
      <c r="N16" s="18">
        <f t="shared" si="0"/>
        <v>4816857788.7580061</v>
      </c>
      <c r="P16" s="10"/>
      <c r="Q16" s="4"/>
      <c r="R16" s="4"/>
      <c r="S16" s="4"/>
      <c r="T16" s="4"/>
      <c r="U16" s="4"/>
      <c r="V16" s="4"/>
      <c r="W16" s="4"/>
    </row>
    <row r="17" spans="1:23" ht="15" x14ac:dyDescent="0.2">
      <c r="A17" s="17" t="s">
        <v>12</v>
      </c>
      <c r="B17" s="16">
        <v>1258035594.98</v>
      </c>
      <c r="C17" s="16">
        <v>0</v>
      </c>
      <c r="D17" s="16">
        <v>44737064.34248095</v>
      </c>
      <c r="E17" s="16">
        <v>12019515.060000001</v>
      </c>
      <c r="F17" s="16">
        <v>10168014.35</v>
      </c>
      <c r="G17" s="16">
        <v>5462164.0999999996</v>
      </c>
      <c r="H17" s="16">
        <v>72599367.109999999</v>
      </c>
      <c r="I17" s="16">
        <v>28311019.559999999</v>
      </c>
      <c r="J17" s="16">
        <v>266444379.45000005</v>
      </c>
      <c r="K17" s="16">
        <v>0</v>
      </c>
      <c r="L17" s="16">
        <v>0</v>
      </c>
      <c r="M17" s="16">
        <v>0</v>
      </c>
      <c r="N17" s="18">
        <f t="shared" si="0"/>
        <v>1697777118.9524806</v>
      </c>
      <c r="P17" s="10"/>
      <c r="Q17" s="4"/>
      <c r="R17" s="4"/>
      <c r="S17" s="4"/>
      <c r="T17" s="4"/>
      <c r="U17" s="4"/>
      <c r="V17" s="4"/>
      <c r="W17" s="4"/>
    </row>
    <row r="18" spans="1:23" ht="15" x14ac:dyDescent="0.2">
      <c r="A18" s="17" t="s">
        <v>13</v>
      </c>
      <c r="B18" s="16">
        <v>706363761.9799999</v>
      </c>
      <c r="C18" s="16">
        <v>0</v>
      </c>
      <c r="D18" s="16">
        <v>21586810.514917698</v>
      </c>
      <c r="E18" s="16">
        <v>6759618.3399999999</v>
      </c>
      <c r="F18" s="16">
        <v>6852274.7400000002</v>
      </c>
      <c r="G18" s="16">
        <v>4447762.1900000004</v>
      </c>
      <c r="H18" s="16">
        <v>40763204.380000003</v>
      </c>
      <c r="I18" s="16">
        <v>19078934.93</v>
      </c>
      <c r="J18" s="16">
        <v>217225282.98000005</v>
      </c>
      <c r="K18" s="16">
        <v>0</v>
      </c>
      <c r="L18" s="16">
        <v>0</v>
      </c>
      <c r="M18" s="16">
        <v>0</v>
      </c>
      <c r="N18" s="18">
        <f t="shared" si="0"/>
        <v>1023077650.0549177</v>
      </c>
      <c r="P18" s="10"/>
      <c r="Q18" s="4"/>
      <c r="R18" s="4"/>
      <c r="S18" s="4"/>
      <c r="T18" s="4"/>
      <c r="U18" s="4"/>
      <c r="V18" s="4"/>
      <c r="W18" s="4"/>
    </row>
    <row r="19" spans="1:23" ht="15" x14ac:dyDescent="0.2">
      <c r="A19" s="17" t="s">
        <v>14</v>
      </c>
      <c r="B19" s="16">
        <v>1138479820.3900001</v>
      </c>
      <c r="C19" s="16">
        <v>0</v>
      </c>
      <c r="D19" s="16">
        <v>26252883.039219029</v>
      </c>
      <c r="E19" s="16">
        <v>11363628.43</v>
      </c>
      <c r="F19" s="16">
        <v>2767557.63</v>
      </c>
      <c r="G19" s="16">
        <v>2477481.5699999998</v>
      </c>
      <c r="H19" s="16">
        <v>65699980.789999999</v>
      </c>
      <c r="I19" s="16">
        <v>7705769.8300000001</v>
      </c>
      <c r="J19" s="16">
        <v>188993273.90000004</v>
      </c>
      <c r="K19" s="16">
        <v>0</v>
      </c>
      <c r="L19" s="16">
        <v>0</v>
      </c>
      <c r="M19" s="16">
        <v>0</v>
      </c>
      <c r="N19" s="18">
        <f t="shared" si="0"/>
        <v>1443740395.5792193</v>
      </c>
      <c r="P19" s="10"/>
      <c r="Q19" s="4"/>
      <c r="R19" s="4"/>
      <c r="S19" s="4"/>
      <c r="T19" s="4"/>
      <c r="U19" s="4"/>
      <c r="V19" s="4"/>
      <c r="W19" s="4"/>
    </row>
    <row r="20" spans="1:23" ht="15" x14ac:dyDescent="0.2">
      <c r="A20" s="17" t="s">
        <v>15</v>
      </c>
      <c r="B20" s="16">
        <v>4077773077.1499996</v>
      </c>
      <c r="C20" s="16">
        <v>0</v>
      </c>
      <c r="D20" s="16">
        <v>53205861.173400842</v>
      </c>
      <c r="E20" s="16">
        <v>64756805.590000004</v>
      </c>
      <c r="F20" s="16">
        <v>88333435.109999999</v>
      </c>
      <c r="G20" s="16">
        <v>60069550.146513201</v>
      </c>
      <c r="H20" s="16">
        <v>235322232.34999999</v>
      </c>
      <c r="I20" s="16">
        <v>245948670.11000001</v>
      </c>
      <c r="J20" s="16">
        <v>1074694615</v>
      </c>
      <c r="K20" s="16">
        <v>0</v>
      </c>
      <c r="L20" s="16">
        <v>0</v>
      </c>
      <c r="M20" s="16">
        <v>0</v>
      </c>
      <c r="N20" s="18">
        <f t="shared" si="0"/>
        <v>5900104246.6299143</v>
      </c>
      <c r="P20" s="10"/>
      <c r="Q20" s="4"/>
      <c r="R20" s="4"/>
      <c r="S20" s="4"/>
      <c r="T20" s="4"/>
      <c r="U20" s="4"/>
      <c r="V20" s="4"/>
      <c r="W20" s="4"/>
    </row>
    <row r="21" spans="1:23" ht="15" x14ac:dyDescent="0.2">
      <c r="A21" s="17" t="s">
        <v>16</v>
      </c>
      <c r="B21" s="16">
        <v>1769928805.2399998</v>
      </c>
      <c r="C21" s="16">
        <v>0</v>
      </c>
      <c r="D21" s="16">
        <v>20407383.146862697</v>
      </c>
      <c r="E21" s="16">
        <v>17483787.5</v>
      </c>
      <c r="F21" s="16">
        <v>23488075.100000001</v>
      </c>
      <c r="G21" s="16">
        <v>7881802.3031217381</v>
      </c>
      <c r="H21" s="16">
        <v>102139964.56</v>
      </c>
      <c r="I21" s="16">
        <v>65398349.189999998</v>
      </c>
      <c r="J21" s="16">
        <v>352343600.05000001</v>
      </c>
      <c r="K21" s="16">
        <v>0</v>
      </c>
      <c r="L21" s="16">
        <v>0</v>
      </c>
      <c r="M21" s="16">
        <v>0</v>
      </c>
      <c r="N21" s="18">
        <f t="shared" si="0"/>
        <v>2359071767.0899844</v>
      </c>
      <c r="P21" s="10"/>
      <c r="Q21" s="4"/>
      <c r="R21" s="4"/>
      <c r="S21" s="4"/>
      <c r="T21" s="4"/>
      <c r="U21" s="4"/>
      <c r="V21" s="4"/>
      <c r="W21" s="4"/>
    </row>
    <row r="22" spans="1:23" ht="15" x14ac:dyDescent="0.2">
      <c r="A22" s="17" t="s">
        <v>17</v>
      </c>
      <c r="B22" s="16">
        <v>1449012078.5799999</v>
      </c>
      <c r="C22" s="16">
        <v>0</v>
      </c>
      <c r="D22" s="16">
        <v>32037727.974515397</v>
      </c>
      <c r="E22" s="16">
        <v>13850924.449999999</v>
      </c>
      <c r="F22" s="16">
        <v>5592217.5499999998</v>
      </c>
      <c r="G22" s="16">
        <v>4194161.72</v>
      </c>
      <c r="H22" s="16">
        <v>83620336.540000007</v>
      </c>
      <c r="I22" s="16">
        <v>15570530.789999999</v>
      </c>
      <c r="J22" s="16">
        <v>264590700.58999997</v>
      </c>
      <c r="K22" s="16">
        <v>0</v>
      </c>
      <c r="L22" s="16">
        <v>0</v>
      </c>
      <c r="M22" s="16">
        <v>0</v>
      </c>
      <c r="N22" s="18">
        <f t="shared" si="0"/>
        <v>1868468678.1945152</v>
      </c>
      <c r="P22" s="10"/>
      <c r="Q22" s="4"/>
      <c r="R22" s="4"/>
      <c r="S22" s="4"/>
      <c r="T22" s="4"/>
      <c r="U22" s="4"/>
      <c r="V22" s="4"/>
      <c r="W22" s="4"/>
    </row>
    <row r="23" spans="1:23" ht="15" x14ac:dyDescent="0.2">
      <c r="A23" s="17" t="s">
        <v>18</v>
      </c>
      <c r="B23" s="16">
        <v>1366767088.3499999</v>
      </c>
      <c r="C23" s="16">
        <v>0</v>
      </c>
      <c r="D23" s="16">
        <v>24675877.759181079</v>
      </c>
      <c r="E23" s="16">
        <v>13306647.270000001</v>
      </c>
      <c r="F23" s="16">
        <v>5360001.57</v>
      </c>
      <c r="G23" s="16">
        <v>5169548.16</v>
      </c>
      <c r="H23" s="16">
        <v>78874100.219999999</v>
      </c>
      <c r="I23" s="16">
        <v>14923966.880000001</v>
      </c>
      <c r="J23" s="16">
        <v>218409154.96999997</v>
      </c>
      <c r="K23" s="16">
        <v>0</v>
      </c>
      <c r="L23" s="16">
        <v>0</v>
      </c>
      <c r="M23" s="16">
        <v>0</v>
      </c>
      <c r="N23" s="18">
        <f t="shared" si="0"/>
        <v>1727486385.1791811</v>
      </c>
      <c r="P23" s="10"/>
      <c r="Q23" s="4"/>
      <c r="R23" s="4"/>
      <c r="S23" s="4"/>
      <c r="T23" s="4"/>
      <c r="U23" s="4"/>
      <c r="V23" s="4"/>
      <c r="W23" s="4"/>
    </row>
    <row r="24" spans="1:23" ht="15" x14ac:dyDescent="0.2">
      <c r="A24" s="17" t="s">
        <v>19</v>
      </c>
      <c r="B24" s="16">
        <v>433679837.10000002</v>
      </c>
      <c r="C24" s="16">
        <v>0</v>
      </c>
      <c r="D24" s="16">
        <v>17778700.032813575</v>
      </c>
      <c r="E24" s="16">
        <v>4188977.59</v>
      </c>
      <c r="F24" s="16">
        <v>5573183.46</v>
      </c>
      <c r="G24" s="16">
        <v>1378590.5823035189</v>
      </c>
      <c r="H24" s="16">
        <v>25027019.77</v>
      </c>
      <c r="I24" s="16">
        <v>15517533.75</v>
      </c>
      <c r="J24" s="16">
        <v>184807566.32999998</v>
      </c>
      <c r="K24" s="16">
        <v>0</v>
      </c>
      <c r="L24" s="16">
        <v>0</v>
      </c>
      <c r="M24" s="16">
        <v>0</v>
      </c>
      <c r="N24" s="18">
        <f t="shared" si="0"/>
        <v>687951408.61511707</v>
      </c>
      <c r="P24" s="10"/>
      <c r="Q24" s="4"/>
      <c r="R24" s="4"/>
      <c r="S24" s="4"/>
      <c r="T24" s="4"/>
      <c r="U24" s="4"/>
      <c r="V24" s="4"/>
      <c r="W24" s="4"/>
    </row>
    <row r="25" spans="1:23" ht="15" x14ac:dyDescent="0.2">
      <c r="A25" s="17" t="s">
        <v>20</v>
      </c>
      <c r="B25" s="16">
        <v>1704103492.23</v>
      </c>
      <c r="C25" s="16">
        <v>0</v>
      </c>
      <c r="D25" s="16">
        <v>50334349.074605092</v>
      </c>
      <c r="E25" s="16">
        <v>17337873.859999999</v>
      </c>
      <c r="F25" s="16">
        <v>24717677.73</v>
      </c>
      <c r="G25" s="16">
        <v>12309376.949999999</v>
      </c>
      <c r="H25" s="16">
        <v>98341283.430000007</v>
      </c>
      <c r="I25" s="16">
        <v>68821958.069999993</v>
      </c>
      <c r="J25" s="16">
        <v>427219110.74999994</v>
      </c>
      <c r="K25" s="16">
        <v>0</v>
      </c>
      <c r="L25" s="16">
        <v>0</v>
      </c>
      <c r="M25" s="16">
        <v>0</v>
      </c>
      <c r="N25" s="18">
        <f t="shared" si="0"/>
        <v>2403185122.094605</v>
      </c>
      <c r="P25" s="10"/>
      <c r="Q25" s="4"/>
      <c r="R25" s="4"/>
      <c r="S25" s="4"/>
      <c r="T25" s="4"/>
      <c r="U25" s="4"/>
      <c r="V25" s="4"/>
      <c r="W25" s="4"/>
    </row>
    <row r="26" spans="1:23" ht="15" x14ac:dyDescent="0.2">
      <c r="A26" s="17" t="s">
        <v>21</v>
      </c>
      <c r="B26" s="16">
        <v>729307328.77999997</v>
      </c>
      <c r="C26" s="16">
        <v>0</v>
      </c>
      <c r="D26" s="16">
        <v>26102409.856081136</v>
      </c>
      <c r="E26" s="16">
        <v>7070047.1900000004</v>
      </c>
      <c r="F26" s="16">
        <v>11241537.4</v>
      </c>
      <c r="G26" s="16">
        <v>7861614.7599999998</v>
      </c>
      <c r="H26" s="16">
        <v>42087243.560000002</v>
      </c>
      <c r="I26" s="16">
        <v>31300052.699999999</v>
      </c>
      <c r="J26" s="16">
        <v>315236064.14999998</v>
      </c>
      <c r="K26" s="16">
        <v>0</v>
      </c>
      <c r="L26" s="16">
        <v>0</v>
      </c>
      <c r="M26" s="16">
        <v>0</v>
      </c>
      <c r="N26" s="18">
        <f t="shared" si="0"/>
        <v>1170206298.396081</v>
      </c>
      <c r="P26" s="10"/>
      <c r="Q26" s="4"/>
      <c r="R26" s="4"/>
      <c r="S26" s="4"/>
      <c r="T26" s="4"/>
      <c r="U26" s="4"/>
      <c r="V26" s="4"/>
      <c r="W26" s="4"/>
    </row>
    <row r="27" spans="1:23" ht="15" x14ac:dyDescent="0.2">
      <c r="A27" s="17" t="s">
        <v>22</v>
      </c>
      <c r="B27" s="16">
        <v>332474029.11000001</v>
      </c>
      <c r="C27" s="16">
        <v>0</v>
      </c>
      <c r="D27" s="16">
        <v>9211186.9850247391</v>
      </c>
      <c r="E27" s="16">
        <v>3460134.14</v>
      </c>
      <c r="F27" s="16">
        <v>2794205.36</v>
      </c>
      <c r="G27" s="16">
        <v>1775203.33</v>
      </c>
      <c r="H27" s="16">
        <v>19186582.789999999</v>
      </c>
      <c r="I27" s="16">
        <v>7779965.6900000004</v>
      </c>
      <c r="J27" s="16">
        <v>84474709.859999999</v>
      </c>
      <c r="K27" s="16">
        <v>0</v>
      </c>
      <c r="L27" s="16">
        <v>0</v>
      </c>
      <c r="M27" s="16">
        <v>0</v>
      </c>
      <c r="N27" s="18">
        <f t="shared" si="0"/>
        <v>461156017.26502478</v>
      </c>
      <c r="P27" s="10"/>
      <c r="Q27" s="4"/>
      <c r="R27" s="4"/>
      <c r="S27" s="4"/>
      <c r="T27" s="4"/>
      <c r="U27" s="4"/>
      <c r="V27" s="4"/>
      <c r="W27" s="4"/>
    </row>
    <row r="28" spans="1:23" ht="15" x14ac:dyDescent="0.2">
      <c r="A28" s="17" t="s">
        <v>23</v>
      </c>
      <c r="B28" s="16">
        <v>1274333101.9900002</v>
      </c>
      <c r="C28" s="16">
        <v>0</v>
      </c>
      <c r="D28" s="16">
        <v>24364486.780370764</v>
      </c>
      <c r="E28" s="16">
        <v>12254088.140000001</v>
      </c>
      <c r="F28" s="16">
        <v>3848694.31</v>
      </c>
      <c r="G28" s="16">
        <v>2575020.2200000002</v>
      </c>
      <c r="H28" s="16">
        <v>73539872.049999997</v>
      </c>
      <c r="I28" s="16">
        <v>10716001.789999999</v>
      </c>
      <c r="J28" s="16">
        <v>172712399.61000001</v>
      </c>
      <c r="K28" s="16">
        <v>0</v>
      </c>
      <c r="L28" s="16">
        <v>0</v>
      </c>
      <c r="M28" s="16">
        <v>0</v>
      </c>
      <c r="N28" s="18">
        <f t="shared" si="0"/>
        <v>1574343664.8903708</v>
      </c>
      <c r="P28" s="10"/>
      <c r="Q28" s="4"/>
      <c r="R28" s="4"/>
      <c r="S28" s="4"/>
      <c r="T28" s="4"/>
      <c r="U28" s="4"/>
      <c r="V28" s="4"/>
      <c r="W28" s="4"/>
    </row>
    <row r="29" spans="1:23" ht="15" x14ac:dyDescent="0.2">
      <c r="A29" s="17" t="s">
        <v>24</v>
      </c>
      <c r="B29" s="16">
        <v>728158928.72000003</v>
      </c>
      <c r="C29" s="16">
        <v>0</v>
      </c>
      <c r="D29" s="16">
        <v>18339572.393134862</v>
      </c>
      <c r="E29" s="16">
        <v>7578087.54</v>
      </c>
      <c r="F29" s="16">
        <v>2402102.98</v>
      </c>
      <c r="G29" s="16">
        <v>1560618.31</v>
      </c>
      <c r="H29" s="16">
        <v>42020971.100000001</v>
      </c>
      <c r="I29" s="16">
        <v>6688226.6399999997</v>
      </c>
      <c r="J29" s="16">
        <v>153971273.09999999</v>
      </c>
      <c r="K29" s="16">
        <v>0</v>
      </c>
      <c r="L29" s="16">
        <v>0</v>
      </c>
      <c r="M29" s="16">
        <v>0</v>
      </c>
      <c r="N29" s="18">
        <f t="shared" si="0"/>
        <v>960719780.78313482</v>
      </c>
      <c r="P29" s="10"/>
      <c r="Q29" s="4"/>
      <c r="R29" s="4"/>
      <c r="S29" s="4"/>
      <c r="T29" s="4"/>
      <c r="U29" s="4"/>
      <c r="V29" s="4"/>
      <c r="W29" s="4"/>
    </row>
    <row r="30" spans="1:23" ht="15" x14ac:dyDescent="0.2">
      <c r="A30" s="17" t="s">
        <v>25</v>
      </c>
      <c r="B30" s="16">
        <v>255384622.05000001</v>
      </c>
      <c r="C30" s="16">
        <v>0</v>
      </c>
      <c r="D30" s="16">
        <v>10662402.331499275</v>
      </c>
      <c r="E30" s="16">
        <v>2519184.44</v>
      </c>
      <c r="F30" s="16">
        <v>2074716.52</v>
      </c>
      <c r="G30" s="16">
        <v>1950772.89</v>
      </c>
      <c r="H30" s="16">
        <v>14737867.52</v>
      </c>
      <c r="I30" s="16">
        <v>5776677.5199999996</v>
      </c>
      <c r="J30" s="16">
        <v>119612638.77</v>
      </c>
      <c r="K30" s="16">
        <v>0</v>
      </c>
      <c r="L30" s="16">
        <v>0</v>
      </c>
      <c r="M30" s="16">
        <v>0</v>
      </c>
      <c r="N30" s="18">
        <f t="shared" si="0"/>
        <v>412718882.0414992</v>
      </c>
      <c r="P30" s="10"/>
      <c r="Q30" s="4"/>
      <c r="R30" s="4"/>
      <c r="S30" s="4"/>
      <c r="T30" s="4"/>
      <c r="U30" s="4"/>
      <c r="V30" s="4"/>
      <c r="W30" s="4"/>
    </row>
    <row r="31" spans="1:23" ht="15" x14ac:dyDescent="0.2">
      <c r="A31" s="17" t="s">
        <v>26</v>
      </c>
      <c r="B31" s="16">
        <v>439617309.64999998</v>
      </c>
      <c r="C31" s="16">
        <v>0</v>
      </c>
      <c r="D31" s="16">
        <v>8530594.1553605758</v>
      </c>
      <c r="E31" s="16">
        <v>4389004.8999999994</v>
      </c>
      <c r="F31" s="16">
        <v>2478239.36</v>
      </c>
      <c r="G31" s="16">
        <v>1072925.0900000001</v>
      </c>
      <c r="H31" s="16">
        <v>25369662.5</v>
      </c>
      <c r="I31" s="16">
        <v>6900214.7999999998</v>
      </c>
      <c r="J31" s="16">
        <v>84772727.099999994</v>
      </c>
      <c r="K31" s="16">
        <v>0</v>
      </c>
      <c r="L31" s="16">
        <v>0</v>
      </c>
      <c r="M31" s="16">
        <v>0</v>
      </c>
      <c r="N31" s="18">
        <f t="shared" si="0"/>
        <v>573130677.55536056</v>
      </c>
      <c r="P31" s="10"/>
      <c r="Q31" s="4"/>
      <c r="R31" s="4"/>
      <c r="S31" s="4"/>
      <c r="T31" s="4"/>
      <c r="U31" s="4"/>
      <c r="V31" s="4"/>
      <c r="W31" s="4"/>
    </row>
    <row r="32" spans="1:23" ht="15" x14ac:dyDescent="0.2">
      <c r="A32" s="17" t="s">
        <v>27</v>
      </c>
      <c r="B32" s="16">
        <v>2011630363.05</v>
      </c>
      <c r="C32" s="16">
        <v>0</v>
      </c>
      <c r="D32" s="16">
        <v>34127325.439091615</v>
      </c>
      <c r="E32" s="16">
        <v>19281375.859999999</v>
      </c>
      <c r="F32" s="16">
        <v>7309093.0599999996</v>
      </c>
      <c r="G32" s="16">
        <v>5871826.4100000001</v>
      </c>
      <c r="H32" s="16">
        <v>116088202.73999999</v>
      </c>
      <c r="I32" s="16">
        <v>20350863.93</v>
      </c>
      <c r="J32" s="16">
        <v>265248797.54999998</v>
      </c>
      <c r="K32" s="16">
        <v>0</v>
      </c>
      <c r="L32" s="16">
        <v>0</v>
      </c>
      <c r="M32" s="16">
        <v>0</v>
      </c>
      <c r="N32" s="18">
        <f t="shared" si="0"/>
        <v>2479907848.0390916</v>
      </c>
      <c r="P32" s="10"/>
      <c r="Q32" s="4"/>
      <c r="R32" s="4"/>
      <c r="S32" s="4"/>
      <c r="T32" s="4"/>
      <c r="U32" s="4"/>
      <c r="V32" s="4"/>
      <c r="W32" s="4"/>
    </row>
    <row r="33" spans="1:23" ht="15" x14ac:dyDescent="0.2">
      <c r="A33" s="17" t="s">
        <v>28</v>
      </c>
      <c r="B33" s="16">
        <v>1259794846.1100001</v>
      </c>
      <c r="C33" s="16">
        <v>0</v>
      </c>
      <c r="D33" s="16">
        <v>31171669.120107628</v>
      </c>
      <c r="E33" s="16">
        <v>13111209.960000001</v>
      </c>
      <c r="F33" s="16">
        <v>5363808.3899999997</v>
      </c>
      <c r="G33" s="16">
        <v>4720870.4000000004</v>
      </c>
      <c r="H33" s="16">
        <v>72700890.879999995</v>
      </c>
      <c r="I33" s="16">
        <v>14934566.289999999</v>
      </c>
      <c r="J33" s="16">
        <v>253013111.94000003</v>
      </c>
      <c r="K33" s="16">
        <v>0</v>
      </c>
      <c r="L33" s="16">
        <v>0</v>
      </c>
      <c r="M33" s="16">
        <v>0</v>
      </c>
      <c r="N33" s="18">
        <f t="shared" si="0"/>
        <v>1654810973.0901079</v>
      </c>
      <c r="P33" s="10"/>
      <c r="Q33" s="4"/>
      <c r="R33" s="4"/>
      <c r="S33" s="4"/>
      <c r="T33" s="4"/>
      <c r="U33" s="4"/>
      <c r="V33" s="4"/>
      <c r="W33" s="4"/>
    </row>
    <row r="34" spans="1:23" ht="15" x14ac:dyDescent="0.2">
      <c r="A34" s="17" t="s">
        <v>29</v>
      </c>
      <c r="B34" s="16">
        <v>1722086948.1699998</v>
      </c>
      <c r="C34" s="16">
        <v>0</v>
      </c>
      <c r="D34" s="16">
        <v>33750693.864726856</v>
      </c>
      <c r="E34" s="16">
        <v>27464325.399999999</v>
      </c>
      <c r="F34" s="16">
        <v>7800172.75</v>
      </c>
      <c r="G34" s="16">
        <v>7881122.4900000002</v>
      </c>
      <c r="H34" s="16">
        <v>99379081.989999995</v>
      </c>
      <c r="I34" s="16">
        <v>21718187.600000001</v>
      </c>
      <c r="J34" s="16">
        <v>318264832.57000005</v>
      </c>
      <c r="K34" s="16">
        <v>0</v>
      </c>
      <c r="L34" s="16">
        <v>0</v>
      </c>
      <c r="M34" s="16">
        <v>0</v>
      </c>
      <c r="N34" s="18">
        <f t="shared" si="0"/>
        <v>2238345364.8347268</v>
      </c>
      <c r="P34" s="10"/>
      <c r="Q34" s="4"/>
      <c r="R34" s="4"/>
      <c r="S34" s="4"/>
      <c r="T34" s="4"/>
      <c r="U34" s="4"/>
      <c r="V34" s="4"/>
      <c r="W34" s="4"/>
    </row>
    <row r="35" spans="1:23" ht="15" x14ac:dyDescent="0.2">
      <c r="A35" s="17" t="s">
        <v>30</v>
      </c>
      <c r="B35" s="16">
        <v>849767162.9799999</v>
      </c>
      <c r="C35" s="16">
        <v>0</v>
      </c>
      <c r="D35" s="16">
        <v>14788572.464304177</v>
      </c>
      <c r="E35" s="16">
        <v>8091442.6299999999</v>
      </c>
      <c r="F35" s="16">
        <v>4876535.5199999996</v>
      </c>
      <c r="G35" s="16">
        <v>3062713.44</v>
      </c>
      <c r="H35" s="16">
        <v>49038801.82</v>
      </c>
      <c r="I35" s="16">
        <v>13577842.029999999</v>
      </c>
      <c r="J35" s="16">
        <v>114385334.67999998</v>
      </c>
      <c r="K35" s="16">
        <v>0</v>
      </c>
      <c r="L35" s="16">
        <v>0</v>
      </c>
      <c r="M35" s="16">
        <v>0</v>
      </c>
      <c r="N35" s="18">
        <f t="shared" si="0"/>
        <v>1057588405.5643041</v>
      </c>
      <c r="P35" s="10"/>
      <c r="Q35" s="4"/>
      <c r="R35" s="4"/>
      <c r="S35" s="4"/>
      <c r="T35" s="4"/>
      <c r="U35" s="4"/>
      <c r="V35" s="4"/>
      <c r="W35" s="4"/>
    </row>
    <row r="36" spans="1:23" ht="15" x14ac:dyDescent="0.2">
      <c r="A36" s="17" t="s">
        <v>31</v>
      </c>
      <c r="B36" s="16">
        <v>974991635.65999997</v>
      </c>
      <c r="C36" s="16">
        <v>0</v>
      </c>
      <c r="D36" s="16">
        <v>18323285.183655903</v>
      </c>
      <c r="E36" s="16">
        <v>9518207.4399999995</v>
      </c>
      <c r="F36" s="16">
        <v>3068296.35</v>
      </c>
      <c r="G36" s="16">
        <v>1775203.33</v>
      </c>
      <c r="H36" s="16">
        <v>56265320.289999999</v>
      </c>
      <c r="I36" s="16">
        <v>8543123.0899999999</v>
      </c>
      <c r="J36" s="16">
        <v>115196831.44999999</v>
      </c>
      <c r="K36" s="16">
        <v>0</v>
      </c>
      <c r="L36" s="16">
        <v>0</v>
      </c>
      <c r="M36" s="16">
        <v>0</v>
      </c>
      <c r="N36" s="18">
        <f t="shared" si="0"/>
        <v>1187681902.7936559</v>
      </c>
      <c r="P36" s="10"/>
      <c r="Q36" s="4"/>
      <c r="R36" s="4"/>
      <c r="S36" s="4"/>
      <c r="T36" s="4"/>
      <c r="U36" s="4"/>
      <c r="V36" s="4"/>
      <c r="W36" s="4"/>
    </row>
    <row r="37" spans="1:23" ht="15" x14ac:dyDescent="0.2">
      <c r="A37" s="17" t="s">
        <v>32</v>
      </c>
      <c r="B37" s="16">
        <v>1015185637.1600001</v>
      </c>
      <c r="C37" s="16">
        <v>0</v>
      </c>
      <c r="D37" s="16">
        <v>19144677.619630005</v>
      </c>
      <c r="E37" s="16">
        <v>9884682.5899999999</v>
      </c>
      <c r="F37" s="16">
        <v>5691194.8499999996</v>
      </c>
      <c r="G37" s="16">
        <v>2711574.32</v>
      </c>
      <c r="H37" s="16">
        <v>58584856.460000001</v>
      </c>
      <c r="I37" s="16">
        <v>15846115.4</v>
      </c>
      <c r="J37" s="16">
        <v>195534429.97000003</v>
      </c>
      <c r="K37" s="16">
        <v>0</v>
      </c>
      <c r="L37" s="16">
        <v>0</v>
      </c>
      <c r="M37" s="16">
        <v>0</v>
      </c>
      <c r="N37" s="18">
        <f t="shared" si="0"/>
        <v>1322583168.3696303</v>
      </c>
      <c r="P37" s="10"/>
      <c r="Q37" s="4"/>
      <c r="R37" s="4"/>
      <c r="S37" s="4"/>
      <c r="T37" s="4"/>
      <c r="U37" s="4"/>
      <c r="V37" s="4"/>
      <c r="W37" s="4"/>
    </row>
    <row r="38" spans="1:23" ht="15" x14ac:dyDescent="0.2">
      <c r="A38" s="17" t="s">
        <v>33</v>
      </c>
      <c r="B38" s="16">
        <v>856853035.58000016</v>
      </c>
      <c r="C38" s="16">
        <v>0</v>
      </c>
      <c r="D38" s="16">
        <v>5691796.6088624066</v>
      </c>
      <c r="E38" s="16">
        <v>8644175.0899999999</v>
      </c>
      <c r="F38" s="16">
        <v>5085910.58</v>
      </c>
      <c r="G38" s="16">
        <v>7510475.6399999997</v>
      </c>
      <c r="H38" s="16">
        <v>49447717.009999998</v>
      </c>
      <c r="I38" s="16">
        <v>14160809.48</v>
      </c>
      <c r="J38" s="16">
        <v>322673028.44</v>
      </c>
      <c r="K38" s="16">
        <v>0</v>
      </c>
      <c r="L38" s="16">
        <v>0</v>
      </c>
      <c r="M38" s="16">
        <v>0</v>
      </c>
      <c r="N38" s="18">
        <f t="shared" si="0"/>
        <v>1270066948.4288626</v>
      </c>
      <c r="P38" s="10"/>
      <c r="Q38" s="4"/>
      <c r="R38" s="4"/>
      <c r="S38" s="4"/>
      <c r="T38" s="4"/>
      <c r="U38" s="4"/>
      <c r="V38" s="4"/>
      <c r="W38" s="4"/>
    </row>
    <row r="39" spans="1:23" ht="15" x14ac:dyDescent="0.2">
      <c r="A39" s="17" t="s">
        <v>34</v>
      </c>
      <c r="B39" s="16">
        <v>1647050000.74</v>
      </c>
      <c r="C39" s="16">
        <v>0</v>
      </c>
      <c r="D39" s="16">
        <v>36469951.610504054</v>
      </c>
      <c r="E39" s="16">
        <v>15987689.560000001</v>
      </c>
      <c r="F39" s="16">
        <v>6479206.4500000002</v>
      </c>
      <c r="G39" s="16">
        <v>4681854.9400000004</v>
      </c>
      <c r="H39" s="16">
        <v>95048811.120000005</v>
      </c>
      <c r="I39" s="16">
        <v>18040192.920000002</v>
      </c>
      <c r="J39" s="16">
        <v>280133264.99000001</v>
      </c>
      <c r="K39" s="16">
        <v>0</v>
      </c>
      <c r="L39" s="16">
        <v>0</v>
      </c>
      <c r="M39" s="16">
        <v>0</v>
      </c>
      <c r="N39" s="18">
        <f t="shared" si="0"/>
        <v>2103890972.3305042</v>
      </c>
      <c r="P39" s="10"/>
      <c r="Q39" s="4"/>
      <c r="R39" s="4"/>
      <c r="S39" s="4"/>
      <c r="T39" s="4"/>
      <c r="U39" s="4"/>
      <c r="V39" s="4"/>
      <c r="W39" s="4"/>
    </row>
    <row r="40" spans="1:23" ht="15" x14ac:dyDescent="0.2">
      <c r="A40" s="17" t="s">
        <v>35</v>
      </c>
      <c r="B40" s="16">
        <v>1081719537.4299998</v>
      </c>
      <c r="C40" s="16">
        <v>0</v>
      </c>
      <c r="D40" s="16">
        <v>24156762.001690716</v>
      </c>
      <c r="E40" s="16">
        <v>11257816.879999999</v>
      </c>
      <c r="F40" s="16">
        <v>3460398.74</v>
      </c>
      <c r="G40" s="16">
        <v>2048311.54</v>
      </c>
      <c r="H40" s="16">
        <v>62424429.100000001</v>
      </c>
      <c r="I40" s="16">
        <v>9634862.1400000006</v>
      </c>
      <c r="J40" s="16">
        <v>154330767.38</v>
      </c>
      <c r="K40" s="16">
        <v>0</v>
      </c>
      <c r="L40" s="16">
        <v>0</v>
      </c>
      <c r="M40" s="16">
        <v>0</v>
      </c>
      <c r="N40" s="18">
        <f t="shared" ref="N40:N71" si="1">SUM(B40:M40)</f>
        <v>1349032885.2116904</v>
      </c>
      <c r="P40" s="10"/>
      <c r="Q40" s="4"/>
      <c r="R40" s="4"/>
      <c r="S40" s="4"/>
      <c r="T40" s="4"/>
      <c r="U40" s="4"/>
      <c r="V40" s="4"/>
      <c r="W40" s="4"/>
    </row>
    <row r="41" spans="1:23" ht="15" x14ac:dyDescent="0.2">
      <c r="A41" s="17" t="s">
        <v>36</v>
      </c>
      <c r="B41" s="16">
        <v>1130392152.01</v>
      </c>
      <c r="C41" s="16">
        <v>0</v>
      </c>
      <c r="D41" s="16">
        <v>12865778.24674111</v>
      </c>
      <c r="E41" s="16">
        <v>10391756.629999999</v>
      </c>
      <c r="F41" s="16">
        <v>5858694.9000000004</v>
      </c>
      <c r="G41" s="16">
        <v>3569914.39</v>
      </c>
      <c r="H41" s="16">
        <v>65233253.450000003</v>
      </c>
      <c r="I41" s="16">
        <v>16312489.369999999</v>
      </c>
      <c r="J41" s="16">
        <v>158363660.57999998</v>
      </c>
      <c r="K41" s="16">
        <v>0</v>
      </c>
      <c r="L41" s="16">
        <v>0</v>
      </c>
      <c r="M41" s="16">
        <v>0</v>
      </c>
      <c r="N41" s="18">
        <f t="shared" si="1"/>
        <v>1402987699.5767412</v>
      </c>
      <c r="P41" s="10"/>
      <c r="Q41" s="4"/>
      <c r="R41" s="4"/>
      <c r="S41" s="4"/>
      <c r="T41" s="4"/>
      <c r="U41" s="4"/>
      <c r="V41" s="4"/>
      <c r="W41" s="4"/>
    </row>
    <row r="42" spans="1:23" ht="15" x14ac:dyDescent="0.2">
      <c r="A42" s="17" t="s">
        <v>37</v>
      </c>
      <c r="B42" s="16">
        <v>685692561.24000001</v>
      </c>
      <c r="C42" s="16">
        <v>0</v>
      </c>
      <c r="D42" s="16">
        <v>13689057.59826646</v>
      </c>
      <c r="E42" s="16">
        <v>6970275.1200000001</v>
      </c>
      <c r="F42" s="16">
        <v>15912504.68</v>
      </c>
      <c r="G42" s="16">
        <v>0</v>
      </c>
      <c r="H42" s="16">
        <v>39570300.060000002</v>
      </c>
      <c r="I42" s="16">
        <v>44305526.68</v>
      </c>
      <c r="J42" s="16">
        <v>241319009.64000002</v>
      </c>
      <c r="K42" s="16">
        <v>0</v>
      </c>
      <c r="L42" s="16">
        <v>0</v>
      </c>
      <c r="M42" s="16">
        <v>0</v>
      </c>
      <c r="N42" s="18">
        <f t="shared" si="1"/>
        <v>1047459235.0182664</v>
      </c>
      <c r="P42" s="10"/>
      <c r="Q42" s="4"/>
      <c r="R42" s="4"/>
      <c r="S42" s="4"/>
      <c r="T42" s="4"/>
      <c r="U42" s="4"/>
      <c r="V42" s="4"/>
      <c r="W42" s="4"/>
    </row>
    <row r="43" spans="1:23" ht="15" x14ac:dyDescent="0.2">
      <c r="A43" s="17" t="s">
        <v>38</v>
      </c>
      <c r="B43" s="16">
        <v>4152834458.6100001</v>
      </c>
      <c r="C43" s="16">
        <v>0</v>
      </c>
      <c r="D43" s="16">
        <v>37468480.100439847</v>
      </c>
      <c r="E43" s="16">
        <v>36339501.399999999</v>
      </c>
      <c r="F43" s="16">
        <v>66170133.130000003</v>
      </c>
      <c r="G43" s="16">
        <v>28520299.690000001</v>
      </c>
      <c r="H43" s="16">
        <v>239653913.28</v>
      </c>
      <c r="I43" s="16">
        <v>184238915.00999999</v>
      </c>
      <c r="J43" s="16">
        <v>790321776.76000011</v>
      </c>
      <c r="K43" s="16">
        <v>0</v>
      </c>
      <c r="L43" s="16">
        <v>0</v>
      </c>
      <c r="M43" s="16">
        <v>0</v>
      </c>
      <c r="N43" s="18">
        <f t="shared" si="1"/>
        <v>5535547477.9804401</v>
      </c>
      <c r="P43" s="10"/>
      <c r="Q43" s="4"/>
      <c r="R43" s="4"/>
      <c r="S43" s="4"/>
      <c r="T43" s="4"/>
      <c r="U43" s="4"/>
      <c r="V43" s="4"/>
      <c r="W43" s="4"/>
    </row>
    <row r="44" spans="1:23" ht="15" x14ac:dyDescent="0.2">
      <c r="A44" s="17" t="s">
        <v>39</v>
      </c>
      <c r="B44" s="16">
        <v>3779824351.3200006</v>
      </c>
      <c r="C44" s="16">
        <v>0</v>
      </c>
      <c r="D44" s="16">
        <v>58926426.141840987</v>
      </c>
      <c r="E44" s="16">
        <v>35346612.240000002</v>
      </c>
      <c r="F44" s="16">
        <v>83258944.980000004</v>
      </c>
      <c r="G44" s="16">
        <v>49699280.990565471</v>
      </c>
      <c r="H44" s="16">
        <v>218128053.58000001</v>
      </c>
      <c r="I44" s="16">
        <v>231819658.84999999</v>
      </c>
      <c r="J44" s="16">
        <v>1022005872.0200001</v>
      </c>
      <c r="K44" s="16">
        <v>0</v>
      </c>
      <c r="L44" s="16">
        <v>0</v>
      </c>
      <c r="M44" s="16">
        <v>0</v>
      </c>
      <c r="N44" s="18">
        <f t="shared" si="1"/>
        <v>5479009200.122407</v>
      </c>
      <c r="P44" s="10"/>
      <c r="Q44" s="4"/>
      <c r="R44" s="4"/>
      <c r="S44" s="4"/>
      <c r="T44" s="4"/>
      <c r="U44" s="4"/>
      <c r="V44" s="4"/>
      <c r="W44" s="4"/>
    </row>
    <row r="45" spans="1:23" ht="15" x14ac:dyDescent="0.2">
      <c r="A45" s="17" t="s">
        <v>40</v>
      </c>
      <c r="B45" s="16">
        <v>1010201092.29</v>
      </c>
      <c r="C45" s="16">
        <v>0</v>
      </c>
      <c r="D45" s="16">
        <v>14895256.906385079</v>
      </c>
      <c r="E45" s="16">
        <v>9897486.2699999996</v>
      </c>
      <c r="F45" s="16">
        <v>6201308.6399999997</v>
      </c>
      <c r="G45" s="16">
        <v>4467269.92</v>
      </c>
      <c r="H45" s="16">
        <v>58297205.770000003</v>
      </c>
      <c r="I45" s="16">
        <v>17266436.109999999</v>
      </c>
      <c r="J45" s="16">
        <v>152997594.01000002</v>
      </c>
      <c r="K45" s="16">
        <v>0</v>
      </c>
      <c r="L45" s="16">
        <v>0</v>
      </c>
      <c r="M45" s="16">
        <v>0</v>
      </c>
      <c r="N45" s="18">
        <f t="shared" si="1"/>
        <v>1274223649.9163849</v>
      </c>
      <c r="P45" s="10"/>
      <c r="Q45" s="4"/>
      <c r="R45" s="4"/>
      <c r="S45" s="4"/>
      <c r="T45" s="4"/>
      <c r="U45" s="4"/>
      <c r="V45" s="4"/>
      <c r="W45" s="4"/>
    </row>
    <row r="46" spans="1:23" ht="15" x14ac:dyDescent="0.2">
      <c r="A46" s="17" t="s">
        <v>41</v>
      </c>
      <c r="B46" s="16">
        <v>1598352952.1499999</v>
      </c>
      <c r="C46" s="16">
        <v>0</v>
      </c>
      <c r="D46" s="16">
        <v>34636416.931840979</v>
      </c>
      <c r="E46" s="16">
        <v>25177478.359999999</v>
      </c>
      <c r="F46" s="16">
        <v>48913821.229999997</v>
      </c>
      <c r="G46" s="16">
        <v>0</v>
      </c>
      <c r="H46" s="16">
        <v>92238576.709999993</v>
      </c>
      <c r="I46" s="16">
        <v>136191797.19999999</v>
      </c>
      <c r="J46" s="16">
        <v>647314492.89999986</v>
      </c>
      <c r="K46" s="16">
        <v>0</v>
      </c>
      <c r="L46" s="16">
        <v>0</v>
      </c>
      <c r="M46" s="16">
        <v>0</v>
      </c>
      <c r="N46" s="18">
        <f t="shared" si="1"/>
        <v>2582825535.4818406</v>
      </c>
      <c r="P46" s="10"/>
      <c r="Q46" s="4"/>
      <c r="R46" s="4"/>
      <c r="S46" s="4"/>
      <c r="T46" s="4"/>
      <c r="U46" s="4"/>
      <c r="V46" s="4"/>
      <c r="W46" s="4"/>
    </row>
    <row r="47" spans="1:23" ht="15" x14ac:dyDescent="0.2">
      <c r="A47" s="17" t="s">
        <v>42</v>
      </c>
      <c r="B47" s="16">
        <v>4860444356.9199991</v>
      </c>
      <c r="C47" s="16">
        <v>0</v>
      </c>
      <c r="D47" s="16">
        <v>56547214.413004421</v>
      </c>
      <c r="E47" s="16">
        <v>76478354.640000001</v>
      </c>
      <c r="F47" s="16">
        <v>152485954.02000001</v>
      </c>
      <c r="G47" s="16">
        <v>56269275.417152494</v>
      </c>
      <c r="H47" s="16">
        <v>280489030.31999999</v>
      </c>
      <c r="I47" s="16">
        <v>424569898.72000003</v>
      </c>
      <c r="J47" s="16">
        <v>1557510039.6599996</v>
      </c>
      <c r="K47" s="16">
        <v>0</v>
      </c>
      <c r="L47" s="16">
        <v>0</v>
      </c>
      <c r="M47" s="16">
        <v>0</v>
      </c>
      <c r="N47" s="18">
        <f t="shared" si="1"/>
        <v>7464794124.110157</v>
      </c>
      <c r="P47" s="10"/>
      <c r="Q47" s="4"/>
      <c r="R47" s="4"/>
      <c r="S47" s="4"/>
      <c r="T47" s="4"/>
      <c r="U47" s="4"/>
      <c r="V47" s="4"/>
      <c r="W47" s="4"/>
    </row>
    <row r="48" spans="1:23" ht="15" x14ac:dyDescent="0.2">
      <c r="A48" s="17" t="s">
        <v>43</v>
      </c>
      <c r="B48" s="16">
        <v>470257600.14999998</v>
      </c>
      <c r="C48" s="16">
        <v>0</v>
      </c>
      <c r="D48" s="16">
        <v>8151593.5788018182</v>
      </c>
      <c r="E48" s="16">
        <v>4894146.3100000005</v>
      </c>
      <c r="F48" s="16">
        <v>1324773.1100000001</v>
      </c>
      <c r="G48" s="16">
        <v>1209479.19</v>
      </c>
      <c r="H48" s="16">
        <v>27137868.190000001</v>
      </c>
      <c r="I48" s="16">
        <v>3688594.09</v>
      </c>
      <c r="J48" s="16">
        <v>83562507.830000013</v>
      </c>
      <c r="K48" s="16">
        <v>0</v>
      </c>
      <c r="L48" s="16">
        <v>0</v>
      </c>
      <c r="M48" s="16">
        <v>0</v>
      </c>
      <c r="N48" s="18">
        <f t="shared" si="1"/>
        <v>600226562.44880176</v>
      </c>
      <c r="P48" s="10"/>
      <c r="Q48" s="4"/>
      <c r="R48" s="4"/>
      <c r="S48" s="4"/>
      <c r="T48" s="4"/>
      <c r="U48" s="4"/>
      <c r="V48" s="4"/>
      <c r="W48" s="4"/>
    </row>
    <row r="49" spans="1:23" ht="15" x14ac:dyDescent="0.2">
      <c r="A49" s="17" t="s">
        <v>44</v>
      </c>
      <c r="B49" s="16">
        <v>887982006.95000005</v>
      </c>
      <c r="C49" s="16">
        <v>0</v>
      </c>
      <c r="D49" s="16">
        <v>30009994.513279673</v>
      </c>
      <c r="E49" s="16">
        <v>8562521.4399999995</v>
      </c>
      <c r="F49" s="16">
        <v>7823013.6600000001</v>
      </c>
      <c r="G49" s="16">
        <v>5072009.5199999996</v>
      </c>
      <c r="H49" s="16">
        <v>51244123.75</v>
      </c>
      <c r="I49" s="16">
        <v>21781784.050000001</v>
      </c>
      <c r="J49" s="16">
        <v>196672633.31999999</v>
      </c>
      <c r="K49" s="16">
        <v>0</v>
      </c>
      <c r="L49" s="16">
        <v>0</v>
      </c>
      <c r="M49" s="16">
        <v>0</v>
      </c>
      <c r="N49" s="18">
        <f t="shared" si="1"/>
        <v>1209148087.2032797</v>
      </c>
      <c r="P49" s="10"/>
      <c r="Q49" s="4"/>
      <c r="R49" s="4"/>
      <c r="S49" s="4"/>
      <c r="T49" s="4"/>
      <c r="U49" s="4"/>
      <c r="V49" s="4"/>
      <c r="W49" s="4"/>
    </row>
    <row r="50" spans="1:23" ht="15" x14ac:dyDescent="0.2">
      <c r="A50" s="17" t="s">
        <v>45</v>
      </c>
      <c r="B50" s="16">
        <v>576521255.07999992</v>
      </c>
      <c r="C50" s="16">
        <v>0</v>
      </c>
      <c r="D50" s="16">
        <v>11145436.437053727</v>
      </c>
      <c r="E50" s="16">
        <v>5732666.5700000003</v>
      </c>
      <c r="F50" s="16">
        <v>2192727.91</v>
      </c>
      <c r="G50" s="16">
        <v>1443571.94</v>
      </c>
      <c r="H50" s="16">
        <v>33270186.010000002</v>
      </c>
      <c r="I50" s="16">
        <v>6105259.1799999997</v>
      </c>
      <c r="J50" s="16">
        <v>142124942</v>
      </c>
      <c r="K50" s="16">
        <v>0</v>
      </c>
      <c r="L50" s="16">
        <v>0</v>
      </c>
      <c r="M50" s="16">
        <v>0</v>
      </c>
      <c r="N50" s="18">
        <f t="shared" si="1"/>
        <v>778536045.12705362</v>
      </c>
      <c r="P50" s="10"/>
      <c r="Q50" s="4"/>
      <c r="R50" s="4"/>
      <c r="S50" s="4"/>
      <c r="T50" s="4"/>
      <c r="U50" s="4"/>
      <c r="V50" s="4"/>
      <c r="W50" s="4"/>
    </row>
    <row r="51" spans="1:23" ht="15" x14ac:dyDescent="0.2">
      <c r="A51" s="17" t="s">
        <v>46</v>
      </c>
      <c r="B51" s="16">
        <v>563644514.19000006</v>
      </c>
      <c r="C51" s="16">
        <v>0</v>
      </c>
      <c r="D51" s="16">
        <v>15458409.25926489</v>
      </c>
      <c r="E51" s="16">
        <v>5504132.96</v>
      </c>
      <c r="F51" s="16">
        <v>2733296.25</v>
      </c>
      <c r="G51" s="16">
        <v>1814218.79</v>
      </c>
      <c r="H51" s="16">
        <v>32527088.399999999</v>
      </c>
      <c r="I51" s="16">
        <v>7610375.1600000001</v>
      </c>
      <c r="J51" s="16">
        <v>98600960.579999998</v>
      </c>
      <c r="K51" s="16">
        <v>0</v>
      </c>
      <c r="L51" s="16">
        <v>0</v>
      </c>
      <c r="M51" s="16">
        <v>0</v>
      </c>
      <c r="N51" s="18">
        <f t="shared" si="1"/>
        <v>727892995.58926499</v>
      </c>
      <c r="P51" s="10"/>
      <c r="Q51" s="4"/>
      <c r="R51" s="4"/>
      <c r="S51" s="4"/>
      <c r="T51" s="4"/>
      <c r="U51" s="4"/>
      <c r="V51" s="4"/>
      <c r="W51" s="4"/>
    </row>
    <row r="52" spans="1:23" ht="15" x14ac:dyDescent="0.2">
      <c r="A52" s="17" t="s">
        <v>47</v>
      </c>
      <c r="B52" s="16">
        <v>664703717.90999997</v>
      </c>
      <c r="C52" s="16">
        <v>0</v>
      </c>
      <c r="D52" s="16">
        <v>17349755.165577676</v>
      </c>
      <c r="E52" s="16">
        <v>6631098.3800000008</v>
      </c>
      <c r="F52" s="16">
        <v>2516307.5499999998</v>
      </c>
      <c r="G52" s="16">
        <v>2321419.7400000002</v>
      </c>
      <c r="H52" s="16">
        <v>38359065.060000002</v>
      </c>
      <c r="I52" s="16">
        <v>7006208.8799999999</v>
      </c>
      <c r="J52" s="16">
        <v>126388578.58</v>
      </c>
      <c r="K52" s="16">
        <v>0</v>
      </c>
      <c r="L52" s="16">
        <v>0</v>
      </c>
      <c r="M52" s="16">
        <v>0</v>
      </c>
      <c r="N52" s="18">
        <f t="shared" si="1"/>
        <v>865276151.26557755</v>
      </c>
      <c r="P52" s="10"/>
      <c r="Q52" s="4"/>
      <c r="R52" s="4"/>
      <c r="S52" s="4"/>
      <c r="T52" s="4"/>
      <c r="U52" s="4"/>
      <c r="V52" s="4"/>
      <c r="W52" s="4"/>
    </row>
    <row r="53" spans="1:23" ht="15" x14ac:dyDescent="0.2">
      <c r="A53" s="17" t="s">
        <v>48</v>
      </c>
      <c r="B53" s="16">
        <v>228507174.24000001</v>
      </c>
      <c r="C53" s="16">
        <v>0</v>
      </c>
      <c r="D53" s="16">
        <v>7140805.2084605135</v>
      </c>
      <c r="E53" s="16">
        <v>2378102.39</v>
      </c>
      <c r="F53" s="16">
        <v>437784.21</v>
      </c>
      <c r="G53" s="16">
        <v>351139.12</v>
      </c>
      <c r="H53" s="16">
        <v>13186809.9</v>
      </c>
      <c r="I53" s="16">
        <v>1218931.95</v>
      </c>
      <c r="J53" s="16">
        <v>66841926.410000004</v>
      </c>
      <c r="K53" s="16">
        <v>0</v>
      </c>
      <c r="L53" s="16">
        <v>0</v>
      </c>
      <c r="M53" s="16">
        <v>0</v>
      </c>
      <c r="N53" s="18">
        <f t="shared" si="1"/>
        <v>320062673.42846054</v>
      </c>
      <c r="P53" s="10"/>
      <c r="Q53" s="4"/>
      <c r="R53" s="4"/>
      <c r="S53" s="4"/>
      <c r="T53" s="4"/>
      <c r="U53" s="4"/>
      <c r="V53" s="4"/>
      <c r="W53" s="4"/>
    </row>
    <row r="54" spans="1:23" ht="15" x14ac:dyDescent="0.2">
      <c r="A54" s="17" t="s">
        <v>49</v>
      </c>
      <c r="B54" s="16">
        <v>887175683.50999999</v>
      </c>
      <c r="C54" s="16">
        <v>0</v>
      </c>
      <c r="D54" s="16">
        <v>16139601.436553292</v>
      </c>
      <c r="E54" s="16">
        <v>8605039.3099999987</v>
      </c>
      <c r="F54" s="16">
        <v>1503693.62</v>
      </c>
      <c r="G54" s="16">
        <v>1287510.1100000001</v>
      </c>
      <c r="H54" s="16">
        <v>51197592.020000003</v>
      </c>
      <c r="I54" s="16">
        <v>4186766.28</v>
      </c>
      <c r="J54" s="16">
        <v>152922065.12</v>
      </c>
      <c r="K54" s="16">
        <v>0</v>
      </c>
      <c r="L54" s="16">
        <v>0</v>
      </c>
      <c r="M54" s="16">
        <v>0</v>
      </c>
      <c r="N54" s="18">
        <f t="shared" si="1"/>
        <v>1123017951.4065533</v>
      </c>
      <c r="P54" s="10"/>
      <c r="Q54" s="4"/>
      <c r="R54" s="4"/>
      <c r="S54" s="4"/>
      <c r="T54" s="4"/>
      <c r="U54" s="4"/>
      <c r="V54" s="4"/>
      <c r="W54" s="4"/>
    </row>
    <row r="55" spans="1:23" ht="15" x14ac:dyDescent="0.2">
      <c r="A55" s="17" t="s">
        <v>50</v>
      </c>
      <c r="B55" s="16">
        <v>402990678.52000004</v>
      </c>
      <c r="C55" s="16">
        <v>0</v>
      </c>
      <c r="D55" s="16">
        <v>7391198.2272853758</v>
      </c>
      <c r="E55" s="16">
        <v>3977596.09</v>
      </c>
      <c r="F55" s="16">
        <v>2775171.27</v>
      </c>
      <c r="G55" s="16">
        <v>2009296.08</v>
      </c>
      <c r="H55" s="16">
        <v>23255993.969999999</v>
      </c>
      <c r="I55" s="16">
        <v>7726968.6500000004</v>
      </c>
      <c r="J55" s="16">
        <v>107961863.14</v>
      </c>
      <c r="K55" s="16">
        <v>0</v>
      </c>
      <c r="L55" s="16">
        <v>0</v>
      </c>
      <c r="M55" s="16">
        <v>0</v>
      </c>
      <c r="N55" s="18">
        <f t="shared" si="1"/>
        <v>558088765.94728529</v>
      </c>
      <c r="P55" s="10"/>
      <c r="Q55" s="4"/>
      <c r="R55" s="4"/>
      <c r="S55" s="4"/>
      <c r="T55" s="4"/>
      <c r="U55" s="4"/>
      <c r="V55" s="4"/>
      <c r="W55" s="4"/>
    </row>
    <row r="56" spans="1:23" ht="15" x14ac:dyDescent="0.2">
      <c r="A56" s="17" t="s">
        <v>51</v>
      </c>
      <c r="B56" s="16">
        <v>307355832.47000003</v>
      </c>
      <c r="C56" s="16">
        <v>0</v>
      </c>
      <c r="D56" s="16">
        <v>3873907.1622202452</v>
      </c>
      <c r="E56" s="16">
        <v>2914165.9</v>
      </c>
      <c r="F56" s="16">
        <v>784204.77</v>
      </c>
      <c r="G56" s="16">
        <v>546216.41</v>
      </c>
      <c r="H56" s="16">
        <v>17737048.940000001</v>
      </c>
      <c r="I56" s="16">
        <v>2183478.11</v>
      </c>
      <c r="J56" s="16">
        <v>89122958.909999996</v>
      </c>
      <c r="K56" s="16">
        <v>0</v>
      </c>
      <c r="L56" s="16">
        <v>0</v>
      </c>
      <c r="M56" s="16">
        <v>0</v>
      </c>
      <c r="N56" s="18">
        <f t="shared" si="1"/>
        <v>424517812.67222023</v>
      </c>
      <c r="P56" s="10"/>
      <c r="Q56" s="4"/>
      <c r="R56" s="4"/>
      <c r="S56" s="4"/>
      <c r="T56" s="4"/>
      <c r="U56" s="4"/>
      <c r="V56" s="4"/>
      <c r="W56" s="4"/>
    </row>
    <row r="57" spans="1:23" ht="15" x14ac:dyDescent="0.2">
      <c r="A57" s="17" t="s">
        <v>52</v>
      </c>
      <c r="B57" s="16">
        <v>765029900.31999993</v>
      </c>
      <c r="C57" s="16">
        <v>0</v>
      </c>
      <c r="D57" s="16">
        <v>15976900.153016126</v>
      </c>
      <c r="E57" s="16">
        <v>7524215.4600000009</v>
      </c>
      <c r="F57" s="16">
        <v>4027614.82</v>
      </c>
      <c r="G57" s="16">
        <v>2516497.0299999998</v>
      </c>
      <c r="H57" s="16">
        <v>44148740.149999999</v>
      </c>
      <c r="I57" s="16">
        <v>11214173.98</v>
      </c>
      <c r="J57" s="16">
        <v>190287219.02000001</v>
      </c>
      <c r="K57" s="16">
        <v>0</v>
      </c>
      <c r="L57" s="16">
        <v>0</v>
      </c>
      <c r="M57" s="16">
        <v>0</v>
      </c>
      <c r="N57" s="18">
        <f t="shared" si="1"/>
        <v>1040725260.9330161</v>
      </c>
      <c r="P57" s="10"/>
      <c r="Q57" s="4"/>
      <c r="R57" s="4"/>
      <c r="S57" s="4"/>
      <c r="T57" s="4"/>
      <c r="U57" s="4"/>
      <c r="V57" s="4"/>
      <c r="W57" s="4"/>
    </row>
    <row r="58" spans="1:23" ht="15" x14ac:dyDescent="0.2">
      <c r="A58" s="17" t="s">
        <v>53</v>
      </c>
      <c r="B58" s="16">
        <v>718116536.86000013</v>
      </c>
      <c r="C58" s="16">
        <v>0</v>
      </c>
      <c r="D58" s="16">
        <v>7265198.6588452375</v>
      </c>
      <c r="E58" s="16">
        <v>6704055.1900000004</v>
      </c>
      <c r="F58" s="16">
        <v>2345000.69</v>
      </c>
      <c r="G58" s="16">
        <v>1580126.04</v>
      </c>
      <c r="H58" s="16">
        <v>41441439.57</v>
      </c>
      <c r="I58" s="16">
        <v>6529235.5099999998</v>
      </c>
      <c r="J58" s="16">
        <v>107686094.75999999</v>
      </c>
      <c r="K58" s="16">
        <v>0</v>
      </c>
      <c r="L58" s="16">
        <v>0</v>
      </c>
      <c r="M58" s="16">
        <v>0</v>
      </c>
      <c r="N58" s="18">
        <f t="shared" si="1"/>
        <v>891667687.27884543</v>
      </c>
      <c r="P58" s="10"/>
      <c r="Q58" s="4"/>
      <c r="R58" s="4"/>
      <c r="S58" s="4"/>
      <c r="T58" s="4"/>
      <c r="U58" s="4"/>
      <c r="V58" s="4"/>
      <c r="W58" s="4"/>
    </row>
    <row r="59" spans="1:23" ht="15" x14ac:dyDescent="0.2">
      <c r="A59" s="17" t="s">
        <v>54</v>
      </c>
      <c r="B59" s="16">
        <v>730455728.81999993</v>
      </c>
      <c r="C59" s="16">
        <v>0</v>
      </c>
      <c r="D59" s="16">
        <v>13339114.796347713</v>
      </c>
      <c r="E59" s="16">
        <v>7435556.0199999996</v>
      </c>
      <c r="F59" s="16">
        <v>2284091.58</v>
      </c>
      <c r="G59" s="16">
        <v>1443571.94</v>
      </c>
      <c r="H59" s="16">
        <v>42153516.030000001</v>
      </c>
      <c r="I59" s="16">
        <v>6359644.9800000004</v>
      </c>
      <c r="J59" s="16">
        <v>120444042.42</v>
      </c>
      <c r="K59" s="16">
        <v>0</v>
      </c>
      <c r="L59" s="16">
        <v>0</v>
      </c>
      <c r="M59" s="16">
        <v>0</v>
      </c>
      <c r="N59" s="18">
        <f t="shared" si="1"/>
        <v>923915266.5863477</v>
      </c>
      <c r="P59" s="10"/>
      <c r="Q59" s="4"/>
      <c r="R59" s="4"/>
      <c r="S59" s="4"/>
      <c r="T59" s="4"/>
      <c r="U59" s="4"/>
      <c r="V59" s="4"/>
      <c r="W59" s="4"/>
    </row>
    <row r="60" spans="1:23" ht="15" x14ac:dyDescent="0.2">
      <c r="A60" s="17" t="s">
        <v>55</v>
      </c>
      <c r="B60" s="16">
        <v>5219356021.1599998</v>
      </c>
      <c r="C60" s="16">
        <v>0</v>
      </c>
      <c r="D60" s="16">
        <v>409407078.48613316</v>
      </c>
      <c r="E60" s="16">
        <v>83415486.879999995</v>
      </c>
      <c r="F60" s="16">
        <v>125644071.11</v>
      </c>
      <c r="G60" s="16">
        <v>74265924.039999992</v>
      </c>
      <c r="H60" s="16">
        <v>301201289.79000002</v>
      </c>
      <c r="I60" s="16">
        <v>349833470.82999998</v>
      </c>
      <c r="J60" s="16">
        <v>2013289622.54</v>
      </c>
      <c r="K60" s="16">
        <v>0</v>
      </c>
      <c r="L60" s="16">
        <v>0</v>
      </c>
      <c r="M60" s="16">
        <v>0</v>
      </c>
      <c r="N60" s="18">
        <f t="shared" si="1"/>
        <v>8576412964.836133</v>
      </c>
      <c r="P60" s="10"/>
      <c r="Q60" s="4"/>
      <c r="R60" s="4"/>
      <c r="S60" s="4"/>
      <c r="T60" s="4"/>
      <c r="U60" s="4"/>
      <c r="V60" s="4"/>
      <c r="W60" s="4"/>
    </row>
    <row r="61" spans="1:23" ht="15" x14ac:dyDescent="0.2">
      <c r="A61" s="17" t="s">
        <v>56</v>
      </c>
      <c r="B61" s="16">
        <v>1225660487.4200001</v>
      </c>
      <c r="C61" s="16">
        <v>0</v>
      </c>
      <c r="D61" s="16">
        <v>26277802.42673244</v>
      </c>
      <c r="E61" s="16">
        <v>11025176.430000002</v>
      </c>
      <c r="F61" s="16">
        <v>22429779.329999998</v>
      </c>
      <c r="G61" s="16">
        <v>7384193.2443415998</v>
      </c>
      <c r="H61" s="16">
        <v>70731047.700000003</v>
      </c>
      <c r="I61" s="16">
        <v>62451713.68</v>
      </c>
      <c r="J61" s="16">
        <v>498503777.35000002</v>
      </c>
      <c r="K61" s="16">
        <v>0</v>
      </c>
      <c r="L61" s="16">
        <v>0</v>
      </c>
      <c r="M61" s="16">
        <v>0</v>
      </c>
      <c r="N61" s="18">
        <f t="shared" si="1"/>
        <v>1924463977.5810742</v>
      </c>
      <c r="P61" s="10"/>
      <c r="Q61" s="4"/>
      <c r="R61" s="4"/>
      <c r="S61" s="4"/>
      <c r="T61" s="4"/>
      <c r="U61" s="4"/>
      <c r="V61" s="4"/>
      <c r="W61" s="4"/>
    </row>
    <row r="62" spans="1:23" ht="15" x14ac:dyDescent="0.2">
      <c r="A62" s="17" t="s">
        <v>57</v>
      </c>
      <c r="B62" s="16">
        <v>5700682243.0600004</v>
      </c>
      <c r="C62" s="16">
        <v>0</v>
      </c>
      <c r="D62" s="16">
        <v>117576665.25000001</v>
      </c>
      <c r="E62" s="16">
        <v>95481501.5</v>
      </c>
      <c r="F62" s="16">
        <v>100572359.18000001</v>
      </c>
      <c r="G62" s="16">
        <v>0</v>
      </c>
      <c r="H62" s="16">
        <v>328977911.70999998</v>
      </c>
      <c r="I62" s="16">
        <v>280025767.77999997</v>
      </c>
      <c r="J62" s="16">
        <v>991310097.71000004</v>
      </c>
      <c r="K62" s="16">
        <v>0</v>
      </c>
      <c r="L62" s="16">
        <v>0</v>
      </c>
      <c r="M62" s="16">
        <v>0</v>
      </c>
      <c r="N62" s="18">
        <f t="shared" si="1"/>
        <v>7614626546.1900005</v>
      </c>
      <c r="P62" s="10"/>
      <c r="Q62" s="4"/>
      <c r="R62" s="4"/>
      <c r="S62" s="4"/>
      <c r="T62" s="4"/>
      <c r="U62" s="4"/>
      <c r="V62" s="4"/>
      <c r="W62" s="4"/>
    </row>
    <row r="63" spans="1:23" ht="15" x14ac:dyDescent="0.2">
      <c r="A63" s="17" t="s">
        <v>58</v>
      </c>
      <c r="B63" s="16">
        <v>1003921543.1199999</v>
      </c>
      <c r="C63" s="16">
        <v>0</v>
      </c>
      <c r="D63" s="16">
        <v>16734884.075410053</v>
      </c>
      <c r="E63" s="16">
        <v>9646968.9799999986</v>
      </c>
      <c r="F63" s="16">
        <v>3544148.77</v>
      </c>
      <c r="G63" s="16">
        <v>2516497.0299999998</v>
      </c>
      <c r="H63" s="16">
        <v>57934822.310000002</v>
      </c>
      <c r="I63" s="16">
        <v>9868049.1199999992</v>
      </c>
      <c r="J63" s="16">
        <v>133025755.94</v>
      </c>
      <c r="K63" s="16">
        <v>0</v>
      </c>
      <c r="L63" s="16">
        <v>0</v>
      </c>
      <c r="M63" s="16">
        <v>0</v>
      </c>
      <c r="N63" s="18">
        <f t="shared" si="1"/>
        <v>1237192669.3454099</v>
      </c>
      <c r="P63" s="10"/>
      <c r="Q63" s="4"/>
      <c r="R63" s="4"/>
      <c r="S63" s="4"/>
      <c r="T63" s="4"/>
      <c r="U63" s="4"/>
      <c r="V63" s="4"/>
      <c r="W63" s="4"/>
    </row>
    <row r="64" spans="1:23" ht="15" x14ac:dyDescent="0.2">
      <c r="A64" s="17" t="s">
        <v>59</v>
      </c>
      <c r="B64" s="16">
        <v>1564487367.9099998</v>
      </c>
      <c r="C64" s="16">
        <v>0</v>
      </c>
      <c r="D64" s="16">
        <v>40812826.531745836</v>
      </c>
      <c r="E64" s="16">
        <v>14619386.85</v>
      </c>
      <c r="F64" s="16">
        <v>6486820.0899999999</v>
      </c>
      <c r="G64" s="16">
        <v>3921053.51</v>
      </c>
      <c r="H64" s="16">
        <v>90284244.109999999</v>
      </c>
      <c r="I64" s="16">
        <v>18061391.739999998</v>
      </c>
      <c r="J64" s="16">
        <v>281996311.77000004</v>
      </c>
      <c r="K64" s="16">
        <v>0</v>
      </c>
      <c r="L64" s="16">
        <v>0</v>
      </c>
      <c r="M64" s="16">
        <v>0</v>
      </c>
      <c r="N64" s="18">
        <f t="shared" si="1"/>
        <v>2020669402.5117455</v>
      </c>
      <c r="P64" s="10"/>
      <c r="Q64" s="4"/>
      <c r="R64" s="4"/>
      <c r="S64" s="4"/>
      <c r="T64" s="4"/>
      <c r="U64" s="4"/>
      <c r="V64" s="4"/>
      <c r="W64" s="4"/>
    </row>
    <row r="65" spans="1:23" ht="15" x14ac:dyDescent="0.2">
      <c r="A65" s="17" t="s">
        <v>60</v>
      </c>
      <c r="B65" s="16">
        <v>820275272.54999995</v>
      </c>
      <c r="C65" s="16">
        <v>0</v>
      </c>
      <c r="D65" s="16">
        <v>11514319.109600727</v>
      </c>
      <c r="E65" s="16">
        <v>8081054.75</v>
      </c>
      <c r="F65" s="16">
        <v>1412329.96</v>
      </c>
      <c r="G65" s="16">
        <v>1307017.8400000001</v>
      </c>
      <c r="H65" s="16">
        <v>47336868.590000004</v>
      </c>
      <c r="I65" s="16">
        <v>3932380.48</v>
      </c>
      <c r="J65" s="16">
        <v>168199400.03</v>
      </c>
      <c r="K65" s="16">
        <v>0</v>
      </c>
      <c r="L65" s="16">
        <v>0</v>
      </c>
      <c r="M65" s="16">
        <v>0</v>
      </c>
      <c r="N65" s="18">
        <f t="shared" si="1"/>
        <v>1062058643.3096008</v>
      </c>
      <c r="P65" s="10"/>
      <c r="Q65" s="4"/>
      <c r="R65" s="4"/>
      <c r="S65" s="4"/>
      <c r="T65" s="4"/>
      <c r="U65" s="4"/>
      <c r="V65" s="4"/>
      <c r="W65" s="4"/>
    </row>
    <row r="66" spans="1:23" ht="15" x14ac:dyDescent="0.2">
      <c r="A66" s="17" t="s">
        <v>61</v>
      </c>
      <c r="B66" s="16">
        <v>457991710.32999998</v>
      </c>
      <c r="C66" s="16">
        <v>0</v>
      </c>
      <c r="D66" s="16">
        <v>8099053.7624631869</v>
      </c>
      <c r="E66" s="16">
        <v>4633724.29</v>
      </c>
      <c r="F66" s="16">
        <v>1381875.4</v>
      </c>
      <c r="G66" s="16">
        <v>1189971.46</v>
      </c>
      <c r="H66" s="16">
        <v>26430021.890000001</v>
      </c>
      <c r="I66" s="16">
        <v>3847585.21</v>
      </c>
      <c r="J66" s="16">
        <v>74664146.709999993</v>
      </c>
      <c r="K66" s="16">
        <v>0</v>
      </c>
      <c r="L66" s="16">
        <v>0</v>
      </c>
      <c r="M66" s="16">
        <v>0</v>
      </c>
      <c r="N66" s="18">
        <f t="shared" si="1"/>
        <v>578238089.05246317</v>
      </c>
      <c r="P66" s="10"/>
      <c r="Q66" s="4"/>
      <c r="R66" s="4"/>
      <c r="S66" s="4"/>
      <c r="T66" s="4"/>
      <c r="U66" s="4"/>
      <c r="V66" s="4"/>
      <c r="W66" s="4"/>
    </row>
    <row r="67" spans="1:23" ht="15" x14ac:dyDescent="0.2">
      <c r="A67" s="17" t="s">
        <v>62</v>
      </c>
      <c r="B67" s="16">
        <v>2054683147.6100001</v>
      </c>
      <c r="C67" s="16">
        <v>0</v>
      </c>
      <c r="D67" s="16">
        <v>36156805.229999997</v>
      </c>
      <c r="E67" s="16">
        <v>33253757.460000001</v>
      </c>
      <c r="F67" s="16">
        <v>37131715.479999997</v>
      </c>
      <c r="G67" s="16">
        <v>24660837.336222503</v>
      </c>
      <c r="H67" s="16">
        <v>118572715.04000001</v>
      </c>
      <c r="I67" s="16">
        <v>103386628.52</v>
      </c>
      <c r="J67" s="16">
        <v>481068891.35000008</v>
      </c>
      <c r="K67" s="16">
        <v>0</v>
      </c>
      <c r="L67" s="16">
        <v>0</v>
      </c>
      <c r="M67" s="16">
        <v>0</v>
      </c>
      <c r="N67" s="18">
        <f t="shared" si="1"/>
        <v>2888914498.0262227</v>
      </c>
      <c r="P67" s="10"/>
      <c r="Q67" s="4"/>
      <c r="R67" s="4"/>
      <c r="S67" s="4"/>
      <c r="T67" s="4"/>
      <c r="U67" s="4"/>
      <c r="V67" s="4"/>
      <c r="W67" s="4"/>
    </row>
    <row r="68" spans="1:23" ht="15" x14ac:dyDescent="0.2">
      <c r="A68" s="17" t="s">
        <v>63</v>
      </c>
      <c r="B68" s="16">
        <v>1285255119.3800001</v>
      </c>
      <c r="C68" s="16">
        <v>0</v>
      </c>
      <c r="D68" s="16">
        <v>49259816.560000002</v>
      </c>
      <c r="E68" s="16">
        <v>13091883.66</v>
      </c>
      <c r="F68" s="16">
        <v>32746259.640000001</v>
      </c>
      <c r="G68" s="16">
        <v>25108220.849524911</v>
      </c>
      <c r="H68" s="16">
        <v>74170165.459999993</v>
      </c>
      <c r="I68" s="16">
        <v>91176110.170000002</v>
      </c>
      <c r="J68" s="16">
        <v>404021192.25</v>
      </c>
      <c r="K68" s="16">
        <v>0</v>
      </c>
      <c r="L68" s="16">
        <v>0</v>
      </c>
      <c r="M68" s="16">
        <v>0</v>
      </c>
      <c r="N68" s="18">
        <f t="shared" si="1"/>
        <v>1974828767.9695253</v>
      </c>
      <c r="P68" s="10"/>
      <c r="Q68" s="4"/>
      <c r="R68" s="4"/>
      <c r="S68" s="4"/>
      <c r="T68" s="4"/>
      <c r="U68" s="4"/>
      <c r="V68" s="4"/>
      <c r="W68" s="4"/>
    </row>
    <row r="69" spans="1:23" ht="15" x14ac:dyDescent="0.2">
      <c r="A69" s="17" t="s">
        <v>64</v>
      </c>
      <c r="B69" s="16">
        <v>4590521478.9200001</v>
      </c>
      <c r="C69" s="16">
        <v>0</v>
      </c>
      <c r="D69" s="16">
        <v>43858921.053331591</v>
      </c>
      <c r="E69" s="16">
        <v>45147225.369999997</v>
      </c>
      <c r="F69" s="16">
        <v>96643721.650000006</v>
      </c>
      <c r="G69" s="16">
        <v>27579722.464794837</v>
      </c>
      <c r="H69" s="16">
        <v>264912181.63</v>
      </c>
      <c r="I69" s="16">
        <v>269087178.42000002</v>
      </c>
      <c r="J69" s="16">
        <v>943459889.81999981</v>
      </c>
      <c r="K69" s="16">
        <v>0</v>
      </c>
      <c r="L69" s="16">
        <v>0</v>
      </c>
      <c r="M69" s="16">
        <v>0</v>
      </c>
      <c r="N69" s="18">
        <f t="shared" si="1"/>
        <v>6281210319.328126</v>
      </c>
      <c r="P69" s="10"/>
      <c r="Q69" s="4"/>
      <c r="R69" s="4"/>
      <c r="S69" s="4"/>
      <c r="T69" s="4"/>
      <c r="U69" s="4"/>
      <c r="V69" s="4"/>
      <c r="W69" s="4"/>
    </row>
    <row r="70" spans="1:23" ht="15" x14ac:dyDescent="0.2">
      <c r="A70" s="17" t="s">
        <v>65</v>
      </c>
      <c r="B70" s="16">
        <v>953465243.38999987</v>
      </c>
      <c r="C70" s="16">
        <v>0</v>
      </c>
      <c r="D70" s="16">
        <v>58281768.270975605</v>
      </c>
      <c r="E70" s="16">
        <v>9451531.6900000013</v>
      </c>
      <c r="F70" s="16">
        <v>21462847.23</v>
      </c>
      <c r="G70" s="16">
        <v>11548575.52</v>
      </c>
      <c r="H70" s="16">
        <v>55023064.140000001</v>
      </c>
      <c r="I70" s="16">
        <v>59759463.979999997</v>
      </c>
      <c r="J70" s="16">
        <v>401028139.06999993</v>
      </c>
      <c r="K70" s="16">
        <v>0</v>
      </c>
      <c r="L70" s="16">
        <v>0</v>
      </c>
      <c r="M70" s="16">
        <v>0</v>
      </c>
      <c r="N70" s="18">
        <f t="shared" si="1"/>
        <v>1570020633.2909756</v>
      </c>
      <c r="P70" s="10"/>
      <c r="Q70" s="4"/>
      <c r="R70" s="4"/>
      <c r="S70" s="4"/>
      <c r="T70" s="4"/>
      <c r="U70" s="4"/>
      <c r="V70" s="4"/>
      <c r="W70" s="4"/>
    </row>
    <row r="71" spans="1:23" ht="15" x14ac:dyDescent="0.2">
      <c r="A71" s="17" t="s">
        <v>66</v>
      </c>
      <c r="B71" s="16">
        <v>3714756493.6100001</v>
      </c>
      <c r="C71" s="16">
        <v>0</v>
      </c>
      <c r="D71" s="16">
        <v>60036504.550000004</v>
      </c>
      <c r="E71" s="16">
        <v>58931216.310000002</v>
      </c>
      <c r="F71" s="16">
        <v>13514208.52</v>
      </c>
      <c r="G71" s="16">
        <v>11216944.130000001</v>
      </c>
      <c r="H71" s="16">
        <v>214373084.08000001</v>
      </c>
      <c r="I71" s="16">
        <v>37627899.450000003</v>
      </c>
      <c r="J71" s="16">
        <v>335162819.12</v>
      </c>
      <c r="K71" s="16">
        <v>0</v>
      </c>
      <c r="L71" s="16">
        <v>0</v>
      </c>
      <c r="M71" s="16">
        <v>0</v>
      </c>
      <c r="N71" s="18">
        <f t="shared" si="1"/>
        <v>4445619169.7700005</v>
      </c>
      <c r="P71" s="10"/>
      <c r="Q71" s="4"/>
      <c r="R71" s="4"/>
      <c r="S71" s="4"/>
      <c r="T71" s="4"/>
      <c r="U71" s="4"/>
      <c r="V71" s="4"/>
      <c r="W71" s="4"/>
    </row>
    <row r="72" spans="1:23" ht="15" x14ac:dyDescent="0.2">
      <c r="A72" s="17" t="s">
        <v>67</v>
      </c>
      <c r="B72" s="16">
        <v>16391700218.179998</v>
      </c>
      <c r="C72" s="16">
        <v>0</v>
      </c>
      <c r="D72" s="16">
        <v>235334096.59894663</v>
      </c>
      <c r="E72" s="16">
        <v>274547223.56</v>
      </c>
      <c r="F72" s="16">
        <v>393225400.65999997</v>
      </c>
      <c r="G72" s="16">
        <v>0</v>
      </c>
      <c r="H72" s="16">
        <v>945940692.22000003</v>
      </c>
      <c r="I72" s="16">
        <v>1094865879.98</v>
      </c>
      <c r="J72" s="16">
        <v>4910462037.1700001</v>
      </c>
      <c r="K72" s="16">
        <v>0</v>
      </c>
      <c r="L72" s="16">
        <v>0</v>
      </c>
      <c r="M72" s="16">
        <v>0</v>
      </c>
      <c r="N72" s="18">
        <f t="shared" ref="N72:N103" si="2">SUM(B72:M72)</f>
        <v>24246075548.36895</v>
      </c>
      <c r="P72" s="10"/>
      <c r="Q72" s="4"/>
      <c r="R72" s="4"/>
      <c r="S72" s="4"/>
      <c r="T72" s="4"/>
      <c r="U72" s="4"/>
      <c r="V72" s="4"/>
      <c r="W72" s="4"/>
    </row>
    <row r="73" spans="1:23" ht="15" x14ac:dyDescent="0.2">
      <c r="A73" s="17" t="s">
        <v>68</v>
      </c>
      <c r="B73" s="16">
        <v>7588554176.1300001</v>
      </c>
      <c r="C73" s="16">
        <v>0</v>
      </c>
      <c r="D73" s="16">
        <v>317932553.3514502</v>
      </c>
      <c r="E73" s="16">
        <v>118793967.05</v>
      </c>
      <c r="F73" s="16">
        <v>145953452.09</v>
      </c>
      <c r="G73" s="16">
        <v>99885045.71272853</v>
      </c>
      <c r="H73" s="16">
        <v>437924199.13</v>
      </c>
      <c r="I73" s="16">
        <v>406381314.08999997</v>
      </c>
      <c r="J73" s="16">
        <v>2138963311.1600001</v>
      </c>
      <c r="K73" s="16">
        <v>0</v>
      </c>
      <c r="L73" s="16">
        <v>0</v>
      </c>
      <c r="M73" s="16">
        <v>0</v>
      </c>
      <c r="N73" s="18">
        <f t="shared" si="2"/>
        <v>11254388018.714178</v>
      </c>
      <c r="P73" s="10"/>
      <c r="Q73" s="4"/>
      <c r="R73" s="4"/>
      <c r="S73" s="4"/>
      <c r="T73" s="4"/>
      <c r="U73" s="4"/>
      <c r="V73" s="4"/>
      <c r="W73" s="4"/>
    </row>
    <row r="74" spans="1:23" ht="15" x14ac:dyDescent="0.2">
      <c r="A74" s="17" t="s">
        <v>69</v>
      </c>
      <c r="B74" s="16">
        <v>3951009259.73</v>
      </c>
      <c r="C74" s="16">
        <v>0</v>
      </c>
      <c r="D74" s="16">
        <v>95040010.979999989</v>
      </c>
      <c r="E74" s="16">
        <v>66176268.109999999</v>
      </c>
      <c r="F74" s="16">
        <v>105966622.13</v>
      </c>
      <c r="G74" s="16">
        <v>173912720.28068453</v>
      </c>
      <c r="H74" s="16">
        <v>228006880.58000001</v>
      </c>
      <c r="I74" s="16">
        <v>295045129.33999997</v>
      </c>
      <c r="J74" s="16">
        <v>1147443605.9400001</v>
      </c>
      <c r="K74" s="16">
        <v>0</v>
      </c>
      <c r="L74" s="16">
        <v>0</v>
      </c>
      <c r="M74" s="16">
        <v>0</v>
      </c>
      <c r="N74" s="18">
        <f t="shared" si="2"/>
        <v>6062600497.0906849</v>
      </c>
      <c r="P74" s="10"/>
      <c r="Q74" s="4"/>
      <c r="R74" s="4"/>
      <c r="S74" s="4"/>
      <c r="T74" s="4"/>
      <c r="U74" s="4"/>
      <c r="V74" s="4"/>
      <c r="W74" s="4"/>
    </row>
    <row r="75" spans="1:23" ht="15" x14ac:dyDescent="0.2">
      <c r="A75" s="17" t="s">
        <v>70</v>
      </c>
      <c r="B75" s="16">
        <v>669370620.19000006</v>
      </c>
      <c r="C75" s="16">
        <v>0</v>
      </c>
      <c r="D75" s="16">
        <v>13749229.009381007</v>
      </c>
      <c r="E75" s="16">
        <v>6696324.6699999999</v>
      </c>
      <c r="F75" s="16">
        <v>1926250.56</v>
      </c>
      <c r="G75" s="16">
        <v>1287510.1100000001</v>
      </c>
      <c r="H75" s="16">
        <v>38628385.07</v>
      </c>
      <c r="I75" s="16">
        <v>5363300.5999999996</v>
      </c>
      <c r="J75" s="16">
        <v>129311372.23999999</v>
      </c>
      <c r="K75" s="16">
        <v>0</v>
      </c>
      <c r="L75" s="16">
        <v>0</v>
      </c>
      <c r="M75" s="16">
        <v>0</v>
      </c>
      <c r="N75" s="18">
        <f t="shared" si="2"/>
        <v>866332992.44938111</v>
      </c>
      <c r="P75" s="10"/>
      <c r="Q75" s="4"/>
      <c r="R75" s="4"/>
      <c r="S75" s="4"/>
      <c r="T75" s="4"/>
      <c r="U75" s="4"/>
      <c r="V75" s="4"/>
      <c r="W75" s="4"/>
    </row>
    <row r="76" spans="1:23" ht="15" x14ac:dyDescent="0.2">
      <c r="A76" s="17" t="s">
        <v>71</v>
      </c>
      <c r="B76" s="16">
        <v>676065548.11000001</v>
      </c>
      <c r="C76" s="16">
        <v>0</v>
      </c>
      <c r="D76" s="16">
        <v>19439462.029097263</v>
      </c>
      <c r="E76" s="16">
        <v>6671683.6299999999</v>
      </c>
      <c r="F76" s="16">
        <v>3468012.38</v>
      </c>
      <c r="G76" s="16">
        <v>3023697.98</v>
      </c>
      <c r="H76" s="16">
        <v>39014739.420000002</v>
      </c>
      <c r="I76" s="16">
        <v>9656060.9600000009</v>
      </c>
      <c r="J76" s="16">
        <v>192020285.79999998</v>
      </c>
      <c r="K76" s="16">
        <v>0</v>
      </c>
      <c r="L76" s="16">
        <v>0</v>
      </c>
      <c r="M76" s="16">
        <v>0</v>
      </c>
      <c r="N76" s="18">
        <f t="shared" si="2"/>
        <v>949359490.30909729</v>
      </c>
      <c r="P76" s="10"/>
      <c r="Q76" s="4"/>
      <c r="R76" s="4"/>
      <c r="S76" s="4"/>
      <c r="T76" s="4"/>
      <c r="U76" s="4"/>
      <c r="V76" s="4"/>
      <c r="W76" s="4"/>
    </row>
    <row r="77" spans="1:23" ht="15" x14ac:dyDescent="0.2">
      <c r="A77" s="17" t="s">
        <v>72</v>
      </c>
      <c r="B77" s="16">
        <v>757797423.47000003</v>
      </c>
      <c r="C77" s="16">
        <v>0</v>
      </c>
      <c r="D77" s="16">
        <v>17749551.799899019</v>
      </c>
      <c r="E77" s="16">
        <v>7806862.7299999995</v>
      </c>
      <c r="F77" s="16">
        <v>4073296.65</v>
      </c>
      <c r="G77" s="16">
        <v>1931265.16</v>
      </c>
      <c r="H77" s="16">
        <v>43731364.640000001</v>
      </c>
      <c r="I77" s="16">
        <v>11341366.880000001</v>
      </c>
      <c r="J77" s="16">
        <v>130475337.38000004</v>
      </c>
      <c r="K77" s="16">
        <v>0</v>
      </c>
      <c r="L77" s="16">
        <v>0</v>
      </c>
      <c r="M77" s="16">
        <v>0</v>
      </c>
      <c r="N77" s="18">
        <f t="shared" si="2"/>
        <v>974906468.70989895</v>
      </c>
      <c r="P77" s="10"/>
      <c r="Q77" s="4"/>
      <c r="R77" s="4"/>
      <c r="S77" s="4"/>
      <c r="T77" s="4"/>
      <c r="U77" s="4"/>
      <c r="V77" s="4"/>
      <c r="W77" s="4"/>
    </row>
    <row r="78" spans="1:23" ht="15" x14ac:dyDescent="0.2">
      <c r="A78" s="17" t="s">
        <v>73</v>
      </c>
      <c r="B78" s="16">
        <v>291253797.81</v>
      </c>
      <c r="C78" s="16">
        <v>0</v>
      </c>
      <c r="D78" s="16">
        <v>6654465.3007498421</v>
      </c>
      <c r="E78" s="16">
        <v>3031090.07</v>
      </c>
      <c r="F78" s="16">
        <v>1446591.33</v>
      </c>
      <c r="G78" s="16">
        <v>682770.51</v>
      </c>
      <c r="H78" s="16">
        <v>16807824.420000002</v>
      </c>
      <c r="I78" s="16">
        <v>4027775.15</v>
      </c>
      <c r="J78" s="16">
        <v>55954051.489999995</v>
      </c>
      <c r="K78" s="16">
        <v>0</v>
      </c>
      <c r="L78" s="16">
        <v>0</v>
      </c>
      <c r="M78" s="16">
        <v>0</v>
      </c>
      <c r="N78" s="18">
        <f t="shared" si="2"/>
        <v>379858366.08074981</v>
      </c>
      <c r="P78" s="10"/>
      <c r="Q78" s="4"/>
      <c r="R78" s="4"/>
      <c r="S78" s="4"/>
      <c r="T78" s="4"/>
      <c r="U78" s="4"/>
      <c r="V78" s="4"/>
      <c r="W78" s="4"/>
    </row>
    <row r="79" spans="1:23" ht="15" x14ac:dyDescent="0.2">
      <c r="A79" s="17" t="s">
        <v>74</v>
      </c>
      <c r="B79" s="16">
        <v>1498735357</v>
      </c>
      <c r="C79" s="16">
        <v>0</v>
      </c>
      <c r="D79" s="16">
        <v>43177200.906304479</v>
      </c>
      <c r="E79" s="16">
        <v>14730754.710000001</v>
      </c>
      <c r="F79" s="16">
        <v>7271024.8600000003</v>
      </c>
      <c r="G79" s="16">
        <v>5072009.5199999996</v>
      </c>
      <c r="H79" s="16">
        <v>86489793.140000001</v>
      </c>
      <c r="I79" s="16">
        <v>20244869.850000001</v>
      </c>
      <c r="J79" s="16">
        <v>303105767.71000004</v>
      </c>
      <c r="K79" s="16">
        <v>0</v>
      </c>
      <c r="L79" s="16">
        <v>0</v>
      </c>
      <c r="M79" s="16">
        <v>0</v>
      </c>
      <c r="N79" s="18">
        <f t="shared" si="2"/>
        <v>1978826777.6963043</v>
      </c>
      <c r="P79" s="10"/>
      <c r="Q79" s="4"/>
      <c r="R79" s="4"/>
      <c r="S79" s="4"/>
      <c r="T79" s="4"/>
      <c r="U79" s="4"/>
      <c r="V79" s="4"/>
      <c r="W79" s="4"/>
    </row>
    <row r="80" spans="1:23" ht="15" x14ac:dyDescent="0.2">
      <c r="A80" s="17" t="s">
        <v>75</v>
      </c>
      <c r="B80" s="16">
        <v>799261995.19999993</v>
      </c>
      <c r="C80" s="16">
        <v>0</v>
      </c>
      <c r="D80" s="16">
        <v>21887434.183551893</v>
      </c>
      <c r="E80" s="16">
        <v>7830779.0500000007</v>
      </c>
      <c r="F80" s="16">
        <v>2352614.3199999998</v>
      </c>
      <c r="G80" s="16">
        <v>2028803.81</v>
      </c>
      <c r="H80" s="16">
        <v>46124223.539999999</v>
      </c>
      <c r="I80" s="16">
        <v>6550434.3300000001</v>
      </c>
      <c r="J80" s="16">
        <v>195892753.25999999</v>
      </c>
      <c r="K80" s="16">
        <v>0</v>
      </c>
      <c r="L80" s="16">
        <v>0</v>
      </c>
      <c r="M80" s="16">
        <v>0</v>
      </c>
      <c r="N80" s="18">
        <f t="shared" si="2"/>
        <v>1081929037.6935518</v>
      </c>
      <c r="P80" s="10"/>
      <c r="Q80" s="4"/>
      <c r="R80" s="4"/>
      <c r="S80" s="4"/>
      <c r="T80" s="4"/>
      <c r="U80" s="4"/>
      <c r="V80" s="4"/>
      <c r="W80" s="4"/>
    </row>
    <row r="81" spans="1:23" ht="15" x14ac:dyDescent="0.2">
      <c r="A81" s="17" t="s">
        <v>76</v>
      </c>
      <c r="B81" s="16">
        <v>448755641.88999999</v>
      </c>
      <c r="C81" s="16">
        <v>0</v>
      </c>
      <c r="D81" s="16">
        <v>21294785.042880222</v>
      </c>
      <c r="E81" s="16">
        <v>4367745.96</v>
      </c>
      <c r="F81" s="16">
        <v>6109944.9800000004</v>
      </c>
      <c r="G81" s="16">
        <v>4642839.4800000004</v>
      </c>
      <c r="H81" s="16">
        <v>25897022.09</v>
      </c>
      <c r="I81" s="16">
        <v>17012050.32</v>
      </c>
      <c r="J81" s="16">
        <v>229031214.90000001</v>
      </c>
      <c r="K81" s="16">
        <v>0</v>
      </c>
      <c r="L81" s="16">
        <v>0</v>
      </c>
      <c r="M81" s="16">
        <v>0</v>
      </c>
      <c r="N81" s="18">
        <f t="shared" si="2"/>
        <v>757111244.66288018</v>
      </c>
      <c r="P81" s="10"/>
      <c r="Q81" s="4"/>
      <c r="R81" s="4"/>
      <c r="S81" s="4"/>
      <c r="T81" s="4"/>
      <c r="U81" s="4"/>
      <c r="V81" s="4"/>
      <c r="W81" s="4"/>
    </row>
    <row r="82" spans="1:23" ht="15" x14ac:dyDescent="0.2">
      <c r="A82" s="17" t="s">
        <v>77</v>
      </c>
      <c r="B82" s="16">
        <v>7288430820.4499989</v>
      </c>
      <c r="C82" s="16">
        <v>0</v>
      </c>
      <c r="D82" s="16">
        <v>129818264.06</v>
      </c>
      <c r="E82" s="16">
        <v>112679897.58</v>
      </c>
      <c r="F82" s="16">
        <v>176092040.52000001</v>
      </c>
      <c r="G82" s="16">
        <v>186732810.97873169</v>
      </c>
      <c r="H82" s="16">
        <v>420604525.69</v>
      </c>
      <c r="I82" s="16">
        <v>490296829.56999999</v>
      </c>
      <c r="J82" s="16">
        <v>1901154932.6300001</v>
      </c>
      <c r="K82" s="16">
        <v>0</v>
      </c>
      <c r="L82" s="16">
        <v>0</v>
      </c>
      <c r="M82" s="16">
        <v>0</v>
      </c>
      <c r="N82" s="18">
        <f t="shared" si="2"/>
        <v>10705810121.478733</v>
      </c>
      <c r="P82" s="10"/>
      <c r="Q82" s="4"/>
      <c r="R82" s="4"/>
      <c r="S82" s="4"/>
      <c r="T82" s="4"/>
      <c r="U82" s="4"/>
      <c r="V82" s="4"/>
      <c r="W82" s="4"/>
    </row>
    <row r="83" spans="1:23" ht="15" x14ac:dyDescent="0.2">
      <c r="A83" s="17" t="s">
        <v>78</v>
      </c>
      <c r="B83" s="16">
        <v>1884157958.3800001</v>
      </c>
      <c r="C83" s="16">
        <v>0</v>
      </c>
      <c r="D83" s="16">
        <v>51284973.332260638</v>
      </c>
      <c r="E83" s="16">
        <v>31558255.93</v>
      </c>
      <c r="F83" s="16">
        <v>19498528.469999999</v>
      </c>
      <c r="G83" s="16">
        <v>12348392.41</v>
      </c>
      <c r="H83" s="16">
        <v>108731959.45</v>
      </c>
      <c r="I83" s="16">
        <v>54290169.289999999</v>
      </c>
      <c r="J83" s="16">
        <v>411469866.41999996</v>
      </c>
      <c r="K83" s="16">
        <v>0</v>
      </c>
      <c r="L83" s="16">
        <v>0</v>
      </c>
      <c r="M83" s="16">
        <v>0</v>
      </c>
      <c r="N83" s="18">
        <f t="shared" si="2"/>
        <v>2573340103.682261</v>
      </c>
      <c r="P83" s="10"/>
      <c r="Q83" s="4"/>
      <c r="R83" s="4"/>
      <c r="S83" s="4"/>
      <c r="T83" s="4"/>
      <c r="U83" s="4"/>
      <c r="V83" s="4"/>
      <c r="W83" s="4"/>
    </row>
    <row r="84" spans="1:23" ht="15" x14ac:dyDescent="0.2">
      <c r="A84" s="17" t="s">
        <v>79</v>
      </c>
      <c r="B84" s="16">
        <v>792176122.57999992</v>
      </c>
      <c r="C84" s="16">
        <v>0</v>
      </c>
      <c r="D84" s="16">
        <v>11395909.321809269</v>
      </c>
      <c r="E84" s="16">
        <v>7532912.2999999998</v>
      </c>
      <c r="F84" s="16">
        <v>3913410.24</v>
      </c>
      <c r="G84" s="16">
        <v>1247222.228156887</v>
      </c>
      <c r="H84" s="16">
        <v>45715308.350000001</v>
      </c>
      <c r="I84" s="16">
        <v>10896191.73</v>
      </c>
      <c r="J84" s="16">
        <v>169202939.35999998</v>
      </c>
      <c r="K84" s="16">
        <v>0</v>
      </c>
      <c r="L84" s="16">
        <v>0</v>
      </c>
      <c r="M84" s="16">
        <v>0</v>
      </c>
      <c r="N84" s="18">
        <f t="shared" si="2"/>
        <v>1042080016.1099662</v>
      </c>
      <c r="P84" s="10"/>
      <c r="Q84" s="4"/>
      <c r="R84" s="4"/>
      <c r="S84" s="4"/>
      <c r="T84" s="4"/>
      <c r="U84" s="4"/>
      <c r="V84" s="4"/>
      <c r="W84" s="4"/>
    </row>
    <row r="85" spans="1:23" ht="15" x14ac:dyDescent="0.2">
      <c r="A85" s="17" t="s">
        <v>80</v>
      </c>
      <c r="B85" s="16">
        <v>633965691.24000001</v>
      </c>
      <c r="C85" s="16">
        <v>0</v>
      </c>
      <c r="D85" s="16">
        <v>10379762.415346026</v>
      </c>
      <c r="E85" s="16">
        <v>6223796.4100000001</v>
      </c>
      <c r="F85" s="16">
        <v>1850114.18</v>
      </c>
      <c r="G85" s="16">
        <v>1268002.3799999999</v>
      </c>
      <c r="H85" s="16">
        <v>36585219.159999996</v>
      </c>
      <c r="I85" s="16">
        <v>5151312.43</v>
      </c>
      <c r="J85" s="16">
        <v>99746189.860000014</v>
      </c>
      <c r="K85" s="16">
        <v>0</v>
      </c>
      <c r="L85" s="16">
        <v>0</v>
      </c>
      <c r="M85" s="16">
        <v>0</v>
      </c>
      <c r="N85" s="18">
        <f t="shared" si="2"/>
        <v>795170088.07534587</v>
      </c>
      <c r="P85" s="10"/>
      <c r="Q85" s="4"/>
      <c r="R85" s="4"/>
      <c r="S85" s="4"/>
      <c r="T85" s="4"/>
      <c r="U85" s="4"/>
      <c r="V85" s="4"/>
      <c r="W85" s="4"/>
    </row>
    <row r="86" spans="1:23" ht="15" x14ac:dyDescent="0.2">
      <c r="A86" s="17" t="s">
        <v>81</v>
      </c>
      <c r="B86" s="16">
        <v>7921468018.1399994</v>
      </c>
      <c r="C86" s="16">
        <v>0</v>
      </c>
      <c r="D86" s="16">
        <v>46618749.210000008</v>
      </c>
      <c r="E86" s="16">
        <v>128776081.61</v>
      </c>
      <c r="F86" s="16">
        <v>110485316.64</v>
      </c>
      <c r="G86" s="16">
        <v>43247313.17336756</v>
      </c>
      <c r="H86" s="16">
        <v>457136162.86000001</v>
      </c>
      <c r="I86" s="16">
        <v>307626626.99000001</v>
      </c>
      <c r="J86" s="16">
        <v>839333607.80000007</v>
      </c>
      <c r="K86" s="16">
        <v>0</v>
      </c>
      <c r="L86" s="16">
        <v>0</v>
      </c>
      <c r="M86" s="16">
        <v>0</v>
      </c>
      <c r="N86" s="18">
        <f t="shared" si="2"/>
        <v>9854691876.4233665</v>
      </c>
      <c r="P86" s="10"/>
      <c r="Q86" s="4"/>
      <c r="R86" s="4"/>
      <c r="S86" s="4"/>
      <c r="T86" s="4"/>
      <c r="U86" s="4"/>
      <c r="V86" s="4"/>
      <c r="W86" s="4"/>
    </row>
    <row r="87" spans="1:23" ht="15" x14ac:dyDescent="0.2">
      <c r="A87" s="17" t="s">
        <v>82</v>
      </c>
      <c r="B87" s="16">
        <v>1234285704.76</v>
      </c>
      <c r="C87" s="16">
        <v>0</v>
      </c>
      <c r="D87" s="16">
        <v>15753796.881814918</v>
      </c>
      <c r="E87" s="16">
        <v>11841229.859999999</v>
      </c>
      <c r="F87" s="16">
        <v>3136819.1</v>
      </c>
      <c r="G87" s="16">
        <v>3686960.77</v>
      </c>
      <c r="H87" s="16">
        <v>71228796.189999998</v>
      </c>
      <c r="I87" s="16">
        <v>8733912.4399999995</v>
      </c>
      <c r="J87" s="16">
        <v>189789547.81999996</v>
      </c>
      <c r="K87" s="16">
        <v>0</v>
      </c>
      <c r="L87" s="16">
        <v>0</v>
      </c>
      <c r="M87" s="16">
        <v>0</v>
      </c>
      <c r="N87" s="18">
        <f t="shared" si="2"/>
        <v>1538456767.8218148</v>
      </c>
      <c r="P87" s="10"/>
      <c r="Q87" s="4"/>
      <c r="R87" s="4"/>
      <c r="S87" s="4"/>
      <c r="T87" s="4"/>
      <c r="U87" s="4"/>
      <c r="V87" s="4"/>
      <c r="W87" s="4"/>
    </row>
    <row r="88" spans="1:23" ht="15" x14ac:dyDescent="0.2">
      <c r="A88" s="17" t="s">
        <v>83</v>
      </c>
      <c r="B88" s="16">
        <v>1133739615.9499998</v>
      </c>
      <c r="C88" s="16">
        <v>0</v>
      </c>
      <c r="D88" s="16">
        <v>13122866.482329901</v>
      </c>
      <c r="E88" s="16">
        <v>9489459.5499999989</v>
      </c>
      <c r="F88" s="16">
        <v>15394777.26</v>
      </c>
      <c r="G88" s="16">
        <v>7451952.4500000002</v>
      </c>
      <c r="H88" s="16">
        <v>65426430.630000003</v>
      </c>
      <c r="I88" s="16">
        <v>42864007.149999999</v>
      </c>
      <c r="J88" s="16">
        <v>288906330.04000002</v>
      </c>
      <c r="K88" s="16">
        <v>0</v>
      </c>
      <c r="L88" s="16">
        <v>0</v>
      </c>
      <c r="M88" s="16">
        <v>0</v>
      </c>
      <c r="N88" s="18">
        <f t="shared" si="2"/>
        <v>1576395439.5123298</v>
      </c>
      <c r="P88" s="10"/>
      <c r="Q88" s="4"/>
      <c r="R88" s="4"/>
      <c r="S88" s="4"/>
      <c r="T88" s="4"/>
      <c r="U88" s="4"/>
      <c r="V88" s="4"/>
      <c r="W88" s="4"/>
    </row>
    <row r="89" spans="1:23" ht="15" x14ac:dyDescent="0.2">
      <c r="A89" s="17" t="s">
        <v>84</v>
      </c>
      <c r="B89" s="16">
        <v>1604119386.3900001</v>
      </c>
      <c r="C89" s="16">
        <v>0</v>
      </c>
      <c r="D89" s="16">
        <v>27597508.694327399</v>
      </c>
      <c r="E89" s="16">
        <v>15839601.710000001</v>
      </c>
      <c r="F89" s="16">
        <v>12946992.449999999</v>
      </c>
      <c r="G89" s="16">
        <v>8115215.2300000004</v>
      </c>
      <c r="H89" s="16">
        <v>92571349.079999998</v>
      </c>
      <c r="I89" s="16">
        <v>36048587.619999997</v>
      </c>
      <c r="J89" s="16">
        <v>296690493.17000002</v>
      </c>
      <c r="K89" s="16">
        <v>0</v>
      </c>
      <c r="L89" s="16">
        <v>0</v>
      </c>
      <c r="M89" s="16">
        <v>0</v>
      </c>
      <c r="N89" s="18">
        <f t="shared" si="2"/>
        <v>2093929134.3443274</v>
      </c>
      <c r="P89" s="10"/>
      <c r="Q89" s="4"/>
      <c r="R89" s="4"/>
      <c r="S89" s="4"/>
      <c r="T89" s="4"/>
      <c r="U89" s="4"/>
      <c r="V89" s="4"/>
      <c r="W89" s="4"/>
    </row>
    <row r="90" spans="1:23" ht="15" x14ac:dyDescent="0.2">
      <c r="A90" s="17" t="s">
        <v>85</v>
      </c>
      <c r="B90" s="16">
        <v>7285523169.2799997</v>
      </c>
      <c r="C90" s="16">
        <v>0</v>
      </c>
      <c r="D90" s="16">
        <v>63194120.578903213</v>
      </c>
      <c r="E90" s="16">
        <v>119338658.09999999</v>
      </c>
      <c r="F90" s="16">
        <v>175623801.74000001</v>
      </c>
      <c r="G90" s="16">
        <v>69560057.670896292</v>
      </c>
      <c r="H90" s="16">
        <v>420436729.45999998</v>
      </c>
      <c r="I90" s="16">
        <v>488993102.35000002</v>
      </c>
      <c r="J90" s="16">
        <v>1729520430.2</v>
      </c>
      <c r="K90" s="16">
        <v>0</v>
      </c>
      <c r="L90" s="16">
        <v>0</v>
      </c>
      <c r="M90" s="16">
        <v>0</v>
      </c>
      <c r="N90" s="18">
        <f t="shared" si="2"/>
        <v>10352190069.379801</v>
      </c>
      <c r="P90" s="10"/>
      <c r="Q90" s="4"/>
      <c r="R90" s="4"/>
      <c r="S90" s="4"/>
      <c r="T90" s="4"/>
      <c r="U90" s="4"/>
      <c r="V90" s="4"/>
      <c r="W90" s="4"/>
    </row>
    <row r="91" spans="1:23" ht="15" x14ac:dyDescent="0.2">
      <c r="A91" s="17" t="s">
        <v>86</v>
      </c>
      <c r="B91" s="16">
        <v>336554514.38999999</v>
      </c>
      <c r="C91" s="16">
        <v>0</v>
      </c>
      <c r="D91" s="16">
        <v>17044886.630581811</v>
      </c>
      <c r="E91" s="16">
        <v>3228943.16</v>
      </c>
      <c r="F91" s="16">
        <v>4077103.47</v>
      </c>
      <c r="G91" s="16">
        <v>2770097.51</v>
      </c>
      <c r="H91" s="16">
        <v>19422061.539999999</v>
      </c>
      <c r="I91" s="16">
        <v>11351966.289999999</v>
      </c>
      <c r="J91" s="16">
        <v>133382322.7</v>
      </c>
      <c r="K91" s="16">
        <v>0</v>
      </c>
      <c r="L91" s="16">
        <v>0</v>
      </c>
      <c r="M91" s="16">
        <v>0</v>
      </c>
      <c r="N91" s="18">
        <f t="shared" si="2"/>
        <v>527831895.69058186</v>
      </c>
      <c r="P91" s="10"/>
      <c r="Q91" s="4"/>
      <c r="R91" s="4"/>
      <c r="S91" s="4"/>
      <c r="T91" s="4"/>
      <c r="U91" s="4"/>
      <c r="V91" s="4"/>
      <c r="W91" s="4"/>
    </row>
    <row r="92" spans="1:23" ht="15" x14ac:dyDescent="0.2">
      <c r="A92" s="17" t="s">
        <v>87</v>
      </c>
      <c r="B92" s="16">
        <v>466616927.67999995</v>
      </c>
      <c r="C92" s="16">
        <v>0</v>
      </c>
      <c r="D92" s="16">
        <v>3099407.8600000003</v>
      </c>
      <c r="E92" s="16">
        <v>4813458.96</v>
      </c>
      <c r="F92" s="16">
        <v>871761.62</v>
      </c>
      <c r="G92" s="16">
        <v>936370.99</v>
      </c>
      <c r="H92" s="16">
        <v>26927770.379999999</v>
      </c>
      <c r="I92" s="16">
        <v>2427264.5</v>
      </c>
      <c r="J92" s="16">
        <v>51864365.189999998</v>
      </c>
      <c r="K92" s="16">
        <v>0</v>
      </c>
      <c r="L92" s="16">
        <v>0</v>
      </c>
      <c r="M92" s="16">
        <v>0</v>
      </c>
      <c r="N92" s="18">
        <f t="shared" si="2"/>
        <v>557557327.17999995</v>
      </c>
      <c r="P92" s="10"/>
      <c r="Q92" s="4"/>
      <c r="R92" s="4"/>
      <c r="S92" s="4"/>
      <c r="T92" s="4"/>
      <c r="U92" s="4"/>
      <c r="V92" s="4"/>
      <c r="W92" s="4"/>
    </row>
    <row r="93" spans="1:23" ht="15" x14ac:dyDescent="0.2">
      <c r="A93" s="17" t="s">
        <v>88</v>
      </c>
      <c r="B93" s="16">
        <v>5278755180.7800007</v>
      </c>
      <c r="C93" s="16">
        <v>0</v>
      </c>
      <c r="D93" s="16">
        <v>86096335.760920495</v>
      </c>
      <c r="E93" s="16">
        <v>80307520.989999995</v>
      </c>
      <c r="F93" s="16">
        <v>142336973.75</v>
      </c>
      <c r="G93" s="16">
        <v>37699238.183829457</v>
      </c>
      <c r="H93" s="16">
        <v>304629127.13999999</v>
      </c>
      <c r="I93" s="16">
        <v>396311876.20999998</v>
      </c>
      <c r="J93" s="16">
        <v>1785442865.0199997</v>
      </c>
      <c r="K93" s="16">
        <v>0</v>
      </c>
      <c r="L93" s="16">
        <v>0</v>
      </c>
      <c r="M93" s="16">
        <v>0</v>
      </c>
      <c r="N93" s="18">
        <f t="shared" si="2"/>
        <v>8111579117.8347502</v>
      </c>
      <c r="P93" s="10"/>
      <c r="Q93" s="4"/>
      <c r="R93" s="4"/>
      <c r="S93" s="4"/>
      <c r="T93" s="4"/>
      <c r="U93" s="4"/>
      <c r="V93" s="4"/>
      <c r="W93" s="4"/>
    </row>
    <row r="94" spans="1:23" ht="15" x14ac:dyDescent="0.2">
      <c r="A94" s="17" t="s">
        <v>89</v>
      </c>
      <c r="B94" s="16">
        <v>2714597793.0900002</v>
      </c>
      <c r="C94" s="16">
        <v>0</v>
      </c>
      <c r="D94" s="16">
        <v>103315166.88000003</v>
      </c>
      <c r="E94" s="16">
        <v>45467122.469999999</v>
      </c>
      <c r="F94" s="16">
        <v>64361893.960000001</v>
      </c>
      <c r="G94" s="16">
        <v>45392323.070021912</v>
      </c>
      <c r="H94" s="16">
        <v>156655409.84</v>
      </c>
      <c r="I94" s="16">
        <v>179204196.06999999</v>
      </c>
      <c r="J94" s="16">
        <v>843240034.01000011</v>
      </c>
      <c r="K94" s="16">
        <v>0</v>
      </c>
      <c r="L94" s="16">
        <v>0</v>
      </c>
      <c r="M94" s="16">
        <v>0</v>
      </c>
      <c r="N94" s="18">
        <f t="shared" si="2"/>
        <v>4152233939.3900228</v>
      </c>
      <c r="P94" s="10"/>
      <c r="Q94" s="4"/>
      <c r="R94" s="4"/>
      <c r="S94" s="4"/>
      <c r="T94" s="4"/>
      <c r="U94" s="4"/>
      <c r="V94" s="4"/>
      <c r="W94" s="4"/>
    </row>
    <row r="95" spans="1:23" ht="15" x14ac:dyDescent="0.2">
      <c r="A95" s="17" t="s">
        <v>90</v>
      </c>
      <c r="B95" s="16">
        <v>551720700.98000002</v>
      </c>
      <c r="C95" s="16">
        <v>0</v>
      </c>
      <c r="D95" s="16">
        <v>15076680.123149414</v>
      </c>
      <c r="E95" s="16">
        <v>5259655.1400000006</v>
      </c>
      <c r="F95" s="16">
        <v>3155853.2</v>
      </c>
      <c r="G95" s="16">
        <v>2223881.1</v>
      </c>
      <c r="H95" s="16">
        <v>31838982.84</v>
      </c>
      <c r="I95" s="16">
        <v>8786909.4800000004</v>
      </c>
      <c r="J95" s="16">
        <v>134778729.55000001</v>
      </c>
      <c r="K95" s="16">
        <v>0</v>
      </c>
      <c r="L95" s="16">
        <v>0</v>
      </c>
      <c r="M95" s="16">
        <v>0</v>
      </c>
      <c r="N95" s="18">
        <f t="shared" si="2"/>
        <v>752841392.4131496</v>
      </c>
      <c r="P95" s="10"/>
      <c r="Q95" s="4"/>
      <c r="R95" s="4"/>
      <c r="S95" s="4"/>
      <c r="T95" s="4"/>
      <c r="U95" s="4"/>
      <c r="V95" s="4"/>
      <c r="W95" s="4"/>
    </row>
    <row r="96" spans="1:23" ht="15" x14ac:dyDescent="0.2">
      <c r="A96" s="17" t="s">
        <v>91</v>
      </c>
      <c r="B96" s="16">
        <v>1698483662.1999998</v>
      </c>
      <c r="C96" s="16">
        <v>0</v>
      </c>
      <c r="D96" s="16">
        <v>62038833.977079973</v>
      </c>
      <c r="E96" s="16">
        <v>26402158.43</v>
      </c>
      <c r="F96" s="16">
        <v>17686482.48</v>
      </c>
      <c r="G96" s="16">
        <v>11373005.960000001</v>
      </c>
      <c r="H96" s="16">
        <v>98016971.379999995</v>
      </c>
      <c r="I96" s="16">
        <v>49244850.950000003</v>
      </c>
      <c r="J96" s="16">
        <v>456734526.05000001</v>
      </c>
      <c r="K96" s="16">
        <v>0</v>
      </c>
      <c r="L96" s="16">
        <v>0</v>
      </c>
      <c r="M96" s="16">
        <v>0</v>
      </c>
      <c r="N96" s="18">
        <f t="shared" si="2"/>
        <v>2419980491.4270797</v>
      </c>
      <c r="P96" s="10"/>
      <c r="Q96" s="4"/>
      <c r="R96" s="4"/>
      <c r="S96" s="4"/>
      <c r="T96" s="4"/>
      <c r="U96" s="4"/>
      <c r="V96" s="4"/>
      <c r="W96" s="4"/>
    </row>
    <row r="97" spans="1:23" ht="15" x14ac:dyDescent="0.2">
      <c r="A97" s="17" t="s">
        <v>92</v>
      </c>
      <c r="B97" s="16">
        <v>862228525.14999986</v>
      </c>
      <c r="C97" s="16">
        <v>0</v>
      </c>
      <c r="D97" s="16">
        <v>41594604.888434842</v>
      </c>
      <c r="E97" s="16">
        <v>8530874.5999999996</v>
      </c>
      <c r="F97" s="16">
        <v>8165627.4000000004</v>
      </c>
      <c r="G97" s="16">
        <v>5852318.6799999997</v>
      </c>
      <c r="H97" s="16">
        <v>49757928.530000001</v>
      </c>
      <c r="I97" s="16">
        <v>22735730.800000001</v>
      </c>
      <c r="J97" s="16">
        <v>310403969.51999998</v>
      </c>
      <c r="K97" s="16">
        <v>0</v>
      </c>
      <c r="L97" s="16">
        <v>0</v>
      </c>
      <c r="M97" s="16">
        <v>0</v>
      </c>
      <c r="N97" s="18">
        <f t="shared" si="2"/>
        <v>1309269579.5684347</v>
      </c>
      <c r="P97" s="10"/>
      <c r="Q97" s="4"/>
      <c r="R97" s="4"/>
      <c r="S97" s="4"/>
      <c r="T97" s="4"/>
      <c r="U97" s="4"/>
      <c r="V97" s="4"/>
      <c r="W97" s="4"/>
    </row>
    <row r="98" spans="1:23" ht="15" x14ac:dyDescent="0.2">
      <c r="A98" s="17" t="s">
        <v>93</v>
      </c>
      <c r="B98" s="16">
        <v>2480861733.46</v>
      </c>
      <c r="C98" s="16">
        <v>0</v>
      </c>
      <c r="D98" s="16">
        <v>56069774.765824229</v>
      </c>
      <c r="E98" s="16">
        <v>38649347.950000003</v>
      </c>
      <c r="F98" s="16">
        <v>18988414.68</v>
      </c>
      <c r="G98" s="16">
        <v>14006549.369999999</v>
      </c>
      <c r="H98" s="16">
        <v>143166848.72999999</v>
      </c>
      <c r="I98" s="16">
        <v>52869848.579999998</v>
      </c>
      <c r="J98" s="16">
        <v>598470113.6099999</v>
      </c>
      <c r="K98" s="16">
        <v>0</v>
      </c>
      <c r="L98" s="16">
        <v>0</v>
      </c>
      <c r="M98" s="16">
        <v>0</v>
      </c>
      <c r="N98" s="18">
        <f t="shared" si="2"/>
        <v>3403082631.1458235</v>
      </c>
      <c r="P98" s="10"/>
      <c r="Q98" s="4"/>
      <c r="R98" s="4"/>
      <c r="S98" s="4"/>
      <c r="T98" s="4"/>
      <c r="U98" s="4"/>
      <c r="V98" s="4"/>
      <c r="W98" s="4"/>
    </row>
    <row r="99" spans="1:23" ht="15" x14ac:dyDescent="0.2">
      <c r="A99" s="17" t="s">
        <v>94</v>
      </c>
      <c r="B99" s="16">
        <v>1759617638.9300003</v>
      </c>
      <c r="C99" s="16">
        <v>0</v>
      </c>
      <c r="D99" s="16">
        <v>15448977.551283281</v>
      </c>
      <c r="E99" s="16">
        <v>16968499.77</v>
      </c>
      <c r="F99" s="16">
        <v>7038808.8899999997</v>
      </c>
      <c r="G99" s="16">
        <v>4194161.72</v>
      </c>
      <c r="H99" s="16">
        <v>101544922.45</v>
      </c>
      <c r="I99" s="16">
        <v>19598305.940000001</v>
      </c>
      <c r="J99" s="16">
        <v>392430137.16000003</v>
      </c>
      <c r="K99" s="16">
        <v>0</v>
      </c>
      <c r="L99" s="16">
        <v>0</v>
      </c>
      <c r="M99" s="16">
        <v>0</v>
      </c>
      <c r="N99" s="18">
        <f t="shared" si="2"/>
        <v>2316841452.411284</v>
      </c>
      <c r="P99" s="10"/>
      <c r="Q99" s="4"/>
      <c r="R99" s="4"/>
      <c r="S99" s="4"/>
      <c r="T99" s="4"/>
      <c r="U99" s="4"/>
      <c r="V99" s="4"/>
      <c r="W99" s="4"/>
    </row>
    <row r="100" spans="1:23" ht="15" x14ac:dyDescent="0.2">
      <c r="A100" s="17" t="s">
        <v>95</v>
      </c>
      <c r="B100" s="16">
        <v>1859137497.9000001</v>
      </c>
      <c r="C100" s="16">
        <v>0</v>
      </c>
      <c r="D100" s="16">
        <v>39487166.416579142</v>
      </c>
      <c r="E100" s="16">
        <v>18512671.900000002</v>
      </c>
      <c r="F100" s="16">
        <v>7902956.8700000001</v>
      </c>
      <c r="G100" s="16">
        <v>4993978.5999999996</v>
      </c>
      <c r="H100" s="16">
        <v>107288065.81</v>
      </c>
      <c r="I100" s="16">
        <v>22004371.620000001</v>
      </c>
      <c r="J100" s="16">
        <v>303470531.45999998</v>
      </c>
      <c r="K100" s="16">
        <v>0</v>
      </c>
      <c r="L100" s="16">
        <v>0</v>
      </c>
      <c r="M100" s="16">
        <v>0</v>
      </c>
      <c r="N100" s="18">
        <f t="shared" si="2"/>
        <v>2362797240.5765791</v>
      </c>
      <c r="P100" s="10"/>
      <c r="Q100" s="4"/>
      <c r="R100" s="4"/>
      <c r="S100" s="4"/>
      <c r="T100" s="4"/>
      <c r="U100" s="4"/>
      <c r="V100" s="4"/>
      <c r="W100" s="4"/>
    </row>
    <row r="101" spans="1:23" ht="15" x14ac:dyDescent="0.2">
      <c r="A101" s="17" t="s">
        <v>96</v>
      </c>
      <c r="B101" s="16">
        <v>380951171.31000006</v>
      </c>
      <c r="C101" s="16">
        <v>0</v>
      </c>
      <c r="D101" s="16">
        <v>10774074.115797395</v>
      </c>
      <c r="E101" s="16">
        <v>3793754.56</v>
      </c>
      <c r="F101" s="16">
        <v>944091.18</v>
      </c>
      <c r="G101" s="16">
        <v>799816.89</v>
      </c>
      <c r="H101" s="16">
        <v>21984126.719999999</v>
      </c>
      <c r="I101" s="16">
        <v>2628653.2599999998</v>
      </c>
      <c r="J101" s="16">
        <v>70037561.019999996</v>
      </c>
      <c r="K101" s="16">
        <v>0</v>
      </c>
      <c r="L101" s="16">
        <v>0</v>
      </c>
      <c r="M101" s="16">
        <v>0</v>
      </c>
      <c r="N101" s="18">
        <f t="shared" si="2"/>
        <v>491913249.05579746</v>
      </c>
      <c r="P101" s="10"/>
      <c r="Q101" s="4"/>
      <c r="R101" s="4"/>
      <c r="S101" s="4"/>
      <c r="T101" s="4"/>
      <c r="U101" s="4"/>
      <c r="V101" s="4"/>
      <c r="W101" s="4"/>
    </row>
    <row r="102" spans="1:23" ht="15" x14ac:dyDescent="0.2">
      <c r="A102" s="17" t="s">
        <v>97</v>
      </c>
      <c r="B102" s="16">
        <v>1055746149.28</v>
      </c>
      <c r="C102" s="16">
        <v>0</v>
      </c>
      <c r="D102" s="16">
        <v>74338017.077027887</v>
      </c>
      <c r="E102" s="16">
        <v>16769952.460000001</v>
      </c>
      <c r="F102" s="16">
        <v>18280346.289999999</v>
      </c>
      <c r="G102" s="16">
        <v>12836085.630000001</v>
      </c>
      <c r="H102" s="16">
        <v>60925543.420000002</v>
      </c>
      <c r="I102" s="16">
        <v>50898358.640000001</v>
      </c>
      <c r="J102" s="16">
        <v>451073369.72999996</v>
      </c>
      <c r="K102" s="16">
        <v>0</v>
      </c>
      <c r="L102" s="16">
        <v>0</v>
      </c>
      <c r="M102" s="16">
        <v>0</v>
      </c>
      <c r="N102" s="18">
        <f t="shared" si="2"/>
        <v>1740867822.5270281</v>
      </c>
      <c r="P102" s="10"/>
      <c r="Q102" s="4"/>
      <c r="R102" s="4"/>
      <c r="S102" s="4"/>
      <c r="T102" s="4"/>
      <c r="U102" s="4"/>
      <c r="V102" s="4"/>
      <c r="W102" s="4"/>
    </row>
    <row r="103" spans="1:23" ht="15" x14ac:dyDescent="0.2">
      <c r="A103" s="17" t="s">
        <v>98</v>
      </c>
      <c r="B103" s="16">
        <v>391873188.75</v>
      </c>
      <c r="C103" s="16">
        <v>0</v>
      </c>
      <c r="D103" s="16">
        <v>10223572.648174154</v>
      </c>
      <c r="E103" s="16">
        <v>3809698.7600000002</v>
      </c>
      <c r="F103" s="16">
        <v>453011.49</v>
      </c>
      <c r="G103" s="16">
        <v>507200.95</v>
      </c>
      <c r="H103" s="16">
        <v>22614420.140000001</v>
      </c>
      <c r="I103" s="16">
        <v>1261329.5900000001</v>
      </c>
      <c r="J103" s="16">
        <v>99004952.489999995</v>
      </c>
      <c r="K103" s="16">
        <v>0</v>
      </c>
      <c r="L103" s="16">
        <v>0</v>
      </c>
      <c r="M103" s="16">
        <v>0</v>
      </c>
      <c r="N103" s="18">
        <f t="shared" si="2"/>
        <v>529747374.81817412</v>
      </c>
      <c r="P103" s="10"/>
      <c r="Q103" s="4"/>
      <c r="R103" s="4"/>
      <c r="S103" s="4"/>
      <c r="T103" s="4"/>
      <c r="U103" s="4"/>
      <c r="V103" s="4"/>
      <c r="W103" s="4"/>
    </row>
    <row r="104" spans="1:23" ht="15" x14ac:dyDescent="0.2">
      <c r="A104" s="17" t="s">
        <v>99</v>
      </c>
      <c r="B104" s="16">
        <v>5875336785.6300001</v>
      </c>
      <c r="C104" s="16">
        <v>0</v>
      </c>
      <c r="D104" s="16">
        <v>94804645.780350402</v>
      </c>
      <c r="E104" s="16">
        <v>90757735.5</v>
      </c>
      <c r="F104" s="16">
        <v>92836902.349999994</v>
      </c>
      <c r="G104" s="16">
        <v>25517900.303257652</v>
      </c>
      <c r="H104" s="16">
        <v>339056966.14999998</v>
      </c>
      <c r="I104" s="16">
        <v>258487770.13</v>
      </c>
      <c r="J104" s="16">
        <v>1095432281.2999997</v>
      </c>
      <c r="K104" s="16">
        <v>0</v>
      </c>
      <c r="L104" s="16">
        <v>0</v>
      </c>
      <c r="M104" s="16">
        <v>0</v>
      </c>
      <c r="N104" s="18">
        <f t="shared" ref="N104:N135" si="3">SUM(B104:M104)</f>
        <v>7872230987.1436081</v>
      </c>
      <c r="P104" s="10"/>
      <c r="Q104" s="4"/>
      <c r="R104" s="4"/>
      <c r="S104" s="4"/>
      <c r="T104" s="4"/>
      <c r="U104" s="4"/>
      <c r="V104" s="4"/>
      <c r="W104" s="4"/>
    </row>
    <row r="105" spans="1:23" ht="15" x14ac:dyDescent="0.2">
      <c r="A105" s="17" t="s">
        <v>100</v>
      </c>
      <c r="B105" s="16">
        <v>1007024666.6299998</v>
      </c>
      <c r="C105" s="16">
        <v>0</v>
      </c>
      <c r="D105" s="16">
        <v>33259250.840000004</v>
      </c>
      <c r="E105" s="16">
        <v>16135840.33</v>
      </c>
      <c r="F105" s="16">
        <v>4000967.08</v>
      </c>
      <c r="G105" s="16">
        <v>4389239.01</v>
      </c>
      <c r="H105" s="16">
        <v>58113898.960000001</v>
      </c>
      <c r="I105" s="16">
        <v>11139978.119999999</v>
      </c>
      <c r="J105" s="16">
        <v>143048853.96000001</v>
      </c>
      <c r="K105" s="16">
        <v>0</v>
      </c>
      <c r="L105" s="16">
        <v>0</v>
      </c>
      <c r="M105" s="16">
        <v>0</v>
      </c>
      <c r="N105" s="18">
        <f t="shared" si="3"/>
        <v>1277112694.9299998</v>
      </c>
      <c r="P105" s="10"/>
      <c r="Q105" s="4"/>
      <c r="R105" s="4"/>
      <c r="S105" s="4"/>
      <c r="T105" s="4"/>
      <c r="U105" s="4"/>
      <c r="V105" s="4"/>
      <c r="W105" s="4"/>
    </row>
    <row r="106" spans="1:23" ht="15" x14ac:dyDescent="0.2">
      <c r="A106" s="17" t="s">
        <v>101</v>
      </c>
      <c r="B106" s="16">
        <v>1073949511.6299999</v>
      </c>
      <c r="C106" s="16">
        <v>0</v>
      </c>
      <c r="D106" s="16">
        <v>12075087.190000001</v>
      </c>
      <c r="E106" s="16">
        <v>10295608.24</v>
      </c>
      <c r="F106" s="16">
        <v>28349383.350000001</v>
      </c>
      <c r="G106" s="16">
        <v>11776907.676440854</v>
      </c>
      <c r="H106" s="16">
        <v>61976032.439999998</v>
      </c>
      <c r="I106" s="16">
        <v>78933793.579999998</v>
      </c>
      <c r="J106" s="16">
        <v>375959562.34999996</v>
      </c>
      <c r="K106" s="16">
        <v>0</v>
      </c>
      <c r="L106" s="16">
        <v>0</v>
      </c>
      <c r="M106" s="16">
        <v>0</v>
      </c>
      <c r="N106" s="18">
        <f t="shared" si="3"/>
        <v>1653315886.4564407</v>
      </c>
      <c r="P106" s="10"/>
      <c r="Q106" s="4"/>
      <c r="R106" s="4"/>
      <c r="S106" s="4"/>
      <c r="T106" s="4"/>
      <c r="U106" s="4"/>
      <c r="V106" s="4"/>
      <c r="W106" s="4"/>
    </row>
    <row r="107" spans="1:23" ht="15" x14ac:dyDescent="0.2">
      <c r="A107" s="17" t="s">
        <v>102</v>
      </c>
      <c r="B107" s="16">
        <v>1441535261.28</v>
      </c>
      <c r="C107" s="16">
        <v>0</v>
      </c>
      <c r="D107" s="16">
        <v>12137506.70364741</v>
      </c>
      <c r="E107" s="16">
        <v>14269580.640000001</v>
      </c>
      <c r="F107" s="16">
        <v>1576023.19</v>
      </c>
      <c r="G107" s="16">
        <v>1853234.25</v>
      </c>
      <c r="H107" s="16">
        <v>83188860.510000005</v>
      </c>
      <c r="I107" s="16">
        <v>4388155.03</v>
      </c>
      <c r="J107" s="16">
        <v>174180822.42999998</v>
      </c>
      <c r="K107" s="16">
        <v>0</v>
      </c>
      <c r="L107" s="16">
        <v>0</v>
      </c>
      <c r="M107" s="16">
        <v>0</v>
      </c>
      <c r="N107" s="18">
        <f t="shared" si="3"/>
        <v>1733129444.0336475</v>
      </c>
      <c r="P107" s="10"/>
      <c r="Q107" s="4"/>
      <c r="R107" s="4"/>
      <c r="S107" s="4"/>
      <c r="T107" s="4"/>
      <c r="U107" s="4"/>
      <c r="V107" s="4"/>
      <c r="W107" s="4"/>
    </row>
    <row r="108" spans="1:23" ht="15" x14ac:dyDescent="0.2">
      <c r="A108" s="17" t="s">
        <v>103</v>
      </c>
      <c r="B108" s="16">
        <v>526846844.76000011</v>
      </c>
      <c r="C108" s="16">
        <v>0</v>
      </c>
      <c r="D108" s="16">
        <v>11918942.443427103</v>
      </c>
      <c r="E108" s="16">
        <v>5059627.84</v>
      </c>
      <c r="F108" s="16">
        <v>1598864.1</v>
      </c>
      <c r="G108" s="16">
        <v>1365541.02</v>
      </c>
      <c r="H108" s="16">
        <v>30403549.510000002</v>
      </c>
      <c r="I108" s="16">
        <v>4451751.4800000004</v>
      </c>
      <c r="J108" s="16">
        <v>92918726.449999988</v>
      </c>
      <c r="K108" s="16">
        <v>0</v>
      </c>
      <c r="L108" s="16">
        <v>0</v>
      </c>
      <c r="M108" s="16">
        <v>0</v>
      </c>
      <c r="N108" s="18">
        <f t="shared" si="3"/>
        <v>674563847.60342717</v>
      </c>
      <c r="P108" s="10"/>
      <c r="Q108" s="4"/>
      <c r="R108" s="4"/>
      <c r="S108" s="4"/>
      <c r="T108" s="4"/>
      <c r="U108" s="4"/>
      <c r="V108" s="4"/>
      <c r="W108" s="4"/>
    </row>
    <row r="109" spans="1:23" ht="15" x14ac:dyDescent="0.2">
      <c r="A109" s="17" t="s">
        <v>104</v>
      </c>
      <c r="B109" s="16">
        <v>4827140755.71</v>
      </c>
      <c r="C109" s="16">
        <v>0</v>
      </c>
      <c r="D109" s="16">
        <v>136925719.26309127</v>
      </c>
      <c r="E109" s="16">
        <v>78272996.930000007</v>
      </c>
      <c r="F109" s="16">
        <v>163244025.37</v>
      </c>
      <c r="G109" s="16">
        <v>111150451.31769201</v>
      </c>
      <c r="H109" s="16">
        <v>278567128.92000002</v>
      </c>
      <c r="I109" s="16">
        <v>454523826.56999999</v>
      </c>
      <c r="J109" s="16">
        <v>1695374330.7199998</v>
      </c>
      <c r="K109" s="16">
        <v>0</v>
      </c>
      <c r="L109" s="16">
        <v>0</v>
      </c>
      <c r="M109" s="16">
        <v>0</v>
      </c>
      <c r="N109" s="18">
        <f t="shared" si="3"/>
        <v>7745199234.8007832</v>
      </c>
      <c r="P109" s="10"/>
      <c r="Q109" s="4"/>
      <c r="R109" s="4"/>
      <c r="S109" s="4"/>
      <c r="T109" s="4"/>
      <c r="U109" s="4"/>
      <c r="V109" s="4"/>
      <c r="W109" s="4"/>
    </row>
    <row r="110" spans="1:23" ht="15" x14ac:dyDescent="0.2">
      <c r="A110" s="17" t="s">
        <v>105</v>
      </c>
      <c r="B110" s="16">
        <v>558464496.98000002</v>
      </c>
      <c r="C110" s="16">
        <v>0</v>
      </c>
      <c r="D110" s="16">
        <v>17923820.908558875</v>
      </c>
      <c r="E110" s="16">
        <v>8971656.3100000005</v>
      </c>
      <c r="F110" s="16">
        <v>6239376.8300000001</v>
      </c>
      <c r="G110" s="16">
        <v>4428254.47</v>
      </c>
      <c r="H110" s="16">
        <v>32228157.289999999</v>
      </c>
      <c r="I110" s="16">
        <v>17372430.199999999</v>
      </c>
      <c r="J110" s="16">
        <v>196442533.55999997</v>
      </c>
      <c r="K110" s="16">
        <v>0</v>
      </c>
      <c r="L110" s="16">
        <v>0</v>
      </c>
      <c r="M110" s="16">
        <v>0</v>
      </c>
      <c r="N110" s="18">
        <f t="shared" si="3"/>
        <v>842070726.54855883</v>
      </c>
      <c r="P110" s="10"/>
      <c r="Q110" s="4"/>
      <c r="R110" s="4"/>
      <c r="S110" s="4"/>
      <c r="T110" s="4"/>
      <c r="U110" s="4"/>
      <c r="V110" s="4"/>
      <c r="W110" s="4"/>
    </row>
    <row r="111" spans="1:23" ht="15" x14ac:dyDescent="0.2">
      <c r="A111" s="17" t="s">
        <v>106</v>
      </c>
      <c r="B111" s="16">
        <v>666731743.50999999</v>
      </c>
      <c r="C111" s="16">
        <v>0</v>
      </c>
      <c r="D111" s="16">
        <v>19652883.013351962</v>
      </c>
      <c r="E111" s="16">
        <v>6416093.1899999995</v>
      </c>
      <c r="F111" s="16">
        <v>2173693.8199999998</v>
      </c>
      <c r="G111" s="16">
        <v>1853234.25</v>
      </c>
      <c r="H111" s="16">
        <v>38476099.409999996</v>
      </c>
      <c r="I111" s="16">
        <v>6052262.1399999997</v>
      </c>
      <c r="J111" s="16">
        <v>153039749.72</v>
      </c>
      <c r="K111" s="16">
        <v>0</v>
      </c>
      <c r="L111" s="16">
        <v>0</v>
      </c>
      <c r="M111" s="16">
        <v>0</v>
      </c>
      <c r="N111" s="18">
        <f t="shared" si="3"/>
        <v>894395759.053352</v>
      </c>
      <c r="P111" s="10"/>
      <c r="Q111" s="4"/>
      <c r="R111" s="4"/>
      <c r="S111" s="4"/>
      <c r="T111" s="4"/>
      <c r="U111" s="4"/>
      <c r="V111" s="4"/>
      <c r="W111" s="4"/>
    </row>
    <row r="112" spans="1:23" ht="15" x14ac:dyDescent="0.2">
      <c r="A112" s="17" t="s">
        <v>107</v>
      </c>
      <c r="B112" s="16">
        <v>959647056.38999987</v>
      </c>
      <c r="C112" s="16">
        <v>0</v>
      </c>
      <c r="D112" s="16">
        <v>23662193.312281013</v>
      </c>
      <c r="E112" s="16">
        <v>9400316.9499999993</v>
      </c>
      <c r="F112" s="16">
        <v>2641932.59</v>
      </c>
      <c r="G112" s="16">
        <v>2204373.37</v>
      </c>
      <c r="H112" s="16">
        <v>55379807.390000001</v>
      </c>
      <c r="I112" s="16">
        <v>7355989.3600000003</v>
      </c>
      <c r="J112" s="16">
        <v>160537020.02000004</v>
      </c>
      <c r="K112" s="16">
        <v>0</v>
      </c>
      <c r="L112" s="16">
        <v>0</v>
      </c>
      <c r="M112" s="16">
        <v>0</v>
      </c>
      <c r="N112" s="18">
        <f t="shared" si="3"/>
        <v>1220828689.3822811</v>
      </c>
      <c r="P112" s="10"/>
      <c r="Q112" s="4"/>
      <c r="R112" s="4"/>
      <c r="S112" s="4"/>
      <c r="T112" s="4"/>
      <c r="U112" s="4"/>
      <c r="V112" s="4"/>
      <c r="W112" s="4"/>
    </row>
    <row r="113" spans="1:23" ht="15" x14ac:dyDescent="0.2">
      <c r="A113" s="17" t="s">
        <v>108</v>
      </c>
      <c r="B113" s="16">
        <v>759605542.6500001</v>
      </c>
      <c r="C113" s="16">
        <v>0</v>
      </c>
      <c r="D113" s="16">
        <v>30838266.444153719</v>
      </c>
      <c r="E113" s="16">
        <v>7439904.4399999995</v>
      </c>
      <c r="F113" s="16">
        <v>3723069.27</v>
      </c>
      <c r="G113" s="16">
        <v>2848128.42</v>
      </c>
      <c r="H113" s="16">
        <v>43835708.520000003</v>
      </c>
      <c r="I113" s="16">
        <v>10366221.310000001</v>
      </c>
      <c r="J113" s="16">
        <v>156778724.19999999</v>
      </c>
      <c r="K113" s="16">
        <v>0</v>
      </c>
      <c r="L113" s="16">
        <v>0</v>
      </c>
      <c r="M113" s="16">
        <v>0</v>
      </c>
      <c r="N113" s="18">
        <f t="shared" si="3"/>
        <v>1015435565.2541537</v>
      </c>
      <c r="P113" s="10"/>
      <c r="Q113" s="4"/>
      <c r="R113" s="4"/>
      <c r="S113" s="4"/>
      <c r="T113" s="4"/>
      <c r="U113" s="4"/>
      <c r="V113" s="4"/>
      <c r="W113" s="4"/>
    </row>
    <row r="114" spans="1:23" ht="15" x14ac:dyDescent="0.2">
      <c r="A114" s="17" t="s">
        <v>109</v>
      </c>
      <c r="B114" s="16">
        <v>464882110.60000002</v>
      </c>
      <c r="C114" s="16">
        <v>0</v>
      </c>
      <c r="D114" s="16">
        <v>8610200.6403879318</v>
      </c>
      <c r="E114" s="16">
        <v>4607392.2</v>
      </c>
      <c r="F114" s="16">
        <v>2253637.02</v>
      </c>
      <c r="G114" s="16">
        <v>1560618.31</v>
      </c>
      <c r="H114" s="16">
        <v>26827656.66</v>
      </c>
      <c r="I114" s="16">
        <v>6274849.71</v>
      </c>
      <c r="J114" s="16">
        <v>119763696.61</v>
      </c>
      <c r="K114" s="16">
        <v>0</v>
      </c>
      <c r="L114" s="16">
        <v>0</v>
      </c>
      <c r="M114" s="16">
        <v>0</v>
      </c>
      <c r="N114" s="18">
        <f t="shared" si="3"/>
        <v>634780161.75038791</v>
      </c>
      <c r="P114" s="10"/>
      <c r="Q114" s="4"/>
      <c r="R114" s="4"/>
      <c r="S114" s="4"/>
      <c r="T114" s="4"/>
      <c r="U114" s="4"/>
      <c r="V114" s="4"/>
      <c r="W114" s="4"/>
    </row>
    <row r="115" spans="1:23" ht="15" x14ac:dyDescent="0.2">
      <c r="A115" s="17" t="s">
        <v>110</v>
      </c>
      <c r="B115" s="16">
        <v>1153628927.3299999</v>
      </c>
      <c r="C115" s="16">
        <v>0</v>
      </c>
      <c r="D115" s="16">
        <v>14734477.319615275</v>
      </c>
      <c r="E115" s="16">
        <v>12006228.210000001</v>
      </c>
      <c r="F115" s="16">
        <v>2333580.23</v>
      </c>
      <c r="G115" s="16">
        <v>2516497.0299999998</v>
      </c>
      <c r="H115" s="16">
        <v>66574213.270000003</v>
      </c>
      <c r="I115" s="16">
        <v>6497437.29</v>
      </c>
      <c r="J115" s="16">
        <v>160472030.03999999</v>
      </c>
      <c r="K115" s="16">
        <v>0</v>
      </c>
      <c r="L115" s="16">
        <v>0</v>
      </c>
      <c r="M115" s="16">
        <v>0</v>
      </c>
      <c r="N115" s="18">
        <f t="shared" si="3"/>
        <v>1418763390.7196152</v>
      </c>
      <c r="P115" s="10"/>
      <c r="Q115" s="4"/>
      <c r="R115" s="4"/>
      <c r="S115" s="4"/>
      <c r="T115" s="4"/>
      <c r="U115" s="4"/>
      <c r="V115" s="4"/>
      <c r="W115" s="4"/>
    </row>
    <row r="116" spans="1:23" ht="15" x14ac:dyDescent="0.2">
      <c r="A116" s="17" t="s">
        <v>111</v>
      </c>
      <c r="B116" s="16">
        <v>726668452.09000003</v>
      </c>
      <c r="C116" s="16">
        <v>0</v>
      </c>
      <c r="D116" s="16">
        <v>25295333.39598278</v>
      </c>
      <c r="E116" s="16">
        <v>7222725.0299999993</v>
      </c>
      <c r="F116" s="16">
        <v>6441138.2599999998</v>
      </c>
      <c r="G116" s="16">
        <v>3960068.97</v>
      </c>
      <c r="H116" s="16">
        <v>41934957.909999996</v>
      </c>
      <c r="I116" s="16">
        <v>17934198.84</v>
      </c>
      <c r="J116" s="16">
        <v>217696021.40999997</v>
      </c>
      <c r="K116" s="16">
        <v>0</v>
      </c>
      <c r="L116" s="16">
        <v>0</v>
      </c>
      <c r="M116" s="16">
        <v>0</v>
      </c>
      <c r="N116" s="18">
        <f t="shared" si="3"/>
        <v>1047152895.9059827</v>
      </c>
      <c r="P116" s="10"/>
      <c r="Q116" s="4"/>
      <c r="R116" s="4"/>
      <c r="S116" s="4"/>
      <c r="T116" s="4"/>
      <c r="U116" s="4"/>
      <c r="V116" s="4"/>
      <c r="W116" s="4"/>
    </row>
    <row r="117" spans="1:23" ht="15" x14ac:dyDescent="0.2">
      <c r="A117" s="17" t="s">
        <v>112</v>
      </c>
      <c r="B117" s="16">
        <v>393363665.41000003</v>
      </c>
      <c r="C117" s="16">
        <v>0</v>
      </c>
      <c r="D117" s="16">
        <v>6960378.4188597882</v>
      </c>
      <c r="E117" s="16">
        <v>3704128.8</v>
      </c>
      <c r="F117" s="16">
        <v>1355227.67</v>
      </c>
      <c r="G117" s="16">
        <v>1053417.3600000001</v>
      </c>
      <c r="H117" s="16">
        <v>22700433.329999998</v>
      </c>
      <c r="I117" s="16">
        <v>3773389.35</v>
      </c>
      <c r="J117" s="16">
        <v>64160942.359999999</v>
      </c>
      <c r="K117" s="16">
        <v>0</v>
      </c>
      <c r="L117" s="16">
        <v>0</v>
      </c>
      <c r="M117" s="16">
        <v>0</v>
      </c>
      <c r="N117" s="18">
        <f t="shared" si="3"/>
        <v>497071582.69885987</v>
      </c>
      <c r="P117" s="10"/>
      <c r="Q117" s="4"/>
      <c r="R117" s="4"/>
      <c r="S117" s="4"/>
      <c r="T117" s="4"/>
      <c r="U117" s="4"/>
      <c r="V117" s="4"/>
      <c r="W117" s="4"/>
    </row>
    <row r="118" spans="1:23" ht="15" x14ac:dyDescent="0.2">
      <c r="A118" s="17" t="s">
        <v>113</v>
      </c>
      <c r="B118" s="16">
        <v>674648373.60000002</v>
      </c>
      <c r="C118" s="16">
        <v>0</v>
      </c>
      <c r="D118" s="16">
        <v>27823963.135794774</v>
      </c>
      <c r="E118" s="16">
        <v>6495089.4700000007</v>
      </c>
      <c r="F118" s="16">
        <v>6391649.6100000003</v>
      </c>
      <c r="G118" s="16">
        <v>4389239.01</v>
      </c>
      <c r="H118" s="16">
        <v>38932956.380000003</v>
      </c>
      <c r="I118" s="16">
        <v>17796406.530000001</v>
      </c>
      <c r="J118" s="16">
        <v>176853024.01999998</v>
      </c>
      <c r="K118" s="16">
        <v>0</v>
      </c>
      <c r="L118" s="16">
        <v>0</v>
      </c>
      <c r="M118" s="16">
        <v>0</v>
      </c>
      <c r="N118" s="18">
        <f t="shared" si="3"/>
        <v>953330701.75579476</v>
      </c>
      <c r="P118" s="10"/>
      <c r="Q118" s="4"/>
      <c r="R118" s="4"/>
      <c r="S118" s="4"/>
      <c r="T118" s="4"/>
      <c r="U118" s="4"/>
      <c r="V118" s="4"/>
      <c r="W118" s="4"/>
    </row>
    <row r="119" spans="1:23" ht="15" x14ac:dyDescent="0.2">
      <c r="A119" s="17" t="s">
        <v>114</v>
      </c>
      <c r="B119" s="16">
        <v>884243598.31000006</v>
      </c>
      <c r="C119" s="16">
        <v>0</v>
      </c>
      <c r="D119" s="16">
        <v>15316799.195600899</v>
      </c>
      <c r="E119" s="16">
        <v>8788639.2599999998</v>
      </c>
      <c r="F119" s="16">
        <v>5135399.24</v>
      </c>
      <c r="G119" s="16">
        <v>2945667.07</v>
      </c>
      <c r="H119" s="16">
        <v>51028385.729999997</v>
      </c>
      <c r="I119" s="16">
        <v>14298601.789999999</v>
      </c>
      <c r="J119" s="16">
        <v>160983167.62</v>
      </c>
      <c r="K119" s="16">
        <v>0</v>
      </c>
      <c r="L119" s="16">
        <v>0</v>
      </c>
      <c r="M119" s="16">
        <v>0</v>
      </c>
      <c r="N119" s="18">
        <f t="shared" si="3"/>
        <v>1142740258.215601</v>
      </c>
      <c r="P119" s="10"/>
      <c r="Q119" s="4"/>
      <c r="R119" s="4"/>
      <c r="S119" s="4"/>
      <c r="T119" s="4"/>
      <c r="U119" s="4"/>
      <c r="V119" s="4"/>
      <c r="W119" s="4"/>
    </row>
    <row r="120" spans="1:23" ht="15" x14ac:dyDescent="0.2">
      <c r="A120" s="17" t="s">
        <v>115</v>
      </c>
      <c r="B120" s="16">
        <v>546785024.22000003</v>
      </c>
      <c r="C120" s="16">
        <v>0</v>
      </c>
      <c r="D120" s="16">
        <v>18667812.296390727</v>
      </c>
      <c r="E120" s="16">
        <v>5458474.5500000007</v>
      </c>
      <c r="F120" s="16">
        <v>3460398.74</v>
      </c>
      <c r="G120" s="16">
        <v>2984682.53</v>
      </c>
      <c r="H120" s="16">
        <v>31554152.25</v>
      </c>
      <c r="I120" s="16">
        <v>9634862.1400000006</v>
      </c>
      <c r="J120" s="16">
        <v>166899599.97999996</v>
      </c>
      <c r="K120" s="16">
        <v>0</v>
      </c>
      <c r="L120" s="16">
        <v>0</v>
      </c>
      <c r="M120" s="16">
        <v>0</v>
      </c>
      <c r="N120" s="18">
        <f t="shared" si="3"/>
        <v>785445006.70639062</v>
      </c>
      <c r="P120" s="10"/>
      <c r="Q120" s="4"/>
      <c r="R120" s="4"/>
      <c r="S120" s="4"/>
      <c r="T120" s="4"/>
      <c r="U120" s="4"/>
      <c r="V120" s="4"/>
      <c r="W120" s="4"/>
    </row>
    <row r="121" spans="1:23" ht="15" x14ac:dyDescent="0.2">
      <c r="A121" s="17" t="s">
        <v>116</v>
      </c>
      <c r="B121" s="16">
        <v>701550255.4000001</v>
      </c>
      <c r="C121" s="16">
        <v>0</v>
      </c>
      <c r="D121" s="16">
        <v>10865842.510584835</v>
      </c>
      <c r="E121" s="16">
        <v>6672408.3699999992</v>
      </c>
      <c r="F121" s="16">
        <v>1454204.97</v>
      </c>
      <c r="G121" s="16">
        <v>994894.18</v>
      </c>
      <c r="H121" s="16">
        <v>40485424.060000002</v>
      </c>
      <c r="I121" s="16">
        <v>4048973.97</v>
      </c>
      <c r="J121" s="16">
        <v>92740735.799999982</v>
      </c>
      <c r="K121" s="16">
        <v>0</v>
      </c>
      <c r="L121" s="16">
        <v>0</v>
      </c>
      <c r="M121" s="16">
        <v>0</v>
      </c>
      <c r="N121" s="18">
        <f t="shared" si="3"/>
        <v>858812739.26058483</v>
      </c>
      <c r="P121" s="10"/>
      <c r="Q121" s="4"/>
      <c r="R121" s="4"/>
      <c r="S121" s="4"/>
      <c r="T121" s="4"/>
      <c r="U121" s="4"/>
      <c r="V121" s="4"/>
      <c r="W121" s="4"/>
    </row>
    <row r="122" spans="1:23" ht="15" x14ac:dyDescent="0.2">
      <c r="A122" s="17" t="s">
        <v>117</v>
      </c>
      <c r="B122" s="16">
        <v>2178392709.5900002</v>
      </c>
      <c r="C122" s="16">
        <v>0</v>
      </c>
      <c r="D122" s="16">
        <v>40655569.750000007</v>
      </c>
      <c r="E122" s="16">
        <v>34883165.129999995</v>
      </c>
      <c r="F122" s="16">
        <v>43778421.990000002</v>
      </c>
      <c r="G122" s="16">
        <v>27372913.297464572</v>
      </c>
      <c r="H122" s="16">
        <v>125711810.26000001</v>
      </c>
      <c r="I122" s="16">
        <v>121893195.41</v>
      </c>
      <c r="J122" s="16">
        <v>435040745.56</v>
      </c>
      <c r="K122" s="16">
        <v>0</v>
      </c>
      <c r="L122" s="16">
        <v>0</v>
      </c>
      <c r="M122" s="16">
        <v>0</v>
      </c>
      <c r="N122" s="18">
        <f t="shared" si="3"/>
        <v>3007728530.9874644</v>
      </c>
      <c r="P122" s="10"/>
      <c r="Q122" s="4"/>
      <c r="R122" s="4"/>
      <c r="S122" s="4"/>
      <c r="T122" s="4"/>
      <c r="U122" s="4"/>
      <c r="V122" s="4"/>
      <c r="W122" s="4"/>
    </row>
    <row r="123" spans="1:23" ht="15" x14ac:dyDescent="0.2">
      <c r="A123" s="17" t="s">
        <v>118</v>
      </c>
      <c r="B123" s="16">
        <v>4595872534.4399996</v>
      </c>
      <c r="C123" s="16">
        <v>0</v>
      </c>
      <c r="D123" s="16">
        <v>191860951.12999997</v>
      </c>
      <c r="E123" s="16">
        <v>47830925.039999999</v>
      </c>
      <c r="F123" s="16">
        <v>60855813.380000003</v>
      </c>
      <c r="G123" s="16">
        <v>66503506.288982064</v>
      </c>
      <c r="H123" s="16">
        <v>265220983.11000001</v>
      </c>
      <c r="I123" s="16">
        <v>169442141.03</v>
      </c>
      <c r="J123" s="16">
        <v>567644944.79000008</v>
      </c>
      <c r="K123" s="16">
        <v>0</v>
      </c>
      <c r="L123" s="16">
        <v>0</v>
      </c>
      <c r="M123" s="16">
        <v>0</v>
      </c>
      <c r="N123" s="18">
        <f t="shared" si="3"/>
        <v>5965231799.2089815</v>
      </c>
      <c r="P123" s="10"/>
      <c r="Q123" s="4"/>
      <c r="R123" s="4"/>
      <c r="S123" s="4"/>
      <c r="T123" s="4"/>
      <c r="U123" s="4"/>
      <c r="V123" s="4"/>
      <c r="W123" s="4"/>
    </row>
    <row r="124" spans="1:23" ht="15" x14ac:dyDescent="0.2">
      <c r="A124" s="17" t="s">
        <v>119</v>
      </c>
      <c r="B124" s="16">
        <v>4425225175.0100002</v>
      </c>
      <c r="C124" s="16">
        <v>0</v>
      </c>
      <c r="D124" s="16">
        <v>61092811.290000007</v>
      </c>
      <c r="E124" s="16">
        <v>67609338.189999998</v>
      </c>
      <c r="F124" s="16">
        <v>77929397.959999993</v>
      </c>
      <c r="G124" s="16">
        <v>0</v>
      </c>
      <c r="H124" s="16">
        <v>255373177.25</v>
      </c>
      <c r="I124" s="16">
        <v>216980487.24000001</v>
      </c>
      <c r="J124" s="16">
        <v>812105138.04999995</v>
      </c>
      <c r="K124" s="16">
        <v>0</v>
      </c>
      <c r="L124" s="16">
        <v>0</v>
      </c>
      <c r="M124" s="16">
        <v>0</v>
      </c>
      <c r="N124" s="18">
        <f t="shared" si="3"/>
        <v>5916315524.9899998</v>
      </c>
      <c r="P124" s="10"/>
      <c r="Q124" s="4"/>
      <c r="R124" s="4"/>
      <c r="S124" s="4"/>
      <c r="T124" s="4"/>
      <c r="U124" s="4"/>
      <c r="V124" s="4"/>
      <c r="W124" s="4"/>
    </row>
    <row r="125" spans="1:23" ht="15" x14ac:dyDescent="0.2">
      <c r="A125" s="17" t="s">
        <v>120</v>
      </c>
      <c r="B125" s="16">
        <v>1411970068.71</v>
      </c>
      <c r="C125" s="16">
        <v>0</v>
      </c>
      <c r="D125" s="16">
        <v>52388560.833183758</v>
      </c>
      <c r="E125" s="16">
        <v>13816861.83</v>
      </c>
      <c r="F125" s="16">
        <v>30302281.649999999</v>
      </c>
      <c r="G125" s="16">
        <v>18688404.309999999</v>
      </c>
      <c r="H125" s="16">
        <v>81482697.129999995</v>
      </c>
      <c r="I125" s="16">
        <v>84371290.040000007</v>
      </c>
      <c r="J125" s="16">
        <v>501850469.80000001</v>
      </c>
      <c r="K125" s="16">
        <v>0</v>
      </c>
      <c r="L125" s="16">
        <v>0</v>
      </c>
      <c r="M125" s="16">
        <v>0</v>
      </c>
      <c r="N125" s="18">
        <f t="shared" si="3"/>
        <v>2194870634.303184</v>
      </c>
      <c r="P125" s="10"/>
      <c r="Q125" s="4"/>
      <c r="R125" s="4"/>
      <c r="S125" s="4"/>
      <c r="T125" s="4"/>
      <c r="U125" s="4"/>
      <c r="V125" s="4"/>
      <c r="W125" s="4"/>
    </row>
    <row r="126" spans="1:23" ht="15" x14ac:dyDescent="0.2">
      <c r="A126" s="17" t="s">
        <v>121</v>
      </c>
      <c r="B126" s="16">
        <v>1534384626.4200001</v>
      </c>
      <c r="C126" s="16">
        <v>0</v>
      </c>
      <c r="D126" s="16">
        <v>36212571.016214423</v>
      </c>
      <c r="E126" s="16">
        <v>15395579.759999998</v>
      </c>
      <c r="F126" s="16">
        <v>15170174.92</v>
      </c>
      <c r="G126" s="16">
        <v>7647029.7400000002</v>
      </c>
      <c r="H126" s="16">
        <v>88547059.569999993</v>
      </c>
      <c r="I126" s="16">
        <v>42238642.060000002</v>
      </c>
      <c r="J126" s="16">
        <v>344341632.59000003</v>
      </c>
      <c r="K126" s="16">
        <v>0</v>
      </c>
      <c r="L126" s="16">
        <v>0</v>
      </c>
      <c r="M126" s="16">
        <v>0</v>
      </c>
      <c r="N126" s="18">
        <f t="shared" si="3"/>
        <v>2083937316.0762143</v>
      </c>
      <c r="P126" s="10"/>
      <c r="Q126" s="4"/>
      <c r="R126" s="4"/>
      <c r="S126" s="4"/>
      <c r="T126" s="4"/>
      <c r="U126" s="4"/>
      <c r="V126" s="4"/>
      <c r="W126" s="4"/>
    </row>
    <row r="127" spans="1:23" ht="15" x14ac:dyDescent="0.2">
      <c r="A127" s="17" t="s">
        <v>122</v>
      </c>
      <c r="B127" s="16">
        <v>900492237.19000006</v>
      </c>
      <c r="C127" s="16">
        <v>0</v>
      </c>
      <c r="D127" s="16">
        <v>18238769.035377745</v>
      </c>
      <c r="E127" s="16">
        <v>8687176.1300000008</v>
      </c>
      <c r="F127" s="16">
        <v>16102845.65</v>
      </c>
      <c r="G127" s="16">
        <v>10924328.199999999</v>
      </c>
      <c r="H127" s="16">
        <v>51966070.57</v>
      </c>
      <c r="I127" s="16">
        <v>44835497.090000004</v>
      </c>
      <c r="J127" s="16">
        <v>381796952.81</v>
      </c>
      <c r="K127" s="16">
        <v>0</v>
      </c>
      <c r="L127" s="16">
        <v>0</v>
      </c>
      <c r="M127" s="16">
        <v>0</v>
      </c>
      <c r="N127" s="18">
        <f t="shared" si="3"/>
        <v>1433043876.6753778</v>
      </c>
      <c r="P127" s="10"/>
      <c r="Q127" s="4"/>
      <c r="R127" s="4"/>
      <c r="S127" s="4"/>
      <c r="T127" s="4"/>
      <c r="U127" s="4"/>
      <c r="V127" s="4"/>
      <c r="W127" s="4"/>
    </row>
    <row r="128" spans="1:23" ht="15" x14ac:dyDescent="0.2">
      <c r="A128" s="17" t="s">
        <v>123</v>
      </c>
      <c r="B128" s="16">
        <v>390089503.58000004</v>
      </c>
      <c r="C128" s="16">
        <v>0</v>
      </c>
      <c r="D128" s="16">
        <v>7052841.6116093379</v>
      </c>
      <c r="E128" s="16">
        <v>4059732.9</v>
      </c>
      <c r="F128" s="16">
        <v>1473239.07</v>
      </c>
      <c r="G128" s="16">
        <v>1307017.8400000001</v>
      </c>
      <c r="H128" s="16">
        <v>22511486.309999999</v>
      </c>
      <c r="I128" s="16">
        <v>4101971.01</v>
      </c>
      <c r="J128" s="16">
        <v>82050172.87000002</v>
      </c>
      <c r="K128" s="16">
        <v>0</v>
      </c>
      <c r="L128" s="16">
        <v>0</v>
      </c>
      <c r="M128" s="16">
        <v>0</v>
      </c>
      <c r="N128" s="18">
        <f t="shared" si="3"/>
        <v>512645965.19160932</v>
      </c>
      <c r="P128" s="10"/>
      <c r="Q128" s="4"/>
      <c r="R128" s="4"/>
      <c r="S128" s="4"/>
      <c r="T128" s="4"/>
      <c r="U128" s="4"/>
      <c r="V128" s="4"/>
      <c r="W128" s="4"/>
    </row>
    <row r="129" spans="1:23" ht="15" x14ac:dyDescent="0.2">
      <c r="A129" s="17" t="s">
        <v>124</v>
      </c>
      <c r="B129" s="16">
        <v>2574444119.8699999</v>
      </c>
      <c r="C129" s="16">
        <v>0</v>
      </c>
      <c r="D129" s="16">
        <v>122236754.02523959</v>
      </c>
      <c r="E129" s="16">
        <v>25298622.329999998</v>
      </c>
      <c r="F129" s="16">
        <v>18737164.609999999</v>
      </c>
      <c r="G129" s="16">
        <v>16210922.74</v>
      </c>
      <c r="H129" s="16">
        <v>148567349.36000001</v>
      </c>
      <c r="I129" s="16">
        <v>52170287.640000001</v>
      </c>
      <c r="J129" s="16">
        <v>514108404.26999998</v>
      </c>
      <c r="K129" s="16">
        <v>0</v>
      </c>
      <c r="L129" s="16">
        <v>0</v>
      </c>
      <c r="M129" s="16">
        <v>0</v>
      </c>
      <c r="N129" s="18">
        <f t="shared" si="3"/>
        <v>3471773624.8452392</v>
      </c>
      <c r="P129" s="10"/>
      <c r="Q129" s="4"/>
      <c r="R129" s="4"/>
      <c r="S129" s="4"/>
      <c r="T129" s="4"/>
      <c r="U129" s="4"/>
      <c r="V129" s="4"/>
      <c r="W129" s="4"/>
    </row>
    <row r="130" spans="1:23" ht="15" x14ac:dyDescent="0.2">
      <c r="A130" s="17" t="s">
        <v>125</v>
      </c>
      <c r="B130" s="16">
        <v>672937990.51999998</v>
      </c>
      <c r="C130" s="16">
        <v>0</v>
      </c>
      <c r="D130" s="16">
        <v>11926204.2849613</v>
      </c>
      <c r="E130" s="16">
        <v>6840788.8399999989</v>
      </c>
      <c r="F130" s="16">
        <v>2318352.9500000002</v>
      </c>
      <c r="G130" s="16">
        <v>1209479.19</v>
      </c>
      <c r="H130" s="16">
        <v>38834252.710000001</v>
      </c>
      <c r="I130" s="16">
        <v>6455039.6500000004</v>
      </c>
      <c r="J130" s="16">
        <v>141301149.79999998</v>
      </c>
      <c r="K130" s="16">
        <v>0</v>
      </c>
      <c r="L130" s="16">
        <v>0</v>
      </c>
      <c r="M130" s="16">
        <v>0</v>
      </c>
      <c r="N130" s="18">
        <f t="shared" si="3"/>
        <v>881823257.94496143</v>
      </c>
      <c r="P130" s="10"/>
      <c r="Q130" s="4"/>
      <c r="R130" s="4"/>
      <c r="S130" s="4"/>
      <c r="T130" s="4"/>
      <c r="U130" s="4"/>
      <c r="V130" s="4"/>
      <c r="W130" s="4"/>
    </row>
    <row r="131" spans="1:23" ht="15" x14ac:dyDescent="0.2">
      <c r="A131" s="17" t="s">
        <v>126</v>
      </c>
      <c r="B131" s="16">
        <v>4365166296.1999998</v>
      </c>
      <c r="C131" s="16">
        <v>0</v>
      </c>
      <c r="D131" s="16">
        <v>108275127.655</v>
      </c>
      <c r="E131" s="16">
        <v>42968183.989999995</v>
      </c>
      <c r="F131" s="16">
        <v>102369177.89</v>
      </c>
      <c r="G131" s="16">
        <v>13669853.794442873</v>
      </c>
      <c r="H131" s="16">
        <v>251907268.49000001</v>
      </c>
      <c r="I131" s="16">
        <v>285028688.5</v>
      </c>
      <c r="J131" s="16">
        <v>1110205504.5899999</v>
      </c>
      <c r="K131" s="16">
        <v>0</v>
      </c>
      <c r="L131" s="16">
        <v>0</v>
      </c>
      <c r="M131" s="16">
        <v>0</v>
      </c>
      <c r="N131" s="18">
        <f t="shared" si="3"/>
        <v>6279590101.1094427</v>
      </c>
      <c r="P131" s="10"/>
      <c r="Q131" s="4"/>
      <c r="R131" s="4"/>
      <c r="S131" s="4"/>
      <c r="T131" s="4"/>
      <c r="U131" s="4"/>
      <c r="V131" s="4"/>
      <c r="W131" s="4"/>
    </row>
    <row r="132" spans="1:23" ht="15" x14ac:dyDescent="0.2">
      <c r="A132" s="17" t="s">
        <v>127</v>
      </c>
      <c r="B132" s="16">
        <v>162730729.27000001</v>
      </c>
      <c r="C132" s="16">
        <v>0</v>
      </c>
      <c r="D132" s="16">
        <v>6738714.1434008498</v>
      </c>
      <c r="E132" s="16">
        <v>1693467.87</v>
      </c>
      <c r="F132" s="16">
        <v>437784.21</v>
      </c>
      <c r="G132" s="16">
        <v>292615.93</v>
      </c>
      <c r="H132" s="16">
        <v>9390948.8800000008</v>
      </c>
      <c r="I132" s="16">
        <v>1218931.95</v>
      </c>
      <c r="J132" s="16">
        <v>39866390.75</v>
      </c>
      <c r="K132" s="16">
        <v>0</v>
      </c>
      <c r="L132" s="16">
        <v>0</v>
      </c>
      <c r="M132" s="16">
        <v>0</v>
      </c>
      <c r="N132" s="18">
        <f t="shared" si="3"/>
        <v>222369583.00340086</v>
      </c>
      <c r="P132" s="10"/>
      <c r="Q132" s="4"/>
      <c r="R132" s="4"/>
      <c r="S132" s="4"/>
      <c r="T132" s="4"/>
      <c r="U132" s="4"/>
      <c r="V132" s="4"/>
      <c r="W132" s="4"/>
    </row>
    <row r="133" spans="1:23" ht="15" x14ac:dyDescent="0.2">
      <c r="A133" s="17" t="s">
        <v>128</v>
      </c>
      <c r="B133" s="16">
        <v>1094987223.0700002</v>
      </c>
      <c r="C133" s="16">
        <v>0</v>
      </c>
      <c r="D133" s="16">
        <v>8857009.7459827755</v>
      </c>
      <c r="E133" s="16">
        <v>10606037.09</v>
      </c>
      <c r="F133" s="16">
        <v>1583636.83</v>
      </c>
      <c r="G133" s="16">
        <v>1658156.96</v>
      </c>
      <c r="H133" s="16">
        <v>63190087.549999997</v>
      </c>
      <c r="I133" s="16">
        <v>4409353.8499999996</v>
      </c>
      <c r="J133" s="16">
        <v>147060669.32999998</v>
      </c>
      <c r="K133" s="16">
        <v>0</v>
      </c>
      <c r="L133" s="16">
        <v>0</v>
      </c>
      <c r="M133" s="16">
        <v>0</v>
      </c>
      <c r="N133" s="18">
        <f t="shared" si="3"/>
        <v>1332352174.4259827</v>
      </c>
      <c r="P133" s="10"/>
      <c r="Q133" s="4"/>
      <c r="R133" s="4"/>
      <c r="S133" s="4"/>
      <c r="T133" s="4"/>
      <c r="U133" s="4"/>
      <c r="V133" s="4"/>
      <c r="W133" s="4"/>
    </row>
    <row r="134" spans="1:23" ht="15" x14ac:dyDescent="0.2">
      <c r="A134" s="17" t="s">
        <v>129</v>
      </c>
      <c r="B134" s="16">
        <v>1887627592.5700002</v>
      </c>
      <c r="C134" s="16">
        <v>0</v>
      </c>
      <c r="D134" s="16">
        <v>49370733.60795705</v>
      </c>
      <c r="E134" s="16">
        <v>18322790.91</v>
      </c>
      <c r="F134" s="16">
        <v>7389036.2599999998</v>
      </c>
      <c r="G134" s="16">
        <v>5481671.8300000001</v>
      </c>
      <c r="H134" s="16">
        <v>108932186.89</v>
      </c>
      <c r="I134" s="16">
        <v>20573451.5</v>
      </c>
      <c r="J134" s="16">
        <v>332114729.38</v>
      </c>
      <c r="K134" s="16">
        <v>0</v>
      </c>
      <c r="L134" s="16">
        <v>0</v>
      </c>
      <c r="M134" s="16">
        <v>0</v>
      </c>
      <c r="N134" s="18">
        <f t="shared" si="3"/>
        <v>2429812192.9479575</v>
      </c>
      <c r="P134" s="10"/>
      <c r="Q134" s="4"/>
      <c r="R134" s="4"/>
      <c r="S134" s="4"/>
      <c r="T134" s="4"/>
      <c r="U134" s="4"/>
      <c r="V134" s="4"/>
      <c r="W134" s="4"/>
    </row>
    <row r="135" spans="1:23" ht="15" x14ac:dyDescent="0.2">
      <c r="A135" s="17" t="s">
        <v>130</v>
      </c>
      <c r="B135" s="16">
        <v>1574114381.0599999</v>
      </c>
      <c r="C135" s="16">
        <v>0</v>
      </c>
      <c r="D135" s="16">
        <v>61483913.459853157</v>
      </c>
      <c r="E135" s="16">
        <v>24390184.030000001</v>
      </c>
      <c r="F135" s="16">
        <v>11123526</v>
      </c>
      <c r="G135" s="16">
        <v>6944751.5</v>
      </c>
      <c r="H135" s="16">
        <v>90839804.75</v>
      </c>
      <c r="I135" s="16">
        <v>30971471.039999999</v>
      </c>
      <c r="J135" s="16">
        <v>342395445.42999995</v>
      </c>
      <c r="K135" s="16">
        <v>0</v>
      </c>
      <c r="L135" s="16">
        <v>0</v>
      </c>
      <c r="M135" s="16">
        <v>0</v>
      </c>
      <c r="N135" s="18">
        <f t="shared" si="3"/>
        <v>2142263477.2698531</v>
      </c>
      <c r="P135" s="10"/>
      <c r="Q135" s="4"/>
      <c r="R135" s="4"/>
      <c r="S135" s="4"/>
      <c r="T135" s="4"/>
      <c r="U135" s="4"/>
      <c r="V135" s="4"/>
      <c r="W135" s="4"/>
    </row>
    <row r="136" spans="1:23" ht="15" x14ac:dyDescent="0.2">
      <c r="A136" s="17" t="s">
        <v>131</v>
      </c>
      <c r="B136" s="16">
        <v>2449170779.1100001</v>
      </c>
      <c r="C136" s="16">
        <v>0</v>
      </c>
      <c r="D136" s="16">
        <v>76383438.650000006</v>
      </c>
      <c r="E136" s="16">
        <v>39350720.280000001</v>
      </c>
      <c r="F136" s="16">
        <v>66181553.590000004</v>
      </c>
      <c r="G136" s="16">
        <v>50127310.087654032</v>
      </c>
      <c r="H136" s="16">
        <v>141338010.78999999</v>
      </c>
      <c r="I136" s="16">
        <v>184270713.22999999</v>
      </c>
      <c r="J136" s="16">
        <v>778449098.3499999</v>
      </c>
      <c r="K136" s="16">
        <v>0</v>
      </c>
      <c r="L136" s="16">
        <v>0</v>
      </c>
      <c r="M136" s="16">
        <v>0</v>
      </c>
      <c r="N136" s="18">
        <f t="shared" ref="N136:N142" si="4">SUM(B136:M136)</f>
        <v>3785271624.0876546</v>
      </c>
      <c r="P136" s="10"/>
      <c r="Q136" s="4"/>
      <c r="R136" s="4"/>
      <c r="S136" s="4"/>
      <c r="T136" s="4"/>
      <c r="U136" s="4"/>
      <c r="V136" s="4"/>
      <c r="W136" s="4"/>
    </row>
    <row r="137" spans="1:23" ht="15" x14ac:dyDescent="0.2">
      <c r="A137" s="17" t="s">
        <v>132</v>
      </c>
      <c r="B137" s="16">
        <v>383370141.63</v>
      </c>
      <c r="C137" s="16">
        <v>0</v>
      </c>
      <c r="D137" s="16">
        <v>7082719.7132069729</v>
      </c>
      <c r="E137" s="16">
        <v>3915027.15</v>
      </c>
      <c r="F137" s="16">
        <v>791818.41</v>
      </c>
      <c r="G137" s="16">
        <v>1014401.9</v>
      </c>
      <c r="H137" s="16">
        <v>22123721.91</v>
      </c>
      <c r="I137" s="16">
        <v>2204676.9300000002</v>
      </c>
      <c r="J137" s="16">
        <v>76364425.739999995</v>
      </c>
      <c r="K137" s="16">
        <v>0</v>
      </c>
      <c r="L137" s="16">
        <v>0</v>
      </c>
      <c r="M137" s="16">
        <v>0</v>
      </c>
      <c r="N137" s="18">
        <f t="shared" si="4"/>
        <v>496866933.38320696</v>
      </c>
      <c r="P137" s="10"/>
      <c r="Q137" s="4"/>
      <c r="R137" s="4"/>
      <c r="S137" s="4"/>
      <c r="T137" s="4"/>
      <c r="U137" s="4"/>
      <c r="V137" s="4"/>
      <c r="W137" s="4"/>
    </row>
    <row r="138" spans="1:23" ht="15" x14ac:dyDescent="0.2">
      <c r="A138" s="17" t="s">
        <v>133</v>
      </c>
      <c r="B138" s="16">
        <v>1141069828.9499998</v>
      </c>
      <c r="C138" s="16">
        <v>0</v>
      </c>
      <c r="D138" s="16">
        <v>33718385.517424487</v>
      </c>
      <c r="E138" s="16">
        <v>11053199.579999998</v>
      </c>
      <c r="F138" s="16">
        <v>6894149.75</v>
      </c>
      <c r="G138" s="16">
        <v>3960068.97</v>
      </c>
      <c r="H138" s="16">
        <v>65849446.340000004</v>
      </c>
      <c r="I138" s="16">
        <v>19195528.420000002</v>
      </c>
      <c r="J138" s="16">
        <v>277469845.83000004</v>
      </c>
      <c r="K138" s="16">
        <v>0</v>
      </c>
      <c r="L138" s="16">
        <v>0</v>
      </c>
      <c r="M138" s="16">
        <v>0</v>
      </c>
      <c r="N138" s="18">
        <f t="shared" si="4"/>
        <v>1559210453.3574243</v>
      </c>
      <c r="P138" s="10"/>
      <c r="Q138" s="4"/>
      <c r="R138" s="4"/>
      <c r="S138" s="4"/>
      <c r="T138" s="4"/>
      <c r="U138" s="4"/>
      <c r="V138" s="4"/>
      <c r="W138" s="4"/>
    </row>
    <row r="139" spans="1:23" ht="15" x14ac:dyDescent="0.2">
      <c r="A139" s="17" t="s">
        <v>134</v>
      </c>
      <c r="B139" s="16">
        <v>3882936014.6700001</v>
      </c>
      <c r="C139" s="16">
        <v>0</v>
      </c>
      <c r="D139" s="16">
        <v>102224906.545</v>
      </c>
      <c r="E139" s="16">
        <v>38860618.43</v>
      </c>
      <c r="F139" s="16">
        <v>35456714.990000002</v>
      </c>
      <c r="G139" s="16">
        <v>45443584.230052315</v>
      </c>
      <c r="H139" s="16">
        <v>224078474.64999998</v>
      </c>
      <c r="I139" s="16">
        <v>98722888.840000004</v>
      </c>
      <c r="J139" s="16">
        <v>495438122.71999991</v>
      </c>
      <c r="K139" s="16">
        <v>0</v>
      </c>
      <c r="L139" s="16">
        <v>0</v>
      </c>
      <c r="M139" s="16">
        <v>0</v>
      </c>
      <c r="N139" s="18">
        <f t="shared" si="4"/>
        <v>4923161325.0750523</v>
      </c>
      <c r="P139" s="10"/>
      <c r="Q139" s="4"/>
      <c r="R139" s="4"/>
      <c r="S139" s="4"/>
      <c r="T139" s="4"/>
      <c r="U139" s="4"/>
      <c r="V139" s="4"/>
      <c r="W139" s="4"/>
    </row>
    <row r="140" spans="1:23" ht="15" x14ac:dyDescent="0.2">
      <c r="A140" s="17" t="s">
        <v>135</v>
      </c>
      <c r="B140" s="16">
        <v>1163964527.73</v>
      </c>
      <c r="C140" s="16">
        <v>0</v>
      </c>
      <c r="D140" s="16">
        <v>31045045.77</v>
      </c>
      <c r="E140" s="16">
        <v>11454703.66</v>
      </c>
      <c r="F140" s="16">
        <v>5847274.4500000002</v>
      </c>
      <c r="G140" s="16">
        <v>4174653.99</v>
      </c>
      <c r="H140" s="16">
        <v>67170665.430000007</v>
      </c>
      <c r="I140" s="16">
        <v>16280691.140000001</v>
      </c>
      <c r="J140" s="16">
        <v>125232810.39</v>
      </c>
      <c r="K140" s="16">
        <v>0</v>
      </c>
      <c r="L140" s="16">
        <v>0</v>
      </c>
      <c r="M140" s="16">
        <v>0</v>
      </c>
      <c r="N140" s="18">
        <f t="shared" si="4"/>
        <v>1425170372.5600004</v>
      </c>
      <c r="P140" s="10"/>
      <c r="Q140" s="4"/>
      <c r="R140" s="4"/>
      <c r="S140" s="4"/>
      <c r="T140" s="4"/>
      <c r="U140" s="4"/>
      <c r="V140" s="4"/>
      <c r="W140" s="4"/>
    </row>
    <row r="141" spans="1:23" ht="15" x14ac:dyDescent="0.2">
      <c r="A141" s="17" t="s">
        <v>136</v>
      </c>
      <c r="B141" s="16">
        <v>1314918048.1400001</v>
      </c>
      <c r="C141" s="16">
        <v>0</v>
      </c>
      <c r="D141" s="16">
        <v>10662704.557288583</v>
      </c>
      <c r="E141" s="16">
        <v>13277416.23</v>
      </c>
      <c r="F141" s="16">
        <v>8432104.75</v>
      </c>
      <c r="G141" s="16">
        <v>3647945.31</v>
      </c>
      <c r="H141" s="16">
        <v>75881969.060000002</v>
      </c>
      <c r="I141" s="16">
        <v>23477689.379999999</v>
      </c>
      <c r="J141" s="16">
        <v>348284945.00999993</v>
      </c>
      <c r="K141" s="16">
        <v>0</v>
      </c>
      <c r="L141" s="16">
        <v>0</v>
      </c>
      <c r="M141" s="16">
        <v>0</v>
      </c>
      <c r="N141" s="18">
        <f t="shared" si="4"/>
        <v>1798582822.4372888</v>
      </c>
      <c r="P141" s="10"/>
      <c r="Q141" s="4"/>
      <c r="R141" s="4"/>
      <c r="S141" s="4"/>
      <c r="T141" s="4"/>
      <c r="U141" s="4"/>
      <c r="V141" s="4"/>
      <c r="W141" s="4"/>
    </row>
    <row r="142" spans="1:23" ht="15" x14ac:dyDescent="0.2">
      <c r="A142" s="17" t="s">
        <v>137</v>
      </c>
      <c r="B142" s="16">
        <v>1336468874.48</v>
      </c>
      <c r="C142" s="16">
        <v>0</v>
      </c>
      <c r="D142" s="16">
        <v>33330444.957152091</v>
      </c>
      <c r="E142" s="16">
        <v>20886432.66</v>
      </c>
      <c r="F142" s="16">
        <v>36252340.219999999</v>
      </c>
      <c r="G142" s="16">
        <v>14728335.34</v>
      </c>
      <c r="H142" s="16">
        <v>77125635.260000005</v>
      </c>
      <c r="I142" s="16">
        <v>100938165.20999999</v>
      </c>
      <c r="J142" s="16">
        <v>472117250.15999997</v>
      </c>
      <c r="K142" s="16">
        <v>0</v>
      </c>
      <c r="L142" s="16">
        <v>0</v>
      </c>
      <c r="M142" s="16">
        <v>0</v>
      </c>
      <c r="N142" s="18">
        <f t="shared" si="4"/>
        <v>2091847478.2871523</v>
      </c>
      <c r="P142" s="10"/>
      <c r="Q142" s="4"/>
      <c r="R142" s="4"/>
      <c r="S142" s="4"/>
      <c r="T142" s="4"/>
      <c r="U142" s="4"/>
      <c r="V142" s="4"/>
      <c r="W142" s="4"/>
    </row>
    <row r="143" spans="1:23" ht="24.75" customHeight="1" x14ac:dyDescent="0.2">
      <c r="A143" s="22" t="s">
        <v>138</v>
      </c>
      <c r="B143" s="23">
        <f t="shared" ref="B143:I143" si="5">SUM(B8:B142)</f>
        <v>244340434481.83014</v>
      </c>
      <c r="C143" s="23"/>
      <c r="D143" s="23">
        <f t="shared" si="5"/>
        <v>5598455362.5404415</v>
      </c>
      <c r="E143" s="23">
        <f t="shared" si="5"/>
        <v>3205214201.7799988</v>
      </c>
      <c r="F143" s="23">
        <f t="shared" si="5"/>
        <v>3806819303.5399971</v>
      </c>
      <c r="G143" s="23">
        <f t="shared" si="5"/>
        <v>1950772892.4400003</v>
      </c>
      <c r="H143" s="23">
        <f t="shared" si="5"/>
        <v>14100523842.259995</v>
      </c>
      <c r="I143" s="23">
        <f t="shared" si="5"/>
        <v>10599408296.48</v>
      </c>
      <c r="J143" s="23">
        <f t="shared" ref="J143:N143" si="6">SUM(J8:J142)</f>
        <v>58549553255.799995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342151181636.67023</v>
      </c>
      <c r="P143" s="10"/>
      <c r="Q143" s="4"/>
      <c r="R143" s="4"/>
      <c r="S143" s="4"/>
      <c r="T143" s="4"/>
      <c r="U143" s="4"/>
      <c r="V143" s="4"/>
      <c r="W143" s="4"/>
    </row>
    <row r="144" spans="1:23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8"/>
      <c r="E145" s="8"/>
      <c r="F145" s="4"/>
      <c r="I145" s="9"/>
      <c r="J145" s="8"/>
      <c r="N145" s="4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44AEAC"/>
  </sheetPr>
  <dimension ref="A1:X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166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176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24" ht="18" customHeight="1" x14ac:dyDescent="0.2">
      <c r="A8" s="17" t="s">
        <v>3</v>
      </c>
      <c r="B8" s="16">
        <v>1313567788.3500001</v>
      </c>
      <c r="C8" s="16">
        <v>0</v>
      </c>
      <c r="D8" s="16">
        <v>228379812.84454864</v>
      </c>
      <c r="E8" s="16">
        <v>32709474.440000001</v>
      </c>
      <c r="F8" s="16">
        <v>4196058.72</v>
      </c>
      <c r="G8" s="16">
        <v>2337237.2999999998</v>
      </c>
      <c r="H8" s="16">
        <v>70851851.680000007</v>
      </c>
      <c r="I8" s="16">
        <v>9780054.8399999999</v>
      </c>
      <c r="J8" s="16">
        <v>190006181.12000003</v>
      </c>
      <c r="K8" s="16">
        <v>0</v>
      </c>
      <c r="L8" s="16">
        <v>0</v>
      </c>
      <c r="M8" s="16">
        <v>0</v>
      </c>
      <c r="N8" s="18">
        <f t="shared" ref="N8:N39" si="0">SUM(B8:M8)</f>
        <v>1851828459.294549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>
        <v>728551273.77999997</v>
      </c>
      <c r="C9" s="16">
        <v>0</v>
      </c>
      <c r="D9" s="16">
        <v>206641121.95098367</v>
      </c>
      <c r="E9" s="16">
        <v>18011081.780000001</v>
      </c>
      <c r="F9" s="16">
        <v>2939847.35</v>
      </c>
      <c r="G9" s="16">
        <v>1729555.6</v>
      </c>
      <c r="H9" s="16">
        <v>39296949.310000002</v>
      </c>
      <c r="I9" s="16">
        <v>6852112.96</v>
      </c>
      <c r="J9" s="16">
        <v>144091401.95000005</v>
      </c>
      <c r="K9" s="16">
        <v>0</v>
      </c>
      <c r="L9" s="16">
        <v>0</v>
      </c>
      <c r="M9" s="16">
        <v>0</v>
      </c>
      <c r="N9" s="18">
        <f t="shared" si="0"/>
        <v>1148113344.6809838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>
        <v>777215250.58000004</v>
      </c>
      <c r="C10" s="16">
        <v>0</v>
      </c>
      <c r="D10" s="16">
        <v>172380662.61845741</v>
      </c>
      <c r="E10" s="16">
        <v>19273215.640000001</v>
      </c>
      <c r="F10" s="16">
        <v>2053723.15</v>
      </c>
      <c r="G10" s="16">
        <v>1729555.6</v>
      </c>
      <c r="H10" s="16">
        <v>41921810.32</v>
      </c>
      <c r="I10" s="16">
        <v>4786759.76</v>
      </c>
      <c r="J10" s="16">
        <v>85161880.370000035</v>
      </c>
      <c r="K10" s="16">
        <v>0</v>
      </c>
      <c r="L10" s="16">
        <v>0</v>
      </c>
      <c r="M10" s="16">
        <v>0</v>
      </c>
      <c r="N10" s="18">
        <f t="shared" si="0"/>
        <v>1104522858.0384576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>
        <v>6023845201.0799999</v>
      </c>
      <c r="C11" s="16">
        <v>0</v>
      </c>
      <c r="D11" s="16">
        <v>107995480.96747595</v>
      </c>
      <c r="E11" s="16">
        <v>162370340.70999998</v>
      </c>
      <c r="F11" s="16">
        <v>220436426.90000001</v>
      </c>
      <c r="G11" s="16">
        <v>144880589.95496905</v>
      </c>
      <c r="H11" s="16">
        <v>324917062.13</v>
      </c>
      <c r="I11" s="16">
        <v>513786980.55000001</v>
      </c>
      <c r="J11" s="16">
        <v>1602247917.9500003</v>
      </c>
      <c r="K11" s="16">
        <v>0</v>
      </c>
      <c r="L11" s="16">
        <v>0</v>
      </c>
      <c r="M11" s="16">
        <v>0</v>
      </c>
      <c r="N11" s="18">
        <f t="shared" si="0"/>
        <v>9100480000.242445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>
        <v>793516484.19000006</v>
      </c>
      <c r="C12" s="16">
        <v>0</v>
      </c>
      <c r="D12" s="16">
        <v>176288824.04862738</v>
      </c>
      <c r="E12" s="16">
        <v>19731967.039999999</v>
      </c>
      <c r="F12" s="16">
        <v>7537268.2199999997</v>
      </c>
      <c r="G12" s="16">
        <v>4300516.63</v>
      </c>
      <c r="H12" s="16">
        <v>42801074.100000001</v>
      </c>
      <c r="I12" s="16">
        <v>17567651.309999999</v>
      </c>
      <c r="J12" s="16">
        <v>172760062.59999996</v>
      </c>
      <c r="K12" s="16">
        <v>0</v>
      </c>
      <c r="L12" s="16">
        <v>0</v>
      </c>
      <c r="M12" s="16">
        <v>0</v>
      </c>
      <c r="N12" s="18">
        <f t="shared" si="0"/>
        <v>1234503848.1386273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>
        <v>3577281745.1099997</v>
      </c>
      <c r="C13" s="16">
        <v>0</v>
      </c>
      <c r="D13" s="16">
        <v>82986911.596846804</v>
      </c>
      <c r="E13" s="16">
        <v>96845768.900000006</v>
      </c>
      <c r="F13" s="16">
        <v>107194966.16</v>
      </c>
      <c r="G13" s="16">
        <v>0</v>
      </c>
      <c r="H13" s="16">
        <v>192953144.75999999</v>
      </c>
      <c r="I13" s="16">
        <v>249846991.13</v>
      </c>
      <c r="J13" s="16">
        <v>1191387204.6299996</v>
      </c>
      <c r="K13" s="16">
        <v>0</v>
      </c>
      <c r="L13" s="16">
        <v>0</v>
      </c>
      <c r="M13" s="16">
        <v>0</v>
      </c>
      <c r="N13" s="18">
        <f t="shared" si="0"/>
        <v>5498496732.2868462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>
        <v>1299304208.9200001</v>
      </c>
      <c r="C14" s="16">
        <v>0</v>
      </c>
      <c r="D14" s="16">
        <v>319822528.69757301</v>
      </c>
      <c r="E14" s="16">
        <v>32216130.259999998</v>
      </c>
      <c r="F14" s="16">
        <v>4878895.6100000003</v>
      </c>
      <c r="G14" s="16">
        <v>2921546.62</v>
      </c>
      <c r="H14" s="16">
        <v>70082495.870000005</v>
      </c>
      <c r="I14" s="16">
        <v>11371591.720000001</v>
      </c>
      <c r="J14" s="16">
        <v>255761574.26999989</v>
      </c>
      <c r="K14" s="16">
        <v>0</v>
      </c>
      <c r="L14" s="16">
        <v>0</v>
      </c>
      <c r="M14" s="16">
        <v>0</v>
      </c>
      <c r="N14" s="18">
        <f t="shared" si="0"/>
        <v>1996358971.9675729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>
        <v>2198598918.7300005</v>
      </c>
      <c r="C15" s="16">
        <v>0</v>
      </c>
      <c r="D15" s="16">
        <v>442784708.46221167</v>
      </c>
      <c r="E15" s="16">
        <v>54752040.899999991</v>
      </c>
      <c r="F15" s="16">
        <v>18175971.16</v>
      </c>
      <c r="G15" s="16">
        <v>10120237.5</v>
      </c>
      <c r="H15" s="16">
        <v>118589086.81</v>
      </c>
      <c r="I15" s="16">
        <v>42364038.810000002</v>
      </c>
      <c r="J15" s="16">
        <v>408071192.89000022</v>
      </c>
      <c r="K15" s="16">
        <v>0</v>
      </c>
      <c r="L15" s="16">
        <v>0</v>
      </c>
      <c r="M15" s="16">
        <v>0</v>
      </c>
      <c r="N15" s="18">
        <f t="shared" si="0"/>
        <v>3293456195.2622123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>
        <v>3985172171.6099997</v>
      </c>
      <c r="C16" s="16">
        <v>0</v>
      </c>
      <c r="D16" s="16">
        <v>212568878.86176234</v>
      </c>
      <c r="E16" s="16">
        <v>107161048.77000001</v>
      </c>
      <c r="F16" s="16">
        <v>67788501.579999998</v>
      </c>
      <c r="G16" s="16">
        <v>44898328.490000002</v>
      </c>
      <c r="H16" s="16">
        <v>214954134.91999999</v>
      </c>
      <c r="I16" s="16">
        <v>157999519.56</v>
      </c>
      <c r="J16" s="16">
        <v>1013701404.64</v>
      </c>
      <c r="K16" s="16">
        <v>0</v>
      </c>
      <c r="L16" s="16">
        <v>0</v>
      </c>
      <c r="M16" s="16">
        <v>0</v>
      </c>
      <c r="N16" s="18">
        <f t="shared" si="0"/>
        <v>5804243988.4317627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>
        <v>1542833851.6100001</v>
      </c>
      <c r="C17" s="16">
        <v>0</v>
      </c>
      <c r="D17" s="16">
        <v>417983951.74205011</v>
      </c>
      <c r="E17" s="16">
        <v>38221717.039999999</v>
      </c>
      <c r="F17" s="16">
        <v>13922574.98</v>
      </c>
      <c r="G17" s="16">
        <v>6544264.4299999997</v>
      </c>
      <c r="H17" s="16">
        <v>83218114.959999993</v>
      </c>
      <c r="I17" s="16">
        <v>32450343.460000001</v>
      </c>
      <c r="J17" s="16">
        <v>274770766.34000009</v>
      </c>
      <c r="K17" s="16">
        <v>0</v>
      </c>
      <c r="L17" s="16">
        <v>0</v>
      </c>
      <c r="M17" s="16">
        <v>0</v>
      </c>
      <c r="N17" s="18">
        <f t="shared" si="0"/>
        <v>2409945584.5620503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>
        <v>866272725.42000008</v>
      </c>
      <c r="C18" s="16">
        <v>0</v>
      </c>
      <c r="D18" s="16">
        <v>136194302.29828367</v>
      </c>
      <c r="E18" s="16">
        <v>21465927.68</v>
      </c>
      <c r="F18" s="16">
        <v>9382491.5600000005</v>
      </c>
      <c r="G18" s="16">
        <v>5328901.04</v>
      </c>
      <c r="H18" s="16">
        <v>46725435.259999998</v>
      </c>
      <c r="I18" s="16">
        <v>21868445.609999999</v>
      </c>
      <c r="J18" s="16">
        <v>224013573.05000004</v>
      </c>
      <c r="K18" s="16">
        <v>0</v>
      </c>
      <c r="L18" s="16">
        <v>0</v>
      </c>
      <c r="M18" s="16">
        <v>0</v>
      </c>
      <c r="N18" s="18">
        <f t="shared" si="0"/>
        <v>1331251801.9182835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>
        <v>1396212645.5599999</v>
      </c>
      <c r="C19" s="16">
        <v>0</v>
      </c>
      <c r="D19" s="16">
        <v>310203548.04152429</v>
      </c>
      <c r="E19" s="16">
        <v>34819050.130000003</v>
      </c>
      <c r="F19" s="16">
        <v>3789484.09</v>
      </c>
      <c r="G19" s="16">
        <v>2968291.37</v>
      </c>
      <c r="H19" s="16">
        <v>75309589.769999996</v>
      </c>
      <c r="I19" s="16">
        <v>8832422.1999999993</v>
      </c>
      <c r="J19" s="16">
        <v>194899313.72000003</v>
      </c>
      <c r="K19" s="16">
        <v>0</v>
      </c>
      <c r="L19" s="16">
        <v>0</v>
      </c>
      <c r="M19" s="16">
        <v>0</v>
      </c>
      <c r="N19" s="18">
        <f t="shared" si="0"/>
        <v>2027034344.8815243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>
        <v>5000912826.0200005</v>
      </c>
      <c r="C20" s="16">
        <v>0</v>
      </c>
      <c r="D20" s="16">
        <v>63772594.337007172</v>
      </c>
      <c r="E20" s="16">
        <v>134500113.82999998</v>
      </c>
      <c r="F20" s="16">
        <v>120950741.3</v>
      </c>
      <c r="G20" s="16">
        <v>72726123.232721105</v>
      </c>
      <c r="H20" s="16">
        <v>269741643.27999997</v>
      </c>
      <c r="I20" s="16">
        <v>281908562.23000002</v>
      </c>
      <c r="J20" s="16">
        <v>1108278821.7600002</v>
      </c>
      <c r="K20" s="16">
        <v>0</v>
      </c>
      <c r="L20" s="16">
        <v>0</v>
      </c>
      <c r="M20" s="16">
        <v>0</v>
      </c>
      <c r="N20" s="18">
        <f t="shared" si="0"/>
        <v>7052791425.9897289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>
        <v>2170611138.96</v>
      </c>
      <c r="C21" s="16">
        <v>0</v>
      </c>
      <c r="D21" s="16">
        <v>26122948.614768542</v>
      </c>
      <c r="E21" s="16">
        <v>54044939.890000001</v>
      </c>
      <c r="F21" s="16">
        <v>32161096.09</v>
      </c>
      <c r="G21" s="16">
        <v>9314439.9562628828</v>
      </c>
      <c r="H21" s="16">
        <v>117079468.48</v>
      </c>
      <c r="I21" s="16">
        <v>74960171.909999996</v>
      </c>
      <c r="J21" s="16">
        <v>363354337.53000003</v>
      </c>
      <c r="K21" s="16">
        <v>0</v>
      </c>
      <c r="L21" s="16">
        <v>0</v>
      </c>
      <c r="M21" s="16">
        <v>0</v>
      </c>
      <c r="N21" s="18">
        <f t="shared" si="0"/>
        <v>2847648541.4310317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>
        <v>1777044222.8700001</v>
      </c>
      <c r="C22" s="16">
        <v>0</v>
      </c>
      <c r="D22" s="16">
        <v>228831707.62584472</v>
      </c>
      <c r="E22" s="16">
        <v>44027179.950000003</v>
      </c>
      <c r="F22" s="16">
        <v>7657155.6100000003</v>
      </c>
      <c r="G22" s="16">
        <v>5025060.1900000004</v>
      </c>
      <c r="H22" s="16">
        <v>95851066.709999993</v>
      </c>
      <c r="I22" s="16">
        <v>17847081.449999999</v>
      </c>
      <c r="J22" s="16">
        <v>272859159.96999985</v>
      </c>
      <c r="K22" s="16">
        <v>0</v>
      </c>
      <c r="L22" s="16">
        <v>0</v>
      </c>
      <c r="M22" s="16">
        <v>0</v>
      </c>
      <c r="N22" s="18">
        <f t="shared" si="0"/>
        <v>2449142634.3758445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>
        <v>1676180339.8700004</v>
      </c>
      <c r="C23" s="16">
        <v>0</v>
      </c>
      <c r="D23" s="16">
        <v>170006665.45393535</v>
      </c>
      <c r="E23" s="16">
        <v>41642456.729999997</v>
      </c>
      <c r="F23" s="16">
        <v>7339193.4000000004</v>
      </c>
      <c r="G23" s="16">
        <v>6193678.8399999999</v>
      </c>
      <c r="H23" s="16">
        <v>90410622.030000001</v>
      </c>
      <c r="I23" s="16">
        <v>17105984.120000001</v>
      </c>
      <c r="J23" s="16">
        <v>225234441.03000003</v>
      </c>
      <c r="K23" s="16">
        <v>0</v>
      </c>
      <c r="L23" s="16">
        <v>0</v>
      </c>
      <c r="M23" s="16">
        <v>0</v>
      </c>
      <c r="N23" s="18">
        <f t="shared" si="0"/>
        <v>2234113381.4739356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>
        <v>531857712.20999998</v>
      </c>
      <c r="C24" s="16">
        <v>0</v>
      </c>
      <c r="D24" s="16">
        <v>107507370.09753907</v>
      </c>
      <c r="E24" s="16">
        <v>13197583.010000002</v>
      </c>
      <c r="F24" s="16">
        <v>7631093.1399999997</v>
      </c>
      <c r="G24" s="16">
        <v>1558202.5652367841</v>
      </c>
      <c r="H24" s="16">
        <v>28687597.300000001</v>
      </c>
      <c r="I24" s="16">
        <v>17786335.77</v>
      </c>
      <c r="J24" s="16">
        <v>190582802.82999989</v>
      </c>
      <c r="K24" s="16">
        <v>0</v>
      </c>
      <c r="L24" s="16">
        <v>0</v>
      </c>
      <c r="M24" s="16">
        <v>0</v>
      </c>
      <c r="N24" s="18">
        <f t="shared" si="0"/>
        <v>898808696.92277563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>
        <v>2089884073.9300001</v>
      </c>
      <c r="C25" s="16">
        <v>0</v>
      </c>
      <c r="D25" s="16">
        <v>114041818.51475517</v>
      </c>
      <c r="E25" s="16">
        <v>52273119.950000003</v>
      </c>
      <c r="F25" s="16">
        <v>33844732.079999998</v>
      </c>
      <c r="G25" s="16">
        <v>14747967.35</v>
      </c>
      <c r="H25" s="16">
        <v>112725173.18000001</v>
      </c>
      <c r="I25" s="16">
        <v>78884342.980000004</v>
      </c>
      <c r="J25" s="16">
        <v>440569707.94999987</v>
      </c>
      <c r="K25" s="16">
        <v>0</v>
      </c>
      <c r="L25" s="16">
        <v>0</v>
      </c>
      <c r="M25" s="16">
        <v>0</v>
      </c>
      <c r="N25" s="18">
        <f t="shared" si="0"/>
        <v>2936970935.9347544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>
        <v>894410332.67999995</v>
      </c>
      <c r="C26" s="16">
        <v>0</v>
      </c>
      <c r="D26" s="16">
        <v>103058189.98305596</v>
      </c>
      <c r="E26" s="16">
        <v>22206079</v>
      </c>
      <c r="F26" s="16">
        <v>15392498.66</v>
      </c>
      <c r="G26" s="16">
        <v>9419066.3100000005</v>
      </c>
      <c r="H26" s="16">
        <v>48243135.07</v>
      </c>
      <c r="I26" s="16">
        <v>35876399.939999998</v>
      </c>
      <c r="J26" s="16">
        <v>325087191.12</v>
      </c>
      <c r="K26" s="16">
        <v>0</v>
      </c>
      <c r="L26" s="16">
        <v>0</v>
      </c>
      <c r="M26" s="16">
        <v>0</v>
      </c>
      <c r="N26" s="18">
        <f t="shared" si="0"/>
        <v>1453692892.7630558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>
        <v>407740598.9000001</v>
      </c>
      <c r="C27" s="16">
        <v>0</v>
      </c>
      <c r="D27" s="16">
        <v>75755867.06958577</v>
      </c>
      <c r="E27" s="16">
        <v>10235180.25</v>
      </c>
      <c r="F27" s="16">
        <v>3825971.56</v>
      </c>
      <c r="G27" s="16">
        <v>2126885.94</v>
      </c>
      <c r="H27" s="16">
        <v>21992908.699999999</v>
      </c>
      <c r="I27" s="16">
        <v>8917466.1600000001</v>
      </c>
      <c r="J27" s="16">
        <v>87114544.560000062</v>
      </c>
      <c r="K27" s="16">
        <v>0</v>
      </c>
      <c r="L27" s="16">
        <v>0</v>
      </c>
      <c r="M27" s="16">
        <v>0</v>
      </c>
      <c r="N27" s="18">
        <f t="shared" si="0"/>
        <v>617709423.13958597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>
        <v>1562820842.0900002</v>
      </c>
      <c r="C28" s="16">
        <v>0</v>
      </c>
      <c r="D28" s="16">
        <v>219741340.84889588</v>
      </c>
      <c r="E28" s="16">
        <v>38754111.409999996</v>
      </c>
      <c r="F28" s="16">
        <v>5269832.76</v>
      </c>
      <c r="G28" s="16">
        <v>3085153.23</v>
      </c>
      <c r="H28" s="16">
        <v>84296182.870000005</v>
      </c>
      <c r="I28" s="16">
        <v>12282776.949999999</v>
      </c>
      <c r="J28" s="16">
        <v>178109662.14000008</v>
      </c>
      <c r="K28" s="16">
        <v>0</v>
      </c>
      <c r="L28" s="16">
        <v>0</v>
      </c>
      <c r="M28" s="16">
        <v>0</v>
      </c>
      <c r="N28" s="18">
        <f t="shared" si="0"/>
        <v>2104359902.2988963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>
        <v>893001954.06999993</v>
      </c>
      <c r="C29" s="16">
        <v>0</v>
      </c>
      <c r="D29" s="16">
        <v>199360895.46726343</v>
      </c>
      <c r="E29" s="16">
        <v>22416286.350000001</v>
      </c>
      <c r="F29" s="16">
        <v>3289084.54</v>
      </c>
      <c r="G29" s="16">
        <v>1869789.84</v>
      </c>
      <c r="H29" s="16">
        <v>48167169.259999998</v>
      </c>
      <c r="I29" s="16">
        <v>7666105.0999999996</v>
      </c>
      <c r="J29" s="16">
        <v>158782875.37</v>
      </c>
      <c r="K29" s="16">
        <v>0</v>
      </c>
      <c r="L29" s="16">
        <v>0</v>
      </c>
      <c r="M29" s="16">
        <v>0</v>
      </c>
      <c r="N29" s="18">
        <f t="shared" si="0"/>
        <v>1334554159.997263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>
        <v>313199437</v>
      </c>
      <c r="C30" s="16">
        <v>0</v>
      </c>
      <c r="D30" s="16">
        <v>128045044.00728412</v>
      </c>
      <c r="E30" s="16">
        <v>7796508.5899999999</v>
      </c>
      <c r="F30" s="16">
        <v>2840809.94</v>
      </c>
      <c r="G30" s="16">
        <v>2337237.2999999998</v>
      </c>
      <c r="H30" s="16">
        <v>16893502</v>
      </c>
      <c r="I30" s="16">
        <v>6621279.3700000001</v>
      </c>
      <c r="J30" s="16">
        <v>123350533.71999994</v>
      </c>
      <c r="K30" s="16">
        <v>0</v>
      </c>
      <c r="L30" s="16">
        <v>0</v>
      </c>
      <c r="M30" s="16">
        <v>0</v>
      </c>
      <c r="N30" s="18">
        <f t="shared" si="0"/>
        <v>601084351.927284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>
        <v>539139329.43000007</v>
      </c>
      <c r="C31" s="16">
        <v>0</v>
      </c>
      <c r="D31" s="16">
        <v>72887859.09209758</v>
      </c>
      <c r="E31" s="16">
        <v>13445647.379999999</v>
      </c>
      <c r="F31" s="16">
        <v>3393334.45</v>
      </c>
      <c r="G31" s="16">
        <v>1285480.51</v>
      </c>
      <c r="H31" s="16">
        <v>29080356.68</v>
      </c>
      <c r="I31" s="16">
        <v>7909087.8300000001</v>
      </c>
      <c r="J31" s="16">
        <v>87421874.819999993</v>
      </c>
      <c r="K31" s="16">
        <v>0</v>
      </c>
      <c r="L31" s="16">
        <v>0</v>
      </c>
      <c r="M31" s="16">
        <v>0</v>
      </c>
      <c r="N31" s="18">
        <f t="shared" si="0"/>
        <v>754562970.19209766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>
        <v>2467029894.3899999</v>
      </c>
      <c r="C32" s="16">
        <v>0</v>
      </c>
      <c r="D32" s="16">
        <v>322860701.68662566</v>
      </c>
      <c r="E32" s="16">
        <v>61146698.820000008</v>
      </c>
      <c r="F32" s="16">
        <v>10007991</v>
      </c>
      <c r="G32" s="16">
        <v>7035084.2699999996</v>
      </c>
      <c r="H32" s="16">
        <v>133067845.98999999</v>
      </c>
      <c r="I32" s="16">
        <v>23326341.989999998</v>
      </c>
      <c r="J32" s="16">
        <v>273537822.45999992</v>
      </c>
      <c r="K32" s="16">
        <v>0</v>
      </c>
      <c r="L32" s="16">
        <v>0</v>
      </c>
      <c r="M32" s="16">
        <v>0</v>
      </c>
      <c r="N32" s="18">
        <f t="shared" si="0"/>
        <v>3298012380.6066251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>
        <v>1544991367.8099999</v>
      </c>
      <c r="C33" s="16">
        <v>0</v>
      </c>
      <c r="D33" s="16">
        <v>220133725.1845389</v>
      </c>
      <c r="E33" s="16">
        <v>38782770.589999996</v>
      </c>
      <c r="F33" s="16">
        <v>7344405.8899999997</v>
      </c>
      <c r="G33" s="16">
        <v>5656114.2599999998</v>
      </c>
      <c r="H33" s="16">
        <v>83334488.109999999</v>
      </c>
      <c r="I33" s="16">
        <v>17118133.260000002</v>
      </c>
      <c r="J33" s="16">
        <v>260919771.71000001</v>
      </c>
      <c r="K33" s="16">
        <v>0</v>
      </c>
      <c r="L33" s="16">
        <v>0</v>
      </c>
      <c r="M33" s="16">
        <v>0</v>
      </c>
      <c r="N33" s="18">
        <f t="shared" si="0"/>
        <v>2178280776.8145385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>
        <v>2111938684.1099999</v>
      </c>
      <c r="C34" s="16">
        <v>0</v>
      </c>
      <c r="D34" s="16">
        <v>222035528.70466286</v>
      </c>
      <c r="E34" s="16">
        <v>56835112.840000004</v>
      </c>
      <c r="F34" s="16">
        <v>10680402.9</v>
      </c>
      <c r="G34" s="16">
        <v>9442438.6799999997</v>
      </c>
      <c r="H34" s="16">
        <v>113914765.36</v>
      </c>
      <c r="I34" s="16">
        <v>24893580.59</v>
      </c>
      <c r="J34" s="16">
        <v>328210608.6099999</v>
      </c>
      <c r="K34" s="16">
        <v>0</v>
      </c>
      <c r="L34" s="16">
        <v>0</v>
      </c>
      <c r="M34" s="16">
        <v>0</v>
      </c>
      <c r="N34" s="18">
        <f t="shared" si="0"/>
        <v>2877951121.7946634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>
        <v>1042140262.3800001</v>
      </c>
      <c r="C35" s="16">
        <v>0</v>
      </c>
      <c r="D35" s="16">
        <v>147150710.32862738</v>
      </c>
      <c r="E35" s="16">
        <v>25804741.780000001</v>
      </c>
      <c r="F35" s="16">
        <v>6677206.4900000002</v>
      </c>
      <c r="G35" s="16">
        <v>3669462.56</v>
      </c>
      <c r="H35" s="16">
        <v>56211463.130000003</v>
      </c>
      <c r="I35" s="16">
        <v>15563043.789999999</v>
      </c>
      <c r="J35" s="16">
        <v>117959876.38999994</v>
      </c>
      <c r="K35" s="16">
        <v>0</v>
      </c>
      <c r="L35" s="16">
        <v>0</v>
      </c>
      <c r="M35" s="16">
        <v>0</v>
      </c>
      <c r="N35" s="18">
        <f t="shared" si="0"/>
        <v>1415176766.8486273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>
        <v>1195713465.1100001</v>
      </c>
      <c r="C36" s="16">
        <v>0</v>
      </c>
      <c r="D36" s="16">
        <v>176102651.23840508</v>
      </c>
      <c r="E36" s="16">
        <v>29718098.100000001</v>
      </c>
      <c r="F36" s="16">
        <v>4201271.22</v>
      </c>
      <c r="G36" s="16">
        <v>2126885.94</v>
      </c>
      <c r="H36" s="16">
        <v>64494968.460000001</v>
      </c>
      <c r="I36" s="16">
        <v>9792203.9800000004</v>
      </c>
      <c r="J36" s="16">
        <v>118796732.43000005</v>
      </c>
      <c r="K36" s="16">
        <v>0</v>
      </c>
      <c r="L36" s="16">
        <v>0</v>
      </c>
      <c r="M36" s="16">
        <v>0</v>
      </c>
      <c r="N36" s="18">
        <f t="shared" si="0"/>
        <v>1600946276.4784052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>
        <v>1245006717.5300002</v>
      </c>
      <c r="C37" s="16">
        <v>0</v>
      </c>
      <c r="D37" s="16">
        <v>205720706.27015898</v>
      </c>
      <c r="E37" s="16">
        <v>30930988.830000002</v>
      </c>
      <c r="F37" s="16">
        <v>7792680.4900000002</v>
      </c>
      <c r="G37" s="16">
        <v>3248759.84</v>
      </c>
      <c r="H37" s="16">
        <v>67153771.640000001</v>
      </c>
      <c r="I37" s="16">
        <v>18162959</v>
      </c>
      <c r="J37" s="16">
        <v>201644880.87000006</v>
      </c>
      <c r="K37" s="16">
        <v>0</v>
      </c>
      <c r="L37" s="16">
        <v>0</v>
      </c>
      <c r="M37" s="16">
        <v>0</v>
      </c>
      <c r="N37" s="18">
        <f t="shared" si="0"/>
        <v>1779661464.4701593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>
        <v>1050830258.25</v>
      </c>
      <c r="C38" s="16">
        <v>0</v>
      </c>
      <c r="D38" s="16">
        <v>20969349.217997134</v>
      </c>
      <c r="E38" s="16">
        <v>26249076.770000003</v>
      </c>
      <c r="F38" s="16">
        <v>6963893.7400000002</v>
      </c>
      <c r="G38" s="16">
        <v>8998363.5999999996</v>
      </c>
      <c r="H38" s="16">
        <v>56680188.310000002</v>
      </c>
      <c r="I38" s="16">
        <v>16231246.300000001</v>
      </c>
      <c r="J38" s="16">
        <v>332756560.58999991</v>
      </c>
      <c r="K38" s="16">
        <v>0</v>
      </c>
      <c r="L38" s="16">
        <v>0</v>
      </c>
      <c r="M38" s="16">
        <v>0</v>
      </c>
      <c r="N38" s="18">
        <f t="shared" si="0"/>
        <v>1519678936.7779968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>
        <v>2019914624.4700003</v>
      </c>
      <c r="C39" s="16">
        <v>0</v>
      </c>
      <c r="D39" s="16">
        <v>271590076.56038612</v>
      </c>
      <c r="E39" s="16">
        <v>50159524.649999999</v>
      </c>
      <c r="F39" s="16">
        <v>8871667.0199999996</v>
      </c>
      <c r="G39" s="16">
        <v>5609369.5099999998</v>
      </c>
      <c r="H39" s="16">
        <v>108951127.34</v>
      </c>
      <c r="I39" s="16">
        <v>20677830.239999998</v>
      </c>
      <c r="J39" s="16">
        <v>288887429.53999996</v>
      </c>
      <c r="K39" s="16">
        <v>0</v>
      </c>
      <c r="L39" s="16">
        <v>0</v>
      </c>
      <c r="M39" s="16">
        <v>0</v>
      </c>
      <c r="N39" s="18">
        <f t="shared" si="0"/>
        <v>2774661649.3303866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>
        <v>1326602782.1199999</v>
      </c>
      <c r="C40" s="16">
        <v>0</v>
      </c>
      <c r="D40" s="16">
        <v>236897010.15414178</v>
      </c>
      <c r="E40" s="16">
        <v>33300682.07</v>
      </c>
      <c r="F40" s="16">
        <v>4738158.24</v>
      </c>
      <c r="G40" s="16">
        <v>2454099.16</v>
      </c>
      <c r="H40" s="16">
        <v>71554939.450000003</v>
      </c>
      <c r="I40" s="16">
        <v>11043565.029999999</v>
      </c>
      <c r="J40" s="16">
        <v>159153603.87999997</v>
      </c>
      <c r="K40" s="16">
        <v>0</v>
      </c>
      <c r="L40" s="16">
        <v>0</v>
      </c>
      <c r="M40" s="16">
        <v>0</v>
      </c>
      <c r="N40" s="18">
        <f t="shared" ref="N40:N71" si="1">SUM(B40:M40)</f>
        <v>1845744840.1041417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>
        <v>1386294064.05</v>
      </c>
      <c r="C41" s="16">
        <v>0</v>
      </c>
      <c r="D41" s="16">
        <v>77841464.900678933</v>
      </c>
      <c r="E41" s="16">
        <v>34150864.379999995</v>
      </c>
      <c r="F41" s="16">
        <v>8022030.29</v>
      </c>
      <c r="G41" s="16">
        <v>4277144.25</v>
      </c>
      <c r="H41" s="16">
        <v>74774596.549999997</v>
      </c>
      <c r="I41" s="16">
        <v>18697521</v>
      </c>
      <c r="J41" s="16">
        <v>163312524.95999992</v>
      </c>
      <c r="K41" s="16">
        <v>0</v>
      </c>
      <c r="L41" s="16">
        <v>0</v>
      </c>
      <c r="M41" s="16">
        <v>0</v>
      </c>
      <c r="N41" s="18">
        <f t="shared" si="1"/>
        <v>1767370210.3806787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>
        <v>840921909.88999999</v>
      </c>
      <c r="C42" s="16">
        <v>0</v>
      </c>
      <c r="D42" s="16">
        <v>16106516.982333219</v>
      </c>
      <c r="E42" s="16">
        <v>21030640.069999997</v>
      </c>
      <c r="F42" s="16">
        <v>21788230.41</v>
      </c>
      <c r="G42" s="16">
        <v>0</v>
      </c>
      <c r="H42" s="16">
        <v>45358050.770000003</v>
      </c>
      <c r="I42" s="16">
        <v>50783390.369999997</v>
      </c>
      <c r="J42" s="16">
        <v>248860228.70000011</v>
      </c>
      <c r="K42" s="16">
        <v>0</v>
      </c>
      <c r="L42" s="16">
        <v>0</v>
      </c>
      <c r="M42" s="16">
        <v>0</v>
      </c>
      <c r="N42" s="18">
        <f t="shared" si="1"/>
        <v>1244848967.1923332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>
        <v>5092966851.1299992</v>
      </c>
      <c r="C43" s="16">
        <v>0</v>
      </c>
      <c r="D43" s="16">
        <v>75201325.332609057</v>
      </c>
      <c r="E43" s="16">
        <v>124595589.06999999</v>
      </c>
      <c r="F43" s="16">
        <v>90603593.569999993</v>
      </c>
      <c r="G43" s="16">
        <v>34170409.289999999</v>
      </c>
      <c r="H43" s="16">
        <v>274706897.60000002</v>
      </c>
      <c r="I43" s="16">
        <v>211176289.81</v>
      </c>
      <c r="J43" s="16">
        <v>815019332.26999986</v>
      </c>
      <c r="K43" s="16">
        <v>0</v>
      </c>
      <c r="L43" s="16">
        <v>0</v>
      </c>
      <c r="M43" s="16">
        <v>0</v>
      </c>
      <c r="N43" s="18">
        <f t="shared" si="1"/>
        <v>6718440288.072608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>
        <v>4635513482.7299995</v>
      </c>
      <c r="C44" s="16">
        <v>0</v>
      </c>
      <c r="D44" s="16">
        <v>67663486.816387624</v>
      </c>
      <c r="E44" s="16">
        <v>114476862.88999999</v>
      </c>
      <c r="F44" s="16">
        <v>114002485.05</v>
      </c>
      <c r="G44" s="16">
        <v>58491647.361313306</v>
      </c>
      <c r="H44" s="16">
        <v>250032557.61000001</v>
      </c>
      <c r="I44" s="16">
        <v>265713763.34</v>
      </c>
      <c r="J44" s="16">
        <v>1053943555.51</v>
      </c>
      <c r="K44" s="16">
        <v>0</v>
      </c>
      <c r="L44" s="16">
        <v>0</v>
      </c>
      <c r="M44" s="16">
        <v>0</v>
      </c>
      <c r="N44" s="18">
        <f t="shared" si="1"/>
        <v>6559837841.3077002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>
        <v>1238893754.9300001</v>
      </c>
      <c r="C45" s="16">
        <v>0</v>
      </c>
      <c r="D45" s="16">
        <v>93598553.880388647</v>
      </c>
      <c r="E45" s="16">
        <v>30808084.090000004</v>
      </c>
      <c r="F45" s="16">
        <v>8491154.8599999994</v>
      </c>
      <c r="G45" s="16">
        <v>5352273.41</v>
      </c>
      <c r="H45" s="16">
        <v>66824047.719999999</v>
      </c>
      <c r="I45" s="16">
        <v>19790943.280000001</v>
      </c>
      <c r="J45" s="16">
        <v>157778768.81999999</v>
      </c>
      <c r="K45" s="16">
        <v>0</v>
      </c>
      <c r="L45" s="16">
        <v>0</v>
      </c>
      <c r="M45" s="16">
        <v>0</v>
      </c>
      <c r="N45" s="18">
        <f t="shared" si="1"/>
        <v>1621537580.9903886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>
        <v>1960193377.0499997</v>
      </c>
      <c r="C46" s="16">
        <v>0</v>
      </c>
      <c r="D46" s="16">
        <v>61806506.226387635</v>
      </c>
      <c r="E46" s="16">
        <v>52659450.319999993</v>
      </c>
      <c r="F46" s="16">
        <v>66975352.310000002</v>
      </c>
      <c r="G46" s="16">
        <v>0</v>
      </c>
      <c r="H46" s="16">
        <v>105729853.95</v>
      </c>
      <c r="I46" s="16">
        <v>156104254.27000001</v>
      </c>
      <c r="J46" s="16">
        <v>667543070.78999984</v>
      </c>
      <c r="K46" s="16">
        <v>0</v>
      </c>
      <c r="L46" s="16">
        <v>0</v>
      </c>
      <c r="M46" s="16">
        <v>0</v>
      </c>
      <c r="N46" s="18">
        <f t="shared" si="1"/>
        <v>3071011864.9163871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>
        <v>5960767817.3099985</v>
      </c>
      <c r="C47" s="16">
        <v>0</v>
      </c>
      <c r="D47" s="16">
        <v>79809537.261159927</v>
      </c>
      <c r="E47" s="16">
        <v>160107885.63</v>
      </c>
      <c r="F47" s="16">
        <v>208791712.36000001</v>
      </c>
      <c r="G47" s="16">
        <v>65868424.407410339</v>
      </c>
      <c r="H47" s="16">
        <v>321514763.85000002</v>
      </c>
      <c r="I47" s="16">
        <v>486645809.70999998</v>
      </c>
      <c r="J47" s="16">
        <v>1606182228.4000001</v>
      </c>
      <c r="K47" s="16">
        <v>0</v>
      </c>
      <c r="L47" s="16">
        <v>0</v>
      </c>
      <c r="M47" s="16">
        <v>0</v>
      </c>
      <c r="N47" s="18">
        <f t="shared" si="1"/>
        <v>8889688178.9285698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>
        <v>576716070.16999996</v>
      </c>
      <c r="C48" s="16">
        <v>0</v>
      </c>
      <c r="D48" s="16">
        <v>122110360.64466174</v>
      </c>
      <c r="E48" s="16">
        <v>14476865.410000002</v>
      </c>
      <c r="F48" s="16">
        <v>1813948.36</v>
      </c>
      <c r="G48" s="16">
        <v>1449087.12</v>
      </c>
      <c r="H48" s="16">
        <v>31107189.010000002</v>
      </c>
      <c r="I48" s="16">
        <v>4227899.49</v>
      </c>
      <c r="J48" s="16">
        <v>86173836.200000033</v>
      </c>
      <c r="K48" s="16">
        <v>0</v>
      </c>
      <c r="L48" s="16">
        <v>0</v>
      </c>
      <c r="M48" s="16">
        <v>0</v>
      </c>
      <c r="N48" s="18">
        <f t="shared" si="1"/>
        <v>838075256.40466177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>
        <v>1089006309.03</v>
      </c>
      <c r="C49" s="16">
        <v>0</v>
      </c>
      <c r="D49" s="16">
        <v>184740137.54033631</v>
      </c>
      <c r="E49" s="16">
        <v>24620110.699999996</v>
      </c>
      <c r="F49" s="16">
        <v>10711677.869999999</v>
      </c>
      <c r="G49" s="16">
        <v>6076816.9699999997</v>
      </c>
      <c r="H49" s="16">
        <v>58739346.509999998</v>
      </c>
      <c r="I49" s="16">
        <v>24966475.41</v>
      </c>
      <c r="J49" s="16">
        <v>202818653.1099999</v>
      </c>
      <c r="K49" s="16">
        <v>0</v>
      </c>
      <c r="L49" s="16">
        <v>0</v>
      </c>
      <c r="M49" s="16">
        <v>0</v>
      </c>
      <c r="N49" s="18">
        <f t="shared" si="1"/>
        <v>1601679527.1403363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>
        <v>707036042.62000012</v>
      </c>
      <c r="C50" s="16">
        <v>0</v>
      </c>
      <c r="D50" s="16">
        <v>122706610.4742074</v>
      </c>
      <c r="E50" s="16">
        <v>17621909.390000001</v>
      </c>
      <c r="F50" s="16">
        <v>3002397.3</v>
      </c>
      <c r="G50" s="16">
        <v>1729555.6</v>
      </c>
      <c r="H50" s="16">
        <v>38136450.409999996</v>
      </c>
      <c r="I50" s="16">
        <v>6997902.5999999996</v>
      </c>
      <c r="J50" s="16">
        <v>146566346.47999999</v>
      </c>
      <c r="K50" s="16">
        <v>0</v>
      </c>
      <c r="L50" s="16">
        <v>0</v>
      </c>
      <c r="M50" s="16">
        <v>0</v>
      </c>
      <c r="N50" s="18">
        <f t="shared" si="1"/>
        <v>1043797214.8742075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>
        <v>691244222.54999995</v>
      </c>
      <c r="C51" s="16">
        <v>0</v>
      </c>
      <c r="D51" s="16">
        <v>171012216.2362541</v>
      </c>
      <c r="E51" s="16">
        <v>17180862.969999999</v>
      </c>
      <c r="F51" s="16">
        <v>3742571.63</v>
      </c>
      <c r="G51" s="16">
        <v>2173630.69</v>
      </c>
      <c r="H51" s="16">
        <v>37284663.619999997</v>
      </c>
      <c r="I51" s="16">
        <v>8723079.9700000007</v>
      </c>
      <c r="J51" s="16">
        <v>101682240.63999996</v>
      </c>
      <c r="K51" s="16">
        <v>0</v>
      </c>
      <c r="L51" s="16">
        <v>0</v>
      </c>
      <c r="M51" s="16">
        <v>0</v>
      </c>
      <c r="N51" s="18">
        <f t="shared" si="1"/>
        <v>1033043488.3062541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>
        <v>815181542.84000003</v>
      </c>
      <c r="C52" s="16">
        <v>0</v>
      </c>
      <c r="D52" s="16">
        <v>120744978.79590663</v>
      </c>
      <c r="E52" s="16">
        <v>20327481.960000001</v>
      </c>
      <c r="F52" s="16">
        <v>3445459.4</v>
      </c>
      <c r="G52" s="16">
        <v>2781312.38</v>
      </c>
      <c r="H52" s="16">
        <v>43969654.460000001</v>
      </c>
      <c r="I52" s="16">
        <v>8030579.1900000004</v>
      </c>
      <c r="J52" s="16">
        <v>130338221.67999998</v>
      </c>
      <c r="K52" s="16">
        <v>0</v>
      </c>
      <c r="L52" s="16">
        <v>0</v>
      </c>
      <c r="M52" s="16">
        <v>0</v>
      </c>
      <c r="N52" s="18">
        <f t="shared" si="1"/>
        <v>1144819230.7059069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>
        <v>280237383.73000002</v>
      </c>
      <c r="C53" s="16">
        <v>0</v>
      </c>
      <c r="D53" s="16">
        <v>115615038.84297696</v>
      </c>
      <c r="E53" s="16">
        <v>7034559.2299999995</v>
      </c>
      <c r="F53" s="16">
        <v>599436.96</v>
      </c>
      <c r="G53" s="16">
        <v>420702.71</v>
      </c>
      <c r="H53" s="16">
        <v>15115578.91</v>
      </c>
      <c r="I53" s="16">
        <v>1397150.69</v>
      </c>
      <c r="J53" s="16">
        <v>68930736.610000029</v>
      </c>
      <c r="K53" s="16">
        <v>0</v>
      </c>
      <c r="L53" s="16">
        <v>0</v>
      </c>
      <c r="M53" s="16">
        <v>0</v>
      </c>
      <c r="N53" s="18">
        <f t="shared" si="1"/>
        <v>489350587.68297696</v>
      </c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>
        <v>1088017447.4300001</v>
      </c>
      <c r="C54" s="16">
        <v>0</v>
      </c>
      <c r="D54" s="16">
        <v>172163095.52826291</v>
      </c>
      <c r="E54" s="16">
        <v>27015048.170000002</v>
      </c>
      <c r="F54" s="16">
        <v>2058935.64</v>
      </c>
      <c r="G54" s="16">
        <v>1542576.62</v>
      </c>
      <c r="H54" s="16">
        <v>58686008.82</v>
      </c>
      <c r="I54" s="16">
        <v>4798908.9000000004</v>
      </c>
      <c r="J54" s="16">
        <v>157700879.62</v>
      </c>
      <c r="K54" s="16">
        <v>0</v>
      </c>
      <c r="L54" s="16">
        <v>0</v>
      </c>
      <c r="M54" s="16">
        <v>0</v>
      </c>
      <c r="N54" s="18">
        <f t="shared" si="1"/>
        <v>1511982900.7282629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>
        <v>494221040.46999997</v>
      </c>
      <c r="C55" s="16">
        <v>0</v>
      </c>
      <c r="D55" s="16">
        <v>57287384.110803984</v>
      </c>
      <c r="E55" s="16">
        <v>12303825.760000002</v>
      </c>
      <c r="F55" s="16">
        <v>3799909.08</v>
      </c>
      <c r="G55" s="16">
        <v>2407354.42</v>
      </c>
      <c r="H55" s="16">
        <v>26657532.390000001</v>
      </c>
      <c r="I55" s="16">
        <v>8856720.4700000007</v>
      </c>
      <c r="J55" s="16">
        <v>111335671.37</v>
      </c>
      <c r="K55" s="16">
        <v>0</v>
      </c>
      <c r="L55" s="16">
        <v>0</v>
      </c>
      <c r="M55" s="16">
        <v>0</v>
      </c>
      <c r="N55" s="18">
        <f t="shared" si="1"/>
        <v>716869438.070804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>
        <v>376936061.81000006</v>
      </c>
      <c r="C56" s="16">
        <v>0</v>
      </c>
      <c r="D56" s="16">
        <v>56364736.495661266</v>
      </c>
      <c r="E56" s="16">
        <v>9327539.8399999999</v>
      </c>
      <c r="F56" s="16">
        <v>1073774.03</v>
      </c>
      <c r="G56" s="16">
        <v>654426.43999999994</v>
      </c>
      <c r="H56" s="16">
        <v>20331358.75</v>
      </c>
      <c r="I56" s="16">
        <v>2502722.11</v>
      </c>
      <c r="J56" s="16">
        <v>91908051.329999939</v>
      </c>
      <c r="K56" s="16">
        <v>0</v>
      </c>
      <c r="L56" s="16">
        <v>0</v>
      </c>
      <c r="M56" s="16">
        <v>0</v>
      </c>
      <c r="N56" s="18">
        <f t="shared" si="1"/>
        <v>559098670.8056612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>
        <v>938219898.08000004</v>
      </c>
      <c r="C57" s="16">
        <v>0</v>
      </c>
      <c r="D57" s="16">
        <v>112887343.34856062</v>
      </c>
      <c r="E57" s="16">
        <v>23344705.120000001</v>
      </c>
      <c r="F57" s="16">
        <v>5514820.04</v>
      </c>
      <c r="G57" s="16">
        <v>3015036.11</v>
      </c>
      <c r="H57" s="16">
        <v>50606156.490000002</v>
      </c>
      <c r="I57" s="16">
        <v>12853786.369999999</v>
      </c>
      <c r="J57" s="16">
        <v>196233694.59000003</v>
      </c>
      <c r="K57" s="16">
        <v>0</v>
      </c>
      <c r="L57" s="16">
        <v>0</v>
      </c>
      <c r="M57" s="16">
        <v>0</v>
      </c>
      <c r="N57" s="18">
        <f t="shared" si="1"/>
        <v>1342675440.1485605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>
        <v>880686132.37</v>
      </c>
      <c r="C58" s="16">
        <v>0</v>
      </c>
      <c r="D58" s="16">
        <v>71375640.451423526</v>
      </c>
      <c r="E58" s="16">
        <v>21743735.170000002</v>
      </c>
      <c r="F58" s="16">
        <v>3210897.11</v>
      </c>
      <c r="G58" s="16">
        <v>1893162.21</v>
      </c>
      <c r="H58" s="16">
        <v>47502872.539999999</v>
      </c>
      <c r="I58" s="16">
        <v>7483868.0499999998</v>
      </c>
      <c r="J58" s="16">
        <v>111051285.23999994</v>
      </c>
      <c r="K58" s="16">
        <v>0</v>
      </c>
      <c r="L58" s="16">
        <v>0</v>
      </c>
      <c r="M58" s="16">
        <v>0</v>
      </c>
      <c r="N58" s="18">
        <f t="shared" si="1"/>
        <v>1144947593.1414235</v>
      </c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>
        <v>895818711.36000013</v>
      </c>
      <c r="C59" s="16">
        <v>0</v>
      </c>
      <c r="D59" s="16">
        <v>167906824.72603655</v>
      </c>
      <c r="E59" s="16">
        <v>22408396</v>
      </c>
      <c r="F59" s="16">
        <v>3127497.18</v>
      </c>
      <c r="G59" s="16">
        <v>1729555.6</v>
      </c>
      <c r="H59" s="16">
        <v>48319100.869999997</v>
      </c>
      <c r="I59" s="16">
        <v>7289481.8700000001</v>
      </c>
      <c r="J59" s="16">
        <v>124207918.67999993</v>
      </c>
      <c r="K59" s="16">
        <v>0</v>
      </c>
      <c r="L59" s="16">
        <v>0</v>
      </c>
      <c r="M59" s="16">
        <v>0</v>
      </c>
      <c r="N59" s="18">
        <f t="shared" si="1"/>
        <v>1270807486.2860363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>
        <v>6400931090.5099993</v>
      </c>
      <c r="C60" s="16">
        <v>0</v>
      </c>
      <c r="D60" s="16">
        <v>569123217.52601361</v>
      </c>
      <c r="E60" s="16">
        <v>283526018.81</v>
      </c>
      <c r="F60" s="16">
        <v>172038407.88999999</v>
      </c>
      <c r="G60" s="16">
        <v>88978624.010000005</v>
      </c>
      <c r="H60" s="16">
        <v>345256502.36000001</v>
      </c>
      <c r="I60" s="16">
        <v>400982248.58999997</v>
      </c>
      <c r="J60" s="16">
        <v>2076204923.2300005</v>
      </c>
      <c r="K60" s="16">
        <v>0</v>
      </c>
      <c r="L60" s="16">
        <v>0</v>
      </c>
      <c r="M60" s="16">
        <v>0</v>
      </c>
      <c r="N60" s="18">
        <f t="shared" si="1"/>
        <v>10337041032.926014</v>
      </c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>
        <v>1503129560.1500001</v>
      </c>
      <c r="C61" s="16">
        <v>0</v>
      </c>
      <c r="D61" s="16">
        <v>56851626.964483127</v>
      </c>
      <c r="E61" s="16">
        <v>36914600.749999993</v>
      </c>
      <c r="F61" s="16">
        <v>30712022.399999999</v>
      </c>
      <c r="G61" s="16">
        <v>8414034.3688802049</v>
      </c>
      <c r="H61" s="16">
        <v>81076525.780000001</v>
      </c>
      <c r="I61" s="16">
        <v>71582711.969999999</v>
      </c>
      <c r="J61" s="16">
        <v>514082020.38000017</v>
      </c>
      <c r="K61" s="16">
        <v>0</v>
      </c>
      <c r="L61" s="16">
        <v>0</v>
      </c>
      <c r="M61" s="16">
        <v>0</v>
      </c>
      <c r="N61" s="18">
        <f t="shared" si="1"/>
        <v>2302763102.7633638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>
        <v>6991221533.6199999</v>
      </c>
      <c r="C62" s="16">
        <v>0</v>
      </c>
      <c r="D62" s="16">
        <v>129296429.02999999</v>
      </c>
      <c r="E62" s="16">
        <v>189482828.41</v>
      </c>
      <c r="F62" s="16">
        <v>137708913.74000001</v>
      </c>
      <c r="G62" s="16">
        <v>0</v>
      </c>
      <c r="H62" s="16">
        <v>377095872.42000002</v>
      </c>
      <c r="I62" s="16">
        <v>320968035.92000002</v>
      </c>
      <c r="J62" s="16">
        <v>1022288538.2699996</v>
      </c>
      <c r="K62" s="16">
        <v>0</v>
      </c>
      <c r="L62" s="16">
        <v>0</v>
      </c>
      <c r="M62" s="16">
        <v>0</v>
      </c>
      <c r="N62" s="18">
        <f t="shared" si="1"/>
        <v>9168062151.4099998</v>
      </c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>
        <v>1231192620.6600001</v>
      </c>
      <c r="C63" s="16">
        <v>0</v>
      </c>
      <c r="D63" s="16">
        <v>191675664.79126915</v>
      </c>
      <c r="E63" s="16">
        <v>30527326.760000005</v>
      </c>
      <c r="F63" s="16">
        <v>4852833.13</v>
      </c>
      <c r="G63" s="16">
        <v>3015036.11</v>
      </c>
      <c r="H63" s="16">
        <v>66408660.229999997</v>
      </c>
      <c r="I63" s="16">
        <v>11310846.039999999</v>
      </c>
      <c r="J63" s="16">
        <v>137182810.80000004</v>
      </c>
      <c r="K63" s="16">
        <v>0</v>
      </c>
      <c r="L63" s="16">
        <v>0</v>
      </c>
      <c r="M63" s="16">
        <v>0</v>
      </c>
      <c r="N63" s="18">
        <f t="shared" si="1"/>
        <v>1676165798.5212691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>
        <v>1918661189.9400003</v>
      </c>
      <c r="C64" s="16">
        <v>0</v>
      </c>
      <c r="D64" s="16">
        <v>586531299.14830422</v>
      </c>
      <c r="E64" s="16">
        <v>47377446.610000007</v>
      </c>
      <c r="F64" s="16">
        <v>8882092.0099999998</v>
      </c>
      <c r="G64" s="16">
        <v>4697846.97</v>
      </c>
      <c r="H64" s="16">
        <v>103489670.84999999</v>
      </c>
      <c r="I64" s="16">
        <v>20702128.510000002</v>
      </c>
      <c r="J64" s="16">
        <v>290808696.51000005</v>
      </c>
      <c r="K64" s="16">
        <v>0</v>
      </c>
      <c r="L64" s="16">
        <v>0</v>
      </c>
      <c r="M64" s="16">
        <v>0</v>
      </c>
      <c r="N64" s="18">
        <f t="shared" si="1"/>
        <v>2981150370.548305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>
        <v>1005971900.3099999</v>
      </c>
      <c r="C65" s="16">
        <v>0</v>
      </c>
      <c r="D65" s="16">
        <v>143607000.78876594</v>
      </c>
      <c r="E65" s="16">
        <v>25036875.210000001</v>
      </c>
      <c r="F65" s="16">
        <v>1933835.76</v>
      </c>
      <c r="G65" s="16">
        <v>1565948.99</v>
      </c>
      <c r="H65" s="16">
        <v>54260596.600000001</v>
      </c>
      <c r="I65" s="16">
        <v>4507329.62</v>
      </c>
      <c r="J65" s="16">
        <v>173455631.30000001</v>
      </c>
      <c r="K65" s="16">
        <v>0</v>
      </c>
      <c r="L65" s="16">
        <v>0</v>
      </c>
      <c r="M65" s="16">
        <v>0</v>
      </c>
      <c r="N65" s="18">
        <f t="shared" si="1"/>
        <v>1410339118.5787656</v>
      </c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>
        <v>561673387.66000009</v>
      </c>
      <c r="C66" s="16">
        <v>0</v>
      </c>
      <c r="D66" s="16">
        <v>111688876.16223976</v>
      </c>
      <c r="E66" s="16">
        <v>14036562.879999999</v>
      </c>
      <c r="F66" s="16">
        <v>1892135.79</v>
      </c>
      <c r="G66" s="16">
        <v>1425714.75</v>
      </c>
      <c r="H66" s="16">
        <v>30295809.559999999</v>
      </c>
      <c r="I66" s="16">
        <v>4410136.53</v>
      </c>
      <c r="J66" s="16">
        <v>76997401.269999981</v>
      </c>
      <c r="K66" s="16">
        <v>0</v>
      </c>
      <c r="L66" s="16">
        <v>0</v>
      </c>
      <c r="M66" s="16">
        <v>0</v>
      </c>
      <c r="N66" s="18">
        <f t="shared" si="1"/>
        <v>802420024.60223973</v>
      </c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>
        <v>2519829110.6099997</v>
      </c>
      <c r="C67" s="16">
        <v>0</v>
      </c>
      <c r="D67" s="16">
        <v>35226703.490000002</v>
      </c>
      <c r="E67" s="16">
        <v>67954336.079999998</v>
      </c>
      <c r="F67" s="16">
        <v>50842679.299999997</v>
      </c>
      <c r="G67" s="16">
        <v>31040954.316135034</v>
      </c>
      <c r="H67" s="16">
        <v>135915755.53</v>
      </c>
      <c r="I67" s="16">
        <v>118502676.95</v>
      </c>
      <c r="J67" s="16">
        <v>496102294.18000025</v>
      </c>
      <c r="K67" s="16">
        <v>0</v>
      </c>
      <c r="L67" s="16">
        <v>0</v>
      </c>
      <c r="M67" s="16">
        <v>0</v>
      </c>
      <c r="N67" s="18">
        <f t="shared" si="1"/>
        <v>3455414510.4561348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>
        <v>1576215421.9199998</v>
      </c>
      <c r="C68" s="16">
        <v>0</v>
      </c>
      <c r="D68" s="16">
        <v>45145179.800000004</v>
      </c>
      <c r="E68" s="16">
        <v>39432306.229999997</v>
      </c>
      <c r="F68" s="16">
        <v>44837884.700000003</v>
      </c>
      <c r="G68" s="16">
        <v>29386785.534542277</v>
      </c>
      <c r="H68" s="16">
        <v>85018666.170000002</v>
      </c>
      <c r="I68" s="16">
        <v>104506871.76000001</v>
      </c>
      <c r="J68" s="16">
        <v>416646854.53999996</v>
      </c>
      <c r="K68" s="16">
        <v>0</v>
      </c>
      <c r="L68" s="16">
        <v>0</v>
      </c>
      <c r="M68" s="16">
        <v>0</v>
      </c>
      <c r="N68" s="18">
        <f t="shared" si="1"/>
        <v>2341189970.654542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>
        <v>5629738905.9399996</v>
      </c>
      <c r="C69" s="16">
        <v>0</v>
      </c>
      <c r="D69" s="16">
        <v>40217352.837475933</v>
      </c>
      <c r="E69" s="16">
        <v>140077992.88999999</v>
      </c>
      <c r="F69" s="16">
        <v>132329618.58</v>
      </c>
      <c r="G69" s="16">
        <v>32388816.787760146</v>
      </c>
      <c r="H69" s="16">
        <v>303659567.07999998</v>
      </c>
      <c r="I69" s="16">
        <v>308430127.10000002</v>
      </c>
      <c r="J69" s="16">
        <v>972943011.31999958</v>
      </c>
      <c r="K69" s="16">
        <v>0</v>
      </c>
      <c r="L69" s="16">
        <v>0</v>
      </c>
      <c r="M69" s="16">
        <v>0</v>
      </c>
      <c r="N69" s="18">
        <f t="shared" si="1"/>
        <v>7559785392.5352354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>
        <v>1169313857</v>
      </c>
      <c r="C70" s="16">
        <v>0</v>
      </c>
      <c r="D70" s="16">
        <v>233824574.28235632</v>
      </c>
      <c r="E70" s="16">
        <v>29129719.180000003</v>
      </c>
      <c r="F70" s="16">
        <v>29388048.59</v>
      </c>
      <c r="G70" s="16">
        <v>13836444.800000001</v>
      </c>
      <c r="H70" s="16">
        <v>63071013.689999998</v>
      </c>
      <c r="I70" s="16">
        <v>68496831.319999993</v>
      </c>
      <c r="J70" s="16">
        <v>413560268.36999977</v>
      </c>
      <c r="K70" s="16">
        <v>0</v>
      </c>
      <c r="L70" s="16">
        <v>0</v>
      </c>
      <c r="M70" s="16">
        <v>0</v>
      </c>
      <c r="N70" s="18">
        <f t="shared" si="1"/>
        <v>2020620757.2323561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>
        <v>4555715348.2600002</v>
      </c>
      <c r="C71" s="16">
        <v>0</v>
      </c>
      <c r="D71" s="16">
        <v>42071501.750000007</v>
      </c>
      <c r="E71" s="16">
        <v>41396738.479999997</v>
      </c>
      <c r="F71" s="16">
        <v>18504358.370000001</v>
      </c>
      <c r="G71" s="16">
        <v>13439114.460000001</v>
      </c>
      <c r="H71" s="16">
        <v>245728367.43000001</v>
      </c>
      <c r="I71" s="16">
        <v>43129434.399999999</v>
      </c>
      <c r="J71" s="16">
        <v>345636657.27000016</v>
      </c>
      <c r="K71" s="16">
        <v>0</v>
      </c>
      <c r="L71" s="16">
        <v>0</v>
      </c>
      <c r="M71" s="16">
        <v>0</v>
      </c>
      <c r="N71" s="18">
        <f t="shared" si="1"/>
        <v>5305621520.4200001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>
        <v>20102507498.580002</v>
      </c>
      <c r="C72" s="16">
        <v>0</v>
      </c>
      <c r="D72" s="16">
        <v>248724055.75773469</v>
      </c>
      <c r="E72" s="16">
        <v>544837665.41999996</v>
      </c>
      <c r="F72" s="16">
        <v>538424704.35000002</v>
      </c>
      <c r="G72" s="16">
        <v>0</v>
      </c>
      <c r="H72" s="16">
        <v>1084298726.1199999</v>
      </c>
      <c r="I72" s="16">
        <v>1254945049.79</v>
      </c>
      <c r="J72" s="16">
        <v>5063913975.8199987</v>
      </c>
      <c r="K72" s="16">
        <v>0</v>
      </c>
      <c r="L72" s="16">
        <v>0</v>
      </c>
      <c r="M72" s="16">
        <v>0</v>
      </c>
      <c r="N72" s="18">
        <f t="shared" ref="N72:N103" si="2">SUM(B72:M72)</f>
        <v>28837651675.837734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>
        <v>9306476155.5300007</v>
      </c>
      <c r="C73" s="16">
        <v>0</v>
      </c>
      <c r="D73" s="16">
        <v>372526961.24553132</v>
      </c>
      <c r="E73" s="16">
        <v>249795320.91</v>
      </c>
      <c r="F73" s="16">
        <v>199847070.40000001</v>
      </c>
      <c r="G73" s="16">
        <v>120384184.53459707</v>
      </c>
      <c r="H73" s="16">
        <v>501977190.69999999</v>
      </c>
      <c r="I73" s="16">
        <v>465797891.56</v>
      </c>
      <c r="J73" s="16">
        <v>2205805914.6100001</v>
      </c>
      <c r="K73" s="16">
        <v>0</v>
      </c>
      <c r="L73" s="16">
        <v>0</v>
      </c>
      <c r="M73" s="16">
        <v>0</v>
      </c>
      <c r="N73" s="18">
        <f t="shared" si="2"/>
        <v>13422610689.490129</v>
      </c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>
        <v>4845451796.5600004</v>
      </c>
      <c r="C74" s="16">
        <v>0</v>
      </c>
      <c r="D74" s="16">
        <v>102038919</v>
      </c>
      <c r="E74" s="16">
        <v>131326188.93000001</v>
      </c>
      <c r="F74" s="16">
        <v>145095019.59999999</v>
      </c>
      <c r="G74" s="16">
        <v>211860081.01823694</v>
      </c>
      <c r="H74" s="16">
        <v>261356311.44</v>
      </c>
      <c r="I74" s="16">
        <v>338183362.26999998</v>
      </c>
      <c r="J74" s="16">
        <v>1183301218.5899999</v>
      </c>
      <c r="K74" s="16">
        <v>0</v>
      </c>
      <c r="L74" s="16">
        <v>0</v>
      </c>
      <c r="M74" s="16">
        <v>0</v>
      </c>
      <c r="N74" s="18">
        <f t="shared" si="2"/>
        <v>7218612897.4082375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>
        <v>820904953.90999997</v>
      </c>
      <c r="C75" s="16">
        <v>0</v>
      </c>
      <c r="D75" s="16">
        <v>130858682.8011708</v>
      </c>
      <c r="E75" s="16">
        <v>20479018.060000002</v>
      </c>
      <c r="F75" s="16">
        <v>2637522.62</v>
      </c>
      <c r="G75" s="16">
        <v>1542576.62</v>
      </c>
      <c r="H75" s="16">
        <v>44278366.57</v>
      </c>
      <c r="I75" s="16">
        <v>6147463.04</v>
      </c>
      <c r="J75" s="16">
        <v>133352352.62999995</v>
      </c>
      <c r="K75" s="16">
        <v>0</v>
      </c>
      <c r="L75" s="16">
        <v>0</v>
      </c>
      <c r="M75" s="16">
        <v>0</v>
      </c>
      <c r="N75" s="18">
        <f t="shared" si="2"/>
        <v>1160200936.2511709</v>
      </c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>
        <v>829115501.71000004</v>
      </c>
      <c r="C76" s="16">
        <v>0</v>
      </c>
      <c r="D76" s="16">
        <v>190540596.35161659</v>
      </c>
      <c r="E76" s="16">
        <v>20640580.68</v>
      </c>
      <c r="F76" s="16">
        <v>4748583.2300000004</v>
      </c>
      <c r="G76" s="16">
        <v>3622717.81</v>
      </c>
      <c r="H76" s="16">
        <v>44721231.049999997</v>
      </c>
      <c r="I76" s="16">
        <v>11067863.310000001</v>
      </c>
      <c r="J76" s="16">
        <v>198020919.74000007</v>
      </c>
      <c r="K76" s="16">
        <v>0</v>
      </c>
      <c r="L76" s="16">
        <v>0</v>
      </c>
      <c r="M76" s="16">
        <v>0</v>
      </c>
      <c r="N76" s="18">
        <f t="shared" si="2"/>
        <v>1302477993.8816166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>
        <v>929350109.18000007</v>
      </c>
      <c r="C77" s="16">
        <v>0</v>
      </c>
      <c r="D77" s="16">
        <v>140706659.06110764</v>
      </c>
      <c r="E77" s="16">
        <v>23291076.700000003</v>
      </c>
      <c r="F77" s="16">
        <v>5577369.9800000004</v>
      </c>
      <c r="G77" s="16">
        <v>2313864.92</v>
      </c>
      <c r="H77" s="16">
        <v>50127733.549999997</v>
      </c>
      <c r="I77" s="16">
        <v>12999576</v>
      </c>
      <c r="J77" s="16">
        <v>134552691.67000008</v>
      </c>
      <c r="K77" s="16">
        <v>0</v>
      </c>
      <c r="L77" s="16">
        <v>0</v>
      </c>
      <c r="M77" s="16">
        <v>0</v>
      </c>
      <c r="N77" s="18">
        <f t="shared" si="2"/>
        <v>1298919081.0611079</v>
      </c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>
        <v>357188795.37</v>
      </c>
      <c r="C78" s="16">
        <v>0</v>
      </c>
      <c r="D78" s="16">
        <v>58334626.972351439</v>
      </c>
      <c r="E78" s="16">
        <v>8966193.25</v>
      </c>
      <c r="F78" s="16">
        <v>1980748.21</v>
      </c>
      <c r="G78" s="16">
        <v>818033.05</v>
      </c>
      <c r="H78" s="16">
        <v>19266221.190000001</v>
      </c>
      <c r="I78" s="16">
        <v>4616671.8499999996</v>
      </c>
      <c r="J78" s="16">
        <v>57702615.600000001</v>
      </c>
      <c r="K78" s="16">
        <v>0</v>
      </c>
      <c r="L78" s="16">
        <v>0</v>
      </c>
      <c r="M78" s="16">
        <v>0</v>
      </c>
      <c r="N78" s="18">
        <f t="shared" si="2"/>
        <v>508873905.49235147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>
        <v>1838024021.4400003</v>
      </c>
      <c r="C79" s="16">
        <v>0</v>
      </c>
      <c r="D79" s="16">
        <v>400171350.84509283</v>
      </c>
      <c r="E79" s="16">
        <v>45729021.460000001</v>
      </c>
      <c r="F79" s="16">
        <v>9955866.0500000007</v>
      </c>
      <c r="G79" s="16">
        <v>6076816.9699999997</v>
      </c>
      <c r="H79" s="16">
        <v>99140224.430000007</v>
      </c>
      <c r="I79" s="16">
        <v>23204850.620000001</v>
      </c>
      <c r="J79" s="16">
        <v>312577822.94000006</v>
      </c>
      <c r="K79" s="16">
        <v>0</v>
      </c>
      <c r="L79" s="16">
        <v>0</v>
      </c>
      <c r="M79" s="16">
        <v>0</v>
      </c>
      <c r="N79" s="18">
        <f t="shared" si="2"/>
        <v>2734879974.7550931</v>
      </c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>
        <v>980201567.72000003</v>
      </c>
      <c r="C80" s="16">
        <v>0</v>
      </c>
      <c r="D80" s="16">
        <v>406282140.33830792</v>
      </c>
      <c r="E80" s="16">
        <v>24375067.529999997</v>
      </c>
      <c r="F80" s="16">
        <v>3221322.1</v>
      </c>
      <c r="G80" s="16">
        <v>2430726.79</v>
      </c>
      <c r="H80" s="16">
        <v>52870584</v>
      </c>
      <c r="I80" s="16">
        <v>7508166.3300000001</v>
      </c>
      <c r="J80" s="16">
        <v>202014401.80999991</v>
      </c>
      <c r="K80" s="16">
        <v>0</v>
      </c>
      <c r="L80" s="16">
        <v>0</v>
      </c>
      <c r="M80" s="16">
        <v>0</v>
      </c>
      <c r="N80" s="18">
        <f t="shared" si="2"/>
        <v>1678903976.6183076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>
        <v>550346427.57999992</v>
      </c>
      <c r="C81" s="16">
        <v>0</v>
      </c>
      <c r="D81" s="16">
        <v>115948568.00328422</v>
      </c>
      <c r="E81" s="16">
        <v>13672018.520000003</v>
      </c>
      <c r="F81" s="16">
        <v>8366054.9800000004</v>
      </c>
      <c r="G81" s="16">
        <v>5562624.7699999996</v>
      </c>
      <c r="H81" s="16">
        <v>29684850.530000001</v>
      </c>
      <c r="I81" s="16">
        <v>19499364.010000002</v>
      </c>
      <c r="J81" s="16">
        <v>236188440.33000007</v>
      </c>
      <c r="K81" s="16">
        <v>0</v>
      </c>
      <c r="L81" s="16">
        <v>0</v>
      </c>
      <c r="M81" s="16">
        <v>0</v>
      </c>
      <c r="N81" s="18">
        <f t="shared" si="2"/>
        <v>979268348.72328413</v>
      </c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>
        <v>8938409882.4700012</v>
      </c>
      <c r="C82" s="16">
        <v>0</v>
      </c>
      <c r="D82" s="16">
        <v>139830911.94</v>
      </c>
      <c r="E82" s="16">
        <v>239500594.98000002</v>
      </c>
      <c r="F82" s="16">
        <v>241114395.81999999</v>
      </c>
      <c r="G82" s="16">
        <v>219636290.50489157</v>
      </c>
      <c r="H82" s="16">
        <v>482124254.88999999</v>
      </c>
      <c r="I82" s="16">
        <v>561982604.85000002</v>
      </c>
      <c r="J82" s="16">
        <v>1960566024.240001</v>
      </c>
      <c r="K82" s="16">
        <v>0</v>
      </c>
      <c r="L82" s="16">
        <v>0</v>
      </c>
      <c r="M82" s="16">
        <v>0</v>
      </c>
      <c r="N82" s="18">
        <f t="shared" si="2"/>
        <v>12783164959.694895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>
        <v>2310699865.3599997</v>
      </c>
      <c r="C83" s="16">
        <v>0</v>
      </c>
      <c r="D83" s="16">
        <v>127122073.24121821</v>
      </c>
      <c r="E83" s="16">
        <v>62626886.140000001</v>
      </c>
      <c r="F83" s="16">
        <v>26698401</v>
      </c>
      <c r="G83" s="16">
        <v>14794712.1</v>
      </c>
      <c r="H83" s="16">
        <v>124635641.63</v>
      </c>
      <c r="I83" s="16">
        <v>62227876.909999996</v>
      </c>
      <c r="J83" s="16">
        <v>424328299.68999994</v>
      </c>
      <c r="K83" s="16">
        <v>0</v>
      </c>
      <c r="L83" s="16">
        <v>0</v>
      </c>
      <c r="M83" s="16">
        <v>0</v>
      </c>
      <c r="N83" s="18">
        <f t="shared" si="2"/>
        <v>3153133756.0712175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>
        <v>971511571.88000011</v>
      </c>
      <c r="C84" s="16">
        <v>0</v>
      </c>
      <c r="D84" s="16">
        <v>116754392.88702652</v>
      </c>
      <c r="E84" s="16">
        <v>24051090.210000005</v>
      </c>
      <c r="F84" s="16">
        <v>5358445.18</v>
      </c>
      <c r="G84" s="16">
        <v>1467710.9032185976</v>
      </c>
      <c r="H84" s="16">
        <v>52401858.82</v>
      </c>
      <c r="I84" s="16">
        <v>12489312.27</v>
      </c>
      <c r="J84" s="16">
        <v>174490531.20999995</v>
      </c>
      <c r="K84" s="16">
        <v>0</v>
      </c>
      <c r="L84" s="16">
        <v>0</v>
      </c>
      <c r="M84" s="16">
        <v>0</v>
      </c>
      <c r="N84" s="18">
        <f t="shared" si="2"/>
        <v>1358524913.3602452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>
        <v>777484940.10000014</v>
      </c>
      <c r="C85" s="16">
        <v>0</v>
      </c>
      <c r="D85" s="16">
        <v>106215890.70931008</v>
      </c>
      <c r="E85" s="16">
        <v>19339939.089999996</v>
      </c>
      <c r="F85" s="16">
        <v>2533272.7200000002</v>
      </c>
      <c r="G85" s="16">
        <v>1519204.24</v>
      </c>
      <c r="H85" s="16">
        <v>41936356.960000001</v>
      </c>
      <c r="I85" s="16">
        <v>5904480.3200000003</v>
      </c>
      <c r="J85" s="16">
        <v>102863258.27000007</v>
      </c>
      <c r="K85" s="16">
        <v>0</v>
      </c>
      <c r="L85" s="16">
        <v>0</v>
      </c>
      <c r="M85" s="16">
        <v>0</v>
      </c>
      <c r="N85" s="18">
        <f t="shared" si="2"/>
        <v>1057797342.4093105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>
        <v>9714756133.5699997</v>
      </c>
      <c r="C86" s="16">
        <v>0</v>
      </c>
      <c r="D86" s="16">
        <v>61268387.569999993</v>
      </c>
      <c r="E86" s="16">
        <v>262153812.83000001</v>
      </c>
      <c r="F86" s="16">
        <v>151282251.53999999</v>
      </c>
      <c r="G86" s="16">
        <v>50249175.53528484</v>
      </c>
      <c r="H86" s="16">
        <v>523999192.69</v>
      </c>
      <c r="I86" s="16">
        <v>352604387.24000001</v>
      </c>
      <c r="J86" s="16">
        <v>865562783.0200001</v>
      </c>
      <c r="K86" s="16">
        <v>0</v>
      </c>
      <c r="L86" s="16">
        <v>0</v>
      </c>
      <c r="M86" s="16">
        <v>0</v>
      </c>
      <c r="N86" s="18">
        <f t="shared" si="2"/>
        <v>11981876123.995285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>
        <v>1513707382.7</v>
      </c>
      <c r="C87" s="16">
        <v>0</v>
      </c>
      <c r="D87" s="16">
        <v>127936654.21201746</v>
      </c>
      <c r="E87" s="16">
        <v>37523109.420000002</v>
      </c>
      <c r="F87" s="16">
        <v>4295096.1399999997</v>
      </c>
      <c r="G87" s="16">
        <v>4417378.49</v>
      </c>
      <c r="H87" s="16">
        <v>81647077.459999993</v>
      </c>
      <c r="I87" s="16">
        <v>10010888.439999999</v>
      </c>
      <c r="J87" s="16">
        <v>195720471.22000003</v>
      </c>
      <c r="K87" s="16">
        <v>0</v>
      </c>
      <c r="L87" s="16">
        <v>0</v>
      </c>
      <c r="M87" s="16">
        <v>0</v>
      </c>
      <c r="N87" s="18">
        <f t="shared" si="2"/>
        <v>1975258058.0820179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>
        <v>1390399337.97</v>
      </c>
      <c r="C88" s="16">
        <v>0</v>
      </c>
      <c r="D88" s="16">
        <v>43408356.110749461</v>
      </c>
      <c r="E88" s="16">
        <v>33811363.670000002</v>
      </c>
      <c r="F88" s="16">
        <v>21079331.050000001</v>
      </c>
      <c r="G88" s="16">
        <v>8928246.4800000004</v>
      </c>
      <c r="H88" s="16">
        <v>74996028.790000007</v>
      </c>
      <c r="I88" s="16">
        <v>49131107.810000002</v>
      </c>
      <c r="J88" s="16">
        <v>297934652.86000001</v>
      </c>
      <c r="K88" s="16">
        <v>0</v>
      </c>
      <c r="L88" s="16">
        <v>0</v>
      </c>
      <c r="M88" s="16">
        <v>0</v>
      </c>
      <c r="N88" s="18">
        <f t="shared" si="2"/>
        <v>1919688424.7407494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>
        <v>1967265235.7400002</v>
      </c>
      <c r="C89" s="16">
        <v>0</v>
      </c>
      <c r="D89" s="16">
        <v>130767617.90761071</v>
      </c>
      <c r="E89" s="16">
        <v>48978968.290000007</v>
      </c>
      <c r="F89" s="16">
        <v>17727696.559999999</v>
      </c>
      <c r="G89" s="16">
        <v>9722907.1600000001</v>
      </c>
      <c r="H89" s="16">
        <v>106111299.27</v>
      </c>
      <c r="I89" s="16">
        <v>41319213.07</v>
      </c>
      <c r="J89" s="16">
        <v>305962071.0800001</v>
      </c>
      <c r="K89" s="16">
        <v>0</v>
      </c>
      <c r="L89" s="16">
        <v>0</v>
      </c>
      <c r="M89" s="16">
        <v>0</v>
      </c>
      <c r="N89" s="18">
        <f t="shared" si="2"/>
        <v>2627855009.077611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>
        <v>8934843987.6200008</v>
      </c>
      <c r="C90" s="16">
        <v>0</v>
      </c>
      <c r="D90" s="16">
        <v>81718382.480972841</v>
      </c>
      <c r="E90" s="16">
        <v>241372139.73000002</v>
      </c>
      <c r="F90" s="16">
        <v>240473258.88999999</v>
      </c>
      <c r="G90" s="16">
        <v>83189630.412167966</v>
      </c>
      <c r="H90" s="16">
        <v>481931915.94</v>
      </c>
      <c r="I90" s="16">
        <v>560488261.07000005</v>
      </c>
      <c r="J90" s="16">
        <v>1783567943.6200004</v>
      </c>
      <c r="K90" s="16">
        <v>0</v>
      </c>
      <c r="L90" s="16">
        <v>0</v>
      </c>
      <c r="M90" s="16">
        <v>0</v>
      </c>
      <c r="N90" s="18">
        <f t="shared" si="2"/>
        <v>12407585519.763142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>
        <v>412744837.88</v>
      </c>
      <c r="C91" s="16">
        <v>0</v>
      </c>
      <c r="D91" s="16">
        <v>141730266.03029513</v>
      </c>
      <c r="E91" s="16">
        <v>10231565.720000001</v>
      </c>
      <c r="F91" s="16">
        <v>5582582.4800000004</v>
      </c>
      <c r="G91" s="16">
        <v>3318876.96</v>
      </c>
      <c r="H91" s="16">
        <v>22262829.75</v>
      </c>
      <c r="I91" s="16">
        <v>13011725.140000001</v>
      </c>
      <c r="J91" s="16">
        <v>137550520.25</v>
      </c>
      <c r="K91" s="16">
        <v>0</v>
      </c>
      <c r="L91" s="16">
        <v>0</v>
      </c>
      <c r="M91" s="16">
        <v>0</v>
      </c>
      <c r="N91" s="18">
        <f t="shared" si="2"/>
        <v>746433204.2102952</v>
      </c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>
        <v>572251210.23000002</v>
      </c>
      <c r="C92" s="16">
        <v>0</v>
      </c>
      <c r="D92" s="16">
        <v>3231179.18</v>
      </c>
      <c r="E92" s="16">
        <v>16746424.649999999</v>
      </c>
      <c r="F92" s="16">
        <v>1193661.42</v>
      </c>
      <c r="G92" s="16">
        <v>1121873.8999999999</v>
      </c>
      <c r="H92" s="16">
        <v>30866361.239999998</v>
      </c>
      <c r="I92" s="16">
        <v>2782152.25</v>
      </c>
      <c r="J92" s="16">
        <v>53485126.589999966</v>
      </c>
      <c r="K92" s="16">
        <v>0</v>
      </c>
      <c r="L92" s="16">
        <v>0</v>
      </c>
      <c r="M92" s="16">
        <v>0</v>
      </c>
      <c r="N92" s="18">
        <f t="shared" si="2"/>
        <v>681677989.4599998</v>
      </c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>
        <v>6473777228.2600002</v>
      </c>
      <c r="C93" s="16">
        <v>0</v>
      </c>
      <c r="D93" s="16">
        <v>100941682.26819381</v>
      </c>
      <c r="E93" s="16">
        <v>173079672.13000003</v>
      </c>
      <c r="F93" s="16">
        <v>194895199.84999999</v>
      </c>
      <c r="G93" s="16">
        <v>43069816.253922254</v>
      </c>
      <c r="H93" s="16">
        <v>349185712.39999998</v>
      </c>
      <c r="I93" s="16">
        <v>454256211.93000001</v>
      </c>
      <c r="J93" s="16">
        <v>1841237954.5499997</v>
      </c>
      <c r="K93" s="16">
        <v>0</v>
      </c>
      <c r="L93" s="16">
        <v>0</v>
      </c>
      <c r="M93" s="16">
        <v>0</v>
      </c>
      <c r="N93" s="18">
        <f t="shared" si="2"/>
        <v>9630443477.6421165</v>
      </c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>
        <v>3329137414.9899998</v>
      </c>
      <c r="C94" s="16">
        <v>0</v>
      </c>
      <c r="D94" s="16">
        <v>119789383.14</v>
      </c>
      <c r="E94" s="16">
        <v>90229479.719999999</v>
      </c>
      <c r="F94" s="16">
        <v>88127658.299999997</v>
      </c>
      <c r="G94" s="16">
        <v>54749342.184417754</v>
      </c>
      <c r="H94" s="16">
        <v>179568616.43000001</v>
      </c>
      <c r="I94" s="16">
        <v>205405449.99000001</v>
      </c>
      <c r="J94" s="16">
        <v>869591285.04999948</v>
      </c>
      <c r="K94" s="16">
        <v>0</v>
      </c>
      <c r="L94" s="16">
        <v>0</v>
      </c>
      <c r="M94" s="16">
        <v>0</v>
      </c>
      <c r="N94" s="18">
        <f t="shared" si="2"/>
        <v>4936598629.8044167</v>
      </c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>
        <v>676621057.10000002</v>
      </c>
      <c r="C95" s="16">
        <v>0</v>
      </c>
      <c r="D95" s="16">
        <v>112082785.6400509</v>
      </c>
      <c r="E95" s="16">
        <v>16756939.51</v>
      </c>
      <c r="F95" s="16">
        <v>4321158.6100000003</v>
      </c>
      <c r="G95" s="16">
        <v>2664450.52</v>
      </c>
      <c r="H95" s="16">
        <v>36495912.280000001</v>
      </c>
      <c r="I95" s="16">
        <v>10071634.119999999</v>
      </c>
      <c r="J95" s="16">
        <v>138990564.88999999</v>
      </c>
      <c r="K95" s="16">
        <v>0</v>
      </c>
      <c r="L95" s="16">
        <v>0</v>
      </c>
      <c r="M95" s="16">
        <v>0</v>
      </c>
      <c r="N95" s="18">
        <f t="shared" si="2"/>
        <v>998004502.67005086</v>
      </c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>
        <v>2082992008.26</v>
      </c>
      <c r="C96" s="16">
        <v>0</v>
      </c>
      <c r="D96" s="16">
        <v>261352596.12439561</v>
      </c>
      <c r="E96" s="16">
        <v>21026561.710000001</v>
      </c>
      <c r="F96" s="16">
        <v>24217253.23</v>
      </c>
      <c r="G96" s="16">
        <v>13626093.449999999</v>
      </c>
      <c r="H96" s="16">
        <v>112353425.63</v>
      </c>
      <c r="I96" s="16">
        <v>56444887.960000001</v>
      </c>
      <c r="J96" s="16">
        <v>471007480.00999999</v>
      </c>
      <c r="K96" s="16">
        <v>0</v>
      </c>
      <c r="L96" s="16">
        <v>0</v>
      </c>
      <c r="M96" s="16">
        <v>0</v>
      </c>
      <c r="N96" s="18">
        <f t="shared" si="2"/>
        <v>3043020306.3743954</v>
      </c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>
        <v>1057422668.9100001</v>
      </c>
      <c r="C97" s="16">
        <v>0</v>
      </c>
      <c r="D97" s="16">
        <v>360542922.34602553</v>
      </c>
      <c r="E97" s="16">
        <v>26334636.77</v>
      </c>
      <c r="F97" s="16">
        <v>11180802.449999999</v>
      </c>
      <c r="G97" s="16">
        <v>7011711.8899999997</v>
      </c>
      <c r="H97" s="16">
        <v>57035772.93</v>
      </c>
      <c r="I97" s="16">
        <v>26059897.690000001</v>
      </c>
      <c r="J97" s="16">
        <v>320104093.61000007</v>
      </c>
      <c r="K97" s="16">
        <v>0</v>
      </c>
      <c r="L97" s="16">
        <v>0</v>
      </c>
      <c r="M97" s="16">
        <v>0</v>
      </c>
      <c r="N97" s="18">
        <f t="shared" si="2"/>
        <v>1865692506.5960259</v>
      </c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>
        <v>3042487413.5100002</v>
      </c>
      <c r="C98" s="16">
        <v>0</v>
      </c>
      <c r="D98" s="16">
        <v>390611570.3569268</v>
      </c>
      <c r="E98" s="16">
        <v>81608608.739999995</v>
      </c>
      <c r="F98" s="16">
        <v>25999926.629999999</v>
      </c>
      <c r="G98" s="16">
        <v>16781363.800000001</v>
      </c>
      <c r="H98" s="16">
        <v>164107150.66999999</v>
      </c>
      <c r="I98" s="16">
        <v>60599892.619999997</v>
      </c>
      <c r="J98" s="16">
        <v>617172304.66999984</v>
      </c>
      <c r="K98" s="16">
        <v>0</v>
      </c>
      <c r="L98" s="16">
        <v>0</v>
      </c>
      <c r="M98" s="16">
        <v>0</v>
      </c>
      <c r="N98" s="18">
        <f t="shared" si="2"/>
        <v>4399368230.9969273</v>
      </c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>
        <v>2157965696.6799998</v>
      </c>
      <c r="C99" s="16">
        <v>0</v>
      </c>
      <c r="D99" s="16">
        <v>251974942.26762146</v>
      </c>
      <c r="E99" s="16">
        <v>53534848.820000008</v>
      </c>
      <c r="F99" s="16">
        <v>9637903.8300000001</v>
      </c>
      <c r="G99" s="16">
        <v>5025060.1900000004</v>
      </c>
      <c r="H99" s="16">
        <v>116397392.52</v>
      </c>
      <c r="I99" s="16">
        <v>22463753.300000001</v>
      </c>
      <c r="J99" s="16">
        <v>404693578.91999972</v>
      </c>
      <c r="K99" s="16">
        <v>0</v>
      </c>
      <c r="L99" s="16">
        <v>0</v>
      </c>
      <c r="M99" s="16">
        <v>0</v>
      </c>
      <c r="N99" s="18">
        <f t="shared" si="2"/>
        <v>3021693176.5276213</v>
      </c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>
        <v>2280015190.29</v>
      </c>
      <c r="C100" s="16">
        <v>0</v>
      </c>
      <c r="D100" s="16">
        <v>320899859.60103244</v>
      </c>
      <c r="E100" s="16">
        <v>56838666.100000009</v>
      </c>
      <c r="F100" s="16">
        <v>10821140.27</v>
      </c>
      <c r="G100" s="16">
        <v>5983327.4800000004</v>
      </c>
      <c r="H100" s="16">
        <v>122980556.86</v>
      </c>
      <c r="I100" s="16">
        <v>25221607.27</v>
      </c>
      <c r="J100" s="16">
        <v>312953985.57000011</v>
      </c>
      <c r="K100" s="16">
        <v>0</v>
      </c>
      <c r="L100" s="16">
        <v>0</v>
      </c>
      <c r="M100" s="16">
        <v>0</v>
      </c>
      <c r="N100" s="18">
        <f t="shared" si="2"/>
        <v>3135714333.4410324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>
        <v>467192156.80000001</v>
      </c>
      <c r="C101" s="16">
        <v>0</v>
      </c>
      <c r="D101" s="16">
        <v>100262257.28350177</v>
      </c>
      <c r="E101" s="16">
        <v>11646842.16</v>
      </c>
      <c r="F101" s="16">
        <v>1292698.83</v>
      </c>
      <c r="G101" s="16">
        <v>958267.29</v>
      </c>
      <c r="H101" s="16">
        <v>25199635.449999999</v>
      </c>
      <c r="I101" s="16">
        <v>3012985.84</v>
      </c>
      <c r="J101" s="16">
        <v>72226234.810000002</v>
      </c>
      <c r="K101" s="16">
        <v>0</v>
      </c>
      <c r="L101" s="16">
        <v>0</v>
      </c>
      <c r="M101" s="16">
        <v>0</v>
      </c>
      <c r="N101" s="18">
        <f t="shared" si="2"/>
        <v>681791078.46350193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>
        <v>1294749452.48</v>
      </c>
      <c r="C102" s="16">
        <v>0</v>
      </c>
      <c r="D102" s="16">
        <v>408732298.97143799</v>
      </c>
      <c r="E102" s="16">
        <v>34823678.18</v>
      </c>
      <c r="F102" s="16">
        <v>25030402.5</v>
      </c>
      <c r="G102" s="16">
        <v>15379021.42</v>
      </c>
      <c r="H102" s="16">
        <v>69836819.219999999</v>
      </c>
      <c r="I102" s="16">
        <v>58340153.240000002</v>
      </c>
      <c r="J102" s="16">
        <v>465169412.51000011</v>
      </c>
      <c r="K102" s="16">
        <v>0</v>
      </c>
      <c r="L102" s="16">
        <v>0</v>
      </c>
      <c r="M102" s="16">
        <v>0</v>
      </c>
      <c r="N102" s="18">
        <f t="shared" si="2"/>
        <v>2372061238.5214381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>
        <v>480586736.62</v>
      </c>
      <c r="C103" s="16">
        <v>0</v>
      </c>
      <c r="D103" s="16">
        <v>125421148.19963668</v>
      </c>
      <c r="E103" s="16">
        <v>11936926.4</v>
      </c>
      <c r="F103" s="16">
        <v>620286.93999999994</v>
      </c>
      <c r="G103" s="16">
        <v>607681.69999999995</v>
      </c>
      <c r="H103" s="16">
        <v>25922118.739999998</v>
      </c>
      <c r="I103" s="16">
        <v>1445747.24</v>
      </c>
      <c r="J103" s="16">
        <v>102098857.22000004</v>
      </c>
      <c r="K103" s="16">
        <v>0</v>
      </c>
      <c r="L103" s="16">
        <v>0</v>
      </c>
      <c r="M103" s="16">
        <v>0</v>
      </c>
      <c r="N103" s="18">
        <f t="shared" si="2"/>
        <v>748639503.05963683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>
        <v>7205414948.8999996</v>
      </c>
      <c r="C104" s="16">
        <v>0</v>
      </c>
      <c r="D104" s="16">
        <v>120436552.26529935</v>
      </c>
      <c r="E104" s="16">
        <v>193043612.11000001</v>
      </c>
      <c r="F104" s="16">
        <v>127117123.26000001</v>
      </c>
      <c r="G104" s="16">
        <v>29522622.969142199</v>
      </c>
      <c r="H104" s="16">
        <v>388649139.95999998</v>
      </c>
      <c r="I104" s="16">
        <v>296280990.64999998</v>
      </c>
      <c r="J104" s="16">
        <v>1129664540.0799997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9490129530.1944408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>
        <v>1234998239.53</v>
      </c>
      <c r="C105" s="16">
        <v>0</v>
      </c>
      <c r="D105" s="16">
        <v>24601428.589999996</v>
      </c>
      <c r="E105" s="16">
        <v>32860425.349999998</v>
      </c>
      <c r="F105" s="16">
        <v>5478332.5700000003</v>
      </c>
      <c r="G105" s="16">
        <v>5258783.92</v>
      </c>
      <c r="H105" s="16">
        <v>66613929.539999999</v>
      </c>
      <c r="I105" s="16">
        <v>12768742.41</v>
      </c>
      <c r="J105" s="16">
        <v>147519130.59000006</v>
      </c>
      <c r="K105" s="16">
        <v>0</v>
      </c>
      <c r="L105" s="16">
        <v>0</v>
      </c>
      <c r="M105" s="16">
        <v>0</v>
      </c>
      <c r="N105" s="18">
        <f t="shared" si="3"/>
        <v>1530099012.5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>
        <v>1317073752.1699998</v>
      </c>
      <c r="C106" s="16">
        <v>0</v>
      </c>
      <c r="D106" s="16">
        <v>14134223</v>
      </c>
      <c r="E106" s="16">
        <v>32645277.119999997</v>
      </c>
      <c r="F106" s="16">
        <v>38817452.609999999</v>
      </c>
      <c r="G106" s="16">
        <v>13582941.464214075</v>
      </c>
      <c r="H106" s="16">
        <v>71040958.049999997</v>
      </c>
      <c r="I106" s="16">
        <v>90474619.159999996</v>
      </c>
      <c r="J106" s="16">
        <v>387708298.64999992</v>
      </c>
      <c r="K106" s="16">
        <v>0</v>
      </c>
      <c r="L106" s="16">
        <v>0</v>
      </c>
      <c r="M106" s="16">
        <v>0</v>
      </c>
      <c r="N106" s="18">
        <f t="shared" si="3"/>
        <v>1965477522.2242136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>
        <v>1767874778.9200001</v>
      </c>
      <c r="C107" s="16">
        <v>0</v>
      </c>
      <c r="D107" s="16">
        <v>171603950.59802732</v>
      </c>
      <c r="E107" s="16">
        <v>44031459.170000002</v>
      </c>
      <c r="F107" s="16">
        <v>2157973.06</v>
      </c>
      <c r="G107" s="16">
        <v>2220375.4300000002</v>
      </c>
      <c r="H107" s="16">
        <v>95356480.829999998</v>
      </c>
      <c r="I107" s="16">
        <v>5029742.49</v>
      </c>
      <c r="J107" s="16">
        <v>179623973.1099999</v>
      </c>
      <c r="K107" s="16">
        <v>0</v>
      </c>
      <c r="L107" s="16">
        <v>0</v>
      </c>
      <c r="M107" s="16">
        <v>0</v>
      </c>
      <c r="N107" s="18">
        <f t="shared" si="3"/>
        <v>2267898733.6080275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>
        <v>646116175.06000006</v>
      </c>
      <c r="C108" s="16">
        <v>0</v>
      </c>
      <c r="D108" s="16">
        <v>62207969.757195383</v>
      </c>
      <c r="E108" s="16">
        <v>16018987.190000001</v>
      </c>
      <c r="F108" s="16">
        <v>2189248.0299999998</v>
      </c>
      <c r="G108" s="16">
        <v>1636066.11</v>
      </c>
      <c r="H108" s="16">
        <v>34850525.270000003</v>
      </c>
      <c r="I108" s="16">
        <v>5102637.3099999996</v>
      </c>
      <c r="J108" s="16">
        <v>95822436.64000003</v>
      </c>
      <c r="K108" s="16">
        <v>0</v>
      </c>
      <c r="L108" s="16">
        <v>0</v>
      </c>
      <c r="M108" s="16">
        <v>0</v>
      </c>
      <c r="N108" s="18">
        <f t="shared" si="3"/>
        <v>863944045.36719537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>
        <v>5919924836.7600002</v>
      </c>
      <c r="C109" s="16">
        <v>0</v>
      </c>
      <c r="D109" s="16">
        <v>141477488.60468355</v>
      </c>
      <c r="E109" s="16">
        <v>159691206.12</v>
      </c>
      <c r="F109" s="16">
        <v>223522224.13</v>
      </c>
      <c r="G109" s="16">
        <v>137646751.91319668</v>
      </c>
      <c r="H109" s="16">
        <v>319311755.5</v>
      </c>
      <c r="I109" s="16">
        <v>520979269.32999998</v>
      </c>
      <c r="J109" s="16">
        <v>1748354778.5099995</v>
      </c>
      <c r="K109" s="16">
        <v>0</v>
      </c>
      <c r="L109" s="16">
        <v>0</v>
      </c>
      <c r="M109" s="16">
        <v>0</v>
      </c>
      <c r="N109" s="18">
        <f t="shared" si="3"/>
        <v>9170908310.8678799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>
        <v>684891535.9000001</v>
      </c>
      <c r="C110" s="16">
        <v>0</v>
      </c>
      <c r="D110" s="16">
        <v>170111653.51808321</v>
      </c>
      <c r="E110" s="16">
        <v>18450457.98</v>
      </c>
      <c r="F110" s="16">
        <v>8543279.8200000003</v>
      </c>
      <c r="G110" s="16">
        <v>5305528.67</v>
      </c>
      <c r="H110" s="16">
        <v>36942009.350000001</v>
      </c>
      <c r="I110" s="16">
        <v>19912434.640000001</v>
      </c>
      <c r="J110" s="16">
        <v>202581362.71999988</v>
      </c>
      <c r="K110" s="16">
        <v>0</v>
      </c>
      <c r="L110" s="16">
        <v>0</v>
      </c>
      <c r="M110" s="16">
        <v>0</v>
      </c>
      <c r="N110" s="18">
        <f t="shared" si="3"/>
        <v>1146738262.5980833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>
        <v>817668679.57999992</v>
      </c>
      <c r="C111" s="16">
        <v>0</v>
      </c>
      <c r="D111" s="16">
        <v>155505815.09107244</v>
      </c>
      <c r="E111" s="16">
        <v>20278413.43</v>
      </c>
      <c r="F111" s="16">
        <v>2976334.82</v>
      </c>
      <c r="G111" s="16">
        <v>2220375.4300000002</v>
      </c>
      <c r="H111" s="16">
        <v>44103806.840000004</v>
      </c>
      <c r="I111" s="16">
        <v>6937156.9100000001</v>
      </c>
      <c r="J111" s="16">
        <v>157822241.90000007</v>
      </c>
      <c r="K111" s="16">
        <v>0</v>
      </c>
      <c r="L111" s="16">
        <v>0</v>
      </c>
      <c r="M111" s="16">
        <v>0</v>
      </c>
      <c r="N111" s="18">
        <f t="shared" si="3"/>
        <v>1207512824.0010724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>
        <v>1176895129.2699997</v>
      </c>
      <c r="C112" s="16">
        <v>0</v>
      </c>
      <c r="D112" s="16">
        <v>301250931.71481478</v>
      </c>
      <c r="E112" s="16">
        <v>29265458.289999999</v>
      </c>
      <c r="F112" s="16">
        <v>3617471.74</v>
      </c>
      <c r="G112" s="16">
        <v>2641078.15</v>
      </c>
      <c r="H112" s="16">
        <v>63479936</v>
      </c>
      <c r="I112" s="16">
        <v>8431500.6999999993</v>
      </c>
      <c r="J112" s="16">
        <v>165553801.84000003</v>
      </c>
      <c r="K112" s="16">
        <v>0</v>
      </c>
      <c r="L112" s="16">
        <v>0</v>
      </c>
      <c r="M112" s="16">
        <v>0</v>
      </c>
      <c r="N112" s="18">
        <f t="shared" si="3"/>
        <v>1751135307.7048149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>
        <v>931567556.40999985</v>
      </c>
      <c r="C113" s="16">
        <v>0</v>
      </c>
      <c r="D113" s="16">
        <v>299596243.54056352</v>
      </c>
      <c r="E113" s="16">
        <v>23164560.920000002</v>
      </c>
      <c r="F113" s="16">
        <v>5097820.41</v>
      </c>
      <c r="G113" s="16">
        <v>3412366.45</v>
      </c>
      <c r="H113" s="16">
        <v>50247339.289999999</v>
      </c>
      <c r="I113" s="16">
        <v>11881855.449999999</v>
      </c>
      <c r="J113" s="16">
        <v>161678059.32999995</v>
      </c>
      <c r="K113" s="16">
        <v>0</v>
      </c>
      <c r="L113" s="16">
        <v>0</v>
      </c>
      <c r="M113" s="16">
        <v>0</v>
      </c>
      <c r="N113" s="18">
        <f t="shared" si="3"/>
        <v>1486645801.8005636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>
        <v>570123659.5200001</v>
      </c>
      <c r="C114" s="16">
        <v>0</v>
      </c>
      <c r="D114" s="16">
        <v>115009476.02546945</v>
      </c>
      <c r="E114" s="16">
        <v>14202383.83</v>
      </c>
      <c r="F114" s="16">
        <v>3085797.22</v>
      </c>
      <c r="G114" s="16">
        <v>1869789.84</v>
      </c>
      <c r="H114" s="16">
        <v>30751604.390000001</v>
      </c>
      <c r="I114" s="16">
        <v>7192288.7800000003</v>
      </c>
      <c r="J114" s="16">
        <v>123506312.15999997</v>
      </c>
      <c r="K114" s="16">
        <v>0</v>
      </c>
      <c r="L114" s="16">
        <v>0</v>
      </c>
      <c r="M114" s="16">
        <v>0</v>
      </c>
      <c r="N114" s="18">
        <f t="shared" si="3"/>
        <v>865741311.76546955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>
        <v>1414791257.4099998</v>
      </c>
      <c r="C115" s="16">
        <v>0</v>
      </c>
      <c r="D115" s="16">
        <v>95493887.541553438</v>
      </c>
      <c r="E115" s="16">
        <v>35514421.460000001</v>
      </c>
      <c r="F115" s="16">
        <v>3195259.62</v>
      </c>
      <c r="G115" s="16">
        <v>3015036.11</v>
      </c>
      <c r="H115" s="16">
        <v>76311691.879999995</v>
      </c>
      <c r="I115" s="16">
        <v>7447420.6399999997</v>
      </c>
      <c r="J115" s="16">
        <v>165486780.99000001</v>
      </c>
      <c r="K115" s="16">
        <v>0</v>
      </c>
      <c r="L115" s="16">
        <v>0</v>
      </c>
      <c r="M115" s="16">
        <v>0</v>
      </c>
      <c r="N115" s="18">
        <f t="shared" si="3"/>
        <v>1801255755.6515532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>
        <v>891174058.38999987</v>
      </c>
      <c r="C116" s="16">
        <v>0</v>
      </c>
      <c r="D116" s="16">
        <v>171485716.13794968</v>
      </c>
      <c r="E116" s="16">
        <v>22209911.23</v>
      </c>
      <c r="F116" s="16">
        <v>8819542.0700000003</v>
      </c>
      <c r="G116" s="16">
        <v>4744591.71</v>
      </c>
      <c r="H116" s="16">
        <v>48068575.350000001</v>
      </c>
      <c r="I116" s="16">
        <v>20556338.879999999</v>
      </c>
      <c r="J116" s="16">
        <v>224499022.07999989</v>
      </c>
      <c r="K116" s="16">
        <v>0</v>
      </c>
      <c r="L116" s="16">
        <v>0</v>
      </c>
      <c r="M116" s="16">
        <v>0</v>
      </c>
      <c r="N116" s="18">
        <f t="shared" si="3"/>
        <v>1391557755.8479495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>
        <v>482414632.31</v>
      </c>
      <c r="C117" s="16">
        <v>0</v>
      </c>
      <c r="D117" s="16">
        <v>31793790.03421104</v>
      </c>
      <c r="E117" s="16">
        <v>11925631.02</v>
      </c>
      <c r="F117" s="16">
        <v>1855648.33</v>
      </c>
      <c r="G117" s="16">
        <v>1262108.1399999999</v>
      </c>
      <c r="H117" s="16">
        <v>26020712.66</v>
      </c>
      <c r="I117" s="16">
        <v>4325092.58</v>
      </c>
      <c r="J117" s="16">
        <v>66165971.840000026</v>
      </c>
      <c r="K117" s="16">
        <v>0</v>
      </c>
      <c r="L117" s="16">
        <v>0</v>
      </c>
      <c r="M117" s="16">
        <v>0</v>
      </c>
      <c r="N117" s="18">
        <f t="shared" si="3"/>
        <v>625763586.91421103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>
        <v>827377502.58000016</v>
      </c>
      <c r="C118" s="16">
        <v>0</v>
      </c>
      <c r="D118" s="16">
        <v>254533285.16971564</v>
      </c>
      <c r="E118" s="16">
        <v>20520523.379999999</v>
      </c>
      <c r="F118" s="16">
        <v>8751779.6300000008</v>
      </c>
      <c r="G118" s="16">
        <v>5258783.92</v>
      </c>
      <c r="H118" s="16">
        <v>44627486.009999998</v>
      </c>
      <c r="I118" s="16">
        <v>20398400.100000001</v>
      </c>
      <c r="J118" s="16">
        <v>182379681.02999997</v>
      </c>
      <c r="K118" s="16">
        <v>0</v>
      </c>
      <c r="L118" s="16">
        <v>0</v>
      </c>
      <c r="M118" s="16">
        <v>0</v>
      </c>
      <c r="N118" s="18">
        <f t="shared" si="3"/>
        <v>1363847441.819716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>
        <v>1084421587.0799999</v>
      </c>
      <c r="C119" s="16">
        <v>0</v>
      </c>
      <c r="D119" s="16">
        <v>136461529.87488994</v>
      </c>
      <c r="E119" s="16">
        <v>27025897.690000001</v>
      </c>
      <c r="F119" s="16">
        <v>7031656.1799999997</v>
      </c>
      <c r="G119" s="16">
        <v>3529228.32</v>
      </c>
      <c r="H119" s="16">
        <v>58492053.57</v>
      </c>
      <c r="I119" s="16">
        <v>16389185.07</v>
      </c>
      <c r="J119" s="16">
        <v>166013891.64000005</v>
      </c>
      <c r="K119" s="16">
        <v>0</v>
      </c>
      <c r="L119" s="16">
        <v>0</v>
      </c>
      <c r="M119" s="16">
        <v>0</v>
      </c>
      <c r="N119" s="18">
        <f t="shared" si="3"/>
        <v>1499365029.4248898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>
        <v>670568025.49000001</v>
      </c>
      <c r="C120" s="16">
        <v>0</v>
      </c>
      <c r="D120" s="16">
        <v>127641196.43537959</v>
      </c>
      <c r="E120" s="16">
        <v>16723142.959999997</v>
      </c>
      <c r="F120" s="16">
        <v>4738158.24</v>
      </c>
      <c r="G120" s="16">
        <v>3575973.07</v>
      </c>
      <c r="H120" s="16">
        <v>36169420.950000003</v>
      </c>
      <c r="I120" s="16">
        <v>11043565.029999999</v>
      </c>
      <c r="J120" s="16">
        <v>172115212.5</v>
      </c>
      <c r="K120" s="16">
        <v>0</v>
      </c>
      <c r="L120" s="16">
        <v>0</v>
      </c>
      <c r="M120" s="16">
        <v>0</v>
      </c>
      <c r="N120" s="18">
        <f t="shared" si="3"/>
        <v>1042574694.6753798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>
        <v>860369521.34000003</v>
      </c>
      <c r="C121" s="16">
        <v>0</v>
      </c>
      <c r="D121" s="16">
        <v>150428166.47150004</v>
      </c>
      <c r="E121" s="16">
        <v>21300217.32</v>
      </c>
      <c r="F121" s="16">
        <v>1991173.21</v>
      </c>
      <c r="G121" s="16">
        <v>1191991.02</v>
      </c>
      <c r="H121" s="16">
        <v>46407025.399999999</v>
      </c>
      <c r="I121" s="16">
        <v>4640970.12</v>
      </c>
      <c r="J121" s="16">
        <v>95638883.759999961</v>
      </c>
      <c r="K121" s="16">
        <v>0</v>
      </c>
      <c r="L121" s="16">
        <v>0</v>
      </c>
      <c r="M121" s="16">
        <v>0</v>
      </c>
      <c r="N121" s="18">
        <f t="shared" si="3"/>
        <v>1181967948.6415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>
        <v>2671544452.1999998</v>
      </c>
      <c r="C122" s="16">
        <v>0</v>
      </c>
      <c r="D122" s="16">
        <v>45625506.089999989</v>
      </c>
      <c r="E122" s="16">
        <v>71936392.049999997</v>
      </c>
      <c r="F122" s="16">
        <v>59943696.130000003</v>
      </c>
      <c r="G122" s="16">
        <v>33432727.003996924</v>
      </c>
      <c r="H122" s="16">
        <v>144099050.66</v>
      </c>
      <c r="I122" s="16">
        <v>139715069.19999999</v>
      </c>
      <c r="J122" s="16">
        <v>448635768.88000011</v>
      </c>
      <c r="K122" s="16">
        <v>0</v>
      </c>
      <c r="L122" s="16">
        <v>0</v>
      </c>
      <c r="M122" s="16">
        <v>0</v>
      </c>
      <c r="N122" s="18">
        <f t="shared" si="3"/>
        <v>3614932662.2139969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>
        <v>5636301351.0900002</v>
      </c>
      <c r="C123" s="16">
        <v>0</v>
      </c>
      <c r="D123" s="16">
        <v>209930039.32000002</v>
      </c>
      <c r="E123" s="16">
        <v>141483774.55000001</v>
      </c>
      <c r="F123" s="16">
        <v>83326950.109999999</v>
      </c>
      <c r="G123" s="16">
        <v>80437251.966679215</v>
      </c>
      <c r="H123" s="16">
        <v>304013535.39999998</v>
      </c>
      <c r="I123" s="16">
        <v>194216095.31999999</v>
      </c>
      <c r="J123" s="16">
        <v>585383849.26999986</v>
      </c>
      <c r="K123" s="16">
        <v>0</v>
      </c>
      <c r="L123" s="16">
        <v>0</v>
      </c>
      <c r="M123" s="16">
        <v>0</v>
      </c>
      <c r="N123" s="18">
        <f t="shared" si="3"/>
        <v>7235092847.0266781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>
        <v>5427022278.3099995</v>
      </c>
      <c r="C124" s="16">
        <v>0</v>
      </c>
      <c r="D124" s="16">
        <v>63696178.5</v>
      </c>
      <c r="E124" s="16">
        <v>145178330.16</v>
      </c>
      <c r="F124" s="16">
        <v>106704991.59999999</v>
      </c>
      <c r="G124" s="16">
        <v>0</v>
      </c>
      <c r="H124" s="16">
        <v>292725340.04000002</v>
      </c>
      <c r="I124" s="16">
        <v>248704972.30000001</v>
      </c>
      <c r="J124" s="16">
        <v>837483423.59999943</v>
      </c>
      <c r="K124" s="16">
        <v>0</v>
      </c>
      <c r="L124" s="16">
        <v>0</v>
      </c>
      <c r="M124" s="16">
        <v>0</v>
      </c>
      <c r="N124" s="18">
        <f t="shared" si="3"/>
        <v>7121515514.5099993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>
        <v>1731616520.3400002</v>
      </c>
      <c r="C125" s="16">
        <v>0</v>
      </c>
      <c r="D125" s="16">
        <v>130690223.08319813</v>
      </c>
      <c r="E125" s="16">
        <v>43052810.150000006</v>
      </c>
      <c r="F125" s="16">
        <v>41491462.710000001</v>
      </c>
      <c r="G125" s="16">
        <v>22390733.309999999</v>
      </c>
      <c r="H125" s="16">
        <v>93400765.420000002</v>
      </c>
      <c r="I125" s="16">
        <v>96707126.159999996</v>
      </c>
      <c r="J125" s="16">
        <v>517533296.98000008</v>
      </c>
      <c r="K125" s="16">
        <v>0</v>
      </c>
      <c r="L125" s="16">
        <v>0</v>
      </c>
      <c r="M125" s="16">
        <v>0</v>
      </c>
      <c r="N125" s="18">
        <f t="shared" si="3"/>
        <v>2676882938.1531982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>
        <v>1881743690.26</v>
      </c>
      <c r="C126" s="16">
        <v>0</v>
      </c>
      <c r="D126" s="16">
        <v>157266202.77454624</v>
      </c>
      <c r="E126" s="16">
        <v>46965231.68</v>
      </c>
      <c r="F126" s="16">
        <v>20771793.829999998</v>
      </c>
      <c r="G126" s="16">
        <v>9161970.2100000009</v>
      </c>
      <c r="H126" s="16">
        <v>101498396.98</v>
      </c>
      <c r="I126" s="16">
        <v>48414308.759999998</v>
      </c>
      <c r="J126" s="16">
        <v>355102308.63999981</v>
      </c>
      <c r="K126" s="16">
        <v>0</v>
      </c>
      <c r="L126" s="16">
        <v>0</v>
      </c>
      <c r="M126" s="16">
        <v>0</v>
      </c>
      <c r="N126" s="18">
        <f t="shared" si="3"/>
        <v>2620923903.1345463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>
        <v>1104348646.5699999</v>
      </c>
      <c r="C127" s="16">
        <v>0</v>
      </c>
      <c r="D127" s="16">
        <v>59753272.968671195</v>
      </c>
      <c r="E127" s="16">
        <v>27398338.279999997</v>
      </c>
      <c r="F127" s="16">
        <v>22048855.18</v>
      </c>
      <c r="G127" s="16">
        <v>13088528.869999999</v>
      </c>
      <c r="H127" s="16">
        <v>59566888.899999999</v>
      </c>
      <c r="I127" s="16">
        <v>51390847.189999998</v>
      </c>
      <c r="J127" s="16">
        <v>393728107.55999982</v>
      </c>
      <c r="K127" s="16">
        <v>0</v>
      </c>
      <c r="L127" s="16">
        <v>0</v>
      </c>
      <c r="M127" s="16">
        <v>0</v>
      </c>
      <c r="N127" s="18">
        <f t="shared" si="3"/>
        <v>1731323485.518671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>
        <v>478399254.89999998</v>
      </c>
      <c r="C128" s="16">
        <v>0</v>
      </c>
      <c r="D128" s="16">
        <v>74458118.479791075</v>
      </c>
      <c r="E128" s="16">
        <v>12008858.07</v>
      </c>
      <c r="F128" s="16">
        <v>2017235.68</v>
      </c>
      <c r="G128" s="16">
        <v>1565948.99</v>
      </c>
      <c r="H128" s="16">
        <v>25804129.300000001</v>
      </c>
      <c r="I128" s="16">
        <v>4701715.8099999996</v>
      </c>
      <c r="J128" s="16">
        <v>84614240.760000035</v>
      </c>
      <c r="K128" s="16">
        <v>0</v>
      </c>
      <c r="L128" s="16">
        <v>0</v>
      </c>
      <c r="M128" s="16">
        <v>0</v>
      </c>
      <c r="N128" s="18">
        <f t="shared" si="3"/>
        <v>683569501.98979092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>
        <v>3157255289.9000001</v>
      </c>
      <c r="C129" s="16">
        <v>0</v>
      </c>
      <c r="D129" s="16">
        <v>552818630.65124476</v>
      </c>
      <c r="E129" s="16">
        <v>52106673.350000001</v>
      </c>
      <c r="F129" s="16">
        <v>25655901.940000001</v>
      </c>
      <c r="G129" s="16">
        <v>19422441.940000001</v>
      </c>
      <c r="H129" s="16">
        <v>170297555.63</v>
      </c>
      <c r="I129" s="16">
        <v>59798049.619999997</v>
      </c>
      <c r="J129" s="16">
        <v>530174291.88</v>
      </c>
      <c r="K129" s="16">
        <v>0</v>
      </c>
      <c r="L129" s="16">
        <v>0</v>
      </c>
      <c r="M129" s="16">
        <v>0</v>
      </c>
      <c r="N129" s="18">
        <f t="shared" si="3"/>
        <v>4567528834.9112444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>
        <v>825279917.3499999</v>
      </c>
      <c r="C130" s="16">
        <v>0</v>
      </c>
      <c r="D130" s="16">
        <v>176549452.89086351</v>
      </c>
      <c r="E130" s="16">
        <v>20639528.299999997</v>
      </c>
      <c r="F130" s="16">
        <v>3174409.64</v>
      </c>
      <c r="G130" s="16">
        <v>1449087.12</v>
      </c>
      <c r="H130" s="16">
        <v>44514345.450000003</v>
      </c>
      <c r="I130" s="16">
        <v>7398824.0999999996</v>
      </c>
      <c r="J130" s="16">
        <v>145716810.72000009</v>
      </c>
      <c r="K130" s="16">
        <v>0</v>
      </c>
      <c r="L130" s="16">
        <v>0</v>
      </c>
      <c r="M130" s="16">
        <v>0</v>
      </c>
      <c r="N130" s="18">
        <f t="shared" si="3"/>
        <v>1224722375.5708635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>
        <v>5353367071.9899998</v>
      </c>
      <c r="C131" s="16">
        <v>0</v>
      </c>
      <c r="D131" s="16">
        <v>129053550.38000003</v>
      </c>
      <c r="E131" s="16">
        <v>214823243.59999999</v>
      </c>
      <c r="F131" s="16">
        <v>140169211.53</v>
      </c>
      <c r="G131" s="16">
        <v>16124998.657630496</v>
      </c>
      <c r="H131" s="16">
        <v>288752490.06</v>
      </c>
      <c r="I131" s="16">
        <v>326702428.32999998</v>
      </c>
      <c r="J131" s="16">
        <v>1144899426.6299999</v>
      </c>
      <c r="K131" s="16">
        <v>0</v>
      </c>
      <c r="L131" s="16">
        <v>0</v>
      </c>
      <c r="M131" s="16">
        <v>0</v>
      </c>
      <c r="N131" s="18">
        <f t="shared" si="3"/>
        <v>7613892421.1776314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>
        <v>199570249.70999998</v>
      </c>
      <c r="C132" s="16">
        <v>0</v>
      </c>
      <c r="D132" s="16">
        <v>15139762.16700718</v>
      </c>
      <c r="E132" s="16">
        <v>5009598.24</v>
      </c>
      <c r="F132" s="16">
        <v>599436.96</v>
      </c>
      <c r="G132" s="16">
        <v>350585.59</v>
      </c>
      <c r="H132" s="16">
        <v>10764516.199999999</v>
      </c>
      <c r="I132" s="16">
        <v>1397150.69</v>
      </c>
      <c r="J132" s="16">
        <v>41112215.440000005</v>
      </c>
      <c r="K132" s="16">
        <v>0</v>
      </c>
      <c r="L132" s="16">
        <v>0</v>
      </c>
      <c r="M132" s="16">
        <v>0</v>
      </c>
      <c r="N132" s="18">
        <f t="shared" si="3"/>
        <v>273943514.99700719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>
        <v>1342874050.2400002</v>
      </c>
      <c r="C133" s="16">
        <v>0</v>
      </c>
      <c r="D133" s="16">
        <v>120235720.19794971</v>
      </c>
      <c r="E133" s="16">
        <v>12149170.800000001</v>
      </c>
      <c r="F133" s="16">
        <v>2168398.0499999998</v>
      </c>
      <c r="G133" s="16">
        <v>1986651.7</v>
      </c>
      <c r="H133" s="16">
        <v>72432586.939999998</v>
      </c>
      <c r="I133" s="16">
        <v>5054040.76</v>
      </c>
      <c r="J133" s="16">
        <v>151656315.19999999</v>
      </c>
      <c r="K133" s="16">
        <v>0</v>
      </c>
      <c r="L133" s="16">
        <v>0</v>
      </c>
      <c r="M133" s="16">
        <v>0</v>
      </c>
      <c r="N133" s="18">
        <f t="shared" si="3"/>
        <v>1708556933.8879499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>
        <v>2314954966.77</v>
      </c>
      <c r="C134" s="16">
        <v>0</v>
      </c>
      <c r="D134" s="16">
        <v>308961653.03582764</v>
      </c>
      <c r="E134" s="16">
        <v>57486041.160000004</v>
      </c>
      <c r="F134" s="16">
        <v>10117453.4</v>
      </c>
      <c r="G134" s="16">
        <v>6567636.8099999996</v>
      </c>
      <c r="H134" s="16">
        <v>124865155.34</v>
      </c>
      <c r="I134" s="16">
        <v>23581473.850000001</v>
      </c>
      <c r="J134" s="16">
        <v>342493314.66000015</v>
      </c>
      <c r="K134" s="16">
        <v>0</v>
      </c>
      <c r="L134" s="16">
        <v>0</v>
      </c>
      <c r="M134" s="16">
        <v>0</v>
      </c>
      <c r="N134" s="18">
        <f t="shared" si="3"/>
        <v>3189027695.0258279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>
        <v>1930467598.1000004</v>
      </c>
      <c r="C135" s="16">
        <v>0</v>
      </c>
      <c r="D135" s="16">
        <v>411284779.23637778</v>
      </c>
      <c r="E135" s="16">
        <v>51741901.909999996</v>
      </c>
      <c r="F135" s="16">
        <v>15230911.310000001</v>
      </c>
      <c r="G135" s="16">
        <v>8320564.7800000003</v>
      </c>
      <c r="H135" s="16">
        <v>104126490.56999999</v>
      </c>
      <c r="I135" s="16">
        <v>35499776.710000001</v>
      </c>
      <c r="J135" s="16">
        <v>353095303.1400001</v>
      </c>
      <c r="K135" s="16">
        <v>0</v>
      </c>
      <c r="L135" s="16">
        <v>0</v>
      </c>
      <c r="M135" s="16">
        <v>0</v>
      </c>
      <c r="N135" s="18">
        <f t="shared" si="3"/>
        <v>2909767325.7563782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>
        <v>3003622156.1399999</v>
      </c>
      <c r="C136" s="16">
        <v>0</v>
      </c>
      <c r="D136" s="16">
        <v>80116189.910000011</v>
      </c>
      <c r="E136" s="16">
        <v>80916804.049999997</v>
      </c>
      <c r="F136" s="16">
        <v>90619231.060000002</v>
      </c>
      <c r="G136" s="16">
        <v>60297562.168236062</v>
      </c>
      <c r="H136" s="16">
        <v>162010817.71000001</v>
      </c>
      <c r="I136" s="16">
        <v>211212737.21000001</v>
      </c>
      <c r="J136" s="16">
        <v>802775632.66000044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4491571130.9082365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>
        <v>470158741.60000002</v>
      </c>
      <c r="C137" s="16">
        <v>0</v>
      </c>
      <c r="D137" s="16">
        <v>62044616.452181473</v>
      </c>
      <c r="E137" s="16">
        <v>11766691.109999999</v>
      </c>
      <c r="F137" s="16">
        <v>1084199.02</v>
      </c>
      <c r="G137" s="16">
        <v>1215363.3899999999</v>
      </c>
      <c r="H137" s="16">
        <v>25359648.530000001</v>
      </c>
      <c r="I137" s="16">
        <v>2527020.38</v>
      </c>
      <c r="J137" s="16">
        <v>78750814.019999981</v>
      </c>
      <c r="K137" s="16">
        <v>0</v>
      </c>
      <c r="L137" s="16">
        <v>0</v>
      </c>
      <c r="M137" s="16">
        <v>0</v>
      </c>
      <c r="N137" s="18">
        <f t="shared" si="4"/>
        <v>652907094.50218141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>
        <v>1399388988.8600001</v>
      </c>
      <c r="C138" s="16">
        <v>0</v>
      </c>
      <c r="D138" s="16">
        <v>324772007.97310328</v>
      </c>
      <c r="E138" s="16">
        <v>34739457.420000002</v>
      </c>
      <c r="F138" s="16">
        <v>9439829.0099999998</v>
      </c>
      <c r="G138" s="16">
        <v>4744591.71</v>
      </c>
      <c r="H138" s="16">
        <v>75480916.900000006</v>
      </c>
      <c r="I138" s="16">
        <v>22002086.109999999</v>
      </c>
      <c r="J138" s="16">
        <v>286140778.49000007</v>
      </c>
      <c r="K138" s="16">
        <v>0</v>
      </c>
      <c r="L138" s="16">
        <v>0</v>
      </c>
      <c r="M138" s="16">
        <v>0</v>
      </c>
      <c r="N138" s="18">
        <f t="shared" si="4"/>
        <v>2156708656.4731035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>
        <v>4761967905.2700005</v>
      </c>
      <c r="C139" s="16">
        <v>0</v>
      </c>
      <c r="D139" s="16">
        <v>101212612.95999999</v>
      </c>
      <c r="E139" s="16">
        <v>118803834.21000001</v>
      </c>
      <c r="F139" s="16">
        <v>48549181.369999997</v>
      </c>
      <c r="G139" s="16">
        <v>55022904.124936044</v>
      </c>
      <c r="H139" s="16">
        <v>256853317.19</v>
      </c>
      <c r="I139" s="16">
        <v>113157056.92</v>
      </c>
      <c r="J139" s="16">
        <v>510920563.99999976</v>
      </c>
      <c r="K139" s="16">
        <v>0</v>
      </c>
      <c r="L139" s="16">
        <v>0</v>
      </c>
      <c r="M139" s="16">
        <v>0</v>
      </c>
      <c r="N139" s="18">
        <f t="shared" si="4"/>
        <v>5966487376.0449362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>
        <v>1427466665.1799998</v>
      </c>
      <c r="C140" s="16">
        <v>0</v>
      </c>
      <c r="D140" s="16">
        <v>20411125</v>
      </c>
      <c r="E140" s="16">
        <v>35521353.829999998</v>
      </c>
      <c r="F140" s="16">
        <v>8006392.7999999998</v>
      </c>
      <c r="G140" s="16">
        <v>5001687.82</v>
      </c>
      <c r="H140" s="16">
        <v>76995384.120000005</v>
      </c>
      <c r="I140" s="16">
        <v>18661073.59</v>
      </c>
      <c r="J140" s="16">
        <v>129146335.67999995</v>
      </c>
      <c r="K140" s="16">
        <v>0</v>
      </c>
      <c r="L140" s="16">
        <v>0</v>
      </c>
      <c r="M140" s="16">
        <v>0</v>
      </c>
      <c r="N140" s="18">
        <f t="shared" si="4"/>
        <v>1721210018.0199995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>
        <v>1612593542.5300002</v>
      </c>
      <c r="C141" s="16">
        <v>0</v>
      </c>
      <c r="D141" s="16">
        <v>166724623.0378269</v>
      </c>
      <c r="E141" s="16">
        <v>40287307.819999993</v>
      </c>
      <c r="F141" s="16">
        <v>11545677.119999999</v>
      </c>
      <c r="G141" s="16">
        <v>4370633.75</v>
      </c>
      <c r="H141" s="16">
        <v>86980846.75</v>
      </c>
      <c r="I141" s="16">
        <v>26910337.239999998</v>
      </c>
      <c r="J141" s="16">
        <v>359168849.53999972</v>
      </c>
      <c r="K141" s="16">
        <v>0</v>
      </c>
      <c r="L141" s="16">
        <v>0</v>
      </c>
      <c r="M141" s="16">
        <v>0</v>
      </c>
      <c r="N141" s="18">
        <f t="shared" si="4"/>
        <v>2308581817.7878265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>
        <v>1639023116.1600001</v>
      </c>
      <c r="C142" s="16">
        <v>0</v>
      </c>
      <c r="D142" s="16">
        <v>113528553.76931369</v>
      </c>
      <c r="E142" s="16">
        <v>43982744.320000008</v>
      </c>
      <c r="F142" s="16">
        <v>49638592.890000001</v>
      </c>
      <c r="G142" s="16">
        <v>17646141.600000001</v>
      </c>
      <c r="H142" s="16">
        <v>88406417.810000002</v>
      </c>
      <c r="I142" s="16">
        <v>115696226.43000001</v>
      </c>
      <c r="J142" s="16">
        <v>486870914.26999998</v>
      </c>
      <c r="K142" s="16">
        <v>0</v>
      </c>
      <c r="L142" s="16">
        <v>0</v>
      </c>
      <c r="M142" s="16">
        <v>0</v>
      </c>
      <c r="N142" s="18">
        <f t="shared" si="4"/>
        <v>2554792707.2493134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299655029742.35999</v>
      </c>
      <c r="C143" s="23">
        <f t="shared" si="5"/>
        <v>0</v>
      </c>
      <c r="D143" s="23">
        <f t="shared" si="5"/>
        <v>21945798919.846394</v>
      </c>
      <c r="E143" s="23">
        <f t="shared" si="5"/>
        <v>7809306810.5999994</v>
      </c>
      <c r="F143" s="23">
        <f t="shared" si="5"/>
        <v>5212495315.7600012</v>
      </c>
      <c r="G143" s="23">
        <f t="shared" si="5"/>
        <v>2337237297.8000002</v>
      </c>
      <c r="H143" s="23">
        <f t="shared" si="5"/>
        <v>16162937238.659998</v>
      </c>
      <c r="I143" s="23">
        <f t="shared" si="5"/>
        <v>12149136451.790001</v>
      </c>
      <c r="J143" s="23">
        <f t="shared" ref="J143:N143" si="6">SUM(J8:J142)</f>
        <v>60379226794.239998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425651168571.05634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44AEAC"/>
  </sheetPr>
  <dimension ref="A1:Y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3.832031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" width="12" style="1"/>
    <col min="17" max="17" width="19.5" style="1" bestFit="1" customWidth="1"/>
    <col min="18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9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1159288834.8699999</v>
      </c>
      <c r="C8" s="16">
        <v>0</v>
      </c>
      <c r="D8" s="16">
        <v>43345226.572820984</v>
      </c>
      <c r="E8" s="16">
        <v>17680136.240000002</v>
      </c>
      <c r="F8" s="16">
        <v>3155001.83</v>
      </c>
      <c r="G8" s="16">
        <v>1457268.63</v>
      </c>
      <c r="H8" s="16">
        <v>79300382.719999999</v>
      </c>
      <c r="I8" s="16">
        <v>10952320.57</v>
      </c>
      <c r="J8" s="16">
        <v>184248418.05000001</v>
      </c>
      <c r="K8" s="16">
        <v>0</v>
      </c>
      <c r="L8" s="16">
        <v>0</v>
      </c>
      <c r="M8" s="16">
        <v>0</v>
      </c>
      <c r="N8" s="18">
        <f t="shared" ref="N8:N39" si="0">SUM(B8:M8)</f>
        <v>1499427589.4828207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642982695.50999999</v>
      </c>
      <c r="C9" s="16">
        <v>0</v>
      </c>
      <c r="D9" s="16">
        <v>37619117.808695838</v>
      </c>
      <c r="E9" s="16">
        <v>9514901.3600000013</v>
      </c>
      <c r="F9" s="16">
        <v>2210460.91</v>
      </c>
      <c r="G9" s="16">
        <v>1078378.79</v>
      </c>
      <c r="H9" s="16">
        <v>43889083.079999998</v>
      </c>
      <c r="I9" s="16">
        <v>7673427.0800000001</v>
      </c>
      <c r="J9" s="16">
        <v>139724995.81999999</v>
      </c>
      <c r="K9" s="16">
        <v>0</v>
      </c>
      <c r="L9" s="16">
        <v>0</v>
      </c>
      <c r="M9" s="16">
        <v>0</v>
      </c>
      <c r="N9" s="18">
        <f t="shared" si="0"/>
        <v>884693060.35869575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685931072.81999993</v>
      </c>
      <c r="C10" s="16">
        <v>0</v>
      </c>
      <c r="D10" s="16">
        <v>15057691.15900116</v>
      </c>
      <c r="E10" s="16">
        <v>10449904.030000001</v>
      </c>
      <c r="F10" s="16">
        <v>1544187.23</v>
      </c>
      <c r="G10" s="16">
        <v>1078378.79</v>
      </c>
      <c r="H10" s="16">
        <v>46863021.269999996</v>
      </c>
      <c r="I10" s="16">
        <v>5360514.6599999992</v>
      </c>
      <c r="J10" s="16">
        <v>82581217.320000023</v>
      </c>
      <c r="K10" s="16">
        <v>0</v>
      </c>
      <c r="L10" s="16">
        <v>0</v>
      </c>
      <c r="M10" s="16">
        <v>0</v>
      </c>
      <c r="N10" s="18">
        <f t="shared" si="0"/>
        <v>848865987.279001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5316342671.1499996</v>
      </c>
      <c r="C11" s="16">
        <v>0</v>
      </c>
      <c r="D11" s="16">
        <v>53887047.100656755</v>
      </c>
      <c r="E11" s="16">
        <v>123713270.25999999</v>
      </c>
      <c r="F11" s="16">
        <v>165745375.75999999</v>
      </c>
      <c r="G11" s="16">
        <v>89945192.461233675</v>
      </c>
      <c r="H11" s="16">
        <v>363888061.92999995</v>
      </c>
      <c r="I11" s="16">
        <v>575370977.25999999</v>
      </c>
      <c r="J11" s="16">
        <v>1553694950.7500002</v>
      </c>
      <c r="K11" s="16">
        <v>0</v>
      </c>
      <c r="L11" s="16">
        <v>0</v>
      </c>
      <c r="M11" s="16">
        <v>0</v>
      </c>
      <c r="N11" s="18">
        <f t="shared" si="0"/>
        <v>8242587546.6718912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700317721.37999988</v>
      </c>
      <c r="C12" s="16">
        <v>0</v>
      </c>
      <c r="D12" s="16">
        <v>26805260.440383516</v>
      </c>
      <c r="E12" s="16">
        <v>10429279.060000001</v>
      </c>
      <c r="F12" s="16">
        <v>5667245.5199999996</v>
      </c>
      <c r="G12" s="16">
        <v>2681374.2799999998</v>
      </c>
      <c r="H12" s="16">
        <v>47884998.269999996</v>
      </c>
      <c r="I12" s="16">
        <v>19673360.919999998</v>
      </c>
      <c r="J12" s="16">
        <v>167524909.17999998</v>
      </c>
      <c r="K12" s="16">
        <v>0</v>
      </c>
      <c r="L12" s="16">
        <v>0</v>
      </c>
      <c r="M12" s="16">
        <v>0</v>
      </c>
      <c r="N12" s="18">
        <f t="shared" si="0"/>
        <v>980984149.05038321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3157128869.2600002</v>
      </c>
      <c r="C13" s="16">
        <v>0</v>
      </c>
      <c r="D13" s="16">
        <v>37151916.491934575</v>
      </c>
      <c r="E13" s="16">
        <v>73651209.769999996</v>
      </c>
      <c r="F13" s="16">
        <v>80599518.849999994</v>
      </c>
      <c r="G13" s="16">
        <v>0</v>
      </c>
      <c r="H13" s="16">
        <v>216398383.45999998</v>
      </c>
      <c r="I13" s="16">
        <v>279794375.68000001</v>
      </c>
      <c r="J13" s="16">
        <v>1155284562.0999997</v>
      </c>
      <c r="K13" s="16">
        <v>0</v>
      </c>
      <c r="L13" s="16">
        <v>0</v>
      </c>
      <c r="M13" s="16">
        <v>0</v>
      </c>
      <c r="N13" s="18">
        <f t="shared" si="0"/>
        <v>5000008835.6119347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1146700517.3900001</v>
      </c>
      <c r="C14" s="16">
        <v>0</v>
      </c>
      <c r="D14" s="16">
        <v>54526345.746323854</v>
      </c>
      <c r="E14" s="16">
        <v>17076220.190000001</v>
      </c>
      <c r="F14" s="16">
        <v>3668424.49</v>
      </c>
      <c r="G14" s="16">
        <v>1821585.79</v>
      </c>
      <c r="H14" s="16">
        <v>78340254.280000001</v>
      </c>
      <c r="I14" s="16">
        <v>12734623.67</v>
      </c>
      <c r="J14" s="16">
        <v>248011223.53999996</v>
      </c>
      <c r="K14" s="16">
        <v>0</v>
      </c>
      <c r="L14" s="16">
        <v>0</v>
      </c>
      <c r="M14" s="16">
        <v>0</v>
      </c>
      <c r="N14" s="18">
        <f t="shared" si="0"/>
        <v>1562879195.096324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1940372778.2000003</v>
      </c>
      <c r="C15" s="16">
        <v>0</v>
      </c>
      <c r="D15" s="16">
        <v>78954379.939302057</v>
      </c>
      <c r="E15" s="16">
        <v>29116232.559999999</v>
      </c>
      <c r="F15" s="16">
        <v>13666448.93</v>
      </c>
      <c r="G15" s="16">
        <v>6309973.1699999999</v>
      </c>
      <c r="H15" s="16">
        <v>132732913.42999999</v>
      </c>
      <c r="I15" s="16">
        <v>47441915.289999999</v>
      </c>
      <c r="J15" s="16">
        <v>395705399.1700002</v>
      </c>
      <c r="K15" s="16">
        <v>0</v>
      </c>
      <c r="L15" s="16">
        <v>0</v>
      </c>
      <c r="M15" s="16">
        <v>0</v>
      </c>
      <c r="N15" s="18">
        <f t="shared" si="0"/>
        <v>2644300040.6893024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3517112435.7700005</v>
      </c>
      <c r="C16" s="16">
        <v>0</v>
      </c>
      <c r="D16" s="16">
        <v>66563996.978831276</v>
      </c>
      <c r="E16" s="16">
        <v>80614989.659999996</v>
      </c>
      <c r="F16" s="16">
        <v>50969936.43</v>
      </c>
      <c r="G16" s="16">
        <v>27994130.41</v>
      </c>
      <c r="H16" s="16">
        <v>240551333.06</v>
      </c>
      <c r="I16" s="16">
        <v>176937799.93000001</v>
      </c>
      <c r="J16" s="16">
        <v>982983180.27999985</v>
      </c>
      <c r="K16" s="16">
        <v>0</v>
      </c>
      <c r="L16" s="16">
        <v>0</v>
      </c>
      <c r="M16" s="16">
        <v>0</v>
      </c>
      <c r="N16" s="18">
        <f t="shared" si="0"/>
        <v>5143727802.5188313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1361627526.26</v>
      </c>
      <c r="C17" s="16">
        <v>0</v>
      </c>
      <c r="D17" s="16">
        <v>68131658.452731416</v>
      </c>
      <c r="E17" s="16">
        <v>20240952</v>
      </c>
      <c r="F17" s="16">
        <v>10468335.27</v>
      </c>
      <c r="G17" s="16">
        <v>4080352.17</v>
      </c>
      <c r="H17" s="16">
        <v>93000186.74000001</v>
      </c>
      <c r="I17" s="16">
        <v>36339935.689999998</v>
      </c>
      <c r="J17" s="16">
        <v>266444379.46000004</v>
      </c>
      <c r="K17" s="16">
        <v>0</v>
      </c>
      <c r="L17" s="16">
        <v>0</v>
      </c>
      <c r="M17" s="16">
        <v>0</v>
      </c>
      <c r="N17" s="18">
        <f t="shared" si="0"/>
        <v>1860333326.0427315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764528719</v>
      </c>
      <c r="C18" s="16">
        <v>0</v>
      </c>
      <c r="D18" s="16">
        <v>28911988.270391542</v>
      </c>
      <c r="E18" s="16">
        <v>11383887.779999997</v>
      </c>
      <c r="F18" s="16">
        <v>7054662.4800000004</v>
      </c>
      <c r="G18" s="16">
        <v>3322572.48</v>
      </c>
      <c r="H18" s="16">
        <v>52221571.629999995</v>
      </c>
      <c r="I18" s="16">
        <v>24489660.890000001</v>
      </c>
      <c r="J18" s="16">
        <v>217225282.94999999</v>
      </c>
      <c r="K18" s="16">
        <v>0</v>
      </c>
      <c r="L18" s="16">
        <v>0</v>
      </c>
      <c r="M18" s="16">
        <v>0</v>
      </c>
      <c r="N18" s="18">
        <f t="shared" si="0"/>
        <v>1109138345.4803915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1232227027.3700001</v>
      </c>
      <c r="C19" s="16">
        <v>0</v>
      </c>
      <c r="D19" s="16">
        <v>47948771.949318103</v>
      </c>
      <c r="E19" s="16">
        <v>18253025.189999998</v>
      </c>
      <c r="F19" s="16">
        <v>2849299.79</v>
      </c>
      <c r="G19" s="16">
        <v>1850731.16</v>
      </c>
      <c r="H19" s="16">
        <v>84326668.600000009</v>
      </c>
      <c r="I19" s="16">
        <v>9891101.9299999997</v>
      </c>
      <c r="J19" s="16">
        <v>188993273.91</v>
      </c>
      <c r="K19" s="16">
        <v>0</v>
      </c>
      <c r="L19" s="16">
        <v>0</v>
      </c>
      <c r="M19" s="16">
        <v>0</v>
      </c>
      <c r="N19" s="18">
        <f t="shared" si="0"/>
        <v>1586339899.8993185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4413554028.0700006</v>
      </c>
      <c r="C20" s="16">
        <v>0</v>
      </c>
      <c r="D20" s="16">
        <v>28352429.913329504</v>
      </c>
      <c r="E20" s="16">
        <v>101768204.52</v>
      </c>
      <c r="F20" s="16">
        <v>90942437.900000006</v>
      </c>
      <c r="G20" s="16">
        <v>44210504.904538967</v>
      </c>
      <c r="H20" s="16">
        <v>301881589.44999999</v>
      </c>
      <c r="I20" s="16">
        <v>315698939.61999995</v>
      </c>
      <c r="J20" s="16">
        <v>1074694615.03</v>
      </c>
      <c r="K20" s="16">
        <v>0</v>
      </c>
      <c r="L20" s="16">
        <v>0</v>
      </c>
      <c r="M20" s="16">
        <v>0</v>
      </c>
      <c r="N20" s="18">
        <f t="shared" si="0"/>
        <v>6371102749.4078684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1915672172.0599999</v>
      </c>
      <c r="C21" s="16">
        <v>0</v>
      </c>
      <c r="D21" s="16">
        <v>21703580.80271646</v>
      </c>
      <c r="E21" s="16">
        <v>29136735.73</v>
      </c>
      <c r="F21" s="16">
        <v>24181815.280000001</v>
      </c>
      <c r="G21" s="16">
        <v>6014211.3878212515</v>
      </c>
      <c r="H21" s="16">
        <v>131035994.91</v>
      </c>
      <c r="I21" s="16">
        <v>83945115.390000001</v>
      </c>
      <c r="J21" s="16">
        <v>352343600.01999998</v>
      </c>
      <c r="K21" s="16">
        <v>0</v>
      </c>
      <c r="L21" s="16">
        <v>0</v>
      </c>
      <c r="M21" s="16">
        <v>0</v>
      </c>
      <c r="N21" s="18">
        <f t="shared" si="0"/>
        <v>2564033225.5805378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1568329815.1499999</v>
      </c>
      <c r="C22" s="16">
        <v>0</v>
      </c>
      <c r="D22" s="16">
        <v>46371892.701557994</v>
      </c>
      <c r="E22" s="16">
        <v>23242791.030000001</v>
      </c>
      <c r="F22" s="16">
        <v>5757388.4299999997</v>
      </c>
      <c r="G22" s="16">
        <v>3133127.56</v>
      </c>
      <c r="H22" s="16">
        <v>107120404.98999999</v>
      </c>
      <c r="I22" s="16">
        <v>19986284.359999999</v>
      </c>
      <c r="J22" s="16">
        <v>264590700.56999993</v>
      </c>
      <c r="K22" s="16">
        <v>0</v>
      </c>
      <c r="L22" s="16">
        <v>0</v>
      </c>
      <c r="M22" s="16">
        <v>0</v>
      </c>
      <c r="N22" s="18">
        <f t="shared" si="0"/>
        <v>2038532404.7915576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1479312427.1400001</v>
      </c>
      <c r="C23" s="16">
        <v>0</v>
      </c>
      <c r="D23" s="16">
        <v>33199411.00854652</v>
      </c>
      <c r="E23" s="16">
        <v>22332948.889999997</v>
      </c>
      <c r="F23" s="16">
        <v>5518313.7599999998</v>
      </c>
      <c r="G23" s="16">
        <v>3861761.87</v>
      </c>
      <c r="H23" s="16">
        <v>101122198.75</v>
      </c>
      <c r="I23" s="16">
        <v>19156356.960000001</v>
      </c>
      <c r="J23" s="16">
        <v>218409154.94</v>
      </c>
      <c r="K23" s="16">
        <v>0</v>
      </c>
      <c r="L23" s="16">
        <v>0</v>
      </c>
      <c r="M23" s="16">
        <v>0</v>
      </c>
      <c r="N23" s="18">
        <f t="shared" si="0"/>
        <v>1882912573.3185468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469390855.16999996</v>
      </c>
      <c r="C24" s="16">
        <v>0</v>
      </c>
      <c r="D24" s="16">
        <v>21916225.544321522</v>
      </c>
      <c r="E24" s="16">
        <v>7328324.0199999996</v>
      </c>
      <c r="F24" s="16">
        <v>5737792.1500000004</v>
      </c>
      <c r="G24" s="16">
        <v>965428.07737644203</v>
      </c>
      <c r="H24" s="16">
        <v>32075156.399999999</v>
      </c>
      <c r="I24" s="16">
        <v>19918257.520000003</v>
      </c>
      <c r="J24" s="16">
        <v>184807566.34999993</v>
      </c>
      <c r="K24" s="16">
        <v>0</v>
      </c>
      <c r="L24" s="16">
        <v>0</v>
      </c>
      <c r="M24" s="16">
        <v>0</v>
      </c>
      <c r="N24" s="18">
        <f t="shared" si="0"/>
        <v>742139605.2316978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1844426526.4099998</v>
      </c>
      <c r="C25" s="16">
        <v>0</v>
      </c>
      <c r="D25" s="16">
        <v>23772076.235501759</v>
      </c>
      <c r="E25" s="16">
        <v>27757362.120000005</v>
      </c>
      <c r="F25" s="16">
        <v>25447735.27</v>
      </c>
      <c r="G25" s="16">
        <v>9195365.0700000003</v>
      </c>
      <c r="H25" s="16">
        <v>126333353.59</v>
      </c>
      <c r="I25" s="16">
        <v>88339648.979999989</v>
      </c>
      <c r="J25" s="16">
        <v>427219110.74999988</v>
      </c>
      <c r="K25" s="16">
        <v>0</v>
      </c>
      <c r="L25" s="16">
        <v>0</v>
      </c>
      <c r="M25" s="16">
        <v>0</v>
      </c>
      <c r="N25" s="18">
        <f t="shared" si="0"/>
        <v>2572491178.4255013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789361555.4000001</v>
      </c>
      <c r="C26" s="16">
        <v>0</v>
      </c>
      <c r="D26" s="16">
        <v>20985681.56033526</v>
      </c>
      <c r="E26" s="16">
        <v>12792693.26</v>
      </c>
      <c r="F26" s="16">
        <v>11573565.720000001</v>
      </c>
      <c r="G26" s="16">
        <v>5872792.5899999999</v>
      </c>
      <c r="H26" s="16">
        <v>53948550.93</v>
      </c>
      <c r="I26" s="16">
        <v>40176649.229999997</v>
      </c>
      <c r="J26" s="16">
        <v>315236064.13999999</v>
      </c>
      <c r="K26" s="16">
        <v>0</v>
      </c>
      <c r="L26" s="16">
        <v>0</v>
      </c>
      <c r="M26" s="16">
        <v>0</v>
      </c>
      <c r="N26" s="18">
        <f t="shared" si="0"/>
        <v>1249947552.8303354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359851336.16999996</v>
      </c>
      <c r="C27" s="16">
        <v>0</v>
      </c>
      <c r="D27" s="16">
        <v>10073004.966707259</v>
      </c>
      <c r="E27" s="16">
        <v>8239096.5999999996</v>
      </c>
      <c r="F27" s="16">
        <v>2876734.58</v>
      </c>
      <c r="G27" s="16">
        <v>1326114.45</v>
      </c>
      <c r="H27" s="16">
        <v>24674118.559999999</v>
      </c>
      <c r="I27" s="16">
        <v>9986339.5</v>
      </c>
      <c r="J27" s="16">
        <v>84474709.860000029</v>
      </c>
      <c r="K27" s="16">
        <v>0</v>
      </c>
      <c r="L27" s="16">
        <v>0</v>
      </c>
      <c r="M27" s="16">
        <v>0</v>
      </c>
      <c r="N27" s="18">
        <f t="shared" si="0"/>
        <v>501501454.6867072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1379267038.3700001</v>
      </c>
      <c r="C28" s="16">
        <v>0</v>
      </c>
      <c r="D28" s="16">
        <v>37292407.759490281</v>
      </c>
      <c r="E28" s="16">
        <v>21174807.919999998</v>
      </c>
      <c r="F28" s="16">
        <v>3962368.76</v>
      </c>
      <c r="G28" s="16">
        <v>1923594.59</v>
      </c>
      <c r="H28" s="16">
        <v>94231673.450000003</v>
      </c>
      <c r="I28" s="16">
        <v>13755026.199999999</v>
      </c>
      <c r="J28" s="16">
        <v>172712399.63000003</v>
      </c>
      <c r="K28" s="16">
        <v>0</v>
      </c>
      <c r="L28" s="16">
        <v>0</v>
      </c>
      <c r="M28" s="16">
        <v>0</v>
      </c>
      <c r="N28" s="18">
        <f t="shared" si="0"/>
        <v>1724319316.6794906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788118591.28000009</v>
      </c>
      <c r="C29" s="16">
        <v>0</v>
      </c>
      <c r="D29" s="16">
        <v>36957783.07039728</v>
      </c>
      <c r="E29" s="16">
        <v>12107775.800000003</v>
      </c>
      <c r="F29" s="16">
        <v>2473051.12</v>
      </c>
      <c r="G29" s="16">
        <v>1165814.9099999999</v>
      </c>
      <c r="H29" s="16">
        <v>54039337.469999999</v>
      </c>
      <c r="I29" s="16">
        <v>8584986.6799999997</v>
      </c>
      <c r="J29" s="16">
        <v>153971273.11000001</v>
      </c>
      <c r="K29" s="16">
        <v>0</v>
      </c>
      <c r="L29" s="16">
        <v>0</v>
      </c>
      <c r="M29" s="16">
        <v>0</v>
      </c>
      <c r="N29" s="18">
        <f t="shared" si="0"/>
        <v>1057418613.4403973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276414063.75999999</v>
      </c>
      <c r="C30" s="16">
        <v>0</v>
      </c>
      <c r="D30" s="16">
        <v>26219481.057247978</v>
      </c>
      <c r="E30" s="16">
        <v>4121707.63</v>
      </c>
      <c r="F30" s="16">
        <v>2135995.02</v>
      </c>
      <c r="G30" s="16">
        <v>1457268.63</v>
      </c>
      <c r="H30" s="16">
        <v>18906094.369999997</v>
      </c>
      <c r="I30" s="16">
        <v>7414925.0999999996</v>
      </c>
      <c r="J30" s="16">
        <v>119612638.77999997</v>
      </c>
      <c r="K30" s="16">
        <v>0</v>
      </c>
      <c r="L30" s="16">
        <v>0</v>
      </c>
      <c r="M30" s="16">
        <v>0</v>
      </c>
      <c r="N30" s="18">
        <f t="shared" si="0"/>
        <v>456282174.34724796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475817244.13</v>
      </c>
      <c r="C31" s="16">
        <v>0</v>
      </c>
      <c r="D31" s="16">
        <v>14989413.934011519</v>
      </c>
      <c r="E31" s="16">
        <v>7045710.8000000007</v>
      </c>
      <c r="F31" s="16">
        <v>2551436.2599999998</v>
      </c>
      <c r="G31" s="16">
        <v>801497.75</v>
      </c>
      <c r="H31" s="16">
        <v>32562589.469999999</v>
      </c>
      <c r="I31" s="16">
        <v>8857094.0299999993</v>
      </c>
      <c r="J31" s="16">
        <v>84772727.090000004</v>
      </c>
      <c r="K31" s="16">
        <v>0</v>
      </c>
      <c r="L31" s="16">
        <v>0</v>
      </c>
      <c r="M31" s="16">
        <v>0</v>
      </c>
      <c r="N31" s="18">
        <f t="shared" si="0"/>
        <v>627397713.46401155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2177276450.6199999</v>
      </c>
      <c r="C32" s="16">
        <v>0</v>
      </c>
      <c r="D32" s="16">
        <v>43213537.112044863</v>
      </c>
      <c r="E32" s="16">
        <v>32713973.66</v>
      </c>
      <c r="F32" s="16">
        <v>7524973.3099999996</v>
      </c>
      <c r="G32" s="16">
        <v>4386378.58</v>
      </c>
      <c r="H32" s="16">
        <v>148730566.11000001</v>
      </c>
      <c r="I32" s="16">
        <v>26122304.960000001</v>
      </c>
      <c r="J32" s="16">
        <v>265248797.53999993</v>
      </c>
      <c r="K32" s="16">
        <v>0</v>
      </c>
      <c r="L32" s="16">
        <v>0</v>
      </c>
      <c r="M32" s="16">
        <v>0</v>
      </c>
      <c r="N32" s="18">
        <f t="shared" si="0"/>
        <v>2705216981.8920445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1363531641.52</v>
      </c>
      <c r="C33" s="16">
        <v>0</v>
      </c>
      <c r="D33" s="16">
        <v>40503933.90801502</v>
      </c>
      <c r="E33" s="16">
        <v>20703297.550000001</v>
      </c>
      <c r="F33" s="16">
        <v>5522233.0199999996</v>
      </c>
      <c r="G33" s="16">
        <v>3526590.09</v>
      </c>
      <c r="H33" s="16">
        <v>93494080.579999998</v>
      </c>
      <c r="I33" s="16">
        <v>19169962.330000002</v>
      </c>
      <c r="J33" s="16">
        <v>253013111.94</v>
      </c>
      <c r="K33" s="16">
        <v>0</v>
      </c>
      <c r="L33" s="16">
        <v>0</v>
      </c>
      <c r="M33" s="16">
        <v>0</v>
      </c>
      <c r="N33" s="18">
        <f t="shared" si="0"/>
        <v>1799464850.9380147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1863890815.6599998</v>
      </c>
      <c r="C34" s="16">
        <v>0</v>
      </c>
      <c r="D34" s="16">
        <v>35440951.270174578</v>
      </c>
      <c r="E34" s="16">
        <v>45232384.890000008</v>
      </c>
      <c r="F34" s="16">
        <v>8030557.4500000002</v>
      </c>
      <c r="G34" s="16">
        <v>5887365.2699999996</v>
      </c>
      <c r="H34" s="16">
        <v>127512380.68000001</v>
      </c>
      <c r="I34" s="16">
        <v>27877397.32</v>
      </c>
      <c r="J34" s="16">
        <v>318264832.58999991</v>
      </c>
      <c r="K34" s="16">
        <v>0</v>
      </c>
      <c r="L34" s="16">
        <v>0</v>
      </c>
      <c r="M34" s="16">
        <v>0</v>
      </c>
      <c r="N34" s="18">
        <f t="shared" si="0"/>
        <v>2432136685.1301746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919740557.96000004</v>
      </c>
      <c r="C35" s="16">
        <v>0</v>
      </c>
      <c r="D35" s="16">
        <v>27848634.350383516</v>
      </c>
      <c r="E35" s="16">
        <v>14388288.439999998</v>
      </c>
      <c r="F35" s="16">
        <v>5020568.13</v>
      </c>
      <c r="G35" s="16">
        <v>2287911.75</v>
      </c>
      <c r="H35" s="16">
        <v>62809699.939999998</v>
      </c>
      <c r="I35" s="16">
        <v>17428475.329999998</v>
      </c>
      <c r="J35" s="16">
        <v>114385334.66999999</v>
      </c>
      <c r="K35" s="16">
        <v>0</v>
      </c>
      <c r="L35" s="16">
        <v>0</v>
      </c>
      <c r="M35" s="16">
        <v>0</v>
      </c>
      <c r="N35" s="18">
        <f t="shared" si="0"/>
        <v>1163909470.5703835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1055276539.33</v>
      </c>
      <c r="C36" s="16">
        <v>0</v>
      </c>
      <c r="D36" s="16">
        <v>27981672.645318076</v>
      </c>
      <c r="E36" s="16">
        <v>15794785.039999999</v>
      </c>
      <c r="F36" s="16">
        <v>3158921.08</v>
      </c>
      <c r="G36" s="16">
        <v>1326114.45</v>
      </c>
      <c r="H36" s="16">
        <v>72144880.109999999</v>
      </c>
      <c r="I36" s="16">
        <v>10965925.93</v>
      </c>
      <c r="J36" s="16">
        <v>115196831.44000001</v>
      </c>
      <c r="K36" s="16">
        <v>0</v>
      </c>
      <c r="L36" s="16">
        <v>0</v>
      </c>
      <c r="M36" s="16">
        <v>0</v>
      </c>
      <c r="N36" s="18">
        <f t="shared" si="0"/>
        <v>1301845670.0253181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1098780283.5799999</v>
      </c>
      <c r="C37" s="16">
        <v>0</v>
      </c>
      <c r="D37" s="16">
        <v>39317683.389337614</v>
      </c>
      <c r="E37" s="16">
        <v>16269761.059999999</v>
      </c>
      <c r="F37" s="16">
        <v>5859289.1100000003</v>
      </c>
      <c r="G37" s="16">
        <v>2025603.4</v>
      </c>
      <c r="H37" s="16">
        <v>75110279.420000002</v>
      </c>
      <c r="I37" s="16">
        <v>20340023.899999999</v>
      </c>
      <c r="J37" s="16">
        <v>195534429.97000003</v>
      </c>
      <c r="K37" s="16">
        <v>0</v>
      </c>
      <c r="L37" s="16">
        <v>0</v>
      </c>
      <c r="M37" s="16">
        <v>0</v>
      </c>
      <c r="N37" s="18">
        <f t="shared" si="0"/>
        <v>1453237353.8293376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927409911.02999997</v>
      </c>
      <c r="C38" s="16">
        <v>0</v>
      </c>
      <c r="D38" s="16">
        <v>5227406.2164856205</v>
      </c>
      <c r="E38" s="16">
        <v>14214296.35</v>
      </c>
      <c r="F38" s="16">
        <v>5236127.26</v>
      </c>
      <c r="G38" s="16">
        <v>5610484.2300000004</v>
      </c>
      <c r="H38" s="16">
        <v>63497702.580000006</v>
      </c>
      <c r="I38" s="16">
        <v>18176770.530000001</v>
      </c>
      <c r="J38" s="16">
        <v>322673028.44999999</v>
      </c>
      <c r="K38" s="16">
        <v>0</v>
      </c>
      <c r="L38" s="16">
        <v>0</v>
      </c>
      <c r="M38" s="16">
        <v>0</v>
      </c>
      <c r="N38" s="18">
        <f t="shared" si="0"/>
        <v>1362045726.6464856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1782675011.0100002</v>
      </c>
      <c r="C39" s="16">
        <v>0</v>
      </c>
      <c r="D39" s="16">
        <v>53425578.176806033</v>
      </c>
      <c r="E39" s="16">
        <v>26621037.129999999</v>
      </c>
      <c r="F39" s="16">
        <v>6670575.2999999998</v>
      </c>
      <c r="G39" s="16">
        <v>3497444.72</v>
      </c>
      <c r="H39" s="16">
        <v>121843163.36</v>
      </c>
      <c r="I39" s="16">
        <v>23156334.91</v>
      </c>
      <c r="J39" s="16">
        <v>280133264.99999994</v>
      </c>
      <c r="K39" s="16">
        <v>0</v>
      </c>
      <c r="L39" s="16">
        <v>0</v>
      </c>
      <c r="M39" s="16">
        <v>0</v>
      </c>
      <c r="N39" s="18">
        <f t="shared" si="0"/>
        <v>2298022409.6068063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1170792864.49</v>
      </c>
      <c r="C40" s="16">
        <v>0</v>
      </c>
      <c r="D40" s="16">
        <v>43584292.689164244</v>
      </c>
      <c r="E40" s="16">
        <v>17472777.300000001</v>
      </c>
      <c r="F40" s="16">
        <v>3562604.55</v>
      </c>
      <c r="G40" s="16">
        <v>1530132.06</v>
      </c>
      <c r="H40" s="16">
        <v>80278416.690000013</v>
      </c>
      <c r="I40" s="16">
        <v>12367278.75</v>
      </c>
      <c r="J40" s="16">
        <v>154330767.36999995</v>
      </c>
      <c r="K40" s="16">
        <v>0</v>
      </c>
      <c r="L40" s="16">
        <v>0</v>
      </c>
      <c r="M40" s="16">
        <v>0</v>
      </c>
      <c r="N40" s="18">
        <f t="shared" ref="N40:N71" si="1">SUM(B40:M40)</f>
        <v>1483919133.899164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1223473386.4400001</v>
      </c>
      <c r="C41" s="16">
        <v>0</v>
      </c>
      <c r="D41" s="16">
        <v>17096384.615172241</v>
      </c>
      <c r="E41" s="16">
        <v>18454581.219999999</v>
      </c>
      <c r="F41" s="16">
        <v>6031736.4199999999</v>
      </c>
      <c r="G41" s="16">
        <v>2666801.6</v>
      </c>
      <c r="H41" s="16">
        <v>83425972.5</v>
      </c>
      <c r="I41" s="16">
        <v>20938660.059999999</v>
      </c>
      <c r="J41" s="16">
        <v>158363660.56999993</v>
      </c>
      <c r="K41" s="16">
        <v>0</v>
      </c>
      <c r="L41" s="16">
        <v>0</v>
      </c>
      <c r="M41" s="16">
        <v>0</v>
      </c>
      <c r="N41" s="18">
        <f t="shared" si="1"/>
        <v>1530451183.4251721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742155364.78999996</v>
      </c>
      <c r="C42" s="16">
        <v>0</v>
      </c>
      <c r="D42" s="16">
        <v>7752700.6562916609</v>
      </c>
      <c r="E42" s="16">
        <v>12069450.190000001</v>
      </c>
      <c r="F42" s="16">
        <v>16382493.98</v>
      </c>
      <c r="G42" s="16">
        <v>0</v>
      </c>
      <c r="H42" s="16">
        <v>50831611.640000001</v>
      </c>
      <c r="I42" s="16">
        <v>56870434.739999995</v>
      </c>
      <c r="J42" s="16">
        <v>241319009.64000005</v>
      </c>
      <c r="K42" s="16">
        <v>0</v>
      </c>
      <c r="L42" s="16">
        <v>0</v>
      </c>
      <c r="M42" s="16">
        <v>0</v>
      </c>
      <c r="N42" s="18">
        <f t="shared" si="1"/>
        <v>1127381065.6362917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4494796278.7399998</v>
      </c>
      <c r="C43" s="16">
        <v>0</v>
      </c>
      <c r="D43" s="16">
        <v>26828722.165034417</v>
      </c>
      <c r="E43" s="16">
        <v>67725450.480000004</v>
      </c>
      <c r="F43" s="16">
        <v>68124524.030000001</v>
      </c>
      <c r="G43" s="16">
        <v>21305267.390000001</v>
      </c>
      <c r="H43" s="16">
        <v>305868261.86000001</v>
      </c>
      <c r="I43" s="16">
        <v>236488492.01000002</v>
      </c>
      <c r="J43" s="16">
        <v>790321776.75999987</v>
      </c>
      <c r="K43" s="16">
        <v>0</v>
      </c>
      <c r="L43" s="16">
        <v>0</v>
      </c>
      <c r="M43" s="16">
        <v>0</v>
      </c>
      <c r="N43" s="18">
        <f t="shared" si="1"/>
        <v>6011458773.4350338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4091070953.5699997</v>
      </c>
      <c r="C44" s="16">
        <v>0</v>
      </c>
      <c r="D44" s="16">
        <v>35058602.364594758</v>
      </c>
      <c r="E44" s="16">
        <v>63196187.689999998</v>
      </c>
      <c r="F44" s="16">
        <v>85718068.409999996</v>
      </c>
      <c r="G44" s="16">
        <v>36907224.028655693</v>
      </c>
      <c r="H44" s="16">
        <v>279163755.99000001</v>
      </c>
      <c r="I44" s="16">
        <v>297562985.19</v>
      </c>
      <c r="J44" s="16">
        <v>1022005872.0199999</v>
      </c>
      <c r="K44" s="16">
        <v>0</v>
      </c>
      <c r="L44" s="16">
        <v>0</v>
      </c>
      <c r="M44" s="16">
        <v>0</v>
      </c>
      <c r="N44" s="18">
        <f t="shared" si="1"/>
        <v>5910683649.2632494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1093385290.3699999</v>
      </c>
      <c r="C45" s="16">
        <v>0</v>
      </c>
      <c r="D45" s="16">
        <v>11447651.95403906</v>
      </c>
      <c r="E45" s="16">
        <v>16701870.740000002</v>
      </c>
      <c r="F45" s="16">
        <v>6384469.54</v>
      </c>
      <c r="G45" s="16">
        <v>3337145.17</v>
      </c>
      <c r="H45" s="16">
        <v>74762251.409999996</v>
      </c>
      <c r="I45" s="16">
        <v>22163143.099999998</v>
      </c>
      <c r="J45" s="16">
        <v>152997594.02000001</v>
      </c>
      <c r="K45" s="16">
        <v>0</v>
      </c>
      <c r="L45" s="16">
        <v>0</v>
      </c>
      <c r="M45" s="16">
        <v>0</v>
      </c>
      <c r="N45" s="18">
        <f t="shared" si="1"/>
        <v>1381179416.304039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1729968043.04</v>
      </c>
      <c r="C46" s="16">
        <v>0</v>
      </c>
      <c r="D46" s="16">
        <v>27111524.294594757</v>
      </c>
      <c r="E46" s="16">
        <v>39950834.890000001</v>
      </c>
      <c r="F46" s="16">
        <v>50358532.350000001</v>
      </c>
      <c r="G46" s="16">
        <v>0</v>
      </c>
      <c r="H46" s="16">
        <v>118284526.17999999</v>
      </c>
      <c r="I46" s="16">
        <v>174815362.66</v>
      </c>
      <c r="J46" s="16">
        <v>647314492.89999986</v>
      </c>
      <c r="K46" s="16">
        <v>0</v>
      </c>
      <c r="L46" s="16">
        <v>0</v>
      </c>
      <c r="M46" s="16">
        <v>0</v>
      </c>
      <c r="N46" s="18">
        <f t="shared" si="1"/>
        <v>2787803316.3145947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5260673746.1000004</v>
      </c>
      <c r="C47" s="16">
        <v>0</v>
      </c>
      <c r="D47" s="16">
        <v>36728867.944538482</v>
      </c>
      <c r="E47" s="16">
        <v>124273352.95999998</v>
      </c>
      <c r="F47" s="16">
        <v>156989755.77000001</v>
      </c>
      <c r="G47" s="16">
        <v>43092303.45718579</v>
      </c>
      <c r="H47" s="16">
        <v>359674691.35999995</v>
      </c>
      <c r="I47" s="16">
        <v>544976587.02999997</v>
      </c>
      <c r="J47" s="16">
        <v>1557510039.6499999</v>
      </c>
      <c r="K47" s="16">
        <v>0</v>
      </c>
      <c r="L47" s="16">
        <v>0</v>
      </c>
      <c r="M47" s="16">
        <v>0</v>
      </c>
      <c r="N47" s="18">
        <f t="shared" si="1"/>
        <v>8083919344.2717237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508980584.77000004</v>
      </c>
      <c r="C48" s="16">
        <v>0</v>
      </c>
      <c r="D48" s="16">
        <v>15891555.434998862</v>
      </c>
      <c r="E48" s="16">
        <v>7705781.0600000015</v>
      </c>
      <c r="F48" s="16">
        <v>1363901.41</v>
      </c>
      <c r="G48" s="16">
        <v>903506.55</v>
      </c>
      <c r="H48" s="16">
        <v>34899565.879999995</v>
      </c>
      <c r="I48" s="16">
        <v>4734667.7700000005</v>
      </c>
      <c r="J48" s="16">
        <v>83562507.840000033</v>
      </c>
      <c r="K48" s="16">
        <v>0</v>
      </c>
      <c r="L48" s="16">
        <v>0</v>
      </c>
      <c r="M48" s="16">
        <v>0</v>
      </c>
      <c r="N48" s="18">
        <f t="shared" si="1"/>
        <v>658042070.71499896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961102172.55999994</v>
      </c>
      <c r="C49" s="16">
        <v>0</v>
      </c>
      <c r="D49" s="16">
        <v>27579618.020355977</v>
      </c>
      <c r="E49" s="16">
        <v>14368608.990000002</v>
      </c>
      <c r="F49" s="16">
        <v>8054073</v>
      </c>
      <c r="G49" s="16">
        <v>3788898.44</v>
      </c>
      <c r="H49" s="16">
        <v>65670598.399999999</v>
      </c>
      <c r="I49" s="16">
        <v>27959029.52</v>
      </c>
      <c r="J49" s="16">
        <v>196672633.30999997</v>
      </c>
      <c r="K49" s="16">
        <v>0</v>
      </c>
      <c r="L49" s="16">
        <v>0</v>
      </c>
      <c r="M49" s="16">
        <v>0</v>
      </c>
      <c r="N49" s="18">
        <f t="shared" si="1"/>
        <v>1305195632.240356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623994435.08999991</v>
      </c>
      <c r="C50" s="16">
        <v>0</v>
      </c>
      <c r="D50" s="16">
        <v>24730515.19006202</v>
      </c>
      <c r="E50" s="16">
        <v>9636845.4799999986</v>
      </c>
      <c r="F50" s="16">
        <v>2257491.9900000002</v>
      </c>
      <c r="G50" s="16">
        <v>1078378.79</v>
      </c>
      <c r="H50" s="16">
        <v>42695272.269999996</v>
      </c>
      <c r="I50" s="16">
        <v>7836691.4900000002</v>
      </c>
      <c r="J50" s="16">
        <v>142124942</v>
      </c>
      <c r="K50" s="16">
        <v>0</v>
      </c>
      <c r="L50" s="16">
        <v>0</v>
      </c>
      <c r="M50" s="16">
        <v>0</v>
      </c>
      <c r="N50" s="18">
        <f t="shared" si="1"/>
        <v>854354572.30006194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610057369.28999996</v>
      </c>
      <c r="C51" s="16">
        <v>0</v>
      </c>
      <c r="D51" s="16">
        <v>22708748.342447761</v>
      </c>
      <c r="E51" s="16">
        <v>9023946.5</v>
      </c>
      <c r="F51" s="16">
        <v>2814026.47</v>
      </c>
      <c r="G51" s="16">
        <v>1355259.83</v>
      </c>
      <c r="H51" s="16">
        <v>41707646.909999996</v>
      </c>
      <c r="I51" s="16">
        <v>9768653.6199999992</v>
      </c>
      <c r="J51" s="16">
        <v>98600960.589999989</v>
      </c>
      <c r="K51" s="16">
        <v>0</v>
      </c>
      <c r="L51" s="16">
        <v>0</v>
      </c>
      <c r="M51" s="16">
        <v>0</v>
      </c>
      <c r="N51" s="18">
        <f t="shared" si="1"/>
        <v>796036611.5524478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719438212.01999986</v>
      </c>
      <c r="C52" s="16">
        <v>0</v>
      </c>
      <c r="D52" s="16">
        <v>20625124.995228518</v>
      </c>
      <c r="E52" s="16">
        <v>11620628.999999998</v>
      </c>
      <c r="F52" s="16">
        <v>2590628.83</v>
      </c>
      <c r="G52" s="16">
        <v>1734149.67</v>
      </c>
      <c r="H52" s="16">
        <v>49233082.560000002</v>
      </c>
      <c r="I52" s="16">
        <v>8993147.7000000011</v>
      </c>
      <c r="J52" s="16">
        <v>126388578.57999998</v>
      </c>
      <c r="K52" s="16">
        <v>0</v>
      </c>
      <c r="L52" s="16">
        <v>0</v>
      </c>
      <c r="M52" s="16">
        <v>0</v>
      </c>
      <c r="N52" s="18">
        <f t="shared" si="1"/>
        <v>940623553.35522842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247323414.11999995</v>
      </c>
      <c r="C53" s="16">
        <v>0</v>
      </c>
      <c r="D53" s="16">
        <v>22506566.702222779</v>
      </c>
      <c r="E53" s="16">
        <v>3656006.2</v>
      </c>
      <c r="F53" s="16">
        <v>450714.54</v>
      </c>
      <c r="G53" s="16">
        <v>262308.34999999998</v>
      </c>
      <c r="H53" s="16">
        <v>16958348.149999999</v>
      </c>
      <c r="I53" s="16">
        <v>1564617.23</v>
      </c>
      <c r="J53" s="16">
        <v>66841926.420000009</v>
      </c>
      <c r="K53" s="16">
        <v>0</v>
      </c>
      <c r="L53" s="16">
        <v>0</v>
      </c>
      <c r="M53" s="16">
        <v>0</v>
      </c>
      <c r="N53" s="18">
        <f t="shared" si="1"/>
        <v>359563901.71222275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960229453.06999993</v>
      </c>
      <c r="C54" s="16">
        <v>0</v>
      </c>
      <c r="D54" s="16">
        <v>30681243.693540841</v>
      </c>
      <c r="E54" s="16">
        <v>14190902.039999999</v>
      </c>
      <c r="F54" s="16">
        <v>1548106.48</v>
      </c>
      <c r="G54" s="16">
        <v>961797.3</v>
      </c>
      <c r="H54" s="16">
        <v>65627990.659999996</v>
      </c>
      <c r="I54" s="16">
        <v>5374120.0199999996</v>
      </c>
      <c r="J54" s="16">
        <v>152922065.09999999</v>
      </c>
      <c r="K54" s="16">
        <v>0</v>
      </c>
      <c r="L54" s="16">
        <v>0</v>
      </c>
      <c r="M54" s="16">
        <v>0</v>
      </c>
      <c r="N54" s="18">
        <f t="shared" si="1"/>
        <v>1231535678.3635406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436174622.46000004</v>
      </c>
      <c r="C55" s="16">
        <v>0</v>
      </c>
      <c r="D55" s="16">
        <v>10565221.53250752</v>
      </c>
      <c r="E55" s="16">
        <v>6491379.9900000002</v>
      </c>
      <c r="F55" s="16">
        <v>2857138.3</v>
      </c>
      <c r="G55" s="16">
        <v>1500986.69</v>
      </c>
      <c r="H55" s="16">
        <v>29834161.07</v>
      </c>
      <c r="I55" s="16">
        <v>9918312.6600000001</v>
      </c>
      <c r="J55" s="16">
        <v>107961863.14999999</v>
      </c>
      <c r="K55" s="16">
        <v>0</v>
      </c>
      <c r="L55" s="16">
        <v>0</v>
      </c>
      <c r="M55" s="16">
        <v>0</v>
      </c>
      <c r="N55" s="18">
        <f t="shared" si="1"/>
        <v>605303685.85250759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332664801.78999996</v>
      </c>
      <c r="C56" s="16">
        <v>0</v>
      </c>
      <c r="D56" s="16">
        <v>10731466.938142419</v>
      </c>
      <c r="E56" s="16">
        <v>4924536.05</v>
      </c>
      <c r="F56" s="16">
        <v>807366.92</v>
      </c>
      <c r="G56" s="16">
        <v>408035.22</v>
      </c>
      <c r="H56" s="16">
        <v>22713684.350000001</v>
      </c>
      <c r="I56" s="16">
        <v>2802705.63</v>
      </c>
      <c r="J56" s="16">
        <v>89122958.889999971</v>
      </c>
      <c r="K56" s="16">
        <v>0</v>
      </c>
      <c r="L56" s="16">
        <v>0</v>
      </c>
      <c r="M56" s="16">
        <v>0</v>
      </c>
      <c r="N56" s="18">
        <f t="shared" si="1"/>
        <v>464175555.78814244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828025673.39999986</v>
      </c>
      <c r="C57" s="16">
        <v>0</v>
      </c>
      <c r="D57" s="16">
        <v>28183563.254310019</v>
      </c>
      <c r="E57" s="16">
        <v>14048146.889999999</v>
      </c>
      <c r="F57" s="16">
        <v>4146573.83</v>
      </c>
      <c r="G57" s="16">
        <v>1879876.53</v>
      </c>
      <c r="H57" s="16">
        <v>56627544.310000002</v>
      </c>
      <c r="I57" s="16">
        <v>14394478.450000001</v>
      </c>
      <c r="J57" s="16">
        <v>190287219.01000002</v>
      </c>
      <c r="K57" s="16">
        <v>0</v>
      </c>
      <c r="L57" s="16">
        <v>0</v>
      </c>
      <c r="M57" s="16">
        <v>0</v>
      </c>
      <c r="N57" s="18">
        <f t="shared" si="1"/>
        <v>1137593075.67431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777249266.71000004</v>
      </c>
      <c r="C58" s="16">
        <v>0</v>
      </c>
      <c r="D58" s="16">
        <v>15819619.38124226</v>
      </c>
      <c r="E58" s="16">
        <v>11502711.66</v>
      </c>
      <c r="F58" s="16">
        <v>2414262.27</v>
      </c>
      <c r="G58" s="16">
        <v>1180387.5900000001</v>
      </c>
      <c r="H58" s="16">
        <v>53033578.150000006</v>
      </c>
      <c r="I58" s="16">
        <v>8380906.1699999999</v>
      </c>
      <c r="J58" s="16">
        <v>107686094.77</v>
      </c>
      <c r="K58" s="16">
        <v>0</v>
      </c>
      <c r="L58" s="16">
        <v>0</v>
      </c>
      <c r="M58" s="16">
        <v>0</v>
      </c>
      <c r="N58" s="18">
        <f t="shared" si="1"/>
        <v>977266826.70124221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790604519.49999988</v>
      </c>
      <c r="C59" s="16">
        <v>0</v>
      </c>
      <c r="D59" s="16">
        <v>27537328.674966782</v>
      </c>
      <c r="E59" s="16">
        <v>11987249.639999999</v>
      </c>
      <c r="F59" s="16">
        <v>2351554.16</v>
      </c>
      <c r="G59" s="16">
        <v>1078378.79</v>
      </c>
      <c r="H59" s="16">
        <v>54153454.439999998</v>
      </c>
      <c r="I59" s="16">
        <v>8163220.2999999998</v>
      </c>
      <c r="J59" s="16">
        <v>120444042.39999996</v>
      </c>
      <c r="K59" s="16">
        <v>0</v>
      </c>
      <c r="L59" s="16">
        <v>0</v>
      </c>
      <c r="M59" s="16">
        <v>0</v>
      </c>
      <c r="N59" s="18">
        <f t="shared" si="1"/>
        <v>1016319747.9049665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5649139703.2600002</v>
      </c>
      <c r="C60" s="16">
        <v>0</v>
      </c>
      <c r="D60" s="16">
        <v>194372899.36776468</v>
      </c>
      <c r="E60" s="16">
        <v>129757949.95999999</v>
      </c>
      <c r="F60" s="16">
        <v>129355075.12</v>
      </c>
      <c r="G60" s="16">
        <v>55478216.829999998</v>
      </c>
      <c r="H60" s="16">
        <v>386505550.00999999</v>
      </c>
      <c r="I60" s="16">
        <v>449045143.17000002</v>
      </c>
      <c r="J60" s="16">
        <v>2013289622.5399997</v>
      </c>
      <c r="K60" s="16">
        <v>0</v>
      </c>
      <c r="L60" s="16">
        <v>0</v>
      </c>
      <c r="M60" s="16">
        <v>0</v>
      </c>
      <c r="N60" s="18">
        <f t="shared" si="1"/>
        <v>9006944160.2577648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1326586516.4600003</v>
      </c>
      <c r="C61" s="16">
        <v>0</v>
      </c>
      <c r="D61" s="16">
        <v>16367907.023986259</v>
      </c>
      <c r="E61" s="16">
        <v>20877250.59</v>
      </c>
      <c r="F61" s="16">
        <v>23092261.850000001</v>
      </c>
      <c r="G61" s="16">
        <v>6552944.3433185853</v>
      </c>
      <c r="H61" s="16">
        <v>90374984.850000009</v>
      </c>
      <c r="I61" s="16">
        <v>80162823.309999987</v>
      </c>
      <c r="J61" s="16">
        <v>498503777.3300001</v>
      </c>
      <c r="K61" s="16">
        <v>0</v>
      </c>
      <c r="L61" s="16">
        <v>0</v>
      </c>
      <c r="M61" s="16">
        <v>0</v>
      </c>
      <c r="N61" s="18">
        <f t="shared" si="1"/>
        <v>2062518465.7573051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6170100346.5400009</v>
      </c>
      <c r="C62" s="16">
        <v>0</v>
      </c>
      <c r="D62" s="16">
        <v>72234407.110000014</v>
      </c>
      <c r="E62" s="16">
        <v>150656873.38999999</v>
      </c>
      <c r="F62" s="16">
        <v>103542848.95</v>
      </c>
      <c r="G62" s="16">
        <v>0</v>
      </c>
      <c r="H62" s="16">
        <v>423068749.25999999</v>
      </c>
      <c r="I62" s="16">
        <v>359440195.05000001</v>
      </c>
      <c r="J62" s="16">
        <v>991310097.7299999</v>
      </c>
      <c r="K62" s="16">
        <v>0</v>
      </c>
      <c r="L62" s="16">
        <v>0</v>
      </c>
      <c r="M62" s="16">
        <v>0</v>
      </c>
      <c r="N62" s="18">
        <f t="shared" si="1"/>
        <v>8270353518.0300007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1086588656.77</v>
      </c>
      <c r="C63" s="16">
        <v>0</v>
      </c>
      <c r="D63" s="16">
        <v>31907478.757426038</v>
      </c>
      <c r="E63" s="16">
        <v>16068320.390000001</v>
      </c>
      <c r="F63" s="16">
        <v>3648828.2</v>
      </c>
      <c r="G63" s="16">
        <v>1879876.53</v>
      </c>
      <c r="H63" s="16">
        <v>74233546.150000006</v>
      </c>
      <c r="I63" s="16">
        <v>12666596.83</v>
      </c>
      <c r="J63" s="16">
        <v>133025755.92000002</v>
      </c>
      <c r="K63" s="16">
        <v>0</v>
      </c>
      <c r="L63" s="16">
        <v>0</v>
      </c>
      <c r="M63" s="16">
        <v>0</v>
      </c>
      <c r="N63" s="18">
        <f t="shared" si="1"/>
        <v>1360019059.5474262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1693313824.48</v>
      </c>
      <c r="C64" s="16">
        <v>0</v>
      </c>
      <c r="D64" s="16">
        <v>82990729.105179191</v>
      </c>
      <c r="E64" s="16">
        <v>27773254.640000001</v>
      </c>
      <c r="F64" s="16">
        <v>6678413.8099999996</v>
      </c>
      <c r="G64" s="16">
        <v>2929109.95</v>
      </c>
      <c r="H64" s="16">
        <v>115543576.02</v>
      </c>
      <c r="I64" s="16">
        <v>23183545.640000001</v>
      </c>
      <c r="J64" s="16">
        <v>281996311.76000005</v>
      </c>
      <c r="K64" s="16">
        <v>0</v>
      </c>
      <c r="L64" s="16">
        <v>0</v>
      </c>
      <c r="M64" s="16">
        <v>0</v>
      </c>
      <c r="N64" s="18">
        <f t="shared" si="1"/>
        <v>2234408765.4051795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887820181.46000004</v>
      </c>
      <c r="C65" s="16">
        <v>0</v>
      </c>
      <c r="D65" s="16">
        <v>25758027.829752021</v>
      </c>
      <c r="E65" s="16">
        <v>13115651.209999999</v>
      </c>
      <c r="F65" s="16">
        <v>1454044.32</v>
      </c>
      <c r="G65" s="16">
        <v>976369.98</v>
      </c>
      <c r="H65" s="16">
        <v>60721375.449999996</v>
      </c>
      <c r="I65" s="16">
        <v>5047591.22</v>
      </c>
      <c r="J65" s="16">
        <v>168199400.03000003</v>
      </c>
      <c r="K65" s="16">
        <v>0</v>
      </c>
      <c r="L65" s="16">
        <v>0</v>
      </c>
      <c r="M65" s="16">
        <v>0</v>
      </c>
      <c r="N65" s="18">
        <f t="shared" si="1"/>
        <v>1163092641.4997523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495704670.10000002</v>
      </c>
      <c r="C66" s="16">
        <v>0</v>
      </c>
      <c r="D66" s="16">
        <v>14035814.02578876</v>
      </c>
      <c r="E66" s="16">
        <v>7345952.9299999997</v>
      </c>
      <c r="F66" s="16">
        <v>1422690.26</v>
      </c>
      <c r="G66" s="16">
        <v>888933.87</v>
      </c>
      <c r="H66" s="16">
        <v>33944328.119999997</v>
      </c>
      <c r="I66" s="16">
        <v>4938748.28</v>
      </c>
      <c r="J66" s="16">
        <v>74664146.700000003</v>
      </c>
      <c r="K66" s="16">
        <v>0</v>
      </c>
      <c r="L66" s="16">
        <v>0</v>
      </c>
      <c r="M66" s="16">
        <v>0</v>
      </c>
      <c r="N66" s="18">
        <f t="shared" si="1"/>
        <v>632945284.28578877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2223874382.1399999</v>
      </c>
      <c r="C67" s="16">
        <v>0</v>
      </c>
      <c r="D67" s="16">
        <v>18229881.190000001</v>
      </c>
      <c r="E67" s="16">
        <v>51721003.110000007</v>
      </c>
      <c r="F67" s="16">
        <v>38228432.130000003</v>
      </c>
      <c r="G67" s="16">
        <v>18343540.220664512</v>
      </c>
      <c r="H67" s="16">
        <v>152241582.44999999</v>
      </c>
      <c r="I67" s="16">
        <v>132706751.3</v>
      </c>
      <c r="J67" s="16">
        <v>481068891.35000008</v>
      </c>
      <c r="K67" s="16">
        <v>0</v>
      </c>
      <c r="L67" s="16">
        <v>0</v>
      </c>
      <c r="M67" s="16">
        <v>0</v>
      </c>
      <c r="N67" s="18">
        <f t="shared" si="1"/>
        <v>3116414463.8906646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1391088420.53</v>
      </c>
      <c r="C68" s="16">
        <v>0</v>
      </c>
      <c r="D68" s="16">
        <v>23104783.350000001</v>
      </c>
      <c r="E68" s="16">
        <v>20928816.229999997</v>
      </c>
      <c r="F68" s="16">
        <v>33713448.149999999</v>
      </c>
      <c r="G68" s="16">
        <v>18609683.538051274</v>
      </c>
      <c r="H68" s="16">
        <v>95287348.389999986</v>
      </c>
      <c r="I68" s="16">
        <v>117033368.33000001</v>
      </c>
      <c r="J68" s="16">
        <v>404021192.26999992</v>
      </c>
      <c r="K68" s="16">
        <v>0</v>
      </c>
      <c r="L68" s="16">
        <v>0</v>
      </c>
      <c r="M68" s="16">
        <v>0</v>
      </c>
      <c r="N68" s="18">
        <f t="shared" si="1"/>
        <v>2103787060.7880511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4968524285.4099998</v>
      </c>
      <c r="C69" s="16">
        <v>0</v>
      </c>
      <c r="D69" s="16">
        <v>24492851.95065676</v>
      </c>
      <c r="E69" s="16">
        <v>74864542.510000005</v>
      </c>
      <c r="F69" s="16">
        <v>99498175.790000007</v>
      </c>
      <c r="G69" s="16">
        <v>21499213.455538623</v>
      </c>
      <c r="H69" s="16">
        <v>339790101.77000004</v>
      </c>
      <c r="I69" s="16">
        <v>345399456.13</v>
      </c>
      <c r="J69" s="16">
        <v>943459889.79999983</v>
      </c>
      <c r="K69" s="16">
        <v>0</v>
      </c>
      <c r="L69" s="16">
        <v>0</v>
      </c>
      <c r="M69" s="16">
        <v>0</v>
      </c>
      <c r="N69" s="18">
        <f t="shared" si="1"/>
        <v>6817528516.8161964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1031977573.55</v>
      </c>
      <c r="C70" s="16">
        <v>0</v>
      </c>
      <c r="D70" s="16">
        <v>53277420.068312317</v>
      </c>
      <c r="E70" s="16">
        <v>16433817.68</v>
      </c>
      <c r="F70" s="16">
        <v>22096770.59</v>
      </c>
      <c r="G70" s="16">
        <v>8627030.3000000007</v>
      </c>
      <c r="H70" s="16">
        <v>70600590.810000002</v>
      </c>
      <c r="I70" s="16">
        <v>76707060.060000002</v>
      </c>
      <c r="J70" s="16">
        <v>401028139.0199998</v>
      </c>
      <c r="K70" s="16">
        <v>0</v>
      </c>
      <c r="L70" s="16">
        <v>0</v>
      </c>
      <c r="M70" s="16">
        <v>0</v>
      </c>
      <c r="N70" s="18">
        <f t="shared" si="1"/>
        <v>1680748402.0783119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4020645135.3200002</v>
      </c>
      <c r="C71" s="16">
        <v>0</v>
      </c>
      <c r="D71" s="16">
        <v>17475729</v>
      </c>
      <c r="E71" s="16">
        <v>90906785.519999996</v>
      </c>
      <c r="F71" s="16">
        <v>13913362.109999999</v>
      </c>
      <c r="G71" s="16">
        <v>8379294.6299999999</v>
      </c>
      <c r="H71" s="16">
        <v>274994338.49000001</v>
      </c>
      <c r="I71" s="16">
        <v>48299053.420000002</v>
      </c>
      <c r="J71" s="16">
        <v>335162819.14000016</v>
      </c>
      <c r="K71" s="16">
        <v>0</v>
      </c>
      <c r="L71" s="16">
        <v>0</v>
      </c>
      <c r="M71" s="16">
        <v>0</v>
      </c>
      <c r="N71" s="18">
        <f t="shared" si="1"/>
        <v>4809776517.6300011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17741461615.409996</v>
      </c>
      <c r="C72" s="16">
        <v>0</v>
      </c>
      <c r="D72" s="16">
        <v>120080474.76495758</v>
      </c>
      <c r="E72" s="16">
        <v>411580898.48000002</v>
      </c>
      <c r="F72" s="16">
        <v>404839645.74000001</v>
      </c>
      <c r="G72" s="16">
        <v>0</v>
      </c>
      <c r="H72" s="16">
        <v>1216488887.5699999</v>
      </c>
      <c r="I72" s="16">
        <v>1405366400.96</v>
      </c>
      <c r="J72" s="16">
        <v>4910462037.1799994</v>
      </c>
      <c r="K72" s="16">
        <v>0</v>
      </c>
      <c r="L72" s="16">
        <v>0</v>
      </c>
      <c r="M72" s="16">
        <v>0</v>
      </c>
      <c r="N72" s="18">
        <f t="shared" ref="N72:N103" si="2">SUM(B72:M72)</f>
        <v>26210279960.104954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8213427578.6000004</v>
      </c>
      <c r="C73" s="16">
        <v>0</v>
      </c>
      <c r="D73" s="16">
        <v>194587769.65840414</v>
      </c>
      <c r="E73" s="16">
        <v>200260600.36000001</v>
      </c>
      <c r="F73" s="16">
        <v>150264310.87</v>
      </c>
      <c r="G73" s="16">
        <v>79932303.225159287</v>
      </c>
      <c r="H73" s="16">
        <v>561427369.08000004</v>
      </c>
      <c r="I73" s="16">
        <v>521629776.97000003</v>
      </c>
      <c r="J73" s="16">
        <v>2138963311.1599998</v>
      </c>
      <c r="K73" s="16">
        <v>0</v>
      </c>
      <c r="L73" s="16">
        <v>0</v>
      </c>
      <c r="M73" s="16">
        <v>0</v>
      </c>
      <c r="N73" s="18">
        <f t="shared" si="2"/>
        <v>12060493019.923563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4276351945.8400002</v>
      </c>
      <c r="C74" s="16">
        <v>0</v>
      </c>
      <c r="D74" s="16">
        <v>55684012.169999994</v>
      </c>
      <c r="E74" s="16">
        <v>98698370.019999996</v>
      </c>
      <c r="F74" s="16">
        <v>109096436.02</v>
      </c>
      <c r="G74" s="16">
        <v>124196793.87794244</v>
      </c>
      <c r="H74" s="16">
        <v>293219093.24000001</v>
      </c>
      <c r="I74" s="16">
        <v>378719000.31</v>
      </c>
      <c r="J74" s="16">
        <v>1147443605.9300001</v>
      </c>
      <c r="K74" s="16">
        <v>0</v>
      </c>
      <c r="L74" s="16">
        <v>0</v>
      </c>
      <c r="M74" s="16">
        <v>0</v>
      </c>
      <c r="N74" s="18">
        <f t="shared" si="2"/>
        <v>6483409257.4079437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724489406.63</v>
      </c>
      <c r="C75" s="16">
        <v>0</v>
      </c>
      <c r="D75" s="16">
        <v>26084990.654520169</v>
      </c>
      <c r="E75" s="16">
        <v>10890553.789999999</v>
      </c>
      <c r="F75" s="16">
        <v>1983144</v>
      </c>
      <c r="G75" s="16">
        <v>961797.3</v>
      </c>
      <c r="H75" s="16">
        <v>49585068.710000001</v>
      </c>
      <c r="I75" s="16">
        <v>6884315.7800000003</v>
      </c>
      <c r="J75" s="16">
        <v>129311372.24999999</v>
      </c>
      <c r="K75" s="16">
        <v>0</v>
      </c>
      <c r="L75" s="16">
        <v>0</v>
      </c>
      <c r="M75" s="16">
        <v>0</v>
      </c>
      <c r="N75" s="18">
        <f t="shared" si="2"/>
        <v>950190649.11452007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731735623.00999999</v>
      </c>
      <c r="C76" s="16">
        <v>0</v>
      </c>
      <c r="D76" s="16">
        <v>31534822.334645279</v>
      </c>
      <c r="E76" s="16">
        <v>10863865.559999999</v>
      </c>
      <c r="F76" s="16">
        <v>3570443.06</v>
      </c>
      <c r="G76" s="16">
        <v>2258766.38</v>
      </c>
      <c r="H76" s="16">
        <v>50049998.369999997</v>
      </c>
      <c r="I76" s="16">
        <v>12394489.49</v>
      </c>
      <c r="J76" s="16">
        <v>192020285.80000004</v>
      </c>
      <c r="K76" s="16">
        <v>0</v>
      </c>
      <c r="L76" s="16">
        <v>0</v>
      </c>
      <c r="M76" s="16">
        <v>0</v>
      </c>
      <c r="N76" s="18">
        <f t="shared" si="2"/>
        <v>1034428294.0046452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820197644.01999998</v>
      </c>
      <c r="C77" s="16">
        <v>0</v>
      </c>
      <c r="D77" s="16">
        <v>22107333.590855401</v>
      </c>
      <c r="E77" s="16">
        <v>12519483.99</v>
      </c>
      <c r="F77" s="16">
        <v>4193604.91</v>
      </c>
      <c r="G77" s="16">
        <v>1442695.95</v>
      </c>
      <c r="H77" s="16">
        <v>56211948.07</v>
      </c>
      <c r="I77" s="16">
        <v>14557742.859999999</v>
      </c>
      <c r="J77" s="16">
        <v>130475337.37000003</v>
      </c>
      <c r="K77" s="16">
        <v>0</v>
      </c>
      <c r="L77" s="16">
        <v>0</v>
      </c>
      <c r="M77" s="16">
        <v>0</v>
      </c>
      <c r="N77" s="18">
        <f t="shared" si="2"/>
        <v>1061705790.7608554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315236858.02999997</v>
      </c>
      <c r="C78" s="16">
        <v>0</v>
      </c>
      <c r="D78" s="16">
        <v>10336228.305909339</v>
      </c>
      <c r="E78" s="16">
        <v>4660164.2200000007</v>
      </c>
      <c r="F78" s="16">
        <v>1489317.63</v>
      </c>
      <c r="G78" s="16">
        <v>510044.02</v>
      </c>
      <c r="H78" s="16">
        <v>21614995.010000002</v>
      </c>
      <c r="I78" s="16">
        <v>5170039.5299999993</v>
      </c>
      <c r="J78" s="16">
        <v>55954051.510000005</v>
      </c>
      <c r="K78" s="16">
        <v>0</v>
      </c>
      <c r="L78" s="16">
        <v>0</v>
      </c>
      <c r="M78" s="16">
        <v>0</v>
      </c>
      <c r="N78" s="18">
        <f t="shared" si="2"/>
        <v>414971698.25590926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1622147517</v>
      </c>
      <c r="C79" s="16">
        <v>0</v>
      </c>
      <c r="D79" s="16">
        <v>70289393.245851994</v>
      </c>
      <c r="E79" s="16">
        <v>24547676.309999995</v>
      </c>
      <c r="F79" s="16">
        <v>7485780.7400000002</v>
      </c>
      <c r="G79" s="16">
        <v>3788898.44</v>
      </c>
      <c r="H79" s="16">
        <v>110933204.43000001</v>
      </c>
      <c r="I79" s="16">
        <v>25986251.280000001</v>
      </c>
      <c r="J79" s="16">
        <v>303105767.72000003</v>
      </c>
      <c r="K79" s="16">
        <v>0</v>
      </c>
      <c r="L79" s="16">
        <v>0</v>
      </c>
      <c r="M79" s="16">
        <v>0</v>
      </c>
      <c r="N79" s="18">
        <f t="shared" si="2"/>
        <v>2168284489.1658521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865076582.62</v>
      </c>
      <c r="C80" s="16">
        <v>0</v>
      </c>
      <c r="D80" s="16">
        <v>45345694.107587919</v>
      </c>
      <c r="E80" s="16">
        <v>12808895.060000001</v>
      </c>
      <c r="F80" s="16">
        <v>2422100.7799999998</v>
      </c>
      <c r="G80" s="16">
        <v>1515559.38</v>
      </c>
      <c r="H80" s="16">
        <v>59151211.450000003</v>
      </c>
      <c r="I80" s="16">
        <v>8408116.9000000004</v>
      </c>
      <c r="J80" s="16">
        <v>195892753.24999997</v>
      </c>
      <c r="K80" s="16">
        <v>0</v>
      </c>
      <c r="L80" s="16">
        <v>0</v>
      </c>
      <c r="M80" s="16">
        <v>0</v>
      </c>
      <c r="N80" s="18">
        <f t="shared" si="2"/>
        <v>1190620913.5475879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485708065.03000009</v>
      </c>
      <c r="C81" s="16">
        <v>0</v>
      </c>
      <c r="D81" s="16">
        <v>25916949.372979399</v>
      </c>
      <c r="E81" s="16">
        <v>7532451.2199999988</v>
      </c>
      <c r="F81" s="16">
        <v>6290407.3700000001</v>
      </c>
      <c r="G81" s="16">
        <v>3468299.34</v>
      </c>
      <c r="H81" s="16">
        <v>33201390.41</v>
      </c>
      <c r="I81" s="16">
        <v>21836614.300000001</v>
      </c>
      <c r="J81" s="16">
        <v>229031214.88999999</v>
      </c>
      <c r="K81" s="16">
        <v>0</v>
      </c>
      <c r="L81" s="16">
        <v>0</v>
      </c>
      <c r="M81" s="16">
        <v>0</v>
      </c>
      <c r="N81" s="18">
        <f t="shared" si="2"/>
        <v>812985391.93297946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7888590806.0699997</v>
      </c>
      <c r="C82" s="16">
        <v>0</v>
      </c>
      <c r="D82" s="16">
        <v>66568450.400000006</v>
      </c>
      <c r="E82" s="16">
        <v>181808701.34999996</v>
      </c>
      <c r="F82" s="16">
        <v>181293068.02000001</v>
      </c>
      <c r="G82" s="16">
        <v>132982641.48672017</v>
      </c>
      <c r="H82" s="16">
        <v>538925421.65999997</v>
      </c>
      <c r="I82" s="16">
        <v>629343468.80000007</v>
      </c>
      <c r="J82" s="16">
        <v>1901154932.6100006</v>
      </c>
      <c r="K82" s="16">
        <v>0</v>
      </c>
      <c r="L82" s="16">
        <v>0</v>
      </c>
      <c r="M82" s="16">
        <v>0</v>
      </c>
      <c r="N82" s="18">
        <f t="shared" si="2"/>
        <v>11520667490.396721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2039307433.0799999</v>
      </c>
      <c r="C83" s="16">
        <v>0</v>
      </c>
      <c r="D83" s="16">
        <v>29740490.835800257</v>
      </c>
      <c r="E83" s="16">
        <v>48069202.800000004</v>
      </c>
      <c r="F83" s="16">
        <v>20074434.010000002</v>
      </c>
      <c r="G83" s="16">
        <v>9224510.4399999995</v>
      </c>
      <c r="H83" s="16">
        <v>139830392.68000001</v>
      </c>
      <c r="I83" s="16">
        <v>69686690.599999994</v>
      </c>
      <c r="J83" s="16">
        <v>411469866.38999993</v>
      </c>
      <c r="K83" s="16">
        <v>0</v>
      </c>
      <c r="L83" s="16">
        <v>0</v>
      </c>
      <c r="M83" s="16">
        <v>0</v>
      </c>
      <c r="N83" s="18">
        <f t="shared" si="2"/>
        <v>2767403020.8357997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857407229.54999995</v>
      </c>
      <c r="C84" s="16">
        <v>0</v>
      </c>
      <c r="D84" s="16">
        <v>20708511.498122901</v>
      </c>
      <c r="E84" s="16">
        <v>12819689.959999997</v>
      </c>
      <c r="F84" s="16">
        <v>4028996.12</v>
      </c>
      <c r="G84" s="16">
        <v>961917.14953723247</v>
      </c>
      <c r="H84" s="16">
        <v>58549479.010000005</v>
      </c>
      <c r="I84" s="16">
        <v>13986317.450000001</v>
      </c>
      <c r="J84" s="16">
        <v>169202939.34999996</v>
      </c>
      <c r="K84" s="16">
        <v>0</v>
      </c>
      <c r="L84" s="16">
        <v>0</v>
      </c>
      <c r="M84" s="16">
        <v>0</v>
      </c>
      <c r="N84" s="18">
        <f t="shared" si="2"/>
        <v>1137665080.0876601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686169087.21000004</v>
      </c>
      <c r="C85" s="16">
        <v>0</v>
      </c>
      <c r="D85" s="16">
        <v>22702197.53278302</v>
      </c>
      <c r="E85" s="16">
        <v>10418460.58</v>
      </c>
      <c r="F85" s="16">
        <v>1904758.87</v>
      </c>
      <c r="G85" s="16">
        <v>947224.61</v>
      </c>
      <c r="H85" s="16">
        <v>46922315.039999999</v>
      </c>
      <c r="I85" s="16">
        <v>6612208.4399999995</v>
      </c>
      <c r="J85" s="16">
        <v>99746189.850000024</v>
      </c>
      <c r="K85" s="16">
        <v>0</v>
      </c>
      <c r="L85" s="16">
        <v>0</v>
      </c>
      <c r="M85" s="16">
        <v>0</v>
      </c>
      <c r="N85" s="18">
        <f t="shared" si="2"/>
        <v>875422442.13278317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8573754943.6900005</v>
      </c>
      <c r="C86" s="16">
        <v>0</v>
      </c>
      <c r="D86" s="16">
        <v>22521523.309999999</v>
      </c>
      <c r="E86" s="16">
        <v>196002603.84000003</v>
      </c>
      <c r="F86" s="16">
        <v>113748594.01000001</v>
      </c>
      <c r="G86" s="16">
        <v>40842717.324387982</v>
      </c>
      <c r="H86" s="16">
        <v>587060862.02999997</v>
      </c>
      <c r="I86" s="16">
        <v>394868571.13</v>
      </c>
      <c r="J86" s="16">
        <v>839333607.80000007</v>
      </c>
      <c r="K86" s="16">
        <v>0</v>
      </c>
      <c r="L86" s="16">
        <v>0</v>
      </c>
      <c r="M86" s="16">
        <v>0</v>
      </c>
      <c r="N86" s="18">
        <f t="shared" si="2"/>
        <v>10768133423.134388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1335921970.3899999</v>
      </c>
      <c r="C87" s="16">
        <v>0</v>
      </c>
      <c r="D87" s="16">
        <v>24021171.740723319</v>
      </c>
      <c r="E87" s="16">
        <v>19817256.930000003</v>
      </c>
      <c r="F87" s="16">
        <v>3229467.71</v>
      </c>
      <c r="G87" s="16">
        <v>2754237.71</v>
      </c>
      <c r="H87" s="16">
        <v>91260937.38000001</v>
      </c>
      <c r="I87" s="16">
        <v>11210822.550000001</v>
      </c>
      <c r="J87" s="16">
        <v>189789547.82000002</v>
      </c>
      <c r="K87" s="16">
        <v>0</v>
      </c>
      <c r="L87" s="16">
        <v>0</v>
      </c>
      <c r="M87" s="16">
        <v>0</v>
      </c>
      <c r="N87" s="18">
        <f t="shared" si="2"/>
        <v>1678005412.2307234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1227096494.5999999</v>
      </c>
      <c r="C88" s="16">
        <v>0</v>
      </c>
      <c r="D88" s="16">
        <v>11939723.838473</v>
      </c>
      <c r="E88" s="16">
        <v>18502928.810000002</v>
      </c>
      <c r="F88" s="16">
        <v>15849475.039999999</v>
      </c>
      <c r="G88" s="16">
        <v>5566766.1699999999</v>
      </c>
      <c r="H88" s="16">
        <v>83357186.730000004</v>
      </c>
      <c r="I88" s="16">
        <v>55020104.799999997</v>
      </c>
      <c r="J88" s="16">
        <v>288906330.04999995</v>
      </c>
      <c r="K88" s="16">
        <v>0</v>
      </c>
      <c r="L88" s="16">
        <v>0</v>
      </c>
      <c r="M88" s="16">
        <v>0</v>
      </c>
      <c r="N88" s="18">
        <f t="shared" si="2"/>
        <v>1706239010.0384729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1736209309.6999998</v>
      </c>
      <c r="C89" s="16">
        <v>0</v>
      </c>
      <c r="D89" s="16">
        <v>24722838.252797998</v>
      </c>
      <c r="E89" s="16">
        <v>29257145.859999999</v>
      </c>
      <c r="F89" s="16">
        <v>13329392.83</v>
      </c>
      <c r="G89" s="16">
        <v>6062237.5099999998</v>
      </c>
      <c r="H89" s="16">
        <v>118758232.95</v>
      </c>
      <c r="I89" s="16">
        <v>46271853.719999999</v>
      </c>
      <c r="J89" s="16">
        <v>296690493.17000014</v>
      </c>
      <c r="K89" s="16">
        <v>0</v>
      </c>
      <c r="L89" s="16">
        <v>0</v>
      </c>
      <c r="M89" s="16">
        <v>0</v>
      </c>
      <c r="N89" s="18">
        <f t="shared" si="2"/>
        <v>2271301503.9927979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7885443726.7299995</v>
      </c>
      <c r="C90" s="16">
        <v>0</v>
      </c>
      <c r="D90" s="16">
        <v>35385899.818714172</v>
      </c>
      <c r="E90" s="16">
        <v>182124910.31999999</v>
      </c>
      <c r="F90" s="16">
        <v>180810999.41</v>
      </c>
      <c r="G90" s="16">
        <v>53209013.789111957</v>
      </c>
      <c r="H90" s="16">
        <v>540120398.10000002</v>
      </c>
      <c r="I90" s="16">
        <v>627670008.63999999</v>
      </c>
      <c r="J90" s="16">
        <v>1729520430.1899998</v>
      </c>
      <c r="K90" s="16">
        <v>0</v>
      </c>
      <c r="L90" s="16">
        <v>0</v>
      </c>
      <c r="M90" s="16">
        <v>0</v>
      </c>
      <c r="N90" s="18">
        <f t="shared" si="2"/>
        <v>11234285386.997826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364267825.74000001</v>
      </c>
      <c r="C91" s="16">
        <v>0</v>
      </c>
      <c r="D91" s="16">
        <v>30951522.183536164</v>
      </c>
      <c r="E91" s="16">
        <v>5501535</v>
      </c>
      <c r="F91" s="16">
        <v>4197524.17</v>
      </c>
      <c r="G91" s="16">
        <v>2069321.46</v>
      </c>
      <c r="H91" s="16">
        <v>24884315.27</v>
      </c>
      <c r="I91" s="16">
        <v>14571348.23</v>
      </c>
      <c r="J91" s="16">
        <v>133382322.68999998</v>
      </c>
      <c r="K91" s="16">
        <v>0</v>
      </c>
      <c r="L91" s="16">
        <v>0</v>
      </c>
      <c r="M91" s="16">
        <v>0</v>
      </c>
      <c r="N91" s="18">
        <f t="shared" si="2"/>
        <v>579825714.74353611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505040124.02999997</v>
      </c>
      <c r="C92" s="16">
        <v>0</v>
      </c>
      <c r="D92" s="16">
        <v>977579.33999999985</v>
      </c>
      <c r="E92" s="16">
        <v>7478696.7699999996</v>
      </c>
      <c r="F92" s="16">
        <v>897509.83</v>
      </c>
      <c r="G92" s="16">
        <v>699488.94</v>
      </c>
      <c r="H92" s="16">
        <v>34614891.390000001</v>
      </c>
      <c r="I92" s="16">
        <v>3115629.08</v>
      </c>
      <c r="J92" s="16">
        <v>51864365.199999981</v>
      </c>
      <c r="K92" s="16">
        <v>0</v>
      </c>
      <c r="L92" s="16">
        <v>0</v>
      </c>
      <c r="M92" s="16">
        <v>0</v>
      </c>
      <c r="N92" s="18">
        <f t="shared" si="2"/>
        <v>604688284.57999992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5713430039.0199995</v>
      </c>
      <c r="C93" s="16">
        <v>0</v>
      </c>
      <c r="D93" s="16">
        <v>34650112.682297379</v>
      </c>
      <c r="E93" s="16">
        <v>131950993.52000001</v>
      </c>
      <c r="F93" s="16">
        <v>146541016.78</v>
      </c>
      <c r="G93" s="16">
        <v>27203011.119248349</v>
      </c>
      <c r="H93" s="16">
        <v>390050839.13999999</v>
      </c>
      <c r="I93" s="16">
        <v>508704678.17000002</v>
      </c>
      <c r="J93" s="16">
        <v>1785442865.0099998</v>
      </c>
      <c r="K93" s="16">
        <v>0</v>
      </c>
      <c r="L93" s="16">
        <v>0</v>
      </c>
      <c r="M93" s="16">
        <v>0</v>
      </c>
      <c r="N93" s="18">
        <f t="shared" si="2"/>
        <v>8737973555.4415455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2938129169.4299994</v>
      </c>
      <c r="C94" s="16">
        <v>0</v>
      </c>
      <c r="D94" s="16">
        <v>53379900.380000003</v>
      </c>
      <c r="E94" s="16">
        <v>69032999.200000003</v>
      </c>
      <c r="F94" s="16">
        <v>66262876.990000002</v>
      </c>
      <c r="G94" s="16">
        <v>32561801.325045433</v>
      </c>
      <c r="H94" s="16">
        <v>201460349.89000002</v>
      </c>
      <c r="I94" s="16">
        <v>230025942.59999999</v>
      </c>
      <c r="J94" s="16">
        <v>843240033.99999964</v>
      </c>
      <c r="K94" s="16">
        <v>0</v>
      </c>
      <c r="L94" s="16">
        <v>0</v>
      </c>
      <c r="M94" s="16">
        <v>0</v>
      </c>
      <c r="N94" s="18">
        <f t="shared" si="2"/>
        <v>4434093073.8150444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597151699.2700001</v>
      </c>
      <c r="C95" s="16">
        <v>0</v>
      </c>
      <c r="D95" s="16">
        <v>20764141.921625778</v>
      </c>
      <c r="E95" s="16">
        <v>9026800.2699999996</v>
      </c>
      <c r="F95" s="16">
        <v>3249063.99</v>
      </c>
      <c r="G95" s="16">
        <v>1661286.24</v>
      </c>
      <c r="H95" s="16">
        <v>40781987.859999999</v>
      </c>
      <c r="I95" s="16">
        <v>11278849.380000001</v>
      </c>
      <c r="J95" s="16">
        <v>134778729.56</v>
      </c>
      <c r="K95" s="16">
        <v>0</v>
      </c>
      <c r="L95" s="16">
        <v>0</v>
      </c>
      <c r="M95" s="16">
        <v>0</v>
      </c>
      <c r="N95" s="18">
        <f t="shared" si="2"/>
        <v>818692558.49162579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1838343936.0700002</v>
      </c>
      <c r="C96" s="16">
        <v>0</v>
      </c>
      <c r="D96" s="16">
        <v>55221072.981062055</v>
      </c>
      <c r="E96" s="16">
        <v>41512944.909999996</v>
      </c>
      <c r="F96" s="16">
        <v>18208867.710000001</v>
      </c>
      <c r="G96" s="16">
        <v>8495876.1199999992</v>
      </c>
      <c r="H96" s="16">
        <v>125620440.16</v>
      </c>
      <c r="I96" s="16">
        <v>63210535.829999998</v>
      </c>
      <c r="J96" s="16">
        <v>456734526.04000002</v>
      </c>
      <c r="K96" s="16">
        <v>0</v>
      </c>
      <c r="L96" s="16">
        <v>0</v>
      </c>
      <c r="M96" s="16">
        <v>0</v>
      </c>
      <c r="N96" s="18">
        <f t="shared" si="2"/>
        <v>2607348199.8210621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933228040.98000002</v>
      </c>
      <c r="C97" s="16">
        <v>0</v>
      </c>
      <c r="D97" s="16">
        <v>73049985.842922032</v>
      </c>
      <c r="E97" s="16">
        <v>15088704.229999997</v>
      </c>
      <c r="F97" s="16">
        <v>8406806.1199999992</v>
      </c>
      <c r="G97" s="16">
        <v>4371805.8899999997</v>
      </c>
      <c r="H97" s="16">
        <v>63839349.369999997</v>
      </c>
      <c r="I97" s="16">
        <v>29183512.57</v>
      </c>
      <c r="J97" s="16">
        <v>310403969.55000007</v>
      </c>
      <c r="K97" s="16">
        <v>0</v>
      </c>
      <c r="L97" s="16">
        <v>0</v>
      </c>
      <c r="M97" s="16">
        <v>0</v>
      </c>
      <c r="N97" s="18">
        <f t="shared" si="2"/>
        <v>1437572174.5529218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2685146301.5599999</v>
      </c>
      <c r="C98" s="16">
        <v>0</v>
      </c>
      <c r="D98" s="16">
        <v>71683956.013159722</v>
      </c>
      <c r="E98" s="16">
        <v>60630494.580000006</v>
      </c>
      <c r="F98" s="16">
        <v>19549253.579999998</v>
      </c>
      <c r="G98" s="16">
        <v>10463188.77</v>
      </c>
      <c r="H98" s="16">
        <v>183503371.57999998</v>
      </c>
      <c r="I98" s="16">
        <v>67863571.399999991</v>
      </c>
      <c r="J98" s="16">
        <v>598470113.59999979</v>
      </c>
      <c r="K98" s="16">
        <v>0</v>
      </c>
      <c r="L98" s="16">
        <v>0</v>
      </c>
      <c r="M98" s="16">
        <v>0</v>
      </c>
      <c r="N98" s="18">
        <f t="shared" si="2"/>
        <v>3697310251.0831594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1904511941.0099998</v>
      </c>
      <c r="C99" s="16">
        <v>0</v>
      </c>
      <c r="D99" s="16">
        <v>56774068.178578146</v>
      </c>
      <c r="E99" s="16">
        <v>28253726.239999998</v>
      </c>
      <c r="F99" s="16">
        <v>7246706.0700000003</v>
      </c>
      <c r="G99" s="16">
        <v>3133127.56</v>
      </c>
      <c r="H99" s="16">
        <v>130132668.13</v>
      </c>
      <c r="I99" s="16">
        <v>25156323.890000001</v>
      </c>
      <c r="J99" s="16">
        <v>392430137.13999987</v>
      </c>
      <c r="K99" s="16">
        <v>0</v>
      </c>
      <c r="L99" s="16">
        <v>0</v>
      </c>
      <c r="M99" s="16">
        <v>0</v>
      </c>
      <c r="N99" s="18">
        <f t="shared" si="2"/>
        <v>2547638698.2185774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2012226682.8799999</v>
      </c>
      <c r="C100" s="16">
        <v>0</v>
      </c>
      <c r="D100" s="16">
        <v>52798445.449970178</v>
      </c>
      <c r="E100" s="16">
        <v>29879714.34</v>
      </c>
      <c r="F100" s="16">
        <v>8136377.3899999997</v>
      </c>
      <c r="G100" s="16">
        <v>3730607.7</v>
      </c>
      <c r="H100" s="16">
        <v>137690507.55000001</v>
      </c>
      <c r="I100" s="16">
        <v>28244742.23</v>
      </c>
      <c r="J100" s="16">
        <v>303470531.47000003</v>
      </c>
      <c r="K100" s="16">
        <v>0</v>
      </c>
      <c r="L100" s="16">
        <v>0</v>
      </c>
      <c r="M100" s="16">
        <v>0</v>
      </c>
      <c r="N100" s="18">
        <f t="shared" si="2"/>
        <v>2576177609.0099707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412320289.75</v>
      </c>
      <c r="C101" s="16">
        <v>0</v>
      </c>
      <c r="D101" s="16">
        <v>16002290.670460379</v>
      </c>
      <c r="E101" s="16">
        <v>6128228.9699999997</v>
      </c>
      <c r="F101" s="16">
        <v>971975.71</v>
      </c>
      <c r="G101" s="16">
        <v>597480.14</v>
      </c>
      <c r="H101" s="16">
        <v>28213939.449999999</v>
      </c>
      <c r="I101" s="16">
        <v>3374131.06</v>
      </c>
      <c r="J101" s="16">
        <v>70037561.030000001</v>
      </c>
      <c r="K101" s="16">
        <v>0</v>
      </c>
      <c r="L101" s="16">
        <v>0</v>
      </c>
      <c r="M101" s="16">
        <v>0</v>
      </c>
      <c r="N101" s="18">
        <f t="shared" si="2"/>
        <v>537645896.78046036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1142680718.48</v>
      </c>
      <c r="C102" s="16">
        <v>0</v>
      </c>
      <c r="D102" s="16">
        <v>65633385.793632679</v>
      </c>
      <c r="E102" s="16">
        <v>29372377.030000001</v>
      </c>
      <c r="F102" s="16">
        <v>18820271.789999999</v>
      </c>
      <c r="G102" s="16">
        <v>9588827.5999999996</v>
      </c>
      <c r="H102" s="16">
        <v>78158828.579999998</v>
      </c>
      <c r="I102" s="16">
        <v>65332973.109999999</v>
      </c>
      <c r="J102" s="16">
        <v>451073369.74000007</v>
      </c>
      <c r="K102" s="16">
        <v>0</v>
      </c>
      <c r="L102" s="16">
        <v>0</v>
      </c>
      <c r="M102" s="16">
        <v>0</v>
      </c>
      <c r="N102" s="18">
        <f t="shared" si="2"/>
        <v>1860660752.1236324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424141671.94000006</v>
      </c>
      <c r="C103" s="16">
        <v>0</v>
      </c>
      <c r="D103" s="16">
        <v>29566549.688333038</v>
      </c>
      <c r="E103" s="16">
        <v>6309599.0600000005</v>
      </c>
      <c r="F103" s="16">
        <v>466391.57</v>
      </c>
      <c r="G103" s="16">
        <v>378889.84</v>
      </c>
      <c r="H103" s="16">
        <v>28991423.689999998</v>
      </c>
      <c r="I103" s="16">
        <v>1619038.69</v>
      </c>
      <c r="J103" s="16">
        <v>99004952.49000001</v>
      </c>
      <c r="K103" s="16">
        <v>0</v>
      </c>
      <c r="L103" s="16">
        <v>0</v>
      </c>
      <c r="M103" s="16">
        <v>0</v>
      </c>
      <c r="N103" s="18">
        <f t="shared" si="2"/>
        <v>590478516.96833301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6359136677.2600002</v>
      </c>
      <c r="C104" s="16">
        <v>0</v>
      </c>
      <c r="D104" s="16">
        <v>51471251.458532758</v>
      </c>
      <c r="E104" s="16">
        <v>145436595.69000003</v>
      </c>
      <c r="F104" s="16">
        <v>95578918.859999999</v>
      </c>
      <c r="G104" s="16">
        <v>18631671.082577147</v>
      </c>
      <c r="H104" s="16">
        <v>434421697.80000001</v>
      </c>
      <c r="I104" s="16">
        <v>331794088.97000003</v>
      </c>
      <c r="J104" s="16">
        <v>1095432281.3</v>
      </c>
      <c r="K104" s="16">
        <v>0</v>
      </c>
      <c r="L104" s="16">
        <v>0</v>
      </c>
      <c r="M104" s="16">
        <v>0</v>
      </c>
      <c r="N104" s="18">
        <f t="shared" ref="N104:N135" si="3">SUM(B104:M104)</f>
        <v>8531903182.4211092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1089947304.5</v>
      </c>
      <c r="C105" s="16">
        <v>0</v>
      </c>
      <c r="D105" s="16">
        <v>10390304.899999999</v>
      </c>
      <c r="E105" s="16">
        <v>27488282.109999999</v>
      </c>
      <c r="F105" s="16">
        <v>4119139.03</v>
      </c>
      <c r="G105" s="16">
        <v>3278854.42</v>
      </c>
      <c r="H105" s="16">
        <v>74581291.859999999</v>
      </c>
      <c r="I105" s="16">
        <v>14299240.890000001</v>
      </c>
      <c r="J105" s="16">
        <v>143048853.92000002</v>
      </c>
      <c r="K105" s="16">
        <v>0</v>
      </c>
      <c r="L105" s="16">
        <v>0</v>
      </c>
      <c r="M105" s="16">
        <v>0</v>
      </c>
      <c r="N105" s="18">
        <f t="shared" si="3"/>
        <v>1367153271.6300001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1162383022.1500001</v>
      </c>
      <c r="C106" s="16">
        <v>0</v>
      </c>
      <c r="D106" s="16">
        <v>5463807.3100000005</v>
      </c>
      <c r="E106" s="16">
        <v>17861128.640000001</v>
      </c>
      <c r="F106" s="16">
        <v>29186706.390000001</v>
      </c>
      <c r="G106" s="16">
        <v>10489973.348505961</v>
      </c>
      <c r="H106" s="16">
        <v>79403445.930000007</v>
      </c>
      <c r="I106" s="16">
        <v>101319169.25</v>
      </c>
      <c r="J106" s="16">
        <v>375959562.32999998</v>
      </c>
      <c r="K106" s="16">
        <v>0</v>
      </c>
      <c r="L106" s="16">
        <v>0</v>
      </c>
      <c r="M106" s="16">
        <v>0</v>
      </c>
      <c r="N106" s="18">
        <f t="shared" si="3"/>
        <v>1782066815.3485062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1560237325.2800002</v>
      </c>
      <c r="C107" s="16">
        <v>0</v>
      </c>
      <c r="D107" s="16">
        <v>37575316.821260706</v>
      </c>
      <c r="E107" s="16">
        <v>23205391.550000001</v>
      </c>
      <c r="F107" s="16">
        <v>1622572.37</v>
      </c>
      <c r="G107" s="16">
        <v>1384405.2</v>
      </c>
      <c r="H107" s="16">
        <v>106733574.12</v>
      </c>
      <c r="I107" s="16">
        <v>5632622</v>
      </c>
      <c r="J107" s="16">
        <v>174180822.42999992</v>
      </c>
      <c r="K107" s="16">
        <v>0</v>
      </c>
      <c r="L107" s="16">
        <v>0</v>
      </c>
      <c r="M107" s="16">
        <v>0</v>
      </c>
      <c r="N107" s="18">
        <f t="shared" si="3"/>
        <v>1910572029.7712607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570229625.28999996</v>
      </c>
      <c r="C108" s="16">
        <v>0</v>
      </c>
      <c r="D108" s="16">
        <v>11510295.554329539</v>
      </c>
      <c r="E108" s="16">
        <v>8497641.75</v>
      </c>
      <c r="F108" s="16">
        <v>1646087.91</v>
      </c>
      <c r="G108" s="16">
        <v>1020088.04</v>
      </c>
      <c r="H108" s="16">
        <v>38955924.789999999</v>
      </c>
      <c r="I108" s="16">
        <v>5714254.2000000002</v>
      </c>
      <c r="J108" s="16">
        <v>92918726.440000013</v>
      </c>
      <c r="K108" s="16">
        <v>0</v>
      </c>
      <c r="L108" s="16">
        <v>0</v>
      </c>
      <c r="M108" s="16">
        <v>0</v>
      </c>
      <c r="N108" s="18">
        <f t="shared" si="3"/>
        <v>730492643.97432947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5224627786.5999994</v>
      </c>
      <c r="C109" s="16">
        <v>0</v>
      </c>
      <c r="D109" s="16">
        <v>63108057.807025291</v>
      </c>
      <c r="E109" s="16">
        <v>121864221.73</v>
      </c>
      <c r="F109" s="16">
        <v>168065575.86000001</v>
      </c>
      <c r="G109" s="16">
        <v>84124009.876626462</v>
      </c>
      <c r="H109" s="16">
        <v>357697892.57999998</v>
      </c>
      <c r="I109" s="16">
        <v>583425354.62</v>
      </c>
      <c r="J109" s="16">
        <v>1695374330.7099996</v>
      </c>
      <c r="K109" s="16">
        <v>0</v>
      </c>
      <c r="L109" s="16">
        <v>0</v>
      </c>
      <c r="M109" s="16">
        <v>0</v>
      </c>
      <c r="N109" s="18">
        <f t="shared" si="3"/>
        <v>8298287229.7836494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604450807.73000002</v>
      </c>
      <c r="C110" s="16">
        <v>0</v>
      </c>
      <c r="D110" s="16">
        <v>26064256.777352512</v>
      </c>
      <c r="E110" s="16">
        <v>14398558.17</v>
      </c>
      <c r="F110" s="16">
        <v>6423662.1100000003</v>
      </c>
      <c r="G110" s="16">
        <v>3307999.79</v>
      </c>
      <c r="H110" s="16">
        <v>41365344.450000003</v>
      </c>
      <c r="I110" s="16">
        <v>22299196.77</v>
      </c>
      <c r="J110" s="16">
        <v>196442533.54999995</v>
      </c>
      <c r="K110" s="16">
        <v>0</v>
      </c>
      <c r="L110" s="16">
        <v>0</v>
      </c>
      <c r="M110" s="16">
        <v>0</v>
      </c>
      <c r="N110" s="18">
        <f t="shared" si="3"/>
        <v>914752359.3473525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721633233.75999999</v>
      </c>
      <c r="C111" s="16">
        <v>0</v>
      </c>
      <c r="D111" s="16">
        <v>26945780.661614284</v>
      </c>
      <c r="E111" s="16">
        <v>10674991.060000001</v>
      </c>
      <c r="F111" s="16">
        <v>2237895.7000000002</v>
      </c>
      <c r="G111" s="16">
        <v>1384405.2</v>
      </c>
      <c r="H111" s="16">
        <v>49303667.82</v>
      </c>
      <c r="I111" s="16">
        <v>7768664.6499999994</v>
      </c>
      <c r="J111" s="16">
        <v>153039749.73000002</v>
      </c>
      <c r="K111" s="16">
        <v>0</v>
      </c>
      <c r="L111" s="16">
        <v>0</v>
      </c>
      <c r="M111" s="16">
        <v>0</v>
      </c>
      <c r="N111" s="18">
        <f t="shared" si="3"/>
        <v>972988388.58161438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1038668422.98</v>
      </c>
      <c r="C112" s="16">
        <v>0</v>
      </c>
      <c r="D112" s="16">
        <v>40690590.11675778</v>
      </c>
      <c r="E112" s="16">
        <v>15743825.889999999</v>
      </c>
      <c r="F112" s="16">
        <v>2719964.31</v>
      </c>
      <c r="G112" s="16">
        <v>1646713.55</v>
      </c>
      <c r="H112" s="16">
        <v>71020252.929999992</v>
      </c>
      <c r="I112" s="16">
        <v>9442124.8099999987</v>
      </c>
      <c r="J112" s="16">
        <v>160537020.00000003</v>
      </c>
      <c r="K112" s="16">
        <v>0</v>
      </c>
      <c r="L112" s="16">
        <v>0</v>
      </c>
      <c r="M112" s="16">
        <v>0</v>
      </c>
      <c r="N112" s="18">
        <f t="shared" si="3"/>
        <v>1340468914.5867579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822154651.3499999</v>
      </c>
      <c r="C113" s="16">
        <v>0</v>
      </c>
      <c r="D113" s="16">
        <v>50027152.767824396</v>
      </c>
      <c r="E113" s="16">
        <v>12808376.92</v>
      </c>
      <c r="F113" s="16">
        <v>3833033.28</v>
      </c>
      <c r="G113" s="16">
        <v>2127612.2000000002</v>
      </c>
      <c r="H113" s="16">
        <v>56215552.920000002</v>
      </c>
      <c r="I113" s="16">
        <v>13306049.09</v>
      </c>
      <c r="J113" s="16">
        <v>156778724.19</v>
      </c>
      <c r="K113" s="16">
        <v>0</v>
      </c>
      <c r="L113" s="16">
        <v>0</v>
      </c>
      <c r="M113" s="16">
        <v>0</v>
      </c>
      <c r="N113" s="18">
        <f t="shared" si="3"/>
        <v>1117251152.7178242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503162454.81999993</v>
      </c>
      <c r="C114" s="16">
        <v>0</v>
      </c>
      <c r="D114" s="16">
        <v>21455300.924733642</v>
      </c>
      <c r="E114" s="16">
        <v>7458271.4100000001</v>
      </c>
      <c r="F114" s="16">
        <v>2320200.1</v>
      </c>
      <c r="G114" s="16">
        <v>1165814.9099999999</v>
      </c>
      <c r="H114" s="16">
        <v>34422503.5</v>
      </c>
      <c r="I114" s="16">
        <v>8054377.3599999994</v>
      </c>
      <c r="J114" s="16">
        <v>119763696.61</v>
      </c>
      <c r="K114" s="16">
        <v>0</v>
      </c>
      <c r="L114" s="16">
        <v>0</v>
      </c>
      <c r="M114" s="16">
        <v>0</v>
      </c>
      <c r="N114" s="18">
        <f t="shared" si="3"/>
        <v>697802619.63473368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1248623575.3600001</v>
      </c>
      <c r="C115" s="16">
        <v>0</v>
      </c>
      <c r="D115" s="16">
        <v>18782951.46098052</v>
      </c>
      <c r="E115" s="16">
        <v>18510172.129999999</v>
      </c>
      <c r="F115" s="16">
        <v>2402504.5</v>
      </c>
      <c r="G115" s="16">
        <v>1879876.53</v>
      </c>
      <c r="H115" s="16">
        <v>85615087.960000008</v>
      </c>
      <c r="I115" s="16">
        <v>8340090.0700000003</v>
      </c>
      <c r="J115" s="16">
        <v>160472030.03</v>
      </c>
      <c r="K115" s="16">
        <v>0</v>
      </c>
      <c r="L115" s="16">
        <v>0</v>
      </c>
      <c r="M115" s="16">
        <v>0</v>
      </c>
      <c r="N115" s="18">
        <f t="shared" si="3"/>
        <v>1544626288.0409806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786505382.50999999</v>
      </c>
      <c r="C116" s="16">
        <v>0</v>
      </c>
      <c r="D116" s="16">
        <v>43854231.915205516</v>
      </c>
      <c r="E116" s="16">
        <v>12110740.27</v>
      </c>
      <c r="F116" s="16">
        <v>6631382.7300000004</v>
      </c>
      <c r="G116" s="16">
        <v>2958255.32</v>
      </c>
      <c r="H116" s="16">
        <v>53813686.700000003</v>
      </c>
      <c r="I116" s="16">
        <v>23020281.240000002</v>
      </c>
      <c r="J116" s="16">
        <v>217696021.39999992</v>
      </c>
      <c r="K116" s="16">
        <v>0</v>
      </c>
      <c r="L116" s="16">
        <v>0</v>
      </c>
      <c r="M116" s="16">
        <v>0</v>
      </c>
      <c r="N116" s="18">
        <f t="shared" si="3"/>
        <v>1146589982.0852056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425754880.69</v>
      </c>
      <c r="C117" s="16">
        <v>0</v>
      </c>
      <c r="D117" s="16">
        <v>9052482.5824707597</v>
      </c>
      <c r="E117" s="16">
        <v>6623172.8600000003</v>
      </c>
      <c r="F117" s="16">
        <v>1395255.46</v>
      </c>
      <c r="G117" s="16">
        <v>786925.06</v>
      </c>
      <c r="H117" s="16">
        <v>29061052.16</v>
      </c>
      <c r="I117" s="16">
        <v>4843510.71</v>
      </c>
      <c r="J117" s="16">
        <v>64160942.370000012</v>
      </c>
      <c r="K117" s="16">
        <v>0</v>
      </c>
      <c r="L117" s="16">
        <v>0</v>
      </c>
      <c r="M117" s="16">
        <v>0</v>
      </c>
      <c r="N117" s="18">
        <f t="shared" si="3"/>
        <v>541678221.89247084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730201752.42000008</v>
      </c>
      <c r="C118" s="16">
        <v>0</v>
      </c>
      <c r="D118" s="16">
        <v>26145514.656445522</v>
      </c>
      <c r="E118" s="16">
        <v>11682048.890000002</v>
      </c>
      <c r="F118" s="16">
        <v>6580432.3899999997</v>
      </c>
      <c r="G118" s="16">
        <v>3278854.42</v>
      </c>
      <c r="H118" s="16">
        <v>49890041.200000003</v>
      </c>
      <c r="I118" s="16">
        <v>22843411.460000001</v>
      </c>
      <c r="J118" s="16">
        <v>176853024.01000002</v>
      </c>
      <c r="K118" s="16">
        <v>0</v>
      </c>
      <c r="L118" s="16">
        <v>0</v>
      </c>
      <c r="M118" s="16">
        <v>0</v>
      </c>
      <c r="N118" s="18">
        <f t="shared" si="3"/>
        <v>1027475079.4464456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957055927.62999988</v>
      </c>
      <c r="C119" s="16">
        <v>0</v>
      </c>
      <c r="D119" s="16">
        <v>19636754.457643002</v>
      </c>
      <c r="E119" s="16">
        <v>14398571.559999999</v>
      </c>
      <c r="F119" s="16">
        <v>5287077.5999999996</v>
      </c>
      <c r="G119" s="16">
        <v>2200475.63</v>
      </c>
      <c r="H119" s="16">
        <v>65482866.170000002</v>
      </c>
      <c r="I119" s="16">
        <v>18353640.309999999</v>
      </c>
      <c r="J119" s="16">
        <v>160983167.63000003</v>
      </c>
      <c r="K119" s="16">
        <v>0</v>
      </c>
      <c r="L119" s="16">
        <v>0</v>
      </c>
      <c r="M119" s="16">
        <v>0</v>
      </c>
      <c r="N119" s="18">
        <f t="shared" si="3"/>
        <v>1243398480.987643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591809598.15999997</v>
      </c>
      <c r="C120" s="16">
        <v>0</v>
      </c>
      <c r="D120" s="16">
        <v>21400233.896639481</v>
      </c>
      <c r="E120" s="16">
        <v>9290781.9500000011</v>
      </c>
      <c r="F120" s="16">
        <v>3562604.55</v>
      </c>
      <c r="G120" s="16">
        <v>2229621.0099999998</v>
      </c>
      <c r="H120" s="16">
        <v>40500379.359999999</v>
      </c>
      <c r="I120" s="16">
        <v>12367278.75</v>
      </c>
      <c r="J120" s="16">
        <v>166899599.97999999</v>
      </c>
      <c r="K120" s="16">
        <v>0</v>
      </c>
      <c r="L120" s="16">
        <v>0</v>
      </c>
      <c r="M120" s="16">
        <v>0</v>
      </c>
      <c r="N120" s="18">
        <f t="shared" si="3"/>
        <v>848060097.65663946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759318848.13000011</v>
      </c>
      <c r="C121" s="16">
        <v>0</v>
      </c>
      <c r="D121" s="16">
        <v>22993682.402121719</v>
      </c>
      <c r="E121" s="16">
        <v>11219269.020000001</v>
      </c>
      <c r="F121" s="16">
        <v>1497156.14</v>
      </c>
      <c r="G121" s="16">
        <v>743207</v>
      </c>
      <c r="H121" s="16">
        <v>51851780.579999998</v>
      </c>
      <c r="I121" s="16">
        <v>5197250.26</v>
      </c>
      <c r="J121" s="16">
        <v>92740735.789999977</v>
      </c>
      <c r="K121" s="16">
        <v>0</v>
      </c>
      <c r="L121" s="16">
        <v>0</v>
      </c>
      <c r="M121" s="16">
        <v>0</v>
      </c>
      <c r="N121" s="18">
        <f t="shared" si="3"/>
        <v>945561929.32212174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2357770708.7199998</v>
      </c>
      <c r="C122" s="16">
        <v>0</v>
      </c>
      <c r="D122" s="16">
        <v>21285972.184999995</v>
      </c>
      <c r="E122" s="16">
        <v>55305694.109999999</v>
      </c>
      <c r="F122" s="16">
        <v>45071454.740000002</v>
      </c>
      <c r="G122" s="16">
        <v>20642419.937239945</v>
      </c>
      <c r="H122" s="16">
        <v>161329432.05000001</v>
      </c>
      <c r="I122" s="16">
        <v>156461722.36000001</v>
      </c>
      <c r="J122" s="16">
        <v>435040745.56000006</v>
      </c>
      <c r="K122" s="16">
        <v>0</v>
      </c>
      <c r="L122" s="16">
        <v>0</v>
      </c>
      <c r="M122" s="16">
        <v>0</v>
      </c>
      <c r="N122" s="18">
        <f t="shared" si="3"/>
        <v>3252908149.66224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4974315969.289999</v>
      </c>
      <c r="C123" s="16">
        <v>0</v>
      </c>
      <c r="D123" s="16">
        <v>67898810.605000004</v>
      </c>
      <c r="E123" s="16">
        <v>78157209.409999996</v>
      </c>
      <c r="F123" s="16">
        <v>62653241.350000001</v>
      </c>
      <c r="G123" s="16">
        <v>48135617.654100105</v>
      </c>
      <c r="H123" s="16">
        <v>341076785.55000001</v>
      </c>
      <c r="I123" s="16">
        <v>217495399.45000002</v>
      </c>
      <c r="J123" s="16">
        <v>567644944.77999997</v>
      </c>
      <c r="K123" s="16">
        <v>0</v>
      </c>
      <c r="L123" s="16">
        <v>0</v>
      </c>
      <c r="M123" s="16">
        <v>0</v>
      </c>
      <c r="N123" s="18">
        <f t="shared" si="3"/>
        <v>6357377978.0890989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4789616790</v>
      </c>
      <c r="C124" s="16">
        <v>0</v>
      </c>
      <c r="D124" s="16">
        <v>33752712.109999992</v>
      </c>
      <c r="E124" s="16">
        <v>109842476.41</v>
      </c>
      <c r="F124" s="16">
        <v>80231108.700000003</v>
      </c>
      <c r="G124" s="16">
        <v>0</v>
      </c>
      <c r="H124" s="16">
        <v>327043257.11999995</v>
      </c>
      <c r="I124" s="16">
        <v>278515471.16000003</v>
      </c>
      <c r="J124" s="16">
        <v>812105138.04999983</v>
      </c>
      <c r="K124" s="16">
        <v>0</v>
      </c>
      <c r="L124" s="16">
        <v>0</v>
      </c>
      <c r="M124" s="16">
        <v>0</v>
      </c>
      <c r="N124" s="18">
        <f t="shared" si="3"/>
        <v>6431106953.5499992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1528237610.6700001</v>
      </c>
      <c r="C125" s="16">
        <v>0</v>
      </c>
      <c r="D125" s="16">
        <v>26807143.032112502</v>
      </c>
      <c r="E125" s="16">
        <v>22997263.459999997</v>
      </c>
      <c r="F125" s="16">
        <v>31197285.190000001</v>
      </c>
      <c r="G125" s="16">
        <v>13960633.49</v>
      </c>
      <c r="H125" s="16">
        <v>104490342.03</v>
      </c>
      <c r="I125" s="16">
        <v>108298722.61</v>
      </c>
      <c r="J125" s="16">
        <v>501850469.83000004</v>
      </c>
      <c r="K125" s="16">
        <v>0</v>
      </c>
      <c r="L125" s="16">
        <v>0</v>
      </c>
      <c r="M125" s="16">
        <v>0</v>
      </c>
      <c r="N125" s="18">
        <f t="shared" si="3"/>
        <v>2337839470.3121128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1660732296.8499999</v>
      </c>
      <c r="C126" s="16">
        <v>0</v>
      </c>
      <c r="D126" s="16">
        <v>23992847.907651018</v>
      </c>
      <c r="E126" s="16">
        <v>25153098.059999999</v>
      </c>
      <c r="F126" s="16">
        <v>15618238.880000001</v>
      </c>
      <c r="G126" s="16">
        <v>5712493.04</v>
      </c>
      <c r="H126" s="16">
        <v>113678321.81</v>
      </c>
      <c r="I126" s="16">
        <v>54217388.129999995</v>
      </c>
      <c r="J126" s="16">
        <v>344341632.59999996</v>
      </c>
      <c r="K126" s="16">
        <v>0</v>
      </c>
      <c r="L126" s="16">
        <v>0</v>
      </c>
      <c r="M126" s="16">
        <v>0</v>
      </c>
      <c r="N126" s="18">
        <f t="shared" si="3"/>
        <v>2243446317.2776508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974642547.66000009</v>
      </c>
      <c r="C127" s="16">
        <v>0</v>
      </c>
      <c r="D127" s="16">
        <v>18425208.409254882</v>
      </c>
      <c r="E127" s="16">
        <v>15632943.9</v>
      </c>
      <c r="F127" s="16">
        <v>16578456.83</v>
      </c>
      <c r="G127" s="16">
        <v>8160704.3399999999</v>
      </c>
      <c r="H127" s="16">
        <v>66597152.539999999</v>
      </c>
      <c r="I127" s="16">
        <v>57550703.090000004</v>
      </c>
      <c r="J127" s="16">
        <v>381796952.77999985</v>
      </c>
      <c r="K127" s="16">
        <v>0</v>
      </c>
      <c r="L127" s="16">
        <v>0</v>
      </c>
      <c r="M127" s="16">
        <v>0</v>
      </c>
      <c r="N127" s="18">
        <f t="shared" si="3"/>
        <v>1539384669.5492549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422211110.63000005</v>
      </c>
      <c r="C128" s="16">
        <v>0</v>
      </c>
      <c r="D128" s="16">
        <v>13759466.892149262</v>
      </c>
      <c r="E128" s="16">
        <v>6530704.4799999986</v>
      </c>
      <c r="F128" s="16">
        <v>1516752.43</v>
      </c>
      <c r="G128" s="16">
        <v>976369.98</v>
      </c>
      <c r="H128" s="16">
        <v>28949968.109999999</v>
      </c>
      <c r="I128" s="16">
        <v>5265277.09</v>
      </c>
      <c r="J128" s="16">
        <v>82050172.87000002</v>
      </c>
      <c r="K128" s="16">
        <v>0</v>
      </c>
      <c r="L128" s="16">
        <v>0</v>
      </c>
      <c r="M128" s="16">
        <v>0</v>
      </c>
      <c r="N128" s="18">
        <f t="shared" si="3"/>
        <v>561259822.48214936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2786434654.4899998</v>
      </c>
      <c r="C129" s="16">
        <v>0</v>
      </c>
      <c r="D129" s="16">
        <v>111082619.3181666</v>
      </c>
      <c r="E129" s="16">
        <v>41380266.699999996</v>
      </c>
      <c r="F129" s="16">
        <v>19290582.629999999</v>
      </c>
      <c r="G129" s="16">
        <v>12109902.33</v>
      </c>
      <c r="H129" s="16">
        <v>190553171.22999999</v>
      </c>
      <c r="I129" s="16">
        <v>66965617.169999994</v>
      </c>
      <c r="J129" s="16">
        <v>514108404.27000004</v>
      </c>
      <c r="K129" s="16">
        <v>0</v>
      </c>
      <c r="L129" s="16">
        <v>0</v>
      </c>
      <c r="M129" s="16">
        <v>0</v>
      </c>
      <c r="N129" s="18">
        <f t="shared" si="3"/>
        <v>3741925218.1381664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728350529.22000003</v>
      </c>
      <c r="C130" s="16">
        <v>0</v>
      </c>
      <c r="D130" s="16">
        <v>33076013.843763541</v>
      </c>
      <c r="E130" s="16">
        <v>10811170.079999998</v>
      </c>
      <c r="F130" s="16">
        <v>2386827.4700000002</v>
      </c>
      <c r="G130" s="16">
        <v>903506.55</v>
      </c>
      <c r="H130" s="16">
        <v>49886149.399999999</v>
      </c>
      <c r="I130" s="16">
        <v>8285668.6000000006</v>
      </c>
      <c r="J130" s="16">
        <v>141301149.80000004</v>
      </c>
      <c r="K130" s="16">
        <v>0</v>
      </c>
      <c r="L130" s="16">
        <v>0</v>
      </c>
      <c r="M130" s="16">
        <v>0</v>
      </c>
      <c r="N130" s="18">
        <f t="shared" si="3"/>
        <v>975001014.96376371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4724612411.0500002</v>
      </c>
      <c r="C131" s="16">
        <v>0</v>
      </c>
      <c r="D131" s="16">
        <v>57073201.31499999</v>
      </c>
      <c r="E131" s="16">
        <v>72108686.209999993</v>
      </c>
      <c r="F131" s="16">
        <v>105392738.22</v>
      </c>
      <c r="G131" s="16">
        <v>10074867.081902795</v>
      </c>
      <c r="H131" s="16">
        <v>323121951.44</v>
      </c>
      <c r="I131" s="16">
        <v>365861928.34000003</v>
      </c>
      <c r="J131" s="16">
        <v>1110205504.5799999</v>
      </c>
      <c r="K131" s="16">
        <v>0</v>
      </c>
      <c r="L131" s="16">
        <v>0</v>
      </c>
      <c r="M131" s="16">
        <v>0</v>
      </c>
      <c r="N131" s="18">
        <f t="shared" si="3"/>
        <v>6768451288.2369022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176130660.56999999</v>
      </c>
      <c r="C132" s="16">
        <v>0</v>
      </c>
      <c r="D132" s="16">
        <v>2194159.6533295</v>
      </c>
      <c r="E132" s="16">
        <v>2606665.4400000004</v>
      </c>
      <c r="F132" s="16">
        <v>450714.54</v>
      </c>
      <c r="G132" s="16">
        <v>218590.29</v>
      </c>
      <c r="H132" s="16">
        <v>12076808.26</v>
      </c>
      <c r="I132" s="16">
        <v>1564617.23</v>
      </c>
      <c r="J132" s="16">
        <v>39866390.719999999</v>
      </c>
      <c r="K132" s="16">
        <v>0</v>
      </c>
      <c r="L132" s="16">
        <v>0</v>
      </c>
      <c r="M132" s="16">
        <v>0</v>
      </c>
      <c r="N132" s="18">
        <f t="shared" si="3"/>
        <v>235108606.70332944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1185153067.02</v>
      </c>
      <c r="C133" s="16">
        <v>0</v>
      </c>
      <c r="D133" s="16">
        <v>24223658.89520552</v>
      </c>
      <c r="E133" s="16">
        <v>17512853.079999998</v>
      </c>
      <c r="F133" s="16">
        <v>1630410.88</v>
      </c>
      <c r="G133" s="16">
        <v>1238678.3400000001</v>
      </c>
      <c r="H133" s="16">
        <v>80995698.590000004</v>
      </c>
      <c r="I133" s="16">
        <v>5659832.7400000002</v>
      </c>
      <c r="J133" s="16">
        <v>147060669.30999997</v>
      </c>
      <c r="K133" s="16">
        <v>0</v>
      </c>
      <c r="L133" s="16">
        <v>0</v>
      </c>
      <c r="M133" s="16">
        <v>0</v>
      </c>
      <c r="N133" s="18">
        <f t="shared" si="3"/>
        <v>1463474868.8552053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2043062771.52</v>
      </c>
      <c r="C134" s="16">
        <v>0</v>
      </c>
      <c r="D134" s="16">
        <v>52037075.257116035</v>
      </c>
      <c r="E134" s="16">
        <v>30657984.460000001</v>
      </c>
      <c r="F134" s="16">
        <v>7607277.7000000002</v>
      </c>
      <c r="G134" s="16">
        <v>4094924.85</v>
      </c>
      <c r="H134" s="16">
        <v>139640224.63999999</v>
      </c>
      <c r="I134" s="16">
        <v>26408017.66</v>
      </c>
      <c r="J134" s="16">
        <v>332114729.37000006</v>
      </c>
      <c r="K134" s="16">
        <v>0</v>
      </c>
      <c r="L134" s="16">
        <v>0</v>
      </c>
      <c r="M134" s="16">
        <v>0</v>
      </c>
      <c r="N134" s="18">
        <f t="shared" si="3"/>
        <v>2635623005.4571157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1703733566.24</v>
      </c>
      <c r="C135" s="16">
        <v>0</v>
      </c>
      <c r="D135" s="16">
        <v>69642334.797725752</v>
      </c>
      <c r="E135" s="16">
        <v>38410401.899999999</v>
      </c>
      <c r="F135" s="16">
        <v>11452068.76</v>
      </c>
      <c r="G135" s="16">
        <v>5187876.33</v>
      </c>
      <c r="H135" s="16">
        <v>116405490.08000001</v>
      </c>
      <c r="I135" s="16">
        <v>39754882.850000001</v>
      </c>
      <c r="J135" s="16">
        <v>342395445.42000002</v>
      </c>
      <c r="K135" s="16">
        <v>0</v>
      </c>
      <c r="L135" s="16">
        <v>0</v>
      </c>
      <c r="M135" s="16">
        <v>0</v>
      </c>
      <c r="N135" s="18">
        <f t="shared" si="3"/>
        <v>2326982066.3777256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2650845781.0099998</v>
      </c>
      <c r="C136" s="16">
        <v>0</v>
      </c>
      <c r="D136" s="16">
        <v>38856659.139999993</v>
      </c>
      <c r="E136" s="16">
        <v>65923570.659999996</v>
      </c>
      <c r="F136" s="16">
        <v>68136281.799999997</v>
      </c>
      <c r="G136" s="16">
        <v>35455636.19973284</v>
      </c>
      <c r="H136" s="16">
        <v>181410627.44</v>
      </c>
      <c r="I136" s="16">
        <v>236529308.09999999</v>
      </c>
      <c r="J136" s="16">
        <v>778449098.35000026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4055606962.6997328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414938448.21999997</v>
      </c>
      <c r="C137" s="16">
        <v>0</v>
      </c>
      <c r="D137" s="16">
        <v>8843054.5645269807</v>
      </c>
      <c r="E137" s="16">
        <v>6278479.7699999996</v>
      </c>
      <c r="F137" s="16">
        <v>815205.44</v>
      </c>
      <c r="G137" s="16">
        <v>757779.69</v>
      </c>
      <c r="H137" s="16">
        <v>28425988.530000001</v>
      </c>
      <c r="I137" s="16">
        <v>2829916.37</v>
      </c>
      <c r="J137" s="16">
        <v>76364425.739999995</v>
      </c>
      <c r="K137" s="16">
        <v>0</v>
      </c>
      <c r="L137" s="16">
        <v>0</v>
      </c>
      <c r="M137" s="16">
        <v>0</v>
      </c>
      <c r="N137" s="18">
        <f t="shared" si="4"/>
        <v>539253298.32452691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1235030308.1500001</v>
      </c>
      <c r="C138" s="16">
        <v>0</v>
      </c>
      <c r="D138" s="16">
        <v>60159124.029552296</v>
      </c>
      <c r="E138" s="16">
        <v>19772906.380000003</v>
      </c>
      <c r="F138" s="16">
        <v>7097774.2999999998</v>
      </c>
      <c r="G138" s="16">
        <v>2958255.32</v>
      </c>
      <c r="H138" s="16">
        <v>84404680.719999999</v>
      </c>
      <c r="I138" s="16">
        <v>24639319.93</v>
      </c>
      <c r="J138" s="16">
        <v>277469845.82999998</v>
      </c>
      <c r="K138" s="16">
        <v>0</v>
      </c>
      <c r="L138" s="16">
        <v>0</v>
      </c>
      <c r="M138" s="16">
        <v>0</v>
      </c>
      <c r="N138" s="18">
        <f t="shared" si="4"/>
        <v>1711532214.6595523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4202673264.0299997</v>
      </c>
      <c r="C139" s="16">
        <v>0</v>
      </c>
      <c r="D139" s="16">
        <v>44020570.280000001</v>
      </c>
      <c r="E139" s="16">
        <v>68941866.00999999</v>
      </c>
      <c r="F139" s="16">
        <v>36503959.079999998</v>
      </c>
      <c r="G139" s="16">
        <v>32384087.837777019</v>
      </c>
      <c r="H139" s="16">
        <v>287642277.81999999</v>
      </c>
      <c r="I139" s="16">
        <v>126720389.66</v>
      </c>
      <c r="J139" s="16">
        <v>495438122.69999999</v>
      </c>
      <c r="K139" s="16">
        <v>0</v>
      </c>
      <c r="L139" s="16">
        <v>0</v>
      </c>
      <c r="M139" s="16">
        <v>0</v>
      </c>
      <c r="N139" s="18">
        <f t="shared" si="4"/>
        <v>5294324537.4177761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1259810252.4499998</v>
      </c>
      <c r="C140" s="16">
        <v>0</v>
      </c>
      <c r="D140" s="16">
        <v>6341237.1400000006</v>
      </c>
      <c r="E140" s="16">
        <v>19657303.629999999</v>
      </c>
      <c r="F140" s="16">
        <v>6019978.6500000004</v>
      </c>
      <c r="G140" s="16">
        <v>3118554.87</v>
      </c>
      <c r="H140" s="16">
        <v>86159033.790000007</v>
      </c>
      <c r="I140" s="16">
        <v>20897843.960000001</v>
      </c>
      <c r="J140" s="16">
        <v>125232810.35999998</v>
      </c>
      <c r="K140" s="16">
        <v>0</v>
      </c>
      <c r="L140" s="16">
        <v>0</v>
      </c>
      <c r="M140" s="16">
        <v>0</v>
      </c>
      <c r="N140" s="18">
        <f t="shared" si="4"/>
        <v>1527237014.8499999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1423193919.3699999</v>
      </c>
      <c r="C141" s="16">
        <v>0</v>
      </c>
      <c r="D141" s="16">
        <v>36255682.278221682</v>
      </c>
      <c r="E141" s="16">
        <v>21289523.930000003</v>
      </c>
      <c r="F141" s="16">
        <v>8681154.1099999994</v>
      </c>
      <c r="G141" s="16">
        <v>2725092.34</v>
      </c>
      <c r="H141" s="16">
        <v>97447048.939999998</v>
      </c>
      <c r="I141" s="16">
        <v>30135888.260000002</v>
      </c>
      <c r="J141" s="16">
        <v>348284944.99999988</v>
      </c>
      <c r="K141" s="16">
        <v>0</v>
      </c>
      <c r="L141" s="16">
        <v>0</v>
      </c>
      <c r="M141" s="16">
        <v>0</v>
      </c>
      <c r="N141" s="18">
        <f t="shared" si="4"/>
        <v>1968013254.2282214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1446519331.1799998</v>
      </c>
      <c r="C142" s="16">
        <v>0</v>
      </c>
      <c r="D142" s="16">
        <v>24902434.935191758</v>
      </c>
      <c r="E142" s="16">
        <v>33032753.309999999</v>
      </c>
      <c r="F142" s="16">
        <v>37323083.780000001</v>
      </c>
      <c r="G142" s="16">
        <v>11002378.17</v>
      </c>
      <c r="H142" s="16">
        <v>98869179.890000001</v>
      </c>
      <c r="I142" s="16">
        <v>129563911.48</v>
      </c>
      <c r="J142" s="16">
        <v>472117250.19999999</v>
      </c>
      <c r="K142" s="16">
        <v>0</v>
      </c>
      <c r="L142" s="16">
        <v>0</v>
      </c>
      <c r="M142" s="16">
        <v>0</v>
      </c>
      <c r="N142" s="18">
        <f t="shared" si="4"/>
        <v>2253330322.9451919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264460451433.47012</v>
      </c>
      <c r="C143" s="23">
        <f t="shared" si="5"/>
        <v>0</v>
      </c>
      <c r="D143" s="23">
        <f t="shared" si="5"/>
        <v>4894042873.7740488</v>
      </c>
      <c r="E143" s="23">
        <f t="shared" si="5"/>
        <v>5169187994.2399998</v>
      </c>
      <c r="F143" s="23">
        <f t="shared" si="5"/>
        <v>3919256934.539999</v>
      </c>
      <c r="G143" s="23">
        <f t="shared" si="5"/>
        <v>1457268631.55</v>
      </c>
      <c r="H143" s="23">
        <f t="shared" si="5"/>
        <v>18090372096.930004</v>
      </c>
      <c r="I143" s="23">
        <f t="shared" si="5"/>
        <v>13605367161.589993</v>
      </c>
      <c r="J143" s="23">
        <f t="shared" ref="J143:N143" si="6">SUM(J8:J142)</f>
        <v>58549553255.330009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370145500381.42389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D145" s="7"/>
      <c r="E145" s="7"/>
      <c r="F145" s="8"/>
      <c r="G145" s="8"/>
      <c r="H145" s="8"/>
      <c r="I145" s="8"/>
      <c r="J145" s="8"/>
      <c r="N145" s="8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44AEAC"/>
  </sheetPr>
  <dimension ref="A1:Y275"/>
  <sheetViews>
    <sheetView showGridLines="0" zoomScale="80" zoomScaleNormal="80" workbookViewId="0">
      <selection activeCell="B1" sqref="B1:N1048576"/>
    </sheetView>
  </sheetViews>
  <sheetFormatPr baseColWidth="10" defaultRowHeight="14.25" x14ac:dyDescent="0.2"/>
  <cols>
    <col min="1" max="1" width="41.83203125" style="11" customWidth="1"/>
    <col min="2" max="2" width="23.6640625" style="1" bestFit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7" width="12" style="1"/>
    <col min="18" max="18" width="18.33203125" style="1" bestFit="1" customWidth="1"/>
    <col min="19" max="19" width="12" style="1"/>
    <col min="20" max="21" width="16.83203125" style="1" bestFit="1" customWidth="1"/>
    <col min="22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176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30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1267012021.3300002</v>
      </c>
      <c r="C8" s="16">
        <v>0</v>
      </c>
      <c r="D8" s="16">
        <v>106646621.64017038</v>
      </c>
      <c r="E8" s="16">
        <v>16438366.520000001</v>
      </c>
      <c r="F8" s="16">
        <v>3956376.82</v>
      </c>
      <c r="G8" s="16">
        <v>1492771.2</v>
      </c>
      <c r="H8" s="16">
        <v>74903182.329999998</v>
      </c>
      <c r="I8" s="16">
        <v>10338889.59</v>
      </c>
      <c r="J8" s="16">
        <v>201521707.25</v>
      </c>
      <c r="K8" s="16">
        <v>0</v>
      </c>
      <c r="L8" s="16">
        <v>0</v>
      </c>
      <c r="M8" s="16">
        <v>0</v>
      </c>
      <c r="N8" s="18">
        <f t="shared" ref="N8:N39" si="0">SUM(B8:M8)</f>
        <v>1682309936.6801703</v>
      </c>
      <c r="O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702729794.51999998</v>
      </c>
      <c r="C9" s="16">
        <v>0</v>
      </c>
      <c r="D9" s="16">
        <v>123499926.79070055</v>
      </c>
      <c r="E9" s="16">
        <v>9117300.9699999988</v>
      </c>
      <c r="F9" s="16">
        <v>2771921.15</v>
      </c>
      <c r="G9" s="16">
        <v>1104650.69</v>
      </c>
      <c r="H9" s="16">
        <v>41543960.950000003</v>
      </c>
      <c r="I9" s="16">
        <v>7243644.3799999999</v>
      </c>
      <c r="J9" s="16">
        <v>152824214.19000003</v>
      </c>
      <c r="K9" s="16">
        <v>0</v>
      </c>
      <c r="L9" s="16">
        <v>0</v>
      </c>
      <c r="M9" s="16">
        <v>0</v>
      </c>
      <c r="N9" s="18">
        <f t="shared" si="0"/>
        <v>1040835413.6407007</v>
      </c>
      <c r="O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749669011.69000006</v>
      </c>
      <c r="C10" s="16">
        <v>0</v>
      </c>
      <c r="D10" s="16">
        <v>79115441.823839366</v>
      </c>
      <c r="E10" s="16">
        <v>9726296.0199999996</v>
      </c>
      <c r="F10" s="16">
        <v>1936413</v>
      </c>
      <c r="G10" s="16">
        <v>1104650.69</v>
      </c>
      <c r="H10" s="16">
        <v>44318912.310000002</v>
      </c>
      <c r="I10" s="16">
        <v>5060276.4000000004</v>
      </c>
      <c r="J10" s="16">
        <v>90323206.440000057</v>
      </c>
      <c r="K10" s="16">
        <v>0</v>
      </c>
      <c r="L10" s="16">
        <v>0</v>
      </c>
      <c r="M10" s="16">
        <v>0</v>
      </c>
      <c r="N10" s="18">
        <f t="shared" si="0"/>
        <v>981254208.3738395</v>
      </c>
      <c r="O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5810346715.5099993</v>
      </c>
      <c r="C11" s="16">
        <v>0</v>
      </c>
      <c r="D11" s="16">
        <v>39019376.737687893</v>
      </c>
      <c r="E11" s="16">
        <v>69402738.540000007</v>
      </c>
      <c r="F11" s="16">
        <v>207844939.06</v>
      </c>
      <c r="G11" s="16">
        <v>91226670.930830479</v>
      </c>
      <c r="H11" s="16">
        <v>343495919.61000001</v>
      </c>
      <c r="I11" s="16">
        <v>543144895.46000004</v>
      </c>
      <c r="J11" s="16">
        <v>1699353852.3800004</v>
      </c>
      <c r="K11" s="16">
        <v>0</v>
      </c>
      <c r="L11" s="16">
        <v>0</v>
      </c>
      <c r="M11" s="16">
        <v>0</v>
      </c>
      <c r="N11" s="18">
        <f t="shared" si="0"/>
        <v>8803835108.2285194</v>
      </c>
      <c r="O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765392493.26999998</v>
      </c>
      <c r="C12" s="16">
        <v>0</v>
      </c>
      <c r="D12" s="16">
        <v>144630817.64684477</v>
      </c>
      <c r="E12" s="16">
        <v>9930294.3599999994</v>
      </c>
      <c r="F12" s="16">
        <v>7106734.0199999996</v>
      </c>
      <c r="G12" s="16">
        <v>2746699.01</v>
      </c>
      <c r="H12" s="16">
        <v>45248452.670000002</v>
      </c>
      <c r="I12" s="16">
        <v>18571471.239999998</v>
      </c>
      <c r="J12" s="16">
        <v>183230369.40999997</v>
      </c>
      <c r="K12" s="16">
        <v>0</v>
      </c>
      <c r="L12" s="16">
        <v>0</v>
      </c>
      <c r="M12" s="16">
        <v>0</v>
      </c>
      <c r="N12" s="18">
        <f t="shared" si="0"/>
        <v>1176857331.6268446</v>
      </c>
      <c r="O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3450494915.5299997</v>
      </c>
      <c r="C13" s="16">
        <v>0</v>
      </c>
      <c r="D13" s="16">
        <v>26650994.157567486</v>
      </c>
      <c r="E13" s="16">
        <v>41215061.359999999</v>
      </c>
      <c r="F13" s="16">
        <v>101071912.31</v>
      </c>
      <c r="G13" s="16">
        <v>0</v>
      </c>
      <c r="H13" s="16">
        <v>203986264.87</v>
      </c>
      <c r="I13" s="16">
        <v>264123309.88999999</v>
      </c>
      <c r="J13" s="16">
        <v>1263592489.7499995</v>
      </c>
      <c r="K13" s="16">
        <v>0</v>
      </c>
      <c r="L13" s="16">
        <v>0</v>
      </c>
      <c r="M13" s="16">
        <v>0</v>
      </c>
      <c r="N13" s="18">
        <f t="shared" si="0"/>
        <v>5351134947.8675671</v>
      </c>
      <c r="O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1253253974.9300001</v>
      </c>
      <c r="C14" s="16">
        <v>0</v>
      </c>
      <c r="D14" s="16">
        <v>200908737.18602845</v>
      </c>
      <c r="E14" s="16">
        <v>16259867.969999999</v>
      </c>
      <c r="F14" s="16">
        <v>4600209.57</v>
      </c>
      <c r="G14" s="16">
        <v>1865964</v>
      </c>
      <c r="H14" s="16">
        <v>74089834.519999996</v>
      </c>
      <c r="I14" s="16">
        <v>12021367.279999999</v>
      </c>
      <c r="J14" s="16">
        <v>271262275.71999991</v>
      </c>
      <c r="K14" s="16">
        <v>0</v>
      </c>
      <c r="L14" s="16">
        <v>0</v>
      </c>
      <c r="M14" s="16">
        <v>0</v>
      </c>
      <c r="N14" s="18">
        <f t="shared" si="0"/>
        <v>1834262231.1760283</v>
      </c>
      <c r="O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2120675678.0400004</v>
      </c>
      <c r="C15" s="16">
        <v>0</v>
      </c>
      <c r="D15" s="16">
        <v>388164867.8481645</v>
      </c>
      <c r="E15" s="16">
        <v>27513901.590000004</v>
      </c>
      <c r="F15" s="16">
        <v>17137746.57</v>
      </c>
      <c r="G15" s="16">
        <v>6463699.2999999998</v>
      </c>
      <c r="H15" s="16">
        <v>125370047.25</v>
      </c>
      <c r="I15" s="16">
        <v>44784730.439999998</v>
      </c>
      <c r="J15" s="16">
        <v>432802780.32000023</v>
      </c>
      <c r="K15" s="16">
        <v>0</v>
      </c>
      <c r="L15" s="16">
        <v>0</v>
      </c>
      <c r="M15" s="16">
        <v>0</v>
      </c>
      <c r="N15" s="18">
        <f t="shared" si="0"/>
        <v>3162913451.3581657</v>
      </c>
      <c r="O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3843928797.1699996</v>
      </c>
      <c r="C16" s="16">
        <v>0</v>
      </c>
      <c r="D16" s="16">
        <v>69578145.554702044</v>
      </c>
      <c r="E16" s="16">
        <v>45914503.609999999</v>
      </c>
      <c r="F16" s="16">
        <v>63916373.43</v>
      </c>
      <c r="G16" s="16">
        <v>28676134.780000001</v>
      </c>
      <c r="H16" s="16">
        <v>227245278.41999999</v>
      </c>
      <c r="I16" s="16">
        <v>167027651.11000001</v>
      </c>
      <c r="J16" s="16">
        <v>1075137853.4000001</v>
      </c>
      <c r="K16" s="16">
        <v>0</v>
      </c>
      <c r="L16" s="16">
        <v>0</v>
      </c>
      <c r="M16" s="16">
        <v>0</v>
      </c>
      <c r="N16" s="18">
        <f t="shared" si="0"/>
        <v>5521424737.4747028</v>
      </c>
      <c r="O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1488152384.8800001</v>
      </c>
      <c r="C17" s="16">
        <v>0</v>
      </c>
      <c r="D17" s="16">
        <v>343846044.8433547</v>
      </c>
      <c r="E17" s="16">
        <v>19307468.219999999</v>
      </c>
      <c r="F17" s="16">
        <v>13127307.449999999</v>
      </c>
      <c r="G17" s="16">
        <v>4179759.36</v>
      </c>
      <c r="H17" s="16">
        <v>87976552.349999994</v>
      </c>
      <c r="I17" s="16">
        <v>34304564.100000001</v>
      </c>
      <c r="J17" s="16">
        <v>291423540.05000013</v>
      </c>
      <c r="K17" s="16">
        <v>0</v>
      </c>
      <c r="L17" s="16">
        <v>0</v>
      </c>
      <c r="M17" s="16">
        <v>0</v>
      </c>
      <c r="N17" s="18">
        <f t="shared" si="0"/>
        <v>2282317621.2533545</v>
      </c>
      <c r="O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835570091.33999991</v>
      </c>
      <c r="C18" s="16">
        <v>0</v>
      </c>
      <c r="D18" s="16">
        <v>117460771.73991871</v>
      </c>
      <c r="E18" s="16">
        <v>10840786.969999999</v>
      </c>
      <c r="F18" s="16">
        <v>8846556.8699999992</v>
      </c>
      <c r="G18" s="16">
        <v>3403518.34</v>
      </c>
      <c r="H18" s="16">
        <v>49397210.009999998</v>
      </c>
      <c r="I18" s="16">
        <v>23118013.989999998</v>
      </c>
      <c r="J18" s="16">
        <v>237590153.24000001</v>
      </c>
      <c r="K18" s="16">
        <v>0</v>
      </c>
      <c r="L18" s="16">
        <v>0</v>
      </c>
      <c r="M18" s="16">
        <v>0</v>
      </c>
      <c r="N18" s="18">
        <f t="shared" si="0"/>
        <v>1286227102.4999187</v>
      </c>
      <c r="O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1346727760.8000002</v>
      </c>
      <c r="C19" s="16">
        <v>0</v>
      </c>
      <c r="D19" s="16">
        <v>194215101.25431228</v>
      </c>
      <c r="E19" s="16">
        <v>17472608.130000003</v>
      </c>
      <c r="F19" s="16">
        <v>3573026.02</v>
      </c>
      <c r="G19" s="16">
        <v>1895819.43</v>
      </c>
      <c r="H19" s="16">
        <v>79615815.260000005</v>
      </c>
      <c r="I19" s="16">
        <v>9337108.9900000002</v>
      </c>
      <c r="J19" s="16">
        <v>206711393.34000003</v>
      </c>
      <c r="K19" s="16">
        <v>0</v>
      </c>
      <c r="L19" s="16">
        <v>0</v>
      </c>
      <c r="M19" s="16">
        <v>0</v>
      </c>
      <c r="N19" s="18">
        <f t="shared" si="0"/>
        <v>1859548633.2243128</v>
      </c>
      <c r="O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4823669341.3000002</v>
      </c>
      <c r="C20" s="16">
        <v>0</v>
      </c>
      <c r="D20" s="16">
        <v>22923408.965102654</v>
      </c>
      <c r="E20" s="16">
        <v>57617191.959999993</v>
      </c>
      <c r="F20" s="16">
        <v>114041947.64</v>
      </c>
      <c r="G20" s="16">
        <v>44325888.408931032</v>
      </c>
      <c r="H20" s="16">
        <v>285165553.35000002</v>
      </c>
      <c r="I20" s="16">
        <v>298016887.06999999</v>
      </c>
      <c r="J20" s="16">
        <v>1175447235.1700003</v>
      </c>
      <c r="K20" s="16">
        <v>0</v>
      </c>
      <c r="L20" s="16">
        <v>0</v>
      </c>
      <c r="M20" s="16">
        <v>0</v>
      </c>
      <c r="N20" s="18">
        <f t="shared" si="0"/>
        <v>6821207453.8640337</v>
      </c>
      <c r="O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2093679847.47</v>
      </c>
      <c r="C21" s="16">
        <v>0</v>
      </c>
      <c r="D21" s="16">
        <v>14075392.825984884</v>
      </c>
      <c r="E21" s="16">
        <v>27163654.43</v>
      </c>
      <c r="F21" s="16">
        <v>30324031.07</v>
      </c>
      <c r="G21" s="16">
        <v>6194427.1021695193</v>
      </c>
      <c r="H21" s="16">
        <v>123774108.47</v>
      </c>
      <c r="I21" s="16">
        <v>79243414.640000001</v>
      </c>
      <c r="J21" s="16">
        <v>385375812.51999998</v>
      </c>
      <c r="K21" s="16">
        <v>0</v>
      </c>
      <c r="L21" s="16">
        <v>0</v>
      </c>
      <c r="M21" s="16">
        <v>0</v>
      </c>
      <c r="N21" s="18">
        <f t="shared" si="0"/>
        <v>2759830688.5281544</v>
      </c>
      <c r="O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1714061819.1200001</v>
      </c>
      <c r="C22" s="16">
        <v>0</v>
      </c>
      <c r="D22" s="16">
        <v>170350166.2450186</v>
      </c>
      <c r="E22" s="16">
        <v>22238444.43</v>
      </c>
      <c r="F22" s="16">
        <v>7219773.3600000003</v>
      </c>
      <c r="G22" s="16">
        <v>3209458.08</v>
      </c>
      <c r="H22" s="16">
        <v>101331860.16</v>
      </c>
      <c r="I22" s="16">
        <v>18866868.09</v>
      </c>
      <c r="J22" s="16">
        <v>289396078.74999988</v>
      </c>
      <c r="K22" s="16">
        <v>0</v>
      </c>
      <c r="L22" s="16">
        <v>0</v>
      </c>
      <c r="M22" s="16">
        <v>0</v>
      </c>
      <c r="N22" s="18">
        <f t="shared" si="0"/>
        <v>2326674468.2350187</v>
      </c>
      <c r="O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1616772776.6900001</v>
      </c>
      <c r="C23" s="16">
        <v>0</v>
      </c>
      <c r="D23" s="16">
        <v>139215745.39916688</v>
      </c>
      <c r="E23" s="16">
        <v>20976204.670000002</v>
      </c>
      <c r="F23" s="16">
        <v>6919973.3700000001</v>
      </c>
      <c r="G23" s="16">
        <v>3955843.68</v>
      </c>
      <c r="H23" s="16">
        <v>95580329.189999998</v>
      </c>
      <c r="I23" s="16">
        <v>18083424.280000001</v>
      </c>
      <c r="J23" s="16">
        <v>238885013.22000003</v>
      </c>
      <c r="K23" s="16">
        <v>0</v>
      </c>
      <c r="L23" s="16">
        <v>0</v>
      </c>
      <c r="M23" s="16">
        <v>0</v>
      </c>
      <c r="N23" s="18">
        <f t="shared" si="0"/>
        <v>2140389310.499167</v>
      </c>
      <c r="O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513007490.75999999</v>
      </c>
      <c r="C24" s="16">
        <v>0</v>
      </c>
      <c r="D24" s="16">
        <v>66560127.939609386</v>
      </c>
      <c r="E24" s="16">
        <v>6655820.9500000002</v>
      </c>
      <c r="F24" s="16">
        <v>7195199.5899999999</v>
      </c>
      <c r="G24" s="16">
        <v>1022499.9629419823</v>
      </c>
      <c r="H24" s="16">
        <v>30327962.940000001</v>
      </c>
      <c r="I24" s="16">
        <v>18802651.379999999</v>
      </c>
      <c r="J24" s="16">
        <v>202133275.7299999</v>
      </c>
      <c r="K24" s="16">
        <v>0</v>
      </c>
      <c r="L24" s="16">
        <v>0</v>
      </c>
      <c r="M24" s="16">
        <v>0</v>
      </c>
      <c r="N24" s="18">
        <f t="shared" si="0"/>
        <v>845705029.25255144</v>
      </c>
      <c r="O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2015813929.3800001</v>
      </c>
      <c r="C25" s="16">
        <v>0</v>
      </c>
      <c r="D25" s="16">
        <v>43321901.049599394</v>
      </c>
      <c r="E25" s="16">
        <v>26153412.640000001</v>
      </c>
      <c r="F25" s="16">
        <v>31911496.550000001</v>
      </c>
      <c r="G25" s="16">
        <v>9419386.2799999993</v>
      </c>
      <c r="H25" s="16">
        <v>119170833.23</v>
      </c>
      <c r="I25" s="16">
        <v>83391813.810000002</v>
      </c>
      <c r="J25" s="16">
        <v>467270902.36999977</v>
      </c>
      <c r="K25" s="16">
        <v>0</v>
      </c>
      <c r="L25" s="16">
        <v>0</v>
      </c>
      <c r="M25" s="16">
        <v>0</v>
      </c>
      <c r="N25" s="18">
        <f t="shared" si="0"/>
        <v>2796453675.3095994</v>
      </c>
      <c r="O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862710439.19999993</v>
      </c>
      <c r="C26" s="16">
        <v>0</v>
      </c>
      <c r="D26" s="16">
        <v>56420177.126818843</v>
      </c>
      <c r="E26" s="16">
        <v>11192909.109999999</v>
      </c>
      <c r="F26" s="16">
        <v>14513268.029999999</v>
      </c>
      <c r="G26" s="16">
        <v>6015867.9400000004</v>
      </c>
      <c r="H26" s="16">
        <v>51001692.359999999</v>
      </c>
      <c r="I26" s="16">
        <v>37926386.289999999</v>
      </c>
      <c r="J26" s="16">
        <v>344789445.13999999</v>
      </c>
      <c r="K26" s="16">
        <v>0</v>
      </c>
      <c r="L26" s="16">
        <v>0</v>
      </c>
      <c r="M26" s="16">
        <v>0</v>
      </c>
      <c r="N26" s="18">
        <f t="shared" si="0"/>
        <v>1384570185.1968188</v>
      </c>
      <c r="O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393289364.25</v>
      </c>
      <c r="C27" s="16">
        <v>0</v>
      </c>
      <c r="D27" s="16">
        <v>59903429.170231245</v>
      </c>
      <c r="E27" s="16">
        <v>5102583.5599999996</v>
      </c>
      <c r="F27" s="16">
        <v>3607429.3</v>
      </c>
      <c r="G27" s="16">
        <v>1358421.79</v>
      </c>
      <c r="H27" s="16">
        <v>23250469.98</v>
      </c>
      <c r="I27" s="16">
        <v>9427012.3699999992</v>
      </c>
      <c r="J27" s="16">
        <v>92394213.890000075</v>
      </c>
      <c r="K27" s="16">
        <v>0</v>
      </c>
      <c r="L27" s="16">
        <v>0</v>
      </c>
      <c r="M27" s="16">
        <v>0</v>
      </c>
      <c r="N27" s="18">
        <f t="shared" si="0"/>
        <v>588332924.31023133</v>
      </c>
      <c r="O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1507430991.9300003</v>
      </c>
      <c r="C28" s="16">
        <v>0</v>
      </c>
      <c r="D28" s="16">
        <v>136434695.44364765</v>
      </c>
      <c r="E28" s="16">
        <v>19557591.190000001</v>
      </c>
      <c r="F28" s="16">
        <v>4968816.1100000003</v>
      </c>
      <c r="G28" s="16">
        <v>1970457.99</v>
      </c>
      <c r="H28" s="16">
        <v>89116264.519999996</v>
      </c>
      <c r="I28" s="16">
        <v>12984617.859999999</v>
      </c>
      <c r="J28" s="16">
        <v>188904187.12000009</v>
      </c>
      <c r="K28" s="16">
        <v>0</v>
      </c>
      <c r="L28" s="16">
        <v>0</v>
      </c>
      <c r="M28" s="16">
        <v>0</v>
      </c>
      <c r="N28" s="18">
        <f t="shared" si="0"/>
        <v>1961367622.1636479</v>
      </c>
      <c r="O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861351976.6099999</v>
      </c>
      <c r="C29" s="16">
        <v>0</v>
      </c>
      <c r="D29" s="16">
        <v>146709371.84279457</v>
      </c>
      <c r="E29" s="16">
        <v>11175284.26</v>
      </c>
      <c r="F29" s="16">
        <v>3101209.66</v>
      </c>
      <c r="G29" s="16">
        <v>1194216.96</v>
      </c>
      <c r="H29" s="16">
        <v>50921382.810000002</v>
      </c>
      <c r="I29" s="16">
        <v>8104148.2400000002</v>
      </c>
      <c r="J29" s="16">
        <v>168406079.93000001</v>
      </c>
      <c r="K29" s="16">
        <v>0</v>
      </c>
      <c r="L29" s="16">
        <v>0</v>
      </c>
      <c r="M29" s="16">
        <v>0</v>
      </c>
      <c r="N29" s="18">
        <f t="shared" si="0"/>
        <v>1250963670.3127944</v>
      </c>
      <c r="O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302098951.60000002</v>
      </c>
      <c r="C30" s="16">
        <v>0</v>
      </c>
      <c r="D30" s="16">
        <v>107544197.01010129</v>
      </c>
      <c r="E30" s="16">
        <v>3919468.18</v>
      </c>
      <c r="F30" s="16">
        <v>2678540.83</v>
      </c>
      <c r="G30" s="16">
        <v>1492771.2</v>
      </c>
      <c r="H30" s="16">
        <v>17859477.640000001</v>
      </c>
      <c r="I30" s="16">
        <v>6999620.9000000004</v>
      </c>
      <c r="J30" s="16">
        <v>130826323.64999995</v>
      </c>
      <c r="K30" s="16">
        <v>0</v>
      </c>
      <c r="L30" s="16">
        <v>0</v>
      </c>
      <c r="M30" s="16">
        <v>0</v>
      </c>
      <c r="N30" s="18">
        <f t="shared" si="0"/>
        <v>573419351.0101012</v>
      </c>
      <c r="O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520031031.22999996</v>
      </c>
      <c r="C31" s="16">
        <v>0</v>
      </c>
      <c r="D31" s="16">
        <v>43485153.843432397</v>
      </c>
      <c r="E31" s="16">
        <v>6746945.2199999997</v>
      </c>
      <c r="F31" s="16">
        <v>3199504.73</v>
      </c>
      <c r="G31" s="16">
        <v>821024.16</v>
      </c>
      <c r="H31" s="16">
        <v>30743180.41</v>
      </c>
      <c r="I31" s="16">
        <v>8361015.0599999996</v>
      </c>
      <c r="J31" s="16">
        <v>92720170.249999985</v>
      </c>
      <c r="K31" s="16">
        <v>0</v>
      </c>
      <c r="L31" s="16">
        <v>0</v>
      </c>
      <c r="M31" s="16">
        <v>0</v>
      </c>
      <c r="N31" s="18">
        <f t="shared" si="0"/>
        <v>706108024.90343225</v>
      </c>
      <c r="O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2379592862.25</v>
      </c>
      <c r="C32" s="16">
        <v>0</v>
      </c>
      <c r="D32" s="16">
        <v>295359042.80356914</v>
      </c>
      <c r="E32" s="16">
        <v>30873124.309999999</v>
      </c>
      <c r="F32" s="16">
        <v>9436327.3300000001</v>
      </c>
      <c r="G32" s="16">
        <v>4493241.32</v>
      </c>
      <c r="H32" s="16">
        <v>140676706.31999999</v>
      </c>
      <c r="I32" s="16">
        <v>24659214.93</v>
      </c>
      <c r="J32" s="16">
        <v>290115872.29999995</v>
      </c>
      <c r="K32" s="16">
        <v>0</v>
      </c>
      <c r="L32" s="16">
        <v>0</v>
      </c>
      <c r="M32" s="16">
        <v>0</v>
      </c>
      <c r="N32" s="18">
        <f t="shared" si="0"/>
        <v>3175206391.5635691</v>
      </c>
      <c r="O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1490233433.9200001</v>
      </c>
      <c r="C33" s="16">
        <v>0</v>
      </c>
      <c r="D33" s="16">
        <v>133275326.39379083</v>
      </c>
      <c r="E33" s="16">
        <v>19334468.010000002</v>
      </c>
      <c r="F33" s="16">
        <v>6924888.1299999999</v>
      </c>
      <c r="G33" s="16">
        <v>3612506.31</v>
      </c>
      <c r="H33" s="16">
        <v>88099579.75</v>
      </c>
      <c r="I33" s="16">
        <v>18096267.620000001</v>
      </c>
      <c r="J33" s="16">
        <v>276733091.20000005</v>
      </c>
      <c r="K33" s="16">
        <v>0</v>
      </c>
      <c r="L33" s="16">
        <v>0</v>
      </c>
      <c r="M33" s="16">
        <v>0</v>
      </c>
      <c r="N33" s="18">
        <f t="shared" si="0"/>
        <v>2036309561.3337908</v>
      </c>
      <c r="O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2037086875.0999999</v>
      </c>
      <c r="C34" s="16">
        <v>0</v>
      </c>
      <c r="D34" s="16">
        <v>139609649.84217551</v>
      </c>
      <c r="E34" s="16">
        <v>24332353.07</v>
      </c>
      <c r="F34" s="16">
        <v>10070330.57</v>
      </c>
      <c r="G34" s="16">
        <v>6030795.6500000004</v>
      </c>
      <c r="H34" s="16">
        <v>120428446.66</v>
      </c>
      <c r="I34" s="16">
        <v>26316005.93</v>
      </c>
      <c r="J34" s="16">
        <v>348102160.64999986</v>
      </c>
      <c r="K34" s="16">
        <v>0</v>
      </c>
      <c r="L34" s="16">
        <v>0</v>
      </c>
      <c r="M34" s="16">
        <v>0</v>
      </c>
      <c r="N34" s="18">
        <f t="shared" si="0"/>
        <v>2711976617.4721756</v>
      </c>
      <c r="O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1005204491.2300003</v>
      </c>
      <c r="C35" s="16">
        <v>0</v>
      </c>
      <c r="D35" s="16">
        <v>121297838.8968448</v>
      </c>
      <c r="E35" s="16">
        <v>13041644.099999998</v>
      </c>
      <c r="F35" s="16">
        <v>6295799.6399999997</v>
      </c>
      <c r="G35" s="16">
        <v>2343650.79</v>
      </c>
      <c r="H35" s="16">
        <v>59425651.869999997</v>
      </c>
      <c r="I35" s="16">
        <v>16452319.960000001</v>
      </c>
      <c r="J35" s="16">
        <v>125108959.81999993</v>
      </c>
      <c r="K35" s="16">
        <v>0</v>
      </c>
      <c r="L35" s="16">
        <v>0</v>
      </c>
      <c r="M35" s="16">
        <v>0</v>
      </c>
      <c r="N35" s="18">
        <f t="shared" si="0"/>
        <v>1349170356.3068449</v>
      </c>
      <c r="O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1153334717.7199998</v>
      </c>
      <c r="C36" s="16">
        <v>0</v>
      </c>
      <c r="D36" s="16">
        <v>116406651.60557194</v>
      </c>
      <c r="E36" s="16">
        <v>14963503.49</v>
      </c>
      <c r="F36" s="16">
        <v>3961291.57</v>
      </c>
      <c r="G36" s="16">
        <v>1358421.79</v>
      </c>
      <c r="H36" s="16">
        <v>68182810.579999998</v>
      </c>
      <c r="I36" s="16">
        <v>10351732.93</v>
      </c>
      <c r="J36" s="16">
        <v>125996534.40000002</v>
      </c>
      <c r="K36" s="16">
        <v>0</v>
      </c>
      <c r="L36" s="16">
        <v>0</v>
      </c>
      <c r="M36" s="16">
        <v>0</v>
      </c>
      <c r="N36" s="18">
        <f t="shared" si="0"/>
        <v>1494555664.0855718</v>
      </c>
      <c r="O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1200880907.5499997</v>
      </c>
      <c r="C37" s="16">
        <v>0</v>
      </c>
      <c r="D37" s="16">
        <v>117493580.14207825</v>
      </c>
      <c r="E37" s="16">
        <v>15580373.49</v>
      </c>
      <c r="F37" s="16">
        <v>7347556.96</v>
      </c>
      <c r="G37" s="16">
        <v>2074951.97</v>
      </c>
      <c r="H37" s="16">
        <v>70993644.939999998</v>
      </c>
      <c r="I37" s="16">
        <v>19200794.960000001</v>
      </c>
      <c r="J37" s="16">
        <v>213865782.72000006</v>
      </c>
      <c r="K37" s="16">
        <v>0</v>
      </c>
      <c r="L37" s="16">
        <v>0</v>
      </c>
      <c r="M37" s="16">
        <v>0</v>
      </c>
      <c r="N37" s="18">
        <f t="shared" si="0"/>
        <v>1647437592.7320781</v>
      </c>
      <c r="O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1013586494.2599999</v>
      </c>
      <c r="C38" s="16">
        <v>0</v>
      </c>
      <c r="D38" s="16">
        <v>9314711.7594498545</v>
      </c>
      <c r="E38" s="16">
        <v>13150393.219999999</v>
      </c>
      <c r="F38" s="16">
        <v>6566111.0999999996</v>
      </c>
      <c r="G38" s="16">
        <v>5747169.1299999999</v>
      </c>
      <c r="H38" s="16">
        <v>59921178.899999999</v>
      </c>
      <c r="I38" s="16">
        <v>17158703.719999999</v>
      </c>
      <c r="J38" s="16">
        <v>352923624.86999989</v>
      </c>
      <c r="K38" s="16">
        <v>0</v>
      </c>
      <c r="L38" s="16">
        <v>0</v>
      </c>
      <c r="M38" s="16">
        <v>0</v>
      </c>
      <c r="N38" s="18">
        <f t="shared" si="0"/>
        <v>1478368386.9594498</v>
      </c>
      <c r="O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1948324352.9800003</v>
      </c>
      <c r="C39" s="16">
        <v>0</v>
      </c>
      <c r="D39" s="16">
        <v>170088543.56154087</v>
      </c>
      <c r="E39" s="16">
        <v>25277794.740000002</v>
      </c>
      <c r="F39" s="16">
        <v>8364911</v>
      </c>
      <c r="G39" s="16">
        <v>3582650.88</v>
      </c>
      <c r="H39" s="16">
        <v>115180986.28</v>
      </c>
      <c r="I39" s="16">
        <v>21859366.57</v>
      </c>
      <c r="J39" s="16">
        <v>306395758.58999991</v>
      </c>
      <c r="K39" s="16">
        <v>0</v>
      </c>
      <c r="L39" s="16">
        <v>0</v>
      </c>
      <c r="M39" s="16">
        <v>0</v>
      </c>
      <c r="N39" s="18">
        <f t="shared" si="0"/>
        <v>2599074364.6015415</v>
      </c>
      <c r="O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1279585025.9300001</v>
      </c>
      <c r="C40" s="16">
        <v>0</v>
      </c>
      <c r="D40" s="16">
        <v>159197119.04132286</v>
      </c>
      <c r="E40" s="16">
        <v>16601490.199999999</v>
      </c>
      <c r="F40" s="16">
        <v>4467511.22</v>
      </c>
      <c r="G40" s="16">
        <v>1567409.76</v>
      </c>
      <c r="H40" s="16">
        <v>75646472.879999995</v>
      </c>
      <c r="I40" s="16">
        <v>11674597.07</v>
      </c>
      <c r="J40" s="16">
        <v>168799276.81999993</v>
      </c>
      <c r="K40" s="16">
        <v>0</v>
      </c>
      <c r="L40" s="16">
        <v>0</v>
      </c>
      <c r="M40" s="16">
        <v>0</v>
      </c>
      <c r="N40" s="18">
        <f t="shared" ref="N40:N71" si="1">SUM(B40:M40)</f>
        <v>1717538902.9213228</v>
      </c>
      <c r="O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1337160715.9300001</v>
      </c>
      <c r="C41" s="16">
        <v>0</v>
      </c>
      <c r="D41" s="16">
        <v>42696833.315656409</v>
      </c>
      <c r="E41" s="16">
        <v>17348484.129999999</v>
      </c>
      <c r="F41" s="16">
        <v>7563806.1200000001</v>
      </c>
      <c r="G41" s="16">
        <v>2731771.3</v>
      </c>
      <c r="H41" s="16">
        <v>79050230.959999993</v>
      </c>
      <c r="I41" s="16">
        <v>19765901.969999999</v>
      </c>
      <c r="J41" s="16">
        <v>173210253.74999988</v>
      </c>
      <c r="K41" s="16">
        <v>0</v>
      </c>
      <c r="L41" s="16">
        <v>0</v>
      </c>
      <c r="M41" s="16">
        <v>0</v>
      </c>
      <c r="N41" s="18">
        <f t="shared" si="1"/>
        <v>1679527997.4756565</v>
      </c>
      <c r="O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811117765.16999996</v>
      </c>
      <c r="C42" s="16">
        <v>0</v>
      </c>
      <c r="D42" s="16">
        <v>5415062.6710907221</v>
      </c>
      <c r="E42" s="16">
        <v>10523539.550000001</v>
      </c>
      <c r="F42" s="16">
        <v>20543670.960000001</v>
      </c>
      <c r="G42" s="16">
        <v>0</v>
      </c>
      <c r="H42" s="16">
        <v>47951638.060000002</v>
      </c>
      <c r="I42" s="16">
        <v>53685165.829999998</v>
      </c>
      <c r="J42" s="16">
        <v>263942666.81000009</v>
      </c>
      <c r="K42" s="16">
        <v>0</v>
      </c>
      <c r="L42" s="16">
        <v>0</v>
      </c>
      <c r="M42" s="16">
        <v>0</v>
      </c>
      <c r="N42" s="18">
        <f t="shared" si="1"/>
        <v>1213179509.0510907</v>
      </c>
      <c r="O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4912460766.8100004</v>
      </c>
      <c r="C43" s="16">
        <v>0</v>
      </c>
      <c r="D43" s="16">
        <v>59552721.978814811</v>
      </c>
      <c r="E43" s="16">
        <v>63734857.469999999</v>
      </c>
      <c r="F43" s="16">
        <v>85428250.900000006</v>
      </c>
      <c r="G43" s="16">
        <v>21824314.969999999</v>
      </c>
      <c r="H43" s="16">
        <v>290414722.44</v>
      </c>
      <c r="I43" s="16">
        <v>223242955.13999999</v>
      </c>
      <c r="J43" s="16">
        <v>864414443.30999994</v>
      </c>
      <c r="K43" s="16">
        <v>0</v>
      </c>
      <c r="L43" s="16">
        <v>0</v>
      </c>
      <c r="M43" s="16">
        <v>0</v>
      </c>
      <c r="N43" s="18">
        <f t="shared" si="1"/>
        <v>6521073033.018816</v>
      </c>
      <c r="O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4471220564.2699995</v>
      </c>
      <c r="C44" s="16">
        <v>0</v>
      </c>
      <c r="D44" s="16">
        <v>22378959.680452492</v>
      </c>
      <c r="E44" s="16">
        <v>58010153.960000001</v>
      </c>
      <c r="F44" s="16">
        <v>107490580.8</v>
      </c>
      <c r="G44" s="16">
        <v>37269504.352028459</v>
      </c>
      <c r="H44" s="16">
        <v>264329496.09999999</v>
      </c>
      <c r="I44" s="16">
        <v>280896713.37</v>
      </c>
      <c r="J44" s="16">
        <v>1117818922.54</v>
      </c>
      <c r="K44" s="16">
        <v>0</v>
      </c>
      <c r="L44" s="16">
        <v>0</v>
      </c>
      <c r="M44" s="16">
        <v>0</v>
      </c>
      <c r="N44" s="18">
        <f t="shared" si="1"/>
        <v>6359414895.0724812</v>
      </c>
      <c r="O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1194984601.9399998</v>
      </c>
      <c r="C45" s="16">
        <v>0</v>
      </c>
      <c r="D45" s="16">
        <v>62152204.264272295</v>
      </c>
      <c r="E45" s="16">
        <v>15503874.109999999</v>
      </c>
      <c r="F45" s="16">
        <v>8006133.9699999997</v>
      </c>
      <c r="G45" s="16">
        <v>3418446.05</v>
      </c>
      <c r="H45" s="16">
        <v>70645067.310000002</v>
      </c>
      <c r="I45" s="16">
        <v>20921802.66</v>
      </c>
      <c r="J45" s="16">
        <v>167341118.44999999</v>
      </c>
      <c r="K45" s="16">
        <v>0</v>
      </c>
      <c r="L45" s="16">
        <v>0</v>
      </c>
      <c r="M45" s="16">
        <v>0</v>
      </c>
      <c r="N45" s="18">
        <f t="shared" si="1"/>
        <v>1542973248.754272</v>
      </c>
      <c r="O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1890719759.5400002</v>
      </c>
      <c r="C46" s="16">
        <v>0</v>
      </c>
      <c r="D46" s="16">
        <v>29012721.92045249</v>
      </c>
      <c r="E46" s="16">
        <v>22584044.560000002</v>
      </c>
      <c r="F46" s="16">
        <v>63149671.829999998</v>
      </c>
      <c r="G46" s="16">
        <v>0</v>
      </c>
      <c r="H46" s="16">
        <v>111775519.48999999</v>
      </c>
      <c r="I46" s="16">
        <v>165024089.90000001</v>
      </c>
      <c r="J46" s="16">
        <v>708000226.58999979</v>
      </c>
      <c r="K46" s="16">
        <v>0</v>
      </c>
      <c r="L46" s="16">
        <v>0</v>
      </c>
      <c r="M46" s="16">
        <v>0</v>
      </c>
      <c r="N46" s="18">
        <f t="shared" si="1"/>
        <v>2990266033.8304524</v>
      </c>
      <c r="O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5749504934.6599998</v>
      </c>
      <c r="C47" s="16">
        <v>0</v>
      </c>
      <c r="D47" s="16">
        <v>28723026.02735262</v>
      </c>
      <c r="E47" s="16">
        <v>68676002.859999999</v>
      </c>
      <c r="F47" s="16">
        <v>196865379.02000001</v>
      </c>
      <c r="G47" s="16">
        <v>43340187.029656753</v>
      </c>
      <c r="H47" s="16">
        <v>339899076.86000001</v>
      </c>
      <c r="I47" s="16">
        <v>514452871.42000002</v>
      </c>
      <c r="J47" s="16">
        <v>1703526605.8900003</v>
      </c>
      <c r="K47" s="16">
        <v>0</v>
      </c>
      <c r="L47" s="16">
        <v>0</v>
      </c>
      <c r="M47" s="16">
        <v>0</v>
      </c>
      <c r="N47" s="18">
        <f t="shared" si="1"/>
        <v>8644988083.7670097</v>
      </c>
      <c r="O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556275968.57999992</v>
      </c>
      <c r="C48" s="16">
        <v>0</v>
      </c>
      <c r="D48" s="16">
        <v>72830885.45490095</v>
      </c>
      <c r="E48" s="16">
        <v>7217191.3999999994</v>
      </c>
      <c r="F48" s="16">
        <v>1710334.32</v>
      </c>
      <c r="G48" s="16">
        <v>925518.14</v>
      </c>
      <c r="H48" s="16">
        <v>32885907.640000001</v>
      </c>
      <c r="I48" s="16">
        <v>4469482.71</v>
      </c>
      <c r="J48" s="16">
        <v>91396492.960000038</v>
      </c>
      <c r="K48" s="16">
        <v>0</v>
      </c>
      <c r="L48" s="16">
        <v>0</v>
      </c>
      <c r="M48" s="16">
        <v>0</v>
      </c>
      <c r="N48" s="18">
        <f t="shared" si="1"/>
        <v>767711781.20490098</v>
      </c>
      <c r="O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1050409500.8499999</v>
      </c>
      <c r="C49" s="16">
        <v>0</v>
      </c>
      <c r="D49" s="16">
        <v>117718495.58600484</v>
      </c>
      <c r="E49" s="16">
        <v>10523835.280000001</v>
      </c>
      <c r="F49" s="16">
        <v>10099819.1</v>
      </c>
      <c r="G49" s="16">
        <v>3881205.12</v>
      </c>
      <c r="H49" s="16">
        <v>62098080.399999999</v>
      </c>
      <c r="I49" s="16">
        <v>26393065.98</v>
      </c>
      <c r="J49" s="16">
        <v>215110692.65999994</v>
      </c>
      <c r="K49" s="16">
        <v>0</v>
      </c>
      <c r="L49" s="16">
        <v>0</v>
      </c>
      <c r="M49" s="16">
        <v>0</v>
      </c>
      <c r="N49" s="18">
        <f t="shared" si="1"/>
        <v>1496234694.9760044</v>
      </c>
      <c r="O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681977111.07000005</v>
      </c>
      <c r="C50" s="16">
        <v>0</v>
      </c>
      <c r="D50" s="16">
        <v>77918491.595975757</v>
      </c>
      <c r="E50" s="16">
        <v>8848053.1600000001</v>
      </c>
      <c r="F50" s="16">
        <v>2830898.2</v>
      </c>
      <c r="G50" s="16">
        <v>1104650.69</v>
      </c>
      <c r="H50" s="16">
        <v>40317104.369999997</v>
      </c>
      <c r="I50" s="16">
        <v>7397764.4800000004</v>
      </c>
      <c r="J50" s="16">
        <v>155449155.35999998</v>
      </c>
      <c r="K50" s="16">
        <v>0</v>
      </c>
      <c r="L50" s="16">
        <v>0</v>
      </c>
      <c r="M50" s="16">
        <v>0</v>
      </c>
      <c r="N50" s="18">
        <f t="shared" si="1"/>
        <v>975843228.92597592</v>
      </c>
      <c r="O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666744988.31000006</v>
      </c>
      <c r="C51" s="16">
        <v>0</v>
      </c>
      <c r="D51" s="16">
        <v>98731996.986597598</v>
      </c>
      <c r="E51" s="16">
        <v>8650429.75</v>
      </c>
      <c r="F51" s="16">
        <v>3528793.24</v>
      </c>
      <c r="G51" s="16">
        <v>1388277.22</v>
      </c>
      <c r="H51" s="16">
        <v>39416612.149999999</v>
      </c>
      <c r="I51" s="16">
        <v>9221518.9199999999</v>
      </c>
      <c r="J51" s="16">
        <v>107844800.66999997</v>
      </c>
      <c r="K51" s="16">
        <v>0</v>
      </c>
      <c r="L51" s="16">
        <v>0</v>
      </c>
      <c r="M51" s="16">
        <v>0</v>
      </c>
      <c r="N51" s="18">
        <f t="shared" si="1"/>
        <v>935527417.24659765</v>
      </c>
      <c r="O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786289694.03999996</v>
      </c>
      <c r="C52" s="16">
        <v>0</v>
      </c>
      <c r="D52" s="16">
        <v>79663448.958756283</v>
      </c>
      <c r="E52" s="16">
        <v>10201417.16</v>
      </c>
      <c r="F52" s="16">
        <v>3248652.27</v>
      </c>
      <c r="G52" s="16">
        <v>1776397.73</v>
      </c>
      <c r="H52" s="16">
        <v>46483852.82</v>
      </c>
      <c r="I52" s="16">
        <v>8489448.4700000007</v>
      </c>
      <c r="J52" s="16">
        <v>138237507.81999999</v>
      </c>
      <c r="K52" s="16">
        <v>0</v>
      </c>
      <c r="L52" s="16">
        <v>0</v>
      </c>
      <c r="M52" s="16">
        <v>0</v>
      </c>
      <c r="N52" s="18">
        <f t="shared" si="1"/>
        <v>1074390419.2687564</v>
      </c>
      <c r="O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270305146.91000003</v>
      </c>
      <c r="C53" s="16">
        <v>0</v>
      </c>
      <c r="D53" s="16">
        <v>54117746.345780425</v>
      </c>
      <c r="E53" s="16">
        <v>3506971.52</v>
      </c>
      <c r="F53" s="16">
        <v>565196.68000000005</v>
      </c>
      <c r="G53" s="16">
        <v>268698.82</v>
      </c>
      <c r="H53" s="16">
        <v>15979892.35</v>
      </c>
      <c r="I53" s="16">
        <v>1476984.23</v>
      </c>
      <c r="J53" s="16">
        <v>73108357.020000026</v>
      </c>
      <c r="K53" s="16">
        <v>0</v>
      </c>
      <c r="L53" s="16">
        <v>0</v>
      </c>
      <c r="M53" s="16">
        <v>0</v>
      </c>
      <c r="N53" s="18">
        <f t="shared" si="1"/>
        <v>419328993.87578052</v>
      </c>
      <c r="O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1049455686.6899999</v>
      </c>
      <c r="C54" s="16">
        <v>0</v>
      </c>
      <c r="D54" s="16">
        <v>107573675.19261202</v>
      </c>
      <c r="E54" s="16">
        <v>13615764.439999999</v>
      </c>
      <c r="F54" s="16">
        <v>1941327.75</v>
      </c>
      <c r="G54" s="16">
        <v>985228.99</v>
      </c>
      <c r="H54" s="16">
        <v>62041692.840000004</v>
      </c>
      <c r="I54" s="16">
        <v>5073119.74</v>
      </c>
      <c r="J54" s="16">
        <v>167258508.69</v>
      </c>
      <c r="K54" s="16">
        <v>0</v>
      </c>
      <c r="L54" s="16">
        <v>0</v>
      </c>
      <c r="M54" s="16">
        <v>0</v>
      </c>
      <c r="N54" s="18">
        <f t="shared" si="1"/>
        <v>1407945004.332612</v>
      </c>
      <c r="O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476704746.43999994</v>
      </c>
      <c r="C55" s="16">
        <v>0</v>
      </c>
      <c r="D55" s="16">
        <v>27663131.411315583</v>
      </c>
      <c r="E55" s="16">
        <v>6184824.7800000003</v>
      </c>
      <c r="F55" s="16">
        <v>3582855.53</v>
      </c>
      <c r="G55" s="16">
        <v>1537554.34</v>
      </c>
      <c r="H55" s="16">
        <v>28181818.280000001</v>
      </c>
      <c r="I55" s="16">
        <v>9362795.6699999999</v>
      </c>
      <c r="J55" s="16">
        <v>118083287.80999999</v>
      </c>
      <c r="K55" s="16">
        <v>0</v>
      </c>
      <c r="L55" s="16">
        <v>0</v>
      </c>
      <c r="M55" s="16">
        <v>0</v>
      </c>
      <c r="N55" s="18">
        <f t="shared" si="1"/>
        <v>671301014.26131535</v>
      </c>
      <c r="O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363576608.54999995</v>
      </c>
      <c r="C56" s="16">
        <v>0</v>
      </c>
      <c r="D56" s="16">
        <v>31898049.954718411</v>
      </c>
      <c r="E56" s="16">
        <v>4717086.71</v>
      </c>
      <c r="F56" s="16">
        <v>1012439.28</v>
      </c>
      <c r="G56" s="16">
        <v>417975.94</v>
      </c>
      <c r="H56" s="16">
        <v>21493912.09</v>
      </c>
      <c r="I56" s="16">
        <v>2645728.27</v>
      </c>
      <c r="J56" s="16">
        <v>97478236.259999946</v>
      </c>
      <c r="K56" s="16">
        <v>0</v>
      </c>
      <c r="L56" s="16">
        <v>0</v>
      </c>
      <c r="M56" s="16">
        <v>0</v>
      </c>
      <c r="N56" s="18">
        <f t="shared" si="1"/>
        <v>523240037.0547182</v>
      </c>
      <c r="O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904967296</v>
      </c>
      <c r="C57" s="16">
        <v>0</v>
      </c>
      <c r="D57" s="16">
        <v>75992886.40491733</v>
      </c>
      <c r="E57" s="16">
        <v>11741154.66</v>
      </c>
      <c r="F57" s="16">
        <v>5199809.54</v>
      </c>
      <c r="G57" s="16">
        <v>1925674.85</v>
      </c>
      <c r="H57" s="16">
        <v>53499832.079999998</v>
      </c>
      <c r="I57" s="16">
        <v>13588254.890000001</v>
      </c>
      <c r="J57" s="16">
        <v>208126645.77000001</v>
      </c>
      <c r="K57" s="16">
        <v>0</v>
      </c>
      <c r="L57" s="16">
        <v>0</v>
      </c>
      <c r="M57" s="16">
        <v>0</v>
      </c>
      <c r="N57" s="18">
        <f t="shared" si="1"/>
        <v>1275041554.1949174</v>
      </c>
      <c r="O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849472655.00999999</v>
      </c>
      <c r="C58" s="16">
        <v>0</v>
      </c>
      <c r="D58" s="16">
        <v>43821280.965965748</v>
      </c>
      <c r="E58" s="16">
        <v>11021160.510000002</v>
      </c>
      <c r="F58" s="16">
        <v>3027488.35</v>
      </c>
      <c r="G58" s="16">
        <v>1209144.67</v>
      </c>
      <c r="H58" s="16">
        <v>50219101.399999999</v>
      </c>
      <c r="I58" s="16">
        <v>7911498.1200000001</v>
      </c>
      <c r="J58" s="16">
        <v>117781666.15999995</v>
      </c>
      <c r="K58" s="16">
        <v>0</v>
      </c>
      <c r="L58" s="16">
        <v>0</v>
      </c>
      <c r="M58" s="16">
        <v>0</v>
      </c>
      <c r="N58" s="18">
        <f t="shared" si="1"/>
        <v>1084463995.1859655</v>
      </c>
      <c r="O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864068901.75000012</v>
      </c>
      <c r="C59" s="16">
        <v>0</v>
      </c>
      <c r="D59" s="16">
        <v>144568577.59260526</v>
      </c>
      <c r="E59" s="16">
        <v>11210533.98</v>
      </c>
      <c r="F59" s="16">
        <v>2948852.29</v>
      </c>
      <c r="G59" s="16">
        <v>1104650.69</v>
      </c>
      <c r="H59" s="16">
        <v>51082001.909999996</v>
      </c>
      <c r="I59" s="16">
        <v>7706004.6600000001</v>
      </c>
      <c r="J59" s="16">
        <v>131735671.34999993</v>
      </c>
      <c r="K59" s="16">
        <v>0</v>
      </c>
      <c r="L59" s="16">
        <v>0</v>
      </c>
      <c r="M59" s="16">
        <v>0</v>
      </c>
      <c r="N59" s="18">
        <f t="shared" si="1"/>
        <v>1214425194.2226055</v>
      </c>
      <c r="O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6174067841.5</v>
      </c>
      <c r="C60" s="16">
        <v>0</v>
      </c>
      <c r="D60" s="16">
        <v>191622866.49074951</v>
      </c>
      <c r="E60" s="16">
        <v>137230657.72999999</v>
      </c>
      <c r="F60" s="16">
        <v>162211449.84</v>
      </c>
      <c r="G60" s="16">
        <v>56829799.670000002</v>
      </c>
      <c r="H60" s="16">
        <v>364998375.26999998</v>
      </c>
      <c r="I60" s="16">
        <v>423894473.26999998</v>
      </c>
      <c r="J60" s="16">
        <v>2202035524.6200004</v>
      </c>
      <c r="K60" s="16">
        <v>0</v>
      </c>
      <c r="L60" s="16">
        <v>0</v>
      </c>
      <c r="M60" s="16">
        <v>0</v>
      </c>
      <c r="N60" s="18">
        <f t="shared" si="1"/>
        <v>9712890988.3907509</v>
      </c>
      <c r="O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1449855301.9300001</v>
      </c>
      <c r="C61" s="16">
        <v>0</v>
      </c>
      <c r="D61" s="16">
        <v>36637080.342790537</v>
      </c>
      <c r="E61" s="16">
        <v>18810597.260000002</v>
      </c>
      <c r="F61" s="16">
        <v>28957729.5</v>
      </c>
      <c r="G61" s="16">
        <v>5761983.6582906898</v>
      </c>
      <c r="H61" s="16">
        <v>85712506.439999998</v>
      </c>
      <c r="I61" s="16">
        <v>75672965.810000002</v>
      </c>
      <c r="J61" s="16">
        <v>545238506.43000007</v>
      </c>
      <c r="K61" s="16">
        <v>0</v>
      </c>
      <c r="L61" s="16">
        <v>0</v>
      </c>
      <c r="M61" s="16">
        <v>0</v>
      </c>
      <c r="N61" s="18">
        <f t="shared" si="1"/>
        <v>2246646671.3710814</v>
      </c>
      <c r="O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6743437077.0699997</v>
      </c>
      <c r="C62" s="16">
        <v>0</v>
      </c>
      <c r="D62" s="16">
        <v>41186233.480000004</v>
      </c>
      <c r="E62" s="16">
        <v>80548205.329999998</v>
      </c>
      <c r="F62" s="16">
        <v>129842881.18000001</v>
      </c>
      <c r="G62" s="16">
        <v>0</v>
      </c>
      <c r="H62" s="16">
        <v>398658330.30000001</v>
      </c>
      <c r="I62" s="16">
        <v>339308228.73000002</v>
      </c>
      <c r="J62" s="16">
        <v>1084245419.3599997</v>
      </c>
      <c r="K62" s="16">
        <v>0</v>
      </c>
      <c r="L62" s="16">
        <v>0</v>
      </c>
      <c r="M62" s="16">
        <v>0</v>
      </c>
      <c r="N62" s="18">
        <f t="shared" si="1"/>
        <v>8817226375.4500008</v>
      </c>
      <c r="O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1187556413.01</v>
      </c>
      <c r="C63" s="16">
        <v>0</v>
      </c>
      <c r="D63" s="16">
        <v>108765483.01389489</v>
      </c>
      <c r="E63" s="16">
        <v>15407499.890000001</v>
      </c>
      <c r="F63" s="16">
        <v>4575635.8</v>
      </c>
      <c r="G63" s="16">
        <v>1925674.85</v>
      </c>
      <c r="H63" s="16">
        <v>70205927.829999998</v>
      </c>
      <c r="I63" s="16">
        <v>11957150.57</v>
      </c>
      <c r="J63" s="16">
        <v>145496920.53000006</v>
      </c>
      <c r="K63" s="16">
        <v>0</v>
      </c>
      <c r="L63" s="16">
        <v>0</v>
      </c>
      <c r="M63" s="16">
        <v>0</v>
      </c>
      <c r="N63" s="18">
        <f t="shared" si="1"/>
        <v>1545890705.4938946</v>
      </c>
      <c r="O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1850659565.5799999</v>
      </c>
      <c r="C64" s="16">
        <v>0</v>
      </c>
      <c r="D64" s="16">
        <v>466791586.44995236</v>
      </c>
      <c r="E64" s="16">
        <v>24010680.030000001</v>
      </c>
      <c r="F64" s="16">
        <v>8374740.5</v>
      </c>
      <c r="G64" s="16">
        <v>3000470.12</v>
      </c>
      <c r="H64" s="16">
        <v>109407242.03</v>
      </c>
      <c r="I64" s="16">
        <v>21885053.25</v>
      </c>
      <c r="J64" s="16">
        <v>308433466.00000006</v>
      </c>
      <c r="K64" s="16">
        <v>0</v>
      </c>
      <c r="L64" s="16">
        <v>0</v>
      </c>
      <c r="M64" s="16">
        <v>0</v>
      </c>
      <c r="N64" s="18">
        <f t="shared" si="1"/>
        <v>2792562803.9599524</v>
      </c>
      <c r="O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970318016.42000008</v>
      </c>
      <c r="C65" s="16">
        <v>0</v>
      </c>
      <c r="D65" s="16">
        <v>99078328.919798717</v>
      </c>
      <c r="E65" s="16">
        <v>12589022.780000001</v>
      </c>
      <c r="F65" s="16">
        <v>1823373.66</v>
      </c>
      <c r="G65" s="16">
        <v>1000156.71</v>
      </c>
      <c r="H65" s="16">
        <v>57363234.189999998</v>
      </c>
      <c r="I65" s="16">
        <v>4764879.55</v>
      </c>
      <c r="J65" s="16">
        <v>183968093.78999999</v>
      </c>
      <c r="K65" s="16">
        <v>0</v>
      </c>
      <c r="L65" s="16">
        <v>0</v>
      </c>
      <c r="M65" s="16">
        <v>0</v>
      </c>
      <c r="N65" s="18">
        <f t="shared" si="1"/>
        <v>1330905106.019799</v>
      </c>
      <c r="O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541766432.28000009</v>
      </c>
      <c r="C66" s="16">
        <v>0</v>
      </c>
      <c r="D66" s="16">
        <v>83476466.406392291</v>
      </c>
      <c r="E66" s="16">
        <v>7028942.9299999997</v>
      </c>
      <c r="F66" s="16">
        <v>1784055.63</v>
      </c>
      <c r="G66" s="16">
        <v>910590.43</v>
      </c>
      <c r="H66" s="16">
        <v>32028133.260000002</v>
      </c>
      <c r="I66" s="16">
        <v>4662132.82</v>
      </c>
      <c r="J66" s="16">
        <v>81663910.449999988</v>
      </c>
      <c r="K66" s="16">
        <v>0</v>
      </c>
      <c r="L66" s="16">
        <v>0</v>
      </c>
      <c r="M66" s="16">
        <v>0</v>
      </c>
      <c r="N66" s="18">
        <f t="shared" si="1"/>
        <v>753320664.20639229</v>
      </c>
      <c r="O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2430520756.7199998</v>
      </c>
      <c r="C67" s="16">
        <v>0</v>
      </c>
      <c r="D67" s="16">
        <v>11355941.550000001</v>
      </c>
      <c r="E67" s="16">
        <v>29031795.32</v>
      </c>
      <c r="F67" s="16">
        <v>47938508.759999998</v>
      </c>
      <c r="G67" s="16">
        <v>17217852.286352955</v>
      </c>
      <c r="H67" s="16">
        <v>143687460.21000001</v>
      </c>
      <c r="I67" s="16">
        <v>125273949.17</v>
      </c>
      <c r="J67" s="16">
        <v>526169099.89000022</v>
      </c>
      <c r="K67" s="16">
        <v>0</v>
      </c>
      <c r="L67" s="16">
        <v>0</v>
      </c>
      <c r="M67" s="16">
        <v>0</v>
      </c>
      <c r="N67" s="18">
        <f t="shared" si="1"/>
        <v>3331195363.906354</v>
      </c>
      <c r="O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1520350838.0299997</v>
      </c>
      <c r="C68" s="16">
        <v>0</v>
      </c>
      <c r="D68" s="16">
        <v>13433548.5</v>
      </c>
      <c r="E68" s="16">
        <v>19725214.84</v>
      </c>
      <c r="F68" s="16">
        <v>42276712.359999999</v>
      </c>
      <c r="G68" s="16">
        <v>18081699.487255827</v>
      </c>
      <c r="H68" s="16">
        <v>89880059.629999995</v>
      </c>
      <c r="I68" s="16">
        <v>110478420.20999999</v>
      </c>
      <c r="J68" s="16">
        <v>441898179.0399999</v>
      </c>
      <c r="K68" s="16">
        <v>0</v>
      </c>
      <c r="L68" s="16">
        <v>0</v>
      </c>
      <c r="M68" s="16">
        <v>0</v>
      </c>
      <c r="N68" s="18">
        <f t="shared" si="1"/>
        <v>2256124672.0972552</v>
      </c>
      <c r="O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5430208424.9200001</v>
      </c>
      <c r="C69" s="16">
        <v>0</v>
      </c>
      <c r="D69" s="16">
        <v>13695738.03768789</v>
      </c>
      <c r="E69" s="16">
        <v>70452177.929999992</v>
      </c>
      <c r="F69" s="16">
        <v>124770855.23</v>
      </c>
      <c r="G69" s="16">
        <v>18804459.027311049</v>
      </c>
      <c r="H69" s="16">
        <v>321022914.44999999</v>
      </c>
      <c r="I69" s="16">
        <v>326053900.70999998</v>
      </c>
      <c r="J69" s="16">
        <v>1031909254.4399996</v>
      </c>
      <c r="K69" s="16">
        <v>0</v>
      </c>
      <c r="L69" s="16">
        <v>0</v>
      </c>
      <c r="M69" s="16">
        <v>0</v>
      </c>
      <c r="N69" s="18">
        <f t="shared" si="1"/>
        <v>7336917724.7449989</v>
      </c>
      <c r="O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1127870770.54</v>
      </c>
      <c r="C70" s="16">
        <v>0</v>
      </c>
      <c r="D70" s="16">
        <v>162829905.12385577</v>
      </c>
      <c r="E70" s="16">
        <v>14633131.17</v>
      </c>
      <c r="F70" s="16">
        <v>27709382.030000001</v>
      </c>
      <c r="G70" s="16">
        <v>8837205.5099999998</v>
      </c>
      <c r="H70" s="16">
        <v>66677433.640000001</v>
      </c>
      <c r="I70" s="16">
        <v>72410757.170000002</v>
      </c>
      <c r="J70" s="16">
        <v>438624527.05999982</v>
      </c>
      <c r="K70" s="16">
        <v>0</v>
      </c>
      <c r="L70" s="16">
        <v>0</v>
      </c>
      <c r="M70" s="16">
        <v>0</v>
      </c>
      <c r="N70" s="18">
        <f t="shared" si="1"/>
        <v>1919593112.243856</v>
      </c>
      <c r="O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4394250653.3899994</v>
      </c>
      <c r="C71" s="16">
        <v>0</v>
      </c>
      <c r="D71" s="16">
        <v>7766201.6500000013</v>
      </c>
      <c r="E71" s="16">
        <v>0</v>
      </c>
      <c r="F71" s="16">
        <v>17447376.059999999</v>
      </c>
      <c r="G71" s="16">
        <v>8583434.4100000001</v>
      </c>
      <c r="H71" s="16">
        <v>259779191</v>
      </c>
      <c r="I71" s="16">
        <v>45593860.93</v>
      </c>
      <c r="J71" s="16">
        <v>366584333.46000022</v>
      </c>
      <c r="K71" s="16">
        <v>0</v>
      </c>
      <c r="L71" s="16">
        <v>0</v>
      </c>
      <c r="M71" s="16">
        <v>0</v>
      </c>
      <c r="N71" s="18">
        <f t="shared" si="1"/>
        <v>5100005050.8999996</v>
      </c>
      <c r="O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19390029876.180004</v>
      </c>
      <c r="C72" s="16">
        <v>0</v>
      </c>
      <c r="D72" s="16">
        <v>80222446.268111259</v>
      </c>
      <c r="E72" s="16">
        <v>231607723.18000001</v>
      </c>
      <c r="F72" s="16">
        <v>507669496.50999999</v>
      </c>
      <c r="G72" s="16">
        <v>0</v>
      </c>
      <c r="H72" s="16">
        <v>1146299260.53</v>
      </c>
      <c r="I72" s="16">
        <v>1326652919.75</v>
      </c>
      <c r="J72" s="16">
        <v>5370817853.1299992</v>
      </c>
      <c r="K72" s="16">
        <v>0</v>
      </c>
      <c r="L72" s="16">
        <v>0</v>
      </c>
      <c r="M72" s="16">
        <v>0</v>
      </c>
      <c r="N72" s="18">
        <f t="shared" ref="N72:N103" si="2">SUM(B72:M72)</f>
        <v>28053299575.548111</v>
      </c>
      <c r="O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8976633920.4400005</v>
      </c>
      <c r="C73" s="16">
        <v>0</v>
      </c>
      <c r="D73" s="16">
        <v>139767791.21086946</v>
      </c>
      <c r="E73" s="16">
        <v>107223029.43000001</v>
      </c>
      <c r="F73" s="16">
        <v>188431661.47</v>
      </c>
      <c r="G73" s="16">
        <v>77843472.186395392</v>
      </c>
      <c r="H73" s="16">
        <v>530680400.75</v>
      </c>
      <c r="I73" s="16">
        <v>492413698.07999998</v>
      </c>
      <c r="J73" s="16">
        <v>2339491121.5399995</v>
      </c>
      <c r="K73" s="16">
        <v>0</v>
      </c>
      <c r="L73" s="16">
        <v>0</v>
      </c>
      <c r="M73" s="16">
        <v>0</v>
      </c>
      <c r="N73" s="18">
        <f t="shared" si="2"/>
        <v>12852485095.107264</v>
      </c>
      <c r="O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4673718196.8500004</v>
      </c>
      <c r="C74" s="16">
        <v>0</v>
      </c>
      <c r="D74" s="16">
        <v>38141678.889999993</v>
      </c>
      <c r="E74" s="16">
        <v>55826073.359999999</v>
      </c>
      <c r="F74" s="16">
        <v>136807087.34</v>
      </c>
      <c r="G74" s="16">
        <v>130596679.24478725</v>
      </c>
      <c r="H74" s="16">
        <v>276300745.66000003</v>
      </c>
      <c r="I74" s="16">
        <v>357507243.07999998</v>
      </c>
      <c r="J74" s="16">
        <v>1255016443.9300003</v>
      </c>
      <c r="K74" s="16">
        <v>0</v>
      </c>
      <c r="L74" s="16">
        <v>0</v>
      </c>
      <c r="M74" s="16">
        <v>0</v>
      </c>
      <c r="N74" s="18">
        <f t="shared" si="2"/>
        <v>6923914148.3547878</v>
      </c>
      <c r="O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791810254.6400001</v>
      </c>
      <c r="C75" s="16">
        <v>0</v>
      </c>
      <c r="D75" s="16">
        <v>74839890.011006683</v>
      </c>
      <c r="E75" s="16">
        <v>10273041.59</v>
      </c>
      <c r="F75" s="16">
        <v>2486865.4300000002</v>
      </c>
      <c r="G75" s="16">
        <v>985228.99</v>
      </c>
      <c r="H75" s="16">
        <v>46810217.170000002</v>
      </c>
      <c r="I75" s="16">
        <v>6498730.5999999996</v>
      </c>
      <c r="J75" s="16">
        <v>141434313.39999995</v>
      </c>
      <c r="K75" s="16">
        <v>0</v>
      </c>
      <c r="L75" s="16">
        <v>0</v>
      </c>
      <c r="M75" s="16">
        <v>0</v>
      </c>
      <c r="N75" s="18">
        <f t="shared" si="2"/>
        <v>1075138541.8310068</v>
      </c>
      <c r="O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799729802.3900001</v>
      </c>
      <c r="C76" s="16">
        <v>0</v>
      </c>
      <c r="D76" s="16">
        <v>125430690.02173619</v>
      </c>
      <c r="E76" s="16">
        <v>10375790.75</v>
      </c>
      <c r="F76" s="16">
        <v>4477340.7300000004</v>
      </c>
      <c r="G76" s="16">
        <v>2313795.36</v>
      </c>
      <c r="H76" s="16">
        <v>47278404.780000001</v>
      </c>
      <c r="I76" s="16">
        <v>11700283.75</v>
      </c>
      <c r="J76" s="16">
        <v>210022187.57000005</v>
      </c>
      <c r="K76" s="16">
        <v>0</v>
      </c>
      <c r="L76" s="16">
        <v>0</v>
      </c>
      <c r="M76" s="16">
        <v>0</v>
      </c>
      <c r="N76" s="18">
        <f t="shared" si="2"/>
        <v>1211328295.3517363</v>
      </c>
      <c r="O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896411872.16000009</v>
      </c>
      <c r="C77" s="16">
        <v>0</v>
      </c>
      <c r="D77" s="16">
        <v>115229105.37908517</v>
      </c>
      <c r="E77" s="16">
        <v>11630155.560000001</v>
      </c>
      <c r="F77" s="16">
        <v>5258786.58</v>
      </c>
      <c r="G77" s="16">
        <v>1477843.49</v>
      </c>
      <c r="H77" s="16">
        <v>52994052.759999998</v>
      </c>
      <c r="I77" s="16">
        <v>13742374.99</v>
      </c>
      <c r="J77" s="16">
        <v>142707400.24000004</v>
      </c>
      <c r="K77" s="16">
        <v>0</v>
      </c>
      <c r="L77" s="16">
        <v>0</v>
      </c>
      <c r="M77" s="16">
        <v>0</v>
      </c>
      <c r="N77" s="18">
        <f t="shared" si="2"/>
        <v>1239451591.1590853</v>
      </c>
      <c r="O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344529229.19999999</v>
      </c>
      <c r="C78" s="16">
        <v>0</v>
      </c>
      <c r="D78" s="16">
        <v>38291189.655665971</v>
      </c>
      <c r="E78" s="16">
        <v>4469963.7</v>
      </c>
      <c r="F78" s="16">
        <v>1867606.45</v>
      </c>
      <c r="G78" s="16">
        <v>522469.92</v>
      </c>
      <c r="H78" s="16">
        <v>20367869.640000001</v>
      </c>
      <c r="I78" s="16">
        <v>4880469.62</v>
      </c>
      <c r="J78" s="16">
        <v>61199743.829999998</v>
      </c>
      <c r="K78" s="16">
        <v>0</v>
      </c>
      <c r="L78" s="16">
        <v>0</v>
      </c>
      <c r="M78" s="16">
        <v>0</v>
      </c>
      <c r="N78" s="18">
        <f t="shared" si="2"/>
        <v>476128542.01566595</v>
      </c>
      <c r="O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1772880357.8600001</v>
      </c>
      <c r="C79" s="16">
        <v>0</v>
      </c>
      <c r="D79" s="16">
        <v>296786263.55378807</v>
      </c>
      <c r="E79" s="16">
        <v>23001563.219999999</v>
      </c>
      <c r="F79" s="16">
        <v>9387179.7899999991</v>
      </c>
      <c r="G79" s="16">
        <v>3881205.12</v>
      </c>
      <c r="H79" s="16">
        <v>104809092.94</v>
      </c>
      <c r="I79" s="16">
        <v>24530781.52</v>
      </c>
      <c r="J79" s="16">
        <v>331521933.44000006</v>
      </c>
      <c r="K79" s="16">
        <v>0</v>
      </c>
      <c r="L79" s="16">
        <v>0</v>
      </c>
      <c r="M79" s="16">
        <v>0</v>
      </c>
      <c r="N79" s="18">
        <f t="shared" si="2"/>
        <v>2566798377.4437881</v>
      </c>
      <c r="O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945461041.81999993</v>
      </c>
      <c r="C80" s="16">
        <v>0</v>
      </c>
      <c r="D80" s="16">
        <v>333558704.37995827</v>
      </c>
      <c r="E80" s="16">
        <v>12266525.399999999</v>
      </c>
      <c r="F80" s="16">
        <v>3037317.86</v>
      </c>
      <c r="G80" s="16">
        <v>1552482.05</v>
      </c>
      <c r="H80" s="16">
        <v>55893740.240000002</v>
      </c>
      <c r="I80" s="16">
        <v>7937184.7999999998</v>
      </c>
      <c r="J80" s="16">
        <v>214257698.88999996</v>
      </c>
      <c r="K80" s="16">
        <v>0</v>
      </c>
      <c r="L80" s="16">
        <v>0</v>
      </c>
      <c r="M80" s="16">
        <v>0</v>
      </c>
      <c r="N80" s="18">
        <f t="shared" si="2"/>
        <v>1573964695.4399581</v>
      </c>
      <c r="O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530840924.84999996</v>
      </c>
      <c r="C81" s="16">
        <v>0</v>
      </c>
      <c r="D81" s="16">
        <v>74361737.18355599</v>
      </c>
      <c r="E81" s="16">
        <v>6887194.0800000001</v>
      </c>
      <c r="F81" s="16">
        <v>7888179.8799999999</v>
      </c>
      <c r="G81" s="16">
        <v>3552795.46</v>
      </c>
      <c r="H81" s="16">
        <v>31382239.41</v>
      </c>
      <c r="I81" s="16">
        <v>20613562.48</v>
      </c>
      <c r="J81" s="16">
        <v>250502891.26000011</v>
      </c>
      <c r="K81" s="16">
        <v>0</v>
      </c>
      <c r="L81" s="16">
        <v>0</v>
      </c>
      <c r="M81" s="16">
        <v>0</v>
      </c>
      <c r="N81" s="18">
        <f t="shared" si="2"/>
        <v>926029524.60355616</v>
      </c>
      <c r="O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8621612735.5599995</v>
      </c>
      <c r="C82" s="16">
        <v>0</v>
      </c>
      <c r="D82" s="16">
        <v>38193798.340000004</v>
      </c>
      <c r="E82" s="16">
        <v>102982414.59999999</v>
      </c>
      <c r="F82" s="16">
        <v>227341767.46000001</v>
      </c>
      <c r="G82" s="16">
        <v>138003832.60066915</v>
      </c>
      <c r="H82" s="16">
        <v>509692267.95999998</v>
      </c>
      <c r="I82" s="16">
        <v>594094429.63</v>
      </c>
      <c r="J82" s="16">
        <v>2079388207.5300009</v>
      </c>
      <c r="K82" s="16">
        <v>0</v>
      </c>
      <c r="L82" s="16">
        <v>0</v>
      </c>
      <c r="M82" s="16">
        <v>0</v>
      </c>
      <c r="N82" s="18">
        <f t="shared" si="2"/>
        <v>12311309453.680668</v>
      </c>
      <c r="O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2228803517.5199995</v>
      </c>
      <c r="C83" s="16">
        <v>0</v>
      </c>
      <c r="D83" s="16">
        <v>73220946.56108436</v>
      </c>
      <c r="E83" s="16">
        <v>26622347.23</v>
      </c>
      <c r="F83" s="16">
        <v>25173369.059999999</v>
      </c>
      <c r="G83" s="16">
        <v>9449241.7100000009</v>
      </c>
      <c r="H83" s="16">
        <v>131762345.93000001</v>
      </c>
      <c r="I83" s="16">
        <v>65783593.159999996</v>
      </c>
      <c r="J83" s="16">
        <v>450045166.3499999</v>
      </c>
      <c r="K83" s="16">
        <v>0</v>
      </c>
      <c r="L83" s="16">
        <v>0</v>
      </c>
      <c r="M83" s="16">
        <v>0</v>
      </c>
      <c r="N83" s="18">
        <f t="shared" si="2"/>
        <v>3010860527.5210834</v>
      </c>
      <c r="O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937079038.73999989</v>
      </c>
      <c r="C84" s="16">
        <v>0</v>
      </c>
      <c r="D84" s="16">
        <v>52300369.056952432</v>
      </c>
      <c r="E84" s="16">
        <v>12157776.27</v>
      </c>
      <c r="F84" s="16">
        <v>5052366.92</v>
      </c>
      <c r="G84" s="16">
        <v>1027247.9461881912</v>
      </c>
      <c r="H84" s="16">
        <v>55398213.210000001</v>
      </c>
      <c r="I84" s="16">
        <v>13202954.66</v>
      </c>
      <c r="J84" s="16">
        <v>185065714.92999995</v>
      </c>
      <c r="K84" s="16">
        <v>0</v>
      </c>
      <c r="L84" s="16">
        <v>0</v>
      </c>
      <c r="M84" s="16">
        <v>0</v>
      </c>
      <c r="N84" s="18">
        <f t="shared" si="2"/>
        <v>1261283681.7331405</v>
      </c>
      <c r="O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749929142.79999995</v>
      </c>
      <c r="C85" s="16">
        <v>0</v>
      </c>
      <c r="D85" s="16">
        <v>57355095.283416428</v>
      </c>
      <c r="E85" s="16">
        <v>9729670.9899999984</v>
      </c>
      <c r="F85" s="16">
        <v>2388570.35</v>
      </c>
      <c r="G85" s="16">
        <v>970301.28</v>
      </c>
      <c r="H85" s="16">
        <v>44334290.740000002</v>
      </c>
      <c r="I85" s="16">
        <v>6241863.7800000003</v>
      </c>
      <c r="J85" s="16">
        <v>109097395.13000008</v>
      </c>
      <c r="K85" s="16">
        <v>0</v>
      </c>
      <c r="L85" s="16">
        <v>0</v>
      </c>
      <c r="M85" s="16">
        <v>0</v>
      </c>
      <c r="N85" s="18">
        <f t="shared" si="2"/>
        <v>980046330.35341644</v>
      </c>
      <c r="O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9370443547.0599976</v>
      </c>
      <c r="C86" s="16">
        <v>0</v>
      </c>
      <c r="D86" s="16">
        <v>20497955.239999998</v>
      </c>
      <c r="E86" s="16">
        <v>111926959.83</v>
      </c>
      <c r="F86" s="16">
        <v>142640900.12</v>
      </c>
      <c r="G86" s="16">
        <v>43910179.853401303</v>
      </c>
      <c r="H86" s="16">
        <v>553961627.58000004</v>
      </c>
      <c r="I86" s="16">
        <v>372752288.98000002</v>
      </c>
      <c r="J86" s="16">
        <v>918021133.5200001</v>
      </c>
      <c r="K86" s="16">
        <v>0</v>
      </c>
      <c r="L86" s="16">
        <v>0</v>
      </c>
      <c r="M86" s="16">
        <v>0</v>
      </c>
      <c r="N86" s="18">
        <f t="shared" si="2"/>
        <v>11534154592.183399</v>
      </c>
      <c r="O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1460058222.8900001</v>
      </c>
      <c r="C87" s="16">
        <v>0</v>
      </c>
      <c r="D87" s="16">
        <v>66049094.93511945</v>
      </c>
      <c r="E87" s="16">
        <v>18942971.190000001</v>
      </c>
      <c r="F87" s="16">
        <v>4049757.14</v>
      </c>
      <c r="G87" s="16">
        <v>2821337.57</v>
      </c>
      <c r="H87" s="16">
        <v>86315682.439999998</v>
      </c>
      <c r="I87" s="16">
        <v>10582913.07</v>
      </c>
      <c r="J87" s="16">
        <v>207582317.93000007</v>
      </c>
      <c r="K87" s="16">
        <v>0</v>
      </c>
      <c r="L87" s="16">
        <v>0</v>
      </c>
      <c r="M87" s="16">
        <v>0</v>
      </c>
      <c r="N87" s="18">
        <f t="shared" si="2"/>
        <v>1856402297.1651196</v>
      </c>
      <c r="O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1341120489.79</v>
      </c>
      <c r="C88" s="16">
        <v>0</v>
      </c>
      <c r="D88" s="16">
        <v>25105923.088499103</v>
      </c>
      <c r="E88" s="16">
        <v>17399858.710000001</v>
      </c>
      <c r="F88" s="16">
        <v>19875264.440000001</v>
      </c>
      <c r="G88" s="16">
        <v>5702385.9900000002</v>
      </c>
      <c r="H88" s="16">
        <v>79284324.760000005</v>
      </c>
      <c r="I88" s="16">
        <v>51938471.439999998</v>
      </c>
      <c r="J88" s="16">
        <v>315991298.47000003</v>
      </c>
      <c r="K88" s="16">
        <v>0</v>
      </c>
      <c r="L88" s="16">
        <v>0</v>
      </c>
      <c r="M88" s="16">
        <v>0</v>
      </c>
      <c r="N88" s="18">
        <f t="shared" si="2"/>
        <v>1856418016.6884992</v>
      </c>
      <c r="O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1897540975.8099999</v>
      </c>
      <c r="C89" s="16">
        <v>0</v>
      </c>
      <c r="D89" s="16">
        <v>64601778.379726604</v>
      </c>
      <c r="E89" s="16">
        <v>24618925.090000004</v>
      </c>
      <c r="F89" s="16">
        <v>16715077.74</v>
      </c>
      <c r="G89" s="16">
        <v>6209928.2000000002</v>
      </c>
      <c r="H89" s="16">
        <v>112178775.97</v>
      </c>
      <c r="I89" s="16">
        <v>43680203.109999999</v>
      </c>
      <c r="J89" s="16">
        <v>324505226.90000015</v>
      </c>
      <c r="K89" s="16">
        <v>0</v>
      </c>
      <c r="L89" s="16">
        <v>0</v>
      </c>
      <c r="M89" s="16">
        <v>0</v>
      </c>
      <c r="N89" s="18">
        <f t="shared" si="2"/>
        <v>2490050891.1997266</v>
      </c>
      <c r="O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8618173223.9499989</v>
      </c>
      <c r="C90" s="16">
        <v>0</v>
      </c>
      <c r="D90" s="16">
        <v>26830616.827046469</v>
      </c>
      <c r="E90" s="16">
        <v>102941330.72</v>
      </c>
      <c r="F90" s="16">
        <v>226737252.74000001</v>
      </c>
      <c r="G90" s="16">
        <v>58761416.299611241</v>
      </c>
      <c r="H90" s="16">
        <v>509488931.00999999</v>
      </c>
      <c r="I90" s="16">
        <v>592514698.67999995</v>
      </c>
      <c r="J90" s="16">
        <v>1891662970.5000007</v>
      </c>
      <c r="K90" s="16">
        <v>0</v>
      </c>
      <c r="L90" s="16">
        <v>0</v>
      </c>
      <c r="M90" s="16">
        <v>0</v>
      </c>
      <c r="N90" s="18">
        <f t="shared" si="2"/>
        <v>12027110440.726658</v>
      </c>
      <c r="O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398116241.88</v>
      </c>
      <c r="C91" s="16">
        <v>0</v>
      </c>
      <c r="D91" s="16">
        <v>111001764.85957387</v>
      </c>
      <c r="E91" s="16">
        <v>5165208.0599999996</v>
      </c>
      <c r="F91" s="16">
        <v>5263701.34</v>
      </c>
      <c r="G91" s="16">
        <v>2119735.11</v>
      </c>
      <c r="H91" s="16">
        <v>23535825.199999999</v>
      </c>
      <c r="I91" s="16">
        <v>13755218.33</v>
      </c>
      <c r="J91" s="16">
        <v>145886915.44000003</v>
      </c>
      <c r="K91" s="16">
        <v>0</v>
      </c>
      <c r="L91" s="16">
        <v>0</v>
      </c>
      <c r="M91" s="16">
        <v>0</v>
      </c>
      <c r="N91" s="18">
        <f t="shared" si="2"/>
        <v>704844610.21957397</v>
      </c>
      <c r="O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551969353.26999998</v>
      </c>
      <c r="C92" s="16">
        <v>0</v>
      </c>
      <c r="D92" s="16">
        <v>1247676.51</v>
      </c>
      <c r="E92" s="16">
        <v>7435472.4000000004</v>
      </c>
      <c r="F92" s="16">
        <v>1125478.6200000001</v>
      </c>
      <c r="G92" s="16">
        <v>716530.18</v>
      </c>
      <c r="H92" s="16">
        <v>32631309.27</v>
      </c>
      <c r="I92" s="16">
        <v>2941125.11</v>
      </c>
      <c r="J92" s="16">
        <v>56726649.409999974</v>
      </c>
      <c r="K92" s="16">
        <v>0</v>
      </c>
      <c r="L92" s="16">
        <v>0</v>
      </c>
      <c r="M92" s="16">
        <v>0</v>
      </c>
      <c r="N92" s="18">
        <f t="shared" si="2"/>
        <v>654793594.76999986</v>
      </c>
      <c r="O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6244332149.8899994</v>
      </c>
      <c r="C93" s="16">
        <v>0</v>
      </c>
      <c r="D93" s="16">
        <v>27846958.995226245</v>
      </c>
      <c r="E93" s="16">
        <v>74586556.150000006</v>
      </c>
      <c r="F93" s="16">
        <v>183762645.34</v>
      </c>
      <c r="G93" s="16">
        <v>28970598.259372283</v>
      </c>
      <c r="H93" s="16">
        <v>369152258.75</v>
      </c>
      <c r="I93" s="16">
        <v>480212524.02999997</v>
      </c>
      <c r="J93" s="16">
        <v>1952828133.5999999</v>
      </c>
      <c r="K93" s="16">
        <v>0</v>
      </c>
      <c r="L93" s="16">
        <v>0</v>
      </c>
      <c r="M93" s="16">
        <v>0</v>
      </c>
      <c r="N93" s="18">
        <f t="shared" si="2"/>
        <v>9361691825.0145969</v>
      </c>
      <c r="O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3211145372.9200001</v>
      </c>
      <c r="C94" s="16">
        <v>0</v>
      </c>
      <c r="D94" s="16">
        <v>28712914.309999999</v>
      </c>
      <c r="E94" s="16">
        <v>38356107.409999996</v>
      </c>
      <c r="F94" s="16">
        <v>83093742.840000004</v>
      </c>
      <c r="G94" s="16">
        <v>32851355.015347868</v>
      </c>
      <c r="H94" s="16">
        <v>189836405.09999999</v>
      </c>
      <c r="I94" s="16">
        <v>217142368.11000001</v>
      </c>
      <c r="J94" s="16">
        <v>922293787.18999946</v>
      </c>
      <c r="K94" s="16">
        <v>0</v>
      </c>
      <c r="L94" s="16">
        <v>0</v>
      </c>
      <c r="M94" s="16">
        <v>0</v>
      </c>
      <c r="N94" s="18">
        <f t="shared" si="2"/>
        <v>4723432052.8953476</v>
      </c>
      <c r="O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652640100.37000012</v>
      </c>
      <c r="C95" s="16">
        <v>0</v>
      </c>
      <c r="D95" s="16">
        <v>53512046.792810529</v>
      </c>
      <c r="E95" s="16">
        <v>8467431.25</v>
      </c>
      <c r="F95" s="16">
        <v>4074330.91</v>
      </c>
      <c r="G95" s="16">
        <v>1701759.17</v>
      </c>
      <c r="H95" s="16">
        <v>38582759.770000003</v>
      </c>
      <c r="I95" s="16">
        <v>10647129.779999999</v>
      </c>
      <c r="J95" s="16">
        <v>147414235.46000004</v>
      </c>
      <c r="K95" s="16">
        <v>0</v>
      </c>
      <c r="L95" s="16">
        <v>0</v>
      </c>
      <c r="M95" s="16">
        <v>0</v>
      </c>
      <c r="N95" s="18">
        <f t="shared" si="2"/>
        <v>917039793.5028106</v>
      </c>
      <c r="O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2009166133.8400002</v>
      </c>
      <c r="C96" s="16">
        <v>0</v>
      </c>
      <c r="D96" s="16">
        <v>181767803.8435564</v>
      </c>
      <c r="E96" s="16">
        <v>638548</v>
      </c>
      <c r="F96" s="16">
        <v>22833946.239999998</v>
      </c>
      <c r="G96" s="16">
        <v>8702856.0999999996</v>
      </c>
      <c r="H96" s="16">
        <v>118777829.04000001</v>
      </c>
      <c r="I96" s="16">
        <v>59670162.789999999</v>
      </c>
      <c r="J96" s="16">
        <v>499553387.86999995</v>
      </c>
      <c r="K96" s="16">
        <v>0</v>
      </c>
      <c r="L96" s="16">
        <v>0</v>
      </c>
      <c r="M96" s="16">
        <v>0</v>
      </c>
      <c r="N96" s="18">
        <f t="shared" si="2"/>
        <v>2901110667.723556</v>
      </c>
      <c r="O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1019945255.2400001</v>
      </c>
      <c r="C97" s="16">
        <v>0</v>
      </c>
      <c r="D97" s="16">
        <v>218488667.1016781</v>
      </c>
      <c r="E97" s="16">
        <v>13232892.550000001</v>
      </c>
      <c r="F97" s="16">
        <v>10542146.939999999</v>
      </c>
      <c r="G97" s="16">
        <v>4478313.5999999996</v>
      </c>
      <c r="H97" s="16">
        <v>60297095.950000003</v>
      </c>
      <c r="I97" s="16">
        <v>27548966.68</v>
      </c>
      <c r="J97" s="16">
        <v>339504341.7100001</v>
      </c>
      <c r="K97" s="16">
        <v>0</v>
      </c>
      <c r="L97" s="16">
        <v>0</v>
      </c>
      <c r="M97" s="16">
        <v>0</v>
      </c>
      <c r="N97" s="18">
        <f t="shared" si="2"/>
        <v>1694037679.7716782</v>
      </c>
      <c r="O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2934654885.71</v>
      </c>
      <c r="C98" s="16">
        <v>0</v>
      </c>
      <c r="D98" s="16">
        <v>241946229.57860735</v>
      </c>
      <c r="E98" s="16">
        <v>35053516.709999993</v>
      </c>
      <c r="F98" s="16">
        <v>24514792.050000001</v>
      </c>
      <c r="G98" s="16">
        <v>10718097.23</v>
      </c>
      <c r="H98" s="16">
        <v>173490847.97999999</v>
      </c>
      <c r="I98" s="16">
        <v>64062585.450000003</v>
      </c>
      <c r="J98" s="16">
        <v>654576686.76999974</v>
      </c>
      <c r="K98" s="16">
        <v>0</v>
      </c>
      <c r="L98" s="16">
        <v>0</v>
      </c>
      <c r="M98" s="16">
        <v>0</v>
      </c>
      <c r="N98" s="18">
        <f t="shared" si="2"/>
        <v>4139017641.4786072</v>
      </c>
      <c r="O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2081482587.8199997</v>
      </c>
      <c r="C99" s="16">
        <v>0</v>
      </c>
      <c r="D99" s="16">
        <v>83899463.18883495</v>
      </c>
      <c r="E99" s="16">
        <v>27005405.710000001</v>
      </c>
      <c r="F99" s="16">
        <v>9087379.8100000005</v>
      </c>
      <c r="G99" s="16">
        <v>3209458.08</v>
      </c>
      <c r="H99" s="16">
        <v>123053031.2</v>
      </c>
      <c r="I99" s="16">
        <v>23747337.710000001</v>
      </c>
      <c r="J99" s="16">
        <v>429220462.4599998</v>
      </c>
      <c r="K99" s="16">
        <v>0</v>
      </c>
      <c r="L99" s="16">
        <v>0</v>
      </c>
      <c r="M99" s="16">
        <v>0</v>
      </c>
      <c r="N99" s="18">
        <f t="shared" si="2"/>
        <v>2780705125.9788342</v>
      </c>
      <c r="O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2199206375.6800003</v>
      </c>
      <c r="C100" s="16">
        <v>0</v>
      </c>
      <c r="D100" s="16">
        <v>209717531.10896206</v>
      </c>
      <c r="E100" s="16">
        <v>28532768.32</v>
      </c>
      <c r="F100" s="16">
        <v>10203028.93</v>
      </c>
      <c r="G100" s="16">
        <v>3821494.28</v>
      </c>
      <c r="H100" s="16">
        <v>130012622.90000001</v>
      </c>
      <c r="I100" s="16">
        <v>26662776.140000001</v>
      </c>
      <c r="J100" s="16">
        <v>331920893.78000015</v>
      </c>
      <c r="K100" s="16">
        <v>0</v>
      </c>
      <c r="L100" s="16">
        <v>0</v>
      </c>
      <c r="M100" s="16">
        <v>0</v>
      </c>
      <c r="N100" s="18">
        <f t="shared" si="2"/>
        <v>2940077491.1389627</v>
      </c>
      <c r="O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450633826.56999993</v>
      </c>
      <c r="C101" s="16">
        <v>0</v>
      </c>
      <c r="D101" s="16">
        <v>73787465.347548351</v>
      </c>
      <c r="E101" s="16">
        <v>5846577.5199999996</v>
      </c>
      <c r="F101" s="16">
        <v>1218858.94</v>
      </c>
      <c r="G101" s="16">
        <v>612036.18999999994</v>
      </c>
      <c r="H101" s="16">
        <v>26640558.350000001</v>
      </c>
      <c r="I101" s="16">
        <v>3185148.59</v>
      </c>
      <c r="J101" s="16">
        <v>76603582.360000014</v>
      </c>
      <c r="K101" s="16">
        <v>0</v>
      </c>
      <c r="L101" s="16">
        <v>0</v>
      </c>
      <c r="M101" s="16">
        <v>0</v>
      </c>
      <c r="N101" s="18">
        <f t="shared" si="2"/>
        <v>638528053.86754835</v>
      </c>
      <c r="O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1248860649.1900001</v>
      </c>
      <c r="C102" s="16">
        <v>0</v>
      </c>
      <c r="D102" s="16">
        <v>346808995.02962577</v>
      </c>
      <c r="E102" s="16">
        <v>14917242.18</v>
      </c>
      <c r="F102" s="16">
        <v>23600647.84</v>
      </c>
      <c r="G102" s="16">
        <v>9822434.5099999998</v>
      </c>
      <c r="H102" s="16">
        <v>73830110.010000005</v>
      </c>
      <c r="I102" s="16">
        <v>61673724</v>
      </c>
      <c r="J102" s="16">
        <v>493361498.12000006</v>
      </c>
      <c r="K102" s="16">
        <v>0</v>
      </c>
      <c r="L102" s="16">
        <v>0</v>
      </c>
      <c r="M102" s="16">
        <v>0</v>
      </c>
      <c r="N102" s="18">
        <f t="shared" si="2"/>
        <v>2272875300.8796258</v>
      </c>
      <c r="O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463553672.66999996</v>
      </c>
      <c r="C103" s="16">
        <v>0</v>
      </c>
      <c r="D103" s="16">
        <v>72734872.013041779</v>
      </c>
      <c r="E103" s="16">
        <v>6014201.1699999999</v>
      </c>
      <c r="F103" s="16">
        <v>584855.69999999995</v>
      </c>
      <c r="G103" s="16">
        <v>388120.51</v>
      </c>
      <c r="H103" s="16">
        <v>27404353.460000001</v>
      </c>
      <c r="I103" s="16">
        <v>1528357.59</v>
      </c>
      <c r="J103" s="16">
        <v>108286666.75000006</v>
      </c>
      <c r="K103" s="16">
        <v>0</v>
      </c>
      <c r="L103" s="16">
        <v>0</v>
      </c>
      <c r="M103" s="16">
        <v>0</v>
      </c>
      <c r="N103" s="18">
        <f t="shared" si="2"/>
        <v>680495099.86304188</v>
      </c>
      <c r="O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6950039000.7900009</v>
      </c>
      <c r="C104" s="16">
        <v>0</v>
      </c>
      <c r="D104" s="16">
        <v>57805048.453217089</v>
      </c>
      <c r="E104" s="16">
        <v>83015999.420000002</v>
      </c>
      <c r="F104" s="16">
        <v>119856101.41</v>
      </c>
      <c r="G104" s="16">
        <v>19962339.438115515</v>
      </c>
      <c r="H104" s="16">
        <v>410872217.23000002</v>
      </c>
      <c r="I104" s="16">
        <v>313210559.60000002</v>
      </c>
      <c r="J104" s="16">
        <v>1198129057.6499996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9152890323.991333</v>
      </c>
      <c r="O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1191227152.3099999</v>
      </c>
      <c r="C105" s="16">
        <v>0</v>
      </c>
      <c r="D105" s="16">
        <v>4310603.7399999993</v>
      </c>
      <c r="E105" s="16">
        <v>12331170.140000001</v>
      </c>
      <c r="F105" s="16">
        <v>5165406.26</v>
      </c>
      <c r="G105" s="16">
        <v>3358735.2</v>
      </c>
      <c r="H105" s="16">
        <v>70422934.5</v>
      </c>
      <c r="I105" s="16">
        <v>13498351.5</v>
      </c>
      <c r="J105" s="16">
        <v>156459683.97000006</v>
      </c>
      <c r="K105" s="16">
        <v>0</v>
      </c>
      <c r="L105" s="16">
        <v>0</v>
      </c>
      <c r="M105" s="16">
        <v>0</v>
      </c>
      <c r="N105" s="18">
        <f t="shared" si="3"/>
        <v>1456774037.6200001</v>
      </c>
      <c r="O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1270393726.04</v>
      </c>
      <c r="C106" s="16">
        <v>0</v>
      </c>
      <c r="D106" s="16">
        <v>4259874.5299999993</v>
      </c>
      <c r="E106" s="16">
        <v>16482241.16</v>
      </c>
      <c r="F106" s="16">
        <v>36600171.700000003</v>
      </c>
      <c r="G106" s="16">
        <v>11347165.541257299</v>
      </c>
      <c r="H106" s="16">
        <v>75103101.859999999</v>
      </c>
      <c r="I106" s="16">
        <v>95644361.230000004</v>
      </c>
      <c r="J106" s="16">
        <v>411205771.28999996</v>
      </c>
      <c r="K106" s="16">
        <v>0</v>
      </c>
      <c r="L106" s="16">
        <v>0</v>
      </c>
      <c r="M106" s="16">
        <v>0</v>
      </c>
      <c r="N106" s="18">
        <f t="shared" si="3"/>
        <v>1921036413.3512573</v>
      </c>
      <c r="O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1705217360.7599998</v>
      </c>
      <c r="C107" s="16">
        <v>0</v>
      </c>
      <c r="D107" s="16">
        <v>65291553.054953702</v>
      </c>
      <c r="E107" s="16">
        <v>22123695.359999999</v>
      </c>
      <c r="F107" s="16">
        <v>2034708.08</v>
      </c>
      <c r="G107" s="16">
        <v>1418132.64</v>
      </c>
      <c r="H107" s="16">
        <v>100808993.70999999</v>
      </c>
      <c r="I107" s="16">
        <v>5317143.22</v>
      </c>
      <c r="J107" s="16">
        <v>190510274.51999989</v>
      </c>
      <c r="K107" s="16">
        <v>0</v>
      </c>
      <c r="L107" s="16">
        <v>0</v>
      </c>
      <c r="M107" s="16">
        <v>0</v>
      </c>
      <c r="N107" s="18">
        <f t="shared" si="3"/>
        <v>2092721861.3449535</v>
      </c>
      <c r="O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623216379.25999999</v>
      </c>
      <c r="C108" s="16">
        <v>0</v>
      </c>
      <c r="D108" s="16">
        <v>37723351.512683317</v>
      </c>
      <c r="E108" s="16">
        <v>8085684.3399999999</v>
      </c>
      <c r="F108" s="16">
        <v>2064196.6</v>
      </c>
      <c r="G108" s="16">
        <v>1044939.84</v>
      </c>
      <c r="H108" s="16">
        <v>36843289.020000003</v>
      </c>
      <c r="I108" s="16">
        <v>5394203.2699999996</v>
      </c>
      <c r="J108" s="16">
        <v>101629857.05000003</v>
      </c>
      <c r="K108" s="16">
        <v>0</v>
      </c>
      <c r="L108" s="16">
        <v>0</v>
      </c>
      <c r="M108" s="16">
        <v>0</v>
      </c>
      <c r="N108" s="18">
        <f t="shared" si="3"/>
        <v>816001900.89268339</v>
      </c>
      <c r="O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5710109520.2700005</v>
      </c>
      <c r="C109" s="16">
        <v>0</v>
      </c>
      <c r="D109" s="16">
        <v>37175359.669482172</v>
      </c>
      <c r="E109" s="16">
        <v>68205437.199999988</v>
      </c>
      <c r="F109" s="16">
        <v>210754473.31999999</v>
      </c>
      <c r="G109" s="16">
        <v>86369726.839310721</v>
      </c>
      <c r="H109" s="16">
        <v>337570099.81999999</v>
      </c>
      <c r="I109" s="16">
        <v>550748153.38999999</v>
      </c>
      <c r="J109" s="16">
        <v>1854315674.2099993</v>
      </c>
      <c r="K109" s="16">
        <v>0</v>
      </c>
      <c r="L109" s="16">
        <v>0</v>
      </c>
      <c r="M109" s="16">
        <v>0</v>
      </c>
      <c r="N109" s="18">
        <f t="shared" si="3"/>
        <v>8855248444.718792</v>
      </c>
      <c r="O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660617454.99000001</v>
      </c>
      <c r="C110" s="16">
        <v>0</v>
      </c>
      <c r="D110" s="16">
        <v>80330733.873227075</v>
      </c>
      <c r="E110" s="16">
        <v>7890864.8200000003</v>
      </c>
      <c r="F110" s="16">
        <v>8055281.5099999998</v>
      </c>
      <c r="G110" s="16">
        <v>3388590.63</v>
      </c>
      <c r="H110" s="16">
        <v>39054364.799999997</v>
      </c>
      <c r="I110" s="16">
        <v>21050236.079999998</v>
      </c>
      <c r="J110" s="16">
        <v>214859021.04999986</v>
      </c>
      <c r="K110" s="16">
        <v>0</v>
      </c>
      <c r="L110" s="16">
        <v>0</v>
      </c>
      <c r="M110" s="16">
        <v>0</v>
      </c>
      <c r="N110" s="18">
        <f t="shared" si="3"/>
        <v>1035246547.753227</v>
      </c>
      <c r="O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788688681.11000001</v>
      </c>
      <c r="C111" s="16">
        <v>0</v>
      </c>
      <c r="D111" s="16">
        <v>89669012.328118488</v>
      </c>
      <c r="E111" s="16">
        <v>10232541.920000002</v>
      </c>
      <c r="F111" s="16">
        <v>2806324.43</v>
      </c>
      <c r="G111" s="16">
        <v>1418132.64</v>
      </c>
      <c r="H111" s="16">
        <v>46625676.07</v>
      </c>
      <c r="I111" s="16">
        <v>7333547.7699999996</v>
      </c>
      <c r="J111" s="16">
        <v>167387226.27000007</v>
      </c>
      <c r="K111" s="16">
        <v>0</v>
      </c>
      <c r="L111" s="16">
        <v>0</v>
      </c>
      <c r="M111" s="16">
        <v>0</v>
      </c>
      <c r="N111" s="18">
        <f t="shared" si="3"/>
        <v>1114161142.5381184</v>
      </c>
      <c r="O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1135183345.6099999</v>
      </c>
      <c r="C112" s="16">
        <v>0</v>
      </c>
      <c r="D112" s="16">
        <v>182527677.0715149</v>
      </c>
      <c r="E112" s="16">
        <v>14728005.41</v>
      </c>
      <c r="F112" s="16">
        <v>3410839.15</v>
      </c>
      <c r="G112" s="16">
        <v>1686831.46</v>
      </c>
      <c r="H112" s="16">
        <v>67109738.260000005</v>
      </c>
      <c r="I112" s="16">
        <v>8913278.7300000004</v>
      </c>
      <c r="J112" s="16">
        <v>175587365.61000004</v>
      </c>
      <c r="K112" s="16">
        <v>0</v>
      </c>
      <c r="L112" s="16">
        <v>0</v>
      </c>
      <c r="M112" s="16">
        <v>0</v>
      </c>
      <c r="N112" s="18">
        <f t="shared" si="3"/>
        <v>1589147081.3015151</v>
      </c>
      <c r="O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898550728.13999987</v>
      </c>
      <c r="C113" s="16">
        <v>0</v>
      </c>
      <c r="D113" s="16">
        <v>294141932.23546749</v>
      </c>
      <c r="E113" s="16">
        <v>11657905.34</v>
      </c>
      <c r="F113" s="16">
        <v>4806629.2300000004</v>
      </c>
      <c r="G113" s="16">
        <v>2179445.9500000002</v>
      </c>
      <c r="H113" s="16">
        <v>53120497.590000004</v>
      </c>
      <c r="I113" s="16">
        <v>12560787.6</v>
      </c>
      <c r="J113" s="16">
        <v>171476729.58999997</v>
      </c>
      <c r="K113" s="16">
        <v>0</v>
      </c>
      <c r="L113" s="16">
        <v>0</v>
      </c>
      <c r="M113" s="16">
        <v>0</v>
      </c>
      <c r="N113" s="18">
        <f t="shared" si="3"/>
        <v>1448494655.675467</v>
      </c>
      <c r="O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549917207.66000009</v>
      </c>
      <c r="C114" s="16">
        <v>0</v>
      </c>
      <c r="D114" s="16">
        <v>62761243.707131788</v>
      </c>
      <c r="E114" s="16">
        <v>7134692.0599999996</v>
      </c>
      <c r="F114" s="16">
        <v>2909534.26</v>
      </c>
      <c r="G114" s="16">
        <v>1194216.96</v>
      </c>
      <c r="H114" s="16">
        <v>32509990.579999998</v>
      </c>
      <c r="I114" s="16">
        <v>7603257.9400000004</v>
      </c>
      <c r="J114" s="16">
        <v>130991543.18999997</v>
      </c>
      <c r="K114" s="16">
        <v>0</v>
      </c>
      <c r="L114" s="16">
        <v>0</v>
      </c>
      <c r="M114" s="16">
        <v>0</v>
      </c>
      <c r="N114" s="18">
        <f t="shared" si="3"/>
        <v>795021686.35713184</v>
      </c>
      <c r="O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1364647905.3200002</v>
      </c>
      <c r="C115" s="16">
        <v>0</v>
      </c>
      <c r="D115" s="16">
        <v>50333013.459814698</v>
      </c>
      <c r="E115" s="16">
        <v>17705106.239999998</v>
      </c>
      <c r="F115" s="16">
        <v>3012744.09</v>
      </c>
      <c r="G115" s="16">
        <v>1925674.85</v>
      </c>
      <c r="H115" s="16">
        <v>80675217.870000005</v>
      </c>
      <c r="I115" s="16">
        <v>7872968.0999999996</v>
      </c>
      <c r="J115" s="16">
        <v>175516282.85999998</v>
      </c>
      <c r="K115" s="16">
        <v>0</v>
      </c>
      <c r="L115" s="16">
        <v>0</v>
      </c>
      <c r="M115" s="16">
        <v>0</v>
      </c>
      <c r="N115" s="18">
        <f t="shared" si="3"/>
        <v>1701688912.7898147</v>
      </c>
      <c r="O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859588865.5999999</v>
      </c>
      <c r="C116" s="16">
        <v>0</v>
      </c>
      <c r="D116" s="16">
        <v>90318894.119372174</v>
      </c>
      <c r="E116" s="16">
        <v>11152409.440000001</v>
      </c>
      <c r="F116" s="16">
        <v>8315763.46</v>
      </c>
      <c r="G116" s="16">
        <v>3030325.54</v>
      </c>
      <c r="H116" s="16">
        <v>50817151.259999998</v>
      </c>
      <c r="I116" s="16">
        <v>21730933.149999999</v>
      </c>
      <c r="J116" s="16">
        <v>238105023.40999988</v>
      </c>
      <c r="K116" s="16">
        <v>0</v>
      </c>
      <c r="L116" s="16">
        <v>0</v>
      </c>
      <c r="M116" s="16">
        <v>0</v>
      </c>
      <c r="N116" s="18">
        <f t="shared" si="3"/>
        <v>1283059365.979372</v>
      </c>
      <c r="O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465316783.64999986</v>
      </c>
      <c r="C117" s="16">
        <v>0</v>
      </c>
      <c r="D117" s="16">
        <v>19539384.045981698</v>
      </c>
      <c r="E117" s="16">
        <v>6037075.9799999995</v>
      </c>
      <c r="F117" s="16">
        <v>1749652.36</v>
      </c>
      <c r="G117" s="16">
        <v>806096.45</v>
      </c>
      <c r="H117" s="16">
        <v>27508585.010000002</v>
      </c>
      <c r="I117" s="16">
        <v>4572229.43</v>
      </c>
      <c r="J117" s="16">
        <v>70176030.720000029</v>
      </c>
      <c r="K117" s="16">
        <v>0</v>
      </c>
      <c r="L117" s="16">
        <v>0</v>
      </c>
      <c r="M117" s="16">
        <v>0</v>
      </c>
      <c r="N117" s="18">
        <f t="shared" si="3"/>
        <v>595705837.64598155</v>
      </c>
      <c r="O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798053401.77999997</v>
      </c>
      <c r="C118" s="16">
        <v>0</v>
      </c>
      <c r="D118" s="16">
        <v>231212585.25408015</v>
      </c>
      <c r="E118" s="16">
        <v>10354040.93</v>
      </c>
      <c r="F118" s="16">
        <v>8251871.6600000001</v>
      </c>
      <c r="G118" s="16">
        <v>3358735.2</v>
      </c>
      <c r="H118" s="16">
        <v>47179299.380000003</v>
      </c>
      <c r="I118" s="16">
        <v>21563969.719999999</v>
      </c>
      <c r="J118" s="16">
        <v>193432995.03</v>
      </c>
      <c r="K118" s="16">
        <v>0</v>
      </c>
      <c r="L118" s="16">
        <v>0</v>
      </c>
      <c r="M118" s="16">
        <v>0</v>
      </c>
      <c r="N118" s="18">
        <f t="shared" si="3"/>
        <v>1313406898.9540801</v>
      </c>
      <c r="O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1045987271.6600001</v>
      </c>
      <c r="C119" s="16">
        <v>0</v>
      </c>
      <c r="D119" s="16">
        <v>84922165.831638098</v>
      </c>
      <c r="E119" s="16">
        <v>13570764.810000001</v>
      </c>
      <c r="F119" s="16">
        <v>6630002.9000000004</v>
      </c>
      <c r="G119" s="16">
        <v>2254084.5099999998</v>
      </c>
      <c r="H119" s="16">
        <v>61836647.170000002</v>
      </c>
      <c r="I119" s="16">
        <v>17325667.149999999</v>
      </c>
      <c r="J119" s="16">
        <v>176075339.60000008</v>
      </c>
      <c r="K119" s="16">
        <v>0</v>
      </c>
      <c r="L119" s="16">
        <v>0</v>
      </c>
      <c r="M119" s="16">
        <v>0</v>
      </c>
      <c r="N119" s="18">
        <f t="shared" si="3"/>
        <v>1408601943.6316385</v>
      </c>
      <c r="O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646801601.67000008</v>
      </c>
      <c r="C120" s="16">
        <v>0</v>
      </c>
      <c r="D120" s="16">
        <v>99544774.412439317</v>
      </c>
      <c r="E120" s="16">
        <v>8391681.870000001</v>
      </c>
      <c r="F120" s="16">
        <v>4467511.22</v>
      </c>
      <c r="G120" s="16">
        <v>2283939.94</v>
      </c>
      <c r="H120" s="16">
        <v>38237599.560000002</v>
      </c>
      <c r="I120" s="16">
        <v>11674597.07</v>
      </c>
      <c r="J120" s="16">
        <v>182546437.49000001</v>
      </c>
      <c r="K120" s="16">
        <v>0</v>
      </c>
      <c r="L120" s="16">
        <v>0</v>
      </c>
      <c r="M120" s="16">
        <v>0</v>
      </c>
      <c r="N120" s="18">
        <f t="shared" si="3"/>
        <v>993948143.23243964</v>
      </c>
      <c r="O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829876109.94000006</v>
      </c>
      <c r="C121" s="16">
        <v>0</v>
      </c>
      <c r="D121" s="16">
        <v>107761904.97427273</v>
      </c>
      <c r="E121" s="16">
        <v>10766912.58</v>
      </c>
      <c r="F121" s="16">
        <v>1877435.95</v>
      </c>
      <c r="G121" s="16">
        <v>761313.31</v>
      </c>
      <c r="H121" s="16">
        <v>49060593.369999997</v>
      </c>
      <c r="I121" s="16">
        <v>4906156.3</v>
      </c>
      <c r="J121" s="16">
        <v>101435179.73999995</v>
      </c>
      <c r="K121" s="16">
        <v>0</v>
      </c>
      <c r="L121" s="16">
        <v>0</v>
      </c>
      <c r="M121" s="16">
        <v>0</v>
      </c>
      <c r="N121" s="18">
        <f t="shared" si="3"/>
        <v>1106445606.1642728</v>
      </c>
      <c r="O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2576858968.8200006</v>
      </c>
      <c r="C122" s="16">
        <v>0</v>
      </c>
      <c r="D122" s="16">
        <v>13173467.460000001</v>
      </c>
      <c r="E122" s="16">
        <v>30779758.600000001</v>
      </c>
      <c r="F122" s="16">
        <v>56519668.93</v>
      </c>
      <c r="G122" s="16">
        <v>20825713.624104865</v>
      </c>
      <c r="H122" s="16">
        <v>152338678.66</v>
      </c>
      <c r="I122" s="16">
        <v>147698422.74000001</v>
      </c>
      <c r="J122" s="16">
        <v>475825815.47000009</v>
      </c>
      <c r="K122" s="16">
        <v>0</v>
      </c>
      <c r="L122" s="16">
        <v>0</v>
      </c>
      <c r="M122" s="16">
        <v>0</v>
      </c>
      <c r="N122" s="18">
        <f t="shared" si="3"/>
        <v>3474020494.3041058</v>
      </c>
      <c r="O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5436538282.4099998</v>
      </c>
      <c r="C123" s="16">
        <v>0</v>
      </c>
      <c r="D123" s="16">
        <v>35091861.829999998</v>
      </c>
      <c r="E123" s="16">
        <v>70534302.260000005</v>
      </c>
      <c r="F123" s="16">
        <v>78567254.569999993</v>
      </c>
      <c r="G123" s="16">
        <v>48839255.090802029</v>
      </c>
      <c r="H123" s="16">
        <v>321397122.79000002</v>
      </c>
      <c r="I123" s="16">
        <v>205313650.94999999</v>
      </c>
      <c r="J123" s="16">
        <v>620861658.32999992</v>
      </c>
      <c r="K123" s="16">
        <v>0</v>
      </c>
      <c r="L123" s="16">
        <v>0</v>
      </c>
      <c r="M123" s="16">
        <v>0</v>
      </c>
      <c r="N123" s="18">
        <f t="shared" si="3"/>
        <v>6817143388.2308016</v>
      </c>
      <c r="O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5234676525.9200001</v>
      </c>
      <c r="C124" s="16">
        <v>0</v>
      </c>
      <c r="D124" s="16">
        <v>18361584.32</v>
      </c>
      <c r="E124" s="16">
        <v>62526541.700000003</v>
      </c>
      <c r="F124" s="16">
        <v>100609925.45</v>
      </c>
      <c r="G124" s="16">
        <v>0</v>
      </c>
      <c r="H124" s="16">
        <v>309463464.94999999</v>
      </c>
      <c r="I124" s="16">
        <v>262916035.81999999</v>
      </c>
      <c r="J124" s="16">
        <v>888239994.70999944</v>
      </c>
      <c r="K124" s="16">
        <v>0</v>
      </c>
      <c r="L124" s="16">
        <v>0</v>
      </c>
      <c r="M124" s="16">
        <v>0</v>
      </c>
      <c r="N124" s="18">
        <f t="shared" si="3"/>
        <v>6876794072.869998</v>
      </c>
      <c r="O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1670244175.5399995</v>
      </c>
      <c r="C125" s="16">
        <v>0</v>
      </c>
      <c r="D125" s="16">
        <v>55762460.019778743</v>
      </c>
      <c r="E125" s="16">
        <v>21669949.039999999</v>
      </c>
      <c r="F125" s="16">
        <v>39121440.409999996</v>
      </c>
      <c r="G125" s="16">
        <v>14300748.109999999</v>
      </c>
      <c r="H125" s="16">
        <v>98741449.890000001</v>
      </c>
      <c r="I125" s="16">
        <v>102232995.22</v>
      </c>
      <c r="J125" s="16">
        <v>548898951.34000003</v>
      </c>
      <c r="K125" s="16">
        <v>0</v>
      </c>
      <c r="L125" s="16">
        <v>0</v>
      </c>
      <c r="M125" s="16">
        <v>0</v>
      </c>
      <c r="N125" s="18">
        <f t="shared" si="3"/>
        <v>2550972169.5697784</v>
      </c>
      <c r="O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1815050504.29</v>
      </c>
      <c r="C126" s="16">
        <v>0</v>
      </c>
      <c r="D126" s="16">
        <v>115474246.97471203</v>
      </c>
      <c r="E126" s="16">
        <v>23548683.789999999</v>
      </c>
      <c r="F126" s="16">
        <v>19585293.969999999</v>
      </c>
      <c r="G126" s="16">
        <v>5851663.1100000003</v>
      </c>
      <c r="H126" s="16">
        <v>107302106.51000001</v>
      </c>
      <c r="I126" s="16">
        <v>51180714.32</v>
      </c>
      <c r="J126" s="16">
        <v>376623660.66999984</v>
      </c>
      <c r="K126" s="16">
        <v>0</v>
      </c>
      <c r="L126" s="16">
        <v>0</v>
      </c>
      <c r="M126" s="16">
        <v>0</v>
      </c>
      <c r="N126" s="18">
        <f t="shared" si="3"/>
        <v>2514616873.6347117</v>
      </c>
      <c r="O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1065208071.7600001</v>
      </c>
      <c r="C127" s="16">
        <v>0</v>
      </c>
      <c r="D127" s="16">
        <v>36877460.956916496</v>
      </c>
      <c r="E127" s="16">
        <v>13820137.780000001</v>
      </c>
      <c r="F127" s="16">
        <v>20789408.66</v>
      </c>
      <c r="G127" s="16">
        <v>8359518.7300000004</v>
      </c>
      <c r="H127" s="16">
        <v>62972941.909999996</v>
      </c>
      <c r="I127" s="16">
        <v>54327332.890000001</v>
      </c>
      <c r="J127" s="16">
        <v>417590417.10999984</v>
      </c>
      <c r="K127" s="16">
        <v>0</v>
      </c>
      <c r="L127" s="16">
        <v>0</v>
      </c>
      <c r="M127" s="16">
        <v>0</v>
      </c>
      <c r="N127" s="18">
        <f t="shared" si="3"/>
        <v>1679945289.7969167</v>
      </c>
      <c r="O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461443720.16999996</v>
      </c>
      <c r="C128" s="16">
        <v>0</v>
      </c>
      <c r="D128" s="16">
        <v>39284954.875112645</v>
      </c>
      <c r="E128" s="16">
        <v>5986826.3899999997</v>
      </c>
      <c r="F128" s="16">
        <v>1902009.72</v>
      </c>
      <c r="G128" s="16">
        <v>1000156.71</v>
      </c>
      <c r="H128" s="16">
        <v>27279617.350000001</v>
      </c>
      <c r="I128" s="16">
        <v>4970373.01</v>
      </c>
      <c r="J128" s="16">
        <v>89742376.570000052</v>
      </c>
      <c r="K128" s="16">
        <v>0</v>
      </c>
      <c r="L128" s="16">
        <v>0</v>
      </c>
      <c r="M128" s="16">
        <v>0</v>
      </c>
      <c r="N128" s="18">
        <f t="shared" si="3"/>
        <v>631610034.79511261</v>
      </c>
      <c r="O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3045355133.04</v>
      </c>
      <c r="C129" s="16">
        <v>0</v>
      </c>
      <c r="D129" s="16">
        <v>381945858.12658221</v>
      </c>
      <c r="E129" s="16">
        <v>16223228.07</v>
      </c>
      <c r="F129" s="16">
        <v>24190418.300000001</v>
      </c>
      <c r="G129" s="16">
        <v>12404928.68</v>
      </c>
      <c r="H129" s="16">
        <v>180035222.19999999</v>
      </c>
      <c r="I129" s="16">
        <v>63214924.93</v>
      </c>
      <c r="J129" s="16">
        <v>562306067.13999999</v>
      </c>
      <c r="K129" s="16">
        <v>0</v>
      </c>
      <c r="L129" s="16">
        <v>0</v>
      </c>
      <c r="M129" s="16">
        <v>0</v>
      </c>
      <c r="N129" s="18">
        <f t="shared" si="3"/>
        <v>4285675780.4865818</v>
      </c>
      <c r="O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796030159.64999998</v>
      </c>
      <c r="C130" s="16">
        <v>0</v>
      </c>
      <c r="D130" s="16">
        <v>96749277.203231141</v>
      </c>
      <c r="E130" s="16">
        <v>10327791.130000001</v>
      </c>
      <c r="F130" s="16">
        <v>2993085.07</v>
      </c>
      <c r="G130" s="16">
        <v>925518.14</v>
      </c>
      <c r="H130" s="16">
        <v>47059689.399999999</v>
      </c>
      <c r="I130" s="16">
        <v>7821594.7300000004</v>
      </c>
      <c r="J130" s="16">
        <v>154548132.57000005</v>
      </c>
      <c r="K130" s="16">
        <v>0</v>
      </c>
      <c r="L130" s="16">
        <v>0</v>
      </c>
      <c r="M130" s="16">
        <v>0</v>
      </c>
      <c r="N130" s="18">
        <f t="shared" si="3"/>
        <v>1116455247.8932312</v>
      </c>
      <c r="O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5163631824.0599995</v>
      </c>
      <c r="C131" s="16">
        <v>0</v>
      </c>
      <c r="D131" s="16">
        <v>46714751.594999999</v>
      </c>
      <c r="E131" s="16">
        <v>136811809.57000002</v>
      </c>
      <c r="F131" s="16">
        <v>132162644.98</v>
      </c>
      <c r="G131" s="16">
        <v>10313224.908711342</v>
      </c>
      <c r="H131" s="16">
        <v>305263446.19</v>
      </c>
      <c r="I131" s="16">
        <v>345370285.74000001</v>
      </c>
      <c r="J131" s="16">
        <v>1214287270.6499999</v>
      </c>
      <c r="K131" s="16">
        <v>0</v>
      </c>
      <c r="L131" s="16">
        <v>0</v>
      </c>
      <c r="M131" s="16">
        <v>0</v>
      </c>
      <c r="N131" s="18">
        <f t="shared" si="3"/>
        <v>7354555257.6937094</v>
      </c>
      <c r="O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192497035.72999999</v>
      </c>
      <c r="C132" s="16">
        <v>0</v>
      </c>
      <c r="D132" s="16">
        <v>11892352.615102649</v>
      </c>
      <c r="E132" s="16">
        <v>2497479.7200000002</v>
      </c>
      <c r="F132" s="16">
        <v>565196.68000000005</v>
      </c>
      <c r="G132" s="16">
        <v>223915.68</v>
      </c>
      <c r="H132" s="16">
        <v>11380034.550000001</v>
      </c>
      <c r="I132" s="16">
        <v>1476984.23</v>
      </c>
      <c r="J132" s="16">
        <v>43603864.870000005</v>
      </c>
      <c r="K132" s="16">
        <v>0</v>
      </c>
      <c r="L132" s="16">
        <v>0</v>
      </c>
      <c r="M132" s="16">
        <v>0</v>
      </c>
      <c r="N132" s="18">
        <f t="shared" si="3"/>
        <v>264136864.07510266</v>
      </c>
      <c r="O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1295279604.0699999</v>
      </c>
      <c r="C133" s="16">
        <v>0</v>
      </c>
      <c r="D133" s="16">
        <v>56015126.089372188</v>
      </c>
      <c r="E133" s="16">
        <v>5768673.5299999993</v>
      </c>
      <c r="F133" s="16">
        <v>2044537.58</v>
      </c>
      <c r="G133" s="16">
        <v>1268855.52</v>
      </c>
      <c r="H133" s="16">
        <v>76574304.519999996</v>
      </c>
      <c r="I133" s="16">
        <v>5342829.9000000004</v>
      </c>
      <c r="J133" s="16">
        <v>160847607.01999998</v>
      </c>
      <c r="K133" s="16">
        <v>0</v>
      </c>
      <c r="L133" s="16">
        <v>0</v>
      </c>
      <c r="M133" s="16">
        <v>0</v>
      </c>
      <c r="N133" s="18">
        <f t="shared" si="3"/>
        <v>1603141538.229372</v>
      </c>
      <c r="O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2232907808.71</v>
      </c>
      <c r="C134" s="16">
        <v>0</v>
      </c>
      <c r="D134" s="16">
        <v>267129055.14771792</v>
      </c>
      <c r="E134" s="16">
        <v>28970014.760000002</v>
      </c>
      <c r="F134" s="16">
        <v>9539537.1600000001</v>
      </c>
      <c r="G134" s="16">
        <v>4194687.08</v>
      </c>
      <c r="H134" s="16">
        <v>132004983.3</v>
      </c>
      <c r="I134" s="16">
        <v>24928925.09</v>
      </c>
      <c r="J134" s="16">
        <v>363250485.24000019</v>
      </c>
      <c r="K134" s="16">
        <v>0</v>
      </c>
      <c r="L134" s="16">
        <v>0</v>
      </c>
      <c r="M134" s="16">
        <v>0</v>
      </c>
      <c r="N134" s="18">
        <f t="shared" si="3"/>
        <v>3062925496.4877186</v>
      </c>
      <c r="O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1862047528.3800001</v>
      </c>
      <c r="C135" s="16">
        <v>0</v>
      </c>
      <c r="D135" s="16">
        <v>301351969.97679985</v>
      </c>
      <c r="E135" s="16">
        <v>22241563.899999999</v>
      </c>
      <c r="F135" s="16">
        <v>14360910.66</v>
      </c>
      <c r="G135" s="16">
        <v>5314265.4800000004</v>
      </c>
      <c r="H135" s="16">
        <v>110080475.31</v>
      </c>
      <c r="I135" s="16">
        <v>37528242.719999999</v>
      </c>
      <c r="J135" s="16">
        <v>374495018.46000016</v>
      </c>
      <c r="K135" s="16">
        <v>0</v>
      </c>
      <c r="L135" s="16">
        <v>0</v>
      </c>
      <c r="M135" s="16">
        <v>0</v>
      </c>
      <c r="N135" s="18">
        <f t="shared" si="3"/>
        <v>2727419974.8867998</v>
      </c>
      <c r="O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2897167099.5900002</v>
      </c>
      <c r="C136" s="16">
        <v>0</v>
      </c>
      <c r="D136" s="16">
        <v>23045605.770000003</v>
      </c>
      <c r="E136" s="16">
        <v>34605737.07</v>
      </c>
      <c r="F136" s="16">
        <v>85442995.159999996</v>
      </c>
      <c r="G136" s="16">
        <v>36951793.328709856</v>
      </c>
      <c r="H136" s="16">
        <v>171274646.05000001</v>
      </c>
      <c r="I136" s="16">
        <v>223281485.16</v>
      </c>
      <c r="J136" s="16">
        <v>851428701.31000054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4323198063.4387112</v>
      </c>
      <c r="O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453495269.01999998</v>
      </c>
      <c r="C137" s="16">
        <v>0</v>
      </c>
      <c r="D137" s="16">
        <v>29010325.972660564</v>
      </c>
      <c r="E137" s="16">
        <v>5883702.2200000007</v>
      </c>
      <c r="F137" s="16">
        <v>1022268.79</v>
      </c>
      <c r="G137" s="16">
        <v>776241.02</v>
      </c>
      <c r="H137" s="16">
        <v>26809721.02</v>
      </c>
      <c r="I137" s="16">
        <v>2671414.9500000002</v>
      </c>
      <c r="J137" s="16">
        <v>83523590.629999965</v>
      </c>
      <c r="K137" s="16">
        <v>0</v>
      </c>
      <c r="L137" s="16">
        <v>0</v>
      </c>
      <c r="M137" s="16">
        <v>0</v>
      </c>
      <c r="N137" s="18">
        <f t="shared" si="4"/>
        <v>603192533.62266052</v>
      </c>
      <c r="O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1349791527.45</v>
      </c>
      <c r="C138" s="16">
        <v>0</v>
      </c>
      <c r="D138" s="16">
        <v>181779901.78962341</v>
      </c>
      <c r="E138" s="16">
        <v>17512357.800000001</v>
      </c>
      <c r="F138" s="16">
        <v>8900619.1600000001</v>
      </c>
      <c r="G138" s="16">
        <v>3030325.54</v>
      </c>
      <c r="H138" s="16">
        <v>79796938.930000007</v>
      </c>
      <c r="I138" s="16">
        <v>23259290.75</v>
      </c>
      <c r="J138" s="16">
        <v>303482643.87000006</v>
      </c>
      <c r="K138" s="16">
        <v>0</v>
      </c>
      <c r="L138" s="16">
        <v>0</v>
      </c>
      <c r="M138" s="16">
        <v>0</v>
      </c>
      <c r="N138" s="18">
        <f t="shared" si="4"/>
        <v>1967553605.2896237</v>
      </c>
      <c r="O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4593193160.5500002</v>
      </c>
      <c r="C139" s="16">
        <v>0</v>
      </c>
      <c r="D139" s="16">
        <v>27985201.535000004</v>
      </c>
      <c r="E139" s="16">
        <v>59592641.059999995</v>
      </c>
      <c r="F139" s="16">
        <v>45776017.079999998</v>
      </c>
      <c r="G139" s="16">
        <v>33436971.277447157</v>
      </c>
      <c r="H139" s="16">
        <v>271540268.76999998</v>
      </c>
      <c r="I139" s="16">
        <v>119622879.11</v>
      </c>
      <c r="J139" s="16">
        <v>541885446.68999982</v>
      </c>
      <c r="K139" s="16">
        <v>0</v>
      </c>
      <c r="L139" s="16">
        <v>0</v>
      </c>
      <c r="M139" s="16">
        <v>0</v>
      </c>
      <c r="N139" s="18">
        <f t="shared" si="4"/>
        <v>5693032586.0724468</v>
      </c>
      <c r="O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1376874068.3799999</v>
      </c>
      <c r="C140" s="16">
        <v>0</v>
      </c>
      <c r="D140" s="16">
        <v>3573481.4</v>
      </c>
      <c r="E140" s="16">
        <v>17863729.949999999</v>
      </c>
      <c r="F140" s="16">
        <v>7549061.8600000003</v>
      </c>
      <c r="G140" s="16">
        <v>3194530.37</v>
      </c>
      <c r="H140" s="16">
        <v>81398003.849999994</v>
      </c>
      <c r="I140" s="16">
        <v>19727371.940000001</v>
      </c>
      <c r="J140" s="16">
        <v>136973386.33999994</v>
      </c>
      <c r="K140" s="16">
        <v>0</v>
      </c>
      <c r="L140" s="16">
        <v>0</v>
      </c>
      <c r="M140" s="16">
        <v>0</v>
      </c>
      <c r="N140" s="18">
        <f t="shared" si="4"/>
        <v>1647153634.0899997</v>
      </c>
      <c r="O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1555439637.0700002</v>
      </c>
      <c r="C141" s="16">
        <v>0</v>
      </c>
      <c r="D141" s="16">
        <v>54558154.258262075</v>
      </c>
      <c r="E141" s="16">
        <v>20180461.140000001</v>
      </c>
      <c r="F141" s="16">
        <v>10886179.710000001</v>
      </c>
      <c r="G141" s="16">
        <v>2791482.15</v>
      </c>
      <c r="H141" s="16">
        <v>91954438.299999997</v>
      </c>
      <c r="I141" s="16">
        <v>28448000.550000001</v>
      </c>
      <c r="J141" s="16">
        <v>380936658.59999973</v>
      </c>
      <c r="K141" s="16">
        <v>0</v>
      </c>
      <c r="L141" s="16">
        <v>0</v>
      </c>
      <c r="M141" s="16">
        <v>0</v>
      </c>
      <c r="N141" s="18">
        <f t="shared" si="4"/>
        <v>2145195011.7782621</v>
      </c>
      <c r="O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1580932487.7599998</v>
      </c>
      <c r="C142" s="16">
        <v>0</v>
      </c>
      <c r="D142" s="16">
        <v>85790568.003422394</v>
      </c>
      <c r="E142" s="16">
        <v>18883734.390000001</v>
      </c>
      <c r="F142" s="16">
        <v>46803200.630000003</v>
      </c>
      <c r="G142" s="16">
        <v>11270422.57</v>
      </c>
      <c r="H142" s="16">
        <v>93461523.959999993</v>
      </c>
      <c r="I142" s="16">
        <v>122307137.37</v>
      </c>
      <c r="J142" s="16">
        <v>516378242.42000002</v>
      </c>
      <c r="K142" s="16">
        <v>0</v>
      </c>
      <c r="L142" s="16">
        <v>0</v>
      </c>
      <c r="M142" s="16">
        <v>0</v>
      </c>
      <c r="N142" s="18">
        <f t="shared" si="4"/>
        <v>2475827317.1034226</v>
      </c>
      <c r="O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289034588327.8902</v>
      </c>
      <c r="C143" s="23">
        <f t="shared" si="5"/>
        <v>0</v>
      </c>
      <c r="D143" s="23">
        <f t="shared" si="5"/>
        <v>13395246895.542284</v>
      </c>
      <c r="E143" s="23">
        <f t="shared" si="5"/>
        <v>3610311749.9100003</v>
      </c>
      <c r="F143" s="23">
        <f t="shared" si="5"/>
        <v>4914753820.3599977</v>
      </c>
      <c r="G143" s="23">
        <f t="shared" si="5"/>
        <v>1492771201.5100007</v>
      </c>
      <c r="H143" s="23">
        <f t="shared" si="5"/>
        <v>17087138957.52</v>
      </c>
      <c r="I143" s="23">
        <f t="shared" si="5"/>
        <v>12843341108.029999</v>
      </c>
      <c r="J143" s="23">
        <f t="shared" ref="J143:N143" si="6">SUM(J8:J142)</f>
        <v>64038573872.209984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406416725932.97229</v>
      </c>
      <c r="O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44AEAC"/>
  </sheetPr>
  <dimension ref="A1:Y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1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161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31" t="s">
        <v>151</v>
      </c>
      <c r="L7" s="19" t="s">
        <v>148</v>
      </c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1368009106.1299999</v>
      </c>
      <c r="C8" s="16">
        <v>0</v>
      </c>
      <c r="D8" s="16">
        <v>28823093.364442408</v>
      </c>
      <c r="E8" s="16">
        <v>6180585.3200000003</v>
      </c>
      <c r="F8" s="16">
        <v>3951523.7</v>
      </c>
      <c r="G8" s="16">
        <v>1527406.32</v>
      </c>
      <c r="H8" s="16">
        <v>79077355.230000004</v>
      </c>
      <c r="I8" s="16">
        <v>10920323.4</v>
      </c>
      <c r="J8" s="16">
        <v>115155261.20000003</v>
      </c>
      <c r="K8" s="16">
        <v>0</v>
      </c>
      <c r="L8" s="16">
        <v>0</v>
      </c>
      <c r="M8" s="16">
        <v>0</v>
      </c>
      <c r="N8" s="18">
        <f t="shared" ref="N8:N39" si="0">SUM(B8:M8)</f>
        <v>1613644654.6644423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758746359.03999996</v>
      </c>
      <c r="C9" s="16">
        <v>0</v>
      </c>
      <c r="D9" s="16">
        <v>25073411.346179206</v>
      </c>
      <c r="E9" s="16">
        <v>3427971.78</v>
      </c>
      <c r="F9" s="16">
        <v>2768520.95</v>
      </c>
      <c r="G9" s="16">
        <v>1130280.67</v>
      </c>
      <c r="H9" s="16">
        <v>43859105.25</v>
      </c>
      <c r="I9" s="16">
        <v>7651009.1900000004</v>
      </c>
      <c r="J9" s="16">
        <v>87328122.400000006</v>
      </c>
      <c r="K9" s="16">
        <v>0</v>
      </c>
      <c r="L9" s="16">
        <v>0</v>
      </c>
      <c r="M9" s="16">
        <v>0</v>
      </c>
      <c r="N9" s="18">
        <f t="shared" si="0"/>
        <v>929984780.62617922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809427232.95000005</v>
      </c>
      <c r="C10" s="16">
        <v>0</v>
      </c>
      <c r="D10" s="16">
        <v>11526384.1141808</v>
      </c>
      <c r="E10" s="16">
        <v>3656945.01</v>
      </c>
      <c r="F10" s="16">
        <v>1934037.69</v>
      </c>
      <c r="G10" s="16">
        <v>1130280.67</v>
      </c>
      <c r="H10" s="16">
        <v>46788697.93</v>
      </c>
      <c r="I10" s="16">
        <v>5344853.9400000004</v>
      </c>
      <c r="J10" s="16">
        <v>51613260.79999999</v>
      </c>
      <c r="K10" s="16">
        <v>0</v>
      </c>
      <c r="L10" s="16">
        <v>0</v>
      </c>
      <c r="M10" s="16">
        <v>0</v>
      </c>
      <c r="N10" s="18">
        <f t="shared" si="0"/>
        <v>931421693.10418081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6273505761.9499989</v>
      </c>
      <c r="C11" s="16">
        <v>0</v>
      </c>
      <c r="D11" s="16">
        <v>34688286.696708798</v>
      </c>
      <c r="E11" s="16">
        <v>51210083.740000002</v>
      </c>
      <c r="F11" s="16">
        <v>207589984.62</v>
      </c>
      <c r="G11" s="16">
        <v>92804011.247346699</v>
      </c>
      <c r="H11" s="16">
        <v>362638115.07999998</v>
      </c>
      <c r="I11" s="16">
        <v>573690032.95000005</v>
      </c>
      <c r="J11" s="16">
        <v>971059344.20000017</v>
      </c>
      <c r="K11" s="16">
        <v>0</v>
      </c>
      <c r="L11" s="16">
        <v>0</v>
      </c>
      <c r="M11" s="16">
        <v>0</v>
      </c>
      <c r="N11" s="18">
        <f t="shared" si="0"/>
        <v>8567185620.4840536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826404077.41000009</v>
      </c>
      <c r="C12" s="16">
        <v>0</v>
      </c>
      <c r="D12" s="16">
        <v>23265154.015017599</v>
      </c>
      <c r="E12" s="16">
        <v>3733645.4</v>
      </c>
      <c r="F12" s="16">
        <v>7098016.4900000002</v>
      </c>
      <c r="G12" s="16">
        <v>2810427.62</v>
      </c>
      <c r="H12" s="16">
        <v>47770039.329999998</v>
      </c>
      <c r="I12" s="16">
        <v>19615885.260000002</v>
      </c>
      <c r="J12" s="16">
        <v>104703068.19999996</v>
      </c>
      <c r="K12" s="16">
        <v>0</v>
      </c>
      <c r="L12" s="16">
        <v>0</v>
      </c>
      <c r="M12" s="16">
        <v>0</v>
      </c>
      <c r="N12" s="18">
        <f t="shared" si="0"/>
        <v>1035400313.7250177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3725543550.8399997</v>
      </c>
      <c r="C13" s="16">
        <v>0</v>
      </c>
      <c r="D13" s="16">
        <v>25268259.308010396</v>
      </c>
      <c r="E13" s="16">
        <v>30411289.07</v>
      </c>
      <c r="F13" s="16">
        <v>100947931.75</v>
      </c>
      <c r="G13" s="16">
        <v>0</v>
      </c>
      <c r="H13" s="16">
        <v>215353925.25999999</v>
      </c>
      <c r="I13" s="16">
        <v>278976957.38</v>
      </c>
      <c r="J13" s="16">
        <v>722052851.19999981</v>
      </c>
      <c r="K13" s="16">
        <v>0</v>
      </c>
      <c r="L13" s="16">
        <v>0</v>
      </c>
      <c r="M13" s="16">
        <v>0</v>
      </c>
      <c r="N13" s="18">
        <f t="shared" si="0"/>
        <v>5098554764.8080101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1353154367.21</v>
      </c>
      <c r="C14" s="16">
        <v>0</v>
      </c>
      <c r="D14" s="16">
        <v>41998525.015856802</v>
      </c>
      <c r="E14" s="16">
        <v>6113472.4800000004</v>
      </c>
      <c r="F14" s="16">
        <v>4594566.6900000004</v>
      </c>
      <c r="G14" s="16">
        <v>1909257.9</v>
      </c>
      <c r="H14" s="16">
        <v>78218681.510000005</v>
      </c>
      <c r="I14" s="16">
        <v>12697419.5</v>
      </c>
      <c r="J14" s="16">
        <v>155007014.60000002</v>
      </c>
      <c r="K14" s="16">
        <v>0</v>
      </c>
      <c r="L14" s="16">
        <v>0</v>
      </c>
      <c r="M14" s="16">
        <v>0</v>
      </c>
      <c r="N14" s="18">
        <f t="shared" si="0"/>
        <v>1653693304.9058571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2289720689.0799999</v>
      </c>
      <c r="C15" s="16">
        <v>0</v>
      </c>
      <c r="D15" s="16">
        <v>60588515.864872806</v>
      </c>
      <c r="E15" s="16">
        <v>10344824.470000001</v>
      </c>
      <c r="F15" s="16">
        <v>17116724.43</v>
      </c>
      <c r="G15" s="16">
        <v>6613669.3499999996</v>
      </c>
      <c r="H15" s="16">
        <v>132356616.27</v>
      </c>
      <c r="I15" s="16">
        <v>47303313.899999999</v>
      </c>
      <c r="J15" s="16">
        <v>247315874.40000001</v>
      </c>
      <c r="K15" s="16">
        <v>0</v>
      </c>
      <c r="L15" s="16">
        <v>0</v>
      </c>
      <c r="M15" s="16">
        <v>0</v>
      </c>
      <c r="N15" s="18">
        <f t="shared" si="0"/>
        <v>2811360227.7648726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4150339151.5699997</v>
      </c>
      <c r="C16" s="16">
        <v>0</v>
      </c>
      <c r="D16" s="16">
        <v>42139054.149768807</v>
      </c>
      <c r="E16" s="16">
        <v>33878858.740000002</v>
      </c>
      <c r="F16" s="16">
        <v>63837969.960000001</v>
      </c>
      <c r="G16" s="16">
        <v>29341475.359999999</v>
      </c>
      <c r="H16" s="16">
        <v>239909107.28</v>
      </c>
      <c r="I16" s="16">
        <v>176420876.77000001</v>
      </c>
      <c r="J16" s="16">
        <v>614364487.60000002</v>
      </c>
      <c r="K16" s="16">
        <v>0</v>
      </c>
      <c r="L16" s="16">
        <v>0</v>
      </c>
      <c r="M16" s="16">
        <v>0</v>
      </c>
      <c r="N16" s="18">
        <f t="shared" si="0"/>
        <v>5350230981.4297686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1606777188.77</v>
      </c>
      <c r="C17" s="16">
        <v>0</v>
      </c>
      <c r="D17" s="16">
        <v>50261048.714069597</v>
      </c>
      <c r="E17" s="16">
        <v>7259325.5899999999</v>
      </c>
      <c r="F17" s="16">
        <v>13111204.75</v>
      </c>
      <c r="G17" s="16">
        <v>4276737.6900000004</v>
      </c>
      <c r="H17" s="16">
        <v>92879272.489999995</v>
      </c>
      <c r="I17" s="16">
        <v>36233768.689999998</v>
      </c>
      <c r="J17" s="16">
        <v>166527737.20000005</v>
      </c>
      <c r="K17" s="16">
        <v>0</v>
      </c>
      <c r="L17" s="16">
        <v>0</v>
      </c>
      <c r="M17" s="16">
        <v>0</v>
      </c>
      <c r="N17" s="18">
        <f t="shared" si="0"/>
        <v>1977326283.8940697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902175728.75999999</v>
      </c>
      <c r="C18" s="16">
        <v>0</v>
      </c>
      <c r="D18" s="16">
        <v>21311148.069095202</v>
      </c>
      <c r="E18" s="16">
        <v>4075977.3</v>
      </c>
      <c r="F18" s="16">
        <v>8835705.1799999997</v>
      </c>
      <c r="G18" s="16">
        <v>3482486.4</v>
      </c>
      <c r="H18" s="16">
        <v>52149996.859999999</v>
      </c>
      <c r="I18" s="16">
        <v>24418114.43</v>
      </c>
      <c r="J18" s="16">
        <v>135765801.80000004</v>
      </c>
      <c r="K18" s="16">
        <v>0</v>
      </c>
      <c r="L18" s="16">
        <v>0</v>
      </c>
      <c r="M18" s="16">
        <v>0</v>
      </c>
      <c r="N18" s="18">
        <f t="shared" si="0"/>
        <v>1152214958.7990952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1454079210.9099998</v>
      </c>
      <c r="C19" s="16">
        <v>0</v>
      </c>
      <c r="D19" s="16">
        <v>35873730.783028007</v>
      </c>
      <c r="E19" s="16">
        <v>6569445.0300000003</v>
      </c>
      <c r="F19" s="16">
        <v>3568643.15</v>
      </c>
      <c r="G19" s="16">
        <v>1939806.02</v>
      </c>
      <c r="H19" s="16">
        <v>84052611.769999996</v>
      </c>
      <c r="I19" s="16">
        <v>9862205.1099999994</v>
      </c>
      <c r="J19" s="16">
        <v>118120796.20000003</v>
      </c>
      <c r="K19" s="16">
        <v>0</v>
      </c>
      <c r="L19" s="16">
        <v>0</v>
      </c>
      <c r="M19" s="16">
        <v>0</v>
      </c>
      <c r="N19" s="18">
        <f t="shared" si="0"/>
        <v>1714066448.9730279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5208177564.5799999</v>
      </c>
      <c r="C20" s="16">
        <v>0</v>
      </c>
      <c r="D20" s="16">
        <v>19144322.21446</v>
      </c>
      <c r="E20" s="16">
        <v>42513902.009999998</v>
      </c>
      <c r="F20" s="16">
        <v>113902057.29000001</v>
      </c>
      <c r="G20" s="16">
        <v>45287400.271034114</v>
      </c>
      <c r="H20" s="16">
        <v>301057138.81999999</v>
      </c>
      <c r="I20" s="16">
        <v>314776626.25999999</v>
      </c>
      <c r="J20" s="16">
        <v>671684134.40000033</v>
      </c>
      <c r="K20" s="16">
        <v>0</v>
      </c>
      <c r="L20" s="16">
        <v>0</v>
      </c>
      <c r="M20" s="16">
        <v>0</v>
      </c>
      <c r="N20" s="18">
        <f t="shared" si="0"/>
        <v>6716543145.8454952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2260572945.0999999</v>
      </c>
      <c r="C21" s="16">
        <v>0</v>
      </c>
      <c r="D21" s="16">
        <v>14836183.9839448</v>
      </c>
      <c r="E21" s="16">
        <v>10213136.67</v>
      </c>
      <c r="F21" s="16">
        <v>30286833.879999999</v>
      </c>
      <c r="G21" s="16">
        <v>6186255.974556285</v>
      </c>
      <c r="H21" s="16">
        <v>130671739.69</v>
      </c>
      <c r="I21" s="16">
        <v>83699870.019999996</v>
      </c>
      <c r="J21" s="16">
        <v>220214750</v>
      </c>
      <c r="K21" s="16">
        <v>0</v>
      </c>
      <c r="L21" s="16">
        <v>0</v>
      </c>
      <c r="M21" s="16">
        <v>0</v>
      </c>
      <c r="N21" s="18">
        <f t="shared" si="0"/>
        <v>2756681715.3185015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1850694498.1400001</v>
      </c>
      <c r="C22" s="16">
        <v>0</v>
      </c>
      <c r="D22" s="16">
        <v>32741341.699040003</v>
      </c>
      <c r="E22" s="16">
        <v>8361329.7599999998</v>
      </c>
      <c r="F22" s="16">
        <v>7210917.1699999999</v>
      </c>
      <c r="G22" s="16">
        <v>3283923.58</v>
      </c>
      <c r="H22" s="16">
        <v>106978839.25</v>
      </c>
      <c r="I22" s="16">
        <v>19927894.5</v>
      </c>
      <c r="J22" s="16">
        <v>165369187.79999995</v>
      </c>
      <c r="K22" s="16">
        <v>0</v>
      </c>
      <c r="L22" s="16">
        <v>0</v>
      </c>
      <c r="M22" s="16">
        <v>0</v>
      </c>
      <c r="N22" s="18">
        <f t="shared" si="0"/>
        <v>2194567931.8990402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1745650273.05</v>
      </c>
      <c r="C23" s="16">
        <v>0</v>
      </c>
      <c r="D23" s="16">
        <v>22065697.791457605</v>
      </c>
      <c r="E23" s="16">
        <v>7886746.0800000001</v>
      </c>
      <c r="F23" s="16">
        <v>6911484.9400000004</v>
      </c>
      <c r="G23" s="16">
        <v>4047626.74</v>
      </c>
      <c r="H23" s="16">
        <v>100906789.39</v>
      </c>
      <c r="I23" s="16">
        <v>19100391.73</v>
      </c>
      <c r="J23" s="16">
        <v>136505721.80000004</v>
      </c>
      <c r="K23" s="16">
        <v>0</v>
      </c>
      <c r="L23" s="16">
        <v>0</v>
      </c>
      <c r="M23" s="16">
        <v>0</v>
      </c>
      <c r="N23" s="18">
        <f t="shared" si="0"/>
        <v>2043074731.5214577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553900757.87</v>
      </c>
      <c r="C24" s="16">
        <v>0</v>
      </c>
      <c r="D24" s="16">
        <v>12935300.968457602</v>
      </c>
      <c r="E24" s="16">
        <v>2502491.31</v>
      </c>
      <c r="F24" s="16">
        <v>7186373.5499999998</v>
      </c>
      <c r="G24" s="16">
        <v>1228761.4237442657</v>
      </c>
      <c r="H24" s="16">
        <v>32018066.84</v>
      </c>
      <c r="I24" s="16">
        <v>19860066.399999999</v>
      </c>
      <c r="J24" s="16">
        <v>115504729.00000004</v>
      </c>
      <c r="K24" s="16">
        <v>0</v>
      </c>
      <c r="L24" s="16">
        <v>0</v>
      </c>
      <c r="M24" s="16">
        <v>0</v>
      </c>
      <c r="N24" s="18">
        <f t="shared" si="0"/>
        <v>745136547.36220181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2176500116.0799999</v>
      </c>
      <c r="C25" s="16">
        <v>0</v>
      </c>
      <c r="D25" s="16">
        <v>11980725.945308801</v>
      </c>
      <c r="E25" s="16">
        <v>9833300.5299999993</v>
      </c>
      <c r="F25" s="16">
        <v>31872352.09</v>
      </c>
      <c r="G25" s="16">
        <v>9637933.8599999994</v>
      </c>
      <c r="H25" s="16">
        <v>125811935.06999999</v>
      </c>
      <c r="I25" s="16">
        <v>88081565</v>
      </c>
      <c r="J25" s="16">
        <v>267011944.20000011</v>
      </c>
      <c r="K25" s="16">
        <v>0</v>
      </c>
      <c r="L25" s="16">
        <v>0</v>
      </c>
      <c r="M25" s="16">
        <v>0</v>
      </c>
      <c r="N25" s="18">
        <f t="shared" si="0"/>
        <v>2720729872.7753096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931479509.94000006</v>
      </c>
      <c r="C26" s="16">
        <v>0</v>
      </c>
      <c r="D26" s="16">
        <v>16091331.307288799</v>
      </c>
      <c r="E26" s="16">
        <v>4208370.08</v>
      </c>
      <c r="F26" s="16">
        <v>14495465.23</v>
      </c>
      <c r="G26" s="16">
        <v>6155447.46</v>
      </c>
      <c r="H26" s="16">
        <v>53843893.119999997</v>
      </c>
      <c r="I26" s="16">
        <v>40059273.289999999</v>
      </c>
      <c r="J26" s="16">
        <v>197022540</v>
      </c>
      <c r="K26" s="16">
        <v>0</v>
      </c>
      <c r="L26" s="16">
        <v>0</v>
      </c>
      <c r="M26" s="16">
        <v>0</v>
      </c>
      <c r="N26" s="18">
        <f t="shared" si="0"/>
        <v>1263355830.427289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424639563.45000005</v>
      </c>
      <c r="C27" s="16">
        <v>0</v>
      </c>
      <c r="D27" s="16">
        <v>7755439.9266488003</v>
      </c>
      <c r="E27" s="16">
        <v>1918496.77</v>
      </c>
      <c r="F27" s="16">
        <v>3603004.22</v>
      </c>
      <c r="G27" s="16">
        <v>1389939.75</v>
      </c>
      <c r="H27" s="16">
        <v>24546162.350000001</v>
      </c>
      <c r="I27" s="16">
        <v>9957164.4399999995</v>
      </c>
      <c r="J27" s="16">
        <v>52796693.600000001</v>
      </c>
      <c r="K27" s="16">
        <v>0</v>
      </c>
      <c r="L27" s="16">
        <v>0</v>
      </c>
      <c r="M27" s="16">
        <v>0</v>
      </c>
      <c r="N27" s="18">
        <f t="shared" si="0"/>
        <v>526606464.5066489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1627592547.6900001</v>
      </c>
      <c r="C28" s="16">
        <v>0</v>
      </c>
      <c r="D28" s="16">
        <v>27538862.867726408</v>
      </c>
      <c r="E28" s="16">
        <v>7353368.1600000001</v>
      </c>
      <c r="F28" s="16">
        <v>4962721.07</v>
      </c>
      <c r="G28" s="16">
        <v>2016176.34</v>
      </c>
      <c r="H28" s="16">
        <v>94082498.049999997</v>
      </c>
      <c r="I28" s="16">
        <v>13714840.939999999</v>
      </c>
      <c r="J28" s="16">
        <v>107945249.79999998</v>
      </c>
      <c r="K28" s="16">
        <v>0</v>
      </c>
      <c r="L28" s="16">
        <v>0</v>
      </c>
      <c r="M28" s="16">
        <v>0</v>
      </c>
      <c r="N28" s="18">
        <f t="shared" si="0"/>
        <v>1885206264.9177263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930012760.50999999</v>
      </c>
      <c r="C29" s="16">
        <v>0</v>
      </c>
      <c r="D29" s="16">
        <v>34993982.802886404</v>
      </c>
      <c r="E29" s="16">
        <v>4201743.3899999997</v>
      </c>
      <c r="F29" s="16">
        <v>3097405.54</v>
      </c>
      <c r="G29" s="16">
        <v>1221925.05</v>
      </c>
      <c r="H29" s="16">
        <v>53759108.109999999</v>
      </c>
      <c r="I29" s="16">
        <v>8559905.6699999999</v>
      </c>
      <c r="J29" s="16">
        <v>96232045.600000009</v>
      </c>
      <c r="K29" s="16">
        <v>0</v>
      </c>
      <c r="L29" s="16">
        <v>0</v>
      </c>
      <c r="M29" s="16">
        <v>0</v>
      </c>
      <c r="N29" s="18">
        <f t="shared" si="0"/>
        <v>1132078876.6728861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326180107.07999998</v>
      </c>
      <c r="C30" s="16">
        <v>0</v>
      </c>
      <c r="D30" s="16">
        <v>15045751.117202401</v>
      </c>
      <c r="E30" s="16">
        <v>1473662.69</v>
      </c>
      <c r="F30" s="16">
        <v>2675255.1800000002</v>
      </c>
      <c r="G30" s="16">
        <v>1527406.32</v>
      </c>
      <c r="H30" s="16">
        <v>18854743.059999999</v>
      </c>
      <c r="I30" s="16">
        <v>7393262.4299999997</v>
      </c>
      <c r="J30" s="16">
        <v>74757899.199999988</v>
      </c>
      <c r="K30" s="16">
        <v>0</v>
      </c>
      <c r="L30" s="16">
        <v>0</v>
      </c>
      <c r="M30" s="16">
        <v>0</v>
      </c>
      <c r="N30" s="18">
        <f t="shared" si="0"/>
        <v>447908087.07720238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561484164.45999992</v>
      </c>
      <c r="C31" s="16">
        <v>0</v>
      </c>
      <c r="D31" s="16">
        <v>10720563.885657601</v>
      </c>
      <c r="E31" s="16">
        <v>2536752.69</v>
      </c>
      <c r="F31" s="16">
        <v>3195580.04</v>
      </c>
      <c r="G31" s="16">
        <v>840073.47</v>
      </c>
      <c r="H31" s="16">
        <v>32456423.379999999</v>
      </c>
      <c r="I31" s="16">
        <v>8831218.0500000007</v>
      </c>
      <c r="J31" s="16">
        <v>52982954.399999991</v>
      </c>
      <c r="K31" s="16">
        <v>0</v>
      </c>
      <c r="L31" s="16">
        <v>0</v>
      </c>
      <c r="M31" s="16">
        <v>0</v>
      </c>
      <c r="N31" s="18">
        <f t="shared" si="0"/>
        <v>673047730.37565744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2569276888.8900003</v>
      </c>
      <c r="C32" s="16">
        <v>0</v>
      </c>
      <c r="D32" s="16">
        <v>31926288.8513368</v>
      </c>
      <c r="E32" s="16">
        <v>11607843.07</v>
      </c>
      <c r="F32" s="16">
        <v>9424752.1899999995</v>
      </c>
      <c r="G32" s="16">
        <v>4597493.0199999996</v>
      </c>
      <c r="H32" s="16">
        <v>148516278.37</v>
      </c>
      <c r="I32" s="16">
        <v>26045988.73</v>
      </c>
      <c r="J32" s="16">
        <v>165780498.39999998</v>
      </c>
      <c r="K32" s="16">
        <v>0</v>
      </c>
      <c r="L32" s="16">
        <v>0</v>
      </c>
      <c r="M32" s="16">
        <v>0</v>
      </c>
      <c r="N32" s="18">
        <f t="shared" si="0"/>
        <v>2967176031.5213375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1609024124.0599999</v>
      </c>
      <c r="C33" s="16">
        <v>0</v>
      </c>
      <c r="D33" s="16">
        <v>28908176.967237607</v>
      </c>
      <c r="E33" s="16">
        <v>7269477.1100000003</v>
      </c>
      <c r="F33" s="16">
        <v>6916393.6699999999</v>
      </c>
      <c r="G33" s="16">
        <v>3696323.29</v>
      </c>
      <c r="H33" s="16">
        <v>93009155.909999996</v>
      </c>
      <c r="I33" s="16">
        <v>19113957.350000001</v>
      </c>
      <c r="J33" s="16">
        <v>158133195</v>
      </c>
      <c r="K33" s="16">
        <v>0</v>
      </c>
      <c r="L33" s="16">
        <v>0</v>
      </c>
      <c r="M33" s="16">
        <v>0</v>
      </c>
      <c r="N33" s="18">
        <f t="shared" si="0"/>
        <v>1926070803.3572376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2199468788.0300002</v>
      </c>
      <c r="C34" s="16">
        <v>0</v>
      </c>
      <c r="D34" s="16">
        <v>25443933.269210402</v>
      </c>
      <c r="E34" s="16">
        <v>17954073.059999999</v>
      </c>
      <c r="F34" s="16">
        <v>10057977.73</v>
      </c>
      <c r="G34" s="16">
        <v>6170721.5199999996</v>
      </c>
      <c r="H34" s="16">
        <v>127139632.25</v>
      </c>
      <c r="I34" s="16">
        <v>27795953.59</v>
      </c>
      <c r="J34" s="16">
        <v>198915520.40000004</v>
      </c>
      <c r="K34" s="16">
        <v>0</v>
      </c>
      <c r="L34" s="16">
        <v>0</v>
      </c>
      <c r="M34" s="16">
        <v>0</v>
      </c>
      <c r="N34" s="18">
        <f t="shared" si="0"/>
        <v>2612946599.8492107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1085332162.8699999</v>
      </c>
      <c r="C35" s="16">
        <v>0</v>
      </c>
      <c r="D35" s="16">
        <v>16749949.665017601</v>
      </c>
      <c r="E35" s="16">
        <v>4903467.3899999997</v>
      </c>
      <c r="F35" s="16">
        <v>6288076.8499999996</v>
      </c>
      <c r="G35" s="16">
        <v>2398027.92</v>
      </c>
      <c r="H35" s="16">
        <v>62737299.490000002</v>
      </c>
      <c r="I35" s="16">
        <v>17377558.100000001</v>
      </c>
      <c r="J35" s="16">
        <v>71490834.200000003</v>
      </c>
      <c r="K35" s="16">
        <v>0</v>
      </c>
      <c r="L35" s="16">
        <v>0</v>
      </c>
      <c r="M35" s="16">
        <v>0</v>
      </c>
      <c r="N35" s="18">
        <f t="shared" si="0"/>
        <v>1267277376.4850175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1245270265.5599999</v>
      </c>
      <c r="C36" s="16">
        <v>0</v>
      </c>
      <c r="D36" s="16">
        <v>28582833.7739904</v>
      </c>
      <c r="E36" s="16">
        <v>5626058.4000000004</v>
      </c>
      <c r="F36" s="16">
        <v>3956432.43</v>
      </c>
      <c r="G36" s="16">
        <v>1389939.75</v>
      </c>
      <c r="H36" s="16">
        <v>71982473.439999998</v>
      </c>
      <c r="I36" s="16">
        <v>10933889.02</v>
      </c>
      <c r="J36" s="16">
        <v>71998019.599999979</v>
      </c>
      <c r="K36" s="16">
        <v>0</v>
      </c>
      <c r="L36" s="16">
        <v>0</v>
      </c>
      <c r="M36" s="16">
        <v>0</v>
      </c>
      <c r="N36" s="18">
        <f t="shared" si="0"/>
        <v>1439739911.9739904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1296606495.5699999</v>
      </c>
      <c r="C37" s="16">
        <v>0</v>
      </c>
      <c r="D37" s="16">
        <v>26692092.633725598</v>
      </c>
      <c r="E37" s="16">
        <v>5857992.4900000002</v>
      </c>
      <c r="F37" s="16">
        <v>7338544.0199999996</v>
      </c>
      <c r="G37" s="16">
        <v>2123094.7799999998</v>
      </c>
      <c r="H37" s="16">
        <v>74949948.790000007</v>
      </c>
      <c r="I37" s="16">
        <v>20280600.600000001</v>
      </c>
      <c r="J37" s="16">
        <v>122209018.60000005</v>
      </c>
      <c r="K37" s="16">
        <v>0</v>
      </c>
      <c r="L37" s="16">
        <v>0</v>
      </c>
      <c r="M37" s="16">
        <v>0</v>
      </c>
      <c r="N37" s="18">
        <f t="shared" si="0"/>
        <v>1556057787.4837255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1094382318.9100001</v>
      </c>
      <c r="C38" s="16">
        <v>0</v>
      </c>
      <c r="D38" s="16">
        <v>1732479.4519656005</v>
      </c>
      <c r="E38" s="16">
        <v>4944355.46</v>
      </c>
      <c r="F38" s="16">
        <v>6558056.7300000004</v>
      </c>
      <c r="G38" s="16">
        <v>5880514.3200000003</v>
      </c>
      <c r="H38" s="16">
        <v>63260441.039999999</v>
      </c>
      <c r="I38" s="16">
        <v>18123667.16</v>
      </c>
      <c r="J38" s="16">
        <v>201670642.79999995</v>
      </c>
      <c r="K38" s="16">
        <v>0</v>
      </c>
      <c r="L38" s="16">
        <v>0</v>
      </c>
      <c r="M38" s="16">
        <v>0</v>
      </c>
      <c r="N38" s="18">
        <f t="shared" si="0"/>
        <v>1396552475.8719656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2103630756.1500001</v>
      </c>
      <c r="C39" s="16">
        <v>0</v>
      </c>
      <c r="D39" s="16">
        <v>36971036.033355206</v>
      </c>
      <c r="E39" s="16">
        <v>9504081.0099999998</v>
      </c>
      <c r="F39" s="16">
        <v>8354650.1200000001</v>
      </c>
      <c r="G39" s="16">
        <v>3665775.16</v>
      </c>
      <c r="H39" s="16">
        <v>121599743.62</v>
      </c>
      <c r="I39" s="16">
        <v>23088683.760000002</v>
      </c>
      <c r="J39" s="16">
        <v>175083290.59999999</v>
      </c>
      <c r="K39" s="16">
        <v>0</v>
      </c>
      <c r="L39" s="16">
        <v>0</v>
      </c>
      <c r="M39" s="16">
        <v>0</v>
      </c>
      <c r="N39" s="18">
        <f t="shared" si="0"/>
        <v>2481898016.4533553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1381584340.21</v>
      </c>
      <c r="C40" s="16">
        <v>0</v>
      </c>
      <c r="D40" s="16">
        <v>26534574.266771205</v>
      </c>
      <c r="E40" s="16">
        <v>6241917.4400000004</v>
      </c>
      <c r="F40" s="16">
        <v>4462031.1100000003</v>
      </c>
      <c r="G40" s="16">
        <v>1603776.63</v>
      </c>
      <c r="H40" s="16">
        <v>79862067.560000002</v>
      </c>
      <c r="I40" s="16">
        <v>12331147.789999999</v>
      </c>
      <c r="J40" s="16">
        <v>96456729.600000054</v>
      </c>
      <c r="K40" s="16">
        <v>0</v>
      </c>
      <c r="L40" s="16">
        <v>0</v>
      </c>
      <c r="M40" s="16">
        <v>0</v>
      </c>
      <c r="N40" s="18">
        <f t="shared" ref="N40:N71" si="1">SUM(B40:M40)</f>
        <v>1609076584.6067715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1443749550.03</v>
      </c>
      <c r="C41" s="16">
        <v>0</v>
      </c>
      <c r="D41" s="16">
        <v>12589082.501811199</v>
      </c>
      <c r="E41" s="16">
        <v>6522776.2300000004</v>
      </c>
      <c r="F41" s="16">
        <v>7554527.9299999997</v>
      </c>
      <c r="G41" s="16">
        <v>2795153.56</v>
      </c>
      <c r="H41" s="16">
        <v>83455508.829999998</v>
      </c>
      <c r="I41" s="16">
        <v>20877487.84</v>
      </c>
      <c r="J41" s="16">
        <v>98977287.799999997</v>
      </c>
      <c r="K41" s="16">
        <v>0</v>
      </c>
      <c r="L41" s="16">
        <v>0</v>
      </c>
      <c r="M41" s="16">
        <v>0</v>
      </c>
      <c r="N41" s="18">
        <f t="shared" si="1"/>
        <v>1676521374.7218111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875774239.04999995</v>
      </c>
      <c r="C42" s="16">
        <v>0</v>
      </c>
      <c r="D42" s="16">
        <v>5921050.0153208012</v>
      </c>
      <c r="E42" s="16">
        <v>3956696.91</v>
      </c>
      <c r="F42" s="16">
        <v>20518470.93</v>
      </c>
      <c r="G42" s="16">
        <v>0</v>
      </c>
      <c r="H42" s="16">
        <v>50623866.68</v>
      </c>
      <c r="I42" s="16">
        <v>56704287.960000001</v>
      </c>
      <c r="J42" s="16">
        <v>150824381</v>
      </c>
      <c r="K42" s="16">
        <v>0</v>
      </c>
      <c r="L42" s="16">
        <v>0</v>
      </c>
      <c r="M42" s="16">
        <v>0</v>
      </c>
      <c r="N42" s="18">
        <f t="shared" si="1"/>
        <v>1164322992.5453205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5304046803.8999996</v>
      </c>
      <c r="C43" s="16">
        <v>0</v>
      </c>
      <c r="D43" s="16">
        <v>18035752.0737096</v>
      </c>
      <c r="E43" s="16">
        <v>23963373.98</v>
      </c>
      <c r="F43" s="16">
        <v>85323459.739999995</v>
      </c>
      <c r="G43" s="16">
        <v>22330680.359999999</v>
      </c>
      <c r="H43" s="16">
        <v>306598831.38</v>
      </c>
      <c r="I43" s="16">
        <v>235797591.69</v>
      </c>
      <c r="J43" s="16">
        <v>493951110.39999986</v>
      </c>
      <c r="K43" s="16">
        <v>0</v>
      </c>
      <c r="L43" s="16">
        <v>0</v>
      </c>
      <c r="M43" s="16">
        <v>0</v>
      </c>
      <c r="N43" s="18">
        <f t="shared" si="1"/>
        <v>6490047603.5237074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4827634106.2099991</v>
      </c>
      <c r="C44" s="16">
        <v>0</v>
      </c>
      <c r="D44" s="16">
        <v>23298145.310148802</v>
      </c>
      <c r="E44" s="16">
        <v>21810969.210000001</v>
      </c>
      <c r="F44" s="16">
        <v>107358726.73</v>
      </c>
      <c r="G44" s="16">
        <v>38060962.305491284</v>
      </c>
      <c r="H44" s="16">
        <v>279059938.57999998</v>
      </c>
      <c r="I44" s="16">
        <v>296693655.95999998</v>
      </c>
      <c r="J44" s="16">
        <v>638753670</v>
      </c>
      <c r="K44" s="16">
        <v>0</v>
      </c>
      <c r="L44" s="16">
        <v>0</v>
      </c>
      <c r="M44" s="16">
        <v>0</v>
      </c>
      <c r="N44" s="18">
        <f t="shared" si="1"/>
        <v>6232670174.3056393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1290240178.9200001</v>
      </c>
      <c r="C45" s="16">
        <v>0</v>
      </c>
      <c r="D45" s="16">
        <v>10918397.750432801</v>
      </c>
      <c r="E45" s="16">
        <v>5829229.8499999996</v>
      </c>
      <c r="F45" s="16">
        <v>7996313.1900000004</v>
      </c>
      <c r="G45" s="16">
        <v>3497760.47</v>
      </c>
      <c r="H45" s="16">
        <v>74581945.769999996</v>
      </c>
      <c r="I45" s="16">
        <v>22098393.559999999</v>
      </c>
      <c r="J45" s="16">
        <v>95623496.200000018</v>
      </c>
      <c r="K45" s="16">
        <v>0</v>
      </c>
      <c r="L45" s="16">
        <v>0</v>
      </c>
      <c r="M45" s="16">
        <v>0</v>
      </c>
      <c r="N45" s="18">
        <f t="shared" si="1"/>
        <v>1510785715.7104328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2041434338.8699999</v>
      </c>
      <c r="C46" s="16">
        <v>0</v>
      </c>
      <c r="D46" s="16">
        <v>11806511.040148798</v>
      </c>
      <c r="E46" s="16">
        <v>16664051.550000001</v>
      </c>
      <c r="F46" s="16">
        <v>63072208.850000001</v>
      </c>
      <c r="G46" s="16">
        <v>0</v>
      </c>
      <c r="H46" s="16">
        <v>118004498.41</v>
      </c>
      <c r="I46" s="16">
        <v>174304640.18000001</v>
      </c>
      <c r="J46" s="16">
        <v>404571557.99999988</v>
      </c>
      <c r="K46" s="16">
        <v>0</v>
      </c>
      <c r="L46" s="16">
        <v>0</v>
      </c>
      <c r="M46" s="16">
        <v>0</v>
      </c>
      <c r="N46" s="18">
        <f t="shared" si="1"/>
        <v>2829857806.9001484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6207814111.9499998</v>
      </c>
      <c r="C47" s="16">
        <v>0</v>
      </c>
      <c r="D47" s="16">
        <v>22979353.148342405</v>
      </c>
      <c r="E47" s="16">
        <v>50673848.5</v>
      </c>
      <c r="F47" s="16">
        <v>196623892.74000001</v>
      </c>
      <c r="G47" s="16">
        <v>43929530.9928765</v>
      </c>
      <c r="H47" s="16">
        <v>358840829</v>
      </c>
      <c r="I47" s="16">
        <v>543384439.82000005</v>
      </c>
      <c r="J47" s="16">
        <v>973443774.80000007</v>
      </c>
      <c r="K47" s="16">
        <v>0</v>
      </c>
      <c r="L47" s="16">
        <v>0</v>
      </c>
      <c r="M47" s="16">
        <v>0</v>
      </c>
      <c r="N47" s="18">
        <f t="shared" si="1"/>
        <v>8397689780.9512177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600618287.56999993</v>
      </c>
      <c r="C48" s="16">
        <v>0</v>
      </c>
      <c r="D48" s="16">
        <v>13274645.2648568</v>
      </c>
      <c r="E48" s="16">
        <v>2713558.38</v>
      </c>
      <c r="F48" s="16">
        <v>1708236.33</v>
      </c>
      <c r="G48" s="16">
        <v>946991.92</v>
      </c>
      <c r="H48" s="16">
        <v>34718559.600000001</v>
      </c>
      <c r="I48" s="16">
        <v>4720835.46</v>
      </c>
      <c r="J48" s="16">
        <v>52226567.399999991</v>
      </c>
      <c r="K48" s="16">
        <v>0</v>
      </c>
      <c r="L48" s="16">
        <v>0</v>
      </c>
      <c r="M48" s="16">
        <v>0</v>
      </c>
      <c r="N48" s="18">
        <f t="shared" si="1"/>
        <v>710927681.92485678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1134140590.6999998</v>
      </c>
      <c r="C49" s="16">
        <v>0</v>
      </c>
      <c r="D49" s="16">
        <v>18201349.580242403</v>
      </c>
      <c r="E49" s="16">
        <v>5123981.01</v>
      </c>
      <c r="F49" s="16">
        <v>10087430.08</v>
      </c>
      <c r="G49" s="16">
        <v>3971256.43</v>
      </c>
      <c r="H49" s="16">
        <v>65558655.990000002</v>
      </c>
      <c r="I49" s="16">
        <v>27877347.309999999</v>
      </c>
      <c r="J49" s="16">
        <v>122920395.80000006</v>
      </c>
      <c r="K49" s="16">
        <v>0</v>
      </c>
      <c r="L49" s="16">
        <v>0</v>
      </c>
      <c r="M49" s="16">
        <v>0</v>
      </c>
      <c r="N49" s="18">
        <f t="shared" si="1"/>
        <v>1387881006.9002421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736339420.94000006</v>
      </c>
      <c r="C50" s="16">
        <v>0</v>
      </c>
      <c r="D50" s="16">
        <v>14102633.565597601</v>
      </c>
      <c r="E50" s="16">
        <v>3326738.54</v>
      </c>
      <c r="F50" s="16">
        <v>2827425.65</v>
      </c>
      <c r="G50" s="16">
        <v>1130280.67</v>
      </c>
      <c r="H50" s="16">
        <v>42563878.93</v>
      </c>
      <c r="I50" s="16">
        <v>7813796.6200000001</v>
      </c>
      <c r="J50" s="16">
        <v>88828088.799999982</v>
      </c>
      <c r="K50" s="16">
        <v>0</v>
      </c>
      <c r="L50" s="16">
        <v>0</v>
      </c>
      <c r="M50" s="16">
        <v>0</v>
      </c>
      <c r="N50" s="18">
        <f t="shared" si="1"/>
        <v>896932263.71559751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719893102.88</v>
      </c>
      <c r="C51" s="16">
        <v>0</v>
      </c>
      <c r="D51" s="16">
        <v>14009758.523788802</v>
      </c>
      <c r="E51" s="16">
        <v>3252435.03</v>
      </c>
      <c r="F51" s="16">
        <v>3524464.62</v>
      </c>
      <c r="G51" s="16">
        <v>1420487.88</v>
      </c>
      <c r="H51" s="16">
        <v>41613204.450000003</v>
      </c>
      <c r="I51" s="16">
        <v>9740114.5299999993</v>
      </c>
      <c r="J51" s="16">
        <v>61625600.400000028</v>
      </c>
      <c r="K51" s="16">
        <v>0</v>
      </c>
      <c r="L51" s="16">
        <v>0</v>
      </c>
      <c r="M51" s="16">
        <v>0</v>
      </c>
      <c r="N51" s="18">
        <f t="shared" si="1"/>
        <v>855079168.31378877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848967052.70999992</v>
      </c>
      <c r="C52" s="16">
        <v>0</v>
      </c>
      <c r="D52" s="16">
        <v>25496793.203617603</v>
      </c>
      <c r="E52" s="16">
        <v>3835583.61</v>
      </c>
      <c r="F52" s="16">
        <v>3244667.29</v>
      </c>
      <c r="G52" s="16">
        <v>1817613.52</v>
      </c>
      <c r="H52" s="16">
        <v>49074285.329999998</v>
      </c>
      <c r="I52" s="16">
        <v>8966874.2400000002</v>
      </c>
      <c r="J52" s="16">
        <v>78992861.599999979</v>
      </c>
      <c r="K52" s="16">
        <v>0</v>
      </c>
      <c r="L52" s="16">
        <v>0</v>
      </c>
      <c r="M52" s="16">
        <v>0</v>
      </c>
      <c r="N52" s="18">
        <f t="shared" si="1"/>
        <v>1020395731.5036175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291851928.94999999</v>
      </c>
      <c r="C53" s="16">
        <v>0</v>
      </c>
      <c r="D53" s="16">
        <v>17483466.089826401</v>
      </c>
      <c r="E53" s="16">
        <v>1318569.99</v>
      </c>
      <c r="F53" s="16">
        <v>564503.38</v>
      </c>
      <c r="G53" s="16">
        <v>274933.14</v>
      </c>
      <c r="H53" s="16">
        <v>16870413.039999999</v>
      </c>
      <c r="I53" s="16">
        <v>1560046.2</v>
      </c>
      <c r="J53" s="16">
        <v>41776204</v>
      </c>
      <c r="K53" s="16">
        <v>0</v>
      </c>
      <c r="L53" s="16">
        <v>0</v>
      </c>
      <c r="M53" s="16">
        <v>0</v>
      </c>
      <c r="N53" s="18">
        <f t="shared" si="1"/>
        <v>371700064.78982639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1133110745.3399999</v>
      </c>
      <c r="C54" s="16">
        <v>0</v>
      </c>
      <c r="D54" s="16">
        <v>23172981.104779202</v>
      </c>
      <c r="E54" s="16">
        <v>5119328.2300000004</v>
      </c>
      <c r="F54" s="16">
        <v>1938946.41</v>
      </c>
      <c r="G54" s="16">
        <v>1008088.17</v>
      </c>
      <c r="H54" s="16">
        <v>65499126.090000004</v>
      </c>
      <c r="I54" s="16">
        <v>5358419.5599999996</v>
      </c>
      <c r="J54" s="16">
        <v>95576290.600000009</v>
      </c>
      <c r="K54" s="16">
        <v>0</v>
      </c>
      <c r="L54" s="16">
        <v>0</v>
      </c>
      <c r="M54" s="16">
        <v>0</v>
      </c>
      <c r="N54" s="18">
        <f t="shared" si="1"/>
        <v>1330783925.5047791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514704219.91999996</v>
      </c>
      <c r="C55" s="16">
        <v>0</v>
      </c>
      <c r="D55" s="16">
        <v>9109570.9781376012</v>
      </c>
      <c r="E55" s="16">
        <v>2325403.63</v>
      </c>
      <c r="F55" s="16">
        <v>3578460.6</v>
      </c>
      <c r="G55" s="16">
        <v>1573228.51</v>
      </c>
      <c r="H55" s="16">
        <v>29752322.739999998</v>
      </c>
      <c r="I55" s="16">
        <v>9889336.3399999999</v>
      </c>
      <c r="J55" s="16">
        <v>67476164.399999991</v>
      </c>
      <c r="K55" s="16">
        <v>0</v>
      </c>
      <c r="L55" s="16">
        <v>0</v>
      </c>
      <c r="M55" s="16">
        <v>0</v>
      </c>
      <c r="N55" s="18">
        <f t="shared" si="1"/>
        <v>638408707.1181376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392558320.62</v>
      </c>
      <c r="C56" s="16">
        <v>0</v>
      </c>
      <c r="D56" s="16">
        <v>10100078.046749601</v>
      </c>
      <c r="E56" s="16">
        <v>1773555.59</v>
      </c>
      <c r="F56" s="16">
        <v>1011197.37</v>
      </c>
      <c r="G56" s="16">
        <v>427673.77</v>
      </c>
      <c r="H56" s="16">
        <v>22691715.75</v>
      </c>
      <c r="I56" s="16">
        <v>2794517.54</v>
      </c>
      <c r="J56" s="16">
        <v>55701849.20000001</v>
      </c>
      <c r="K56" s="16">
        <v>0</v>
      </c>
      <c r="L56" s="16">
        <v>0</v>
      </c>
      <c r="M56" s="16">
        <v>0</v>
      </c>
      <c r="N56" s="18">
        <f t="shared" si="1"/>
        <v>487058907.88674957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977104779.40999997</v>
      </c>
      <c r="C57" s="16">
        <v>0</v>
      </c>
      <c r="D57" s="16">
        <v>15232917.221837601</v>
      </c>
      <c r="E57" s="16">
        <v>4414502.38</v>
      </c>
      <c r="F57" s="16">
        <v>5193431.1500000004</v>
      </c>
      <c r="G57" s="16">
        <v>1970354.15</v>
      </c>
      <c r="H57" s="16">
        <v>56481248.109999999</v>
      </c>
      <c r="I57" s="16">
        <v>14352425.039999999</v>
      </c>
      <c r="J57" s="16">
        <v>118929511.80000004</v>
      </c>
      <c r="K57" s="16">
        <v>0</v>
      </c>
      <c r="L57" s="16">
        <v>0</v>
      </c>
      <c r="M57" s="16">
        <v>0</v>
      </c>
      <c r="N57" s="18">
        <f t="shared" si="1"/>
        <v>1193679169.2618375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917186504.8900001</v>
      </c>
      <c r="C58" s="16">
        <v>0</v>
      </c>
      <c r="D58" s="16">
        <v>10277742.1124488</v>
      </c>
      <c r="E58" s="16">
        <v>4143795.11</v>
      </c>
      <c r="F58" s="16">
        <v>3023774.66</v>
      </c>
      <c r="G58" s="16">
        <v>1237199.1200000001</v>
      </c>
      <c r="H58" s="16">
        <v>53017690.259999998</v>
      </c>
      <c r="I58" s="16">
        <v>8356421.3799999999</v>
      </c>
      <c r="J58" s="16">
        <v>67303809.200000003</v>
      </c>
      <c r="K58" s="16">
        <v>0</v>
      </c>
      <c r="L58" s="16">
        <v>0</v>
      </c>
      <c r="M58" s="16">
        <v>0</v>
      </c>
      <c r="N58" s="18">
        <f t="shared" si="1"/>
        <v>1064546936.7324489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932946259.38000011</v>
      </c>
      <c r="C59" s="16">
        <v>0</v>
      </c>
      <c r="D59" s="16">
        <v>17673697.4785464</v>
      </c>
      <c r="E59" s="16">
        <v>4214996.76</v>
      </c>
      <c r="F59" s="16">
        <v>2945235.06</v>
      </c>
      <c r="G59" s="16">
        <v>1130280.67</v>
      </c>
      <c r="H59" s="16">
        <v>53928678.130000003</v>
      </c>
      <c r="I59" s="16">
        <v>8139371.4800000004</v>
      </c>
      <c r="J59" s="16">
        <v>75277526.399999976</v>
      </c>
      <c r="K59" s="16">
        <v>0</v>
      </c>
      <c r="L59" s="16">
        <v>0</v>
      </c>
      <c r="M59" s="16">
        <v>0</v>
      </c>
      <c r="N59" s="18">
        <f t="shared" si="1"/>
        <v>1096256045.3585463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6666220119.8099995</v>
      </c>
      <c r="C60" s="16">
        <v>0</v>
      </c>
      <c r="D60" s="16">
        <v>104518183.93552318</v>
      </c>
      <c r="E60" s="16">
        <v>54415777</v>
      </c>
      <c r="F60" s="16">
        <v>162012472.03</v>
      </c>
      <c r="G60" s="16">
        <v>58148358.579999998</v>
      </c>
      <c r="H60" s="16">
        <v>385338850.50999999</v>
      </c>
      <c r="I60" s="16">
        <v>447733259.33999997</v>
      </c>
      <c r="J60" s="16">
        <v>1258306014.0000005</v>
      </c>
      <c r="K60" s="16">
        <v>0</v>
      </c>
      <c r="L60" s="16">
        <v>0</v>
      </c>
      <c r="M60" s="16">
        <v>0</v>
      </c>
      <c r="N60" s="18">
        <f t="shared" si="1"/>
        <v>9136693035.2055225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1565427337.8299999</v>
      </c>
      <c r="C61" s="16">
        <v>0</v>
      </c>
      <c r="D61" s="16">
        <v>9389930.901168799</v>
      </c>
      <c r="E61" s="16">
        <v>7072509.3700000001</v>
      </c>
      <c r="F61" s="16">
        <v>28922208.300000001</v>
      </c>
      <c r="G61" s="16">
        <v>4810566.1232247083</v>
      </c>
      <c r="H61" s="16">
        <v>90489056.780000001</v>
      </c>
      <c r="I61" s="16">
        <v>79928627.909999996</v>
      </c>
      <c r="J61" s="16">
        <v>311564860.79999995</v>
      </c>
      <c r="K61" s="16">
        <v>0</v>
      </c>
      <c r="L61" s="16">
        <v>0</v>
      </c>
      <c r="M61" s="16">
        <v>0</v>
      </c>
      <c r="N61" s="18">
        <f t="shared" si="1"/>
        <v>2097605098.0143933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7280975375.3899994</v>
      </c>
      <c r="C62" s="16">
        <v>0</v>
      </c>
      <c r="D62" s="16">
        <v>45259412.910000011</v>
      </c>
      <c r="E62" s="16">
        <v>59433970.869999997</v>
      </c>
      <c r="F62" s="16">
        <v>129683608.5</v>
      </c>
      <c r="G62" s="16">
        <v>0</v>
      </c>
      <c r="H62" s="16">
        <v>420874593.29000002</v>
      </c>
      <c r="I62" s="16">
        <v>358390091.75999999</v>
      </c>
      <c r="J62" s="16">
        <v>619568811</v>
      </c>
      <c r="K62" s="16">
        <v>0</v>
      </c>
      <c r="L62" s="16">
        <v>0</v>
      </c>
      <c r="M62" s="16">
        <v>0</v>
      </c>
      <c r="N62" s="18">
        <f t="shared" si="1"/>
        <v>8914185863.7199993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1282219868.2</v>
      </c>
      <c r="C63" s="16">
        <v>0</v>
      </c>
      <c r="D63" s="16">
        <v>23167956.468955204</v>
      </c>
      <c r="E63" s="16">
        <v>5792994.5499999998</v>
      </c>
      <c r="F63" s="16">
        <v>4570023.07</v>
      </c>
      <c r="G63" s="16">
        <v>1970354.15</v>
      </c>
      <c r="H63" s="16">
        <v>74118334.120000005</v>
      </c>
      <c r="I63" s="16">
        <v>12629591.41</v>
      </c>
      <c r="J63" s="16">
        <v>83141097.400000006</v>
      </c>
      <c r="K63" s="16">
        <v>0</v>
      </c>
      <c r="L63" s="16">
        <v>0</v>
      </c>
      <c r="M63" s="16">
        <v>0</v>
      </c>
      <c r="N63" s="18">
        <f t="shared" si="1"/>
        <v>1487610219.3689554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1998180834.3999999</v>
      </c>
      <c r="C64" s="16">
        <v>0</v>
      </c>
      <c r="D64" s="16">
        <v>63715484.017858401</v>
      </c>
      <c r="E64" s="16">
        <v>9027664.4199999999</v>
      </c>
      <c r="F64" s="16">
        <v>8364467.5700000003</v>
      </c>
      <c r="G64" s="16">
        <v>3070086.7</v>
      </c>
      <c r="H64" s="16">
        <v>115504242.59</v>
      </c>
      <c r="I64" s="16">
        <v>23115815</v>
      </c>
      <c r="J64" s="16">
        <v>176247694.80000001</v>
      </c>
      <c r="K64" s="16">
        <v>0</v>
      </c>
      <c r="L64" s="16">
        <v>0</v>
      </c>
      <c r="M64" s="16">
        <v>0</v>
      </c>
      <c r="N64" s="18">
        <f t="shared" si="1"/>
        <v>2397226289.4978585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1047664789.21</v>
      </c>
      <c r="C65" s="16">
        <v>0</v>
      </c>
      <c r="D65" s="16">
        <v>18550025.362797603</v>
      </c>
      <c r="E65" s="16">
        <v>4733288.3899999997</v>
      </c>
      <c r="F65" s="16">
        <v>1821137.01</v>
      </c>
      <c r="G65" s="16">
        <v>1023362.23</v>
      </c>
      <c r="H65" s="16">
        <v>60559948.270000003</v>
      </c>
      <c r="I65" s="16">
        <v>5032844.7</v>
      </c>
      <c r="J65" s="16">
        <v>105124625</v>
      </c>
      <c r="K65" s="16">
        <v>0</v>
      </c>
      <c r="L65" s="16">
        <v>0</v>
      </c>
      <c r="M65" s="16">
        <v>0</v>
      </c>
      <c r="N65" s="18">
        <f t="shared" si="1"/>
        <v>1244510020.1727977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584952155.35000002</v>
      </c>
      <c r="C66" s="16">
        <v>0</v>
      </c>
      <c r="D66" s="16">
        <v>9585947.1648688018</v>
      </c>
      <c r="E66" s="16">
        <v>2642779.71</v>
      </c>
      <c r="F66" s="16">
        <v>1781867.21</v>
      </c>
      <c r="G66" s="16">
        <v>931717.85</v>
      </c>
      <c r="H66" s="16">
        <v>33812983.539999999</v>
      </c>
      <c r="I66" s="16">
        <v>4924319.74</v>
      </c>
      <c r="J66" s="16">
        <v>46665091.599999979</v>
      </c>
      <c r="K66" s="16">
        <v>0</v>
      </c>
      <c r="L66" s="16">
        <v>0</v>
      </c>
      <c r="M66" s="16">
        <v>0</v>
      </c>
      <c r="N66" s="18">
        <f t="shared" si="1"/>
        <v>685296862.16486895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2624264388.77</v>
      </c>
      <c r="C67" s="16">
        <v>0</v>
      </c>
      <c r="D67" s="16">
        <v>12394439.520000001</v>
      </c>
      <c r="E67" s="16">
        <v>21421642.73</v>
      </c>
      <c r="F67" s="16">
        <v>47879704.649999999</v>
      </c>
      <c r="G67" s="16">
        <v>17979077.056969739</v>
      </c>
      <c r="H67" s="16">
        <v>151694814.28</v>
      </c>
      <c r="I67" s="16">
        <v>132319048.98</v>
      </c>
      <c r="J67" s="16">
        <v>300668057</v>
      </c>
      <c r="K67" s="16">
        <v>0</v>
      </c>
      <c r="L67" s="16">
        <v>0</v>
      </c>
      <c r="M67" s="16">
        <v>0</v>
      </c>
      <c r="N67" s="18">
        <f t="shared" si="1"/>
        <v>3308621172.9869699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1641542271</v>
      </c>
      <c r="C68" s="16">
        <v>0</v>
      </c>
      <c r="D68" s="16">
        <v>15107852.390000002</v>
      </c>
      <c r="E68" s="16">
        <v>7416392.2000000002</v>
      </c>
      <c r="F68" s="16">
        <v>42224853.329999998</v>
      </c>
      <c r="G68" s="16">
        <v>17520873.129929997</v>
      </c>
      <c r="H68" s="16">
        <v>94888857.620000005</v>
      </c>
      <c r="I68" s="16">
        <v>116691455.73999999</v>
      </c>
      <c r="J68" s="16">
        <v>252513245.19999993</v>
      </c>
      <c r="K68" s="16">
        <v>0</v>
      </c>
      <c r="L68" s="16">
        <v>0</v>
      </c>
      <c r="M68" s="16">
        <v>0</v>
      </c>
      <c r="N68" s="18">
        <f t="shared" si="1"/>
        <v>2187905800.60993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5863065581.170001</v>
      </c>
      <c r="C69" s="16">
        <v>0</v>
      </c>
      <c r="D69" s="16">
        <v>13914710.1267088</v>
      </c>
      <c r="E69" s="16">
        <v>26488988.199999999</v>
      </c>
      <c r="F69" s="16">
        <v>124617804.2</v>
      </c>
      <c r="G69" s="16">
        <v>22383630.582974739</v>
      </c>
      <c r="H69" s="16">
        <v>338912743.79000002</v>
      </c>
      <c r="I69" s="16">
        <v>344390372.81999999</v>
      </c>
      <c r="J69" s="16">
        <v>589662431.00000012</v>
      </c>
      <c r="K69" s="16">
        <v>0</v>
      </c>
      <c r="L69" s="16">
        <v>0</v>
      </c>
      <c r="M69" s="16">
        <v>0</v>
      </c>
      <c r="N69" s="18">
        <f t="shared" si="1"/>
        <v>7323436261.8896837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1217776515.5899999</v>
      </c>
      <c r="C70" s="16">
        <v>0</v>
      </c>
      <c r="D70" s="16">
        <v>29694427.361161605</v>
      </c>
      <c r="E70" s="16">
        <v>5501843.2400000002</v>
      </c>
      <c r="F70" s="16">
        <v>27675392.129999999</v>
      </c>
      <c r="G70" s="16">
        <v>9042245.4000000004</v>
      </c>
      <c r="H70" s="16">
        <v>70393205.489999995</v>
      </c>
      <c r="I70" s="16">
        <v>76482960.650000006</v>
      </c>
      <c r="J70" s="16">
        <v>250642586.80000004</v>
      </c>
      <c r="K70" s="16">
        <v>0</v>
      </c>
      <c r="L70" s="16">
        <v>0</v>
      </c>
      <c r="M70" s="16">
        <v>0</v>
      </c>
      <c r="N70" s="18">
        <f t="shared" si="1"/>
        <v>1687209176.6611619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4744528707.6999998</v>
      </c>
      <c r="C71" s="16">
        <v>0</v>
      </c>
      <c r="D71" s="16">
        <v>8584601.0399999991</v>
      </c>
      <c r="E71" s="16">
        <v>38729176.579999998</v>
      </c>
      <c r="F71" s="16">
        <v>17425974.109999999</v>
      </c>
      <c r="G71" s="16">
        <v>8782586.3300000001</v>
      </c>
      <c r="H71" s="16">
        <v>274256055.99000001</v>
      </c>
      <c r="I71" s="16">
        <v>48157947.909999996</v>
      </c>
      <c r="J71" s="16">
        <v>209476761.99999994</v>
      </c>
      <c r="K71" s="16">
        <v>0</v>
      </c>
      <c r="L71" s="16">
        <v>0</v>
      </c>
      <c r="M71" s="16">
        <v>0</v>
      </c>
      <c r="N71" s="18">
        <f t="shared" si="1"/>
        <v>5349941811.6599989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20935663585.670002</v>
      </c>
      <c r="C72" s="16">
        <v>0</v>
      </c>
      <c r="D72" s="16">
        <v>76758025.752212808</v>
      </c>
      <c r="E72" s="16">
        <v>170896007.12</v>
      </c>
      <c r="F72" s="16">
        <v>507046760.25999999</v>
      </c>
      <c r="G72" s="16">
        <v>0</v>
      </c>
      <c r="H72" s="16">
        <v>1210179741.3900001</v>
      </c>
      <c r="I72" s="16">
        <v>1401260627.9000001</v>
      </c>
      <c r="J72" s="16">
        <v>3069038773.1999993</v>
      </c>
      <c r="K72" s="16">
        <v>0</v>
      </c>
      <c r="L72" s="16">
        <v>0</v>
      </c>
      <c r="M72" s="16">
        <v>0</v>
      </c>
      <c r="N72" s="18">
        <f t="shared" ref="N72:N103" si="2">SUM(B72:M72)</f>
        <v>27370843521.292213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9692186607.75</v>
      </c>
      <c r="C73" s="16">
        <v>0</v>
      </c>
      <c r="D73" s="16">
        <v>128799913.10182081</v>
      </c>
      <c r="E73" s="16">
        <v>79116479.150000006</v>
      </c>
      <c r="F73" s="16">
        <v>188200520.46000001</v>
      </c>
      <c r="G73" s="16">
        <v>78452768.896574885</v>
      </c>
      <c r="H73" s="16">
        <v>560253933.89999998</v>
      </c>
      <c r="I73" s="16">
        <v>520105837.38999999</v>
      </c>
      <c r="J73" s="16">
        <v>1336852069.4000003</v>
      </c>
      <c r="K73" s="16">
        <v>0</v>
      </c>
      <c r="L73" s="16">
        <v>0</v>
      </c>
      <c r="M73" s="16">
        <v>0</v>
      </c>
      <c r="N73" s="18">
        <f t="shared" si="2"/>
        <v>12583968130.048391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5046273393.5100002</v>
      </c>
      <c r="C74" s="16">
        <v>0</v>
      </c>
      <c r="D74" s="16">
        <v>43535651.509999998</v>
      </c>
      <c r="E74" s="16">
        <v>41192292.289999999</v>
      </c>
      <c r="F74" s="16">
        <v>136639271.97</v>
      </c>
      <c r="G74" s="16">
        <v>130936446.60689804</v>
      </c>
      <c r="H74" s="16">
        <v>291698316.87</v>
      </c>
      <c r="I74" s="16">
        <v>377612574.06999999</v>
      </c>
      <c r="J74" s="16">
        <v>717152253.59999979</v>
      </c>
      <c r="K74" s="16">
        <v>0</v>
      </c>
      <c r="L74" s="16">
        <v>0</v>
      </c>
      <c r="M74" s="16">
        <v>0</v>
      </c>
      <c r="N74" s="18">
        <f t="shared" si="2"/>
        <v>6785040200.426898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854927672.70000005</v>
      </c>
      <c r="C75" s="16">
        <v>0</v>
      </c>
      <c r="D75" s="16">
        <v>19618468.409900803</v>
      </c>
      <c r="E75" s="16">
        <v>3862513.34</v>
      </c>
      <c r="F75" s="16">
        <v>2483814.9</v>
      </c>
      <c r="G75" s="16">
        <v>1008088.17</v>
      </c>
      <c r="H75" s="16">
        <v>49418837.18</v>
      </c>
      <c r="I75" s="16">
        <v>6864203.2800000003</v>
      </c>
      <c r="J75" s="16">
        <v>80819607.599999994</v>
      </c>
      <c r="K75" s="16">
        <v>0</v>
      </c>
      <c r="L75" s="16">
        <v>0</v>
      </c>
      <c r="M75" s="16">
        <v>0</v>
      </c>
      <c r="N75" s="18">
        <f t="shared" si="2"/>
        <v>1019003205.5799007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863478509.80999994</v>
      </c>
      <c r="C76" s="16">
        <v>0</v>
      </c>
      <c r="D76" s="16">
        <v>24778732.809126403</v>
      </c>
      <c r="E76" s="16">
        <v>3901145.53</v>
      </c>
      <c r="F76" s="16">
        <v>4471848.5599999996</v>
      </c>
      <c r="G76" s="16">
        <v>2367479.79</v>
      </c>
      <c r="H76" s="16">
        <v>49913115.75</v>
      </c>
      <c r="I76" s="16">
        <v>12358279.029999999</v>
      </c>
      <c r="J76" s="16">
        <v>120012678.60000005</v>
      </c>
      <c r="K76" s="16">
        <v>0</v>
      </c>
      <c r="L76" s="16">
        <v>0</v>
      </c>
      <c r="M76" s="16">
        <v>0</v>
      </c>
      <c r="N76" s="18">
        <f t="shared" si="2"/>
        <v>1081281789.8791263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967867378.7700001</v>
      </c>
      <c r="C77" s="16">
        <v>0</v>
      </c>
      <c r="D77" s="16">
        <v>16375936.238152001</v>
      </c>
      <c r="E77" s="16">
        <v>4372768.34</v>
      </c>
      <c r="F77" s="16">
        <v>5252335.8600000003</v>
      </c>
      <c r="G77" s="16">
        <v>1512132.25</v>
      </c>
      <c r="H77" s="16">
        <v>55947282.939999998</v>
      </c>
      <c r="I77" s="16">
        <v>14515212.470000001</v>
      </c>
      <c r="J77" s="16">
        <v>81547085.800000012</v>
      </c>
      <c r="K77" s="16">
        <v>0</v>
      </c>
      <c r="L77" s="16">
        <v>0</v>
      </c>
      <c r="M77" s="16">
        <v>0</v>
      </c>
      <c r="N77" s="18">
        <f t="shared" si="2"/>
        <v>1147390132.6681521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371992621.18000001</v>
      </c>
      <c r="C78" s="16">
        <v>0</v>
      </c>
      <c r="D78" s="16">
        <v>11383456.342559204</v>
      </c>
      <c r="E78" s="16">
        <v>1680640.96</v>
      </c>
      <c r="F78" s="16">
        <v>1865315.53</v>
      </c>
      <c r="G78" s="16">
        <v>534592.21</v>
      </c>
      <c r="H78" s="16">
        <v>21502921.670000002</v>
      </c>
      <c r="I78" s="16">
        <v>5154935.2699999996</v>
      </c>
      <c r="J78" s="16">
        <v>34971282.199999996</v>
      </c>
      <c r="K78" s="16">
        <v>0</v>
      </c>
      <c r="L78" s="16">
        <v>0</v>
      </c>
      <c r="M78" s="16">
        <v>0</v>
      </c>
      <c r="N78" s="18">
        <f t="shared" si="2"/>
        <v>449085765.36255914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1914201627.71</v>
      </c>
      <c r="C79" s="16">
        <v>0</v>
      </c>
      <c r="D79" s="16">
        <v>49779259.852722414</v>
      </c>
      <c r="E79" s="16">
        <v>8648251.2599999998</v>
      </c>
      <c r="F79" s="16">
        <v>9375664.9399999995</v>
      </c>
      <c r="G79" s="16">
        <v>3971256.43</v>
      </c>
      <c r="H79" s="16">
        <v>110649849.79000001</v>
      </c>
      <c r="I79" s="16">
        <v>25910332.539999999</v>
      </c>
      <c r="J79" s="16">
        <v>189441104.80000001</v>
      </c>
      <c r="K79" s="16">
        <v>0</v>
      </c>
      <c r="L79" s="16">
        <v>0</v>
      </c>
      <c r="M79" s="16">
        <v>0</v>
      </c>
      <c r="N79" s="18">
        <f t="shared" si="2"/>
        <v>2311977347.3227224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1020826395.3899999</v>
      </c>
      <c r="C80" s="16">
        <v>0</v>
      </c>
      <c r="D80" s="16">
        <v>40207521.889289603</v>
      </c>
      <c r="E80" s="16">
        <v>4612034.09</v>
      </c>
      <c r="F80" s="16">
        <v>3033592.11</v>
      </c>
      <c r="G80" s="16">
        <v>1588502.57</v>
      </c>
      <c r="H80" s="16">
        <v>59008562.979999997</v>
      </c>
      <c r="I80" s="16">
        <v>8383552.6200000001</v>
      </c>
      <c r="J80" s="16">
        <v>122432970.80000006</v>
      </c>
      <c r="K80" s="16">
        <v>0</v>
      </c>
      <c r="L80" s="16">
        <v>0</v>
      </c>
      <c r="M80" s="16">
        <v>0</v>
      </c>
      <c r="N80" s="18">
        <f t="shared" si="2"/>
        <v>1260093132.4492893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573155745.03000009</v>
      </c>
      <c r="C81" s="16">
        <v>0</v>
      </c>
      <c r="D81" s="16">
        <v>20891611.801271997</v>
      </c>
      <c r="E81" s="16">
        <v>2589484.21</v>
      </c>
      <c r="F81" s="16">
        <v>7878503.79</v>
      </c>
      <c r="G81" s="16">
        <v>3635227.04</v>
      </c>
      <c r="H81" s="16">
        <v>33131095.59</v>
      </c>
      <c r="I81" s="16">
        <v>21772818.699999999</v>
      </c>
      <c r="J81" s="16">
        <v>143144509.19999996</v>
      </c>
      <c r="K81" s="16">
        <v>0</v>
      </c>
      <c r="L81" s="16">
        <v>0</v>
      </c>
      <c r="M81" s="16">
        <v>0</v>
      </c>
      <c r="N81" s="18">
        <f t="shared" si="2"/>
        <v>806198995.3612721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9308865687.6999989</v>
      </c>
      <c r="C82" s="16">
        <v>0</v>
      </c>
      <c r="D82" s="16">
        <v>42081697.910000004</v>
      </c>
      <c r="E82" s="16">
        <v>75987463.709999993</v>
      </c>
      <c r="F82" s="16">
        <v>227062897.09999999</v>
      </c>
      <c r="G82" s="16">
        <v>161280534.822182</v>
      </c>
      <c r="H82" s="16">
        <v>538096183.32000005</v>
      </c>
      <c r="I82" s="16">
        <v>627504844.03999996</v>
      </c>
      <c r="J82" s="16">
        <v>1188221832.8</v>
      </c>
      <c r="K82" s="16">
        <v>0</v>
      </c>
      <c r="L82" s="16">
        <v>0</v>
      </c>
      <c r="M82" s="16">
        <v>0</v>
      </c>
      <c r="N82" s="18">
        <f t="shared" si="2"/>
        <v>12169101141.40218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2406467702.2000003</v>
      </c>
      <c r="C83" s="16">
        <v>0</v>
      </c>
      <c r="D83" s="16">
        <v>21146913.8614888</v>
      </c>
      <c r="E83" s="16">
        <v>19643787.260000002</v>
      </c>
      <c r="F83" s="16">
        <v>25142489.969999999</v>
      </c>
      <c r="G83" s="16">
        <v>9668481.9900000002</v>
      </c>
      <c r="H83" s="16">
        <v>139105142.27000001</v>
      </c>
      <c r="I83" s="16">
        <v>69483101.180000007</v>
      </c>
      <c r="J83" s="16">
        <v>257168666.39999992</v>
      </c>
      <c r="K83" s="16">
        <v>0</v>
      </c>
      <c r="L83" s="16">
        <v>0</v>
      </c>
      <c r="M83" s="16">
        <v>0</v>
      </c>
      <c r="N83" s="18">
        <f t="shared" si="2"/>
        <v>2947826285.1314888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1011776239.3400002</v>
      </c>
      <c r="C84" s="16">
        <v>0</v>
      </c>
      <c r="D84" s="16">
        <v>23732710.606052</v>
      </c>
      <c r="E84" s="16">
        <v>4571146.01</v>
      </c>
      <c r="F84" s="16">
        <v>5046169.4000000004</v>
      </c>
      <c r="G84" s="16">
        <v>1022204.7747971847</v>
      </c>
      <c r="H84" s="16">
        <v>58485421.43</v>
      </c>
      <c r="I84" s="16">
        <v>13945456.460000001</v>
      </c>
      <c r="J84" s="16">
        <v>105751836.99999997</v>
      </c>
      <c r="K84" s="16">
        <v>0</v>
      </c>
      <c r="L84" s="16">
        <v>0</v>
      </c>
      <c r="M84" s="16">
        <v>0</v>
      </c>
      <c r="N84" s="18">
        <f t="shared" si="2"/>
        <v>1224331185.0208495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809708099.86000001</v>
      </c>
      <c r="C85" s="16">
        <v>0</v>
      </c>
      <c r="D85" s="16">
        <v>15525099.881077603</v>
      </c>
      <c r="E85" s="16">
        <v>3658213.95</v>
      </c>
      <c r="F85" s="16">
        <v>2385640.4</v>
      </c>
      <c r="G85" s="16">
        <v>992814.11</v>
      </c>
      <c r="H85" s="16">
        <v>46804933.359999999</v>
      </c>
      <c r="I85" s="16">
        <v>6592890.9000000004</v>
      </c>
      <c r="J85" s="16">
        <v>62341368.600000001</v>
      </c>
      <c r="K85" s="16">
        <v>0</v>
      </c>
      <c r="L85" s="16">
        <v>0</v>
      </c>
      <c r="M85" s="16">
        <v>0</v>
      </c>
      <c r="N85" s="18">
        <f t="shared" si="2"/>
        <v>948009061.06107771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10117387905.16</v>
      </c>
      <c r="C86" s="16">
        <v>0</v>
      </c>
      <c r="D86" s="16">
        <v>15293004.549999999</v>
      </c>
      <c r="E86" s="16">
        <v>82587360.480000004</v>
      </c>
      <c r="F86" s="16">
        <v>142465928.66999999</v>
      </c>
      <c r="G86" s="16">
        <v>44712915.059857041</v>
      </c>
      <c r="H86" s="16">
        <v>584832567.10000002</v>
      </c>
      <c r="I86" s="16">
        <v>393714963.97000003</v>
      </c>
      <c r="J86" s="16">
        <v>524583504.80000013</v>
      </c>
      <c r="K86" s="16">
        <v>0</v>
      </c>
      <c r="L86" s="16">
        <v>0</v>
      </c>
      <c r="M86" s="16">
        <v>0</v>
      </c>
      <c r="N86" s="18">
        <f t="shared" si="2"/>
        <v>11905578149.789854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1576443562.25</v>
      </c>
      <c r="C87" s="16">
        <v>0</v>
      </c>
      <c r="D87" s="16">
        <v>17752815.563841604</v>
      </c>
      <c r="E87" s="16">
        <v>7122280.0300000003</v>
      </c>
      <c r="F87" s="16">
        <v>4044789.48</v>
      </c>
      <c r="G87" s="16">
        <v>2886797.94</v>
      </c>
      <c r="H87" s="16">
        <v>91125846.329999998</v>
      </c>
      <c r="I87" s="16">
        <v>11178070.16</v>
      </c>
      <c r="J87" s="16">
        <v>118618467.40000002</v>
      </c>
      <c r="K87" s="16">
        <v>0</v>
      </c>
      <c r="L87" s="16">
        <v>0</v>
      </c>
      <c r="M87" s="16">
        <v>0</v>
      </c>
      <c r="N87" s="18">
        <f t="shared" si="2"/>
        <v>1829172629.1538417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1448024968.5999999</v>
      </c>
      <c r="C88" s="16">
        <v>0</v>
      </c>
      <c r="D88" s="16">
        <v>11265150.659240004</v>
      </c>
      <c r="E88" s="16">
        <v>6542092.3200000003</v>
      </c>
      <c r="F88" s="16">
        <v>19850884.309999999</v>
      </c>
      <c r="G88" s="16">
        <v>5834692.1299999999</v>
      </c>
      <c r="H88" s="16">
        <v>83702648.109999999</v>
      </c>
      <c r="I88" s="16">
        <v>54859363.759999998</v>
      </c>
      <c r="J88" s="16">
        <v>180566456.20000002</v>
      </c>
      <c r="K88" s="16">
        <v>0</v>
      </c>
      <c r="L88" s="16">
        <v>0</v>
      </c>
      <c r="M88" s="16">
        <v>0</v>
      </c>
      <c r="N88" s="18">
        <f t="shared" si="2"/>
        <v>1810646256.0892398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2048799293.4400001</v>
      </c>
      <c r="C89" s="16">
        <v>0</v>
      </c>
      <c r="D89" s="16">
        <v>19107431.330240004</v>
      </c>
      <c r="E89" s="16">
        <v>9256355.6600000001</v>
      </c>
      <c r="F89" s="16">
        <v>16694574.07</v>
      </c>
      <c r="G89" s="16">
        <v>6354010.2800000003</v>
      </c>
      <c r="H89" s="16">
        <v>118430227.40000001</v>
      </c>
      <c r="I89" s="16">
        <v>46136670.659999996</v>
      </c>
      <c r="J89" s="16">
        <v>185431558.19999996</v>
      </c>
      <c r="K89" s="16">
        <v>0</v>
      </c>
      <c r="L89" s="16">
        <v>0</v>
      </c>
      <c r="M89" s="16">
        <v>0</v>
      </c>
      <c r="N89" s="18">
        <f t="shared" si="2"/>
        <v>2450210121.0402398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9305152002.9799995</v>
      </c>
      <c r="C90" s="16">
        <v>0</v>
      </c>
      <c r="D90" s="16">
        <v>25461099.904620804</v>
      </c>
      <c r="E90" s="16">
        <v>75957149.219999999</v>
      </c>
      <c r="F90" s="16">
        <v>226459123.91999999</v>
      </c>
      <c r="G90" s="16">
        <v>55631184.591276482</v>
      </c>
      <c r="H90" s="16">
        <v>537881514.88999999</v>
      </c>
      <c r="I90" s="16">
        <v>625836272.88</v>
      </c>
      <c r="J90" s="16">
        <v>1080950268.8000004</v>
      </c>
      <c r="K90" s="16">
        <v>0</v>
      </c>
      <c r="L90" s="16">
        <v>0</v>
      </c>
      <c r="M90" s="16">
        <v>0</v>
      </c>
      <c r="N90" s="18">
        <f t="shared" si="2"/>
        <v>11933328617.185896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429851205.05000001</v>
      </c>
      <c r="C91" s="16">
        <v>0</v>
      </c>
      <c r="D91" s="16">
        <v>16935700.4099808</v>
      </c>
      <c r="E91" s="16">
        <v>1942042.66</v>
      </c>
      <c r="F91" s="16">
        <v>5257244.58</v>
      </c>
      <c r="G91" s="16">
        <v>2168916.9700000002</v>
      </c>
      <c r="H91" s="16">
        <v>24847419.719999999</v>
      </c>
      <c r="I91" s="16">
        <v>14528778.09</v>
      </c>
      <c r="J91" s="16">
        <v>83363951.599999979</v>
      </c>
      <c r="K91" s="16">
        <v>0</v>
      </c>
      <c r="L91" s="16">
        <v>0</v>
      </c>
      <c r="M91" s="16">
        <v>0</v>
      </c>
      <c r="N91" s="18">
        <f t="shared" si="2"/>
        <v>578895259.07998073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595968379.80000007</v>
      </c>
      <c r="C92" s="16">
        <v>0</v>
      </c>
      <c r="D92" s="16">
        <v>700191.28999999992</v>
      </c>
      <c r="E92" s="16">
        <v>2692550.37</v>
      </c>
      <c r="F92" s="16">
        <v>1124098.04</v>
      </c>
      <c r="G92" s="16">
        <v>733155.03</v>
      </c>
      <c r="H92" s="16">
        <v>34449773.079999998</v>
      </c>
      <c r="I92" s="16">
        <v>3106526.78</v>
      </c>
      <c r="J92" s="16">
        <v>32415228.199999999</v>
      </c>
      <c r="K92" s="16">
        <v>0</v>
      </c>
      <c r="L92" s="16">
        <v>0</v>
      </c>
      <c r="M92" s="16">
        <v>0</v>
      </c>
      <c r="N92" s="18">
        <f t="shared" si="2"/>
        <v>671189902.59000003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6742085393.5100002</v>
      </c>
      <c r="C93" s="16">
        <v>0</v>
      </c>
      <c r="D93" s="16">
        <v>23853005.340074401</v>
      </c>
      <c r="E93" s="16">
        <v>55035058.659999996</v>
      </c>
      <c r="F93" s="16">
        <v>183537231.61000001</v>
      </c>
      <c r="G93" s="16">
        <v>29070997.974005319</v>
      </c>
      <c r="H93" s="16">
        <v>389724219.85000002</v>
      </c>
      <c r="I93" s="16">
        <v>507218499.22000003</v>
      </c>
      <c r="J93" s="16">
        <v>1115901790.5999997</v>
      </c>
      <c r="K93" s="16">
        <v>0</v>
      </c>
      <c r="L93" s="16">
        <v>0</v>
      </c>
      <c r="M93" s="16">
        <v>0</v>
      </c>
      <c r="N93" s="18">
        <f t="shared" si="2"/>
        <v>9046426196.76408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3467114784.3299994</v>
      </c>
      <c r="C94" s="16">
        <v>0</v>
      </c>
      <c r="D94" s="16">
        <v>32194057.469999999</v>
      </c>
      <c r="E94" s="16">
        <v>28301757.449999999</v>
      </c>
      <c r="F94" s="16">
        <v>82991815.319999993</v>
      </c>
      <c r="G94" s="16">
        <v>33048227.207685951</v>
      </c>
      <c r="H94" s="16">
        <v>200415528.08000001</v>
      </c>
      <c r="I94" s="16">
        <v>229353922.61000001</v>
      </c>
      <c r="J94" s="16">
        <v>527025021.19999999</v>
      </c>
      <c r="K94" s="16">
        <v>0</v>
      </c>
      <c r="L94" s="16">
        <v>0</v>
      </c>
      <c r="M94" s="16">
        <v>0</v>
      </c>
      <c r="N94" s="18">
        <f t="shared" si="2"/>
        <v>4600445113.6676855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704663874.74000001</v>
      </c>
      <c r="C95" s="16">
        <v>0</v>
      </c>
      <c r="D95" s="16">
        <v>14449904.827466402</v>
      </c>
      <c r="E95" s="16">
        <v>3183630.27</v>
      </c>
      <c r="F95" s="16">
        <v>4069333.11</v>
      </c>
      <c r="G95" s="16">
        <v>1741243.2</v>
      </c>
      <c r="H95" s="16">
        <v>40732883.5</v>
      </c>
      <c r="I95" s="16">
        <v>11245898.26</v>
      </c>
      <c r="J95" s="16">
        <v>84236705.99999997</v>
      </c>
      <c r="K95" s="16">
        <v>0</v>
      </c>
      <c r="L95" s="16">
        <v>0</v>
      </c>
      <c r="M95" s="16">
        <v>0</v>
      </c>
      <c r="N95" s="18">
        <f t="shared" si="2"/>
        <v>864323473.90746641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2169322406.1199999</v>
      </c>
      <c r="C96" s="16">
        <v>0</v>
      </c>
      <c r="D96" s="16">
        <v>36577495.453672804</v>
      </c>
      <c r="E96" s="16">
        <v>17707990.760000002</v>
      </c>
      <c r="F96" s="16">
        <v>22805936.829999998</v>
      </c>
      <c r="G96" s="16">
        <v>8904778.8300000001</v>
      </c>
      <c r="H96" s="16">
        <v>125397029.70999999</v>
      </c>
      <c r="I96" s="16">
        <v>63025866.469999999</v>
      </c>
      <c r="J96" s="16">
        <v>285459078.80000001</v>
      </c>
      <c r="K96" s="16">
        <v>0</v>
      </c>
      <c r="L96" s="16">
        <v>0</v>
      </c>
      <c r="M96" s="16">
        <v>0</v>
      </c>
      <c r="N96" s="18">
        <f t="shared" si="2"/>
        <v>2729200582.9736729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1101247954.5599999</v>
      </c>
      <c r="C97" s="16">
        <v>0</v>
      </c>
      <c r="D97" s="16">
        <v>50112205.841435209</v>
      </c>
      <c r="E97" s="16">
        <v>4975374</v>
      </c>
      <c r="F97" s="16">
        <v>10529215.34</v>
      </c>
      <c r="G97" s="16">
        <v>4582218.95</v>
      </c>
      <c r="H97" s="16">
        <v>63657307.039999999</v>
      </c>
      <c r="I97" s="16">
        <v>29098253.030000001</v>
      </c>
      <c r="J97" s="16">
        <v>194002481.00000006</v>
      </c>
      <c r="K97" s="16">
        <v>0</v>
      </c>
      <c r="L97" s="16">
        <v>0</v>
      </c>
      <c r="M97" s="16">
        <v>0</v>
      </c>
      <c r="N97" s="18">
        <f t="shared" si="2"/>
        <v>1458205009.761435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3168584464.27</v>
      </c>
      <c r="C98" s="16">
        <v>0</v>
      </c>
      <c r="D98" s="16">
        <v>48003666.484273605</v>
      </c>
      <c r="E98" s="16">
        <v>25864880.329999998</v>
      </c>
      <c r="F98" s="16">
        <v>24484720.809999999</v>
      </c>
      <c r="G98" s="16">
        <v>10966777.359999999</v>
      </c>
      <c r="H98" s="16">
        <v>183159072.65000001</v>
      </c>
      <c r="I98" s="16">
        <v>67665308.209999993</v>
      </c>
      <c r="J98" s="16">
        <v>374043821.00000012</v>
      </c>
      <c r="K98" s="16">
        <v>0</v>
      </c>
      <c r="L98" s="16">
        <v>0</v>
      </c>
      <c r="M98" s="16">
        <v>0</v>
      </c>
      <c r="N98" s="18">
        <f t="shared" si="2"/>
        <v>3902772711.1142735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2247403407.6599998</v>
      </c>
      <c r="C99" s="16">
        <v>0</v>
      </c>
      <c r="D99" s="16">
        <v>37602599.699903212</v>
      </c>
      <c r="E99" s="16">
        <v>10153637.460000001</v>
      </c>
      <c r="F99" s="16">
        <v>9076232.7100000009</v>
      </c>
      <c r="G99" s="16">
        <v>3283923.58</v>
      </c>
      <c r="H99" s="16">
        <v>129910478.53</v>
      </c>
      <c r="I99" s="16">
        <v>25082829.77</v>
      </c>
      <c r="J99" s="16">
        <v>245268835.59999999</v>
      </c>
      <c r="K99" s="16">
        <v>0</v>
      </c>
      <c r="L99" s="16">
        <v>0</v>
      </c>
      <c r="M99" s="16">
        <v>0</v>
      </c>
      <c r="N99" s="18">
        <f t="shared" si="2"/>
        <v>2707781945.009903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2374511289.0900002</v>
      </c>
      <c r="C100" s="16">
        <v>0</v>
      </c>
      <c r="D100" s="16">
        <v>31459096.124938406</v>
      </c>
      <c r="E100" s="16">
        <v>10727903.460000001</v>
      </c>
      <c r="F100" s="16">
        <v>10190513.310000001</v>
      </c>
      <c r="G100" s="16">
        <v>3910160.17</v>
      </c>
      <c r="H100" s="16">
        <v>137257911.41999999</v>
      </c>
      <c r="I100" s="16">
        <v>28162225.309999999</v>
      </c>
      <c r="J100" s="16">
        <v>189669082.20000005</v>
      </c>
      <c r="K100" s="16">
        <v>0</v>
      </c>
      <c r="L100" s="16">
        <v>0</v>
      </c>
      <c r="M100" s="16">
        <v>0</v>
      </c>
      <c r="N100" s="18">
        <f t="shared" si="2"/>
        <v>2785888181.084939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486555113.83999991</v>
      </c>
      <c r="C101" s="16">
        <v>0</v>
      </c>
      <c r="D101" s="16">
        <v>10126058.0065144</v>
      </c>
      <c r="E101" s="16">
        <v>2198227.62</v>
      </c>
      <c r="F101" s="16">
        <v>1217363.82</v>
      </c>
      <c r="G101" s="16">
        <v>626236.59</v>
      </c>
      <c r="H101" s="16">
        <v>28125172.129999999</v>
      </c>
      <c r="I101" s="16">
        <v>3364273.54</v>
      </c>
      <c r="J101" s="16">
        <v>43773475.600000009</v>
      </c>
      <c r="K101" s="16">
        <v>0</v>
      </c>
      <c r="L101" s="16">
        <v>0</v>
      </c>
      <c r="M101" s="16">
        <v>0</v>
      </c>
      <c r="N101" s="18">
        <f t="shared" si="2"/>
        <v>575985921.1465143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1348410837.1399999</v>
      </c>
      <c r="C102" s="16">
        <v>0</v>
      </c>
      <c r="D102" s="16">
        <v>43856489.885438398</v>
      </c>
      <c r="E102" s="16">
        <v>11006960.779999999</v>
      </c>
      <c r="F102" s="16">
        <v>23571697.940000001</v>
      </c>
      <c r="G102" s="16">
        <v>10050333.57</v>
      </c>
      <c r="H102" s="16">
        <v>77944483.180000007</v>
      </c>
      <c r="I102" s="16">
        <v>65142103.060000002</v>
      </c>
      <c r="J102" s="16">
        <v>281920856.00000012</v>
      </c>
      <c r="K102" s="16">
        <v>0</v>
      </c>
      <c r="L102" s="16">
        <v>0</v>
      </c>
      <c r="M102" s="16">
        <v>0</v>
      </c>
      <c r="N102" s="18">
        <f t="shared" si="2"/>
        <v>1861903761.5554385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500504837.15000004</v>
      </c>
      <c r="C103" s="16">
        <v>0</v>
      </c>
      <c r="D103" s="16">
        <v>19298463.194115207</v>
      </c>
      <c r="E103" s="16">
        <v>2261251.65</v>
      </c>
      <c r="F103" s="16">
        <v>584138.28</v>
      </c>
      <c r="G103" s="16">
        <v>397125.64</v>
      </c>
      <c r="H103" s="16">
        <v>28931531.690000001</v>
      </c>
      <c r="I103" s="16">
        <v>1614308.68</v>
      </c>
      <c r="J103" s="16">
        <v>61878095.199999973</v>
      </c>
      <c r="K103" s="16">
        <v>0</v>
      </c>
      <c r="L103" s="16">
        <v>0</v>
      </c>
      <c r="M103" s="16">
        <v>0</v>
      </c>
      <c r="N103" s="18">
        <f t="shared" si="2"/>
        <v>615469751.48411512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7504046118.4200001</v>
      </c>
      <c r="C104" s="16">
        <v>0</v>
      </c>
      <c r="D104" s="16">
        <v>39160591.883588806</v>
      </c>
      <c r="E104" s="16">
        <v>61254878.009999998</v>
      </c>
      <c r="F104" s="16">
        <v>119709079.09</v>
      </c>
      <c r="G104" s="16">
        <v>19626130.766215444</v>
      </c>
      <c r="H104" s="16">
        <v>433769130.55000001</v>
      </c>
      <c r="I104" s="16">
        <v>330824753.69</v>
      </c>
      <c r="J104" s="16">
        <v>684645175.79999995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9193035858.2098045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1286183212.3900001</v>
      </c>
      <c r="C105" s="16">
        <v>0</v>
      </c>
      <c r="D105" s="16">
        <v>5285613.9799999995</v>
      </c>
      <c r="E105" s="16">
        <v>10499002.08</v>
      </c>
      <c r="F105" s="16">
        <v>5159070.08</v>
      </c>
      <c r="G105" s="16">
        <v>3436664.21</v>
      </c>
      <c r="H105" s="16">
        <v>74347434.040000007</v>
      </c>
      <c r="I105" s="16">
        <v>14257465.699999999</v>
      </c>
      <c r="J105" s="16">
        <v>89405533.600000024</v>
      </c>
      <c r="K105" s="16">
        <v>0</v>
      </c>
      <c r="L105" s="16">
        <v>0</v>
      </c>
      <c r="M105" s="16">
        <v>0</v>
      </c>
      <c r="N105" s="18">
        <f t="shared" si="3"/>
        <v>1488573996.0799999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1371660375.99</v>
      </c>
      <c r="C106" s="16">
        <v>0</v>
      </c>
      <c r="D106" s="16">
        <v>4081704.11</v>
      </c>
      <c r="E106" s="16">
        <v>6197081.5499999998</v>
      </c>
      <c r="F106" s="16">
        <v>36555275.840000004</v>
      </c>
      <c r="G106" s="16">
        <v>13223385.054251496</v>
      </c>
      <c r="H106" s="16">
        <v>79288415.790000007</v>
      </c>
      <c r="I106" s="16">
        <v>101023165.65000001</v>
      </c>
      <c r="J106" s="16">
        <v>234974726.39999992</v>
      </c>
      <c r="K106" s="16">
        <v>0</v>
      </c>
      <c r="L106" s="16">
        <v>0</v>
      </c>
      <c r="M106" s="16">
        <v>0</v>
      </c>
      <c r="N106" s="18">
        <f t="shared" si="3"/>
        <v>1847004130.3842511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1841145023.1500001</v>
      </c>
      <c r="C107" s="16">
        <v>0</v>
      </c>
      <c r="D107" s="16">
        <v>23314453.325116009</v>
      </c>
      <c r="E107" s="16">
        <v>8318185.79</v>
      </c>
      <c r="F107" s="16">
        <v>2032212.19</v>
      </c>
      <c r="G107" s="16">
        <v>1451036</v>
      </c>
      <c r="H107" s="16">
        <v>106426834.72</v>
      </c>
      <c r="I107" s="16">
        <v>5616166.3200000003</v>
      </c>
      <c r="J107" s="16">
        <v>108863014.00000003</v>
      </c>
      <c r="K107" s="16">
        <v>0</v>
      </c>
      <c r="L107" s="16">
        <v>0</v>
      </c>
      <c r="M107" s="16">
        <v>0</v>
      </c>
      <c r="N107" s="18">
        <f t="shared" si="3"/>
        <v>2097166925.495116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672894706.2700001</v>
      </c>
      <c r="C108" s="16">
        <v>0</v>
      </c>
      <c r="D108" s="16">
        <v>8362593.9725352013</v>
      </c>
      <c r="E108" s="16">
        <v>3040099.02</v>
      </c>
      <c r="F108" s="16">
        <v>2061664.54</v>
      </c>
      <c r="G108" s="16">
        <v>1069184.42</v>
      </c>
      <c r="H108" s="16">
        <v>38896476.259999998</v>
      </c>
      <c r="I108" s="16">
        <v>5697560.0300000003</v>
      </c>
      <c r="J108" s="16">
        <v>58074204.000000022</v>
      </c>
      <c r="K108" s="16">
        <v>0</v>
      </c>
      <c r="L108" s="16">
        <v>0</v>
      </c>
      <c r="M108" s="16">
        <v>0</v>
      </c>
      <c r="N108" s="18">
        <f t="shared" si="3"/>
        <v>790096488.51253521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6165278378.5</v>
      </c>
      <c r="C109" s="16">
        <v>0</v>
      </c>
      <c r="D109" s="16">
        <v>44183463.19352641</v>
      </c>
      <c r="E109" s="16">
        <v>50326632.990000002</v>
      </c>
      <c r="F109" s="16">
        <v>210495949.88</v>
      </c>
      <c r="G109" s="16">
        <v>90011586.071462005</v>
      </c>
      <c r="H109" s="16">
        <v>356382063.70999998</v>
      </c>
      <c r="I109" s="16">
        <v>581720879.48000002</v>
      </c>
      <c r="J109" s="16">
        <v>1059608956.6000003</v>
      </c>
      <c r="K109" s="16">
        <v>0</v>
      </c>
      <c r="L109" s="16">
        <v>0</v>
      </c>
      <c r="M109" s="16">
        <v>0</v>
      </c>
      <c r="N109" s="18">
        <f t="shared" si="3"/>
        <v>8558007910.4249878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713277126.72000003</v>
      </c>
      <c r="C110" s="16">
        <v>0</v>
      </c>
      <c r="D110" s="16">
        <v>15074074.416737601</v>
      </c>
      <c r="E110" s="16">
        <v>5822419.3600000003</v>
      </c>
      <c r="F110" s="16">
        <v>8045400.4400000004</v>
      </c>
      <c r="G110" s="16">
        <v>3467212.34</v>
      </c>
      <c r="H110" s="16">
        <v>41230769.939999998</v>
      </c>
      <c r="I110" s="16">
        <v>22234049.75</v>
      </c>
      <c r="J110" s="16">
        <v>122776583.40000002</v>
      </c>
      <c r="K110" s="16">
        <v>0</v>
      </c>
      <c r="L110" s="16">
        <v>0</v>
      </c>
      <c r="M110" s="16">
        <v>0</v>
      </c>
      <c r="N110" s="18">
        <f t="shared" si="3"/>
        <v>931927636.36673772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851557269.75999999</v>
      </c>
      <c r="C111" s="16">
        <v>0</v>
      </c>
      <c r="D111" s="16">
        <v>18598728.230846405</v>
      </c>
      <c r="E111" s="16">
        <v>3847286.06</v>
      </c>
      <c r="F111" s="16">
        <v>2802882.03</v>
      </c>
      <c r="G111" s="16">
        <v>1451036</v>
      </c>
      <c r="H111" s="16">
        <v>49224012.049999997</v>
      </c>
      <c r="I111" s="16">
        <v>7745968.5199999996</v>
      </c>
      <c r="J111" s="16">
        <v>95649843.600000024</v>
      </c>
      <c r="K111" s="16">
        <v>0</v>
      </c>
      <c r="L111" s="16">
        <v>0</v>
      </c>
      <c r="M111" s="16">
        <v>0</v>
      </c>
      <c r="N111" s="18">
        <f t="shared" si="3"/>
        <v>1030877026.2508463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1225671996.5899999</v>
      </c>
      <c r="C112" s="16">
        <v>0</v>
      </c>
      <c r="D112" s="16">
        <v>23316379.585626405</v>
      </c>
      <c r="E112" s="16">
        <v>5537514.5700000003</v>
      </c>
      <c r="F112" s="16">
        <v>3406655.22</v>
      </c>
      <c r="G112" s="16">
        <v>1725969.14</v>
      </c>
      <c r="H112" s="16">
        <v>70849601.390000001</v>
      </c>
      <c r="I112" s="16">
        <v>9414539.6799999997</v>
      </c>
      <c r="J112" s="16">
        <v>100335637.40000002</v>
      </c>
      <c r="K112" s="16">
        <v>0</v>
      </c>
      <c r="L112" s="16">
        <v>0</v>
      </c>
      <c r="M112" s="16">
        <v>0</v>
      </c>
      <c r="N112" s="18">
        <f t="shared" si="3"/>
        <v>1440258293.5756266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970176728.93999982</v>
      </c>
      <c r="C113" s="16">
        <v>0</v>
      </c>
      <c r="D113" s="16">
        <v>33571501.709872</v>
      </c>
      <c r="E113" s="16">
        <v>4383201.8499999996</v>
      </c>
      <c r="F113" s="16">
        <v>4800733.1500000004</v>
      </c>
      <c r="G113" s="16">
        <v>2230013.2200000002</v>
      </c>
      <c r="H113" s="16">
        <v>56080774.240000002</v>
      </c>
      <c r="I113" s="16">
        <v>13267175.51</v>
      </c>
      <c r="J113" s="16">
        <v>97986702.599999979</v>
      </c>
      <c r="K113" s="16">
        <v>0</v>
      </c>
      <c r="L113" s="16">
        <v>0</v>
      </c>
      <c r="M113" s="16">
        <v>0</v>
      </c>
      <c r="N113" s="18">
        <f t="shared" si="3"/>
        <v>1182496831.2198718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593752651.91999996</v>
      </c>
      <c r="C114" s="16">
        <v>0</v>
      </c>
      <c r="D114" s="16">
        <v>12156766.507243203</v>
      </c>
      <c r="E114" s="16">
        <v>2682539.84</v>
      </c>
      <c r="F114" s="16">
        <v>2905965.26</v>
      </c>
      <c r="G114" s="16">
        <v>1221925.05</v>
      </c>
      <c r="H114" s="16">
        <v>34321693.600000001</v>
      </c>
      <c r="I114" s="16">
        <v>8030846.5199999996</v>
      </c>
      <c r="J114" s="16">
        <v>74852310.400000021</v>
      </c>
      <c r="K114" s="16">
        <v>0</v>
      </c>
      <c r="L114" s="16">
        <v>0</v>
      </c>
      <c r="M114" s="16">
        <v>0</v>
      </c>
      <c r="N114" s="18">
        <f t="shared" si="3"/>
        <v>729924699.09724307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1473427820.4199998</v>
      </c>
      <c r="C115" s="16">
        <v>0</v>
      </c>
      <c r="D115" s="16">
        <v>13517453.887377601</v>
      </c>
      <c r="E115" s="16">
        <v>6656860.9199999999</v>
      </c>
      <c r="F115" s="16">
        <v>3009048.48</v>
      </c>
      <c r="G115" s="16">
        <v>1970354.15</v>
      </c>
      <c r="H115" s="16">
        <v>85171052.329999998</v>
      </c>
      <c r="I115" s="16">
        <v>8315724.5300000003</v>
      </c>
      <c r="J115" s="16">
        <v>100295018.79999998</v>
      </c>
      <c r="K115" s="16">
        <v>0</v>
      </c>
      <c r="L115" s="16">
        <v>0</v>
      </c>
      <c r="M115" s="16">
        <v>0</v>
      </c>
      <c r="N115" s="18">
        <f t="shared" si="3"/>
        <v>1692363333.5173774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928109106.98000002</v>
      </c>
      <c r="C116" s="16">
        <v>0</v>
      </c>
      <c r="D116" s="16">
        <v>25995185.6203776</v>
      </c>
      <c r="E116" s="16">
        <v>4193142.79</v>
      </c>
      <c r="F116" s="16">
        <v>8305562.8700000001</v>
      </c>
      <c r="G116" s="16">
        <v>3100634.82</v>
      </c>
      <c r="H116" s="16">
        <v>53649067.990000002</v>
      </c>
      <c r="I116" s="16">
        <v>22953027.57</v>
      </c>
      <c r="J116" s="16">
        <v>136060013.40000001</v>
      </c>
      <c r="K116" s="16">
        <v>0</v>
      </c>
      <c r="L116" s="16">
        <v>0</v>
      </c>
      <c r="M116" s="16">
        <v>0</v>
      </c>
      <c r="N116" s="18">
        <f t="shared" si="3"/>
        <v>1182365742.0403776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502408490.66000003</v>
      </c>
      <c r="C117" s="16">
        <v>0</v>
      </c>
      <c r="D117" s="16">
        <v>4327990.7170288004</v>
      </c>
      <c r="E117" s="16">
        <v>2269852.25</v>
      </c>
      <c r="F117" s="16">
        <v>1747506.13</v>
      </c>
      <c r="G117" s="16">
        <v>824799.41</v>
      </c>
      <c r="H117" s="16">
        <v>29041571.809999999</v>
      </c>
      <c r="I117" s="16">
        <v>4829360.41</v>
      </c>
      <c r="J117" s="16">
        <v>40100589</v>
      </c>
      <c r="K117" s="16">
        <v>0</v>
      </c>
      <c r="L117" s="16">
        <v>0</v>
      </c>
      <c r="M117" s="16">
        <v>0</v>
      </c>
      <c r="N117" s="18">
        <f t="shared" si="3"/>
        <v>585550160.38702881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861668478.59000003</v>
      </c>
      <c r="C118" s="16">
        <v>0</v>
      </c>
      <c r="D118" s="16">
        <v>17426781.081577603</v>
      </c>
      <c r="E118" s="16">
        <v>3892967.91</v>
      </c>
      <c r="F118" s="16">
        <v>8241749.4400000004</v>
      </c>
      <c r="G118" s="16">
        <v>3436664.21</v>
      </c>
      <c r="H118" s="16">
        <v>49808487.439999998</v>
      </c>
      <c r="I118" s="16">
        <v>22776674.52</v>
      </c>
      <c r="J118" s="16">
        <v>110533140</v>
      </c>
      <c r="K118" s="16">
        <v>0</v>
      </c>
      <c r="L118" s="16">
        <v>0</v>
      </c>
      <c r="M118" s="16">
        <v>0</v>
      </c>
      <c r="N118" s="18">
        <f t="shared" si="3"/>
        <v>1077784943.1915777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1129365853.1600001</v>
      </c>
      <c r="C119" s="16">
        <v>0</v>
      </c>
      <c r="D119" s="16">
        <v>14037607.438840002</v>
      </c>
      <c r="E119" s="16">
        <v>5102409.03</v>
      </c>
      <c r="F119" s="16">
        <v>6621870.1600000001</v>
      </c>
      <c r="G119" s="16">
        <v>2306383.54</v>
      </c>
      <c r="H119" s="16">
        <v>65282653.719999999</v>
      </c>
      <c r="I119" s="16">
        <v>18300020.199999999</v>
      </c>
      <c r="J119" s="16">
        <v>100614479.79999998</v>
      </c>
      <c r="K119" s="16">
        <v>0</v>
      </c>
      <c r="L119" s="16">
        <v>0</v>
      </c>
      <c r="M119" s="16">
        <v>0</v>
      </c>
      <c r="N119" s="18">
        <f t="shared" si="3"/>
        <v>1341631277.04884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698359972.94000006</v>
      </c>
      <c r="C120" s="16">
        <v>0</v>
      </c>
      <c r="D120" s="16">
        <v>15402739.768222401</v>
      </c>
      <c r="E120" s="16">
        <v>3155149.61</v>
      </c>
      <c r="F120" s="16">
        <v>4462031.1100000003</v>
      </c>
      <c r="G120" s="16">
        <v>2336931.67</v>
      </c>
      <c r="H120" s="16">
        <v>40368488.350000001</v>
      </c>
      <c r="I120" s="16">
        <v>12331147.789999999</v>
      </c>
      <c r="J120" s="16">
        <v>104312250</v>
      </c>
      <c r="K120" s="16">
        <v>0</v>
      </c>
      <c r="L120" s="16">
        <v>0</v>
      </c>
      <c r="M120" s="16">
        <v>0</v>
      </c>
      <c r="N120" s="18">
        <f t="shared" si="3"/>
        <v>880728711.23822248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896027864.13999987</v>
      </c>
      <c r="C121" s="16">
        <v>0</v>
      </c>
      <c r="D121" s="16">
        <v>19879702.302833602</v>
      </c>
      <c r="E121" s="16">
        <v>4048201.61</v>
      </c>
      <c r="F121" s="16">
        <v>1875132.98</v>
      </c>
      <c r="G121" s="16">
        <v>778977.22</v>
      </c>
      <c r="H121" s="16">
        <v>51794621.390000001</v>
      </c>
      <c r="I121" s="16">
        <v>5182066.51</v>
      </c>
      <c r="J121" s="16">
        <v>57962959.800000027</v>
      </c>
      <c r="K121" s="16">
        <v>0</v>
      </c>
      <c r="L121" s="16">
        <v>0</v>
      </c>
      <c r="M121" s="16">
        <v>0</v>
      </c>
      <c r="N121" s="18">
        <f t="shared" si="3"/>
        <v>1037549525.9528335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2782267630.5199995</v>
      </c>
      <c r="C122" s="16">
        <v>0</v>
      </c>
      <c r="D122" s="16">
        <v>484017148.30500007</v>
      </c>
      <c r="E122" s="16">
        <v>22711409.5</v>
      </c>
      <c r="F122" s="16">
        <v>56450338.68</v>
      </c>
      <c r="G122" s="16">
        <v>20730875.859535057</v>
      </c>
      <c r="H122" s="16">
        <v>160828144.18000001</v>
      </c>
      <c r="I122" s="16">
        <v>156004619.97999999</v>
      </c>
      <c r="J122" s="16">
        <v>271900466.00000012</v>
      </c>
      <c r="K122" s="16">
        <v>0</v>
      </c>
      <c r="L122" s="16">
        <v>0</v>
      </c>
      <c r="M122" s="16">
        <v>0</v>
      </c>
      <c r="N122" s="18">
        <f t="shared" si="3"/>
        <v>3954910633.0245347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5869900009.3499994</v>
      </c>
      <c r="C123" s="16">
        <v>0</v>
      </c>
      <c r="D123" s="16">
        <v>117640594.255</v>
      </c>
      <c r="E123" s="16">
        <v>26519865.75</v>
      </c>
      <c r="F123" s="16">
        <v>78470879.5</v>
      </c>
      <c r="G123" s="16">
        <v>48938507.577505775</v>
      </c>
      <c r="H123" s="16">
        <v>339307805.86000001</v>
      </c>
      <c r="I123" s="16">
        <v>216859987.38999999</v>
      </c>
      <c r="J123" s="16">
        <v>354778090.39999998</v>
      </c>
      <c r="K123" s="16">
        <v>0</v>
      </c>
      <c r="L123" s="16">
        <v>0</v>
      </c>
      <c r="M123" s="16">
        <v>0</v>
      </c>
      <c r="N123" s="18">
        <f t="shared" si="3"/>
        <v>7052415740.0825052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5651947285.5699997</v>
      </c>
      <c r="C124" s="16">
        <v>0</v>
      </c>
      <c r="D124" s="16">
        <v>21477562.919999998</v>
      </c>
      <c r="E124" s="16">
        <v>46136355.780000001</v>
      </c>
      <c r="F124" s="16">
        <v>100486511.59</v>
      </c>
      <c r="G124" s="16">
        <v>0</v>
      </c>
      <c r="H124" s="16">
        <v>326709114.17000002</v>
      </c>
      <c r="I124" s="16">
        <v>277701789.18000001</v>
      </c>
      <c r="J124" s="16">
        <v>507565711.19999999</v>
      </c>
      <c r="K124" s="16">
        <v>0</v>
      </c>
      <c r="L124" s="16">
        <v>0</v>
      </c>
      <c r="M124" s="16">
        <v>0</v>
      </c>
      <c r="N124" s="18">
        <f t="shared" si="3"/>
        <v>6932024330.4099998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1803384027.1900001</v>
      </c>
      <c r="C125" s="16">
        <v>0</v>
      </c>
      <c r="D125" s="16">
        <v>23969265.866500001</v>
      </c>
      <c r="E125" s="16">
        <v>8147583.8099999996</v>
      </c>
      <c r="F125" s="16">
        <v>39073451.82</v>
      </c>
      <c r="G125" s="16">
        <v>14632552.52</v>
      </c>
      <c r="H125" s="16">
        <v>104244071.69</v>
      </c>
      <c r="I125" s="16">
        <v>107982328.26000001</v>
      </c>
      <c r="J125" s="16">
        <v>313656543.60000008</v>
      </c>
      <c r="K125" s="16">
        <v>0</v>
      </c>
      <c r="L125" s="16">
        <v>0</v>
      </c>
      <c r="M125" s="16">
        <v>0</v>
      </c>
      <c r="N125" s="18">
        <f t="shared" si="3"/>
        <v>2415089824.7564998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1959733274.8899999</v>
      </c>
      <c r="C126" s="16">
        <v>0</v>
      </c>
      <c r="D126" s="16">
        <v>20741539.522917598</v>
      </c>
      <c r="E126" s="16">
        <v>8853960.5899999999</v>
      </c>
      <c r="F126" s="16">
        <v>19561269.530000001</v>
      </c>
      <c r="G126" s="16">
        <v>5987432.7599999998</v>
      </c>
      <c r="H126" s="16">
        <v>113281792.97</v>
      </c>
      <c r="I126" s="16">
        <v>54058992.229999997</v>
      </c>
      <c r="J126" s="16">
        <v>215213520.40000004</v>
      </c>
      <c r="K126" s="16">
        <v>0</v>
      </c>
      <c r="L126" s="16">
        <v>0</v>
      </c>
      <c r="M126" s="16">
        <v>0</v>
      </c>
      <c r="N126" s="18">
        <f t="shared" si="3"/>
        <v>2397431782.8929172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1150118797.25</v>
      </c>
      <c r="C127" s="16">
        <v>0</v>
      </c>
      <c r="D127" s="16">
        <v>16024462.0051744</v>
      </c>
      <c r="E127" s="16">
        <v>5196169.62</v>
      </c>
      <c r="F127" s="16">
        <v>20763907.18</v>
      </c>
      <c r="G127" s="16">
        <v>8553475.3800000008</v>
      </c>
      <c r="H127" s="16">
        <v>66482271.409999996</v>
      </c>
      <c r="I127" s="16">
        <v>57382568.909999996</v>
      </c>
      <c r="J127" s="16">
        <v>238623095.40000007</v>
      </c>
      <c r="K127" s="16">
        <v>0</v>
      </c>
      <c r="L127" s="16">
        <v>0</v>
      </c>
      <c r="M127" s="16">
        <v>0</v>
      </c>
      <c r="N127" s="18">
        <f t="shared" si="3"/>
        <v>1563144747.1551747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498226694.37</v>
      </c>
      <c r="C128" s="16">
        <v>0</v>
      </c>
      <c r="D128" s="16">
        <v>7642626.4976088013</v>
      </c>
      <c r="E128" s="16">
        <v>2250959.14</v>
      </c>
      <c r="F128" s="16">
        <v>1899676.61</v>
      </c>
      <c r="G128" s="16">
        <v>1023362.23</v>
      </c>
      <c r="H128" s="16">
        <v>28799844.329999998</v>
      </c>
      <c r="I128" s="16">
        <v>5249894.5999999996</v>
      </c>
      <c r="J128" s="16">
        <v>51281357.999999985</v>
      </c>
      <c r="K128" s="16">
        <v>0</v>
      </c>
      <c r="L128" s="16">
        <v>0</v>
      </c>
      <c r="M128" s="16">
        <v>0</v>
      </c>
      <c r="N128" s="18">
        <f t="shared" si="3"/>
        <v>596374415.77760887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3288108939.0599999</v>
      </c>
      <c r="C129" s="16">
        <v>0</v>
      </c>
      <c r="D129" s="16">
        <v>88938757.47320801</v>
      </c>
      <c r="E129" s="16">
        <v>14855484.33</v>
      </c>
      <c r="F129" s="16">
        <v>24160744.949999999</v>
      </c>
      <c r="G129" s="16">
        <v>12692746.5</v>
      </c>
      <c r="H129" s="16">
        <v>190068148.99000001</v>
      </c>
      <c r="I129" s="16">
        <v>66769977.350000001</v>
      </c>
      <c r="J129" s="16">
        <v>321317752.59999996</v>
      </c>
      <c r="K129" s="16">
        <v>0</v>
      </c>
      <c r="L129" s="16">
        <v>0</v>
      </c>
      <c r="M129" s="16">
        <v>0</v>
      </c>
      <c r="N129" s="18">
        <f t="shared" si="3"/>
        <v>4006912551.2532072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859483958.13999999</v>
      </c>
      <c r="C130" s="16">
        <v>0</v>
      </c>
      <c r="D130" s="16">
        <v>22422202.128455203</v>
      </c>
      <c r="E130" s="16">
        <v>3883098.37</v>
      </c>
      <c r="F130" s="16">
        <v>2989413.58</v>
      </c>
      <c r="G130" s="16">
        <v>946991.92</v>
      </c>
      <c r="H130" s="16">
        <v>49682211.890000001</v>
      </c>
      <c r="I130" s="16">
        <v>8261462.0499999998</v>
      </c>
      <c r="J130" s="16">
        <v>88313218.600000024</v>
      </c>
      <c r="K130" s="16">
        <v>0</v>
      </c>
      <c r="L130" s="16">
        <v>0</v>
      </c>
      <c r="M130" s="16">
        <v>0</v>
      </c>
      <c r="N130" s="18">
        <f t="shared" si="3"/>
        <v>1035982556.6784551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5575239411.1900005</v>
      </c>
      <c r="C131" s="16">
        <v>0</v>
      </c>
      <c r="D131" s="16">
        <v>295686176.82000005</v>
      </c>
      <c r="E131" s="16">
        <v>25188606.359999999</v>
      </c>
      <c r="F131" s="16">
        <v>132000526.75</v>
      </c>
      <c r="G131" s="16">
        <v>0</v>
      </c>
      <c r="H131" s="16">
        <v>322275038.54000002</v>
      </c>
      <c r="I131" s="16">
        <v>364793063.99000001</v>
      </c>
      <c r="J131" s="16">
        <v>693878440.39999986</v>
      </c>
      <c r="K131" s="16">
        <v>0</v>
      </c>
      <c r="L131" s="16">
        <v>0</v>
      </c>
      <c r="M131" s="16">
        <v>0</v>
      </c>
      <c r="N131" s="18">
        <f t="shared" si="3"/>
        <v>7409061264.0499992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207841514.81999999</v>
      </c>
      <c r="C132" s="16">
        <v>0</v>
      </c>
      <c r="D132" s="16">
        <v>1866432.2144600004</v>
      </c>
      <c r="E132" s="16">
        <v>939015.84</v>
      </c>
      <c r="F132" s="16">
        <v>564503.38</v>
      </c>
      <c r="G132" s="16">
        <v>229110.95</v>
      </c>
      <c r="H132" s="16">
        <v>12014216.300000001</v>
      </c>
      <c r="I132" s="16">
        <v>1560046.2</v>
      </c>
      <c r="J132" s="16">
        <v>24916494.20000001</v>
      </c>
      <c r="K132" s="16">
        <v>0</v>
      </c>
      <c r="L132" s="16">
        <v>0</v>
      </c>
      <c r="M132" s="16">
        <v>0</v>
      </c>
      <c r="N132" s="18">
        <f t="shared" si="3"/>
        <v>249931333.90446001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1398529977.23</v>
      </c>
      <c r="C133" s="16">
        <v>0</v>
      </c>
      <c r="D133" s="16">
        <v>13952127.060377603</v>
      </c>
      <c r="E133" s="16">
        <v>6318476.8399999999</v>
      </c>
      <c r="F133" s="16">
        <v>2042029.64</v>
      </c>
      <c r="G133" s="16">
        <v>1298295.3700000001</v>
      </c>
      <c r="H133" s="16">
        <v>80841605.010000005</v>
      </c>
      <c r="I133" s="16">
        <v>5643297.5599999996</v>
      </c>
      <c r="J133" s="16">
        <v>91912918.199999958</v>
      </c>
      <c r="K133" s="16">
        <v>0</v>
      </c>
      <c r="L133" s="16">
        <v>0</v>
      </c>
      <c r="M133" s="16">
        <v>0</v>
      </c>
      <c r="N133" s="18">
        <f t="shared" si="3"/>
        <v>1600538726.9103775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2410899157.9400001</v>
      </c>
      <c r="C134" s="16">
        <v>0</v>
      </c>
      <c r="D134" s="16">
        <v>31680507.266155206</v>
      </c>
      <c r="E134" s="16">
        <v>10892301.720000001</v>
      </c>
      <c r="F134" s="16">
        <v>9527835.4199999999</v>
      </c>
      <c r="G134" s="16">
        <v>4292011.75</v>
      </c>
      <c r="H134" s="16">
        <v>139361301.24000001</v>
      </c>
      <c r="I134" s="16">
        <v>26330866.73</v>
      </c>
      <c r="J134" s="16">
        <v>207571705.79999989</v>
      </c>
      <c r="K134" s="16">
        <v>0</v>
      </c>
      <c r="L134" s="16">
        <v>0</v>
      </c>
      <c r="M134" s="16">
        <v>0</v>
      </c>
      <c r="N134" s="18">
        <f t="shared" si="3"/>
        <v>2840555687.8661547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2010476563.6900001</v>
      </c>
      <c r="C135" s="16">
        <v>0</v>
      </c>
      <c r="D135" s="16">
        <v>48699417.20739121</v>
      </c>
      <c r="E135" s="16">
        <v>16411345.92</v>
      </c>
      <c r="F135" s="16">
        <v>14343294.75</v>
      </c>
      <c r="G135" s="16">
        <v>5437566.4900000002</v>
      </c>
      <c r="H135" s="16">
        <v>116214993.52</v>
      </c>
      <c r="I135" s="16">
        <v>39638739.090000004</v>
      </c>
      <c r="J135" s="16">
        <v>213997153.39999992</v>
      </c>
      <c r="K135" s="16">
        <v>0</v>
      </c>
      <c r="L135" s="16">
        <v>0</v>
      </c>
      <c r="M135" s="16">
        <v>0</v>
      </c>
      <c r="N135" s="18">
        <f t="shared" si="3"/>
        <v>2465219074.0673919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3128108421.5</v>
      </c>
      <c r="C136" s="16">
        <v>0</v>
      </c>
      <c r="D136" s="16">
        <v>26897824.990000002</v>
      </c>
      <c r="E136" s="16">
        <v>25534477.899999999</v>
      </c>
      <c r="F136" s="16">
        <v>85338185.920000002</v>
      </c>
      <c r="G136" s="16">
        <v>37367777.6414105</v>
      </c>
      <c r="H136" s="16">
        <v>180819367.16</v>
      </c>
      <c r="I136" s="16">
        <v>235838288.55000001</v>
      </c>
      <c r="J136" s="16">
        <v>486530686.39999992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4206435030.0614104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489644649.86000001</v>
      </c>
      <c r="C137" s="16">
        <v>0</v>
      </c>
      <c r="D137" s="16">
        <v>6738218.9417224005</v>
      </c>
      <c r="E137" s="16">
        <v>2212185.96</v>
      </c>
      <c r="F137" s="16">
        <v>1021014.82</v>
      </c>
      <c r="G137" s="16">
        <v>794251.29</v>
      </c>
      <c r="H137" s="16">
        <v>28303761.829999998</v>
      </c>
      <c r="I137" s="16">
        <v>2821648.78</v>
      </c>
      <c r="J137" s="16">
        <v>47727765.999999993</v>
      </c>
      <c r="K137" s="16">
        <v>0</v>
      </c>
      <c r="L137" s="16">
        <v>0</v>
      </c>
      <c r="M137" s="16">
        <v>0</v>
      </c>
      <c r="N137" s="18">
        <f t="shared" si="4"/>
        <v>579263497.48172235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1457387198.9999998</v>
      </c>
      <c r="C138" s="16">
        <v>0</v>
      </c>
      <c r="D138" s="16">
        <v>35172108.773324005</v>
      </c>
      <c r="E138" s="16">
        <v>6584390.3300000001</v>
      </c>
      <c r="F138" s="16">
        <v>8889701.1600000001</v>
      </c>
      <c r="G138" s="16">
        <v>3100634.82</v>
      </c>
      <c r="H138" s="16">
        <v>84243829.030000001</v>
      </c>
      <c r="I138" s="16">
        <v>24567336.239999998</v>
      </c>
      <c r="J138" s="16">
        <v>173418653.60000008</v>
      </c>
      <c r="K138" s="16">
        <v>0</v>
      </c>
      <c r="L138" s="16">
        <v>0</v>
      </c>
      <c r="M138" s="16">
        <v>0</v>
      </c>
      <c r="N138" s="18">
        <f t="shared" si="4"/>
        <v>1793363852.9533238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4959329480.5200005</v>
      </c>
      <c r="C139" s="16">
        <v>0</v>
      </c>
      <c r="D139" s="16">
        <v>58684679.760000013</v>
      </c>
      <c r="E139" s="16">
        <v>22405961.23</v>
      </c>
      <c r="F139" s="16">
        <v>45719865.609999999</v>
      </c>
      <c r="G139" s="16">
        <v>33681085.778194562</v>
      </c>
      <c r="H139" s="16">
        <v>286672550.07999998</v>
      </c>
      <c r="I139" s="16">
        <v>126350176.58</v>
      </c>
      <c r="J139" s="16">
        <v>309648826.60000008</v>
      </c>
      <c r="K139" s="16">
        <v>0</v>
      </c>
      <c r="L139" s="16">
        <v>0</v>
      </c>
      <c r="M139" s="16">
        <v>0</v>
      </c>
      <c r="N139" s="18">
        <f t="shared" si="4"/>
        <v>5842492626.1581945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1486628565.29</v>
      </c>
      <c r="C140" s="16">
        <v>0</v>
      </c>
      <c r="D140" s="16">
        <v>3380554.51</v>
      </c>
      <c r="E140" s="16">
        <v>6716501.1200000001</v>
      </c>
      <c r="F140" s="16">
        <v>7539801.75</v>
      </c>
      <c r="G140" s="16">
        <v>3268649.52</v>
      </c>
      <c r="H140" s="16">
        <v>85934117.480000004</v>
      </c>
      <c r="I140" s="16">
        <v>20836790.98</v>
      </c>
      <c r="J140" s="16">
        <v>78270506.399999976</v>
      </c>
      <c r="K140" s="16">
        <v>0</v>
      </c>
      <c r="L140" s="16">
        <v>0</v>
      </c>
      <c r="M140" s="16">
        <v>0</v>
      </c>
      <c r="N140" s="18">
        <f t="shared" si="4"/>
        <v>1692575487.0499997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1679428096.6699998</v>
      </c>
      <c r="C141" s="16">
        <v>0</v>
      </c>
      <c r="D141" s="16">
        <v>23320345.152758408</v>
      </c>
      <c r="E141" s="16">
        <v>7587558.1500000004</v>
      </c>
      <c r="F141" s="16">
        <v>10872826.1</v>
      </c>
      <c r="G141" s="16">
        <v>2856249.81</v>
      </c>
      <c r="H141" s="16">
        <v>97078836.390000001</v>
      </c>
      <c r="I141" s="16">
        <v>30047846.370000001</v>
      </c>
      <c r="J141" s="16">
        <v>217678090.59999999</v>
      </c>
      <c r="K141" s="16">
        <v>0</v>
      </c>
      <c r="L141" s="16">
        <v>0</v>
      </c>
      <c r="M141" s="16">
        <v>0</v>
      </c>
      <c r="N141" s="18">
        <f t="shared" si="4"/>
        <v>2068869849.242758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1706953054.0799999</v>
      </c>
      <c r="C142" s="16">
        <v>0</v>
      </c>
      <c r="D142" s="16">
        <v>18297507.522508804</v>
      </c>
      <c r="E142" s="16">
        <v>13933709.82</v>
      </c>
      <c r="F142" s="16">
        <v>46745789.149999999</v>
      </c>
      <c r="G142" s="16">
        <v>11531917.699999999</v>
      </c>
      <c r="H142" s="16">
        <v>98669908.269999996</v>
      </c>
      <c r="I142" s="16">
        <v>129185390.95999999</v>
      </c>
      <c r="J142" s="16">
        <v>295073281.39999992</v>
      </c>
      <c r="K142" s="16">
        <v>0</v>
      </c>
      <c r="L142" s="16">
        <v>0</v>
      </c>
      <c r="M142" s="16">
        <v>0</v>
      </c>
      <c r="N142" s="18">
        <f t="shared" si="4"/>
        <v>2320390558.9025087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 t="shared" ref="B143:I143" si="5">SUM(B8:B142)</f>
        <v>312074346689.46008</v>
      </c>
      <c r="C143" s="23">
        <f t="shared" si="5"/>
        <v>0</v>
      </c>
      <c r="D143" s="23">
        <f t="shared" si="5"/>
        <v>4191381203.9986472</v>
      </c>
      <c r="E143" s="23">
        <f t="shared" si="5"/>
        <v>2014190984.9699991</v>
      </c>
      <c r="F143" s="23">
        <f t="shared" si="5"/>
        <v>4908725103.4100008</v>
      </c>
      <c r="G143" s="23">
        <f t="shared" si="5"/>
        <v>1527406317.5400004</v>
      </c>
      <c r="H143" s="23">
        <f t="shared" si="5"/>
        <v>18039363817.710003</v>
      </c>
      <c r="I143" s="23">
        <f t="shared" si="5"/>
        <v>13565619128.690001</v>
      </c>
      <c r="J143" s="23">
        <f t="shared" ref="J143:N143" si="6">SUM(J8:J142)</f>
        <v>36593470779.399986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392914504025.17853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4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44AEAC"/>
  </sheetPr>
  <dimension ref="A1:X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832031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4.83203125" style="1" bestFit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158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176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24" ht="18" customHeight="1" x14ac:dyDescent="0.2">
      <c r="A8" s="17" t="s">
        <v>3</v>
      </c>
      <c r="B8" s="16">
        <v>1392697340.1499999</v>
      </c>
      <c r="C8" s="16">
        <v>0</v>
      </c>
      <c r="D8" s="16">
        <v>27495417.375002865</v>
      </c>
      <c r="E8" s="16">
        <v>12551635.1</v>
      </c>
      <c r="F8" s="16">
        <v>3268153.13</v>
      </c>
      <c r="G8" s="16">
        <v>1388276.13</v>
      </c>
      <c r="H8" s="16">
        <v>82050468.469999999</v>
      </c>
      <c r="I8" s="16">
        <v>11345205.890000001</v>
      </c>
      <c r="J8" s="16">
        <v>126670787.32000004</v>
      </c>
      <c r="K8" s="16">
        <v>0</v>
      </c>
      <c r="L8" s="16">
        <v>0</v>
      </c>
      <c r="M8" s="16">
        <v>0</v>
      </c>
      <c r="N8" s="18">
        <f t="shared" ref="N8:N39" si="0">SUM(B8:M8)</f>
        <v>1657467283.5650029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>
        <v>772439329.09000003</v>
      </c>
      <c r="C9" s="16">
        <v>0</v>
      </c>
      <c r="D9" s="16">
        <v>18940673.745834135</v>
      </c>
      <c r="E9" s="16">
        <v>6961581.9000000004</v>
      </c>
      <c r="F9" s="16">
        <v>2289737.1</v>
      </c>
      <c r="G9" s="16">
        <v>1027324.34</v>
      </c>
      <c r="H9" s="16">
        <v>45508099.280000001</v>
      </c>
      <c r="I9" s="16">
        <v>7948690.8399999999</v>
      </c>
      <c r="J9" s="16">
        <v>96060934.640000015</v>
      </c>
      <c r="K9" s="16">
        <v>0</v>
      </c>
      <c r="L9" s="16">
        <v>0</v>
      </c>
      <c r="M9" s="16">
        <v>0</v>
      </c>
      <c r="N9" s="18">
        <f t="shared" si="0"/>
        <v>951176370.93583417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>
        <v>824034832.3299998</v>
      </c>
      <c r="C10" s="16">
        <v>0</v>
      </c>
      <c r="D10" s="16">
        <v>10252859.842478415</v>
      </c>
      <c r="E10" s="16">
        <v>7426584.54</v>
      </c>
      <c r="F10" s="16">
        <v>1599568.11</v>
      </c>
      <c r="G10" s="16">
        <v>1027324.34</v>
      </c>
      <c r="H10" s="16">
        <v>48547837.409999996</v>
      </c>
      <c r="I10" s="16">
        <v>5552808.8499999996</v>
      </c>
      <c r="J10" s="16">
        <v>56774586.879999988</v>
      </c>
      <c r="K10" s="16">
        <v>0</v>
      </c>
      <c r="L10" s="16">
        <v>0</v>
      </c>
      <c r="M10" s="16">
        <v>0</v>
      </c>
      <c r="N10" s="18">
        <f t="shared" si="0"/>
        <v>955216402.30247819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>
        <v>6386722682.7700005</v>
      </c>
      <c r="C11" s="16">
        <v>0</v>
      </c>
      <c r="D11" s="16">
        <v>37707776.23632516</v>
      </c>
      <c r="E11" s="16">
        <v>80451869.49000001</v>
      </c>
      <c r="F11" s="16">
        <v>171689684.34</v>
      </c>
      <c r="G11" s="16">
        <v>85102785.863578498</v>
      </c>
      <c r="H11" s="16">
        <v>376272412.5</v>
      </c>
      <c r="I11" s="16">
        <v>596010878.40999997</v>
      </c>
      <c r="J11" s="16">
        <v>1068165278.6200002</v>
      </c>
      <c r="K11" s="16">
        <v>0</v>
      </c>
      <c r="L11" s="16">
        <v>0</v>
      </c>
      <c r="M11" s="16">
        <v>0</v>
      </c>
      <c r="N11" s="18">
        <f t="shared" si="0"/>
        <v>8802123368.2299042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>
        <v>841318055.07999992</v>
      </c>
      <c r="C12" s="16">
        <v>0</v>
      </c>
      <c r="D12" s="16">
        <v>12996733.564990807</v>
      </c>
      <c r="E12" s="16">
        <v>7582348.9700000007</v>
      </c>
      <c r="F12" s="16">
        <v>5870496.1799999997</v>
      </c>
      <c r="G12" s="16">
        <v>2554428.09</v>
      </c>
      <c r="H12" s="16">
        <v>49566074.810000002</v>
      </c>
      <c r="I12" s="16">
        <v>20379090.329999998</v>
      </c>
      <c r="J12" s="16">
        <v>115173375.01999995</v>
      </c>
      <c r="K12" s="16">
        <v>0</v>
      </c>
      <c r="L12" s="16">
        <v>0</v>
      </c>
      <c r="M12" s="16">
        <v>0</v>
      </c>
      <c r="N12" s="18">
        <f t="shared" si="0"/>
        <v>1055440602.0449907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>
        <v>3792777819.0999994</v>
      </c>
      <c r="C13" s="16">
        <v>0</v>
      </c>
      <c r="D13" s="16">
        <v>32418458.033480305</v>
      </c>
      <c r="E13" s="16">
        <v>47776626.789999999</v>
      </c>
      <c r="F13" s="16">
        <v>83490147.989999995</v>
      </c>
      <c r="G13" s="16">
        <v>0</v>
      </c>
      <c r="H13" s="16">
        <v>223450700.93000001</v>
      </c>
      <c r="I13" s="16">
        <v>289831253.60000002</v>
      </c>
      <c r="J13" s="16">
        <v>794258136.31999969</v>
      </c>
      <c r="K13" s="16">
        <v>0</v>
      </c>
      <c r="L13" s="16">
        <v>0</v>
      </c>
      <c r="M13" s="16">
        <v>0</v>
      </c>
      <c r="N13" s="18">
        <f t="shared" si="0"/>
        <v>5264003142.7634792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>
        <v>1377574520.25</v>
      </c>
      <c r="C14" s="16">
        <v>0</v>
      </c>
      <c r="D14" s="16">
        <v>39008409.413984612</v>
      </c>
      <c r="E14" s="16">
        <v>12415341.23</v>
      </c>
      <c r="F14" s="16">
        <v>3799989.23</v>
      </c>
      <c r="G14" s="16">
        <v>1735345.17</v>
      </c>
      <c r="H14" s="16">
        <v>81159510.739999995</v>
      </c>
      <c r="I14" s="16">
        <v>13191444.369999999</v>
      </c>
      <c r="J14" s="16">
        <v>170507716.06</v>
      </c>
      <c r="K14" s="16">
        <v>0</v>
      </c>
      <c r="L14" s="16">
        <v>0</v>
      </c>
      <c r="M14" s="16">
        <v>0</v>
      </c>
      <c r="N14" s="18">
        <f t="shared" si="0"/>
        <v>1699392276.4639845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>
        <v>2331042899.6300001</v>
      </c>
      <c r="C15" s="16">
        <v>0</v>
      </c>
      <c r="D15" s="16">
        <v>49732754.248366147</v>
      </c>
      <c r="E15" s="16">
        <v>21008440.990000002</v>
      </c>
      <c r="F15" s="16">
        <v>14156583.800000001</v>
      </c>
      <c r="G15" s="16">
        <v>6011235.6600000001</v>
      </c>
      <c r="H15" s="16">
        <v>137332898.12</v>
      </c>
      <c r="I15" s="16">
        <v>49143767.630000003</v>
      </c>
      <c r="J15" s="16">
        <v>272047461.84000003</v>
      </c>
      <c r="K15" s="16">
        <v>0</v>
      </c>
      <c r="L15" s="16">
        <v>0</v>
      </c>
      <c r="M15" s="16">
        <v>0</v>
      </c>
      <c r="N15" s="18">
        <f t="shared" si="0"/>
        <v>2880476041.9183664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>
        <v>4225239635.79</v>
      </c>
      <c r="C16" s="16">
        <v>0</v>
      </c>
      <c r="D16" s="16">
        <v>57049338.037144326</v>
      </c>
      <c r="E16" s="16">
        <v>53224234.810000002</v>
      </c>
      <c r="F16" s="16">
        <v>52797927.280000001</v>
      </c>
      <c r="G16" s="16">
        <v>26668784.550000001</v>
      </c>
      <c r="H16" s="16">
        <v>248929097.15000001</v>
      </c>
      <c r="I16" s="16">
        <v>183284972.19</v>
      </c>
      <c r="J16" s="16">
        <v>675800936.36000001</v>
      </c>
      <c r="K16" s="16">
        <v>0</v>
      </c>
      <c r="L16" s="16">
        <v>0</v>
      </c>
      <c r="M16" s="16">
        <v>0</v>
      </c>
      <c r="N16" s="18">
        <f t="shared" si="0"/>
        <v>5522994926.1671429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>
        <v>1635774430.9399998</v>
      </c>
      <c r="C17" s="16">
        <v>0</v>
      </c>
      <c r="D17" s="16">
        <v>41868725.348243594</v>
      </c>
      <c r="E17" s="16">
        <v>14742358.710000001</v>
      </c>
      <c r="F17" s="16">
        <v>10843772.68</v>
      </c>
      <c r="G17" s="16">
        <v>3887173.18</v>
      </c>
      <c r="H17" s="16">
        <v>96371303.719999999</v>
      </c>
      <c r="I17" s="16">
        <v>37643534.079999998</v>
      </c>
      <c r="J17" s="16">
        <v>183180510.92000008</v>
      </c>
      <c r="K17" s="16">
        <v>0</v>
      </c>
      <c r="L17" s="16">
        <v>0</v>
      </c>
      <c r="M17" s="16">
        <v>0</v>
      </c>
      <c r="N17" s="18">
        <f t="shared" si="0"/>
        <v>2024311809.5782435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>
        <v>918457144.93000007</v>
      </c>
      <c r="C18" s="16">
        <v>0</v>
      </c>
      <c r="D18" s="16">
        <v>16113258.483818289</v>
      </c>
      <c r="E18" s="16">
        <v>8277562.2599999998</v>
      </c>
      <c r="F18" s="16">
        <v>7307671.5899999999</v>
      </c>
      <c r="G18" s="16">
        <v>3165269.59</v>
      </c>
      <c r="H18" s="16">
        <v>54110707.93</v>
      </c>
      <c r="I18" s="16">
        <v>25368162.239999998</v>
      </c>
      <c r="J18" s="16">
        <v>149342381.98000005</v>
      </c>
      <c r="K18" s="16">
        <v>0</v>
      </c>
      <c r="L18" s="16">
        <v>0</v>
      </c>
      <c r="M18" s="16">
        <v>0</v>
      </c>
      <c r="N18" s="18">
        <f t="shared" si="0"/>
        <v>1182142159.0038185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>
        <v>1480320737.95</v>
      </c>
      <c r="C19" s="16">
        <v>0</v>
      </c>
      <c r="D19" s="16">
        <v>32215292.83602111</v>
      </c>
      <c r="E19" s="16">
        <v>13341337.850000001</v>
      </c>
      <c r="F19" s="16">
        <v>2951487.36</v>
      </c>
      <c r="G19" s="16">
        <v>1763110.69</v>
      </c>
      <c r="H19" s="16">
        <v>87212782.370000005</v>
      </c>
      <c r="I19" s="16">
        <v>10245918.859999999</v>
      </c>
      <c r="J19" s="16">
        <v>129932875.82000004</v>
      </c>
      <c r="K19" s="16">
        <v>0</v>
      </c>
      <c r="L19" s="16">
        <v>0</v>
      </c>
      <c r="M19" s="16">
        <v>0</v>
      </c>
      <c r="N19" s="18">
        <f t="shared" si="0"/>
        <v>1757983543.736021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>
        <v>5302168683.6199989</v>
      </c>
      <c r="C20" s="16">
        <v>0</v>
      </c>
      <c r="D20" s="16">
        <v>21936021.763762422</v>
      </c>
      <c r="E20" s="16">
        <v>66790027.390000001</v>
      </c>
      <c r="F20" s="16">
        <v>94204006.510000005</v>
      </c>
      <c r="G20" s="16">
        <v>41740061.563059047</v>
      </c>
      <c r="H20" s="16">
        <v>312376143.63999999</v>
      </c>
      <c r="I20" s="16">
        <v>327023798.13</v>
      </c>
      <c r="J20" s="16">
        <v>738852547.84000039</v>
      </c>
      <c r="K20" s="16">
        <v>0</v>
      </c>
      <c r="L20" s="16">
        <v>0</v>
      </c>
      <c r="M20" s="16">
        <v>0</v>
      </c>
      <c r="N20" s="18">
        <f t="shared" si="0"/>
        <v>6905091290.4568214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>
        <v>2301369131.1399999</v>
      </c>
      <c r="C21" s="16">
        <v>0</v>
      </c>
      <c r="D21" s="16">
        <v>14564921.821759908</v>
      </c>
      <c r="E21" s="16">
        <v>20741007.210000001</v>
      </c>
      <c r="F21" s="16">
        <v>25049074.300000001</v>
      </c>
      <c r="G21" s="16">
        <v>5629557.4824384302</v>
      </c>
      <c r="H21" s="16">
        <v>135584674.34</v>
      </c>
      <c r="I21" s="16">
        <v>86956422.790000007</v>
      </c>
      <c r="J21" s="16">
        <v>242236225</v>
      </c>
      <c r="K21" s="16">
        <v>0</v>
      </c>
      <c r="L21" s="16">
        <v>0</v>
      </c>
      <c r="M21" s="16">
        <v>0</v>
      </c>
      <c r="N21" s="18">
        <f t="shared" si="0"/>
        <v>2832131014.0841985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>
        <v>1884093675.6599998</v>
      </c>
      <c r="C22" s="16">
        <v>0</v>
      </c>
      <c r="D22" s="16">
        <v>30421909.176145699</v>
      </c>
      <c r="E22" s="16">
        <v>16980327.049999997</v>
      </c>
      <c r="F22" s="16">
        <v>5963871.9800000004</v>
      </c>
      <c r="G22" s="16">
        <v>2984793.69</v>
      </c>
      <c r="H22" s="16">
        <v>111000979.37</v>
      </c>
      <c r="I22" s="16">
        <v>20703239.07</v>
      </c>
      <c r="J22" s="16">
        <v>181906106.57999992</v>
      </c>
      <c r="K22" s="16">
        <v>0</v>
      </c>
      <c r="L22" s="16">
        <v>0</v>
      </c>
      <c r="M22" s="16">
        <v>0</v>
      </c>
      <c r="N22" s="18">
        <f t="shared" si="0"/>
        <v>2254054902.5761452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>
        <v>1777153734.7999997</v>
      </c>
      <c r="C23" s="16">
        <v>0</v>
      </c>
      <c r="D23" s="16">
        <v>22840578.837097257</v>
      </c>
      <c r="E23" s="16">
        <v>16016534.640000001</v>
      </c>
      <c r="F23" s="16">
        <v>5716223.1100000003</v>
      </c>
      <c r="G23" s="16">
        <v>3678931.76</v>
      </c>
      <c r="H23" s="16">
        <v>104700635.43000001</v>
      </c>
      <c r="I23" s="16">
        <v>19843540.239999998</v>
      </c>
      <c r="J23" s="16">
        <v>150156293.98000005</v>
      </c>
      <c r="K23" s="16">
        <v>0</v>
      </c>
      <c r="L23" s="16">
        <v>0</v>
      </c>
      <c r="M23" s="16">
        <v>0</v>
      </c>
      <c r="N23" s="18">
        <f t="shared" si="0"/>
        <v>2100106472.797097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>
        <v>563896913.21000004</v>
      </c>
      <c r="C24" s="16">
        <v>0</v>
      </c>
      <c r="D24" s="16">
        <v>13109277.37181351</v>
      </c>
      <c r="E24" s="16">
        <v>5082100.82</v>
      </c>
      <c r="F24" s="16">
        <v>5943572.8899999997</v>
      </c>
      <c r="G24" s="16">
        <v>881707.79773023329</v>
      </c>
      <c r="H24" s="16">
        <v>33221867.07</v>
      </c>
      <c r="I24" s="16">
        <v>20632771.960000001</v>
      </c>
      <c r="J24" s="16">
        <v>127055201.90000005</v>
      </c>
      <c r="K24" s="16">
        <v>0</v>
      </c>
      <c r="L24" s="16">
        <v>0</v>
      </c>
      <c r="M24" s="16">
        <v>0</v>
      </c>
      <c r="N24" s="18">
        <f t="shared" si="0"/>
        <v>769823413.01954401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>
        <v>2215779053.7200003</v>
      </c>
      <c r="C25" s="16">
        <v>0</v>
      </c>
      <c r="D25" s="16">
        <v>13770972.373381902</v>
      </c>
      <c r="E25" s="16">
        <v>19969629.689999998</v>
      </c>
      <c r="F25" s="16">
        <v>26360395.370000001</v>
      </c>
      <c r="G25" s="16">
        <v>8760022.4100000001</v>
      </c>
      <c r="H25" s="16">
        <v>130542153.08</v>
      </c>
      <c r="I25" s="16">
        <v>91508598.569999993</v>
      </c>
      <c r="J25" s="16">
        <v>293713138.62000006</v>
      </c>
      <c r="K25" s="16">
        <v>0</v>
      </c>
      <c r="L25" s="16">
        <v>0</v>
      </c>
      <c r="M25" s="16">
        <v>0</v>
      </c>
      <c r="N25" s="18">
        <f t="shared" si="0"/>
        <v>2800403963.8333821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>
        <v>948289766.59000015</v>
      </c>
      <c r="C26" s="16">
        <v>0</v>
      </c>
      <c r="D26" s="16">
        <v>14839122.531725926</v>
      </c>
      <c r="E26" s="16">
        <v>8546427.6900000013</v>
      </c>
      <c r="F26" s="16">
        <v>11988641.23</v>
      </c>
      <c r="G26" s="16">
        <v>5594752.8200000003</v>
      </c>
      <c r="H26" s="16">
        <v>55868290.509999998</v>
      </c>
      <c r="I26" s="16">
        <v>41617879.5</v>
      </c>
      <c r="J26" s="16">
        <v>216724794</v>
      </c>
      <c r="K26" s="16">
        <v>0</v>
      </c>
      <c r="L26" s="16">
        <v>0</v>
      </c>
      <c r="M26" s="16">
        <v>0</v>
      </c>
      <c r="N26" s="18">
        <f t="shared" si="0"/>
        <v>1303469674.871726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>
        <v>432302963.39999992</v>
      </c>
      <c r="C27" s="16">
        <v>0</v>
      </c>
      <c r="D27" s="16">
        <v>5975859.4207897289</v>
      </c>
      <c r="E27" s="16">
        <v>3896115.04</v>
      </c>
      <c r="F27" s="16">
        <v>2979906.08</v>
      </c>
      <c r="G27" s="16">
        <v>1263331.28</v>
      </c>
      <c r="H27" s="16">
        <v>25469037.420000002</v>
      </c>
      <c r="I27" s="16">
        <v>10344572.82</v>
      </c>
      <c r="J27" s="16">
        <v>58076362.960000001</v>
      </c>
      <c r="K27" s="16">
        <v>0</v>
      </c>
      <c r="L27" s="16">
        <v>0</v>
      </c>
      <c r="M27" s="16">
        <v>0</v>
      </c>
      <c r="N27" s="18">
        <f t="shared" si="0"/>
        <v>540308148.4207896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>
        <v>1656965441.2000003</v>
      </c>
      <c r="C28" s="16">
        <v>0</v>
      </c>
      <c r="D28" s="16">
        <v>25392648.731883459</v>
      </c>
      <c r="E28" s="16">
        <v>14933341.939999999</v>
      </c>
      <c r="F28" s="16">
        <v>4104475.54</v>
      </c>
      <c r="G28" s="16">
        <v>1832524.5</v>
      </c>
      <c r="H28" s="16">
        <v>97619767.599999994</v>
      </c>
      <c r="I28" s="16">
        <v>14248451.130000001</v>
      </c>
      <c r="J28" s="16">
        <v>118739774.77999997</v>
      </c>
      <c r="K28" s="16">
        <v>0</v>
      </c>
      <c r="L28" s="16">
        <v>0</v>
      </c>
      <c r="M28" s="16">
        <v>0</v>
      </c>
      <c r="N28" s="18">
        <f t="shared" si="0"/>
        <v>1933836425.4218838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>
        <v>946796546.97999978</v>
      </c>
      <c r="C29" s="16">
        <v>0</v>
      </c>
      <c r="D29" s="16">
        <v>28267554.942117512</v>
      </c>
      <c r="E29" s="16">
        <v>8532970.1099999994</v>
      </c>
      <c r="F29" s="16">
        <v>2561744.87</v>
      </c>
      <c r="G29" s="16">
        <v>1110620.9099999999</v>
      </c>
      <c r="H29" s="16">
        <v>55780317.789999999</v>
      </c>
      <c r="I29" s="16">
        <v>8892950.2100000009</v>
      </c>
      <c r="J29" s="16">
        <v>105855250.16000001</v>
      </c>
      <c r="K29" s="16">
        <v>0</v>
      </c>
      <c r="L29" s="16">
        <v>0</v>
      </c>
      <c r="M29" s="16">
        <v>0</v>
      </c>
      <c r="N29" s="18">
        <f t="shared" si="0"/>
        <v>1157797955.9721172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>
        <v>332066625.5</v>
      </c>
      <c r="C30" s="16">
        <v>0</v>
      </c>
      <c r="D30" s="16">
        <v>21065216.653044917</v>
      </c>
      <c r="E30" s="16">
        <v>2992738.62</v>
      </c>
      <c r="F30" s="16">
        <v>2212600.56</v>
      </c>
      <c r="G30" s="16">
        <v>1388276.13</v>
      </c>
      <c r="H30" s="16">
        <v>19563634.829999998</v>
      </c>
      <c r="I30" s="16">
        <v>7680915.79</v>
      </c>
      <c r="J30" s="16">
        <v>82233689.119999975</v>
      </c>
      <c r="K30" s="16">
        <v>0</v>
      </c>
      <c r="L30" s="16">
        <v>0</v>
      </c>
      <c r="M30" s="16">
        <v>0</v>
      </c>
      <c r="N30" s="18">
        <f t="shared" si="0"/>
        <v>469203697.20304489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>
        <v>571617176.34000003</v>
      </c>
      <c r="C31" s="16">
        <v>0</v>
      </c>
      <c r="D31" s="16">
        <v>13729569.165927004</v>
      </c>
      <c r="E31" s="16">
        <v>5151679.42</v>
      </c>
      <c r="F31" s="16">
        <v>2642941.2200000002</v>
      </c>
      <c r="G31" s="16">
        <v>763551.87</v>
      </c>
      <c r="H31" s="16">
        <v>33676704.729999997</v>
      </c>
      <c r="I31" s="16">
        <v>9174818.6799999997</v>
      </c>
      <c r="J31" s="16">
        <v>58281249.839999989</v>
      </c>
      <c r="K31" s="16">
        <v>0</v>
      </c>
      <c r="L31" s="16">
        <v>0</v>
      </c>
      <c r="M31" s="16">
        <v>0</v>
      </c>
      <c r="N31" s="18">
        <f t="shared" si="0"/>
        <v>695037691.26592708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>
        <v>2615644203.9199996</v>
      </c>
      <c r="C32" s="16">
        <v>0</v>
      </c>
      <c r="D32" s="16">
        <v>30587762.097136769</v>
      </c>
      <c r="E32" s="16">
        <v>23573400.100000001</v>
      </c>
      <c r="F32" s="16">
        <v>7794849.7000000002</v>
      </c>
      <c r="G32" s="16">
        <v>4178711.17</v>
      </c>
      <c r="H32" s="16">
        <v>154100123.61000001</v>
      </c>
      <c r="I32" s="16">
        <v>27059373.059999999</v>
      </c>
      <c r="J32" s="16">
        <v>182358548.23999995</v>
      </c>
      <c r="K32" s="16">
        <v>0</v>
      </c>
      <c r="L32" s="16">
        <v>0</v>
      </c>
      <c r="M32" s="16">
        <v>0</v>
      </c>
      <c r="N32" s="18">
        <f t="shared" si="0"/>
        <v>3045296971.8971362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>
        <v>1638061916.29</v>
      </c>
      <c r="C33" s="16">
        <v>0</v>
      </c>
      <c r="D33" s="16">
        <v>27239730.083026532</v>
      </c>
      <c r="E33" s="16">
        <v>14762974.6</v>
      </c>
      <c r="F33" s="16">
        <v>5720282.9299999997</v>
      </c>
      <c r="G33" s="16">
        <v>3359628.25</v>
      </c>
      <c r="H33" s="16">
        <v>96506070.439999998</v>
      </c>
      <c r="I33" s="16">
        <v>19857633.66</v>
      </c>
      <c r="J33" s="16">
        <v>173946514.5</v>
      </c>
      <c r="K33" s="16">
        <v>0</v>
      </c>
      <c r="L33" s="16">
        <v>0</v>
      </c>
      <c r="M33" s="16">
        <v>0</v>
      </c>
      <c r="N33" s="18">
        <f t="shared" si="0"/>
        <v>1979454750.7530267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>
        <v>2239162237.4200001</v>
      </c>
      <c r="C34" s="16">
        <v>0</v>
      </c>
      <c r="D34" s="16">
        <v>25889478.244576305</v>
      </c>
      <c r="E34" s="16">
        <v>28206139.050000001</v>
      </c>
      <c r="F34" s="16">
        <v>8318566.1600000001</v>
      </c>
      <c r="G34" s="16">
        <v>5608635.5800000001</v>
      </c>
      <c r="H34" s="16">
        <v>131919768.39</v>
      </c>
      <c r="I34" s="16">
        <v>28877424.68</v>
      </c>
      <c r="J34" s="16">
        <v>218807072.44000006</v>
      </c>
      <c r="K34" s="16">
        <v>0</v>
      </c>
      <c r="L34" s="16">
        <v>0</v>
      </c>
      <c r="M34" s="16">
        <v>0</v>
      </c>
      <c r="N34" s="18">
        <f t="shared" si="0"/>
        <v>2686789321.9645762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>
        <v>1104918972.8900001</v>
      </c>
      <c r="C35" s="16">
        <v>0</v>
      </c>
      <c r="D35" s="16">
        <v>10707308.554990808</v>
      </c>
      <c r="E35" s="16">
        <v>9958042.8300000001</v>
      </c>
      <c r="F35" s="16">
        <v>5200626.28</v>
      </c>
      <c r="G35" s="16">
        <v>2179593.5299999998</v>
      </c>
      <c r="H35" s="16">
        <v>65096066.990000002</v>
      </c>
      <c r="I35" s="16">
        <v>18053675.460000001</v>
      </c>
      <c r="J35" s="16">
        <v>78639917.61999999</v>
      </c>
      <c r="K35" s="16">
        <v>0</v>
      </c>
      <c r="L35" s="16">
        <v>0</v>
      </c>
      <c r="M35" s="16">
        <v>0</v>
      </c>
      <c r="N35" s="18">
        <f t="shared" si="0"/>
        <v>1294754204.1549907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>
        <v>1267743452.0799999</v>
      </c>
      <c r="C36" s="16">
        <v>0</v>
      </c>
      <c r="D36" s="16">
        <v>17703943.758806828</v>
      </c>
      <c r="E36" s="16">
        <v>11425492.640000001</v>
      </c>
      <c r="F36" s="16">
        <v>3272212.94</v>
      </c>
      <c r="G36" s="16">
        <v>1263331.28</v>
      </c>
      <c r="H36" s="16">
        <v>74688836.650000006</v>
      </c>
      <c r="I36" s="16">
        <v>11359299.310000001</v>
      </c>
      <c r="J36" s="16">
        <v>79197821.559999987</v>
      </c>
      <c r="K36" s="16">
        <v>0</v>
      </c>
      <c r="L36" s="16">
        <v>0</v>
      </c>
      <c r="M36" s="16">
        <v>0</v>
      </c>
      <c r="N36" s="18">
        <f t="shared" si="0"/>
        <v>1466654390.218807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>
        <v>1320006138.55</v>
      </c>
      <c r="C37" s="16">
        <v>0</v>
      </c>
      <c r="D37" s="16">
        <v>24514939.123561319</v>
      </c>
      <c r="E37" s="16">
        <v>11896508.24</v>
      </c>
      <c r="F37" s="16">
        <v>6069427.2400000002</v>
      </c>
      <c r="G37" s="16">
        <v>1929703.83</v>
      </c>
      <c r="H37" s="16">
        <v>77767881.739999995</v>
      </c>
      <c r="I37" s="16">
        <v>21069668.079999998</v>
      </c>
      <c r="J37" s="16">
        <v>134429920.46000007</v>
      </c>
      <c r="K37" s="16">
        <v>0</v>
      </c>
      <c r="L37" s="16">
        <v>0</v>
      </c>
      <c r="M37" s="16">
        <v>0</v>
      </c>
      <c r="N37" s="18">
        <f t="shared" si="0"/>
        <v>1597684187.2635612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>
        <v>1114132455.6199999</v>
      </c>
      <c r="C38" s="16">
        <v>0</v>
      </c>
      <c r="D38" s="16">
        <v>1833080.5923055229</v>
      </c>
      <c r="E38" s="16">
        <v>10041079.02</v>
      </c>
      <c r="F38" s="16">
        <v>5423916.25</v>
      </c>
      <c r="G38" s="16">
        <v>5344863.12</v>
      </c>
      <c r="H38" s="16">
        <v>65638877.369999997</v>
      </c>
      <c r="I38" s="16">
        <v>18828813.75</v>
      </c>
      <c r="J38" s="16">
        <v>221837707.07999992</v>
      </c>
      <c r="K38" s="16">
        <v>0</v>
      </c>
      <c r="L38" s="16">
        <v>0</v>
      </c>
      <c r="M38" s="16">
        <v>0</v>
      </c>
      <c r="N38" s="18">
        <f t="shared" si="0"/>
        <v>1443080792.802305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>
        <v>2141594632.4600003</v>
      </c>
      <c r="C39" s="16">
        <v>0</v>
      </c>
      <c r="D39" s="16">
        <v>28308263.075733464</v>
      </c>
      <c r="E39" s="16">
        <v>19301045.240000002</v>
      </c>
      <c r="F39" s="16">
        <v>6909809.4699999997</v>
      </c>
      <c r="G39" s="16">
        <v>3331862.72</v>
      </c>
      <c r="H39" s="16">
        <v>126171593.64</v>
      </c>
      <c r="I39" s="16">
        <v>23987006.739999998</v>
      </c>
      <c r="J39" s="16">
        <v>192591619.66</v>
      </c>
      <c r="K39" s="16">
        <v>0</v>
      </c>
      <c r="L39" s="16">
        <v>0</v>
      </c>
      <c r="M39" s="16">
        <v>0</v>
      </c>
      <c r="N39" s="18">
        <f t="shared" si="0"/>
        <v>2542195833.0057325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>
        <v>1406517564.2700002</v>
      </c>
      <c r="C40" s="16">
        <v>0</v>
      </c>
      <c r="D40" s="16">
        <v>25901682.288341992</v>
      </c>
      <c r="E40" s="16">
        <v>12676189.379999999</v>
      </c>
      <c r="F40" s="16">
        <v>3690374.15</v>
      </c>
      <c r="G40" s="16">
        <v>1457689.94</v>
      </c>
      <c r="H40" s="16">
        <v>82864684.040000007</v>
      </c>
      <c r="I40" s="16">
        <v>12810921.93</v>
      </c>
      <c r="J40" s="16">
        <v>106102402.56000006</v>
      </c>
      <c r="K40" s="16">
        <v>0</v>
      </c>
      <c r="L40" s="16">
        <v>0</v>
      </c>
      <c r="M40" s="16">
        <v>0</v>
      </c>
      <c r="N40" s="18">
        <f t="shared" ref="N40:N71" si="1">SUM(B40:M40)</f>
        <v>1652021508.5583425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>
        <v>1469804659.3699999</v>
      </c>
      <c r="C41" s="16">
        <v>0</v>
      </c>
      <c r="D41" s="16">
        <v>13958126.199955195</v>
      </c>
      <c r="E41" s="16">
        <v>13246562.07</v>
      </c>
      <c r="F41" s="16">
        <v>6248059.21</v>
      </c>
      <c r="G41" s="16">
        <v>2540545.33</v>
      </c>
      <c r="H41" s="16">
        <v>86593229.829999998</v>
      </c>
      <c r="I41" s="16">
        <v>21689778.719999999</v>
      </c>
      <c r="J41" s="16">
        <v>108875016.58</v>
      </c>
      <c r="K41" s="16">
        <v>0</v>
      </c>
      <c r="L41" s="16">
        <v>0</v>
      </c>
      <c r="M41" s="16">
        <v>0</v>
      </c>
      <c r="N41" s="18">
        <f t="shared" si="1"/>
        <v>1722955977.3099549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>
        <v>891579191.90999985</v>
      </c>
      <c r="C42" s="16">
        <v>0</v>
      </c>
      <c r="D42" s="16">
        <v>6946937.3304889882</v>
      </c>
      <c r="E42" s="16">
        <v>8035325.6699999999</v>
      </c>
      <c r="F42" s="16">
        <v>16970037.370000001</v>
      </c>
      <c r="G42" s="16">
        <v>0</v>
      </c>
      <c r="H42" s="16">
        <v>52527199.030000001</v>
      </c>
      <c r="I42" s="16">
        <v>58910510.090000004</v>
      </c>
      <c r="J42" s="16">
        <v>165906819.10000002</v>
      </c>
      <c r="K42" s="16">
        <v>0</v>
      </c>
      <c r="L42" s="16">
        <v>0</v>
      </c>
      <c r="M42" s="16">
        <v>0</v>
      </c>
      <c r="N42" s="18">
        <f t="shared" si="1"/>
        <v>1200876020.5004888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>
        <v>5399768059.2699995</v>
      </c>
      <c r="C43" s="16">
        <v>0</v>
      </c>
      <c r="D43" s="16">
        <v>18752702.839931045</v>
      </c>
      <c r="E43" s="16">
        <v>48665217.030000001</v>
      </c>
      <c r="F43" s="16">
        <v>70567748.709999993</v>
      </c>
      <c r="G43" s="16">
        <v>20296597.09</v>
      </c>
      <c r="H43" s="16">
        <v>318126190.14999998</v>
      </c>
      <c r="I43" s="16">
        <v>244971886.69999999</v>
      </c>
      <c r="J43" s="16">
        <v>543346221.43999982</v>
      </c>
      <c r="K43" s="16">
        <v>0</v>
      </c>
      <c r="L43" s="16">
        <v>0</v>
      </c>
      <c r="M43" s="16">
        <v>0</v>
      </c>
      <c r="N43" s="18">
        <f t="shared" si="1"/>
        <v>6664494623.2299299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>
        <v>4914757620.4500008</v>
      </c>
      <c r="C44" s="16">
        <v>0</v>
      </c>
      <c r="D44" s="16">
        <v>33219432.633147854</v>
      </c>
      <c r="E44" s="16">
        <v>44294077.75</v>
      </c>
      <c r="F44" s="16">
        <v>88792269.709999993</v>
      </c>
      <c r="G44" s="16">
        <v>35397809.459808148</v>
      </c>
      <c r="H44" s="16">
        <v>289551903</v>
      </c>
      <c r="I44" s="16">
        <v>308237264.63999999</v>
      </c>
      <c r="J44" s="16">
        <v>702629037</v>
      </c>
      <c r="K44" s="16">
        <v>0</v>
      </c>
      <c r="L44" s="16">
        <v>0</v>
      </c>
      <c r="M44" s="16">
        <v>0</v>
      </c>
      <c r="N44" s="18">
        <f t="shared" si="1"/>
        <v>6416879414.6429577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>
        <v>1313524930.01</v>
      </c>
      <c r="C45" s="16">
        <v>0</v>
      </c>
      <c r="D45" s="16">
        <v>11096165.982294701</v>
      </c>
      <c r="E45" s="16">
        <v>11838096.579999998</v>
      </c>
      <c r="F45" s="16">
        <v>6613442.79</v>
      </c>
      <c r="G45" s="16">
        <v>3179152.35</v>
      </c>
      <c r="H45" s="16">
        <v>77386042.709999993</v>
      </c>
      <c r="I45" s="16">
        <v>22958186.829999998</v>
      </c>
      <c r="J45" s="16">
        <v>105185845.82000002</v>
      </c>
      <c r="K45" s="16">
        <v>0</v>
      </c>
      <c r="L45" s="16">
        <v>0</v>
      </c>
      <c r="M45" s="16">
        <v>0</v>
      </c>
      <c r="N45" s="18">
        <f t="shared" si="1"/>
        <v>1551781863.0722945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>
        <v>2078275766.7</v>
      </c>
      <c r="C46" s="16">
        <v>0</v>
      </c>
      <c r="D46" s="16">
        <v>14174681.813147854</v>
      </c>
      <c r="E46" s="16">
        <v>26179494.399999999</v>
      </c>
      <c r="F46" s="16">
        <v>52164595.740000002</v>
      </c>
      <c r="G46" s="16">
        <v>0</v>
      </c>
      <c r="H46" s="16">
        <v>122441176.09</v>
      </c>
      <c r="I46" s="16">
        <v>181086398.13</v>
      </c>
      <c r="J46" s="16">
        <v>445028713.79999983</v>
      </c>
      <c r="K46" s="16">
        <v>0</v>
      </c>
      <c r="L46" s="16">
        <v>0</v>
      </c>
      <c r="M46" s="16">
        <v>0</v>
      </c>
      <c r="N46" s="18">
        <f t="shared" si="1"/>
        <v>2919350826.6731477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>
        <v>6319845506.4599991</v>
      </c>
      <c r="C47" s="16">
        <v>0</v>
      </c>
      <c r="D47" s="16">
        <v>25236959.961055491</v>
      </c>
      <c r="E47" s="16">
        <v>79609435.24000001</v>
      </c>
      <c r="F47" s="16">
        <v>162620051.93000001</v>
      </c>
      <c r="G47" s="16">
        <v>41317913.468455672</v>
      </c>
      <c r="H47" s="16">
        <v>372332357.83999997</v>
      </c>
      <c r="I47" s="16">
        <v>564526170.38999999</v>
      </c>
      <c r="J47" s="16">
        <v>1070788152.2800001</v>
      </c>
      <c r="K47" s="16">
        <v>0</v>
      </c>
      <c r="L47" s="16">
        <v>0</v>
      </c>
      <c r="M47" s="16">
        <v>0</v>
      </c>
      <c r="N47" s="18">
        <f t="shared" si="1"/>
        <v>8636276547.5695114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>
        <v>611457546.48000002</v>
      </c>
      <c r="C48" s="16">
        <v>0</v>
      </c>
      <c r="D48" s="16">
        <v>10736703.244735867</v>
      </c>
      <c r="E48" s="16">
        <v>5510739.3300000001</v>
      </c>
      <c r="F48" s="16">
        <v>1412816.5</v>
      </c>
      <c r="G48" s="16">
        <v>860731.2</v>
      </c>
      <c r="H48" s="16">
        <v>36023891.689999998</v>
      </c>
      <c r="I48" s="16">
        <v>4904511.37</v>
      </c>
      <c r="J48" s="16">
        <v>57449224.139999986</v>
      </c>
      <c r="K48" s="16">
        <v>0</v>
      </c>
      <c r="L48" s="16">
        <v>0</v>
      </c>
      <c r="M48" s="16">
        <v>0</v>
      </c>
      <c r="N48" s="18">
        <f t="shared" si="1"/>
        <v>728356163.95473599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>
        <v>1154608238.3099999</v>
      </c>
      <c r="C49" s="16">
        <v>0</v>
      </c>
      <c r="D49" s="16">
        <v>16076904.408623114</v>
      </c>
      <c r="E49" s="16">
        <v>10405865.57</v>
      </c>
      <c r="F49" s="16">
        <v>8342925.0700000003</v>
      </c>
      <c r="G49" s="16">
        <v>3609517.95</v>
      </c>
      <c r="H49" s="16">
        <v>68023499.519999996</v>
      </c>
      <c r="I49" s="16">
        <v>28961985.219999999</v>
      </c>
      <c r="J49" s="16">
        <v>135212435.38000005</v>
      </c>
      <c r="K49" s="16">
        <v>0</v>
      </c>
      <c r="L49" s="16">
        <v>0</v>
      </c>
      <c r="M49" s="16">
        <v>0</v>
      </c>
      <c r="N49" s="18">
        <f t="shared" si="1"/>
        <v>1425241371.4286232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>
        <v>749628016.66000009</v>
      </c>
      <c r="C50" s="16">
        <v>0</v>
      </c>
      <c r="D50" s="16">
        <v>13815940.210391581</v>
      </c>
      <c r="E50" s="16">
        <v>6755995.7699999996</v>
      </c>
      <c r="F50" s="16">
        <v>2338454.91</v>
      </c>
      <c r="G50" s="16">
        <v>1027324.34</v>
      </c>
      <c r="H50" s="16">
        <v>44164175.640000001</v>
      </c>
      <c r="I50" s="16">
        <v>8117811.9199999999</v>
      </c>
      <c r="J50" s="16">
        <v>97710897.679999977</v>
      </c>
      <c r="K50" s="16">
        <v>0</v>
      </c>
      <c r="L50" s="16">
        <v>0</v>
      </c>
      <c r="M50" s="16">
        <v>0</v>
      </c>
      <c r="N50" s="18">
        <f t="shared" si="1"/>
        <v>923558617.13039148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>
        <v>732884894.61000013</v>
      </c>
      <c r="C51" s="16">
        <v>0</v>
      </c>
      <c r="D51" s="16">
        <v>16617921.539367802</v>
      </c>
      <c r="E51" s="16">
        <v>6605098.9700000007</v>
      </c>
      <c r="F51" s="16">
        <v>2914949</v>
      </c>
      <c r="G51" s="16">
        <v>1291096.81</v>
      </c>
      <c r="H51" s="16">
        <v>43177758.159999996</v>
      </c>
      <c r="I51" s="16">
        <v>10119078.050000001</v>
      </c>
      <c r="J51" s="16">
        <v>67788160.440000027</v>
      </c>
      <c r="K51" s="16">
        <v>0</v>
      </c>
      <c r="L51" s="16">
        <v>0</v>
      </c>
      <c r="M51" s="16">
        <v>0</v>
      </c>
      <c r="N51" s="18">
        <f t="shared" si="1"/>
        <v>881398957.57936788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>
        <v>864288220.64999998</v>
      </c>
      <c r="C52" s="16">
        <v>0</v>
      </c>
      <c r="D52" s="16">
        <v>18961836.192047559</v>
      </c>
      <c r="E52" s="16">
        <v>7789366.7599999998</v>
      </c>
      <c r="F52" s="16">
        <v>2683539.4</v>
      </c>
      <c r="G52" s="16">
        <v>1652048.6</v>
      </c>
      <c r="H52" s="16">
        <v>50919357.25</v>
      </c>
      <c r="I52" s="16">
        <v>9315752.9100000001</v>
      </c>
      <c r="J52" s="16">
        <v>86892147.759999976</v>
      </c>
      <c r="K52" s="16">
        <v>0</v>
      </c>
      <c r="L52" s="16">
        <v>0</v>
      </c>
      <c r="M52" s="16">
        <v>0</v>
      </c>
      <c r="N52" s="18">
        <f t="shared" si="1"/>
        <v>1042502269.5220475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>
        <v>297118932.44</v>
      </c>
      <c r="C53" s="16">
        <v>0</v>
      </c>
      <c r="D53" s="16">
        <v>14102183.991298333</v>
      </c>
      <c r="E53" s="16">
        <v>2677773.7800000003</v>
      </c>
      <c r="F53" s="16">
        <v>466879.01</v>
      </c>
      <c r="G53" s="16">
        <v>249889.7</v>
      </c>
      <c r="H53" s="16">
        <v>17504698.899999999</v>
      </c>
      <c r="I53" s="16">
        <v>1620743.7</v>
      </c>
      <c r="J53" s="16">
        <v>45953824.400000006</v>
      </c>
      <c r="K53" s="16">
        <v>0</v>
      </c>
      <c r="L53" s="16">
        <v>0</v>
      </c>
      <c r="M53" s="16">
        <v>0</v>
      </c>
      <c r="N53" s="18">
        <f t="shared" si="1"/>
        <v>379694925.92129827</v>
      </c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>
        <v>1153559807.5699999</v>
      </c>
      <c r="C54" s="16">
        <v>0</v>
      </c>
      <c r="D54" s="16">
        <v>18214843.482890885</v>
      </c>
      <c r="E54" s="16">
        <v>10396416.619999999</v>
      </c>
      <c r="F54" s="16">
        <v>1603627.93</v>
      </c>
      <c r="G54" s="16">
        <v>916262.25</v>
      </c>
      <c r="H54" s="16">
        <v>67961731.450000003</v>
      </c>
      <c r="I54" s="16">
        <v>5566902.2699999996</v>
      </c>
      <c r="J54" s="16">
        <v>105133919.66000001</v>
      </c>
      <c r="K54" s="16">
        <v>0</v>
      </c>
      <c r="L54" s="16">
        <v>0</v>
      </c>
      <c r="M54" s="16">
        <v>0</v>
      </c>
      <c r="N54" s="18">
        <f t="shared" si="1"/>
        <v>1363353511.2328908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>
        <v>523993001.82000005</v>
      </c>
      <c r="C55" s="16">
        <v>0</v>
      </c>
      <c r="D55" s="16">
        <v>9178709.1113454066</v>
      </c>
      <c r="E55" s="16">
        <v>4722468.24</v>
      </c>
      <c r="F55" s="16">
        <v>2959606.99</v>
      </c>
      <c r="G55" s="16">
        <v>1429924.42</v>
      </c>
      <c r="H55" s="16">
        <v>30870936.59</v>
      </c>
      <c r="I55" s="16">
        <v>10274105.710000001</v>
      </c>
      <c r="J55" s="16">
        <v>74223780.839999989</v>
      </c>
      <c r="K55" s="16">
        <v>0</v>
      </c>
      <c r="L55" s="16">
        <v>0</v>
      </c>
      <c r="M55" s="16">
        <v>0</v>
      </c>
      <c r="N55" s="18">
        <f t="shared" si="1"/>
        <v>657652533.72134554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>
        <v>399642755.68999994</v>
      </c>
      <c r="C56" s="16">
        <v>0</v>
      </c>
      <c r="D56" s="16">
        <v>5424925.855509242</v>
      </c>
      <c r="E56" s="16">
        <v>3601766.08</v>
      </c>
      <c r="F56" s="16">
        <v>836322.41</v>
      </c>
      <c r="G56" s="16">
        <v>388717.32</v>
      </c>
      <c r="H56" s="16">
        <v>23544868.210000001</v>
      </c>
      <c r="I56" s="16">
        <v>2903245.23</v>
      </c>
      <c r="J56" s="16">
        <v>61272034.120000012</v>
      </c>
      <c r="K56" s="16">
        <v>0</v>
      </c>
      <c r="L56" s="16">
        <v>0</v>
      </c>
      <c r="M56" s="16">
        <v>0</v>
      </c>
      <c r="N56" s="18">
        <f t="shared" si="1"/>
        <v>497614634.91550916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>
        <v>994738427.75</v>
      </c>
      <c r="C57" s="16">
        <v>0</v>
      </c>
      <c r="D57" s="16">
        <v>12629710.843100782</v>
      </c>
      <c r="E57" s="16">
        <v>8965044.5999999996</v>
      </c>
      <c r="F57" s="16">
        <v>4295286.97</v>
      </c>
      <c r="G57" s="16">
        <v>1790876.21</v>
      </c>
      <c r="H57" s="16">
        <v>58604803.539999999</v>
      </c>
      <c r="I57" s="16">
        <v>14910842.029999999</v>
      </c>
      <c r="J57" s="16">
        <v>130822462.98000005</v>
      </c>
      <c r="K57" s="16">
        <v>0</v>
      </c>
      <c r="L57" s="16">
        <v>0</v>
      </c>
      <c r="M57" s="16">
        <v>0</v>
      </c>
      <c r="N57" s="18">
        <f t="shared" si="1"/>
        <v>1226757454.9231009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>
        <v>933738817.9799999</v>
      </c>
      <c r="C58" s="16">
        <v>0</v>
      </c>
      <c r="D58" s="16">
        <v>8860246.2919599786</v>
      </c>
      <c r="E58" s="16">
        <v>8415287.7899999991</v>
      </c>
      <c r="F58" s="16">
        <v>2500847.61</v>
      </c>
      <c r="G58" s="16">
        <v>1124503.67</v>
      </c>
      <c r="H58" s="16">
        <v>55011024.460000001</v>
      </c>
      <c r="I58" s="16">
        <v>8681548.8599999994</v>
      </c>
      <c r="J58" s="16">
        <v>74034190.11999999</v>
      </c>
      <c r="K58" s="16">
        <v>0</v>
      </c>
      <c r="L58" s="16">
        <v>0</v>
      </c>
      <c r="M58" s="16">
        <v>0</v>
      </c>
      <c r="N58" s="18">
        <f t="shared" si="1"/>
        <v>1092366466.7819598</v>
      </c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>
        <v>949782986.17999995</v>
      </c>
      <c r="C59" s="16">
        <v>0</v>
      </c>
      <c r="D59" s="16">
        <v>13087241.859425936</v>
      </c>
      <c r="E59" s="16">
        <v>8559885.2899999991</v>
      </c>
      <c r="F59" s="16">
        <v>2435890.5299999998</v>
      </c>
      <c r="G59" s="16">
        <v>1027324.34</v>
      </c>
      <c r="H59" s="16">
        <v>55956263.229999997</v>
      </c>
      <c r="I59" s="16">
        <v>8456054.0800000001</v>
      </c>
      <c r="J59" s="16">
        <v>82805279.039999962</v>
      </c>
      <c r="K59" s="16">
        <v>0</v>
      </c>
      <c r="L59" s="16">
        <v>0</v>
      </c>
      <c r="M59" s="16">
        <v>0</v>
      </c>
      <c r="N59" s="18">
        <f t="shared" si="1"/>
        <v>1122110924.5494258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>
        <v>6786524291.7299995</v>
      </c>
      <c r="C60" s="16">
        <v>0</v>
      </c>
      <c r="D60" s="16">
        <v>130179880.23881766</v>
      </c>
      <c r="E60" s="16">
        <v>85488065.420000002</v>
      </c>
      <c r="F60" s="16">
        <v>133994278.36</v>
      </c>
      <c r="G60" s="16">
        <v>52851672.469999999</v>
      </c>
      <c r="H60" s="16">
        <v>399826639.50999999</v>
      </c>
      <c r="I60" s="16">
        <v>465153441.51999998</v>
      </c>
      <c r="J60" s="16">
        <v>1384136615.4000006</v>
      </c>
      <c r="K60" s="16">
        <v>0</v>
      </c>
      <c r="L60" s="16">
        <v>0</v>
      </c>
      <c r="M60" s="16">
        <v>0</v>
      </c>
      <c r="N60" s="18">
        <f t="shared" si="1"/>
        <v>9438154884.648819</v>
      </c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>
        <v>1593678346.0899999</v>
      </c>
      <c r="C61" s="16">
        <v>0</v>
      </c>
      <c r="D61" s="16">
        <v>10190617.910087578</v>
      </c>
      <c r="E61" s="16">
        <v>14362969.25</v>
      </c>
      <c r="F61" s="16">
        <v>23920445.02</v>
      </c>
      <c r="G61" s="16">
        <v>4556272.5068610581</v>
      </c>
      <c r="H61" s="16">
        <v>93891221.810000002</v>
      </c>
      <c r="I61" s="16">
        <v>83038451.069999993</v>
      </c>
      <c r="J61" s="16">
        <v>342721346.88</v>
      </c>
      <c r="K61" s="16">
        <v>0</v>
      </c>
      <c r="L61" s="16">
        <v>0</v>
      </c>
      <c r="M61" s="16">
        <v>0</v>
      </c>
      <c r="N61" s="18">
        <f t="shared" si="1"/>
        <v>2166359670.5369482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>
        <v>7412373933.7000008</v>
      </c>
      <c r="C62" s="16">
        <v>0</v>
      </c>
      <c r="D62" s="16">
        <v>56089507.43</v>
      </c>
      <c r="E62" s="16">
        <v>93371729.109999999</v>
      </c>
      <c r="F62" s="16">
        <v>107256319.95</v>
      </c>
      <c r="G62" s="16">
        <v>0</v>
      </c>
      <c r="H62" s="16">
        <v>436698438.45999998</v>
      </c>
      <c r="I62" s="16">
        <v>372334154.56999999</v>
      </c>
      <c r="J62" s="16">
        <v>681525692.0999999</v>
      </c>
      <c r="K62" s="16">
        <v>0</v>
      </c>
      <c r="L62" s="16">
        <v>0</v>
      </c>
      <c r="M62" s="16">
        <v>0</v>
      </c>
      <c r="N62" s="18">
        <f t="shared" si="1"/>
        <v>9159649775.3199997</v>
      </c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>
        <v>1305359878.0800002</v>
      </c>
      <c r="C63" s="16">
        <v>0</v>
      </c>
      <c r="D63" s="16">
        <v>25155222.367506471</v>
      </c>
      <c r="E63" s="16">
        <v>11764509.34</v>
      </c>
      <c r="F63" s="16">
        <v>3779690.14</v>
      </c>
      <c r="G63" s="16">
        <v>1790876.21</v>
      </c>
      <c r="H63" s="16">
        <v>76905000.409999996</v>
      </c>
      <c r="I63" s="16">
        <v>13120977.25</v>
      </c>
      <c r="J63" s="16">
        <v>91455207.140000015</v>
      </c>
      <c r="K63" s="16">
        <v>0</v>
      </c>
      <c r="L63" s="16">
        <v>0</v>
      </c>
      <c r="M63" s="16">
        <v>0</v>
      </c>
      <c r="N63" s="18">
        <f t="shared" si="1"/>
        <v>1529331360.9375069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>
        <v>2034241673.4100003</v>
      </c>
      <c r="C64" s="16">
        <v>0</v>
      </c>
      <c r="D64" s="16">
        <v>52267308.827611394</v>
      </c>
      <c r="E64" s="16">
        <v>18333530.530000001</v>
      </c>
      <c r="F64" s="16">
        <v>6917929.1100000003</v>
      </c>
      <c r="G64" s="16">
        <v>2790435.03</v>
      </c>
      <c r="H64" s="16">
        <v>119846916.81999999</v>
      </c>
      <c r="I64" s="16">
        <v>24015193.59</v>
      </c>
      <c r="J64" s="16">
        <v>193872464.28000003</v>
      </c>
      <c r="K64" s="16">
        <v>0</v>
      </c>
      <c r="L64" s="16">
        <v>0</v>
      </c>
      <c r="M64" s="16">
        <v>0</v>
      </c>
      <c r="N64" s="18">
        <f t="shared" si="1"/>
        <v>2452285451.5976119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>
        <v>1066571822.3799999</v>
      </c>
      <c r="C65" s="16">
        <v>0</v>
      </c>
      <c r="D65" s="16">
        <v>13866107.094505079</v>
      </c>
      <c r="E65" s="16">
        <v>9612440.5100000016</v>
      </c>
      <c r="F65" s="16">
        <v>1506192.31</v>
      </c>
      <c r="G65" s="16">
        <v>930145.01</v>
      </c>
      <c r="H65" s="16">
        <v>62836852.75</v>
      </c>
      <c r="I65" s="16">
        <v>5228660.1100000003</v>
      </c>
      <c r="J65" s="16">
        <v>115637087.5</v>
      </c>
      <c r="K65" s="16">
        <v>0</v>
      </c>
      <c r="L65" s="16">
        <v>0</v>
      </c>
      <c r="M65" s="16">
        <v>0</v>
      </c>
      <c r="N65" s="18">
        <f t="shared" si="1"/>
        <v>1276189307.6645048</v>
      </c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>
        <v>595508690.16000009</v>
      </c>
      <c r="C66" s="16">
        <v>0</v>
      </c>
      <c r="D66" s="16">
        <v>10171996.151842954</v>
      </c>
      <c r="E66" s="16">
        <v>5367000.83</v>
      </c>
      <c r="F66" s="16">
        <v>1473713.77</v>
      </c>
      <c r="G66" s="16">
        <v>846848.44</v>
      </c>
      <c r="H66" s="16">
        <v>35084268.200000003</v>
      </c>
      <c r="I66" s="16">
        <v>5115912.72</v>
      </c>
      <c r="J66" s="16">
        <v>51331600.759999976</v>
      </c>
      <c r="K66" s="16">
        <v>0</v>
      </c>
      <c r="L66" s="16">
        <v>0</v>
      </c>
      <c r="M66" s="16">
        <v>0</v>
      </c>
      <c r="N66" s="18">
        <f t="shared" si="1"/>
        <v>704900031.03184319</v>
      </c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>
        <v>2671624054.1599998</v>
      </c>
      <c r="C67" s="16">
        <v>0</v>
      </c>
      <c r="D67" s="16">
        <v>15419558.25</v>
      </c>
      <c r="E67" s="16">
        <v>33653747.07</v>
      </c>
      <c r="F67" s="16">
        <v>39599460.409999996</v>
      </c>
      <c r="G67" s="16">
        <v>17129997.859434687</v>
      </c>
      <c r="H67" s="16">
        <v>157398164.62</v>
      </c>
      <c r="I67" s="16">
        <v>137467252.5</v>
      </c>
      <c r="J67" s="16">
        <v>330734862.70000005</v>
      </c>
      <c r="K67" s="16">
        <v>0</v>
      </c>
      <c r="L67" s="16">
        <v>0</v>
      </c>
      <c r="M67" s="16">
        <v>0</v>
      </c>
      <c r="N67" s="18">
        <f t="shared" si="1"/>
        <v>3403027097.5694342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>
        <v>1671166912.8400002</v>
      </c>
      <c r="C68" s="16">
        <v>0</v>
      </c>
      <c r="D68" s="16">
        <v>17788739.09</v>
      </c>
      <c r="E68" s="16">
        <v>15061332.189999999</v>
      </c>
      <c r="F68" s="16">
        <v>34922550.590000004</v>
      </c>
      <c r="G68" s="16">
        <v>15942429.398536187</v>
      </c>
      <c r="H68" s="16">
        <v>98456444.290000007</v>
      </c>
      <c r="I68" s="16">
        <v>121231628.66</v>
      </c>
      <c r="J68" s="16">
        <v>277764569.71999991</v>
      </c>
      <c r="K68" s="16">
        <v>0</v>
      </c>
      <c r="L68" s="16">
        <v>0</v>
      </c>
      <c r="M68" s="16">
        <v>0</v>
      </c>
      <c r="N68" s="18">
        <f t="shared" si="1"/>
        <v>2252334606.7785363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>
        <v>5968875355.9300003</v>
      </c>
      <c r="C69" s="16">
        <v>0</v>
      </c>
      <c r="D69" s="16">
        <v>18597239.796325158</v>
      </c>
      <c r="E69" s="16">
        <v>53794276.240000002</v>
      </c>
      <c r="F69" s="16">
        <v>103066588.23</v>
      </c>
      <c r="G69" s="16">
        <v>19453430.491894968</v>
      </c>
      <c r="H69" s="16">
        <v>351655025.85000002</v>
      </c>
      <c r="I69" s="16">
        <v>357789741.55000001</v>
      </c>
      <c r="J69" s="16">
        <v>648628674.10000002</v>
      </c>
      <c r="K69" s="16">
        <v>0</v>
      </c>
      <c r="L69" s="16">
        <v>0</v>
      </c>
      <c r="M69" s="16">
        <v>0</v>
      </c>
      <c r="N69" s="18">
        <f t="shared" si="1"/>
        <v>7521860332.18822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>
        <v>1239753526.9400001</v>
      </c>
      <c r="C70" s="16">
        <v>0</v>
      </c>
      <c r="D70" s="16">
        <v>31041633.300843328</v>
      </c>
      <c r="E70" s="16">
        <v>11173234.449999999</v>
      </c>
      <c r="F70" s="16">
        <v>22889251.359999999</v>
      </c>
      <c r="G70" s="16">
        <v>8218594.7199999997</v>
      </c>
      <c r="H70" s="16">
        <v>73039816.150000006</v>
      </c>
      <c r="I70" s="16">
        <v>79458721.510000005</v>
      </c>
      <c r="J70" s="16">
        <v>275706845.48000002</v>
      </c>
      <c r="K70" s="16">
        <v>0</v>
      </c>
      <c r="L70" s="16">
        <v>0</v>
      </c>
      <c r="M70" s="16">
        <v>0</v>
      </c>
      <c r="N70" s="18">
        <f t="shared" si="1"/>
        <v>1741281623.9108434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>
        <v>4830152432.5200005</v>
      </c>
      <c r="C71" s="16">
        <v>0</v>
      </c>
      <c r="D71" s="16">
        <v>11497994.489999998</v>
      </c>
      <c r="E71" s="16">
        <v>60844162.549999997</v>
      </c>
      <c r="F71" s="16">
        <v>14412352.310000001</v>
      </c>
      <c r="G71" s="16">
        <v>7982587.7699999996</v>
      </c>
      <c r="H71" s="16">
        <v>284567406.30000001</v>
      </c>
      <c r="I71" s="16">
        <v>50031653.310000002</v>
      </c>
      <c r="J71" s="16">
        <v>230424438.19999993</v>
      </c>
      <c r="K71" s="16">
        <v>0</v>
      </c>
      <c r="L71" s="16">
        <v>0</v>
      </c>
      <c r="M71" s="16">
        <v>0</v>
      </c>
      <c r="N71" s="18">
        <f t="shared" si="1"/>
        <v>5489913027.4500017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>
        <v>21313486043.610001</v>
      </c>
      <c r="C72" s="16">
        <v>0</v>
      </c>
      <c r="D72" s="16">
        <v>90745245.151241481</v>
      </c>
      <c r="E72" s="16">
        <v>268480390.11000001</v>
      </c>
      <c r="F72" s="16">
        <v>419358854.82999998</v>
      </c>
      <c r="G72" s="16">
        <v>0</v>
      </c>
      <c r="H72" s="16">
        <v>1255679510.5599999</v>
      </c>
      <c r="I72" s="16">
        <v>1455780177.01</v>
      </c>
      <c r="J72" s="16">
        <v>3375942650.519999</v>
      </c>
      <c r="K72" s="16">
        <v>0</v>
      </c>
      <c r="L72" s="16">
        <v>0</v>
      </c>
      <c r="M72" s="16">
        <v>0</v>
      </c>
      <c r="N72" s="18">
        <f t="shared" ref="N72:N103" si="2">SUM(B72:M72)</f>
        <v>28179472871.791245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>
        <v>9867099896.3800011</v>
      </c>
      <c r="C73" s="16">
        <v>0</v>
      </c>
      <c r="D73" s="16">
        <v>130747860.96813084</v>
      </c>
      <c r="E73" s="16">
        <v>124293267.84</v>
      </c>
      <c r="F73" s="16">
        <v>155653405.00999999</v>
      </c>
      <c r="G73" s="16">
        <v>73107460.579246983</v>
      </c>
      <c r="H73" s="16">
        <v>581318098</v>
      </c>
      <c r="I73" s="16">
        <v>540341855.72000003</v>
      </c>
      <c r="J73" s="16">
        <v>1470537276.3400004</v>
      </c>
      <c r="K73" s="16">
        <v>0</v>
      </c>
      <c r="L73" s="16">
        <v>0</v>
      </c>
      <c r="M73" s="16">
        <v>0</v>
      </c>
      <c r="N73" s="18">
        <f t="shared" si="2"/>
        <v>12943099120.837378</v>
      </c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>
        <v>5137342654.7800007</v>
      </c>
      <c r="C74" s="16">
        <v>0</v>
      </c>
      <c r="D74" s="16">
        <v>44798364.799999997</v>
      </c>
      <c r="E74" s="16">
        <v>64713757.159999996</v>
      </c>
      <c r="F74" s="16">
        <v>113009081.42</v>
      </c>
      <c r="G74" s="16">
        <v>120578732.75159372</v>
      </c>
      <c r="H74" s="16">
        <v>302665453.10000002</v>
      </c>
      <c r="I74" s="16">
        <v>392304535.62</v>
      </c>
      <c r="J74" s="16">
        <v>788867478.95999968</v>
      </c>
      <c r="K74" s="16">
        <v>0</v>
      </c>
      <c r="L74" s="16">
        <v>0</v>
      </c>
      <c r="M74" s="16">
        <v>0</v>
      </c>
      <c r="N74" s="18">
        <f t="shared" si="2"/>
        <v>6964280058.5915947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>
        <v>870356410.98999989</v>
      </c>
      <c r="C75" s="16">
        <v>0</v>
      </c>
      <c r="D75" s="16">
        <v>15863601.842872262</v>
      </c>
      <c r="E75" s="16">
        <v>7844056.1099999994</v>
      </c>
      <c r="F75" s="16">
        <v>2054267.68</v>
      </c>
      <c r="G75" s="16">
        <v>916262.25</v>
      </c>
      <c r="H75" s="16">
        <v>51276863.390000001</v>
      </c>
      <c r="I75" s="16">
        <v>7131272.2699999996</v>
      </c>
      <c r="J75" s="16">
        <v>88901568.359999985</v>
      </c>
      <c r="K75" s="16">
        <v>0</v>
      </c>
      <c r="L75" s="16">
        <v>0</v>
      </c>
      <c r="M75" s="16">
        <v>0</v>
      </c>
      <c r="N75" s="18">
        <f t="shared" si="2"/>
        <v>1044344302.8928721</v>
      </c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>
        <v>879061563.62999988</v>
      </c>
      <c r="C76" s="16">
        <v>0</v>
      </c>
      <c r="D76" s="16">
        <v>23376971.314826705</v>
      </c>
      <c r="E76" s="16">
        <v>7922510.9900000002</v>
      </c>
      <c r="F76" s="16">
        <v>3698493.79</v>
      </c>
      <c r="G76" s="16">
        <v>2151828.0099999998</v>
      </c>
      <c r="H76" s="16">
        <v>51789725.619999997</v>
      </c>
      <c r="I76" s="16">
        <v>12839108.779999999</v>
      </c>
      <c r="J76" s="16">
        <v>132013946.46000007</v>
      </c>
      <c r="K76" s="16">
        <v>0</v>
      </c>
      <c r="L76" s="16">
        <v>0</v>
      </c>
      <c r="M76" s="16">
        <v>0</v>
      </c>
      <c r="N76" s="18">
        <f t="shared" si="2"/>
        <v>1112854148.5948267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>
        <v>985334321.26999998</v>
      </c>
      <c r="C77" s="16">
        <v>0</v>
      </c>
      <c r="D77" s="16">
        <v>15147641.167383907</v>
      </c>
      <c r="E77" s="16">
        <v>8880290.4299999997</v>
      </c>
      <c r="F77" s="16">
        <v>4344004.78</v>
      </c>
      <c r="G77" s="16">
        <v>1374393.37</v>
      </c>
      <c r="H77" s="16">
        <v>58050762.590000004</v>
      </c>
      <c r="I77" s="16">
        <v>15079963.109999999</v>
      </c>
      <c r="J77" s="16">
        <v>89701794.380000025</v>
      </c>
      <c r="K77" s="16">
        <v>0</v>
      </c>
      <c r="L77" s="16">
        <v>0</v>
      </c>
      <c r="M77" s="16">
        <v>0</v>
      </c>
      <c r="N77" s="18">
        <f t="shared" si="2"/>
        <v>1177913171.097384</v>
      </c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>
        <v>378705910.48000002</v>
      </c>
      <c r="C78" s="16">
        <v>0</v>
      </c>
      <c r="D78" s="16">
        <v>8681029.90485516</v>
      </c>
      <c r="E78" s="16">
        <v>3413073.51</v>
      </c>
      <c r="F78" s="16">
        <v>1542730.67</v>
      </c>
      <c r="G78" s="16">
        <v>485896.65</v>
      </c>
      <c r="H78" s="16">
        <v>22311378.41</v>
      </c>
      <c r="I78" s="16">
        <v>5355500.92</v>
      </c>
      <c r="J78" s="16">
        <v>38468410.419999994</v>
      </c>
      <c r="K78" s="16">
        <v>0</v>
      </c>
      <c r="L78" s="16">
        <v>0</v>
      </c>
      <c r="M78" s="16">
        <v>0</v>
      </c>
      <c r="N78" s="18">
        <f t="shared" si="2"/>
        <v>458963930.96485519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>
        <v>1948746907.8399999</v>
      </c>
      <c r="C79" s="16">
        <v>0</v>
      </c>
      <c r="D79" s="16">
        <v>40766822.961591512</v>
      </c>
      <c r="E79" s="16">
        <v>17563011.990000002</v>
      </c>
      <c r="F79" s="16">
        <v>7754251.5199999996</v>
      </c>
      <c r="G79" s="16">
        <v>3609517.95</v>
      </c>
      <c r="H79" s="16">
        <v>114810010.84</v>
      </c>
      <c r="I79" s="16">
        <v>26918438.82</v>
      </c>
      <c r="J79" s="16">
        <v>208385215.28000003</v>
      </c>
      <c r="K79" s="16">
        <v>0</v>
      </c>
      <c r="L79" s="16">
        <v>0</v>
      </c>
      <c r="M79" s="16">
        <v>0</v>
      </c>
      <c r="N79" s="18">
        <f t="shared" si="2"/>
        <v>2368554177.2015915</v>
      </c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>
        <v>1039249080.5200001</v>
      </c>
      <c r="C80" s="16">
        <v>0</v>
      </c>
      <c r="D80" s="16">
        <v>29318012.564013064</v>
      </c>
      <c r="E80" s="16">
        <v>9366195.2699999996</v>
      </c>
      <c r="F80" s="16">
        <v>2508967.2400000002</v>
      </c>
      <c r="G80" s="16">
        <v>1443807.18</v>
      </c>
      <c r="H80" s="16">
        <v>61227139.200000003</v>
      </c>
      <c r="I80" s="16">
        <v>8709735.6999999993</v>
      </c>
      <c r="J80" s="16">
        <v>134676267.88000005</v>
      </c>
      <c r="K80" s="16">
        <v>0</v>
      </c>
      <c r="L80" s="16">
        <v>0</v>
      </c>
      <c r="M80" s="16">
        <v>0</v>
      </c>
      <c r="N80" s="18">
        <f t="shared" si="2"/>
        <v>1286499205.5540135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>
        <v>583499391.99000001</v>
      </c>
      <c r="C81" s="16">
        <v>0</v>
      </c>
      <c r="D81" s="16">
        <v>20637182.923738509</v>
      </c>
      <c r="E81" s="16">
        <v>5258767.4600000009</v>
      </c>
      <c r="F81" s="16">
        <v>6516007.1699999999</v>
      </c>
      <c r="G81" s="16">
        <v>3304097.2</v>
      </c>
      <c r="H81" s="16">
        <v>34376742.950000003</v>
      </c>
      <c r="I81" s="16">
        <v>22619944.66</v>
      </c>
      <c r="J81" s="16">
        <v>157458960.11999997</v>
      </c>
      <c r="K81" s="16">
        <v>0</v>
      </c>
      <c r="L81" s="16">
        <v>0</v>
      </c>
      <c r="M81" s="16">
        <v>0</v>
      </c>
      <c r="N81" s="18">
        <f t="shared" si="2"/>
        <v>833671094.47373855</v>
      </c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>
        <v>9476861247.0799999</v>
      </c>
      <c r="C82" s="16">
        <v>0</v>
      </c>
      <c r="D82" s="16">
        <v>53136155.799999997</v>
      </c>
      <c r="E82" s="16">
        <v>119377533.99000001</v>
      </c>
      <c r="F82" s="16">
        <v>187794980.58000001</v>
      </c>
      <c r="G82" s="16">
        <v>130399978.40647502</v>
      </c>
      <c r="H82" s="16">
        <v>558327270.73000002</v>
      </c>
      <c r="I82" s="16">
        <v>651919489.30999994</v>
      </c>
      <c r="J82" s="16">
        <v>1307044016.0800002</v>
      </c>
      <c r="K82" s="16">
        <v>0</v>
      </c>
      <c r="L82" s="16">
        <v>0</v>
      </c>
      <c r="M82" s="16">
        <v>0</v>
      </c>
      <c r="N82" s="18">
        <f t="shared" si="2"/>
        <v>12484860671.976473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>
        <v>2449896826.7800002</v>
      </c>
      <c r="C83" s="16">
        <v>0</v>
      </c>
      <c r="D83" s="16">
        <v>20602755.260555681</v>
      </c>
      <c r="E83" s="16">
        <v>30860707.370000001</v>
      </c>
      <c r="F83" s="16">
        <v>20794385.510000002</v>
      </c>
      <c r="G83" s="16">
        <v>8787787.9299999997</v>
      </c>
      <c r="H83" s="16">
        <v>144335152.03999999</v>
      </c>
      <c r="I83" s="16">
        <v>72186515</v>
      </c>
      <c r="J83" s="16">
        <v>282885533.0399999</v>
      </c>
      <c r="K83" s="16">
        <v>0</v>
      </c>
      <c r="L83" s="16">
        <v>0</v>
      </c>
      <c r="M83" s="16">
        <v>0</v>
      </c>
      <c r="N83" s="18">
        <f t="shared" si="2"/>
        <v>3030349662.9305558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>
        <v>1030035597.8100001</v>
      </c>
      <c r="C84" s="16">
        <v>0</v>
      </c>
      <c r="D84" s="16">
        <v>17849723.967969034</v>
      </c>
      <c r="E84" s="16">
        <v>9283159.0899999999</v>
      </c>
      <c r="F84" s="16">
        <v>4173492.44</v>
      </c>
      <c r="G84" s="16">
        <v>998301.43128655152</v>
      </c>
      <c r="H84" s="16">
        <v>60684328.82</v>
      </c>
      <c r="I84" s="16">
        <v>14488039.32</v>
      </c>
      <c r="J84" s="16">
        <v>116327020.69999996</v>
      </c>
      <c r="K84" s="16">
        <v>0</v>
      </c>
      <c r="L84" s="16">
        <v>0</v>
      </c>
      <c r="M84" s="16">
        <v>0</v>
      </c>
      <c r="N84" s="18">
        <f t="shared" si="2"/>
        <v>1253839663.5792558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>
        <v>824320768.00999987</v>
      </c>
      <c r="C85" s="16">
        <v>0</v>
      </c>
      <c r="D85" s="16">
        <v>14874411.08109373</v>
      </c>
      <c r="E85" s="16">
        <v>7429161.5199999996</v>
      </c>
      <c r="F85" s="16">
        <v>1973071.33</v>
      </c>
      <c r="G85" s="16">
        <v>902379.49</v>
      </c>
      <c r="H85" s="16">
        <v>48564683.25</v>
      </c>
      <c r="I85" s="16">
        <v>6849403.7999999998</v>
      </c>
      <c r="J85" s="16">
        <v>68575505.460000008</v>
      </c>
      <c r="K85" s="16">
        <v>0</v>
      </c>
      <c r="L85" s="16">
        <v>0</v>
      </c>
      <c r="M85" s="16">
        <v>0</v>
      </c>
      <c r="N85" s="18">
        <f t="shared" si="2"/>
        <v>973489383.94109368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>
        <v>10299974731.24</v>
      </c>
      <c r="C86" s="16">
        <v>0</v>
      </c>
      <c r="D86" s="16">
        <v>17319803.09</v>
      </c>
      <c r="E86" s="16">
        <v>129746078.53</v>
      </c>
      <c r="F86" s="16">
        <v>117828084.86</v>
      </c>
      <c r="G86" s="16">
        <v>42631185.498355709</v>
      </c>
      <c r="H86" s="16">
        <v>606820827.10000002</v>
      </c>
      <c r="I86" s="16">
        <v>409033429.27999997</v>
      </c>
      <c r="J86" s="16">
        <v>577041855.28000009</v>
      </c>
      <c r="K86" s="16">
        <v>0</v>
      </c>
      <c r="L86" s="16">
        <v>0</v>
      </c>
      <c r="M86" s="16">
        <v>0</v>
      </c>
      <c r="N86" s="18">
        <f t="shared" si="2"/>
        <v>12200395994.878359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>
        <v>1604893378.49</v>
      </c>
      <c r="C87" s="16">
        <v>0</v>
      </c>
      <c r="D87" s="16">
        <v>15558664.305658977</v>
      </c>
      <c r="E87" s="16">
        <v>14464044.33</v>
      </c>
      <c r="F87" s="16">
        <v>3345289.66</v>
      </c>
      <c r="G87" s="16">
        <v>2623841.89</v>
      </c>
      <c r="H87" s="16">
        <v>94551953.069999993</v>
      </c>
      <c r="I87" s="16">
        <v>11612980.939999999</v>
      </c>
      <c r="J87" s="16">
        <v>130480314.14000003</v>
      </c>
      <c r="K87" s="16">
        <v>0</v>
      </c>
      <c r="L87" s="16">
        <v>0</v>
      </c>
      <c r="M87" s="16">
        <v>0</v>
      </c>
      <c r="N87" s="18">
        <f t="shared" si="2"/>
        <v>1877530466.8256593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>
        <v>1474157235.6899998</v>
      </c>
      <c r="C88" s="16">
        <v>0</v>
      </c>
      <c r="D88" s="16">
        <v>8495468.607992949</v>
      </c>
      <c r="E88" s="16">
        <v>13285789.51</v>
      </c>
      <c r="F88" s="16">
        <v>16417902.18</v>
      </c>
      <c r="G88" s="16">
        <v>5303214.83</v>
      </c>
      <c r="H88" s="16">
        <v>86849660.939999998</v>
      </c>
      <c r="I88" s="16">
        <v>56993804.5</v>
      </c>
      <c r="J88" s="16">
        <v>198623101.82000002</v>
      </c>
      <c r="K88" s="16">
        <v>0</v>
      </c>
      <c r="L88" s="16">
        <v>0</v>
      </c>
      <c r="M88" s="16">
        <v>0</v>
      </c>
      <c r="N88" s="18">
        <f t="shared" si="2"/>
        <v>1860126178.0779927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>
        <v>2085773635.4200001</v>
      </c>
      <c r="C89" s="16">
        <v>0</v>
      </c>
      <c r="D89" s="16">
        <v>20706559.879691698</v>
      </c>
      <c r="E89" s="16">
        <v>18797960.490000002</v>
      </c>
      <c r="F89" s="16">
        <v>13807439.5</v>
      </c>
      <c r="G89" s="16">
        <v>5775228.7199999997</v>
      </c>
      <c r="H89" s="16">
        <v>122882911.43000001</v>
      </c>
      <c r="I89" s="16">
        <v>47931733.210000001</v>
      </c>
      <c r="J89" s="16">
        <v>203974714.01999995</v>
      </c>
      <c r="K89" s="16">
        <v>0</v>
      </c>
      <c r="L89" s="16">
        <v>0</v>
      </c>
      <c r="M89" s="16">
        <v>0</v>
      </c>
      <c r="N89" s="18">
        <f t="shared" si="2"/>
        <v>2519650182.6696916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>
        <v>9473080542.1000004</v>
      </c>
      <c r="C90" s="16">
        <v>0</v>
      </c>
      <c r="D90" s="16">
        <v>28348426.004017361</v>
      </c>
      <c r="E90" s="16">
        <v>119329909.45</v>
      </c>
      <c r="F90" s="16">
        <v>187295623.02000001</v>
      </c>
      <c r="G90" s="16">
        <v>57933557.803948402</v>
      </c>
      <c r="H90" s="16">
        <v>558104531.29999995</v>
      </c>
      <c r="I90" s="16">
        <v>650185998.22000003</v>
      </c>
      <c r="J90" s="16">
        <v>1189045295.6800005</v>
      </c>
      <c r="K90" s="16">
        <v>0</v>
      </c>
      <c r="L90" s="16">
        <v>0</v>
      </c>
      <c r="M90" s="16">
        <v>0</v>
      </c>
      <c r="N90" s="18">
        <f t="shared" si="2"/>
        <v>12263323883.577967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>
        <v>437608658.63999999</v>
      </c>
      <c r="C91" s="16">
        <v>0</v>
      </c>
      <c r="D91" s="16">
        <v>15744471.123648662</v>
      </c>
      <c r="E91" s="16">
        <v>3943932.43</v>
      </c>
      <c r="F91" s="16">
        <v>4348064.5999999996</v>
      </c>
      <c r="G91" s="16">
        <v>1971352.11</v>
      </c>
      <c r="H91" s="16">
        <v>25781621.329999998</v>
      </c>
      <c r="I91" s="16">
        <v>15094056.529999999</v>
      </c>
      <c r="J91" s="16">
        <v>91700346.759999976</v>
      </c>
      <c r="K91" s="16">
        <v>0</v>
      </c>
      <c r="L91" s="16">
        <v>0</v>
      </c>
      <c r="M91" s="16">
        <v>0</v>
      </c>
      <c r="N91" s="18">
        <f t="shared" si="2"/>
        <v>596192503.52364862</v>
      </c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>
        <v>606723722.59000003</v>
      </c>
      <c r="C92" s="16">
        <v>0</v>
      </c>
      <c r="D92" s="16">
        <v>750797.87999999989</v>
      </c>
      <c r="E92" s="16">
        <v>5468075.9100000001</v>
      </c>
      <c r="F92" s="16">
        <v>929698.21</v>
      </c>
      <c r="G92" s="16">
        <v>666372.54</v>
      </c>
      <c r="H92" s="16">
        <v>35744999.460000001</v>
      </c>
      <c r="I92" s="16">
        <v>3227393.97</v>
      </c>
      <c r="J92" s="16">
        <v>35656751.019999996</v>
      </c>
      <c r="K92" s="16">
        <v>0</v>
      </c>
      <c r="L92" s="16">
        <v>0</v>
      </c>
      <c r="M92" s="16">
        <v>0</v>
      </c>
      <c r="N92" s="18">
        <f t="shared" si="2"/>
        <v>689167811.58000004</v>
      </c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>
        <v>6863758693.4599991</v>
      </c>
      <c r="C93" s="16">
        <v>0</v>
      </c>
      <c r="D93" s="16">
        <v>29029401.981573928</v>
      </c>
      <c r="E93" s="16">
        <v>86460966.920000002</v>
      </c>
      <c r="F93" s="16">
        <v>151796578.33000001</v>
      </c>
      <c r="G93" s="16">
        <v>27106769.483291715</v>
      </c>
      <c r="H93" s="16">
        <v>404376887.91000003</v>
      </c>
      <c r="I93" s="16">
        <v>526953103.43000001</v>
      </c>
      <c r="J93" s="16">
        <v>1227491969.6599996</v>
      </c>
      <c r="K93" s="16">
        <v>0</v>
      </c>
      <c r="L93" s="16">
        <v>0</v>
      </c>
      <c r="M93" s="16">
        <v>0</v>
      </c>
      <c r="N93" s="18">
        <f t="shared" si="2"/>
        <v>9316974371.1748638</v>
      </c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>
        <v>3529685231.3699999</v>
      </c>
      <c r="C94" s="16">
        <v>0</v>
      </c>
      <c r="D94" s="16">
        <v>39089374.039999999</v>
      </c>
      <c r="E94" s="16">
        <v>44462518.519999996</v>
      </c>
      <c r="F94" s="16">
        <v>68639335.379999995</v>
      </c>
      <c r="G94" s="16">
        <v>29942604.32665721</v>
      </c>
      <c r="H94" s="16">
        <v>207950656.91</v>
      </c>
      <c r="I94" s="16">
        <v>238277510.55000001</v>
      </c>
      <c r="J94" s="16">
        <v>579727523.31999993</v>
      </c>
      <c r="K94" s="16">
        <v>0</v>
      </c>
      <c r="L94" s="16">
        <v>0</v>
      </c>
      <c r="M94" s="16">
        <v>0</v>
      </c>
      <c r="N94" s="18">
        <f t="shared" si="2"/>
        <v>4737774754.4166574</v>
      </c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>
        <v>717380827.15999997</v>
      </c>
      <c r="C95" s="16">
        <v>0</v>
      </c>
      <c r="D95" s="16">
        <v>12973137.766950786</v>
      </c>
      <c r="E95" s="16">
        <v>6465369.1199999992</v>
      </c>
      <c r="F95" s="16">
        <v>3365588.75</v>
      </c>
      <c r="G95" s="16">
        <v>1582634.79</v>
      </c>
      <c r="H95" s="16">
        <v>42264339.310000002</v>
      </c>
      <c r="I95" s="16">
        <v>11683448.050000001</v>
      </c>
      <c r="J95" s="16">
        <v>92660376.599999964</v>
      </c>
      <c r="K95" s="16">
        <v>0</v>
      </c>
      <c r="L95" s="16">
        <v>0</v>
      </c>
      <c r="M95" s="16">
        <v>0</v>
      </c>
      <c r="N95" s="18">
        <f t="shared" si="2"/>
        <v>888375721.54695058</v>
      </c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>
        <v>2208471808.7599998</v>
      </c>
      <c r="C96" s="16">
        <v>0</v>
      </c>
      <c r="D96" s="16">
        <v>37596250.207270145</v>
      </c>
      <c r="E96" s="16">
        <v>27819539.780000001</v>
      </c>
      <c r="F96" s="16">
        <v>18861912.350000001</v>
      </c>
      <c r="G96" s="16">
        <v>8093649.8600000003</v>
      </c>
      <c r="H96" s="16">
        <v>130111648.3</v>
      </c>
      <c r="I96" s="16">
        <v>65478045.43</v>
      </c>
      <c r="J96" s="16">
        <v>314004986.68000001</v>
      </c>
      <c r="K96" s="16">
        <v>0</v>
      </c>
      <c r="L96" s="16">
        <v>0</v>
      </c>
      <c r="M96" s="16">
        <v>0</v>
      </c>
      <c r="N96" s="18">
        <f t="shared" si="2"/>
        <v>2810437841.36727</v>
      </c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>
        <v>1121121994.23</v>
      </c>
      <c r="C97" s="16">
        <v>0</v>
      </c>
      <c r="D97" s="16">
        <v>45621536.700474866</v>
      </c>
      <c r="E97" s="16">
        <v>10104071.98</v>
      </c>
      <c r="F97" s="16">
        <v>8708308.6500000004</v>
      </c>
      <c r="G97" s="16">
        <v>4164828.4</v>
      </c>
      <c r="H97" s="16">
        <v>66050664.549999997</v>
      </c>
      <c r="I97" s="16">
        <v>30230393.34</v>
      </c>
      <c r="J97" s="16">
        <v>213402729.10000008</v>
      </c>
      <c r="K97" s="16">
        <v>0</v>
      </c>
      <c r="L97" s="16">
        <v>0</v>
      </c>
      <c r="M97" s="16">
        <v>0</v>
      </c>
      <c r="N97" s="18">
        <f t="shared" si="2"/>
        <v>1499404526.9504752</v>
      </c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>
        <v>3225767384.0199995</v>
      </c>
      <c r="C98" s="16">
        <v>0</v>
      </c>
      <c r="D98" s="16">
        <v>51467837.016614035</v>
      </c>
      <c r="E98" s="16">
        <v>40634145.150000006</v>
      </c>
      <c r="F98" s="16">
        <v>20250369.949999999</v>
      </c>
      <c r="G98" s="16">
        <v>9967822.6500000004</v>
      </c>
      <c r="H98" s="16">
        <v>190045401.38</v>
      </c>
      <c r="I98" s="16">
        <v>70297996.25</v>
      </c>
      <c r="J98" s="16">
        <v>411448203.10000014</v>
      </c>
      <c r="K98" s="16">
        <v>0</v>
      </c>
      <c r="L98" s="16">
        <v>0</v>
      </c>
      <c r="M98" s="16">
        <v>0</v>
      </c>
      <c r="N98" s="18">
        <f t="shared" si="2"/>
        <v>4019879159.516614</v>
      </c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>
        <v>2287961925.2400002</v>
      </c>
      <c r="C99" s="16">
        <v>0</v>
      </c>
      <c r="D99" s="16">
        <v>33749961.887278676</v>
      </c>
      <c r="E99" s="16">
        <v>20620175.240000002</v>
      </c>
      <c r="F99" s="16">
        <v>7506602.6500000004</v>
      </c>
      <c r="G99" s="16">
        <v>2984793.69</v>
      </c>
      <c r="H99" s="16">
        <v>134794791.65000001</v>
      </c>
      <c r="I99" s="16">
        <v>26058739.989999998</v>
      </c>
      <c r="J99" s="16">
        <v>269795719.15999997</v>
      </c>
      <c r="K99" s="16">
        <v>0</v>
      </c>
      <c r="L99" s="16">
        <v>0</v>
      </c>
      <c r="M99" s="16">
        <v>0</v>
      </c>
      <c r="N99" s="18">
        <f t="shared" si="2"/>
        <v>2783472709.5072784</v>
      </c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>
        <v>2417363701.5799999</v>
      </c>
      <c r="C100" s="16">
        <v>0</v>
      </c>
      <c r="D100" s="16">
        <v>31625595.263104048</v>
      </c>
      <c r="E100" s="16">
        <v>21786404.140000001</v>
      </c>
      <c r="F100" s="16">
        <v>8428181.2400000002</v>
      </c>
      <c r="G100" s="16">
        <v>3553986.9</v>
      </c>
      <c r="H100" s="16">
        <v>142418469.86000001</v>
      </c>
      <c r="I100" s="16">
        <v>29257947.120000001</v>
      </c>
      <c r="J100" s="16">
        <v>208635990.42000008</v>
      </c>
      <c r="K100" s="16">
        <v>0</v>
      </c>
      <c r="L100" s="16">
        <v>0</v>
      </c>
      <c r="M100" s="16">
        <v>0</v>
      </c>
      <c r="N100" s="18">
        <f t="shared" si="2"/>
        <v>2863070276.5231037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>
        <v>495335893.50999999</v>
      </c>
      <c r="C101" s="16">
        <v>0</v>
      </c>
      <c r="D101" s="16">
        <v>8448620.1536803748</v>
      </c>
      <c r="E101" s="16">
        <v>4464197.07</v>
      </c>
      <c r="F101" s="16">
        <v>1006834.75</v>
      </c>
      <c r="G101" s="16">
        <v>569193.22</v>
      </c>
      <c r="H101" s="16">
        <v>29182609.129999999</v>
      </c>
      <c r="I101" s="16">
        <v>3495169.02</v>
      </c>
      <c r="J101" s="16">
        <v>48150823.160000011</v>
      </c>
      <c r="K101" s="16">
        <v>0</v>
      </c>
      <c r="L101" s="16">
        <v>0</v>
      </c>
      <c r="M101" s="16">
        <v>0</v>
      </c>
      <c r="N101" s="18">
        <f t="shared" si="2"/>
        <v>590653340.01368034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>
        <v>1372745384.49</v>
      </c>
      <c r="C102" s="16">
        <v>0</v>
      </c>
      <c r="D102" s="16">
        <v>43617692.980178423</v>
      </c>
      <c r="E102" s="16">
        <v>17292113.34</v>
      </c>
      <c r="F102" s="16">
        <v>19495243.890000001</v>
      </c>
      <c r="G102" s="16">
        <v>9134856.9700000007</v>
      </c>
      <c r="H102" s="16">
        <v>80875003.230000004</v>
      </c>
      <c r="I102" s="16">
        <v>67676619.489999995</v>
      </c>
      <c r="J102" s="16">
        <v>310112941.60000014</v>
      </c>
      <c r="K102" s="16">
        <v>0</v>
      </c>
      <c r="L102" s="16">
        <v>0</v>
      </c>
      <c r="M102" s="16">
        <v>0</v>
      </c>
      <c r="N102" s="18">
        <f t="shared" si="2"/>
        <v>1920949855.9901786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>
        <v>509537365.13000005</v>
      </c>
      <c r="C103" s="16">
        <v>0</v>
      </c>
      <c r="D103" s="16">
        <v>16595408.727740515</v>
      </c>
      <c r="E103" s="16">
        <v>4592187.33</v>
      </c>
      <c r="F103" s="16">
        <v>483118.28</v>
      </c>
      <c r="G103" s="16">
        <v>360951.79</v>
      </c>
      <c r="H103" s="16">
        <v>30019285.82</v>
      </c>
      <c r="I103" s="16">
        <v>1677117.39</v>
      </c>
      <c r="J103" s="16">
        <v>68065904.719999969</v>
      </c>
      <c r="K103" s="16">
        <v>0</v>
      </c>
      <c r="L103" s="16">
        <v>0</v>
      </c>
      <c r="M103" s="16">
        <v>0</v>
      </c>
      <c r="N103" s="18">
        <f t="shared" si="2"/>
        <v>631331339.18774056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>
        <v>7639470397.5499992</v>
      </c>
      <c r="C104" s="16">
        <v>0</v>
      </c>
      <c r="D104" s="16">
        <v>39027932.549970552</v>
      </c>
      <c r="E104" s="16">
        <v>96232403.669999987</v>
      </c>
      <c r="F104" s="16">
        <v>99006770.680000007</v>
      </c>
      <c r="G104" s="16">
        <v>18325907.333793685</v>
      </c>
      <c r="H104" s="16">
        <v>450077778.45999998</v>
      </c>
      <c r="I104" s="16">
        <v>343696318.08999997</v>
      </c>
      <c r="J104" s="16">
        <v>753109693.37999988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9438947201.7137623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>
        <v>1309394748.0899999</v>
      </c>
      <c r="C105" s="16">
        <v>0</v>
      </c>
      <c r="D105" s="16">
        <v>5691427.71</v>
      </c>
      <c r="E105" s="16">
        <v>16494102</v>
      </c>
      <c r="F105" s="16">
        <v>4266868.24</v>
      </c>
      <c r="G105" s="16">
        <v>3123621.3</v>
      </c>
      <c r="H105" s="16">
        <v>77142713.920000002</v>
      </c>
      <c r="I105" s="16">
        <v>14812188.060000001</v>
      </c>
      <c r="J105" s="16">
        <v>98346086.960000038</v>
      </c>
      <c r="K105" s="16">
        <v>0</v>
      </c>
      <c r="L105" s="16">
        <v>0</v>
      </c>
      <c r="M105" s="16">
        <v>0</v>
      </c>
      <c r="N105" s="18">
        <f t="shared" si="3"/>
        <v>1529271756.28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>
        <v>1396414503.8700004</v>
      </c>
      <c r="C106" s="16">
        <v>0</v>
      </c>
      <c r="D106" s="16">
        <v>4739724.330000001</v>
      </c>
      <c r="E106" s="16">
        <v>12585135.91</v>
      </c>
      <c r="F106" s="16">
        <v>30233461.32</v>
      </c>
      <c r="G106" s="16">
        <v>12042278.859527797</v>
      </c>
      <c r="H106" s="16">
        <v>82269464.379999995</v>
      </c>
      <c r="I106" s="16">
        <v>104953724.56</v>
      </c>
      <c r="J106" s="16">
        <v>258472199.0399999</v>
      </c>
      <c r="K106" s="16">
        <v>0</v>
      </c>
      <c r="L106" s="16">
        <v>0</v>
      </c>
      <c r="M106" s="16">
        <v>0</v>
      </c>
      <c r="N106" s="18">
        <f t="shared" si="3"/>
        <v>1901710492.2695279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>
        <v>1874371862.8400002</v>
      </c>
      <c r="C107" s="16">
        <v>0</v>
      </c>
      <c r="D107" s="16">
        <v>21141216.318328902</v>
      </c>
      <c r="E107" s="16">
        <v>16892709.559999999</v>
      </c>
      <c r="F107" s="16">
        <v>1680764.46</v>
      </c>
      <c r="G107" s="16">
        <v>1318862.33</v>
      </c>
      <c r="H107" s="16">
        <v>110428220.83</v>
      </c>
      <c r="I107" s="16">
        <v>5834677.3200000003</v>
      </c>
      <c r="J107" s="16">
        <v>119749315.40000004</v>
      </c>
      <c r="K107" s="16">
        <v>0</v>
      </c>
      <c r="L107" s="16">
        <v>0</v>
      </c>
      <c r="M107" s="16">
        <v>0</v>
      </c>
      <c r="N107" s="18">
        <f t="shared" si="3"/>
        <v>2151417629.0583286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>
        <v>685038325.72000003</v>
      </c>
      <c r="C108" s="16">
        <v>0</v>
      </c>
      <c r="D108" s="16">
        <v>7235300.050640991</v>
      </c>
      <c r="E108" s="16">
        <v>6173883.4699999997</v>
      </c>
      <c r="F108" s="16">
        <v>1705123.37</v>
      </c>
      <c r="G108" s="16">
        <v>971793.29</v>
      </c>
      <c r="H108" s="16">
        <v>40358887.700000003</v>
      </c>
      <c r="I108" s="16">
        <v>5919237.8600000003</v>
      </c>
      <c r="J108" s="16">
        <v>63881624.400000028</v>
      </c>
      <c r="K108" s="16">
        <v>0</v>
      </c>
      <c r="L108" s="16">
        <v>0</v>
      </c>
      <c r="M108" s="16">
        <v>0</v>
      </c>
      <c r="N108" s="18">
        <f t="shared" si="3"/>
        <v>811284175.860641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>
        <v>6276542137.6400003</v>
      </c>
      <c r="C109" s="16">
        <v>0</v>
      </c>
      <c r="D109" s="16">
        <v>51546035.285503715</v>
      </c>
      <c r="E109" s="16">
        <v>79063954.069999993</v>
      </c>
      <c r="F109" s="16">
        <v>174093096.33000001</v>
      </c>
      <c r="G109" s="16">
        <v>80265590.31428659</v>
      </c>
      <c r="H109" s="16">
        <v>369781149.05000001</v>
      </c>
      <c r="I109" s="16">
        <v>604354185.11000001</v>
      </c>
      <c r="J109" s="16">
        <v>1165569852.2600002</v>
      </c>
      <c r="K109" s="16">
        <v>0</v>
      </c>
      <c r="L109" s="16">
        <v>0</v>
      </c>
      <c r="M109" s="16">
        <v>0</v>
      </c>
      <c r="N109" s="18">
        <f t="shared" si="3"/>
        <v>8801216000.0597897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>
        <v>726149521.04000008</v>
      </c>
      <c r="C110" s="16">
        <v>0</v>
      </c>
      <c r="D110" s="16">
        <v>23575768.878402155</v>
      </c>
      <c r="E110" s="16">
        <v>9147114.9399999995</v>
      </c>
      <c r="F110" s="16">
        <v>6654040.9699999997</v>
      </c>
      <c r="G110" s="16">
        <v>3151386.83</v>
      </c>
      <c r="H110" s="16">
        <v>42780945.049999997</v>
      </c>
      <c r="I110" s="16">
        <v>23099121.059999999</v>
      </c>
      <c r="J110" s="16">
        <v>135054241.74000001</v>
      </c>
      <c r="K110" s="16">
        <v>0</v>
      </c>
      <c r="L110" s="16">
        <v>0</v>
      </c>
      <c r="M110" s="16">
        <v>0</v>
      </c>
      <c r="N110" s="18">
        <f t="shared" si="3"/>
        <v>969612140.50840223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>
        <v>866925182.93000007</v>
      </c>
      <c r="C111" s="16">
        <v>0</v>
      </c>
      <c r="D111" s="16">
        <v>17407932.708238062</v>
      </c>
      <c r="E111" s="16">
        <v>7813132.2999999998</v>
      </c>
      <c r="F111" s="16">
        <v>2318155.8199999998</v>
      </c>
      <c r="G111" s="16">
        <v>1318862.33</v>
      </c>
      <c r="H111" s="16">
        <v>51074713.32</v>
      </c>
      <c r="I111" s="16">
        <v>8047344.7999999998</v>
      </c>
      <c r="J111" s="16">
        <v>105214827.96000004</v>
      </c>
      <c r="K111" s="16">
        <v>0</v>
      </c>
      <c r="L111" s="16">
        <v>0</v>
      </c>
      <c r="M111" s="16">
        <v>0</v>
      </c>
      <c r="N111" s="18">
        <f t="shared" si="3"/>
        <v>1060120152.1682382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>
        <v>1247791496.3600001</v>
      </c>
      <c r="C112" s="16">
        <v>0</v>
      </c>
      <c r="D112" s="16">
        <v>20824272.782468583</v>
      </c>
      <c r="E112" s="16">
        <v>11245676.350000001</v>
      </c>
      <c r="F112" s="16">
        <v>2817513.38</v>
      </c>
      <c r="G112" s="16">
        <v>1568752.03</v>
      </c>
      <c r="H112" s="16">
        <v>73513371.409999996</v>
      </c>
      <c r="I112" s="16">
        <v>9780835.8900000006</v>
      </c>
      <c r="J112" s="16">
        <v>110369201.14000003</v>
      </c>
      <c r="K112" s="16">
        <v>0</v>
      </c>
      <c r="L112" s="16">
        <v>0</v>
      </c>
      <c r="M112" s="16">
        <v>0</v>
      </c>
      <c r="N112" s="18">
        <f t="shared" si="3"/>
        <v>1477911119.342469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>
        <v>987685347.8900001</v>
      </c>
      <c r="C113" s="16">
        <v>0</v>
      </c>
      <c r="D113" s="16">
        <v>29995767.580795262</v>
      </c>
      <c r="E113" s="16">
        <v>8901478.9700000007</v>
      </c>
      <c r="F113" s="16">
        <v>3970501.56</v>
      </c>
      <c r="G113" s="16">
        <v>2026883.16</v>
      </c>
      <c r="H113" s="16">
        <v>58189272.829999998</v>
      </c>
      <c r="I113" s="16">
        <v>13783368.15</v>
      </c>
      <c r="J113" s="16">
        <v>107785372.85999997</v>
      </c>
      <c r="K113" s="16">
        <v>0</v>
      </c>
      <c r="L113" s="16">
        <v>0</v>
      </c>
      <c r="M113" s="16">
        <v>0</v>
      </c>
      <c r="N113" s="18">
        <f t="shared" si="3"/>
        <v>1212337993.0007954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>
        <v>604468007.82000005</v>
      </c>
      <c r="C114" s="16">
        <v>0</v>
      </c>
      <c r="D114" s="16">
        <v>11040079.262229003</v>
      </c>
      <c r="E114" s="16">
        <v>5447746.3599999994</v>
      </c>
      <c r="F114" s="16">
        <v>2403411.9900000002</v>
      </c>
      <c r="G114" s="16">
        <v>1110620.9099999999</v>
      </c>
      <c r="H114" s="16">
        <v>35612104.509999998</v>
      </c>
      <c r="I114" s="16">
        <v>8343306.6900000004</v>
      </c>
      <c r="J114" s="16">
        <v>82337541.440000013</v>
      </c>
      <c r="K114" s="16">
        <v>0</v>
      </c>
      <c r="L114" s="16">
        <v>0</v>
      </c>
      <c r="M114" s="16">
        <v>0</v>
      </c>
      <c r="N114" s="18">
        <f t="shared" si="3"/>
        <v>750762818.98222911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>
        <v>1500018528.5700002</v>
      </c>
      <c r="C115" s="16">
        <v>0</v>
      </c>
      <c r="D115" s="16">
        <v>13722894.949338356</v>
      </c>
      <c r="E115" s="16">
        <v>13518863.49</v>
      </c>
      <c r="F115" s="16">
        <v>2488668.1600000001</v>
      </c>
      <c r="G115" s="16">
        <v>1790876.21</v>
      </c>
      <c r="H115" s="16">
        <v>88373273.530000001</v>
      </c>
      <c r="I115" s="16">
        <v>8639268.5899999999</v>
      </c>
      <c r="J115" s="16">
        <v>110324520.67999998</v>
      </c>
      <c r="K115" s="16">
        <v>0</v>
      </c>
      <c r="L115" s="16">
        <v>0</v>
      </c>
      <c r="M115" s="16">
        <v>0</v>
      </c>
      <c r="N115" s="18">
        <f t="shared" si="3"/>
        <v>1738876894.1793387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>
        <v>944858538.52999997</v>
      </c>
      <c r="C116" s="16">
        <v>0</v>
      </c>
      <c r="D116" s="16">
        <v>23211377.604622103</v>
      </c>
      <c r="E116" s="16">
        <v>8515503.8800000008</v>
      </c>
      <c r="F116" s="16">
        <v>6869211.2999999998</v>
      </c>
      <c r="G116" s="16">
        <v>2818200.55</v>
      </c>
      <c r="H116" s="16">
        <v>55666140.439999998</v>
      </c>
      <c r="I116" s="16">
        <v>23846072.510000002</v>
      </c>
      <c r="J116" s="16">
        <v>149666014.73999998</v>
      </c>
      <c r="K116" s="16">
        <v>0</v>
      </c>
      <c r="L116" s="16">
        <v>0</v>
      </c>
      <c r="M116" s="16">
        <v>0</v>
      </c>
      <c r="N116" s="18">
        <f t="shared" si="3"/>
        <v>1215451059.5546219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>
        <v>511475373.58000004</v>
      </c>
      <c r="C117" s="16">
        <v>0</v>
      </c>
      <c r="D117" s="16">
        <v>4209959.1067932537</v>
      </c>
      <c r="E117" s="16">
        <v>4609653.5600000005</v>
      </c>
      <c r="F117" s="16">
        <v>1445295.04</v>
      </c>
      <c r="G117" s="16">
        <v>749669.11</v>
      </c>
      <c r="H117" s="16">
        <v>30133463.18</v>
      </c>
      <c r="I117" s="16">
        <v>5017258.75</v>
      </c>
      <c r="J117" s="16">
        <v>44110647.900000006</v>
      </c>
      <c r="K117" s="16">
        <v>0</v>
      </c>
      <c r="L117" s="16">
        <v>0</v>
      </c>
      <c r="M117" s="16">
        <v>0</v>
      </c>
      <c r="N117" s="18">
        <f t="shared" si="3"/>
        <v>601751320.22679329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>
        <v>877218867.05999994</v>
      </c>
      <c r="C118" s="16">
        <v>0</v>
      </c>
      <c r="D118" s="16">
        <v>18615567.458168108</v>
      </c>
      <c r="E118" s="16">
        <v>7905903.75</v>
      </c>
      <c r="F118" s="16">
        <v>6816433.6699999999</v>
      </c>
      <c r="G118" s="16">
        <v>3123621.3</v>
      </c>
      <c r="H118" s="16">
        <v>51681163.539999999</v>
      </c>
      <c r="I118" s="16">
        <v>23662858</v>
      </c>
      <c r="J118" s="16">
        <v>121586454</v>
      </c>
      <c r="K118" s="16">
        <v>0</v>
      </c>
      <c r="L118" s="16">
        <v>0</v>
      </c>
      <c r="M118" s="16">
        <v>0</v>
      </c>
      <c r="N118" s="18">
        <f t="shared" si="3"/>
        <v>1110610868.778168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>
        <v>1149747331.9199998</v>
      </c>
      <c r="C119" s="16">
        <v>0</v>
      </c>
      <c r="D119" s="16">
        <v>12118413.696748449</v>
      </c>
      <c r="E119" s="16">
        <v>10362056.82</v>
      </c>
      <c r="F119" s="16">
        <v>5476693.8799999999</v>
      </c>
      <c r="G119" s="16">
        <v>2096296.96</v>
      </c>
      <c r="H119" s="16">
        <v>67737120.25</v>
      </c>
      <c r="I119" s="16">
        <v>19012028.260000002</v>
      </c>
      <c r="J119" s="16">
        <v>110675927.77999997</v>
      </c>
      <c r="K119" s="16">
        <v>0</v>
      </c>
      <c r="L119" s="16">
        <v>0</v>
      </c>
      <c r="M119" s="16">
        <v>0</v>
      </c>
      <c r="N119" s="18">
        <f t="shared" si="3"/>
        <v>1377225869.5667484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>
        <v>710963159.86999989</v>
      </c>
      <c r="C120" s="16">
        <v>0</v>
      </c>
      <c r="D120" s="16">
        <v>13739084.429984644</v>
      </c>
      <c r="E120" s="16">
        <v>6407530.1199999992</v>
      </c>
      <c r="F120" s="16">
        <v>3690374.15</v>
      </c>
      <c r="G120" s="16">
        <v>2124062.4900000002</v>
      </c>
      <c r="H120" s="16">
        <v>41886243.799999997</v>
      </c>
      <c r="I120" s="16">
        <v>12810921.93</v>
      </c>
      <c r="J120" s="16">
        <v>114743475</v>
      </c>
      <c r="K120" s="16">
        <v>0</v>
      </c>
      <c r="L120" s="16">
        <v>0</v>
      </c>
      <c r="M120" s="16">
        <v>0</v>
      </c>
      <c r="N120" s="18">
        <f t="shared" si="3"/>
        <v>906364851.78998446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>
        <v>912198330.81000006</v>
      </c>
      <c r="C121" s="16">
        <v>0</v>
      </c>
      <c r="D121" s="16">
        <v>16223627.875826336</v>
      </c>
      <c r="E121" s="16">
        <v>8221154.9199999999</v>
      </c>
      <c r="F121" s="16">
        <v>1550850.3</v>
      </c>
      <c r="G121" s="16">
        <v>708020.83</v>
      </c>
      <c r="H121" s="16">
        <v>53741971.229999997</v>
      </c>
      <c r="I121" s="16">
        <v>5383687.7599999998</v>
      </c>
      <c r="J121" s="16">
        <v>63759255.780000031</v>
      </c>
      <c r="K121" s="16">
        <v>0</v>
      </c>
      <c r="L121" s="16">
        <v>0</v>
      </c>
      <c r="M121" s="16">
        <v>0</v>
      </c>
      <c r="N121" s="18">
        <f t="shared" si="3"/>
        <v>1061786899.5058265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>
        <v>2832478754.23</v>
      </c>
      <c r="C122" s="16">
        <v>0</v>
      </c>
      <c r="D122" s="16">
        <v>52277580.294999987</v>
      </c>
      <c r="E122" s="16">
        <v>35679991.5</v>
      </c>
      <c r="F122" s="16">
        <v>46687901.859999999</v>
      </c>
      <c r="G122" s="16">
        <v>18695822.324607108</v>
      </c>
      <c r="H122" s="16">
        <v>166874885.16</v>
      </c>
      <c r="I122" s="16">
        <v>162074369.87</v>
      </c>
      <c r="J122" s="16">
        <v>299090512.60000014</v>
      </c>
      <c r="K122" s="16">
        <v>0</v>
      </c>
      <c r="L122" s="16">
        <v>0</v>
      </c>
      <c r="M122" s="16">
        <v>0</v>
      </c>
      <c r="N122" s="18">
        <f t="shared" si="3"/>
        <v>3613859817.8396072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>
        <v>5975833123.9200001</v>
      </c>
      <c r="C123" s="16">
        <v>0</v>
      </c>
      <c r="D123" s="16">
        <v>55991940.86999999</v>
      </c>
      <c r="E123" s="16">
        <v>53856982.880000003</v>
      </c>
      <c r="F123" s="16">
        <v>64900243.409999996</v>
      </c>
      <c r="G123" s="16">
        <v>45052920.237579972</v>
      </c>
      <c r="H123" s="16">
        <v>352064941.27999997</v>
      </c>
      <c r="I123" s="16">
        <v>225297467.53999999</v>
      </c>
      <c r="J123" s="16">
        <v>390255899.43999994</v>
      </c>
      <c r="K123" s="16">
        <v>0</v>
      </c>
      <c r="L123" s="16">
        <v>0</v>
      </c>
      <c r="M123" s="16">
        <v>0</v>
      </c>
      <c r="N123" s="18">
        <f t="shared" si="3"/>
        <v>7163253519.5775795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>
        <v>5753947043.4399986</v>
      </c>
      <c r="C124" s="16">
        <v>0</v>
      </c>
      <c r="D124" s="16">
        <v>25665642.449999999</v>
      </c>
      <c r="E124" s="16">
        <v>72480960.819999993</v>
      </c>
      <c r="F124" s="16">
        <v>83108525.140000001</v>
      </c>
      <c r="G124" s="16">
        <v>0</v>
      </c>
      <c r="H124" s="16">
        <v>338992569.89999998</v>
      </c>
      <c r="I124" s="16">
        <v>288506471.79000002</v>
      </c>
      <c r="J124" s="16">
        <v>558322282.31999993</v>
      </c>
      <c r="K124" s="16">
        <v>0</v>
      </c>
      <c r="L124" s="16">
        <v>0</v>
      </c>
      <c r="M124" s="16">
        <v>0</v>
      </c>
      <c r="N124" s="18">
        <f t="shared" si="3"/>
        <v>7121023495.8599977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>
        <v>1835929400.4499998</v>
      </c>
      <c r="C125" s="16">
        <v>0</v>
      </c>
      <c r="D125" s="16">
        <v>25016912.077641875</v>
      </c>
      <c r="E125" s="16">
        <v>16546248.23</v>
      </c>
      <c r="F125" s="16">
        <v>32316147.719999999</v>
      </c>
      <c r="G125" s="16">
        <v>13299685.369999999</v>
      </c>
      <c r="H125" s="16">
        <v>108163391.31</v>
      </c>
      <c r="I125" s="16">
        <v>112183650.8</v>
      </c>
      <c r="J125" s="16">
        <v>345022197.9600001</v>
      </c>
      <c r="K125" s="16">
        <v>0</v>
      </c>
      <c r="L125" s="16">
        <v>0</v>
      </c>
      <c r="M125" s="16">
        <v>0</v>
      </c>
      <c r="N125" s="18">
        <f t="shared" si="3"/>
        <v>2488477633.9176416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>
        <v>1995100257.1600001</v>
      </c>
      <c r="C126" s="16">
        <v>0</v>
      </c>
      <c r="D126" s="16">
        <v>17884628.425575931</v>
      </c>
      <c r="E126" s="16">
        <v>17980769.91</v>
      </c>
      <c r="F126" s="16">
        <v>16178372.949999999</v>
      </c>
      <c r="G126" s="16">
        <v>5442042.4500000002</v>
      </c>
      <c r="H126" s="16">
        <v>117540908.58</v>
      </c>
      <c r="I126" s="16">
        <v>56162292.520000003</v>
      </c>
      <c r="J126" s="16">
        <v>236734872.44000006</v>
      </c>
      <c r="K126" s="16">
        <v>0</v>
      </c>
      <c r="L126" s="16">
        <v>0</v>
      </c>
      <c r="M126" s="16">
        <v>0</v>
      </c>
      <c r="N126" s="18">
        <f t="shared" si="3"/>
        <v>2463024144.4355764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>
        <v>1170874800.9299998</v>
      </c>
      <c r="C127" s="16">
        <v>0</v>
      </c>
      <c r="D127" s="16">
        <v>13542807.146272551</v>
      </c>
      <c r="E127" s="16">
        <v>10552467.380000001</v>
      </c>
      <c r="F127" s="16">
        <v>17173028.25</v>
      </c>
      <c r="G127" s="16">
        <v>7774346.3499999996</v>
      </c>
      <c r="H127" s="16">
        <v>68981840.609999999</v>
      </c>
      <c r="I127" s="16">
        <v>59615181.259999998</v>
      </c>
      <c r="J127" s="16">
        <v>262485404.94000009</v>
      </c>
      <c r="K127" s="16">
        <v>0</v>
      </c>
      <c r="L127" s="16">
        <v>0</v>
      </c>
      <c r="M127" s="16">
        <v>0</v>
      </c>
      <c r="N127" s="18">
        <f t="shared" si="3"/>
        <v>1610999876.8662724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>
        <v>507218109.13999999</v>
      </c>
      <c r="C128" s="16">
        <v>0</v>
      </c>
      <c r="D128" s="16">
        <v>7219435.9521940285</v>
      </c>
      <c r="E128" s="16">
        <v>4571285.12</v>
      </c>
      <c r="F128" s="16">
        <v>1571149.39</v>
      </c>
      <c r="G128" s="16">
        <v>930145.01</v>
      </c>
      <c r="H128" s="16">
        <v>29882647.350000001</v>
      </c>
      <c r="I128" s="16">
        <v>5454154.8799999999</v>
      </c>
      <c r="J128" s="16">
        <v>56409493.799999982</v>
      </c>
      <c r="K128" s="16">
        <v>0</v>
      </c>
      <c r="L128" s="16">
        <v>0</v>
      </c>
      <c r="M128" s="16">
        <v>0</v>
      </c>
      <c r="N128" s="18">
        <f t="shared" si="3"/>
        <v>613256420.64219391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>
        <v>3347448897.2199993</v>
      </c>
      <c r="C129" s="16">
        <v>0</v>
      </c>
      <c r="D129" s="16">
        <v>95457207.460177377</v>
      </c>
      <c r="E129" s="16">
        <v>30168763.789999999</v>
      </c>
      <c r="F129" s="16">
        <v>19982421.989999998</v>
      </c>
      <c r="G129" s="16">
        <v>11536574.68</v>
      </c>
      <c r="H129" s="16">
        <v>197214241.93000001</v>
      </c>
      <c r="I129" s="16">
        <v>69367830.299999997</v>
      </c>
      <c r="J129" s="16">
        <v>353449527.85999995</v>
      </c>
      <c r="K129" s="16">
        <v>0</v>
      </c>
      <c r="L129" s="16">
        <v>0</v>
      </c>
      <c r="M129" s="16">
        <v>0</v>
      </c>
      <c r="N129" s="18">
        <f t="shared" si="3"/>
        <v>4124625465.2301764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>
        <v>874994922.98000002</v>
      </c>
      <c r="C130" s="16">
        <v>0</v>
      </c>
      <c r="D130" s="16">
        <v>21107219.450432088</v>
      </c>
      <c r="E130" s="16">
        <v>7885860.54</v>
      </c>
      <c r="F130" s="16">
        <v>2472428.89</v>
      </c>
      <c r="G130" s="16">
        <v>860731.2</v>
      </c>
      <c r="H130" s="16">
        <v>51550140.340000004</v>
      </c>
      <c r="I130" s="16">
        <v>8582894.8900000006</v>
      </c>
      <c r="J130" s="16">
        <v>97144540.460000038</v>
      </c>
      <c r="K130" s="16">
        <v>0</v>
      </c>
      <c r="L130" s="16">
        <v>0</v>
      </c>
      <c r="M130" s="16">
        <v>0</v>
      </c>
      <c r="N130" s="18">
        <f t="shared" si="3"/>
        <v>1064598738.7504321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>
        <v>5675854834.6700001</v>
      </c>
      <c r="C131" s="16">
        <v>0</v>
      </c>
      <c r="D131" s="16">
        <v>109030678.47499999</v>
      </c>
      <c r="E131" s="16">
        <v>51153439.25</v>
      </c>
      <c r="F131" s="16">
        <v>109172553.83</v>
      </c>
      <c r="G131" s="16">
        <v>0</v>
      </c>
      <c r="H131" s="16">
        <v>334391783.98000002</v>
      </c>
      <c r="I131" s="16">
        <v>378986250.44999999</v>
      </c>
      <c r="J131" s="16">
        <v>763266284.43999982</v>
      </c>
      <c r="K131" s="16">
        <v>0</v>
      </c>
      <c r="L131" s="16">
        <v>0</v>
      </c>
      <c r="M131" s="16">
        <v>0</v>
      </c>
      <c r="N131" s="18">
        <f t="shared" si="3"/>
        <v>7421855825.0949993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>
        <v>211592396.22</v>
      </c>
      <c r="C132" s="16">
        <v>0</v>
      </c>
      <c r="D132" s="16">
        <v>1558624.5437624247</v>
      </c>
      <c r="E132" s="16">
        <v>1906968.9300000002</v>
      </c>
      <c r="F132" s="16">
        <v>466879.01</v>
      </c>
      <c r="G132" s="16">
        <v>208241.42</v>
      </c>
      <c r="H132" s="16">
        <v>12465921.16</v>
      </c>
      <c r="I132" s="16">
        <v>1620743.7</v>
      </c>
      <c r="J132" s="16">
        <v>27408143.620000012</v>
      </c>
      <c r="K132" s="16">
        <v>0</v>
      </c>
      <c r="L132" s="16">
        <v>0</v>
      </c>
      <c r="M132" s="16">
        <v>0</v>
      </c>
      <c r="N132" s="18">
        <f t="shared" si="3"/>
        <v>257227918.60376239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>
        <v>1423769016.3800001</v>
      </c>
      <c r="C133" s="16">
        <v>0</v>
      </c>
      <c r="D133" s="16">
        <v>12818355.364622105</v>
      </c>
      <c r="E133" s="16">
        <v>12831667.470000001</v>
      </c>
      <c r="F133" s="16">
        <v>1688884.1</v>
      </c>
      <c r="G133" s="16">
        <v>1180034.71</v>
      </c>
      <c r="H133" s="16">
        <v>83881049.680000007</v>
      </c>
      <c r="I133" s="16">
        <v>5862864.1600000001</v>
      </c>
      <c r="J133" s="16">
        <v>101104210.01999995</v>
      </c>
      <c r="K133" s="16">
        <v>0</v>
      </c>
      <c r="L133" s="16">
        <v>0</v>
      </c>
      <c r="M133" s="16">
        <v>0</v>
      </c>
      <c r="N133" s="18">
        <f t="shared" si="3"/>
        <v>1643136081.8846223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>
        <v>2454408256.25</v>
      </c>
      <c r="C134" s="16">
        <v>0</v>
      </c>
      <c r="D134" s="16">
        <v>30701742.381619964</v>
      </c>
      <c r="E134" s="16">
        <v>22120266.859999999</v>
      </c>
      <c r="F134" s="16">
        <v>7880105.8700000001</v>
      </c>
      <c r="G134" s="16">
        <v>3901055.94</v>
      </c>
      <c r="H134" s="16">
        <v>144600941.94999999</v>
      </c>
      <c r="I134" s="16">
        <v>27355334.949999999</v>
      </c>
      <c r="J134" s="16">
        <v>228328876.37999988</v>
      </c>
      <c r="K134" s="16">
        <v>0</v>
      </c>
      <c r="L134" s="16">
        <v>0</v>
      </c>
      <c r="M134" s="16">
        <v>0</v>
      </c>
      <c r="N134" s="18">
        <f t="shared" si="3"/>
        <v>2919296580.5816193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>
        <v>2046759301.6699998</v>
      </c>
      <c r="C135" s="16">
        <v>0</v>
      </c>
      <c r="D135" s="16">
        <v>45249104.944037214</v>
      </c>
      <c r="E135" s="16">
        <v>25782489.759999998</v>
      </c>
      <c r="F135" s="16">
        <v>11862786.890000001</v>
      </c>
      <c r="G135" s="16">
        <v>4942263.04</v>
      </c>
      <c r="H135" s="16">
        <v>120584390.23</v>
      </c>
      <c r="I135" s="16">
        <v>41180983.369999997</v>
      </c>
      <c r="J135" s="16">
        <v>235396868.73999989</v>
      </c>
      <c r="K135" s="16">
        <v>0</v>
      </c>
      <c r="L135" s="16">
        <v>0</v>
      </c>
      <c r="M135" s="16">
        <v>0</v>
      </c>
      <c r="N135" s="18">
        <f t="shared" si="3"/>
        <v>2531758188.6440368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>
        <v>3184560876.79</v>
      </c>
      <c r="C136" s="16">
        <v>0</v>
      </c>
      <c r="D136" s="16">
        <v>30070483.719999999</v>
      </c>
      <c r="E136" s="16">
        <v>40115077.599999994</v>
      </c>
      <c r="F136" s="16">
        <v>70579928.170000002</v>
      </c>
      <c r="G136" s="16">
        <v>34230634.829496242</v>
      </c>
      <c r="H136" s="16">
        <v>187617728.75</v>
      </c>
      <c r="I136" s="16">
        <v>245014166.97</v>
      </c>
      <c r="J136" s="16">
        <v>535183755.0399999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4327372651.8694954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>
        <v>498481185.90000004</v>
      </c>
      <c r="C137" s="16">
        <v>0</v>
      </c>
      <c r="D137" s="16">
        <v>5999404.2023427663</v>
      </c>
      <c r="E137" s="16">
        <v>4492543.91</v>
      </c>
      <c r="F137" s="16">
        <v>844442.05</v>
      </c>
      <c r="G137" s="16">
        <v>721903.59</v>
      </c>
      <c r="H137" s="16">
        <v>29367913.370000001</v>
      </c>
      <c r="I137" s="16">
        <v>2931432.08</v>
      </c>
      <c r="J137" s="16">
        <v>52500542.599999987</v>
      </c>
      <c r="K137" s="16">
        <v>0</v>
      </c>
      <c r="L137" s="16">
        <v>0</v>
      </c>
      <c r="M137" s="16">
        <v>0</v>
      </c>
      <c r="N137" s="18">
        <f t="shared" si="4"/>
        <v>595339367.70234287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>
        <v>1483688424.72</v>
      </c>
      <c r="C138" s="16">
        <v>0</v>
      </c>
      <c r="D138" s="16">
        <v>35377840.322275043</v>
      </c>
      <c r="E138" s="16">
        <v>13371689.01</v>
      </c>
      <c r="F138" s="16">
        <v>7352329.5800000001</v>
      </c>
      <c r="G138" s="16">
        <v>2818200.55</v>
      </c>
      <c r="H138" s="16">
        <v>87411188.920000002</v>
      </c>
      <c r="I138" s="16">
        <v>25523189.899999999</v>
      </c>
      <c r="J138" s="16">
        <v>190760518.9600001</v>
      </c>
      <c r="K138" s="16">
        <v>0</v>
      </c>
      <c r="L138" s="16">
        <v>0</v>
      </c>
      <c r="M138" s="16">
        <v>0</v>
      </c>
      <c r="N138" s="18">
        <f t="shared" si="4"/>
        <v>1846303381.962275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>
        <v>5048829679.3700008</v>
      </c>
      <c r="C139" s="16">
        <v>0</v>
      </c>
      <c r="D139" s="16">
        <v>42668224.379999995</v>
      </c>
      <c r="E139" s="16">
        <v>45502397.399999999</v>
      </c>
      <c r="F139" s="16">
        <v>37813140.689999998</v>
      </c>
      <c r="G139" s="16">
        <v>30363732.298056323</v>
      </c>
      <c r="H139" s="16">
        <v>297450729.98000002</v>
      </c>
      <c r="I139" s="16">
        <v>131266146.15000001</v>
      </c>
      <c r="J139" s="16">
        <v>340613709.26000005</v>
      </c>
      <c r="K139" s="16">
        <v>0</v>
      </c>
      <c r="L139" s="16">
        <v>0</v>
      </c>
      <c r="M139" s="16">
        <v>0</v>
      </c>
      <c r="N139" s="18">
        <f t="shared" si="4"/>
        <v>5974507759.5280571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>
        <v>1513457505.1300001</v>
      </c>
      <c r="C140" s="16">
        <v>0</v>
      </c>
      <c r="D140" s="16">
        <v>4590370.18</v>
      </c>
      <c r="E140" s="16">
        <v>13639981.789999999</v>
      </c>
      <c r="F140" s="16">
        <v>6235879.7599999998</v>
      </c>
      <c r="G140" s="16">
        <v>2970910.93</v>
      </c>
      <c r="H140" s="16">
        <v>89165027.980000004</v>
      </c>
      <c r="I140" s="16">
        <v>21647498.449999999</v>
      </c>
      <c r="J140" s="16">
        <v>86097557.039999962</v>
      </c>
      <c r="K140" s="16">
        <v>0</v>
      </c>
      <c r="L140" s="16">
        <v>0</v>
      </c>
      <c r="M140" s="16">
        <v>0</v>
      </c>
      <c r="N140" s="18">
        <f t="shared" si="4"/>
        <v>1737804731.2600002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>
        <v>1709736457.75</v>
      </c>
      <c r="C141" s="16">
        <v>0</v>
      </c>
      <c r="D141" s="16">
        <v>21023212.38291277</v>
      </c>
      <c r="E141" s="16">
        <v>15408938.85</v>
      </c>
      <c r="F141" s="16">
        <v>8992495.8800000008</v>
      </c>
      <c r="G141" s="16">
        <v>2596076.37</v>
      </c>
      <c r="H141" s="16">
        <v>100728760.84999999</v>
      </c>
      <c r="I141" s="16">
        <v>31216932.98</v>
      </c>
      <c r="J141" s="16">
        <v>239445899.66</v>
      </c>
      <c r="K141" s="16">
        <v>0</v>
      </c>
      <c r="L141" s="16">
        <v>0</v>
      </c>
      <c r="M141" s="16">
        <v>0</v>
      </c>
      <c r="N141" s="18">
        <f t="shared" si="4"/>
        <v>2129148774.7229128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>
        <v>1737758153.4699998</v>
      </c>
      <c r="C142" s="16">
        <v>0</v>
      </c>
      <c r="D142" s="16">
        <v>17391519.887495406</v>
      </c>
      <c r="E142" s="16">
        <v>21890083.390000001</v>
      </c>
      <c r="F142" s="16">
        <v>38661642.560000002</v>
      </c>
      <c r="G142" s="16">
        <v>10481484.82</v>
      </c>
      <c r="H142" s="16">
        <v>102379653.11</v>
      </c>
      <c r="I142" s="16">
        <v>134211671.68000001</v>
      </c>
      <c r="J142" s="16">
        <v>324580609.5399999</v>
      </c>
      <c r="K142" s="16">
        <v>0</v>
      </c>
      <c r="L142" s="16">
        <v>0</v>
      </c>
      <c r="M142" s="16">
        <v>0</v>
      </c>
      <c r="N142" s="18">
        <f t="shared" si="4"/>
        <v>2387354818.4574952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317706300806.08978</v>
      </c>
      <c r="C143" s="23">
        <f t="shared" si="5"/>
        <v>0</v>
      </c>
      <c r="D143" s="23">
        <f t="shared" si="5"/>
        <v>3455751621.3254423</v>
      </c>
      <c r="E143" s="23">
        <f t="shared" si="5"/>
        <v>3468234848.999999</v>
      </c>
      <c r="F143" s="23">
        <f t="shared" si="5"/>
        <v>4059817553.7499986</v>
      </c>
      <c r="G143" s="23">
        <f t="shared" si="5"/>
        <v>1388276134.5799992</v>
      </c>
      <c r="H143" s="23">
        <f t="shared" si="5"/>
        <v>18717599340.599991</v>
      </c>
      <c r="I143" s="23">
        <f t="shared" si="5"/>
        <v>14093423466.889999</v>
      </c>
      <c r="J143" s="23">
        <f t="shared" ref="J143:N143" si="6">SUM(J8:J142)</f>
        <v>40252817857.340012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403142221629.57544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44AEAC"/>
  </sheetPr>
  <dimension ref="A1:X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24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4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4" ht="17.25" customHeight="1" x14ac:dyDescent="0.25">
      <c r="A4" s="21" t="s">
        <v>156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4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4" ht="18.75" customHeight="1" x14ac:dyDescent="0.2">
      <c r="A6" s="33" t="s">
        <v>2</v>
      </c>
      <c r="B6" s="34" t="s">
        <v>157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4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24" ht="18" customHeight="1" x14ac:dyDescent="0.2">
      <c r="A8" s="17" t="s">
        <v>3</v>
      </c>
      <c r="B8" s="16">
        <v>1433037389.8299999</v>
      </c>
      <c r="C8" s="16">
        <v>0</v>
      </c>
      <c r="D8" s="16">
        <v>136619926.89499161</v>
      </c>
      <c r="E8" s="16">
        <v>16487929.259999998</v>
      </c>
      <c r="F8" s="16">
        <v>5233860.9400000004</v>
      </c>
      <c r="G8" s="16">
        <v>2025185.3</v>
      </c>
      <c r="H8" s="16">
        <v>82653464.549999997</v>
      </c>
      <c r="I8" s="16">
        <v>11415834.810000001</v>
      </c>
      <c r="J8" s="16">
        <v>132428550.39000003</v>
      </c>
      <c r="K8" s="16">
        <v>0</v>
      </c>
      <c r="L8" s="16">
        <v>0</v>
      </c>
      <c r="M8" s="16">
        <v>0</v>
      </c>
      <c r="N8" s="18">
        <f t="shared" ref="N8:N39" si="0">SUM(B8:M8)</f>
        <v>1819902141.9749916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" customHeight="1" x14ac:dyDescent="0.2">
      <c r="A9" s="17" t="s">
        <v>4</v>
      </c>
      <c r="B9" s="16">
        <v>794813351.07999992</v>
      </c>
      <c r="C9" s="16">
        <v>0</v>
      </c>
      <c r="D9" s="16">
        <v>116335804.46143034</v>
      </c>
      <c r="E9" s="16">
        <v>9144790.2199999988</v>
      </c>
      <c r="F9" s="16">
        <v>3666953.5</v>
      </c>
      <c r="G9" s="16">
        <v>1498637.12</v>
      </c>
      <c r="H9" s="16">
        <v>45842542.289999999</v>
      </c>
      <c r="I9" s="16">
        <v>7998174.9500000002</v>
      </c>
      <c r="J9" s="16">
        <v>100427340.76000002</v>
      </c>
      <c r="K9" s="16">
        <v>0</v>
      </c>
      <c r="L9" s="16">
        <v>0</v>
      </c>
      <c r="M9" s="16">
        <v>0</v>
      </c>
      <c r="N9" s="18">
        <f t="shared" si="0"/>
        <v>1079727594.3814304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" customHeight="1" x14ac:dyDescent="0.2">
      <c r="A10" s="17" t="s">
        <v>5</v>
      </c>
      <c r="B10" s="16">
        <v>847903339.24000001</v>
      </c>
      <c r="C10" s="16">
        <v>0</v>
      </c>
      <c r="D10" s="16">
        <v>84900900.991980821</v>
      </c>
      <c r="E10" s="16">
        <v>9755621.4299999997</v>
      </c>
      <c r="F10" s="16">
        <v>2561666.1</v>
      </c>
      <c r="G10" s="16">
        <v>1498637.12</v>
      </c>
      <c r="H10" s="16">
        <v>48904619.719999999</v>
      </c>
      <c r="I10" s="16">
        <v>5587377.54</v>
      </c>
      <c r="J10" s="16">
        <v>59355249.919999987</v>
      </c>
      <c r="K10" s="16">
        <v>0</v>
      </c>
      <c r="L10" s="16">
        <v>0</v>
      </c>
      <c r="M10" s="16">
        <v>0</v>
      </c>
      <c r="N10" s="18">
        <f t="shared" si="0"/>
        <v>1060467412.0619807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" customHeight="1" x14ac:dyDescent="0.2">
      <c r="A11" s="17" t="s">
        <v>6</v>
      </c>
      <c r="B11" s="16">
        <v>6571716724.8100004</v>
      </c>
      <c r="C11" s="16">
        <v>0</v>
      </c>
      <c r="D11" s="16">
        <v>52416571.445298851</v>
      </c>
      <c r="E11" s="16">
        <v>91871004.780000001</v>
      </c>
      <c r="F11" s="16">
        <v>274956495.92000002</v>
      </c>
      <c r="G11" s="16">
        <v>125557976.83649057</v>
      </c>
      <c r="H11" s="16">
        <v>379037671.44999999</v>
      </c>
      <c r="I11" s="16">
        <v>599721309.71000004</v>
      </c>
      <c r="J11" s="16">
        <v>1116718245.8300004</v>
      </c>
      <c r="K11" s="16">
        <v>0</v>
      </c>
      <c r="L11" s="16">
        <v>0</v>
      </c>
      <c r="M11" s="16">
        <v>0</v>
      </c>
      <c r="N11" s="18">
        <f t="shared" si="0"/>
        <v>9211996000.7817898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" customHeight="1" x14ac:dyDescent="0.2">
      <c r="A12" s="17" t="s">
        <v>7</v>
      </c>
      <c r="B12" s="16">
        <v>865687177.6500001</v>
      </c>
      <c r="C12" s="16">
        <v>0</v>
      </c>
      <c r="D12" s="16">
        <v>138179855.81090418</v>
      </c>
      <c r="E12" s="16">
        <v>9960234.8399999999</v>
      </c>
      <c r="F12" s="16">
        <v>9401444.6199999992</v>
      </c>
      <c r="G12" s="16">
        <v>3726340.95</v>
      </c>
      <c r="H12" s="16">
        <v>49930340.240000002</v>
      </c>
      <c r="I12" s="16">
        <v>20505959.18</v>
      </c>
      <c r="J12" s="16">
        <v>120408528.43999995</v>
      </c>
      <c r="K12" s="16">
        <v>0</v>
      </c>
      <c r="L12" s="16">
        <v>0</v>
      </c>
      <c r="M12" s="16">
        <v>0</v>
      </c>
      <c r="N12" s="18">
        <f t="shared" si="0"/>
        <v>1217799881.7309043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" customHeight="1" x14ac:dyDescent="0.2">
      <c r="A13" s="17" t="s">
        <v>8</v>
      </c>
      <c r="B13" s="16">
        <v>3902637184.25</v>
      </c>
      <c r="C13" s="16">
        <v>0</v>
      </c>
      <c r="D13" s="16">
        <v>35158600.848180711</v>
      </c>
      <c r="E13" s="16">
        <v>54557920.619999997</v>
      </c>
      <c r="F13" s="16">
        <v>133707267.40000001</v>
      </c>
      <c r="G13" s="16">
        <v>0</v>
      </c>
      <c r="H13" s="16">
        <v>225092859.72</v>
      </c>
      <c r="I13" s="16">
        <v>291635581.32999998</v>
      </c>
      <c r="J13" s="16">
        <v>830360778.88999963</v>
      </c>
      <c r="K13" s="16">
        <v>0</v>
      </c>
      <c r="L13" s="16">
        <v>0</v>
      </c>
      <c r="M13" s="16">
        <v>0</v>
      </c>
      <c r="N13" s="18">
        <f t="shared" si="0"/>
        <v>5473150193.0581799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8" customHeight="1" x14ac:dyDescent="0.2">
      <c r="A14" s="17" t="s">
        <v>9</v>
      </c>
      <c r="B14" s="16">
        <v>1417476531.24</v>
      </c>
      <c r="C14" s="16">
        <v>0</v>
      </c>
      <c r="D14" s="16">
        <v>191902613.33474833</v>
      </c>
      <c r="E14" s="16">
        <v>16308892.52</v>
      </c>
      <c r="F14" s="16">
        <v>6085582.4100000001</v>
      </c>
      <c r="G14" s="16">
        <v>2531481.62</v>
      </c>
      <c r="H14" s="16">
        <v>81755959.099999994</v>
      </c>
      <c r="I14" s="16">
        <v>13273566.939999999</v>
      </c>
      <c r="J14" s="16">
        <v>178258066.79999998</v>
      </c>
      <c r="K14" s="16">
        <v>0</v>
      </c>
      <c r="L14" s="16">
        <v>0</v>
      </c>
      <c r="M14" s="16">
        <v>0</v>
      </c>
      <c r="N14" s="18">
        <f t="shared" si="0"/>
        <v>1907592693.9647481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8" customHeight="1" x14ac:dyDescent="0.2">
      <c r="A15" s="17" t="s">
        <v>10</v>
      </c>
      <c r="B15" s="16">
        <v>2398562513.29</v>
      </c>
      <c r="C15" s="16">
        <v>0</v>
      </c>
      <c r="D15" s="16">
        <v>342942444.38715696</v>
      </c>
      <c r="E15" s="16">
        <v>27596857.759999998</v>
      </c>
      <c r="F15" s="16">
        <v>22671395.149999999</v>
      </c>
      <c r="G15" s="16">
        <v>8769052.3499999996</v>
      </c>
      <c r="H15" s="16">
        <v>138342169.63</v>
      </c>
      <c r="I15" s="16">
        <v>49449709.32</v>
      </c>
      <c r="J15" s="16">
        <v>284413255.57000005</v>
      </c>
      <c r="K15" s="16">
        <v>0</v>
      </c>
      <c r="L15" s="16">
        <v>0</v>
      </c>
      <c r="M15" s="16">
        <v>0</v>
      </c>
      <c r="N15" s="18">
        <f t="shared" si="0"/>
        <v>3272747397.4571576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8" customHeight="1" x14ac:dyDescent="0.2">
      <c r="A16" s="17" t="s">
        <v>11</v>
      </c>
      <c r="B16" s="16">
        <v>4347625434.79</v>
      </c>
      <c r="C16" s="16">
        <v>0</v>
      </c>
      <c r="D16" s="16">
        <v>87944896.827406108</v>
      </c>
      <c r="E16" s="16">
        <v>60778748.359999999</v>
      </c>
      <c r="F16" s="16">
        <v>84554486.390000001</v>
      </c>
      <c r="G16" s="16">
        <v>38903809.600000001</v>
      </c>
      <c r="H16" s="16">
        <v>250758498.91</v>
      </c>
      <c r="I16" s="16">
        <v>184426002.19</v>
      </c>
      <c r="J16" s="16">
        <v>706519160.75</v>
      </c>
      <c r="K16" s="16">
        <v>0</v>
      </c>
      <c r="L16" s="16">
        <v>0</v>
      </c>
      <c r="M16" s="16">
        <v>0</v>
      </c>
      <c r="N16" s="18">
        <f t="shared" si="0"/>
        <v>5761511037.8174057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17" t="s">
        <v>12</v>
      </c>
      <c r="B17" s="16">
        <v>1683155308.25</v>
      </c>
      <c r="C17" s="16">
        <v>0</v>
      </c>
      <c r="D17" s="16">
        <v>295548217.78257406</v>
      </c>
      <c r="E17" s="16">
        <v>19365681.48</v>
      </c>
      <c r="F17" s="16">
        <v>17366015.620000001</v>
      </c>
      <c r="G17" s="16">
        <v>5670518.8399999999</v>
      </c>
      <c r="H17" s="16">
        <v>97079544.879999995</v>
      </c>
      <c r="I17" s="16">
        <v>37877881.729999997</v>
      </c>
      <c r="J17" s="16">
        <v>191506897.78000009</v>
      </c>
      <c r="K17" s="16">
        <v>0</v>
      </c>
      <c r="L17" s="16">
        <v>0</v>
      </c>
      <c r="M17" s="16">
        <v>0</v>
      </c>
      <c r="N17" s="18">
        <f t="shared" si="0"/>
        <v>2347570066.3625741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17" t="s">
        <v>13</v>
      </c>
      <c r="B18" s="16">
        <v>945060632.83999991</v>
      </c>
      <c r="C18" s="16">
        <v>0</v>
      </c>
      <c r="D18" s="16">
        <v>109569304.38494314</v>
      </c>
      <c r="E18" s="16">
        <v>10873472.640000001</v>
      </c>
      <c r="F18" s="16">
        <v>11703043.09</v>
      </c>
      <c r="G18" s="16">
        <v>4617422.4800000004</v>
      </c>
      <c r="H18" s="16">
        <v>54508372.270000003</v>
      </c>
      <c r="I18" s="16">
        <v>25526090.27</v>
      </c>
      <c r="J18" s="16">
        <v>156130672.08000004</v>
      </c>
      <c r="K18" s="16">
        <v>0</v>
      </c>
      <c r="L18" s="16">
        <v>0</v>
      </c>
      <c r="M18" s="16">
        <v>0</v>
      </c>
      <c r="N18" s="18">
        <f t="shared" si="0"/>
        <v>1317989010.0549431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17" t="s">
        <v>14</v>
      </c>
      <c r="B19" s="16">
        <v>1523198835.25</v>
      </c>
      <c r="C19" s="16">
        <v>0</v>
      </c>
      <c r="D19" s="16">
        <v>186262398.17523491</v>
      </c>
      <c r="E19" s="16">
        <v>17525289.16</v>
      </c>
      <c r="F19" s="16">
        <v>4726729.07</v>
      </c>
      <c r="G19" s="16">
        <v>2571985.33</v>
      </c>
      <c r="H19" s="16">
        <v>87853716.75</v>
      </c>
      <c r="I19" s="16">
        <v>10309704.24</v>
      </c>
      <c r="J19" s="16">
        <v>135838915.63000003</v>
      </c>
      <c r="K19" s="16">
        <v>0</v>
      </c>
      <c r="L19" s="16">
        <v>0</v>
      </c>
      <c r="M19" s="16">
        <v>0</v>
      </c>
      <c r="N19" s="18">
        <f t="shared" si="0"/>
        <v>1968287573.6052349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17" t="s">
        <v>15</v>
      </c>
      <c r="B20" s="16">
        <v>5455748174.2600002</v>
      </c>
      <c r="C20" s="16">
        <v>0</v>
      </c>
      <c r="D20" s="16">
        <v>28237617.385389525</v>
      </c>
      <c r="E20" s="16">
        <v>76270035.299999997</v>
      </c>
      <c r="F20" s="16">
        <v>150865228.91999999</v>
      </c>
      <c r="G20" s="16">
        <v>63624675.147828773</v>
      </c>
      <c r="H20" s="16">
        <v>314671823.30000001</v>
      </c>
      <c r="I20" s="16">
        <v>329059665.88999999</v>
      </c>
      <c r="J20" s="16">
        <v>772436754.5600003</v>
      </c>
      <c r="K20" s="16">
        <v>0</v>
      </c>
      <c r="L20" s="16">
        <v>0</v>
      </c>
      <c r="M20" s="16">
        <v>0</v>
      </c>
      <c r="N20" s="18">
        <f t="shared" si="0"/>
        <v>7190913974.7632198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17" t="s">
        <v>16</v>
      </c>
      <c r="B21" s="16">
        <v>2368029231.9499998</v>
      </c>
      <c r="C21" s="16">
        <v>0</v>
      </c>
      <c r="D21" s="16">
        <v>12729522.311845457</v>
      </c>
      <c r="E21" s="16">
        <v>27245554.59</v>
      </c>
      <c r="F21" s="16">
        <v>40115431.060000002</v>
      </c>
      <c r="G21" s="16">
        <v>8336722.8818780556</v>
      </c>
      <c r="H21" s="16">
        <v>136581098</v>
      </c>
      <c r="I21" s="16">
        <v>87497764.980000004</v>
      </c>
      <c r="J21" s="16">
        <v>253246962.5</v>
      </c>
      <c r="K21" s="16">
        <v>0</v>
      </c>
      <c r="L21" s="16">
        <v>0</v>
      </c>
      <c r="M21" s="16">
        <v>0</v>
      </c>
      <c r="N21" s="18">
        <f t="shared" si="0"/>
        <v>2933782288.2737231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17" t="s">
        <v>17</v>
      </c>
      <c r="B22" s="16">
        <v>1938667221.7199998</v>
      </c>
      <c r="C22" s="16">
        <v>0</v>
      </c>
      <c r="D22" s="16">
        <v>142694726.22396612</v>
      </c>
      <c r="E22" s="16">
        <v>22305494.759999998</v>
      </c>
      <c r="F22" s="16">
        <v>9550983.5</v>
      </c>
      <c r="G22" s="16">
        <v>4354148.3899999997</v>
      </c>
      <c r="H22" s="16">
        <v>111816735.3</v>
      </c>
      <c r="I22" s="16">
        <v>20832125.890000001</v>
      </c>
      <c r="J22" s="16">
        <v>190174565.9799999</v>
      </c>
      <c r="K22" s="16">
        <v>0</v>
      </c>
      <c r="L22" s="16">
        <v>0</v>
      </c>
      <c r="M22" s="16">
        <v>0</v>
      </c>
      <c r="N22" s="18">
        <f t="shared" si="0"/>
        <v>2440396001.7639661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17" t="s">
        <v>18</v>
      </c>
      <c r="B23" s="16">
        <v>1828629721.6000001</v>
      </c>
      <c r="C23" s="16">
        <v>0</v>
      </c>
      <c r="D23" s="16">
        <v>130677069.73918006</v>
      </c>
      <c r="E23" s="16">
        <v>21039449.280000001</v>
      </c>
      <c r="F23" s="16">
        <v>9154380.3699999992</v>
      </c>
      <c r="G23" s="16">
        <v>5366741.04</v>
      </c>
      <c r="H23" s="16">
        <v>105470089.58</v>
      </c>
      <c r="I23" s="16">
        <v>19967075.050000001</v>
      </c>
      <c r="J23" s="16">
        <v>156981580.08000004</v>
      </c>
      <c r="K23" s="16">
        <v>0</v>
      </c>
      <c r="L23" s="16">
        <v>0</v>
      </c>
      <c r="M23" s="16">
        <v>0</v>
      </c>
      <c r="N23" s="18">
        <f t="shared" si="0"/>
        <v>2277286106.7391801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17" t="s">
        <v>19</v>
      </c>
      <c r="B24" s="16">
        <v>580230418.61000001</v>
      </c>
      <c r="C24" s="16">
        <v>0</v>
      </c>
      <c r="D24" s="16">
        <v>67099838.625591286</v>
      </c>
      <c r="E24" s="16">
        <v>6675888.6799999997</v>
      </c>
      <c r="F24" s="16">
        <v>9518475.0500000007</v>
      </c>
      <c r="G24" s="16">
        <v>1499432.5029031832</v>
      </c>
      <c r="H24" s="16">
        <v>33466017.48</v>
      </c>
      <c r="I24" s="16">
        <v>20761220.09</v>
      </c>
      <c r="J24" s="16">
        <v>132830438.35000004</v>
      </c>
      <c r="K24" s="16">
        <v>0</v>
      </c>
      <c r="L24" s="16">
        <v>0</v>
      </c>
      <c r="M24" s="16">
        <v>0</v>
      </c>
      <c r="N24" s="18">
        <f t="shared" si="0"/>
        <v>852081729.38849449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17" t="s">
        <v>20</v>
      </c>
      <c r="B25" s="16">
        <v>2279960002.8400002</v>
      </c>
      <c r="C25" s="16">
        <v>0</v>
      </c>
      <c r="D25" s="16">
        <v>40413005.772016592</v>
      </c>
      <c r="E25" s="16">
        <v>26232266.859999999</v>
      </c>
      <c r="F25" s="16">
        <v>42215477.130000003</v>
      </c>
      <c r="G25" s="16">
        <v>12778919.24</v>
      </c>
      <c r="H25" s="16">
        <v>131501518.81</v>
      </c>
      <c r="I25" s="16">
        <v>92078280.069999993</v>
      </c>
      <c r="J25" s="16">
        <v>307063735.83000004</v>
      </c>
      <c r="K25" s="16">
        <v>0</v>
      </c>
      <c r="L25" s="16">
        <v>0</v>
      </c>
      <c r="M25" s="16">
        <v>0</v>
      </c>
      <c r="N25" s="18">
        <f t="shared" si="0"/>
        <v>2932243206.5520167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17" t="s">
        <v>21</v>
      </c>
      <c r="B26" s="16">
        <v>975757368.62999988</v>
      </c>
      <c r="C26" s="16">
        <v>0</v>
      </c>
      <c r="D26" s="16">
        <v>63913690.064902931</v>
      </c>
      <c r="E26" s="16">
        <v>11226656.440000001</v>
      </c>
      <c r="F26" s="16">
        <v>19199492.370000001</v>
      </c>
      <c r="G26" s="16">
        <v>8161496.7599999998</v>
      </c>
      <c r="H26" s="16">
        <v>56278871.479999997</v>
      </c>
      <c r="I26" s="16">
        <v>41876969.200000003</v>
      </c>
      <c r="J26" s="16">
        <v>226575921.00999999</v>
      </c>
      <c r="K26" s="16">
        <v>0</v>
      </c>
      <c r="L26" s="16">
        <v>0</v>
      </c>
      <c r="M26" s="16">
        <v>0</v>
      </c>
      <c r="N26" s="18">
        <f t="shared" si="0"/>
        <v>1402990465.9549029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17" t="s">
        <v>22</v>
      </c>
      <c r="B27" s="16">
        <v>444824796.04999995</v>
      </c>
      <c r="C27" s="16">
        <v>0</v>
      </c>
      <c r="D27" s="16">
        <v>51038247.706780314</v>
      </c>
      <c r="E27" s="16">
        <v>5117968.18</v>
      </c>
      <c r="F27" s="16">
        <v>4772240.9000000004</v>
      </c>
      <c r="G27" s="16">
        <v>1842918.62</v>
      </c>
      <c r="H27" s="16">
        <v>25656211.609999999</v>
      </c>
      <c r="I27" s="16">
        <v>10408972.369999999</v>
      </c>
      <c r="J27" s="16">
        <v>60716197.649999999</v>
      </c>
      <c r="K27" s="16">
        <v>0</v>
      </c>
      <c r="L27" s="16">
        <v>0</v>
      </c>
      <c r="M27" s="16">
        <v>0</v>
      </c>
      <c r="N27" s="18">
        <f t="shared" si="0"/>
        <v>604377553.08678019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17" t="s">
        <v>23</v>
      </c>
      <c r="B28" s="16">
        <v>1704960124.79</v>
      </c>
      <c r="C28" s="16">
        <v>0</v>
      </c>
      <c r="D28" s="16">
        <v>132148858.33338057</v>
      </c>
      <c r="E28" s="16">
        <v>19616558.579999998</v>
      </c>
      <c r="F28" s="16">
        <v>6573209.2000000002</v>
      </c>
      <c r="G28" s="16">
        <v>2673244.59</v>
      </c>
      <c r="H28" s="16">
        <v>98337183.829999998</v>
      </c>
      <c r="I28" s="16">
        <v>14337154.029999999</v>
      </c>
      <c r="J28" s="16">
        <v>124137037.26999995</v>
      </c>
      <c r="K28" s="16">
        <v>0</v>
      </c>
      <c r="L28" s="16">
        <v>0</v>
      </c>
      <c r="M28" s="16">
        <v>0</v>
      </c>
      <c r="N28" s="18">
        <f t="shared" si="0"/>
        <v>2102783370.6233802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17" t="s">
        <v>24</v>
      </c>
      <c r="B29" s="16">
        <v>974220897.27999997</v>
      </c>
      <c r="C29" s="16">
        <v>0</v>
      </c>
      <c r="D29" s="16">
        <v>143071454.53541121</v>
      </c>
      <c r="E29" s="16">
        <v>11208978.460000001</v>
      </c>
      <c r="F29" s="16">
        <v>4102566.77</v>
      </c>
      <c r="G29" s="16">
        <v>1620148.24</v>
      </c>
      <c r="H29" s="16">
        <v>56190252.240000002</v>
      </c>
      <c r="I29" s="16">
        <v>8948312.7599999998</v>
      </c>
      <c r="J29" s="16">
        <v>110666852.45000002</v>
      </c>
      <c r="K29" s="16">
        <v>0</v>
      </c>
      <c r="L29" s="16">
        <v>0</v>
      </c>
      <c r="M29" s="16">
        <v>0</v>
      </c>
      <c r="N29" s="18">
        <f t="shared" si="0"/>
        <v>1310029462.7354112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17" t="s">
        <v>25</v>
      </c>
      <c r="B30" s="16">
        <v>341685071.48999995</v>
      </c>
      <c r="C30" s="16">
        <v>0</v>
      </c>
      <c r="D30" s="16">
        <v>89337551.23220624</v>
      </c>
      <c r="E30" s="16">
        <v>3931285.62</v>
      </c>
      <c r="F30" s="16">
        <v>3543421.38</v>
      </c>
      <c r="G30" s="16">
        <v>2025185.3</v>
      </c>
      <c r="H30" s="16">
        <v>19707409.699999999</v>
      </c>
      <c r="I30" s="16">
        <v>7728732.8899999997</v>
      </c>
      <c r="J30" s="16">
        <v>85971584.079999968</v>
      </c>
      <c r="K30" s="16">
        <v>0</v>
      </c>
      <c r="L30" s="16">
        <v>0</v>
      </c>
      <c r="M30" s="16">
        <v>0</v>
      </c>
      <c r="N30" s="18">
        <f t="shared" si="0"/>
        <v>553930241.69220614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17" t="s">
        <v>26</v>
      </c>
      <c r="B31" s="16">
        <v>588174302.27999985</v>
      </c>
      <c r="C31" s="16">
        <v>0</v>
      </c>
      <c r="D31" s="16">
        <v>45194062.269026786</v>
      </c>
      <c r="E31" s="16">
        <v>6767287.6799999997</v>
      </c>
      <c r="F31" s="16">
        <v>4232600.58</v>
      </c>
      <c r="G31" s="16">
        <v>1113851.9099999999</v>
      </c>
      <c r="H31" s="16">
        <v>33924197.789999999</v>
      </c>
      <c r="I31" s="16">
        <v>9231935.9800000004</v>
      </c>
      <c r="J31" s="16">
        <v>60930397.559999987</v>
      </c>
      <c r="K31" s="16">
        <v>0</v>
      </c>
      <c r="L31" s="16">
        <v>0</v>
      </c>
      <c r="M31" s="16">
        <v>0</v>
      </c>
      <c r="N31" s="18">
        <f t="shared" si="0"/>
        <v>749568636.04902649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17" t="s">
        <v>27</v>
      </c>
      <c r="B32" s="16">
        <v>2691407411.0999999</v>
      </c>
      <c r="C32" s="16">
        <v>0</v>
      </c>
      <c r="D32" s="16">
        <v>236428254.85469028</v>
      </c>
      <c r="E32" s="16">
        <v>30966208.759999998</v>
      </c>
      <c r="F32" s="16">
        <v>12483245.970000001</v>
      </c>
      <c r="G32" s="16">
        <v>6095807.75</v>
      </c>
      <c r="H32" s="16">
        <v>155232618.93000001</v>
      </c>
      <c r="I32" s="16">
        <v>27227829.620000001</v>
      </c>
      <c r="J32" s="16">
        <v>190647573.16999993</v>
      </c>
      <c r="K32" s="16">
        <v>0</v>
      </c>
      <c r="L32" s="16">
        <v>0</v>
      </c>
      <c r="M32" s="16">
        <v>0</v>
      </c>
      <c r="N32" s="18">
        <f t="shared" si="0"/>
        <v>3350488950.1546898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17" t="s">
        <v>28</v>
      </c>
      <c r="B33" s="16">
        <v>1685509051.5300002</v>
      </c>
      <c r="C33" s="16">
        <v>0</v>
      </c>
      <c r="D33" s="16">
        <v>139371279.85401461</v>
      </c>
      <c r="E33" s="16">
        <v>19392762.670000002</v>
      </c>
      <c r="F33" s="16">
        <v>9160882.0700000003</v>
      </c>
      <c r="G33" s="16">
        <v>4900948.42</v>
      </c>
      <c r="H33" s="16">
        <v>97215302.010000005</v>
      </c>
      <c r="I33" s="16">
        <v>19981256.219999999</v>
      </c>
      <c r="J33" s="16">
        <v>181853174.25</v>
      </c>
      <c r="K33" s="16">
        <v>0</v>
      </c>
      <c r="L33" s="16">
        <v>0</v>
      </c>
      <c r="M33" s="16">
        <v>0</v>
      </c>
      <c r="N33" s="18">
        <f t="shared" si="0"/>
        <v>2157384657.0240149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17" t="s">
        <v>29</v>
      </c>
      <c r="B34" s="16">
        <v>2304020490.0599999</v>
      </c>
      <c r="C34" s="16">
        <v>0</v>
      </c>
      <c r="D34" s="16">
        <v>139439911.59058872</v>
      </c>
      <c r="E34" s="16">
        <v>32209647.240000002</v>
      </c>
      <c r="F34" s="16">
        <v>13321964.060000001</v>
      </c>
      <c r="G34" s="16">
        <v>8181748.6100000003</v>
      </c>
      <c r="H34" s="16">
        <v>132889258.33</v>
      </c>
      <c r="I34" s="16">
        <v>29057199.420000002</v>
      </c>
      <c r="J34" s="16">
        <v>228752848.46000007</v>
      </c>
      <c r="K34" s="16">
        <v>0</v>
      </c>
      <c r="L34" s="16">
        <v>0</v>
      </c>
      <c r="M34" s="16">
        <v>0</v>
      </c>
      <c r="N34" s="18">
        <f t="shared" si="0"/>
        <v>2887873067.7705884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17" t="s">
        <v>30</v>
      </c>
      <c r="B35" s="16">
        <v>1136923404.1400001</v>
      </c>
      <c r="C35" s="16">
        <v>0</v>
      </c>
      <c r="D35" s="16">
        <v>111673974.46090421</v>
      </c>
      <c r="E35" s="16">
        <v>13080965.5</v>
      </c>
      <c r="F35" s="16">
        <v>8328665.6699999999</v>
      </c>
      <c r="G35" s="16">
        <v>3179540.92</v>
      </c>
      <c r="H35" s="16">
        <v>65574463.689999998</v>
      </c>
      <c r="I35" s="16">
        <v>18166067.57</v>
      </c>
      <c r="J35" s="16">
        <v>82214459.329999983</v>
      </c>
      <c r="K35" s="16">
        <v>0</v>
      </c>
      <c r="L35" s="16">
        <v>0</v>
      </c>
      <c r="M35" s="16">
        <v>0</v>
      </c>
      <c r="N35" s="18">
        <f t="shared" si="0"/>
        <v>1439141541.2809043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17" t="s">
        <v>31</v>
      </c>
      <c r="B36" s="16">
        <v>1304464161.1100001</v>
      </c>
      <c r="C36" s="16">
        <v>0</v>
      </c>
      <c r="D36" s="16">
        <v>113874967.71003954</v>
      </c>
      <c r="E36" s="16">
        <v>15008619.42</v>
      </c>
      <c r="F36" s="16">
        <v>5240362.63</v>
      </c>
      <c r="G36" s="16">
        <v>1842918.62</v>
      </c>
      <c r="H36" s="16">
        <v>75237731.459999993</v>
      </c>
      <c r="I36" s="16">
        <v>11430015.98</v>
      </c>
      <c r="J36" s="16">
        <v>82797722.549999997</v>
      </c>
      <c r="K36" s="16">
        <v>0</v>
      </c>
      <c r="L36" s="16">
        <v>0</v>
      </c>
      <c r="M36" s="16">
        <v>0</v>
      </c>
      <c r="N36" s="18">
        <f t="shared" si="0"/>
        <v>1609896499.4800398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17" t="s">
        <v>32</v>
      </c>
      <c r="B37" s="16">
        <v>1358240657.72</v>
      </c>
      <c r="C37" s="16">
        <v>0</v>
      </c>
      <c r="D37" s="16">
        <v>125043069.38310529</v>
      </c>
      <c r="E37" s="16">
        <v>15627349.32</v>
      </c>
      <c r="F37" s="16">
        <v>9720027.4600000009</v>
      </c>
      <c r="G37" s="16">
        <v>2815007.57</v>
      </c>
      <c r="H37" s="16">
        <v>78339404.719999999</v>
      </c>
      <c r="I37" s="16">
        <v>21200836.079999998</v>
      </c>
      <c r="J37" s="16">
        <v>140540371.40000007</v>
      </c>
      <c r="K37" s="16">
        <v>0</v>
      </c>
      <c r="L37" s="16">
        <v>0</v>
      </c>
      <c r="M37" s="16">
        <v>0</v>
      </c>
      <c r="N37" s="18">
        <f t="shared" si="0"/>
        <v>1751526723.6531053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17" t="s">
        <v>33</v>
      </c>
      <c r="B38" s="16">
        <v>1146403759.1299999</v>
      </c>
      <c r="C38" s="16">
        <v>0</v>
      </c>
      <c r="D38" s="16">
        <v>7680245.9164118804</v>
      </c>
      <c r="E38" s="16">
        <v>13190042.5</v>
      </c>
      <c r="F38" s="16">
        <v>8686258.6500000004</v>
      </c>
      <c r="G38" s="16">
        <v>7796963.4000000004</v>
      </c>
      <c r="H38" s="16">
        <v>66121263.229999997</v>
      </c>
      <c r="I38" s="16">
        <v>18946031.440000001</v>
      </c>
      <c r="J38" s="16">
        <v>231921239.21999991</v>
      </c>
      <c r="K38" s="16">
        <v>0</v>
      </c>
      <c r="L38" s="16">
        <v>0</v>
      </c>
      <c r="M38" s="16">
        <v>0</v>
      </c>
      <c r="N38" s="18">
        <f t="shared" si="0"/>
        <v>1500745803.486412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17" t="s">
        <v>34</v>
      </c>
      <c r="B39" s="16">
        <v>2203626799.3699999</v>
      </c>
      <c r="C39" s="16">
        <v>0</v>
      </c>
      <c r="D39" s="16">
        <v>185333366.32945845</v>
      </c>
      <c r="E39" s="16">
        <v>25354008.920000002</v>
      </c>
      <c r="F39" s="16">
        <v>11065877.41</v>
      </c>
      <c r="G39" s="16">
        <v>4860444.72</v>
      </c>
      <c r="H39" s="16">
        <v>127098839.73999999</v>
      </c>
      <c r="I39" s="16">
        <v>24136336.469999999</v>
      </c>
      <c r="J39" s="16">
        <v>201345784.19</v>
      </c>
      <c r="K39" s="16">
        <v>0</v>
      </c>
      <c r="L39" s="16">
        <v>0</v>
      </c>
      <c r="M39" s="16">
        <v>0</v>
      </c>
      <c r="N39" s="18">
        <f t="shared" si="0"/>
        <v>2782821457.1494575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17" t="s">
        <v>35</v>
      </c>
      <c r="B40" s="16">
        <v>1447257922.3800001</v>
      </c>
      <c r="C40" s="16">
        <v>0</v>
      </c>
      <c r="D40" s="16">
        <v>159447516.12873814</v>
      </c>
      <c r="E40" s="16">
        <v>16651544.75</v>
      </c>
      <c r="F40" s="16">
        <v>5910036.7599999998</v>
      </c>
      <c r="G40" s="16">
        <v>2126444.56</v>
      </c>
      <c r="H40" s="16">
        <v>83473663.870000005</v>
      </c>
      <c r="I40" s="16">
        <v>12890675.59</v>
      </c>
      <c r="J40" s="16">
        <v>110925239.04000005</v>
      </c>
      <c r="K40" s="16">
        <v>0</v>
      </c>
      <c r="L40" s="16">
        <v>0</v>
      </c>
      <c r="M40" s="16">
        <v>0</v>
      </c>
      <c r="N40" s="18">
        <f t="shared" ref="N40:N71" si="1">SUM(B40:M40)</f>
        <v>1838683043.078738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17" t="s">
        <v>36</v>
      </c>
      <c r="B41" s="16">
        <v>1512378154.1900001</v>
      </c>
      <c r="C41" s="16">
        <v>0</v>
      </c>
      <c r="D41" s="16">
        <v>47674761.367581718</v>
      </c>
      <c r="E41" s="16">
        <v>17400790.920000002</v>
      </c>
      <c r="F41" s="16">
        <v>10006101.84</v>
      </c>
      <c r="G41" s="16">
        <v>3706089.1</v>
      </c>
      <c r="H41" s="16">
        <v>87229611.069999993</v>
      </c>
      <c r="I41" s="16">
        <v>21824807.18</v>
      </c>
      <c r="J41" s="16">
        <v>113823880.98</v>
      </c>
      <c r="K41" s="16">
        <v>0</v>
      </c>
      <c r="L41" s="16">
        <v>0</v>
      </c>
      <c r="M41" s="16">
        <v>0</v>
      </c>
      <c r="N41" s="18">
        <f t="shared" si="1"/>
        <v>1814044196.6475816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17" t="s">
        <v>37</v>
      </c>
      <c r="B42" s="16">
        <v>917404148.88</v>
      </c>
      <c r="C42" s="16">
        <v>0</v>
      </c>
      <c r="D42" s="16">
        <v>9968176.9697202984</v>
      </c>
      <c r="E42" s="16">
        <v>10555268.699999999</v>
      </c>
      <c r="F42" s="16">
        <v>27177066.75</v>
      </c>
      <c r="G42" s="16">
        <v>0</v>
      </c>
      <c r="H42" s="16">
        <v>52913226.020000003</v>
      </c>
      <c r="I42" s="16">
        <v>59277254.07</v>
      </c>
      <c r="J42" s="16">
        <v>173448038.15000004</v>
      </c>
      <c r="K42" s="16">
        <v>0</v>
      </c>
      <c r="L42" s="16">
        <v>0</v>
      </c>
      <c r="M42" s="16">
        <v>0</v>
      </c>
      <c r="N42" s="18">
        <f t="shared" si="1"/>
        <v>1250743179.5397203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17" t="s">
        <v>38</v>
      </c>
      <c r="B43" s="16">
        <v>5556174555.8199997</v>
      </c>
      <c r="C43" s="16">
        <v>0</v>
      </c>
      <c r="D43" s="16">
        <v>56256892.359162837</v>
      </c>
      <c r="E43" s="16">
        <v>63927022.159999996</v>
      </c>
      <c r="F43" s="16">
        <v>113012386.19</v>
      </c>
      <c r="G43" s="16">
        <v>29608209.07</v>
      </c>
      <c r="H43" s="16">
        <v>320464127.41000003</v>
      </c>
      <c r="I43" s="16">
        <v>246496945.03</v>
      </c>
      <c r="J43" s="16">
        <v>568043776.96999979</v>
      </c>
      <c r="K43" s="16">
        <v>0</v>
      </c>
      <c r="L43" s="16">
        <v>0</v>
      </c>
      <c r="M43" s="16">
        <v>0</v>
      </c>
      <c r="N43" s="18">
        <f t="shared" si="1"/>
        <v>6953983915.009161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17" t="s">
        <v>39</v>
      </c>
      <c r="B44" s="16">
        <v>5057115590.6799994</v>
      </c>
      <c r="C44" s="16">
        <v>0</v>
      </c>
      <c r="D44" s="16">
        <v>44864646.129985943</v>
      </c>
      <c r="E44" s="16">
        <v>58185058.289999999</v>
      </c>
      <c r="F44" s="16">
        <v>142198475.34</v>
      </c>
      <c r="G44" s="16">
        <v>50903656.386161476</v>
      </c>
      <c r="H44" s="16">
        <v>291679845.31999999</v>
      </c>
      <c r="I44" s="16">
        <v>310156177.93000001</v>
      </c>
      <c r="J44" s="16">
        <v>734566720.5</v>
      </c>
      <c r="K44" s="16">
        <v>0</v>
      </c>
      <c r="L44" s="16">
        <v>0</v>
      </c>
      <c r="M44" s="16">
        <v>0</v>
      </c>
      <c r="N44" s="18">
        <f t="shared" si="1"/>
        <v>6689670170.5761471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17" t="s">
        <v>40</v>
      </c>
      <c r="B45" s="16">
        <v>1351571718.3399999</v>
      </c>
      <c r="C45" s="16">
        <v>0</v>
      </c>
      <c r="D45" s="16">
        <v>63166134.940936148</v>
      </c>
      <c r="E45" s="16">
        <v>15550619.290000001</v>
      </c>
      <c r="F45" s="16">
        <v>10591254</v>
      </c>
      <c r="G45" s="16">
        <v>4637674.33</v>
      </c>
      <c r="H45" s="16">
        <v>77954759.530000001</v>
      </c>
      <c r="I45" s="16">
        <v>23101111.690000001</v>
      </c>
      <c r="J45" s="16">
        <v>109967020.64000003</v>
      </c>
      <c r="K45" s="16">
        <v>0</v>
      </c>
      <c r="L45" s="16">
        <v>0</v>
      </c>
      <c r="M45" s="16">
        <v>0</v>
      </c>
      <c r="N45" s="18">
        <f t="shared" si="1"/>
        <v>1656540292.760936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17" t="s">
        <v>41</v>
      </c>
      <c r="B46" s="16">
        <v>2138473876.7</v>
      </c>
      <c r="C46" s="16">
        <v>0</v>
      </c>
      <c r="D46" s="16">
        <v>35800530.269985944</v>
      </c>
      <c r="E46" s="16">
        <v>29895345.759999998</v>
      </c>
      <c r="F46" s="16">
        <v>83540222.650000006</v>
      </c>
      <c r="G46" s="16">
        <v>0</v>
      </c>
      <c r="H46" s="16">
        <v>123341007.02</v>
      </c>
      <c r="I46" s="16">
        <v>182213741.03999999</v>
      </c>
      <c r="J46" s="16">
        <v>465257291.7099998</v>
      </c>
      <c r="K46" s="16">
        <v>0</v>
      </c>
      <c r="L46" s="16">
        <v>0</v>
      </c>
      <c r="M46" s="16">
        <v>0</v>
      </c>
      <c r="N46" s="18">
        <f t="shared" si="1"/>
        <v>3058522015.1499863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17" t="s">
        <v>42</v>
      </c>
      <c r="B47" s="16">
        <v>6502902423.6300001</v>
      </c>
      <c r="C47" s="16">
        <v>0</v>
      </c>
      <c r="D47" s="16">
        <v>35619639.699945718</v>
      </c>
      <c r="E47" s="16">
        <v>90908997.549999997</v>
      </c>
      <c r="F47" s="16">
        <v>260431719.09</v>
      </c>
      <c r="G47" s="16">
        <v>59259216.852796018</v>
      </c>
      <c r="H47" s="16">
        <v>375068660.98000002</v>
      </c>
      <c r="I47" s="16">
        <v>568040595.46000004</v>
      </c>
      <c r="J47" s="16">
        <v>1119460341.02</v>
      </c>
      <c r="K47" s="16">
        <v>0</v>
      </c>
      <c r="L47" s="16">
        <v>0</v>
      </c>
      <c r="M47" s="16">
        <v>0</v>
      </c>
      <c r="N47" s="18">
        <f t="shared" si="1"/>
        <v>9011691594.2827415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17" t="s">
        <v>43</v>
      </c>
      <c r="B48" s="16">
        <v>629168665.07000005</v>
      </c>
      <c r="C48" s="16">
        <v>0</v>
      </c>
      <c r="D48" s="16">
        <v>62079883.85321454</v>
      </c>
      <c r="E48" s="16">
        <v>7238951.6900000004</v>
      </c>
      <c r="F48" s="16">
        <v>2262588.33</v>
      </c>
      <c r="G48" s="16">
        <v>1255614.8899999999</v>
      </c>
      <c r="H48" s="16">
        <v>36288634.43</v>
      </c>
      <c r="I48" s="16">
        <v>4935044.12</v>
      </c>
      <c r="J48" s="16">
        <v>60060552.509999976</v>
      </c>
      <c r="K48" s="16">
        <v>0</v>
      </c>
      <c r="L48" s="16">
        <v>0</v>
      </c>
      <c r="M48" s="16">
        <v>0</v>
      </c>
      <c r="N48" s="18">
        <f t="shared" si="1"/>
        <v>803289934.89321458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17" t="s">
        <v>44</v>
      </c>
      <c r="B49" s="16">
        <v>1188051939.52</v>
      </c>
      <c r="C49" s="16">
        <v>0</v>
      </c>
      <c r="D49" s="16">
        <v>110236699.18899487</v>
      </c>
      <c r="E49" s="16">
        <v>11788913.51</v>
      </c>
      <c r="F49" s="16">
        <v>13360974.199999999</v>
      </c>
      <c r="G49" s="16">
        <v>5265481.78</v>
      </c>
      <c r="H49" s="16">
        <v>68523410.180000007</v>
      </c>
      <c r="I49" s="16">
        <v>29142286.390000001</v>
      </c>
      <c r="J49" s="16">
        <v>141358455.17000005</v>
      </c>
      <c r="K49" s="16">
        <v>0</v>
      </c>
      <c r="L49" s="16">
        <v>0</v>
      </c>
      <c r="M49" s="16">
        <v>0</v>
      </c>
      <c r="N49" s="18">
        <f t="shared" si="1"/>
        <v>1567728159.9389951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17" t="s">
        <v>45</v>
      </c>
      <c r="B50" s="16">
        <v>771341299.63999999</v>
      </c>
      <c r="C50" s="16">
        <v>0</v>
      </c>
      <c r="D50" s="16">
        <v>87812989.970508263</v>
      </c>
      <c r="E50" s="16">
        <v>8874730.6099999994</v>
      </c>
      <c r="F50" s="16">
        <v>3744973.79</v>
      </c>
      <c r="G50" s="16">
        <v>1498637.12</v>
      </c>
      <c r="H50" s="16">
        <v>44488742.039999999</v>
      </c>
      <c r="I50" s="16">
        <v>8168348.8899999997</v>
      </c>
      <c r="J50" s="16">
        <v>102152302.11999997</v>
      </c>
      <c r="K50" s="16">
        <v>0</v>
      </c>
      <c r="L50" s="16">
        <v>0</v>
      </c>
      <c r="M50" s="16">
        <v>0</v>
      </c>
      <c r="N50" s="18">
        <f t="shared" si="1"/>
        <v>1028082024.1805081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17" t="s">
        <v>46</v>
      </c>
      <c r="B51" s="16">
        <v>754113206.21000004</v>
      </c>
      <c r="C51" s="16">
        <v>0</v>
      </c>
      <c r="D51" s="16">
        <v>88110789.051697299</v>
      </c>
      <c r="E51" s="16">
        <v>8676511.3599999994</v>
      </c>
      <c r="F51" s="16">
        <v>4668213.8499999996</v>
      </c>
      <c r="G51" s="16">
        <v>1883422.33</v>
      </c>
      <c r="H51" s="16">
        <v>43495075.289999999</v>
      </c>
      <c r="I51" s="16">
        <v>10182073.789999999</v>
      </c>
      <c r="J51" s="16">
        <v>70869440.460000023</v>
      </c>
      <c r="K51" s="16">
        <v>0</v>
      </c>
      <c r="L51" s="16">
        <v>0</v>
      </c>
      <c r="M51" s="16">
        <v>0</v>
      </c>
      <c r="N51" s="18">
        <f t="shared" si="1"/>
        <v>981998732.34169734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17" t="s">
        <v>47</v>
      </c>
      <c r="B52" s="16">
        <v>889322683.44999981</v>
      </c>
      <c r="C52" s="16">
        <v>0</v>
      </c>
      <c r="D52" s="16">
        <v>92431477.047621936</v>
      </c>
      <c r="E52" s="16">
        <v>10232175.1</v>
      </c>
      <c r="F52" s="16">
        <v>4297617.49</v>
      </c>
      <c r="G52" s="16">
        <v>2409970.5099999998</v>
      </c>
      <c r="H52" s="16">
        <v>51293568.07</v>
      </c>
      <c r="I52" s="16">
        <v>9373747.5899999999</v>
      </c>
      <c r="J52" s="16">
        <v>90841790.839999974</v>
      </c>
      <c r="K52" s="16">
        <v>0</v>
      </c>
      <c r="L52" s="16">
        <v>0</v>
      </c>
      <c r="M52" s="16">
        <v>0</v>
      </c>
      <c r="N52" s="18">
        <f t="shared" si="1"/>
        <v>1150203030.0976219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17" t="s">
        <v>48</v>
      </c>
      <c r="B53" s="16">
        <v>305725104.13</v>
      </c>
      <c r="C53" s="16">
        <v>0</v>
      </c>
      <c r="D53" s="16">
        <v>66685192.503303915</v>
      </c>
      <c r="E53" s="16">
        <v>3517545.27</v>
      </c>
      <c r="F53" s="16">
        <v>747694.42</v>
      </c>
      <c r="G53" s="16">
        <v>364533.35</v>
      </c>
      <c r="H53" s="16">
        <v>17633342.469999999</v>
      </c>
      <c r="I53" s="16">
        <v>1630833.54</v>
      </c>
      <c r="J53" s="16">
        <v>48042634.600000009</v>
      </c>
      <c r="K53" s="16">
        <v>0</v>
      </c>
      <c r="L53" s="16">
        <v>0</v>
      </c>
      <c r="M53" s="16">
        <v>0</v>
      </c>
      <c r="N53" s="18">
        <f t="shared" si="1"/>
        <v>444346880.28330392</v>
      </c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17" t="s">
        <v>49</v>
      </c>
      <c r="B54" s="16">
        <v>1186973140.5</v>
      </c>
      <c r="C54" s="16">
        <v>0</v>
      </c>
      <c r="D54" s="16">
        <v>103584480.80814809</v>
      </c>
      <c r="E54" s="16">
        <v>13656816.84</v>
      </c>
      <c r="F54" s="16">
        <v>2568167.79</v>
      </c>
      <c r="G54" s="16">
        <v>1336622.3</v>
      </c>
      <c r="H54" s="16">
        <v>68461188.170000002</v>
      </c>
      <c r="I54" s="16">
        <v>5601558.7000000002</v>
      </c>
      <c r="J54" s="16">
        <v>109912734.20000002</v>
      </c>
      <c r="K54" s="16">
        <v>0</v>
      </c>
      <c r="L54" s="16">
        <v>0</v>
      </c>
      <c r="M54" s="16">
        <v>0</v>
      </c>
      <c r="N54" s="18">
        <f t="shared" si="1"/>
        <v>1492094709.3081481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17" t="s">
        <v>50</v>
      </c>
      <c r="B55" s="16">
        <v>539170674.05999994</v>
      </c>
      <c r="C55" s="16">
        <v>0</v>
      </c>
      <c r="D55" s="16">
        <v>32007518.621529993</v>
      </c>
      <c r="E55" s="16">
        <v>6203472.4199999999</v>
      </c>
      <c r="F55" s="16">
        <v>4739732.45</v>
      </c>
      <c r="G55" s="16">
        <v>2085940.86</v>
      </c>
      <c r="H55" s="16">
        <v>31097809.809999999</v>
      </c>
      <c r="I55" s="16">
        <v>10338066.560000001</v>
      </c>
      <c r="J55" s="16">
        <v>77597589.069999993</v>
      </c>
      <c r="K55" s="16">
        <v>0</v>
      </c>
      <c r="L55" s="16">
        <v>0</v>
      </c>
      <c r="M55" s="16">
        <v>0</v>
      </c>
      <c r="N55" s="18">
        <f t="shared" si="1"/>
        <v>703240803.85152984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17" t="s">
        <v>51</v>
      </c>
      <c r="B56" s="16">
        <v>411218572.02999997</v>
      </c>
      <c r="C56" s="16">
        <v>0</v>
      </c>
      <c r="D56" s="16">
        <v>33001191.475951444</v>
      </c>
      <c r="E56" s="16">
        <v>4731309.0299999993</v>
      </c>
      <c r="F56" s="16">
        <v>1339348.26</v>
      </c>
      <c r="G56" s="16">
        <v>567051.88</v>
      </c>
      <c r="H56" s="16">
        <v>23717901.510000002</v>
      </c>
      <c r="I56" s="16">
        <v>2921319.22</v>
      </c>
      <c r="J56" s="16">
        <v>64057126.590000011</v>
      </c>
      <c r="K56" s="16">
        <v>0</v>
      </c>
      <c r="L56" s="16">
        <v>0</v>
      </c>
      <c r="M56" s="16">
        <v>0</v>
      </c>
      <c r="N56" s="18">
        <f t="shared" si="1"/>
        <v>541553819.99595141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17" t="s">
        <v>52</v>
      </c>
      <c r="B57" s="16">
        <v>1023551434.3100002</v>
      </c>
      <c r="C57" s="16">
        <v>0</v>
      </c>
      <c r="D57" s="16">
        <v>79366787.161759868</v>
      </c>
      <c r="E57" s="16">
        <v>11776554.99</v>
      </c>
      <c r="F57" s="16">
        <v>6878788.6600000001</v>
      </c>
      <c r="G57" s="16">
        <v>2612489.04</v>
      </c>
      <c r="H57" s="16">
        <v>59035495.369999997</v>
      </c>
      <c r="I57" s="16">
        <v>15003668.609999999</v>
      </c>
      <c r="J57" s="16">
        <v>136768938.58000004</v>
      </c>
      <c r="K57" s="16">
        <v>0</v>
      </c>
      <c r="L57" s="16">
        <v>0</v>
      </c>
      <c r="M57" s="16">
        <v>0</v>
      </c>
      <c r="N57" s="18">
        <f t="shared" si="1"/>
        <v>1334994156.7217598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17" t="s">
        <v>53</v>
      </c>
      <c r="B58" s="16">
        <v>960784945.8299998</v>
      </c>
      <c r="C58" s="16">
        <v>0</v>
      </c>
      <c r="D58" s="16">
        <v>42190414.116933569</v>
      </c>
      <c r="E58" s="16">
        <v>11054390.02</v>
      </c>
      <c r="F58" s="16">
        <v>4005041.41</v>
      </c>
      <c r="G58" s="16">
        <v>1640400.09</v>
      </c>
      <c r="H58" s="16">
        <v>55415305.299999997</v>
      </c>
      <c r="I58" s="16">
        <v>8735595.3399999999</v>
      </c>
      <c r="J58" s="16">
        <v>77399380.579999983</v>
      </c>
      <c r="K58" s="16">
        <v>0</v>
      </c>
      <c r="L58" s="16">
        <v>0</v>
      </c>
      <c r="M58" s="16">
        <v>0</v>
      </c>
      <c r="N58" s="18">
        <f t="shared" si="1"/>
        <v>1161225472.6869333</v>
      </c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17" t="s">
        <v>54</v>
      </c>
      <c r="B59" s="16">
        <v>977293839.94999981</v>
      </c>
      <c r="C59" s="16">
        <v>0</v>
      </c>
      <c r="D59" s="16">
        <v>146249497.39705873</v>
      </c>
      <c r="E59" s="16">
        <v>11244334.460000001</v>
      </c>
      <c r="F59" s="16">
        <v>3901014.36</v>
      </c>
      <c r="G59" s="16">
        <v>1498637.12</v>
      </c>
      <c r="H59" s="16">
        <v>56367490.710000001</v>
      </c>
      <c r="I59" s="16">
        <v>8508696.7599999998</v>
      </c>
      <c r="J59" s="16">
        <v>86569155.36999996</v>
      </c>
      <c r="K59" s="16">
        <v>0</v>
      </c>
      <c r="L59" s="16">
        <v>0</v>
      </c>
      <c r="M59" s="16">
        <v>0</v>
      </c>
      <c r="N59" s="18">
        <f t="shared" si="1"/>
        <v>1291632666.1270583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17" t="s">
        <v>55</v>
      </c>
      <c r="B60" s="16">
        <v>6983098751.3099995</v>
      </c>
      <c r="C60" s="16">
        <v>0</v>
      </c>
      <c r="D60" s="16">
        <v>243515918.28551528</v>
      </c>
      <c r="E60" s="16">
        <v>125006021.88</v>
      </c>
      <c r="F60" s="16">
        <v>214588298.59999999</v>
      </c>
      <c r="G60" s="16">
        <v>77098804.359999999</v>
      </c>
      <c r="H60" s="16">
        <v>402765000.54000002</v>
      </c>
      <c r="I60" s="16">
        <v>468049227.41000003</v>
      </c>
      <c r="J60" s="16">
        <v>1447051916.1100006</v>
      </c>
      <c r="K60" s="16">
        <v>0</v>
      </c>
      <c r="L60" s="16">
        <v>0</v>
      </c>
      <c r="M60" s="16">
        <v>0</v>
      </c>
      <c r="N60" s="18">
        <f t="shared" si="1"/>
        <v>9961173938.4955139</v>
      </c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17" t="s">
        <v>56</v>
      </c>
      <c r="B61" s="16">
        <v>1639839893.01</v>
      </c>
      <c r="C61" s="16">
        <v>0</v>
      </c>
      <c r="D61" s="16">
        <v>39741587.680688366</v>
      </c>
      <c r="E61" s="16">
        <v>18867312.420000002</v>
      </c>
      <c r="F61" s="16">
        <v>38307961.07</v>
      </c>
      <c r="G61" s="16">
        <v>7289248.4295500619</v>
      </c>
      <c r="H61" s="16">
        <v>94581236.629999995</v>
      </c>
      <c r="I61" s="16">
        <v>83555402.150000006</v>
      </c>
      <c r="J61" s="16">
        <v>358299589.92000002</v>
      </c>
      <c r="K61" s="16">
        <v>0</v>
      </c>
      <c r="L61" s="16">
        <v>0</v>
      </c>
      <c r="M61" s="16">
        <v>0</v>
      </c>
      <c r="N61" s="18">
        <f t="shared" si="1"/>
        <v>2280482231.3102388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17" t="s">
        <v>57</v>
      </c>
      <c r="B62" s="16">
        <v>7627076384.8700008</v>
      </c>
      <c r="C62" s="16">
        <v>0</v>
      </c>
      <c r="D62" s="16">
        <v>58439588.710000001</v>
      </c>
      <c r="E62" s="16">
        <v>106624676.66999999</v>
      </c>
      <c r="F62" s="16">
        <v>171768164.24000001</v>
      </c>
      <c r="G62" s="16">
        <v>0</v>
      </c>
      <c r="H62" s="16">
        <v>439907773.56</v>
      </c>
      <c r="I62" s="16">
        <v>374652099.33999997</v>
      </c>
      <c r="J62" s="16">
        <v>712504132.65999985</v>
      </c>
      <c r="K62" s="16">
        <v>0</v>
      </c>
      <c r="L62" s="16">
        <v>0</v>
      </c>
      <c r="M62" s="16">
        <v>0</v>
      </c>
      <c r="N62" s="18">
        <f t="shared" si="1"/>
        <v>9490972820.0500011</v>
      </c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17" t="s">
        <v>58</v>
      </c>
      <c r="B63" s="16">
        <v>1343170162.3300002</v>
      </c>
      <c r="C63" s="16">
        <v>0</v>
      </c>
      <c r="D63" s="16">
        <v>112693626.77258745</v>
      </c>
      <c r="E63" s="16">
        <v>15453954.49</v>
      </c>
      <c r="F63" s="16">
        <v>6053073.9500000002</v>
      </c>
      <c r="G63" s="16">
        <v>2612489.04</v>
      </c>
      <c r="H63" s="16">
        <v>77470182</v>
      </c>
      <c r="I63" s="16">
        <v>13202661.130000001</v>
      </c>
      <c r="J63" s="16">
        <v>95612262.020000026</v>
      </c>
      <c r="K63" s="16">
        <v>0</v>
      </c>
      <c r="L63" s="16">
        <v>0</v>
      </c>
      <c r="M63" s="16">
        <v>0</v>
      </c>
      <c r="N63" s="18">
        <f t="shared" si="1"/>
        <v>1666268411.7325878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17" t="s">
        <v>59</v>
      </c>
      <c r="B64" s="16">
        <v>2093164317.8300002</v>
      </c>
      <c r="C64" s="16">
        <v>0</v>
      </c>
      <c r="D64" s="16">
        <v>394954245.37427133</v>
      </c>
      <c r="E64" s="16">
        <v>24083073.780000001</v>
      </c>
      <c r="F64" s="16">
        <v>11078880.800000001</v>
      </c>
      <c r="G64" s="16">
        <v>4070622.45</v>
      </c>
      <c r="H64" s="16">
        <v>120727682.31999999</v>
      </c>
      <c r="I64" s="16">
        <v>24164698.789999999</v>
      </c>
      <c r="J64" s="16">
        <v>202684849.03000003</v>
      </c>
      <c r="K64" s="16">
        <v>0</v>
      </c>
      <c r="L64" s="16">
        <v>0</v>
      </c>
      <c r="M64" s="16">
        <v>0</v>
      </c>
      <c r="N64" s="18">
        <f t="shared" si="1"/>
        <v>2874928370.3742719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17" t="s">
        <v>60</v>
      </c>
      <c r="B65" s="16">
        <v>1097465512.6499999</v>
      </c>
      <c r="C65" s="16">
        <v>0</v>
      </c>
      <c r="D65" s="16">
        <v>92643849.003943771</v>
      </c>
      <c r="E65" s="16">
        <v>12626979.49</v>
      </c>
      <c r="F65" s="16">
        <v>2412127.21</v>
      </c>
      <c r="G65" s="16">
        <v>1356874.15</v>
      </c>
      <c r="H65" s="16">
        <v>63298646.289999999</v>
      </c>
      <c r="I65" s="16">
        <v>5261210.83</v>
      </c>
      <c r="J65" s="16">
        <v>120893318.75</v>
      </c>
      <c r="K65" s="16">
        <v>0</v>
      </c>
      <c r="L65" s="16">
        <v>0</v>
      </c>
      <c r="M65" s="16">
        <v>0</v>
      </c>
      <c r="N65" s="18">
        <f t="shared" si="1"/>
        <v>1395958518.3739436</v>
      </c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17" t="s">
        <v>61</v>
      </c>
      <c r="B66" s="16">
        <v>612757843.5999999</v>
      </c>
      <c r="C66" s="16">
        <v>0</v>
      </c>
      <c r="D66" s="16">
        <v>82120717.290918261</v>
      </c>
      <c r="E66" s="16">
        <v>7050135.6500000004</v>
      </c>
      <c r="F66" s="16">
        <v>2360113.69</v>
      </c>
      <c r="G66" s="16">
        <v>1235363.03</v>
      </c>
      <c r="H66" s="16">
        <v>35342105.57</v>
      </c>
      <c r="I66" s="16">
        <v>5147761.54</v>
      </c>
      <c r="J66" s="16">
        <v>53664855.349999979</v>
      </c>
      <c r="K66" s="16">
        <v>0</v>
      </c>
      <c r="L66" s="16">
        <v>0</v>
      </c>
      <c r="M66" s="16">
        <v>0</v>
      </c>
      <c r="N66" s="18">
        <f t="shared" si="1"/>
        <v>799678895.72091818</v>
      </c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17" t="s">
        <v>62</v>
      </c>
      <c r="B67" s="16">
        <v>2749008740.5999994</v>
      </c>
      <c r="C67" s="16">
        <v>0</v>
      </c>
      <c r="D67" s="16">
        <v>16189678.639999999</v>
      </c>
      <c r="E67" s="16">
        <v>38430474.969999999</v>
      </c>
      <c r="F67" s="16">
        <v>63417490.210000001</v>
      </c>
      <c r="G67" s="16">
        <v>25010263.154404659</v>
      </c>
      <c r="H67" s="16">
        <v>158554897.52000001</v>
      </c>
      <c r="I67" s="16">
        <v>138323046.94</v>
      </c>
      <c r="J67" s="16">
        <v>345768265.56000006</v>
      </c>
      <c r="K67" s="16">
        <v>0</v>
      </c>
      <c r="L67" s="16">
        <v>0</v>
      </c>
      <c r="M67" s="16">
        <v>0</v>
      </c>
      <c r="N67" s="18">
        <f t="shared" si="1"/>
        <v>3534702857.5944037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17" t="s">
        <v>63</v>
      </c>
      <c r="B68" s="16">
        <v>1719572947.8899999</v>
      </c>
      <c r="C68" s="16">
        <v>0</v>
      </c>
      <c r="D68" s="16">
        <v>19534592.659999996</v>
      </c>
      <c r="E68" s="16">
        <v>19784687.620000001</v>
      </c>
      <c r="F68" s="16">
        <v>55927542.630000003</v>
      </c>
      <c r="G68" s="16">
        <v>23920564.286655888</v>
      </c>
      <c r="H68" s="16">
        <v>99180009.329999998</v>
      </c>
      <c r="I68" s="16">
        <v>121986349.16</v>
      </c>
      <c r="J68" s="16">
        <v>290390231.9799999</v>
      </c>
      <c r="K68" s="16">
        <v>0</v>
      </c>
      <c r="L68" s="16">
        <v>0</v>
      </c>
      <c r="M68" s="16">
        <v>0</v>
      </c>
      <c r="N68" s="18">
        <f t="shared" si="1"/>
        <v>2350296925.5566559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17" t="s">
        <v>64</v>
      </c>
      <c r="B69" s="16">
        <v>6141766278.7199993</v>
      </c>
      <c r="C69" s="16">
        <v>0</v>
      </c>
      <c r="D69" s="16">
        <v>20524895.985298842</v>
      </c>
      <c r="E69" s="16">
        <v>70664595.770000011</v>
      </c>
      <c r="F69" s="16">
        <v>165058419.53</v>
      </c>
      <c r="G69" s="16">
        <v>28618472.638709448</v>
      </c>
      <c r="H69" s="16">
        <v>354239369.45999998</v>
      </c>
      <c r="I69" s="16">
        <v>360017140.92000002</v>
      </c>
      <c r="J69" s="16">
        <v>678111795.65999997</v>
      </c>
      <c r="K69" s="16">
        <v>0</v>
      </c>
      <c r="L69" s="16">
        <v>0</v>
      </c>
      <c r="M69" s="16">
        <v>0</v>
      </c>
      <c r="N69" s="18">
        <f t="shared" si="1"/>
        <v>7819000968.6840076</v>
      </c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17" t="s">
        <v>65</v>
      </c>
      <c r="B70" s="16">
        <v>1275663496.3400002</v>
      </c>
      <c r="C70" s="16">
        <v>0</v>
      </c>
      <c r="D70" s="16">
        <v>148033053.84052616</v>
      </c>
      <c r="E70" s="16">
        <v>14677251</v>
      </c>
      <c r="F70" s="16">
        <v>36656531.659999996</v>
      </c>
      <c r="G70" s="16">
        <v>11989096.970000001</v>
      </c>
      <c r="H70" s="16">
        <v>73576592.159999996</v>
      </c>
      <c r="I70" s="16">
        <v>79953387.189999998</v>
      </c>
      <c r="J70" s="16">
        <v>288238974.82999998</v>
      </c>
      <c r="K70" s="16">
        <v>0</v>
      </c>
      <c r="L70" s="16">
        <v>0</v>
      </c>
      <c r="M70" s="16">
        <v>0</v>
      </c>
      <c r="N70" s="18">
        <f t="shared" si="1"/>
        <v>1928788383.9905264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17" t="s">
        <v>66</v>
      </c>
      <c r="B71" s="16">
        <v>4970059778.7999992</v>
      </c>
      <c r="C71" s="16">
        <v>0</v>
      </c>
      <c r="D71" s="16">
        <v>11169886.400000002</v>
      </c>
      <c r="E71" s="16">
        <v>46387267.490000002</v>
      </c>
      <c r="F71" s="16">
        <v>23081001.66</v>
      </c>
      <c r="G71" s="16">
        <v>11644815.470000001</v>
      </c>
      <c r="H71" s="16">
        <v>286658717.11000001</v>
      </c>
      <c r="I71" s="16">
        <v>50343122.479999997</v>
      </c>
      <c r="J71" s="16">
        <v>240898276.29999992</v>
      </c>
      <c r="K71" s="16">
        <v>0</v>
      </c>
      <c r="L71" s="16">
        <v>0</v>
      </c>
      <c r="M71" s="16">
        <v>0</v>
      </c>
      <c r="N71" s="18">
        <f t="shared" si="1"/>
        <v>5640242865.7099981</v>
      </c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17" t="s">
        <v>67</v>
      </c>
      <c r="B72" s="16">
        <v>21930839908.540001</v>
      </c>
      <c r="C72" s="16">
        <v>0</v>
      </c>
      <c r="D72" s="16">
        <v>114090494.26679818</v>
      </c>
      <c r="E72" s="16">
        <v>306587819.02999997</v>
      </c>
      <c r="F72" s="16">
        <v>671592132.25999999</v>
      </c>
      <c r="G72" s="16">
        <v>0</v>
      </c>
      <c r="H72" s="16">
        <v>1264907609.3599999</v>
      </c>
      <c r="I72" s="16">
        <v>1464843052.4200001</v>
      </c>
      <c r="J72" s="16">
        <v>3529394589.1799989</v>
      </c>
      <c r="K72" s="16">
        <v>0</v>
      </c>
      <c r="L72" s="16">
        <v>0</v>
      </c>
      <c r="M72" s="16">
        <v>0</v>
      </c>
      <c r="N72" s="18">
        <f t="shared" ref="N72:N103" si="2">SUM(B72:M72)</f>
        <v>29282255605.056801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17" t="s">
        <v>68</v>
      </c>
      <c r="B73" s="16">
        <v>10152904491.84</v>
      </c>
      <c r="C73" s="16">
        <v>0</v>
      </c>
      <c r="D73" s="16">
        <v>186381547.96651468</v>
      </c>
      <c r="E73" s="16">
        <v>141935140.56</v>
      </c>
      <c r="F73" s="16">
        <v>249274818</v>
      </c>
      <c r="G73" s="16">
        <v>102626979.77705292</v>
      </c>
      <c r="H73" s="16">
        <v>585590255.65999997</v>
      </c>
      <c r="I73" s="16">
        <v>543705722.73000002</v>
      </c>
      <c r="J73" s="16">
        <v>1537379879.8200004</v>
      </c>
      <c r="K73" s="16">
        <v>0</v>
      </c>
      <c r="L73" s="16">
        <v>0</v>
      </c>
      <c r="M73" s="16">
        <v>0</v>
      </c>
      <c r="N73" s="18">
        <f t="shared" si="2"/>
        <v>13499798836.353567</v>
      </c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17" t="s">
        <v>69</v>
      </c>
      <c r="B74" s="16">
        <v>5286147891.8599997</v>
      </c>
      <c r="C74" s="16">
        <v>0</v>
      </c>
      <c r="D74" s="16">
        <v>48123223.609999999</v>
      </c>
      <c r="E74" s="16">
        <v>73899064.519999996</v>
      </c>
      <c r="F74" s="16">
        <v>180981059.83000001</v>
      </c>
      <c r="G74" s="16">
        <v>181727408.25021744</v>
      </c>
      <c r="H74" s="16">
        <v>304889768.04000002</v>
      </c>
      <c r="I74" s="16">
        <v>394746804.85000002</v>
      </c>
      <c r="J74" s="16">
        <v>824725091.64999962</v>
      </c>
      <c r="K74" s="16">
        <v>0</v>
      </c>
      <c r="L74" s="16">
        <v>0</v>
      </c>
      <c r="M74" s="16">
        <v>0</v>
      </c>
      <c r="N74" s="18">
        <f t="shared" si="2"/>
        <v>7295240312.6102171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17" t="s">
        <v>70</v>
      </c>
      <c r="B75" s="16">
        <v>895566641.41000009</v>
      </c>
      <c r="C75" s="16">
        <v>0</v>
      </c>
      <c r="D75" s="16">
        <v>77334895.828296885</v>
      </c>
      <c r="E75" s="16">
        <v>10304015.460000001</v>
      </c>
      <c r="F75" s="16">
        <v>3289855.44</v>
      </c>
      <c r="G75" s="16">
        <v>1336622.3</v>
      </c>
      <c r="H75" s="16">
        <v>51653701.560000002</v>
      </c>
      <c r="I75" s="16">
        <v>7175667.5999999996</v>
      </c>
      <c r="J75" s="16">
        <v>92942548.749999985</v>
      </c>
      <c r="K75" s="16">
        <v>0</v>
      </c>
      <c r="L75" s="16">
        <v>0</v>
      </c>
      <c r="M75" s="16">
        <v>0</v>
      </c>
      <c r="N75" s="18">
        <f t="shared" si="2"/>
        <v>1139603948.3482969</v>
      </c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17" t="s">
        <v>71</v>
      </c>
      <c r="B76" s="16">
        <v>904523942.37</v>
      </c>
      <c r="C76" s="16">
        <v>0</v>
      </c>
      <c r="D76" s="16">
        <v>116960637.41666278</v>
      </c>
      <c r="E76" s="16">
        <v>10407074.43</v>
      </c>
      <c r="F76" s="16">
        <v>5923040.1399999997</v>
      </c>
      <c r="G76" s="16">
        <v>3139037.21</v>
      </c>
      <c r="H76" s="16">
        <v>52170332.850000001</v>
      </c>
      <c r="I76" s="16">
        <v>12919037.91</v>
      </c>
      <c r="J76" s="16">
        <v>138014580.39000008</v>
      </c>
      <c r="K76" s="16">
        <v>0</v>
      </c>
      <c r="L76" s="16">
        <v>0</v>
      </c>
      <c r="M76" s="16">
        <v>0</v>
      </c>
      <c r="N76" s="18">
        <f t="shared" si="2"/>
        <v>1244057682.7166629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17" t="s">
        <v>72</v>
      </c>
      <c r="B77" s="16">
        <v>1013874934</v>
      </c>
      <c r="C77" s="16">
        <v>0</v>
      </c>
      <c r="D77" s="16">
        <v>108161350.81800444</v>
      </c>
      <c r="E77" s="16">
        <v>11665221.23</v>
      </c>
      <c r="F77" s="16">
        <v>6956808.9500000002</v>
      </c>
      <c r="G77" s="16">
        <v>2004933.45</v>
      </c>
      <c r="H77" s="16">
        <v>58477382.740000002</v>
      </c>
      <c r="I77" s="16">
        <v>15173842.550000001</v>
      </c>
      <c r="J77" s="16">
        <v>93779148.680000037</v>
      </c>
      <c r="K77" s="16">
        <v>0</v>
      </c>
      <c r="L77" s="16">
        <v>0</v>
      </c>
      <c r="M77" s="16">
        <v>0</v>
      </c>
      <c r="N77" s="18">
        <f t="shared" si="2"/>
        <v>1310093622.4180045</v>
      </c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17" t="s">
        <v>73</v>
      </c>
      <c r="B78" s="16">
        <v>389675282.49000001</v>
      </c>
      <c r="C78" s="16">
        <v>0</v>
      </c>
      <c r="D78" s="16">
        <v>38219906.17503766</v>
      </c>
      <c r="E78" s="16">
        <v>4483440.9399999995</v>
      </c>
      <c r="F78" s="16">
        <v>2470642.4300000002</v>
      </c>
      <c r="G78" s="16">
        <v>708814.85</v>
      </c>
      <c r="H78" s="16">
        <v>22475346.690000001</v>
      </c>
      <c r="I78" s="16">
        <v>5388841.2800000003</v>
      </c>
      <c r="J78" s="16">
        <v>40216974.529999994</v>
      </c>
      <c r="K78" s="16">
        <v>0</v>
      </c>
      <c r="L78" s="16">
        <v>0</v>
      </c>
      <c r="M78" s="16">
        <v>0</v>
      </c>
      <c r="N78" s="18">
        <f t="shared" si="2"/>
        <v>503639249.38503766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17" t="s">
        <v>74</v>
      </c>
      <c r="B79" s="16">
        <v>2005193161.3299999</v>
      </c>
      <c r="C79" s="16">
        <v>0</v>
      </c>
      <c r="D79" s="16">
        <v>273084528.58764809</v>
      </c>
      <c r="E79" s="16">
        <v>23070914.420000002</v>
      </c>
      <c r="F79" s="16">
        <v>12418229.060000001</v>
      </c>
      <c r="G79" s="16">
        <v>5265481.78</v>
      </c>
      <c r="H79" s="16">
        <v>115653759.67</v>
      </c>
      <c r="I79" s="16">
        <v>27086018.010000002</v>
      </c>
      <c r="J79" s="16">
        <v>217857270.52000007</v>
      </c>
      <c r="K79" s="16">
        <v>0</v>
      </c>
      <c r="L79" s="16">
        <v>0</v>
      </c>
      <c r="M79" s="16">
        <v>0</v>
      </c>
      <c r="N79" s="18">
        <f t="shared" si="2"/>
        <v>2679629363.3776484</v>
      </c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17" t="s">
        <v>75</v>
      </c>
      <c r="B80" s="16">
        <v>1069351356.3699999</v>
      </c>
      <c r="C80" s="16">
        <v>0</v>
      </c>
      <c r="D80" s="16">
        <v>311382601.28312314</v>
      </c>
      <c r="E80" s="16">
        <v>12303509.75</v>
      </c>
      <c r="F80" s="16">
        <v>4018044.79</v>
      </c>
      <c r="G80" s="16">
        <v>2106192.71</v>
      </c>
      <c r="H80" s="16">
        <v>61677102.82</v>
      </c>
      <c r="I80" s="16">
        <v>8763957.6600000001</v>
      </c>
      <c r="J80" s="16">
        <v>140797916.42000005</v>
      </c>
      <c r="K80" s="16">
        <v>0</v>
      </c>
      <c r="L80" s="16">
        <v>0</v>
      </c>
      <c r="M80" s="16">
        <v>0</v>
      </c>
      <c r="N80" s="18">
        <f t="shared" si="2"/>
        <v>1610400681.803123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17" t="s">
        <v>76</v>
      </c>
      <c r="B81" s="16">
        <v>600400691.20000005</v>
      </c>
      <c r="C81" s="16">
        <v>0</v>
      </c>
      <c r="D81" s="16">
        <v>73478676.23863022</v>
      </c>
      <c r="E81" s="16">
        <v>6907959.4100000001</v>
      </c>
      <c r="F81" s="16">
        <v>10435213.42</v>
      </c>
      <c r="G81" s="16">
        <v>4819941.01</v>
      </c>
      <c r="H81" s="16">
        <v>34629380.649999999</v>
      </c>
      <c r="I81" s="16">
        <v>22760763.82</v>
      </c>
      <c r="J81" s="16">
        <v>164616185.58999997</v>
      </c>
      <c r="K81" s="16">
        <v>0</v>
      </c>
      <c r="L81" s="16">
        <v>0</v>
      </c>
      <c r="M81" s="16">
        <v>0</v>
      </c>
      <c r="N81" s="18">
        <f t="shared" si="2"/>
        <v>918048811.3386302</v>
      </c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17" t="s">
        <v>77</v>
      </c>
      <c r="B82" s="16">
        <v>9751362420.0100002</v>
      </c>
      <c r="C82" s="16">
        <v>0</v>
      </c>
      <c r="D82" s="16">
        <v>59208406.860000007</v>
      </c>
      <c r="E82" s="16">
        <v>136321679.84999999</v>
      </c>
      <c r="F82" s="16">
        <v>300748702.56999999</v>
      </c>
      <c r="G82" s="16">
        <v>194239193.68164092</v>
      </c>
      <c r="H82" s="16">
        <v>562430466.78999996</v>
      </c>
      <c r="I82" s="16">
        <v>655977976.42999995</v>
      </c>
      <c r="J82" s="16">
        <v>1366455107.7300003</v>
      </c>
      <c r="K82" s="16">
        <v>0</v>
      </c>
      <c r="L82" s="16">
        <v>0</v>
      </c>
      <c r="M82" s="16">
        <v>0</v>
      </c>
      <c r="N82" s="18">
        <f t="shared" si="2"/>
        <v>13026743953.921642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17" t="s">
        <v>78</v>
      </c>
      <c r="B83" s="16">
        <v>2520859093.1899996</v>
      </c>
      <c r="C83" s="16">
        <v>0</v>
      </c>
      <c r="D83" s="16">
        <v>80866153.284749657</v>
      </c>
      <c r="E83" s="16">
        <v>35240998.280000001</v>
      </c>
      <c r="F83" s="16">
        <v>33301659.300000001</v>
      </c>
      <c r="G83" s="16">
        <v>12819422.939999999</v>
      </c>
      <c r="H83" s="16">
        <v>145395883.72</v>
      </c>
      <c r="I83" s="16">
        <v>72635907.980000004</v>
      </c>
      <c r="J83" s="16">
        <v>295743966.36999995</v>
      </c>
      <c r="K83" s="16">
        <v>0</v>
      </c>
      <c r="L83" s="16">
        <v>0</v>
      </c>
      <c r="M83" s="16">
        <v>0</v>
      </c>
      <c r="N83" s="18">
        <f t="shared" si="2"/>
        <v>3196863085.0647492</v>
      </c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17" t="s">
        <v>79</v>
      </c>
      <c r="B84" s="16">
        <v>1059871001.3399999</v>
      </c>
      <c r="C84" s="16">
        <v>0</v>
      </c>
      <c r="D84" s="16">
        <v>64294920.23808106</v>
      </c>
      <c r="E84" s="16">
        <v>12194432.75</v>
      </c>
      <c r="F84" s="16">
        <v>6683737.9400000004</v>
      </c>
      <c r="G84" s="16">
        <v>1434303.3441991489</v>
      </c>
      <c r="H84" s="16">
        <v>61130303.270000003</v>
      </c>
      <c r="I84" s="16">
        <v>14578233.779999999</v>
      </c>
      <c r="J84" s="16">
        <v>121614612.55999994</v>
      </c>
      <c r="K84" s="16">
        <v>0</v>
      </c>
      <c r="L84" s="16">
        <v>0</v>
      </c>
      <c r="M84" s="16">
        <v>0</v>
      </c>
      <c r="N84" s="18">
        <f t="shared" si="2"/>
        <v>1341801545.22228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17" t="s">
        <v>80</v>
      </c>
      <c r="B85" s="16">
        <v>848197557.13999999</v>
      </c>
      <c r="C85" s="16">
        <v>0</v>
      </c>
      <c r="D85" s="16">
        <v>64111007.916600212</v>
      </c>
      <c r="E85" s="16">
        <v>9759006.5800000001</v>
      </c>
      <c r="F85" s="16">
        <v>3159821.63</v>
      </c>
      <c r="G85" s="16">
        <v>1316370.44</v>
      </c>
      <c r="H85" s="16">
        <v>48921589.359999999</v>
      </c>
      <c r="I85" s="16">
        <v>6892044.3700000001</v>
      </c>
      <c r="J85" s="16">
        <v>71692573.900000006</v>
      </c>
      <c r="K85" s="16">
        <v>0</v>
      </c>
      <c r="L85" s="16">
        <v>0</v>
      </c>
      <c r="M85" s="16">
        <v>0</v>
      </c>
      <c r="N85" s="18">
        <f t="shared" si="2"/>
        <v>1054049971.3366003</v>
      </c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17" t="s">
        <v>81</v>
      </c>
      <c r="B86" s="16">
        <v>10598317723.85</v>
      </c>
      <c r="C86" s="16">
        <v>0</v>
      </c>
      <c r="D86" s="16">
        <v>24765682.75</v>
      </c>
      <c r="E86" s="16">
        <v>148161909.44</v>
      </c>
      <c r="F86" s="16">
        <v>188698566.59</v>
      </c>
      <c r="G86" s="16">
        <v>52997164.531295568</v>
      </c>
      <c r="H86" s="16">
        <v>611280406.54999995</v>
      </c>
      <c r="I86" s="16">
        <v>411579843.26999998</v>
      </c>
      <c r="J86" s="16">
        <v>603271030.53000009</v>
      </c>
      <c r="K86" s="16">
        <v>0</v>
      </c>
      <c r="L86" s="16">
        <v>0</v>
      </c>
      <c r="M86" s="16">
        <v>0</v>
      </c>
      <c r="N86" s="18">
        <f t="shared" si="2"/>
        <v>12639072327.511297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17" t="s">
        <v>82</v>
      </c>
      <c r="B87" s="16">
        <v>1651379773.4299998</v>
      </c>
      <c r="C87" s="16">
        <v>0</v>
      </c>
      <c r="D87" s="16">
        <v>75837062.850053608</v>
      </c>
      <c r="E87" s="16">
        <v>19000085.460000001</v>
      </c>
      <c r="F87" s="16">
        <v>5357393.0599999996</v>
      </c>
      <c r="G87" s="16">
        <v>3827600.22</v>
      </c>
      <c r="H87" s="16">
        <v>95246823.659999996</v>
      </c>
      <c r="I87" s="16">
        <v>11685276.880000001</v>
      </c>
      <c r="J87" s="16">
        <v>136411237.51000005</v>
      </c>
      <c r="K87" s="16">
        <v>0</v>
      </c>
      <c r="L87" s="16">
        <v>0</v>
      </c>
      <c r="M87" s="16">
        <v>0</v>
      </c>
      <c r="N87" s="18">
        <f t="shared" si="2"/>
        <v>1998745253.0700536</v>
      </c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17" t="s">
        <v>83</v>
      </c>
      <c r="B88" s="16">
        <v>1516856804.6700001</v>
      </c>
      <c r="C88" s="16">
        <v>0</v>
      </c>
      <c r="D88" s="16">
        <v>31502972.374840356</v>
      </c>
      <c r="E88" s="16">
        <v>17452320.399999999</v>
      </c>
      <c r="F88" s="16">
        <v>26292836.82</v>
      </c>
      <c r="G88" s="16">
        <v>7736207.8399999999</v>
      </c>
      <c r="H88" s="16">
        <v>87487926.709999993</v>
      </c>
      <c r="I88" s="16">
        <v>57348616.140000001</v>
      </c>
      <c r="J88" s="16">
        <v>207651424.64000002</v>
      </c>
      <c r="K88" s="16">
        <v>0</v>
      </c>
      <c r="L88" s="16">
        <v>0</v>
      </c>
      <c r="M88" s="16">
        <v>0</v>
      </c>
      <c r="N88" s="18">
        <f t="shared" si="2"/>
        <v>1952329109.5948405</v>
      </c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17" t="s">
        <v>84</v>
      </c>
      <c r="B89" s="16">
        <v>2146188924.2399998</v>
      </c>
      <c r="C89" s="16">
        <v>0</v>
      </c>
      <c r="D89" s="16">
        <v>69075854.79022412</v>
      </c>
      <c r="E89" s="16">
        <v>24693152.739999998</v>
      </c>
      <c r="F89" s="16">
        <v>22112249.760000002</v>
      </c>
      <c r="G89" s="16">
        <v>8424770.8399999999</v>
      </c>
      <c r="H89" s="16">
        <v>123785988.72</v>
      </c>
      <c r="I89" s="16">
        <v>48230129.450000003</v>
      </c>
      <c r="J89" s="16">
        <v>213246291.92999995</v>
      </c>
      <c r="K89" s="16">
        <v>0</v>
      </c>
      <c r="L89" s="16">
        <v>0</v>
      </c>
      <c r="M89" s="16">
        <v>0</v>
      </c>
      <c r="N89" s="18">
        <f t="shared" si="2"/>
        <v>2655757362.4702234</v>
      </c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17" t="s">
        <v>85</v>
      </c>
      <c r="B90" s="16">
        <v>9747472205.3599987</v>
      </c>
      <c r="C90" s="16">
        <v>0</v>
      </c>
      <c r="D90" s="16">
        <v>36383375.203079171</v>
      </c>
      <c r="E90" s="16">
        <v>136267295.59999999</v>
      </c>
      <c r="F90" s="16">
        <v>299948994.62</v>
      </c>
      <c r="G90" s="16">
        <v>79358870.112264067</v>
      </c>
      <c r="H90" s="16">
        <v>562206090.41999996</v>
      </c>
      <c r="I90" s="16">
        <v>654233693.60000002</v>
      </c>
      <c r="J90" s="16">
        <v>1243092809.1300006</v>
      </c>
      <c r="K90" s="16">
        <v>0</v>
      </c>
      <c r="L90" s="16">
        <v>0</v>
      </c>
      <c r="M90" s="16">
        <v>0</v>
      </c>
      <c r="N90" s="18">
        <f t="shared" si="2"/>
        <v>12758963334.045345</v>
      </c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17" t="s">
        <v>86</v>
      </c>
      <c r="B91" s="16">
        <v>450284172.94000006</v>
      </c>
      <c r="C91" s="16">
        <v>0</v>
      </c>
      <c r="D91" s="16">
        <v>103479199.39213407</v>
      </c>
      <c r="E91" s="16">
        <v>5180781.5</v>
      </c>
      <c r="F91" s="16">
        <v>6963310.6399999997</v>
      </c>
      <c r="G91" s="16">
        <v>2875763.12</v>
      </c>
      <c r="H91" s="16">
        <v>25971092.73</v>
      </c>
      <c r="I91" s="16">
        <v>15188023.710000001</v>
      </c>
      <c r="J91" s="16">
        <v>95868544.349999979</v>
      </c>
      <c r="K91" s="16">
        <v>0</v>
      </c>
      <c r="L91" s="16">
        <v>0</v>
      </c>
      <c r="M91" s="16">
        <v>0</v>
      </c>
      <c r="N91" s="18">
        <f t="shared" si="2"/>
        <v>705810888.3821342</v>
      </c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17" t="s">
        <v>87</v>
      </c>
      <c r="B92" s="16">
        <v>624297724.05000007</v>
      </c>
      <c r="C92" s="16">
        <v>0</v>
      </c>
      <c r="D92" s="16">
        <v>1220855.72</v>
      </c>
      <c r="E92" s="16">
        <v>6111874.3300000001</v>
      </c>
      <c r="F92" s="16">
        <v>1488887.14</v>
      </c>
      <c r="G92" s="16">
        <v>972088.94</v>
      </c>
      <c r="H92" s="16">
        <v>36007692.600000001</v>
      </c>
      <c r="I92" s="16">
        <v>3247485.93</v>
      </c>
      <c r="J92" s="16">
        <v>37277512.429999992</v>
      </c>
      <c r="K92" s="16">
        <v>0</v>
      </c>
      <c r="L92" s="16">
        <v>0</v>
      </c>
      <c r="M92" s="16">
        <v>0</v>
      </c>
      <c r="N92" s="18">
        <f t="shared" si="2"/>
        <v>710624121.1400001</v>
      </c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17" t="s">
        <v>88</v>
      </c>
      <c r="B93" s="16">
        <v>7062570279.1499996</v>
      </c>
      <c r="C93" s="16">
        <v>0</v>
      </c>
      <c r="D93" s="16">
        <v>39022175.64499297</v>
      </c>
      <c r="E93" s="16">
        <v>98733018.329999998</v>
      </c>
      <c r="F93" s="16">
        <v>243098211.91999999</v>
      </c>
      <c r="G93" s="16">
        <v>39545686.593019329</v>
      </c>
      <c r="H93" s="16">
        <v>407348689.11000001</v>
      </c>
      <c r="I93" s="16">
        <v>530233619.54000002</v>
      </c>
      <c r="J93" s="16">
        <v>1283287059.1899996</v>
      </c>
      <c r="K93" s="16">
        <v>0</v>
      </c>
      <c r="L93" s="16">
        <v>0</v>
      </c>
      <c r="M93" s="16">
        <v>0</v>
      </c>
      <c r="N93" s="18">
        <f t="shared" si="2"/>
        <v>9703838739.4780121</v>
      </c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17" t="s">
        <v>89</v>
      </c>
      <c r="B94" s="16">
        <v>3631924011.7999992</v>
      </c>
      <c r="C94" s="16">
        <v>0</v>
      </c>
      <c r="D94" s="16">
        <v>42445115.190000005</v>
      </c>
      <c r="E94" s="16">
        <v>50773416.170000002</v>
      </c>
      <c r="F94" s="16">
        <v>109924083.15000001</v>
      </c>
      <c r="G94" s="16">
        <v>45481724.199469052</v>
      </c>
      <c r="H94" s="16">
        <v>209478904.52000001</v>
      </c>
      <c r="I94" s="16">
        <v>239760893.43000001</v>
      </c>
      <c r="J94" s="16">
        <v>606078774.38999987</v>
      </c>
      <c r="K94" s="16">
        <v>0</v>
      </c>
      <c r="L94" s="16">
        <v>0</v>
      </c>
      <c r="M94" s="16">
        <v>0</v>
      </c>
      <c r="N94" s="18">
        <f t="shared" si="2"/>
        <v>4935866922.8494682</v>
      </c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17" t="s">
        <v>90</v>
      </c>
      <c r="B95" s="16">
        <v>738160057.00999999</v>
      </c>
      <c r="C95" s="16">
        <v>0</v>
      </c>
      <c r="D95" s="16">
        <v>61966475.657837763</v>
      </c>
      <c r="E95" s="16">
        <v>8492961.0899999999</v>
      </c>
      <c r="F95" s="16">
        <v>5389901.5099999998</v>
      </c>
      <c r="G95" s="16">
        <v>2308711.2400000002</v>
      </c>
      <c r="H95" s="16">
        <v>42574943.649999999</v>
      </c>
      <c r="I95" s="16">
        <v>11756182.689999999</v>
      </c>
      <c r="J95" s="16">
        <v>96872211.899999961</v>
      </c>
      <c r="K95" s="16">
        <v>0</v>
      </c>
      <c r="L95" s="16">
        <v>0</v>
      </c>
      <c r="M95" s="16">
        <v>0</v>
      </c>
      <c r="N95" s="18">
        <f t="shared" si="2"/>
        <v>967521444.74783778</v>
      </c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17" t="s">
        <v>91</v>
      </c>
      <c r="B96" s="16">
        <v>2272441100.5300002</v>
      </c>
      <c r="C96" s="16">
        <v>0</v>
      </c>
      <c r="D96" s="16">
        <v>167580073.15474898</v>
      </c>
      <c r="E96" s="16">
        <v>21211889.879999999</v>
      </c>
      <c r="F96" s="16">
        <v>30206854.57</v>
      </c>
      <c r="G96" s="16">
        <v>11806830.289999999</v>
      </c>
      <c r="H96" s="16">
        <v>131067850.20999999</v>
      </c>
      <c r="I96" s="16">
        <v>65885675.219999999</v>
      </c>
      <c r="J96" s="16">
        <v>328277940.62</v>
      </c>
      <c r="K96" s="16">
        <v>0</v>
      </c>
      <c r="L96" s="16">
        <v>0</v>
      </c>
      <c r="M96" s="16">
        <v>0</v>
      </c>
      <c r="N96" s="18">
        <f t="shared" si="2"/>
        <v>3028478214.4747491</v>
      </c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17" t="s">
        <v>92</v>
      </c>
      <c r="B97" s="16">
        <v>1153595752.5999999</v>
      </c>
      <c r="C97" s="16">
        <v>0</v>
      </c>
      <c r="D97" s="16">
        <v>218752571.10124063</v>
      </c>
      <c r="E97" s="16">
        <v>13272790.560000001</v>
      </c>
      <c r="F97" s="16">
        <v>13946126.35</v>
      </c>
      <c r="G97" s="16">
        <v>6075555.9000000004</v>
      </c>
      <c r="H97" s="16">
        <v>66536076.68</v>
      </c>
      <c r="I97" s="16">
        <v>30418590.899999999</v>
      </c>
      <c r="J97" s="16">
        <v>223102853.1500001</v>
      </c>
      <c r="K97" s="16">
        <v>0</v>
      </c>
      <c r="L97" s="16">
        <v>0</v>
      </c>
      <c r="M97" s="16">
        <v>0</v>
      </c>
      <c r="N97" s="18">
        <f t="shared" si="2"/>
        <v>1725700317.2412407</v>
      </c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17" t="s">
        <v>93</v>
      </c>
      <c r="B98" s="16">
        <v>3319203059.3399997</v>
      </c>
      <c r="C98" s="16">
        <v>0</v>
      </c>
      <c r="D98" s="16">
        <v>240613098.73968697</v>
      </c>
      <c r="E98" s="16">
        <v>46401653.159999996</v>
      </c>
      <c r="F98" s="16">
        <v>32430432.760000002</v>
      </c>
      <c r="G98" s="16">
        <v>14540830.449999999</v>
      </c>
      <c r="H98" s="16">
        <v>191442061.69999999</v>
      </c>
      <c r="I98" s="16">
        <v>70735632.370000005</v>
      </c>
      <c r="J98" s="16">
        <v>430150394.15000015</v>
      </c>
      <c r="K98" s="16">
        <v>0</v>
      </c>
      <c r="L98" s="16">
        <v>0</v>
      </c>
      <c r="M98" s="16">
        <v>0</v>
      </c>
      <c r="N98" s="18">
        <f t="shared" si="2"/>
        <v>4345517162.6696863</v>
      </c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17" t="s">
        <v>94</v>
      </c>
      <c r="B99" s="16">
        <v>2354233680.8299994</v>
      </c>
      <c r="C99" s="16">
        <v>0</v>
      </c>
      <c r="D99" s="16">
        <v>121372741.33424266</v>
      </c>
      <c r="E99" s="16">
        <v>27086828.75</v>
      </c>
      <c r="F99" s="16">
        <v>12021625.93</v>
      </c>
      <c r="G99" s="16">
        <v>4354148.3899999997</v>
      </c>
      <c r="H99" s="16">
        <v>135785410.38999999</v>
      </c>
      <c r="I99" s="16">
        <v>26220967.170000002</v>
      </c>
      <c r="J99" s="16">
        <v>282059160.94999999</v>
      </c>
      <c r="K99" s="16">
        <v>0</v>
      </c>
      <c r="L99" s="16">
        <v>0</v>
      </c>
      <c r="M99" s="16">
        <v>0</v>
      </c>
      <c r="N99" s="18">
        <f t="shared" si="2"/>
        <v>2963134563.7442417</v>
      </c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17" t="s">
        <v>95</v>
      </c>
      <c r="B100" s="16">
        <v>2487383632.6599998</v>
      </c>
      <c r="C100" s="16">
        <v>0</v>
      </c>
      <c r="D100" s="16">
        <v>232963248.94451973</v>
      </c>
      <c r="E100" s="16">
        <v>28618796.439999998</v>
      </c>
      <c r="F100" s="16">
        <v>13497509.699999999</v>
      </c>
      <c r="G100" s="16">
        <v>5184474.37</v>
      </c>
      <c r="H100" s="16">
        <v>143465115.68000001</v>
      </c>
      <c r="I100" s="16">
        <v>29440090.780000001</v>
      </c>
      <c r="J100" s="16">
        <v>218119444.53000009</v>
      </c>
      <c r="K100" s="16">
        <v>0</v>
      </c>
      <c r="L100" s="16">
        <v>0</v>
      </c>
      <c r="M100" s="16">
        <v>0</v>
      </c>
      <c r="N100" s="18">
        <f t="shared" si="2"/>
        <v>3158672313.1045194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17" t="s">
        <v>96</v>
      </c>
      <c r="B101" s="16">
        <v>509683500.83000004</v>
      </c>
      <c r="C101" s="16">
        <v>0</v>
      </c>
      <c r="D101" s="16">
        <v>66445989.05326882</v>
      </c>
      <c r="E101" s="16">
        <v>5864205.3399999999</v>
      </c>
      <c r="F101" s="16">
        <v>1612419.27</v>
      </c>
      <c r="G101" s="16">
        <v>830325.97</v>
      </c>
      <c r="H101" s="16">
        <v>29397074.68</v>
      </c>
      <c r="I101" s="16">
        <v>3516927.99</v>
      </c>
      <c r="J101" s="16">
        <v>50339496.940000013</v>
      </c>
      <c r="K101" s="16">
        <v>0</v>
      </c>
      <c r="L101" s="16">
        <v>0</v>
      </c>
      <c r="M101" s="16">
        <v>0</v>
      </c>
      <c r="N101" s="18">
        <f t="shared" si="2"/>
        <v>667689940.07326889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17" t="s">
        <v>97</v>
      </c>
      <c r="B102" s="16">
        <v>1412507517.5700002</v>
      </c>
      <c r="C102" s="16">
        <v>0</v>
      </c>
      <c r="D102" s="16">
        <v>326563424.18413663</v>
      </c>
      <c r="E102" s="16">
        <v>19746512.27</v>
      </c>
      <c r="F102" s="16">
        <v>31221118.309999999</v>
      </c>
      <c r="G102" s="16">
        <v>13325719.27</v>
      </c>
      <c r="H102" s="16">
        <v>81469360.719999999</v>
      </c>
      <c r="I102" s="16">
        <v>68097936.370000005</v>
      </c>
      <c r="J102" s="16">
        <v>324208984.41000015</v>
      </c>
      <c r="K102" s="16">
        <v>0</v>
      </c>
      <c r="L102" s="16">
        <v>0</v>
      </c>
      <c r="M102" s="16">
        <v>0</v>
      </c>
      <c r="N102" s="18">
        <f t="shared" si="2"/>
        <v>2277140573.1041369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17" t="s">
        <v>98</v>
      </c>
      <c r="B103" s="16">
        <v>524296323.91000009</v>
      </c>
      <c r="C103" s="16">
        <v>0</v>
      </c>
      <c r="D103" s="16">
        <v>73764154.844618097</v>
      </c>
      <c r="E103" s="16">
        <v>6032334.3700000001</v>
      </c>
      <c r="F103" s="16">
        <v>773701.18</v>
      </c>
      <c r="G103" s="16">
        <v>526548.18000000005</v>
      </c>
      <c r="H103" s="16">
        <v>30239900.190000001</v>
      </c>
      <c r="I103" s="16">
        <v>1687558.19</v>
      </c>
      <c r="J103" s="16">
        <v>71159809.48999998</v>
      </c>
      <c r="K103" s="16">
        <v>0</v>
      </c>
      <c r="L103" s="16">
        <v>0</v>
      </c>
      <c r="M103" s="16">
        <v>0</v>
      </c>
      <c r="N103" s="18">
        <f t="shared" si="2"/>
        <v>708480330.35461819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17" t="s">
        <v>99</v>
      </c>
      <c r="B104" s="16">
        <v>7860750790.9300003</v>
      </c>
      <c r="C104" s="16">
        <v>0</v>
      </c>
      <c r="D104" s="16">
        <v>71193015.994673029</v>
      </c>
      <c r="E104" s="16">
        <v>109891388.16</v>
      </c>
      <c r="F104" s="16">
        <v>158556728.91</v>
      </c>
      <c r="G104" s="16">
        <v>26807961.755468234</v>
      </c>
      <c r="H104" s="16">
        <v>453385439.50999999</v>
      </c>
      <c r="I104" s="16">
        <v>345835979.66000003</v>
      </c>
      <c r="J104" s="16">
        <v>787341952.16999984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9813763257.0901413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17" t="s">
        <v>100</v>
      </c>
      <c r="B105" s="16">
        <v>1347321904.0399997</v>
      </c>
      <c r="C105" s="16">
        <v>0</v>
      </c>
      <c r="D105" s="16">
        <v>6229974.330000001</v>
      </c>
      <c r="E105" s="16">
        <v>16138901.15</v>
      </c>
      <c r="F105" s="16">
        <v>6833276.8300000001</v>
      </c>
      <c r="G105" s="16">
        <v>4556666.92</v>
      </c>
      <c r="H105" s="16">
        <v>77709642.489999995</v>
      </c>
      <c r="I105" s="16">
        <v>14904400.48</v>
      </c>
      <c r="J105" s="16">
        <v>102816363.65000004</v>
      </c>
      <c r="K105" s="16">
        <v>0</v>
      </c>
      <c r="L105" s="16">
        <v>0</v>
      </c>
      <c r="M105" s="16">
        <v>0</v>
      </c>
      <c r="N105" s="18">
        <f t="shared" si="3"/>
        <v>1576511129.8899999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17" t="s">
        <v>101</v>
      </c>
      <c r="B106" s="16">
        <v>1436862222.72</v>
      </c>
      <c r="C106" s="16">
        <v>0</v>
      </c>
      <c r="D106" s="16">
        <v>5667339.3399999999</v>
      </c>
      <c r="E106" s="16">
        <v>16531936.169999998</v>
      </c>
      <c r="F106" s="16">
        <v>48418089.969999999</v>
      </c>
      <c r="G106" s="16">
        <v>15406885.102716155</v>
      </c>
      <c r="H106" s="16">
        <v>82874069.890000001</v>
      </c>
      <c r="I106" s="16">
        <v>105607107.91</v>
      </c>
      <c r="J106" s="16">
        <v>270220935.36999995</v>
      </c>
      <c r="K106" s="16">
        <v>0</v>
      </c>
      <c r="L106" s="16">
        <v>0</v>
      </c>
      <c r="M106" s="16">
        <v>0</v>
      </c>
      <c r="N106" s="18">
        <f t="shared" si="3"/>
        <v>1981588586.4727163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17" t="s">
        <v>102</v>
      </c>
      <c r="B107" s="16">
        <v>1928663812.6399999</v>
      </c>
      <c r="C107" s="16">
        <v>0</v>
      </c>
      <c r="D107" s="16">
        <v>85900605.137454584</v>
      </c>
      <c r="E107" s="16">
        <v>22190399.719999999</v>
      </c>
      <c r="F107" s="16">
        <v>2691699.91</v>
      </c>
      <c r="G107" s="16">
        <v>1923926.03</v>
      </c>
      <c r="H107" s="16">
        <v>111239767.5</v>
      </c>
      <c r="I107" s="16">
        <v>5871000.7599999998</v>
      </c>
      <c r="J107" s="16">
        <v>125192466.10000004</v>
      </c>
      <c r="K107" s="16">
        <v>0</v>
      </c>
      <c r="L107" s="16">
        <v>0</v>
      </c>
      <c r="M107" s="16">
        <v>0</v>
      </c>
      <c r="N107" s="18">
        <f t="shared" si="3"/>
        <v>2283673677.7974544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17" t="s">
        <v>103</v>
      </c>
      <c r="B108" s="16">
        <v>704880741.80999994</v>
      </c>
      <c r="C108" s="16">
        <v>0</v>
      </c>
      <c r="D108" s="16">
        <v>38342909.229630247</v>
      </c>
      <c r="E108" s="16">
        <v>8110063.2000000002</v>
      </c>
      <c r="F108" s="16">
        <v>2730710.05</v>
      </c>
      <c r="G108" s="16">
        <v>1417629.71</v>
      </c>
      <c r="H108" s="16">
        <v>40655488.700000003</v>
      </c>
      <c r="I108" s="16">
        <v>5956087.7300000004</v>
      </c>
      <c r="J108" s="16">
        <v>66785334.600000031</v>
      </c>
      <c r="K108" s="16">
        <v>0</v>
      </c>
      <c r="L108" s="16">
        <v>0</v>
      </c>
      <c r="M108" s="16">
        <v>0</v>
      </c>
      <c r="N108" s="18">
        <f t="shared" si="3"/>
        <v>868878965.0296303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17" t="s">
        <v>104</v>
      </c>
      <c r="B109" s="16">
        <v>6458344754.9700012</v>
      </c>
      <c r="C109" s="16">
        <v>0</v>
      </c>
      <c r="D109" s="16">
        <v>60923421.117383778</v>
      </c>
      <c r="E109" s="16">
        <v>90286092.159999996</v>
      </c>
      <c r="F109" s="16">
        <v>278805496.75999999</v>
      </c>
      <c r="G109" s="16">
        <v>115962377.31258702</v>
      </c>
      <c r="H109" s="16">
        <v>372498703.13</v>
      </c>
      <c r="I109" s="16">
        <v>608116557.17999995</v>
      </c>
      <c r="J109" s="16">
        <v>1218550300.1000001</v>
      </c>
      <c r="K109" s="16">
        <v>0</v>
      </c>
      <c r="L109" s="16">
        <v>0</v>
      </c>
      <c r="M109" s="16">
        <v>0</v>
      </c>
      <c r="N109" s="18">
        <f t="shared" si="3"/>
        <v>9203487702.7299728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17" t="s">
        <v>105</v>
      </c>
      <c r="B110" s="16">
        <v>747182739.75</v>
      </c>
      <c r="C110" s="16">
        <v>0</v>
      </c>
      <c r="D110" s="16">
        <v>87205413.038247734</v>
      </c>
      <c r="E110" s="16">
        <v>10445433.35</v>
      </c>
      <c r="F110" s="16">
        <v>10656270.91</v>
      </c>
      <c r="G110" s="16">
        <v>4597170.63</v>
      </c>
      <c r="H110" s="16">
        <v>43095345.969999999</v>
      </c>
      <c r="I110" s="16">
        <v>23242923.309999999</v>
      </c>
      <c r="J110" s="16">
        <v>141193070.92000002</v>
      </c>
      <c r="K110" s="16">
        <v>0</v>
      </c>
      <c r="L110" s="16">
        <v>0</v>
      </c>
      <c r="M110" s="16">
        <v>0</v>
      </c>
      <c r="N110" s="18">
        <f t="shared" si="3"/>
        <v>1067618367.8782477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x14ac:dyDescent="0.2">
      <c r="A111" s="17" t="s">
        <v>106</v>
      </c>
      <c r="B111" s="16">
        <v>892036026.42999983</v>
      </c>
      <c r="C111" s="16">
        <v>0</v>
      </c>
      <c r="D111" s="16">
        <v>92355652.72400634</v>
      </c>
      <c r="E111" s="16">
        <v>10263393.68</v>
      </c>
      <c r="F111" s="16">
        <v>3712465.33</v>
      </c>
      <c r="G111" s="16">
        <v>1923926.03</v>
      </c>
      <c r="H111" s="16">
        <v>51450065.869999997</v>
      </c>
      <c r="I111" s="16">
        <v>8097443.0800000001</v>
      </c>
      <c r="J111" s="16">
        <v>109997320.14000005</v>
      </c>
      <c r="K111" s="16">
        <v>0</v>
      </c>
      <c r="L111" s="16">
        <v>0</v>
      </c>
      <c r="M111" s="16">
        <v>0</v>
      </c>
      <c r="N111" s="18">
        <f t="shared" si="3"/>
        <v>1169836293.2840061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x14ac:dyDescent="0.2">
      <c r="A112" s="17" t="s">
        <v>107</v>
      </c>
      <c r="B112" s="16">
        <v>1283934288.8200002</v>
      </c>
      <c r="C112" s="16">
        <v>0</v>
      </c>
      <c r="D112" s="16">
        <v>177444031.98345715</v>
      </c>
      <c r="E112" s="16">
        <v>14772411.289999999</v>
      </c>
      <c r="F112" s="16">
        <v>4512173.28</v>
      </c>
      <c r="G112" s="16">
        <v>2288459.39</v>
      </c>
      <c r="H112" s="16">
        <v>74053627.620000005</v>
      </c>
      <c r="I112" s="16">
        <v>9841725.9100000001</v>
      </c>
      <c r="J112" s="16">
        <v>115385983.02000004</v>
      </c>
      <c r="K112" s="16">
        <v>0</v>
      </c>
      <c r="L112" s="16">
        <v>0</v>
      </c>
      <c r="M112" s="16">
        <v>0</v>
      </c>
      <c r="N112" s="18">
        <f t="shared" si="3"/>
        <v>1682232701.3134573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x14ac:dyDescent="0.2">
      <c r="A113" s="17" t="s">
        <v>108</v>
      </c>
      <c r="B113" s="16">
        <v>1016294059.0900002</v>
      </c>
      <c r="C113" s="16">
        <v>0</v>
      </c>
      <c r="D113" s="16">
        <v>257574625.96534798</v>
      </c>
      <c r="E113" s="16">
        <v>11693054.670000002</v>
      </c>
      <c r="F113" s="16">
        <v>6358653.4100000001</v>
      </c>
      <c r="G113" s="16">
        <v>2956770.54</v>
      </c>
      <c r="H113" s="16">
        <v>58616910.899999999</v>
      </c>
      <c r="I113" s="16">
        <v>13869175.710000001</v>
      </c>
      <c r="J113" s="16">
        <v>112684707.98999996</v>
      </c>
      <c r="K113" s="16">
        <v>0</v>
      </c>
      <c r="L113" s="16">
        <v>0</v>
      </c>
      <c r="M113" s="16">
        <v>0</v>
      </c>
      <c r="N113" s="18">
        <f t="shared" si="3"/>
        <v>1480047958.2753484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x14ac:dyDescent="0.2">
      <c r="A114" s="17" t="s">
        <v>109</v>
      </c>
      <c r="B114" s="16">
        <v>621976671.56999993</v>
      </c>
      <c r="C114" s="16">
        <v>0</v>
      </c>
      <c r="D114" s="16">
        <v>69972526.402858853</v>
      </c>
      <c r="E114" s="16">
        <v>7156203.6199999992</v>
      </c>
      <c r="F114" s="16">
        <v>3849000.84</v>
      </c>
      <c r="G114" s="16">
        <v>1620148.24</v>
      </c>
      <c r="H114" s="16">
        <v>35873820.979999997</v>
      </c>
      <c r="I114" s="16">
        <v>8395247.4700000007</v>
      </c>
      <c r="J114" s="16">
        <v>86080156.960000008</v>
      </c>
      <c r="K114" s="16">
        <v>0</v>
      </c>
      <c r="L114" s="16">
        <v>0</v>
      </c>
      <c r="M114" s="16">
        <v>0</v>
      </c>
      <c r="N114" s="18">
        <f t="shared" si="3"/>
        <v>834923776.08285892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x14ac:dyDescent="0.2">
      <c r="A115" s="17" t="s">
        <v>110</v>
      </c>
      <c r="B115" s="16">
        <v>1543467180.5100002</v>
      </c>
      <c r="C115" s="16">
        <v>0</v>
      </c>
      <c r="D115" s="16">
        <v>60768040.496370338</v>
      </c>
      <c r="E115" s="16">
        <v>17758488.259999998</v>
      </c>
      <c r="F115" s="16">
        <v>3985536.34</v>
      </c>
      <c r="G115" s="16">
        <v>2612489.04</v>
      </c>
      <c r="H115" s="16">
        <v>89022736.459999993</v>
      </c>
      <c r="I115" s="16">
        <v>8693051.8499999996</v>
      </c>
      <c r="J115" s="16">
        <v>115339271.61999997</v>
      </c>
      <c r="K115" s="16">
        <v>0</v>
      </c>
      <c r="L115" s="16">
        <v>0</v>
      </c>
      <c r="M115" s="16">
        <v>0</v>
      </c>
      <c r="N115" s="18">
        <f t="shared" si="3"/>
        <v>1841646794.5763702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x14ac:dyDescent="0.2">
      <c r="A116" s="17" t="s">
        <v>111</v>
      </c>
      <c r="B116" s="16">
        <v>972226753.63</v>
      </c>
      <c r="C116" s="16">
        <v>0</v>
      </c>
      <c r="D116" s="16">
        <v>93593959.779959083</v>
      </c>
      <c r="E116" s="16">
        <v>11186034.67</v>
      </c>
      <c r="F116" s="16">
        <v>11000860.51</v>
      </c>
      <c r="G116" s="16">
        <v>4111126.16</v>
      </c>
      <c r="H116" s="16">
        <v>56075235.780000001</v>
      </c>
      <c r="I116" s="16">
        <v>23994524.850000001</v>
      </c>
      <c r="J116" s="16">
        <v>156469015.40999997</v>
      </c>
      <c r="K116" s="16">
        <v>0</v>
      </c>
      <c r="L116" s="16">
        <v>0</v>
      </c>
      <c r="M116" s="16">
        <v>0</v>
      </c>
      <c r="N116" s="18">
        <f t="shared" si="3"/>
        <v>1328657510.789959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x14ac:dyDescent="0.2">
      <c r="A117" s="17" t="s">
        <v>112</v>
      </c>
      <c r="B117" s="16">
        <v>526290467.54999995</v>
      </c>
      <c r="C117" s="16">
        <v>0</v>
      </c>
      <c r="D117" s="16">
        <v>22473448.859360144</v>
      </c>
      <c r="E117" s="16">
        <v>6055278.1400000006</v>
      </c>
      <c r="F117" s="16">
        <v>2314601.85</v>
      </c>
      <c r="G117" s="16">
        <v>1093600.06</v>
      </c>
      <c r="H117" s="16">
        <v>30354916.640000001</v>
      </c>
      <c r="I117" s="16">
        <v>5048493.41</v>
      </c>
      <c r="J117" s="16">
        <v>46115677.350000009</v>
      </c>
      <c r="K117" s="16">
        <v>0</v>
      </c>
      <c r="L117" s="16">
        <v>0</v>
      </c>
      <c r="M117" s="16">
        <v>0</v>
      </c>
      <c r="N117" s="18">
        <f t="shared" si="3"/>
        <v>639746483.85935998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x14ac:dyDescent="0.2">
      <c r="A118" s="17" t="s">
        <v>113</v>
      </c>
      <c r="B118" s="16">
        <v>902627871.3900001</v>
      </c>
      <c r="C118" s="16">
        <v>0</v>
      </c>
      <c r="D118" s="16">
        <v>198353792.08621705</v>
      </c>
      <c r="E118" s="16">
        <v>10385259.030000001</v>
      </c>
      <c r="F118" s="16">
        <v>10916338.529999999</v>
      </c>
      <c r="G118" s="16">
        <v>4556666.92</v>
      </c>
      <c r="H118" s="16">
        <v>52060972.939999998</v>
      </c>
      <c r="I118" s="16">
        <v>23810169.760000002</v>
      </c>
      <c r="J118" s="16">
        <v>127113111</v>
      </c>
      <c r="K118" s="16">
        <v>0</v>
      </c>
      <c r="L118" s="16">
        <v>0</v>
      </c>
      <c r="M118" s="16">
        <v>0</v>
      </c>
      <c r="N118" s="18">
        <f t="shared" si="3"/>
        <v>1329824181.6562173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x14ac:dyDescent="0.2">
      <c r="A119" s="17" t="s">
        <v>114</v>
      </c>
      <c r="B119" s="16">
        <v>1183050234.9699998</v>
      </c>
      <c r="C119" s="16">
        <v>0</v>
      </c>
      <c r="D119" s="16">
        <v>83147153.416941866</v>
      </c>
      <c r="E119" s="16">
        <v>13611681.530000001</v>
      </c>
      <c r="F119" s="16">
        <v>8770780.6300000008</v>
      </c>
      <c r="G119" s="16">
        <v>3058029.8</v>
      </c>
      <c r="H119" s="16">
        <v>68234926.290000007</v>
      </c>
      <c r="I119" s="16">
        <v>19130386.539999999</v>
      </c>
      <c r="J119" s="16">
        <v>115706651.76999997</v>
      </c>
      <c r="K119" s="16">
        <v>0</v>
      </c>
      <c r="L119" s="16">
        <v>0</v>
      </c>
      <c r="M119" s="16">
        <v>0</v>
      </c>
      <c r="N119" s="18">
        <f t="shared" si="3"/>
        <v>1494709844.9469416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x14ac:dyDescent="0.2">
      <c r="A120" s="17" t="s">
        <v>115</v>
      </c>
      <c r="B120" s="16">
        <v>731556499.4000001</v>
      </c>
      <c r="C120" s="16">
        <v>0</v>
      </c>
      <c r="D120" s="16">
        <v>89350500.752908692</v>
      </c>
      <c r="E120" s="16">
        <v>8416983.3200000003</v>
      </c>
      <c r="F120" s="16">
        <v>5910036.7599999998</v>
      </c>
      <c r="G120" s="16">
        <v>3098533.51</v>
      </c>
      <c r="H120" s="16">
        <v>42194069.479999997</v>
      </c>
      <c r="I120" s="16">
        <v>12890675.59</v>
      </c>
      <c r="J120" s="16">
        <v>119959087.5</v>
      </c>
      <c r="K120" s="16">
        <v>0</v>
      </c>
      <c r="L120" s="16">
        <v>0</v>
      </c>
      <c r="M120" s="16">
        <v>0</v>
      </c>
      <c r="N120" s="18">
        <f t="shared" si="3"/>
        <v>1013376386.3129089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x14ac:dyDescent="0.2">
      <c r="A121" s="17" t="s">
        <v>116</v>
      </c>
      <c r="B121" s="16">
        <v>938620529.62000012</v>
      </c>
      <c r="C121" s="16">
        <v>0</v>
      </c>
      <c r="D121" s="16">
        <v>96072341.657054901</v>
      </c>
      <c r="E121" s="16">
        <v>10799375.5</v>
      </c>
      <c r="F121" s="16">
        <v>2483645.81</v>
      </c>
      <c r="G121" s="16">
        <v>1032844.5</v>
      </c>
      <c r="H121" s="16">
        <v>54136925.68</v>
      </c>
      <c r="I121" s="16">
        <v>5417203.5999999996</v>
      </c>
      <c r="J121" s="16">
        <v>66657403.780000031</v>
      </c>
      <c r="K121" s="16">
        <v>0</v>
      </c>
      <c r="L121" s="16">
        <v>0</v>
      </c>
      <c r="M121" s="16">
        <v>0</v>
      </c>
      <c r="N121" s="18">
        <f t="shared" si="3"/>
        <v>1175220270.1470549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x14ac:dyDescent="0.2">
      <c r="A122" s="17" t="s">
        <v>117</v>
      </c>
      <c r="B122" s="16">
        <v>2914522663.0700002</v>
      </c>
      <c r="C122" s="16">
        <v>0</v>
      </c>
      <c r="D122" s="16">
        <v>27425881.434999995</v>
      </c>
      <c r="E122" s="16">
        <v>40744319.439999998</v>
      </c>
      <c r="F122" s="16">
        <v>74769442.019999996</v>
      </c>
      <c r="G122" s="16">
        <v>28014417.728186145</v>
      </c>
      <c r="H122" s="16">
        <v>168101263.31999999</v>
      </c>
      <c r="I122" s="16">
        <v>163083354.5</v>
      </c>
      <c r="J122" s="16">
        <v>312685535.90000015</v>
      </c>
      <c r="K122" s="16">
        <v>0</v>
      </c>
      <c r="L122" s="16">
        <v>0</v>
      </c>
      <c r="M122" s="16">
        <v>0</v>
      </c>
      <c r="N122" s="18">
        <f t="shared" si="3"/>
        <v>3729346877.4131866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x14ac:dyDescent="0.2">
      <c r="A123" s="17" t="s">
        <v>118</v>
      </c>
      <c r="B123" s="16">
        <v>6148925581.3400002</v>
      </c>
      <c r="C123" s="16">
        <v>0</v>
      </c>
      <c r="D123" s="16">
        <v>48764637.475000001</v>
      </c>
      <c r="E123" s="16">
        <v>70746967.709999993</v>
      </c>
      <c r="F123" s="16">
        <v>103936026.09999999</v>
      </c>
      <c r="G123" s="16">
        <v>67545608.344403088</v>
      </c>
      <c r="H123" s="16">
        <v>354652297.38999999</v>
      </c>
      <c r="I123" s="16">
        <v>226700043.91</v>
      </c>
      <c r="J123" s="16">
        <v>407994803.96999991</v>
      </c>
      <c r="K123" s="16">
        <v>0</v>
      </c>
      <c r="L123" s="16">
        <v>0</v>
      </c>
      <c r="M123" s="16">
        <v>0</v>
      </c>
      <c r="N123" s="18">
        <f t="shared" si="3"/>
        <v>7429265966.2394047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x14ac:dyDescent="0.2">
      <c r="A124" s="17" t="s">
        <v>119</v>
      </c>
      <c r="B124" s="16">
        <v>5920612479.5099993</v>
      </c>
      <c r="C124" s="16">
        <v>0</v>
      </c>
      <c r="D124" s="16">
        <v>29371412.510000002</v>
      </c>
      <c r="E124" s="16">
        <v>82768725.459999993</v>
      </c>
      <c r="F124" s="16">
        <v>133096108.48</v>
      </c>
      <c r="G124" s="16">
        <v>0</v>
      </c>
      <c r="H124" s="16">
        <v>341483856.00999999</v>
      </c>
      <c r="I124" s="16">
        <v>290302552.17000002</v>
      </c>
      <c r="J124" s="16">
        <v>583700567.88999987</v>
      </c>
      <c r="K124" s="16">
        <v>0</v>
      </c>
      <c r="L124" s="16">
        <v>0</v>
      </c>
      <c r="M124" s="16">
        <v>0</v>
      </c>
      <c r="N124" s="18">
        <f t="shared" si="3"/>
        <v>7381335702.0299988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x14ac:dyDescent="0.2">
      <c r="A125" s="17" t="s">
        <v>120</v>
      </c>
      <c r="B125" s="16">
        <v>1889107848.52</v>
      </c>
      <c r="C125" s="16">
        <v>0</v>
      </c>
      <c r="D125" s="16">
        <v>60839676.416794382</v>
      </c>
      <c r="E125" s="16">
        <v>21735285.34</v>
      </c>
      <c r="F125" s="16">
        <v>51753457.259999998</v>
      </c>
      <c r="G125" s="16">
        <v>19401275.170000002</v>
      </c>
      <c r="H125" s="16">
        <v>108958293.55</v>
      </c>
      <c r="I125" s="16">
        <v>112882043.63</v>
      </c>
      <c r="J125" s="16">
        <v>360705025.1400001</v>
      </c>
      <c r="K125" s="16">
        <v>0</v>
      </c>
      <c r="L125" s="16">
        <v>0</v>
      </c>
      <c r="M125" s="16">
        <v>0</v>
      </c>
      <c r="N125" s="18">
        <f t="shared" si="3"/>
        <v>2625382905.0267944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x14ac:dyDescent="0.2">
      <c r="A126" s="17" t="s">
        <v>121</v>
      </c>
      <c r="B126" s="16">
        <v>2052889154.3899999</v>
      </c>
      <c r="C126" s="16">
        <v>0</v>
      </c>
      <c r="D126" s="16">
        <v>122213936.41098082</v>
      </c>
      <c r="E126" s="16">
        <v>23619684.579999998</v>
      </c>
      <c r="F126" s="16">
        <v>25909237.079999998</v>
      </c>
      <c r="G126" s="16">
        <v>7938726.3700000001</v>
      </c>
      <c r="H126" s="16">
        <v>118404727.02</v>
      </c>
      <c r="I126" s="16">
        <v>56511927.619999997</v>
      </c>
      <c r="J126" s="16">
        <v>247495548.4600001</v>
      </c>
      <c r="K126" s="16">
        <v>0</v>
      </c>
      <c r="L126" s="16">
        <v>0</v>
      </c>
      <c r="M126" s="16">
        <v>0</v>
      </c>
      <c r="N126" s="18">
        <f t="shared" si="3"/>
        <v>2654982941.9309802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x14ac:dyDescent="0.2">
      <c r="A127" s="17" t="s">
        <v>122</v>
      </c>
      <c r="B127" s="16">
        <v>1204789669.7800002</v>
      </c>
      <c r="C127" s="16">
        <v>0</v>
      </c>
      <c r="D127" s="16">
        <v>36318891.638505101</v>
      </c>
      <c r="E127" s="16">
        <v>13861806.390000001</v>
      </c>
      <c r="F127" s="16">
        <v>27502151.280000001</v>
      </c>
      <c r="G127" s="16">
        <v>11341037.67</v>
      </c>
      <c r="H127" s="16">
        <v>69488794.200000003</v>
      </c>
      <c r="I127" s="16">
        <v>59986312.130000003</v>
      </c>
      <c r="J127" s="16">
        <v>274416559.72000009</v>
      </c>
      <c r="K127" s="16">
        <v>0</v>
      </c>
      <c r="L127" s="16">
        <v>0</v>
      </c>
      <c r="M127" s="16">
        <v>0</v>
      </c>
      <c r="N127" s="18">
        <f t="shared" si="3"/>
        <v>1697705222.8085055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x14ac:dyDescent="0.2">
      <c r="A128" s="17" t="s">
        <v>123</v>
      </c>
      <c r="B128" s="16">
        <v>521909889.73000002</v>
      </c>
      <c r="C128" s="16">
        <v>0</v>
      </c>
      <c r="D128" s="16">
        <v>39279803.128964223</v>
      </c>
      <c r="E128" s="16">
        <v>6004877.0499999998</v>
      </c>
      <c r="F128" s="16">
        <v>2516154.2599999998</v>
      </c>
      <c r="G128" s="16">
        <v>1356874.15</v>
      </c>
      <c r="H128" s="16">
        <v>30102257.539999999</v>
      </c>
      <c r="I128" s="16">
        <v>5488109.4100000001</v>
      </c>
      <c r="J128" s="16">
        <v>58973561.699999981</v>
      </c>
      <c r="K128" s="16">
        <v>0</v>
      </c>
      <c r="L128" s="16">
        <v>0</v>
      </c>
      <c r="M128" s="16">
        <v>0</v>
      </c>
      <c r="N128" s="18">
        <f t="shared" si="3"/>
        <v>665631526.96896398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x14ac:dyDescent="0.2">
      <c r="A129" s="17" t="s">
        <v>124</v>
      </c>
      <c r="B129" s="16">
        <v>3444409127.4899998</v>
      </c>
      <c r="C129" s="16">
        <v>0</v>
      </c>
      <c r="D129" s="16">
        <v>392104947.71694052</v>
      </c>
      <c r="E129" s="16">
        <v>38622357.090000004</v>
      </c>
      <c r="F129" s="16">
        <v>32001321.18</v>
      </c>
      <c r="G129" s="16">
        <v>16829289.84</v>
      </c>
      <c r="H129" s="16">
        <v>198663586.68000001</v>
      </c>
      <c r="I129" s="16">
        <v>69799675.719999999</v>
      </c>
      <c r="J129" s="16">
        <v>369515415.49999994</v>
      </c>
      <c r="K129" s="16">
        <v>0</v>
      </c>
      <c r="L129" s="16">
        <v>0</v>
      </c>
      <c r="M129" s="16">
        <v>0</v>
      </c>
      <c r="N129" s="18">
        <f t="shared" si="3"/>
        <v>4561945721.2169399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x14ac:dyDescent="0.2">
      <c r="A130" s="17" t="s">
        <v>125</v>
      </c>
      <c r="B130" s="16">
        <v>900339509.82000005</v>
      </c>
      <c r="C130" s="16">
        <v>0</v>
      </c>
      <c r="D130" s="16">
        <v>103741330.92297055</v>
      </c>
      <c r="E130" s="16">
        <v>10358930.09</v>
      </c>
      <c r="F130" s="16">
        <v>3959529.58</v>
      </c>
      <c r="G130" s="16">
        <v>1255614.8899999999</v>
      </c>
      <c r="H130" s="16">
        <v>51928986.840000004</v>
      </c>
      <c r="I130" s="16">
        <v>8636327.2100000009</v>
      </c>
      <c r="J130" s="16">
        <v>101560201.39000005</v>
      </c>
      <c r="K130" s="16">
        <v>0</v>
      </c>
      <c r="L130" s="16">
        <v>0</v>
      </c>
      <c r="M130" s="16">
        <v>0</v>
      </c>
      <c r="N130" s="18">
        <f t="shared" si="3"/>
        <v>1181780430.7429707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x14ac:dyDescent="0.2">
      <c r="A131" s="17" t="s">
        <v>126</v>
      </c>
      <c r="B131" s="16">
        <v>5840258297.9099998</v>
      </c>
      <c r="C131" s="16">
        <v>0</v>
      </c>
      <c r="D131" s="16">
        <v>112043297.65000001</v>
      </c>
      <c r="E131" s="16">
        <v>95019204.780000001</v>
      </c>
      <c r="F131" s="16">
        <v>174836962.19999999</v>
      </c>
      <c r="G131" s="16">
        <v>0</v>
      </c>
      <c r="H131" s="16">
        <v>336849258.50999999</v>
      </c>
      <c r="I131" s="16">
        <v>381345607.45999998</v>
      </c>
      <c r="J131" s="16">
        <v>797960206.4599998</v>
      </c>
      <c r="K131" s="16">
        <v>0</v>
      </c>
      <c r="L131" s="16">
        <v>0</v>
      </c>
      <c r="M131" s="16">
        <v>0</v>
      </c>
      <c r="N131" s="18">
        <f t="shared" si="3"/>
        <v>7738312834.9699993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x14ac:dyDescent="0.2">
      <c r="A132" s="17" t="s">
        <v>127</v>
      </c>
      <c r="B132" s="16">
        <v>217721256.76999998</v>
      </c>
      <c r="C132" s="16">
        <v>0</v>
      </c>
      <c r="D132" s="16">
        <v>11362821.695389526</v>
      </c>
      <c r="E132" s="16">
        <v>2505009.7800000003</v>
      </c>
      <c r="F132" s="16">
        <v>747694.42</v>
      </c>
      <c r="G132" s="16">
        <v>303777.78999999998</v>
      </c>
      <c r="H132" s="16">
        <v>12557534.310000001</v>
      </c>
      <c r="I132" s="16">
        <v>1630833.54</v>
      </c>
      <c r="J132" s="16">
        <v>28653968.330000009</v>
      </c>
      <c r="K132" s="16">
        <v>0</v>
      </c>
      <c r="L132" s="16">
        <v>0</v>
      </c>
      <c r="M132" s="16">
        <v>0</v>
      </c>
      <c r="N132" s="18">
        <f t="shared" si="3"/>
        <v>275482896.63538951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x14ac:dyDescent="0.2">
      <c r="A133" s="17" t="s">
        <v>128</v>
      </c>
      <c r="B133" s="16">
        <v>1465009069.9400001</v>
      </c>
      <c r="C133" s="16">
        <v>0</v>
      </c>
      <c r="D133" s="16">
        <v>64940189.489959098</v>
      </c>
      <c r="E133" s="16">
        <v>10048741.439999999</v>
      </c>
      <c r="F133" s="16">
        <v>2704703.29</v>
      </c>
      <c r="G133" s="16">
        <v>1721407.5</v>
      </c>
      <c r="H133" s="16">
        <v>84497498.870000005</v>
      </c>
      <c r="I133" s="16">
        <v>5899363.0800000001</v>
      </c>
      <c r="J133" s="16">
        <v>105699855.93999995</v>
      </c>
      <c r="K133" s="16">
        <v>0</v>
      </c>
      <c r="L133" s="16">
        <v>0</v>
      </c>
      <c r="M133" s="16">
        <v>0</v>
      </c>
      <c r="N133" s="18">
        <f t="shared" si="3"/>
        <v>1740520829.5499592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x14ac:dyDescent="0.2">
      <c r="A134" s="17" t="s">
        <v>129</v>
      </c>
      <c r="B134" s="16">
        <v>2525501198.0500002</v>
      </c>
      <c r="C134" s="16">
        <v>0</v>
      </c>
      <c r="D134" s="16">
        <v>247911554.7260229</v>
      </c>
      <c r="E134" s="16">
        <v>29057361.219999999</v>
      </c>
      <c r="F134" s="16">
        <v>12619781.470000001</v>
      </c>
      <c r="G134" s="16">
        <v>5690770.6900000004</v>
      </c>
      <c r="H134" s="16">
        <v>145663626.94</v>
      </c>
      <c r="I134" s="16">
        <v>27525634.010000002</v>
      </c>
      <c r="J134" s="16">
        <v>238707461.67999989</v>
      </c>
      <c r="K134" s="16">
        <v>0</v>
      </c>
      <c r="L134" s="16">
        <v>0</v>
      </c>
      <c r="M134" s="16">
        <v>0</v>
      </c>
      <c r="N134" s="18">
        <f t="shared" si="3"/>
        <v>3232677388.7860227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x14ac:dyDescent="0.2">
      <c r="A135" s="17" t="s">
        <v>130</v>
      </c>
      <c r="B135" s="16">
        <v>2106044524.3199997</v>
      </c>
      <c r="C135" s="16">
        <v>0</v>
      </c>
      <c r="D135" s="16">
        <v>261151548.75154209</v>
      </c>
      <c r="E135" s="16">
        <v>29441991.280000001</v>
      </c>
      <c r="F135" s="16">
        <v>18997939.960000001</v>
      </c>
      <c r="G135" s="16">
        <v>7209659.6600000001</v>
      </c>
      <c r="H135" s="16">
        <v>121470575.48999999</v>
      </c>
      <c r="I135" s="16">
        <v>41437353.200000003</v>
      </c>
      <c r="J135" s="16">
        <v>246096726.40999988</v>
      </c>
      <c r="K135" s="16">
        <v>0</v>
      </c>
      <c r="L135" s="16">
        <v>0</v>
      </c>
      <c r="M135" s="16">
        <v>0</v>
      </c>
      <c r="N135" s="18">
        <f t="shared" si="3"/>
        <v>2831850319.0715413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x14ac:dyDescent="0.2">
      <c r="A136" s="17" t="s">
        <v>131</v>
      </c>
      <c r="B136" s="16">
        <v>3276802988.7600002</v>
      </c>
      <c r="C136" s="16">
        <v>0</v>
      </c>
      <c r="D136" s="16">
        <v>33137491.740000002</v>
      </c>
      <c r="E136" s="16">
        <v>45808910.469999999</v>
      </c>
      <c r="F136" s="16">
        <v>113031891.26000001</v>
      </c>
      <c r="G136" s="16">
        <v>51333274.225847296</v>
      </c>
      <c r="H136" s="16">
        <v>188996547.88999999</v>
      </c>
      <c r="I136" s="16">
        <v>246539488.52000001</v>
      </c>
      <c r="J136" s="16">
        <v>559510289.36999989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4515160882.2358475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x14ac:dyDescent="0.2">
      <c r="A137" s="17" t="s">
        <v>132</v>
      </c>
      <c r="B137" s="16">
        <v>512919897.88000017</v>
      </c>
      <c r="C137" s="16">
        <v>0</v>
      </c>
      <c r="D137" s="16">
        <v>29764987.206114292</v>
      </c>
      <c r="E137" s="16">
        <v>5901441.96</v>
      </c>
      <c r="F137" s="16">
        <v>1352351.64</v>
      </c>
      <c r="G137" s="16">
        <v>1053096.3600000001</v>
      </c>
      <c r="H137" s="16">
        <v>29583740.739999998</v>
      </c>
      <c r="I137" s="16">
        <v>2949681.54</v>
      </c>
      <c r="J137" s="16">
        <v>54886930.909999982</v>
      </c>
      <c r="K137" s="16">
        <v>0</v>
      </c>
      <c r="L137" s="16">
        <v>0</v>
      </c>
      <c r="M137" s="16">
        <v>0</v>
      </c>
      <c r="N137" s="18">
        <f t="shared" si="4"/>
        <v>638412128.23611438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x14ac:dyDescent="0.2">
      <c r="A138" s="17" t="s">
        <v>133</v>
      </c>
      <c r="B138" s="16">
        <v>1526664068.5</v>
      </c>
      <c r="C138" s="16">
        <v>0</v>
      </c>
      <c r="D138" s="16">
        <v>182745060.43388882</v>
      </c>
      <c r="E138" s="16">
        <v>17565158.68</v>
      </c>
      <c r="F138" s="16">
        <v>11774561.689999999</v>
      </c>
      <c r="G138" s="16">
        <v>4111126.16</v>
      </c>
      <c r="H138" s="16">
        <v>88053581.409999996</v>
      </c>
      <c r="I138" s="16">
        <v>25682083.039999999</v>
      </c>
      <c r="J138" s="16">
        <v>199431451.64000008</v>
      </c>
      <c r="K138" s="16">
        <v>0</v>
      </c>
      <c r="L138" s="16">
        <v>0</v>
      </c>
      <c r="M138" s="16">
        <v>0</v>
      </c>
      <c r="N138" s="18">
        <f t="shared" si="4"/>
        <v>2056027091.5538893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x14ac:dyDescent="0.2">
      <c r="A139" s="17" t="s">
        <v>134</v>
      </c>
      <c r="B139" s="16">
        <v>5195071101.8199997</v>
      </c>
      <c r="C139" s="16">
        <v>0</v>
      </c>
      <c r="D139" s="16">
        <v>41600418.535000004</v>
      </c>
      <c r="E139" s="16">
        <v>59772316.740000002</v>
      </c>
      <c r="F139" s="16">
        <v>60556746.340000004</v>
      </c>
      <c r="G139" s="16">
        <v>45976648.904255562</v>
      </c>
      <c r="H139" s="16">
        <v>299636721.39000005</v>
      </c>
      <c r="I139" s="16">
        <v>132083335.96000001</v>
      </c>
      <c r="J139" s="16">
        <v>356096150.60000002</v>
      </c>
      <c r="K139" s="16">
        <v>0</v>
      </c>
      <c r="L139" s="16">
        <v>0</v>
      </c>
      <c r="M139" s="16">
        <v>0</v>
      </c>
      <c r="N139" s="18">
        <f t="shared" si="4"/>
        <v>6190793440.2892561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x14ac:dyDescent="0.2">
      <c r="A140" s="17" t="s">
        <v>135</v>
      </c>
      <c r="B140" s="16">
        <v>1557295422.47</v>
      </c>
      <c r="C140" s="16">
        <v>0</v>
      </c>
      <c r="D140" s="16">
        <v>5238008.2800000012</v>
      </c>
      <c r="E140" s="16">
        <v>17917590.240000002</v>
      </c>
      <c r="F140" s="16">
        <v>9986596.7699999996</v>
      </c>
      <c r="G140" s="16">
        <v>4333896.54</v>
      </c>
      <c r="H140" s="16">
        <v>89820309.590000004</v>
      </c>
      <c r="I140" s="16">
        <v>21782263.699999999</v>
      </c>
      <c r="J140" s="16">
        <v>90011082.36999996</v>
      </c>
      <c r="K140" s="16">
        <v>0</v>
      </c>
      <c r="L140" s="16">
        <v>0</v>
      </c>
      <c r="M140" s="16">
        <v>0</v>
      </c>
      <c r="N140" s="18">
        <f t="shared" si="4"/>
        <v>1796385169.9599998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x14ac:dyDescent="0.2">
      <c r="A141" s="17" t="s">
        <v>136</v>
      </c>
      <c r="B141" s="16">
        <v>1759259675.5</v>
      </c>
      <c r="C141" s="16">
        <v>0</v>
      </c>
      <c r="D141" s="16">
        <v>81325477.090759188</v>
      </c>
      <c r="E141" s="16">
        <v>20241306.520000003</v>
      </c>
      <c r="F141" s="16">
        <v>14401244.699999999</v>
      </c>
      <c r="G141" s="16">
        <v>3787096.51</v>
      </c>
      <c r="H141" s="16">
        <v>101469025.34</v>
      </c>
      <c r="I141" s="16">
        <v>31411272.190000001</v>
      </c>
      <c r="J141" s="16">
        <v>250329804.19</v>
      </c>
      <c r="K141" s="16">
        <v>0</v>
      </c>
      <c r="L141" s="16">
        <v>0</v>
      </c>
      <c r="M141" s="16">
        <v>0</v>
      </c>
      <c r="N141" s="18">
        <f t="shared" si="4"/>
        <v>2262224902.0407591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x14ac:dyDescent="0.2">
      <c r="A142" s="17" t="s">
        <v>137</v>
      </c>
      <c r="B142" s="16">
        <v>1788093031.1299996</v>
      </c>
      <c r="C142" s="16">
        <v>0</v>
      </c>
      <c r="D142" s="16">
        <v>169284066.92545208</v>
      </c>
      <c r="E142" s="16">
        <v>24997106.580000002</v>
      </c>
      <c r="F142" s="16">
        <v>61915599.68</v>
      </c>
      <c r="G142" s="16">
        <v>15290149.01</v>
      </c>
      <c r="H142" s="16">
        <v>103132050.16</v>
      </c>
      <c r="I142" s="16">
        <v>135047198.69</v>
      </c>
      <c r="J142" s="16">
        <v>339334273.6099999</v>
      </c>
      <c r="K142" s="16">
        <v>0</v>
      </c>
      <c r="L142" s="16">
        <v>0</v>
      </c>
      <c r="M142" s="16">
        <v>0</v>
      </c>
      <c r="N142" s="18">
        <f t="shared" si="4"/>
        <v>2637093475.7854519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4.75" customHeight="1" x14ac:dyDescent="0.2">
      <c r="A143" s="22" t="s">
        <v>138</v>
      </c>
      <c r="B143" s="23">
        <f t="shared" ref="B143:I143" si="5">SUM(B8:B142)</f>
        <v>326908794115.85004</v>
      </c>
      <c r="C143" s="23">
        <f t="shared" si="5"/>
        <v>0</v>
      </c>
      <c r="D143" s="23">
        <f t="shared" si="5"/>
        <v>13665885723.261209</v>
      </c>
      <c r="E143" s="23">
        <f t="shared" si="5"/>
        <v>4199033829.2799993</v>
      </c>
      <c r="F143" s="23">
        <f t="shared" si="5"/>
        <v>6501690610.5700054</v>
      </c>
      <c r="G143" s="23">
        <f t="shared" si="5"/>
        <v>2025185299.0900006</v>
      </c>
      <c r="H143" s="23">
        <f t="shared" si="5"/>
        <v>18855156618.919998</v>
      </c>
      <c r="I143" s="23">
        <f t="shared" si="5"/>
        <v>14181161260.640003</v>
      </c>
      <c r="J143" s="23">
        <f t="shared" ref="J143:N143" si="6">SUM(J8:J142)</f>
        <v>42082491396.959999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428419398854.57123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44AEAC"/>
  </sheetPr>
  <dimension ref="A1:Y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4.6640625" style="1" customWidth="1"/>
    <col min="3" max="3" width="22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22" width="12" style="1"/>
    <col min="23" max="23" width="21.1640625" style="1" bestFit="1" customWidth="1"/>
    <col min="24" max="16384" width="12" style="1"/>
  </cols>
  <sheetData>
    <row r="1" spans="1:2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ht="17.25" customHeight="1" x14ac:dyDescent="0.25">
      <c r="A4" s="21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5" ht="18.75" customHeight="1" x14ac:dyDescent="0.2">
      <c r="A6" s="33" t="s">
        <v>2</v>
      </c>
      <c r="B6" s="34" t="s">
        <v>155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32"/>
      <c r="M7" s="19" t="s">
        <v>142</v>
      </c>
      <c r="N7" s="20" t="s">
        <v>140</v>
      </c>
    </row>
    <row r="8" spans="1:25" ht="18" customHeight="1" x14ac:dyDescent="0.2">
      <c r="A8" s="17" t="s">
        <v>3</v>
      </c>
      <c r="B8" s="16">
        <v>1474484179.8899999</v>
      </c>
      <c r="C8" s="16">
        <v>0</v>
      </c>
      <c r="D8" s="16">
        <v>26285454.741645426</v>
      </c>
      <c r="E8" s="16">
        <v>16449335.93</v>
      </c>
      <c r="F8" s="16">
        <v>4139548.64</v>
      </c>
      <c r="G8" s="16">
        <v>1705618.4</v>
      </c>
      <c r="H8" s="16">
        <v>86319178.549999997</v>
      </c>
      <c r="I8" s="16">
        <v>11924758.26</v>
      </c>
      <c r="J8" s="16">
        <v>97881972.020000026</v>
      </c>
      <c r="K8" s="16">
        <v>0</v>
      </c>
      <c r="L8" s="16">
        <v>0</v>
      </c>
      <c r="M8" s="16">
        <v>0</v>
      </c>
      <c r="N8" s="18">
        <f t="shared" ref="N8:N39" si="0">SUM(B8:M8)</f>
        <v>1719190046.4316454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8" customHeight="1" x14ac:dyDescent="0.2">
      <c r="A9" s="17" t="s">
        <v>4</v>
      </c>
      <c r="B9" s="16">
        <v>817801210.52999997</v>
      </c>
      <c r="C9" s="16">
        <v>0</v>
      </c>
      <c r="D9" s="16">
        <v>17329310.462232262</v>
      </c>
      <c r="E9" s="16">
        <v>9125458.9900000002</v>
      </c>
      <c r="F9" s="16">
        <v>2900255.2</v>
      </c>
      <c r="G9" s="16">
        <v>1262157.6200000001</v>
      </c>
      <c r="H9" s="16">
        <v>47875677.25</v>
      </c>
      <c r="I9" s="16">
        <v>8354737.46</v>
      </c>
      <c r="J9" s="16">
        <v>74228904.039999992</v>
      </c>
      <c r="K9" s="16">
        <v>0</v>
      </c>
      <c r="L9" s="16">
        <v>0</v>
      </c>
      <c r="M9" s="16">
        <v>0</v>
      </c>
      <c r="N9" s="18">
        <f t="shared" si="0"/>
        <v>978877711.55223227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8" customHeight="1" x14ac:dyDescent="0.2">
      <c r="A10" s="17" t="s">
        <v>5</v>
      </c>
      <c r="B10" s="16">
        <v>872426685.21000016</v>
      </c>
      <c r="C10" s="16">
        <v>0</v>
      </c>
      <c r="D10" s="16">
        <v>9262008.5309501849</v>
      </c>
      <c r="E10" s="16">
        <v>9728788.3200000003</v>
      </c>
      <c r="F10" s="16">
        <v>2026064.8</v>
      </c>
      <c r="G10" s="16">
        <v>1262157.6200000001</v>
      </c>
      <c r="H10" s="16">
        <v>51073559.039999999</v>
      </c>
      <c r="I10" s="16">
        <v>5836465.5300000003</v>
      </c>
      <c r="J10" s="16">
        <v>43871271.679999992</v>
      </c>
      <c r="K10" s="16">
        <v>0</v>
      </c>
      <c r="L10" s="16">
        <v>0</v>
      </c>
      <c r="M10" s="16">
        <v>0</v>
      </c>
      <c r="N10" s="18">
        <f t="shared" si="0"/>
        <v>995487000.73095024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8" customHeight="1" x14ac:dyDescent="0.2">
      <c r="A11" s="17" t="s">
        <v>6</v>
      </c>
      <c r="B11" s="16">
        <v>6761786129.3000002</v>
      </c>
      <c r="C11" s="16">
        <v>0</v>
      </c>
      <c r="D11" s="16">
        <v>45216796.978129454</v>
      </c>
      <c r="E11" s="16">
        <v>98150957.979999989</v>
      </c>
      <c r="F11" s="16">
        <v>217467717.13999999</v>
      </c>
      <c r="G11" s="16">
        <v>103934911.46124506</v>
      </c>
      <c r="H11" s="16">
        <v>395848142.76999998</v>
      </c>
      <c r="I11" s="16">
        <v>626457175.98000002</v>
      </c>
      <c r="J11" s="16">
        <v>825400442.57000005</v>
      </c>
      <c r="K11" s="16">
        <v>0</v>
      </c>
      <c r="L11" s="16">
        <v>0</v>
      </c>
      <c r="M11" s="16">
        <v>0</v>
      </c>
      <c r="N11" s="18">
        <f t="shared" si="0"/>
        <v>9074262274.1793747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8" customHeight="1" x14ac:dyDescent="0.2">
      <c r="A12" s="17" t="s">
        <v>7</v>
      </c>
      <c r="B12" s="16">
        <v>890724873.77999997</v>
      </c>
      <c r="C12" s="16">
        <v>0</v>
      </c>
      <c r="D12" s="16">
        <v>15098741.892368391</v>
      </c>
      <c r="E12" s="16">
        <v>9989761.0399999991</v>
      </c>
      <c r="F12" s="16">
        <v>7435760.6699999999</v>
      </c>
      <c r="G12" s="16">
        <v>3138337.86</v>
      </c>
      <c r="H12" s="16">
        <v>52144770.670000002</v>
      </c>
      <c r="I12" s="16">
        <v>21420124.77</v>
      </c>
      <c r="J12" s="16">
        <v>88997607.969999969</v>
      </c>
      <c r="K12" s="16">
        <v>0</v>
      </c>
      <c r="L12" s="16">
        <v>0</v>
      </c>
      <c r="M12" s="16">
        <v>0</v>
      </c>
      <c r="N12" s="18">
        <f t="shared" si="0"/>
        <v>1088949978.6523683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8" customHeight="1" x14ac:dyDescent="0.2">
      <c r="A13" s="17" t="s">
        <v>8</v>
      </c>
      <c r="B13" s="16">
        <v>4015510571.3099999</v>
      </c>
      <c r="C13" s="16">
        <v>0</v>
      </c>
      <c r="D13" s="16">
        <v>40618568.864623994</v>
      </c>
      <c r="E13" s="16">
        <v>57631355.059999995</v>
      </c>
      <c r="F13" s="16">
        <v>105751326.62</v>
      </c>
      <c r="G13" s="16">
        <v>0</v>
      </c>
      <c r="H13" s="16">
        <v>235075817.47999999</v>
      </c>
      <c r="I13" s="16">
        <v>304636836.69999999</v>
      </c>
      <c r="J13" s="16">
        <v>613744923.51999998</v>
      </c>
      <c r="K13" s="16">
        <v>0</v>
      </c>
      <c r="L13" s="16">
        <v>0</v>
      </c>
      <c r="M13" s="16">
        <v>0</v>
      </c>
      <c r="N13" s="18">
        <f t="shared" si="0"/>
        <v>5372969399.5546227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8" customHeight="1" x14ac:dyDescent="0.2">
      <c r="A14" s="17" t="s">
        <v>9</v>
      </c>
      <c r="B14" s="16">
        <v>1458473264.9200001</v>
      </c>
      <c r="C14" s="16">
        <v>0</v>
      </c>
      <c r="D14" s="16">
        <v>32862317.658848476</v>
      </c>
      <c r="E14" s="16">
        <v>16292492.93</v>
      </c>
      <c r="F14" s="16">
        <v>4813189.4800000004</v>
      </c>
      <c r="G14" s="16">
        <v>2132023</v>
      </c>
      <c r="H14" s="16">
        <v>85381868.370000005</v>
      </c>
      <c r="I14" s="16">
        <v>13865308.98</v>
      </c>
      <c r="J14" s="16">
        <v>131755962.41000006</v>
      </c>
      <c r="K14" s="16">
        <v>0</v>
      </c>
      <c r="L14" s="16">
        <v>0</v>
      </c>
      <c r="M14" s="16">
        <v>0</v>
      </c>
      <c r="N14" s="18">
        <f t="shared" si="0"/>
        <v>1745576427.7488487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8" customHeight="1" x14ac:dyDescent="0.2">
      <c r="A15" s="17" t="s">
        <v>10</v>
      </c>
      <c r="B15" s="16">
        <v>2467934546.1900005</v>
      </c>
      <c r="C15" s="16">
        <v>0</v>
      </c>
      <c r="D15" s="16">
        <v>44080897.587963946</v>
      </c>
      <c r="E15" s="16">
        <v>27629730.52</v>
      </c>
      <c r="F15" s="16">
        <v>17931187.739999998</v>
      </c>
      <c r="G15" s="16">
        <v>7385327.6799999997</v>
      </c>
      <c r="H15" s="16">
        <v>144477699.81999999</v>
      </c>
      <c r="I15" s="16">
        <v>51654201.289999999</v>
      </c>
      <c r="J15" s="16">
        <v>210218493.24000001</v>
      </c>
      <c r="K15" s="16">
        <v>0</v>
      </c>
      <c r="L15" s="16">
        <v>0</v>
      </c>
      <c r="M15" s="16">
        <v>0</v>
      </c>
      <c r="N15" s="18">
        <f t="shared" si="0"/>
        <v>2971312084.0679646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8" customHeight="1" x14ac:dyDescent="0.2">
      <c r="A16" s="17" t="s">
        <v>11</v>
      </c>
      <c r="B16" s="16">
        <v>4473368921.9299994</v>
      </c>
      <c r="C16" s="16">
        <v>0</v>
      </c>
      <c r="D16" s="16">
        <v>67496989.85626778</v>
      </c>
      <c r="E16" s="16">
        <v>63719755.889999993</v>
      </c>
      <c r="F16" s="16">
        <v>66875565.409999996</v>
      </c>
      <c r="G16" s="16">
        <v>32764929.510000002</v>
      </c>
      <c r="H16" s="16">
        <v>261879737.96000001</v>
      </c>
      <c r="I16" s="16">
        <v>192647802.63999999</v>
      </c>
      <c r="J16" s="16">
        <v>522209814.45999998</v>
      </c>
      <c r="K16" s="16">
        <v>0</v>
      </c>
      <c r="L16" s="16">
        <v>0</v>
      </c>
      <c r="M16" s="16">
        <v>0</v>
      </c>
      <c r="N16" s="18">
        <f t="shared" si="0"/>
        <v>5680963517.6562681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" x14ac:dyDescent="0.2">
      <c r="A17" s="17" t="s">
        <v>12</v>
      </c>
      <c r="B17" s="16">
        <v>1731836092.99</v>
      </c>
      <c r="C17" s="16">
        <v>0</v>
      </c>
      <c r="D17" s="16">
        <v>45774976.610762104</v>
      </c>
      <c r="E17" s="16">
        <v>19429933.810000002</v>
      </c>
      <c r="F17" s="16">
        <v>13735073.83</v>
      </c>
      <c r="G17" s="16">
        <v>4775731.53</v>
      </c>
      <c r="H17" s="16">
        <v>101385061.27</v>
      </c>
      <c r="I17" s="16">
        <v>39566496.030000001</v>
      </c>
      <c r="J17" s="16">
        <v>141548576.62</v>
      </c>
      <c r="K17" s="16">
        <v>0</v>
      </c>
      <c r="L17" s="16">
        <v>0</v>
      </c>
      <c r="M17" s="16">
        <v>0</v>
      </c>
      <c r="N17" s="18">
        <f t="shared" si="0"/>
        <v>2098051942.690762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x14ac:dyDescent="0.2">
      <c r="A18" s="17" t="s">
        <v>13</v>
      </c>
      <c r="B18" s="16">
        <v>972393994.81000018</v>
      </c>
      <c r="C18" s="16">
        <v>0</v>
      </c>
      <c r="D18" s="16">
        <v>16350904.455607608</v>
      </c>
      <c r="E18" s="16">
        <v>10928516.040000001</v>
      </c>
      <c r="F18" s="16">
        <v>9256133.6199999992</v>
      </c>
      <c r="G18" s="16">
        <v>3888809.96</v>
      </c>
      <c r="H18" s="16">
        <v>56925840.240000002</v>
      </c>
      <c r="I18" s="16">
        <v>26664055.73</v>
      </c>
      <c r="J18" s="16">
        <v>115400931.53000005</v>
      </c>
      <c r="K18" s="16">
        <v>0</v>
      </c>
      <c r="L18" s="16">
        <v>0</v>
      </c>
      <c r="M18" s="16">
        <v>0</v>
      </c>
      <c r="N18" s="18">
        <f t="shared" si="0"/>
        <v>1211809186.3856077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" x14ac:dyDescent="0.2">
      <c r="A19" s="17" t="s">
        <v>14</v>
      </c>
      <c r="B19" s="16">
        <v>1567253305.02</v>
      </c>
      <c r="C19" s="16">
        <v>0</v>
      </c>
      <c r="D19" s="16">
        <v>33444602.904442377</v>
      </c>
      <c r="E19" s="16">
        <v>17486174.859999999</v>
      </c>
      <c r="F19" s="16">
        <v>3738449.52</v>
      </c>
      <c r="G19" s="16">
        <v>2166135.37</v>
      </c>
      <c r="H19" s="16">
        <v>91750063.989999995</v>
      </c>
      <c r="I19" s="16">
        <v>10769315.84</v>
      </c>
      <c r="J19" s="16">
        <v>100402676.77000003</v>
      </c>
      <c r="K19" s="16">
        <v>0</v>
      </c>
      <c r="L19" s="16">
        <v>0</v>
      </c>
      <c r="M19" s="16">
        <v>0</v>
      </c>
      <c r="N19" s="18">
        <f t="shared" si="0"/>
        <v>1827010724.274442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" x14ac:dyDescent="0.2">
      <c r="A20" s="17" t="s">
        <v>15</v>
      </c>
      <c r="B20" s="16">
        <v>5613541160.4700003</v>
      </c>
      <c r="C20" s="16">
        <v>0</v>
      </c>
      <c r="D20" s="16">
        <v>24594353.217120077</v>
      </c>
      <c r="E20" s="16">
        <v>80810104.359999999</v>
      </c>
      <c r="F20" s="16">
        <v>119321846.97</v>
      </c>
      <c r="G20" s="16">
        <v>51324996.553979203</v>
      </c>
      <c r="H20" s="16">
        <v>328627643.68000001</v>
      </c>
      <c r="I20" s="16">
        <v>343729305.06999999</v>
      </c>
      <c r="J20" s="16">
        <v>570931514.24000025</v>
      </c>
      <c r="K20" s="16">
        <v>0</v>
      </c>
      <c r="L20" s="16">
        <v>0</v>
      </c>
      <c r="M20" s="16">
        <v>0</v>
      </c>
      <c r="N20" s="18">
        <f t="shared" si="0"/>
        <v>7132880924.5611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x14ac:dyDescent="0.2">
      <c r="A21" s="17" t="s">
        <v>16</v>
      </c>
      <c r="B21" s="16">
        <v>2436518170.9499998</v>
      </c>
      <c r="C21" s="16">
        <v>0</v>
      </c>
      <c r="D21" s="16">
        <v>13163286.521994192</v>
      </c>
      <c r="E21" s="16">
        <v>27591541.600000001</v>
      </c>
      <c r="F21" s="16">
        <v>31727969.129999999</v>
      </c>
      <c r="G21" s="16">
        <v>7179377.7256510034</v>
      </c>
      <c r="H21" s="16">
        <v>142638523.96000001</v>
      </c>
      <c r="I21" s="16">
        <v>91398457.689999998</v>
      </c>
      <c r="J21" s="16">
        <v>187182537.5</v>
      </c>
      <c r="K21" s="16">
        <v>0</v>
      </c>
      <c r="L21" s="16">
        <v>0</v>
      </c>
      <c r="M21" s="16">
        <v>0</v>
      </c>
      <c r="N21" s="18">
        <f t="shared" si="0"/>
        <v>2937399865.0776448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x14ac:dyDescent="0.2">
      <c r="A22" s="17" t="s">
        <v>17</v>
      </c>
      <c r="B22" s="16">
        <v>1994738008.0800002</v>
      </c>
      <c r="C22" s="16">
        <v>0</v>
      </c>
      <c r="D22" s="16">
        <v>30298289.637784299</v>
      </c>
      <c r="E22" s="16">
        <v>22284017.469999999</v>
      </c>
      <c r="F22" s="16">
        <v>7554033.4900000002</v>
      </c>
      <c r="G22" s="16">
        <v>3667079.57</v>
      </c>
      <c r="H22" s="16">
        <v>116775851.93000001</v>
      </c>
      <c r="I22" s="16">
        <v>21760832.149999999</v>
      </c>
      <c r="J22" s="16">
        <v>140563809.63</v>
      </c>
      <c r="K22" s="16">
        <v>0</v>
      </c>
      <c r="L22" s="16">
        <v>0</v>
      </c>
      <c r="M22" s="16">
        <v>0</v>
      </c>
      <c r="N22" s="18">
        <f t="shared" si="0"/>
        <v>2337641921.9577847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x14ac:dyDescent="0.2">
      <c r="A23" s="17" t="s">
        <v>18</v>
      </c>
      <c r="B23" s="16">
        <v>1881517966.3400002</v>
      </c>
      <c r="C23" s="16">
        <v>0</v>
      </c>
      <c r="D23" s="16">
        <v>26768023.191866942</v>
      </c>
      <c r="E23" s="16">
        <v>21044405.340000004</v>
      </c>
      <c r="F23" s="16">
        <v>7240353.4100000001</v>
      </c>
      <c r="G23" s="16">
        <v>4519888.7699999996</v>
      </c>
      <c r="H23" s="16">
        <v>110147729.95999999</v>
      </c>
      <c r="I23" s="16">
        <v>20857216.93</v>
      </c>
      <c r="J23" s="16">
        <v>116029863.53000005</v>
      </c>
      <c r="K23" s="16">
        <v>0</v>
      </c>
      <c r="L23" s="16">
        <v>0</v>
      </c>
      <c r="M23" s="16">
        <v>0</v>
      </c>
      <c r="N23" s="18">
        <f t="shared" si="0"/>
        <v>2188125447.4718671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x14ac:dyDescent="0.2">
      <c r="A24" s="17" t="s">
        <v>19</v>
      </c>
      <c r="B24" s="16">
        <v>597012038.21000004</v>
      </c>
      <c r="C24" s="16">
        <v>0</v>
      </c>
      <c r="D24" s="16">
        <v>13985989.796775691</v>
      </c>
      <c r="E24" s="16">
        <v>6765549.9299999997</v>
      </c>
      <c r="F24" s="16">
        <v>7528322.0099999998</v>
      </c>
      <c r="G24" s="16">
        <v>1169472.1538261629</v>
      </c>
      <c r="H24" s="16">
        <v>34950248.649999999</v>
      </c>
      <c r="I24" s="16">
        <v>21686765.329999998</v>
      </c>
      <c r="J24" s="16">
        <v>98179019.650000036</v>
      </c>
      <c r="K24" s="16">
        <v>0</v>
      </c>
      <c r="L24" s="16">
        <v>0</v>
      </c>
      <c r="M24" s="16">
        <v>0</v>
      </c>
      <c r="N24" s="18">
        <f t="shared" si="0"/>
        <v>781277405.73060179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x14ac:dyDescent="0.2">
      <c r="A25" s="17" t="s">
        <v>20</v>
      </c>
      <c r="B25" s="16">
        <v>2345901773.9200001</v>
      </c>
      <c r="C25" s="16">
        <v>0</v>
      </c>
      <c r="D25" s="16">
        <v>14946994.169147696</v>
      </c>
      <c r="E25" s="16">
        <v>26542898.830000002</v>
      </c>
      <c r="F25" s="16">
        <v>33388930.890000001</v>
      </c>
      <c r="G25" s="16">
        <v>10762452.119999999</v>
      </c>
      <c r="H25" s="16">
        <v>137333663.41</v>
      </c>
      <c r="I25" s="16">
        <v>96183174.359999999</v>
      </c>
      <c r="J25" s="16">
        <v>226960152.57000008</v>
      </c>
      <c r="K25" s="16">
        <v>0</v>
      </c>
      <c r="L25" s="16">
        <v>0</v>
      </c>
      <c r="M25" s="16">
        <v>0</v>
      </c>
      <c r="N25" s="18">
        <f t="shared" si="0"/>
        <v>2892020040.2691474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x14ac:dyDescent="0.2">
      <c r="A26" s="17" t="s">
        <v>21</v>
      </c>
      <c r="B26" s="16">
        <v>1003978551.8900001</v>
      </c>
      <c r="C26" s="16">
        <v>0</v>
      </c>
      <c r="D26" s="16">
        <v>17919926.881526172</v>
      </c>
      <c r="E26" s="16">
        <v>11451218.619999999</v>
      </c>
      <c r="F26" s="16">
        <v>15185201.43</v>
      </c>
      <c r="G26" s="16">
        <v>6873642.1600000001</v>
      </c>
      <c r="H26" s="16">
        <v>58774861.789999999</v>
      </c>
      <c r="I26" s="16">
        <v>43743864.759999998</v>
      </c>
      <c r="J26" s="16">
        <v>167469159</v>
      </c>
      <c r="K26" s="16">
        <v>0</v>
      </c>
      <c r="L26" s="16">
        <v>0</v>
      </c>
      <c r="M26" s="16">
        <v>0</v>
      </c>
      <c r="N26" s="18">
        <f t="shared" si="0"/>
        <v>1325396426.5315263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" x14ac:dyDescent="0.2">
      <c r="A27" s="17" t="s">
        <v>22</v>
      </c>
      <c r="B27" s="16">
        <v>457690168.68000001</v>
      </c>
      <c r="C27" s="16">
        <v>0</v>
      </c>
      <c r="D27" s="16">
        <v>6290626.8450823706</v>
      </c>
      <c r="E27" s="16">
        <v>5143394.41</v>
      </c>
      <c r="F27" s="16">
        <v>3774445.59</v>
      </c>
      <c r="G27" s="16">
        <v>1552112.75</v>
      </c>
      <c r="H27" s="16">
        <v>26794074.789999999</v>
      </c>
      <c r="I27" s="16">
        <v>10873009.390000001</v>
      </c>
      <c r="J27" s="16">
        <v>44877189.560000002</v>
      </c>
      <c r="K27" s="16">
        <v>0</v>
      </c>
      <c r="L27" s="16">
        <v>0</v>
      </c>
      <c r="M27" s="16">
        <v>0</v>
      </c>
      <c r="N27" s="18">
        <f t="shared" si="0"/>
        <v>556995022.01508236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" x14ac:dyDescent="0.2">
      <c r="A28" s="17" t="s">
        <v>23</v>
      </c>
      <c r="B28" s="16">
        <v>1754271555.77</v>
      </c>
      <c r="C28" s="16">
        <v>0</v>
      </c>
      <c r="D28" s="16">
        <v>24226716.110680338</v>
      </c>
      <c r="E28" s="16">
        <v>19593649.530000001</v>
      </c>
      <c r="F28" s="16">
        <v>5198861.71</v>
      </c>
      <c r="G28" s="16">
        <v>2251416.29</v>
      </c>
      <c r="H28" s="16">
        <v>102698477</v>
      </c>
      <c r="I28" s="16">
        <v>14976311.300000001</v>
      </c>
      <c r="J28" s="16">
        <v>91753462.329999998</v>
      </c>
      <c r="K28" s="16">
        <v>0</v>
      </c>
      <c r="L28" s="16">
        <v>0</v>
      </c>
      <c r="M28" s="16">
        <v>0</v>
      </c>
      <c r="N28" s="18">
        <f t="shared" si="0"/>
        <v>2014970450.0406802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" x14ac:dyDescent="0.2">
      <c r="A29" s="17" t="s">
        <v>24</v>
      </c>
      <c r="B29" s="16">
        <v>1002397642.22</v>
      </c>
      <c r="C29" s="16">
        <v>0</v>
      </c>
      <c r="D29" s="16">
        <v>24083358.857291285</v>
      </c>
      <c r="E29" s="16">
        <v>11187390.559999999</v>
      </c>
      <c r="F29" s="16">
        <v>3244789.06</v>
      </c>
      <c r="G29" s="16">
        <v>1364494.72</v>
      </c>
      <c r="H29" s="16">
        <v>58682312.25</v>
      </c>
      <c r="I29" s="16">
        <v>9347232.8699999992</v>
      </c>
      <c r="J29" s="16">
        <v>81797238.760000005</v>
      </c>
      <c r="K29" s="16">
        <v>0</v>
      </c>
      <c r="L29" s="16">
        <v>0</v>
      </c>
      <c r="M29" s="16">
        <v>0</v>
      </c>
      <c r="N29" s="18">
        <f t="shared" si="0"/>
        <v>1192104459.297291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x14ac:dyDescent="0.2">
      <c r="A30" s="17" t="s">
        <v>25</v>
      </c>
      <c r="B30" s="16">
        <v>351567402.26999998</v>
      </c>
      <c r="C30" s="16">
        <v>0</v>
      </c>
      <c r="D30" s="16">
        <v>11863882.719648382</v>
      </c>
      <c r="E30" s="16">
        <v>3957068.7499999995</v>
      </c>
      <c r="F30" s="16">
        <v>2802551.56</v>
      </c>
      <c r="G30" s="16">
        <v>1705618.4</v>
      </c>
      <c r="H30" s="16">
        <v>20581441.149999999</v>
      </c>
      <c r="I30" s="16">
        <v>8073283.54</v>
      </c>
      <c r="J30" s="16">
        <v>63544214.320000008</v>
      </c>
      <c r="K30" s="16">
        <v>0</v>
      </c>
      <c r="L30" s="16">
        <v>0</v>
      </c>
      <c r="M30" s="16">
        <v>0</v>
      </c>
      <c r="N30" s="18">
        <f t="shared" si="0"/>
        <v>464095462.70964831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x14ac:dyDescent="0.2">
      <c r="A31" s="17" t="s">
        <v>26</v>
      </c>
      <c r="B31" s="16">
        <v>605185677.56999993</v>
      </c>
      <c r="C31" s="16">
        <v>0</v>
      </c>
      <c r="D31" s="16">
        <v>10343595.86881219</v>
      </c>
      <c r="E31" s="16">
        <v>6762302.5700000003</v>
      </c>
      <c r="F31" s="16">
        <v>3347634.99</v>
      </c>
      <c r="G31" s="16">
        <v>938090.12</v>
      </c>
      <c r="H31" s="16">
        <v>35428749.439999998</v>
      </c>
      <c r="I31" s="16">
        <v>9643500.1600000001</v>
      </c>
      <c r="J31" s="16">
        <v>45035511.239999995</v>
      </c>
      <c r="K31" s="16">
        <v>0</v>
      </c>
      <c r="L31" s="16">
        <v>0</v>
      </c>
      <c r="M31" s="16">
        <v>0</v>
      </c>
      <c r="N31" s="18">
        <f t="shared" si="0"/>
        <v>716685061.95881212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x14ac:dyDescent="0.2">
      <c r="A32" s="17" t="s">
        <v>27</v>
      </c>
      <c r="B32" s="16">
        <v>2769249202.75</v>
      </c>
      <c r="C32" s="16">
        <v>0</v>
      </c>
      <c r="D32" s="16">
        <v>27505601.871231329</v>
      </c>
      <c r="E32" s="16">
        <v>30952656.830000002</v>
      </c>
      <c r="F32" s="16">
        <v>9873209.1899999995</v>
      </c>
      <c r="G32" s="16">
        <v>5133911.3899999997</v>
      </c>
      <c r="H32" s="16">
        <v>162117247.25</v>
      </c>
      <c r="I32" s="16">
        <v>28441659.440000001</v>
      </c>
      <c r="J32" s="16">
        <v>140913423.64000002</v>
      </c>
      <c r="K32" s="16">
        <v>0</v>
      </c>
      <c r="L32" s="16">
        <v>0</v>
      </c>
      <c r="M32" s="16">
        <v>0</v>
      </c>
      <c r="N32" s="18">
        <f t="shared" si="0"/>
        <v>3174186912.3612313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x14ac:dyDescent="0.2">
      <c r="A33" s="17" t="s">
        <v>28</v>
      </c>
      <c r="B33" s="16">
        <v>1734257912.0299997</v>
      </c>
      <c r="C33" s="16">
        <v>0</v>
      </c>
      <c r="D33" s="16">
        <v>35184092.714385167</v>
      </c>
      <c r="E33" s="16">
        <v>19407511.309999999</v>
      </c>
      <c r="F33" s="16">
        <v>7245495.7000000002</v>
      </c>
      <c r="G33" s="16">
        <v>4127596.53</v>
      </c>
      <c r="H33" s="16">
        <v>101526839.28</v>
      </c>
      <c r="I33" s="16">
        <v>20872030.289999999</v>
      </c>
      <c r="J33" s="16">
        <v>134413215.75</v>
      </c>
      <c r="K33" s="16">
        <v>0</v>
      </c>
      <c r="L33" s="16">
        <v>0</v>
      </c>
      <c r="M33" s="16">
        <v>0</v>
      </c>
      <c r="N33" s="18">
        <f t="shared" si="0"/>
        <v>2057034693.6043849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x14ac:dyDescent="0.2">
      <c r="A34" s="17" t="s">
        <v>29</v>
      </c>
      <c r="B34" s="16">
        <v>2370658146.6799998</v>
      </c>
      <c r="C34" s="16">
        <v>0</v>
      </c>
      <c r="D34" s="16">
        <v>25529274.383927993</v>
      </c>
      <c r="E34" s="16">
        <v>33578452.789999999</v>
      </c>
      <c r="F34" s="16">
        <v>10536565.43</v>
      </c>
      <c r="G34" s="16">
        <v>6890698.3499999996</v>
      </c>
      <c r="H34" s="16">
        <v>138782949.74000001</v>
      </c>
      <c r="I34" s="16">
        <v>30352583.440000001</v>
      </c>
      <c r="J34" s="16">
        <v>169078192.34</v>
      </c>
      <c r="K34" s="16">
        <v>0</v>
      </c>
      <c r="L34" s="16">
        <v>0</v>
      </c>
      <c r="M34" s="16">
        <v>0</v>
      </c>
      <c r="N34" s="18">
        <f t="shared" si="0"/>
        <v>2785406863.1539273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x14ac:dyDescent="0.2">
      <c r="A35" s="17" t="s">
        <v>30</v>
      </c>
      <c r="B35" s="16">
        <v>1169805885.75</v>
      </c>
      <c r="C35" s="16">
        <v>0</v>
      </c>
      <c r="D35" s="16">
        <v>15965096.962368391</v>
      </c>
      <c r="E35" s="16">
        <v>13082587.540000003</v>
      </c>
      <c r="F35" s="16">
        <v>6587281.7599999998</v>
      </c>
      <c r="G35" s="16">
        <v>2677820.89</v>
      </c>
      <c r="H35" s="16">
        <v>68482717.209999993</v>
      </c>
      <c r="I35" s="16">
        <v>18975919.66</v>
      </c>
      <c r="J35" s="16">
        <v>60767209.070000008</v>
      </c>
      <c r="K35" s="16">
        <v>0</v>
      </c>
      <c r="L35" s="16">
        <v>0</v>
      </c>
      <c r="M35" s="16">
        <v>0</v>
      </c>
      <c r="N35" s="18">
        <f t="shared" si="0"/>
        <v>1356344518.8423686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x14ac:dyDescent="0.2">
      <c r="A36" s="17" t="s">
        <v>31</v>
      </c>
      <c r="B36" s="16">
        <v>1342192312.96</v>
      </c>
      <c r="C36" s="16">
        <v>0</v>
      </c>
      <c r="D36" s="16">
        <v>17520980.844269961</v>
      </c>
      <c r="E36" s="16">
        <v>14971917.060000001</v>
      </c>
      <c r="F36" s="16">
        <v>4144690.94</v>
      </c>
      <c r="G36" s="16">
        <v>1552112.75</v>
      </c>
      <c r="H36" s="16">
        <v>78574554.739999995</v>
      </c>
      <c r="I36" s="16">
        <v>11939571.619999999</v>
      </c>
      <c r="J36" s="16">
        <v>61198316.659999974</v>
      </c>
      <c r="K36" s="16">
        <v>0</v>
      </c>
      <c r="L36" s="16">
        <v>0</v>
      </c>
      <c r="M36" s="16">
        <v>0</v>
      </c>
      <c r="N36" s="18">
        <f t="shared" si="0"/>
        <v>1532094457.57427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" x14ac:dyDescent="0.2">
      <c r="A37" s="17" t="s">
        <v>32</v>
      </c>
      <c r="B37" s="16">
        <v>1397524151.5500002</v>
      </c>
      <c r="C37" s="16">
        <v>0</v>
      </c>
      <c r="D37" s="16">
        <v>22681153.016321369</v>
      </c>
      <c r="E37" s="16">
        <v>15615301.029999999</v>
      </c>
      <c r="F37" s="16">
        <v>7687733.2000000002</v>
      </c>
      <c r="G37" s="16">
        <v>2370809.58</v>
      </c>
      <c r="H37" s="16">
        <v>81813788.439999998</v>
      </c>
      <c r="I37" s="16">
        <v>22145979.620000001</v>
      </c>
      <c r="J37" s="16">
        <v>103877665.81000003</v>
      </c>
      <c r="K37" s="16">
        <v>0</v>
      </c>
      <c r="L37" s="16">
        <v>0</v>
      </c>
      <c r="M37" s="16">
        <v>0</v>
      </c>
      <c r="N37" s="18">
        <f t="shared" si="0"/>
        <v>1653716582.2463214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" x14ac:dyDescent="0.2">
      <c r="A38" s="17" t="s">
        <v>33</v>
      </c>
      <c r="B38" s="16">
        <v>1179560434.8200002</v>
      </c>
      <c r="C38" s="16">
        <v>0</v>
      </c>
      <c r="D38" s="16">
        <v>1322312.4441571767</v>
      </c>
      <c r="E38" s="16">
        <v>13232654.76</v>
      </c>
      <c r="F38" s="16">
        <v>6870108.0599999996</v>
      </c>
      <c r="G38" s="16">
        <v>6566630.8499999996</v>
      </c>
      <c r="H38" s="16">
        <v>69053767.530000001</v>
      </c>
      <c r="I38" s="16">
        <v>19790654.699999999</v>
      </c>
      <c r="J38" s="16">
        <v>171420046.38</v>
      </c>
      <c r="K38" s="16">
        <v>0</v>
      </c>
      <c r="L38" s="16">
        <v>0</v>
      </c>
      <c r="M38" s="16">
        <v>0</v>
      </c>
      <c r="N38" s="18">
        <f t="shared" si="0"/>
        <v>1467816609.544157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x14ac:dyDescent="0.2">
      <c r="A39" s="17" t="s">
        <v>34</v>
      </c>
      <c r="B39" s="16">
        <v>2267360835.8600001</v>
      </c>
      <c r="C39" s="16">
        <v>0</v>
      </c>
      <c r="D39" s="16">
        <v>36154831.653049931</v>
      </c>
      <c r="E39" s="16">
        <v>25295970.370000001</v>
      </c>
      <c r="F39" s="16">
        <v>8752188.5600000005</v>
      </c>
      <c r="G39" s="16">
        <v>4093484.17</v>
      </c>
      <c r="H39" s="16">
        <v>132735723.78</v>
      </c>
      <c r="I39" s="16">
        <v>25212346.030000001</v>
      </c>
      <c r="J39" s="16">
        <v>148820797.00999999</v>
      </c>
      <c r="K39" s="16">
        <v>0</v>
      </c>
      <c r="L39" s="16">
        <v>0</v>
      </c>
      <c r="M39" s="16">
        <v>0</v>
      </c>
      <c r="N39" s="18">
        <f t="shared" si="0"/>
        <v>2648426177.4330502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x14ac:dyDescent="0.2">
      <c r="A40" s="17" t="s">
        <v>35</v>
      </c>
      <c r="B40" s="16">
        <v>1489116003.46</v>
      </c>
      <c r="C40" s="16">
        <v>0</v>
      </c>
      <c r="D40" s="16">
        <v>39660875.956238404</v>
      </c>
      <c r="E40" s="16">
        <v>16622676.340000002</v>
      </c>
      <c r="F40" s="16">
        <v>4674347.47</v>
      </c>
      <c r="G40" s="16">
        <v>1790899.32</v>
      </c>
      <c r="H40" s="16">
        <v>87175754.030000001</v>
      </c>
      <c r="I40" s="16">
        <v>13465348.140000001</v>
      </c>
      <c r="J40" s="16">
        <v>81988220.160000041</v>
      </c>
      <c r="K40" s="16">
        <v>0</v>
      </c>
      <c r="L40" s="16">
        <v>0</v>
      </c>
      <c r="M40" s="16">
        <v>0</v>
      </c>
      <c r="N40" s="18">
        <f t="shared" ref="N40:N71" si="1">SUM(B40:M40)</f>
        <v>1734494124.8762386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x14ac:dyDescent="0.2">
      <c r="A41" s="17" t="s">
        <v>36</v>
      </c>
      <c r="B41" s="16">
        <v>1556119664.5599999</v>
      </c>
      <c r="C41" s="16">
        <v>0</v>
      </c>
      <c r="D41" s="16">
        <v>11452929.619305203</v>
      </c>
      <c r="E41" s="16">
        <v>17383720.539999999</v>
      </c>
      <c r="F41" s="16">
        <v>7913994.2400000002</v>
      </c>
      <c r="G41" s="16">
        <v>3121281.68</v>
      </c>
      <c r="H41" s="16">
        <v>91098278.969999999</v>
      </c>
      <c r="I41" s="16">
        <v>22797767.649999999</v>
      </c>
      <c r="J41" s="16">
        <v>84130694.629999995</v>
      </c>
      <c r="K41" s="16">
        <v>0</v>
      </c>
      <c r="L41" s="16">
        <v>0</v>
      </c>
      <c r="M41" s="16">
        <v>0</v>
      </c>
      <c r="N41" s="18">
        <f t="shared" si="1"/>
        <v>1794018331.8893051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x14ac:dyDescent="0.2">
      <c r="A42" s="17" t="s">
        <v>37</v>
      </c>
      <c r="B42" s="16">
        <v>943937620.67000008</v>
      </c>
      <c r="C42" s="16">
        <v>0</v>
      </c>
      <c r="D42" s="16">
        <v>8995936.1397571098</v>
      </c>
      <c r="E42" s="16">
        <v>10781143.6</v>
      </c>
      <c r="F42" s="16">
        <v>21494799.18</v>
      </c>
      <c r="G42" s="16">
        <v>0</v>
      </c>
      <c r="H42" s="16">
        <v>55259948.619999997</v>
      </c>
      <c r="I42" s="16">
        <v>61919862.75</v>
      </c>
      <c r="J42" s="16">
        <v>128200723.84999996</v>
      </c>
      <c r="K42" s="16">
        <v>0</v>
      </c>
      <c r="L42" s="16">
        <v>0</v>
      </c>
      <c r="M42" s="16">
        <v>0</v>
      </c>
      <c r="N42" s="18">
        <f t="shared" si="1"/>
        <v>1230590034.8097572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x14ac:dyDescent="0.2">
      <c r="A43" s="17" t="s">
        <v>38</v>
      </c>
      <c r="B43" s="16">
        <v>5716872107.6799994</v>
      </c>
      <c r="C43" s="16">
        <v>0</v>
      </c>
      <c r="D43" s="16">
        <v>22731904.327579658</v>
      </c>
      <c r="E43" s="16">
        <v>64843360.75</v>
      </c>
      <c r="F43" s="16">
        <v>89383397</v>
      </c>
      <c r="G43" s="16">
        <v>24936141.039999999</v>
      </c>
      <c r="H43" s="16">
        <v>334676838.79000002</v>
      </c>
      <c r="I43" s="16">
        <v>257485898.15000001</v>
      </c>
      <c r="J43" s="16">
        <v>419858443.83999991</v>
      </c>
      <c r="K43" s="16">
        <v>0</v>
      </c>
      <c r="L43" s="16">
        <v>0</v>
      </c>
      <c r="M43" s="16">
        <v>0</v>
      </c>
      <c r="N43" s="18">
        <f t="shared" si="1"/>
        <v>6930788091.5775785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" x14ac:dyDescent="0.2">
      <c r="A44" s="17" t="s">
        <v>39</v>
      </c>
      <c r="B44" s="16">
        <v>5203379191.1000004</v>
      </c>
      <c r="C44" s="16">
        <v>0</v>
      </c>
      <c r="D44" s="16">
        <v>48860402.742536739</v>
      </c>
      <c r="E44" s="16">
        <v>59463423.469999999</v>
      </c>
      <c r="F44" s="16">
        <v>112467165.8</v>
      </c>
      <c r="G44" s="16">
        <v>42720613.389273405</v>
      </c>
      <c r="H44" s="16">
        <v>304615962.33999997</v>
      </c>
      <c r="I44" s="16">
        <v>323983090.47000003</v>
      </c>
      <c r="J44" s="16">
        <v>542940619.5</v>
      </c>
      <c r="K44" s="16">
        <v>0</v>
      </c>
      <c r="L44" s="16">
        <v>0</v>
      </c>
      <c r="M44" s="16">
        <v>0</v>
      </c>
      <c r="N44" s="18">
        <f t="shared" si="1"/>
        <v>6638430468.8118114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x14ac:dyDescent="0.2">
      <c r="A45" s="17" t="s">
        <v>40</v>
      </c>
      <c r="B45" s="16">
        <v>1390662330.8399999</v>
      </c>
      <c r="C45" s="16">
        <v>0</v>
      </c>
      <c r="D45" s="16">
        <v>10719941.283930402</v>
      </c>
      <c r="E45" s="16">
        <v>15611513.300000003</v>
      </c>
      <c r="F45" s="16">
        <v>8376800.9199999999</v>
      </c>
      <c r="G45" s="16">
        <v>3905866.14</v>
      </c>
      <c r="H45" s="16">
        <v>81412084.079999998</v>
      </c>
      <c r="I45" s="16">
        <v>24130970.43</v>
      </c>
      <c r="J45" s="16">
        <v>81279971.770000011</v>
      </c>
      <c r="K45" s="16">
        <v>0</v>
      </c>
      <c r="L45" s="16">
        <v>0</v>
      </c>
      <c r="M45" s="16">
        <v>0</v>
      </c>
      <c r="N45" s="18">
        <f t="shared" si="1"/>
        <v>1616099478.7639303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" x14ac:dyDescent="0.2">
      <c r="A46" s="17" t="s">
        <v>41</v>
      </c>
      <c r="B46" s="16">
        <v>2200323538.4200001</v>
      </c>
      <c r="C46" s="16">
        <v>0</v>
      </c>
      <c r="D46" s="16">
        <v>16324215.022536743</v>
      </c>
      <c r="E46" s="16">
        <v>32102023.66</v>
      </c>
      <c r="F46" s="16">
        <v>66073367.170000002</v>
      </c>
      <c r="G46" s="16">
        <v>0</v>
      </c>
      <c r="H46" s="16">
        <v>128811229.69</v>
      </c>
      <c r="I46" s="16">
        <v>190336917.81</v>
      </c>
      <c r="J46" s="16">
        <v>343885824.29999995</v>
      </c>
      <c r="K46" s="16">
        <v>0</v>
      </c>
      <c r="L46" s="16">
        <v>0</v>
      </c>
      <c r="M46" s="16">
        <v>0</v>
      </c>
      <c r="N46" s="18">
        <f t="shared" si="1"/>
        <v>2977857116.0725365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x14ac:dyDescent="0.2">
      <c r="A47" s="17" t="s">
        <v>42</v>
      </c>
      <c r="B47" s="16">
        <v>6690981557.7400007</v>
      </c>
      <c r="C47" s="16">
        <v>0</v>
      </c>
      <c r="D47" s="16">
        <v>29894023.308455311</v>
      </c>
      <c r="E47" s="16">
        <v>97628602.679999992</v>
      </c>
      <c r="F47" s="16">
        <v>205979826.86000001</v>
      </c>
      <c r="G47" s="16">
        <v>48377439.756737068</v>
      </c>
      <c r="H47" s="16">
        <v>391703105.11000001</v>
      </c>
      <c r="I47" s="16">
        <v>593364120.13999999</v>
      </c>
      <c r="J47" s="16">
        <v>827427208.58000004</v>
      </c>
      <c r="K47" s="16">
        <v>0</v>
      </c>
      <c r="L47" s="16">
        <v>0</v>
      </c>
      <c r="M47" s="16">
        <v>0</v>
      </c>
      <c r="N47" s="18">
        <f t="shared" si="1"/>
        <v>8885355884.1751938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x14ac:dyDescent="0.2">
      <c r="A48" s="17" t="s">
        <v>43</v>
      </c>
      <c r="B48" s="16">
        <v>647365693.13999999</v>
      </c>
      <c r="C48" s="16">
        <v>0</v>
      </c>
      <c r="D48" s="16">
        <v>11314726.449222229</v>
      </c>
      <c r="E48" s="16">
        <v>7230143.7300000004</v>
      </c>
      <c r="F48" s="16">
        <v>1789519.16</v>
      </c>
      <c r="G48" s="16">
        <v>1057483.4099999999</v>
      </c>
      <c r="H48" s="16">
        <v>37898049.780000001</v>
      </c>
      <c r="I48" s="16">
        <v>5155050.7699999996</v>
      </c>
      <c r="J48" s="16">
        <v>44392582.289999999</v>
      </c>
      <c r="K48" s="16">
        <v>0</v>
      </c>
      <c r="L48" s="16">
        <v>0</v>
      </c>
      <c r="M48" s="16">
        <v>0</v>
      </c>
      <c r="N48" s="18">
        <f t="shared" si="1"/>
        <v>756203248.72922206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x14ac:dyDescent="0.2">
      <c r="A49" s="17" t="s">
        <v>44</v>
      </c>
      <c r="B49" s="16">
        <v>1222413177.8699999</v>
      </c>
      <c r="C49" s="16">
        <v>0</v>
      </c>
      <c r="D49" s="16">
        <v>15802689.597250182</v>
      </c>
      <c r="E49" s="16">
        <v>10604053.110000001</v>
      </c>
      <c r="F49" s="16">
        <v>10567419.210000001</v>
      </c>
      <c r="G49" s="16">
        <v>4434607.8499999996</v>
      </c>
      <c r="H49" s="16">
        <v>71562450.650000006</v>
      </c>
      <c r="I49" s="16">
        <v>30441463.620000001</v>
      </c>
      <c r="J49" s="16">
        <v>104482336.43000004</v>
      </c>
      <c r="K49" s="16">
        <v>0</v>
      </c>
      <c r="L49" s="16">
        <v>0</v>
      </c>
      <c r="M49" s="16">
        <v>0</v>
      </c>
      <c r="N49" s="18">
        <f t="shared" si="1"/>
        <v>1470308198.33725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x14ac:dyDescent="0.2">
      <c r="A50" s="17" t="s">
        <v>45</v>
      </c>
      <c r="B50" s="16">
        <v>793650292.53999996</v>
      </c>
      <c r="C50" s="16">
        <v>0</v>
      </c>
      <c r="D50" s="16">
        <v>12317211.565765115</v>
      </c>
      <c r="E50" s="16">
        <v>8860910.5700000003</v>
      </c>
      <c r="F50" s="16">
        <v>2961962.75</v>
      </c>
      <c r="G50" s="16">
        <v>1262157.6200000001</v>
      </c>
      <c r="H50" s="16">
        <v>46461835.43</v>
      </c>
      <c r="I50" s="16">
        <v>8532497.8300000001</v>
      </c>
      <c r="J50" s="16">
        <v>75503875.479999989</v>
      </c>
      <c r="K50" s="16">
        <v>0</v>
      </c>
      <c r="L50" s="16">
        <v>0</v>
      </c>
      <c r="M50" s="16">
        <v>0</v>
      </c>
      <c r="N50" s="18">
        <f t="shared" si="1"/>
        <v>949550743.78576517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x14ac:dyDescent="0.2">
      <c r="A51" s="17" t="s">
        <v>46</v>
      </c>
      <c r="B51" s="16">
        <v>775923922.32999992</v>
      </c>
      <c r="C51" s="16">
        <v>0</v>
      </c>
      <c r="D51" s="16">
        <v>13244922.404071797</v>
      </c>
      <c r="E51" s="16">
        <v>8659805.1100000013</v>
      </c>
      <c r="F51" s="16">
        <v>3692168.85</v>
      </c>
      <c r="G51" s="16">
        <v>1586225.11</v>
      </c>
      <c r="H51" s="16">
        <v>45424099.159999996</v>
      </c>
      <c r="I51" s="16">
        <v>10635995.560000001</v>
      </c>
      <c r="J51" s="16">
        <v>52381760.340000018</v>
      </c>
      <c r="K51" s="16">
        <v>0</v>
      </c>
      <c r="L51" s="16">
        <v>0</v>
      </c>
      <c r="M51" s="16">
        <v>0</v>
      </c>
      <c r="N51" s="18">
        <f t="shared" si="1"/>
        <v>911548898.86407173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" x14ac:dyDescent="0.2">
      <c r="A52" s="17" t="s">
        <v>47</v>
      </c>
      <c r="B52" s="16">
        <v>915043973.63999999</v>
      </c>
      <c r="C52" s="16">
        <v>0</v>
      </c>
      <c r="D52" s="16">
        <v>17768723.663386643</v>
      </c>
      <c r="E52" s="16">
        <v>10226657.82</v>
      </c>
      <c r="F52" s="16">
        <v>3399057.95</v>
      </c>
      <c r="G52" s="16">
        <v>2029685.9</v>
      </c>
      <c r="H52" s="16">
        <v>53568458.189999998</v>
      </c>
      <c r="I52" s="16">
        <v>9791633.8000000007</v>
      </c>
      <c r="J52" s="16">
        <v>67143932.359999985</v>
      </c>
      <c r="K52" s="16">
        <v>0</v>
      </c>
      <c r="L52" s="16">
        <v>0</v>
      </c>
      <c r="M52" s="16">
        <v>0</v>
      </c>
      <c r="N52" s="18">
        <f t="shared" si="1"/>
        <v>1078972123.3233867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x14ac:dyDescent="0.2">
      <c r="A53" s="17" t="s">
        <v>48</v>
      </c>
      <c r="B53" s="16">
        <v>314567388.61000001</v>
      </c>
      <c r="C53" s="16">
        <v>0</v>
      </c>
      <c r="D53" s="16">
        <v>12925872.799152959</v>
      </c>
      <c r="E53" s="16">
        <v>3508694.41</v>
      </c>
      <c r="F53" s="16">
        <v>591364.09</v>
      </c>
      <c r="G53" s="16">
        <v>307011.31</v>
      </c>
      <c r="H53" s="16">
        <v>18415388.210000001</v>
      </c>
      <c r="I53" s="16">
        <v>1703536.89</v>
      </c>
      <c r="J53" s="16">
        <v>35509773.399999991</v>
      </c>
      <c r="K53" s="16">
        <v>0</v>
      </c>
      <c r="L53" s="16">
        <v>0</v>
      </c>
      <c r="M53" s="16">
        <v>0</v>
      </c>
      <c r="N53" s="18">
        <f t="shared" si="1"/>
        <v>387529029.71915293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17" t="s">
        <v>49</v>
      </c>
      <c r="B54" s="16">
        <v>1221303177.46</v>
      </c>
      <c r="C54" s="16">
        <v>0</v>
      </c>
      <c r="D54" s="16">
        <v>17331637.793250512</v>
      </c>
      <c r="E54" s="16">
        <v>13618966.229999999</v>
      </c>
      <c r="F54" s="16">
        <v>2031207.1</v>
      </c>
      <c r="G54" s="16">
        <v>1125708.1499999999</v>
      </c>
      <c r="H54" s="16">
        <v>71497469.060000002</v>
      </c>
      <c r="I54" s="16">
        <v>5851278.9000000004</v>
      </c>
      <c r="J54" s="16">
        <v>81239847.010000005</v>
      </c>
      <c r="K54" s="16">
        <v>0</v>
      </c>
      <c r="L54" s="16">
        <v>0</v>
      </c>
      <c r="M54" s="16">
        <v>0</v>
      </c>
      <c r="N54" s="18">
        <f t="shared" si="1"/>
        <v>1413999291.7032506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x14ac:dyDescent="0.2">
      <c r="A55" s="17" t="s">
        <v>50</v>
      </c>
      <c r="B55" s="16">
        <v>554764749.90999997</v>
      </c>
      <c r="C55" s="16">
        <v>0</v>
      </c>
      <c r="D55" s="16">
        <v>10611470.733553791</v>
      </c>
      <c r="E55" s="16">
        <v>6231583.8700000001</v>
      </c>
      <c r="F55" s="16">
        <v>3748734.11</v>
      </c>
      <c r="G55" s="16">
        <v>1756786.95</v>
      </c>
      <c r="H55" s="16">
        <v>32477010.030000001</v>
      </c>
      <c r="I55" s="16">
        <v>10798942.57</v>
      </c>
      <c r="J55" s="16">
        <v>57354739.739999987</v>
      </c>
      <c r="K55" s="16">
        <v>0</v>
      </c>
      <c r="L55" s="16">
        <v>0</v>
      </c>
      <c r="M55" s="16">
        <v>0</v>
      </c>
      <c r="N55" s="18">
        <f t="shared" si="1"/>
        <v>677744017.91355383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x14ac:dyDescent="0.2">
      <c r="A56" s="17" t="s">
        <v>51</v>
      </c>
      <c r="B56" s="16">
        <v>423111974.12</v>
      </c>
      <c r="C56" s="16">
        <v>0</v>
      </c>
      <c r="D56" s="16">
        <v>9389708.3851814568</v>
      </c>
      <c r="E56" s="16">
        <v>4726392.8699999992</v>
      </c>
      <c r="F56" s="16">
        <v>1059313.07</v>
      </c>
      <c r="G56" s="16">
        <v>477573.15</v>
      </c>
      <c r="H56" s="16">
        <v>24769799.870000001</v>
      </c>
      <c r="I56" s="16">
        <v>3051553.04</v>
      </c>
      <c r="J56" s="16">
        <v>47346571.820000008</v>
      </c>
      <c r="K56" s="16">
        <v>0</v>
      </c>
      <c r="L56" s="16">
        <v>0</v>
      </c>
      <c r="M56" s="16">
        <v>0</v>
      </c>
      <c r="N56" s="18">
        <f t="shared" si="1"/>
        <v>513932886.32518142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x14ac:dyDescent="0.2">
      <c r="A57" s="17" t="s">
        <v>52</v>
      </c>
      <c r="B57" s="16">
        <v>1053154933.6399999</v>
      </c>
      <c r="C57" s="16">
        <v>0</v>
      </c>
      <c r="D57" s="16">
        <v>13424135.048135914</v>
      </c>
      <c r="E57" s="16">
        <v>11806247.82</v>
      </c>
      <c r="F57" s="16">
        <v>5440549.6500000004</v>
      </c>
      <c r="G57" s="16">
        <v>2200247.7400000002</v>
      </c>
      <c r="H57" s="16">
        <v>61653743.049999997</v>
      </c>
      <c r="I57" s="16">
        <v>15672539.42</v>
      </c>
      <c r="J57" s="16">
        <v>101090085.03000003</v>
      </c>
      <c r="K57" s="16">
        <v>0</v>
      </c>
      <c r="L57" s="16">
        <v>0</v>
      </c>
      <c r="M57" s="16">
        <v>0</v>
      </c>
      <c r="N57" s="18">
        <f t="shared" si="1"/>
        <v>1264442481.3981359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x14ac:dyDescent="0.2">
      <c r="A58" s="17" t="s">
        <v>53</v>
      </c>
      <c r="B58" s="16">
        <v>988573091.66000009</v>
      </c>
      <c r="C58" s="16">
        <v>0</v>
      </c>
      <c r="D58" s="16">
        <v>7280393.0081371199</v>
      </c>
      <c r="E58" s="16">
        <v>11039763.27</v>
      </c>
      <c r="F58" s="16">
        <v>3167654.61</v>
      </c>
      <c r="G58" s="16">
        <v>1381550.91</v>
      </c>
      <c r="H58" s="16">
        <v>57872996.109999999</v>
      </c>
      <c r="I58" s="16">
        <v>9125032.4000000004</v>
      </c>
      <c r="J58" s="16">
        <v>57208237.820000008</v>
      </c>
      <c r="K58" s="16">
        <v>0</v>
      </c>
      <c r="L58" s="16">
        <v>0</v>
      </c>
      <c r="M58" s="16">
        <v>0</v>
      </c>
      <c r="N58" s="18">
        <f t="shared" si="1"/>
        <v>1135648719.7881372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x14ac:dyDescent="0.2">
      <c r="A59" s="17" t="s">
        <v>54</v>
      </c>
      <c r="B59" s="16">
        <v>1005559461.5799999</v>
      </c>
      <c r="C59" s="16">
        <v>0</v>
      </c>
      <c r="D59" s="16">
        <v>26786648.036265366</v>
      </c>
      <c r="E59" s="16">
        <v>11219456.599999998</v>
      </c>
      <c r="F59" s="16">
        <v>3085377.87</v>
      </c>
      <c r="G59" s="16">
        <v>1262157.6200000001</v>
      </c>
      <c r="H59" s="16">
        <v>58867411.32</v>
      </c>
      <c r="I59" s="16">
        <v>8888018.5800000001</v>
      </c>
      <c r="J59" s="16">
        <v>63985897.439999998</v>
      </c>
      <c r="K59" s="16">
        <v>0</v>
      </c>
      <c r="L59" s="16">
        <v>0</v>
      </c>
      <c r="M59" s="16">
        <v>0</v>
      </c>
      <c r="N59" s="18">
        <f t="shared" si="1"/>
        <v>1179654429.0462654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x14ac:dyDescent="0.2">
      <c r="A60" s="17" t="s">
        <v>55</v>
      </c>
      <c r="B60" s="16">
        <v>7185066285.3400002</v>
      </c>
      <c r="C60" s="16">
        <v>0</v>
      </c>
      <c r="D60" s="16">
        <v>149163509.41449672</v>
      </c>
      <c r="E60" s="16">
        <v>130844066.16</v>
      </c>
      <c r="F60" s="16">
        <v>169721494.53999999</v>
      </c>
      <c r="G60" s="16">
        <v>64932892.559999995</v>
      </c>
      <c r="H60" s="16">
        <v>420627788.32999998</v>
      </c>
      <c r="I60" s="16">
        <v>488915088.50999999</v>
      </c>
      <c r="J60" s="16">
        <v>1069560111.9000003</v>
      </c>
      <c r="K60" s="16">
        <v>0</v>
      </c>
      <c r="L60" s="16">
        <v>0</v>
      </c>
      <c r="M60" s="16">
        <v>0</v>
      </c>
      <c r="N60" s="18">
        <f t="shared" si="1"/>
        <v>9678831236.7544956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 x14ac:dyDescent="0.2">
      <c r="A61" s="17" t="s">
        <v>56</v>
      </c>
      <c r="B61" s="16">
        <v>1687267894.7</v>
      </c>
      <c r="C61" s="16">
        <v>0</v>
      </c>
      <c r="D61" s="16">
        <v>11015248.705249518</v>
      </c>
      <c r="E61" s="16">
        <v>19353206.210000001</v>
      </c>
      <c r="F61" s="16">
        <v>30298410.719999999</v>
      </c>
      <c r="G61" s="16">
        <v>5565331.8212385802</v>
      </c>
      <c r="H61" s="16">
        <v>98775952.049999997</v>
      </c>
      <c r="I61" s="16">
        <v>87280342.420000002</v>
      </c>
      <c r="J61" s="16">
        <v>264830131.67999989</v>
      </c>
      <c r="K61" s="16">
        <v>0</v>
      </c>
      <c r="L61" s="16">
        <v>0</v>
      </c>
      <c r="M61" s="16">
        <v>0</v>
      </c>
      <c r="N61" s="18">
        <f t="shared" si="1"/>
        <v>2204386518.306488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x14ac:dyDescent="0.2">
      <c r="A62" s="17" t="s">
        <v>57</v>
      </c>
      <c r="B62" s="16">
        <v>7847669256.9000006</v>
      </c>
      <c r="C62" s="16">
        <v>0</v>
      </c>
      <c r="D62" s="16">
        <v>65385292.760000013</v>
      </c>
      <c r="E62" s="16">
        <v>112097135.64</v>
      </c>
      <c r="F62" s="16">
        <v>135854330.08000001</v>
      </c>
      <c r="G62" s="16">
        <v>0</v>
      </c>
      <c r="H62" s="16">
        <v>459417858.10000002</v>
      </c>
      <c r="I62" s="16">
        <v>391354271.26999998</v>
      </c>
      <c r="J62" s="16">
        <v>526633489.35000014</v>
      </c>
      <c r="K62" s="16">
        <v>0</v>
      </c>
      <c r="L62" s="16">
        <v>0</v>
      </c>
      <c r="M62" s="16">
        <v>0</v>
      </c>
      <c r="N62" s="18">
        <f t="shared" si="1"/>
        <v>9538411634.1000023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x14ac:dyDescent="0.2">
      <c r="A63" s="17" t="s">
        <v>58</v>
      </c>
      <c r="B63" s="16">
        <v>1382017782.1700001</v>
      </c>
      <c r="C63" s="16">
        <v>0</v>
      </c>
      <c r="D63" s="16">
        <v>18797125.858976934</v>
      </c>
      <c r="E63" s="16">
        <v>15421121.99</v>
      </c>
      <c r="F63" s="16">
        <v>4787478</v>
      </c>
      <c r="G63" s="16">
        <v>2200247.7400000002</v>
      </c>
      <c r="H63" s="16">
        <v>80906015.349999994</v>
      </c>
      <c r="I63" s="16">
        <v>13791242.16</v>
      </c>
      <c r="J63" s="16">
        <v>70669932.789999992</v>
      </c>
      <c r="K63" s="16">
        <v>0</v>
      </c>
      <c r="L63" s="16">
        <v>0</v>
      </c>
      <c r="M63" s="16">
        <v>0</v>
      </c>
      <c r="N63" s="18">
        <f t="shared" si="1"/>
        <v>1588590946.0589769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x14ac:dyDescent="0.2">
      <c r="A64" s="17" t="s">
        <v>59</v>
      </c>
      <c r="B64" s="16">
        <v>2153703521.2399998</v>
      </c>
      <c r="C64" s="16">
        <v>0</v>
      </c>
      <c r="D64" s="16">
        <v>53164149.134833895</v>
      </c>
      <c r="E64" s="16">
        <v>24080384.180000003</v>
      </c>
      <c r="F64" s="16">
        <v>8762473.1600000001</v>
      </c>
      <c r="G64" s="16">
        <v>3428292.99</v>
      </c>
      <c r="H64" s="16">
        <v>126082002.98999999</v>
      </c>
      <c r="I64" s="16">
        <v>25241972.760000002</v>
      </c>
      <c r="J64" s="16">
        <v>149810540.57999998</v>
      </c>
      <c r="K64" s="16">
        <v>0</v>
      </c>
      <c r="L64" s="16">
        <v>0</v>
      </c>
      <c r="M64" s="16">
        <v>0</v>
      </c>
      <c r="N64" s="18">
        <f t="shared" si="1"/>
        <v>2544273337.034833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x14ac:dyDescent="0.2">
      <c r="A65" s="17" t="s">
        <v>60</v>
      </c>
      <c r="B65" s="16">
        <v>1129206779.8799999</v>
      </c>
      <c r="C65" s="16">
        <v>0</v>
      </c>
      <c r="D65" s="16">
        <v>15457939.367801618</v>
      </c>
      <c r="E65" s="16">
        <v>12586844.100000001</v>
      </c>
      <c r="F65" s="16">
        <v>1907791.98</v>
      </c>
      <c r="G65" s="16">
        <v>1142764.33</v>
      </c>
      <c r="H65" s="16">
        <v>66105966.399999999</v>
      </c>
      <c r="I65" s="16">
        <v>5495758.1500000004</v>
      </c>
      <c r="J65" s="16">
        <v>89355931.25</v>
      </c>
      <c r="K65" s="16">
        <v>0</v>
      </c>
      <c r="L65" s="16">
        <v>0</v>
      </c>
      <c r="M65" s="16">
        <v>0</v>
      </c>
      <c r="N65" s="18">
        <f t="shared" si="1"/>
        <v>1321259775.4578016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x14ac:dyDescent="0.2">
      <c r="A66" s="17" t="s">
        <v>61</v>
      </c>
      <c r="B66" s="16">
        <v>630480232.36000001</v>
      </c>
      <c r="C66" s="16">
        <v>0</v>
      </c>
      <c r="D66" s="16">
        <v>9309384.2598316465</v>
      </c>
      <c r="E66" s="16">
        <v>7037810.8499999996</v>
      </c>
      <c r="F66" s="16">
        <v>1866653.61</v>
      </c>
      <c r="G66" s="16">
        <v>1040427.23</v>
      </c>
      <c r="H66" s="16">
        <v>36909541.990000002</v>
      </c>
      <c r="I66" s="16">
        <v>5377251.2400000002</v>
      </c>
      <c r="J66" s="16">
        <v>39665327.859999985</v>
      </c>
      <c r="K66" s="16">
        <v>0</v>
      </c>
      <c r="L66" s="16">
        <v>0</v>
      </c>
      <c r="M66" s="16">
        <v>0</v>
      </c>
      <c r="N66" s="18">
        <f t="shared" si="1"/>
        <v>731686629.39983177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x14ac:dyDescent="0.2">
      <c r="A67" s="17" t="s">
        <v>62</v>
      </c>
      <c r="B67" s="16">
        <v>2828516497.3199997</v>
      </c>
      <c r="C67" s="16">
        <v>0</v>
      </c>
      <c r="D67" s="16">
        <v>17538152.800000001</v>
      </c>
      <c r="E67" s="16">
        <v>40497720.890000001</v>
      </c>
      <c r="F67" s="16">
        <v>50157959.630000003</v>
      </c>
      <c r="G67" s="16">
        <v>21002908.875570074</v>
      </c>
      <c r="H67" s="16">
        <v>165586870.22</v>
      </c>
      <c r="I67" s="16">
        <v>144489555.31999999</v>
      </c>
      <c r="J67" s="16">
        <v>255567848.44999993</v>
      </c>
      <c r="K67" s="16">
        <v>0</v>
      </c>
      <c r="L67" s="16">
        <v>0</v>
      </c>
      <c r="M67" s="16">
        <v>0</v>
      </c>
      <c r="N67" s="18">
        <f t="shared" si="1"/>
        <v>3523357513.5055699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x14ac:dyDescent="0.2">
      <c r="A68" s="17" t="s">
        <v>63</v>
      </c>
      <c r="B68" s="16">
        <v>1769307015.8800001</v>
      </c>
      <c r="C68" s="16">
        <v>0</v>
      </c>
      <c r="D68" s="16">
        <v>20087275.099999998</v>
      </c>
      <c r="E68" s="16">
        <v>20100250.43</v>
      </c>
      <c r="F68" s="16">
        <v>44234034.109999999</v>
      </c>
      <c r="G68" s="16">
        <v>19981858.757286638</v>
      </c>
      <c r="H68" s="16">
        <v>103578682.15000001</v>
      </c>
      <c r="I68" s="16">
        <v>127424559.65000001</v>
      </c>
      <c r="J68" s="16">
        <v>214636258.41999996</v>
      </c>
      <c r="K68" s="16">
        <v>0</v>
      </c>
      <c r="L68" s="16">
        <v>0</v>
      </c>
      <c r="M68" s="16">
        <v>0</v>
      </c>
      <c r="N68" s="18">
        <f t="shared" si="1"/>
        <v>2319349934.4972868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x14ac:dyDescent="0.2">
      <c r="A69" s="17" t="s">
        <v>64</v>
      </c>
      <c r="B69" s="16">
        <v>6319400511.6599998</v>
      </c>
      <c r="C69" s="16">
        <v>0</v>
      </c>
      <c r="D69" s="16">
        <v>22295678.238129444</v>
      </c>
      <c r="E69" s="16">
        <v>71905169.659999996</v>
      </c>
      <c r="F69" s="16">
        <v>130547480.14</v>
      </c>
      <c r="G69" s="16">
        <v>22467630.303660631</v>
      </c>
      <c r="H69" s="16">
        <v>369950026.24000001</v>
      </c>
      <c r="I69" s="16">
        <v>376066879.31999999</v>
      </c>
      <c r="J69" s="16">
        <v>501213066.35000014</v>
      </c>
      <c r="K69" s="16">
        <v>0</v>
      </c>
      <c r="L69" s="16">
        <v>0</v>
      </c>
      <c r="M69" s="16">
        <v>0</v>
      </c>
      <c r="N69" s="18">
        <f t="shared" si="1"/>
        <v>7813846441.9117899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x14ac:dyDescent="0.2">
      <c r="A70" s="17" t="s">
        <v>65</v>
      </c>
      <c r="B70" s="16">
        <v>1312558665.6600001</v>
      </c>
      <c r="C70" s="16">
        <v>0</v>
      </c>
      <c r="D70" s="16">
        <v>29483632.239863873</v>
      </c>
      <c r="E70" s="16">
        <v>14819721.790000001</v>
      </c>
      <c r="F70" s="16">
        <v>28992267.420000002</v>
      </c>
      <c r="G70" s="16">
        <v>10097260.939999999</v>
      </c>
      <c r="H70" s="16">
        <v>76839743.25</v>
      </c>
      <c r="I70" s="16">
        <v>83517747.890000001</v>
      </c>
      <c r="J70" s="16">
        <v>213046198.78000003</v>
      </c>
      <c r="K70" s="16">
        <v>0</v>
      </c>
      <c r="L70" s="16">
        <v>0</v>
      </c>
      <c r="M70" s="16">
        <v>0</v>
      </c>
      <c r="N70" s="18">
        <f t="shared" si="1"/>
        <v>1769355237.9698641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x14ac:dyDescent="0.2">
      <c r="A71" s="17" t="s">
        <v>66</v>
      </c>
      <c r="B71" s="16">
        <v>5113805521.6999998</v>
      </c>
      <c r="C71" s="16">
        <v>0</v>
      </c>
      <c r="D71" s="16">
        <v>11653692.010000002</v>
      </c>
      <c r="E71" s="16">
        <v>45892004.590000004</v>
      </c>
      <c r="F71" s="16">
        <v>18255152.420000002</v>
      </c>
      <c r="G71" s="16">
        <v>9807305.8100000005</v>
      </c>
      <c r="H71" s="16">
        <v>299372145.11000001</v>
      </c>
      <c r="I71" s="16">
        <v>52587443.240000002</v>
      </c>
      <c r="J71" s="16">
        <v>178055247.69999996</v>
      </c>
      <c r="K71" s="16">
        <v>0</v>
      </c>
      <c r="L71" s="16">
        <v>0</v>
      </c>
      <c r="M71" s="16">
        <v>0</v>
      </c>
      <c r="N71" s="18">
        <f t="shared" si="1"/>
        <v>5729428512.5799999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" x14ac:dyDescent="0.2">
      <c r="A72" s="17" t="s">
        <v>67</v>
      </c>
      <c r="B72" s="16">
        <v>22565131046.759998</v>
      </c>
      <c r="C72" s="16">
        <v>0</v>
      </c>
      <c r="D72" s="16">
        <v>105197138.72918114</v>
      </c>
      <c r="E72" s="16">
        <v>328594389.65000004</v>
      </c>
      <c r="F72" s="16">
        <v>531173513.13</v>
      </c>
      <c r="G72" s="16">
        <v>0</v>
      </c>
      <c r="H72" s="16">
        <v>1321006764.4000001</v>
      </c>
      <c r="I72" s="16">
        <v>1530146464.71</v>
      </c>
      <c r="J72" s="16">
        <v>2608682957.2199998</v>
      </c>
      <c r="K72" s="16">
        <v>0</v>
      </c>
      <c r="L72" s="16">
        <v>0</v>
      </c>
      <c r="M72" s="16">
        <v>0</v>
      </c>
      <c r="N72" s="18">
        <f t="shared" ref="N72:N103" si="2">SUM(B72:M72)</f>
        <v>28989932274.599182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x14ac:dyDescent="0.2">
      <c r="A73" s="17" t="s">
        <v>68</v>
      </c>
      <c r="B73" s="16">
        <v>10446550215.1</v>
      </c>
      <c r="C73" s="16">
        <v>0</v>
      </c>
      <c r="D73" s="16">
        <v>164142040.21230274</v>
      </c>
      <c r="E73" s="16">
        <v>150059184.34999999</v>
      </c>
      <c r="F73" s="16">
        <v>197155646.13999999</v>
      </c>
      <c r="G73" s="16">
        <v>87785524.650615364</v>
      </c>
      <c r="H73" s="16">
        <v>611561416.15999997</v>
      </c>
      <c r="I73" s="16">
        <v>567944387.01999998</v>
      </c>
      <c r="J73" s="16">
        <v>1136324258.9900002</v>
      </c>
      <c r="K73" s="16">
        <v>0</v>
      </c>
      <c r="L73" s="16">
        <v>0</v>
      </c>
      <c r="M73" s="16">
        <v>0</v>
      </c>
      <c r="N73" s="18">
        <f t="shared" si="2"/>
        <v>13361522672.622919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x14ac:dyDescent="0.2">
      <c r="A74" s="17" t="s">
        <v>69</v>
      </c>
      <c r="B74" s="16">
        <v>5439035641.6200008</v>
      </c>
      <c r="C74" s="16">
        <v>0</v>
      </c>
      <c r="D74" s="16">
        <v>50705889.839999996</v>
      </c>
      <c r="E74" s="16">
        <v>77962406.820000008</v>
      </c>
      <c r="F74" s="16">
        <v>143140964.16</v>
      </c>
      <c r="G74" s="16">
        <v>149491229.02695453</v>
      </c>
      <c r="H74" s="16">
        <v>318411750.38999999</v>
      </c>
      <c r="I74" s="16">
        <v>412344808.48000002</v>
      </c>
      <c r="J74" s="16">
        <v>609579415.55999994</v>
      </c>
      <c r="K74" s="16">
        <v>0</v>
      </c>
      <c r="L74" s="16">
        <v>0</v>
      </c>
      <c r="M74" s="16">
        <v>0</v>
      </c>
      <c r="N74" s="18">
        <f t="shared" si="2"/>
        <v>7200672105.8969555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x14ac:dyDescent="0.2">
      <c r="A75" s="17" t="s">
        <v>70</v>
      </c>
      <c r="B75" s="16">
        <v>921468521.46000004</v>
      </c>
      <c r="C75" s="16">
        <v>0</v>
      </c>
      <c r="D75" s="16">
        <v>15810453.200421331</v>
      </c>
      <c r="E75" s="16">
        <v>10284033.029999999</v>
      </c>
      <c r="F75" s="16">
        <v>2602002</v>
      </c>
      <c r="G75" s="16">
        <v>1125708.1499999999</v>
      </c>
      <c r="H75" s="16">
        <v>53944563.740000002</v>
      </c>
      <c r="I75" s="16">
        <v>7495562.3300000001</v>
      </c>
      <c r="J75" s="16">
        <v>68696666.460000008</v>
      </c>
      <c r="K75" s="16">
        <v>0</v>
      </c>
      <c r="L75" s="16">
        <v>0</v>
      </c>
      <c r="M75" s="16">
        <v>0</v>
      </c>
      <c r="N75" s="18">
        <f t="shared" si="2"/>
        <v>1081427510.3704214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x14ac:dyDescent="0.2">
      <c r="A76" s="17" t="s">
        <v>71</v>
      </c>
      <c r="B76" s="16">
        <v>930684888.5200001</v>
      </c>
      <c r="C76" s="16">
        <v>0</v>
      </c>
      <c r="D76" s="16">
        <v>18361634.439662084</v>
      </c>
      <c r="E76" s="16">
        <v>10420670.310000001</v>
      </c>
      <c r="F76" s="16">
        <v>4684632.07</v>
      </c>
      <c r="G76" s="16">
        <v>2643708.52</v>
      </c>
      <c r="H76" s="16">
        <v>54484107.840000004</v>
      </c>
      <c r="I76" s="16">
        <v>13494974.869999999</v>
      </c>
      <c r="J76" s="16">
        <v>102010776.81000003</v>
      </c>
      <c r="K76" s="16">
        <v>0</v>
      </c>
      <c r="L76" s="16">
        <v>0</v>
      </c>
      <c r="M76" s="16">
        <v>0</v>
      </c>
      <c r="N76" s="18">
        <f t="shared" si="2"/>
        <v>1136785393.3796623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" x14ac:dyDescent="0.2">
      <c r="A77" s="17" t="s">
        <v>72</v>
      </c>
      <c r="B77" s="16">
        <v>1043198566.3399999</v>
      </c>
      <c r="C77" s="16">
        <v>0</v>
      </c>
      <c r="D77" s="16">
        <v>15399556.59177509</v>
      </c>
      <c r="E77" s="16">
        <v>11658298.880000001</v>
      </c>
      <c r="F77" s="16">
        <v>5502257.2000000002</v>
      </c>
      <c r="G77" s="16">
        <v>1688562.22</v>
      </c>
      <c r="H77" s="16">
        <v>61070877.899999999</v>
      </c>
      <c r="I77" s="16">
        <v>15850299.789999999</v>
      </c>
      <c r="J77" s="16">
        <v>69315022.929999992</v>
      </c>
      <c r="K77" s="16">
        <v>0</v>
      </c>
      <c r="L77" s="16">
        <v>0</v>
      </c>
      <c r="M77" s="16">
        <v>0</v>
      </c>
      <c r="N77" s="18">
        <f t="shared" si="2"/>
        <v>1223683441.8517752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" x14ac:dyDescent="0.2">
      <c r="A78" s="17" t="s">
        <v>73</v>
      </c>
      <c r="B78" s="16">
        <v>400945602.26999998</v>
      </c>
      <c r="C78" s="16">
        <v>0</v>
      </c>
      <c r="D78" s="16">
        <v>8046828.9612337369</v>
      </c>
      <c r="E78" s="16">
        <v>4472401.53</v>
      </c>
      <c r="F78" s="16">
        <v>1954072.65</v>
      </c>
      <c r="G78" s="16">
        <v>596966.43999999994</v>
      </c>
      <c r="H78" s="16">
        <v>23472137.25</v>
      </c>
      <c r="I78" s="16">
        <v>5629078.4299999997</v>
      </c>
      <c r="J78" s="16">
        <v>29725589.869999994</v>
      </c>
      <c r="K78" s="16">
        <v>0</v>
      </c>
      <c r="L78" s="16">
        <v>0</v>
      </c>
      <c r="M78" s="16">
        <v>0</v>
      </c>
      <c r="N78" s="18">
        <f t="shared" si="2"/>
        <v>474842677.40123367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x14ac:dyDescent="0.2">
      <c r="A79" s="17" t="s">
        <v>74</v>
      </c>
      <c r="B79" s="16">
        <v>2063188033.3399999</v>
      </c>
      <c r="C79" s="16">
        <v>0</v>
      </c>
      <c r="D79" s="16">
        <v>37764725.219441779</v>
      </c>
      <c r="E79" s="16">
        <v>23053769.109999999</v>
      </c>
      <c r="F79" s="16">
        <v>9821786.2300000004</v>
      </c>
      <c r="G79" s="16">
        <v>4434607.8499999996</v>
      </c>
      <c r="H79" s="16">
        <v>120783049.86</v>
      </c>
      <c r="I79" s="16">
        <v>28293525.800000001</v>
      </c>
      <c r="J79" s="16">
        <v>161024939.07999998</v>
      </c>
      <c r="K79" s="16">
        <v>0</v>
      </c>
      <c r="L79" s="16">
        <v>0</v>
      </c>
      <c r="M79" s="16">
        <v>0</v>
      </c>
      <c r="N79" s="18">
        <f t="shared" si="2"/>
        <v>2448364436.4894419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x14ac:dyDescent="0.2">
      <c r="A80" s="17" t="s">
        <v>75</v>
      </c>
      <c r="B80" s="16">
        <v>1100279496.48</v>
      </c>
      <c r="C80" s="16">
        <v>0</v>
      </c>
      <c r="D80" s="16">
        <v>26941066.54042013</v>
      </c>
      <c r="E80" s="16">
        <v>12293634.59</v>
      </c>
      <c r="F80" s="16">
        <v>3177939.21</v>
      </c>
      <c r="G80" s="16">
        <v>1773843.14</v>
      </c>
      <c r="H80" s="16">
        <v>64412506.829999998</v>
      </c>
      <c r="I80" s="16">
        <v>9154659.1300000008</v>
      </c>
      <c r="J80" s="16">
        <v>104068025.18000004</v>
      </c>
      <c r="K80" s="16">
        <v>0</v>
      </c>
      <c r="L80" s="16">
        <v>0</v>
      </c>
      <c r="M80" s="16">
        <v>0</v>
      </c>
      <c r="N80" s="18">
        <f t="shared" si="2"/>
        <v>1322101171.1004202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" x14ac:dyDescent="0.2">
      <c r="A81" s="17" t="s">
        <v>76</v>
      </c>
      <c r="B81" s="16">
        <v>617765682.22000003</v>
      </c>
      <c r="C81" s="16">
        <v>0</v>
      </c>
      <c r="D81" s="16">
        <v>18031953.512960486</v>
      </c>
      <c r="E81" s="16">
        <v>6974543.25</v>
      </c>
      <c r="F81" s="16">
        <v>8253385.8099999996</v>
      </c>
      <c r="G81" s="16">
        <v>4059371.8</v>
      </c>
      <c r="H81" s="16">
        <v>36165207.439999998</v>
      </c>
      <c r="I81" s="16">
        <v>23775449.690000001</v>
      </c>
      <c r="J81" s="16">
        <v>121672832.81999995</v>
      </c>
      <c r="K81" s="16">
        <v>0</v>
      </c>
      <c r="L81" s="16">
        <v>0</v>
      </c>
      <c r="M81" s="16">
        <v>0</v>
      </c>
      <c r="N81" s="18">
        <f t="shared" si="2"/>
        <v>836698426.54296041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x14ac:dyDescent="0.2">
      <c r="A82" s="17" t="s">
        <v>77</v>
      </c>
      <c r="B82" s="16">
        <v>10033394608.25</v>
      </c>
      <c r="C82" s="16">
        <v>0</v>
      </c>
      <c r="D82" s="16">
        <v>63593420.43</v>
      </c>
      <c r="E82" s="16">
        <v>144210939.65999997</v>
      </c>
      <c r="F82" s="16">
        <v>237867207.19</v>
      </c>
      <c r="G82" s="16">
        <v>161606462.99501479</v>
      </c>
      <c r="H82" s="16">
        <v>587374481.45000005</v>
      </c>
      <c r="I82" s="16">
        <v>685221792.13</v>
      </c>
      <c r="J82" s="16">
        <v>1009988557.8799999</v>
      </c>
      <c r="K82" s="16">
        <v>0</v>
      </c>
      <c r="L82" s="16">
        <v>0</v>
      </c>
      <c r="M82" s="16">
        <v>0</v>
      </c>
      <c r="N82" s="18">
        <f t="shared" si="2"/>
        <v>12923257469.985014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x14ac:dyDescent="0.2">
      <c r="A83" s="17" t="s">
        <v>78</v>
      </c>
      <c r="B83" s="16">
        <v>2593768228.96</v>
      </c>
      <c r="C83" s="16">
        <v>0</v>
      </c>
      <c r="D83" s="16">
        <v>21505687.188471418</v>
      </c>
      <c r="E83" s="16">
        <v>36922762</v>
      </c>
      <c r="F83" s="16">
        <v>26338842.449999999</v>
      </c>
      <c r="G83" s="16">
        <v>10796564.49</v>
      </c>
      <c r="H83" s="16">
        <v>151844248.93000001</v>
      </c>
      <c r="I83" s="16">
        <v>75874051.909999996</v>
      </c>
      <c r="J83" s="16">
        <v>218593366.43999994</v>
      </c>
      <c r="K83" s="16">
        <v>0</v>
      </c>
      <c r="L83" s="16">
        <v>0</v>
      </c>
      <c r="M83" s="16">
        <v>0</v>
      </c>
      <c r="N83" s="18">
        <f t="shared" si="2"/>
        <v>3135643752.3684707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" x14ac:dyDescent="0.2">
      <c r="A84" s="17" t="s">
        <v>79</v>
      </c>
      <c r="B84" s="16">
        <v>1090524947.4400001</v>
      </c>
      <c r="C84" s="16">
        <v>0</v>
      </c>
      <c r="D84" s="16">
        <v>13708024.693302462</v>
      </c>
      <c r="E84" s="16">
        <v>12210829.99</v>
      </c>
      <c r="F84" s="16">
        <v>5286280.75</v>
      </c>
      <c r="G84" s="16">
        <v>1222488.6194757055</v>
      </c>
      <c r="H84" s="16">
        <v>63841456.509999998</v>
      </c>
      <c r="I84" s="16">
        <v>15228138.49</v>
      </c>
      <c r="J84" s="16">
        <v>89889061.449999988</v>
      </c>
      <c r="K84" s="16">
        <v>0</v>
      </c>
      <c r="L84" s="16">
        <v>0</v>
      </c>
      <c r="M84" s="16">
        <v>0</v>
      </c>
      <c r="N84" s="18">
        <f t="shared" si="2"/>
        <v>1291911227.9427781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x14ac:dyDescent="0.2">
      <c r="A85" s="17" t="s">
        <v>80</v>
      </c>
      <c r="B85" s="16">
        <v>872729412.60000014</v>
      </c>
      <c r="C85" s="16">
        <v>0</v>
      </c>
      <c r="D85" s="16">
        <v>12973814.405597962</v>
      </c>
      <c r="E85" s="16">
        <v>9745959.870000001</v>
      </c>
      <c r="F85" s="16">
        <v>2499156.0699999998</v>
      </c>
      <c r="G85" s="16">
        <v>1108651.96</v>
      </c>
      <c r="H85" s="16">
        <v>51091281.289999999</v>
      </c>
      <c r="I85" s="16">
        <v>7199295.0499999998</v>
      </c>
      <c r="J85" s="16">
        <v>52990163.310000002</v>
      </c>
      <c r="K85" s="16">
        <v>0</v>
      </c>
      <c r="L85" s="16">
        <v>0</v>
      </c>
      <c r="M85" s="16">
        <v>0</v>
      </c>
      <c r="N85" s="18">
        <f t="shared" si="2"/>
        <v>1010337734.555598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" x14ac:dyDescent="0.2">
      <c r="A86" s="17" t="s">
        <v>81</v>
      </c>
      <c r="B86" s="16">
        <v>10904845838.619999</v>
      </c>
      <c r="C86" s="16">
        <v>0</v>
      </c>
      <c r="D86" s="16">
        <v>19507920.259999998</v>
      </c>
      <c r="E86" s="16">
        <v>155624531.76000002</v>
      </c>
      <c r="F86" s="16">
        <v>149244870.05000001</v>
      </c>
      <c r="G86" s="16">
        <v>46508274.472720623</v>
      </c>
      <c r="H86" s="16">
        <v>638390935.45000005</v>
      </c>
      <c r="I86" s="16">
        <v>429928271.88999999</v>
      </c>
      <c r="J86" s="16">
        <v>445895979.0800001</v>
      </c>
      <c r="K86" s="16">
        <v>0</v>
      </c>
      <c r="L86" s="16">
        <v>0</v>
      </c>
      <c r="M86" s="16">
        <v>0</v>
      </c>
      <c r="N86" s="18">
        <f t="shared" si="2"/>
        <v>12789946621.58272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" x14ac:dyDescent="0.2">
      <c r="A87" s="17" t="s">
        <v>82</v>
      </c>
      <c r="B87" s="16">
        <v>1699141535.46</v>
      </c>
      <c r="C87" s="16">
        <v>0</v>
      </c>
      <c r="D87" s="16">
        <v>13178327.551733218</v>
      </c>
      <c r="E87" s="16">
        <v>18981408.59</v>
      </c>
      <c r="F87" s="16">
        <v>4237252.28</v>
      </c>
      <c r="G87" s="16">
        <v>3223618.78</v>
      </c>
      <c r="H87" s="16">
        <v>99471058.129999995</v>
      </c>
      <c r="I87" s="16">
        <v>12206212.18</v>
      </c>
      <c r="J87" s="16">
        <v>100825697.29000001</v>
      </c>
      <c r="K87" s="16">
        <v>0</v>
      </c>
      <c r="L87" s="16">
        <v>0</v>
      </c>
      <c r="M87" s="16">
        <v>0</v>
      </c>
      <c r="N87" s="18">
        <f t="shared" si="2"/>
        <v>1951265110.2617333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" x14ac:dyDescent="0.2">
      <c r="A88" s="17" t="s">
        <v>83</v>
      </c>
      <c r="B88" s="16">
        <v>1560727848.0599999</v>
      </c>
      <c r="C88" s="16">
        <v>0</v>
      </c>
      <c r="D88" s="16">
        <v>9589939.2274620496</v>
      </c>
      <c r="E88" s="16">
        <v>17704163.000000004</v>
      </c>
      <c r="F88" s="16">
        <v>20795446.870000001</v>
      </c>
      <c r="G88" s="16">
        <v>6515462.2999999998</v>
      </c>
      <c r="H88" s="16">
        <v>91368051.019999996</v>
      </c>
      <c r="I88" s="16">
        <v>59905245.200000003</v>
      </c>
      <c r="J88" s="16">
        <v>153481487.77000001</v>
      </c>
      <c r="K88" s="16">
        <v>0</v>
      </c>
      <c r="L88" s="16">
        <v>0</v>
      </c>
      <c r="M88" s="16">
        <v>0</v>
      </c>
      <c r="N88" s="18">
        <f t="shared" si="2"/>
        <v>1920087643.4474618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x14ac:dyDescent="0.2">
      <c r="A89" s="17" t="s">
        <v>84</v>
      </c>
      <c r="B89" s="16">
        <v>2208261723.1800003</v>
      </c>
      <c r="C89" s="16">
        <v>0</v>
      </c>
      <c r="D89" s="16">
        <v>19454047.409638301</v>
      </c>
      <c r="E89" s="16">
        <v>24771463.91</v>
      </c>
      <c r="F89" s="16">
        <v>17488950.239999998</v>
      </c>
      <c r="G89" s="16">
        <v>7095372.5499999998</v>
      </c>
      <c r="H89" s="16">
        <v>129275946.5</v>
      </c>
      <c r="I89" s="16">
        <v>50380251.960000001</v>
      </c>
      <c r="J89" s="16">
        <v>157616824.46999997</v>
      </c>
      <c r="K89" s="16">
        <v>0</v>
      </c>
      <c r="L89" s="16">
        <v>0</v>
      </c>
      <c r="M89" s="16">
        <v>0</v>
      </c>
      <c r="N89" s="18">
        <f t="shared" si="2"/>
        <v>2614344580.2196383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x14ac:dyDescent="0.2">
      <c r="A90" s="17" t="s">
        <v>85</v>
      </c>
      <c r="B90" s="16">
        <v>10029391879.500002</v>
      </c>
      <c r="C90" s="16">
        <v>0</v>
      </c>
      <c r="D90" s="16">
        <v>31020318.510266237</v>
      </c>
      <c r="E90" s="16">
        <v>144386604.96000001</v>
      </c>
      <c r="F90" s="16">
        <v>237234704.72</v>
      </c>
      <c r="G90" s="16">
        <v>77813511.858348846</v>
      </c>
      <c r="H90" s="16">
        <v>587140153.89999998</v>
      </c>
      <c r="I90" s="16">
        <v>683399748.32000005</v>
      </c>
      <c r="J90" s="16">
        <v>918807728.48000026</v>
      </c>
      <c r="K90" s="16">
        <v>0</v>
      </c>
      <c r="L90" s="16">
        <v>0</v>
      </c>
      <c r="M90" s="16">
        <v>0</v>
      </c>
      <c r="N90" s="18">
        <f t="shared" si="2"/>
        <v>12709194650.248613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x14ac:dyDescent="0.2">
      <c r="A91" s="17" t="s">
        <v>86</v>
      </c>
      <c r="B91" s="16">
        <v>463307443.47000003</v>
      </c>
      <c r="C91" s="16">
        <v>0</v>
      </c>
      <c r="D91" s="16">
        <v>15678921.934004935</v>
      </c>
      <c r="E91" s="16">
        <v>5225040.95</v>
      </c>
      <c r="F91" s="16">
        <v>5507399.5</v>
      </c>
      <c r="G91" s="16">
        <v>2421978.13</v>
      </c>
      <c r="H91" s="16">
        <v>27122921.010000002</v>
      </c>
      <c r="I91" s="16">
        <v>15865113.16</v>
      </c>
      <c r="J91" s="16">
        <v>70859358.859999985</v>
      </c>
      <c r="K91" s="16">
        <v>0</v>
      </c>
      <c r="L91" s="16">
        <v>0</v>
      </c>
      <c r="M91" s="16">
        <v>0</v>
      </c>
      <c r="N91" s="18">
        <f t="shared" si="2"/>
        <v>605988177.01400495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x14ac:dyDescent="0.2">
      <c r="A92" s="17" t="s">
        <v>87</v>
      </c>
      <c r="B92" s="16">
        <v>642353873.11000001</v>
      </c>
      <c r="C92" s="16">
        <v>0</v>
      </c>
      <c r="D92" s="16">
        <v>941840.35999999987</v>
      </c>
      <c r="E92" s="16">
        <v>7913257.7599999998</v>
      </c>
      <c r="F92" s="16">
        <v>1177585.8799999999</v>
      </c>
      <c r="G92" s="16">
        <v>818696.83</v>
      </c>
      <c r="H92" s="16">
        <v>37604648.07</v>
      </c>
      <c r="I92" s="16">
        <v>3392260.42</v>
      </c>
      <c r="J92" s="16">
        <v>27552943.969999999</v>
      </c>
      <c r="K92" s="16">
        <v>0</v>
      </c>
      <c r="L92" s="16">
        <v>0</v>
      </c>
      <c r="M92" s="16">
        <v>0</v>
      </c>
      <c r="N92" s="18">
        <f t="shared" si="2"/>
        <v>721755106.4000001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x14ac:dyDescent="0.2">
      <c r="A93" s="17" t="s">
        <v>88</v>
      </c>
      <c r="B93" s="16">
        <v>7266836315.5100002</v>
      </c>
      <c r="C93" s="16">
        <v>0</v>
      </c>
      <c r="D93" s="16">
        <v>35069818.101268373</v>
      </c>
      <c r="E93" s="16">
        <v>105260396.69999999</v>
      </c>
      <c r="F93" s="16">
        <v>192270464.50999999</v>
      </c>
      <c r="G93" s="16">
        <v>34476080.210052945</v>
      </c>
      <c r="H93" s="16">
        <v>425414765.31999999</v>
      </c>
      <c r="I93" s="16">
        <v>553871690.94000006</v>
      </c>
      <c r="J93" s="16">
        <v>948516522.00999963</v>
      </c>
      <c r="K93" s="16">
        <v>0</v>
      </c>
      <c r="L93" s="16">
        <v>0</v>
      </c>
      <c r="M93" s="16">
        <v>0</v>
      </c>
      <c r="N93" s="18">
        <f t="shared" si="2"/>
        <v>9561716053.301321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x14ac:dyDescent="0.2">
      <c r="A94" s="17" t="s">
        <v>89</v>
      </c>
      <c r="B94" s="16">
        <v>3736967741.3400002</v>
      </c>
      <c r="C94" s="16">
        <v>0</v>
      </c>
      <c r="D94" s="16">
        <v>47355550.120000005</v>
      </c>
      <c r="E94" s="16">
        <v>53267307.729999997</v>
      </c>
      <c r="F94" s="16">
        <v>86940806.189999998</v>
      </c>
      <c r="G94" s="16">
        <v>37530071.685065776</v>
      </c>
      <c r="H94" s="16">
        <v>218769377.16</v>
      </c>
      <c r="I94" s="16">
        <v>250449550.11000001</v>
      </c>
      <c r="J94" s="16">
        <v>447971268.01999998</v>
      </c>
      <c r="K94" s="16">
        <v>0</v>
      </c>
      <c r="L94" s="16">
        <v>0</v>
      </c>
      <c r="M94" s="16">
        <v>0</v>
      </c>
      <c r="N94" s="18">
        <f t="shared" si="2"/>
        <v>4879251672.3550663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x14ac:dyDescent="0.2">
      <c r="A95" s="17" t="s">
        <v>90</v>
      </c>
      <c r="B95" s="16">
        <v>759509370.8499999</v>
      </c>
      <c r="C95" s="16">
        <v>0</v>
      </c>
      <c r="D95" s="16">
        <v>12051785.11050551</v>
      </c>
      <c r="E95" s="16">
        <v>8509788.5600000005</v>
      </c>
      <c r="F95" s="16">
        <v>4262963.76</v>
      </c>
      <c r="G95" s="16">
        <v>1944404.98</v>
      </c>
      <c r="H95" s="16">
        <v>44463159.310000002</v>
      </c>
      <c r="I95" s="16">
        <v>12280279</v>
      </c>
      <c r="J95" s="16">
        <v>71601200.099999979</v>
      </c>
      <c r="K95" s="16">
        <v>0</v>
      </c>
      <c r="L95" s="16">
        <v>0</v>
      </c>
      <c r="M95" s="16">
        <v>0</v>
      </c>
      <c r="N95" s="18">
        <f t="shared" si="2"/>
        <v>914622951.6705054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x14ac:dyDescent="0.2">
      <c r="A96" s="17" t="s">
        <v>91</v>
      </c>
      <c r="B96" s="16">
        <v>2338165407.4200001</v>
      </c>
      <c r="C96" s="16">
        <v>0</v>
      </c>
      <c r="D96" s="16">
        <v>35816640.678659946</v>
      </c>
      <c r="E96" s="16">
        <v>21110058.41</v>
      </c>
      <c r="F96" s="16">
        <v>23891109.329999998</v>
      </c>
      <c r="G96" s="16">
        <v>9943755.2899999991</v>
      </c>
      <c r="H96" s="16">
        <v>136880761.44</v>
      </c>
      <c r="I96" s="16">
        <v>68822890.510000005</v>
      </c>
      <c r="J96" s="16">
        <v>242640216.97999999</v>
      </c>
      <c r="K96" s="16">
        <v>0</v>
      </c>
      <c r="L96" s="16">
        <v>0</v>
      </c>
      <c r="M96" s="16">
        <v>0</v>
      </c>
      <c r="N96" s="18">
        <f t="shared" si="2"/>
        <v>2877270840.05866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x14ac:dyDescent="0.2">
      <c r="A97" s="17" t="s">
        <v>92</v>
      </c>
      <c r="B97" s="16">
        <v>1186960437.53</v>
      </c>
      <c r="C97" s="16">
        <v>0</v>
      </c>
      <c r="D97" s="16">
        <v>40740249.991168529</v>
      </c>
      <c r="E97" s="16">
        <v>13320945.910000002</v>
      </c>
      <c r="F97" s="16">
        <v>11030225.890000001</v>
      </c>
      <c r="G97" s="16">
        <v>5116855.21</v>
      </c>
      <c r="H97" s="16">
        <v>69486978.109999999</v>
      </c>
      <c r="I97" s="16">
        <v>31774666.41</v>
      </c>
      <c r="J97" s="16">
        <v>164902108.85000002</v>
      </c>
      <c r="K97" s="16">
        <v>0</v>
      </c>
      <c r="L97" s="16">
        <v>0</v>
      </c>
      <c r="M97" s="16">
        <v>0</v>
      </c>
      <c r="N97" s="18">
        <f t="shared" si="2"/>
        <v>1523332467.9011688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x14ac:dyDescent="0.2">
      <c r="A98" s="17" t="s">
        <v>93</v>
      </c>
      <c r="B98" s="16">
        <v>3415202168.1599998</v>
      </c>
      <c r="C98" s="16">
        <v>0</v>
      </c>
      <c r="D98" s="16">
        <v>45812704.138572156</v>
      </c>
      <c r="E98" s="16">
        <v>48394729.170000002</v>
      </c>
      <c r="F98" s="16">
        <v>25649774.719999999</v>
      </c>
      <c r="G98" s="16">
        <v>12246340.130000001</v>
      </c>
      <c r="H98" s="16">
        <v>199932593.19999999</v>
      </c>
      <c r="I98" s="16">
        <v>73889061.099999994</v>
      </c>
      <c r="J98" s="16">
        <v>317937247.85000008</v>
      </c>
      <c r="K98" s="16">
        <v>0</v>
      </c>
      <c r="L98" s="16">
        <v>0</v>
      </c>
      <c r="M98" s="16">
        <v>0</v>
      </c>
      <c r="N98" s="18">
        <f t="shared" si="2"/>
        <v>4139064618.4685717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x14ac:dyDescent="0.2">
      <c r="A99" s="17" t="s">
        <v>94</v>
      </c>
      <c r="B99" s="16">
        <v>2422323620.2800002</v>
      </c>
      <c r="C99" s="16">
        <v>0</v>
      </c>
      <c r="D99" s="16">
        <v>30288707.290058207</v>
      </c>
      <c r="E99" s="16">
        <v>27119353.010000002</v>
      </c>
      <c r="F99" s="16">
        <v>9508106.1400000006</v>
      </c>
      <c r="G99" s="16">
        <v>3667079.57</v>
      </c>
      <c r="H99" s="16">
        <v>141807547.28999999</v>
      </c>
      <c r="I99" s="16">
        <v>27389910.579999998</v>
      </c>
      <c r="J99" s="16">
        <v>208478510.25999999</v>
      </c>
      <c r="K99" s="16">
        <v>0</v>
      </c>
      <c r="L99" s="16">
        <v>0</v>
      </c>
      <c r="M99" s="16">
        <v>0</v>
      </c>
      <c r="N99" s="18">
        <f t="shared" si="2"/>
        <v>2870582834.4200583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x14ac:dyDescent="0.2">
      <c r="A100" s="17" t="s">
        <v>95</v>
      </c>
      <c r="B100" s="16">
        <v>2559324579.8800001</v>
      </c>
      <c r="C100" s="16">
        <v>0</v>
      </c>
      <c r="D100" s="16">
        <v>33876150.143326253</v>
      </c>
      <c r="E100" s="16">
        <v>28605888.780000001</v>
      </c>
      <c r="F100" s="16">
        <v>10675407.439999999</v>
      </c>
      <c r="G100" s="16">
        <v>4366383.1100000003</v>
      </c>
      <c r="H100" s="16">
        <v>149827850.56</v>
      </c>
      <c r="I100" s="16">
        <v>30752544.27</v>
      </c>
      <c r="J100" s="16">
        <v>161218719.87</v>
      </c>
      <c r="K100" s="16">
        <v>0</v>
      </c>
      <c r="L100" s="16">
        <v>0</v>
      </c>
      <c r="M100" s="16">
        <v>0</v>
      </c>
      <c r="N100" s="18">
        <f t="shared" si="2"/>
        <v>2978647524.0533266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x14ac:dyDescent="0.2">
      <c r="A101" s="17" t="s">
        <v>96</v>
      </c>
      <c r="B101" s="16">
        <v>524424738.73000008</v>
      </c>
      <c r="C101" s="16">
        <v>0</v>
      </c>
      <c r="D101" s="16">
        <v>9509724.5207669232</v>
      </c>
      <c r="E101" s="16">
        <v>5851013.46</v>
      </c>
      <c r="F101" s="16">
        <v>1275289.52</v>
      </c>
      <c r="G101" s="16">
        <v>699303.55</v>
      </c>
      <c r="H101" s="16">
        <v>30700846.629999999</v>
      </c>
      <c r="I101" s="16">
        <v>3673714.34</v>
      </c>
      <c r="J101" s="16">
        <v>37207454.260000005</v>
      </c>
      <c r="K101" s="16">
        <v>0</v>
      </c>
      <c r="L101" s="16">
        <v>0</v>
      </c>
      <c r="M101" s="16">
        <v>0</v>
      </c>
      <c r="N101" s="18">
        <f t="shared" si="2"/>
        <v>613342085.01076698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x14ac:dyDescent="0.2">
      <c r="A102" s="17" t="s">
        <v>97</v>
      </c>
      <c r="B102" s="16">
        <v>1453360535.7600002</v>
      </c>
      <c r="C102" s="16">
        <v>0</v>
      </c>
      <c r="D102" s="16">
        <v>48571842.865689367</v>
      </c>
      <c r="E102" s="16">
        <v>20760594.5</v>
      </c>
      <c r="F102" s="16">
        <v>24693307.579999998</v>
      </c>
      <c r="G102" s="16">
        <v>11222969.09</v>
      </c>
      <c r="H102" s="16">
        <v>85082559.239999995</v>
      </c>
      <c r="I102" s="16">
        <v>71133775.340000004</v>
      </c>
      <c r="J102" s="16">
        <v>239632727.60000008</v>
      </c>
      <c r="K102" s="16">
        <v>0</v>
      </c>
      <c r="L102" s="16">
        <v>0</v>
      </c>
      <c r="M102" s="16">
        <v>0</v>
      </c>
      <c r="N102" s="18">
        <f t="shared" si="2"/>
        <v>1954458311.9756894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x14ac:dyDescent="0.2">
      <c r="A103" s="17" t="s">
        <v>98</v>
      </c>
      <c r="B103" s="16">
        <v>539460198.80000007</v>
      </c>
      <c r="C103" s="16">
        <v>0</v>
      </c>
      <c r="D103" s="16">
        <v>16959297.785587884</v>
      </c>
      <c r="E103" s="16">
        <v>6016010.5300000003</v>
      </c>
      <c r="F103" s="16">
        <v>611933.27</v>
      </c>
      <c r="G103" s="16">
        <v>443460.78</v>
      </c>
      <c r="H103" s="16">
        <v>31581051.77</v>
      </c>
      <c r="I103" s="16">
        <v>1762790.35</v>
      </c>
      <c r="J103" s="16">
        <v>52596380.919999979</v>
      </c>
      <c r="K103" s="16">
        <v>0</v>
      </c>
      <c r="L103" s="16">
        <v>0</v>
      </c>
      <c r="M103" s="16">
        <v>0</v>
      </c>
      <c r="N103" s="18">
        <f t="shared" si="2"/>
        <v>649431124.20558786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x14ac:dyDescent="0.2">
      <c r="A104" s="17" t="s">
        <v>99</v>
      </c>
      <c r="B104" s="16">
        <v>8088102072.8400002</v>
      </c>
      <c r="C104" s="16">
        <v>0</v>
      </c>
      <c r="D104" s="16">
        <v>43196983.826944046</v>
      </c>
      <c r="E104" s="16">
        <v>115897348.36</v>
      </c>
      <c r="F104" s="16">
        <v>125405183.68000001</v>
      </c>
      <c r="G104" s="16">
        <v>22843134.079314604</v>
      </c>
      <c r="H104" s="16">
        <v>473493263.88999999</v>
      </c>
      <c r="I104" s="16">
        <v>361253515.02999997</v>
      </c>
      <c r="J104" s="16">
        <v>581948399.43000007</v>
      </c>
      <c r="K104" s="16">
        <v>0</v>
      </c>
      <c r="L104" s="16">
        <v>0</v>
      </c>
      <c r="M104" s="16">
        <v>0</v>
      </c>
      <c r="N104" s="18">
        <f t="shared" ref="N104:N135" si="3">SUM(B104:M104)</f>
        <v>9812139901.1362591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x14ac:dyDescent="0.2">
      <c r="A105" s="17" t="s">
        <v>100</v>
      </c>
      <c r="B105" s="16">
        <v>1386289601.9400001</v>
      </c>
      <c r="C105" s="16">
        <v>0</v>
      </c>
      <c r="D105" s="16">
        <v>7172088.8900000006</v>
      </c>
      <c r="E105" s="16">
        <v>14605466.289999999</v>
      </c>
      <c r="F105" s="16">
        <v>5404553.5700000003</v>
      </c>
      <c r="G105" s="16">
        <v>3837641.41</v>
      </c>
      <c r="H105" s="16">
        <v>81156096.010000005</v>
      </c>
      <c r="I105" s="16">
        <v>15568845.869999999</v>
      </c>
      <c r="J105" s="16">
        <v>75994703.560000002</v>
      </c>
      <c r="K105" s="16">
        <v>0</v>
      </c>
      <c r="L105" s="16">
        <v>0</v>
      </c>
      <c r="M105" s="16">
        <v>0</v>
      </c>
      <c r="N105" s="18">
        <f t="shared" si="3"/>
        <v>1590028997.54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x14ac:dyDescent="0.2">
      <c r="A106" s="17" t="s">
        <v>101</v>
      </c>
      <c r="B106" s="16">
        <v>1478419635.9099998</v>
      </c>
      <c r="C106" s="16">
        <v>0</v>
      </c>
      <c r="D106" s="16">
        <v>6628498.9200000009</v>
      </c>
      <c r="E106" s="16">
        <v>17168785.280000001</v>
      </c>
      <c r="F106" s="16">
        <v>38294681.710000001</v>
      </c>
      <c r="G106" s="16">
        <v>13152355.401013527</v>
      </c>
      <c r="H106" s="16">
        <v>86549567.810000002</v>
      </c>
      <c r="I106" s="16">
        <v>110315123.89</v>
      </c>
      <c r="J106" s="16">
        <v>199728517.43999994</v>
      </c>
      <c r="K106" s="16">
        <v>0</v>
      </c>
      <c r="L106" s="16">
        <v>0</v>
      </c>
      <c r="M106" s="16">
        <v>0</v>
      </c>
      <c r="N106" s="18">
        <f t="shared" si="3"/>
        <v>1950257166.3610134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x14ac:dyDescent="0.2">
      <c r="A107" s="17" t="s">
        <v>102</v>
      </c>
      <c r="B107" s="16">
        <v>1984445277.02</v>
      </c>
      <c r="C107" s="16">
        <v>0</v>
      </c>
      <c r="D107" s="16">
        <v>19193294.152305592</v>
      </c>
      <c r="E107" s="16">
        <v>22105499.030000005</v>
      </c>
      <c r="F107" s="16">
        <v>2128910.73</v>
      </c>
      <c r="G107" s="16">
        <v>1620337.48</v>
      </c>
      <c r="H107" s="16">
        <v>116173295.39</v>
      </c>
      <c r="I107" s="16">
        <v>6132732.8200000003</v>
      </c>
      <c r="J107" s="16">
        <v>92533561.900000021</v>
      </c>
      <c r="K107" s="16">
        <v>0</v>
      </c>
      <c r="L107" s="16">
        <v>0</v>
      </c>
      <c r="M107" s="16">
        <v>0</v>
      </c>
      <c r="N107" s="18">
        <f t="shared" si="3"/>
        <v>2244332908.522306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x14ac:dyDescent="0.2">
      <c r="A108" s="17" t="s">
        <v>103</v>
      </c>
      <c r="B108" s="16">
        <v>725267540.03999996</v>
      </c>
      <c r="C108" s="16">
        <v>0</v>
      </c>
      <c r="D108" s="16">
        <v>7224039.9000149081</v>
      </c>
      <c r="E108" s="16">
        <v>8105412.4199999999</v>
      </c>
      <c r="F108" s="16">
        <v>2159764.5099999998</v>
      </c>
      <c r="G108" s="16">
        <v>1193932.8799999999</v>
      </c>
      <c r="H108" s="16">
        <v>42458575.780000001</v>
      </c>
      <c r="I108" s="16">
        <v>6221613</v>
      </c>
      <c r="J108" s="16">
        <v>49363073.400000013</v>
      </c>
      <c r="K108" s="16">
        <v>0</v>
      </c>
      <c r="L108" s="16">
        <v>0</v>
      </c>
      <c r="M108" s="16">
        <v>0</v>
      </c>
      <c r="N108" s="18">
        <f t="shared" si="3"/>
        <v>841993951.93001473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x14ac:dyDescent="0.2">
      <c r="A109" s="17" t="s">
        <v>104</v>
      </c>
      <c r="B109" s="16">
        <v>6645135177.2099991</v>
      </c>
      <c r="C109" s="16">
        <v>0</v>
      </c>
      <c r="D109" s="16">
        <v>61896369.116285101</v>
      </c>
      <c r="E109" s="16">
        <v>96380209.659999996</v>
      </c>
      <c r="F109" s="16">
        <v>220511956.65000001</v>
      </c>
      <c r="G109" s="16">
        <v>96482085.019603312</v>
      </c>
      <c r="H109" s="16">
        <v>389019168.61000001</v>
      </c>
      <c r="I109" s="16">
        <v>635226687.63999999</v>
      </c>
      <c r="J109" s="16">
        <v>900667613.11000013</v>
      </c>
      <c r="K109" s="16">
        <v>0</v>
      </c>
      <c r="L109" s="16">
        <v>0</v>
      </c>
      <c r="M109" s="16">
        <v>0</v>
      </c>
      <c r="N109" s="18">
        <f t="shared" si="3"/>
        <v>9045319267.0158882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x14ac:dyDescent="0.2">
      <c r="A110" s="17" t="s">
        <v>105</v>
      </c>
      <c r="B110" s="16">
        <v>768793010.6400001</v>
      </c>
      <c r="C110" s="16">
        <v>0</v>
      </c>
      <c r="D110" s="16">
        <v>16667525.82457204</v>
      </c>
      <c r="E110" s="16">
        <v>10947463.5</v>
      </c>
      <c r="F110" s="16">
        <v>8428223.8900000006</v>
      </c>
      <c r="G110" s="16">
        <v>3871753.77</v>
      </c>
      <c r="H110" s="16">
        <v>45006641.68</v>
      </c>
      <c r="I110" s="16">
        <v>24279104.079999998</v>
      </c>
      <c r="J110" s="16">
        <v>104360095.89000002</v>
      </c>
      <c r="K110" s="16">
        <v>0</v>
      </c>
      <c r="L110" s="16">
        <v>0</v>
      </c>
      <c r="M110" s="16">
        <v>0</v>
      </c>
      <c r="N110" s="18">
        <f t="shared" si="3"/>
        <v>982353819.27457213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x14ac:dyDescent="0.2">
      <c r="A111" s="17" t="s">
        <v>106</v>
      </c>
      <c r="B111" s="16">
        <v>917835792.86000013</v>
      </c>
      <c r="C111" s="16">
        <v>0</v>
      </c>
      <c r="D111" s="16">
        <v>15523784.041865738</v>
      </c>
      <c r="E111" s="16">
        <v>10245168.92</v>
      </c>
      <c r="F111" s="16">
        <v>2936251.27</v>
      </c>
      <c r="G111" s="16">
        <v>1620337.48</v>
      </c>
      <c r="H111" s="16">
        <v>53731896.729999997</v>
      </c>
      <c r="I111" s="16">
        <v>8458431.0099999998</v>
      </c>
      <c r="J111" s="16">
        <v>81302367.060000002</v>
      </c>
      <c r="K111" s="16">
        <v>0</v>
      </c>
      <c r="L111" s="16">
        <v>0</v>
      </c>
      <c r="M111" s="16">
        <v>0</v>
      </c>
      <c r="N111" s="18">
        <f t="shared" si="3"/>
        <v>1091654029.3718657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x14ac:dyDescent="0.2">
      <c r="A112" s="17" t="s">
        <v>107</v>
      </c>
      <c r="B112" s="16">
        <v>1321068668.8000002</v>
      </c>
      <c r="C112" s="16">
        <v>0</v>
      </c>
      <c r="D112" s="16">
        <v>22724933.79220771</v>
      </c>
      <c r="E112" s="16">
        <v>14761726.17</v>
      </c>
      <c r="F112" s="16">
        <v>3568753.74</v>
      </c>
      <c r="G112" s="16">
        <v>1927348.79</v>
      </c>
      <c r="H112" s="16">
        <v>77337935.430000007</v>
      </c>
      <c r="I112" s="16">
        <v>10280474.82</v>
      </c>
      <c r="J112" s="16">
        <v>85285291.790000007</v>
      </c>
      <c r="K112" s="16">
        <v>0</v>
      </c>
      <c r="L112" s="16">
        <v>0</v>
      </c>
      <c r="M112" s="16">
        <v>0</v>
      </c>
      <c r="N112" s="18">
        <f t="shared" si="3"/>
        <v>1536955133.3322079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x14ac:dyDescent="0.2">
      <c r="A113" s="17" t="s">
        <v>108</v>
      </c>
      <c r="B113" s="16">
        <v>1045687658.1700001</v>
      </c>
      <c r="C113" s="16">
        <v>0</v>
      </c>
      <c r="D113" s="16">
        <v>31822113.203978736</v>
      </c>
      <c r="E113" s="16">
        <v>11694379.630000001</v>
      </c>
      <c r="F113" s="16">
        <v>5029165.93</v>
      </c>
      <c r="G113" s="16">
        <v>2490202.87</v>
      </c>
      <c r="H113" s="16">
        <v>61216594.18</v>
      </c>
      <c r="I113" s="16">
        <v>14487470.279999999</v>
      </c>
      <c r="J113" s="16">
        <v>83288697.209999993</v>
      </c>
      <c r="K113" s="16">
        <v>0</v>
      </c>
      <c r="L113" s="16">
        <v>0</v>
      </c>
      <c r="M113" s="16">
        <v>0</v>
      </c>
      <c r="N113" s="18">
        <f t="shared" si="3"/>
        <v>1255716281.473979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x14ac:dyDescent="0.2">
      <c r="A114" s="17" t="s">
        <v>109</v>
      </c>
      <c r="B114" s="16">
        <v>639965690.43000007</v>
      </c>
      <c r="C114" s="16">
        <v>0</v>
      </c>
      <c r="D114" s="16">
        <v>10231080.006700393</v>
      </c>
      <c r="E114" s="16">
        <v>7158575.7299999995</v>
      </c>
      <c r="F114" s="16">
        <v>3044239.5</v>
      </c>
      <c r="G114" s="16">
        <v>1364494.72</v>
      </c>
      <c r="H114" s="16">
        <v>37464839.200000003</v>
      </c>
      <c r="I114" s="16">
        <v>8769511.6600000001</v>
      </c>
      <c r="J114" s="16">
        <v>63624463.840000026</v>
      </c>
      <c r="K114" s="16">
        <v>0</v>
      </c>
      <c r="L114" s="16">
        <v>0</v>
      </c>
      <c r="M114" s="16">
        <v>0</v>
      </c>
      <c r="N114" s="18">
        <f t="shared" si="3"/>
        <v>771622895.08670056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x14ac:dyDescent="0.2">
      <c r="A115" s="17" t="s">
        <v>110</v>
      </c>
      <c r="B115" s="16">
        <v>1588107858.1599998</v>
      </c>
      <c r="C115" s="16">
        <v>0</v>
      </c>
      <c r="D115" s="16">
        <v>13343388.68101584</v>
      </c>
      <c r="E115" s="16">
        <v>17697290.859999999</v>
      </c>
      <c r="F115" s="16">
        <v>3152227.72</v>
      </c>
      <c r="G115" s="16">
        <v>2200247.7400000002</v>
      </c>
      <c r="H115" s="16">
        <v>92970930.189999998</v>
      </c>
      <c r="I115" s="16">
        <v>9080592.3100000005</v>
      </c>
      <c r="J115" s="16">
        <v>85250765.979999989</v>
      </c>
      <c r="K115" s="16">
        <v>0</v>
      </c>
      <c r="L115" s="16">
        <v>0</v>
      </c>
      <c r="M115" s="16">
        <v>0</v>
      </c>
      <c r="N115" s="18">
        <f t="shared" si="3"/>
        <v>1811803301.6410155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x14ac:dyDescent="0.2">
      <c r="A116" s="17" t="s">
        <v>111</v>
      </c>
      <c r="B116" s="16">
        <v>1000345823.2900001</v>
      </c>
      <c r="C116" s="16">
        <v>0</v>
      </c>
      <c r="D116" s="16">
        <v>21353698.916107088</v>
      </c>
      <c r="E116" s="16">
        <v>11201317.07</v>
      </c>
      <c r="F116" s="16">
        <v>8700765.5999999996</v>
      </c>
      <c r="G116" s="16">
        <v>3462405.36</v>
      </c>
      <c r="H116" s="16">
        <v>58562194.770000003</v>
      </c>
      <c r="I116" s="16">
        <v>25064212.379999999</v>
      </c>
      <c r="J116" s="16">
        <v>115651011.39000002</v>
      </c>
      <c r="K116" s="16">
        <v>0</v>
      </c>
      <c r="L116" s="16">
        <v>0</v>
      </c>
      <c r="M116" s="16">
        <v>0</v>
      </c>
      <c r="N116" s="18">
        <f t="shared" si="3"/>
        <v>1244341428.7761075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x14ac:dyDescent="0.2">
      <c r="A117" s="17" t="s">
        <v>112</v>
      </c>
      <c r="B117" s="16">
        <v>541512017.74000001</v>
      </c>
      <c r="C117" s="16">
        <v>0</v>
      </c>
      <c r="D117" s="16">
        <v>4142593.7113513458</v>
      </c>
      <c r="E117" s="16">
        <v>6038268.1800000006</v>
      </c>
      <c r="F117" s="16">
        <v>1830657.53</v>
      </c>
      <c r="G117" s="16">
        <v>921033.94</v>
      </c>
      <c r="H117" s="16">
        <v>31701169.25</v>
      </c>
      <c r="I117" s="16">
        <v>5273557.6900000004</v>
      </c>
      <c r="J117" s="16">
        <v>34085500.649999991</v>
      </c>
      <c r="K117" s="16">
        <v>0</v>
      </c>
      <c r="L117" s="16">
        <v>0</v>
      </c>
      <c r="M117" s="16">
        <v>0</v>
      </c>
      <c r="N117" s="18">
        <f t="shared" si="3"/>
        <v>625504798.69135141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x14ac:dyDescent="0.2">
      <c r="A118" s="17" t="s">
        <v>113</v>
      </c>
      <c r="B118" s="16">
        <v>928733978.71000004</v>
      </c>
      <c r="C118" s="16">
        <v>0</v>
      </c>
      <c r="D118" s="16">
        <v>13365742.747961093</v>
      </c>
      <c r="E118" s="16">
        <v>10442565.24</v>
      </c>
      <c r="F118" s="16">
        <v>8633915.75</v>
      </c>
      <c r="G118" s="16">
        <v>3837641.41</v>
      </c>
      <c r="H118" s="16">
        <v>54369897.770000003</v>
      </c>
      <c r="I118" s="16">
        <v>24871638.649999999</v>
      </c>
      <c r="J118" s="16">
        <v>93953169</v>
      </c>
      <c r="K118" s="16">
        <v>0</v>
      </c>
      <c r="L118" s="16">
        <v>0</v>
      </c>
      <c r="M118" s="16">
        <v>0</v>
      </c>
      <c r="N118" s="18">
        <f t="shared" si="3"/>
        <v>1138208549.277961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x14ac:dyDescent="0.2">
      <c r="A119" s="17" t="s">
        <v>114</v>
      </c>
      <c r="B119" s="16">
        <v>1217266812.3500001</v>
      </c>
      <c r="C119" s="16">
        <v>0</v>
      </c>
      <c r="D119" s="16">
        <v>19606049.710656546</v>
      </c>
      <c r="E119" s="16">
        <v>13624666.619999999</v>
      </c>
      <c r="F119" s="16">
        <v>6936957.9100000001</v>
      </c>
      <c r="G119" s="16">
        <v>2575483.79</v>
      </c>
      <c r="H119" s="16">
        <v>71261172.379999995</v>
      </c>
      <c r="I119" s="16">
        <v>19983228.43</v>
      </c>
      <c r="J119" s="16">
        <v>85522307.829999998</v>
      </c>
      <c r="K119" s="16">
        <v>0</v>
      </c>
      <c r="L119" s="16">
        <v>0</v>
      </c>
      <c r="M119" s="16">
        <v>0</v>
      </c>
      <c r="N119" s="18">
        <f t="shared" si="3"/>
        <v>1436776679.0206568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x14ac:dyDescent="0.2">
      <c r="A120" s="17" t="s">
        <v>115</v>
      </c>
      <c r="B120" s="16">
        <v>752714822.88999987</v>
      </c>
      <c r="C120" s="16">
        <v>0</v>
      </c>
      <c r="D120" s="16">
        <v>13982996.362361155</v>
      </c>
      <c r="E120" s="16">
        <v>8433678.6500000004</v>
      </c>
      <c r="F120" s="16">
        <v>4674347.47</v>
      </c>
      <c r="G120" s="16">
        <v>2609596.16</v>
      </c>
      <c r="H120" s="16">
        <v>44065393.229999997</v>
      </c>
      <c r="I120" s="16">
        <v>13465348.140000001</v>
      </c>
      <c r="J120" s="16">
        <v>88665412.5</v>
      </c>
      <c r="K120" s="16">
        <v>0</v>
      </c>
      <c r="L120" s="16">
        <v>0</v>
      </c>
      <c r="M120" s="16">
        <v>0</v>
      </c>
      <c r="N120" s="18">
        <f t="shared" si="3"/>
        <v>928611595.40236104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x14ac:dyDescent="0.2">
      <c r="A121" s="17" t="s">
        <v>116</v>
      </c>
      <c r="B121" s="16">
        <v>965767628.72000015</v>
      </c>
      <c r="C121" s="16">
        <v>0</v>
      </c>
      <c r="D121" s="16">
        <v>14685071.749629859</v>
      </c>
      <c r="E121" s="16">
        <v>10767000.400000002</v>
      </c>
      <c r="F121" s="16">
        <v>1964357.24</v>
      </c>
      <c r="G121" s="16">
        <v>869865.39</v>
      </c>
      <c r="H121" s="16">
        <v>56537919.850000001</v>
      </c>
      <c r="I121" s="16">
        <v>5658705.1600000001</v>
      </c>
      <c r="J121" s="16">
        <v>49268515.830000021</v>
      </c>
      <c r="K121" s="16">
        <v>0</v>
      </c>
      <c r="L121" s="16">
        <v>0</v>
      </c>
      <c r="M121" s="16">
        <v>0</v>
      </c>
      <c r="N121" s="18">
        <f t="shared" si="3"/>
        <v>1105519064.3396299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x14ac:dyDescent="0.2">
      <c r="A122" s="17" t="s">
        <v>117</v>
      </c>
      <c r="B122" s="16">
        <v>2998817469.1700001</v>
      </c>
      <c r="C122" s="16">
        <v>0</v>
      </c>
      <c r="D122" s="16">
        <v>35543593.334999993</v>
      </c>
      <c r="E122" s="16">
        <v>42999264.059999995</v>
      </c>
      <c r="F122" s="16">
        <v>59136409.25</v>
      </c>
      <c r="G122" s="16">
        <v>23673779.919528224</v>
      </c>
      <c r="H122" s="16">
        <v>175556621.13999999</v>
      </c>
      <c r="I122" s="16">
        <v>170353689.38</v>
      </c>
      <c r="J122" s="16">
        <v>231115396.10000008</v>
      </c>
      <c r="K122" s="16">
        <v>0</v>
      </c>
      <c r="L122" s="16">
        <v>0</v>
      </c>
      <c r="M122" s="16">
        <v>0</v>
      </c>
      <c r="N122" s="18">
        <f t="shared" si="3"/>
        <v>3737196222.354528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x14ac:dyDescent="0.2">
      <c r="A123" s="17" t="s">
        <v>118</v>
      </c>
      <c r="B123" s="16">
        <v>6326766878.0100002</v>
      </c>
      <c r="C123" s="16">
        <v>0</v>
      </c>
      <c r="D123" s="16">
        <v>59816894.305</v>
      </c>
      <c r="E123" s="16">
        <v>71030024.579999998</v>
      </c>
      <c r="F123" s="16">
        <v>82204751.150000006</v>
      </c>
      <c r="G123" s="16">
        <v>56539691.239571705</v>
      </c>
      <c r="H123" s="16">
        <v>370381267.69</v>
      </c>
      <c r="I123" s="16">
        <v>236806441.59999999</v>
      </c>
      <c r="J123" s="16">
        <v>301561376.84000003</v>
      </c>
      <c r="K123" s="16">
        <v>0</v>
      </c>
      <c r="L123" s="16">
        <v>0</v>
      </c>
      <c r="M123" s="16">
        <v>0</v>
      </c>
      <c r="N123" s="18">
        <f t="shared" si="3"/>
        <v>7505107325.4145718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x14ac:dyDescent="0.2">
      <c r="A124" s="17" t="s">
        <v>119</v>
      </c>
      <c r="B124" s="16">
        <v>6091850427.7600002</v>
      </c>
      <c r="C124" s="16">
        <v>0</v>
      </c>
      <c r="D124" s="16">
        <v>32396349.400000002</v>
      </c>
      <c r="E124" s="16">
        <v>87024001.530000001</v>
      </c>
      <c r="F124" s="16">
        <v>105267950.76000001</v>
      </c>
      <c r="G124" s="16">
        <v>0</v>
      </c>
      <c r="H124" s="16">
        <v>356628800.69999999</v>
      </c>
      <c r="I124" s="16">
        <v>303244380.44999999</v>
      </c>
      <c r="J124" s="16">
        <v>431430854.51999998</v>
      </c>
      <c r="K124" s="16">
        <v>0</v>
      </c>
      <c r="L124" s="16">
        <v>0</v>
      </c>
      <c r="M124" s="16">
        <v>0</v>
      </c>
      <c r="N124" s="18">
        <f t="shared" si="3"/>
        <v>7407842765.1199989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x14ac:dyDescent="0.2">
      <c r="A125" s="17" t="s">
        <v>120</v>
      </c>
      <c r="B125" s="16">
        <v>1943745262.0300002</v>
      </c>
      <c r="C125" s="16">
        <v>0</v>
      </c>
      <c r="D125" s="16">
        <v>25938036.212545626</v>
      </c>
      <c r="E125" s="16">
        <v>22064226.960000001</v>
      </c>
      <c r="F125" s="16">
        <v>40932679.789999999</v>
      </c>
      <c r="G125" s="16">
        <v>16339824.300000001</v>
      </c>
      <c r="H125" s="16">
        <v>113790637.16</v>
      </c>
      <c r="I125" s="16">
        <v>117914379.78</v>
      </c>
      <c r="J125" s="16">
        <v>266608062.06000009</v>
      </c>
      <c r="K125" s="16">
        <v>0</v>
      </c>
      <c r="L125" s="16">
        <v>0</v>
      </c>
      <c r="M125" s="16">
        <v>0</v>
      </c>
      <c r="N125" s="18">
        <f t="shared" si="3"/>
        <v>2547333108.2925458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x14ac:dyDescent="0.2">
      <c r="A126" s="17" t="s">
        <v>121</v>
      </c>
      <c r="B126" s="16">
        <v>2112263505.9600003</v>
      </c>
      <c r="C126" s="16">
        <v>0</v>
      </c>
      <c r="D126" s="16">
        <v>19175539.733895764</v>
      </c>
      <c r="E126" s="16">
        <v>23750758.34</v>
      </c>
      <c r="F126" s="16">
        <v>20492051.370000001</v>
      </c>
      <c r="G126" s="16">
        <v>6686024.1399999997</v>
      </c>
      <c r="H126" s="16">
        <v>123656023.70999999</v>
      </c>
      <c r="I126" s="16">
        <v>59031256.710000001</v>
      </c>
      <c r="J126" s="16">
        <v>182931492.34</v>
      </c>
      <c r="K126" s="16">
        <v>0</v>
      </c>
      <c r="L126" s="16">
        <v>0</v>
      </c>
      <c r="M126" s="16">
        <v>0</v>
      </c>
      <c r="N126" s="18">
        <f t="shared" si="3"/>
        <v>2547986652.303896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x14ac:dyDescent="0.2">
      <c r="A127" s="17" t="s">
        <v>122</v>
      </c>
      <c r="B127" s="16">
        <v>1239635002.4100001</v>
      </c>
      <c r="C127" s="16">
        <v>0</v>
      </c>
      <c r="D127" s="16">
        <v>15228366.254832247</v>
      </c>
      <c r="E127" s="16">
        <v>14239639.450000001</v>
      </c>
      <c r="F127" s="16">
        <v>21751914.010000002</v>
      </c>
      <c r="G127" s="16">
        <v>9551463.0500000007</v>
      </c>
      <c r="H127" s="16">
        <v>72570649.829999998</v>
      </c>
      <c r="I127" s="16">
        <v>62660530.960000001</v>
      </c>
      <c r="J127" s="16">
        <v>202829631.09000003</v>
      </c>
      <c r="K127" s="16">
        <v>0</v>
      </c>
      <c r="L127" s="16">
        <v>0</v>
      </c>
      <c r="M127" s="16">
        <v>0</v>
      </c>
      <c r="N127" s="18">
        <f t="shared" si="3"/>
        <v>1638467197.0548325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x14ac:dyDescent="0.2">
      <c r="A128" s="17" t="s">
        <v>123</v>
      </c>
      <c r="B128" s="16">
        <v>537004743.37</v>
      </c>
      <c r="C128" s="16">
        <v>0</v>
      </c>
      <c r="D128" s="16">
        <v>6673516.0947480705</v>
      </c>
      <c r="E128" s="16">
        <v>6005833.0599999996</v>
      </c>
      <c r="F128" s="16">
        <v>1990068.72</v>
      </c>
      <c r="G128" s="16">
        <v>1142764.33</v>
      </c>
      <c r="H128" s="16">
        <v>31437304.620000001</v>
      </c>
      <c r="I128" s="16">
        <v>5732771.9800000004</v>
      </c>
      <c r="J128" s="16">
        <v>43589154.29999999</v>
      </c>
      <c r="K128" s="16">
        <v>0</v>
      </c>
      <c r="L128" s="16">
        <v>0</v>
      </c>
      <c r="M128" s="16">
        <v>0</v>
      </c>
      <c r="N128" s="18">
        <f t="shared" si="3"/>
        <v>633576156.47474802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x14ac:dyDescent="0.2">
      <c r="A129" s="17" t="s">
        <v>124</v>
      </c>
      <c r="B129" s="16">
        <v>3544029488.3900003</v>
      </c>
      <c r="C129" s="16">
        <v>0</v>
      </c>
      <c r="D129" s="16">
        <v>71793056.441033602</v>
      </c>
      <c r="E129" s="16">
        <v>34039687.619999997</v>
      </c>
      <c r="F129" s="16">
        <v>25310383.149999999</v>
      </c>
      <c r="G129" s="16">
        <v>14173688.92</v>
      </c>
      <c r="H129" s="16">
        <v>207474395.68000001</v>
      </c>
      <c r="I129" s="16">
        <v>72911379.049999997</v>
      </c>
      <c r="J129" s="16">
        <v>273120089.70999998</v>
      </c>
      <c r="K129" s="16">
        <v>0</v>
      </c>
      <c r="L129" s="16">
        <v>0</v>
      </c>
      <c r="M129" s="16">
        <v>0</v>
      </c>
      <c r="N129" s="18">
        <f t="shared" si="3"/>
        <v>4242852168.9610338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x14ac:dyDescent="0.2">
      <c r="A130" s="17" t="s">
        <v>125</v>
      </c>
      <c r="B130" s="16">
        <v>926379432.37</v>
      </c>
      <c r="C130" s="16">
        <v>0</v>
      </c>
      <c r="D130" s="16">
        <v>32838140.906613804</v>
      </c>
      <c r="E130" s="16">
        <v>10332802.589999998</v>
      </c>
      <c r="F130" s="16">
        <v>3131658.54</v>
      </c>
      <c r="G130" s="16">
        <v>1057483.4099999999</v>
      </c>
      <c r="H130" s="16">
        <v>54232058.039999999</v>
      </c>
      <c r="I130" s="16">
        <v>9021338.8499999996</v>
      </c>
      <c r="J130" s="16">
        <v>75066235.810000002</v>
      </c>
      <c r="K130" s="16">
        <v>0</v>
      </c>
      <c r="L130" s="16">
        <v>0</v>
      </c>
      <c r="M130" s="16">
        <v>0</v>
      </c>
      <c r="N130" s="18">
        <f t="shared" si="3"/>
        <v>1112059150.5166137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x14ac:dyDescent="0.2">
      <c r="A131" s="17" t="s">
        <v>126</v>
      </c>
      <c r="B131" s="16">
        <v>6009172215.4499998</v>
      </c>
      <c r="C131" s="16">
        <v>0</v>
      </c>
      <c r="D131" s="16">
        <v>59155183.18</v>
      </c>
      <c r="E131" s="16">
        <v>108869418.85000001</v>
      </c>
      <c r="F131" s="16">
        <v>138281494.00999999</v>
      </c>
      <c r="G131" s="16">
        <v>0</v>
      </c>
      <c r="H131" s="16">
        <v>351788656.95999998</v>
      </c>
      <c r="I131" s="16">
        <v>398346179.22000003</v>
      </c>
      <c r="J131" s="16">
        <v>589796674.33999991</v>
      </c>
      <c r="K131" s="16">
        <v>0</v>
      </c>
      <c r="L131" s="16">
        <v>0</v>
      </c>
      <c r="M131" s="16">
        <v>0</v>
      </c>
      <c r="N131" s="18">
        <f t="shared" si="3"/>
        <v>7655409822.0100012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x14ac:dyDescent="0.2">
      <c r="A132" s="17" t="s">
        <v>127</v>
      </c>
      <c r="B132" s="16">
        <v>224018264.33999997</v>
      </c>
      <c r="C132" s="16">
        <v>0</v>
      </c>
      <c r="D132" s="16">
        <v>1422529.9971200747</v>
      </c>
      <c r="E132" s="16">
        <v>2501757.75</v>
      </c>
      <c r="F132" s="16">
        <v>591364.09</v>
      </c>
      <c r="G132" s="16">
        <v>255842.76</v>
      </c>
      <c r="H132" s="16">
        <v>13114465.939999999</v>
      </c>
      <c r="I132" s="16">
        <v>1703536.89</v>
      </c>
      <c r="J132" s="16">
        <v>21179020.070000008</v>
      </c>
      <c r="K132" s="16">
        <v>0</v>
      </c>
      <c r="L132" s="16">
        <v>0</v>
      </c>
      <c r="M132" s="16">
        <v>0</v>
      </c>
      <c r="N132" s="18">
        <f t="shared" si="3"/>
        <v>264786781.83712006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x14ac:dyDescent="0.2">
      <c r="A133" s="17" t="s">
        <v>128</v>
      </c>
      <c r="B133" s="16">
        <v>1507380555.6800001</v>
      </c>
      <c r="C133" s="16">
        <v>0</v>
      </c>
      <c r="D133" s="16">
        <v>13483888.936107088</v>
      </c>
      <c r="E133" s="16">
        <v>9734193.3100000005</v>
      </c>
      <c r="F133" s="16">
        <v>2139195.3199999998</v>
      </c>
      <c r="G133" s="16">
        <v>1449775.64</v>
      </c>
      <c r="H133" s="16">
        <v>88244996.519999996</v>
      </c>
      <c r="I133" s="16">
        <v>6162359.5499999998</v>
      </c>
      <c r="J133" s="16">
        <v>78125980.469999969</v>
      </c>
      <c r="K133" s="16">
        <v>0</v>
      </c>
      <c r="L133" s="16">
        <v>0</v>
      </c>
      <c r="M133" s="16">
        <v>0</v>
      </c>
      <c r="N133" s="18">
        <f t="shared" si="3"/>
        <v>1706720945.4261072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x14ac:dyDescent="0.2">
      <c r="A134" s="17" t="s">
        <v>129</v>
      </c>
      <c r="B134" s="16">
        <v>2598544594.3399997</v>
      </c>
      <c r="C134" s="16">
        <v>0</v>
      </c>
      <c r="D134" s="16">
        <v>32786372.841013432</v>
      </c>
      <c r="E134" s="16">
        <v>29019381.699999999</v>
      </c>
      <c r="F134" s="16">
        <v>9981197.4199999999</v>
      </c>
      <c r="G134" s="16">
        <v>4792787.71</v>
      </c>
      <c r="H134" s="16">
        <v>152123866.66999999</v>
      </c>
      <c r="I134" s="16">
        <v>28752740.09</v>
      </c>
      <c r="J134" s="16">
        <v>176435949.92999992</v>
      </c>
      <c r="K134" s="16">
        <v>0</v>
      </c>
      <c r="L134" s="16">
        <v>0</v>
      </c>
      <c r="M134" s="16">
        <v>0</v>
      </c>
      <c r="N134" s="18">
        <f t="shared" si="3"/>
        <v>3032436890.7010131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x14ac:dyDescent="0.2">
      <c r="A135" s="17" t="s">
        <v>130</v>
      </c>
      <c r="B135" s="16">
        <v>2166956253.4099998</v>
      </c>
      <c r="C135" s="16">
        <v>0</v>
      </c>
      <c r="D135" s="16">
        <v>49086264.062145673</v>
      </c>
      <c r="E135" s="16">
        <v>30680615.689999998</v>
      </c>
      <c r="F135" s="16">
        <v>15025790.24</v>
      </c>
      <c r="G135" s="16">
        <v>6072001.5099999998</v>
      </c>
      <c r="H135" s="16">
        <v>126857843.77</v>
      </c>
      <c r="I135" s="16">
        <v>43284650.469999999</v>
      </c>
      <c r="J135" s="16">
        <v>181897580.38999996</v>
      </c>
      <c r="K135" s="16">
        <v>0</v>
      </c>
      <c r="L135" s="16">
        <v>0</v>
      </c>
      <c r="M135" s="16">
        <v>0</v>
      </c>
      <c r="N135" s="18">
        <f t="shared" si="3"/>
        <v>2619860999.5421453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x14ac:dyDescent="0.2">
      <c r="A136" s="17" t="s">
        <v>131</v>
      </c>
      <c r="B136" s="16">
        <v>3371575788.4399996</v>
      </c>
      <c r="C136" s="16">
        <v>0</v>
      </c>
      <c r="D136" s="16">
        <v>35593436.869999997</v>
      </c>
      <c r="E136" s="16">
        <v>48320042.269999996</v>
      </c>
      <c r="F136" s="16">
        <v>89398823.890000001</v>
      </c>
      <c r="G136" s="16">
        <v>43083440.902049094</v>
      </c>
      <c r="H136" s="16">
        <v>197378619.87</v>
      </c>
      <c r="I136" s="16">
        <v>257530338.24000001</v>
      </c>
      <c r="J136" s="16">
        <v>413551083.43999994</v>
      </c>
      <c r="K136" s="16">
        <v>0</v>
      </c>
      <c r="L136" s="16">
        <v>0</v>
      </c>
      <c r="M136" s="16">
        <v>0</v>
      </c>
      <c r="N136" s="18">
        <f t="shared" ref="N136:N142" si="4">SUM(B136:M136)</f>
        <v>4456431573.9220476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x14ac:dyDescent="0.2">
      <c r="A137" s="17" t="s">
        <v>132</v>
      </c>
      <c r="B137" s="16">
        <v>527754739.95999998</v>
      </c>
      <c r="C137" s="16">
        <v>0</v>
      </c>
      <c r="D137" s="16">
        <v>5119832.8098155325</v>
      </c>
      <c r="E137" s="16">
        <v>5893017.9800000004</v>
      </c>
      <c r="F137" s="16">
        <v>1069597.6599999999</v>
      </c>
      <c r="G137" s="16">
        <v>886921.57</v>
      </c>
      <c r="H137" s="16">
        <v>30895791.390000001</v>
      </c>
      <c r="I137" s="16">
        <v>3081179.77</v>
      </c>
      <c r="J137" s="16">
        <v>40568601.100000001</v>
      </c>
      <c r="K137" s="16">
        <v>0</v>
      </c>
      <c r="L137" s="16">
        <v>0</v>
      </c>
      <c r="M137" s="16">
        <v>0</v>
      </c>
      <c r="N137" s="18">
        <f t="shared" si="4"/>
        <v>615269682.23981547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x14ac:dyDescent="0.2">
      <c r="A138" s="17" t="s">
        <v>133</v>
      </c>
      <c r="B138" s="16">
        <v>1570818760.8900001</v>
      </c>
      <c r="C138" s="16">
        <v>0</v>
      </c>
      <c r="D138" s="16">
        <v>32678150.866445445</v>
      </c>
      <c r="E138" s="16">
        <v>17578714.09</v>
      </c>
      <c r="F138" s="16">
        <v>9312698.8800000008</v>
      </c>
      <c r="G138" s="16">
        <v>3462405.36</v>
      </c>
      <c r="H138" s="16">
        <v>91958792.730000004</v>
      </c>
      <c r="I138" s="16">
        <v>26827002.739999998</v>
      </c>
      <c r="J138" s="16">
        <v>147405855.56000006</v>
      </c>
      <c r="K138" s="16">
        <v>0</v>
      </c>
      <c r="L138" s="16">
        <v>0</v>
      </c>
      <c r="M138" s="16">
        <v>0</v>
      </c>
      <c r="N138" s="18">
        <f t="shared" si="4"/>
        <v>1900042381.1164455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x14ac:dyDescent="0.2">
      <c r="A139" s="17" t="s">
        <v>134</v>
      </c>
      <c r="B139" s="16">
        <v>5345324697.9800005</v>
      </c>
      <c r="C139" s="16">
        <v>0</v>
      </c>
      <c r="D139" s="16">
        <v>50982330.190000005</v>
      </c>
      <c r="E139" s="16">
        <v>59843688.230000004</v>
      </c>
      <c r="F139" s="16">
        <v>47895349.189999998</v>
      </c>
      <c r="G139" s="16">
        <v>38928148.652203195</v>
      </c>
      <c r="H139" s="16">
        <v>312925729.11000001</v>
      </c>
      <c r="I139" s="16">
        <v>137971675.06</v>
      </c>
      <c r="J139" s="16">
        <v>263201502.6100001</v>
      </c>
      <c r="K139" s="16">
        <v>0</v>
      </c>
      <c r="L139" s="16">
        <v>0</v>
      </c>
      <c r="M139" s="16">
        <v>0</v>
      </c>
      <c r="N139" s="18">
        <f t="shared" si="4"/>
        <v>6257073121.0222025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x14ac:dyDescent="0.2">
      <c r="A140" s="17" t="s">
        <v>135</v>
      </c>
      <c r="B140" s="16">
        <v>1602336045.21</v>
      </c>
      <c r="C140" s="16">
        <v>0</v>
      </c>
      <c r="D140" s="16">
        <v>5200641.6499999994</v>
      </c>
      <c r="E140" s="16">
        <v>17977315.720000003</v>
      </c>
      <c r="F140" s="16">
        <v>7898567.3499999996</v>
      </c>
      <c r="G140" s="16">
        <v>3650023.38</v>
      </c>
      <c r="H140" s="16">
        <v>93803876</v>
      </c>
      <c r="I140" s="16">
        <v>22753327.550000001</v>
      </c>
      <c r="J140" s="16">
        <v>66529930.439999998</v>
      </c>
      <c r="K140" s="16">
        <v>0</v>
      </c>
      <c r="L140" s="16">
        <v>0</v>
      </c>
      <c r="M140" s="16">
        <v>0</v>
      </c>
      <c r="N140" s="18">
        <f t="shared" si="4"/>
        <v>1820149727.3000002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x14ac:dyDescent="0.2">
      <c r="A141" s="17" t="s">
        <v>136</v>
      </c>
      <c r="B141" s="16">
        <v>1810141576.3800001</v>
      </c>
      <c r="C141" s="16">
        <v>0</v>
      </c>
      <c r="D141" s="16">
        <v>19677576.821270023</v>
      </c>
      <c r="E141" s="16">
        <v>20357721.099999998</v>
      </c>
      <c r="F141" s="16">
        <v>11390186.65</v>
      </c>
      <c r="G141" s="16">
        <v>3189506.41</v>
      </c>
      <c r="H141" s="16">
        <v>105969216.93000001</v>
      </c>
      <c r="I141" s="16">
        <v>32811601.91</v>
      </c>
      <c r="J141" s="16">
        <v>185026377.00999999</v>
      </c>
      <c r="K141" s="16">
        <v>0</v>
      </c>
      <c r="L141" s="16">
        <v>0</v>
      </c>
      <c r="M141" s="16">
        <v>0</v>
      </c>
      <c r="N141" s="18">
        <f t="shared" si="4"/>
        <v>2188563763.2112703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x14ac:dyDescent="0.2">
      <c r="A142" s="17" t="s">
        <v>137</v>
      </c>
      <c r="B142" s="16">
        <v>1839808860.0700002</v>
      </c>
      <c r="C142" s="16">
        <v>0</v>
      </c>
      <c r="D142" s="16">
        <v>21521781.181184191</v>
      </c>
      <c r="E142" s="16">
        <v>26469940.09</v>
      </c>
      <c r="F142" s="16">
        <v>48970089.149999999</v>
      </c>
      <c r="G142" s="16">
        <v>12877418.939999999</v>
      </c>
      <c r="H142" s="16">
        <v>107705997.56</v>
      </c>
      <c r="I142" s="16">
        <v>141067668.16999999</v>
      </c>
      <c r="J142" s="16">
        <v>250812289.18999991</v>
      </c>
      <c r="K142" s="16">
        <v>0</v>
      </c>
      <c r="L142" s="16">
        <v>0</v>
      </c>
      <c r="M142" s="16">
        <v>0</v>
      </c>
      <c r="N142" s="18">
        <f t="shared" si="4"/>
        <v>2449234044.3511844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.75" customHeight="1" x14ac:dyDescent="0.2">
      <c r="A143" s="22" t="s">
        <v>138</v>
      </c>
      <c r="B143" s="23">
        <f>SUM(B8:B142)</f>
        <v>336363760366.79004</v>
      </c>
      <c r="C143" s="23">
        <f>SUM(C8:C142)</f>
        <v>0</v>
      </c>
      <c r="D143" s="23">
        <f t="shared" ref="D143:L143" si="5">SUM(D8:D142)</f>
        <v>3580837161.6303844</v>
      </c>
      <c r="E143" s="23">
        <f t="shared" si="5"/>
        <v>4350330678.9800014</v>
      </c>
      <c r="F143" s="23">
        <f t="shared" si="5"/>
        <v>5142296456.5599995</v>
      </c>
      <c r="G143" s="23">
        <f t="shared" si="5"/>
        <v>1705618402.4800007</v>
      </c>
      <c r="H143" s="23">
        <f t="shared" si="5"/>
        <v>19691390306.329998</v>
      </c>
      <c r="I143" s="23">
        <f t="shared" si="5"/>
        <v>14813364293.599993</v>
      </c>
      <c r="J143" s="23">
        <f t="shared" si="5"/>
        <v>31104450162.490005</v>
      </c>
      <c r="K143" s="23">
        <f t="shared" si="5"/>
        <v>0</v>
      </c>
      <c r="L143" s="23">
        <f t="shared" si="5"/>
        <v>0</v>
      </c>
      <c r="M143" s="23">
        <f t="shared" ref="M143" si="6">SUM(M8:M142)</f>
        <v>0</v>
      </c>
      <c r="N143" s="23">
        <f>SUM(N8:N142)</f>
        <v>416752047828.86023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44AEAC"/>
  </sheetPr>
  <dimension ref="A1:O275"/>
  <sheetViews>
    <sheetView showGridLines="0" tabSelected="1" zoomScale="80" zoomScaleNormal="80" workbookViewId="0"/>
  </sheetViews>
  <sheetFormatPr baseColWidth="10" defaultRowHeight="14.25" x14ac:dyDescent="0.2"/>
  <cols>
    <col min="1" max="1" width="41.83203125" style="11" customWidth="1"/>
    <col min="2" max="2" width="23.1640625" style="1" customWidth="1"/>
    <col min="3" max="3" width="23.33203125" style="1" hidden="1" customWidth="1"/>
    <col min="4" max="10" width="22.33203125" style="1" customWidth="1"/>
    <col min="11" max="13" width="22.33203125" style="1" hidden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1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33" t="s">
        <v>2</v>
      </c>
      <c r="B6" s="34" t="s">
        <v>153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5" ht="60" customHeight="1" x14ac:dyDescent="0.2">
      <c r="A7" s="33"/>
      <c r="B7" s="19" t="s">
        <v>139</v>
      </c>
      <c r="C7" s="19" t="s">
        <v>150</v>
      </c>
      <c r="D7" s="19" t="s">
        <v>143</v>
      </c>
      <c r="E7" s="19" t="s">
        <v>141</v>
      </c>
      <c r="F7" s="25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19" t="s">
        <v>151</v>
      </c>
      <c r="L7" s="19" t="s">
        <v>148</v>
      </c>
      <c r="M7" s="19" t="s">
        <v>142</v>
      </c>
      <c r="N7" s="20" t="s">
        <v>140</v>
      </c>
    </row>
    <row r="8" spans="1:15" ht="18" customHeight="1" x14ac:dyDescent="0.2">
      <c r="A8" s="17" t="s">
        <v>3</v>
      </c>
      <c r="B8" s="16">
        <v>1522678190.8499999</v>
      </c>
      <c r="C8" s="16"/>
      <c r="D8" s="16">
        <v>135578614.19650286</v>
      </c>
      <c r="E8" s="16">
        <v>23496559.550000001</v>
      </c>
      <c r="F8" s="16">
        <v>4624285.08</v>
      </c>
      <c r="G8" s="16">
        <v>1846642.4</v>
      </c>
      <c r="H8" s="16">
        <v>82372534.400000006</v>
      </c>
      <c r="I8" s="16">
        <v>11377644.029999999</v>
      </c>
      <c r="J8" s="16">
        <v>120913024.30000003</v>
      </c>
      <c r="K8" s="16"/>
      <c r="L8" s="16"/>
      <c r="M8" s="16"/>
      <c r="N8" s="18">
        <f t="shared" ref="N8:N39" si="0">SUM(B8:M8)</f>
        <v>1902887494.8065028</v>
      </c>
      <c r="O8" s="4"/>
    </row>
    <row r="9" spans="1:15" ht="18" customHeight="1" x14ac:dyDescent="0.2">
      <c r="A9" s="17" t="s">
        <v>4</v>
      </c>
      <c r="B9" s="16">
        <v>844531317.91000009</v>
      </c>
      <c r="C9" s="16"/>
      <c r="D9" s="16">
        <v>117359268.37546319</v>
      </c>
      <c r="E9" s="16">
        <v>13032025.109999999</v>
      </c>
      <c r="F9" s="16">
        <v>3239871.78</v>
      </c>
      <c r="G9" s="16">
        <v>1366515.38</v>
      </c>
      <c r="H9" s="16">
        <v>45686728.460000001</v>
      </c>
      <c r="I9" s="16">
        <v>7971417.6799999997</v>
      </c>
      <c r="J9" s="16">
        <v>91694528.519999996</v>
      </c>
      <c r="K9" s="16"/>
      <c r="L9" s="16"/>
      <c r="M9" s="16"/>
      <c r="N9" s="18">
        <f t="shared" si="0"/>
        <v>1124881673.2154634</v>
      </c>
      <c r="O9" s="4"/>
    </row>
    <row r="10" spans="1:15" ht="18" customHeight="1" x14ac:dyDescent="0.2">
      <c r="A10" s="17" t="s">
        <v>5</v>
      </c>
      <c r="B10" s="16">
        <v>900942244.61000001</v>
      </c>
      <c r="C10" s="16"/>
      <c r="D10" s="16">
        <v>104315641.1577218</v>
      </c>
      <c r="E10" s="16">
        <v>13902506.27</v>
      </c>
      <c r="F10" s="16">
        <v>2263314.6800000002</v>
      </c>
      <c r="G10" s="16">
        <v>1366515.38</v>
      </c>
      <c r="H10" s="16">
        <v>48738398.229999997</v>
      </c>
      <c r="I10" s="16">
        <v>5568685.4000000004</v>
      </c>
      <c r="J10" s="16">
        <v>54193923.859999992</v>
      </c>
      <c r="K10" s="16"/>
      <c r="L10" s="16"/>
      <c r="M10" s="16"/>
      <c r="N10" s="18">
        <f t="shared" si="0"/>
        <v>1131291229.5877216</v>
      </c>
      <c r="O10" s="4"/>
    </row>
    <row r="11" spans="1:15" ht="18" customHeight="1" x14ac:dyDescent="0.2">
      <c r="A11" s="17" t="s">
        <v>6</v>
      </c>
      <c r="B11" s="16">
        <v>6982797381.3699989</v>
      </c>
      <c r="C11" s="16"/>
      <c r="D11" s="16">
        <v>66237317.3575598</v>
      </c>
      <c r="E11" s="16">
        <v>107752061.8</v>
      </c>
      <c r="F11" s="16">
        <v>242932939.5</v>
      </c>
      <c r="G11" s="16">
        <v>111809984.88633628</v>
      </c>
      <c r="H11" s="16">
        <v>377749363.52999997</v>
      </c>
      <c r="I11" s="16">
        <v>597714988.80999994</v>
      </c>
      <c r="J11" s="16">
        <v>1019612311.4300002</v>
      </c>
      <c r="K11" s="16"/>
      <c r="L11" s="16"/>
      <c r="M11" s="16"/>
      <c r="N11" s="18">
        <f t="shared" si="0"/>
        <v>9506606348.6838951</v>
      </c>
      <c r="O11" s="4"/>
    </row>
    <row r="12" spans="1:15" ht="18" customHeight="1" x14ac:dyDescent="0.2">
      <c r="A12" s="17" t="s">
        <v>7</v>
      </c>
      <c r="B12" s="16">
        <v>919838515.62999988</v>
      </c>
      <c r="C12" s="16"/>
      <c r="D12" s="16">
        <v>151826031.04746959</v>
      </c>
      <c r="E12" s="16">
        <v>14194096.030000001</v>
      </c>
      <c r="F12" s="16">
        <v>8306479.79</v>
      </c>
      <c r="G12" s="16">
        <v>3397822.02</v>
      </c>
      <c r="H12" s="16">
        <v>49760632.43</v>
      </c>
      <c r="I12" s="16">
        <v>20437358.09</v>
      </c>
      <c r="J12" s="16">
        <v>109938221.62999998</v>
      </c>
      <c r="K12" s="16"/>
      <c r="L12" s="16"/>
      <c r="M12" s="16"/>
      <c r="N12" s="18">
        <f t="shared" si="0"/>
        <v>1277699156.6674693</v>
      </c>
      <c r="O12" s="4"/>
    </row>
    <row r="13" spans="1:15" ht="18" customHeight="1" x14ac:dyDescent="0.2">
      <c r="A13" s="17" t="s">
        <v>8</v>
      </c>
      <c r="B13" s="16">
        <v>4146758883.8299999</v>
      </c>
      <c r="C13" s="16"/>
      <c r="D13" s="16">
        <v>51870336.449430905</v>
      </c>
      <c r="E13" s="16">
        <v>63988942.410000004</v>
      </c>
      <c r="F13" s="16">
        <v>118134686.70999999</v>
      </c>
      <c r="G13" s="16">
        <v>0</v>
      </c>
      <c r="H13" s="16">
        <v>224327793.50999999</v>
      </c>
      <c r="I13" s="16">
        <v>290659937.22000003</v>
      </c>
      <c r="J13" s="16">
        <v>758155493.79999995</v>
      </c>
      <c r="K13" s="16"/>
      <c r="L13" s="16"/>
      <c r="M13" s="16"/>
      <c r="N13" s="18">
        <f t="shared" si="0"/>
        <v>5653896073.929431</v>
      </c>
      <c r="O13" s="4"/>
    </row>
    <row r="14" spans="1:15" ht="18" customHeight="1" x14ac:dyDescent="0.2">
      <c r="A14" s="17" t="s">
        <v>9</v>
      </c>
      <c r="B14" s="16">
        <v>1506143953.7199998</v>
      </c>
      <c r="C14" s="16"/>
      <c r="D14" s="16">
        <v>237972085.28110525</v>
      </c>
      <c r="E14" s="16">
        <v>23241418.52</v>
      </c>
      <c r="F14" s="16">
        <v>5376808.4900000002</v>
      </c>
      <c r="G14" s="16">
        <v>2308303</v>
      </c>
      <c r="H14" s="16">
        <v>81478079.469999999</v>
      </c>
      <c r="I14" s="16">
        <v>13229161.26</v>
      </c>
      <c r="J14" s="16">
        <v>162757365.37000003</v>
      </c>
      <c r="K14" s="16"/>
      <c r="L14" s="16"/>
      <c r="M14" s="16"/>
      <c r="N14" s="18">
        <f t="shared" si="0"/>
        <v>2032507175.1111052</v>
      </c>
      <c r="O14" s="4"/>
    </row>
    <row r="15" spans="1:15" ht="18" customHeight="1" x14ac:dyDescent="0.2">
      <c r="A15" s="17" t="s">
        <v>10</v>
      </c>
      <c r="B15" s="16">
        <v>2548599816.1999998</v>
      </c>
      <c r="C15" s="16"/>
      <c r="D15" s="16">
        <v>358295478.16081625</v>
      </c>
      <c r="E15" s="16">
        <v>39327631.890000001</v>
      </c>
      <c r="F15" s="16">
        <v>20030909.43</v>
      </c>
      <c r="G15" s="16">
        <v>7995961.5899999999</v>
      </c>
      <c r="H15" s="16">
        <v>137871959.61000001</v>
      </c>
      <c r="I15" s="16">
        <v>49284279.170000002</v>
      </c>
      <c r="J15" s="16">
        <v>259681668.16</v>
      </c>
      <c r="K15" s="16"/>
      <c r="L15" s="16"/>
      <c r="M15" s="16"/>
      <c r="N15" s="18">
        <f t="shared" si="0"/>
        <v>3421087704.2108159</v>
      </c>
      <c r="O15" s="4"/>
    </row>
    <row r="16" spans="1:15" ht="18" customHeight="1" x14ac:dyDescent="0.2">
      <c r="A16" s="17" t="s">
        <v>11</v>
      </c>
      <c r="B16" s="16">
        <v>4619582488.4899998</v>
      </c>
      <c r="C16" s="16"/>
      <c r="D16" s="16">
        <v>128719790.9333823</v>
      </c>
      <c r="E16" s="16">
        <v>71285118.359999999</v>
      </c>
      <c r="F16" s="16">
        <v>74706618.069999993</v>
      </c>
      <c r="G16" s="16">
        <v>35474000.5</v>
      </c>
      <c r="H16" s="16">
        <v>249906197.97999999</v>
      </c>
      <c r="I16" s="16">
        <v>183809019.38</v>
      </c>
      <c r="J16" s="16">
        <v>645082712</v>
      </c>
      <c r="K16" s="16"/>
      <c r="L16" s="16"/>
      <c r="M16" s="16"/>
      <c r="N16" s="18">
        <f t="shared" si="0"/>
        <v>6008565945.7133808</v>
      </c>
      <c r="O16" s="4"/>
    </row>
    <row r="17" spans="1:15" ht="15" x14ac:dyDescent="0.2">
      <c r="A17" s="17" t="s">
        <v>12</v>
      </c>
      <c r="B17" s="16">
        <v>1788441737.6700001</v>
      </c>
      <c r="C17" s="16"/>
      <c r="D17" s="16">
        <v>338590520.38049906</v>
      </c>
      <c r="E17" s="16">
        <v>27597576.460000001</v>
      </c>
      <c r="F17" s="16">
        <v>15343435.359999999</v>
      </c>
      <c r="G17" s="16">
        <v>5170598.72</v>
      </c>
      <c r="H17" s="16">
        <v>96749582.040000007</v>
      </c>
      <c r="I17" s="16">
        <v>37751164.229999997</v>
      </c>
      <c r="J17" s="16">
        <v>174854124.06000003</v>
      </c>
      <c r="K17" s="16"/>
      <c r="L17" s="16"/>
      <c r="M17" s="16"/>
      <c r="N17" s="18">
        <f t="shared" si="0"/>
        <v>2484498738.9204988</v>
      </c>
      <c r="O17" s="4"/>
    </row>
    <row r="18" spans="1:15" ht="15" x14ac:dyDescent="0.2">
      <c r="A18" s="17" t="s">
        <v>13</v>
      </c>
      <c r="B18" s="16">
        <v>1004177019.28</v>
      </c>
      <c r="C18" s="16"/>
      <c r="D18" s="16">
        <v>111050508.11301169</v>
      </c>
      <c r="E18" s="16">
        <v>15495529.710000001</v>
      </c>
      <c r="F18" s="16">
        <v>10340016.34</v>
      </c>
      <c r="G18" s="16">
        <v>4210344.67</v>
      </c>
      <c r="H18" s="16">
        <v>54323104.229999997</v>
      </c>
      <c r="I18" s="16">
        <v>25440694.719999999</v>
      </c>
      <c r="J18" s="16">
        <v>142554091.91000003</v>
      </c>
      <c r="K18" s="16"/>
      <c r="L18" s="16"/>
      <c r="M18" s="16"/>
      <c r="N18" s="18">
        <f t="shared" si="0"/>
        <v>1367591308.9730117</v>
      </c>
      <c r="O18" s="4"/>
    </row>
    <row r="19" spans="1:15" ht="15" x14ac:dyDescent="0.2">
      <c r="A19" s="17" t="s">
        <v>14</v>
      </c>
      <c r="B19" s="16">
        <v>1618479506.0099998</v>
      </c>
      <c r="C19" s="16"/>
      <c r="D19" s="16">
        <v>207263498.59190047</v>
      </c>
      <c r="E19" s="16">
        <v>24974876.73</v>
      </c>
      <c r="F19" s="16">
        <v>4176217.71</v>
      </c>
      <c r="G19" s="16">
        <v>2345235.85</v>
      </c>
      <c r="H19" s="16">
        <v>87555111.5</v>
      </c>
      <c r="I19" s="16">
        <v>10275213.92</v>
      </c>
      <c r="J19" s="16">
        <v>124026836.01000002</v>
      </c>
      <c r="K19" s="16"/>
      <c r="L19" s="16"/>
      <c r="M19" s="16"/>
      <c r="N19" s="18">
        <f t="shared" si="0"/>
        <v>2079096496.3219001</v>
      </c>
      <c r="O19" s="4"/>
    </row>
    <row r="20" spans="1:15" ht="15" x14ac:dyDescent="0.2">
      <c r="A20" s="17" t="s">
        <v>15</v>
      </c>
      <c r="B20" s="16">
        <v>5797021639.8600006</v>
      </c>
      <c r="C20" s="16"/>
      <c r="D20" s="16">
        <v>54199306.492097497</v>
      </c>
      <c r="E20" s="16">
        <v>89454268.819999993</v>
      </c>
      <c r="F20" s="16">
        <v>133294299.55</v>
      </c>
      <c r="G20" s="16">
        <v>58309142.364462063</v>
      </c>
      <c r="H20" s="16">
        <v>313602287.91000003</v>
      </c>
      <c r="I20" s="16">
        <v>327958822.42000002</v>
      </c>
      <c r="J20" s="16">
        <v>705268341.12000012</v>
      </c>
      <c r="K20" s="16"/>
      <c r="L20" s="16"/>
      <c r="M20" s="16"/>
      <c r="N20" s="18">
        <f t="shared" si="0"/>
        <v>7479108108.5365601</v>
      </c>
      <c r="O20" s="4"/>
    </row>
    <row r="21" spans="1:15" ht="15" x14ac:dyDescent="0.2">
      <c r="A21" s="17" t="s">
        <v>16</v>
      </c>
      <c r="B21" s="16">
        <v>2516156586.21</v>
      </c>
      <c r="C21" s="16"/>
      <c r="D21" s="16">
        <v>22048323.533328298</v>
      </c>
      <c r="E21" s="16">
        <v>38826998</v>
      </c>
      <c r="F21" s="16">
        <v>35443278.240000002</v>
      </c>
      <c r="G21" s="16">
        <v>7866567.6319698915</v>
      </c>
      <c r="H21" s="16">
        <v>136116873.66999999</v>
      </c>
      <c r="I21" s="16">
        <v>87205048.019999996</v>
      </c>
      <c r="J21" s="16">
        <v>231225487.51999998</v>
      </c>
      <c r="K21" s="16"/>
      <c r="L21" s="16"/>
      <c r="M21" s="16"/>
      <c r="N21" s="18">
        <f t="shared" si="0"/>
        <v>3074889162.8252983</v>
      </c>
      <c r="O21" s="4"/>
    </row>
    <row r="22" spans="1:15" ht="15" x14ac:dyDescent="0.2">
      <c r="A22" s="17" t="s">
        <v>17</v>
      </c>
      <c r="B22" s="16">
        <v>2059936690.2399998</v>
      </c>
      <c r="C22" s="16"/>
      <c r="D22" s="16">
        <v>149997149.81358996</v>
      </c>
      <c r="E22" s="16">
        <v>31787035.109999999</v>
      </c>
      <c r="F22" s="16">
        <v>8438602.2200000007</v>
      </c>
      <c r="G22" s="16">
        <v>3970281.16</v>
      </c>
      <c r="H22" s="16">
        <v>111436682.34999999</v>
      </c>
      <c r="I22" s="16">
        <v>20762433.640000001</v>
      </c>
      <c r="J22" s="16">
        <v>173637647.20999998</v>
      </c>
      <c r="K22" s="16"/>
      <c r="L22" s="16"/>
      <c r="M22" s="16"/>
      <c r="N22" s="18">
        <f t="shared" si="0"/>
        <v>2559966521.7435894</v>
      </c>
      <c r="O22" s="4"/>
    </row>
    <row r="23" spans="1:15" ht="15" x14ac:dyDescent="0.2">
      <c r="A23" s="17" t="s">
        <v>18</v>
      </c>
      <c r="B23" s="16">
        <v>1943016013.3900001</v>
      </c>
      <c r="C23" s="16"/>
      <c r="D23" s="16">
        <v>131187742.62958458</v>
      </c>
      <c r="E23" s="16">
        <v>29982823.530000001</v>
      </c>
      <c r="F23" s="16">
        <v>8088190.5599999996</v>
      </c>
      <c r="G23" s="16">
        <v>4893602.3600000003</v>
      </c>
      <c r="H23" s="16">
        <v>105111608.19</v>
      </c>
      <c r="I23" s="16">
        <v>19900276.760000002</v>
      </c>
      <c r="J23" s="16">
        <v>143331007.91000003</v>
      </c>
      <c r="K23" s="16"/>
      <c r="L23" s="16"/>
      <c r="M23" s="16"/>
      <c r="N23" s="18">
        <f t="shared" si="0"/>
        <v>2385511265.3295846</v>
      </c>
      <c r="O23" s="4"/>
    </row>
    <row r="24" spans="1:15" ht="15" x14ac:dyDescent="0.2">
      <c r="A24" s="17" t="s">
        <v>19</v>
      </c>
      <c r="B24" s="16">
        <v>616525577.31999993</v>
      </c>
      <c r="C24" s="16"/>
      <c r="D24" s="16">
        <v>64610398.830959588</v>
      </c>
      <c r="E24" s="16">
        <v>9513651.6999999993</v>
      </c>
      <c r="F24" s="16">
        <v>8409879.9499999993</v>
      </c>
      <c r="G24" s="16">
        <v>964182.13585335144</v>
      </c>
      <c r="H24" s="16">
        <v>33352270.120000001</v>
      </c>
      <c r="I24" s="16">
        <v>20691765.039999999</v>
      </c>
      <c r="J24" s="16">
        <v>121279965.45000002</v>
      </c>
      <c r="K24" s="16"/>
      <c r="L24" s="16"/>
      <c r="M24" s="16"/>
      <c r="N24" s="18">
        <f t="shared" si="0"/>
        <v>875347690.54681301</v>
      </c>
      <c r="O24" s="4"/>
    </row>
    <row r="25" spans="1:15" ht="15" x14ac:dyDescent="0.2">
      <c r="A25" s="17" t="s">
        <v>20</v>
      </c>
      <c r="B25" s="16">
        <v>2422578361.7700005</v>
      </c>
      <c r="C25" s="16"/>
      <c r="D25" s="16">
        <v>55921408.581284806</v>
      </c>
      <c r="E25" s="16">
        <v>37382985.519999996</v>
      </c>
      <c r="F25" s="16">
        <v>37298736.719999999</v>
      </c>
      <c r="G25" s="16">
        <v>11652313.539999999</v>
      </c>
      <c r="H25" s="16">
        <v>131054559.41</v>
      </c>
      <c r="I25" s="16">
        <v>91770239.359999999</v>
      </c>
      <c r="J25" s="16">
        <v>280362541.41000003</v>
      </c>
      <c r="K25" s="16"/>
      <c r="L25" s="16"/>
      <c r="M25" s="16"/>
      <c r="N25" s="18">
        <f t="shared" si="0"/>
        <v>3068021146.311285</v>
      </c>
      <c r="O25" s="4"/>
    </row>
    <row r="26" spans="1:15" ht="15" x14ac:dyDescent="0.2">
      <c r="A26" s="17" t="s">
        <v>21</v>
      </c>
      <c r="B26" s="16">
        <v>1036793928.2600002</v>
      </c>
      <c r="C26" s="16"/>
      <c r="D26" s="16">
        <v>63494222.481302299</v>
      </c>
      <c r="E26" s="16">
        <v>15998843.640000001</v>
      </c>
      <c r="F26" s="16">
        <v>16963371.25</v>
      </c>
      <c r="G26" s="16">
        <v>7441968.8700000001</v>
      </c>
      <c r="H26" s="16">
        <v>56087585.700000003</v>
      </c>
      <c r="I26" s="16">
        <v>41736873.07</v>
      </c>
      <c r="J26" s="16">
        <v>206873667.03999999</v>
      </c>
      <c r="K26" s="16"/>
      <c r="L26" s="16"/>
      <c r="M26" s="16"/>
      <c r="N26" s="18">
        <f t="shared" si="0"/>
        <v>1445390460.3113024</v>
      </c>
      <c r="O26" s="4"/>
    </row>
    <row r="27" spans="1:15" ht="15" x14ac:dyDescent="0.2">
      <c r="A27" s="17" t="s">
        <v>22</v>
      </c>
      <c r="B27" s="16">
        <v>472649925.63</v>
      </c>
      <c r="C27" s="16"/>
      <c r="D27" s="16">
        <v>57909047.070362307</v>
      </c>
      <c r="E27" s="16">
        <v>7293495.8900000006</v>
      </c>
      <c r="F27" s="16">
        <v>4216428.88</v>
      </c>
      <c r="G27" s="16">
        <v>1680444.58</v>
      </c>
      <c r="H27" s="16">
        <v>25569008.93</v>
      </c>
      <c r="I27" s="16">
        <v>10374149.960000001</v>
      </c>
      <c r="J27" s="16">
        <v>55436528.299999997</v>
      </c>
      <c r="K27" s="16"/>
      <c r="L27" s="16"/>
      <c r="M27" s="16"/>
      <c r="N27" s="18">
        <f t="shared" si="0"/>
        <v>635129029.24036229</v>
      </c>
      <c r="O27" s="4"/>
    </row>
    <row r="28" spans="1:15" ht="15" x14ac:dyDescent="0.2">
      <c r="A28" s="17" t="s">
        <v>23</v>
      </c>
      <c r="B28" s="16">
        <v>1811610511.1400003</v>
      </c>
      <c r="C28" s="16"/>
      <c r="D28" s="16">
        <v>123307904.72227938</v>
      </c>
      <c r="E28" s="16">
        <v>27955095.52</v>
      </c>
      <c r="F28" s="16">
        <v>5807642.5099999998</v>
      </c>
      <c r="G28" s="16">
        <v>2437567.9700000002</v>
      </c>
      <c r="H28" s="16">
        <v>98002946.409999996</v>
      </c>
      <c r="I28" s="16">
        <v>14289190.199999999</v>
      </c>
      <c r="J28" s="16">
        <v>113342512.28999998</v>
      </c>
      <c r="K28" s="16"/>
      <c r="L28" s="16"/>
      <c r="M28" s="16"/>
      <c r="N28" s="18">
        <f t="shared" si="0"/>
        <v>2196753370.76228</v>
      </c>
      <c r="O28" s="4"/>
    </row>
    <row r="29" spans="1:15" ht="15" x14ac:dyDescent="0.2">
      <c r="A29" s="17" t="s">
        <v>24</v>
      </c>
      <c r="B29" s="16">
        <v>1035161346.0300002</v>
      </c>
      <c r="C29" s="16"/>
      <c r="D29" s="16">
        <v>162981489.5925144</v>
      </c>
      <c r="E29" s="16">
        <v>15973651.140000001</v>
      </c>
      <c r="F29" s="16">
        <v>3624750.17</v>
      </c>
      <c r="G29" s="16">
        <v>1477313.92</v>
      </c>
      <c r="H29" s="16">
        <v>55999267.670000002</v>
      </c>
      <c r="I29" s="16">
        <v>8918376.8699999992</v>
      </c>
      <c r="J29" s="16">
        <v>101043647.92</v>
      </c>
      <c r="K29" s="16"/>
      <c r="L29" s="16"/>
      <c r="M29" s="16"/>
      <c r="N29" s="18">
        <f t="shared" si="0"/>
        <v>1385179843.312515</v>
      </c>
      <c r="O29" s="4"/>
    </row>
    <row r="30" spans="1:15" ht="15" x14ac:dyDescent="0.2">
      <c r="A30" s="17" t="s">
        <v>25</v>
      </c>
      <c r="B30" s="16">
        <v>363058500.94000006</v>
      </c>
      <c r="C30" s="16"/>
      <c r="D30" s="16">
        <v>87270073.416337892</v>
      </c>
      <c r="E30" s="16">
        <v>5602382.5300000003</v>
      </c>
      <c r="F30" s="16">
        <v>3130727.17</v>
      </c>
      <c r="G30" s="16">
        <v>1846642.4</v>
      </c>
      <c r="H30" s="16">
        <v>19640426.350000001</v>
      </c>
      <c r="I30" s="16">
        <v>7702877.0099999998</v>
      </c>
      <c r="J30" s="16">
        <v>78495794.179999992</v>
      </c>
      <c r="K30" s="16"/>
      <c r="L30" s="16"/>
      <c r="M30" s="16"/>
      <c r="N30" s="18">
        <f t="shared" si="0"/>
        <v>566747423.99633789</v>
      </c>
      <c r="O30" s="4"/>
    </row>
    <row r="31" spans="1:15" ht="15" x14ac:dyDescent="0.2">
      <c r="A31" s="17" t="s">
        <v>26</v>
      </c>
      <c r="B31" s="16">
        <v>624966374.82999992</v>
      </c>
      <c r="C31" s="16"/>
      <c r="D31" s="16">
        <v>49200774.718409583</v>
      </c>
      <c r="E31" s="16">
        <v>9643902.2599999998</v>
      </c>
      <c r="F31" s="16">
        <v>3739639.24</v>
      </c>
      <c r="G31" s="16">
        <v>1015653.32</v>
      </c>
      <c r="H31" s="16">
        <v>33808893.119999997</v>
      </c>
      <c r="I31" s="16">
        <v>9201051.2599999998</v>
      </c>
      <c r="J31" s="16">
        <v>55632102.139999993</v>
      </c>
      <c r="K31" s="16"/>
      <c r="L31" s="16"/>
      <c r="M31" s="16"/>
      <c r="N31" s="18">
        <f t="shared" si="0"/>
        <v>787208390.8884095</v>
      </c>
      <c r="O31" s="4"/>
    </row>
    <row r="32" spans="1:15" ht="15" x14ac:dyDescent="0.2">
      <c r="A32" s="17" t="s">
        <v>27</v>
      </c>
      <c r="B32" s="16">
        <v>2859763043.5699997</v>
      </c>
      <c r="C32" s="16"/>
      <c r="D32" s="16">
        <v>268588078.17681026</v>
      </c>
      <c r="E32" s="16">
        <v>44129214.619999997</v>
      </c>
      <c r="F32" s="16">
        <v>11029350.76</v>
      </c>
      <c r="G32" s="16">
        <v>5558393.6200000001</v>
      </c>
      <c r="H32" s="16">
        <v>154705000.09999999</v>
      </c>
      <c r="I32" s="16">
        <v>27136741.039999999</v>
      </c>
      <c r="J32" s="16">
        <v>174069523.35999998</v>
      </c>
      <c r="K32" s="16"/>
      <c r="L32" s="16"/>
      <c r="M32" s="16"/>
      <c r="N32" s="18">
        <f t="shared" si="0"/>
        <v>3544979345.24681</v>
      </c>
      <c r="O32" s="4"/>
    </row>
    <row r="33" spans="1:15" ht="15" x14ac:dyDescent="0.2">
      <c r="A33" s="17" t="s">
        <v>28</v>
      </c>
      <c r="B33" s="16">
        <v>1790942714.73</v>
      </c>
      <c r="C33" s="16"/>
      <c r="D33" s="16">
        <v>133029327.29127708</v>
      </c>
      <c r="E33" s="16">
        <v>27636169.23</v>
      </c>
      <c r="F33" s="16">
        <v>8093935.0099999998</v>
      </c>
      <c r="G33" s="16">
        <v>4468874.6100000003</v>
      </c>
      <c r="H33" s="16">
        <v>96884877.75</v>
      </c>
      <c r="I33" s="16">
        <v>19914410.48</v>
      </c>
      <c r="J33" s="16">
        <v>166039854.75</v>
      </c>
      <c r="K33" s="16"/>
      <c r="L33" s="16"/>
      <c r="M33" s="16"/>
      <c r="N33" s="18">
        <f t="shared" si="0"/>
        <v>2247010163.8512774</v>
      </c>
      <c r="O33" s="4"/>
    </row>
    <row r="34" spans="1:15" ht="15" x14ac:dyDescent="0.2">
      <c r="A34" s="17" t="s">
        <v>29</v>
      </c>
      <c r="B34" s="16">
        <v>2448143904.9199996</v>
      </c>
      <c r="C34" s="16"/>
      <c r="D34" s="16">
        <v>134282820.23463085</v>
      </c>
      <c r="E34" s="16">
        <v>37777489.299999997</v>
      </c>
      <c r="F34" s="16">
        <v>11770385.26</v>
      </c>
      <c r="G34" s="16">
        <v>7460435.2999999998</v>
      </c>
      <c r="H34" s="16">
        <v>132437582.16</v>
      </c>
      <c r="I34" s="16">
        <v>28959990.829999998</v>
      </c>
      <c r="J34" s="16">
        <v>208861296.42000002</v>
      </c>
      <c r="K34" s="16"/>
      <c r="L34" s="16"/>
      <c r="M34" s="16"/>
      <c r="N34" s="18">
        <f t="shared" si="0"/>
        <v>3009693904.4246311</v>
      </c>
      <c r="O34" s="4"/>
    </row>
    <row r="35" spans="1:15" ht="15" x14ac:dyDescent="0.2">
      <c r="A35" s="17" t="s">
        <v>30</v>
      </c>
      <c r="B35" s="16">
        <v>1208041384.25</v>
      </c>
      <c r="C35" s="16"/>
      <c r="D35" s="16">
        <v>110350175.0674696</v>
      </c>
      <c r="E35" s="16">
        <v>18641375.77</v>
      </c>
      <c r="F35" s="16">
        <v>7358644.96</v>
      </c>
      <c r="G35" s="16">
        <v>2899228.57</v>
      </c>
      <c r="H35" s="16">
        <v>65351583.200000003</v>
      </c>
      <c r="I35" s="16">
        <v>18105294.41</v>
      </c>
      <c r="J35" s="16">
        <v>75065375.909999996</v>
      </c>
      <c r="K35" s="16"/>
      <c r="L35" s="16"/>
      <c r="M35" s="16"/>
      <c r="N35" s="18">
        <f t="shared" si="0"/>
        <v>1505813062.1374698</v>
      </c>
      <c r="O35" s="4"/>
    </row>
    <row r="36" spans="1:15" ht="15" x14ac:dyDescent="0.2">
      <c r="A36" s="17" t="s">
        <v>31</v>
      </c>
      <c r="B36" s="16">
        <v>1386062319.75</v>
      </c>
      <c r="C36" s="16"/>
      <c r="D36" s="16">
        <v>120762271.82719837</v>
      </c>
      <c r="E36" s="16">
        <v>21388429.960000001</v>
      </c>
      <c r="F36" s="16">
        <v>4630029.53</v>
      </c>
      <c r="G36" s="16">
        <v>1680444.58</v>
      </c>
      <c r="H36" s="16">
        <v>74982006.569999993</v>
      </c>
      <c r="I36" s="16">
        <v>11391777.75</v>
      </c>
      <c r="J36" s="16">
        <v>75597920.599999994</v>
      </c>
      <c r="K36" s="16"/>
      <c r="L36" s="16"/>
      <c r="M36" s="16"/>
      <c r="N36" s="18">
        <f t="shared" si="0"/>
        <v>1696495200.567198</v>
      </c>
      <c r="O36" s="4"/>
    </row>
    <row r="37" spans="1:15" ht="15" x14ac:dyDescent="0.2">
      <c r="A37" s="17" t="s">
        <v>32</v>
      </c>
      <c r="B37" s="16">
        <v>1443202698.0899999</v>
      </c>
      <c r="C37" s="16"/>
      <c r="D37" s="16">
        <v>122899004.40115008</v>
      </c>
      <c r="E37" s="16">
        <v>22270167.359999999</v>
      </c>
      <c r="F37" s="16">
        <v>8587958.0099999998</v>
      </c>
      <c r="G37" s="16">
        <v>2566832.94</v>
      </c>
      <c r="H37" s="16">
        <v>78073137.579999998</v>
      </c>
      <c r="I37" s="16">
        <v>21129910.34</v>
      </c>
      <c r="J37" s="16">
        <v>128319469.57000002</v>
      </c>
      <c r="K37" s="16"/>
      <c r="L37" s="16"/>
      <c r="M37" s="16"/>
      <c r="N37" s="18">
        <f t="shared" si="0"/>
        <v>1827049178.2911496</v>
      </c>
      <c r="O37" s="4"/>
    </row>
    <row r="38" spans="1:15" ht="15" x14ac:dyDescent="0.2">
      <c r="A38" s="17" t="s">
        <v>33</v>
      </c>
      <c r="B38" s="16">
        <v>1218114764.03</v>
      </c>
      <c r="C38" s="16"/>
      <c r="D38" s="16">
        <v>10536384.3916901</v>
      </c>
      <c r="E38" s="16">
        <v>18796818.84</v>
      </c>
      <c r="F38" s="16">
        <v>7674589.9000000004</v>
      </c>
      <c r="G38" s="16">
        <v>7109573.2400000002</v>
      </c>
      <c r="H38" s="16">
        <v>65896524.229999997</v>
      </c>
      <c r="I38" s="16">
        <v>18882648.969999999</v>
      </c>
      <c r="J38" s="16">
        <v>211754174.94</v>
      </c>
      <c r="K38" s="16"/>
      <c r="L38" s="16"/>
      <c r="M38" s="16"/>
      <c r="N38" s="18">
        <f t="shared" si="0"/>
        <v>1558765478.5416901</v>
      </c>
      <c r="O38" s="4"/>
    </row>
    <row r="39" spans="1:15" ht="15" x14ac:dyDescent="0.2">
      <c r="A39" s="17" t="s">
        <v>34</v>
      </c>
      <c r="B39" s="16">
        <v>2341470286.7799997</v>
      </c>
      <c r="C39" s="16"/>
      <c r="D39" s="16">
        <v>236523860.09403414</v>
      </c>
      <c r="E39" s="16">
        <v>36131400.82</v>
      </c>
      <c r="F39" s="16">
        <v>9777059.8900000006</v>
      </c>
      <c r="G39" s="16">
        <v>4431941.76</v>
      </c>
      <c r="H39" s="16">
        <v>126666844.56999999</v>
      </c>
      <c r="I39" s="16">
        <v>24055590.23</v>
      </c>
      <c r="J39" s="16">
        <v>183837455.15000001</v>
      </c>
      <c r="K39" s="16"/>
      <c r="L39" s="16"/>
      <c r="M39" s="16"/>
      <c r="N39" s="18">
        <f t="shared" si="0"/>
        <v>2962894439.2940345</v>
      </c>
      <c r="O39" s="4"/>
    </row>
    <row r="40" spans="1:15" ht="15" x14ac:dyDescent="0.2">
      <c r="A40" s="17" t="s">
        <v>35</v>
      </c>
      <c r="B40" s="16">
        <v>1537788260.5</v>
      </c>
      <c r="C40" s="16"/>
      <c r="D40" s="16">
        <v>172056096.59864515</v>
      </c>
      <c r="E40" s="16">
        <v>23729724.16</v>
      </c>
      <c r="F40" s="16">
        <v>5221708.25</v>
      </c>
      <c r="G40" s="16">
        <v>1938974.52</v>
      </c>
      <c r="H40" s="16">
        <v>83189945.939999998</v>
      </c>
      <c r="I40" s="16">
        <v>12847550.84</v>
      </c>
      <c r="J40" s="16">
        <v>101279566.08000003</v>
      </c>
      <c r="K40" s="16"/>
      <c r="L40" s="16"/>
      <c r="M40" s="16"/>
      <c r="N40" s="18">
        <f t="shared" ref="N40:N71" si="1">SUM(B40:M40)</f>
        <v>1938051826.8886452</v>
      </c>
      <c r="O40" s="4"/>
    </row>
    <row r="41" spans="1:15" ht="15" x14ac:dyDescent="0.2">
      <c r="A41" s="17" t="s">
        <v>36</v>
      </c>
      <c r="B41" s="16">
        <v>1606981958.73</v>
      </c>
      <c r="C41" s="16"/>
      <c r="D41" s="16">
        <v>59760198.599485181</v>
      </c>
      <c r="E41" s="16">
        <v>24797457.23</v>
      </c>
      <c r="F41" s="16">
        <v>8840713.9700000007</v>
      </c>
      <c r="G41" s="16">
        <v>3379355.59</v>
      </c>
      <c r="H41" s="16">
        <v>86933127.079999998</v>
      </c>
      <c r="I41" s="16">
        <v>21751793.989999998</v>
      </c>
      <c r="J41" s="16">
        <v>103926152.21000001</v>
      </c>
      <c r="K41" s="16"/>
      <c r="L41" s="16"/>
      <c r="M41" s="16"/>
      <c r="N41" s="18">
        <f t="shared" si="1"/>
        <v>1916370757.3994851</v>
      </c>
      <c r="O41" s="4"/>
    </row>
    <row r="42" spans="1:15" ht="15" x14ac:dyDescent="0.2">
      <c r="A42" s="17" t="s">
        <v>37</v>
      </c>
      <c r="B42" s="16">
        <v>974790539.0200001</v>
      </c>
      <c r="C42" s="16"/>
      <c r="D42" s="16">
        <v>11580549.4707243</v>
      </c>
      <c r="E42" s="16">
        <v>15042064.760000002</v>
      </c>
      <c r="F42" s="16">
        <v>24011815.719999999</v>
      </c>
      <c r="G42" s="16">
        <v>0</v>
      </c>
      <c r="H42" s="16">
        <v>52733379.710000001</v>
      </c>
      <c r="I42" s="16">
        <v>59078946.640000001</v>
      </c>
      <c r="J42" s="16">
        <v>158365600.06999999</v>
      </c>
      <c r="K42" s="16"/>
      <c r="L42" s="16"/>
      <c r="M42" s="16"/>
      <c r="N42" s="18">
        <f t="shared" si="1"/>
        <v>1295602895.3907244</v>
      </c>
      <c r="O42" s="4"/>
    </row>
    <row r="43" spans="1:15" ht="15" x14ac:dyDescent="0.2">
      <c r="A43" s="17" t="s">
        <v>38</v>
      </c>
      <c r="B43" s="16">
        <v>5903729993.7900009</v>
      </c>
      <c r="C43" s="16"/>
      <c r="D43" s="16">
        <v>68249158.327314109</v>
      </c>
      <c r="E43" s="16">
        <v>91100893.310000002</v>
      </c>
      <c r="F43" s="16">
        <v>99850091.140000001</v>
      </c>
      <c r="G43" s="16">
        <v>26997911.890000001</v>
      </c>
      <c r="H43" s="16">
        <v>319374904.61000001</v>
      </c>
      <c r="I43" s="16">
        <v>245672308.71000001</v>
      </c>
      <c r="J43" s="16">
        <v>518648665.95999992</v>
      </c>
      <c r="K43" s="16"/>
      <c r="L43" s="16"/>
      <c r="M43" s="16"/>
      <c r="N43" s="18">
        <f t="shared" si="1"/>
        <v>7273623927.7373161</v>
      </c>
      <c r="O43" s="4"/>
    </row>
    <row r="44" spans="1:15" ht="15" x14ac:dyDescent="0.2">
      <c r="A44" s="17" t="s">
        <v>39</v>
      </c>
      <c r="B44" s="16">
        <v>5373453388.6599998</v>
      </c>
      <c r="C44" s="16"/>
      <c r="D44" s="16">
        <v>75284309.361049801</v>
      </c>
      <c r="E44" s="16">
        <v>82918155.86999999</v>
      </c>
      <c r="F44" s="16">
        <v>125636943.01000001</v>
      </c>
      <c r="G44" s="16">
        <v>46534245.037236638</v>
      </c>
      <c r="H44" s="16">
        <v>290688457.17000002</v>
      </c>
      <c r="I44" s="16">
        <v>309118574.61000001</v>
      </c>
      <c r="J44" s="16">
        <v>670691353.51999998</v>
      </c>
      <c r="K44" s="16"/>
      <c r="L44" s="16"/>
      <c r="M44" s="16"/>
      <c r="N44" s="18">
        <f t="shared" si="1"/>
        <v>6974325427.2382851</v>
      </c>
      <c r="O44" s="4"/>
    </row>
    <row r="45" spans="1:15" ht="15" x14ac:dyDescent="0.2">
      <c r="A45" s="17" t="s">
        <v>40</v>
      </c>
      <c r="B45" s="16">
        <v>1436116596.4499998</v>
      </c>
      <c r="C45" s="16"/>
      <c r="D45" s="16">
        <v>62563802.6032013</v>
      </c>
      <c r="E45" s="16">
        <v>22160821.199999999</v>
      </c>
      <c r="F45" s="16">
        <v>9357714.7799999993</v>
      </c>
      <c r="G45" s="16">
        <v>4228811.0999999996</v>
      </c>
      <c r="H45" s="16">
        <v>77689799.760000005</v>
      </c>
      <c r="I45" s="16">
        <v>23023828.719999999</v>
      </c>
      <c r="J45" s="16">
        <v>100404671.03</v>
      </c>
      <c r="K45" s="16"/>
      <c r="L45" s="16"/>
      <c r="M45" s="16"/>
      <c r="N45" s="18">
        <f t="shared" si="1"/>
        <v>1735546045.6432011</v>
      </c>
      <c r="O45" s="4"/>
    </row>
    <row r="46" spans="1:15" ht="15" x14ac:dyDescent="0.2">
      <c r="A46" s="17" t="s">
        <v>41</v>
      </c>
      <c r="B46" s="16">
        <v>2272241852.75</v>
      </c>
      <c r="C46" s="16"/>
      <c r="D46" s="16">
        <v>30943633.551049795</v>
      </c>
      <c r="E46" s="16">
        <v>35063131.75</v>
      </c>
      <c r="F46" s="16">
        <v>73810483.319999993</v>
      </c>
      <c r="G46" s="16">
        <v>0</v>
      </c>
      <c r="H46" s="16">
        <v>122921784.31999999</v>
      </c>
      <c r="I46" s="16">
        <v>181604159.16999999</v>
      </c>
      <c r="J46" s="16">
        <v>424800135.9199999</v>
      </c>
      <c r="K46" s="16"/>
      <c r="L46" s="16"/>
      <c r="M46" s="16"/>
      <c r="N46" s="18">
        <f t="shared" si="1"/>
        <v>3141385180.7810502</v>
      </c>
      <c r="O46" s="4"/>
    </row>
    <row r="47" spans="1:15" ht="15" x14ac:dyDescent="0.2">
      <c r="A47" s="17" t="s">
        <v>42</v>
      </c>
      <c r="B47" s="16">
        <v>6909678538.6000004</v>
      </c>
      <c r="C47" s="16"/>
      <c r="D47" s="16">
        <v>51983920.509340398</v>
      </c>
      <c r="E47" s="16">
        <v>106623759.55000001</v>
      </c>
      <c r="F47" s="16">
        <v>230099830.33000001</v>
      </c>
      <c r="G47" s="16">
        <v>52814760.283030391</v>
      </c>
      <c r="H47" s="16">
        <v>373793843.30000001</v>
      </c>
      <c r="I47" s="16">
        <v>566140259.90999997</v>
      </c>
      <c r="J47" s="16">
        <v>1022115963.5400001</v>
      </c>
      <c r="K47" s="16"/>
      <c r="L47" s="16"/>
      <c r="M47" s="16"/>
      <c r="N47" s="18">
        <f t="shared" si="1"/>
        <v>9313250876.0223713</v>
      </c>
      <c r="O47" s="4"/>
    </row>
    <row r="48" spans="1:15" ht="15" x14ac:dyDescent="0.2">
      <c r="A48" s="17" t="s">
        <v>43</v>
      </c>
      <c r="B48" s="16">
        <v>668525058.36999989</v>
      </c>
      <c r="C48" s="16"/>
      <c r="D48" s="16">
        <v>77016899.526980281</v>
      </c>
      <c r="E48" s="16">
        <v>10316059.52</v>
      </c>
      <c r="F48" s="16">
        <v>1999069.82</v>
      </c>
      <c r="G48" s="16">
        <v>1144918.29</v>
      </c>
      <c r="H48" s="16">
        <v>36165293.299999997</v>
      </c>
      <c r="I48" s="16">
        <v>4918534.3099999996</v>
      </c>
      <c r="J48" s="16">
        <v>54837895.769999988</v>
      </c>
      <c r="K48" s="16"/>
      <c r="L48" s="16"/>
      <c r="M48" s="16"/>
      <c r="N48" s="18">
        <f t="shared" si="1"/>
        <v>854923728.90698004</v>
      </c>
      <c r="O48" s="4"/>
    </row>
    <row r="49" spans="1:15" ht="15" x14ac:dyDescent="0.2">
      <c r="A49" s="17" t="s">
        <v>44</v>
      </c>
      <c r="B49" s="16">
        <v>1262368163.3900001</v>
      </c>
      <c r="C49" s="16"/>
      <c r="D49" s="16">
        <v>116334771.49267788</v>
      </c>
      <c r="E49" s="16">
        <v>13743265.199999999</v>
      </c>
      <c r="F49" s="16">
        <v>11804851.99</v>
      </c>
      <c r="G49" s="16">
        <v>4801270.24</v>
      </c>
      <c r="H49" s="16">
        <v>68290506.549999997</v>
      </c>
      <c r="I49" s="16">
        <v>29044793.140000001</v>
      </c>
      <c r="J49" s="16">
        <v>129066415.61000003</v>
      </c>
      <c r="K49" s="16"/>
      <c r="L49" s="16"/>
      <c r="M49" s="16"/>
      <c r="N49" s="18">
        <f t="shared" si="1"/>
        <v>1635454037.6126783</v>
      </c>
      <c r="O49" s="4"/>
    </row>
    <row r="50" spans="1:15" ht="15" x14ac:dyDescent="0.2">
      <c r="A50" s="17" t="s">
        <v>45</v>
      </c>
      <c r="B50" s="16">
        <v>819591019.04999995</v>
      </c>
      <c r="C50" s="16"/>
      <c r="D50" s="16">
        <v>75568578.221212089</v>
      </c>
      <c r="E50" s="16">
        <v>12647169.52</v>
      </c>
      <c r="F50" s="16">
        <v>3308805.22</v>
      </c>
      <c r="G50" s="16">
        <v>1366515.38</v>
      </c>
      <c r="H50" s="16">
        <v>44337529.640000001</v>
      </c>
      <c r="I50" s="16">
        <v>8141022.3099999996</v>
      </c>
      <c r="J50" s="16">
        <v>93269493.23999998</v>
      </c>
      <c r="K50" s="16"/>
      <c r="L50" s="16"/>
      <c r="M50" s="16"/>
      <c r="N50" s="18">
        <f t="shared" si="1"/>
        <v>1058230132.581212</v>
      </c>
      <c r="O50" s="4"/>
    </row>
    <row r="51" spans="1:15" ht="15" x14ac:dyDescent="0.2">
      <c r="A51" s="17" t="s">
        <v>46</v>
      </c>
      <c r="B51" s="16">
        <v>801285256.49000001</v>
      </c>
      <c r="C51" s="16"/>
      <c r="D51" s="16">
        <v>119443686.34061478</v>
      </c>
      <c r="E51" s="16">
        <v>12364691.950000001</v>
      </c>
      <c r="F51" s="16">
        <v>4124517.62</v>
      </c>
      <c r="G51" s="16">
        <v>1717377.43</v>
      </c>
      <c r="H51" s="16">
        <v>43347240.25</v>
      </c>
      <c r="I51" s="16">
        <v>10148010.449999999</v>
      </c>
      <c r="J51" s="16">
        <v>64706880.420000024</v>
      </c>
      <c r="K51" s="16"/>
      <c r="L51" s="16"/>
      <c r="M51" s="16"/>
      <c r="N51" s="18">
        <f t="shared" si="1"/>
        <v>1057137660.9506149</v>
      </c>
      <c r="O51" s="4"/>
    </row>
    <row r="52" spans="1:15" ht="15" x14ac:dyDescent="0.2">
      <c r="A52" s="17" t="s">
        <v>47</v>
      </c>
      <c r="B52" s="16">
        <v>944952493.43999994</v>
      </c>
      <c r="C52" s="16"/>
      <c r="D52" s="16">
        <v>93039211.631194592</v>
      </c>
      <c r="E52" s="16">
        <v>14581631.670000002</v>
      </c>
      <c r="F52" s="16">
        <v>3797083.77</v>
      </c>
      <c r="G52" s="16">
        <v>2197504.46</v>
      </c>
      <c r="H52" s="16">
        <v>51119226.789999999</v>
      </c>
      <c r="I52" s="16">
        <v>9342388.4499999993</v>
      </c>
      <c r="J52" s="16">
        <v>82942504.679999977</v>
      </c>
      <c r="K52" s="16"/>
      <c r="L52" s="16"/>
      <c r="M52" s="16"/>
      <c r="N52" s="18">
        <f t="shared" si="1"/>
        <v>1201972044.8911946</v>
      </c>
      <c r="O52" s="4"/>
    </row>
    <row r="53" spans="1:15" ht="15" x14ac:dyDescent="0.2">
      <c r="A53" s="17" t="s">
        <v>48</v>
      </c>
      <c r="B53" s="16">
        <v>324849129.40999997</v>
      </c>
      <c r="C53" s="16"/>
      <c r="D53" s="16">
        <v>76216991.016691878</v>
      </c>
      <c r="E53" s="16">
        <v>5012770.8900000006</v>
      </c>
      <c r="F53" s="16">
        <v>660612.15</v>
      </c>
      <c r="G53" s="16">
        <v>332395.63</v>
      </c>
      <c r="H53" s="16">
        <v>17573408.649999999</v>
      </c>
      <c r="I53" s="16">
        <v>1625377.72</v>
      </c>
      <c r="J53" s="16">
        <v>43865014.200000003</v>
      </c>
      <c r="K53" s="16"/>
      <c r="L53" s="16"/>
      <c r="M53" s="16"/>
      <c r="N53" s="18">
        <f t="shared" si="1"/>
        <v>470135699.66669178</v>
      </c>
      <c r="O53" s="4"/>
    </row>
    <row r="54" spans="1:15" ht="15" x14ac:dyDescent="0.2">
      <c r="A54" s="17" t="s">
        <v>49</v>
      </c>
      <c r="B54" s="16">
        <v>1261221882.27</v>
      </c>
      <c r="C54" s="16"/>
      <c r="D54" s="16">
        <v>111950445.56918818</v>
      </c>
      <c r="E54" s="16">
        <v>19462007.960000001</v>
      </c>
      <c r="F54" s="16">
        <v>2269059.14</v>
      </c>
      <c r="G54" s="16">
        <v>1218783.98</v>
      </c>
      <c r="H54" s="16">
        <v>68228496.019999996</v>
      </c>
      <c r="I54" s="16">
        <v>5582819.1200000001</v>
      </c>
      <c r="J54" s="16">
        <v>100355105.17</v>
      </c>
      <c r="K54" s="16"/>
      <c r="L54" s="16"/>
      <c r="M54" s="16"/>
      <c r="N54" s="18">
        <f t="shared" si="1"/>
        <v>1570288599.2291882</v>
      </c>
      <c r="O54" s="4"/>
    </row>
    <row r="55" spans="1:15" ht="15" x14ac:dyDescent="0.2">
      <c r="A55" s="17" t="s">
        <v>50</v>
      </c>
      <c r="B55" s="16">
        <v>572897422.19000006</v>
      </c>
      <c r="C55" s="16"/>
      <c r="D55" s="16">
        <v>37206526.040489592</v>
      </c>
      <c r="E55" s="16">
        <v>8840422.4199999999</v>
      </c>
      <c r="F55" s="16">
        <v>4187706.61</v>
      </c>
      <c r="G55" s="16">
        <v>1902041.67</v>
      </c>
      <c r="H55" s="16">
        <v>30992111.73</v>
      </c>
      <c r="I55" s="16">
        <v>10303481.359999999</v>
      </c>
      <c r="J55" s="16">
        <v>70849972.640000001</v>
      </c>
      <c r="K55" s="16"/>
      <c r="L55" s="16"/>
      <c r="M55" s="16"/>
      <c r="N55" s="18">
        <f t="shared" si="1"/>
        <v>737179684.66048956</v>
      </c>
      <c r="O55" s="4"/>
    </row>
    <row r="56" spans="1:15" ht="15" x14ac:dyDescent="0.2">
      <c r="A56" s="17" t="s">
        <v>51</v>
      </c>
      <c r="B56" s="16">
        <v>436941531.17000002</v>
      </c>
      <c r="C56" s="16"/>
      <c r="D56" s="16">
        <v>41985910.8236541</v>
      </c>
      <c r="E56" s="16">
        <v>6742477.0199999996</v>
      </c>
      <c r="F56" s="16">
        <v>1183357.42</v>
      </c>
      <c r="G56" s="16">
        <v>517059.87</v>
      </c>
      <c r="H56" s="16">
        <v>23637286.940000001</v>
      </c>
      <c r="I56" s="16">
        <v>2911546.17</v>
      </c>
      <c r="J56" s="16">
        <v>58486941.70000001</v>
      </c>
      <c r="K56" s="16"/>
      <c r="L56" s="16"/>
      <c r="M56" s="16"/>
      <c r="N56" s="18">
        <f t="shared" si="1"/>
        <v>572406111.11365414</v>
      </c>
      <c r="O56" s="4"/>
    </row>
    <row r="57" spans="1:15" ht="15" x14ac:dyDescent="0.2">
      <c r="A57" s="17" t="s">
        <v>52</v>
      </c>
      <c r="B57" s="16">
        <v>1087577656.5900002</v>
      </c>
      <c r="C57" s="16"/>
      <c r="D57" s="16">
        <v>85438547.737252101</v>
      </c>
      <c r="E57" s="16">
        <v>16782491.09</v>
      </c>
      <c r="F57" s="16">
        <v>6077631.8200000003</v>
      </c>
      <c r="G57" s="16">
        <v>2382168.7000000002</v>
      </c>
      <c r="H57" s="16">
        <v>58834840.130000003</v>
      </c>
      <c r="I57" s="16">
        <v>14953475.01</v>
      </c>
      <c r="J57" s="16">
        <v>124875987.43000001</v>
      </c>
      <c r="K57" s="16"/>
      <c r="L57" s="16"/>
      <c r="M57" s="16"/>
      <c r="N57" s="18">
        <f t="shared" si="1"/>
        <v>1396922798.5072522</v>
      </c>
      <c r="O57" s="4"/>
    </row>
    <row r="58" spans="1:15" ht="15" x14ac:dyDescent="0.2">
      <c r="A58" s="17" t="s">
        <v>53</v>
      </c>
      <c r="B58" s="16">
        <v>1020884935.3900001</v>
      </c>
      <c r="C58" s="16"/>
      <c r="D58" s="16">
        <v>47619731.831537291</v>
      </c>
      <c r="E58" s="16">
        <v>15753350.789999999</v>
      </c>
      <c r="F58" s="16">
        <v>3538583.37</v>
      </c>
      <c r="G58" s="16">
        <v>1495780.34</v>
      </c>
      <c r="H58" s="16">
        <v>55226954.689999998</v>
      </c>
      <c r="I58" s="16">
        <v>8706371.0800000001</v>
      </c>
      <c r="J58" s="16">
        <v>70668999.679999992</v>
      </c>
      <c r="K58" s="16"/>
      <c r="L58" s="16"/>
      <c r="M58" s="16"/>
      <c r="N58" s="18">
        <f t="shared" si="1"/>
        <v>1223894707.1715372</v>
      </c>
      <c r="O58" s="4"/>
    </row>
    <row r="59" spans="1:15" ht="15" x14ac:dyDescent="0.2">
      <c r="A59" s="17" t="s">
        <v>54</v>
      </c>
      <c r="B59" s="16">
        <v>1038426510.4899999</v>
      </c>
      <c r="C59" s="16"/>
      <c r="D59" s="16">
        <v>173889514.78481188</v>
      </c>
      <c r="E59" s="16">
        <v>16024036.140000001</v>
      </c>
      <c r="F59" s="16">
        <v>3446672.11</v>
      </c>
      <c r="G59" s="16">
        <v>1366515.38</v>
      </c>
      <c r="H59" s="16">
        <v>56175903.729999997</v>
      </c>
      <c r="I59" s="16">
        <v>8480231.5700000003</v>
      </c>
      <c r="J59" s="16">
        <v>79041402.75999999</v>
      </c>
      <c r="K59" s="16"/>
      <c r="L59" s="16"/>
      <c r="M59" s="16"/>
      <c r="N59" s="18">
        <f t="shared" si="1"/>
        <v>1376850786.9648118</v>
      </c>
      <c r="O59" s="4"/>
    </row>
    <row r="60" spans="1:15" ht="15" x14ac:dyDescent="0.2">
      <c r="A60" s="17" t="s">
        <v>55</v>
      </c>
      <c r="B60" s="16">
        <v>7419912591.5900002</v>
      </c>
      <c r="C60" s="16"/>
      <c r="D60" s="16">
        <v>303970661.01568723</v>
      </c>
      <c r="E60" s="16">
        <v>156673562.30000001</v>
      </c>
      <c r="F60" s="16">
        <v>189595688.53999999</v>
      </c>
      <c r="G60" s="16">
        <v>70301676.200000003</v>
      </c>
      <c r="H60" s="16">
        <v>401396046</v>
      </c>
      <c r="I60" s="16">
        <v>466483405.19</v>
      </c>
      <c r="J60" s="16">
        <v>1321221314.7400002</v>
      </c>
      <c r="K60" s="16"/>
      <c r="L60" s="16"/>
      <c r="M60" s="16"/>
      <c r="N60" s="18">
        <f t="shared" si="1"/>
        <v>10329554945.575687</v>
      </c>
      <c r="O60" s="4"/>
    </row>
    <row r="61" spans="1:15" ht="15" x14ac:dyDescent="0.2">
      <c r="A61" s="17" t="s">
        <v>56</v>
      </c>
      <c r="B61" s="16">
        <v>1742416812.8899999</v>
      </c>
      <c r="C61" s="16"/>
      <c r="D61" s="16">
        <v>34530022.179657303</v>
      </c>
      <c r="E61" s="16">
        <v>26887362.449999996</v>
      </c>
      <c r="F61" s="16">
        <v>33846320.159999996</v>
      </c>
      <c r="G61" s="16">
        <v>6418667.9984938074</v>
      </c>
      <c r="H61" s="16">
        <v>94259765.269999996</v>
      </c>
      <c r="I61" s="16">
        <v>83275874.060000002</v>
      </c>
      <c r="J61" s="16">
        <v>327143103.85999995</v>
      </c>
      <c r="K61" s="16"/>
      <c r="L61" s="16"/>
      <c r="M61" s="16"/>
      <c r="N61" s="18">
        <f t="shared" si="1"/>
        <v>2348777928.8681512</v>
      </c>
      <c r="O61" s="4"/>
    </row>
    <row r="62" spans="1:15" ht="15" x14ac:dyDescent="0.2">
      <c r="A62" s="17" t="s">
        <v>57</v>
      </c>
      <c r="B62" s="16">
        <v>8104172963.96</v>
      </c>
      <c r="C62" s="16"/>
      <c r="D62" s="16">
        <v>90789734.439999998</v>
      </c>
      <c r="E62" s="16">
        <v>125056091.19</v>
      </c>
      <c r="F62" s="16">
        <v>151762717.63</v>
      </c>
      <c r="G62" s="16">
        <v>0</v>
      </c>
      <c r="H62" s="16">
        <v>438412574.76999998</v>
      </c>
      <c r="I62" s="16">
        <v>373398729.94</v>
      </c>
      <c r="J62" s="16">
        <v>650547251.59000003</v>
      </c>
      <c r="K62" s="16"/>
      <c r="L62" s="16"/>
      <c r="M62" s="16"/>
      <c r="N62" s="18">
        <f t="shared" si="1"/>
        <v>9934140063.5200005</v>
      </c>
      <c r="O62" s="4"/>
    </row>
    <row r="63" spans="1:15" ht="15" x14ac:dyDescent="0.2">
      <c r="A63" s="17" t="s">
        <v>58</v>
      </c>
      <c r="B63" s="16">
        <v>1427189497.8399999</v>
      </c>
      <c r="C63" s="16"/>
      <c r="D63" s="16">
        <v>116850780.84913418</v>
      </c>
      <c r="E63" s="16">
        <v>22023066.489999998</v>
      </c>
      <c r="F63" s="16">
        <v>5348086.2300000004</v>
      </c>
      <c r="G63" s="16">
        <v>2382168.7000000002</v>
      </c>
      <c r="H63" s="16">
        <v>77206869.260000005</v>
      </c>
      <c r="I63" s="16">
        <v>13158492.66</v>
      </c>
      <c r="J63" s="16">
        <v>87298152.290000007</v>
      </c>
      <c r="K63" s="16"/>
      <c r="L63" s="16"/>
      <c r="M63" s="16"/>
      <c r="N63" s="18">
        <f t="shared" si="1"/>
        <v>1751457114.3191342</v>
      </c>
      <c r="O63" s="4"/>
    </row>
    <row r="64" spans="1:15" ht="15" x14ac:dyDescent="0.2">
      <c r="A64" s="17" t="s">
        <v>59</v>
      </c>
      <c r="B64" s="16">
        <v>2224098044.6200004</v>
      </c>
      <c r="C64" s="16"/>
      <c r="D64" s="16">
        <v>424089266.15111387</v>
      </c>
      <c r="E64" s="16">
        <v>34320221.090000004</v>
      </c>
      <c r="F64" s="16">
        <v>9788548.8000000007</v>
      </c>
      <c r="G64" s="16">
        <v>3711751.22</v>
      </c>
      <c r="H64" s="16">
        <v>120317342.02</v>
      </c>
      <c r="I64" s="16">
        <v>24083857.670000002</v>
      </c>
      <c r="J64" s="16">
        <v>185060079.56</v>
      </c>
      <c r="K64" s="16"/>
      <c r="L64" s="16"/>
      <c r="M64" s="16"/>
      <c r="N64" s="18">
        <f t="shared" si="1"/>
        <v>3025469111.1311145</v>
      </c>
      <c r="O64" s="4"/>
    </row>
    <row r="65" spans="1:15" ht="15" x14ac:dyDescent="0.2">
      <c r="A65" s="17" t="s">
        <v>60</v>
      </c>
      <c r="B65" s="16">
        <v>1166115282.98</v>
      </c>
      <c r="C65" s="16"/>
      <c r="D65" s="16">
        <v>102473906.49866208</v>
      </c>
      <c r="E65" s="16">
        <v>17994411</v>
      </c>
      <c r="F65" s="16">
        <v>2131192.25</v>
      </c>
      <c r="G65" s="16">
        <v>1237250.4099999999</v>
      </c>
      <c r="H65" s="16">
        <v>63083501.060000002</v>
      </c>
      <c r="I65" s="16">
        <v>5243609.8600000003</v>
      </c>
      <c r="J65" s="16">
        <v>110380856.27</v>
      </c>
      <c r="K65" s="16"/>
      <c r="L65" s="16"/>
      <c r="M65" s="16"/>
      <c r="N65" s="18">
        <f t="shared" si="1"/>
        <v>1468660010.3286619</v>
      </c>
      <c r="O65" s="4"/>
    </row>
    <row r="66" spans="1:15" ht="15" x14ac:dyDescent="0.2">
      <c r="A66" s="17" t="s">
        <v>61</v>
      </c>
      <c r="B66" s="16">
        <v>651087690.6500001</v>
      </c>
      <c r="C66" s="16"/>
      <c r="D66" s="16">
        <v>85073007.256419793</v>
      </c>
      <c r="E66" s="16">
        <v>10046982.219999999</v>
      </c>
      <c r="F66" s="16">
        <v>2085236.62</v>
      </c>
      <c r="G66" s="16">
        <v>1126451.8600000001</v>
      </c>
      <c r="H66" s="16">
        <v>35221981.579999998</v>
      </c>
      <c r="I66" s="16">
        <v>5130540.0999999996</v>
      </c>
      <c r="J66" s="16">
        <v>48998346.219999984</v>
      </c>
      <c r="K66" s="16"/>
      <c r="L66" s="16"/>
      <c r="M66" s="16"/>
      <c r="N66" s="18">
        <f t="shared" si="1"/>
        <v>838770236.50642002</v>
      </c>
      <c r="O66" s="4"/>
    </row>
    <row r="67" spans="1:15" ht="15" x14ac:dyDescent="0.2">
      <c r="A67" s="17" t="s">
        <v>62</v>
      </c>
      <c r="B67" s="16">
        <v>2920967509.6200004</v>
      </c>
      <c r="C67" s="16"/>
      <c r="D67" s="16">
        <v>25791989.110000003</v>
      </c>
      <c r="E67" s="16">
        <v>45073665.25</v>
      </c>
      <c r="F67" s="16">
        <v>56031399.659999996</v>
      </c>
      <c r="G67" s="16">
        <v>22177870.018196311</v>
      </c>
      <c r="H67" s="16">
        <v>158015986.63</v>
      </c>
      <c r="I67" s="16">
        <v>137860297.96000001</v>
      </c>
      <c r="J67" s="16">
        <v>315701459.88999999</v>
      </c>
      <c r="K67" s="16"/>
      <c r="L67" s="16"/>
      <c r="M67" s="16"/>
      <c r="N67" s="18">
        <f t="shared" si="1"/>
        <v>3681620178.1381965</v>
      </c>
      <c r="O67" s="4"/>
    </row>
    <row r="68" spans="1:15" ht="15" x14ac:dyDescent="0.2">
      <c r="A68" s="17" t="s">
        <v>63</v>
      </c>
      <c r="B68" s="16">
        <v>1827137410.2799997</v>
      </c>
      <c r="C68" s="16"/>
      <c r="D68" s="16">
        <v>30186026.500000004</v>
      </c>
      <c r="E68" s="16">
        <v>28194692.25</v>
      </c>
      <c r="F68" s="16">
        <v>49413789.200000003</v>
      </c>
      <c r="G68" s="16">
        <v>22441902.852541707</v>
      </c>
      <c r="H68" s="16">
        <v>98842907.239999995</v>
      </c>
      <c r="I68" s="16">
        <v>121578253.34</v>
      </c>
      <c r="J68" s="16">
        <v>265138907.45999995</v>
      </c>
      <c r="K68" s="16"/>
      <c r="L68" s="16"/>
      <c r="M68" s="16"/>
      <c r="N68" s="18">
        <f t="shared" si="1"/>
        <v>2442933889.1225414</v>
      </c>
      <c r="O68" s="4"/>
    </row>
    <row r="69" spans="1:15" ht="15" x14ac:dyDescent="0.2">
      <c r="A69" s="17" t="s">
        <v>64</v>
      </c>
      <c r="B69" s="16">
        <v>6525952241.1300001</v>
      </c>
      <c r="C69" s="16"/>
      <c r="D69" s="16">
        <v>30917072.117559798</v>
      </c>
      <c r="E69" s="16">
        <v>100702450.72000001</v>
      </c>
      <c r="F69" s="16">
        <v>145834441.59999999</v>
      </c>
      <c r="G69" s="16">
        <v>23147058.452022254</v>
      </c>
      <c r="H69" s="16">
        <v>353035348.27999997</v>
      </c>
      <c r="I69" s="16">
        <v>358812731.63999999</v>
      </c>
      <c r="J69" s="16">
        <v>619145552.59000003</v>
      </c>
      <c r="K69" s="16"/>
      <c r="L69" s="16"/>
      <c r="M69" s="16"/>
      <c r="N69" s="18">
        <f t="shared" si="1"/>
        <v>8157546896.529583</v>
      </c>
      <c r="O69" s="4"/>
    </row>
    <row r="70" spans="1:15" ht="15" x14ac:dyDescent="0.2">
      <c r="A70" s="17" t="s">
        <v>65</v>
      </c>
      <c r="B70" s="16">
        <v>1355460086.75</v>
      </c>
      <c r="C70" s="16"/>
      <c r="D70" s="16">
        <v>141953949.37799358</v>
      </c>
      <c r="E70" s="16">
        <v>20916204.649999999</v>
      </c>
      <c r="F70" s="16">
        <v>32387228.960000001</v>
      </c>
      <c r="G70" s="16">
        <v>10932123.01</v>
      </c>
      <c r="H70" s="16">
        <v>73326513.310000002</v>
      </c>
      <c r="I70" s="16">
        <v>79685909.359999999</v>
      </c>
      <c r="J70" s="16">
        <v>263174716.18000004</v>
      </c>
      <c r="K70" s="16"/>
      <c r="L70" s="16"/>
      <c r="M70" s="16"/>
      <c r="N70" s="18">
        <f t="shared" si="1"/>
        <v>1977836731.5979936</v>
      </c>
      <c r="O70" s="4"/>
    </row>
    <row r="71" spans="1:15" ht="15" x14ac:dyDescent="0.2">
      <c r="A71" s="17" t="s">
        <v>66</v>
      </c>
      <c r="B71" s="16">
        <v>5280951973.7599993</v>
      </c>
      <c r="C71" s="16"/>
      <c r="D71" s="16">
        <v>16231104.530000001</v>
      </c>
      <c r="E71" s="16">
        <v>25322969.5</v>
      </c>
      <c r="F71" s="16">
        <v>20392810</v>
      </c>
      <c r="G71" s="16">
        <v>10618193.800000001</v>
      </c>
      <c r="H71" s="16">
        <v>285684395.23000002</v>
      </c>
      <c r="I71" s="16">
        <v>50174703.479999997</v>
      </c>
      <c r="J71" s="16">
        <v>219950600.09999996</v>
      </c>
      <c r="K71" s="16"/>
      <c r="L71" s="16"/>
      <c r="M71" s="16"/>
      <c r="N71" s="18">
        <f t="shared" si="1"/>
        <v>5909326750.3999996</v>
      </c>
      <c r="O71" s="4"/>
    </row>
    <row r="72" spans="1:15" ht="15" x14ac:dyDescent="0.2">
      <c r="A72" s="17" t="s">
        <v>67</v>
      </c>
      <c r="B72" s="16">
        <v>23302679938.540001</v>
      </c>
      <c r="C72" s="16"/>
      <c r="D72" s="16">
        <v>162204547.24714381</v>
      </c>
      <c r="E72" s="16">
        <v>359585374.14999998</v>
      </c>
      <c r="F72" s="16">
        <v>593373327.42000008</v>
      </c>
      <c r="G72" s="16">
        <v>0</v>
      </c>
      <c r="H72" s="16">
        <v>1260608325.6500001</v>
      </c>
      <c r="I72" s="16">
        <v>1459942534.1500001</v>
      </c>
      <c r="J72" s="16">
        <v>3222490711.8799992</v>
      </c>
      <c r="K72" s="16"/>
      <c r="L72" s="16"/>
      <c r="M72" s="16"/>
      <c r="N72" s="18">
        <f t="shared" ref="N72:N103" si="2">SUM(B72:M72)</f>
        <v>30360884759.037148</v>
      </c>
      <c r="O72" s="4"/>
    </row>
    <row r="73" spans="1:15" ht="15" x14ac:dyDescent="0.2">
      <c r="A73" s="17" t="s">
        <v>68</v>
      </c>
      <c r="B73" s="16">
        <v>10787999219.700001</v>
      </c>
      <c r="C73" s="16"/>
      <c r="D73" s="16">
        <v>242909300.98003677</v>
      </c>
      <c r="E73" s="16">
        <v>166470412.24000001</v>
      </c>
      <c r="F73" s="16">
        <v>220242348.09</v>
      </c>
      <c r="G73" s="16">
        <v>97232263.479929745</v>
      </c>
      <c r="H73" s="16">
        <v>583599897.91999996</v>
      </c>
      <c r="I73" s="16">
        <v>541886797.61000001</v>
      </c>
      <c r="J73" s="16">
        <v>1403694672.8900003</v>
      </c>
      <c r="K73" s="16"/>
      <c r="L73" s="16"/>
      <c r="M73" s="16"/>
      <c r="N73" s="18">
        <f t="shared" si="2"/>
        <v>14044034912.909969</v>
      </c>
      <c r="O73" s="4"/>
    </row>
    <row r="74" spans="1:15" ht="15" x14ac:dyDescent="0.2">
      <c r="A74" s="17" t="s">
        <v>69</v>
      </c>
      <c r="B74" s="16">
        <v>5616812349.4500008</v>
      </c>
      <c r="C74" s="16"/>
      <c r="D74" s="16">
        <v>71085596.75</v>
      </c>
      <c r="E74" s="16">
        <v>86673445.959999993</v>
      </c>
      <c r="F74" s="16">
        <v>159902608.28</v>
      </c>
      <c r="G74" s="16">
        <v>153611538.0269343</v>
      </c>
      <c r="H74" s="16">
        <v>303853480.80000001</v>
      </c>
      <c r="I74" s="16">
        <v>393426210.18000001</v>
      </c>
      <c r="J74" s="16">
        <v>753009866.31999993</v>
      </c>
      <c r="K74" s="16"/>
      <c r="L74" s="16"/>
      <c r="M74" s="16"/>
      <c r="N74" s="18">
        <f t="shared" si="2"/>
        <v>7538375095.7669353</v>
      </c>
      <c r="O74" s="4"/>
    </row>
    <row r="75" spans="1:15" ht="15" x14ac:dyDescent="0.2">
      <c r="A75" s="17" t="s">
        <v>70</v>
      </c>
      <c r="B75" s="16">
        <v>951587029.78999996</v>
      </c>
      <c r="C75" s="16"/>
      <c r="D75" s="16">
        <v>82126352.012216792</v>
      </c>
      <c r="E75" s="16">
        <v>14684009.699999999</v>
      </c>
      <c r="F75" s="16">
        <v>2906693.48</v>
      </c>
      <c r="G75" s="16">
        <v>1218783.98</v>
      </c>
      <c r="H75" s="16">
        <v>51478136.229999997</v>
      </c>
      <c r="I75" s="16">
        <v>7151661.96</v>
      </c>
      <c r="J75" s="16">
        <v>84860588</v>
      </c>
      <c r="K75" s="16"/>
      <c r="L75" s="16"/>
      <c r="M75" s="16"/>
      <c r="N75" s="18">
        <f t="shared" si="2"/>
        <v>1196013255.1522169</v>
      </c>
      <c r="O75" s="4"/>
    </row>
    <row r="76" spans="1:15" ht="15" x14ac:dyDescent="0.2">
      <c r="A76" s="17" t="s">
        <v>71</v>
      </c>
      <c r="B76" s="16">
        <v>961104636.85000002</v>
      </c>
      <c r="C76" s="16"/>
      <c r="D76" s="16">
        <v>120571847.69855438</v>
      </c>
      <c r="E76" s="16">
        <v>14830876.59</v>
      </c>
      <c r="F76" s="16">
        <v>5233197.1500000004</v>
      </c>
      <c r="G76" s="16">
        <v>2862295.72</v>
      </c>
      <c r="H76" s="16">
        <v>51993011.549999997</v>
      </c>
      <c r="I76" s="16">
        <v>12875818.27</v>
      </c>
      <c r="J76" s="16">
        <v>126013312.55000001</v>
      </c>
      <c r="K76" s="16"/>
      <c r="L76" s="16"/>
      <c r="M76" s="16"/>
      <c r="N76" s="18">
        <f t="shared" si="2"/>
        <v>1295484996.3785543</v>
      </c>
      <c r="O76" s="4"/>
    </row>
    <row r="77" spans="1:15" ht="15" x14ac:dyDescent="0.2">
      <c r="A77" s="17" t="s">
        <v>72</v>
      </c>
      <c r="B77" s="16">
        <v>1077295862.0699999</v>
      </c>
      <c r="C77" s="16"/>
      <c r="D77" s="16">
        <v>116149195.08881699</v>
      </c>
      <c r="E77" s="16">
        <v>16623831.959999999</v>
      </c>
      <c r="F77" s="16">
        <v>6146565.2699999996</v>
      </c>
      <c r="G77" s="16">
        <v>1828175.98</v>
      </c>
      <c r="H77" s="16">
        <v>58278624.460000001</v>
      </c>
      <c r="I77" s="16">
        <v>15123079.640000001</v>
      </c>
      <c r="J77" s="16">
        <v>85624440.110000014</v>
      </c>
      <c r="K77" s="16"/>
      <c r="L77" s="16"/>
      <c r="M77" s="16"/>
      <c r="N77" s="18">
        <f t="shared" si="2"/>
        <v>1377069774.5788169</v>
      </c>
      <c r="O77" s="4"/>
    </row>
    <row r="78" spans="1:15" ht="15" x14ac:dyDescent="0.2">
      <c r="A78" s="17" t="s">
        <v>73</v>
      </c>
      <c r="B78" s="16">
        <v>414050644.02999997</v>
      </c>
      <c r="C78" s="16"/>
      <c r="D78" s="16">
        <v>41129712.035380691</v>
      </c>
      <c r="E78" s="16">
        <v>6389246.0600000005</v>
      </c>
      <c r="F78" s="16">
        <v>2182892.33</v>
      </c>
      <c r="G78" s="16">
        <v>646324.84</v>
      </c>
      <c r="H78" s="16">
        <v>22398955.43</v>
      </c>
      <c r="I78" s="16">
        <v>5370813.3300000001</v>
      </c>
      <c r="J78" s="16">
        <v>36719846.309999995</v>
      </c>
      <c r="K78" s="16"/>
      <c r="L78" s="16"/>
      <c r="M78" s="16"/>
      <c r="N78" s="18">
        <f t="shared" si="2"/>
        <v>528888434.36538064</v>
      </c>
      <c r="O78" s="4"/>
    </row>
    <row r="79" spans="1:15" ht="15" x14ac:dyDescent="0.2">
      <c r="A79" s="17" t="s">
        <v>74</v>
      </c>
      <c r="B79" s="16">
        <v>2130624027.5599999</v>
      </c>
      <c r="C79" s="16"/>
      <c r="D79" s="16">
        <v>271327777.83975786</v>
      </c>
      <c r="E79" s="16">
        <v>32877816.640000001</v>
      </c>
      <c r="F79" s="16">
        <v>10971906.220000001</v>
      </c>
      <c r="G79" s="16">
        <v>4801270.24</v>
      </c>
      <c r="H79" s="16">
        <v>115260665.09</v>
      </c>
      <c r="I79" s="16">
        <v>26995403.850000001</v>
      </c>
      <c r="J79" s="16">
        <v>198913160.06</v>
      </c>
      <c r="K79" s="16"/>
      <c r="L79" s="16"/>
      <c r="M79" s="16"/>
      <c r="N79" s="18">
        <f t="shared" si="2"/>
        <v>2791772027.4997573</v>
      </c>
      <c r="O79" s="4"/>
    </row>
    <row r="80" spans="1:15" ht="15" x14ac:dyDescent="0.2">
      <c r="A80" s="17" t="s">
        <v>75</v>
      </c>
      <c r="B80" s="16">
        <v>1136242501.6100001</v>
      </c>
      <c r="C80" s="16"/>
      <c r="D80" s="16">
        <v>308493834.35793155</v>
      </c>
      <c r="E80" s="16">
        <v>17533441.899999999</v>
      </c>
      <c r="F80" s="16">
        <v>3550072.27</v>
      </c>
      <c r="G80" s="16">
        <v>1920508.1</v>
      </c>
      <c r="H80" s="16">
        <v>61467469.039999999</v>
      </c>
      <c r="I80" s="16">
        <v>8734638.5199999996</v>
      </c>
      <c r="J80" s="16">
        <v>128554619.34000005</v>
      </c>
      <c r="K80" s="16"/>
      <c r="L80" s="16"/>
      <c r="M80" s="16"/>
      <c r="N80" s="18">
        <f t="shared" si="2"/>
        <v>1666497085.1379318</v>
      </c>
      <c r="O80" s="4"/>
    </row>
    <row r="81" spans="1:15" ht="15" x14ac:dyDescent="0.2">
      <c r="A81" s="17" t="s">
        <v>76</v>
      </c>
      <c r="B81" s="16">
        <v>637957561.1500001</v>
      </c>
      <c r="C81" s="16"/>
      <c r="D81" s="16">
        <v>85279533.431836978</v>
      </c>
      <c r="E81" s="16">
        <v>9844370.2200000007</v>
      </c>
      <c r="F81" s="16">
        <v>9219847.9000000004</v>
      </c>
      <c r="G81" s="16">
        <v>4395008.91</v>
      </c>
      <c r="H81" s="16">
        <v>34511679.140000001</v>
      </c>
      <c r="I81" s="16">
        <v>22684619.460000001</v>
      </c>
      <c r="J81" s="16">
        <v>150301734.69999999</v>
      </c>
      <c r="K81" s="16"/>
      <c r="L81" s="16"/>
      <c r="M81" s="16"/>
      <c r="N81" s="18">
        <f t="shared" si="2"/>
        <v>954194354.9118371</v>
      </c>
      <c r="O81" s="4"/>
    </row>
    <row r="82" spans="1:15" ht="15" x14ac:dyDescent="0.2">
      <c r="A82" s="17" t="s">
        <v>77</v>
      </c>
      <c r="B82" s="16">
        <v>10361339482.919998</v>
      </c>
      <c r="C82" s="16"/>
      <c r="D82" s="16">
        <v>86449338.699999988</v>
      </c>
      <c r="E82" s="16">
        <v>159886594.35000002</v>
      </c>
      <c r="F82" s="16">
        <v>265721186.63</v>
      </c>
      <c r="G82" s="16">
        <v>178264400.26846272</v>
      </c>
      <c r="H82" s="16">
        <v>560518826.65999997</v>
      </c>
      <c r="I82" s="16">
        <v>653783453.24000001</v>
      </c>
      <c r="J82" s="16">
        <v>1247632924.48</v>
      </c>
      <c r="K82" s="16"/>
      <c r="L82" s="16"/>
      <c r="M82" s="16"/>
      <c r="N82" s="18">
        <f t="shared" si="2"/>
        <v>13513596207.248461</v>
      </c>
      <c r="O82" s="4"/>
    </row>
    <row r="83" spans="1:15" ht="15" x14ac:dyDescent="0.2">
      <c r="A83" s="17" t="s">
        <v>78</v>
      </c>
      <c r="B83" s="16">
        <v>2678546415.1900001</v>
      </c>
      <c r="C83" s="16"/>
      <c r="D83" s="16">
        <v>82942082.020127296</v>
      </c>
      <c r="E83" s="16">
        <v>41332847.450000003</v>
      </c>
      <c r="F83" s="16">
        <v>29423090.940000001</v>
      </c>
      <c r="G83" s="16">
        <v>11689246.390000001</v>
      </c>
      <c r="H83" s="16">
        <v>144901698.88999999</v>
      </c>
      <c r="I83" s="16">
        <v>72392910.209999993</v>
      </c>
      <c r="J83" s="16">
        <v>270027099.75999993</v>
      </c>
      <c r="K83" s="16"/>
      <c r="L83" s="16"/>
      <c r="M83" s="16"/>
      <c r="N83" s="18">
        <f t="shared" si="2"/>
        <v>3331255390.8501267</v>
      </c>
      <c r="O83" s="4"/>
    </row>
    <row r="84" spans="1:15" ht="15" x14ac:dyDescent="0.2">
      <c r="A84" s="17" t="s">
        <v>79</v>
      </c>
      <c r="B84" s="16">
        <v>1126169121.8399999</v>
      </c>
      <c r="C84" s="16"/>
      <c r="D84" s="16">
        <v>76534866.274404481</v>
      </c>
      <c r="E84" s="16">
        <v>17377998.849999998</v>
      </c>
      <c r="F84" s="16">
        <v>5905298.2199999997</v>
      </c>
      <c r="G84" s="16">
        <v>1305178.4646999883</v>
      </c>
      <c r="H84" s="16">
        <v>60922528.009999998</v>
      </c>
      <c r="I84" s="16">
        <v>14529463.43</v>
      </c>
      <c r="J84" s="16">
        <v>111039428.88999999</v>
      </c>
      <c r="K84" s="16"/>
      <c r="L84" s="16"/>
      <c r="M84" s="16"/>
      <c r="N84" s="18">
        <f t="shared" si="2"/>
        <v>1413783883.9791045</v>
      </c>
      <c r="O84" s="4"/>
    </row>
    <row r="85" spans="1:15" ht="15" x14ac:dyDescent="0.2">
      <c r="A85" s="17" t="s">
        <v>80</v>
      </c>
      <c r="B85" s="16">
        <v>901254866.74000001</v>
      </c>
      <c r="C85" s="16"/>
      <c r="D85" s="16">
        <v>65970786.571917072</v>
      </c>
      <c r="E85" s="16">
        <v>13907330.369999999</v>
      </c>
      <c r="F85" s="16">
        <v>2791804.41</v>
      </c>
      <c r="G85" s="16">
        <v>1200317.56</v>
      </c>
      <c r="H85" s="16">
        <v>48755310.189999998</v>
      </c>
      <c r="I85" s="16">
        <v>6868987.5800000001</v>
      </c>
      <c r="J85" s="16">
        <v>65458437.049999997</v>
      </c>
      <c r="K85" s="16"/>
      <c r="L85" s="16"/>
      <c r="M85" s="16"/>
      <c r="N85" s="18">
        <f t="shared" si="2"/>
        <v>1106207840.4719172</v>
      </c>
      <c r="O85" s="4"/>
    </row>
    <row r="86" spans="1:15" ht="15" x14ac:dyDescent="0.2">
      <c r="A86" s="17" t="s">
        <v>81</v>
      </c>
      <c r="B86" s="16">
        <v>11261274389.66</v>
      </c>
      <c r="C86" s="16"/>
      <c r="D86" s="16">
        <v>27125474.799999997</v>
      </c>
      <c r="E86" s="16">
        <v>173773556.31999999</v>
      </c>
      <c r="F86" s="16">
        <v>166721274.61000001</v>
      </c>
      <c r="G86" s="16">
        <v>48576485.956075549</v>
      </c>
      <c r="H86" s="16">
        <v>609202730.77999997</v>
      </c>
      <c r="I86" s="16">
        <v>410202934.98000002</v>
      </c>
      <c r="J86" s="16">
        <v>550812680.08000004</v>
      </c>
      <c r="K86" s="16"/>
      <c r="L86" s="16"/>
      <c r="M86" s="16"/>
      <c r="N86" s="18">
        <f t="shared" si="2"/>
        <v>13247689527.186075</v>
      </c>
      <c r="O86" s="4"/>
    </row>
    <row r="87" spans="1:15" ht="15" x14ac:dyDescent="0.2">
      <c r="A87" s="17" t="s">
        <v>82</v>
      </c>
      <c r="B87" s="16">
        <v>1754678547.5700002</v>
      </c>
      <c r="C87" s="16"/>
      <c r="D87" s="16">
        <v>78242634.636148572</v>
      </c>
      <c r="E87" s="16">
        <v>27076574.189999998</v>
      </c>
      <c r="F87" s="16">
        <v>4733429.7</v>
      </c>
      <c r="G87" s="16">
        <v>3490154.14</v>
      </c>
      <c r="H87" s="16">
        <v>94923090.040000007</v>
      </c>
      <c r="I87" s="16">
        <v>11646184.699999999</v>
      </c>
      <c r="J87" s="16">
        <v>124549390.77000003</v>
      </c>
      <c r="K87" s="16"/>
      <c r="L87" s="16"/>
      <c r="M87" s="16"/>
      <c r="N87" s="18">
        <f t="shared" si="2"/>
        <v>2099340005.7461488</v>
      </c>
      <c r="O87" s="4"/>
    </row>
    <row r="88" spans="1:15" ht="15" x14ac:dyDescent="0.2">
      <c r="A88" s="17" t="s">
        <v>83</v>
      </c>
      <c r="B88" s="16">
        <v>1611740762.29</v>
      </c>
      <c r="C88" s="16"/>
      <c r="D88" s="16">
        <v>33861264.254664995</v>
      </c>
      <c r="E88" s="16">
        <v>24870890.670000002</v>
      </c>
      <c r="F88" s="16">
        <v>23230570.039999999</v>
      </c>
      <c r="G88" s="16">
        <v>7054173.9699999997</v>
      </c>
      <c r="H88" s="16">
        <v>87190564.739999995</v>
      </c>
      <c r="I88" s="16">
        <v>57156760.810000002</v>
      </c>
      <c r="J88" s="16">
        <v>189594779.05000001</v>
      </c>
      <c r="K88" s="16"/>
      <c r="L88" s="16"/>
      <c r="M88" s="16"/>
      <c r="N88" s="18">
        <f t="shared" si="2"/>
        <v>2034699765.8246648</v>
      </c>
      <c r="O88" s="4"/>
    </row>
    <row r="89" spans="1:15" ht="15" x14ac:dyDescent="0.2">
      <c r="A89" s="17" t="s">
        <v>84</v>
      </c>
      <c r="B89" s="16">
        <v>2280439499.73</v>
      </c>
      <c r="C89" s="16"/>
      <c r="D89" s="16">
        <v>85053282.743789971</v>
      </c>
      <c r="E89" s="16">
        <v>35189630.25</v>
      </c>
      <c r="F89" s="16">
        <v>19536886.43</v>
      </c>
      <c r="G89" s="16">
        <v>7682032.3799999999</v>
      </c>
      <c r="H89" s="16">
        <v>123365253.56999999</v>
      </c>
      <c r="I89" s="16">
        <v>48068779.310000002</v>
      </c>
      <c r="J89" s="16">
        <v>194703136.12999997</v>
      </c>
      <c r="K89" s="16"/>
      <c r="L89" s="16"/>
      <c r="M89" s="16"/>
      <c r="N89" s="18">
        <f t="shared" si="2"/>
        <v>2794038500.5437903</v>
      </c>
      <c r="O89" s="4"/>
    </row>
    <row r="90" spans="1:15" ht="15" x14ac:dyDescent="0.2">
      <c r="A90" s="17" t="s">
        <v>85</v>
      </c>
      <c r="B90" s="16">
        <v>10357205923.65</v>
      </c>
      <c r="C90" s="16"/>
      <c r="D90" s="16">
        <v>49995346.8825868</v>
      </c>
      <c r="E90" s="16">
        <v>159822809.09</v>
      </c>
      <c r="F90" s="16">
        <v>265014618.84999999</v>
      </c>
      <c r="G90" s="16">
        <v>77331796.347655296</v>
      </c>
      <c r="H90" s="16">
        <v>560295212.91999996</v>
      </c>
      <c r="I90" s="16">
        <v>652045005.75999999</v>
      </c>
      <c r="J90" s="16">
        <v>1134997782.2600002</v>
      </c>
      <c r="K90" s="16"/>
      <c r="L90" s="16"/>
      <c r="M90" s="16"/>
      <c r="N90" s="18">
        <f t="shared" si="2"/>
        <v>13256708495.760244</v>
      </c>
      <c r="O90" s="4"/>
    </row>
    <row r="91" spans="1:15" ht="15" x14ac:dyDescent="0.2">
      <c r="A91" s="17" t="s">
        <v>86</v>
      </c>
      <c r="B91" s="16">
        <v>478450802.91999996</v>
      </c>
      <c r="C91" s="16"/>
      <c r="D91" s="16">
        <v>105407961.55889679</v>
      </c>
      <c r="E91" s="16">
        <v>7383009.6500000004</v>
      </c>
      <c r="F91" s="16">
        <v>6152309.7199999997</v>
      </c>
      <c r="G91" s="16">
        <v>2622232.21</v>
      </c>
      <c r="H91" s="16">
        <v>25882819.800000001</v>
      </c>
      <c r="I91" s="16">
        <v>15137213.359999999</v>
      </c>
      <c r="J91" s="16">
        <v>87532149.219999984</v>
      </c>
      <c r="K91" s="16"/>
      <c r="L91" s="16"/>
      <c r="M91" s="16"/>
      <c r="N91" s="18">
        <f t="shared" si="2"/>
        <v>728568498.43889678</v>
      </c>
      <c r="O91" s="4"/>
    </row>
    <row r="92" spans="1:15" ht="15" x14ac:dyDescent="0.2">
      <c r="A92" s="17" t="s">
        <v>87</v>
      </c>
      <c r="B92" s="16">
        <v>663349425.29000008</v>
      </c>
      <c r="C92" s="16"/>
      <c r="D92" s="16">
        <v>1635921.21</v>
      </c>
      <c r="E92" s="16">
        <v>8212010.75</v>
      </c>
      <c r="F92" s="16">
        <v>1315479.8500000001</v>
      </c>
      <c r="G92" s="16">
        <v>886388.35</v>
      </c>
      <c r="H92" s="16">
        <v>35885306.359999999</v>
      </c>
      <c r="I92" s="16">
        <v>3236621.72</v>
      </c>
      <c r="J92" s="16">
        <v>34035989.630000003</v>
      </c>
      <c r="K92" s="16"/>
      <c r="L92" s="16"/>
      <c r="M92" s="16"/>
      <c r="N92" s="18">
        <f t="shared" si="2"/>
        <v>748557143.16000021</v>
      </c>
      <c r="O92" s="4"/>
    </row>
    <row r="93" spans="1:15" ht="15" x14ac:dyDescent="0.2">
      <c r="A93" s="17" t="s">
        <v>88</v>
      </c>
      <c r="B93" s="16">
        <v>7504355302.6399994</v>
      </c>
      <c r="C93" s="16"/>
      <c r="D93" s="16">
        <v>54619060.635524899</v>
      </c>
      <c r="E93" s="16">
        <v>115800260.58999999</v>
      </c>
      <c r="F93" s="16">
        <v>214785117.24000001</v>
      </c>
      <c r="G93" s="16">
        <v>37320249.914957896</v>
      </c>
      <c r="H93" s="16">
        <v>405964155.12</v>
      </c>
      <c r="I93" s="16">
        <v>528459764.27999997</v>
      </c>
      <c r="J93" s="16">
        <v>1171696880.1499999</v>
      </c>
      <c r="K93" s="16"/>
      <c r="L93" s="16"/>
      <c r="M93" s="16"/>
      <c r="N93" s="18">
        <f t="shared" si="2"/>
        <v>10033000790.570482</v>
      </c>
      <c r="O93" s="4"/>
    </row>
    <row r="94" spans="1:15" ht="15" x14ac:dyDescent="0.2">
      <c r="A94" s="17" t="s">
        <v>89</v>
      </c>
      <c r="B94" s="16">
        <v>3859111787.8400002</v>
      </c>
      <c r="C94" s="16"/>
      <c r="D94" s="16">
        <v>60748699.260000005</v>
      </c>
      <c r="E94" s="16">
        <v>59550238.849999994</v>
      </c>
      <c r="F94" s="16">
        <v>97121475.719999999</v>
      </c>
      <c r="G94" s="16">
        <v>42415583.957464948</v>
      </c>
      <c r="H94" s="16">
        <v>208766908.44999999</v>
      </c>
      <c r="I94" s="16">
        <v>238958792.05000001</v>
      </c>
      <c r="J94" s="16">
        <v>553376272.27999997</v>
      </c>
      <c r="K94" s="16"/>
      <c r="L94" s="16"/>
      <c r="M94" s="16"/>
      <c r="N94" s="18">
        <f t="shared" si="2"/>
        <v>5120049758.407465</v>
      </c>
      <c r="O94" s="4"/>
    </row>
    <row r="95" spans="1:15" ht="15" x14ac:dyDescent="0.2">
      <c r="A95" s="17" t="s">
        <v>90</v>
      </c>
      <c r="B95" s="16">
        <v>784334189.87000012</v>
      </c>
      <c r="C95" s="16"/>
      <c r="D95" s="16">
        <v>69892077.56900689</v>
      </c>
      <c r="E95" s="16">
        <v>12103118.780000001</v>
      </c>
      <c r="F95" s="16">
        <v>4762151.97</v>
      </c>
      <c r="G95" s="16">
        <v>2105172.34</v>
      </c>
      <c r="H95" s="16">
        <v>42430236.030000001</v>
      </c>
      <c r="I95" s="16">
        <v>11716853.289999999</v>
      </c>
      <c r="J95" s="16">
        <v>88448541.299999982</v>
      </c>
      <c r="K95" s="16"/>
      <c r="L95" s="16"/>
      <c r="M95" s="16"/>
      <c r="N95" s="18">
        <f t="shared" si="2"/>
        <v>1015792341.149007</v>
      </c>
      <c r="O95" s="4"/>
    </row>
    <row r="96" spans="1:15" ht="15" x14ac:dyDescent="0.2">
      <c r="A96" s="17" t="s">
        <v>91</v>
      </c>
      <c r="B96" s="16">
        <v>2414589129.5599999</v>
      </c>
      <c r="C96" s="16"/>
      <c r="D96" s="16">
        <v>176595965.83561629</v>
      </c>
      <c r="E96" s="16">
        <v>11998406.85</v>
      </c>
      <c r="F96" s="16">
        <v>26688731.07</v>
      </c>
      <c r="G96" s="16">
        <v>10765925.189999999</v>
      </c>
      <c r="H96" s="16">
        <v>130622364.8</v>
      </c>
      <c r="I96" s="16">
        <v>65665259.829999998</v>
      </c>
      <c r="J96" s="16">
        <v>299732032.74000001</v>
      </c>
      <c r="K96" s="16"/>
      <c r="L96" s="16"/>
      <c r="M96" s="16"/>
      <c r="N96" s="18">
        <f t="shared" si="2"/>
        <v>3136657815.8756161</v>
      </c>
      <c r="O96" s="4"/>
    </row>
    <row r="97" spans="1:15" ht="15" x14ac:dyDescent="0.2">
      <c r="A97" s="17" t="s">
        <v>92</v>
      </c>
      <c r="B97" s="16">
        <v>1225756638.3299999</v>
      </c>
      <c r="C97" s="16"/>
      <c r="D97" s="16">
        <v>180397372.56621417</v>
      </c>
      <c r="E97" s="16">
        <v>18914741.16</v>
      </c>
      <c r="F97" s="16">
        <v>12321852.800000001</v>
      </c>
      <c r="G97" s="16">
        <v>5539927.2000000002</v>
      </c>
      <c r="H97" s="16">
        <v>66309927.770000003</v>
      </c>
      <c r="I97" s="16">
        <v>30316827.879999999</v>
      </c>
      <c r="J97" s="16">
        <v>203702605.05000004</v>
      </c>
      <c r="K97" s="16"/>
      <c r="L97" s="16"/>
      <c r="M97" s="16"/>
      <c r="N97" s="18">
        <f t="shared" si="2"/>
        <v>1743259892.7562141</v>
      </c>
      <c r="O97" s="4"/>
    </row>
    <row r="98" spans="1:15" ht="15" x14ac:dyDescent="0.2">
      <c r="A98" s="17" t="s">
        <v>93</v>
      </c>
      <c r="B98" s="16">
        <v>3526829198.7599998</v>
      </c>
      <c r="C98" s="16"/>
      <c r="D98" s="16">
        <v>262445377.24597058</v>
      </c>
      <c r="E98" s="16">
        <v>54422761.689999998</v>
      </c>
      <c r="F98" s="16">
        <v>28653334.170000002</v>
      </c>
      <c r="G98" s="16">
        <v>13258892.43</v>
      </c>
      <c r="H98" s="16">
        <v>190791370.90000001</v>
      </c>
      <c r="I98" s="16">
        <v>70498991.819999993</v>
      </c>
      <c r="J98" s="16">
        <v>392746012.05000007</v>
      </c>
      <c r="K98" s="16"/>
      <c r="L98" s="16"/>
      <c r="M98" s="16"/>
      <c r="N98" s="18">
        <f t="shared" si="2"/>
        <v>4539645939.0659704</v>
      </c>
      <c r="O98" s="4"/>
    </row>
    <row r="99" spans="1:15" ht="15" x14ac:dyDescent="0.2">
      <c r="A99" s="17" t="s">
        <v>94</v>
      </c>
      <c r="B99" s="16">
        <v>2501498081.8800001</v>
      </c>
      <c r="C99" s="16"/>
      <c r="D99" s="16">
        <v>145096933.20360464</v>
      </c>
      <c r="E99" s="16">
        <v>38600801.549999997</v>
      </c>
      <c r="F99" s="16">
        <v>10621494.560000001</v>
      </c>
      <c r="G99" s="16">
        <v>3970281.16</v>
      </c>
      <c r="H99" s="16">
        <v>135323890.50999999</v>
      </c>
      <c r="I99" s="16">
        <v>26133246.969999999</v>
      </c>
      <c r="J99" s="16">
        <v>257532277.42000002</v>
      </c>
      <c r="K99" s="16"/>
      <c r="L99" s="16"/>
      <c r="M99" s="16"/>
      <c r="N99" s="18">
        <f t="shared" si="2"/>
        <v>3118777007.2536044</v>
      </c>
      <c r="O99" s="4"/>
    </row>
    <row r="100" spans="1:15" ht="15" x14ac:dyDescent="0.2">
      <c r="A100" s="17" t="s">
        <v>95</v>
      </c>
      <c r="B100" s="16">
        <v>2642976963.8800001</v>
      </c>
      <c r="C100" s="16"/>
      <c r="D100" s="16">
        <v>236210810.51916885</v>
      </c>
      <c r="E100" s="16">
        <v>40783972.620000005</v>
      </c>
      <c r="F100" s="16">
        <v>11925485.51</v>
      </c>
      <c r="G100" s="16">
        <v>4727404.54</v>
      </c>
      <c r="H100" s="16">
        <v>142977493.31999999</v>
      </c>
      <c r="I100" s="16">
        <v>29341601.25</v>
      </c>
      <c r="J100" s="16">
        <v>199152536.31</v>
      </c>
      <c r="K100" s="16"/>
      <c r="L100" s="16"/>
      <c r="M100" s="16"/>
      <c r="N100" s="18">
        <f t="shared" si="2"/>
        <v>3308096267.9491692</v>
      </c>
      <c r="O100" s="4"/>
    </row>
    <row r="101" spans="1:15" ht="15" x14ac:dyDescent="0.2">
      <c r="A101" s="17" t="s">
        <v>96</v>
      </c>
      <c r="B101" s="16">
        <v>541565737.52999997</v>
      </c>
      <c r="C101" s="16"/>
      <c r="D101" s="16">
        <v>63809783.337639891</v>
      </c>
      <c r="E101" s="16">
        <v>8356940.870000001</v>
      </c>
      <c r="F101" s="16">
        <v>1424624.47</v>
      </c>
      <c r="G101" s="16">
        <v>757123.38</v>
      </c>
      <c r="H101" s="16">
        <v>29297157.219999999</v>
      </c>
      <c r="I101" s="16">
        <v>3505162.38</v>
      </c>
      <c r="J101" s="16">
        <v>45962149.400000006</v>
      </c>
      <c r="K101" s="16"/>
      <c r="L101" s="16"/>
      <c r="M101" s="16"/>
      <c r="N101" s="18">
        <f t="shared" si="2"/>
        <v>694678678.58763993</v>
      </c>
      <c r="O101" s="4"/>
    </row>
    <row r="102" spans="1:15" ht="15" x14ac:dyDescent="0.2">
      <c r="A102" s="17" t="s">
        <v>97</v>
      </c>
      <c r="B102" s="16">
        <v>1500864113.29</v>
      </c>
      <c r="C102" s="16"/>
      <c r="D102" s="16">
        <v>315135089.4112314</v>
      </c>
      <c r="E102" s="16">
        <v>23159944.920000002</v>
      </c>
      <c r="F102" s="16">
        <v>27584865.809999999</v>
      </c>
      <c r="G102" s="16">
        <v>12150906.99</v>
      </c>
      <c r="H102" s="16">
        <v>81192455.200000003</v>
      </c>
      <c r="I102" s="16">
        <v>67870120.030000001</v>
      </c>
      <c r="J102" s="16">
        <v>296016898.84000009</v>
      </c>
      <c r="K102" s="16"/>
      <c r="L102" s="16"/>
      <c r="M102" s="16"/>
      <c r="N102" s="18">
        <f t="shared" si="2"/>
        <v>2323974394.4912314</v>
      </c>
      <c r="O102" s="4"/>
    </row>
    <row r="103" spans="1:15" ht="15" x14ac:dyDescent="0.2">
      <c r="A103" s="17" t="s">
        <v>98</v>
      </c>
      <c r="B103" s="16">
        <v>557092636.70000005</v>
      </c>
      <c r="C103" s="16"/>
      <c r="D103" s="16">
        <v>87350651.479369178</v>
      </c>
      <c r="E103" s="16">
        <v>8596537.5999999996</v>
      </c>
      <c r="F103" s="16">
        <v>683589.96</v>
      </c>
      <c r="G103" s="16">
        <v>480127.02</v>
      </c>
      <c r="H103" s="16">
        <v>30137118.050000001</v>
      </c>
      <c r="I103" s="16">
        <v>1681912.6</v>
      </c>
      <c r="J103" s="16">
        <v>64971999.999999985</v>
      </c>
      <c r="K103" s="16"/>
      <c r="L103" s="16"/>
      <c r="M103" s="16"/>
      <c r="N103" s="18">
        <f t="shared" si="2"/>
        <v>750994573.40936923</v>
      </c>
      <c r="O103" s="4"/>
    </row>
    <row r="104" spans="1:15" ht="15" x14ac:dyDescent="0.2">
      <c r="A104" s="17" t="s">
        <v>99</v>
      </c>
      <c r="B104" s="16">
        <v>8352464407.2699995</v>
      </c>
      <c r="C104" s="16"/>
      <c r="D104" s="16">
        <v>81436844.904539809</v>
      </c>
      <c r="E104" s="16">
        <v>128887494.78000002</v>
      </c>
      <c r="F104" s="16">
        <v>140089988.06999999</v>
      </c>
      <c r="G104" s="16">
        <v>24215701.193915404</v>
      </c>
      <c r="H104" s="16">
        <v>451844431.60000002</v>
      </c>
      <c r="I104" s="16">
        <v>344679012.35000002</v>
      </c>
      <c r="J104" s="16">
        <v>718877434.59000003</v>
      </c>
      <c r="K104" s="16"/>
      <c r="L104" s="16"/>
      <c r="M104" s="16"/>
      <c r="N104" s="18">
        <f t="shared" ref="N104:N135" si="3">SUM(B104:M104)</f>
        <v>10242495314.758457</v>
      </c>
      <c r="O104" s="4"/>
    </row>
    <row r="105" spans="1:15" ht="15" x14ac:dyDescent="0.2">
      <c r="A105" s="17" t="s">
        <v>100</v>
      </c>
      <c r="B105" s="16">
        <v>1431600943.4499998</v>
      </c>
      <c r="C105" s="16"/>
      <c r="D105" s="16">
        <v>11325419.299999999</v>
      </c>
      <c r="E105" s="16">
        <v>19778747.220000003</v>
      </c>
      <c r="F105" s="16">
        <v>6037420.6500000004</v>
      </c>
      <c r="G105" s="16">
        <v>4154945.4</v>
      </c>
      <c r="H105" s="16">
        <v>77445515.849999994</v>
      </c>
      <c r="I105" s="16">
        <v>14854538.970000001</v>
      </c>
      <c r="J105" s="16">
        <v>93875810.320000023</v>
      </c>
      <c r="K105" s="16"/>
      <c r="L105" s="16"/>
      <c r="M105" s="16"/>
      <c r="N105" s="18">
        <f t="shared" si="3"/>
        <v>1659073341.1599998</v>
      </c>
      <c r="O105" s="4"/>
    </row>
    <row r="106" spans="1:15" ht="15" x14ac:dyDescent="0.2">
      <c r="A106" s="17" t="s">
        <v>101</v>
      </c>
      <c r="B106" s="16">
        <v>1526742278.54</v>
      </c>
      <c r="C106" s="16"/>
      <c r="D106" s="16">
        <v>11062192.34</v>
      </c>
      <c r="E106" s="16">
        <v>23559272.789999999</v>
      </c>
      <c r="F106" s="16">
        <v>42778945.380000003</v>
      </c>
      <c r="G106" s="16">
        <v>14000816.276515096</v>
      </c>
      <c r="H106" s="16">
        <v>82592389.920000002</v>
      </c>
      <c r="I106" s="16">
        <v>105253807.56</v>
      </c>
      <c r="J106" s="16">
        <v>246723462.73999995</v>
      </c>
      <c r="K106" s="16"/>
      <c r="L106" s="16"/>
      <c r="M106" s="16"/>
      <c r="N106" s="18">
        <f t="shared" si="3"/>
        <v>2052713165.546515</v>
      </c>
      <c r="O106" s="4"/>
    </row>
    <row r="107" spans="1:15" ht="15" x14ac:dyDescent="0.2">
      <c r="A107" s="17" t="s">
        <v>102</v>
      </c>
      <c r="B107" s="16">
        <v>2049307537.8</v>
      </c>
      <c r="C107" s="16"/>
      <c r="D107" s="16">
        <v>95641929.836873457</v>
      </c>
      <c r="E107" s="16">
        <v>31623015.879999999</v>
      </c>
      <c r="F107" s="16">
        <v>2378203.75</v>
      </c>
      <c r="G107" s="16">
        <v>1754310.28</v>
      </c>
      <c r="H107" s="16">
        <v>110861675.61</v>
      </c>
      <c r="I107" s="16">
        <v>5851359.79</v>
      </c>
      <c r="J107" s="16">
        <v>114306164.70000002</v>
      </c>
      <c r="K107" s="16"/>
      <c r="L107" s="16"/>
      <c r="M107" s="16"/>
      <c r="N107" s="18">
        <f t="shared" si="3"/>
        <v>2411724197.6468735</v>
      </c>
      <c r="O107" s="4"/>
    </row>
    <row r="108" spans="1:15" ht="15" x14ac:dyDescent="0.2">
      <c r="A108" s="17" t="s">
        <v>103</v>
      </c>
      <c r="B108" s="16">
        <v>748973153.31999993</v>
      </c>
      <c r="C108" s="16"/>
      <c r="D108" s="16">
        <v>46621590.50650169</v>
      </c>
      <c r="E108" s="16">
        <v>11557460.02</v>
      </c>
      <c r="F108" s="16">
        <v>2412670.4700000002</v>
      </c>
      <c r="G108" s="16">
        <v>1292649.68</v>
      </c>
      <c r="H108" s="16">
        <v>40517305.109999999</v>
      </c>
      <c r="I108" s="16">
        <v>5936162.0999999996</v>
      </c>
      <c r="J108" s="16">
        <v>60977914.220000014</v>
      </c>
      <c r="K108" s="16"/>
      <c r="L108" s="16"/>
      <c r="M108" s="16"/>
      <c r="N108" s="18">
        <f t="shared" si="3"/>
        <v>918288905.42650163</v>
      </c>
      <c r="O108" s="4"/>
    </row>
    <row r="109" spans="1:15" ht="15" x14ac:dyDescent="0.2">
      <c r="A109" s="17" t="s">
        <v>104</v>
      </c>
      <c r="B109" s="16">
        <v>6862333653.6900005</v>
      </c>
      <c r="C109" s="16"/>
      <c r="D109" s="16">
        <v>85473028.4584544</v>
      </c>
      <c r="E109" s="16">
        <v>105893177.14000002</v>
      </c>
      <c r="F109" s="16">
        <v>246333655.99000001</v>
      </c>
      <c r="G109" s="16">
        <v>107113185.15713932</v>
      </c>
      <c r="H109" s="16">
        <v>371232620.45999998</v>
      </c>
      <c r="I109" s="16">
        <v>606082150.63</v>
      </c>
      <c r="J109" s="16">
        <v>1112589404.47</v>
      </c>
      <c r="K109" s="16"/>
      <c r="L109" s="16"/>
      <c r="M109" s="16"/>
      <c r="N109" s="18">
        <f t="shared" si="3"/>
        <v>9497050875.995594</v>
      </c>
      <c r="O109" s="4"/>
    </row>
    <row r="110" spans="1:15" ht="15" x14ac:dyDescent="0.2">
      <c r="A110" s="17" t="s">
        <v>105</v>
      </c>
      <c r="B110" s="16">
        <v>793921268.54999995</v>
      </c>
      <c r="C110" s="16"/>
      <c r="D110" s="16">
        <v>87642305.554214597</v>
      </c>
      <c r="E110" s="16">
        <v>12251057.700000001</v>
      </c>
      <c r="F110" s="16">
        <v>9415159.3200000003</v>
      </c>
      <c r="G110" s="16">
        <v>4191878.25</v>
      </c>
      <c r="H110" s="16">
        <v>42948869.560000002</v>
      </c>
      <c r="I110" s="16">
        <v>23165165.920000002</v>
      </c>
      <c r="J110" s="16">
        <v>128915412.59000002</v>
      </c>
      <c r="K110" s="16"/>
      <c r="L110" s="16"/>
      <c r="M110" s="16"/>
      <c r="N110" s="18">
        <f t="shared" si="3"/>
        <v>1102451117.4442146</v>
      </c>
      <c r="O110" s="4"/>
    </row>
    <row r="111" spans="1:15" ht="15" x14ac:dyDescent="0.2">
      <c r="A111" s="17" t="s">
        <v>106</v>
      </c>
      <c r="B111" s="16">
        <v>947835564.16999996</v>
      </c>
      <c r="C111" s="16"/>
      <c r="D111" s="16">
        <v>107693276.56529938</v>
      </c>
      <c r="E111" s="16">
        <v>14626120.560000001</v>
      </c>
      <c r="F111" s="16">
        <v>3280082.96</v>
      </c>
      <c r="G111" s="16">
        <v>1754310.28</v>
      </c>
      <c r="H111" s="16">
        <v>51275192.670000002</v>
      </c>
      <c r="I111" s="16">
        <v>8070353.7199999997</v>
      </c>
      <c r="J111" s="16">
        <v>100432335.78</v>
      </c>
      <c r="K111" s="16"/>
      <c r="L111" s="16"/>
      <c r="M111" s="16"/>
      <c r="N111" s="18">
        <f t="shared" si="3"/>
        <v>1234967236.7052994</v>
      </c>
      <c r="O111" s="4"/>
    </row>
    <row r="112" spans="1:15" ht="15" x14ac:dyDescent="0.2">
      <c r="A112" s="17" t="s">
        <v>107</v>
      </c>
      <c r="B112" s="16">
        <v>1364248242.2099998</v>
      </c>
      <c r="C112" s="16"/>
      <c r="D112" s="16">
        <v>206515633.88786691</v>
      </c>
      <c r="E112" s="16">
        <v>21051815.330000002</v>
      </c>
      <c r="F112" s="16">
        <v>3986650.74</v>
      </c>
      <c r="G112" s="16">
        <v>2086705.91</v>
      </c>
      <c r="H112" s="16">
        <v>73801927.379999995</v>
      </c>
      <c r="I112" s="16">
        <v>9808801.1899999995</v>
      </c>
      <c r="J112" s="16">
        <v>105352419.31000002</v>
      </c>
      <c r="K112" s="16"/>
      <c r="L112" s="16"/>
      <c r="M112" s="16"/>
      <c r="N112" s="18">
        <f t="shared" si="3"/>
        <v>1786852195.9578667</v>
      </c>
      <c r="O112" s="4"/>
    </row>
    <row r="113" spans="1:15" ht="15" x14ac:dyDescent="0.2">
      <c r="A113" s="17" t="s">
        <v>108</v>
      </c>
      <c r="B113" s="16">
        <v>1079866310.6799998</v>
      </c>
      <c r="C113" s="16"/>
      <c r="D113" s="16">
        <v>320349653.03556198</v>
      </c>
      <c r="E113" s="16">
        <v>16663496.75</v>
      </c>
      <c r="F113" s="16">
        <v>5618075.54</v>
      </c>
      <c r="G113" s="16">
        <v>2696097.9</v>
      </c>
      <c r="H113" s="16">
        <v>58417678.380000003</v>
      </c>
      <c r="I113" s="16">
        <v>13822777.470000001</v>
      </c>
      <c r="J113" s="16">
        <v>102886037.74999999</v>
      </c>
      <c r="K113" s="16"/>
      <c r="L113" s="16"/>
      <c r="M113" s="16"/>
      <c r="N113" s="18">
        <f t="shared" si="3"/>
        <v>1600320127.5055621</v>
      </c>
      <c r="O113" s="4"/>
    </row>
    <row r="114" spans="1:15" ht="15" x14ac:dyDescent="0.2">
      <c r="A114" s="17" t="s">
        <v>109</v>
      </c>
      <c r="B114" s="16">
        <v>660883184.07000005</v>
      </c>
      <c r="C114" s="16"/>
      <c r="D114" s="16">
        <v>66378927.292432182</v>
      </c>
      <c r="E114" s="16">
        <v>10198137.199999999</v>
      </c>
      <c r="F114" s="16">
        <v>3400716.48</v>
      </c>
      <c r="G114" s="16">
        <v>1477313.92</v>
      </c>
      <c r="H114" s="16">
        <v>35751889.759999998</v>
      </c>
      <c r="I114" s="16">
        <v>8367161.8200000003</v>
      </c>
      <c r="J114" s="16">
        <v>78594925.920000002</v>
      </c>
      <c r="K114" s="16"/>
      <c r="L114" s="16"/>
      <c r="M114" s="16"/>
      <c r="N114" s="18">
        <f t="shared" si="3"/>
        <v>865052256.46243227</v>
      </c>
      <c r="O114" s="4"/>
    </row>
    <row r="115" spans="1:15" ht="15" x14ac:dyDescent="0.2">
      <c r="A115" s="17" t="s">
        <v>110</v>
      </c>
      <c r="B115" s="16">
        <v>1640015697.2100003</v>
      </c>
      <c r="C115" s="16"/>
      <c r="D115" s="16">
        <v>61953622.70515459</v>
      </c>
      <c r="E115" s="16">
        <v>25307203.279999997</v>
      </c>
      <c r="F115" s="16">
        <v>3521350</v>
      </c>
      <c r="G115" s="16">
        <v>2382168.7000000002</v>
      </c>
      <c r="H115" s="16">
        <v>88720157.840000004</v>
      </c>
      <c r="I115" s="16">
        <v>8663969.9299999997</v>
      </c>
      <c r="J115" s="16">
        <v>105309769.73999998</v>
      </c>
      <c r="K115" s="16"/>
      <c r="L115" s="16"/>
      <c r="M115" s="16"/>
      <c r="N115" s="18">
        <f t="shared" si="3"/>
        <v>1935873939.4051549</v>
      </c>
      <c r="O115" s="4"/>
    </row>
    <row r="116" spans="1:15" ht="15" x14ac:dyDescent="0.2">
      <c r="A116" s="17" t="s">
        <v>111</v>
      </c>
      <c r="B116" s="16">
        <v>1033042462.7</v>
      </c>
      <c r="C116" s="16"/>
      <c r="D116" s="16">
        <v>87831005.583779588</v>
      </c>
      <c r="E116" s="16">
        <v>15940954.489999998</v>
      </c>
      <c r="F116" s="16">
        <v>9719615.3599999994</v>
      </c>
      <c r="G116" s="16">
        <v>3748684.07</v>
      </c>
      <c r="H116" s="16">
        <v>55884642.140000001</v>
      </c>
      <c r="I116" s="16">
        <v>23914253.039999999</v>
      </c>
      <c r="J116" s="16">
        <v>142863014.06999999</v>
      </c>
      <c r="K116" s="16"/>
      <c r="L116" s="16"/>
      <c r="M116" s="16"/>
      <c r="N116" s="18">
        <f t="shared" si="3"/>
        <v>1372944631.4537795</v>
      </c>
      <c r="O116" s="4"/>
    </row>
    <row r="117" spans="1:15" ht="15" x14ac:dyDescent="0.2">
      <c r="A117" s="17" t="s">
        <v>112</v>
      </c>
      <c r="B117" s="16">
        <v>559211520.02999997</v>
      </c>
      <c r="C117" s="16"/>
      <c r="D117" s="16">
        <v>21978482.4880298</v>
      </c>
      <c r="E117" s="16">
        <v>8629234.2399999984</v>
      </c>
      <c r="F117" s="16">
        <v>2045025.45</v>
      </c>
      <c r="G117" s="16">
        <v>997186.9</v>
      </c>
      <c r="H117" s="16">
        <v>30251743.57</v>
      </c>
      <c r="I117" s="16">
        <v>5031604.07</v>
      </c>
      <c r="J117" s="16">
        <v>42105618.450000003</v>
      </c>
      <c r="K117" s="16"/>
      <c r="L117" s="16"/>
      <c r="M117" s="16"/>
      <c r="N117" s="18">
        <f t="shared" si="3"/>
        <v>670250415.19802999</v>
      </c>
      <c r="O117" s="4"/>
    </row>
    <row r="118" spans="1:15" ht="15" x14ac:dyDescent="0.2">
      <c r="A118" s="17" t="s">
        <v>113</v>
      </c>
      <c r="B118" s="16">
        <v>959089960.8900001</v>
      </c>
      <c r="C118" s="16"/>
      <c r="D118" s="16">
        <v>183255172.25397959</v>
      </c>
      <c r="E118" s="16">
        <v>14799787.98</v>
      </c>
      <c r="F118" s="16">
        <v>9644937.4600000009</v>
      </c>
      <c r="G118" s="16">
        <v>4154945.4</v>
      </c>
      <c r="H118" s="16">
        <v>51884023.340000004</v>
      </c>
      <c r="I118" s="16">
        <v>23730514.690000001</v>
      </c>
      <c r="J118" s="16">
        <v>116059797.02</v>
      </c>
      <c r="K118" s="16"/>
      <c r="L118" s="16"/>
      <c r="M118" s="16"/>
      <c r="N118" s="18">
        <f t="shared" si="3"/>
        <v>1362619139.0339799</v>
      </c>
      <c r="O118" s="4"/>
    </row>
    <row r="119" spans="1:15" ht="15" x14ac:dyDescent="0.2">
      <c r="A119" s="17" t="s">
        <v>114</v>
      </c>
      <c r="B119" s="16">
        <v>1257053587.1700001</v>
      </c>
      <c r="C119" s="16"/>
      <c r="D119" s="16">
        <v>86271778.837514997</v>
      </c>
      <c r="E119" s="16">
        <v>19397686.699999999</v>
      </c>
      <c r="F119" s="16">
        <v>7749267.7999999998</v>
      </c>
      <c r="G119" s="16">
        <v>2788430.02</v>
      </c>
      <c r="H119" s="16">
        <v>68003003.180000007</v>
      </c>
      <c r="I119" s="16">
        <v>19066387.32</v>
      </c>
      <c r="J119" s="16">
        <v>105645203.78999999</v>
      </c>
      <c r="K119" s="16"/>
      <c r="L119" s="16"/>
      <c r="M119" s="16"/>
      <c r="N119" s="18">
        <f t="shared" si="3"/>
        <v>1565975344.8175149</v>
      </c>
      <c r="O119" s="4"/>
    </row>
    <row r="120" spans="1:15" ht="15" x14ac:dyDescent="0.2">
      <c r="A120" s="17" t="s">
        <v>115</v>
      </c>
      <c r="B120" s="16">
        <v>777317559.82999992</v>
      </c>
      <c r="C120" s="16"/>
      <c r="D120" s="16">
        <v>104467162.3149454</v>
      </c>
      <c r="E120" s="16">
        <v>11994844.640000001</v>
      </c>
      <c r="F120" s="16">
        <v>5221708.25</v>
      </c>
      <c r="G120" s="16">
        <v>2825362.87</v>
      </c>
      <c r="H120" s="16">
        <v>42050656.420000002</v>
      </c>
      <c r="I120" s="16">
        <v>12847550.84</v>
      </c>
      <c r="J120" s="16">
        <v>109527862.5</v>
      </c>
      <c r="K120" s="16"/>
      <c r="L120" s="16"/>
      <c r="M120" s="16"/>
      <c r="N120" s="18">
        <f t="shared" si="3"/>
        <v>1066252707.6649454</v>
      </c>
      <c r="O120" s="4"/>
    </row>
    <row r="121" spans="1:15" ht="15" x14ac:dyDescent="0.2">
      <c r="A121" s="17" t="s">
        <v>116</v>
      </c>
      <c r="B121" s="16">
        <v>997334068.22000003</v>
      </c>
      <c r="C121" s="16"/>
      <c r="D121" s="16">
        <v>110054680.18698059</v>
      </c>
      <c r="E121" s="16">
        <v>15389935.619999999</v>
      </c>
      <c r="F121" s="16">
        <v>2194381.2400000002</v>
      </c>
      <c r="G121" s="16">
        <v>941787.62</v>
      </c>
      <c r="H121" s="16">
        <v>53952920.149999999</v>
      </c>
      <c r="I121" s="16">
        <v>5399080.7699999996</v>
      </c>
      <c r="J121" s="16">
        <v>60861107.810000017</v>
      </c>
      <c r="K121" s="16"/>
      <c r="L121" s="16"/>
      <c r="M121" s="16"/>
      <c r="N121" s="18">
        <f t="shared" si="3"/>
        <v>1246127961.6169803</v>
      </c>
      <c r="O121" s="4"/>
    </row>
    <row r="122" spans="1:15" ht="15" x14ac:dyDescent="0.2">
      <c r="A122" s="17" t="s">
        <v>117</v>
      </c>
      <c r="B122" s="16">
        <v>3096834825.96</v>
      </c>
      <c r="C122" s="16"/>
      <c r="D122" s="16">
        <v>316537609.31999999</v>
      </c>
      <c r="E122" s="16">
        <v>47787486.780000001</v>
      </c>
      <c r="F122" s="16">
        <v>66061215.520000003</v>
      </c>
      <c r="G122" s="16">
        <v>26930208.376371905</v>
      </c>
      <c r="H122" s="16">
        <v>167529905.37</v>
      </c>
      <c r="I122" s="16">
        <v>162537771.84</v>
      </c>
      <c r="J122" s="16">
        <v>285495489.30000007</v>
      </c>
      <c r="K122" s="16"/>
      <c r="L122" s="16"/>
      <c r="M122" s="16"/>
      <c r="N122" s="18">
        <f t="shared" si="3"/>
        <v>4169714512.4663725</v>
      </c>
      <c r="O122" s="4"/>
    </row>
    <row r="123" spans="1:15" ht="15" x14ac:dyDescent="0.2">
      <c r="A123" s="17" t="s">
        <v>118</v>
      </c>
      <c r="B123" s="16">
        <v>6533559379.6499996</v>
      </c>
      <c r="C123" s="16"/>
      <c r="D123" s="16">
        <v>123159382.19499999</v>
      </c>
      <c r="E123" s="16">
        <v>100819837.03999999</v>
      </c>
      <c r="F123" s="16">
        <v>91830834.019999996</v>
      </c>
      <c r="G123" s="16">
        <v>62673912.507124215</v>
      </c>
      <c r="H123" s="16">
        <v>353446872.72000003</v>
      </c>
      <c r="I123" s="16">
        <v>225941636.58000001</v>
      </c>
      <c r="J123" s="16">
        <v>372516994.95999998</v>
      </c>
      <c r="K123" s="16"/>
      <c r="L123" s="16"/>
      <c r="M123" s="16"/>
      <c r="N123" s="18">
        <f t="shared" si="3"/>
        <v>7863948849.6721239</v>
      </c>
      <c r="O123" s="4"/>
    </row>
    <row r="124" spans="1:15" ht="15" x14ac:dyDescent="0.2">
      <c r="A124" s="17" t="s">
        <v>119</v>
      </c>
      <c r="B124" s="16">
        <v>6290964606.2600002</v>
      </c>
      <c r="C124" s="16"/>
      <c r="D124" s="16">
        <v>48510847.950000003</v>
      </c>
      <c r="E124" s="16">
        <v>97076339.189999998</v>
      </c>
      <c r="F124" s="16">
        <v>117594708.06999999</v>
      </c>
      <c r="G124" s="16">
        <v>0</v>
      </c>
      <c r="H124" s="16">
        <v>340323189.44</v>
      </c>
      <c r="I124" s="16">
        <v>289331367.60000002</v>
      </c>
      <c r="J124" s="16">
        <v>532943996.80000001</v>
      </c>
      <c r="K124" s="16"/>
      <c r="L124" s="16"/>
      <c r="M124" s="16"/>
      <c r="N124" s="18">
        <f t="shared" si="3"/>
        <v>7716745055.3099995</v>
      </c>
      <c r="O124" s="4"/>
    </row>
    <row r="125" spans="1:15" ht="15" x14ac:dyDescent="0.2">
      <c r="A125" s="17" t="s">
        <v>120</v>
      </c>
      <c r="B125" s="16">
        <v>2007277229.1299999</v>
      </c>
      <c r="C125" s="16"/>
      <c r="D125" s="16">
        <v>72088897.889312506</v>
      </c>
      <c r="E125" s="16">
        <v>30974443.080000002</v>
      </c>
      <c r="F125" s="16">
        <v>45725850.039999999</v>
      </c>
      <c r="G125" s="16">
        <v>17690834.190000001</v>
      </c>
      <c r="H125" s="16">
        <v>108587956.14</v>
      </c>
      <c r="I125" s="16">
        <v>112504405.56</v>
      </c>
      <c r="J125" s="16">
        <v>329339370.80000007</v>
      </c>
      <c r="K125" s="16"/>
      <c r="L125" s="16"/>
      <c r="M125" s="16"/>
      <c r="N125" s="18">
        <f t="shared" si="3"/>
        <v>2724188986.8293123</v>
      </c>
      <c r="O125" s="4"/>
    </row>
    <row r="126" spans="1:15" ht="15" x14ac:dyDescent="0.2">
      <c r="A126" s="17" t="s">
        <v>121</v>
      </c>
      <c r="B126" s="16">
        <v>2181303548.5299997</v>
      </c>
      <c r="C126" s="16"/>
      <c r="D126" s="16">
        <v>99990420.143057078</v>
      </c>
      <c r="E126" s="16">
        <v>33659856.060000002</v>
      </c>
      <c r="F126" s="16">
        <v>22891647.289999999</v>
      </c>
      <c r="G126" s="16">
        <v>7238838.21</v>
      </c>
      <c r="H126" s="16">
        <v>118002282.2</v>
      </c>
      <c r="I126" s="16">
        <v>56322871.369999997</v>
      </c>
      <c r="J126" s="16">
        <v>225974196.42000005</v>
      </c>
      <c r="K126" s="16"/>
      <c r="L126" s="16"/>
      <c r="M126" s="16"/>
      <c r="N126" s="18">
        <f t="shared" si="3"/>
        <v>2745383660.2230563</v>
      </c>
      <c r="O126" s="4"/>
    </row>
    <row r="127" spans="1:15" ht="15" x14ac:dyDescent="0.2">
      <c r="A127" s="17" t="s">
        <v>122</v>
      </c>
      <c r="B127" s="16">
        <v>1280152889.0499997</v>
      </c>
      <c r="C127" s="16"/>
      <c r="D127" s="16">
        <v>43634613.678562388</v>
      </c>
      <c r="E127" s="16">
        <v>19754133.720000003</v>
      </c>
      <c r="F127" s="16">
        <v>24299038.399999999</v>
      </c>
      <c r="G127" s="16">
        <v>10341197.439999999</v>
      </c>
      <c r="H127" s="16">
        <v>69252609.329999998</v>
      </c>
      <c r="I127" s="16">
        <v>59785632.600000001</v>
      </c>
      <c r="J127" s="16">
        <v>250554250.21000004</v>
      </c>
      <c r="K127" s="16"/>
      <c r="L127" s="16"/>
      <c r="M127" s="16"/>
      <c r="N127" s="18">
        <f t="shared" si="3"/>
        <v>1757774364.4285622</v>
      </c>
      <c r="O127" s="4"/>
    </row>
    <row r="128" spans="1:15" ht="15" x14ac:dyDescent="0.2">
      <c r="A128" s="17" t="s">
        <v>123</v>
      </c>
      <c r="B128" s="16">
        <v>554556923.84000003</v>
      </c>
      <c r="C128" s="16"/>
      <c r="D128" s="16">
        <v>50827061.061772287</v>
      </c>
      <c r="E128" s="16">
        <v>8557408.8300000001</v>
      </c>
      <c r="F128" s="16">
        <v>2223103.5099999998</v>
      </c>
      <c r="G128" s="16">
        <v>1237250.4099999999</v>
      </c>
      <c r="H128" s="16">
        <v>29999943.239999998</v>
      </c>
      <c r="I128" s="16">
        <v>5469749.3700000001</v>
      </c>
      <c r="J128" s="16">
        <v>53845425.919999994</v>
      </c>
      <c r="K128" s="16"/>
      <c r="L128" s="16"/>
      <c r="M128" s="16"/>
      <c r="N128" s="18">
        <f t="shared" si="3"/>
        <v>706716866.18177223</v>
      </c>
      <c r="O128" s="4"/>
    </row>
    <row r="129" spans="1:15" ht="15" x14ac:dyDescent="0.2">
      <c r="A129" s="17" t="s">
        <v>124</v>
      </c>
      <c r="B129" s="16">
        <v>3659867283.2399998</v>
      </c>
      <c r="C129" s="16"/>
      <c r="D129" s="16">
        <v>368469258.74849296</v>
      </c>
      <c r="E129" s="16">
        <v>42168844.219999999</v>
      </c>
      <c r="F129" s="16">
        <v>28274200.239999998</v>
      </c>
      <c r="G129" s="16">
        <v>15345598.34</v>
      </c>
      <c r="H129" s="16">
        <v>197988350.71000001</v>
      </c>
      <c r="I129" s="16">
        <v>69566166.349999994</v>
      </c>
      <c r="J129" s="16">
        <v>337383640.24999994</v>
      </c>
      <c r="K129" s="16"/>
      <c r="L129" s="16"/>
      <c r="M129" s="16"/>
      <c r="N129" s="18">
        <f t="shared" si="3"/>
        <v>4719063342.0984926</v>
      </c>
      <c r="O129" s="4"/>
    </row>
    <row r="130" spans="1:15" ht="15" x14ac:dyDescent="0.2">
      <c r="A130" s="17" t="s">
        <v>125</v>
      </c>
      <c r="B130" s="16">
        <v>956658455.46000004</v>
      </c>
      <c r="C130" s="16"/>
      <c r="D130" s="16">
        <v>114004316.01707166</v>
      </c>
      <c r="E130" s="16">
        <v>14762267.24</v>
      </c>
      <c r="F130" s="16">
        <v>3498372.19</v>
      </c>
      <c r="G130" s="16">
        <v>1144918.29</v>
      </c>
      <c r="H130" s="16">
        <v>51752485.850000001</v>
      </c>
      <c r="I130" s="16">
        <v>8607435.0500000007</v>
      </c>
      <c r="J130" s="16">
        <v>92728879.550000012</v>
      </c>
      <c r="K130" s="16"/>
      <c r="L130" s="16"/>
      <c r="M130" s="16"/>
      <c r="N130" s="18">
        <f t="shared" si="3"/>
        <v>1243157129.6470716</v>
      </c>
      <c r="O130" s="4"/>
    </row>
    <row r="131" spans="1:15" ht="15" x14ac:dyDescent="0.2">
      <c r="A131" s="17" t="s">
        <v>126</v>
      </c>
      <c r="B131" s="16">
        <v>6205584028.7999992</v>
      </c>
      <c r="C131" s="16"/>
      <c r="D131" s="16">
        <v>243504243.25999996</v>
      </c>
      <c r="E131" s="16">
        <v>194772134.03000003</v>
      </c>
      <c r="F131" s="16">
        <v>154474099.69999999</v>
      </c>
      <c r="G131" s="16">
        <v>0</v>
      </c>
      <c r="H131" s="16">
        <v>335704344.43000001</v>
      </c>
      <c r="I131" s="16">
        <v>380069845.44999999</v>
      </c>
      <c r="J131" s="16">
        <v>728572362.41999984</v>
      </c>
      <c r="K131" s="16"/>
      <c r="L131" s="16"/>
      <c r="M131" s="16"/>
      <c r="N131" s="18">
        <f t="shared" si="3"/>
        <v>8242681058.0899992</v>
      </c>
      <c r="O131" s="4"/>
    </row>
    <row r="132" spans="1:15" ht="15" x14ac:dyDescent="0.2">
      <c r="A132" s="17" t="s">
        <v>127</v>
      </c>
      <c r="B132" s="16">
        <v>231340376.55999994</v>
      </c>
      <c r="C132" s="16"/>
      <c r="D132" s="16">
        <v>11256090.442097498</v>
      </c>
      <c r="E132" s="16">
        <v>3569830.4300000006</v>
      </c>
      <c r="F132" s="16">
        <v>660612.15</v>
      </c>
      <c r="G132" s="16">
        <v>276996.36</v>
      </c>
      <c r="H132" s="16">
        <v>12514852.609999999</v>
      </c>
      <c r="I132" s="16">
        <v>1625377.72</v>
      </c>
      <c r="J132" s="16">
        <v>26162318.910000004</v>
      </c>
      <c r="K132" s="16"/>
      <c r="L132" s="16"/>
      <c r="M132" s="16"/>
      <c r="N132" s="18">
        <f t="shared" si="3"/>
        <v>287406455.18209743</v>
      </c>
      <c r="O132" s="4"/>
    </row>
    <row r="133" spans="1:15" ht="15" x14ac:dyDescent="0.2">
      <c r="A133" s="17" t="s">
        <v>128</v>
      </c>
      <c r="B133" s="16">
        <v>1556649795.7100003</v>
      </c>
      <c r="C133" s="16"/>
      <c r="D133" s="16">
        <v>68961510.813779578</v>
      </c>
      <c r="E133" s="16">
        <v>8331738.2400000002</v>
      </c>
      <c r="F133" s="16">
        <v>2389692.66</v>
      </c>
      <c r="G133" s="16">
        <v>1569646.04</v>
      </c>
      <c r="H133" s="16">
        <v>84210301.040000007</v>
      </c>
      <c r="I133" s="16">
        <v>5879627.2199999997</v>
      </c>
      <c r="J133" s="16">
        <v>96508564.149999976</v>
      </c>
      <c r="K133" s="16"/>
      <c r="L133" s="16"/>
      <c r="M133" s="16"/>
      <c r="N133" s="18">
        <f t="shared" si="3"/>
        <v>1824500875.8737798</v>
      </c>
      <c r="O133" s="4"/>
    </row>
    <row r="134" spans="1:15" ht="15" x14ac:dyDescent="0.2">
      <c r="A134" s="17" t="s">
        <v>129</v>
      </c>
      <c r="B134" s="16">
        <v>2683478897.6999998</v>
      </c>
      <c r="C134" s="16"/>
      <c r="D134" s="16">
        <v>240324791.51658419</v>
      </c>
      <c r="E134" s="16">
        <v>41408960.939999998</v>
      </c>
      <c r="F134" s="16">
        <v>11149984.279999999</v>
      </c>
      <c r="G134" s="16">
        <v>5189065.1399999997</v>
      </c>
      <c r="H134" s="16">
        <v>145168532.08000001</v>
      </c>
      <c r="I134" s="16">
        <v>27433549.140000001</v>
      </c>
      <c r="J134" s="16">
        <v>217950291.10999992</v>
      </c>
      <c r="K134" s="16"/>
      <c r="L134" s="16"/>
      <c r="M134" s="16"/>
      <c r="N134" s="18">
        <f t="shared" si="3"/>
        <v>3372104071.9065843</v>
      </c>
      <c r="O134" s="4"/>
    </row>
    <row r="135" spans="1:15" ht="15" x14ac:dyDescent="0.2">
      <c r="A135" s="17" t="s">
        <v>130</v>
      </c>
      <c r="B135" s="16">
        <v>2237783946.8099999</v>
      </c>
      <c r="C135" s="16"/>
      <c r="D135" s="16">
        <v>287808981.50010264</v>
      </c>
      <c r="E135" s="16">
        <v>34531409.260000005</v>
      </c>
      <c r="F135" s="16">
        <v>16785293.190000001</v>
      </c>
      <c r="G135" s="16">
        <v>6574046.9400000004</v>
      </c>
      <c r="H135" s="16">
        <v>121057710.18000001</v>
      </c>
      <c r="I135" s="16">
        <v>41298727.770000003</v>
      </c>
      <c r="J135" s="16">
        <v>224697011.06999993</v>
      </c>
      <c r="K135" s="16"/>
      <c r="L135" s="16"/>
      <c r="M135" s="16"/>
      <c r="N135" s="18">
        <f t="shared" si="3"/>
        <v>2970537126.7201023</v>
      </c>
      <c r="O135" s="4"/>
    </row>
    <row r="136" spans="1:15" ht="15" x14ac:dyDescent="0.2">
      <c r="A136" s="17" t="s">
        <v>131</v>
      </c>
      <c r="B136" s="16">
        <v>3481776876.1599998</v>
      </c>
      <c r="C136" s="16"/>
      <c r="D136" s="16">
        <v>48799219.25</v>
      </c>
      <c r="E136" s="16">
        <v>53727555.969999999</v>
      </c>
      <c r="F136" s="16">
        <v>99867324.5</v>
      </c>
      <c r="G136" s="16">
        <v>48281110.243577331</v>
      </c>
      <c r="H136" s="16">
        <v>188354169.13</v>
      </c>
      <c r="I136" s="16">
        <v>245714709.87</v>
      </c>
      <c r="J136" s="16">
        <v>510857220.73999989</v>
      </c>
      <c r="K136" s="16"/>
      <c r="L136" s="16"/>
      <c r="M136" s="16"/>
      <c r="N136" s="18">
        <f t="shared" ref="N136:N142" si="4">SUM(B136:M136)</f>
        <v>4677378185.8635769</v>
      </c>
      <c r="O136" s="4"/>
    </row>
    <row r="137" spans="1:15" ht="15" x14ac:dyDescent="0.2">
      <c r="A137" s="17" t="s">
        <v>132</v>
      </c>
      <c r="B137" s="16">
        <v>545004580.96000004</v>
      </c>
      <c r="C137" s="16"/>
      <c r="D137" s="16">
        <v>30340364.805632893</v>
      </c>
      <c r="E137" s="16">
        <v>8410005.9199999999</v>
      </c>
      <c r="F137" s="16">
        <v>1194846.33</v>
      </c>
      <c r="G137" s="16">
        <v>960254.05</v>
      </c>
      <c r="H137" s="16">
        <v>29483188.809999999</v>
      </c>
      <c r="I137" s="16">
        <v>2939813.61</v>
      </c>
      <c r="J137" s="16">
        <v>50114154.339999996</v>
      </c>
      <c r="K137" s="16"/>
      <c r="L137" s="16"/>
      <c r="M137" s="16"/>
      <c r="N137" s="18">
        <f t="shared" si="4"/>
        <v>668447208.82563293</v>
      </c>
      <c r="O137" s="4"/>
    </row>
    <row r="138" spans="1:15" ht="15" x14ac:dyDescent="0.2">
      <c r="A138" s="17" t="s">
        <v>133</v>
      </c>
      <c r="B138" s="16">
        <v>1622161499.9900002</v>
      </c>
      <c r="C138" s="16"/>
      <c r="D138" s="16">
        <v>181480914.34349144</v>
      </c>
      <c r="E138" s="16">
        <v>25031693.840000004</v>
      </c>
      <c r="F138" s="16">
        <v>10403205.33</v>
      </c>
      <c r="G138" s="16">
        <v>3748684.07</v>
      </c>
      <c r="H138" s="16">
        <v>87754296.840000004</v>
      </c>
      <c r="I138" s="16">
        <v>25596165.640000001</v>
      </c>
      <c r="J138" s="16">
        <v>182089586.30000004</v>
      </c>
      <c r="K138" s="16"/>
      <c r="L138" s="16"/>
      <c r="M138" s="16"/>
      <c r="N138" s="18">
        <f t="shared" si="4"/>
        <v>2138266046.3534915</v>
      </c>
      <c r="O138" s="4"/>
    </row>
    <row r="139" spans="1:15" ht="15" x14ac:dyDescent="0.2">
      <c r="A139" s="17" t="s">
        <v>134</v>
      </c>
      <c r="B139" s="16">
        <v>5520038432.1300001</v>
      </c>
      <c r="C139" s="16"/>
      <c r="D139" s="16">
        <v>84068100.870000005</v>
      </c>
      <c r="E139" s="16">
        <v>85180120.510000005</v>
      </c>
      <c r="F139" s="16">
        <v>53503840.109999999</v>
      </c>
      <c r="G139" s="16">
        <v>43551170.429033488</v>
      </c>
      <c r="H139" s="16">
        <v>298618288.70999998</v>
      </c>
      <c r="I139" s="16">
        <v>131641461.48</v>
      </c>
      <c r="J139" s="16">
        <v>325131267.97000003</v>
      </c>
      <c r="K139" s="16"/>
      <c r="L139" s="16"/>
      <c r="M139" s="16"/>
      <c r="N139" s="18">
        <f t="shared" si="4"/>
        <v>6541732682.209033</v>
      </c>
      <c r="O139" s="4"/>
    </row>
    <row r="140" spans="1:15" ht="15" x14ac:dyDescent="0.2">
      <c r="A140" s="17" t="s">
        <v>135</v>
      </c>
      <c r="B140" s="16">
        <v>1654708937.3500001</v>
      </c>
      <c r="C140" s="16"/>
      <c r="D140" s="16">
        <v>9227652.8499999996</v>
      </c>
      <c r="E140" s="16">
        <v>25533935.739999998</v>
      </c>
      <c r="F140" s="16">
        <v>8823480.6099999994</v>
      </c>
      <c r="G140" s="16">
        <v>3951814.74</v>
      </c>
      <c r="H140" s="16">
        <v>89515020.099999994</v>
      </c>
      <c r="I140" s="16">
        <v>21709392.829999998</v>
      </c>
      <c r="J140" s="16">
        <v>82184031.75999999</v>
      </c>
      <c r="K140" s="16"/>
      <c r="L140" s="16"/>
      <c r="M140" s="16"/>
      <c r="N140" s="18">
        <f t="shared" si="4"/>
        <v>1895654265.9799998</v>
      </c>
      <c r="O140" s="4"/>
    </row>
    <row r="141" spans="1:15" ht="15" x14ac:dyDescent="0.2">
      <c r="A141" s="17" t="s">
        <v>136</v>
      </c>
      <c r="B141" s="16">
        <v>1869306662.1399999</v>
      </c>
      <c r="C141" s="16"/>
      <c r="D141" s="16">
        <v>96756479.848076373</v>
      </c>
      <c r="E141" s="16">
        <v>28845409.09</v>
      </c>
      <c r="F141" s="16">
        <v>12723964.550000001</v>
      </c>
      <c r="G141" s="16">
        <v>3453221.29</v>
      </c>
      <c r="H141" s="16">
        <v>101124143.14</v>
      </c>
      <c r="I141" s="16">
        <v>31306188.23</v>
      </c>
      <c r="J141" s="16">
        <v>228561995.15000001</v>
      </c>
      <c r="K141" s="16"/>
      <c r="L141" s="16"/>
      <c r="M141" s="16"/>
      <c r="N141" s="18">
        <f t="shared" si="4"/>
        <v>2372078063.438076</v>
      </c>
      <c r="O141" s="4"/>
    </row>
    <row r="142" spans="1:15" ht="15" x14ac:dyDescent="0.2">
      <c r="A142" s="17" t="s">
        <v>137</v>
      </c>
      <c r="B142" s="16">
        <v>1899943630.95</v>
      </c>
      <c r="C142" s="16"/>
      <c r="D142" s="16">
        <v>110638577.42873479</v>
      </c>
      <c r="E142" s="16">
        <v>29318170.399999999</v>
      </c>
      <c r="F142" s="16">
        <v>54704430.899999999</v>
      </c>
      <c r="G142" s="16">
        <v>13942150.119999999</v>
      </c>
      <c r="H142" s="16">
        <v>102781515.51000001</v>
      </c>
      <c r="I142" s="16">
        <v>134595408.81</v>
      </c>
      <c r="J142" s="16">
        <v>309826945.46999991</v>
      </c>
      <c r="K142" s="16"/>
      <c r="L142" s="16"/>
      <c r="M142" s="16"/>
      <c r="N142" s="18">
        <f t="shared" si="4"/>
        <v>2655750829.5887346</v>
      </c>
      <c r="O142" s="4"/>
    </row>
    <row r="143" spans="1:15" ht="24.75" customHeight="1" x14ac:dyDescent="0.2">
      <c r="A143" s="22" t="s">
        <v>138</v>
      </c>
      <c r="B143" s="23">
        <f t="shared" ref="B143:I143" si="5">SUM(B8:B142)</f>
        <v>347357922915.14026</v>
      </c>
      <c r="C143" s="23">
        <f t="shared" si="5"/>
        <v>0</v>
      </c>
      <c r="D143" s="23">
        <f t="shared" si="5"/>
        <v>15432309375.615971</v>
      </c>
      <c r="E143" s="23">
        <f t="shared" si="5"/>
        <v>5379797429.1999989</v>
      </c>
      <c r="F143" s="23">
        <f t="shared" si="5"/>
        <v>5744453523.5199947</v>
      </c>
      <c r="G143" s="23">
        <f t="shared" si="5"/>
        <v>1846642400.0300002</v>
      </c>
      <c r="H143" s="23">
        <f t="shared" si="5"/>
        <v>18791069987.499996</v>
      </c>
      <c r="I143" s="23">
        <f t="shared" si="5"/>
        <v>14133719290.83</v>
      </c>
      <c r="J143" s="23">
        <f t="shared" ref="J143:N143" si="6">SUM(J8:J142)</f>
        <v>38423144321.010025</v>
      </c>
      <c r="K143" s="23">
        <f t="shared" si="6"/>
        <v>0</v>
      </c>
      <c r="L143" s="23">
        <f t="shared" si="6"/>
        <v>0</v>
      </c>
      <c r="M143" s="23">
        <f t="shared" si="6"/>
        <v>0</v>
      </c>
      <c r="N143" s="23">
        <f t="shared" si="6"/>
        <v>447109059242.84595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44AEAC"/>
  </sheetPr>
  <dimension ref="A1:Q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6.6640625" style="1" customWidth="1"/>
    <col min="3" max="3" width="22.33203125" style="1" hidden="1" customWidth="1"/>
    <col min="4" max="4" width="24.83203125" style="1" customWidth="1"/>
    <col min="5" max="7" width="22.33203125" style="1" customWidth="1"/>
    <col min="8" max="8" width="25" style="1" customWidth="1"/>
    <col min="9" max="9" width="23.1640625" style="1" customWidth="1"/>
    <col min="10" max="10" width="24.1640625" style="1" customWidth="1"/>
    <col min="11" max="11" width="24.83203125" style="1" hidden="1" customWidth="1"/>
    <col min="12" max="13" width="22.33203125" style="1" hidden="1" customWidth="1"/>
    <col min="14" max="14" width="26.5" style="1" customWidth="1"/>
    <col min="15" max="15" width="12" style="1" customWidth="1"/>
    <col min="16" max="16384" width="12" style="1"/>
  </cols>
  <sheetData>
    <row r="1" spans="1:17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25" customHeight="1" x14ac:dyDescent="0.25">
      <c r="A3" s="21" t="s">
        <v>0</v>
      </c>
      <c r="B3" s="2"/>
      <c r="C3" s="2"/>
      <c r="D3" s="2"/>
      <c r="E3" s="2"/>
      <c r="F3" s="24"/>
      <c r="G3" s="2"/>
      <c r="H3" s="2"/>
      <c r="I3" s="2"/>
      <c r="J3" s="2"/>
      <c r="K3" s="2"/>
      <c r="L3" s="2"/>
      <c r="M3" s="2"/>
      <c r="N3" s="2"/>
    </row>
    <row r="4" spans="1:17" ht="17.25" customHeight="1" x14ac:dyDescent="0.25">
      <c r="A4" s="21" t="s">
        <v>177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7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7" ht="18.75" customHeight="1" x14ac:dyDescent="0.2">
      <c r="A6" s="33" t="s">
        <v>2</v>
      </c>
      <c r="B6" s="34" t="s">
        <v>178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7" ht="60" customHeight="1" x14ac:dyDescent="0.2">
      <c r="A7" s="33"/>
      <c r="B7" s="19" t="s">
        <v>139</v>
      </c>
      <c r="C7" s="19" t="s">
        <v>176</v>
      </c>
      <c r="D7" s="19" t="s">
        <v>143</v>
      </c>
      <c r="E7" s="19" t="s">
        <v>141</v>
      </c>
      <c r="F7" s="19" t="s">
        <v>149</v>
      </c>
      <c r="G7" s="19" t="s">
        <v>144</v>
      </c>
      <c r="H7" s="19" t="s">
        <v>146</v>
      </c>
      <c r="I7" s="19" t="s">
        <v>145</v>
      </c>
      <c r="J7" s="19" t="s">
        <v>147</v>
      </c>
      <c r="K7" s="28" t="s">
        <v>151</v>
      </c>
      <c r="L7" s="19" t="s">
        <v>148</v>
      </c>
      <c r="M7" s="19" t="s">
        <v>142</v>
      </c>
      <c r="N7" s="20" t="s">
        <v>140</v>
      </c>
    </row>
    <row r="8" spans="1:17" ht="18" customHeight="1" x14ac:dyDescent="0.2">
      <c r="A8" s="17" t="s">
        <v>3</v>
      </c>
      <c r="B8" s="16">
        <f>ENERO!B8+FEBRERO!B8+MARZO!B8+ABRIL!B8+MAYO!B8+JUNIO!B8+JULIO!B8+AGOSTO!B8+SEPTIEMBRE!B8+OCTUBRE!B8+NOVIEMBRE!B8+DICIEMBRE!B8</f>
        <v>15803038258.619999</v>
      </c>
      <c r="C8" s="16">
        <f>ENERO!C8+FEBRERO!C8+MARZO!C8+ABRIL!C8+MAYO!C8+JUNIO!C8+JULIO!C8+AGOSTO!C8+SEPTIEMBRE!C8+OCTUBRE!C8+NOVIEMBRE!C8+DICIEMBRE!C8</f>
        <v>0</v>
      </c>
      <c r="D8" s="16">
        <f>ENERO!D8+FEBRERO!D8+MARZO!D8+ABRIL!D8+MAYO!D8+JUNIO!D8+JULIO!D8+AGOSTO!D8+SEPTIEMBRE!D8+OCTUBRE!D8+NOVIEMBRE!D8+DICIEMBRE!D8</f>
        <v>853810645.35826564</v>
      </c>
      <c r="E8" s="16">
        <f>ENERO!E8+FEBRERO!E8+MARZO!E8+ABRIL!E8+MAYO!E8+JUNIO!E8+JULIO!E8+AGOSTO!E8+SEPTIEMBRE!E8+OCTUBRE!E8+NOVIEMBRE!E8+DICIEMBRE!E8</f>
        <v>194964732.01000002</v>
      </c>
      <c r="F8" s="16">
        <f>ENERO!F8+FEBRERO!F8+MARZO!F8+ABRIL!F8+MAYO!F8+JUNIO!F8+JULIO!F8+AGOSTO!F8+SEPTIEMBRE!F8+OCTUBRE!F8+NOVIEMBRE!F8+DICIEMBRE!F8</f>
        <v>46375096.358970426</v>
      </c>
      <c r="G8" s="16">
        <f>ENERO!G8+FEBRERO!G8+MARZO!G8+ABRIL!G8+MAYO!G8+JUNIO!G8+JULIO!G8+AGOSTO!G8+SEPTIEMBRE!G8+OCTUBRE!G8+NOVIEMBRE!G8+DICIEMBRE!G8</f>
        <v>21650860.879999995</v>
      </c>
      <c r="H8" s="16">
        <f>ENERO!H8+FEBRERO!H8+MARZO!H8+ABRIL!H8+MAYO!H8+JUNIO!H8+JULIO!H8+AGOSTO!H8+SEPTIEMBRE!H8+OCTUBRE!H8+NOVIEMBRE!H8+DICIEMBRE!H8</f>
        <v>895425272.29999983</v>
      </c>
      <c r="I8" s="16">
        <f>ENERO!I8+FEBRERO!I8+MARZO!I8+ABRIL!I8+MAYO!I8+JUNIO!I8+JULIO!I8+AGOSTO!I8+SEPTIEMBRE!I8+OCTUBRE!I8+NOVIEMBRE!I8+DICIEMBRE!I8</f>
        <v>123666686.19000001</v>
      </c>
      <c r="J8" s="16">
        <f>ENERO!J8+FEBRERO!J8+MARZO!J8+ABRIL!J8+MAYO!J8+JUNIO!J8+JULIO!J8+AGOSTO!J8+SEPTIEMBRE!J8+OCTUBRE!J8+NOVIEMBRE!J8+DICIEMBRE!J8</f>
        <v>1399136424.28</v>
      </c>
      <c r="K8" s="16">
        <f>ENERO!K8+FEBRERO!K8+MARZO!K8+ABRIL!K8+MAYO!K8+JUNIO!K8+JULIO!K8+AGOSTO!K8+SEPTIEMBRE!K8+OCTUBRE!K8+NOVIEMBRE!K8+DICIEMBRE!K8</f>
        <v>0</v>
      </c>
      <c r="L8" s="16">
        <f>ENERO!L8+FEBRERO!L8+MARZO!L8+ABRIL!L8+MAYO!L8+JUNIO!L8+JULIO!L8+AGOSTO!L8+SEPTIEMBRE!L8+OCTUBRE!L8+NOVIEMBRE!L8+DICIEMBRE!L8</f>
        <v>0</v>
      </c>
      <c r="M8" s="16">
        <f>ENERO!M8+FEBRERO!M8+MARZO!M8+ABRIL!M8+MAYO!M8+JUNIO!M8+JULIO!M8+AGOSTO!M8+SEPTIEMBRE!M8+OCTUBRE!M8+NOVIEMBRE!M8+DICIEMBRE!M8</f>
        <v>0</v>
      </c>
      <c r="N8" s="18">
        <f t="shared" ref="N8:N39" si="0">SUM(B8:M8)</f>
        <v>19338067975.997231</v>
      </c>
      <c r="O8" s="4"/>
      <c r="P8" s="4"/>
      <c r="Q8" s="4"/>
    </row>
    <row r="9" spans="1:17" ht="18" customHeight="1" x14ac:dyDescent="0.2">
      <c r="A9" s="17" t="s">
        <v>4</v>
      </c>
      <c r="B9" s="16">
        <f>ENERO!B9+FEBRERO!B9+MARZO!B9+ABRIL!B9+MAYO!B9+JUNIO!B9+JULIO!B9+AGOSTO!B9+SEPTIEMBRE!B9+OCTUBRE!B9+NOVIEMBRE!B9+DICIEMBRE!B9</f>
        <v>8764925384.6999989</v>
      </c>
      <c r="C9" s="16">
        <f>ENERO!C9+FEBRERO!C9+MARZO!C9+ABRIL!C9+MAYO!C9+JUNIO!C9+JULIO!C9+AGOSTO!C9+SEPTIEMBRE!C9+OCTUBRE!C9+NOVIEMBRE!C9+DICIEMBRE!C9</f>
        <v>0</v>
      </c>
      <c r="D9" s="16">
        <f>ENERO!D9+FEBRERO!D9+MARZO!D9+ABRIL!D9+MAYO!D9+JUNIO!D9+JULIO!D9+AGOSTO!D9+SEPTIEMBRE!D9+OCTUBRE!D9+NOVIEMBRE!D9+DICIEMBRE!D9</f>
        <v>755462403.2677114</v>
      </c>
      <c r="E9" s="16">
        <f>ENERO!E9+FEBRERO!E9+MARZO!E9+ABRIL!E9+MAYO!E9+JUNIO!E9+JULIO!E9+AGOSTO!E9+SEPTIEMBRE!E9+OCTUBRE!E9+NOVIEMBRE!E9+DICIEMBRE!E9</f>
        <v>106329374.98999999</v>
      </c>
      <c r="F9" s="16">
        <f>ENERO!F9+FEBRERO!F9+MARZO!F9+ABRIL!F9+MAYO!F9+JUNIO!F9+JULIO!F9+AGOSTO!F9+SEPTIEMBRE!F9+OCTUBRE!F9+NOVIEMBRE!F9+DICIEMBRE!F9</f>
        <v>32491371.845005371</v>
      </c>
      <c r="G9" s="16">
        <f>ENERO!G9+FEBRERO!G9+MARZO!G9+ABRIL!G9+MAYO!G9+JUNIO!G9+JULIO!G9+AGOSTO!G9+SEPTIEMBRE!G9+OCTUBRE!G9+NOVIEMBRE!G9+DICIEMBRE!G9</f>
        <v>16021637.050000001</v>
      </c>
      <c r="H9" s="16">
        <f>ENERO!H9+FEBRERO!H9+MARZO!H9+ABRIL!H9+MAYO!H9+JUNIO!H9+JULIO!H9+AGOSTO!H9+SEPTIEMBRE!H9+OCTUBRE!H9+NOVIEMBRE!H9+DICIEMBRE!H9</f>
        <v>494924789.87</v>
      </c>
      <c r="I9" s="16">
        <f>ENERO!I9+FEBRERO!I9+MARZO!I9+ABRIL!I9+MAYO!I9+JUNIO!I9+JULIO!I9+AGOSTO!I9+SEPTIEMBRE!I9+OCTUBRE!I9+NOVIEMBRE!I9+DICIEMBRE!I9</f>
        <v>86643491.939999998</v>
      </c>
      <c r="J9" s="16">
        <f>ENERO!J9+FEBRERO!J9+MARZO!J9+ABRIL!J9+MAYO!J9+JUNIO!J9+JULIO!J9+AGOSTO!J9+SEPTIEMBRE!J9+OCTUBRE!J9+NOVIEMBRE!J9+DICIEMBRE!J9</f>
        <v>1061036687.0999999</v>
      </c>
      <c r="K9" s="16">
        <f>ENERO!K9+FEBRERO!K9+MARZO!K9+ABRIL!K9+MAYO!K9+JUNIO!K9+JULIO!K9+AGOSTO!K9+SEPTIEMBRE!K9+OCTUBRE!K9+NOVIEMBRE!K9+DICIEMBRE!K9</f>
        <v>0</v>
      </c>
      <c r="L9" s="16">
        <f>ENERO!L9+FEBRERO!L9+MARZO!L9+ABRIL!L9+MAYO!L9+JUNIO!L9+JULIO!L9+AGOSTO!L9+SEPTIEMBRE!L9+OCTUBRE!L9+NOVIEMBRE!L9+DICIEMBRE!L9</f>
        <v>0</v>
      </c>
      <c r="M9" s="16">
        <f>ENERO!M9+FEBRERO!M9+MARZO!M9+ABRIL!M9+MAYO!M9+JUNIO!M9+JULIO!M9+AGOSTO!M9+SEPTIEMBRE!M9+OCTUBRE!M9+NOVIEMBRE!M9+DICIEMBRE!M9</f>
        <v>0</v>
      </c>
      <c r="N9" s="18">
        <f t="shared" si="0"/>
        <v>11317835140.762716</v>
      </c>
      <c r="O9" s="4"/>
      <c r="P9" s="4"/>
      <c r="Q9" s="4"/>
    </row>
    <row r="10" spans="1:17" ht="18" customHeight="1" x14ac:dyDescent="0.2">
      <c r="A10" s="17" t="s">
        <v>5</v>
      </c>
      <c r="B10" s="16">
        <f>ENERO!B10+FEBRERO!B10+MARZO!B10+ABRIL!B10+MAYO!B10+JUNIO!B10+JULIO!B10+AGOSTO!B10+SEPTIEMBRE!B10+OCTUBRE!B10+NOVIEMBRE!B10+DICIEMBRE!B10</f>
        <v>9350383321.8000011</v>
      </c>
      <c r="C10" s="16">
        <f>ENERO!C10+FEBRERO!C10+MARZO!C10+ABRIL!C10+MAYO!C10+JUNIO!C10+JULIO!C10+AGOSTO!C10+SEPTIEMBRE!C10+OCTUBRE!C10+NOVIEMBRE!C10+DICIEMBRE!C10</f>
        <v>0</v>
      </c>
      <c r="D10" s="16">
        <f>ENERO!D10+FEBRERO!D10+MARZO!D10+ABRIL!D10+MAYO!D10+JUNIO!D10+JULIO!D10+AGOSTO!D10+SEPTIEMBRE!D10+OCTUBRE!D10+NOVIEMBRE!D10+DICIEMBRE!D10</f>
        <v>554695250.03235006</v>
      </c>
      <c r="E10" s="16">
        <f>ENERO!E10+FEBRERO!E10+MARZO!E10+ABRIL!E10+MAYO!E10+JUNIO!E10+JULIO!E10+AGOSTO!E10+SEPTIEMBRE!E10+OCTUBRE!E10+NOVIEMBRE!E10+DICIEMBRE!E10</f>
        <v>114409835.10000001</v>
      </c>
      <c r="F10" s="16">
        <f>ENERO!F10+FEBRERO!F10+MARZO!F10+ABRIL!F10+MAYO!F10+JUNIO!F10+JULIO!F10+AGOSTO!F10+SEPTIEMBRE!F10+OCTUBRE!F10+NOVIEMBRE!F10+DICIEMBRE!F10</f>
        <v>22697873.228142049</v>
      </c>
      <c r="G10" s="16">
        <f>ENERO!G10+FEBRERO!G10+MARZO!G10+ABRIL!G10+MAYO!G10+JUNIO!G10+JULIO!G10+AGOSTO!G10+SEPTIEMBRE!G10+OCTUBRE!G10+NOVIEMBRE!G10+DICIEMBRE!G10</f>
        <v>16021637.050000001</v>
      </c>
      <c r="H10" s="16">
        <f>ENERO!H10+FEBRERO!H10+MARZO!H10+ABRIL!H10+MAYO!H10+JUNIO!H10+JULIO!H10+AGOSTO!H10+SEPTIEMBRE!H10+OCTUBRE!H10+NOVIEMBRE!H10+DICIEMBRE!H10</f>
        <v>528756053.16000003</v>
      </c>
      <c r="I10" s="16">
        <f>ENERO!I10+FEBRERO!I10+MARZO!I10+ABRIL!I10+MAYO!I10+JUNIO!I10+JULIO!I10+AGOSTO!I10+SEPTIEMBRE!I10+OCTUBRE!I10+NOVIEMBRE!I10+DICIEMBRE!I10</f>
        <v>60527545.800000004</v>
      </c>
      <c r="J10" s="16">
        <f>ENERO!J10+FEBRERO!J10+MARZO!J10+ABRIL!J10+MAYO!J10+JUNIO!J10+JULIO!J10+AGOSTO!J10+SEPTIEMBRE!J10+OCTUBRE!J10+NOVIEMBRE!J10+DICIEMBRE!J10</f>
        <v>627101118.93000007</v>
      </c>
      <c r="K10" s="16">
        <f>ENERO!K10+FEBRERO!K10+MARZO!K10+ABRIL!K10+MAYO!K10+JUNIO!K10+JULIO!K10+AGOSTO!K10+SEPTIEMBRE!K10+OCTUBRE!K10+NOVIEMBRE!K10+DICIEMBRE!K10</f>
        <v>0</v>
      </c>
      <c r="L10" s="16">
        <f>ENERO!L10+FEBRERO!L10+MARZO!L10+ABRIL!L10+MAYO!L10+JUNIO!L10+JULIO!L10+AGOSTO!L10+SEPTIEMBRE!L10+OCTUBRE!L10+NOVIEMBRE!L10+DICIEMBRE!L10</f>
        <v>0</v>
      </c>
      <c r="M10" s="16">
        <f>ENERO!M10+FEBRERO!M10+MARZO!M10+ABRIL!M10+MAYO!M10+JUNIO!M10+JULIO!M10+AGOSTO!M10+SEPTIEMBRE!M10+OCTUBRE!M10+NOVIEMBRE!M10+DICIEMBRE!M10</f>
        <v>0</v>
      </c>
      <c r="N10" s="18">
        <f t="shared" si="0"/>
        <v>11274592635.100492</v>
      </c>
      <c r="O10" s="4"/>
      <c r="P10" s="4"/>
      <c r="Q10" s="4"/>
    </row>
    <row r="11" spans="1:17" ht="18" customHeight="1" x14ac:dyDescent="0.2">
      <c r="A11" s="17" t="s">
        <v>6</v>
      </c>
      <c r="B11" s="16">
        <f>ENERO!B11+FEBRERO!B11+MARZO!B11+ABRIL!B11+MAYO!B11+JUNIO!B11+JULIO!B11+AGOSTO!B11+SEPTIEMBRE!B11+OCTUBRE!B11+NOVIEMBRE!B11+DICIEMBRE!B11</f>
        <v>72470607929.050003</v>
      </c>
      <c r="C11" s="16">
        <f>ENERO!C11+FEBRERO!C11+MARZO!C11+ABRIL!C11+MAYO!C11+JUNIO!C11+JULIO!C11+AGOSTO!C11+SEPTIEMBRE!C11+OCTUBRE!C11+NOVIEMBRE!C11+DICIEMBRE!C11</f>
        <v>0</v>
      </c>
      <c r="D11" s="16">
        <f>ENERO!D11+FEBRERO!D11+MARZO!D11+ABRIL!D11+MAYO!D11+JUNIO!D11+JULIO!D11+AGOSTO!D11+SEPTIEMBRE!D11+OCTUBRE!D11+NOVIEMBRE!D11+DICIEMBRE!D11</f>
        <v>738862091.4596622</v>
      </c>
      <c r="E11" s="16">
        <f>ENERO!E11+FEBRERO!E11+MARZO!E11+ABRIL!E11+MAYO!E11+JUNIO!E11+JULIO!E11+AGOSTO!E11+SEPTIEMBRE!E11+OCTUBRE!E11+NOVIEMBRE!E11+DICIEMBRE!E11</f>
        <v>1093276959.5799999</v>
      </c>
      <c r="F11" s="16">
        <f>ENERO!F11+FEBRERO!F11+MARZO!F11+ABRIL!F11+MAYO!F11+JUNIO!F11+JULIO!F11+AGOSTO!F11+SEPTIEMBRE!F11+OCTUBRE!F11+NOVIEMBRE!F11+DICIEMBRE!F11</f>
        <v>2436276804.3408813</v>
      </c>
      <c r="G11" s="16">
        <f>ENERO!G11+FEBRERO!G11+MARZO!G11+ABRIL!G11+MAYO!G11+JUNIO!G11+JULIO!G11+AGOSTO!G11+SEPTIEMBRE!G11+OCTUBRE!G11+NOVIEMBRE!G11+DICIEMBRE!G11</f>
        <v>1324016003.8809466</v>
      </c>
      <c r="H11" s="16">
        <f>ENERO!H11+FEBRERO!H11+MARZO!H11+ABRIL!H11+MAYO!H11+JUNIO!H11+JULIO!H11+AGOSTO!H11+SEPTIEMBRE!H11+OCTUBRE!H11+NOVIEMBRE!H11+DICIEMBRE!H11</f>
        <v>4110444329.2699995</v>
      </c>
      <c r="I11" s="16">
        <f>ENERO!I11+FEBRERO!I11+MARZO!I11+ABRIL!I11+MAYO!I11+JUNIO!I11+JULIO!I11+AGOSTO!I11+SEPTIEMBRE!I11+OCTUBRE!I11+NOVIEMBRE!I11+DICIEMBRE!I11</f>
        <v>6496725663.3099995</v>
      </c>
      <c r="J11" s="16">
        <f>ENERO!J11+FEBRERO!J11+MARZO!J11+ABRIL!J11+MAYO!J11+JUNIO!J11+JULIO!J11+AGOSTO!J11+SEPTIEMBRE!J11+OCTUBRE!J11+NOVIEMBRE!J11+DICIEMBRE!J11</f>
        <v>11798371032.200001</v>
      </c>
      <c r="K11" s="16">
        <f>ENERO!K11+FEBRERO!K11+MARZO!K11+ABRIL!K11+MAYO!K11+JUNIO!K11+JULIO!K11+AGOSTO!K11+SEPTIEMBRE!K11+OCTUBRE!K11+NOVIEMBRE!K11+DICIEMBRE!K11</f>
        <v>0</v>
      </c>
      <c r="L11" s="16">
        <f>ENERO!L11+FEBRERO!L11+MARZO!L11+ABRIL!L11+MAYO!L11+JUNIO!L11+JULIO!L11+AGOSTO!L11+SEPTIEMBRE!L11+OCTUBRE!L11+NOVIEMBRE!L11+DICIEMBRE!L11</f>
        <v>0</v>
      </c>
      <c r="M11" s="16">
        <f>ENERO!M11+FEBRERO!M11+MARZO!M11+ABRIL!M11+MAYO!M11+JUNIO!M11+JULIO!M11+AGOSTO!M11+SEPTIEMBRE!M11+OCTUBRE!M11+NOVIEMBRE!M11+DICIEMBRE!M11</f>
        <v>0</v>
      </c>
      <c r="N11" s="18">
        <f t="shared" si="0"/>
        <v>100468580813.09149</v>
      </c>
      <c r="O11" s="4"/>
      <c r="P11" s="4"/>
      <c r="Q11" s="4"/>
    </row>
    <row r="12" spans="1:17" ht="18" customHeight="1" x14ac:dyDescent="0.2">
      <c r="A12" s="17" t="s">
        <v>7</v>
      </c>
      <c r="B12" s="16">
        <f>ENERO!B12+FEBRERO!B12+MARZO!B12+ABRIL!B12+MAYO!B12+JUNIO!B12+JULIO!B12+AGOSTO!B12+SEPTIEMBRE!B12+OCTUBRE!B12+NOVIEMBRE!B12+DICIEMBRE!B12</f>
        <v>9546497310.6099987</v>
      </c>
      <c r="C12" s="16">
        <f>ENERO!C12+FEBRERO!C12+MARZO!C12+ABRIL!C12+MAYO!C12+JUNIO!C12+JULIO!C12+AGOSTO!C12+SEPTIEMBRE!C12+OCTUBRE!C12+NOVIEMBRE!C12+DICIEMBRE!C12</f>
        <v>0</v>
      </c>
      <c r="D12" s="16">
        <f>ENERO!D12+FEBRERO!D12+MARZO!D12+ABRIL!D12+MAYO!D12+JUNIO!D12+JULIO!D12+AGOSTO!D12+SEPTIEMBRE!D12+OCTUBRE!D12+NOVIEMBRE!D12+DICIEMBRE!D12</f>
        <v>818468576.24485481</v>
      </c>
      <c r="E12" s="16">
        <f>ENERO!E12+FEBRERO!E12+MARZO!E12+ABRIL!E12+MAYO!E12+JUNIO!E12+JULIO!E12+AGOSTO!E12+SEPTIEMBRE!E12+OCTUBRE!E12+NOVIEMBRE!E12+DICIEMBRE!E12</f>
        <v>117258637.36000001</v>
      </c>
      <c r="F12" s="16">
        <f>ENERO!F12+FEBRERO!F12+MARZO!F12+ABRIL!F12+MAYO!F12+JUNIO!F12+JULIO!F12+AGOSTO!F12+SEPTIEMBRE!F12+OCTUBRE!F12+NOVIEMBRE!F12+DICIEMBRE!F12</f>
        <v>83302347.053790376</v>
      </c>
      <c r="G12" s="16">
        <f>ENERO!G12+FEBRERO!G12+MARZO!G12+ABRIL!G12+MAYO!G12+JUNIO!G12+JULIO!G12+AGOSTO!G12+SEPTIEMBRE!G12+OCTUBRE!G12+NOVIEMBRE!G12+DICIEMBRE!G12</f>
        <v>39837584.030000009</v>
      </c>
      <c r="H12" s="16">
        <f>ENERO!H12+FEBRERO!H12+MARZO!H12+ABRIL!H12+MAYO!H12+JUNIO!H12+JULIO!H12+AGOSTO!H12+SEPTIEMBRE!H12+OCTUBRE!H12+NOVIEMBRE!H12+DICIEMBRE!H12</f>
        <v>540559032.42999995</v>
      </c>
      <c r="I12" s="16">
        <f>ENERO!I12+FEBRERO!I12+MARZO!I12+ABRIL!I12+MAYO!I12+JUNIO!I12+JULIO!I12+AGOSTO!I12+SEPTIEMBRE!I12+OCTUBRE!I12+NOVIEMBRE!I12+DICIEMBRE!I12</f>
        <v>222139165.5</v>
      </c>
      <c r="J12" s="16">
        <f>ENERO!J12+FEBRERO!J12+MARZO!J12+ABRIL!J12+MAYO!J12+JUNIO!J12+JULIO!J12+AGOSTO!J12+SEPTIEMBRE!J12+OCTUBRE!J12+NOVIEMBRE!J12+DICIEMBRE!J12</f>
        <v>1272142278.9599996</v>
      </c>
      <c r="K12" s="16">
        <f>ENERO!K12+FEBRERO!K12+MARZO!K12+ABRIL!K12+MAYO!K12+JUNIO!K12+JULIO!K12+AGOSTO!K12+SEPTIEMBRE!K12+OCTUBRE!K12+NOVIEMBRE!K12+DICIEMBRE!K12</f>
        <v>0</v>
      </c>
      <c r="L12" s="16">
        <f>ENERO!L12+FEBRERO!L12+MARZO!L12+ABRIL!L12+MAYO!L12+JUNIO!L12+JULIO!L12+AGOSTO!L12+SEPTIEMBRE!L12+OCTUBRE!L12+NOVIEMBRE!L12+DICIEMBRE!L12</f>
        <v>0</v>
      </c>
      <c r="M12" s="16">
        <f>ENERO!M12+FEBRERO!M12+MARZO!M12+ABRIL!M12+MAYO!M12+JUNIO!M12+JULIO!M12+AGOSTO!M12+SEPTIEMBRE!M12+OCTUBRE!M12+NOVIEMBRE!M12+DICIEMBRE!M12</f>
        <v>0</v>
      </c>
      <c r="N12" s="18">
        <f t="shared" si="0"/>
        <v>12640204932.188644</v>
      </c>
      <c r="O12" s="4"/>
      <c r="P12" s="4"/>
      <c r="Q12" s="4"/>
    </row>
    <row r="13" spans="1:17" ht="18" customHeight="1" x14ac:dyDescent="0.2">
      <c r="A13" s="17" t="s">
        <v>8</v>
      </c>
      <c r="B13" s="16">
        <f>ENERO!B13+FEBRERO!B13+MARZO!B13+ABRIL!B13+MAYO!B13+JUNIO!B13+JULIO!B13+AGOSTO!B13+SEPTIEMBRE!B13+OCTUBRE!B13+NOVIEMBRE!B13+DICIEMBRE!B13</f>
        <v>43036926439.789993</v>
      </c>
      <c r="C13" s="16">
        <f>ENERO!C13+FEBRERO!C13+MARZO!C13+ABRIL!C13+MAYO!C13+JUNIO!C13+JULIO!C13+AGOSTO!C13+SEPTIEMBRE!C13+OCTUBRE!C13+NOVIEMBRE!C13+DICIEMBRE!C13</f>
        <v>0</v>
      </c>
      <c r="D13" s="16">
        <f>ENERO!D13+FEBRERO!D13+MARZO!D13+ABRIL!D13+MAYO!D13+JUNIO!D13+JULIO!D13+AGOSTO!D13+SEPTIEMBRE!D13+OCTUBRE!D13+NOVIEMBRE!D13+DICIEMBRE!D13</f>
        <v>603195082.86959422</v>
      </c>
      <c r="E13" s="16">
        <f>ENERO!E13+FEBRERO!E13+MARZO!E13+ABRIL!E13+MAYO!E13+JUNIO!E13+JULIO!E13+AGOSTO!E13+SEPTIEMBRE!E13+OCTUBRE!E13+NOVIEMBRE!E13+DICIEMBRE!E13</f>
        <v>654787480.31999993</v>
      </c>
      <c r="F13" s="16">
        <f>ENERO!F13+FEBRERO!F13+MARZO!F13+ABRIL!F13+MAYO!F13+JUNIO!F13+JULIO!F13+AGOSTO!F13+SEPTIEMBRE!F13+OCTUBRE!F13+NOVIEMBRE!F13+DICIEMBRE!F13</f>
        <v>1184725289.1932013</v>
      </c>
      <c r="G13" s="16">
        <f>ENERO!G13+FEBRERO!G13+MARZO!G13+ABRIL!G13+MAYO!G13+JUNIO!G13+JULIO!G13+AGOSTO!G13+SEPTIEMBRE!G13+OCTUBRE!G13+NOVIEMBRE!G13+DICIEMBRE!G13</f>
        <v>0</v>
      </c>
      <c r="H13" s="16">
        <f>ENERO!H13+FEBRERO!H13+MARZO!H13+ABRIL!H13+MAYO!H13+JUNIO!H13+JULIO!H13+AGOSTO!H13+SEPTIEMBRE!H13+OCTUBRE!H13+NOVIEMBRE!H13+DICIEMBRE!H13</f>
        <v>2446514623.1499996</v>
      </c>
      <c r="I13" s="16">
        <f>ENERO!I13+FEBRERO!I13+MARZO!I13+ABRIL!I13+MAYO!I13+JUNIO!I13+JULIO!I13+AGOSTO!I13+SEPTIEMBRE!I13+OCTUBRE!I13+NOVIEMBRE!I13+DICIEMBRE!I13</f>
        <v>3159261368.3400002</v>
      </c>
      <c r="J13" s="16">
        <f>ENERO!J13+FEBRERO!J13+MARZO!J13+ABRIL!J13+MAYO!J13+JUNIO!J13+JULIO!J13+AGOSTO!J13+SEPTIEMBRE!J13+OCTUBRE!J13+NOVIEMBRE!J13+DICIEMBRE!J13</f>
        <v>8772942142.8499966</v>
      </c>
      <c r="K13" s="16">
        <f>ENERO!K13+FEBRERO!K13+MARZO!K13+ABRIL!K13+MAYO!K13+JUNIO!K13+JULIO!K13+AGOSTO!K13+SEPTIEMBRE!K13+OCTUBRE!K13+NOVIEMBRE!K13+DICIEMBRE!K13</f>
        <v>0</v>
      </c>
      <c r="L13" s="16">
        <f>ENERO!L13+FEBRERO!L13+MARZO!L13+ABRIL!L13+MAYO!L13+JUNIO!L13+JULIO!L13+AGOSTO!L13+SEPTIEMBRE!L13+OCTUBRE!L13+NOVIEMBRE!L13+DICIEMBRE!L13</f>
        <v>0</v>
      </c>
      <c r="M13" s="16">
        <f>ENERO!M13+FEBRERO!M13+MARZO!M13+ABRIL!M13+MAYO!M13+JUNIO!M13+JULIO!M13+AGOSTO!M13+SEPTIEMBRE!M13+OCTUBRE!M13+NOVIEMBRE!M13+DICIEMBRE!M13</f>
        <v>0</v>
      </c>
      <c r="N13" s="18">
        <f t="shared" si="0"/>
        <v>59858352426.512779</v>
      </c>
      <c r="O13" s="4"/>
      <c r="P13" s="4"/>
      <c r="Q13" s="4"/>
    </row>
    <row r="14" spans="1:17" ht="18" customHeight="1" x14ac:dyDescent="0.2">
      <c r="A14" s="17" t="s">
        <v>9</v>
      </c>
      <c r="B14" s="16">
        <f>ENERO!B14+FEBRERO!B14+MARZO!B14+ABRIL!B14+MAYO!B14+JUNIO!B14+JULIO!B14+AGOSTO!B14+SEPTIEMBRE!B14+OCTUBRE!B14+NOVIEMBRE!B14+DICIEMBRE!B14</f>
        <v>15631438518.460001</v>
      </c>
      <c r="C14" s="16">
        <f>ENERO!C14+FEBRERO!C14+MARZO!C14+ABRIL!C14+MAYO!C14+JUNIO!C14+JULIO!C14+AGOSTO!C14+SEPTIEMBRE!C14+OCTUBRE!C14+NOVIEMBRE!C14+DICIEMBRE!C14</f>
        <v>0</v>
      </c>
      <c r="D14" s="16">
        <f>ENERO!D14+FEBRERO!D14+MARZO!D14+ABRIL!D14+MAYO!D14+JUNIO!D14+JULIO!D14+AGOSTO!D14+SEPTIEMBRE!D14+OCTUBRE!D14+NOVIEMBRE!D14+DICIEMBRE!D14</f>
        <v>1260214461.5755324</v>
      </c>
      <c r="E14" s="16">
        <f>ENERO!E14+FEBRERO!E14+MARZO!E14+ABRIL!E14+MAYO!E14+JUNIO!E14+JULIO!E14+AGOSTO!E14+SEPTIEMBRE!E14+OCTUBRE!E14+NOVIEMBRE!E14+DICIEMBRE!E14</f>
        <v>190855676.83000001</v>
      </c>
      <c r="F14" s="16">
        <f>ENERO!F14+FEBRERO!F14+MARZO!F14+ABRIL!F14+MAYO!F14+JUNIO!F14+JULIO!F14+AGOSTO!F14+SEPTIEMBRE!F14+OCTUBRE!F14+NOVIEMBRE!F14+DICIEMBRE!F14</f>
        <v>53921851.183200397</v>
      </c>
      <c r="G14" s="16">
        <f>ENERO!G14+FEBRERO!G14+MARZO!G14+ABRIL!G14+MAYO!G14+JUNIO!G14+JULIO!G14+AGOSTO!G14+SEPTIEMBRE!G14+OCTUBRE!G14+NOVIEMBRE!G14+DICIEMBRE!G14</f>
        <v>27063576.099999998</v>
      </c>
      <c r="H14" s="16">
        <f>ENERO!H14+FEBRERO!H14+MARZO!H14+ABRIL!H14+MAYO!H14+JUNIO!H14+JULIO!H14+AGOSTO!H14+SEPTIEMBRE!H14+OCTUBRE!H14+NOVIEMBRE!H14+DICIEMBRE!H14</f>
        <v>883895433.52999997</v>
      </c>
      <c r="I14" s="16">
        <f>ENERO!I14+FEBRERO!I14+MARZO!I14+ABRIL!I14+MAYO!I14+JUNIO!I14+JULIO!I14+AGOSTO!I14+SEPTIEMBRE!I14+OCTUBRE!I14+NOVIEMBRE!I14+DICIEMBRE!I14</f>
        <v>143791327.06999999</v>
      </c>
      <c r="J14" s="16">
        <f>ENERO!J14+FEBRERO!J14+MARZO!J14+ABRIL!J14+MAYO!J14+JUNIO!J14+JULIO!J14+AGOSTO!J14+SEPTIEMBRE!J14+OCTUBRE!J14+NOVIEMBRE!J14+DICIEMBRE!J14</f>
        <v>1883335228.24</v>
      </c>
      <c r="K14" s="16">
        <f>ENERO!K14+FEBRERO!K14+MARZO!K14+ABRIL!K14+MAYO!K14+JUNIO!K14+JULIO!K14+AGOSTO!K14+SEPTIEMBRE!K14+OCTUBRE!K14+NOVIEMBRE!K14+DICIEMBRE!K14</f>
        <v>0</v>
      </c>
      <c r="L14" s="16">
        <f>ENERO!L14+FEBRERO!L14+MARZO!L14+ABRIL!L14+MAYO!L14+JUNIO!L14+JULIO!L14+AGOSTO!L14+SEPTIEMBRE!L14+OCTUBRE!L14+NOVIEMBRE!L14+DICIEMBRE!L14</f>
        <v>0</v>
      </c>
      <c r="M14" s="16">
        <f>ENERO!M14+FEBRERO!M14+MARZO!M14+ABRIL!M14+MAYO!M14+JUNIO!M14+JULIO!M14+AGOSTO!M14+SEPTIEMBRE!M14+OCTUBRE!M14+NOVIEMBRE!M14+DICIEMBRE!M14</f>
        <v>0</v>
      </c>
      <c r="N14" s="18">
        <f t="shared" si="0"/>
        <v>20074516072.988735</v>
      </c>
      <c r="O14" s="4"/>
      <c r="P14" s="4"/>
      <c r="Q14" s="4"/>
    </row>
    <row r="15" spans="1:17" ht="18" customHeight="1" x14ac:dyDescent="0.2">
      <c r="A15" s="17" t="s">
        <v>10</v>
      </c>
      <c r="B15" s="16">
        <f>ENERO!B15+FEBRERO!B15+MARZO!B15+ABRIL!B15+MAYO!B15+JUNIO!B15+JULIO!B15+AGOSTO!B15+SEPTIEMBRE!B15+OCTUBRE!B15+NOVIEMBRE!B15+DICIEMBRE!B15</f>
        <v>26450513735.570004</v>
      </c>
      <c r="C15" s="16">
        <f>ENERO!C15+FEBRERO!C15+MARZO!C15+ABRIL!C15+MAYO!C15+JUNIO!C15+JULIO!C15+AGOSTO!C15+SEPTIEMBRE!C15+OCTUBRE!C15+NOVIEMBRE!C15+DICIEMBRE!C15</f>
        <v>0</v>
      </c>
      <c r="D15" s="16">
        <f>ENERO!D15+FEBRERO!D15+MARZO!D15+ABRIL!D15+MAYO!D15+JUNIO!D15+JULIO!D15+AGOSTO!D15+SEPTIEMBRE!D15+OCTUBRE!D15+NOVIEMBRE!D15+DICIEMBRE!D15</f>
        <v>2035863717.1210833</v>
      </c>
      <c r="E15" s="16">
        <f>ENERO!E15+FEBRERO!E15+MARZO!E15+ABRIL!E15+MAYO!E15+JUNIO!E15+JULIO!E15+AGOSTO!E15+SEPTIEMBRE!E15+OCTUBRE!E15+NOVIEMBRE!E15+DICIEMBRE!E15</f>
        <v>325994358.65999997</v>
      </c>
      <c r="F15" s="16">
        <f>ENERO!F15+FEBRERO!F15+MARZO!F15+ABRIL!F15+MAYO!F15+JUNIO!F15+JULIO!F15+AGOSTO!F15+SEPTIEMBRE!F15+OCTUBRE!F15+NOVIEMBRE!F15+DICIEMBRE!F15</f>
        <v>200881939.34160239</v>
      </c>
      <c r="G15" s="16">
        <f>ENERO!G15+FEBRERO!G15+MARZO!G15+ABRIL!G15+MAYO!G15+JUNIO!G15+JULIO!G15+AGOSTO!G15+SEPTIEMBRE!G15+OCTUBRE!G15+NOVIEMBRE!G15+DICIEMBRE!G15</f>
        <v>93748227.620000005</v>
      </c>
      <c r="H15" s="16">
        <f>ENERO!H15+FEBRERO!H15+MARZO!H15+ABRIL!H15+MAYO!H15+JUNIO!H15+JULIO!H15+AGOSTO!H15+SEPTIEMBRE!H15+OCTUBRE!H15+NOVIEMBRE!H15+DICIEMBRE!H15</f>
        <v>1498782935.4399996</v>
      </c>
      <c r="I15" s="16">
        <f>ENERO!I15+FEBRERO!I15+MARZO!I15+ABRIL!I15+MAYO!I15+JUNIO!I15+JULIO!I15+AGOSTO!I15+SEPTIEMBRE!I15+OCTUBRE!I15+NOVIEMBRE!I15+DICIEMBRE!I15</f>
        <v>535684142.54000002</v>
      </c>
      <c r="J15" s="16">
        <f>ENERO!J15+FEBRERO!J15+MARZO!J15+ABRIL!J15+MAYO!J15+JUNIO!J15+JULIO!J15+AGOSTO!J15+SEPTIEMBRE!J15+OCTUBRE!J15+NOVIEMBRE!J15+DICIEMBRE!J15</f>
        <v>3004887874.5800009</v>
      </c>
      <c r="K15" s="16">
        <f>ENERO!K15+FEBRERO!K15+MARZO!K15+ABRIL!K15+MAYO!K15+JUNIO!K15+JULIO!K15+AGOSTO!K15+SEPTIEMBRE!K15+OCTUBRE!K15+NOVIEMBRE!K15+DICIEMBRE!K15</f>
        <v>0</v>
      </c>
      <c r="L15" s="16">
        <f>ENERO!L15+FEBRERO!L15+MARZO!L15+ABRIL!L15+MAYO!L15+JUNIO!L15+JULIO!L15+AGOSTO!L15+SEPTIEMBRE!L15+OCTUBRE!L15+NOVIEMBRE!L15+DICIEMBRE!L15</f>
        <v>0</v>
      </c>
      <c r="M15" s="16">
        <f>ENERO!M15+FEBRERO!M15+MARZO!M15+ABRIL!M15+MAYO!M15+JUNIO!M15+JULIO!M15+AGOSTO!M15+SEPTIEMBRE!M15+OCTUBRE!M15+NOVIEMBRE!M15+DICIEMBRE!M15</f>
        <v>0</v>
      </c>
      <c r="N15" s="18">
        <f t="shared" si="0"/>
        <v>34146356930.872688</v>
      </c>
      <c r="O15" s="4"/>
      <c r="P15" s="4"/>
      <c r="Q15" s="4"/>
    </row>
    <row r="16" spans="1:17" ht="18" customHeight="1" x14ac:dyDescent="0.2">
      <c r="A16" s="17" t="s">
        <v>11</v>
      </c>
      <c r="B16" s="16">
        <f>ENERO!B16+FEBRERO!B16+MARZO!B16+ABRIL!B16+MAYO!B16+JUNIO!B16+JULIO!B16+AGOSTO!B16+SEPTIEMBRE!B16+OCTUBRE!B16+NOVIEMBRE!B16+DICIEMBRE!B16</f>
        <v>47944102203.769997</v>
      </c>
      <c r="C16" s="16">
        <f>ENERO!C16+FEBRERO!C16+MARZO!C16+ABRIL!C16+MAYO!C16+JUNIO!C16+JULIO!C16+AGOSTO!C16+SEPTIEMBRE!C16+OCTUBRE!C16+NOVIEMBRE!C16+DICIEMBRE!C16</f>
        <v>0</v>
      </c>
      <c r="D16" s="16">
        <f>ENERO!D16+FEBRERO!D16+MARZO!D16+ABRIL!D16+MAYO!D16+JUNIO!D16+JULIO!D16+AGOSTO!D16+SEPTIEMBRE!D16+OCTUBRE!D16+NOVIEMBRE!D16+DICIEMBRE!D16</f>
        <v>1276435539.4070976</v>
      </c>
      <c r="E16" s="16">
        <f>ENERO!E16+FEBRERO!E16+MARZO!E16+ABRIL!E16+MAYO!E16+JUNIO!E16+JULIO!E16+AGOSTO!E16+SEPTIEMBRE!E16+OCTUBRE!E16+NOVIEMBRE!E16+DICIEMBRE!E16</f>
        <v>717156368.72000003</v>
      </c>
      <c r="F16" s="16">
        <f>ENERO!F16+FEBRERO!F16+MARZO!F16+ABRIL!F16+MAYO!F16+JUNIO!F16+JULIO!F16+AGOSTO!F16+SEPTIEMBRE!F16+OCTUBRE!F16+NOVIEMBRE!F16+DICIEMBRE!F16</f>
        <v>749202644.57504392</v>
      </c>
      <c r="G16" s="16">
        <f>ENERO!G16+FEBRERO!G16+MARZO!G16+ABRIL!G16+MAYO!G16+JUNIO!G16+JULIO!G16+AGOSTO!G16+SEPTIEMBRE!G16+OCTUBRE!G16+NOVIEMBRE!G16+DICIEMBRE!G16</f>
        <v>415913037.64000005</v>
      </c>
      <c r="H16" s="16">
        <f>ENERO!H16+FEBRERO!H16+MARZO!H16+ABRIL!H16+MAYO!H16+JUNIO!H16+JULIO!H16+AGOSTO!H16+SEPTIEMBRE!H16+OCTUBRE!H16+NOVIEMBRE!H16+DICIEMBRE!H16</f>
        <v>2715961346.2900004</v>
      </c>
      <c r="I16" s="16">
        <f>ENERO!I16+FEBRERO!I16+MARZO!I16+ABRIL!I16+MAYO!I16+JUNIO!I16+JULIO!I16+AGOSTO!I16+SEPTIEMBRE!I16+OCTUBRE!I16+NOVIEMBRE!I16+DICIEMBRE!I16</f>
        <v>1997869880.6300001</v>
      </c>
      <c r="J16" s="16">
        <f>ENERO!J16+FEBRERO!J16+MARZO!J16+ABRIL!J16+MAYO!J16+JUNIO!J16+JULIO!J16+AGOSTO!J16+SEPTIEMBRE!J16+OCTUBRE!J16+NOVIEMBRE!J16+DICIEMBRE!J16</f>
        <v>7464528524.8299999</v>
      </c>
      <c r="K16" s="16">
        <f>ENERO!K16+FEBRERO!K16+MARZO!K16+ABRIL!K16+MAYO!K16+JUNIO!K16+JULIO!K16+AGOSTO!K16+SEPTIEMBRE!K16+OCTUBRE!K16+NOVIEMBRE!K16+DICIEMBRE!K16</f>
        <v>0</v>
      </c>
      <c r="L16" s="16">
        <f>ENERO!L16+FEBRERO!L16+MARZO!L16+ABRIL!L16+MAYO!L16+JUNIO!L16+JULIO!L16+AGOSTO!L16+SEPTIEMBRE!L16+OCTUBRE!L16+NOVIEMBRE!L16+DICIEMBRE!L16</f>
        <v>0</v>
      </c>
      <c r="M16" s="16">
        <f>ENERO!M16+FEBRERO!M16+MARZO!M16+ABRIL!M16+MAYO!M16+JUNIO!M16+JULIO!M16+AGOSTO!M16+SEPTIEMBRE!M16+OCTUBRE!M16+NOVIEMBRE!M16+DICIEMBRE!M16</f>
        <v>0</v>
      </c>
      <c r="N16" s="18">
        <f t="shared" si="0"/>
        <v>63281169545.862137</v>
      </c>
      <c r="O16" s="4"/>
      <c r="P16" s="4"/>
      <c r="Q16" s="4"/>
    </row>
    <row r="17" spans="1:17" ht="18" customHeight="1" x14ac:dyDescent="0.2">
      <c r="A17" s="17" t="s">
        <v>12</v>
      </c>
      <c r="B17" s="16">
        <f>ENERO!B17+FEBRERO!B17+MARZO!B17+ABRIL!B17+MAYO!B17+JUNIO!B17+JULIO!B17+AGOSTO!B17+SEPTIEMBRE!B17+OCTUBRE!B17+NOVIEMBRE!B17+DICIEMBRE!B17</f>
        <v>18561251729.940002</v>
      </c>
      <c r="C17" s="16">
        <f>ENERO!C17+FEBRERO!C17+MARZO!C17+ABRIL!C17+MAYO!C17+JUNIO!C17+JULIO!C17+AGOSTO!C17+SEPTIEMBRE!C17+OCTUBRE!C17+NOVIEMBRE!C17+DICIEMBRE!C17</f>
        <v>0</v>
      </c>
      <c r="D17" s="16">
        <f>ENERO!D17+FEBRERO!D17+MARZO!D17+ABRIL!D17+MAYO!D17+JUNIO!D17+JULIO!D17+AGOSTO!D17+SEPTIEMBRE!D17+OCTUBRE!D17+NOVIEMBRE!D17+DICIEMBRE!D17</f>
        <v>1803692090.1416519</v>
      </c>
      <c r="E17" s="16">
        <f>ENERO!E17+FEBRERO!E17+MARZO!E17+ABRIL!E17+MAYO!E17+JUNIO!E17+JULIO!E17+AGOSTO!E17+SEPTIEMBRE!E17+OCTUBRE!E17+NOVIEMBRE!E17+DICIEMBRE!E17</f>
        <v>226296540.13</v>
      </c>
      <c r="F17" s="16">
        <f>ENERO!F17+FEBRERO!F17+MARZO!F17+ABRIL!F17+MAYO!F17+JUNIO!F17+JULIO!F17+AGOSTO!F17+SEPTIEMBRE!F17+OCTUBRE!F17+NOVIEMBRE!F17+DICIEMBRE!F17</f>
        <v>153873145.95265841</v>
      </c>
      <c r="G17" s="16">
        <f>ENERO!G17+FEBRERO!G17+MARZO!G17+ABRIL!G17+MAYO!G17+JUNIO!G17+JULIO!G17+AGOSTO!G17+SEPTIEMBRE!G17+OCTUBRE!G17+NOVIEMBRE!G17+DICIEMBRE!G17</f>
        <v>60622410.489999995</v>
      </c>
      <c r="H17" s="16">
        <f>ENERO!H17+FEBRERO!H17+MARZO!H17+ABRIL!H17+MAYO!H17+JUNIO!H17+JULIO!H17+AGOSTO!H17+SEPTIEMBRE!H17+OCTUBRE!H17+NOVIEMBRE!H17+DICIEMBRE!H17</f>
        <v>1049136949.4599999</v>
      </c>
      <c r="I17" s="16">
        <f>ENERO!I17+FEBRERO!I17+MARZO!I17+ABRIL!I17+MAYO!I17+JUNIO!I17+JULIO!I17+AGOSTO!I17+SEPTIEMBRE!I17+OCTUBRE!I17+NOVIEMBRE!I17+DICIEMBRE!I17</f>
        <v>410327601.01999998</v>
      </c>
      <c r="J17" s="16">
        <f>ENERO!J17+FEBRERO!J17+MARZO!J17+ABRIL!J17+MAYO!J17+JUNIO!J17+JULIO!J17+AGOSTO!J17+SEPTIEMBRE!J17+OCTUBRE!J17+NOVIEMBRE!J17+DICIEMBRE!J17</f>
        <v>2023312006.7600002</v>
      </c>
      <c r="K17" s="16">
        <f>ENERO!K17+FEBRERO!K17+MARZO!K17+ABRIL!K17+MAYO!K17+JUNIO!K17+JULIO!K17+AGOSTO!K17+SEPTIEMBRE!K17+OCTUBRE!K17+NOVIEMBRE!K17+DICIEMBRE!K17</f>
        <v>0</v>
      </c>
      <c r="L17" s="16">
        <f>ENERO!L17+FEBRERO!L17+MARZO!L17+ABRIL!L17+MAYO!L17+JUNIO!L17+JULIO!L17+AGOSTO!L17+SEPTIEMBRE!L17+OCTUBRE!L17+NOVIEMBRE!L17+DICIEMBRE!L17</f>
        <v>0</v>
      </c>
      <c r="M17" s="16">
        <f>ENERO!M17+FEBRERO!M17+MARZO!M17+ABRIL!M17+MAYO!M17+JUNIO!M17+JULIO!M17+AGOSTO!M17+SEPTIEMBRE!M17+OCTUBRE!M17+NOVIEMBRE!M17+DICIEMBRE!M17</f>
        <v>0</v>
      </c>
      <c r="N17" s="18">
        <f t="shared" si="0"/>
        <v>24288512473.894318</v>
      </c>
      <c r="O17" s="4"/>
      <c r="P17" s="4"/>
      <c r="Q17" s="4"/>
    </row>
    <row r="18" spans="1:17" ht="18" customHeight="1" x14ac:dyDescent="0.2">
      <c r="A18" s="17" t="s">
        <v>13</v>
      </c>
      <c r="B18" s="16">
        <f>ENERO!B18+FEBRERO!B18+MARZO!B18+ABRIL!B18+MAYO!B18+JUNIO!B18+JULIO!B18+AGOSTO!B18+SEPTIEMBRE!B18+OCTUBRE!B18+NOVIEMBRE!B18+DICIEMBRE!B18</f>
        <v>10421800187.060001</v>
      </c>
      <c r="C18" s="16">
        <f>ENERO!C18+FEBRERO!C18+MARZO!C18+ABRIL!C18+MAYO!C18+JUNIO!C18+JULIO!C18+AGOSTO!C18+SEPTIEMBRE!C18+OCTUBRE!C18+NOVIEMBRE!C18+DICIEMBRE!C18</f>
        <v>0</v>
      </c>
      <c r="D18" s="16">
        <f>ENERO!D18+FEBRERO!D18+MARZO!D18+ABRIL!D18+MAYO!D18+JUNIO!D18+JULIO!D18+AGOSTO!D18+SEPTIEMBRE!D18+OCTUBRE!D18+NOVIEMBRE!D18+DICIEMBRE!D18</f>
        <v>657637322.32981253</v>
      </c>
      <c r="E18" s="16">
        <f>ENERO!E18+FEBRERO!E18+MARZO!E18+ABRIL!E18+MAYO!E18+JUNIO!E18+JULIO!E18+AGOSTO!E18+SEPTIEMBRE!E18+OCTUBRE!E18+NOVIEMBRE!E18+DICIEMBRE!E18</f>
        <v>127158845.97</v>
      </c>
      <c r="F18" s="16">
        <f>ENERO!F18+FEBRERO!F18+MARZO!F18+ABRIL!F18+MAYO!F18+JUNIO!F18+JULIO!F18+AGOSTO!F18+SEPTIEMBRE!F18+OCTUBRE!F18+NOVIEMBRE!F18+DICIEMBRE!F18</f>
        <v>103695867.71384695</v>
      </c>
      <c r="G18" s="16">
        <f>ENERO!G18+FEBRERO!G18+MARZO!G18+ABRIL!G18+MAYO!G18+JUNIO!G18+JULIO!G18+AGOSTO!G18+SEPTIEMBRE!G18+OCTUBRE!G18+NOVIEMBRE!G18+DICIEMBRE!G18</f>
        <v>49363962.82</v>
      </c>
      <c r="H18" s="16">
        <f>ENERO!H18+FEBRERO!H18+MARZO!H18+ABRIL!H18+MAYO!H18+JUNIO!H18+JULIO!H18+AGOSTO!H18+SEPTIEMBRE!H18+OCTUBRE!H18+NOVIEMBRE!H18+DICIEMBRE!H18</f>
        <v>589138232.44000006</v>
      </c>
      <c r="I18" s="16">
        <f>ENERO!I18+FEBRERO!I18+MARZO!I18+ABRIL!I18+MAYO!I18+JUNIO!I18+JULIO!I18+AGOSTO!I18+SEPTIEMBRE!I18+OCTUBRE!I18+NOVIEMBRE!I18+DICIEMBRE!I18</f>
        <v>276521782.76999998</v>
      </c>
      <c r="J18" s="16">
        <f>ENERO!J18+FEBRERO!J18+MARZO!J18+ABRIL!J18+MAYO!J18+JUNIO!J18+JULIO!J18+AGOSTO!J18+SEPTIEMBRE!J18+OCTUBRE!J18+NOVIEMBRE!J18+DICIEMBRE!J18</f>
        <v>1649554492.2800002</v>
      </c>
      <c r="K18" s="16">
        <f>ENERO!K18+FEBRERO!K18+MARZO!K18+ABRIL!K18+MAYO!K18+JUNIO!K18+JULIO!K18+AGOSTO!K18+SEPTIEMBRE!K18+OCTUBRE!K18+NOVIEMBRE!K18+DICIEMBRE!K18</f>
        <v>0</v>
      </c>
      <c r="L18" s="16">
        <f>ENERO!L18+FEBRERO!L18+MARZO!L18+ABRIL!L18+MAYO!L18+JUNIO!L18+JULIO!L18+AGOSTO!L18+SEPTIEMBRE!L18+OCTUBRE!L18+NOVIEMBRE!L18+DICIEMBRE!L18</f>
        <v>0</v>
      </c>
      <c r="M18" s="16">
        <f>ENERO!M18+FEBRERO!M18+MARZO!M18+ABRIL!M18+MAYO!M18+JUNIO!M18+JULIO!M18+AGOSTO!M18+SEPTIEMBRE!M18+OCTUBRE!M18+NOVIEMBRE!M18+DICIEMBRE!M18</f>
        <v>0</v>
      </c>
      <c r="N18" s="18">
        <f t="shared" si="0"/>
        <v>13874870693.383661</v>
      </c>
      <c r="O18" s="4"/>
      <c r="P18" s="4"/>
      <c r="Q18" s="4"/>
    </row>
    <row r="19" spans="1:17" ht="18" customHeight="1" x14ac:dyDescent="0.2">
      <c r="A19" s="17" t="s">
        <v>14</v>
      </c>
      <c r="B19" s="16">
        <f>ENERO!B19+FEBRERO!B19+MARZO!B19+ABRIL!B19+MAYO!B19+JUNIO!B19+JULIO!B19+AGOSTO!B19+SEPTIEMBRE!B19+OCTUBRE!B19+NOVIEMBRE!B19+DICIEMBRE!B19</f>
        <v>16797307341.620001</v>
      </c>
      <c r="C19" s="16">
        <f>ENERO!C19+FEBRERO!C19+MARZO!C19+ABRIL!C19+MAYO!C19+JUNIO!C19+JULIO!C19+AGOSTO!C19+SEPTIEMBRE!C19+OCTUBRE!C19+NOVIEMBRE!C19+DICIEMBRE!C19</f>
        <v>0</v>
      </c>
      <c r="D19" s="16">
        <f>ENERO!D19+FEBRERO!D19+MARZO!D19+ABRIL!D19+MAYO!D19+JUNIO!D19+JULIO!D19+AGOSTO!D19+SEPTIEMBRE!D19+OCTUBRE!D19+NOVIEMBRE!D19+DICIEMBRE!D19</f>
        <v>1179151740.2209988</v>
      </c>
      <c r="E19" s="16">
        <f>ENERO!E19+FEBRERO!E19+MARZO!E19+ABRIL!E19+MAYO!E19+JUNIO!E19+JULIO!E19+AGOSTO!E19+SEPTIEMBRE!E19+OCTUBRE!E19+NOVIEMBRE!E19+DICIEMBRE!E19</f>
        <v>207292048.05999997</v>
      </c>
      <c r="F19" s="16">
        <f>ENERO!F19+FEBRERO!F19+MARZO!F19+ABRIL!F19+MAYO!F19+JUNIO!F19+JULIO!F19+AGOSTO!F19+SEPTIEMBRE!F19+OCTUBRE!F19+NOVIEMBRE!F19+DICIEMBRE!F19</f>
        <v>41881608.773703732</v>
      </c>
      <c r="G19" s="16">
        <f>ENERO!G19+FEBRERO!G19+MARZO!G19+ABRIL!G19+MAYO!G19+JUNIO!G19+JULIO!G19+AGOSTO!G19+SEPTIEMBRE!G19+OCTUBRE!G19+NOVIEMBRE!G19+DICIEMBRE!G19</f>
        <v>27496593.330000002</v>
      </c>
      <c r="H19" s="16">
        <f>ENERO!H19+FEBRERO!H19+MARZO!H19+ABRIL!H19+MAYO!H19+JUNIO!H19+JULIO!H19+AGOSTO!H19+SEPTIEMBRE!H19+OCTUBRE!H19+NOVIEMBRE!H19+DICIEMBRE!H19</f>
        <v>952437105.41000009</v>
      </c>
      <c r="I19" s="16">
        <f>ENERO!I19+FEBRERO!I19+MARZO!I19+ABRIL!I19+MAYO!I19+JUNIO!I19+JULIO!I19+AGOSTO!I19+SEPTIEMBRE!I19+OCTUBRE!I19+NOVIEMBRE!I19+DICIEMBRE!I19</f>
        <v>111684075.61</v>
      </c>
      <c r="J19" s="16">
        <f>ENERO!J19+FEBRERO!J19+MARZO!J19+ABRIL!J19+MAYO!J19+JUNIO!J19+JULIO!J19+AGOSTO!J19+SEPTIEMBRE!J19+OCTUBRE!J19+NOVIEMBRE!J19+DICIEMBRE!J19</f>
        <v>1435167673.7900002</v>
      </c>
      <c r="K19" s="16">
        <f>ENERO!K19+FEBRERO!K19+MARZO!K19+ABRIL!K19+MAYO!K19+JUNIO!K19+JULIO!K19+AGOSTO!K19+SEPTIEMBRE!K19+OCTUBRE!K19+NOVIEMBRE!K19+DICIEMBRE!K19</f>
        <v>0</v>
      </c>
      <c r="L19" s="16">
        <f>ENERO!L19+FEBRERO!L19+MARZO!L19+ABRIL!L19+MAYO!L19+JUNIO!L19+JULIO!L19+AGOSTO!L19+SEPTIEMBRE!L19+OCTUBRE!L19+NOVIEMBRE!L19+DICIEMBRE!L19</f>
        <v>0</v>
      </c>
      <c r="M19" s="16">
        <f>ENERO!M19+FEBRERO!M19+MARZO!M19+ABRIL!M19+MAYO!M19+JUNIO!M19+JULIO!M19+AGOSTO!M19+SEPTIEMBRE!M19+OCTUBRE!M19+NOVIEMBRE!M19+DICIEMBRE!M19</f>
        <v>0</v>
      </c>
      <c r="N19" s="18">
        <f t="shared" si="0"/>
        <v>20752418186.814709</v>
      </c>
      <c r="O19" s="4"/>
      <c r="P19" s="4"/>
      <c r="Q19" s="4"/>
    </row>
    <row r="20" spans="1:17" ht="18" customHeight="1" x14ac:dyDescent="0.2">
      <c r="A20" s="17" t="s">
        <v>15</v>
      </c>
      <c r="B20" s="16">
        <f>ENERO!B20+FEBRERO!B20+MARZO!B20+ABRIL!B20+MAYO!B20+JUNIO!B20+JULIO!B20+AGOSTO!B20+SEPTIEMBRE!B20+OCTUBRE!B20+NOVIEMBRE!B20+DICIEMBRE!B20</f>
        <v>60164094627.650002</v>
      </c>
      <c r="C20" s="16">
        <f>ENERO!C20+FEBRERO!C20+MARZO!C20+ABRIL!C20+MAYO!C20+JUNIO!C20+JULIO!C20+AGOSTO!C20+SEPTIEMBRE!C20+OCTUBRE!C20+NOVIEMBRE!C20+DICIEMBRE!C20</f>
        <v>0</v>
      </c>
      <c r="D20" s="16">
        <f>ENERO!D20+FEBRERO!D20+MARZO!D20+ABRIL!D20+MAYO!D20+JUNIO!D20+JULIO!D20+AGOSTO!D20+SEPTIEMBRE!D20+OCTUBRE!D20+NOVIEMBRE!D20+DICIEMBRE!D20</f>
        <v>443144584.13151389</v>
      </c>
      <c r="E20" s="16">
        <f>ENERO!E20+FEBRERO!E20+MARZO!E20+ABRIL!E20+MAYO!E20+JUNIO!E20+JULIO!E20+AGOSTO!E20+SEPTIEMBRE!E20+OCTUBRE!E20+NOVIEMBRE!E20+DICIEMBRE!E20</f>
        <v>901769545.86999989</v>
      </c>
      <c r="F20" s="16">
        <f>ENERO!F20+FEBRERO!F20+MARZO!F20+ABRIL!F20+MAYO!F20+JUNIO!F20+JULIO!F20+AGOSTO!F20+SEPTIEMBRE!F20+OCTUBRE!F20+NOVIEMBRE!F20+DICIEMBRE!F20</f>
        <v>1336754953.0813911</v>
      </c>
      <c r="G20" s="16">
        <f>ENERO!G20+FEBRERO!G20+MARZO!G20+ABRIL!G20+MAYO!G20+JUNIO!G20+JULIO!G20+AGOSTO!G20+SEPTIEMBRE!G20+OCTUBRE!G20+NOVIEMBRE!G20+DICIEMBRE!G20</f>
        <v>666460826.36155427</v>
      </c>
      <c r="H20" s="16">
        <f>ENERO!H20+FEBRERO!H20+MARZO!H20+ABRIL!H20+MAYO!H20+JUNIO!H20+JULIO!H20+AGOSTO!H20+SEPTIEMBRE!H20+OCTUBRE!H20+NOVIEMBRE!H20+DICIEMBRE!H20</f>
        <v>3408543689.27</v>
      </c>
      <c r="I20" s="16">
        <f>ENERO!I20+FEBRERO!I20+MARZO!I20+ABRIL!I20+MAYO!I20+JUNIO!I20+JULIO!I20+AGOSTO!I20+SEPTIEMBRE!I20+OCTUBRE!I20+NOVIEMBRE!I20+DICIEMBRE!I20</f>
        <v>3564673026.52</v>
      </c>
      <c r="J20" s="16">
        <f>ENERO!J20+FEBRERO!J20+MARZO!J20+ABRIL!J20+MAYO!J20+JUNIO!J20+JULIO!J20+AGOSTO!J20+SEPTIEMBRE!J20+OCTUBRE!J20+NOVIEMBRE!J20+DICIEMBRE!J20</f>
        <v>8160962232.8900023</v>
      </c>
      <c r="K20" s="16">
        <f>ENERO!K20+FEBRERO!K20+MARZO!K20+ABRIL!K20+MAYO!K20+JUNIO!K20+JULIO!K20+AGOSTO!K20+SEPTIEMBRE!K20+OCTUBRE!K20+NOVIEMBRE!K20+DICIEMBRE!K20</f>
        <v>0</v>
      </c>
      <c r="L20" s="16">
        <f>ENERO!L20+FEBRERO!L20+MARZO!L20+ABRIL!L20+MAYO!L20+JUNIO!L20+JULIO!L20+AGOSTO!L20+SEPTIEMBRE!L20+OCTUBRE!L20+NOVIEMBRE!L20+DICIEMBRE!L20</f>
        <v>0</v>
      </c>
      <c r="M20" s="16">
        <f>ENERO!M20+FEBRERO!M20+MARZO!M20+ABRIL!M20+MAYO!M20+JUNIO!M20+JULIO!M20+AGOSTO!M20+SEPTIEMBRE!M20+OCTUBRE!M20+NOVIEMBRE!M20+DICIEMBRE!M20</f>
        <v>0</v>
      </c>
      <c r="N20" s="18">
        <f t="shared" si="0"/>
        <v>78646403485.77446</v>
      </c>
      <c r="O20" s="4"/>
      <c r="P20" s="4"/>
      <c r="Q20" s="4"/>
    </row>
    <row r="21" spans="1:17" ht="18" customHeight="1" x14ac:dyDescent="0.2">
      <c r="A21" s="17" t="s">
        <v>16</v>
      </c>
      <c r="B21" s="16">
        <f>ENERO!B21+FEBRERO!B21+MARZO!B21+ABRIL!B21+MAYO!B21+JUNIO!B21+JULIO!B21+AGOSTO!B21+SEPTIEMBRE!B21+OCTUBRE!B21+NOVIEMBRE!B21+DICIEMBRE!B21</f>
        <v>26113803320.91</v>
      </c>
      <c r="C21" s="16">
        <f>ENERO!C21+FEBRERO!C21+MARZO!C21+ABRIL!C21+MAYO!C21+JUNIO!C21+JULIO!C21+AGOSTO!C21+SEPTIEMBRE!C21+OCTUBRE!C21+NOVIEMBRE!C21+DICIEMBRE!C21</f>
        <v>0</v>
      </c>
      <c r="D21" s="16">
        <f>ENERO!D21+FEBRERO!D21+MARZO!D21+ABRIL!D21+MAYO!D21+JUNIO!D21+JULIO!D21+AGOSTO!D21+SEPTIEMBRE!D21+OCTUBRE!D21+NOVIEMBRE!D21+DICIEMBRE!D21</f>
        <v>216787783.94620177</v>
      </c>
      <c r="E21" s="16">
        <f>ENERO!E21+FEBRERO!E21+MARZO!E21+ABRIL!E21+MAYO!E21+JUNIO!E21+JULIO!E21+AGOSTO!E21+SEPTIEMBRE!E21+OCTUBRE!E21+NOVIEMBRE!E21+DICIEMBRE!E21</f>
        <v>322431892.10000002</v>
      </c>
      <c r="F21" s="16">
        <f>ENERO!F21+FEBRERO!F21+MARZO!F21+ABRIL!F21+MAYO!F21+JUNIO!F21+JULIO!F21+AGOSTO!F21+SEPTIEMBRE!F21+OCTUBRE!F21+NOVIEMBRE!F21+DICIEMBRE!F21</f>
        <v>355446391.11968642</v>
      </c>
      <c r="G21" s="16">
        <f>ENERO!G21+FEBRERO!G21+MARZO!G21+ABRIL!G21+MAYO!G21+JUNIO!G21+JULIO!G21+AGOSTO!G21+SEPTIEMBRE!G21+OCTUBRE!G21+NOVIEMBRE!G21+DICIEMBRE!G21</f>
        <v>89268087.82709533</v>
      </c>
      <c r="H21" s="16">
        <f>ENERO!H21+FEBRERO!H21+MARZO!H21+ABRIL!H21+MAYO!H21+JUNIO!H21+JULIO!H21+AGOSTO!H21+SEPTIEMBRE!H21+OCTUBRE!H21+NOVIEMBRE!H21+DICIEMBRE!H21</f>
        <v>1479571392.2800002</v>
      </c>
      <c r="I21" s="16">
        <f>ENERO!I21+FEBRERO!I21+MARZO!I21+ABRIL!I21+MAYO!I21+JUNIO!I21+JULIO!I21+AGOSTO!I21+SEPTIEMBRE!I21+OCTUBRE!I21+NOVIEMBRE!I21+DICIEMBRE!I21</f>
        <v>947855222.0999999</v>
      </c>
      <c r="J21" s="16">
        <f>ENERO!J21+FEBRERO!J21+MARZO!J21+ABRIL!J21+MAYO!J21+JUNIO!J21+JULIO!J21+AGOSTO!J21+SEPTIEMBRE!J21+OCTUBRE!J21+NOVIEMBRE!J21+DICIEMBRE!J21</f>
        <v>2675609212.6700001</v>
      </c>
      <c r="K21" s="16">
        <f>ENERO!K21+FEBRERO!K21+MARZO!K21+ABRIL!K21+MAYO!K21+JUNIO!K21+JULIO!K21+AGOSTO!K21+SEPTIEMBRE!K21+OCTUBRE!K21+NOVIEMBRE!K21+DICIEMBRE!K21</f>
        <v>0</v>
      </c>
      <c r="L21" s="16">
        <f>ENERO!L21+FEBRERO!L21+MARZO!L21+ABRIL!L21+MAYO!L21+JUNIO!L21+JULIO!L21+AGOSTO!L21+SEPTIEMBRE!L21+OCTUBRE!L21+NOVIEMBRE!L21+DICIEMBRE!L21</f>
        <v>0</v>
      </c>
      <c r="M21" s="16">
        <f>ENERO!M21+FEBRERO!M21+MARZO!M21+ABRIL!M21+MAYO!M21+JUNIO!M21+JULIO!M21+AGOSTO!M21+SEPTIEMBRE!M21+OCTUBRE!M21+NOVIEMBRE!M21+DICIEMBRE!M21</f>
        <v>0</v>
      </c>
      <c r="N21" s="18">
        <f t="shared" si="0"/>
        <v>32200773302.95298</v>
      </c>
      <c r="O21" s="4"/>
      <c r="P21" s="4"/>
      <c r="Q21" s="4"/>
    </row>
    <row r="22" spans="1:17" ht="18" customHeight="1" x14ac:dyDescent="0.2">
      <c r="A22" s="17" t="s">
        <v>17</v>
      </c>
      <c r="B22" s="16">
        <f>ENERO!B22+FEBRERO!B22+MARZO!B22+ABRIL!B22+MAYO!B22+JUNIO!B22+JULIO!B22+AGOSTO!B22+SEPTIEMBRE!B22+OCTUBRE!B22+NOVIEMBRE!B22+DICIEMBRE!B22</f>
        <v>21378948304.459999</v>
      </c>
      <c r="C22" s="16">
        <f>ENERO!C22+FEBRERO!C22+MARZO!C22+ABRIL!C22+MAYO!C22+JUNIO!C22+JULIO!C22+AGOSTO!C22+SEPTIEMBRE!C22+OCTUBRE!C22+NOVIEMBRE!C22+DICIEMBRE!C22</f>
        <v>0</v>
      </c>
      <c r="D22" s="16">
        <f>ENERO!D22+FEBRERO!D22+MARZO!D22+ABRIL!D22+MAYO!D22+JUNIO!D22+JULIO!D22+AGOSTO!D22+SEPTIEMBRE!D22+OCTUBRE!D22+NOVIEMBRE!D22+DICIEMBRE!D22</f>
        <v>978757160.00523162</v>
      </c>
      <c r="E22" s="16">
        <f>ENERO!E22+FEBRERO!E22+MARZO!E22+ABRIL!E22+MAYO!E22+JUNIO!E22+JULIO!E22+AGOSTO!E22+SEPTIEMBRE!E22+OCTUBRE!E22+NOVIEMBRE!E22+DICIEMBRE!E22</f>
        <v>260520366.56999999</v>
      </c>
      <c r="F22" s="16">
        <f>ENERO!F22+FEBRERO!F22+MARZO!F22+ABRIL!F22+MAYO!F22+JUNIO!F22+JULIO!F22+AGOSTO!F22+SEPTIEMBRE!F22+OCTUBRE!F22+NOVIEMBRE!F22+DICIEMBRE!F22</f>
        <v>84627349.799189523</v>
      </c>
      <c r="G22" s="16">
        <f>ENERO!G22+FEBRERO!G22+MARZO!G22+ABRIL!G22+MAYO!G22+JUNIO!G22+JULIO!G22+AGOSTO!G22+SEPTIEMBRE!G22+OCTUBRE!G22+NOVIEMBRE!G22+DICIEMBRE!G22</f>
        <v>46549350.909999996</v>
      </c>
      <c r="H22" s="16">
        <f>ENERO!H22+FEBRERO!H22+MARZO!H22+ABRIL!H22+MAYO!H22+JUNIO!H22+JULIO!H22+AGOSTO!H22+SEPTIEMBRE!H22+OCTUBRE!H22+NOVIEMBRE!H22+DICIEMBRE!H22</f>
        <v>1208443398.0199997</v>
      </c>
      <c r="I22" s="16">
        <f>ENERO!I22+FEBRERO!I22+MARZO!I22+ABRIL!I22+MAYO!I22+JUNIO!I22+JULIO!I22+AGOSTO!I22+SEPTIEMBRE!I22+OCTUBRE!I22+NOVIEMBRE!I22+DICIEMBRE!I22</f>
        <v>225672499.38999999</v>
      </c>
      <c r="J22" s="16">
        <f>ENERO!J22+FEBRERO!J22+MARZO!J22+ABRIL!J22+MAYO!J22+JUNIO!J22+JULIO!J22+AGOSTO!J22+SEPTIEMBRE!J22+OCTUBRE!J22+NOVIEMBRE!J22+DICIEMBRE!J22</f>
        <v>2009235632.2399993</v>
      </c>
      <c r="K22" s="16">
        <f>ENERO!K22+FEBRERO!K22+MARZO!K22+ABRIL!K22+MAYO!K22+JUNIO!K22+JULIO!K22+AGOSTO!K22+SEPTIEMBRE!K22+OCTUBRE!K22+NOVIEMBRE!K22+DICIEMBRE!K22</f>
        <v>0</v>
      </c>
      <c r="L22" s="16">
        <f>ENERO!L22+FEBRERO!L22+MARZO!L22+ABRIL!L22+MAYO!L22+JUNIO!L22+JULIO!L22+AGOSTO!L22+SEPTIEMBRE!L22+OCTUBRE!L22+NOVIEMBRE!L22+DICIEMBRE!L22</f>
        <v>0</v>
      </c>
      <c r="M22" s="16">
        <f>ENERO!M22+FEBRERO!M22+MARZO!M22+ABRIL!M22+MAYO!M22+JUNIO!M22+JULIO!M22+AGOSTO!M22+SEPTIEMBRE!M22+OCTUBRE!M22+NOVIEMBRE!M22+DICIEMBRE!M22</f>
        <v>0</v>
      </c>
      <c r="N22" s="18">
        <f t="shared" si="0"/>
        <v>26192754061.394417</v>
      </c>
      <c r="O22" s="4"/>
      <c r="P22" s="4"/>
      <c r="Q22" s="4"/>
    </row>
    <row r="23" spans="1:17" ht="18" customHeight="1" x14ac:dyDescent="0.2">
      <c r="A23" s="17" t="s">
        <v>18</v>
      </c>
      <c r="B23" s="16">
        <f>ENERO!B23+FEBRERO!B23+MARZO!B23+ABRIL!B23+MAYO!B23+JUNIO!B23+JULIO!B23+AGOSTO!B23+SEPTIEMBRE!B23+OCTUBRE!B23+NOVIEMBRE!B23+DICIEMBRE!B23</f>
        <v>20165492998.650002</v>
      </c>
      <c r="C23" s="16">
        <f>ENERO!C23+FEBRERO!C23+MARZO!C23+ABRIL!C23+MAYO!C23+JUNIO!C23+JULIO!C23+AGOSTO!C23+SEPTIEMBRE!C23+OCTUBRE!C23+NOVIEMBRE!C23+DICIEMBRE!C23</f>
        <v>0</v>
      </c>
      <c r="D23" s="16">
        <f>ENERO!D23+FEBRERO!D23+MARZO!D23+ABRIL!D23+MAYO!D23+JUNIO!D23+JULIO!D23+AGOSTO!D23+SEPTIEMBRE!D23+OCTUBRE!D23+NOVIEMBRE!D23+DICIEMBRE!D23</f>
        <v>792491160.00683224</v>
      </c>
      <c r="E23" s="16">
        <f>ENERO!E23+FEBRERO!E23+MARZO!E23+ABRIL!E23+MAYO!E23+JUNIO!E23+JULIO!E23+AGOSTO!E23+SEPTIEMBRE!E23+OCTUBRE!E23+NOVIEMBRE!E23+DICIEMBRE!E23</f>
        <v>247492392.82000002</v>
      </c>
      <c r="F23" s="16">
        <f>ENERO!F23+FEBRERO!F23+MARZO!F23+ABRIL!F23+MAYO!F23+JUNIO!F23+JULIO!F23+AGOSTO!F23+SEPTIEMBRE!F23+OCTUBRE!F23+NOVIEMBRE!F23+DICIEMBRE!F23</f>
        <v>81113212.066609144</v>
      </c>
      <c r="G23" s="16">
        <f>ENERO!G23+FEBRERO!G23+MARZO!G23+ABRIL!G23+MAYO!G23+JUNIO!G23+JULIO!G23+AGOSTO!G23+SEPTIEMBRE!G23+OCTUBRE!G23+NOVIEMBRE!G23+DICIEMBRE!G23</f>
        <v>57374781.340000004</v>
      </c>
      <c r="H23" s="16">
        <f>ENERO!H23+FEBRERO!H23+MARZO!H23+ABRIL!H23+MAYO!H23+JUNIO!H23+JULIO!H23+AGOSTO!H23+SEPTIEMBRE!H23+OCTUBRE!H23+NOVIEMBRE!H23+DICIEMBRE!H23</f>
        <v>1141346700.8599999</v>
      </c>
      <c r="I23" s="16">
        <f>ENERO!I23+FEBRERO!I23+MARZO!I23+ABRIL!I23+MAYO!I23+JUNIO!I23+JULIO!I23+AGOSTO!I23+SEPTIEMBRE!I23+OCTUBRE!I23+NOVIEMBRE!I23+DICIEMBRE!I23</f>
        <v>216301483.40000001</v>
      </c>
      <c r="J23" s="16">
        <f>ENERO!J23+FEBRERO!J23+MARZO!J23+ABRIL!J23+MAYO!J23+JUNIO!J23+JULIO!J23+AGOSTO!J23+SEPTIEMBRE!J23+OCTUBRE!J23+NOVIEMBRE!J23+DICIEMBRE!J23</f>
        <v>1658544520.2200003</v>
      </c>
      <c r="K23" s="16">
        <f>ENERO!K23+FEBRERO!K23+MARZO!K23+ABRIL!K23+MAYO!K23+JUNIO!K23+JULIO!K23+AGOSTO!K23+SEPTIEMBRE!K23+OCTUBRE!K23+NOVIEMBRE!K23+DICIEMBRE!K23</f>
        <v>0</v>
      </c>
      <c r="L23" s="16">
        <f>ENERO!L23+FEBRERO!L23+MARZO!L23+ABRIL!L23+MAYO!L23+JUNIO!L23+JULIO!L23+AGOSTO!L23+SEPTIEMBRE!L23+OCTUBRE!L23+NOVIEMBRE!L23+DICIEMBRE!L23</f>
        <v>0</v>
      </c>
      <c r="M23" s="16">
        <f>ENERO!M23+FEBRERO!M23+MARZO!M23+ABRIL!M23+MAYO!M23+JUNIO!M23+JULIO!M23+AGOSTO!M23+SEPTIEMBRE!M23+OCTUBRE!M23+NOVIEMBRE!M23+DICIEMBRE!M23</f>
        <v>0</v>
      </c>
      <c r="N23" s="18">
        <f t="shared" si="0"/>
        <v>24360157249.363445</v>
      </c>
      <c r="O23" s="4"/>
      <c r="P23" s="4"/>
      <c r="Q23" s="4"/>
    </row>
    <row r="24" spans="1:17" ht="18" customHeight="1" x14ac:dyDescent="0.2">
      <c r="A24" s="17" t="s">
        <v>19</v>
      </c>
      <c r="B24" s="16">
        <f>ENERO!B24+FEBRERO!B24+MARZO!B24+ABRIL!B24+MAYO!B24+JUNIO!B24+JULIO!B24+AGOSTO!B24+SEPTIEMBRE!B24+OCTUBRE!B24+NOVIEMBRE!B24+DICIEMBRE!B24</f>
        <v>6398579387.329999</v>
      </c>
      <c r="C24" s="16">
        <f>ENERO!C24+FEBRERO!C24+MARZO!C24+ABRIL!C24+MAYO!C24+JUNIO!C24+JULIO!C24+AGOSTO!C24+SEPTIEMBRE!C24+OCTUBRE!C24+NOVIEMBRE!C24+DICIEMBRE!C24</f>
        <v>0</v>
      </c>
      <c r="D24" s="16">
        <f>ENERO!D24+FEBRERO!D24+MARZO!D24+ABRIL!D24+MAYO!D24+JUNIO!D24+JULIO!D24+AGOSTO!D24+SEPTIEMBRE!D24+OCTUBRE!D24+NOVIEMBRE!D24+DICIEMBRE!D24</f>
        <v>481144162.74722338</v>
      </c>
      <c r="E24" s="16">
        <f>ENERO!E24+FEBRERO!E24+MARZO!E24+ABRIL!E24+MAYO!E24+JUNIO!E24+JULIO!E24+AGOSTO!E24+SEPTIEMBRE!E24+OCTUBRE!E24+NOVIEMBRE!E24+DICIEMBRE!E24</f>
        <v>78678130.989999995</v>
      </c>
      <c r="F24" s="16">
        <f>ENERO!F24+FEBRERO!F24+MARZO!F24+ABRIL!F24+MAYO!F24+JUNIO!F24+JULIO!F24+AGOSTO!F24+SEPTIEMBRE!F24+OCTUBRE!F24+NOVIEMBRE!F24+DICIEMBRE!F24</f>
        <v>84339305.751928836</v>
      </c>
      <c r="G24" s="16">
        <f>ENERO!G24+FEBRERO!G24+MARZO!G24+ABRIL!G24+MAYO!G24+JUNIO!G24+JULIO!G24+AGOSTO!G24+SEPTIEMBRE!G24+OCTUBRE!G24+NOVIEMBRE!G24+DICIEMBRE!G24</f>
        <v>14661466.64452865</v>
      </c>
      <c r="H24" s="16">
        <f>ENERO!H24+FEBRERO!H24+MARZO!H24+ABRIL!H24+MAYO!H24+JUNIO!H24+JULIO!H24+AGOSTO!H24+SEPTIEMBRE!H24+OCTUBRE!H24+NOVIEMBRE!H24+DICIEMBRE!H24</f>
        <v>361947749</v>
      </c>
      <c r="I24" s="16">
        <f>ENERO!I24+FEBRERO!I24+MARZO!I24+ABRIL!I24+MAYO!I24+JUNIO!I24+JULIO!I24+AGOSTO!I24+SEPTIEMBRE!I24+OCTUBRE!I24+NOVIEMBRE!I24+DICIEMBRE!I24</f>
        <v>224904383.34</v>
      </c>
      <c r="J24" s="16">
        <f>ENERO!J24+FEBRERO!J24+MARZO!J24+ABRIL!J24+MAYO!J24+JUNIO!J24+JULIO!J24+AGOSTO!J24+SEPTIEMBRE!J24+OCTUBRE!J24+NOVIEMBRE!J24+DICIEMBRE!J24</f>
        <v>1403382457.1900001</v>
      </c>
      <c r="K24" s="16">
        <f>ENERO!K24+FEBRERO!K24+MARZO!K24+ABRIL!K24+MAYO!K24+JUNIO!K24+JULIO!K24+AGOSTO!K24+SEPTIEMBRE!K24+OCTUBRE!K24+NOVIEMBRE!K24+DICIEMBRE!K24</f>
        <v>0</v>
      </c>
      <c r="L24" s="16">
        <f>ENERO!L24+FEBRERO!L24+MARZO!L24+ABRIL!L24+MAYO!L24+JUNIO!L24+JULIO!L24+AGOSTO!L24+SEPTIEMBRE!L24+OCTUBRE!L24+NOVIEMBRE!L24+DICIEMBRE!L24</f>
        <v>0</v>
      </c>
      <c r="M24" s="16">
        <f>ENERO!M24+FEBRERO!M24+MARZO!M24+ABRIL!M24+MAYO!M24+JUNIO!M24+JULIO!M24+AGOSTO!M24+SEPTIEMBRE!M24+OCTUBRE!M24+NOVIEMBRE!M24+DICIEMBRE!M24</f>
        <v>0</v>
      </c>
      <c r="N24" s="18">
        <f t="shared" si="0"/>
        <v>9047637042.993681</v>
      </c>
      <c r="O24" s="4"/>
      <c r="P24" s="4"/>
      <c r="Q24" s="4"/>
    </row>
    <row r="25" spans="1:17" ht="18" customHeight="1" x14ac:dyDescent="0.2">
      <c r="A25" s="17" t="s">
        <v>20</v>
      </c>
      <c r="B25" s="16">
        <f>ENERO!B25+FEBRERO!B25+MARZO!B25+ABRIL!B25+MAYO!B25+JUNIO!B25+JULIO!B25+AGOSTO!B25+SEPTIEMBRE!B25+OCTUBRE!B25+NOVIEMBRE!B25+DICIEMBRE!B25</f>
        <v>25142606472.030003</v>
      </c>
      <c r="C25" s="16">
        <f>ENERO!C25+FEBRERO!C25+MARZO!C25+ABRIL!C25+MAYO!C25+JUNIO!C25+JULIO!C25+AGOSTO!C25+SEPTIEMBRE!C25+OCTUBRE!C25+NOVIEMBRE!C25+DICIEMBRE!C25</f>
        <v>0</v>
      </c>
      <c r="D25" s="16">
        <f>ENERO!D25+FEBRERO!D25+MARZO!D25+ABRIL!D25+MAYO!D25+JUNIO!D25+JULIO!D25+AGOSTO!D25+SEPTIEMBRE!D25+OCTUBRE!D25+NOVIEMBRE!D25+DICIEMBRE!D25</f>
        <v>496317413.86558384</v>
      </c>
      <c r="E25" s="16">
        <f>ENERO!E25+FEBRERO!E25+MARZO!E25+ABRIL!E25+MAYO!E25+JUNIO!E25+JULIO!E25+AGOSTO!E25+SEPTIEMBRE!E25+OCTUBRE!E25+NOVIEMBRE!E25+DICIEMBRE!E25</f>
        <v>312883319.73999995</v>
      </c>
      <c r="F25" s="16">
        <f>ENERO!F25+FEBRERO!F25+MARZO!F25+ABRIL!F25+MAYO!F25+JUNIO!F25+JULIO!F25+AGOSTO!F25+SEPTIEMBRE!F25+OCTUBRE!F25+NOVIEMBRE!F25+DICIEMBRE!F25</f>
        <v>374054038.5007267</v>
      </c>
      <c r="G25" s="16">
        <f>ENERO!G25+FEBRERO!G25+MARZO!G25+ABRIL!G25+MAYO!G25+JUNIO!G25+JULIO!G25+AGOSTO!G25+SEPTIEMBRE!G25+OCTUBRE!G25+NOVIEMBRE!G25+DICIEMBRE!G25</f>
        <v>136616932.21000001</v>
      </c>
      <c r="H25" s="16">
        <f>ENERO!H25+FEBRERO!H25+MARZO!H25+ABRIL!H25+MAYO!H25+JUNIO!H25+JULIO!H25+AGOSTO!H25+SEPTIEMBRE!H25+OCTUBRE!H25+NOVIEMBRE!H25+DICIEMBRE!H25</f>
        <v>1427659126.5500004</v>
      </c>
      <c r="I25" s="16">
        <f>ENERO!I25+FEBRERO!I25+MARZO!I25+ABRIL!I25+MAYO!I25+JUNIO!I25+JULIO!I25+AGOSTO!I25+SEPTIEMBRE!I25+OCTUBRE!I25+NOVIEMBRE!I25+DICIEMBRE!I25</f>
        <v>997475519.78999996</v>
      </c>
      <c r="J25" s="16">
        <f>ENERO!J25+FEBRERO!J25+MARZO!J25+ABRIL!J25+MAYO!J25+JUNIO!J25+JULIO!J25+AGOSTO!J25+SEPTIEMBRE!J25+OCTUBRE!J25+NOVIEMBRE!J25+DICIEMBRE!J25</f>
        <v>3244195122.1499996</v>
      </c>
      <c r="K25" s="16">
        <f>ENERO!K25+FEBRERO!K25+MARZO!K25+ABRIL!K25+MAYO!K25+JUNIO!K25+JULIO!K25+AGOSTO!K25+SEPTIEMBRE!K25+OCTUBRE!K25+NOVIEMBRE!K25+DICIEMBRE!K25</f>
        <v>0</v>
      </c>
      <c r="L25" s="16">
        <f>ENERO!L25+FEBRERO!L25+MARZO!L25+ABRIL!L25+MAYO!L25+JUNIO!L25+JULIO!L25+AGOSTO!L25+SEPTIEMBRE!L25+OCTUBRE!L25+NOVIEMBRE!L25+DICIEMBRE!L25</f>
        <v>0</v>
      </c>
      <c r="M25" s="16">
        <f>ENERO!M25+FEBRERO!M25+MARZO!M25+ABRIL!M25+MAYO!M25+JUNIO!M25+JULIO!M25+AGOSTO!M25+SEPTIEMBRE!M25+OCTUBRE!M25+NOVIEMBRE!M25+DICIEMBRE!M25</f>
        <v>0</v>
      </c>
      <c r="N25" s="18">
        <f t="shared" si="0"/>
        <v>32131807944.836311</v>
      </c>
      <c r="O25" s="4"/>
      <c r="P25" s="4"/>
      <c r="Q25" s="4"/>
    </row>
    <row r="26" spans="1:17" ht="18" customHeight="1" x14ac:dyDescent="0.2">
      <c r="A26" s="17" t="s">
        <v>21</v>
      </c>
      <c r="B26" s="16">
        <f>ENERO!B26+FEBRERO!B26+MARZO!B26+ABRIL!B26+MAYO!B26+JUNIO!B26+JULIO!B26+AGOSTO!B26+SEPTIEMBRE!B26+OCTUBRE!B26+NOVIEMBRE!B26+DICIEMBRE!B26</f>
        <v>10760313119.969999</v>
      </c>
      <c r="C26" s="16">
        <f>ENERO!C26+FEBRERO!C26+MARZO!C26+ABRIL!C26+MAYO!C26+JUNIO!C26+JULIO!C26+AGOSTO!C26+SEPTIEMBRE!C26+OCTUBRE!C26+NOVIEMBRE!C26+DICIEMBRE!C26</f>
        <v>0</v>
      </c>
      <c r="D26" s="16">
        <f>ENERO!D26+FEBRERO!D26+MARZO!D26+ABRIL!D26+MAYO!D26+JUNIO!D26+JULIO!D26+AGOSTO!D26+SEPTIEMBRE!D26+OCTUBRE!D26+NOVIEMBRE!D26+DICIEMBRE!D26</f>
        <v>448507426.29604745</v>
      </c>
      <c r="E26" s="16">
        <f>ENERO!E26+FEBRERO!E26+MARZO!E26+ABRIL!E26+MAYO!E26+JUNIO!E26+JULIO!E26+AGOSTO!E26+SEPTIEMBRE!E26+OCTUBRE!E26+NOVIEMBRE!E26+DICIEMBRE!E26</f>
        <v>132993404.54000001</v>
      </c>
      <c r="F26" s="16">
        <f>ENERO!F26+FEBRERO!F26+MARZO!F26+ABRIL!F26+MAYO!F26+JUNIO!F26+JULIO!F26+AGOSTO!F26+SEPTIEMBRE!F26+OCTUBRE!F26+NOVIEMBRE!F26+DICIEMBRE!F26</f>
        <v>170118831.90016112</v>
      </c>
      <c r="G26" s="16">
        <f>ENERO!G26+FEBRERO!G26+MARZO!G26+ABRIL!G26+MAYO!G26+JUNIO!G26+JULIO!G26+AGOSTO!G26+SEPTIEMBRE!G26+OCTUBRE!G26+NOVIEMBRE!G26+DICIEMBRE!G26</f>
        <v>87252969.38000001</v>
      </c>
      <c r="H26" s="16">
        <f>ENERO!H26+FEBRERO!H26+MARZO!H26+ABRIL!H26+MAYO!H26+JUNIO!H26+JULIO!H26+AGOSTO!H26+SEPTIEMBRE!H26+OCTUBRE!H26+NOVIEMBRE!H26+DICIEMBRE!H26</f>
        <v>608835311.76000011</v>
      </c>
      <c r="I26" s="16">
        <f>ENERO!I26+FEBRERO!I26+MARZO!I26+ABRIL!I26+MAYO!I26+JUNIO!I26+JULIO!I26+AGOSTO!I26+SEPTIEMBRE!I26+OCTUBRE!I26+NOVIEMBRE!I26+DICIEMBRE!I26</f>
        <v>453649346.98999995</v>
      </c>
      <c r="J26" s="16">
        <f>ENERO!J26+FEBRERO!J26+MARZO!J26+ABRIL!J26+MAYO!J26+JUNIO!J26+JULIO!J26+AGOSTO!J26+SEPTIEMBRE!J26+OCTUBRE!J26+NOVIEMBRE!J26+DICIEMBRE!J26</f>
        <v>2393823861.6599998</v>
      </c>
      <c r="K26" s="16">
        <f>ENERO!K26+FEBRERO!K26+MARZO!K26+ABRIL!K26+MAYO!K26+JUNIO!K26+JULIO!K26+AGOSTO!K26+SEPTIEMBRE!K26+OCTUBRE!K26+NOVIEMBRE!K26+DICIEMBRE!K26</f>
        <v>0</v>
      </c>
      <c r="L26" s="16">
        <f>ENERO!L26+FEBRERO!L26+MARZO!L26+ABRIL!L26+MAYO!L26+JUNIO!L26+JULIO!L26+AGOSTO!L26+SEPTIEMBRE!L26+OCTUBRE!L26+NOVIEMBRE!L26+DICIEMBRE!L26</f>
        <v>0</v>
      </c>
      <c r="M26" s="16">
        <f>ENERO!M26+FEBRERO!M26+MARZO!M26+ABRIL!M26+MAYO!M26+JUNIO!M26+JULIO!M26+AGOSTO!M26+SEPTIEMBRE!M26+OCTUBRE!M26+NOVIEMBRE!M26+DICIEMBRE!M26</f>
        <v>0</v>
      </c>
      <c r="N26" s="18">
        <f t="shared" si="0"/>
        <v>15055494272.496208</v>
      </c>
      <c r="O26" s="4"/>
      <c r="P26" s="4"/>
      <c r="Q26" s="4"/>
    </row>
    <row r="27" spans="1:17" ht="18" customHeight="1" x14ac:dyDescent="0.2">
      <c r="A27" s="17" t="s">
        <v>22</v>
      </c>
      <c r="B27" s="16">
        <f>ENERO!B27+FEBRERO!B27+MARZO!B27+ABRIL!B27+MAYO!B27+JUNIO!B27+JULIO!B27+AGOSTO!B27+SEPTIEMBRE!B27+OCTUBRE!B27+NOVIEMBRE!B27+DICIEMBRE!B27</f>
        <v>4905373244.5700006</v>
      </c>
      <c r="C27" s="16">
        <f>ENERO!C27+FEBRERO!C27+MARZO!C27+ABRIL!C27+MAYO!C27+JUNIO!C27+JULIO!C27+AGOSTO!C27+SEPTIEMBRE!C27+OCTUBRE!C27+NOVIEMBRE!C27+DICIEMBRE!C27</f>
        <v>0</v>
      </c>
      <c r="D27" s="16">
        <f>ENERO!D27+FEBRERO!D27+MARZO!D27+ABRIL!D27+MAYO!D27+JUNIO!D27+JULIO!D27+AGOSTO!D27+SEPTIEMBRE!D27+OCTUBRE!D27+NOVIEMBRE!D27+DICIEMBRE!D27</f>
        <v>319435532.45183516</v>
      </c>
      <c r="E27" s="16">
        <f>ENERO!E27+FEBRERO!E27+MARZO!E27+ABRIL!E27+MAYO!E27+JUNIO!E27+JULIO!E27+AGOSTO!E27+SEPTIEMBRE!E27+OCTUBRE!E27+NOVIEMBRE!E27+DICIEMBRE!E27</f>
        <v>64256775.25</v>
      </c>
      <c r="F27" s="16">
        <f>ENERO!F27+FEBRERO!F27+MARZO!F27+ABRIL!F27+MAYO!F27+JUNIO!F27+JULIO!F27+AGOSTO!F27+SEPTIEMBRE!F27+OCTUBRE!F27+NOVIEMBRE!F27+DICIEMBRE!F27</f>
        <v>42284870.451868691</v>
      </c>
      <c r="G27" s="16">
        <f>ENERO!G27+FEBRERO!G27+MARZO!G27+ABRIL!G27+MAYO!G27+JUNIO!G27+JULIO!G27+AGOSTO!G27+SEPTIEMBRE!G27+OCTUBRE!G27+NOVIEMBRE!G27+DICIEMBRE!G27</f>
        <v>19702283.390000001</v>
      </c>
      <c r="H27" s="16">
        <f>ENERO!H27+FEBRERO!H27+MARZO!H27+ABRIL!H27+MAYO!H27+JUNIO!H27+JULIO!H27+AGOSTO!H27+SEPTIEMBRE!H27+OCTUBRE!H27+NOVIEMBRE!H27+DICIEMBRE!H27</f>
        <v>279017641.77999997</v>
      </c>
      <c r="I27" s="16">
        <f>ENERO!I27+FEBRERO!I27+MARZO!I27+ABRIL!I27+MAYO!I27+JUNIO!I27+JULIO!I27+AGOSTO!I27+SEPTIEMBRE!I27+OCTUBRE!I27+NOVIEMBRE!I27+DICIEMBRE!I27</f>
        <v>112759438.09</v>
      </c>
      <c r="J27" s="16">
        <f>ENERO!J27+FEBRERO!J27+MARZO!J27+ABRIL!J27+MAYO!J27+JUNIO!J27+JULIO!J27+AGOSTO!J27+SEPTIEMBRE!J27+OCTUBRE!J27+NOVIEMBRE!J27+DICIEMBRE!J27</f>
        <v>641479827.72000027</v>
      </c>
      <c r="K27" s="16">
        <f>ENERO!K27+FEBRERO!K27+MARZO!K27+ABRIL!K27+MAYO!K27+JUNIO!K27+JULIO!K27+AGOSTO!K27+SEPTIEMBRE!K27+OCTUBRE!K27+NOVIEMBRE!K27+DICIEMBRE!K27</f>
        <v>0</v>
      </c>
      <c r="L27" s="16">
        <f>ENERO!L27+FEBRERO!L27+MARZO!L27+ABRIL!L27+MAYO!L27+JUNIO!L27+JULIO!L27+AGOSTO!L27+SEPTIEMBRE!L27+OCTUBRE!L27+NOVIEMBRE!L27+DICIEMBRE!L27</f>
        <v>0</v>
      </c>
      <c r="M27" s="16">
        <f>ENERO!M27+FEBRERO!M27+MARZO!M27+ABRIL!M27+MAYO!M27+JUNIO!M27+JULIO!M27+AGOSTO!M27+SEPTIEMBRE!M27+OCTUBRE!M27+NOVIEMBRE!M27+DICIEMBRE!M27</f>
        <v>0</v>
      </c>
      <c r="N27" s="18">
        <f t="shared" si="0"/>
        <v>6384309613.7037048</v>
      </c>
      <c r="O27" s="4"/>
      <c r="P27" s="4"/>
      <c r="Q27" s="4"/>
    </row>
    <row r="28" spans="1:17" ht="18" customHeight="1" x14ac:dyDescent="0.2">
      <c r="A28" s="17" t="s">
        <v>23</v>
      </c>
      <c r="B28" s="16">
        <f>ENERO!B28+FEBRERO!B28+MARZO!B28+ABRIL!B28+MAYO!B28+JUNIO!B28+JULIO!B28+AGOSTO!B28+SEPTIEMBRE!B28+OCTUBRE!B28+NOVIEMBRE!B28+DICIEMBRE!B28</f>
        <v>18801707668.460003</v>
      </c>
      <c r="C28" s="16">
        <f>ENERO!C28+FEBRERO!C28+MARZO!C28+ABRIL!C28+MAYO!C28+JUNIO!C28+JULIO!C28+AGOSTO!C28+SEPTIEMBRE!C28+OCTUBRE!C28+NOVIEMBRE!C28+DICIEMBRE!C28</f>
        <v>0</v>
      </c>
      <c r="D28" s="16">
        <f>ENERO!D28+FEBRERO!D28+MARZO!D28+ABRIL!D28+MAYO!D28+JUNIO!D28+JULIO!D28+AGOSTO!D28+SEPTIEMBRE!D28+OCTUBRE!D28+NOVIEMBRE!D28+DICIEMBRE!D28</f>
        <v>845120567.85373425</v>
      </c>
      <c r="E28" s="16">
        <f>ENERO!E28+FEBRERO!E28+MARZO!E28+ABRIL!E28+MAYO!E28+JUNIO!E28+JULIO!E28+AGOSTO!E28+SEPTIEMBRE!E28+OCTUBRE!E28+NOVIEMBRE!E28+DICIEMBRE!E28</f>
        <v>230243579.06999999</v>
      </c>
      <c r="F28" s="16">
        <f>ENERO!F28+FEBRERO!F28+MARZO!F28+ABRIL!F28+MAYO!F28+JUNIO!F28+JULIO!F28+AGOSTO!F28+SEPTIEMBRE!F28+OCTUBRE!F28+NOVIEMBRE!F28+DICIEMBRE!F28</f>
        <v>58242512.342110686</v>
      </c>
      <c r="G28" s="16">
        <f>ENERO!G28+FEBRERO!G28+MARZO!G28+ABRIL!G28+MAYO!G28+JUNIO!G28+JULIO!G28+AGOSTO!G28+SEPTIEMBRE!G28+OCTUBRE!G28+NOVIEMBRE!G28+DICIEMBRE!G28</f>
        <v>28579136.379999999</v>
      </c>
      <c r="H28" s="16">
        <f>ENERO!H28+FEBRERO!H28+MARZO!H28+ABRIL!H28+MAYO!H28+JUNIO!H28+JULIO!H28+AGOSTO!H28+SEPTIEMBRE!H28+OCTUBRE!H28+NOVIEMBRE!H28+DICIEMBRE!H28</f>
        <v>1063215241.72</v>
      </c>
      <c r="I28" s="16">
        <f>ENERO!I28+FEBRERO!I28+MARZO!I28+ABRIL!I28+MAYO!I28+JUNIO!I28+JULIO!I28+AGOSTO!I28+SEPTIEMBRE!I28+OCTUBRE!I28+NOVIEMBRE!I28+DICIEMBRE!I28</f>
        <v>155313067.98999998</v>
      </c>
      <c r="J28" s="16">
        <f>ENERO!J28+FEBRERO!J28+MARZO!J28+ABRIL!J28+MAYO!J28+JUNIO!J28+JULIO!J28+AGOSTO!J28+SEPTIEMBRE!J28+OCTUBRE!J28+NOVIEMBRE!J28+DICIEMBRE!J28</f>
        <v>1311534784.8899999</v>
      </c>
      <c r="K28" s="16">
        <f>ENERO!K28+FEBRERO!K28+MARZO!K28+ABRIL!K28+MAYO!K28+JUNIO!K28+JULIO!K28+AGOSTO!K28+SEPTIEMBRE!K28+OCTUBRE!K28+NOVIEMBRE!K28+DICIEMBRE!K28</f>
        <v>0</v>
      </c>
      <c r="L28" s="16">
        <f>ENERO!L28+FEBRERO!L28+MARZO!L28+ABRIL!L28+MAYO!L28+JUNIO!L28+JULIO!L28+AGOSTO!L28+SEPTIEMBRE!L28+OCTUBRE!L28+NOVIEMBRE!L28+DICIEMBRE!L28</f>
        <v>0</v>
      </c>
      <c r="M28" s="16">
        <f>ENERO!M28+FEBRERO!M28+MARZO!M28+ABRIL!M28+MAYO!M28+JUNIO!M28+JULIO!M28+AGOSTO!M28+SEPTIEMBRE!M28+OCTUBRE!M28+NOVIEMBRE!M28+DICIEMBRE!M28</f>
        <v>0</v>
      </c>
      <c r="N28" s="18">
        <f t="shared" si="0"/>
        <v>22493956558.705849</v>
      </c>
      <c r="O28" s="4"/>
      <c r="P28" s="4"/>
      <c r="Q28" s="4"/>
    </row>
    <row r="29" spans="1:17" ht="18" customHeight="1" x14ac:dyDescent="0.2">
      <c r="A29" s="17" t="s">
        <v>24</v>
      </c>
      <c r="B29" s="16">
        <f>ENERO!B29+FEBRERO!B29+MARZO!B29+ABRIL!B29+MAYO!B29+JUNIO!B29+JULIO!B29+AGOSTO!B29+SEPTIEMBRE!B29+OCTUBRE!B29+NOVIEMBRE!B29+DICIEMBRE!B29</f>
        <v>10743369448.199999</v>
      </c>
      <c r="C29" s="16">
        <f>ENERO!C29+FEBRERO!C29+MARZO!C29+ABRIL!C29+MAYO!C29+JUNIO!C29+JULIO!C29+AGOSTO!C29+SEPTIEMBRE!C29+OCTUBRE!C29+NOVIEMBRE!C29+DICIEMBRE!C29</f>
        <v>0</v>
      </c>
      <c r="D29" s="16">
        <f>ENERO!D29+FEBRERO!D29+MARZO!D29+ABRIL!D29+MAYO!D29+JUNIO!D29+JULIO!D29+AGOSTO!D29+SEPTIEMBRE!D29+OCTUBRE!D29+NOVIEMBRE!D29+DICIEMBRE!D29</f>
        <v>866681548.82728744</v>
      </c>
      <c r="E29" s="16">
        <f>ENERO!E29+FEBRERO!E29+MARZO!E29+ABRIL!E29+MAYO!E29+JUNIO!E29+JULIO!E29+AGOSTO!E29+SEPTIEMBRE!E29+OCTUBRE!E29+NOVIEMBRE!E29+DICIEMBRE!E29</f>
        <v>134715923.63999999</v>
      </c>
      <c r="F29" s="16">
        <f>ENERO!F29+FEBRERO!F29+MARZO!F29+ABRIL!F29+MAYO!F29+JUNIO!F29+JULIO!F29+AGOSTO!F29+SEPTIEMBRE!F29+OCTUBRE!F29+NOVIEMBRE!F29+DICIEMBRE!F29</f>
        <v>36351162.490298562</v>
      </c>
      <c r="G29" s="16">
        <f>ENERO!G29+FEBRERO!G29+MARZO!G29+ABRIL!G29+MAYO!G29+JUNIO!G29+JULIO!G29+AGOSTO!G29+SEPTIEMBRE!G29+OCTUBRE!G29+NOVIEMBRE!G29+DICIEMBRE!G29</f>
        <v>17320688.710000001</v>
      </c>
      <c r="H29" s="16">
        <f>ENERO!H29+FEBRERO!H29+MARZO!H29+ABRIL!H29+MAYO!H29+JUNIO!H29+JULIO!H29+AGOSTO!H29+SEPTIEMBRE!H29+OCTUBRE!H29+NOVIEMBRE!H29+DICIEMBRE!H29</f>
        <v>611082688.85000002</v>
      </c>
      <c r="I29" s="16">
        <f>ENERO!I29+FEBRERO!I29+MARZO!I29+ABRIL!I29+MAYO!I29+JUNIO!I29+JULIO!I29+AGOSTO!I29+SEPTIEMBRE!I29+OCTUBRE!I29+NOVIEMBRE!I29+DICIEMBRE!I29</f>
        <v>96936247.200000018</v>
      </c>
      <c r="J29" s="16">
        <f>ENERO!J29+FEBRERO!J29+MARZO!J29+ABRIL!J29+MAYO!J29+JUNIO!J29+JULIO!J29+AGOSTO!J29+SEPTIEMBRE!J29+OCTUBRE!J29+NOVIEMBRE!J29+DICIEMBRE!J29</f>
        <v>1169219354.7</v>
      </c>
      <c r="K29" s="16">
        <f>ENERO!K29+FEBRERO!K29+MARZO!K29+ABRIL!K29+MAYO!K29+JUNIO!K29+JULIO!K29+AGOSTO!K29+SEPTIEMBRE!K29+OCTUBRE!K29+NOVIEMBRE!K29+DICIEMBRE!K29</f>
        <v>0</v>
      </c>
      <c r="L29" s="16">
        <f>ENERO!L29+FEBRERO!L29+MARZO!L29+ABRIL!L29+MAYO!L29+JUNIO!L29+JULIO!L29+AGOSTO!L29+SEPTIEMBRE!L29+OCTUBRE!L29+NOVIEMBRE!L29+DICIEMBRE!L29</f>
        <v>0</v>
      </c>
      <c r="M29" s="16">
        <f>ENERO!M29+FEBRERO!M29+MARZO!M29+ABRIL!M29+MAYO!M29+JUNIO!M29+JULIO!M29+AGOSTO!M29+SEPTIEMBRE!M29+OCTUBRE!M29+NOVIEMBRE!M29+DICIEMBRE!M29</f>
        <v>0</v>
      </c>
      <c r="N29" s="18">
        <f t="shared" si="0"/>
        <v>13675677062.617586</v>
      </c>
      <c r="O29" s="4"/>
      <c r="P29" s="4"/>
      <c r="Q29" s="4"/>
    </row>
    <row r="30" spans="1:17" ht="18" customHeight="1" x14ac:dyDescent="0.2">
      <c r="A30" s="17" t="s">
        <v>25</v>
      </c>
      <c r="B30" s="16">
        <f>ENERO!B30+FEBRERO!B30+MARZO!B30+ABRIL!B30+MAYO!B30+JUNIO!B30+JULIO!B30+AGOSTO!B30+SEPTIEMBRE!B30+OCTUBRE!B30+NOVIEMBRE!B30+DICIEMBRE!B30</f>
        <v>3767984210.1899996</v>
      </c>
      <c r="C30" s="16">
        <f>ENERO!C30+FEBRERO!C30+MARZO!C30+ABRIL!C30+MAYO!C30+JUNIO!C30+JULIO!C30+AGOSTO!C30+SEPTIEMBRE!C30+OCTUBRE!C30+NOVIEMBRE!C30+DICIEMBRE!C30</f>
        <v>0</v>
      </c>
      <c r="D30" s="16">
        <f>ENERO!D30+FEBRERO!D30+MARZO!D30+ABRIL!D30+MAYO!D30+JUNIO!D30+JULIO!D30+AGOSTO!D30+SEPTIEMBRE!D30+OCTUBRE!D30+NOVIEMBRE!D30+DICIEMBRE!D30</f>
        <v>543220340.23346651</v>
      </c>
      <c r="E30" s="16">
        <f>ENERO!E30+FEBRERO!E30+MARZO!E30+ABRIL!E30+MAYO!E30+JUNIO!E30+JULIO!E30+AGOSTO!E30+SEPTIEMBRE!E30+OCTUBRE!E30+NOVIEMBRE!E30+DICIEMBRE!E30</f>
        <v>46397860.789999999</v>
      </c>
      <c r="F30" s="16">
        <f>ENERO!F30+FEBRERO!F30+MARZO!F30+ABRIL!F30+MAYO!F30+JUNIO!F30+JULIO!F30+AGOSTO!F30+SEPTIEMBRE!F30+OCTUBRE!F30+NOVIEMBRE!F30+DICIEMBRE!F30</f>
        <v>31396804.36141476</v>
      </c>
      <c r="G30" s="16">
        <f>ENERO!G30+FEBRERO!G30+MARZO!G30+ABRIL!G30+MAYO!G30+JUNIO!G30+JULIO!G30+AGOSTO!G30+SEPTIEMBRE!G30+OCTUBRE!G30+NOVIEMBRE!G30+DICIEMBRE!G30</f>
        <v>21650860.879999995</v>
      </c>
      <c r="H30" s="16">
        <f>ENERO!H30+FEBRERO!H30+MARZO!H30+ABRIL!H30+MAYO!H30+JUNIO!H30+JULIO!H30+AGOSTO!H30+SEPTIEMBRE!H30+OCTUBRE!H30+NOVIEMBRE!H30+DICIEMBRE!H30</f>
        <v>213466661.86999997</v>
      </c>
      <c r="I30" s="16">
        <f>ENERO!I30+FEBRERO!I30+MARZO!I30+ABRIL!I30+MAYO!I30+JUNIO!I30+JULIO!I30+AGOSTO!I30+SEPTIEMBRE!I30+OCTUBRE!I30+NOVIEMBRE!I30+DICIEMBRE!I30</f>
        <v>83724650.900000006</v>
      </c>
      <c r="J30" s="16">
        <f>ENERO!J30+FEBRERO!J30+MARZO!J30+ABRIL!J30+MAYO!J30+JUNIO!J30+JULIO!J30+AGOSTO!J30+SEPTIEMBRE!J30+OCTUBRE!J30+NOVIEMBRE!J30+DICIEMBRE!J30</f>
        <v>908308475.52999985</v>
      </c>
      <c r="K30" s="16">
        <f>ENERO!K30+FEBRERO!K30+MARZO!K30+ABRIL!K30+MAYO!K30+JUNIO!K30+JULIO!K30+AGOSTO!K30+SEPTIEMBRE!K30+OCTUBRE!K30+NOVIEMBRE!K30+DICIEMBRE!K30</f>
        <v>0</v>
      </c>
      <c r="L30" s="16">
        <f>ENERO!L30+FEBRERO!L30+MARZO!L30+ABRIL!L30+MAYO!L30+JUNIO!L30+JULIO!L30+AGOSTO!L30+SEPTIEMBRE!L30+OCTUBRE!L30+NOVIEMBRE!L30+DICIEMBRE!L30</f>
        <v>0</v>
      </c>
      <c r="M30" s="16">
        <f>ENERO!M30+FEBRERO!M30+MARZO!M30+ABRIL!M30+MAYO!M30+JUNIO!M30+JULIO!M30+AGOSTO!M30+SEPTIEMBRE!M30+OCTUBRE!M30+NOVIEMBRE!M30+DICIEMBRE!M30</f>
        <v>0</v>
      </c>
      <c r="N30" s="18">
        <f t="shared" si="0"/>
        <v>5616149864.75488</v>
      </c>
      <c r="O30" s="4"/>
      <c r="P30" s="4"/>
      <c r="Q30" s="4"/>
    </row>
    <row r="31" spans="1:17" ht="18" customHeight="1" x14ac:dyDescent="0.2">
      <c r="A31" s="17" t="s">
        <v>26</v>
      </c>
      <c r="B31" s="16">
        <f>ENERO!B31+FEBRERO!B31+MARZO!B31+ABRIL!B31+MAYO!B31+JUNIO!B31+JULIO!B31+AGOSTO!B31+SEPTIEMBRE!B31+OCTUBRE!B31+NOVIEMBRE!B31+DICIEMBRE!B31</f>
        <v>6486181775.5999994</v>
      </c>
      <c r="C31" s="16">
        <f>ENERO!C31+FEBRERO!C31+MARZO!C31+ABRIL!C31+MAYO!C31+JUNIO!C31+JULIO!C31+AGOSTO!C31+SEPTIEMBRE!C31+OCTUBRE!C31+NOVIEMBRE!C31+DICIEMBRE!C31</f>
        <v>0</v>
      </c>
      <c r="D31" s="16">
        <f>ENERO!D31+FEBRERO!D31+MARZO!D31+ABRIL!D31+MAYO!D31+JUNIO!D31+JULIO!D31+AGOSTO!D31+SEPTIEMBRE!D31+OCTUBRE!D31+NOVIEMBRE!D31+DICIEMBRE!D31</f>
        <v>300208767.26906687</v>
      </c>
      <c r="E31" s="16">
        <f>ENERO!E31+FEBRERO!E31+MARZO!E31+ABRIL!E31+MAYO!E31+JUNIO!E31+JULIO!E31+AGOSTO!E31+SEPTIEMBRE!E31+OCTUBRE!E31+NOVIEMBRE!E31+DICIEMBRE!E31</f>
        <v>80057650.129999995</v>
      </c>
      <c r="F31" s="16">
        <f>ENERO!F31+FEBRERO!F31+MARZO!F31+ABRIL!F31+MAYO!F31+JUNIO!F31+JULIO!F31+AGOSTO!F31+SEPTIEMBRE!F31+OCTUBRE!F31+NOVIEMBRE!F31+DICIEMBRE!F31</f>
        <v>37503338.789341308</v>
      </c>
      <c r="G31" s="16">
        <f>ENERO!G31+FEBRERO!G31+MARZO!G31+ABRIL!G31+MAYO!G31+JUNIO!G31+JULIO!G31+AGOSTO!G31+SEPTIEMBRE!G31+OCTUBRE!G31+NOVIEMBRE!G31+DICIEMBRE!G31</f>
        <v>11907973.469999999</v>
      </c>
      <c r="H31" s="16">
        <f>ENERO!H31+FEBRERO!H31+MARZO!H31+ABRIL!H31+MAYO!H31+JUNIO!H31+JULIO!H31+AGOSTO!H31+SEPTIEMBRE!H31+OCTUBRE!H31+NOVIEMBRE!H31+DICIEMBRE!H31</f>
        <v>367784220.52999997</v>
      </c>
      <c r="I31" s="16">
        <f>ENERO!I31+FEBRERO!I31+MARZO!I31+ABRIL!I31+MAYO!I31+JUNIO!I31+JULIO!I31+AGOSTO!I31+SEPTIEMBRE!I31+OCTUBRE!I31+NOVIEMBRE!I31+DICIEMBRE!I31</f>
        <v>100008711.45000002</v>
      </c>
      <c r="J31" s="16">
        <f>ENERO!J31+FEBRERO!J31+MARZO!J31+ABRIL!J31+MAYO!J31+JUNIO!J31+JULIO!J31+AGOSTO!J31+SEPTIEMBRE!J31+OCTUBRE!J31+NOVIEMBRE!J31+DICIEMBRE!J31</f>
        <v>643742896.2299999</v>
      </c>
      <c r="K31" s="16">
        <f>ENERO!K31+FEBRERO!K31+MARZO!K31+ABRIL!K31+MAYO!K31+JUNIO!K31+JULIO!K31+AGOSTO!K31+SEPTIEMBRE!K31+OCTUBRE!K31+NOVIEMBRE!K31+DICIEMBRE!K31</f>
        <v>0</v>
      </c>
      <c r="L31" s="16">
        <f>ENERO!L31+FEBRERO!L31+MARZO!L31+ABRIL!L31+MAYO!L31+JUNIO!L31+JULIO!L31+AGOSTO!L31+SEPTIEMBRE!L31+OCTUBRE!L31+NOVIEMBRE!L31+DICIEMBRE!L31</f>
        <v>0</v>
      </c>
      <c r="M31" s="16">
        <f>ENERO!M31+FEBRERO!M31+MARZO!M31+ABRIL!M31+MAYO!M31+JUNIO!M31+JULIO!M31+AGOSTO!M31+SEPTIEMBRE!M31+OCTUBRE!M31+NOVIEMBRE!M31+DICIEMBRE!M31</f>
        <v>0</v>
      </c>
      <c r="N31" s="18">
        <f t="shared" si="0"/>
        <v>8027395333.4684067</v>
      </c>
      <c r="O31" s="4"/>
      <c r="P31" s="4"/>
      <c r="Q31" s="4"/>
    </row>
    <row r="32" spans="1:17" ht="18" customHeight="1" x14ac:dyDescent="0.2">
      <c r="A32" s="17" t="s">
        <v>27</v>
      </c>
      <c r="B32" s="16">
        <f>ENERO!B32+FEBRERO!B32+MARZO!B32+ABRIL!B32+MAYO!B32+JUNIO!B32+JULIO!B32+AGOSTO!B32+SEPTIEMBRE!B32+OCTUBRE!B32+NOVIEMBRE!B32+DICIEMBRE!B32</f>
        <v>29679905485.109997</v>
      </c>
      <c r="C32" s="16">
        <f>ENERO!C32+FEBRERO!C32+MARZO!C32+ABRIL!C32+MAYO!C32+JUNIO!C32+JULIO!C32+AGOSTO!C32+SEPTIEMBRE!C32+OCTUBRE!C32+NOVIEMBRE!C32+DICIEMBRE!C32</f>
        <v>0</v>
      </c>
      <c r="D32" s="16">
        <f>ENERO!D32+FEBRERO!D32+MARZO!D32+ABRIL!D32+MAYO!D32+JUNIO!D32+JULIO!D32+AGOSTO!D32+SEPTIEMBRE!D32+OCTUBRE!D32+NOVIEMBRE!D32+DICIEMBRE!D32</f>
        <v>1423407261.0996413</v>
      </c>
      <c r="E32" s="16">
        <f>ENERO!E32+FEBRERO!E32+MARZO!E32+ABRIL!E32+MAYO!E32+JUNIO!E32+JULIO!E32+AGOSTO!E32+SEPTIEMBRE!E32+OCTUBRE!E32+NOVIEMBRE!E32+DICIEMBRE!E32</f>
        <v>362424463.60999995</v>
      </c>
      <c r="F32" s="16">
        <f>ENERO!F32+FEBRERO!F32+MARZO!F32+ABRIL!F32+MAYO!F32+JUNIO!F32+JULIO!F32+AGOSTO!F32+SEPTIEMBRE!F32+OCTUBRE!F32+NOVIEMBRE!F32+DICIEMBRE!F32</f>
        <v>110608925.5581034</v>
      </c>
      <c r="G32" s="16">
        <f>ENERO!G32+FEBRERO!G32+MARZO!G32+ABRIL!G32+MAYO!G32+JUNIO!G32+JULIO!G32+AGOSTO!G32+SEPTIEMBRE!G32+OCTUBRE!G32+NOVIEMBRE!G32+DICIEMBRE!G32</f>
        <v>65169091.279999994</v>
      </c>
      <c r="H32" s="16">
        <f>ENERO!H32+FEBRERO!H32+MARZO!H32+ABRIL!H32+MAYO!H32+JUNIO!H32+JULIO!H32+AGOSTO!H32+SEPTIEMBRE!H32+OCTUBRE!H32+NOVIEMBRE!H32+DICIEMBRE!H32</f>
        <v>1677978281.1800001</v>
      </c>
      <c r="I32" s="16">
        <f>ENERO!I32+FEBRERO!I32+MARZO!I32+ABRIL!I32+MAYO!I32+JUNIO!I32+JULIO!I32+AGOSTO!I32+SEPTIEMBRE!I32+OCTUBRE!I32+NOVIEMBRE!I32+DICIEMBRE!I32</f>
        <v>294956568.31999999</v>
      </c>
      <c r="J32" s="16">
        <f>ENERO!J32+FEBRERO!J32+MARZO!J32+ABRIL!J32+MAYO!J32+JUNIO!J32+JULIO!J32+AGOSTO!J32+SEPTIEMBRE!J32+OCTUBRE!J32+NOVIEMBRE!J32+DICIEMBRE!J32</f>
        <v>2014233056.0699997</v>
      </c>
      <c r="K32" s="16">
        <f>ENERO!K32+FEBRERO!K32+MARZO!K32+ABRIL!K32+MAYO!K32+JUNIO!K32+JULIO!K32+AGOSTO!K32+SEPTIEMBRE!K32+OCTUBRE!K32+NOVIEMBRE!K32+DICIEMBRE!K32</f>
        <v>0</v>
      </c>
      <c r="L32" s="16">
        <f>ENERO!L32+FEBRERO!L32+MARZO!L32+ABRIL!L32+MAYO!L32+JUNIO!L32+JULIO!L32+AGOSTO!L32+SEPTIEMBRE!L32+OCTUBRE!L32+NOVIEMBRE!L32+DICIEMBRE!L32</f>
        <v>0</v>
      </c>
      <c r="M32" s="16">
        <f>ENERO!M32+FEBRERO!M32+MARZO!M32+ABRIL!M32+MAYO!M32+JUNIO!M32+JULIO!M32+AGOSTO!M32+SEPTIEMBRE!M32+OCTUBRE!M32+NOVIEMBRE!M32+DICIEMBRE!M32</f>
        <v>0</v>
      </c>
      <c r="N32" s="18">
        <f t="shared" si="0"/>
        <v>35628683132.227737</v>
      </c>
      <c r="O32" s="4"/>
      <c r="P32" s="4"/>
      <c r="Q32" s="4"/>
    </row>
    <row r="33" spans="1:17" ht="18" customHeight="1" x14ac:dyDescent="0.2">
      <c r="A33" s="17" t="s">
        <v>28</v>
      </c>
      <c r="B33" s="16">
        <f>ENERO!B33+FEBRERO!B33+MARZO!B33+ABRIL!B33+MAYO!B33+JUNIO!B33+JULIO!B33+AGOSTO!B33+SEPTIEMBRE!B33+OCTUBRE!B33+NOVIEMBRE!B33+DICIEMBRE!B33</f>
        <v>18587207993.100002</v>
      </c>
      <c r="C33" s="16">
        <f>ENERO!C33+FEBRERO!C33+MARZO!C33+ABRIL!C33+MAYO!C33+JUNIO!C33+JULIO!C33+AGOSTO!C33+SEPTIEMBRE!C33+OCTUBRE!C33+NOVIEMBRE!C33+DICIEMBRE!C33</f>
        <v>0</v>
      </c>
      <c r="D33" s="16">
        <f>ENERO!D33+FEBRERO!D33+MARZO!D33+ABRIL!D33+MAYO!D33+JUNIO!D33+JULIO!D33+AGOSTO!D33+SEPTIEMBRE!D33+OCTUBRE!D33+NOVIEMBRE!D33+DICIEMBRE!D33</f>
        <v>893197023.18317592</v>
      </c>
      <c r="E33" s="16">
        <f>ENERO!E33+FEBRERO!E33+MARZO!E33+ABRIL!E33+MAYO!E33+JUNIO!E33+JULIO!E33+AGOSTO!E33+SEPTIEMBRE!E33+OCTUBRE!E33+NOVIEMBRE!E33+DICIEMBRE!E33</f>
        <v>232882516.14000002</v>
      </c>
      <c r="F33" s="16">
        <f>ENERO!F33+FEBRERO!F33+MARZO!F33+ABRIL!F33+MAYO!F33+JUNIO!F33+JULIO!F33+AGOSTO!F33+SEPTIEMBRE!F33+OCTUBRE!F33+NOVIEMBRE!F33+DICIEMBRE!F33</f>
        <v>81170820.882061303</v>
      </c>
      <c r="G33" s="16">
        <f>ENERO!G33+FEBRERO!G33+MARZO!G33+ABRIL!G33+MAYO!G33+JUNIO!G33+JULIO!G33+AGOSTO!G33+SEPTIEMBRE!G33+OCTUBRE!G33+NOVIEMBRE!G33+DICIEMBRE!G33</f>
        <v>52395083.350000001</v>
      </c>
      <c r="H33" s="16">
        <f>ENERO!H33+FEBRERO!H33+MARZO!H33+ABRIL!H33+MAYO!H33+JUNIO!H33+JULIO!H33+AGOSTO!H33+SEPTIEMBRE!H33+OCTUBRE!H33+NOVIEMBRE!H33+DICIEMBRE!H33</f>
        <v>1057241876.7399998</v>
      </c>
      <c r="I33" s="16">
        <f>ENERO!I33+FEBRERO!I33+MARZO!I33+ABRIL!I33+MAYO!I33+JUNIO!I33+JULIO!I33+AGOSTO!I33+SEPTIEMBRE!I33+OCTUBRE!I33+NOVIEMBRE!I33+DICIEMBRE!I33</f>
        <v>216455106.62999997</v>
      </c>
      <c r="J33" s="16">
        <f>ENERO!J33+FEBRERO!J33+MARZO!J33+ABRIL!J33+MAYO!J33+JUNIO!J33+JULIO!J33+AGOSTO!J33+SEPTIEMBRE!J33+OCTUBRE!J33+NOVIEMBRE!J33+DICIEMBRE!J33</f>
        <v>1921318319.0400002</v>
      </c>
      <c r="K33" s="16">
        <f>ENERO!K33+FEBRERO!K33+MARZO!K33+ABRIL!K33+MAYO!K33+JUNIO!K33+JULIO!K33+AGOSTO!K33+SEPTIEMBRE!K33+OCTUBRE!K33+NOVIEMBRE!K33+DICIEMBRE!K33</f>
        <v>0</v>
      </c>
      <c r="L33" s="16">
        <f>ENERO!L33+FEBRERO!L33+MARZO!L33+ABRIL!L33+MAYO!L33+JUNIO!L33+JULIO!L33+AGOSTO!L33+SEPTIEMBRE!L33+OCTUBRE!L33+NOVIEMBRE!L33+DICIEMBRE!L33</f>
        <v>0</v>
      </c>
      <c r="M33" s="16">
        <f>ENERO!M33+FEBRERO!M33+MARZO!M33+ABRIL!M33+MAYO!M33+JUNIO!M33+JULIO!M33+AGOSTO!M33+SEPTIEMBRE!M33+OCTUBRE!M33+NOVIEMBRE!M33+DICIEMBRE!M33</f>
        <v>0</v>
      </c>
      <c r="N33" s="18">
        <f t="shared" si="0"/>
        <v>23041868739.065235</v>
      </c>
      <c r="O33" s="4"/>
      <c r="P33" s="4"/>
      <c r="Q33" s="4"/>
    </row>
    <row r="34" spans="1:17" ht="18" customHeight="1" x14ac:dyDescent="0.2">
      <c r="A34" s="17" t="s">
        <v>29</v>
      </c>
      <c r="B34" s="16">
        <f>ENERO!B34+FEBRERO!B34+MARZO!B34+ABRIL!B34+MAYO!B34+JUNIO!B34+JULIO!B34+AGOSTO!B34+SEPTIEMBRE!B34+OCTUBRE!B34+NOVIEMBRE!B34+DICIEMBRE!B34</f>
        <v>25407937162.740002</v>
      </c>
      <c r="C34" s="16">
        <f>ENERO!C34+FEBRERO!C34+MARZO!C34+ABRIL!C34+MAYO!C34+JUNIO!C34+JULIO!C34+AGOSTO!C34+SEPTIEMBRE!C34+OCTUBRE!C34+NOVIEMBRE!C34+DICIEMBRE!C34</f>
        <v>0</v>
      </c>
      <c r="D34" s="16">
        <f>ENERO!D34+FEBRERO!D34+MARZO!D34+ABRIL!D34+MAYO!D34+JUNIO!D34+JULIO!D34+AGOSTO!D34+SEPTIEMBRE!D34+OCTUBRE!D34+NOVIEMBRE!D34+DICIEMBRE!D34</f>
        <v>897177570.85877013</v>
      </c>
      <c r="E34" s="16">
        <f>ENERO!E34+FEBRERO!E34+MARZO!E34+ABRIL!E34+MAYO!E34+JUNIO!E34+JULIO!E34+AGOSTO!E34+SEPTIEMBRE!E34+OCTUBRE!E34+NOVIEMBRE!E34+DICIEMBRE!E34</f>
        <v>383021985.29000008</v>
      </c>
      <c r="F34" s="16">
        <f>ENERO!F34+FEBRERO!F34+MARZO!F34+ABRIL!F34+MAYO!F34+JUNIO!F34+JULIO!F34+AGOSTO!F34+SEPTIEMBRE!F34+OCTUBRE!F34+NOVIEMBRE!F34+DICIEMBRE!F34</f>
        <v>118040462.74142911</v>
      </c>
      <c r="G34" s="16">
        <f>ENERO!G34+FEBRERO!G34+MARZO!G34+ABRIL!G34+MAYO!G34+JUNIO!G34+JULIO!G34+AGOSTO!G34+SEPTIEMBRE!G34+OCTUBRE!G34+NOVIEMBRE!G34+DICIEMBRE!G34</f>
        <v>87469477.989999995</v>
      </c>
      <c r="H34" s="16">
        <f>ENERO!H34+FEBRERO!H34+MARZO!H34+ABRIL!H34+MAYO!H34+JUNIO!H34+JULIO!H34+AGOSTO!H34+SEPTIEMBRE!H34+OCTUBRE!H34+NOVIEMBRE!H34+DICIEMBRE!H34</f>
        <v>1439912581.6000001</v>
      </c>
      <c r="I34" s="16">
        <f>ENERO!I34+FEBRERO!I34+MARZO!I34+ABRIL!I34+MAYO!I34+JUNIO!I34+JULIO!I34+AGOSTO!I34+SEPTIEMBRE!I34+OCTUBRE!I34+NOVIEMBRE!I34+DICIEMBRE!I34</f>
        <v>314773962.73000002</v>
      </c>
      <c r="J34" s="16">
        <f>ENERO!J34+FEBRERO!J34+MARZO!J34+ABRIL!J34+MAYO!J34+JUNIO!J34+JULIO!J34+AGOSTO!J34+SEPTIEMBRE!J34+OCTUBRE!J34+NOVIEMBRE!J34+DICIEMBRE!J34</f>
        <v>2416823572.6399999</v>
      </c>
      <c r="K34" s="16">
        <f>ENERO!K34+FEBRERO!K34+MARZO!K34+ABRIL!K34+MAYO!K34+JUNIO!K34+JULIO!K34+AGOSTO!K34+SEPTIEMBRE!K34+OCTUBRE!K34+NOVIEMBRE!K34+DICIEMBRE!K34</f>
        <v>0</v>
      </c>
      <c r="L34" s="16">
        <f>ENERO!L34+FEBRERO!L34+MARZO!L34+ABRIL!L34+MAYO!L34+JUNIO!L34+JULIO!L34+AGOSTO!L34+SEPTIEMBRE!L34+OCTUBRE!L34+NOVIEMBRE!L34+DICIEMBRE!L34</f>
        <v>0</v>
      </c>
      <c r="M34" s="16">
        <f>ENERO!M34+FEBRERO!M34+MARZO!M34+ABRIL!M34+MAYO!M34+JUNIO!M34+JULIO!M34+AGOSTO!M34+SEPTIEMBRE!M34+OCTUBRE!M34+NOVIEMBRE!M34+DICIEMBRE!M34</f>
        <v>0</v>
      </c>
      <c r="N34" s="18">
        <f t="shared" si="0"/>
        <v>31065156776.590199</v>
      </c>
      <c r="O34" s="4"/>
      <c r="P34" s="4"/>
      <c r="Q34" s="4"/>
    </row>
    <row r="35" spans="1:17" ht="18" customHeight="1" x14ac:dyDescent="0.2">
      <c r="A35" s="17" t="s">
        <v>30</v>
      </c>
      <c r="B35" s="16">
        <f>ENERO!B35+FEBRERO!B35+MARZO!B35+ABRIL!B35+MAYO!B35+JUNIO!B35+JULIO!B35+AGOSTO!B35+SEPTIEMBRE!B35+OCTUBRE!B35+NOVIEMBRE!B35+DICIEMBRE!B35</f>
        <v>12537596143.58</v>
      </c>
      <c r="C35" s="16">
        <f>ENERO!C35+FEBRERO!C35+MARZO!C35+ABRIL!C35+MAYO!C35+JUNIO!C35+JULIO!C35+AGOSTO!C35+SEPTIEMBRE!C35+OCTUBRE!C35+NOVIEMBRE!C35+DICIEMBRE!C35</f>
        <v>0</v>
      </c>
      <c r="D35" s="16">
        <f>ENERO!D35+FEBRERO!D35+MARZO!D35+ABRIL!D35+MAYO!D35+JUNIO!D35+JULIO!D35+AGOSTO!D35+SEPTIEMBRE!D35+OCTUBRE!D35+NOVIEMBRE!D35+DICIEMBRE!D35</f>
        <v>663334374.16485476</v>
      </c>
      <c r="E35" s="16">
        <f>ENERO!E35+FEBRERO!E35+MARZO!E35+ABRIL!E35+MAYO!E35+JUNIO!E35+JULIO!E35+AGOSTO!E35+SEPTIEMBRE!E35+OCTUBRE!E35+NOVIEMBRE!E35+DICIEMBRE!E35</f>
        <v>153381182.46000001</v>
      </c>
      <c r="F35" s="16">
        <f>ENERO!F35+FEBRERO!F35+MARZO!F35+ABRIL!F35+MAYO!F35+JUNIO!F35+JULIO!F35+AGOSTO!F35+SEPTIEMBRE!F35+OCTUBRE!F35+NOVIEMBRE!F35+DICIEMBRE!F35</f>
        <v>73796892.504187733</v>
      </c>
      <c r="G35" s="16">
        <f>ENERO!G35+FEBRERO!G35+MARZO!G35+ABRIL!G35+MAYO!G35+JUNIO!G35+JULIO!G35+AGOSTO!G35+SEPTIEMBRE!G35+OCTUBRE!G35+NOVIEMBRE!G35+DICIEMBRE!G35</f>
        <v>33991851.600000001</v>
      </c>
      <c r="H35" s="16">
        <f>ENERO!H35+FEBRERO!H35+MARZO!H35+ABRIL!H35+MAYO!H35+JUNIO!H35+JULIO!H35+AGOSTO!H35+SEPTIEMBRE!H35+OCTUBRE!H35+NOVIEMBRE!H35+DICIEMBRE!H35</f>
        <v>708492900.31000018</v>
      </c>
      <c r="I35" s="16">
        <f>ENERO!I35+FEBRERO!I35+MARZO!I35+ABRIL!I35+MAYO!I35+JUNIO!I35+JULIO!I35+AGOSTO!I35+SEPTIEMBRE!I35+OCTUBRE!I35+NOVIEMBRE!I35+DICIEMBRE!I35</f>
        <v>196791335.39999998</v>
      </c>
      <c r="J35" s="16">
        <f>ENERO!J35+FEBRERO!J35+MARZO!J35+ABRIL!J35+MAYO!J35+JUNIO!J35+JULIO!J35+AGOSTO!J35+SEPTIEMBRE!J35+OCTUBRE!J35+NOVIEMBRE!J35+DICIEMBRE!J35</f>
        <v>868613635.36999989</v>
      </c>
      <c r="K35" s="16">
        <f>ENERO!K35+FEBRERO!K35+MARZO!K35+ABRIL!K35+MAYO!K35+JUNIO!K35+JULIO!K35+AGOSTO!K35+SEPTIEMBRE!K35+OCTUBRE!K35+NOVIEMBRE!K35+DICIEMBRE!K35</f>
        <v>0</v>
      </c>
      <c r="L35" s="16">
        <f>ENERO!L35+FEBRERO!L35+MARZO!L35+ABRIL!L35+MAYO!L35+JUNIO!L35+JULIO!L35+AGOSTO!L35+SEPTIEMBRE!L35+OCTUBRE!L35+NOVIEMBRE!L35+DICIEMBRE!L35</f>
        <v>0</v>
      </c>
      <c r="M35" s="16">
        <f>ENERO!M35+FEBRERO!M35+MARZO!M35+ABRIL!M35+MAYO!M35+JUNIO!M35+JULIO!M35+AGOSTO!M35+SEPTIEMBRE!M35+OCTUBRE!M35+NOVIEMBRE!M35+DICIEMBRE!M35</f>
        <v>0</v>
      </c>
      <c r="N35" s="18">
        <f t="shared" si="0"/>
        <v>15235998315.389042</v>
      </c>
      <c r="O35" s="4"/>
      <c r="P35" s="4"/>
      <c r="Q35" s="4"/>
    </row>
    <row r="36" spans="1:17" ht="18" customHeight="1" x14ac:dyDescent="0.2">
      <c r="A36" s="17" t="s">
        <v>31</v>
      </c>
      <c r="B36" s="16">
        <f>ENERO!B36+FEBRERO!B36+MARZO!B36+ABRIL!B36+MAYO!B36+JUNIO!B36+JULIO!B36+AGOSTO!B36+SEPTIEMBRE!B36+OCTUBRE!B36+NOVIEMBRE!B36+DICIEMBRE!B36</f>
        <v>14385177380.009998</v>
      </c>
      <c r="C36" s="16">
        <f>ENERO!C36+FEBRERO!C36+MARZO!C36+ABRIL!C36+MAYO!C36+JUNIO!C36+JULIO!C36+AGOSTO!C36+SEPTIEMBRE!C36+OCTUBRE!C36+NOVIEMBRE!C36+DICIEMBRE!C36</f>
        <v>0</v>
      </c>
      <c r="D36" s="16">
        <f>ENERO!D36+FEBRERO!D36+MARZO!D36+ABRIL!D36+MAYO!D36+JUNIO!D36+JULIO!D36+AGOSTO!D36+SEPTIEMBRE!D36+OCTUBRE!D36+NOVIEMBRE!D36+DICIEMBRE!D36</f>
        <v>706905562.36739016</v>
      </c>
      <c r="E36" s="16">
        <f>ENERO!E36+FEBRERO!E36+MARZO!E36+ABRIL!E36+MAYO!E36+JUNIO!E36+JULIO!E36+AGOSTO!E36+SEPTIEMBRE!E36+OCTUBRE!E36+NOVIEMBRE!E36+DICIEMBRE!E36</f>
        <v>176514827.42999998</v>
      </c>
      <c r="F36" s="16">
        <f>ENERO!F36+FEBRERO!F36+MARZO!F36+ABRIL!F36+MAYO!F36+JUNIO!F36+JULIO!F36+AGOSTO!F36+SEPTIEMBRE!F36+OCTUBRE!F36+NOVIEMBRE!F36+DICIEMBRE!F36</f>
        <v>46432705.164422572</v>
      </c>
      <c r="G36" s="16">
        <f>ENERO!G36+FEBRERO!G36+MARZO!G36+ABRIL!G36+MAYO!G36+JUNIO!G36+JULIO!G36+AGOSTO!G36+SEPTIEMBRE!G36+OCTUBRE!G36+NOVIEMBRE!G36+DICIEMBRE!G36</f>
        <v>19702283.390000001</v>
      </c>
      <c r="H36" s="16">
        <f>ENERO!H36+FEBRERO!H36+MARZO!H36+ABRIL!H36+MAYO!H36+JUNIO!H36+JULIO!H36+AGOSTO!H36+SEPTIEMBRE!H36+OCTUBRE!H36+NOVIEMBRE!H36+DICIEMBRE!H36</f>
        <v>814346134</v>
      </c>
      <c r="I36" s="16">
        <f>ENERO!I36+FEBRERO!I36+MARZO!I36+ABRIL!I36+MAYO!I36+JUNIO!I36+JULIO!I36+AGOSTO!I36+SEPTIEMBRE!I36+OCTUBRE!I36+NOVIEMBRE!I36+DICIEMBRE!I36</f>
        <v>123820309.40000001</v>
      </c>
      <c r="J36" s="16">
        <f>ENERO!J36+FEBRERO!J36+MARZO!J36+ABRIL!J36+MAYO!J36+JUNIO!J36+JULIO!J36+AGOSTO!J36+SEPTIEMBRE!J36+OCTUBRE!J36+NOVIEMBRE!J36+DICIEMBRE!J36</f>
        <v>874775938.56999993</v>
      </c>
      <c r="K36" s="16">
        <f>ENERO!K36+FEBRERO!K36+MARZO!K36+ABRIL!K36+MAYO!K36+JUNIO!K36+JULIO!K36+AGOSTO!K36+SEPTIEMBRE!K36+OCTUBRE!K36+NOVIEMBRE!K36+DICIEMBRE!K36</f>
        <v>0</v>
      </c>
      <c r="L36" s="16">
        <f>ENERO!L36+FEBRERO!L36+MARZO!L36+ABRIL!L36+MAYO!L36+JUNIO!L36+JULIO!L36+AGOSTO!L36+SEPTIEMBRE!L36+OCTUBRE!L36+NOVIEMBRE!L36+DICIEMBRE!L36</f>
        <v>0</v>
      </c>
      <c r="M36" s="16">
        <f>ENERO!M36+FEBRERO!M36+MARZO!M36+ABRIL!M36+MAYO!M36+JUNIO!M36+JULIO!M36+AGOSTO!M36+SEPTIEMBRE!M36+OCTUBRE!M36+NOVIEMBRE!M36+DICIEMBRE!M36</f>
        <v>0</v>
      </c>
      <c r="N36" s="18">
        <f t="shared" si="0"/>
        <v>17147675140.33181</v>
      </c>
      <c r="O36" s="4"/>
      <c r="P36" s="4"/>
      <c r="Q36" s="4"/>
    </row>
    <row r="37" spans="1:17" ht="18" customHeight="1" x14ac:dyDescent="0.2">
      <c r="A37" s="17" t="s">
        <v>32</v>
      </c>
      <c r="B37" s="16">
        <f>ENERO!B37+FEBRERO!B37+MARZO!B37+ABRIL!B37+MAYO!B37+JUNIO!B37+JULIO!B37+AGOSTO!B37+SEPTIEMBRE!B37+OCTUBRE!B37+NOVIEMBRE!B37+DICIEMBRE!B37</f>
        <v>14978205894</v>
      </c>
      <c r="C37" s="16">
        <f>ENERO!C37+FEBRERO!C37+MARZO!C37+ABRIL!C37+MAYO!C37+JUNIO!C37+JULIO!C37+AGOSTO!C37+SEPTIEMBRE!C37+OCTUBRE!C37+NOVIEMBRE!C37+DICIEMBRE!C37</f>
        <v>0</v>
      </c>
      <c r="D37" s="16">
        <f>ENERO!D37+FEBRERO!D37+MARZO!D37+ABRIL!D37+MAYO!D37+JUNIO!D37+JULIO!D37+AGOSTO!D37+SEPTIEMBRE!D37+OCTUBRE!D37+NOVIEMBRE!D37+DICIEMBRE!D37</f>
        <v>778245914.15141487</v>
      </c>
      <c r="E37" s="16">
        <f>ENERO!E37+FEBRERO!E37+MARZO!E37+ABRIL!E37+MAYO!E37+JUNIO!E37+JULIO!E37+AGOSTO!E37+SEPTIEMBRE!E37+OCTUBRE!E37+NOVIEMBRE!E37+DICIEMBRE!E37</f>
        <v>183499776.03999996</v>
      </c>
      <c r="F37" s="16">
        <f>ENERO!F37+FEBRERO!F37+MARZO!F37+ABRIL!F37+MAYO!F37+JUNIO!F37+JULIO!F37+AGOSTO!F37+SEPTIEMBRE!F37+OCTUBRE!F37+NOVIEMBRE!F37+DICIEMBRE!F37</f>
        <v>86125179.010945097</v>
      </c>
      <c r="G37" s="16">
        <f>ENERO!G37+FEBRERO!G37+MARZO!G37+ABRIL!G37+MAYO!G37+JUNIO!G37+JULIO!G37+AGOSTO!G37+SEPTIEMBRE!G37+OCTUBRE!G37+NOVIEMBRE!G37+DICIEMBRE!G37</f>
        <v>30094696.640000004</v>
      </c>
      <c r="H37" s="16">
        <f>ENERO!H37+FEBRERO!H37+MARZO!H37+ABRIL!H37+MAYO!H37+JUNIO!H37+JULIO!H37+AGOSTO!H37+SEPTIEMBRE!H37+OCTUBRE!H37+NOVIEMBRE!H37+DICIEMBRE!H37</f>
        <v>847757509.5200001</v>
      </c>
      <c r="I37" s="16">
        <f>ENERO!I37+FEBRERO!I37+MARZO!I37+ABRIL!I37+MAYO!I37+JUNIO!I37+JULIO!I37+AGOSTO!I37+SEPTIEMBRE!I37+OCTUBRE!I37+NOVIEMBRE!I37+DICIEMBRE!I37</f>
        <v>229666702.91999999</v>
      </c>
      <c r="J37" s="16">
        <f>ENERO!J37+FEBRERO!J37+MARZO!J37+ABRIL!J37+MAYO!J37+JUNIO!J37+JULIO!J37+AGOSTO!J37+SEPTIEMBRE!J37+OCTUBRE!J37+NOVIEMBRE!J37+DICIEMBRE!J37</f>
        <v>1484839576.8800004</v>
      </c>
      <c r="K37" s="16">
        <f>ENERO!K37+FEBRERO!K37+MARZO!K37+ABRIL!K37+MAYO!K37+JUNIO!K37+JULIO!K37+AGOSTO!K37+SEPTIEMBRE!K37+OCTUBRE!K37+NOVIEMBRE!K37+DICIEMBRE!K37</f>
        <v>0</v>
      </c>
      <c r="L37" s="16">
        <f>ENERO!L37+FEBRERO!L37+MARZO!L37+ABRIL!L37+MAYO!L37+JUNIO!L37+JULIO!L37+AGOSTO!L37+SEPTIEMBRE!L37+OCTUBRE!L37+NOVIEMBRE!L37+DICIEMBRE!L37</f>
        <v>0</v>
      </c>
      <c r="M37" s="16">
        <f>ENERO!M37+FEBRERO!M37+MARZO!M37+ABRIL!M37+MAYO!M37+JUNIO!M37+JULIO!M37+AGOSTO!M37+SEPTIEMBRE!M37+OCTUBRE!M37+NOVIEMBRE!M37+DICIEMBRE!M37</f>
        <v>0</v>
      </c>
      <c r="N37" s="18">
        <f t="shared" si="0"/>
        <v>18618435249.162357</v>
      </c>
      <c r="O37" s="4"/>
      <c r="P37" s="4"/>
      <c r="Q37" s="4"/>
    </row>
    <row r="38" spans="1:17" ht="18" customHeight="1" x14ac:dyDescent="0.2">
      <c r="A38" s="17" t="s">
        <v>33</v>
      </c>
      <c r="B38" s="16">
        <f>ENERO!B38+FEBRERO!B38+MARZO!B38+ABRIL!B38+MAYO!B38+JUNIO!B38+JULIO!B38+AGOSTO!B38+SEPTIEMBRE!B38+OCTUBRE!B38+NOVIEMBRE!B38+DICIEMBRE!B38</f>
        <v>12642142203.719999</v>
      </c>
      <c r="C38" s="16">
        <f>ENERO!C38+FEBRERO!C38+MARZO!C38+ABRIL!C38+MAYO!C38+JUNIO!C38+JULIO!C38+AGOSTO!C38+SEPTIEMBRE!C38+OCTUBRE!C38+NOVIEMBRE!C38+DICIEMBRE!C38</f>
        <v>0</v>
      </c>
      <c r="D38" s="16">
        <f>ENERO!D38+FEBRERO!D38+MARZO!D38+ABRIL!D38+MAYO!D38+JUNIO!D38+JULIO!D38+AGOSTO!D38+SEPTIEMBRE!D38+OCTUBRE!D38+NOVIEMBRE!D38+DICIEMBRE!D38</f>
        <v>84676122.937275082</v>
      </c>
      <c r="E38" s="16">
        <f>ENERO!E38+FEBRERO!E38+MARZO!E38+ABRIL!E38+MAYO!E38+JUNIO!E38+JULIO!E38+AGOSTO!E38+SEPTIEMBRE!E38+OCTUBRE!E38+NOVIEMBRE!E38+DICIEMBRE!E38</f>
        <v>157064009.59999996</v>
      </c>
      <c r="F38" s="16">
        <f>ENERO!F38+FEBRERO!F38+MARZO!F38+ABRIL!F38+MAYO!F38+JUNIO!F38+JULIO!F38+AGOSTO!F38+SEPTIEMBRE!F38+OCTUBRE!F38+NOVIEMBRE!F38+DICIEMBRE!F38</f>
        <v>76965377.34405528</v>
      </c>
      <c r="G38" s="16">
        <f>ENERO!G38+FEBRERO!G38+MARZO!G38+ABRIL!G38+MAYO!G38+JUNIO!G38+JULIO!G38+AGOSTO!G38+SEPTIEMBRE!G38+OCTUBRE!G38+NOVIEMBRE!G38+DICIEMBRE!G38</f>
        <v>83355814.429999992</v>
      </c>
      <c r="H38" s="16">
        <f>ENERO!H38+FEBRERO!H38+MARZO!H38+ABRIL!H38+MAYO!H38+JUNIO!H38+JULIO!H38+AGOSTO!H38+SEPTIEMBRE!H38+OCTUBRE!H38+NOVIEMBRE!H38+DICIEMBRE!H38</f>
        <v>717397400.24000001</v>
      </c>
      <c r="I38" s="16">
        <f>ENERO!I38+FEBRERO!I38+MARZO!I38+ABRIL!I38+MAYO!I38+JUNIO!I38+JULIO!I38+AGOSTO!I38+SEPTIEMBRE!I38+OCTUBRE!I38+NOVIEMBRE!I38+DICIEMBRE!I38</f>
        <v>205240612.10999998</v>
      </c>
      <c r="J38" s="16">
        <f>ENERO!J38+FEBRERO!J38+MARZO!J38+ABRIL!J38+MAYO!J38+JUNIO!J38+JULIO!J38+AGOSTO!J38+SEPTIEMBRE!J38+OCTUBRE!J38+NOVIEMBRE!J38+DICIEMBRE!J38</f>
        <v>2450298309.8899999</v>
      </c>
      <c r="K38" s="16">
        <f>ENERO!K38+FEBRERO!K38+MARZO!K38+ABRIL!K38+MAYO!K38+JUNIO!K38+JULIO!K38+AGOSTO!K38+SEPTIEMBRE!K38+OCTUBRE!K38+NOVIEMBRE!K38+DICIEMBRE!K38</f>
        <v>0</v>
      </c>
      <c r="L38" s="16">
        <f>ENERO!L38+FEBRERO!L38+MARZO!L38+ABRIL!L38+MAYO!L38+JUNIO!L38+JULIO!L38+AGOSTO!L38+SEPTIEMBRE!L38+OCTUBRE!L38+NOVIEMBRE!L38+DICIEMBRE!L38</f>
        <v>0</v>
      </c>
      <c r="M38" s="16">
        <f>ENERO!M38+FEBRERO!M38+MARZO!M38+ABRIL!M38+MAYO!M38+JUNIO!M38+JULIO!M38+AGOSTO!M38+SEPTIEMBRE!M38+OCTUBRE!M38+NOVIEMBRE!M38+DICIEMBRE!M38</f>
        <v>0</v>
      </c>
      <c r="N38" s="18">
        <f t="shared" si="0"/>
        <v>16417139850.27133</v>
      </c>
      <c r="O38" s="4"/>
      <c r="P38" s="4"/>
      <c r="Q38" s="4"/>
    </row>
    <row r="39" spans="1:17" ht="18" customHeight="1" x14ac:dyDescent="0.2">
      <c r="A39" s="17" t="s">
        <v>34</v>
      </c>
      <c r="B39" s="16">
        <f>ENERO!B39+FEBRERO!B39+MARZO!B39+ABRIL!B39+MAYO!B39+JUNIO!B39+JULIO!B39+AGOSTO!B39+SEPTIEMBRE!B39+OCTUBRE!B39+NOVIEMBRE!B39+DICIEMBRE!B39</f>
        <v>24300830435.399998</v>
      </c>
      <c r="C39" s="16">
        <f>ENERO!C39+FEBRERO!C39+MARZO!C39+ABRIL!C39+MAYO!C39+JUNIO!C39+JULIO!C39+AGOSTO!C39+SEPTIEMBRE!C39+OCTUBRE!C39+NOVIEMBRE!C39+DICIEMBRE!C39</f>
        <v>0</v>
      </c>
      <c r="D39" s="16">
        <f>ENERO!D39+FEBRERO!D39+MARZO!D39+ABRIL!D39+MAYO!D39+JUNIO!D39+JULIO!D39+AGOSTO!D39+SEPTIEMBRE!D39+OCTUBRE!D39+NOVIEMBRE!D39+DICIEMBRE!D39</f>
        <v>1197018178.9464242</v>
      </c>
      <c r="E39" s="16">
        <f>ENERO!E39+FEBRERO!E39+MARZO!E39+ABRIL!E39+MAYO!E39+JUNIO!E39+JULIO!E39+AGOSTO!E39+SEPTIEMBRE!E39+OCTUBRE!E39+NOVIEMBRE!E39+DICIEMBRE!E39</f>
        <v>297628471.11000001</v>
      </c>
      <c r="F39" s="16">
        <f>ENERO!F39+FEBRERO!F39+MARZO!F39+ABRIL!F39+MAYO!F39+JUNIO!F39+JULIO!F39+AGOSTO!F39+SEPTIEMBRE!F39+OCTUBRE!F39+NOVIEMBRE!F39+DICIEMBRE!F39</f>
        <v>98050203.789537475</v>
      </c>
      <c r="G39" s="16">
        <f>ENERO!G39+FEBRERO!G39+MARZO!G39+ABRIL!G39+MAYO!G39+JUNIO!G39+JULIO!G39+AGOSTO!G39+SEPTIEMBRE!G39+OCTUBRE!G39+NOVIEMBRE!G39+DICIEMBRE!G39</f>
        <v>51962066.129999995</v>
      </c>
      <c r="H39" s="16">
        <f>ENERO!H39+FEBRERO!H39+MARZO!H39+ABRIL!H39+MAYO!H39+JUNIO!H39+JULIO!H39+AGOSTO!H39+SEPTIEMBRE!H39+OCTUBRE!H39+NOVIEMBRE!H39+DICIEMBRE!H39</f>
        <v>1375107773.0999999</v>
      </c>
      <c r="I39" s="16">
        <f>ENERO!I39+FEBRERO!I39+MARZO!I39+ABRIL!I39+MAYO!I39+JUNIO!I39+JULIO!I39+AGOSTO!I39+SEPTIEMBRE!I39+OCTUBRE!I39+NOVIEMBRE!I39+DICIEMBRE!I39</f>
        <v>261466707.95999998</v>
      </c>
      <c r="J39" s="16">
        <f>ENERO!J39+FEBRERO!J39+MARZO!J39+ABRIL!J39+MAYO!J39+JUNIO!J39+JULIO!J39+AGOSTO!J39+SEPTIEMBRE!J39+OCTUBRE!J39+NOVIEMBRE!J39+DICIEMBRE!J39</f>
        <v>2127261981</v>
      </c>
      <c r="K39" s="16">
        <f>ENERO!K39+FEBRERO!K39+MARZO!K39+ABRIL!K39+MAYO!K39+JUNIO!K39+JULIO!K39+AGOSTO!K39+SEPTIEMBRE!K39+OCTUBRE!K39+NOVIEMBRE!K39+DICIEMBRE!K39</f>
        <v>0</v>
      </c>
      <c r="L39" s="16">
        <f>ENERO!L39+FEBRERO!L39+MARZO!L39+ABRIL!L39+MAYO!L39+JUNIO!L39+JULIO!L39+AGOSTO!L39+SEPTIEMBRE!L39+OCTUBRE!L39+NOVIEMBRE!L39+DICIEMBRE!L39</f>
        <v>0</v>
      </c>
      <c r="M39" s="16">
        <f>ENERO!M39+FEBRERO!M39+MARZO!M39+ABRIL!M39+MAYO!M39+JUNIO!M39+JULIO!M39+AGOSTO!M39+SEPTIEMBRE!M39+OCTUBRE!M39+NOVIEMBRE!M39+DICIEMBRE!M39</f>
        <v>0</v>
      </c>
      <c r="N39" s="18">
        <f t="shared" si="0"/>
        <v>29709325817.435959</v>
      </c>
      <c r="O39" s="4"/>
      <c r="P39" s="4"/>
      <c r="Q39" s="4"/>
    </row>
    <row r="40" spans="1:17" ht="18" customHeight="1" x14ac:dyDescent="0.2">
      <c r="A40" s="17" t="s">
        <v>35</v>
      </c>
      <c r="B40" s="16">
        <f>ENERO!B40+FEBRERO!B40+MARZO!B40+ABRIL!B40+MAYO!B40+JUNIO!B40+JULIO!B40+AGOSTO!B40+SEPTIEMBRE!B40+OCTUBRE!B40+NOVIEMBRE!B40+DICIEMBRE!B40</f>
        <v>15959857348.939999</v>
      </c>
      <c r="C40" s="16">
        <f>ENERO!C40+FEBRERO!C40+MARZO!C40+ABRIL!C40+MAYO!C40+JUNIO!C40+JULIO!C40+AGOSTO!C40+SEPTIEMBRE!C40+OCTUBRE!C40+NOVIEMBRE!C40+DICIEMBRE!C40</f>
        <v>0</v>
      </c>
      <c r="D40" s="16">
        <f>ENERO!D40+FEBRERO!D40+MARZO!D40+ABRIL!D40+MAYO!D40+JUNIO!D40+JULIO!D40+AGOSTO!D40+SEPTIEMBRE!D40+OCTUBRE!D40+NOVIEMBRE!D40+DICIEMBRE!D40</f>
        <v>972650930.7556622</v>
      </c>
      <c r="E40" s="16">
        <f>ENERO!E40+FEBRERO!E40+MARZO!E40+ABRIL!E40+MAYO!E40+JUNIO!E40+JULIO!E40+AGOSTO!E40+SEPTIEMBRE!E40+OCTUBRE!E40+NOVIEMBRE!E40+DICIEMBRE!E40</f>
        <v>199617886.03</v>
      </c>
      <c r="F40" s="16">
        <f>ENERO!F40+FEBRERO!F40+MARZO!F40+ABRIL!F40+MAYO!F40+JUNIO!F40+JULIO!F40+AGOSTO!F40+SEPTIEMBRE!F40+OCTUBRE!F40+NOVIEMBRE!F40+DICIEMBRE!F40</f>
        <v>52366413.1659927</v>
      </c>
      <c r="G40" s="16">
        <f>ENERO!G40+FEBRERO!G40+MARZO!G40+ABRIL!G40+MAYO!G40+JUNIO!G40+JULIO!G40+AGOSTO!G40+SEPTIEMBRE!G40+OCTUBRE!G40+NOVIEMBRE!G40+DICIEMBRE!G40</f>
        <v>22733403.919999998</v>
      </c>
      <c r="H40" s="16">
        <f>ENERO!H40+FEBRERO!H40+MARZO!H40+ABRIL!H40+MAYO!H40+JUNIO!H40+JULIO!H40+AGOSTO!H40+SEPTIEMBRE!H40+OCTUBRE!H40+NOVIEMBRE!H40+DICIEMBRE!H40</f>
        <v>907797411.5999999</v>
      </c>
      <c r="I40" s="16">
        <f>ENERO!I40+FEBRERO!I40+MARZO!I40+ABRIL!I40+MAYO!I40+JUNIO!I40+JULIO!I40+AGOSTO!I40+SEPTIEMBRE!I40+OCTUBRE!I40+NOVIEMBRE!I40+DICIEMBRE!I40</f>
        <v>139643500.31</v>
      </c>
      <c r="J40" s="16">
        <f>ENERO!J40+FEBRERO!J40+MARZO!J40+ABRIL!J40+MAYO!J40+JUNIO!J40+JULIO!J40+AGOSTO!J40+SEPTIEMBRE!J40+OCTUBRE!J40+NOVIEMBRE!J40+DICIEMBRE!J40</f>
        <v>1171949264.7500002</v>
      </c>
      <c r="K40" s="16">
        <f>ENERO!K40+FEBRERO!K40+MARZO!K40+ABRIL!K40+MAYO!K40+JUNIO!K40+JULIO!K40+AGOSTO!K40+SEPTIEMBRE!K40+OCTUBRE!K40+NOVIEMBRE!K40+DICIEMBRE!K40</f>
        <v>0</v>
      </c>
      <c r="L40" s="16">
        <f>ENERO!L40+FEBRERO!L40+MARZO!L40+ABRIL!L40+MAYO!L40+JUNIO!L40+JULIO!L40+AGOSTO!L40+SEPTIEMBRE!L40+OCTUBRE!L40+NOVIEMBRE!L40+DICIEMBRE!L40</f>
        <v>0</v>
      </c>
      <c r="M40" s="16">
        <f>ENERO!M40+FEBRERO!M40+MARZO!M40+ABRIL!M40+MAYO!M40+JUNIO!M40+JULIO!M40+AGOSTO!M40+SEPTIEMBRE!M40+OCTUBRE!M40+NOVIEMBRE!M40+DICIEMBRE!M40</f>
        <v>0</v>
      </c>
      <c r="N40" s="18">
        <f t="shared" ref="N40:N71" si="1">SUM(B40:M40)</f>
        <v>19426616159.471653</v>
      </c>
      <c r="O40" s="4"/>
      <c r="P40" s="4"/>
      <c r="Q40" s="4"/>
    </row>
    <row r="41" spans="1:17" ht="18" customHeight="1" x14ac:dyDescent="0.2">
      <c r="A41" s="17" t="s">
        <v>36</v>
      </c>
      <c r="B41" s="16">
        <f>ENERO!B41+FEBRERO!B41+MARZO!B41+ABRIL!B41+MAYO!B41+JUNIO!B41+JULIO!B41+AGOSTO!B41+SEPTIEMBRE!B41+OCTUBRE!B41+NOVIEMBRE!B41+DICIEMBRE!B41</f>
        <v>16677980631.5</v>
      </c>
      <c r="C41" s="16">
        <f>ENERO!C41+FEBRERO!C41+MARZO!C41+ABRIL!C41+MAYO!C41+JUNIO!C41+JULIO!C41+AGOSTO!C41+SEPTIEMBRE!C41+OCTUBRE!C41+NOVIEMBRE!C41+DICIEMBRE!C41</f>
        <v>0</v>
      </c>
      <c r="D41" s="16">
        <f>ENERO!D41+FEBRERO!D41+MARZO!D41+ABRIL!D41+MAYO!D41+JUNIO!D41+JULIO!D41+AGOSTO!D41+SEPTIEMBRE!D41+OCTUBRE!D41+NOVIEMBRE!D41+DICIEMBRE!D41</f>
        <v>339878416.49701124</v>
      </c>
      <c r="E41" s="16">
        <f>ENERO!E41+FEBRERO!E41+MARZO!E41+ABRIL!E41+MAYO!E41+JUNIO!E41+JULIO!E41+AGOSTO!E41+SEPTIEMBRE!E41+OCTUBRE!E41+NOVIEMBRE!E41+DICIEMBRE!E41</f>
        <v>201293373.50999999</v>
      </c>
      <c r="F41" s="16">
        <f>ENERO!F41+FEBRERO!F41+MARZO!F41+ABRIL!F41+MAYO!F41+JUNIO!F41+JULIO!F41+AGOSTO!F41+SEPTIEMBRE!F41+OCTUBRE!F41+NOVIEMBRE!F41+DICIEMBRE!F41</f>
        <v>88659966.880839124</v>
      </c>
      <c r="G41" s="16">
        <f>ENERO!G41+FEBRERO!G41+MARZO!G41+ABRIL!G41+MAYO!G41+JUNIO!G41+JULIO!G41+AGOSTO!G41+SEPTIEMBRE!G41+OCTUBRE!G41+NOVIEMBRE!G41+DICIEMBRE!G41</f>
        <v>39621075.430000007</v>
      </c>
      <c r="H41" s="16">
        <f>ENERO!H41+FEBRERO!H41+MARZO!H41+ABRIL!H41+MAYO!H41+JUNIO!H41+JULIO!H41+AGOSTO!H41+SEPTIEMBRE!H41+OCTUBRE!H41+NOVIEMBRE!H41+DICIEMBRE!H41</f>
        <v>940167933.34000003</v>
      </c>
      <c r="I41" s="16">
        <f>ENERO!I41+FEBRERO!I41+MARZO!I41+ABRIL!I41+MAYO!I41+JUNIO!I41+JULIO!I41+AGOSTO!I41+SEPTIEMBRE!I41+OCTUBRE!I41+NOVIEMBRE!I41+DICIEMBRE!I41</f>
        <v>236426124.29000002</v>
      </c>
      <c r="J41" s="16">
        <f>ENERO!J41+FEBRERO!J41+MARZO!J41+ABRIL!J41+MAYO!J41+JUNIO!J41+JULIO!J41+AGOSTO!J41+SEPTIEMBRE!J41+OCTUBRE!J41+NOVIEMBRE!J41+DICIEMBRE!J41</f>
        <v>1202574047.2299998</v>
      </c>
      <c r="K41" s="16">
        <f>ENERO!K41+FEBRERO!K41+MARZO!K41+ABRIL!K41+MAYO!K41+JUNIO!K41+JULIO!K41+AGOSTO!K41+SEPTIEMBRE!K41+OCTUBRE!K41+NOVIEMBRE!K41+DICIEMBRE!K41</f>
        <v>0</v>
      </c>
      <c r="L41" s="16">
        <f>ENERO!L41+FEBRERO!L41+MARZO!L41+ABRIL!L41+MAYO!L41+JUNIO!L41+JULIO!L41+AGOSTO!L41+SEPTIEMBRE!L41+OCTUBRE!L41+NOVIEMBRE!L41+DICIEMBRE!L41</f>
        <v>0</v>
      </c>
      <c r="M41" s="16">
        <f>ENERO!M41+FEBRERO!M41+MARZO!M41+ABRIL!M41+MAYO!M41+JUNIO!M41+JULIO!M41+AGOSTO!M41+SEPTIEMBRE!M41+OCTUBRE!M41+NOVIEMBRE!M41+DICIEMBRE!M41</f>
        <v>0</v>
      </c>
      <c r="N41" s="18">
        <f t="shared" si="1"/>
        <v>19726601568.677853</v>
      </c>
      <c r="O41" s="4"/>
      <c r="P41" s="4"/>
      <c r="Q41" s="4"/>
    </row>
    <row r="42" spans="1:17" ht="18" customHeight="1" x14ac:dyDescent="0.2">
      <c r="A42" s="17" t="s">
        <v>37</v>
      </c>
      <c r="B42" s="16">
        <f>ENERO!B42+FEBRERO!B42+MARZO!B42+ABRIL!B42+MAYO!B42+JUNIO!B42+JULIO!B42+AGOSTO!B42+SEPTIEMBRE!B42+OCTUBRE!B42+NOVIEMBRE!B42+DICIEMBRE!B42</f>
        <v>10116814094.26</v>
      </c>
      <c r="C42" s="16">
        <f>ENERO!C42+FEBRERO!C42+MARZO!C42+ABRIL!C42+MAYO!C42+JUNIO!C42+JULIO!C42+AGOSTO!C42+SEPTIEMBRE!C42+OCTUBRE!C42+NOVIEMBRE!C42+DICIEMBRE!C42</f>
        <v>0</v>
      </c>
      <c r="D42" s="16">
        <f>ENERO!D42+FEBRERO!D42+MARZO!D42+ABRIL!D42+MAYO!D42+JUNIO!D42+JULIO!D42+AGOSTO!D42+SEPTIEMBRE!D42+OCTUBRE!D42+NOVIEMBRE!D42+DICIEMBRE!D42</f>
        <v>119813529.52714923</v>
      </c>
      <c r="E42" s="16">
        <f>ENERO!E42+FEBRERO!E42+MARZO!E42+ABRIL!E42+MAYO!E42+JUNIO!E42+JULIO!E42+AGOSTO!E42+SEPTIEMBRE!E42+OCTUBRE!E42+NOVIEMBRE!E42+DICIEMBRE!E42</f>
        <v>126865193.95999999</v>
      </c>
      <c r="F42" s="16">
        <f>ENERO!F42+FEBRERO!F42+MARZO!F42+ABRIL!F42+MAYO!F42+JUNIO!F42+JULIO!F42+AGOSTO!F42+SEPTIEMBRE!F42+OCTUBRE!F42+NOVIEMBRE!F42+DICIEMBRE!F42</f>
        <v>240804848.40993345</v>
      </c>
      <c r="G42" s="16">
        <f>ENERO!G42+FEBRERO!G42+MARZO!G42+ABRIL!G42+MAYO!G42+JUNIO!G42+JULIO!G42+AGOSTO!G42+SEPTIEMBRE!G42+OCTUBRE!G42+NOVIEMBRE!G42+DICIEMBRE!G42</f>
        <v>0</v>
      </c>
      <c r="H42" s="16">
        <f>ENERO!H42+FEBRERO!H42+MARZO!H42+ABRIL!H42+MAYO!H42+JUNIO!H42+JULIO!H42+AGOSTO!H42+SEPTIEMBRE!H42+OCTUBRE!H42+NOVIEMBRE!H42+DICIEMBRE!H42</f>
        <v>574420005.28000009</v>
      </c>
      <c r="I42" s="16">
        <f>ENERO!I42+FEBRERO!I42+MARZO!I42+ABRIL!I42+MAYO!I42+JUNIO!I42+JULIO!I42+AGOSTO!I42+SEPTIEMBRE!I42+OCTUBRE!I42+NOVIEMBRE!I42+DICIEMBRE!I42</f>
        <v>642145028.92999995</v>
      </c>
      <c r="J42" s="16">
        <f>ENERO!J42+FEBRERO!J42+MARZO!J42+ABRIL!J42+MAYO!J42+JUNIO!J42+JULIO!J42+AGOSTO!J42+SEPTIEMBRE!J42+OCTUBRE!J42+NOVIEMBRE!J42+DICIEMBRE!J42</f>
        <v>1832516229.3900001</v>
      </c>
      <c r="K42" s="16">
        <f>ENERO!K42+FEBRERO!K42+MARZO!K42+ABRIL!K42+MAYO!K42+JUNIO!K42+JULIO!K42+AGOSTO!K42+SEPTIEMBRE!K42+OCTUBRE!K42+NOVIEMBRE!K42+DICIEMBRE!K42</f>
        <v>0</v>
      </c>
      <c r="L42" s="16">
        <f>ENERO!L42+FEBRERO!L42+MARZO!L42+ABRIL!L42+MAYO!L42+JUNIO!L42+JULIO!L42+AGOSTO!L42+SEPTIEMBRE!L42+OCTUBRE!L42+NOVIEMBRE!L42+DICIEMBRE!L42</f>
        <v>0</v>
      </c>
      <c r="M42" s="16">
        <f>ENERO!M42+FEBRERO!M42+MARZO!M42+ABRIL!M42+MAYO!M42+JUNIO!M42+JULIO!M42+AGOSTO!M42+SEPTIEMBRE!M42+OCTUBRE!M42+NOVIEMBRE!M42+DICIEMBRE!M42</f>
        <v>0</v>
      </c>
      <c r="N42" s="18">
        <f t="shared" si="1"/>
        <v>13653378929.757082</v>
      </c>
      <c r="O42" s="4"/>
      <c r="P42" s="4"/>
      <c r="Q42" s="4"/>
    </row>
    <row r="43" spans="1:17" ht="18" customHeight="1" x14ac:dyDescent="0.2">
      <c r="A43" s="17" t="s">
        <v>38</v>
      </c>
      <c r="B43" s="16">
        <f>ENERO!B43+FEBRERO!B43+MARZO!B43+ABRIL!B43+MAYO!B43+JUNIO!B43+JULIO!B43+AGOSTO!B43+SEPTIEMBRE!B43+OCTUBRE!B43+NOVIEMBRE!B43+DICIEMBRE!B43</f>
        <v>61271561858.599991</v>
      </c>
      <c r="C43" s="16">
        <f>ENERO!C43+FEBRERO!C43+MARZO!C43+ABRIL!C43+MAYO!C43+JUNIO!C43+JULIO!C43+AGOSTO!C43+SEPTIEMBRE!C43+OCTUBRE!C43+NOVIEMBRE!C43+DICIEMBRE!C43</f>
        <v>0</v>
      </c>
      <c r="D43" s="16">
        <f>ENERO!D43+FEBRERO!D43+MARZO!D43+ABRIL!D43+MAYO!D43+JUNIO!D43+JULIO!D43+AGOSTO!D43+SEPTIEMBRE!D43+OCTUBRE!D43+NOVIEMBRE!D43+DICIEMBRE!D43</f>
        <v>490773160.89159024</v>
      </c>
      <c r="E43" s="16">
        <f>ENERO!E43+FEBRERO!E43+MARZO!E43+ABRIL!E43+MAYO!E43+JUNIO!E43+JULIO!E43+AGOSTO!E43+SEPTIEMBRE!E43+OCTUBRE!E43+NOVIEMBRE!E43+DICIEMBRE!E43</f>
        <v>730355919.44000006</v>
      </c>
      <c r="F43" s="16">
        <f>ENERO!F43+FEBRERO!F43+MARZO!F43+ABRIL!F43+MAYO!F43+JUNIO!F43+JULIO!F43+AGOSTO!F43+SEPTIEMBRE!F43+OCTUBRE!F43+NOVIEMBRE!F43+DICIEMBRE!F43</f>
        <v>1001356429.6790484</v>
      </c>
      <c r="G43" s="16">
        <f>ENERO!G43+FEBRERO!G43+MARZO!G43+ABRIL!G43+MAYO!G43+JUNIO!G43+JULIO!G43+AGOSTO!G43+SEPTIEMBRE!G43+OCTUBRE!G43+NOVIEMBRE!G43+DICIEMBRE!G43</f>
        <v>316535586.16999996</v>
      </c>
      <c r="H43" s="16">
        <f>ENERO!H43+FEBRERO!H43+MARZO!H43+ABRIL!H43+MAYO!H43+JUNIO!H43+JULIO!H43+AGOSTO!H43+SEPTIEMBRE!H43+OCTUBRE!H43+NOVIEMBRE!H43+DICIEMBRE!H43</f>
        <v>3442640122.5300002</v>
      </c>
      <c r="I43" s="16">
        <f>ENERO!I43+FEBRERO!I43+MARZO!I43+ABRIL!I43+MAYO!I43+JUNIO!I43+JULIO!I43+AGOSTO!I43+SEPTIEMBRE!I43+OCTUBRE!I43+NOVIEMBRE!I43+DICIEMBRE!I43</f>
        <v>2670278682.4300003</v>
      </c>
      <c r="J43" s="16">
        <f>ENERO!J43+FEBRERO!J43+MARZO!J43+ABRIL!J43+MAYO!J43+JUNIO!J43+JULIO!J43+AGOSTO!J43+SEPTIEMBRE!J43+OCTUBRE!J43+NOVIEMBRE!J43+DICIEMBRE!J43</f>
        <v>6001505991.9199991</v>
      </c>
      <c r="K43" s="16">
        <f>ENERO!K43+FEBRERO!K43+MARZO!K43+ABRIL!K43+MAYO!K43+JUNIO!K43+JULIO!K43+AGOSTO!K43+SEPTIEMBRE!K43+OCTUBRE!K43+NOVIEMBRE!K43+DICIEMBRE!K43</f>
        <v>0</v>
      </c>
      <c r="L43" s="16">
        <f>ENERO!L43+FEBRERO!L43+MARZO!L43+ABRIL!L43+MAYO!L43+JUNIO!L43+JULIO!L43+AGOSTO!L43+SEPTIEMBRE!L43+OCTUBRE!L43+NOVIEMBRE!L43+DICIEMBRE!L43</f>
        <v>0</v>
      </c>
      <c r="M43" s="16">
        <f>ENERO!M43+FEBRERO!M43+MARZO!M43+ABRIL!M43+MAYO!M43+JUNIO!M43+JULIO!M43+AGOSTO!M43+SEPTIEMBRE!M43+OCTUBRE!M43+NOVIEMBRE!M43+DICIEMBRE!M43</f>
        <v>0</v>
      </c>
      <c r="N43" s="18">
        <f t="shared" si="1"/>
        <v>75925007751.660629</v>
      </c>
      <c r="O43" s="4"/>
      <c r="P43" s="4"/>
      <c r="Q43" s="4"/>
    </row>
    <row r="44" spans="1:17" ht="18" customHeight="1" x14ac:dyDescent="0.2">
      <c r="A44" s="17" t="s">
        <v>39</v>
      </c>
      <c r="B44" s="16">
        <f>ENERO!B44+FEBRERO!B44+MARZO!B44+ABRIL!B44+MAYO!B44+JUNIO!B44+JULIO!B44+AGOSTO!B44+SEPTIEMBRE!B44+OCTUBRE!B44+NOVIEMBRE!B44+DICIEMBRE!B44</f>
        <v>55768113047.759995</v>
      </c>
      <c r="C44" s="16">
        <f>ENERO!C44+FEBRERO!C44+MARZO!C44+ABRIL!C44+MAYO!C44+JUNIO!C44+JULIO!C44+AGOSTO!C44+SEPTIEMBRE!C44+OCTUBRE!C44+NOVIEMBRE!C44+DICIEMBRE!C44</f>
        <v>0</v>
      </c>
      <c r="D44" s="16">
        <f>ENERO!D44+FEBRERO!D44+MARZO!D44+ABRIL!D44+MAYO!D44+JUNIO!D44+JULIO!D44+AGOSTO!D44+SEPTIEMBRE!D44+OCTUBRE!D44+NOVIEMBRE!D44+DICIEMBRE!D44</f>
        <v>537227807.10203063</v>
      </c>
      <c r="E44" s="16">
        <f>ENERO!E44+FEBRERO!E44+MARZO!E44+ABRIL!E44+MAYO!E44+JUNIO!E44+JULIO!E44+AGOSTO!E44+SEPTIEMBRE!E44+OCTUBRE!E44+NOVIEMBRE!E44+DICIEMBRE!E44</f>
        <v>679187793.95000005</v>
      </c>
      <c r="F44" s="16">
        <f>ENERO!F44+FEBRERO!F44+MARZO!F44+ABRIL!F44+MAYO!F44+JUNIO!F44+JULIO!F44+AGOSTO!F44+SEPTIEMBRE!F44+OCTUBRE!F44+NOVIEMBRE!F44+DICIEMBRE!F44</f>
        <v>1259962402.1436925</v>
      </c>
      <c r="G44" s="16">
        <f>ENERO!G44+FEBRERO!G44+MARZO!G44+ABRIL!G44+MAYO!G44+JUNIO!G44+JULIO!G44+AGOSTO!G44+SEPTIEMBRE!G44+OCTUBRE!G44+NOVIEMBRE!G44+DICIEMBRE!G44</f>
        <v>544816524.40383542</v>
      </c>
      <c r="H44" s="16">
        <f>ENERO!H44+FEBRERO!H44+MARZO!H44+ABRIL!H44+MAYO!H44+JUNIO!H44+JULIO!H44+AGOSTO!H44+SEPTIEMBRE!H44+OCTUBRE!H44+NOVIEMBRE!H44+DICIEMBRE!H44</f>
        <v>3147445229.5500007</v>
      </c>
      <c r="I44" s="16">
        <f>ENERO!I44+FEBRERO!I44+MARZO!I44+ABRIL!I44+MAYO!I44+JUNIO!I44+JULIO!I44+AGOSTO!I44+SEPTIEMBRE!I44+OCTUBRE!I44+NOVIEMBRE!I44+DICIEMBRE!I44</f>
        <v>3359893284.0399995</v>
      </c>
      <c r="J44" s="16">
        <f>ENERO!J44+FEBRERO!J44+MARZO!J44+ABRIL!J44+MAYO!J44+JUNIO!J44+JULIO!J44+AGOSTO!J44+SEPTIEMBRE!J44+OCTUBRE!J44+NOVIEMBRE!J44+DICIEMBRE!J44</f>
        <v>7760857090.6300011</v>
      </c>
      <c r="K44" s="16">
        <f>ENERO!K44+FEBRERO!K44+MARZO!K44+ABRIL!K44+MAYO!K44+JUNIO!K44+JULIO!K44+AGOSTO!K44+SEPTIEMBRE!K44+OCTUBRE!K44+NOVIEMBRE!K44+DICIEMBRE!K44</f>
        <v>0</v>
      </c>
      <c r="L44" s="16">
        <f>ENERO!L44+FEBRERO!L44+MARZO!L44+ABRIL!L44+MAYO!L44+JUNIO!L44+JULIO!L44+AGOSTO!L44+SEPTIEMBRE!L44+OCTUBRE!L44+NOVIEMBRE!L44+DICIEMBRE!L44</f>
        <v>0</v>
      </c>
      <c r="M44" s="16">
        <f>ENERO!M44+FEBRERO!M44+MARZO!M44+ABRIL!M44+MAYO!M44+JUNIO!M44+JULIO!M44+AGOSTO!M44+SEPTIEMBRE!M44+OCTUBRE!M44+NOVIEMBRE!M44+DICIEMBRE!M44</f>
        <v>0</v>
      </c>
      <c r="N44" s="18">
        <f t="shared" si="1"/>
        <v>73057503179.579559</v>
      </c>
      <c r="O44" s="4"/>
      <c r="P44" s="4"/>
      <c r="Q44" s="4"/>
    </row>
    <row r="45" spans="1:17" ht="18" customHeight="1" x14ac:dyDescent="0.2">
      <c r="A45" s="17" t="s">
        <v>40</v>
      </c>
      <c r="B45" s="16">
        <f>ENERO!B45+FEBRERO!B45+MARZO!B45+ABRIL!B45+MAYO!B45+JUNIO!B45+JULIO!B45+AGOSTO!B45+SEPTIEMBRE!B45+OCTUBRE!B45+NOVIEMBRE!B45+DICIEMBRE!B45</f>
        <v>14904663148.23</v>
      </c>
      <c r="C45" s="16">
        <f>ENERO!C45+FEBRERO!C45+MARZO!C45+ABRIL!C45+MAYO!C45+JUNIO!C45+JULIO!C45+AGOSTO!C45+SEPTIEMBRE!C45+OCTUBRE!C45+NOVIEMBRE!C45+DICIEMBRE!C45</f>
        <v>0</v>
      </c>
      <c r="D45" s="16">
        <f>ENERO!D45+FEBRERO!D45+MARZO!D45+ABRIL!D45+MAYO!D45+JUNIO!D45+JULIO!D45+AGOSTO!D45+SEPTIEMBRE!D45+OCTUBRE!D45+NOVIEMBRE!D45+DICIEMBRE!D45</f>
        <v>382874360.31444073</v>
      </c>
      <c r="E45" s="16">
        <f>ENERO!E45+FEBRERO!E45+MARZO!E45+ABRIL!E45+MAYO!E45+JUNIO!E45+JULIO!E45+AGOSTO!E45+SEPTIEMBRE!E45+OCTUBRE!E45+NOVIEMBRE!E45+DICIEMBRE!E45</f>
        <v>183519497.94</v>
      </c>
      <c r="F45" s="16">
        <f>ENERO!F45+FEBRERO!F45+MARZO!F45+ABRIL!F45+MAYO!F45+JUNIO!F45+JULIO!F45+AGOSTO!F45+SEPTIEMBRE!F45+OCTUBRE!F45+NOVIEMBRE!F45+DICIEMBRE!F45</f>
        <v>93844760.261531472</v>
      </c>
      <c r="G45" s="16">
        <f>ENERO!G45+FEBRERO!G45+MARZO!G45+ABRIL!G45+MAYO!G45+JUNIO!G45+JULIO!G45+AGOSTO!G45+SEPTIEMBRE!G45+OCTUBRE!G45+NOVIEMBRE!G45+DICIEMBRE!G45</f>
        <v>49580471.430000007</v>
      </c>
      <c r="H45" s="16">
        <f>ENERO!H45+FEBRERO!H45+MARZO!H45+ABRIL!H45+MAYO!H45+JUNIO!H45+JULIO!H45+AGOSTO!H45+SEPTIEMBRE!H45+OCTUBRE!H45+NOVIEMBRE!H45+DICIEMBRE!H45</f>
        <v>843973813.43999994</v>
      </c>
      <c r="I45" s="16">
        <f>ENERO!I45+FEBRERO!I45+MARZO!I45+ABRIL!I45+MAYO!I45+JUNIO!I45+JULIO!I45+AGOSTO!I45+SEPTIEMBRE!I45+OCTUBRE!I45+NOVIEMBRE!I45+DICIEMBRE!I45</f>
        <v>250252213.39000002</v>
      </c>
      <c r="J45" s="16">
        <f>ENERO!J45+FEBRERO!J45+MARZO!J45+ABRIL!J45+MAYO!J45+JUNIO!J45+JULIO!J45+AGOSTO!J45+SEPTIEMBRE!J45+OCTUBRE!J45+NOVIEMBRE!J45+DICIEMBRE!J45</f>
        <v>1161825479.29</v>
      </c>
      <c r="K45" s="16">
        <f>ENERO!K45+FEBRERO!K45+MARZO!K45+ABRIL!K45+MAYO!K45+JUNIO!K45+JULIO!K45+AGOSTO!K45+SEPTIEMBRE!K45+OCTUBRE!K45+NOVIEMBRE!K45+DICIEMBRE!K45</f>
        <v>0</v>
      </c>
      <c r="L45" s="16">
        <f>ENERO!L45+FEBRERO!L45+MARZO!L45+ABRIL!L45+MAYO!L45+JUNIO!L45+JULIO!L45+AGOSTO!L45+SEPTIEMBRE!L45+OCTUBRE!L45+NOVIEMBRE!L45+DICIEMBRE!L45</f>
        <v>0</v>
      </c>
      <c r="M45" s="16">
        <f>ENERO!M45+FEBRERO!M45+MARZO!M45+ABRIL!M45+MAYO!M45+JUNIO!M45+JULIO!M45+AGOSTO!M45+SEPTIEMBRE!M45+OCTUBRE!M45+NOVIEMBRE!M45+DICIEMBRE!M45</f>
        <v>0</v>
      </c>
      <c r="N45" s="18">
        <f t="shared" si="1"/>
        <v>17870533744.295975</v>
      </c>
      <c r="O45" s="4"/>
      <c r="P45" s="4"/>
      <c r="Q45" s="4"/>
    </row>
    <row r="46" spans="1:17" ht="18" customHeight="1" x14ac:dyDescent="0.2">
      <c r="A46" s="17" t="s">
        <v>41</v>
      </c>
      <c r="B46" s="16">
        <f>ENERO!B46+FEBRERO!B46+MARZO!B46+ABRIL!B46+MAYO!B46+JUNIO!B46+JULIO!B46+AGOSTO!B46+SEPTIEMBRE!B46+OCTUBRE!B46+NOVIEMBRE!B46+DICIEMBRE!B46</f>
        <v>23582346649.290001</v>
      </c>
      <c r="C46" s="16">
        <f>ENERO!C46+FEBRERO!C46+MARZO!C46+ABRIL!C46+MAYO!C46+JUNIO!C46+JULIO!C46+AGOSTO!C46+SEPTIEMBRE!C46+OCTUBRE!C46+NOVIEMBRE!C46+DICIEMBRE!C46</f>
        <v>0</v>
      </c>
      <c r="D46" s="16">
        <f>ENERO!D46+FEBRERO!D46+MARZO!D46+ABRIL!D46+MAYO!D46+JUNIO!D46+JULIO!D46+AGOSTO!D46+SEPTIEMBRE!D46+OCTUBRE!D46+NOVIEMBRE!D46+DICIEMBRE!D46</f>
        <v>357728500.01203066</v>
      </c>
      <c r="E46" s="16">
        <f>ENERO!E46+FEBRERO!E46+MARZO!E46+ABRIL!E46+MAYO!E46+JUNIO!E46+JULIO!E46+AGOSTO!E46+SEPTIEMBRE!E46+OCTUBRE!E46+NOVIEMBRE!E46+DICIEMBRE!E46</f>
        <v>353093870.06000006</v>
      </c>
      <c r="F46" s="16">
        <f>ENERO!F46+FEBRERO!F46+MARZO!F46+ABRIL!F46+MAYO!F46+JUNIO!F46+JULIO!F46+AGOSTO!F46+SEPTIEMBRE!F46+OCTUBRE!F46+NOVIEMBRE!F46+DICIEMBRE!F46</f>
        <v>740215669.37451077</v>
      </c>
      <c r="G46" s="16">
        <f>ENERO!G46+FEBRERO!G46+MARZO!G46+ABRIL!G46+MAYO!G46+JUNIO!G46+JULIO!G46+AGOSTO!G46+SEPTIEMBRE!G46+OCTUBRE!G46+NOVIEMBRE!G46+DICIEMBRE!G46</f>
        <v>0</v>
      </c>
      <c r="H46" s="16">
        <f>ENERO!H46+FEBRERO!H46+MARZO!H46+ABRIL!H46+MAYO!H46+JUNIO!H46+JULIO!H46+AGOSTO!H46+SEPTIEMBRE!H46+OCTUBRE!H46+NOVIEMBRE!H46+DICIEMBRE!H46</f>
        <v>1335250193.8800001</v>
      </c>
      <c r="I46" s="16">
        <f>ENERO!I46+FEBRERO!I46+MARZO!I46+ABRIL!I46+MAYO!I46+JUNIO!I46+JULIO!I46+AGOSTO!I46+SEPTIEMBRE!I46+OCTUBRE!I46+NOVIEMBRE!I46+DICIEMBRE!I46</f>
        <v>1973904659.4499998</v>
      </c>
      <c r="J46" s="16">
        <f>ENERO!J46+FEBRERO!J46+MARZO!J46+ABRIL!J46+MAYO!J46+JUNIO!J46+JULIO!J46+AGOSTO!J46+SEPTIEMBRE!J46+OCTUBRE!J46+NOVIEMBRE!J46+DICIEMBRE!J46</f>
        <v>4915544430.1599989</v>
      </c>
      <c r="K46" s="16">
        <f>ENERO!K46+FEBRERO!K46+MARZO!K46+ABRIL!K46+MAYO!K46+JUNIO!K46+JULIO!K46+AGOSTO!K46+SEPTIEMBRE!K46+OCTUBRE!K46+NOVIEMBRE!K46+DICIEMBRE!K46</f>
        <v>0</v>
      </c>
      <c r="L46" s="16">
        <f>ENERO!L46+FEBRERO!L46+MARZO!L46+ABRIL!L46+MAYO!L46+JUNIO!L46+JULIO!L46+AGOSTO!L46+SEPTIEMBRE!L46+OCTUBRE!L46+NOVIEMBRE!L46+DICIEMBRE!L46</f>
        <v>0</v>
      </c>
      <c r="M46" s="16">
        <f>ENERO!M46+FEBRERO!M46+MARZO!M46+ABRIL!M46+MAYO!M46+JUNIO!M46+JULIO!M46+AGOSTO!M46+SEPTIEMBRE!M46+OCTUBRE!M46+NOVIEMBRE!M46+DICIEMBRE!M46</f>
        <v>0</v>
      </c>
      <c r="N46" s="18">
        <f t="shared" si="1"/>
        <v>33258083972.226547</v>
      </c>
      <c r="O46" s="4"/>
      <c r="P46" s="4"/>
      <c r="Q46" s="4"/>
    </row>
    <row r="47" spans="1:17" ht="18" customHeight="1" x14ac:dyDescent="0.2">
      <c r="A47" s="17" t="s">
        <v>42</v>
      </c>
      <c r="B47" s="16">
        <f>ENERO!B47+FEBRERO!B47+MARZO!B47+ABRIL!B47+MAYO!B47+JUNIO!B47+JULIO!B47+AGOSTO!B47+SEPTIEMBRE!B47+OCTUBRE!B47+NOVIEMBRE!B47+DICIEMBRE!B47</f>
        <v>71711747733.399994</v>
      </c>
      <c r="C47" s="16">
        <f>ENERO!C47+FEBRERO!C47+MARZO!C47+ABRIL!C47+MAYO!C47+JUNIO!C47+JULIO!C47+AGOSTO!C47+SEPTIEMBRE!C47+OCTUBRE!C47+NOVIEMBRE!C47+DICIEMBRE!C47</f>
        <v>0</v>
      </c>
      <c r="D47" s="16">
        <f>ENERO!D47+FEBRERO!D47+MARZO!D47+ABRIL!D47+MAYO!D47+JUNIO!D47+JULIO!D47+AGOSTO!D47+SEPTIEMBRE!D47+OCTUBRE!D47+NOVIEMBRE!D47+DICIEMBRE!D47</f>
        <v>527500675.08826572</v>
      </c>
      <c r="E47" s="16">
        <f>ENERO!E47+FEBRERO!E47+MARZO!E47+ABRIL!E47+MAYO!E47+JUNIO!E47+JULIO!E47+AGOSTO!E47+SEPTIEMBRE!E47+OCTUBRE!E47+NOVIEMBRE!E47+DICIEMBRE!E47</f>
        <v>1076170061.74</v>
      </c>
      <c r="F47" s="16">
        <f>ENERO!F47+FEBRERO!F47+MARZO!F47+ABRIL!F47+MAYO!F47+JUNIO!F47+JULIO!F47+AGOSTO!F47+SEPTIEMBRE!F47+OCTUBRE!F47+NOVIEMBRE!F47+DICIEMBRE!F47</f>
        <v>2307578710.6808071</v>
      </c>
      <c r="G47" s="16">
        <f>ENERO!G47+FEBRERO!G47+MARZO!G47+ABRIL!G47+MAYO!G47+JUNIO!G47+JULIO!G47+AGOSTO!G47+SEPTIEMBRE!G47+OCTUBRE!G47+NOVIEMBRE!G47+DICIEMBRE!G47</f>
        <v>623467178.57533419</v>
      </c>
      <c r="H47" s="16">
        <f>ENERO!H47+FEBRERO!H47+MARZO!H47+ABRIL!H47+MAYO!H47+JUNIO!H47+JULIO!H47+AGOSTO!H47+SEPTIEMBRE!H47+OCTUBRE!H47+NOVIEMBRE!H47+DICIEMBRE!H47</f>
        <v>4060050580.2000003</v>
      </c>
      <c r="I47" s="16">
        <f>ENERO!I47+FEBRERO!I47+MARZO!I47+ABRIL!I47+MAYO!I47+JUNIO!I47+JULIO!I47+AGOSTO!I47+SEPTIEMBRE!I47+OCTUBRE!I47+NOVIEMBRE!I47+DICIEMBRE!I47</f>
        <v>6153531406.2300005</v>
      </c>
      <c r="J47" s="16">
        <f>ENERO!J47+FEBRERO!J47+MARZO!J47+ABRIL!J47+MAYO!J47+JUNIO!J47+JULIO!J47+AGOSTO!J47+SEPTIEMBRE!J47+OCTUBRE!J47+NOVIEMBRE!J47+DICIEMBRE!J47</f>
        <v>11827341863.750002</v>
      </c>
      <c r="K47" s="16">
        <f>ENERO!K47+FEBRERO!K47+MARZO!K47+ABRIL!K47+MAYO!K47+JUNIO!K47+JULIO!K47+AGOSTO!K47+SEPTIEMBRE!K47+OCTUBRE!K47+NOVIEMBRE!K47+DICIEMBRE!K47</f>
        <v>0</v>
      </c>
      <c r="L47" s="16">
        <f>ENERO!L47+FEBRERO!L47+MARZO!L47+ABRIL!L47+MAYO!L47+JUNIO!L47+JULIO!L47+AGOSTO!L47+SEPTIEMBRE!L47+OCTUBRE!L47+NOVIEMBRE!L47+DICIEMBRE!L47</f>
        <v>0</v>
      </c>
      <c r="M47" s="16">
        <f>ENERO!M47+FEBRERO!M47+MARZO!M47+ABRIL!M47+MAYO!M47+JUNIO!M47+JULIO!M47+AGOSTO!M47+SEPTIEMBRE!M47+OCTUBRE!M47+NOVIEMBRE!M47+DICIEMBRE!M47</f>
        <v>0</v>
      </c>
      <c r="N47" s="18">
        <f t="shared" si="1"/>
        <v>98287388209.664398</v>
      </c>
      <c r="O47" s="4"/>
      <c r="P47" s="4"/>
      <c r="Q47" s="4"/>
    </row>
    <row r="48" spans="1:17" ht="18" customHeight="1" x14ac:dyDescent="0.2">
      <c r="A48" s="17" t="s">
        <v>43</v>
      </c>
      <c r="B48" s="16">
        <f>ENERO!B48+FEBRERO!B48+MARZO!B48+ABRIL!B48+MAYO!B48+JUNIO!B48+JULIO!B48+AGOSTO!B48+SEPTIEMBRE!B48+OCTUBRE!B48+NOVIEMBRE!B48+DICIEMBRE!B48</f>
        <v>6938253360.2299995</v>
      </c>
      <c r="C48" s="16">
        <f>ENERO!C48+FEBRERO!C48+MARZO!C48+ABRIL!C48+MAYO!C48+JUNIO!C48+JULIO!C48+AGOSTO!C48+SEPTIEMBRE!C48+OCTUBRE!C48+NOVIEMBRE!C48+DICIEMBRE!C48</f>
        <v>0</v>
      </c>
      <c r="D48" s="16">
        <f>ENERO!D48+FEBRERO!D48+MARZO!D48+ABRIL!D48+MAYO!D48+JUNIO!D48+JULIO!D48+AGOSTO!D48+SEPTIEMBRE!D48+OCTUBRE!D48+NOVIEMBRE!D48+DICIEMBRE!D48</f>
        <v>430600939.29125851</v>
      </c>
      <c r="E48" s="16">
        <f>ENERO!E48+FEBRERO!E48+MARZO!E48+ABRIL!E48+MAYO!E48+JUNIO!E48+JULIO!E48+AGOSTO!E48+SEPTIEMBRE!E48+OCTUBRE!E48+NOVIEMBRE!E48+DICIEMBRE!E48</f>
        <v>86893846.560000002</v>
      </c>
      <c r="F48" s="16">
        <f>ENERO!F48+FEBRERO!F48+MARZO!F48+ABRIL!F48+MAYO!F48+JUNIO!F48+JULIO!F48+AGOSTO!F48+SEPTIEMBRE!F48+OCTUBRE!F48+NOVIEMBRE!F48+DICIEMBRE!F48</f>
        <v>20047867.697343741</v>
      </c>
      <c r="G48" s="16">
        <f>ENERO!G48+FEBRERO!G48+MARZO!G48+ABRIL!G48+MAYO!G48+JUNIO!G48+JULIO!G48+AGOSTO!G48+SEPTIEMBRE!G48+OCTUBRE!G48+NOVIEMBRE!G48+DICIEMBRE!G48</f>
        <v>13423533.739999998</v>
      </c>
      <c r="H48" s="16">
        <f>ENERO!H48+FEBRERO!H48+MARZO!H48+ABRIL!H48+MAYO!H48+JUNIO!H48+JULIO!H48+AGOSTO!H48+SEPTIEMBRE!H48+OCTUBRE!H48+NOVIEMBRE!H48+DICIEMBRE!H48</f>
        <v>394648279.25000006</v>
      </c>
      <c r="I48" s="16">
        <f>ENERO!I48+FEBRERO!I48+MARZO!I48+ABRIL!I48+MAYO!I48+JUNIO!I48+JULIO!I48+AGOSTO!I48+SEPTIEMBRE!I48+OCTUBRE!I48+NOVIEMBRE!I48+DICIEMBRE!I48</f>
        <v>53460878.010000005</v>
      </c>
      <c r="J48" s="16">
        <f>ENERO!J48+FEBRERO!J48+MARZO!J48+ABRIL!J48+MAYO!J48+JUNIO!J48+JULIO!J48+AGOSTO!J48+SEPTIEMBRE!J48+OCTUBRE!J48+NOVIEMBRE!J48+DICIEMBRE!J48</f>
        <v>634552793.91000009</v>
      </c>
      <c r="K48" s="16">
        <f>ENERO!K48+FEBRERO!K48+MARZO!K48+ABRIL!K48+MAYO!K48+JUNIO!K48+JULIO!K48+AGOSTO!K48+SEPTIEMBRE!K48+OCTUBRE!K48+NOVIEMBRE!K48+DICIEMBRE!K48</f>
        <v>0</v>
      </c>
      <c r="L48" s="16">
        <f>ENERO!L48+FEBRERO!L48+MARZO!L48+ABRIL!L48+MAYO!L48+JUNIO!L48+JULIO!L48+AGOSTO!L48+SEPTIEMBRE!L48+OCTUBRE!L48+NOVIEMBRE!L48+DICIEMBRE!L48</f>
        <v>0</v>
      </c>
      <c r="M48" s="16">
        <f>ENERO!M48+FEBRERO!M48+MARZO!M48+ABRIL!M48+MAYO!M48+JUNIO!M48+JULIO!M48+AGOSTO!M48+SEPTIEMBRE!M48+OCTUBRE!M48+NOVIEMBRE!M48+DICIEMBRE!M48</f>
        <v>0</v>
      </c>
      <c r="N48" s="18">
        <f t="shared" si="1"/>
        <v>8571881498.6886024</v>
      </c>
      <c r="O48" s="4"/>
      <c r="P48" s="4"/>
      <c r="Q48" s="4"/>
    </row>
    <row r="49" spans="1:17" ht="18" customHeight="1" x14ac:dyDescent="0.2">
      <c r="A49" s="17" t="s">
        <v>44</v>
      </c>
      <c r="B49" s="16">
        <f>ENERO!B49+FEBRERO!B49+MARZO!B49+ABRIL!B49+MAYO!B49+JUNIO!B49+JULIO!B49+AGOSTO!B49+SEPTIEMBRE!B49+OCTUBRE!B49+NOVIEMBRE!B49+DICIEMBRE!B49</f>
        <v>13101423861.34</v>
      </c>
      <c r="C49" s="16">
        <f>ENERO!C49+FEBRERO!C49+MARZO!C49+ABRIL!C49+MAYO!C49+JUNIO!C49+JULIO!C49+AGOSTO!C49+SEPTIEMBRE!C49+OCTUBRE!C49+NOVIEMBRE!C49+DICIEMBRE!C49</f>
        <v>0</v>
      </c>
      <c r="D49" s="16">
        <f>ENERO!D49+FEBRERO!D49+MARZO!D49+ABRIL!D49+MAYO!D49+JUNIO!D49+JULIO!D49+AGOSTO!D49+SEPTIEMBRE!D49+OCTUBRE!D49+NOVIEMBRE!D49+DICIEMBRE!D49</f>
        <v>724752688.74948084</v>
      </c>
      <c r="E49" s="16">
        <f>ENERO!E49+FEBRERO!E49+MARZO!E49+ABRIL!E49+MAYO!E49+JUNIO!E49+JULIO!E49+AGOSTO!E49+SEPTIEMBRE!E49+OCTUBRE!E49+NOVIEMBRE!E49+DICIEMBRE!E49</f>
        <v>137275581.28</v>
      </c>
      <c r="F49" s="16">
        <f>ENERO!F49+FEBRERO!F49+MARZO!F49+ABRIL!F49+MAYO!F49+JUNIO!F49+JULIO!F49+AGOSTO!F49+SEPTIEMBRE!F49+OCTUBRE!F49+NOVIEMBRE!F49+DICIEMBRE!F49</f>
        <v>118386115.65414189</v>
      </c>
      <c r="G49" s="16">
        <f>ENERO!G49+FEBRERO!G49+MARZO!G49+ABRIL!G49+MAYO!G49+JUNIO!G49+JULIO!G49+AGOSTO!G49+SEPTIEMBRE!G49+OCTUBRE!G49+NOVIEMBRE!G49+DICIEMBRE!G49</f>
        <v>56292238.300000004</v>
      </c>
      <c r="H49" s="16">
        <f>ENERO!H49+FEBRERO!H49+MARZO!H49+ABRIL!H49+MAYO!H49+JUNIO!H49+JULIO!H49+AGOSTO!H49+SEPTIEMBRE!H49+OCTUBRE!H49+NOVIEMBRE!H49+DICIEMBRE!H49</f>
        <v>741016495.78999984</v>
      </c>
      <c r="I49" s="16">
        <f>ENERO!I49+FEBRERO!I49+MARZO!I49+ABRIL!I49+MAYO!I49+JUNIO!I49+JULIO!I49+AGOSTO!I49+SEPTIEMBRE!I49+OCTUBRE!I49+NOVIEMBRE!I49+DICIEMBRE!I49</f>
        <v>315695702.00999999</v>
      </c>
      <c r="J49" s="16">
        <f>ENERO!J49+FEBRERO!J49+MARZO!J49+ABRIL!J49+MAYO!J49+JUNIO!J49+JULIO!J49+AGOSTO!J49+SEPTIEMBRE!J49+OCTUBRE!J49+NOVIEMBRE!J49+DICIEMBRE!J49</f>
        <v>1493482809.1300001</v>
      </c>
      <c r="K49" s="16">
        <f>ENERO!K49+FEBRERO!K49+MARZO!K49+ABRIL!K49+MAYO!K49+JUNIO!K49+JULIO!K49+AGOSTO!K49+SEPTIEMBRE!K49+OCTUBRE!K49+NOVIEMBRE!K49+DICIEMBRE!K49</f>
        <v>0</v>
      </c>
      <c r="L49" s="16">
        <f>ENERO!L49+FEBRERO!L49+MARZO!L49+ABRIL!L49+MAYO!L49+JUNIO!L49+JULIO!L49+AGOSTO!L49+SEPTIEMBRE!L49+OCTUBRE!L49+NOVIEMBRE!L49+DICIEMBRE!L49</f>
        <v>0</v>
      </c>
      <c r="M49" s="16">
        <f>ENERO!M49+FEBRERO!M49+MARZO!M49+ABRIL!M49+MAYO!M49+JUNIO!M49+JULIO!M49+AGOSTO!M49+SEPTIEMBRE!M49+OCTUBRE!M49+NOVIEMBRE!M49+DICIEMBRE!M49</f>
        <v>0</v>
      </c>
      <c r="N49" s="18">
        <f t="shared" si="1"/>
        <v>16688325492.253624</v>
      </c>
      <c r="O49" s="4"/>
      <c r="P49" s="4"/>
      <c r="Q49" s="4"/>
    </row>
    <row r="50" spans="1:17" ht="18" customHeight="1" x14ac:dyDescent="0.2">
      <c r="A50" s="17" t="s">
        <v>45</v>
      </c>
      <c r="B50" s="16">
        <f>ENERO!B50+FEBRERO!B50+MARZO!B50+ABRIL!B50+MAYO!B50+JUNIO!B50+JULIO!B50+AGOSTO!B50+SEPTIEMBRE!B50+OCTUBRE!B50+NOVIEMBRE!B50+DICIEMBRE!B50</f>
        <v>8506083759.6199999</v>
      </c>
      <c r="C50" s="16">
        <f>ENERO!C50+FEBRERO!C50+MARZO!C50+ABRIL!C50+MAYO!C50+JUNIO!C50+JULIO!C50+AGOSTO!C50+SEPTIEMBRE!C50+OCTUBRE!C50+NOVIEMBRE!C50+DICIEMBRE!C50</f>
        <v>0</v>
      </c>
      <c r="D50" s="16">
        <f>ENERO!D50+FEBRERO!D50+MARZO!D50+ABRIL!D50+MAYO!D50+JUNIO!D50+JULIO!D50+AGOSTO!D50+SEPTIEMBRE!D50+OCTUBRE!D50+NOVIEMBRE!D50+DICIEMBRE!D50</f>
        <v>487014512.40123999</v>
      </c>
      <c r="E50" s="16">
        <f>ENERO!E50+FEBRERO!E50+MARZO!E50+ABRIL!E50+MAYO!E50+JUNIO!E50+JULIO!E50+AGOSTO!E50+SEPTIEMBRE!E50+OCTUBRE!E50+NOVIEMBRE!E50+DICIEMBRE!E50</f>
        <v>105251878.95999999</v>
      </c>
      <c r="F50" s="16">
        <f>ENERO!F50+FEBRERO!F50+MARZO!F50+ABRIL!F50+MAYO!F50+JUNIO!F50+JULIO!F50+AGOSTO!F50+SEPTIEMBRE!F50+OCTUBRE!F50+NOVIEMBRE!F50+DICIEMBRE!F50</f>
        <v>33182677.630431015</v>
      </c>
      <c r="G50" s="16">
        <f>ENERO!G50+FEBRERO!G50+MARZO!G50+ABRIL!G50+MAYO!G50+JUNIO!G50+JULIO!G50+AGOSTO!G50+SEPTIEMBRE!G50+OCTUBRE!G50+NOVIEMBRE!G50+DICIEMBRE!G50</f>
        <v>16021637.050000001</v>
      </c>
      <c r="H50" s="16">
        <f>ENERO!H50+FEBRERO!H50+MARZO!H50+ABRIL!H50+MAYO!H50+JUNIO!H50+JULIO!H50+AGOSTO!H50+SEPTIEMBRE!H50+OCTUBRE!H50+NOVIEMBRE!H50+DICIEMBRE!H50</f>
        <v>482175247.86000001</v>
      </c>
      <c r="I50" s="16">
        <f>ENERO!I50+FEBRERO!I50+MARZO!I50+ABRIL!I50+MAYO!I50+JUNIO!I50+JULIO!I50+AGOSTO!I50+SEPTIEMBRE!I50+OCTUBRE!I50+NOVIEMBRE!I50+DICIEMBRE!I50</f>
        <v>88486970.50999999</v>
      </c>
      <c r="J50" s="16">
        <f>ENERO!J50+FEBRERO!J50+MARZO!J50+ABRIL!J50+MAYO!J50+JUNIO!J50+JULIO!J50+AGOSTO!J50+SEPTIEMBRE!J50+OCTUBRE!J50+NOVIEMBRE!J50+DICIEMBRE!J50</f>
        <v>1079261278.6799998</v>
      </c>
      <c r="K50" s="16">
        <f>ENERO!K50+FEBRERO!K50+MARZO!K50+ABRIL!K50+MAYO!K50+JUNIO!K50+JULIO!K50+AGOSTO!K50+SEPTIEMBRE!K50+OCTUBRE!K50+NOVIEMBRE!K50+DICIEMBRE!K50</f>
        <v>0</v>
      </c>
      <c r="L50" s="16">
        <f>ENERO!L50+FEBRERO!L50+MARZO!L50+ABRIL!L50+MAYO!L50+JUNIO!L50+JULIO!L50+AGOSTO!L50+SEPTIEMBRE!L50+OCTUBRE!L50+NOVIEMBRE!L50+DICIEMBRE!L50</f>
        <v>0</v>
      </c>
      <c r="M50" s="16">
        <f>ENERO!M50+FEBRERO!M50+MARZO!M50+ABRIL!M50+MAYO!M50+JUNIO!M50+JULIO!M50+AGOSTO!M50+SEPTIEMBRE!M50+OCTUBRE!M50+NOVIEMBRE!M50+DICIEMBRE!M50</f>
        <v>0</v>
      </c>
      <c r="N50" s="18">
        <f t="shared" si="1"/>
        <v>10797477962.71167</v>
      </c>
      <c r="O50" s="4"/>
      <c r="P50" s="4"/>
      <c r="Q50" s="4"/>
    </row>
    <row r="51" spans="1:17" ht="18" customHeight="1" x14ac:dyDescent="0.2">
      <c r="A51" s="17" t="s">
        <v>46</v>
      </c>
      <c r="B51" s="16">
        <f>ENERO!B51+FEBRERO!B51+MARZO!B51+ABRIL!B51+MAYO!B51+JUNIO!B51+JULIO!B51+AGOSTO!B51+SEPTIEMBRE!B51+OCTUBRE!B51+NOVIEMBRE!B51+DICIEMBRE!B51</f>
        <v>8316098333.000001</v>
      </c>
      <c r="C51" s="16">
        <f>ENERO!C51+FEBRERO!C51+MARZO!C51+ABRIL!C51+MAYO!C51+JUNIO!C51+JULIO!C51+AGOSTO!C51+SEPTIEMBRE!C51+OCTUBRE!C51+NOVIEMBRE!C51+DICIEMBRE!C51</f>
        <v>0</v>
      </c>
      <c r="D51" s="16">
        <f>ENERO!D51+FEBRERO!D51+MARZO!D51+ABRIL!D51+MAYO!D51+JUNIO!D51+JULIO!D51+AGOSTO!D51+SEPTIEMBRE!D51+OCTUBRE!D51+NOVIEMBRE!D51+DICIEMBRE!D51</f>
        <v>616910589.1758517</v>
      </c>
      <c r="E51" s="16">
        <f>ENERO!E51+FEBRERO!E51+MARZO!E51+ABRIL!E51+MAYO!E51+JUNIO!E51+JULIO!E51+AGOSTO!E51+SEPTIEMBRE!E51+OCTUBRE!E51+NOVIEMBRE!E51+DICIEMBRE!E51</f>
        <v>101949993.95</v>
      </c>
      <c r="F51" s="16">
        <f>ENERO!F51+FEBRERO!F51+MARZO!F51+ABRIL!F51+MAYO!F51+JUNIO!F51+JULIO!F51+AGOSTO!F51+SEPTIEMBRE!F51+OCTUBRE!F51+NOVIEMBRE!F51+DICIEMBRE!F51</f>
        <v>41363129.404634491</v>
      </c>
      <c r="G51" s="16">
        <f>ENERO!G51+FEBRERO!G51+MARZO!G51+ABRIL!G51+MAYO!G51+JUNIO!G51+JULIO!G51+AGOSTO!G51+SEPTIEMBRE!G51+OCTUBRE!G51+NOVIEMBRE!G51+DICIEMBRE!G51</f>
        <v>20135300.640000001</v>
      </c>
      <c r="H51" s="16">
        <f>ENERO!H51+FEBRERO!H51+MARZO!H51+ABRIL!H51+MAYO!H51+JUNIO!H51+JULIO!H51+AGOSTO!H51+SEPTIEMBRE!H51+OCTUBRE!H51+NOVIEMBRE!H51+DICIEMBRE!H51</f>
        <v>470785167.44000006</v>
      </c>
      <c r="I51" s="16">
        <f>ENERO!I51+FEBRERO!I51+MARZO!I51+ABRIL!I51+MAYO!I51+JUNIO!I51+JULIO!I51+AGOSTO!I51+SEPTIEMBRE!I51+OCTUBRE!I51+NOVIEMBRE!I51+DICIEMBRE!I51</f>
        <v>110301466.7</v>
      </c>
      <c r="J51" s="16">
        <f>ENERO!J51+FEBRERO!J51+MARZO!J51+ABRIL!J51+MAYO!J51+JUNIO!J51+JULIO!J51+AGOSTO!J51+SEPTIEMBRE!J51+OCTUBRE!J51+NOVIEMBRE!J51+DICIEMBRE!J51</f>
        <v>748751044.70000005</v>
      </c>
      <c r="K51" s="16">
        <f>ENERO!K51+FEBRERO!K51+MARZO!K51+ABRIL!K51+MAYO!K51+JUNIO!K51+JULIO!K51+AGOSTO!K51+SEPTIEMBRE!K51+OCTUBRE!K51+NOVIEMBRE!K51+DICIEMBRE!K51</f>
        <v>0</v>
      </c>
      <c r="L51" s="16">
        <f>ENERO!L51+FEBRERO!L51+MARZO!L51+ABRIL!L51+MAYO!L51+JUNIO!L51+JULIO!L51+AGOSTO!L51+SEPTIEMBRE!L51+OCTUBRE!L51+NOVIEMBRE!L51+DICIEMBRE!L51</f>
        <v>0</v>
      </c>
      <c r="M51" s="16">
        <f>ENERO!M51+FEBRERO!M51+MARZO!M51+ABRIL!M51+MAYO!M51+JUNIO!M51+JULIO!M51+AGOSTO!M51+SEPTIEMBRE!M51+OCTUBRE!M51+NOVIEMBRE!M51+DICIEMBRE!M51</f>
        <v>0</v>
      </c>
      <c r="N51" s="18">
        <f t="shared" si="1"/>
        <v>10426295025.010489</v>
      </c>
      <c r="O51" s="4"/>
      <c r="P51" s="4"/>
      <c r="Q51" s="4"/>
    </row>
    <row r="52" spans="1:17" ht="18" customHeight="1" x14ac:dyDescent="0.2">
      <c r="A52" s="17" t="s">
        <v>47</v>
      </c>
      <c r="B52" s="16">
        <f>ENERO!B52+FEBRERO!B52+MARZO!B52+ABRIL!B52+MAYO!B52+JUNIO!B52+JULIO!B52+AGOSTO!B52+SEPTIEMBRE!B52+OCTUBRE!B52+NOVIEMBRE!B52+DICIEMBRE!B52</f>
        <v>9807141453.8899994</v>
      </c>
      <c r="C52" s="16">
        <f>ENERO!C52+FEBRERO!C52+MARZO!C52+ABRIL!C52+MAYO!C52+JUNIO!C52+JULIO!C52+AGOSTO!C52+SEPTIEMBRE!C52+OCTUBRE!C52+NOVIEMBRE!C52+DICIEMBRE!C52</f>
        <v>0</v>
      </c>
      <c r="D52" s="16">
        <f>ENERO!D52+FEBRERO!D52+MARZO!D52+ABRIL!D52+MAYO!D52+JUNIO!D52+JULIO!D52+AGOSTO!D52+SEPTIEMBRE!D52+OCTUBRE!D52+NOVIEMBRE!D52+DICIEMBRE!D52</f>
        <v>571404279.53077626</v>
      </c>
      <c r="E52" s="16">
        <f>ENERO!E52+FEBRERO!E52+MARZO!E52+ABRIL!E52+MAYO!E52+JUNIO!E52+JULIO!E52+AGOSTO!E52+SEPTIEMBRE!E52+OCTUBRE!E52+NOVIEMBRE!E52+DICIEMBRE!E52</f>
        <v>121989165.85000001</v>
      </c>
      <c r="F52" s="16">
        <f>ENERO!F52+FEBRERO!F52+MARZO!F52+ABRIL!F52+MAYO!F52+JUNIO!F52+JULIO!F52+AGOSTO!F52+SEPTIEMBRE!F52+OCTUBRE!F52+NOVIEMBRE!F52+DICIEMBRE!F52</f>
        <v>38079426.933862679</v>
      </c>
      <c r="G52" s="16">
        <f>ENERO!G52+FEBRERO!G52+MARZO!G52+ABRIL!G52+MAYO!G52+JUNIO!G52+JULIO!G52+AGOSTO!G52+SEPTIEMBRE!G52+OCTUBRE!G52+NOVIEMBRE!G52+DICIEMBRE!G52</f>
        <v>25764524.460000001</v>
      </c>
      <c r="H52" s="16">
        <f>ENERO!H52+FEBRERO!H52+MARZO!H52+ABRIL!H52+MAYO!H52+JUNIO!H52+JULIO!H52+AGOSTO!H52+SEPTIEMBRE!H52+OCTUBRE!H52+NOVIEMBRE!H52+DICIEMBRE!H52</f>
        <v>556060206.83000004</v>
      </c>
      <c r="I52" s="16">
        <f>ENERO!I52+FEBRERO!I52+MARZO!I52+ABRIL!I52+MAYO!I52+JUNIO!I52+JULIO!I52+AGOSTO!I52+SEPTIEMBRE!I52+OCTUBRE!I52+NOVIEMBRE!I52+DICIEMBRE!I52</f>
        <v>101544943.56</v>
      </c>
      <c r="J52" s="16">
        <f>ENERO!J52+FEBRERO!J52+MARZO!J52+ABRIL!J52+MAYO!J52+JUNIO!J52+JULIO!J52+AGOSTO!J52+SEPTIEMBRE!J52+OCTUBRE!J52+NOVIEMBRE!J52+DICIEMBRE!J52</f>
        <v>959763268.55999994</v>
      </c>
      <c r="K52" s="16">
        <f>ENERO!K52+FEBRERO!K52+MARZO!K52+ABRIL!K52+MAYO!K52+JUNIO!K52+JULIO!K52+AGOSTO!K52+SEPTIEMBRE!K52+OCTUBRE!K52+NOVIEMBRE!K52+DICIEMBRE!K52</f>
        <v>0</v>
      </c>
      <c r="L52" s="16">
        <f>ENERO!L52+FEBRERO!L52+MARZO!L52+ABRIL!L52+MAYO!L52+JUNIO!L52+JULIO!L52+AGOSTO!L52+SEPTIEMBRE!L52+OCTUBRE!L52+NOVIEMBRE!L52+DICIEMBRE!L52</f>
        <v>0</v>
      </c>
      <c r="M52" s="16">
        <f>ENERO!M52+FEBRERO!M52+MARZO!M52+ABRIL!M52+MAYO!M52+JUNIO!M52+JULIO!M52+AGOSTO!M52+SEPTIEMBRE!M52+OCTUBRE!M52+NOVIEMBRE!M52+DICIEMBRE!M52</f>
        <v>0</v>
      </c>
      <c r="N52" s="18">
        <f t="shared" si="1"/>
        <v>12181747269.614637</v>
      </c>
      <c r="O52" s="4"/>
      <c r="P52" s="4"/>
      <c r="Q52" s="4"/>
    </row>
    <row r="53" spans="1:17" ht="18" customHeight="1" x14ac:dyDescent="0.2">
      <c r="A53" s="17" t="s">
        <v>48</v>
      </c>
      <c r="B53" s="16">
        <f>ENERO!B53+FEBRERO!B53+MARZO!B53+ABRIL!B53+MAYO!B53+JUNIO!B53+JULIO!B53+AGOSTO!B53+SEPTIEMBRE!B53+OCTUBRE!B53+NOVIEMBRE!B53+DICIEMBRE!B53</f>
        <v>3371430188.7800002</v>
      </c>
      <c r="C53" s="16">
        <f>ENERO!C53+FEBRERO!C53+MARZO!C53+ABRIL!C53+MAYO!C53+JUNIO!C53+JULIO!C53+AGOSTO!C53+SEPTIEMBRE!C53+OCTUBRE!C53+NOVIEMBRE!C53+DICIEMBRE!C53</f>
        <v>0</v>
      </c>
      <c r="D53" s="16">
        <f>ENERO!D53+FEBRERO!D53+MARZO!D53+ABRIL!D53+MAYO!D53+JUNIO!D53+JULIO!D53+AGOSTO!D53+SEPTIEMBRE!D53+OCTUBRE!D53+NOVIEMBRE!D53+DICIEMBRE!D53</f>
        <v>421201763.77985162</v>
      </c>
      <c r="E53" s="16">
        <f>ENERO!E53+FEBRERO!E53+MARZO!E53+ABRIL!E53+MAYO!E53+JUNIO!E53+JULIO!E53+AGOSTO!E53+SEPTIEMBRE!E53+OCTUBRE!E53+NOVIEMBRE!E53+DICIEMBRE!E53</f>
        <v>42130120.670000002</v>
      </c>
      <c r="F53" s="16">
        <f>ENERO!F53+FEBRERO!F53+MARZO!F53+ABRIL!F53+MAYO!F53+JUNIO!F53+JULIO!F53+AGOSTO!F53+SEPTIEMBRE!F53+OCTUBRE!F53+NOVIEMBRE!F53+DICIEMBRE!F53</f>
        <v>6625013.7069957759</v>
      </c>
      <c r="G53" s="16">
        <f>ENERO!G53+FEBRERO!G53+MARZO!G53+ABRIL!G53+MAYO!G53+JUNIO!G53+JULIO!G53+AGOSTO!G53+SEPTIEMBRE!G53+OCTUBRE!G53+NOVIEMBRE!G53+DICIEMBRE!G53</f>
        <v>3897154.95</v>
      </c>
      <c r="H53" s="16">
        <f>ENERO!H53+FEBRERO!H53+MARZO!H53+ABRIL!H53+MAYO!H53+JUNIO!H53+JULIO!H53+AGOSTO!H53+SEPTIEMBRE!H53+OCTUBRE!H53+NOVIEMBRE!H53+DICIEMBRE!H53</f>
        <v>191766804.97</v>
      </c>
      <c r="I53" s="16">
        <f>ENERO!I53+FEBRERO!I53+MARZO!I53+ABRIL!I53+MAYO!I53+JUNIO!I53+JULIO!I53+AGOSTO!I53+SEPTIEMBRE!I53+OCTUBRE!I53+NOVIEMBRE!I53+DICIEMBRE!I53</f>
        <v>17666669.449999999</v>
      </c>
      <c r="J53" s="16">
        <f>ENERO!J53+FEBRERO!J53+MARZO!J53+ABRIL!J53+MAYO!J53+JUNIO!J53+JULIO!J53+AGOSTO!J53+SEPTIEMBRE!J53+OCTUBRE!J53+NOVIEMBRE!J53+DICIEMBRE!J53</f>
        <v>507580878.68000013</v>
      </c>
      <c r="K53" s="16">
        <f>ENERO!K53+FEBRERO!K53+MARZO!K53+ABRIL!K53+MAYO!K53+JUNIO!K53+JULIO!K53+AGOSTO!K53+SEPTIEMBRE!K53+OCTUBRE!K53+NOVIEMBRE!K53+DICIEMBRE!K53</f>
        <v>0</v>
      </c>
      <c r="L53" s="16">
        <f>ENERO!L53+FEBRERO!L53+MARZO!L53+ABRIL!L53+MAYO!L53+JUNIO!L53+JULIO!L53+AGOSTO!L53+SEPTIEMBRE!L53+OCTUBRE!L53+NOVIEMBRE!L53+DICIEMBRE!L53</f>
        <v>0</v>
      </c>
      <c r="M53" s="16">
        <f>ENERO!M53+FEBRERO!M53+MARZO!M53+ABRIL!M53+MAYO!M53+JUNIO!M53+JULIO!M53+AGOSTO!M53+SEPTIEMBRE!M53+OCTUBRE!M53+NOVIEMBRE!M53+DICIEMBRE!M53</f>
        <v>0</v>
      </c>
      <c r="N53" s="18">
        <f t="shared" si="1"/>
        <v>4562298594.9868469</v>
      </c>
      <c r="O53" s="4"/>
      <c r="P53" s="4"/>
      <c r="Q53" s="4"/>
    </row>
    <row r="54" spans="1:17" ht="18" customHeight="1" x14ac:dyDescent="0.2">
      <c r="A54" s="17" t="s">
        <v>49</v>
      </c>
      <c r="B54" s="16">
        <f>ENERO!B54+FEBRERO!B54+MARZO!B54+ABRIL!B54+MAYO!B54+JUNIO!B54+JULIO!B54+AGOSTO!B54+SEPTIEMBRE!B54+OCTUBRE!B54+NOVIEMBRE!B54+DICIEMBRE!B54</f>
        <v>13089527240.740002</v>
      </c>
      <c r="C54" s="16">
        <f>ENERO!C54+FEBRERO!C54+MARZO!C54+ABRIL!C54+MAYO!C54+JUNIO!C54+JULIO!C54+AGOSTO!C54+SEPTIEMBRE!C54+OCTUBRE!C54+NOVIEMBRE!C54+DICIEMBRE!C54</f>
        <v>0</v>
      </c>
      <c r="D54" s="16">
        <f>ENERO!D54+FEBRERO!D54+MARZO!D54+ABRIL!D54+MAYO!D54+JUNIO!D54+JULIO!D54+AGOSTO!D54+SEPTIEMBRE!D54+OCTUBRE!D54+NOVIEMBRE!D54+DICIEMBRE!D54</f>
        <v>660388682.93363309</v>
      </c>
      <c r="E54" s="16">
        <f>ENERO!E54+FEBRERO!E54+MARZO!E54+ABRIL!E54+MAYO!E54+JUNIO!E54+JULIO!E54+AGOSTO!E54+SEPTIEMBRE!E54+OCTUBRE!E54+NOVIEMBRE!E54+DICIEMBRE!E54</f>
        <v>160124753.77000001</v>
      </c>
      <c r="F54" s="16">
        <f>ENERO!F54+FEBRERO!F54+MARZO!F54+ABRIL!F54+MAYO!F54+JUNIO!F54+JULIO!F54+AGOSTO!F54+SEPTIEMBRE!F54+OCTUBRE!F54+NOVIEMBRE!F54+DICIEMBRE!F54</f>
        <v>22755482.043594189</v>
      </c>
      <c r="G54" s="16">
        <f>ENERO!G54+FEBRERO!G54+MARZO!G54+ABRIL!G54+MAYO!G54+JUNIO!G54+JULIO!G54+AGOSTO!G54+SEPTIEMBRE!G54+OCTUBRE!G54+NOVIEMBRE!G54+DICIEMBRE!G54</f>
        <v>14289568.190000001</v>
      </c>
      <c r="H54" s="16">
        <f>ENERO!H54+FEBRERO!H54+MARZO!H54+ABRIL!H54+MAYO!H54+JUNIO!H54+JULIO!H54+AGOSTO!H54+SEPTIEMBRE!H54+OCTUBRE!H54+NOVIEMBRE!H54+DICIEMBRE!H54</f>
        <v>740654199.87000012</v>
      </c>
      <c r="I54" s="16">
        <f>ENERO!I54+FEBRERO!I54+MARZO!I54+ABRIL!I54+MAYO!I54+JUNIO!I54+JULIO!I54+AGOSTO!I54+SEPTIEMBRE!I54+OCTUBRE!I54+NOVIEMBRE!I54+DICIEMBRE!I54</f>
        <v>60681169.010000005</v>
      </c>
      <c r="J54" s="16">
        <f>ENERO!J54+FEBRERO!J54+MARZO!J54+ABRIL!J54+MAYO!J54+JUNIO!J54+JULIO!J54+AGOSTO!J54+SEPTIEMBRE!J54+OCTUBRE!J54+NOVIEMBRE!J54+DICIEMBRE!J54</f>
        <v>1161251931.47</v>
      </c>
      <c r="K54" s="16">
        <f>ENERO!K54+FEBRERO!K54+MARZO!K54+ABRIL!K54+MAYO!K54+JUNIO!K54+JULIO!K54+AGOSTO!K54+SEPTIEMBRE!K54+OCTUBRE!K54+NOVIEMBRE!K54+DICIEMBRE!K54</f>
        <v>0</v>
      </c>
      <c r="L54" s="16">
        <f>ENERO!L54+FEBRERO!L54+MARZO!L54+ABRIL!L54+MAYO!L54+JUNIO!L54+JULIO!L54+AGOSTO!L54+SEPTIEMBRE!L54+OCTUBRE!L54+NOVIEMBRE!L54+DICIEMBRE!L54</f>
        <v>0</v>
      </c>
      <c r="M54" s="16">
        <f>ENERO!M54+FEBRERO!M54+MARZO!M54+ABRIL!M54+MAYO!M54+JUNIO!M54+JULIO!M54+AGOSTO!M54+SEPTIEMBRE!M54+OCTUBRE!M54+NOVIEMBRE!M54+DICIEMBRE!M54</f>
        <v>0</v>
      </c>
      <c r="N54" s="18">
        <f t="shared" si="1"/>
        <v>15909673028.027231</v>
      </c>
      <c r="O54" s="4"/>
      <c r="P54" s="4"/>
      <c r="Q54" s="4"/>
    </row>
    <row r="55" spans="1:17" ht="18" customHeight="1" x14ac:dyDescent="0.2">
      <c r="A55" s="17" t="s">
        <v>50</v>
      </c>
      <c r="B55" s="16">
        <f>ENERO!B55+FEBRERO!B55+MARZO!B55+ABRIL!B55+MAYO!B55+JUNIO!B55+JULIO!B55+AGOSTO!B55+SEPTIEMBRE!B55+OCTUBRE!B55+NOVIEMBRE!B55+DICIEMBRE!B55</f>
        <v>5945786795.5</v>
      </c>
      <c r="C55" s="16">
        <f>ENERO!C55+FEBRERO!C55+MARZO!C55+ABRIL!C55+MAYO!C55+JUNIO!C55+JULIO!C55+AGOSTO!C55+SEPTIEMBRE!C55+OCTUBRE!C55+NOVIEMBRE!C55+DICIEMBRE!C55</f>
        <v>0</v>
      </c>
      <c r="D55" s="16">
        <f>ENERO!D55+FEBRERO!D55+MARZO!D55+ABRIL!D55+MAYO!D55+JUNIO!D55+JULIO!D55+AGOSTO!D55+SEPTIEMBRE!D55+OCTUBRE!D55+NOVIEMBRE!D55+DICIEMBRE!D55</f>
        <v>228252653.94011727</v>
      </c>
      <c r="E55" s="16">
        <f>ENERO!E55+FEBRERO!E55+MARZO!E55+ABRIL!E55+MAYO!E55+JUNIO!E55+JULIO!E55+AGOSTO!E55+SEPTIEMBRE!E55+OCTUBRE!E55+NOVIEMBRE!E55+DICIEMBRE!E55</f>
        <v>73202597.030000001</v>
      </c>
      <c r="F55" s="16">
        <f>ENERO!F55+FEBRERO!F55+MARZO!F55+ABRIL!F55+MAYO!F55+JUNIO!F55+JULIO!F55+AGOSTO!F55+SEPTIEMBRE!F55+OCTUBRE!F55+NOVIEMBRE!F55+DICIEMBRE!F55</f>
        <v>41996826.394608013</v>
      </c>
      <c r="G55" s="16">
        <f>ENERO!G55+FEBRERO!G55+MARZO!G55+ABRIL!G55+MAYO!G55+JUNIO!G55+JULIO!G55+AGOSTO!G55+SEPTIEMBRE!G55+OCTUBRE!G55+NOVIEMBRE!G55+DICIEMBRE!G55</f>
        <v>22300386.710000001</v>
      </c>
      <c r="H55" s="16">
        <f>ENERO!H55+FEBRERO!H55+MARZO!H55+ABRIL!H55+MAYO!H55+JUNIO!H55+JULIO!H55+AGOSTO!H55+SEPTIEMBRE!H55+OCTUBRE!H55+NOVIEMBRE!H55+DICIEMBRE!H55</f>
        <v>336859890.5</v>
      </c>
      <c r="I55" s="16">
        <f>ENERO!I55+FEBRERO!I55+MARZO!I55+ABRIL!I55+MAYO!I55+JUNIO!I55+JULIO!I55+AGOSTO!I55+SEPTIEMBRE!I55+OCTUBRE!I55+NOVIEMBRE!I55+DICIEMBRE!I55</f>
        <v>111991322.02</v>
      </c>
      <c r="J55" s="16">
        <f>ENERO!J55+FEBRERO!J55+MARZO!J55+ABRIL!J55+MAYO!J55+JUNIO!J55+JULIO!J55+AGOSTO!J55+SEPTIEMBRE!J55+OCTUBRE!J55+NOVIEMBRE!J55+DICIEMBRE!J55</f>
        <v>819835397.96999991</v>
      </c>
      <c r="K55" s="16">
        <f>ENERO!K55+FEBRERO!K55+MARZO!K55+ABRIL!K55+MAYO!K55+JUNIO!K55+JULIO!K55+AGOSTO!K55+SEPTIEMBRE!K55+OCTUBRE!K55+NOVIEMBRE!K55+DICIEMBRE!K55</f>
        <v>0</v>
      </c>
      <c r="L55" s="16">
        <f>ENERO!L55+FEBRERO!L55+MARZO!L55+ABRIL!L55+MAYO!L55+JUNIO!L55+JULIO!L55+AGOSTO!L55+SEPTIEMBRE!L55+OCTUBRE!L55+NOVIEMBRE!L55+DICIEMBRE!L55</f>
        <v>0</v>
      </c>
      <c r="M55" s="16">
        <f>ENERO!M55+FEBRERO!M55+MARZO!M55+ABRIL!M55+MAYO!M55+JUNIO!M55+JULIO!M55+AGOSTO!M55+SEPTIEMBRE!M55+OCTUBRE!M55+NOVIEMBRE!M55+DICIEMBRE!M55</f>
        <v>0</v>
      </c>
      <c r="N55" s="18">
        <f t="shared" si="1"/>
        <v>7580225870.0647249</v>
      </c>
      <c r="O55" s="4"/>
      <c r="P55" s="4"/>
      <c r="Q55" s="4"/>
    </row>
    <row r="56" spans="1:17" ht="18" customHeight="1" x14ac:dyDescent="0.2">
      <c r="A56" s="17" t="s">
        <v>51</v>
      </c>
      <c r="B56" s="16">
        <f>ENERO!B56+FEBRERO!B56+MARZO!B56+ABRIL!B56+MAYO!B56+JUNIO!B56+JULIO!B56+AGOSTO!B56+SEPTIEMBRE!B56+OCTUBRE!B56+NOVIEMBRE!B56+DICIEMBRE!B56</f>
        <v>4534775486.3699999</v>
      </c>
      <c r="C56" s="16">
        <f>ENERO!C56+FEBRERO!C56+MARZO!C56+ABRIL!C56+MAYO!C56+JUNIO!C56+JULIO!C56+AGOSTO!C56+SEPTIEMBRE!C56+OCTUBRE!C56+NOVIEMBRE!C56+DICIEMBRE!C56</f>
        <v>0</v>
      </c>
      <c r="D56" s="16">
        <f>ENERO!D56+FEBRERO!D56+MARZO!D56+ABRIL!D56+MAYO!D56+JUNIO!D56+JULIO!D56+AGOSTO!D56+SEPTIEMBRE!D56+OCTUBRE!D56+NOVIEMBRE!D56+DICIEMBRE!D56</f>
        <v>219597466.5276044</v>
      </c>
      <c r="E56" s="16">
        <f>ENERO!E56+FEBRERO!E56+MARZO!E56+ABRIL!E56+MAYO!E56+JUNIO!E56+JULIO!E56+AGOSTO!E56+SEPTIEMBRE!E56+OCTUBRE!E56+NOVIEMBRE!E56+DICIEMBRE!E56</f>
        <v>55123724.340000004</v>
      </c>
      <c r="F56" s="16">
        <f>ENERO!F56+FEBRERO!F56+MARZO!F56+ABRIL!F56+MAYO!F56+JUNIO!F56+JULIO!F56+AGOSTO!F56+SEPTIEMBRE!F56+OCTUBRE!F56+NOVIEMBRE!F56+DICIEMBRE!F56</f>
        <v>11867415.923140261</v>
      </c>
      <c r="G56" s="16">
        <f>ENERO!G56+FEBRERO!G56+MARZO!G56+ABRIL!G56+MAYO!G56+JUNIO!G56+JULIO!G56+AGOSTO!G56+SEPTIEMBRE!G56+OCTUBRE!G56+NOVIEMBRE!G56+DICIEMBRE!G56</f>
        <v>6062241.040000001</v>
      </c>
      <c r="H56" s="16">
        <f>ENERO!H56+FEBRERO!H56+MARZO!H56+ABRIL!H56+MAYO!H56+JUNIO!H56+JULIO!H56+AGOSTO!H56+SEPTIEMBRE!H56+OCTUBRE!H56+NOVIEMBRE!H56+DICIEMBRE!H56</f>
        <v>256180798.90000001</v>
      </c>
      <c r="I56" s="16">
        <f>ENERO!I56+FEBRERO!I56+MARZO!I56+ABRIL!I56+MAYO!I56+JUNIO!I56+JULIO!I56+AGOSTO!I56+SEPTIEMBRE!I56+OCTUBRE!I56+NOVIEMBRE!I56+DICIEMBRE!I56</f>
        <v>31646381.789999992</v>
      </c>
      <c r="J56" s="16">
        <f>ENERO!J56+FEBRERO!J56+MARZO!J56+ABRIL!J56+MAYO!J56+JUNIO!J56+JULIO!J56+AGOSTO!J56+SEPTIEMBRE!J56+OCTUBRE!J56+NOVIEMBRE!J56+DICIEMBRE!J56</f>
        <v>676777468.55999994</v>
      </c>
      <c r="K56" s="16">
        <f>ENERO!K56+FEBRERO!K56+MARZO!K56+ABRIL!K56+MAYO!K56+JUNIO!K56+JULIO!K56+AGOSTO!K56+SEPTIEMBRE!K56+OCTUBRE!K56+NOVIEMBRE!K56+DICIEMBRE!K56</f>
        <v>0</v>
      </c>
      <c r="L56" s="16">
        <f>ENERO!L56+FEBRERO!L56+MARZO!L56+ABRIL!L56+MAYO!L56+JUNIO!L56+JULIO!L56+AGOSTO!L56+SEPTIEMBRE!L56+OCTUBRE!L56+NOVIEMBRE!L56+DICIEMBRE!L56</f>
        <v>0</v>
      </c>
      <c r="M56" s="16">
        <f>ENERO!M56+FEBRERO!M56+MARZO!M56+ABRIL!M56+MAYO!M56+JUNIO!M56+JULIO!M56+AGOSTO!M56+SEPTIEMBRE!M56+OCTUBRE!M56+NOVIEMBRE!M56+DICIEMBRE!M56</f>
        <v>0</v>
      </c>
      <c r="N56" s="18">
        <f t="shared" si="1"/>
        <v>5792030983.4507446</v>
      </c>
      <c r="O56" s="4"/>
      <c r="P56" s="4"/>
      <c r="Q56" s="4"/>
    </row>
    <row r="57" spans="1:17" ht="18" customHeight="1" x14ac:dyDescent="0.2">
      <c r="A57" s="17" t="s">
        <v>52</v>
      </c>
      <c r="B57" s="16">
        <f>ENERO!B57+FEBRERO!B57+MARZO!B57+ABRIL!B57+MAYO!B57+JUNIO!B57+JULIO!B57+AGOSTO!B57+SEPTIEMBRE!B57+OCTUBRE!B57+NOVIEMBRE!B57+DICIEMBRE!B57</f>
        <v>11287369464.9</v>
      </c>
      <c r="C57" s="16">
        <f>ENERO!C57+FEBRERO!C57+MARZO!C57+ABRIL!C57+MAYO!C57+JUNIO!C57+JULIO!C57+AGOSTO!C57+SEPTIEMBRE!C57+OCTUBRE!C57+NOVIEMBRE!C57+DICIEMBRE!C57</f>
        <v>0</v>
      </c>
      <c r="D57" s="16">
        <f>ENERO!D57+FEBRERO!D57+MARZO!D57+ABRIL!D57+MAYO!D57+JUNIO!D57+JULIO!D57+AGOSTO!D57+SEPTIEMBRE!D57+OCTUBRE!D57+NOVIEMBRE!D57+DICIEMBRE!D57</f>
        <v>497572236.25176513</v>
      </c>
      <c r="E57" s="16">
        <f>ENERO!E57+FEBRERO!E57+MARZO!E57+ABRIL!E57+MAYO!E57+JUNIO!E57+JULIO!E57+AGOSTO!E57+SEPTIEMBRE!E57+OCTUBRE!E57+NOVIEMBRE!E57+DICIEMBRE!E57</f>
        <v>140521178.5</v>
      </c>
      <c r="F57" s="16">
        <f>ENERO!F57+FEBRERO!F57+MARZO!F57+ABRIL!F57+MAYO!F57+JUNIO!F57+JULIO!F57+AGOSTO!F57+SEPTIEMBRE!F57+OCTUBRE!F57+NOVIEMBRE!F57+DICIEMBRE!F57</f>
        <v>60950126.668361127</v>
      </c>
      <c r="G57" s="16">
        <f>ENERO!G57+FEBRERO!G57+MARZO!G57+ABRIL!G57+MAYO!G57+JUNIO!G57+JULIO!G57+AGOSTO!G57+SEPTIEMBRE!G57+OCTUBRE!G57+NOVIEMBRE!G57+DICIEMBRE!G57</f>
        <v>27929610.539999995</v>
      </c>
      <c r="H57" s="16">
        <f>ENERO!H57+FEBRERO!H57+MARZO!H57+ABRIL!H57+MAYO!H57+JUNIO!H57+JULIO!H57+AGOSTO!H57+SEPTIEMBRE!H57+OCTUBRE!H57+NOVIEMBRE!H57+DICIEMBRE!H57</f>
        <v>639323097.21000004</v>
      </c>
      <c r="I57" s="16">
        <f>ENERO!I57+FEBRERO!I57+MARZO!I57+ABRIL!I57+MAYO!I57+JUNIO!I57+JULIO!I57+AGOSTO!I57+SEPTIEMBRE!I57+OCTUBRE!I57+NOVIEMBRE!I57+DICIEMBRE!I57</f>
        <v>162533358.98999998</v>
      </c>
      <c r="J57" s="16">
        <f>ENERO!J57+FEBRERO!J57+MARZO!J57+ABRIL!J57+MAYO!J57+JUNIO!J57+JULIO!J57+AGOSTO!J57+SEPTIEMBRE!J57+OCTUBRE!J57+NOVIEMBRE!J57+DICIEMBRE!J57</f>
        <v>1444993568.9800005</v>
      </c>
      <c r="K57" s="16">
        <f>ENERO!K57+FEBRERO!K57+MARZO!K57+ABRIL!K57+MAYO!K57+JUNIO!K57+JULIO!K57+AGOSTO!K57+SEPTIEMBRE!K57+OCTUBRE!K57+NOVIEMBRE!K57+DICIEMBRE!K57</f>
        <v>0</v>
      </c>
      <c r="L57" s="16">
        <f>ENERO!L57+FEBRERO!L57+MARZO!L57+ABRIL!L57+MAYO!L57+JUNIO!L57+JULIO!L57+AGOSTO!L57+SEPTIEMBRE!L57+OCTUBRE!L57+NOVIEMBRE!L57+DICIEMBRE!L57</f>
        <v>0</v>
      </c>
      <c r="M57" s="16">
        <f>ENERO!M57+FEBRERO!M57+MARZO!M57+ABRIL!M57+MAYO!M57+JUNIO!M57+JULIO!M57+AGOSTO!M57+SEPTIEMBRE!M57+OCTUBRE!M57+NOVIEMBRE!M57+DICIEMBRE!M57</f>
        <v>0</v>
      </c>
      <c r="N57" s="18">
        <f t="shared" si="1"/>
        <v>14261192642.040127</v>
      </c>
      <c r="O57" s="4"/>
      <c r="P57" s="4"/>
      <c r="Q57" s="4"/>
    </row>
    <row r="58" spans="1:17" ht="18" customHeight="1" x14ac:dyDescent="0.2">
      <c r="A58" s="17" t="s">
        <v>53</v>
      </c>
      <c r="B58" s="16">
        <f>ENERO!B58+FEBRERO!B58+MARZO!B58+ABRIL!B58+MAYO!B58+JUNIO!B58+JULIO!B58+AGOSTO!B58+SEPTIEMBRE!B58+OCTUBRE!B58+NOVIEMBRE!B58+DICIEMBRE!B58</f>
        <v>10595202445.549999</v>
      </c>
      <c r="C58" s="16">
        <f>ENERO!C58+FEBRERO!C58+MARZO!C58+ABRIL!C58+MAYO!C58+JUNIO!C58+JULIO!C58+AGOSTO!C58+SEPTIEMBRE!C58+OCTUBRE!C58+NOVIEMBRE!C58+DICIEMBRE!C58</f>
        <v>0</v>
      </c>
      <c r="D58" s="16">
        <f>ENERO!D58+FEBRERO!D58+MARZO!D58+ABRIL!D58+MAYO!D58+JUNIO!D58+JULIO!D58+AGOSTO!D58+SEPTIEMBRE!D58+OCTUBRE!D58+NOVIEMBRE!D58+DICIEMBRE!D58</f>
        <v>282307562.30960041</v>
      </c>
      <c r="E58" s="16">
        <f>ENERO!E58+FEBRERO!E58+MARZO!E58+ABRIL!E58+MAYO!E58+JUNIO!E58+JULIO!E58+AGOSTO!E58+SEPTIEMBRE!E58+OCTUBRE!E58+NOVIEMBRE!E58+DICIEMBRE!E58</f>
        <v>128213407.25999999</v>
      </c>
      <c r="F58" s="16">
        <f>ENERO!F58+FEBRERO!F58+MARZO!F58+ABRIL!F58+MAYO!F58+JUNIO!F58+JULIO!F58+AGOSTO!F58+SEPTIEMBRE!F58+OCTUBRE!F58+NOVIEMBRE!F58+DICIEMBRE!F58</f>
        <v>35487030.258516498</v>
      </c>
      <c r="G58" s="16">
        <f>ENERO!G58+FEBRERO!G58+MARZO!G58+ABRIL!G58+MAYO!G58+JUNIO!G58+JULIO!G58+AGOSTO!G58+SEPTIEMBRE!G58+OCTUBRE!G58+NOVIEMBRE!G58+DICIEMBRE!G58</f>
        <v>17537197.310000002</v>
      </c>
      <c r="H58" s="16">
        <f>ENERO!H58+FEBRERO!H58+MARZO!H58+ABRIL!H58+MAYO!H58+JUNIO!H58+JULIO!H58+AGOSTO!H58+SEPTIEMBRE!H58+OCTUBRE!H58+NOVIEMBRE!H58+DICIEMBRE!H58</f>
        <v>597902900.50999999</v>
      </c>
      <c r="I58" s="16">
        <f>ENERO!I58+FEBRERO!I58+MARZO!I58+ABRIL!I58+MAYO!I58+JUNIO!I58+JULIO!I58+AGOSTO!I58+SEPTIEMBRE!I58+OCTUBRE!I58+NOVIEMBRE!I58+DICIEMBRE!I58</f>
        <v>94631898.989999995</v>
      </c>
      <c r="J58" s="16">
        <f>ENERO!J58+FEBRERO!J58+MARZO!J58+ABRIL!J58+MAYO!J58+JUNIO!J58+JULIO!J58+AGOSTO!J58+SEPTIEMBRE!J58+OCTUBRE!J58+NOVIEMBRE!J58+DICIEMBRE!J58</f>
        <v>817741282.03999996</v>
      </c>
      <c r="K58" s="16">
        <f>ENERO!K58+FEBRERO!K58+MARZO!K58+ABRIL!K58+MAYO!K58+JUNIO!K58+JULIO!K58+AGOSTO!K58+SEPTIEMBRE!K58+OCTUBRE!K58+NOVIEMBRE!K58+DICIEMBRE!K58</f>
        <v>0</v>
      </c>
      <c r="L58" s="16">
        <f>ENERO!L58+FEBRERO!L58+MARZO!L58+ABRIL!L58+MAYO!L58+JUNIO!L58+JULIO!L58+AGOSTO!L58+SEPTIEMBRE!L58+OCTUBRE!L58+NOVIEMBRE!L58+DICIEMBRE!L58</f>
        <v>0</v>
      </c>
      <c r="M58" s="16">
        <f>ENERO!M58+FEBRERO!M58+MARZO!M58+ABRIL!M58+MAYO!M58+JUNIO!M58+JULIO!M58+AGOSTO!M58+SEPTIEMBRE!M58+OCTUBRE!M58+NOVIEMBRE!M58+DICIEMBRE!M58</f>
        <v>0</v>
      </c>
      <c r="N58" s="18">
        <f t="shared" si="1"/>
        <v>12569023724.228115</v>
      </c>
      <c r="O58" s="4"/>
      <c r="P58" s="4"/>
      <c r="Q58" s="4"/>
    </row>
    <row r="59" spans="1:17" ht="18" customHeight="1" x14ac:dyDescent="0.2">
      <c r="A59" s="17" t="s">
        <v>54</v>
      </c>
      <c r="B59" s="16">
        <f>ENERO!B59+FEBRERO!B59+MARZO!B59+ABRIL!B59+MAYO!B59+JUNIO!B59+JULIO!B59+AGOSTO!B59+SEPTIEMBRE!B59+OCTUBRE!B59+NOVIEMBRE!B59+DICIEMBRE!B59</f>
        <v>10777256791.849998</v>
      </c>
      <c r="C59" s="16">
        <f>ENERO!C59+FEBRERO!C59+MARZO!C59+ABRIL!C59+MAYO!C59+JUNIO!C59+JULIO!C59+AGOSTO!C59+SEPTIEMBRE!C59+OCTUBRE!C59+NOVIEMBRE!C59+DICIEMBRE!C59</f>
        <v>0</v>
      </c>
      <c r="D59" s="16">
        <f>ENERO!D59+FEBRERO!D59+MARZO!D59+ABRIL!D59+MAYO!D59+JUNIO!D59+JULIO!D59+AGOSTO!D59+SEPTIEMBRE!D59+OCTUBRE!D59+NOVIEMBRE!D59+DICIEMBRE!D59</f>
        <v>790698518.02142727</v>
      </c>
      <c r="E59" s="16">
        <f>ENERO!E59+FEBRERO!E59+MARZO!E59+ABRIL!E59+MAYO!E59+JUNIO!E59+JULIO!E59+AGOSTO!E59+SEPTIEMBRE!E59+OCTUBRE!E59+NOVIEMBRE!E59+DICIEMBRE!E59</f>
        <v>134067672.17</v>
      </c>
      <c r="F59" s="16">
        <f>ENERO!F59+FEBRERO!F59+MARZO!F59+ABRIL!F59+MAYO!F59+JUNIO!F59+JULIO!F59+AGOSTO!F59+SEPTIEMBRE!F59+OCTUBRE!F59+NOVIEMBRE!F59+DICIEMBRE!F59</f>
        <v>34565289.211282313</v>
      </c>
      <c r="G59" s="16">
        <f>ENERO!G59+FEBRERO!G59+MARZO!G59+ABRIL!G59+MAYO!G59+JUNIO!G59+JULIO!G59+AGOSTO!G59+SEPTIEMBRE!G59+OCTUBRE!G59+NOVIEMBRE!G59+DICIEMBRE!G59</f>
        <v>16021637.050000001</v>
      </c>
      <c r="H59" s="16">
        <f>ENERO!H59+FEBRERO!H59+MARZO!H59+ABRIL!H59+MAYO!H59+JUNIO!H59+JULIO!H59+AGOSTO!H59+SEPTIEMBRE!H59+OCTUBRE!H59+NOVIEMBRE!H59+DICIEMBRE!H59</f>
        <v>611982407.37</v>
      </c>
      <c r="I59" s="16">
        <f>ENERO!I59+FEBRERO!I59+MARZO!I59+ABRIL!I59+MAYO!I59+JUNIO!I59+JULIO!I59+AGOSTO!I59+SEPTIEMBRE!I59+OCTUBRE!I59+NOVIEMBRE!I59+DICIEMBRE!I59</f>
        <v>92173927.599999994</v>
      </c>
      <c r="J59" s="16">
        <f>ENERO!J59+FEBRERO!J59+MARZO!J59+ABRIL!J59+MAYO!J59+JUNIO!J59+JULIO!J59+AGOSTO!J59+SEPTIEMBRE!J59+OCTUBRE!J59+NOVIEMBRE!J59+DICIEMBRE!J59</f>
        <v>914621946.47999978</v>
      </c>
      <c r="K59" s="16">
        <f>ENERO!K59+FEBRERO!K59+MARZO!K59+ABRIL!K59+MAYO!K59+JUNIO!K59+JULIO!K59+AGOSTO!K59+SEPTIEMBRE!K59+OCTUBRE!K59+NOVIEMBRE!K59+DICIEMBRE!K59</f>
        <v>0</v>
      </c>
      <c r="L59" s="16">
        <f>ENERO!L59+FEBRERO!L59+MARZO!L59+ABRIL!L59+MAYO!L59+JUNIO!L59+JULIO!L59+AGOSTO!L59+SEPTIEMBRE!L59+OCTUBRE!L59+NOVIEMBRE!L59+DICIEMBRE!L59</f>
        <v>0</v>
      </c>
      <c r="M59" s="16">
        <f>ENERO!M59+FEBRERO!M59+MARZO!M59+ABRIL!M59+MAYO!M59+JUNIO!M59+JULIO!M59+AGOSTO!M59+SEPTIEMBRE!M59+OCTUBRE!M59+NOVIEMBRE!M59+DICIEMBRE!M59</f>
        <v>0</v>
      </c>
      <c r="N59" s="18">
        <f t="shared" si="1"/>
        <v>13371388189.752708</v>
      </c>
      <c r="O59" s="4"/>
      <c r="P59" s="4"/>
      <c r="Q59" s="4"/>
    </row>
    <row r="60" spans="1:17" ht="18" customHeight="1" x14ac:dyDescent="0.2">
      <c r="A60" s="17" t="s">
        <v>55</v>
      </c>
      <c r="B60" s="16">
        <f>ENERO!B60+FEBRERO!B60+MARZO!B60+ABRIL!B60+MAYO!B60+JUNIO!B60+JULIO!B60+AGOSTO!B60+SEPTIEMBRE!B60+OCTUBRE!B60+NOVIEMBRE!B60+DICIEMBRE!B60</f>
        <v>77007185934.859985</v>
      </c>
      <c r="C60" s="16">
        <f>ENERO!C60+FEBRERO!C60+MARZO!C60+ABRIL!C60+MAYO!C60+JUNIO!C60+JULIO!C60+AGOSTO!C60+SEPTIEMBRE!C60+OCTUBRE!C60+NOVIEMBRE!C60+DICIEMBRE!C60</f>
        <v>0</v>
      </c>
      <c r="D60" s="16">
        <f>ENERO!D60+FEBRERO!D60+MARZO!D60+ABRIL!D60+MAYO!D60+JUNIO!D60+JULIO!D60+AGOSTO!D60+SEPTIEMBRE!D60+OCTUBRE!D60+NOVIEMBRE!D60+DICIEMBRE!D60</f>
        <v>3329090725.1902246</v>
      </c>
      <c r="E60" s="16">
        <f>ENERO!E60+FEBRERO!E60+MARZO!E60+ABRIL!E60+MAYO!E60+JUNIO!E60+JULIO!E60+AGOSTO!E60+SEPTIEMBRE!E60+OCTUBRE!E60+NOVIEMBRE!E60+DICIEMBRE!E60</f>
        <v>1498037710.9200001</v>
      </c>
      <c r="F60" s="16">
        <f>ENERO!F60+FEBRERO!F60+MARZO!F60+ABRIL!F60+MAYO!F60+JUNIO!F60+JULIO!F60+AGOSTO!F60+SEPTIEMBRE!F60+OCTUBRE!F60+NOVIEMBRE!F60+DICIEMBRE!F60</f>
        <v>1901378953.1077874</v>
      </c>
      <c r="G60" s="16">
        <f>ENERO!G60+FEBRERO!G60+MARZO!G60+ABRIL!G60+MAYO!G60+JUNIO!G60+JULIO!G60+AGOSTO!G60+SEPTIEMBRE!G60+OCTUBRE!G60+NOVIEMBRE!G60+DICIEMBRE!G60</f>
        <v>824248274.34000003</v>
      </c>
      <c r="H60" s="16">
        <f>ENERO!H60+FEBRERO!H60+MARZO!H60+ABRIL!H60+MAYO!H60+JUNIO!H60+JULIO!H60+AGOSTO!H60+SEPTIEMBRE!H60+OCTUBRE!H60+NOVIEMBRE!H60+DICIEMBRE!H60</f>
        <v>4364807272.2200003</v>
      </c>
      <c r="I60" s="16">
        <f>ENERO!I60+FEBRERO!I60+MARZO!I60+ABRIL!I60+MAYO!I60+JUNIO!I60+JULIO!I60+AGOSTO!I60+SEPTIEMBRE!I60+OCTUBRE!I60+NOVIEMBRE!I60+DICIEMBRE!I60</f>
        <v>5070334133.7799997</v>
      </c>
      <c r="J60" s="16">
        <f>ENERO!J60+FEBRERO!J60+MARZO!J60+ABRIL!J60+MAYO!J60+JUNIO!J60+JULIO!J60+AGOSTO!J60+SEPTIEMBRE!J60+OCTUBRE!J60+NOVIEMBRE!J60+DICIEMBRE!J60</f>
        <v>15288418070.73</v>
      </c>
      <c r="K60" s="16">
        <f>ENERO!K60+FEBRERO!K60+MARZO!K60+ABRIL!K60+MAYO!K60+JUNIO!K60+JULIO!K60+AGOSTO!K60+SEPTIEMBRE!K60+OCTUBRE!K60+NOVIEMBRE!K60+DICIEMBRE!K60</f>
        <v>0</v>
      </c>
      <c r="L60" s="16">
        <f>ENERO!L60+FEBRERO!L60+MARZO!L60+ABRIL!L60+MAYO!L60+JUNIO!L60+JULIO!L60+AGOSTO!L60+SEPTIEMBRE!L60+OCTUBRE!L60+NOVIEMBRE!L60+DICIEMBRE!L60</f>
        <v>0</v>
      </c>
      <c r="M60" s="16">
        <f>ENERO!M60+FEBRERO!M60+MARZO!M60+ABRIL!M60+MAYO!M60+JUNIO!M60+JULIO!M60+AGOSTO!M60+SEPTIEMBRE!M60+OCTUBRE!M60+NOVIEMBRE!M60+DICIEMBRE!M60</f>
        <v>0</v>
      </c>
      <c r="N60" s="18">
        <f t="shared" si="1"/>
        <v>109283501075.14799</v>
      </c>
      <c r="O60" s="4"/>
      <c r="P60" s="4"/>
      <c r="Q60" s="4"/>
    </row>
    <row r="61" spans="1:17" ht="18" customHeight="1" x14ac:dyDescent="0.2">
      <c r="A61" s="17" t="s">
        <v>56</v>
      </c>
      <c r="B61" s="16">
        <f>ENERO!B61+FEBRERO!B61+MARZO!B61+ABRIL!B61+MAYO!B61+JUNIO!B61+JULIO!B61+AGOSTO!B61+SEPTIEMBRE!B61+OCTUBRE!B61+NOVIEMBRE!B61+DICIEMBRE!B61</f>
        <v>18083584385.920002</v>
      </c>
      <c r="C61" s="16">
        <f>ENERO!C61+FEBRERO!C61+MARZO!C61+ABRIL!C61+MAYO!C61+JUNIO!C61+JULIO!C61+AGOSTO!C61+SEPTIEMBRE!C61+OCTUBRE!C61+NOVIEMBRE!C61+DICIEMBRE!C61</f>
        <v>0</v>
      </c>
      <c r="D61" s="16">
        <f>ENERO!D61+FEBRERO!D61+MARZO!D61+ABRIL!D61+MAYO!D61+JUNIO!D61+JULIO!D61+AGOSTO!D61+SEPTIEMBRE!D61+OCTUBRE!D61+NOVIEMBRE!D61+DICIEMBRE!D61</f>
        <v>312607215.561176</v>
      </c>
      <c r="E61" s="16">
        <f>ENERO!E61+FEBRERO!E61+MARZO!E61+ABRIL!E61+MAYO!E61+JUNIO!E61+JULIO!E61+AGOSTO!E61+SEPTIEMBRE!E61+OCTUBRE!E61+NOVIEMBRE!E61+DICIEMBRE!E61</f>
        <v>218302833.28999999</v>
      </c>
      <c r="F61" s="16">
        <f>ENERO!F61+FEBRERO!F61+MARZO!F61+ABRIL!F61+MAYO!F61+JUNIO!F61+JULIO!F61+AGOSTO!F61+SEPTIEMBRE!F61+OCTUBRE!F61+NOVIEMBRE!F61+DICIEMBRE!F61</f>
        <v>339431140.43399227</v>
      </c>
      <c r="G61" s="16">
        <f>ENERO!G61+FEBRERO!G61+MARZO!G61+ABRIL!G61+MAYO!G61+JUNIO!G61+JULIO!G61+AGOSTO!G61+SEPTIEMBRE!G61+OCTUBRE!G61+NOVIEMBRE!G61+DICIEMBRE!G61</f>
        <v>78853897.501819745</v>
      </c>
      <c r="H61" s="16">
        <f>ENERO!H61+FEBRERO!H61+MARZO!H61+ABRIL!H61+MAYO!H61+JUNIO!H61+JULIO!H61+AGOSTO!H61+SEPTIEMBRE!H61+OCTUBRE!H61+NOVIEMBRE!H61+DICIEMBRE!H61</f>
        <v>1017907533.2499999</v>
      </c>
      <c r="I61" s="16">
        <f>ENERO!I61+FEBRERO!I61+MARZO!I61+ABRIL!I61+MAYO!I61+JUNIO!I61+JULIO!I61+AGOSTO!I61+SEPTIEMBRE!I61+OCTUBRE!I61+NOVIEMBRE!I61+DICIEMBRE!I61</f>
        <v>905147968.97999978</v>
      </c>
      <c r="J61" s="16">
        <f>ENERO!J61+FEBRERO!J61+MARZO!J61+ABRIL!J61+MAYO!J61+JUNIO!J61+JULIO!J61+AGOSTO!J61+SEPTIEMBRE!J61+OCTUBRE!J61+NOVIEMBRE!J61+DICIEMBRE!J61</f>
        <v>3785513058.9800005</v>
      </c>
      <c r="K61" s="16">
        <f>ENERO!K61+FEBRERO!K61+MARZO!K61+ABRIL!K61+MAYO!K61+JUNIO!K61+JULIO!K61+AGOSTO!K61+SEPTIEMBRE!K61+OCTUBRE!K61+NOVIEMBRE!K61+DICIEMBRE!K61</f>
        <v>0</v>
      </c>
      <c r="L61" s="16">
        <f>ENERO!L61+FEBRERO!L61+MARZO!L61+ABRIL!L61+MAYO!L61+JUNIO!L61+JULIO!L61+AGOSTO!L61+SEPTIEMBRE!L61+OCTUBRE!L61+NOVIEMBRE!L61+DICIEMBRE!L61</f>
        <v>0</v>
      </c>
      <c r="M61" s="16">
        <f>ENERO!M61+FEBRERO!M61+MARZO!M61+ABRIL!M61+MAYO!M61+JUNIO!M61+JULIO!M61+AGOSTO!M61+SEPTIEMBRE!M61+OCTUBRE!M61+NOVIEMBRE!M61+DICIEMBRE!M61</f>
        <v>0</v>
      </c>
      <c r="N61" s="18">
        <f t="shared" si="1"/>
        <v>24741348033.916988</v>
      </c>
      <c r="O61" s="4"/>
      <c r="P61" s="4"/>
      <c r="Q61" s="4"/>
    </row>
    <row r="62" spans="1:17" ht="18" customHeight="1" x14ac:dyDescent="0.2">
      <c r="A62" s="17" t="s">
        <v>57</v>
      </c>
      <c r="B62" s="16">
        <f>ENERO!B62+FEBRERO!B62+MARZO!B62+ABRIL!B62+MAYO!B62+JUNIO!B62+JULIO!B62+AGOSTO!B62+SEPTIEMBRE!B62+OCTUBRE!B62+NOVIEMBRE!B62+DICIEMBRE!B62</f>
        <v>84108747452.27002</v>
      </c>
      <c r="C62" s="16">
        <f>ENERO!C62+FEBRERO!C62+MARZO!C62+ABRIL!C62+MAYO!C62+JUNIO!C62+JULIO!C62+AGOSTO!C62+SEPTIEMBRE!C62+OCTUBRE!C62+NOVIEMBRE!C62+DICIEMBRE!C62</f>
        <v>0</v>
      </c>
      <c r="D62" s="16">
        <f>ENERO!D62+FEBRERO!D62+MARZO!D62+ABRIL!D62+MAYO!D62+JUNIO!D62+JULIO!D62+AGOSTO!D62+SEPTIEMBRE!D62+OCTUBRE!D62+NOVIEMBRE!D62+DICIEMBRE!D62</f>
        <v>973321787.94000006</v>
      </c>
      <c r="E62" s="16">
        <f>ENERO!E62+FEBRERO!E62+MARZO!E62+ABRIL!E62+MAYO!E62+JUNIO!E62+JULIO!E62+AGOSTO!E62+SEPTIEMBRE!E62+OCTUBRE!E62+NOVIEMBRE!E62+DICIEMBRE!E62</f>
        <v>1288903518.1300001</v>
      </c>
      <c r="F62" s="16">
        <f>ENERO!F62+FEBRERO!F62+MARZO!F62+ABRIL!F62+MAYO!F62+JUNIO!F62+JULIO!F62+AGOSTO!F62+SEPTIEMBRE!F62+OCTUBRE!F62+NOVIEMBRE!F62+DICIEMBRE!F62</f>
        <v>1521967294.7100124</v>
      </c>
      <c r="G62" s="16">
        <f>ENERO!G62+FEBRERO!G62+MARZO!G62+ABRIL!G62+MAYO!G62+JUNIO!G62+JULIO!G62+AGOSTO!G62+SEPTIEMBRE!G62+OCTUBRE!G62+NOVIEMBRE!G62+DICIEMBRE!G62</f>
        <v>0</v>
      </c>
      <c r="H62" s="16">
        <f>ENERO!H62+FEBRERO!H62+MARZO!H62+ABRIL!H62+MAYO!H62+JUNIO!H62+JULIO!H62+AGOSTO!H62+SEPTIEMBRE!H62+OCTUBRE!H62+NOVIEMBRE!H62+DICIEMBRE!H62</f>
        <v>4784109164.2600002</v>
      </c>
      <c r="I62" s="16">
        <f>ENERO!I62+FEBRERO!I62+MARZO!I62+ABRIL!I62+MAYO!I62+JUNIO!I62+JULIO!I62+AGOSTO!I62+SEPTIEMBRE!I62+OCTUBRE!I62+NOVIEMBRE!I62+DICIEMBRE!I62</f>
        <v>4058571655.2000003</v>
      </c>
      <c r="J62" s="16">
        <f>ENERO!J62+FEBRERO!J62+MARZO!J62+ABRIL!J62+MAYO!J62+JUNIO!J62+JULIO!J62+AGOSTO!J62+SEPTIEMBRE!J62+OCTUBRE!J62+NOVIEMBRE!J62+DICIEMBRE!J62</f>
        <v>7527761054.2199993</v>
      </c>
      <c r="K62" s="16">
        <f>ENERO!K62+FEBRERO!K62+MARZO!K62+ABRIL!K62+MAYO!K62+JUNIO!K62+JULIO!K62+AGOSTO!K62+SEPTIEMBRE!K62+OCTUBRE!K62+NOVIEMBRE!K62+DICIEMBRE!K62</f>
        <v>0</v>
      </c>
      <c r="L62" s="16">
        <f>ENERO!L62+FEBRERO!L62+MARZO!L62+ABRIL!L62+MAYO!L62+JUNIO!L62+JULIO!L62+AGOSTO!L62+SEPTIEMBRE!L62+OCTUBRE!L62+NOVIEMBRE!L62+DICIEMBRE!L62</f>
        <v>0</v>
      </c>
      <c r="M62" s="16">
        <f>ENERO!M62+FEBRERO!M62+MARZO!M62+ABRIL!M62+MAYO!M62+JUNIO!M62+JULIO!M62+AGOSTO!M62+SEPTIEMBRE!M62+OCTUBRE!M62+NOVIEMBRE!M62+DICIEMBRE!M62</f>
        <v>0</v>
      </c>
      <c r="N62" s="18">
        <f t="shared" si="1"/>
        <v>104263381926.73003</v>
      </c>
      <c r="O62" s="4"/>
      <c r="P62" s="4"/>
      <c r="Q62" s="4"/>
    </row>
    <row r="63" spans="1:17" ht="18" customHeight="1" x14ac:dyDescent="0.2">
      <c r="A63" s="17" t="s">
        <v>58</v>
      </c>
      <c r="B63" s="16">
        <f>ENERO!B63+FEBRERO!B63+MARZO!B63+ABRIL!B63+MAYO!B63+JUNIO!B63+JULIO!B63+AGOSTO!B63+SEPTIEMBRE!B63+OCTUBRE!B63+NOVIEMBRE!B63+DICIEMBRE!B63</f>
        <v>14812013708.640001</v>
      </c>
      <c r="C63" s="16">
        <f>ENERO!C63+FEBRERO!C63+MARZO!C63+ABRIL!C63+MAYO!C63+JUNIO!C63+JULIO!C63+AGOSTO!C63+SEPTIEMBRE!C63+OCTUBRE!C63+NOVIEMBRE!C63+DICIEMBRE!C63</f>
        <v>0</v>
      </c>
      <c r="D63" s="16">
        <f>ENERO!D63+FEBRERO!D63+MARZO!D63+ABRIL!D63+MAYO!D63+JUNIO!D63+JULIO!D63+AGOSTO!D63+SEPTIEMBRE!D63+OCTUBRE!D63+NOVIEMBRE!D63+DICIEMBRE!D63</f>
        <v>717899878.42273724</v>
      </c>
      <c r="E63" s="16">
        <f>ENERO!E63+FEBRERO!E63+MARZO!E63+ABRIL!E63+MAYO!E63+JUNIO!E63+JULIO!E63+AGOSTO!E63+SEPTIEMBRE!E63+OCTUBRE!E63+NOVIEMBRE!E63+DICIEMBRE!E63</f>
        <v>180720888.60000002</v>
      </c>
      <c r="F63" s="16">
        <f>ENERO!F63+FEBRERO!F63+MARZO!F63+ABRIL!F63+MAYO!F63+JUNIO!F63+JULIO!F63+AGOSTO!F63+SEPTIEMBRE!F63+OCTUBRE!F63+NOVIEMBRE!F63+DICIEMBRE!F63</f>
        <v>53633807.115939721</v>
      </c>
      <c r="G63" s="16">
        <f>ENERO!G63+FEBRERO!G63+MARZO!G63+ABRIL!G63+MAYO!G63+JUNIO!G63+JULIO!G63+AGOSTO!G63+SEPTIEMBRE!G63+OCTUBRE!G63+NOVIEMBRE!G63+DICIEMBRE!G63</f>
        <v>27929610.539999995</v>
      </c>
      <c r="H63" s="16">
        <f>ENERO!H63+FEBRERO!H63+MARZO!H63+ABRIL!H63+MAYO!H63+JUNIO!H63+JULIO!H63+AGOSTO!H63+SEPTIEMBRE!H63+OCTUBRE!H63+NOVIEMBRE!H63+DICIEMBRE!H63</f>
        <v>837560456.93000007</v>
      </c>
      <c r="I63" s="16">
        <f>ENERO!I63+FEBRERO!I63+MARZO!I63+ABRIL!I63+MAYO!I63+JUNIO!I63+JULIO!I63+AGOSTO!I63+SEPTIEMBRE!I63+OCTUBRE!I63+NOVIEMBRE!I63+DICIEMBRE!I63</f>
        <v>143023210.97999999</v>
      </c>
      <c r="J63" s="16">
        <f>ENERO!J63+FEBRERO!J63+MARZO!J63+ABRIL!J63+MAYO!J63+JUNIO!J63+JULIO!J63+AGOSTO!J63+SEPTIEMBRE!J63+OCTUBRE!J63+NOVIEMBRE!J63+DICIEMBRE!J63</f>
        <v>1010164333.8299999</v>
      </c>
      <c r="K63" s="16">
        <f>ENERO!K63+FEBRERO!K63+MARZO!K63+ABRIL!K63+MAYO!K63+JUNIO!K63+JULIO!K63+AGOSTO!K63+SEPTIEMBRE!K63+OCTUBRE!K63+NOVIEMBRE!K63+DICIEMBRE!K63</f>
        <v>0</v>
      </c>
      <c r="L63" s="16">
        <f>ENERO!L63+FEBRERO!L63+MARZO!L63+ABRIL!L63+MAYO!L63+JUNIO!L63+JULIO!L63+AGOSTO!L63+SEPTIEMBRE!L63+OCTUBRE!L63+NOVIEMBRE!L63+DICIEMBRE!L63</f>
        <v>0</v>
      </c>
      <c r="M63" s="16">
        <f>ENERO!M63+FEBRERO!M63+MARZO!M63+ABRIL!M63+MAYO!M63+JUNIO!M63+JULIO!M63+AGOSTO!M63+SEPTIEMBRE!M63+OCTUBRE!M63+NOVIEMBRE!M63+DICIEMBRE!M63</f>
        <v>0</v>
      </c>
      <c r="N63" s="18">
        <f t="shared" si="1"/>
        <v>17782945895.058678</v>
      </c>
      <c r="O63" s="4"/>
      <c r="P63" s="4"/>
      <c r="Q63" s="4"/>
    </row>
    <row r="64" spans="1:17" ht="18" customHeight="1" x14ac:dyDescent="0.2">
      <c r="A64" s="17" t="s">
        <v>59</v>
      </c>
      <c r="B64" s="16">
        <f>ENERO!B64+FEBRERO!B64+MARZO!B64+ABRIL!B64+MAYO!B64+JUNIO!B64+JULIO!B64+AGOSTO!B64+SEPTIEMBRE!B64+OCTUBRE!B64+NOVIEMBRE!B64+DICIEMBRE!B64</f>
        <v>23082688582.189999</v>
      </c>
      <c r="C64" s="16">
        <f>ENERO!C64+FEBRERO!C64+MARZO!C64+ABRIL!C64+MAYO!C64+JUNIO!C64+JULIO!C64+AGOSTO!C64+SEPTIEMBRE!C64+OCTUBRE!C64+NOVIEMBRE!C64+DICIEMBRE!C64</f>
        <v>0</v>
      </c>
      <c r="D64" s="16">
        <f>ENERO!D64+FEBRERO!D64+MARZO!D64+ABRIL!D64+MAYO!D64+JUNIO!D64+JULIO!D64+AGOSTO!D64+SEPTIEMBRE!D64+OCTUBRE!D64+NOVIEMBRE!D64+DICIEMBRE!D64</f>
        <v>2388025937.3975039</v>
      </c>
      <c r="E64" s="16">
        <f>ENERO!E64+FEBRERO!E64+MARZO!E64+ABRIL!E64+MAYO!E64+JUNIO!E64+JULIO!E64+AGOSTO!E64+SEPTIEMBRE!E64+OCTUBRE!E64+NOVIEMBRE!E64+DICIEMBRE!E64</f>
        <v>282144484.90999997</v>
      </c>
      <c r="F64" s="16">
        <f>ENERO!F64+FEBRERO!F64+MARZO!F64+ABRIL!F64+MAYO!F64+JUNIO!F64+JULIO!F64+AGOSTO!F64+SEPTIEMBRE!F64+OCTUBRE!F64+NOVIEMBRE!F64+DICIEMBRE!F64</f>
        <v>98165421.430441752</v>
      </c>
      <c r="G64" s="16">
        <f>ENERO!G64+FEBRERO!G64+MARZO!G64+ABRIL!G64+MAYO!G64+JUNIO!G64+JULIO!G64+AGOSTO!G64+SEPTIEMBRE!G64+OCTUBRE!G64+NOVIEMBRE!G64+DICIEMBRE!G64</f>
        <v>43518230.380000003</v>
      </c>
      <c r="H64" s="16">
        <f>ENERO!H64+FEBRERO!H64+MARZO!H64+ABRIL!H64+MAYO!H64+JUNIO!H64+JULIO!H64+AGOSTO!H64+SEPTIEMBRE!H64+OCTUBRE!H64+NOVIEMBRE!H64+DICIEMBRE!H64</f>
        <v>1302676272.75</v>
      </c>
      <c r="I64" s="16">
        <f>ENERO!I64+FEBRERO!I64+MARZO!I64+ABRIL!I64+MAYO!I64+JUNIO!I64+JULIO!I64+AGOSTO!I64+SEPTIEMBRE!I64+OCTUBRE!I64+NOVIEMBRE!I64+DICIEMBRE!I64</f>
        <v>261773954.38</v>
      </c>
      <c r="J64" s="16">
        <f>ENERO!J64+FEBRERO!J64+MARZO!J64+ABRIL!J64+MAYO!J64+JUNIO!J64+JULIO!J64+AGOSTO!J64+SEPTIEMBRE!J64+OCTUBRE!J64+NOVIEMBRE!J64+DICIEMBRE!J64</f>
        <v>2141409492.2499998</v>
      </c>
      <c r="K64" s="16">
        <f>ENERO!K64+FEBRERO!K64+MARZO!K64+ABRIL!K64+MAYO!K64+JUNIO!K64+JULIO!K64+AGOSTO!K64+SEPTIEMBRE!K64+OCTUBRE!K64+NOVIEMBRE!K64+DICIEMBRE!K64</f>
        <v>0</v>
      </c>
      <c r="L64" s="16">
        <f>ENERO!L64+FEBRERO!L64+MARZO!L64+ABRIL!L64+MAYO!L64+JUNIO!L64+JULIO!L64+AGOSTO!L64+SEPTIEMBRE!L64+OCTUBRE!L64+NOVIEMBRE!L64+DICIEMBRE!L64</f>
        <v>0</v>
      </c>
      <c r="M64" s="16">
        <f>ENERO!M64+FEBRERO!M64+MARZO!M64+ABRIL!M64+MAYO!M64+JUNIO!M64+JULIO!M64+AGOSTO!M64+SEPTIEMBRE!M64+OCTUBRE!M64+NOVIEMBRE!M64+DICIEMBRE!M64</f>
        <v>0</v>
      </c>
      <c r="N64" s="18">
        <f t="shared" si="1"/>
        <v>29600402375.687946</v>
      </c>
      <c r="O64" s="4"/>
      <c r="P64" s="4"/>
      <c r="Q64" s="4"/>
    </row>
    <row r="65" spans="1:17" ht="18" customHeight="1" x14ac:dyDescent="0.2">
      <c r="A65" s="17" t="s">
        <v>60</v>
      </c>
      <c r="B65" s="16">
        <f>ENERO!B65+FEBRERO!B65+MARZO!B65+ABRIL!B65+MAYO!B65+JUNIO!B65+JULIO!B65+AGOSTO!B65+SEPTIEMBRE!B65+OCTUBRE!B65+NOVIEMBRE!B65+DICIEMBRE!B65</f>
        <v>12102468230.919998</v>
      </c>
      <c r="C65" s="16">
        <f>ENERO!C65+FEBRERO!C65+MARZO!C65+ABRIL!C65+MAYO!C65+JUNIO!C65+JULIO!C65+AGOSTO!C65+SEPTIEMBRE!C65+OCTUBRE!C65+NOVIEMBRE!C65+DICIEMBRE!C65</f>
        <v>0</v>
      </c>
      <c r="D65" s="16">
        <f>ENERO!D65+FEBRERO!D65+MARZO!D65+ABRIL!D65+MAYO!D65+JUNIO!D65+JULIO!D65+AGOSTO!D65+SEPTIEMBRE!D65+OCTUBRE!D65+NOVIEMBRE!D65+DICIEMBRE!D65</f>
        <v>577212721.25308347</v>
      </c>
      <c r="E65" s="16">
        <f>ENERO!E65+FEBRERO!E65+MARZO!E65+ABRIL!E65+MAYO!E65+JUNIO!E65+JULIO!E65+AGOSTO!E65+SEPTIEMBRE!E65+OCTUBRE!E65+NOVIEMBRE!E65+DICIEMBRE!E65</f>
        <v>148723613.00999999</v>
      </c>
      <c r="F65" s="16">
        <f>ENERO!F65+FEBRERO!F65+MARZO!F65+ABRIL!F65+MAYO!F65+JUNIO!F65+JULIO!F65+AGOSTO!F65+SEPTIEMBRE!F65+OCTUBRE!F65+NOVIEMBRE!F65+DICIEMBRE!F65</f>
        <v>21372870.472742897</v>
      </c>
      <c r="G65" s="16">
        <f>ENERO!G65+FEBRERO!G65+MARZO!G65+ABRIL!G65+MAYO!G65+JUNIO!G65+JULIO!G65+AGOSTO!G65+SEPTIEMBRE!G65+OCTUBRE!G65+NOVIEMBRE!G65+DICIEMBRE!G65</f>
        <v>14506076.800000003</v>
      </c>
      <c r="H65" s="16">
        <f>ENERO!H65+FEBRERO!H65+MARZO!H65+ABRIL!H65+MAYO!H65+JUNIO!H65+JULIO!H65+AGOSTO!H65+SEPTIEMBRE!H65+OCTUBRE!H65+NOVIEMBRE!H65+DICIEMBRE!H65</f>
        <v>685574068.52999997</v>
      </c>
      <c r="I65" s="16">
        <f>ENERO!I65+FEBRERO!I65+MARZO!I65+ABRIL!I65+MAYO!I65+JUNIO!I65+JULIO!I65+AGOSTO!I65+SEPTIEMBRE!I65+OCTUBRE!I65+NOVIEMBRE!I65+DICIEMBRE!I65</f>
        <v>56994211.909999996</v>
      </c>
      <c r="J65" s="16">
        <f>ENERO!J65+FEBRERO!J65+MARZO!J65+ABRIL!J65+MAYO!J65+JUNIO!J65+JULIO!J65+AGOSTO!J65+SEPTIEMBRE!J65+OCTUBRE!J65+NOVIEMBRE!J65+DICIEMBRE!J65</f>
        <v>1277264193.95</v>
      </c>
      <c r="K65" s="16">
        <f>ENERO!K65+FEBRERO!K65+MARZO!K65+ABRIL!K65+MAYO!K65+JUNIO!K65+JULIO!K65+AGOSTO!K65+SEPTIEMBRE!K65+OCTUBRE!K65+NOVIEMBRE!K65+DICIEMBRE!K65</f>
        <v>0</v>
      </c>
      <c r="L65" s="16">
        <f>ENERO!L65+FEBRERO!L65+MARZO!L65+ABRIL!L65+MAYO!L65+JUNIO!L65+JULIO!L65+AGOSTO!L65+SEPTIEMBRE!L65+OCTUBRE!L65+NOVIEMBRE!L65+DICIEMBRE!L65</f>
        <v>0</v>
      </c>
      <c r="M65" s="16">
        <f>ENERO!M65+FEBRERO!M65+MARZO!M65+ABRIL!M65+MAYO!M65+JUNIO!M65+JULIO!M65+AGOSTO!M65+SEPTIEMBRE!M65+OCTUBRE!M65+NOVIEMBRE!M65+DICIEMBRE!M65</f>
        <v>0</v>
      </c>
      <c r="N65" s="18">
        <f t="shared" si="1"/>
        <v>14884115986.845825</v>
      </c>
      <c r="O65" s="4"/>
      <c r="P65" s="4"/>
      <c r="Q65" s="4"/>
    </row>
    <row r="66" spans="1:17" ht="18" customHeight="1" x14ac:dyDescent="0.2">
      <c r="A66" s="17" t="s">
        <v>61</v>
      </c>
      <c r="B66" s="16">
        <f>ENERO!B66+FEBRERO!B66+MARZO!B66+ABRIL!B66+MAYO!B66+JUNIO!B66+JULIO!B66+AGOSTO!B66+SEPTIEMBRE!B66+OCTUBRE!B66+NOVIEMBRE!B66+DICIEMBRE!B66</f>
        <v>6757280524.8999996</v>
      </c>
      <c r="C66" s="16">
        <f>ENERO!C66+FEBRERO!C66+MARZO!C66+ABRIL!C66+MAYO!C66+JUNIO!C66+JULIO!C66+AGOSTO!C66+SEPTIEMBRE!C66+OCTUBRE!C66+NOVIEMBRE!C66+DICIEMBRE!C66</f>
        <v>0</v>
      </c>
      <c r="D66" s="16">
        <f>ENERO!D66+FEBRERO!D66+MARZO!D66+ABRIL!D66+MAYO!D66+JUNIO!D66+JULIO!D66+AGOSTO!D66+SEPTIEMBRE!D66+OCTUBRE!D66+NOVIEMBRE!D66+DICIEMBRE!D66</f>
        <v>459866395.84282386</v>
      </c>
      <c r="E66" s="16">
        <f>ENERO!E66+FEBRERO!E66+MARZO!E66+ABRIL!E66+MAYO!E66+JUNIO!E66+JULIO!E66+AGOSTO!E66+SEPTIEMBRE!E66+OCTUBRE!E66+NOVIEMBRE!E66+DICIEMBRE!E66</f>
        <v>83737878.319999993</v>
      </c>
      <c r="F66" s="16">
        <f>ENERO!F66+FEBRERO!F66+MARZO!F66+ABRIL!F66+MAYO!F66+JUNIO!F66+JULIO!F66+AGOSTO!F66+SEPTIEMBRE!F66+OCTUBRE!F66+NOVIEMBRE!F66+DICIEMBRE!F66</f>
        <v>20911999.939125799</v>
      </c>
      <c r="G66" s="16">
        <f>ENERO!G66+FEBRERO!G66+MARZO!G66+ABRIL!G66+MAYO!G66+JUNIO!G66+JULIO!G66+AGOSTO!G66+SEPTIEMBRE!G66+OCTUBRE!G66+NOVIEMBRE!G66+DICIEMBRE!G66</f>
        <v>13207025.129999999</v>
      </c>
      <c r="H66" s="16">
        <f>ENERO!H66+FEBRERO!H66+MARZO!H66+ABRIL!H66+MAYO!H66+JUNIO!H66+JULIO!H66+AGOSTO!H66+SEPTIEMBRE!H66+OCTUBRE!H66+NOVIEMBRE!H66+DICIEMBRE!H66</f>
        <v>383534654.54999995</v>
      </c>
      <c r="I66" s="16">
        <f>ENERO!I66+FEBRERO!I66+MARZO!I66+ABRIL!I66+MAYO!I66+JUNIO!I66+JULIO!I66+AGOSTO!I66+SEPTIEMBRE!I66+OCTUBRE!I66+NOVIEMBRE!I66+DICIEMBRE!I66</f>
        <v>55765226.190000005</v>
      </c>
      <c r="J66" s="16">
        <f>ENERO!J66+FEBRERO!J66+MARZO!J66+ABRIL!J66+MAYO!J66+JUNIO!J66+JULIO!J66+AGOSTO!J66+SEPTIEMBRE!J66+OCTUBRE!J66+NOVIEMBRE!J66+DICIEMBRE!J66</f>
        <v>566980863.61999989</v>
      </c>
      <c r="K66" s="16">
        <f>ENERO!K66+FEBRERO!K66+MARZO!K66+ABRIL!K66+MAYO!K66+JUNIO!K66+JULIO!K66+AGOSTO!K66+SEPTIEMBRE!K66+OCTUBRE!K66+NOVIEMBRE!K66+DICIEMBRE!K66</f>
        <v>0</v>
      </c>
      <c r="L66" s="16">
        <f>ENERO!L66+FEBRERO!L66+MARZO!L66+ABRIL!L66+MAYO!L66+JUNIO!L66+JULIO!L66+AGOSTO!L66+SEPTIEMBRE!L66+OCTUBRE!L66+NOVIEMBRE!L66+DICIEMBRE!L66</f>
        <v>0</v>
      </c>
      <c r="M66" s="16">
        <f>ENERO!M66+FEBRERO!M66+MARZO!M66+ABRIL!M66+MAYO!M66+JUNIO!M66+JULIO!M66+AGOSTO!M66+SEPTIEMBRE!M66+OCTUBRE!M66+NOVIEMBRE!M66+DICIEMBRE!M66</f>
        <v>0</v>
      </c>
      <c r="N66" s="18">
        <f t="shared" si="1"/>
        <v>8341284568.4919491</v>
      </c>
      <c r="O66" s="4"/>
      <c r="P66" s="4"/>
      <c r="Q66" s="4"/>
    </row>
    <row r="67" spans="1:17" ht="18" customHeight="1" x14ac:dyDescent="0.2">
      <c r="A67" s="17" t="s">
        <v>62</v>
      </c>
      <c r="B67" s="16">
        <f>ENERO!B67+FEBRERO!B67+MARZO!B67+ABRIL!B67+MAYO!B67+JUNIO!B67+JULIO!B67+AGOSTO!B67+SEPTIEMBRE!B67+OCTUBRE!B67+NOVIEMBRE!B67+DICIEMBRE!B67</f>
        <v>30315112926.789993</v>
      </c>
      <c r="C67" s="16">
        <f>ENERO!C67+FEBRERO!C67+MARZO!C67+ABRIL!C67+MAYO!C67+JUNIO!C67+JULIO!C67+AGOSTO!C67+SEPTIEMBRE!C67+OCTUBRE!C67+NOVIEMBRE!C67+DICIEMBRE!C67</f>
        <v>0</v>
      </c>
      <c r="D67" s="16">
        <f>ENERO!D67+FEBRERO!D67+MARZO!D67+ABRIL!D67+MAYO!D67+JUNIO!D67+JULIO!D67+AGOSTO!D67+SEPTIEMBRE!D67+OCTUBRE!D67+NOVIEMBRE!D67+DICIEMBRE!D67</f>
        <v>275947768.03000003</v>
      </c>
      <c r="E67" s="16">
        <f>ENERO!E67+FEBRERO!E67+MARZO!E67+ABRIL!E67+MAYO!E67+JUNIO!E67+JULIO!E67+AGOSTO!E67+SEPTIEMBRE!E67+OCTUBRE!E67+NOVIEMBRE!E67+DICIEMBRE!E67</f>
        <v>457214279.65999997</v>
      </c>
      <c r="F67" s="16">
        <f>ENERO!F67+FEBRERO!F67+MARZO!F67+ABRIL!F67+MAYO!F67+JUNIO!F67+JULIO!F67+AGOSTO!F67+SEPTIEMBRE!F67+OCTUBRE!F67+NOVIEMBRE!F67+DICIEMBRE!F67</f>
        <v>561916385.60014606</v>
      </c>
      <c r="G67" s="16">
        <f>ENERO!G67+FEBRERO!G67+MARZO!G67+ABRIL!G67+MAYO!G67+JUNIO!G67+JULIO!G67+AGOSTO!G67+SEPTIEMBRE!G67+OCTUBRE!G67+NOVIEMBRE!G67+DICIEMBRE!G67</f>
        <v>269407888.94250655</v>
      </c>
      <c r="H67" s="16">
        <f>ENERO!H67+FEBRERO!H67+MARZO!H67+ABRIL!H67+MAYO!H67+JUNIO!H67+JULIO!H67+AGOSTO!H67+SEPTIEMBRE!H67+OCTUBRE!H67+NOVIEMBRE!H67+DICIEMBRE!H67</f>
        <v>1719872260.8199997</v>
      </c>
      <c r="I67" s="16">
        <f>ENERO!I67+FEBRERO!I67+MARZO!I67+ABRIL!I67+MAYO!I67+JUNIO!I67+JULIO!I67+AGOSTO!I67+SEPTIEMBRE!I67+OCTUBRE!I67+NOVIEMBRE!I67+DICIEMBRE!I67</f>
        <v>1498440816.28</v>
      </c>
      <c r="J67" s="16">
        <f>ENERO!J67+FEBRERO!J67+MARZO!J67+ABRIL!J67+MAYO!J67+JUNIO!J67+JULIO!J67+AGOSTO!J67+SEPTIEMBRE!J67+OCTUBRE!J67+NOVIEMBRE!J67+DICIEMBRE!J67</f>
        <v>3653116893.2300005</v>
      </c>
      <c r="K67" s="16">
        <f>ENERO!K67+FEBRERO!K67+MARZO!K67+ABRIL!K67+MAYO!K67+JUNIO!K67+JULIO!K67+AGOSTO!K67+SEPTIEMBRE!K67+OCTUBRE!K67+NOVIEMBRE!K67+DICIEMBRE!K67</f>
        <v>0</v>
      </c>
      <c r="L67" s="16">
        <f>ENERO!L67+FEBRERO!L67+MARZO!L67+ABRIL!L67+MAYO!L67+JUNIO!L67+JULIO!L67+AGOSTO!L67+SEPTIEMBRE!L67+OCTUBRE!L67+NOVIEMBRE!L67+DICIEMBRE!L67</f>
        <v>0</v>
      </c>
      <c r="M67" s="16">
        <f>ENERO!M67+FEBRERO!M67+MARZO!M67+ABRIL!M67+MAYO!M67+JUNIO!M67+JULIO!M67+AGOSTO!M67+SEPTIEMBRE!M67+OCTUBRE!M67+NOVIEMBRE!M67+DICIEMBRE!M67</f>
        <v>0</v>
      </c>
      <c r="N67" s="18">
        <f t="shared" si="1"/>
        <v>38751029219.352646</v>
      </c>
      <c r="O67" s="4"/>
      <c r="P67" s="4"/>
      <c r="Q67" s="4"/>
    </row>
    <row r="68" spans="1:17" ht="18" customHeight="1" x14ac:dyDescent="0.2">
      <c r="A68" s="17" t="s">
        <v>63</v>
      </c>
      <c r="B68" s="16">
        <f>ENERO!B68+FEBRERO!B68+MARZO!B68+ABRIL!B68+MAYO!B68+JUNIO!B68+JULIO!B68+AGOSTO!B68+SEPTIEMBRE!B68+OCTUBRE!B68+NOVIEMBRE!B68+DICIEMBRE!B68</f>
        <v>18962852802.57</v>
      </c>
      <c r="C68" s="16">
        <f>ENERO!C68+FEBRERO!C68+MARZO!C68+ABRIL!C68+MAYO!C68+JUNIO!C68+JULIO!C68+AGOSTO!C68+SEPTIEMBRE!C68+OCTUBRE!C68+NOVIEMBRE!C68+DICIEMBRE!C68</f>
        <v>0</v>
      </c>
      <c r="D68" s="16">
        <f>ENERO!D68+FEBRERO!D68+MARZO!D68+ABRIL!D68+MAYO!D68+JUNIO!D68+JULIO!D68+AGOSTO!D68+SEPTIEMBRE!D68+OCTUBRE!D68+NOVIEMBRE!D68+DICIEMBRE!D68</f>
        <v>349756578.56000006</v>
      </c>
      <c r="E68" s="16">
        <f>ENERO!E68+FEBRERO!E68+MARZO!E68+ABRIL!E68+MAYO!E68+JUNIO!E68+JULIO!E68+AGOSTO!E68+SEPTIEMBRE!E68+OCTUBRE!E68+NOVIEMBRE!E68+DICIEMBRE!E68</f>
        <v>236140090.91999999</v>
      </c>
      <c r="F68" s="16">
        <f>ENERO!F68+FEBRERO!F68+MARZO!F68+ABRIL!F68+MAYO!F68+JUNIO!F68+JULIO!F68+AGOSTO!F68+SEPTIEMBRE!F68+OCTUBRE!F68+NOVIEMBRE!F68+DICIEMBRE!F68</f>
        <v>495551030.23928398</v>
      </c>
      <c r="G68" s="16">
        <f>ENERO!G68+FEBRERO!G68+MARZO!G68+ABRIL!G68+MAYO!G68+JUNIO!G68+JULIO!G68+AGOSTO!G68+SEPTIEMBRE!G68+OCTUBRE!G68+NOVIEMBRE!G68+DICIEMBRE!G68</f>
        <v>265520242.83948916</v>
      </c>
      <c r="H68" s="16">
        <f>ENERO!H68+FEBRERO!H68+MARZO!H68+ABRIL!H68+MAYO!H68+JUNIO!H68+JULIO!H68+AGOSTO!H68+SEPTIEMBRE!H68+OCTUBRE!H68+NOVIEMBRE!H68+DICIEMBRE!H68</f>
        <v>1076852919.03</v>
      </c>
      <c r="I68" s="16">
        <f>ENERO!I68+FEBRERO!I68+MARZO!I68+ABRIL!I68+MAYO!I68+JUNIO!I68+JULIO!I68+AGOSTO!I68+SEPTIEMBRE!I68+OCTUBRE!I68+NOVIEMBRE!I68+DICIEMBRE!I68</f>
        <v>1321466875.28</v>
      </c>
      <c r="J68" s="16">
        <f>ENERO!J68+FEBRERO!J68+MARZO!J68+ABRIL!J68+MAYO!J68+JUNIO!J68+JULIO!J68+AGOSTO!J68+SEPTIEMBRE!J68+OCTUBRE!J68+NOVIEMBRE!J68+DICIEMBRE!J68</f>
        <v>3068035928.9599996</v>
      </c>
      <c r="K68" s="16">
        <f>ENERO!K68+FEBRERO!K68+MARZO!K68+ABRIL!K68+MAYO!K68+JUNIO!K68+JULIO!K68+AGOSTO!K68+SEPTIEMBRE!K68+OCTUBRE!K68+NOVIEMBRE!K68+DICIEMBRE!K68</f>
        <v>0</v>
      </c>
      <c r="L68" s="16">
        <f>ENERO!L68+FEBRERO!L68+MARZO!L68+ABRIL!L68+MAYO!L68+JUNIO!L68+JULIO!L68+AGOSTO!L68+SEPTIEMBRE!L68+OCTUBRE!L68+NOVIEMBRE!L68+DICIEMBRE!L68</f>
        <v>0</v>
      </c>
      <c r="M68" s="16">
        <f>ENERO!M68+FEBRERO!M68+MARZO!M68+ABRIL!M68+MAYO!M68+JUNIO!M68+JULIO!M68+AGOSTO!M68+SEPTIEMBRE!M68+OCTUBRE!M68+NOVIEMBRE!M68+DICIEMBRE!M68</f>
        <v>0</v>
      </c>
      <c r="N68" s="18">
        <f t="shared" si="1"/>
        <v>25776176468.398769</v>
      </c>
      <c r="O68" s="4"/>
      <c r="P68" s="4"/>
      <c r="Q68" s="4"/>
    </row>
    <row r="69" spans="1:17" ht="18" customHeight="1" x14ac:dyDescent="0.2">
      <c r="A69" s="17" t="s">
        <v>64</v>
      </c>
      <c r="B69" s="16">
        <f>ENERO!B69+FEBRERO!B69+MARZO!B69+ABRIL!B69+MAYO!B69+JUNIO!B69+JULIO!B69+AGOSTO!B69+SEPTIEMBRE!B69+OCTUBRE!B69+NOVIEMBRE!B69+DICIEMBRE!B69</f>
        <v>67729263846.699989</v>
      </c>
      <c r="C69" s="16">
        <f>ENERO!C69+FEBRERO!C69+MARZO!C69+ABRIL!C69+MAYO!C69+JUNIO!C69+JULIO!C69+AGOSTO!C69+SEPTIEMBRE!C69+OCTUBRE!C69+NOVIEMBRE!C69+DICIEMBRE!C69</f>
        <v>0</v>
      </c>
      <c r="D69" s="16">
        <f>ENERO!D69+FEBRERO!D69+MARZO!D69+ABRIL!D69+MAYO!D69+JUNIO!D69+JULIO!D69+AGOSTO!D69+SEPTIEMBRE!D69+OCTUBRE!D69+NOVIEMBRE!D69+DICIEMBRE!D69</f>
        <v>321490575.91966206</v>
      </c>
      <c r="E69" s="16">
        <f>ENERO!E69+FEBRERO!E69+MARZO!E69+ABRIL!E69+MAYO!E69+JUNIO!E69+JULIO!E69+AGOSTO!E69+SEPTIEMBRE!E69+OCTUBRE!E69+NOVIEMBRE!E69+DICIEMBRE!E69</f>
        <v>834813848.23000002</v>
      </c>
      <c r="F69" s="16">
        <f>ENERO!F69+FEBRERO!F69+MARZO!F69+ABRIL!F69+MAYO!F69+JUNIO!F69+JULIO!F69+AGOSTO!F69+SEPTIEMBRE!F69+OCTUBRE!F69+NOVIEMBRE!F69+DICIEMBRE!F69</f>
        <v>1462514997.1934068</v>
      </c>
      <c r="G69" s="16">
        <f>ENERO!G69+FEBRERO!G69+MARZO!G69+ABRIL!G69+MAYO!G69+JUNIO!G69+JULIO!G69+AGOSTO!G69+SEPTIEMBRE!G69+OCTUBRE!G69+NOVIEMBRE!G69+DICIEMBRE!G69</f>
        <v>296048050.8123197</v>
      </c>
      <c r="H69" s="16">
        <f>ENERO!H69+FEBRERO!H69+MARZO!H69+ABRIL!H69+MAYO!H69+JUNIO!H69+JULIO!H69+AGOSTO!H69+SEPTIEMBRE!H69+OCTUBRE!H69+NOVIEMBRE!H69+DICIEMBRE!H69</f>
        <v>3836215609.5799999</v>
      </c>
      <c r="I69" s="16">
        <f>ENERO!I69+FEBRERO!I69+MARZO!I69+ABRIL!I69+MAYO!I69+JUNIO!I69+JULIO!I69+AGOSTO!I69+SEPTIEMBRE!I69+OCTUBRE!I69+NOVIEMBRE!I69+DICIEMBRE!I69</f>
        <v>3900032499.7500005</v>
      </c>
      <c r="J69" s="16">
        <f>ENERO!J69+FEBRERO!J69+MARZO!J69+ABRIL!J69+MAYO!J69+JUNIO!J69+JULIO!J69+AGOSTO!J69+SEPTIEMBRE!J69+OCTUBRE!J69+NOVIEMBRE!J69+DICIEMBRE!J69</f>
        <v>7164398537.5499992</v>
      </c>
      <c r="K69" s="16">
        <f>ENERO!K69+FEBRERO!K69+MARZO!K69+ABRIL!K69+MAYO!K69+JUNIO!K69+JULIO!K69+AGOSTO!K69+SEPTIEMBRE!K69+OCTUBRE!K69+NOVIEMBRE!K69+DICIEMBRE!K69</f>
        <v>0</v>
      </c>
      <c r="L69" s="16">
        <f>ENERO!L69+FEBRERO!L69+MARZO!L69+ABRIL!L69+MAYO!L69+JUNIO!L69+JULIO!L69+AGOSTO!L69+SEPTIEMBRE!L69+OCTUBRE!L69+NOVIEMBRE!L69+DICIEMBRE!L69</f>
        <v>0</v>
      </c>
      <c r="M69" s="16">
        <f>ENERO!M69+FEBRERO!M69+MARZO!M69+ABRIL!M69+MAYO!M69+JUNIO!M69+JULIO!M69+AGOSTO!M69+SEPTIEMBRE!M69+OCTUBRE!M69+NOVIEMBRE!M69+DICIEMBRE!M69</f>
        <v>0</v>
      </c>
      <c r="N69" s="18">
        <f t="shared" si="1"/>
        <v>85544777965.735382</v>
      </c>
      <c r="O69" s="4"/>
      <c r="P69" s="4"/>
      <c r="Q69" s="4"/>
    </row>
    <row r="70" spans="1:17" ht="18" customHeight="1" x14ac:dyDescent="0.2">
      <c r="A70" s="17" t="s">
        <v>65</v>
      </c>
      <c r="B70" s="16">
        <f>ENERO!B70+FEBRERO!B70+MARZO!B70+ABRIL!B70+MAYO!B70+JUNIO!B70+JULIO!B70+AGOSTO!B70+SEPTIEMBRE!B70+OCTUBRE!B70+NOVIEMBRE!B70+DICIEMBRE!B70</f>
        <v>14067573659.17</v>
      </c>
      <c r="C70" s="16">
        <f>ENERO!C70+FEBRERO!C70+MARZO!C70+ABRIL!C70+MAYO!C70+JUNIO!C70+JULIO!C70+AGOSTO!C70+SEPTIEMBRE!C70+OCTUBRE!C70+NOVIEMBRE!C70+DICIEMBRE!C70</f>
        <v>0</v>
      </c>
      <c r="D70" s="16">
        <f>ENERO!D70+FEBRERO!D70+MARZO!D70+ABRIL!D70+MAYO!D70+JUNIO!D70+JULIO!D70+AGOSTO!D70+SEPTIEMBRE!D70+OCTUBRE!D70+NOVIEMBRE!D70+DICIEMBRE!D70</f>
        <v>1060779111.0328567</v>
      </c>
      <c r="E70" s="16">
        <f>ENERO!E70+FEBRERO!E70+MARZO!E70+ABRIL!E70+MAYO!E70+JUNIO!E70+JULIO!E70+AGOSTO!E70+SEPTIEMBRE!E70+OCTUBRE!E70+NOVIEMBRE!E70+DICIEMBRE!E70</f>
        <v>174569279.31</v>
      </c>
      <c r="F70" s="16">
        <f>ENERO!F70+FEBRERO!F70+MARZO!F70+ABRIL!F70+MAYO!F70+JUNIO!F70+JULIO!F70+AGOSTO!F70+SEPTIEMBRE!F70+OCTUBRE!F70+NOVIEMBRE!F70+DICIEMBRE!F70</f>
        <v>324798501.31914937</v>
      </c>
      <c r="G70" s="16">
        <f>ENERO!G70+FEBRERO!G70+MARZO!G70+ABRIL!G70+MAYO!G70+JUNIO!G70+JULIO!G70+AGOSTO!G70+SEPTIEMBRE!G70+OCTUBRE!G70+NOVIEMBRE!G70+DICIEMBRE!G70</f>
        <v>128173096.45</v>
      </c>
      <c r="H70" s="16">
        <f>ENERO!H70+FEBRERO!H70+MARZO!H70+ABRIL!H70+MAYO!H70+JUNIO!H70+JULIO!H70+AGOSTO!H70+SEPTIEMBRE!H70+OCTUBRE!H70+NOVIEMBRE!H70+DICIEMBRE!H70</f>
        <v>797252552.0999999</v>
      </c>
      <c r="I70" s="16">
        <f>ENERO!I70+FEBRERO!I70+MARZO!I70+ABRIL!I70+MAYO!I70+JUNIO!I70+JULIO!I70+AGOSTO!I70+SEPTIEMBRE!I70+OCTUBRE!I70+NOVIEMBRE!I70+DICIEMBRE!I70</f>
        <v>866127672.99000001</v>
      </c>
      <c r="J70" s="16">
        <f>ENERO!J70+FEBRERO!J70+MARZO!J70+ABRIL!J70+MAYO!J70+JUNIO!J70+JULIO!J70+AGOSTO!J70+SEPTIEMBRE!J70+OCTUBRE!J70+NOVIEMBRE!J70+DICIEMBRE!J70</f>
        <v>3045307430.3799992</v>
      </c>
      <c r="K70" s="16">
        <f>ENERO!K70+FEBRERO!K70+MARZO!K70+ABRIL!K70+MAYO!K70+JUNIO!K70+JULIO!K70+AGOSTO!K70+SEPTIEMBRE!K70+OCTUBRE!K70+NOVIEMBRE!K70+DICIEMBRE!K70</f>
        <v>0</v>
      </c>
      <c r="L70" s="16">
        <f>ENERO!L70+FEBRERO!L70+MARZO!L70+ABRIL!L70+MAYO!L70+JUNIO!L70+JULIO!L70+AGOSTO!L70+SEPTIEMBRE!L70+OCTUBRE!L70+NOVIEMBRE!L70+DICIEMBRE!L70</f>
        <v>0</v>
      </c>
      <c r="M70" s="16">
        <f>ENERO!M70+FEBRERO!M70+MARZO!M70+ABRIL!M70+MAYO!M70+JUNIO!M70+JULIO!M70+AGOSTO!M70+SEPTIEMBRE!M70+OCTUBRE!M70+NOVIEMBRE!M70+DICIEMBRE!M70</f>
        <v>0</v>
      </c>
      <c r="N70" s="18">
        <f t="shared" si="1"/>
        <v>20464581302.752007</v>
      </c>
      <c r="O70" s="4"/>
      <c r="P70" s="4"/>
      <c r="Q70" s="4"/>
    </row>
    <row r="71" spans="1:17" ht="18" customHeight="1" x14ac:dyDescent="0.2">
      <c r="A71" s="17" t="s">
        <v>66</v>
      </c>
      <c r="B71" s="16">
        <f>ENERO!B71+FEBRERO!B71+MARZO!B71+ABRIL!B71+MAYO!B71+JUNIO!B71+JULIO!B71+AGOSTO!B71+SEPTIEMBRE!B71+OCTUBRE!B71+NOVIEMBRE!B71+DICIEMBRE!B71</f>
        <v>54808091812.010002</v>
      </c>
      <c r="C71" s="16">
        <f>ENERO!C71+FEBRERO!C71+MARZO!C71+ABRIL!C71+MAYO!C71+JUNIO!C71+JULIO!C71+AGOSTO!C71+SEPTIEMBRE!C71+OCTUBRE!C71+NOVIEMBRE!C71+DICIEMBRE!C71</f>
        <v>0</v>
      </c>
      <c r="D71" s="16">
        <f>ENERO!D71+FEBRERO!D71+MARZO!D71+ABRIL!D71+MAYO!D71+JUNIO!D71+JULIO!D71+AGOSTO!D71+SEPTIEMBRE!D71+OCTUBRE!D71+NOVIEMBRE!D71+DICIEMBRE!D71</f>
        <v>320135646.70000005</v>
      </c>
      <c r="E71" s="16">
        <f>ENERO!E71+FEBRERO!E71+MARZO!E71+ABRIL!E71+MAYO!E71+JUNIO!E71+JULIO!E71+AGOSTO!E71+SEPTIEMBRE!E71+OCTUBRE!E71+NOVIEMBRE!E71+DICIEMBRE!E71</f>
        <v>506869248.71000004</v>
      </c>
      <c r="F71" s="16">
        <f>ENERO!F71+FEBRERO!F71+MARZO!F71+ABRIL!F71+MAYO!F71+JUNIO!F71+JULIO!F71+AGOSTO!F71+SEPTIEMBRE!F71+OCTUBRE!F71+NOVIEMBRE!F71+DICIEMBRE!F71</f>
        <v>204511294.715087</v>
      </c>
      <c r="G71" s="16">
        <f>ENERO!G71+FEBRERO!G71+MARZO!G71+ABRIL!G71+MAYO!G71+JUNIO!G71+JULIO!G71+AGOSTO!G71+SEPTIEMBRE!G71+OCTUBRE!G71+NOVIEMBRE!G71+DICIEMBRE!G71</f>
        <v>124492450.09999999</v>
      </c>
      <c r="H71" s="16">
        <f>ENERO!H71+FEBRERO!H71+MARZO!H71+ABRIL!H71+MAYO!H71+JUNIO!H71+JULIO!H71+AGOSTO!H71+SEPTIEMBRE!H71+OCTUBRE!H71+NOVIEMBRE!H71+DICIEMBRE!H71</f>
        <v>3104871052.2100005</v>
      </c>
      <c r="I71" s="16">
        <f>ENERO!I71+FEBRERO!I71+MARZO!I71+ABRIL!I71+MAYO!I71+JUNIO!I71+JULIO!I71+AGOSTO!I71+SEPTIEMBRE!I71+OCTUBRE!I71+NOVIEMBRE!I71+DICIEMBRE!I71</f>
        <v>545362404.92999995</v>
      </c>
      <c r="J71" s="16">
        <f>ENERO!J71+FEBRERO!J71+MARZO!J71+ABRIL!J71+MAYO!J71+JUNIO!J71+JULIO!J71+AGOSTO!J71+SEPTIEMBRE!J71+OCTUBRE!J71+NOVIEMBRE!J71+DICIEMBRE!J71</f>
        <v>2545142658.0900006</v>
      </c>
      <c r="K71" s="16">
        <f>ENERO!K71+FEBRERO!K71+MARZO!K71+ABRIL!K71+MAYO!K71+JUNIO!K71+JULIO!K71+AGOSTO!K71+SEPTIEMBRE!K71+OCTUBRE!K71+NOVIEMBRE!K71+DICIEMBRE!K71</f>
        <v>0</v>
      </c>
      <c r="L71" s="16">
        <f>ENERO!L71+FEBRERO!L71+MARZO!L71+ABRIL!L71+MAYO!L71+JUNIO!L71+JULIO!L71+AGOSTO!L71+SEPTIEMBRE!L71+OCTUBRE!L71+NOVIEMBRE!L71+DICIEMBRE!L71</f>
        <v>0</v>
      </c>
      <c r="M71" s="16">
        <f>ENERO!M71+FEBRERO!M71+MARZO!M71+ABRIL!M71+MAYO!M71+JUNIO!M71+JULIO!M71+AGOSTO!M71+SEPTIEMBRE!M71+OCTUBRE!M71+NOVIEMBRE!M71+DICIEMBRE!M71</f>
        <v>0</v>
      </c>
      <c r="N71" s="18">
        <f t="shared" si="1"/>
        <v>62159476567.465088</v>
      </c>
      <c r="O71" s="4"/>
      <c r="P71" s="4"/>
      <c r="Q71" s="4"/>
    </row>
    <row r="72" spans="1:17" ht="18" customHeight="1" x14ac:dyDescent="0.2">
      <c r="A72" s="17" t="s">
        <v>67</v>
      </c>
      <c r="B72" s="16">
        <f>ENERO!B72+FEBRERO!B72+MARZO!B72+ABRIL!B72+MAYO!B72+JUNIO!B72+JULIO!B72+AGOSTO!B72+SEPTIEMBRE!B72+OCTUBRE!B72+NOVIEMBRE!B72+DICIEMBRE!B72</f>
        <v>241845680075.27002</v>
      </c>
      <c r="C72" s="16">
        <f>ENERO!C72+FEBRERO!C72+MARZO!C72+ABRIL!C72+MAYO!C72+JUNIO!C72+JULIO!C72+AGOSTO!C72+SEPTIEMBRE!C72+OCTUBRE!C72+NOVIEMBRE!C72+DICIEMBRE!C72</f>
        <v>0</v>
      </c>
      <c r="D72" s="16">
        <f>ENERO!D72+FEBRERO!D72+MARZO!D72+ABRIL!D72+MAYO!D72+JUNIO!D72+JULIO!D72+AGOSTO!D72+SEPTIEMBRE!D72+OCTUBRE!D72+NOVIEMBRE!D72+DICIEMBRE!D72</f>
        <v>1769527288.2034519</v>
      </c>
      <c r="E72" s="16">
        <f>ENERO!E72+FEBRERO!E72+MARZO!E72+ABRIL!E72+MAYO!E72+JUNIO!E72+JULIO!E72+AGOSTO!E72+SEPTIEMBRE!E72+OCTUBRE!E72+NOVIEMBRE!E72+DICIEMBRE!E72</f>
        <v>3690759828.9700003</v>
      </c>
      <c r="F72" s="16">
        <f>ENERO!F72+FEBRERO!F72+MARZO!F72+ABRIL!F72+MAYO!F72+JUNIO!F72+JULIO!F72+AGOSTO!F72+SEPTIEMBRE!F72+OCTUBRE!F72+NOVIEMBRE!F72+DICIEMBRE!F72</f>
        <v>5950702596.8685112</v>
      </c>
      <c r="G72" s="16">
        <f>ENERO!G72+FEBRERO!G72+MARZO!G72+ABRIL!G72+MAYO!G72+JUNIO!G72+JULIO!G72+AGOSTO!G72+SEPTIEMBRE!G72+OCTUBRE!G72+NOVIEMBRE!G72+DICIEMBRE!G72</f>
        <v>0</v>
      </c>
      <c r="H72" s="16">
        <f>ENERO!H72+FEBRERO!H72+MARZO!H72+ABRIL!H72+MAYO!H72+JUNIO!H72+JULIO!H72+AGOSTO!H72+SEPTIEMBRE!H72+OCTUBRE!H72+NOVIEMBRE!H72+DICIEMBRE!H72</f>
        <v>13756194230.969999</v>
      </c>
      <c r="I72" s="16">
        <f>ENERO!I72+FEBRERO!I72+MARZO!I72+ABRIL!I72+MAYO!I72+JUNIO!I72+JULIO!I72+AGOSTO!I72+SEPTIEMBRE!I72+OCTUBRE!I72+NOVIEMBRE!I72+DICIEMBRE!I72</f>
        <v>15868509751.519999</v>
      </c>
      <c r="J72" s="16">
        <f>ENERO!J72+FEBRERO!J72+MARZO!J72+ABRIL!J72+MAYO!J72+JUNIO!J72+JULIO!J72+AGOSTO!J72+SEPTIEMBRE!J72+OCTUBRE!J72+NOVIEMBRE!J72+DICIEMBRE!J72</f>
        <v>37288821094.610001</v>
      </c>
      <c r="K72" s="16">
        <f>ENERO!K72+FEBRERO!K72+MARZO!K72+ABRIL!K72+MAYO!K72+JUNIO!K72+JULIO!K72+AGOSTO!K72+SEPTIEMBRE!K72+OCTUBRE!K72+NOVIEMBRE!K72+DICIEMBRE!K72</f>
        <v>0</v>
      </c>
      <c r="L72" s="16">
        <f>ENERO!L72+FEBRERO!L72+MARZO!L72+ABRIL!L72+MAYO!L72+JUNIO!L72+JULIO!L72+AGOSTO!L72+SEPTIEMBRE!L72+OCTUBRE!L72+NOVIEMBRE!L72+DICIEMBRE!L72</f>
        <v>0</v>
      </c>
      <c r="M72" s="16">
        <f>ENERO!M72+FEBRERO!M72+MARZO!M72+ABRIL!M72+MAYO!M72+JUNIO!M72+JULIO!M72+AGOSTO!M72+SEPTIEMBRE!M72+OCTUBRE!M72+NOVIEMBRE!M72+DICIEMBRE!M72</f>
        <v>0</v>
      </c>
      <c r="N72" s="18">
        <f t="shared" ref="N72:N103" si="2">SUM(B72:M72)</f>
        <v>320170194866.41199</v>
      </c>
      <c r="O72" s="4"/>
      <c r="P72" s="4"/>
      <c r="Q72" s="4"/>
    </row>
    <row r="73" spans="1:17" ht="18" customHeight="1" x14ac:dyDescent="0.2">
      <c r="A73" s="17" t="s">
        <v>68</v>
      </c>
      <c r="B73" s="16">
        <f>ENERO!B73+FEBRERO!B73+MARZO!B73+ABRIL!B73+MAYO!B73+JUNIO!B73+JULIO!B73+AGOSTO!B73+SEPTIEMBRE!B73+OCTUBRE!B73+NOVIEMBRE!B73+DICIEMBRE!B73</f>
        <v>111962701921.53</v>
      </c>
      <c r="C73" s="16">
        <f>ENERO!C73+FEBRERO!C73+MARZO!C73+ABRIL!C73+MAYO!C73+JUNIO!C73+JULIO!C73+AGOSTO!C73+SEPTIEMBRE!C73+OCTUBRE!C73+NOVIEMBRE!C73+DICIEMBRE!C73</f>
        <v>0</v>
      </c>
      <c r="D73" s="16">
        <f>ENERO!D73+FEBRERO!D73+MARZO!D73+ABRIL!D73+MAYO!D73+JUNIO!D73+JULIO!D73+AGOSTO!D73+SEPTIEMBRE!D73+OCTUBRE!D73+NOVIEMBRE!D73+DICIEMBRE!D73</f>
        <v>2682617058.6569533</v>
      </c>
      <c r="E73" s="16">
        <f>ENERO!E73+FEBRERO!E73+MARZO!E73+ABRIL!E73+MAYO!E73+JUNIO!E73+JULIO!E73+AGOSTO!E73+SEPTIEMBRE!E73+OCTUBRE!E73+NOVIEMBRE!E73+DICIEMBRE!E73</f>
        <v>1681521954.02</v>
      </c>
      <c r="F73" s="16">
        <f>ENERO!F73+FEBRERO!F73+MARZO!F73+ABRIL!F73+MAYO!F73+JUNIO!F73+JULIO!F73+AGOSTO!F73+SEPTIEMBRE!F73+OCTUBRE!F73+NOVIEMBRE!F73+DICIEMBRE!F73</f>
        <v>2208721983.4049397</v>
      </c>
      <c r="G73" s="16">
        <f>ENERO!G73+FEBRERO!G73+MARZO!G73+ABRIL!G73+MAYO!G73+JUNIO!G73+JULIO!G73+AGOSTO!G73+SEPTIEMBRE!G73+OCTUBRE!G73+NOVIEMBRE!G73+DICIEMBRE!G73</f>
        <v>1122415004.7432601</v>
      </c>
      <c r="H73" s="16">
        <f>ENERO!H73+FEBRERO!H73+MARZO!H73+ABRIL!H73+MAYO!H73+JUNIO!H73+JULIO!H73+AGOSTO!H73+SEPTIEMBRE!H73+OCTUBRE!H73+NOVIEMBRE!H73+DICIEMBRE!H73</f>
        <v>6336565197.9499998</v>
      </c>
      <c r="I73" s="16">
        <f>ENERO!I73+FEBRERO!I73+MARZO!I73+ABRIL!I73+MAYO!I73+JUNIO!I73+JULIO!I73+AGOSTO!I73+SEPTIEMBRE!I73+OCTUBRE!I73+NOVIEMBRE!I73+DICIEMBRE!I73</f>
        <v>5889913973.3000002</v>
      </c>
      <c r="J73" s="16">
        <f>ENERO!J73+FEBRERO!J73+MARZO!J73+ABRIL!J73+MAYO!J73+JUNIO!J73+JULIO!J73+AGOSTO!J73+SEPTIEMBRE!J73+OCTUBRE!J73+NOVIEMBRE!J73+DICIEMBRE!J73</f>
        <v>16242752643.719997</v>
      </c>
      <c r="K73" s="16">
        <f>ENERO!K73+FEBRERO!K73+MARZO!K73+ABRIL!K73+MAYO!K73+JUNIO!K73+JULIO!K73+AGOSTO!K73+SEPTIEMBRE!K73+OCTUBRE!K73+NOVIEMBRE!K73+DICIEMBRE!K73</f>
        <v>0</v>
      </c>
      <c r="L73" s="16">
        <f>ENERO!L73+FEBRERO!L73+MARZO!L73+ABRIL!L73+MAYO!L73+JUNIO!L73+JULIO!L73+AGOSTO!L73+SEPTIEMBRE!L73+OCTUBRE!L73+NOVIEMBRE!L73+DICIEMBRE!L73</f>
        <v>0</v>
      </c>
      <c r="M73" s="16">
        <f>ENERO!M73+FEBRERO!M73+MARZO!M73+ABRIL!M73+MAYO!M73+JUNIO!M73+JULIO!M73+AGOSTO!M73+SEPTIEMBRE!M73+OCTUBRE!M73+NOVIEMBRE!M73+DICIEMBRE!M73</f>
        <v>0</v>
      </c>
      <c r="N73" s="18">
        <f t="shared" si="2"/>
        <v>148127209737.32513</v>
      </c>
      <c r="O73" s="4"/>
      <c r="P73" s="4"/>
      <c r="Q73" s="4"/>
    </row>
    <row r="74" spans="1:17" ht="18" customHeight="1" x14ac:dyDescent="0.2">
      <c r="A74" s="17" t="s">
        <v>69</v>
      </c>
      <c r="B74" s="16">
        <f>ENERO!B74+FEBRERO!B74+MARZO!B74+ABRIL!B74+MAYO!B74+JUNIO!B74+JULIO!B74+AGOSTO!B74+SEPTIEMBRE!B74+OCTUBRE!B74+NOVIEMBRE!B74+DICIEMBRE!B74</f>
        <v>58293801660.950012</v>
      </c>
      <c r="C74" s="16">
        <f>ENERO!C74+FEBRERO!C74+MARZO!C74+ABRIL!C74+MAYO!C74+JUNIO!C74+JULIO!C74+AGOSTO!C74+SEPTIEMBRE!C74+OCTUBRE!C74+NOVIEMBRE!C74+DICIEMBRE!C74</f>
        <v>0</v>
      </c>
      <c r="D74" s="16">
        <f>ENERO!D74+FEBRERO!D74+MARZO!D74+ABRIL!D74+MAYO!D74+JUNIO!D74+JULIO!D74+AGOSTO!D74+SEPTIEMBRE!D74+OCTUBRE!D74+NOVIEMBRE!D74+DICIEMBRE!D74</f>
        <v>788305944.11000001</v>
      </c>
      <c r="E74" s="16">
        <f>ENERO!E74+FEBRERO!E74+MARZO!E74+ABRIL!E74+MAYO!E74+JUNIO!E74+JULIO!E74+AGOSTO!E74+SEPTIEMBRE!E74+OCTUBRE!E74+NOVIEMBRE!E74+DICIEMBRE!E74</f>
        <v>887862112.51999998</v>
      </c>
      <c r="F74" s="16">
        <f>ENERO!F74+FEBRERO!F74+MARZO!F74+ABRIL!F74+MAYO!F74+JUNIO!F74+JULIO!F74+AGOSTO!F74+SEPTIEMBRE!F74+OCTUBRE!F74+NOVIEMBRE!F74+DICIEMBRE!F74</f>
        <v>1603598986.1556907</v>
      </c>
      <c r="G74" s="16">
        <f>ENERO!G74+FEBRERO!G74+MARZO!G74+ABRIL!G74+MAYO!G74+JUNIO!G74+JULIO!G74+AGOSTO!G74+SEPTIEMBRE!G74+OCTUBRE!G74+NOVIEMBRE!G74+DICIEMBRE!G74</f>
        <v>1911671788.7487333</v>
      </c>
      <c r="H74" s="16">
        <f>ENERO!H74+FEBRERO!H74+MARZO!H74+ABRIL!H74+MAYO!H74+JUNIO!H74+JULIO!H74+AGOSTO!H74+SEPTIEMBRE!H74+OCTUBRE!H74+NOVIEMBRE!H74+DICIEMBRE!H74</f>
        <v>3315755003.4200001</v>
      </c>
      <c r="I74" s="16">
        <f>ENERO!I74+FEBRERO!I74+MARZO!I74+ABRIL!I74+MAYO!I74+JUNIO!I74+JULIO!I74+AGOSTO!I74+SEPTIEMBRE!I74+OCTUBRE!I74+NOVIEMBRE!I74+DICIEMBRE!I74</f>
        <v>4276255747.5499997</v>
      </c>
      <c r="J74" s="16">
        <f>ENERO!J74+FEBRERO!J74+MARZO!J74+ABRIL!J74+MAYO!J74+JUNIO!J74+JULIO!J74+AGOSTO!J74+SEPTIEMBRE!J74+OCTUBRE!J74+NOVIEMBRE!J74+DICIEMBRE!J74</f>
        <v>8713399881.9799995</v>
      </c>
      <c r="K74" s="16">
        <f>ENERO!K74+FEBRERO!K74+MARZO!K74+ABRIL!K74+MAYO!K74+JUNIO!K74+JULIO!K74+AGOSTO!K74+SEPTIEMBRE!K74+OCTUBRE!K74+NOVIEMBRE!K74+DICIEMBRE!K74</f>
        <v>0</v>
      </c>
      <c r="L74" s="16">
        <f>ENERO!L74+FEBRERO!L74+MARZO!L74+ABRIL!L74+MAYO!L74+JUNIO!L74+JULIO!L74+AGOSTO!L74+SEPTIEMBRE!L74+OCTUBRE!L74+NOVIEMBRE!L74+DICIEMBRE!L74</f>
        <v>0</v>
      </c>
      <c r="M74" s="16">
        <f>ENERO!M74+FEBRERO!M74+MARZO!M74+ABRIL!M74+MAYO!M74+JUNIO!M74+JULIO!M74+AGOSTO!M74+SEPTIEMBRE!M74+OCTUBRE!M74+NOVIEMBRE!M74+DICIEMBRE!M74</f>
        <v>0</v>
      </c>
      <c r="N74" s="18">
        <f t="shared" si="2"/>
        <v>79790651125.434433</v>
      </c>
      <c r="O74" s="4"/>
      <c r="P74" s="4"/>
      <c r="Q74" s="4"/>
    </row>
    <row r="75" spans="1:17" ht="18" customHeight="1" x14ac:dyDescent="0.2">
      <c r="A75" s="17" t="s">
        <v>70</v>
      </c>
      <c r="B75" s="16">
        <f>ENERO!B75+FEBRERO!B75+MARZO!B75+ABRIL!B75+MAYO!B75+JUNIO!B75+JULIO!B75+AGOSTO!B75+SEPTIEMBRE!B75+OCTUBRE!B75+NOVIEMBRE!B75+DICIEMBRE!B75</f>
        <v>9875997652.0600014</v>
      </c>
      <c r="C75" s="16">
        <f>ENERO!C75+FEBRERO!C75+MARZO!C75+ABRIL!C75+MAYO!C75+JUNIO!C75+JULIO!C75+AGOSTO!C75+SEPTIEMBRE!C75+OCTUBRE!C75+NOVIEMBRE!C75+DICIEMBRE!C75</f>
        <v>0</v>
      </c>
      <c r="D75" s="16">
        <f>ENERO!D75+FEBRERO!D75+MARZO!D75+ABRIL!D75+MAYO!D75+JUNIO!D75+JULIO!D75+AGOSTO!D75+SEPTIEMBRE!D75+OCTUBRE!D75+NOVIEMBRE!D75+DICIEMBRE!D75</f>
        <v>502920881.71086705</v>
      </c>
      <c r="E75" s="16">
        <f>ENERO!E75+FEBRERO!E75+MARZO!E75+ABRIL!E75+MAYO!E75+JUNIO!E75+JULIO!E75+AGOSTO!E75+SEPTIEMBRE!E75+OCTUBRE!E75+NOVIEMBRE!E75+DICIEMBRE!E75</f>
        <v>122121779.56000002</v>
      </c>
      <c r="F75" s="16">
        <f>ENERO!F75+FEBRERO!F75+MARZO!F75+ABRIL!F75+MAYO!F75+JUNIO!F75+JULIO!F75+AGOSTO!F75+SEPTIEMBRE!F75+OCTUBRE!F75+NOVIEMBRE!F75+DICIEMBRE!F75</f>
        <v>29150060.538781416</v>
      </c>
      <c r="G75" s="16">
        <f>ENERO!G75+FEBRERO!G75+MARZO!G75+ABRIL!G75+MAYO!G75+JUNIO!G75+JULIO!G75+AGOSTO!G75+SEPTIEMBRE!G75+OCTUBRE!G75+NOVIEMBRE!G75+DICIEMBRE!G75</f>
        <v>14289568.190000001</v>
      </c>
      <c r="H75" s="16">
        <f>ENERO!H75+FEBRERO!H75+MARZO!H75+ABRIL!H75+MAYO!H75+JUNIO!H75+JULIO!H75+AGOSTO!H75+SEPTIEMBRE!H75+OCTUBRE!H75+NOVIEMBRE!H75+DICIEMBRE!H75</f>
        <v>560079608.89999998</v>
      </c>
      <c r="I75" s="16">
        <f>ENERO!I75+FEBRERO!I75+MARZO!I75+ABRIL!I75+MAYO!I75+JUNIO!I75+JULIO!I75+AGOSTO!I75+SEPTIEMBRE!I75+OCTUBRE!I75+NOVIEMBRE!I75+DICIEMBRE!I75</f>
        <v>77733345.590000004</v>
      </c>
      <c r="J75" s="16">
        <f>ENERO!J75+FEBRERO!J75+MARZO!J75+ABRIL!J75+MAYO!J75+JUNIO!J75+JULIO!J75+AGOSTO!J75+SEPTIEMBRE!J75+OCTUBRE!J75+NOVIEMBRE!J75+DICIEMBRE!J75</f>
        <v>981958232.76999998</v>
      </c>
      <c r="K75" s="16">
        <f>ENERO!K75+FEBRERO!K75+MARZO!K75+ABRIL!K75+MAYO!K75+JUNIO!K75+JULIO!K75+AGOSTO!K75+SEPTIEMBRE!K75+OCTUBRE!K75+NOVIEMBRE!K75+DICIEMBRE!K75</f>
        <v>0</v>
      </c>
      <c r="L75" s="16">
        <f>ENERO!L75+FEBRERO!L75+MARZO!L75+ABRIL!L75+MAYO!L75+JUNIO!L75+JULIO!L75+AGOSTO!L75+SEPTIEMBRE!L75+OCTUBRE!L75+NOVIEMBRE!L75+DICIEMBRE!L75</f>
        <v>0</v>
      </c>
      <c r="M75" s="16">
        <f>ENERO!M75+FEBRERO!M75+MARZO!M75+ABRIL!M75+MAYO!M75+JUNIO!M75+JULIO!M75+AGOSTO!M75+SEPTIEMBRE!M75+OCTUBRE!M75+NOVIEMBRE!M75+DICIEMBRE!M75</f>
        <v>0</v>
      </c>
      <c r="N75" s="18">
        <f t="shared" si="2"/>
        <v>12164251129.319651</v>
      </c>
      <c r="O75" s="4"/>
      <c r="P75" s="4"/>
      <c r="Q75" s="4"/>
    </row>
    <row r="76" spans="1:17" ht="18" customHeight="1" x14ac:dyDescent="0.2">
      <c r="A76" s="17" t="s">
        <v>71</v>
      </c>
      <c r="B76" s="16">
        <f>ENERO!B76+FEBRERO!B76+MARZO!B76+ABRIL!B76+MAYO!B76+JUNIO!B76+JULIO!B76+AGOSTO!B76+SEPTIEMBRE!B76+OCTUBRE!B76+NOVIEMBRE!B76+DICIEMBRE!B76</f>
        <v>9974775653.8400002</v>
      </c>
      <c r="C76" s="16">
        <f>ENERO!C76+FEBRERO!C76+MARZO!C76+ABRIL!C76+MAYO!C76+JUNIO!C76+JULIO!C76+AGOSTO!C76+SEPTIEMBRE!C76+OCTUBRE!C76+NOVIEMBRE!C76+DICIEMBRE!C76</f>
        <v>0</v>
      </c>
      <c r="D76" s="16">
        <f>ENERO!D76+FEBRERO!D76+MARZO!D76+ABRIL!D76+MAYO!D76+JUNIO!D76+JULIO!D76+AGOSTO!D76+SEPTIEMBRE!D76+OCTUBRE!D76+NOVIEMBRE!D76+DICIEMBRE!D76</f>
        <v>749215232.57781255</v>
      </c>
      <c r="E76" s="16">
        <f>ENERO!E76+FEBRERO!E76+MARZO!E76+ABRIL!E76+MAYO!E76+JUNIO!E76+JULIO!E76+AGOSTO!E76+SEPTIEMBRE!E76+OCTUBRE!E76+NOVIEMBRE!E76+DICIEMBRE!E76</f>
        <v>122739778.47999999</v>
      </c>
      <c r="F76" s="16">
        <f>ENERO!F76+FEBRERO!F76+MARZO!F76+ABRIL!F76+MAYO!F76+JUNIO!F76+JULIO!F76+AGOSTO!F76+SEPTIEMBRE!F76+OCTUBRE!F76+NOVIEMBRE!F76+DICIEMBRE!F76</f>
        <v>52481630.80689697</v>
      </c>
      <c r="G76" s="16">
        <f>ENERO!G76+FEBRERO!G76+MARZO!G76+ABRIL!G76+MAYO!G76+JUNIO!G76+JULIO!G76+AGOSTO!G76+SEPTIEMBRE!G76+OCTUBRE!G76+NOVIEMBRE!G76+DICIEMBRE!G76</f>
        <v>33558834.359999999</v>
      </c>
      <c r="H76" s="16">
        <f>ENERO!H76+FEBRERO!H76+MARZO!H76+ABRIL!H76+MAYO!H76+JUNIO!H76+JULIO!H76+AGOSTO!H76+SEPTIEMBRE!H76+OCTUBRE!H76+NOVIEMBRE!H76+DICIEMBRE!H76</f>
        <v>565115663.12</v>
      </c>
      <c r="I76" s="16">
        <f>ENERO!I76+FEBRERO!I76+MARZO!I76+ABRIL!I76+MAYO!I76+JUNIO!I76+JULIO!I76+AGOSTO!I76+SEPTIEMBRE!I76+OCTUBRE!I76+NOVIEMBRE!I76+DICIEMBRE!I76</f>
        <v>139950746.75000003</v>
      </c>
      <c r="J76" s="16">
        <f>ENERO!J76+FEBRERO!J76+MARZO!J76+ABRIL!J76+MAYO!J76+JUNIO!J76+JULIO!J76+AGOSTO!J76+SEPTIEMBRE!J76+OCTUBRE!J76+NOVIEMBRE!J76+DICIEMBRE!J76</f>
        <v>1458154045.1900003</v>
      </c>
      <c r="K76" s="16">
        <f>ENERO!K76+FEBRERO!K76+MARZO!K76+ABRIL!K76+MAYO!K76+JUNIO!K76+JULIO!K76+AGOSTO!K76+SEPTIEMBRE!K76+OCTUBRE!K76+NOVIEMBRE!K76+DICIEMBRE!K76</f>
        <v>0</v>
      </c>
      <c r="L76" s="16">
        <f>ENERO!L76+FEBRERO!L76+MARZO!L76+ABRIL!L76+MAYO!L76+JUNIO!L76+JULIO!L76+AGOSTO!L76+SEPTIEMBRE!L76+OCTUBRE!L76+NOVIEMBRE!L76+DICIEMBRE!L76</f>
        <v>0</v>
      </c>
      <c r="M76" s="16">
        <f>ENERO!M76+FEBRERO!M76+MARZO!M76+ABRIL!M76+MAYO!M76+JUNIO!M76+JULIO!M76+AGOSTO!M76+SEPTIEMBRE!M76+OCTUBRE!M76+NOVIEMBRE!M76+DICIEMBRE!M76</f>
        <v>0</v>
      </c>
      <c r="N76" s="18">
        <f t="shared" si="2"/>
        <v>13095991585.12471</v>
      </c>
      <c r="O76" s="4"/>
      <c r="P76" s="4"/>
      <c r="Q76" s="4"/>
    </row>
    <row r="77" spans="1:17" ht="18" customHeight="1" x14ac:dyDescent="0.2">
      <c r="A77" s="17" t="s">
        <v>72</v>
      </c>
      <c r="B77" s="16">
        <f>ENERO!B77+FEBRERO!B77+MARZO!B77+ABRIL!B77+MAYO!B77+JUNIO!B77+JULIO!B77+AGOSTO!B77+SEPTIEMBRE!B77+OCTUBRE!B77+NOVIEMBRE!B77+DICIEMBRE!B77</f>
        <v>11180660382.780001</v>
      </c>
      <c r="C77" s="16">
        <f>ENERO!C77+FEBRERO!C77+MARZO!C77+ABRIL!C77+MAYO!C77+JUNIO!C77+JULIO!C77+AGOSTO!C77+SEPTIEMBRE!C77+OCTUBRE!C77+NOVIEMBRE!C77+DICIEMBRE!C77</f>
        <v>0</v>
      </c>
      <c r="D77" s="16">
        <f>ENERO!D77+FEBRERO!D77+MARZO!D77+ABRIL!D77+MAYO!D77+JUNIO!D77+JULIO!D77+AGOSTO!D77+SEPTIEMBRE!D77+OCTUBRE!D77+NOVIEMBRE!D77+DICIEMBRE!D77</f>
        <v>627398074.27330577</v>
      </c>
      <c r="E77" s="16">
        <f>ENERO!E77+FEBRERO!E77+MARZO!E77+ABRIL!E77+MAYO!E77+JUNIO!E77+JULIO!E77+AGOSTO!E77+SEPTIEMBRE!E77+OCTUBRE!E77+NOVIEMBRE!E77+DICIEMBRE!E77</f>
        <v>139697492.82999998</v>
      </c>
      <c r="F77" s="16">
        <f>ENERO!F77+FEBRERO!F77+MARZO!F77+ABRIL!F77+MAYO!F77+JUNIO!F77+JULIO!F77+AGOSTO!F77+SEPTIEMBRE!F77+OCTUBRE!F77+NOVIEMBRE!F77+DICIEMBRE!F77</f>
        <v>61641432.45378679</v>
      </c>
      <c r="G77" s="16">
        <f>ENERO!G77+FEBRERO!G77+MARZO!G77+ABRIL!G77+MAYO!G77+JUNIO!G77+JULIO!G77+AGOSTO!G77+SEPTIEMBRE!G77+OCTUBRE!G77+NOVIEMBRE!G77+DICIEMBRE!G77</f>
        <v>21434352.279999997</v>
      </c>
      <c r="H77" s="16">
        <f>ENERO!H77+FEBRERO!H77+MARZO!H77+ABRIL!H77+MAYO!H77+JUNIO!H77+JULIO!H77+AGOSTO!H77+SEPTIEMBRE!H77+OCTUBRE!H77+NOVIEMBRE!H77+DICIEMBRE!H77</f>
        <v>635463749.48000002</v>
      </c>
      <c r="I77" s="16">
        <f>ENERO!I77+FEBRERO!I77+MARZO!I77+ABRIL!I77+MAYO!I77+JUNIO!I77+JULIO!I77+AGOSTO!I77+SEPTIEMBRE!I77+OCTUBRE!I77+NOVIEMBRE!I77+DICIEMBRE!I77</f>
        <v>164376837.54000002</v>
      </c>
      <c r="J77" s="16">
        <f>ENERO!J77+FEBRERO!J77+MARZO!J77+ABRIL!J77+MAYO!J77+JUNIO!J77+JULIO!J77+AGOSTO!J77+SEPTIEMBRE!J77+OCTUBRE!J77+NOVIEMBRE!J77+DICIEMBRE!J77</f>
        <v>990797092.9200002</v>
      </c>
      <c r="K77" s="16">
        <f>ENERO!K77+FEBRERO!K77+MARZO!K77+ABRIL!K77+MAYO!K77+JUNIO!K77+JULIO!K77+AGOSTO!K77+SEPTIEMBRE!K77+OCTUBRE!K77+NOVIEMBRE!K77+DICIEMBRE!K77</f>
        <v>0</v>
      </c>
      <c r="L77" s="16">
        <f>ENERO!L77+FEBRERO!L77+MARZO!L77+ABRIL!L77+MAYO!L77+JUNIO!L77+JULIO!L77+AGOSTO!L77+SEPTIEMBRE!L77+OCTUBRE!L77+NOVIEMBRE!L77+DICIEMBRE!L77</f>
        <v>0</v>
      </c>
      <c r="M77" s="16">
        <f>ENERO!M77+FEBRERO!M77+MARZO!M77+ABRIL!M77+MAYO!M77+JUNIO!M77+JULIO!M77+AGOSTO!M77+SEPTIEMBRE!M77+OCTUBRE!M77+NOVIEMBRE!M77+DICIEMBRE!M77</f>
        <v>0</v>
      </c>
      <c r="N77" s="18">
        <f t="shared" si="2"/>
        <v>13821469414.557095</v>
      </c>
      <c r="O77" s="4"/>
      <c r="P77" s="4"/>
      <c r="Q77" s="4"/>
    </row>
    <row r="78" spans="1:17" ht="18" customHeight="1" x14ac:dyDescent="0.2">
      <c r="A78" s="17" t="s">
        <v>73</v>
      </c>
      <c r="B78" s="16">
        <f>ENERO!B78+FEBRERO!B78+MARZO!B78+ABRIL!B78+MAYO!B78+JUNIO!B78+JULIO!B78+AGOSTO!B78+SEPTIEMBRE!B78+OCTUBRE!B78+NOVIEMBRE!B78+DICIEMBRE!B78</f>
        <v>4297203577.0299997</v>
      </c>
      <c r="C78" s="16">
        <f>ENERO!C78+FEBRERO!C78+MARZO!C78+ABRIL!C78+MAYO!C78+JUNIO!C78+JULIO!C78+AGOSTO!C78+SEPTIEMBRE!C78+OCTUBRE!C78+NOVIEMBRE!C78+DICIEMBRE!C78</f>
        <v>0</v>
      </c>
      <c r="D78" s="16">
        <f>ENERO!D78+FEBRERO!D78+MARZO!D78+ABRIL!D78+MAYO!D78+JUNIO!D78+JULIO!D78+AGOSTO!D78+SEPTIEMBRE!D78+OCTUBRE!D78+NOVIEMBRE!D78+DICIEMBRE!D78</f>
        <v>241990206.24531195</v>
      </c>
      <c r="E78" s="16">
        <f>ENERO!E78+FEBRERO!E78+MARZO!E78+ABRIL!E78+MAYO!E78+JUNIO!E78+JULIO!E78+AGOSTO!E78+SEPTIEMBRE!E78+OCTUBRE!E78+NOVIEMBRE!E78+DICIEMBRE!E78</f>
        <v>53699136.429999992</v>
      </c>
      <c r="F78" s="16">
        <f>ENERO!F78+FEBRERO!F78+MARZO!F78+ABRIL!F78+MAYO!F78+JUNIO!F78+JULIO!F78+AGOSTO!F78+SEPTIEMBRE!F78+OCTUBRE!F78+NOVIEMBRE!F78+DICIEMBRE!F78</f>
        <v>21891349.801812127</v>
      </c>
      <c r="G78" s="16">
        <f>ENERO!G78+FEBRERO!G78+MARZO!G78+ABRIL!G78+MAYO!G78+JUNIO!G78+JULIO!G78+AGOSTO!G78+SEPTIEMBRE!G78+OCTUBRE!G78+NOVIEMBRE!G78+DICIEMBRE!G78</f>
        <v>7577801.3000000007</v>
      </c>
      <c r="H78" s="16">
        <f>ENERO!H78+FEBRERO!H78+MARZO!H78+ABRIL!H78+MAYO!H78+JUNIO!H78+JULIO!H78+AGOSTO!H78+SEPTIEMBRE!H78+OCTUBRE!H78+NOVIEMBRE!H78+DICIEMBRE!H78</f>
        <v>244424606.39000002</v>
      </c>
      <c r="I78" s="16">
        <f>ENERO!I78+FEBRERO!I78+MARZO!I78+ABRIL!I78+MAYO!I78+JUNIO!I78+JULIO!I78+AGOSTO!I78+SEPTIEMBRE!I78+OCTUBRE!I78+NOVIEMBRE!I78+DICIEMBRE!I78</f>
        <v>58376820.82</v>
      </c>
      <c r="J78" s="16">
        <f>ENERO!J78+FEBRERO!J78+MARZO!J78+ABRIL!J78+MAYO!J78+JUNIO!J78+JULIO!J78+AGOSTO!J78+SEPTIEMBRE!J78+OCTUBRE!J78+NOVIEMBRE!J78+DICIEMBRE!J78</f>
        <v>424901078.64999998</v>
      </c>
      <c r="K78" s="16">
        <f>ENERO!K78+FEBRERO!K78+MARZO!K78+ABRIL!K78+MAYO!K78+JUNIO!K78+JULIO!K78+AGOSTO!K78+SEPTIEMBRE!K78+OCTUBRE!K78+NOVIEMBRE!K78+DICIEMBRE!K78</f>
        <v>0</v>
      </c>
      <c r="L78" s="16">
        <f>ENERO!L78+FEBRERO!L78+MARZO!L78+ABRIL!L78+MAYO!L78+JUNIO!L78+JULIO!L78+AGOSTO!L78+SEPTIEMBRE!L78+OCTUBRE!L78+NOVIEMBRE!L78+DICIEMBRE!L78</f>
        <v>0</v>
      </c>
      <c r="M78" s="16">
        <f>ENERO!M78+FEBRERO!M78+MARZO!M78+ABRIL!M78+MAYO!M78+JUNIO!M78+JULIO!M78+AGOSTO!M78+SEPTIEMBRE!M78+OCTUBRE!M78+NOVIEMBRE!M78+DICIEMBRE!M78</f>
        <v>0</v>
      </c>
      <c r="N78" s="18">
        <f t="shared" si="2"/>
        <v>5350064576.6671238</v>
      </c>
      <c r="O78" s="4"/>
      <c r="P78" s="4"/>
      <c r="Q78" s="4"/>
    </row>
    <row r="79" spans="1:17" ht="18" customHeight="1" x14ac:dyDescent="0.2">
      <c r="A79" s="17" t="s">
        <v>74</v>
      </c>
      <c r="B79" s="16">
        <f>ENERO!B79+FEBRERO!B79+MARZO!B79+ABRIL!B79+MAYO!B79+JUNIO!B79+JULIO!B79+AGOSTO!B79+SEPTIEMBRE!B79+OCTUBRE!B79+NOVIEMBRE!B79+DICIEMBRE!B79</f>
        <v>22112573244.170006</v>
      </c>
      <c r="C79" s="16">
        <f>ENERO!C79+FEBRERO!C79+MARZO!C79+ABRIL!C79+MAYO!C79+JUNIO!C79+JULIO!C79+AGOSTO!C79+SEPTIEMBRE!C79+OCTUBRE!C79+NOVIEMBRE!C79+DICIEMBRE!C79</f>
        <v>0</v>
      </c>
      <c r="D79" s="16">
        <f>ENERO!D79+FEBRERO!D79+MARZO!D79+ABRIL!D79+MAYO!D79+JUNIO!D79+JULIO!D79+AGOSTO!D79+SEPTIEMBRE!D79+OCTUBRE!D79+NOVIEMBRE!D79+DICIEMBRE!D79</f>
        <v>1665752759.0070815</v>
      </c>
      <c r="E79" s="16">
        <f>ENERO!E79+FEBRERO!E79+MARZO!E79+ABRIL!E79+MAYO!E79+JUNIO!E79+JULIO!E79+AGOSTO!E79+SEPTIEMBRE!E79+OCTUBRE!E79+NOVIEMBRE!E79+DICIEMBRE!E79</f>
        <v>272187407.90000004</v>
      </c>
      <c r="F79" s="16">
        <f>ENERO!F79+FEBRERO!F79+MARZO!F79+ABRIL!F79+MAYO!F79+JUNIO!F79+JULIO!F79+AGOSTO!F79+SEPTIEMBRE!F79+OCTUBRE!F79+NOVIEMBRE!F79+DICIEMBRE!F79</f>
        <v>110032837.39358202</v>
      </c>
      <c r="G79" s="16">
        <f>ENERO!G79+FEBRERO!G79+MARZO!G79+ABRIL!G79+MAYO!G79+JUNIO!G79+JULIO!G79+AGOSTO!G79+SEPTIEMBRE!G79+OCTUBRE!G79+NOVIEMBRE!G79+DICIEMBRE!G79</f>
        <v>56292238.300000004</v>
      </c>
      <c r="H79" s="16">
        <f>ENERO!H79+FEBRERO!H79+MARZO!H79+ABRIL!H79+MAYO!H79+JUNIO!H79+JULIO!H79+AGOSTO!H79+SEPTIEMBRE!H79+OCTUBRE!H79+NOVIEMBRE!H79+DICIEMBRE!H79</f>
        <v>1252409615.9199998</v>
      </c>
      <c r="I79" s="16">
        <f>ENERO!I79+FEBRERO!I79+MARZO!I79+ABRIL!I79+MAYO!I79+JUNIO!I79+JULIO!I79+AGOSTO!I79+SEPTIEMBRE!I79+OCTUBRE!I79+NOVIEMBRE!I79+DICIEMBRE!I79</f>
        <v>293420336.19</v>
      </c>
      <c r="J79" s="16">
        <f>ENERO!J79+FEBRERO!J79+MARZO!J79+ABRIL!J79+MAYO!J79+JUNIO!J79+JULIO!J79+AGOSTO!J79+SEPTIEMBRE!J79+OCTUBRE!J79+NOVIEMBRE!J79+DICIEMBRE!J79</f>
        <v>2301709423.5</v>
      </c>
      <c r="K79" s="16">
        <f>ENERO!K79+FEBRERO!K79+MARZO!K79+ABRIL!K79+MAYO!K79+JUNIO!K79+JULIO!K79+AGOSTO!K79+SEPTIEMBRE!K79+OCTUBRE!K79+NOVIEMBRE!K79+DICIEMBRE!K79</f>
        <v>0</v>
      </c>
      <c r="L79" s="16">
        <f>ENERO!L79+FEBRERO!L79+MARZO!L79+ABRIL!L79+MAYO!L79+JUNIO!L79+JULIO!L79+AGOSTO!L79+SEPTIEMBRE!L79+OCTUBRE!L79+NOVIEMBRE!L79+DICIEMBRE!L79</f>
        <v>0</v>
      </c>
      <c r="M79" s="16">
        <f>ENERO!M79+FEBRERO!M79+MARZO!M79+ABRIL!M79+MAYO!M79+JUNIO!M79+JULIO!M79+AGOSTO!M79+SEPTIEMBRE!M79+OCTUBRE!M79+NOVIEMBRE!M79+DICIEMBRE!M79</f>
        <v>0</v>
      </c>
      <c r="N79" s="18">
        <f t="shared" si="2"/>
        <v>28064377862.380665</v>
      </c>
      <c r="O79" s="4"/>
      <c r="P79" s="4"/>
      <c r="Q79" s="4"/>
    </row>
    <row r="80" spans="1:17" ht="18" customHeight="1" x14ac:dyDescent="0.2">
      <c r="A80" s="17" t="s">
        <v>75</v>
      </c>
      <c r="B80" s="16">
        <f>ENERO!B80+FEBRERO!B80+MARZO!B80+ABRIL!B80+MAYO!B80+JUNIO!B80+JULIO!B80+AGOSTO!B80+SEPTIEMBRE!B80+OCTUBRE!B80+NOVIEMBRE!B80+DICIEMBRE!B80</f>
        <v>11792435086.860001</v>
      </c>
      <c r="C80" s="16">
        <f>ENERO!C80+FEBRERO!C80+MARZO!C80+ABRIL!C80+MAYO!C80+JUNIO!C80+JULIO!C80+AGOSTO!C80+SEPTIEMBRE!C80+OCTUBRE!C80+NOVIEMBRE!C80+DICIEMBRE!C80</f>
        <v>0</v>
      </c>
      <c r="D80" s="16">
        <f>ENERO!D80+FEBRERO!D80+MARZO!D80+ABRIL!D80+MAYO!D80+JUNIO!D80+JULIO!D80+AGOSTO!D80+SEPTIEMBRE!D80+OCTUBRE!D80+NOVIEMBRE!D80+DICIEMBRE!D80</f>
        <v>1660861378.9430318</v>
      </c>
      <c r="E80" s="16">
        <f>ENERO!E80+FEBRERO!E80+MARZO!E80+ABRIL!E80+MAYO!E80+JUNIO!E80+JULIO!E80+AGOSTO!E80+SEPTIEMBRE!E80+OCTUBRE!E80+NOVIEMBRE!E80+DICIEMBRE!E80</f>
        <v>144735318.43000001</v>
      </c>
      <c r="F80" s="16">
        <f>ENERO!F80+FEBRERO!F80+MARZO!F80+ABRIL!F80+MAYO!F80+JUNIO!F80+JULIO!F80+AGOSTO!F80+SEPTIEMBRE!F80+OCTUBRE!F80+NOVIEMBRE!F80+DICIEMBRE!F80</f>
        <v>35602247.87942078</v>
      </c>
      <c r="G80" s="16">
        <f>ENERO!G80+FEBRERO!G80+MARZO!G80+ABRIL!G80+MAYO!G80+JUNIO!G80+JULIO!G80+AGOSTO!G80+SEPTIEMBRE!G80+OCTUBRE!G80+NOVIEMBRE!G80+DICIEMBRE!G80</f>
        <v>22516895.330000002</v>
      </c>
      <c r="H80" s="16">
        <f>ENERO!H80+FEBRERO!H80+MARZO!H80+ABRIL!H80+MAYO!H80+JUNIO!H80+JULIO!H80+AGOSTO!H80+SEPTIEMBRE!H80+OCTUBRE!H80+NOVIEMBRE!H80+DICIEMBRE!H80</f>
        <v>667744329.96000004</v>
      </c>
      <c r="I80" s="16">
        <f>ENERO!I80+FEBRERO!I80+MARZO!I80+ABRIL!I80+MAYO!I80+JUNIO!I80+JULIO!I80+AGOSTO!I80+SEPTIEMBRE!I80+OCTUBRE!I80+NOVIEMBRE!I80+DICIEMBRE!I80</f>
        <v>94939145.409999982</v>
      </c>
      <c r="J80" s="16">
        <f>ENERO!J80+FEBRERO!J80+MARZO!J80+ABRIL!J80+MAYO!J80+JUNIO!J80+JULIO!J80+AGOSTO!J80+SEPTIEMBRE!J80+OCTUBRE!J80+NOVIEMBRE!J80+DICIEMBRE!J80</f>
        <v>1487560595.1600003</v>
      </c>
      <c r="K80" s="16">
        <f>ENERO!K80+FEBRERO!K80+MARZO!K80+ABRIL!K80+MAYO!K80+JUNIO!K80+JULIO!K80+AGOSTO!K80+SEPTIEMBRE!K80+OCTUBRE!K80+NOVIEMBRE!K80+DICIEMBRE!K80</f>
        <v>0</v>
      </c>
      <c r="L80" s="16">
        <f>ENERO!L80+FEBRERO!L80+MARZO!L80+ABRIL!L80+MAYO!L80+JUNIO!L80+JULIO!L80+AGOSTO!L80+SEPTIEMBRE!L80+OCTUBRE!L80+NOVIEMBRE!L80+DICIEMBRE!L80</f>
        <v>0</v>
      </c>
      <c r="M80" s="16">
        <f>ENERO!M80+FEBRERO!M80+MARZO!M80+ABRIL!M80+MAYO!M80+JUNIO!M80+JULIO!M80+AGOSTO!M80+SEPTIEMBRE!M80+OCTUBRE!M80+NOVIEMBRE!M80+DICIEMBRE!M80</f>
        <v>0</v>
      </c>
      <c r="N80" s="18">
        <f t="shared" si="2"/>
        <v>15906394997.972454</v>
      </c>
      <c r="O80" s="4"/>
      <c r="P80" s="4"/>
      <c r="Q80" s="4"/>
    </row>
    <row r="81" spans="1:17" ht="18" customHeight="1" x14ac:dyDescent="0.2">
      <c r="A81" s="17" t="s">
        <v>76</v>
      </c>
      <c r="B81" s="16">
        <f>ENERO!B81+FEBRERO!B81+MARZO!B81+ABRIL!B81+MAYO!B81+JUNIO!B81+JULIO!B81+AGOSTO!B81+SEPTIEMBRE!B81+OCTUBRE!B81+NOVIEMBRE!B81+DICIEMBRE!B81</f>
        <v>6621010143.0100002</v>
      </c>
      <c r="C81" s="16">
        <f>ENERO!C81+FEBRERO!C81+MARZO!C81+ABRIL!C81+MAYO!C81+JUNIO!C81+JULIO!C81+AGOSTO!C81+SEPTIEMBRE!C81+OCTUBRE!C81+NOVIEMBRE!C81+DICIEMBRE!C81</f>
        <v>0</v>
      </c>
      <c r="D81" s="16">
        <f>ENERO!D81+FEBRERO!D81+MARZO!D81+ABRIL!D81+MAYO!D81+JUNIO!D81+JULIO!D81+AGOSTO!D81+SEPTIEMBRE!D81+OCTUBRE!D81+NOVIEMBRE!D81+DICIEMBRE!D81</f>
        <v>523700515.22856832</v>
      </c>
      <c r="E81" s="16">
        <f>ENERO!E81+FEBRERO!E81+MARZO!E81+ABRIL!E81+MAYO!E81+JUNIO!E81+JULIO!E81+AGOSTO!E81+SEPTIEMBRE!E81+OCTUBRE!E81+NOVIEMBRE!E81+DICIEMBRE!E81</f>
        <v>81517855.719999999</v>
      </c>
      <c r="F81" s="16">
        <f>ENERO!F81+FEBRERO!F81+MARZO!F81+ABRIL!F81+MAYO!F81+JUNIO!F81+JULIO!F81+AGOSTO!F81+SEPTIEMBRE!F81+OCTUBRE!F81+NOVIEMBRE!F81+DICIEMBRE!F81</f>
        <v>92462148.710680187</v>
      </c>
      <c r="G81" s="16">
        <f>ENERO!G81+FEBRERO!G81+MARZO!G81+ABRIL!G81+MAYO!G81+JUNIO!G81+JULIO!G81+AGOSTO!G81+SEPTIEMBRE!G81+OCTUBRE!G81+NOVIEMBRE!G81+DICIEMBRE!G81</f>
        <v>51529048.899999991</v>
      </c>
      <c r="H81" s="16">
        <f>ENERO!H81+FEBRERO!H81+MARZO!H81+ABRIL!H81+MAYO!H81+JUNIO!H81+JULIO!H81+AGOSTO!H81+SEPTIEMBRE!H81+OCTUBRE!H81+NOVIEMBRE!H81+DICIEMBRE!H81</f>
        <v>374734671.86999995</v>
      </c>
      <c r="I81" s="16">
        <f>ENERO!I81+FEBRERO!I81+MARZO!I81+ABRIL!I81+MAYO!I81+JUNIO!I81+JULIO!I81+AGOSTO!I81+SEPTIEMBRE!I81+OCTUBRE!I81+NOVIEMBRE!I81+DICIEMBRE!I81</f>
        <v>246565256.33000001</v>
      </c>
      <c r="J81" s="16">
        <f>ENERO!J81+FEBRERO!J81+MARZO!J81+ABRIL!J81+MAYO!J81+JUNIO!J81+JULIO!J81+AGOSTO!J81+SEPTIEMBRE!J81+OCTUBRE!J81+NOVIEMBRE!J81+DICIEMBRE!J81</f>
        <v>1739205787.55</v>
      </c>
      <c r="K81" s="16">
        <f>ENERO!K81+FEBRERO!K81+MARZO!K81+ABRIL!K81+MAYO!K81+JUNIO!K81+JULIO!K81+AGOSTO!K81+SEPTIEMBRE!K81+OCTUBRE!K81+NOVIEMBRE!K81+DICIEMBRE!K81</f>
        <v>0</v>
      </c>
      <c r="L81" s="16">
        <f>ENERO!L81+FEBRERO!L81+MARZO!L81+ABRIL!L81+MAYO!L81+JUNIO!L81+JULIO!L81+AGOSTO!L81+SEPTIEMBRE!L81+OCTUBRE!L81+NOVIEMBRE!L81+DICIEMBRE!L81</f>
        <v>0</v>
      </c>
      <c r="M81" s="16">
        <f>ENERO!M81+FEBRERO!M81+MARZO!M81+ABRIL!M81+MAYO!M81+JUNIO!M81+JULIO!M81+AGOSTO!M81+SEPTIEMBRE!M81+OCTUBRE!M81+NOVIEMBRE!M81+DICIEMBRE!M81</f>
        <v>0</v>
      </c>
      <c r="N81" s="18">
        <f t="shared" si="2"/>
        <v>9730725427.3192482</v>
      </c>
      <c r="O81" s="4"/>
      <c r="P81" s="4"/>
      <c r="Q81" s="4"/>
    </row>
    <row r="82" spans="1:17" ht="18" customHeight="1" x14ac:dyDescent="0.2">
      <c r="A82" s="17" t="s">
        <v>77</v>
      </c>
      <c r="B82" s="16">
        <f>ENERO!B82+FEBRERO!B82+MARZO!B82+ABRIL!B82+MAYO!B82+JUNIO!B82+JULIO!B82+AGOSTO!B82+SEPTIEMBRE!B82+OCTUBRE!B82+NOVIEMBRE!B82+DICIEMBRE!B82</f>
        <v>107534635516.11998</v>
      </c>
      <c r="C82" s="16">
        <f>ENERO!C82+FEBRERO!C82+MARZO!C82+ABRIL!C82+MAYO!C82+JUNIO!C82+JULIO!C82+AGOSTO!C82+SEPTIEMBRE!C82+OCTUBRE!C82+NOVIEMBRE!C82+DICIEMBRE!C82</f>
        <v>0</v>
      </c>
      <c r="D82" s="16">
        <f>ENERO!D82+FEBRERO!D82+MARZO!D82+ABRIL!D82+MAYO!D82+JUNIO!D82+JULIO!D82+AGOSTO!D82+SEPTIEMBRE!D82+OCTUBRE!D82+NOVIEMBRE!D82+DICIEMBRE!D82</f>
        <v>1006352941.3199999</v>
      </c>
      <c r="E82" s="16">
        <f>ENERO!E82+FEBRERO!E82+MARZO!E82+ABRIL!E82+MAYO!E82+JUNIO!E82+JULIO!E82+AGOSTO!E82+SEPTIEMBRE!E82+OCTUBRE!E82+NOVIEMBRE!E82+DICIEMBRE!E82</f>
        <v>1598647330.4599996</v>
      </c>
      <c r="F82" s="16">
        <f>ENERO!F82+FEBRERO!F82+MARZO!F82+ABRIL!F82+MAYO!F82+JUNIO!F82+JULIO!F82+AGOSTO!F82+SEPTIEMBRE!F82+OCTUBRE!F82+NOVIEMBRE!F82+DICIEMBRE!F82</f>
        <v>2664810975.1395097</v>
      </c>
      <c r="G82" s="16">
        <f>ENERO!G82+FEBRERO!G82+MARZO!G82+ABRIL!G82+MAYO!G82+JUNIO!G82+JULIO!G82+AGOSTO!G82+SEPTIEMBRE!G82+OCTUBRE!G82+NOVIEMBRE!G82+DICIEMBRE!G82</f>
        <v>2076061826.4226403</v>
      </c>
      <c r="H82" s="16">
        <f>ENERO!H82+FEBRERO!H82+MARZO!H82+ABRIL!H82+MAYO!H82+JUNIO!H82+JULIO!H82+AGOSTO!H82+SEPTIEMBRE!H82+OCTUBRE!H82+NOVIEMBRE!H82+DICIEMBRE!H82</f>
        <v>6080524603.9599991</v>
      </c>
      <c r="I82" s="16">
        <f>ENERO!I82+FEBRERO!I82+MARZO!I82+ABRIL!I82+MAYO!I82+JUNIO!I82+JULIO!I82+AGOSTO!I82+SEPTIEMBRE!I82+OCTUBRE!I82+NOVIEMBRE!I82+DICIEMBRE!I82</f>
        <v>7106148947.9399996</v>
      </c>
      <c r="J82" s="16">
        <f>ENERO!J82+FEBRERO!J82+MARZO!J82+ABRIL!J82+MAYO!J82+JUNIO!J82+JULIO!J82+AGOSTO!J82+SEPTIEMBRE!J82+OCTUBRE!J82+NOVIEMBRE!J82+DICIEMBRE!J82</f>
        <v>14436895269.15</v>
      </c>
      <c r="K82" s="16">
        <f>ENERO!K82+FEBRERO!K82+MARZO!K82+ABRIL!K82+MAYO!K82+JUNIO!K82+JULIO!K82+AGOSTO!K82+SEPTIEMBRE!K82+OCTUBRE!K82+NOVIEMBRE!K82+DICIEMBRE!K82</f>
        <v>0</v>
      </c>
      <c r="L82" s="16">
        <f>ENERO!L82+FEBRERO!L82+MARZO!L82+ABRIL!L82+MAYO!L82+JUNIO!L82+JULIO!L82+AGOSTO!L82+SEPTIEMBRE!L82+OCTUBRE!L82+NOVIEMBRE!L82+DICIEMBRE!L82</f>
        <v>0</v>
      </c>
      <c r="M82" s="16">
        <f>ENERO!M82+FEBRERO!M82+MARZO!M82+ABRIL!M82+MAYO!M82+JUNIO!M82+JULIO!M82+AGOSTO!M82+SEPTIEMBRE!M82+OCTUBRE!M82+NOVIEMBRE!M82+DICIEMBRE!M82</f>
        <v>0</v>
      </c>
      <c r="N82" s="18">
        <f t="shared" si="2"/>
        <v>142504077410.51215</v>
      </c>
      <c r="O82" s="4"/>
      <c r="P82" s="4"/>
      <c r="Q82" s="4"/>
    </row>
    <row r="83" spans="1:17" ht="18" customHeight="1" x14ac:dyDescent="0.2">
      <c r="A83" s="17" t="s">
        <v>78</v>
      </c>
      <c r="B83" s="16">
        <f>ENERO!B83+FEBRERO!B83+MARZO!B83+ABRIL!B83+MAYO!B83+JUNIO!B83+JULIO!B83+AGOSTO!B83+SEPTIEMBRE!B83+OCTUBRE!B83+NOVIEMBRE!B83+DICIEMBRE!B83</f>
        <v>27799157912.289997</v>
      </c>
      <c r="C83" s="16">
        <f>ENERO!C83+FEBRERO!C83+MARZO!C83+ABRIL!C83+MAYO!C83+JUNIO!C83+JULIO!C83+AGOSTO!C83+SEPTIEMBRE!C83+OCTUBRE!C83+NOVIEMBRE!C83+DICIEMBRE!C83</f>
        <v>0</v>
      </c>
      <c r="D83" s="16">
        <f>ENERO!D83+FEBRERO!D83+MARZO!D83+ABRIL!D83+MAYO!D83+JUNIO!D83+JULIO!D83+AGOSTO!D83+SEPTIEMBRE!D83+OCTUBRE!D83+NOVIEMBRE!D83+DICIEMBRE!D83</f>
        <v>663843624.03828216</v>
      </c>
      <c r="E83" s="16">
        <f>ENERO!E83+FEBRERO!E83+MARZO!E83+ABRIL!E83+MAYO!E83+JUNIO!E83+JULIO!E83+AGOSTO!E83+SEPTIEMBRE!E83+OCTUBRE!E83+NOVIEMBRE!E83+DICIEMBRE!E83</f>
        <v>424150221.13000005</v>
      </c>
      <c r="F83" s="16">
        <f>ENERO!F83+FEBRERO!F83+MARZO!F83+ABRIL!F83+MAYO!F83+JUNIO!F83+JULIO!F83+AGOSTO!F83+SEPTIEMBRE!F83+OCTUBRE!F83+NOVIEMBRE!F83+DICIEMBRE!F83</f>
        <v>295072352.55584663</v>
      </c>
      <c r="G83" s="16">
        <f>ENERO!G83+FEBRERO!G83+MARZO!G83+ABRIL!G83+MAYO!G83+JUNIO!G83+JULIO!G83+AGOSTO!G83+SEPTIEMBRE!G83+OCTUBRE!G83+NOVIEMBRE!G83+DICIEMBRE!G83</f>
        <v>137049949.41999999</v>
      </c>
      <c r="H83" s="16">
        <f>ENERO!H83+FEBRERO!H83+MARZO!H83+ABRIL!H83+MAYO!H83+JUNIO!H83+JULIO!H83+AGOSTO!H83+SEPTIEMBRE!H83+OCTUBRE!H83+NOVIEMBRE!H83+DICIEMBRE!H83</f>
        <v>1581218209.25</v>
      </c>
      <c r="I83" s="16">
        <f>ENERO!I83+FEBRERO!I83+MARZO!I83+ABRIL!I83+MAYO!I83+JUNIO!I83+JULIO!I83+AGOSTO!I83+SEPTIEMBRE!I83+OCTUBRE!I83+NOVIEMBRE!I83+DICIEMBRE!I83</f>
        <v>786858095.23999989</v>
      </c>
      <c r="J83" s="16">
        <f>ENERO!J83+FEBRERO!J83+MARZO!J83+ABRIL!J83+MAYO!J83+JUNIO!J83+JULIO!J83+AGOSTO!J83+SEPTIEMBRE!J83+OCTUBRE!J83+NOVIEMBRE!J83+DICIEMBRE!J83</f>
        <v>3124599297.4799991</v>
      </c>
      <c r="K83" s="16">
        <f>ENERO!K83+FEBRERO!K83+MARZO!K83+ABRIL!K83+MAYO!K83+JUNIO!K83+JULIO!K83+AGOSTO!K83+SEPTIEMBRE!K83+OCTUBRE!K83+NOVIEMBRE!K83+DICIEMBRE!K83</f>
        <v>0</v>
      </c>
      <c r="L83" s="16">
        <f>ENERO!L83+FEBRERO!L83+MARZO!L83+ABRIL!L83+MAYO!L83+JUNIO!L83+JULIO!L83+AGOSTO!L83+SEPTIEMBRE!L83+OCTUBRE!L83+NOVIEMBRE!L83+DICIEMBRE!L83</f>
        <v>0</v>
      </c>
      <c r="M83" s="16">
        <f>ENERO!M83+FEBRERO!M83+MARZO!M83+ABRIL!M83+MAYO!M83+JUNIO!M83+JULIO!M83+AGOSTO!M83+SEPTIEMBRE!M83+OCTUBRE!M83+NOVIEMBRE!M83+DICIEMBRE!M83</f>
        <v>0</v>
      </c>
      <c r="N83" s="18">
        <f t="shared" si="2"/>
        <v>34811949661.404121</v>
      </c>
      <c r="O83" s="4"/>
      <c r="P83" s="4"/>
      <c r="Q83" s="4"/>
    </row>
    <row r="84" spans="1:17" ht="18" customHeight="1" x14ac:dyDescent="0.2">
      <c r="A84" s="17" t="s">
        <v>79</v>
      </c>
      <c r="B84" s="16">
        <f>ENERO!B84+FEBRERO!B84+MARZO!B84+ABRIL!B84+MAYO!B84+JUNIO!B84+JULIO!B84+AGOSTO!B84+SEPTIEMBRE!B84+OCTUBRE!B84+NOVIEMBRE!B84+DICIEMBRE!B84</f>
        <v>11687889026.620001</v>
      </c>
      <c r="C84" s="16">
        <f>ENERO!C84+FEBRERO!C84+MARZO!C84+ABRIL!C84+MAYO!C84+JUNIO!C84+JULIO!C84+AGOSTO!C84+SEPTIEMBRE!C84+OCTUBRE!C84+NOVIEMBRE!C84+DICIEMBRE!C84</f>
        <v>0</v>
      </c>
      <c r="D84" s="16">
        <f>ENERO!D84+FEBRERO!D84+MARZO!D84+ABRIL!D84+MAYO!D84+JUNIO!D84+JULIO!D84+AGOSTO!D84+SEPTIEMBRE!D84+OCTUBRE!D84+NOVIEMBRE!D84+DICIEMBRE!D84</f>
        <v>451923017.05718833</v>
      </c>
      <c r="E84" s="16">
        <f>ENERO!E84+FEBRERO!E84+MARZO!E84+ABRIL!E84+MAYO!E84+JUNIO!E84+JULIO!E84+AGOSTO!E84+SEPTIEMBRE!E84+OCTUBRE!E84+NOVIEMBRE!E84+DICIEMBRE!E84</f>
        <v>142351962.82999998</v>
      </c>
      <c r="F84" s="16">
        <f>ENERO!F84+FEBRERO!F84+MARZO!F84+ABRIL!F84+MAYO!F84+JUNIO!F84+JULIO!F84+AGOSTO!F84+SEPTIEMBRE!F84+OCTUBRE!F84+NOVIEMBRE!F84+DICIEMBRE!F84</f>
        <v>59221862.194797017</v>
      </c>
      <c r="G84" s="16">
        <f>ENERO!G84+FEBRERO!G84+MARZO!G84+ABRIL!G84+MAYO!G84+JUNIO!G84+JULIO!G84+AGOSTO!G84+SEPTIEMBRE!G84+OCTUBRE!G84+NOVIEMBRE!G84+DICIEMBRE!G84</f>
        <v>14543563.597536013</v>
      </c>
      <c r="H84" s="16">
        <f>ENERO!H84+FEBRERO!H84+MARZO!H84+ABRIL!H84+MAYO!H84+JUNIO!H84+JULIO!H84+AGOSTO!H84+SEPTIEMBRE!H84+OCTUBRE!H84+NOVIEMBRE!H84+DICIEMBRE!H84</f>
        <v>660413715.16999996</v>
      </c>
      <c r="I84" s="16">
        <f>ENERO!I84+FEBRERO!I84+MARZO!I84+ABRIL!I84+MAYO!I84+JUNIO!I84+JULIO!I84+AGOSTO!I84+SEPTIEMBRE!I84+OCTUBRE!I84+NOVIEMBRE!I84+DICIEMBRE!I84</f>
        <v>157924662.61000001</v>
      </c>
      <c r="J84" s="16">
        <f>ENERO!J84+FEBRERO!J84+MARZO!J84+ABRIL!J84+MAYO!J84+JUNIO!J84+JULIO!J84+AGOSTO!J84+SEPTIEMBRE!J84+OCTUBRE!J84+NOVIEMBRE!J84+DICIEMBRE!J84</f>
        <v>1284884820.3199997</v>
      </c>
      <c r="K84" s="16">
        <f>ENERO!K84+FEBRERO!K84+MARZO!K84+ABRIL!K84+MAYO!K84+JUNIO!K84+JULIO!K84+AGOSTO!K84+SEPTIEMBRE!K84+OCTUBRE!K84+NOVIEMBRE!K84+DICIEMBRE!K84</f>
        <v>0</v>
      </c>
      <c r="L84" s="16">
        <f>ENERO!L84+FEBRERO!L84+MARZO!L84+ABRIL!L84+MAYO!L84+JUNIO!L84+JULIO!L84+AGOSTO!L84+SEPTIEMBRE!L84+OCTUBRE!L84+NOVIEMBRE!L84+DICIEMBRE!L84</f>
        <v>0</v>
      </c>
      <c r="M84" s="16">
        <f>ENERO!M84+FEBRERO!M84+MARZO!M84+ABRIL!M84+MAYO!M84+JUNIO!M84+JULIO!M84+AGOSTO!M84+SEPTIEMBRE!M84+OCTUBRE!M84+NOVIEMBRE!M84+DICIEMBRE!M84</f>
        <v>0</v>
      </c>
      <c r="N84" s="18">
        <f t="shared" si="2"/>
        <v>14459152630.399523</v>
      </c>
      <c r="O84" s="4"/>
      <c r="P84" s="4"/>
      <c r="Q84" s="4"/>
    </row>
    <row r="85" spans="1:17" ht="18" customHeight="1" x14ac:dyDescent="0.2">
      <c r="A85" s="17" t="s">
        <v>80</v>
      </c>
      <c r="B85" s="16">
        <f>ENERO!B85+FEBRERO!B85+MARZO!B85+ABRIL!B85+MAYO!B85+JUNIO!B85+JULIO!B85+AGOSTO!B85+SEPTIEMBRE!B85+OCTUBRE!B85+NOVIEMBRE!B85+DICIEMBRE!B85</f>
        <v>9353627854.7000008</v>
      </c>
      <c r="C85" s="16">
        <f>ENERO!C85+FEBRERO!C85+MARZO!C85+ABRIL!C85+MAYO!C85+JUNIO!C85+JULIO!C85+AGOSTO!C85+SEPTIEMBRE!C85+OCTUBRE!C85+NOVIEMBRE!C85+DICIEMBRE!C85</f>
        <v>0</v>
      </c>
      <c r="D85" s="16">
        <f>ENERO!D85+FEBRERO!D85+MARZO!D85+ABRIL!D85+MAYO!D85+JUNIO!D85+JULIO!D85+AGOSTO!D85+SEPTIEMBRE!D85+OCTUBRE!D85+NOVIEMBRE!D85+DICIEMBRE!D85</f>
        <v>410623077.43189913</v>
      </c>
      <c r="E85" s="16">
        <f>ENERO!E85+FEBRERO!E85+MARZO!E85+ABRIL!E85+MAYO!E85+JUNIO!E85+JULIO!E85+AGOSTO!E85+SEPTIEMBRE!E85+OCTUBRE!E85+NOVIEMBRE!E85+DICIEMBRE!E85</f>
        <v>115124305.34999999</v>
      </c>
      <c r="F85" s="16">
        <f>ENERO!F85+FEBRERO!F85+MARZO!F85+ABRIL!F85+MAYO!F85+JUNIO!F85+JULIO!F85+AGOSTO!F85+SEPTIEMBRE!F85+OCTUBRE!F85+NOVIEMBRE!F85+DICIEMBRE!F85</f>
        <v>27997884.259738669</v>
      </c>
      <c r="G85" s="16">
        <f>ENERO!G85+FEBRERO!G85+MARZO!G85+ABRIL!G85+MAYO!G85+JUNIO!G85+JULIO!G85+AGOSTO!G85+SEPTIEMBRE!G85+OCTUBRE!G85+NOVIEMBRE!G85+DICIEMBRE!G85</f>
        <v>14073059.58</v>
      </c>
      <c r="H85" s="16">
        <f>ENERO!H85+FEBRERO!H85+MARZO!H85+ABRIL!H85+MAYO!H85+JUNIO!H85+JULIO!H85+AGOSTO!H85+SEPTIEMBRE!H85+OCTUBRE!H85+NOVIEMBRE!H85+DICIEMBRE!H85</f>
        <v>529724600.53000003</v>
      </c>
      <c r="I85" s="16">
        <f>ENERO!I85+FEBRERO!I85+MARZO!I85+ABRIL!I85+MAYO!I85+JUNIO!I85+JULIO!I85+AGOSTO!I85+SEPTIEMBRE!I85+OCTUBRE!I85+NOVIEMBRE!I85+DICIEMBRE!I85</f>
        <v>74660881.359999999</v>
      </c>
      <c r="J85" s="16">
        <f>ENERO!J85+FEBRERO!J85+MARZO!J85+ABRIL!J85+MAYO!J85+JUNIO!J85+JULIO!J85+AGOSTO!J85+SEPTIEMBRE!J85+OCTUBRE!J85+NOVIEMBRE!J85+DICIEMBRE!J85</f>
        <v>757447628.91000009</v>
      </c>
      <c r="K85" s="16">
        <f>ENERO!K85+FEBRERO!K85+MARZO!K85+ABRIL!K85+MAYO!K85+JUNIO!K85+JULIO!K85+AGOSTO!K85+SEPTIEMBRE!K85+OCTUBRE!K85+NOVIEMBRE!K85+DICIEMBRE!K85</f>
        <v>0</v>
      </c>
      <c r="L85" s="16">
        <f>ENERO!L85+FEBRERO!L85+MARZO!L85+ABRIL!L85+MAYO!L85+JUNIO!L85+JULIO!L85+AGOSTO!L85+SEPTIEMBRE!L85+OCTUBRE!L85+NOVIEMBRE!L85+DICIEMBRE!L85</f>
        <v>0</v>
      </c>
      <c r="M85" s="16">
        <f>ENERO!M85+FEBRERO!M85+MARZO!M85+ABRIL!M85+MAYO!M85+JUNIO!M85+JULIO!M85+AGOSTO!M85+SEPTIEMBRE!M85+OCTUBRE!M85+NOVIEMBRE!M85+DICIEMBRE!M85</f>
        <v>0</v>
      </c>
      <c r="N85" s="18">
        <f t="shared" si="2"/>
        <v>11283279292.121641</v>
      </c>
      <c r="O85" s="4"/>
      <c r="P85" s="4"/>
      <c r="Q85" s="4"/>
    </row>
    <row r="86" spans="1:17" ht="18" customHeight="1" x14ac:dyDescent="0.2">
      <c r="A86" s="17" t="s">
        <v>81</v>
      </c>
      <c r="B86" s="16">
        <f>ENERO!B86+FEBRERO!B86+MARZO!B86+ABRIL!B86+MAYO!B86+JUNIO!B86+JULIO!B86+AGOSTO!B86+SEPTIEMBRE!B86+OCTUBRE!B86+NOVIEMBRE!B86+DICIEMBRE!B86</f>
        <v>116874564233.11002</v>
      </c>
      <c r="C86" s="16">
        <f>ENERO!C86+FEBRERO!C86+MARZO!C86+ABRIL!C86+MAYO!C86+JUNIO!C86+JULIO!C86+AGOSTO!C86+SEPTIEMBRE!C86+OCTUBRE!C86+NOVIEMBRE!C86+DICIEMBRE!C86</f>
        <v>0</v>
      </c>
      <c r="D86" s="16">
        <f>ENERO!D86+FEBRERO!D86+MARZO!D86+ABRIL!D86+MAYO!D86+JUNIO!D86+JULIO!D86+AGOSTO!D86+SEPTIEMBRE!D86+OCTUBRE!D86+NOVIEMBRE!D86+DICIEMBRE!D86</f>
        <v>498127325.18000001</v>
      </c>
      <c r="E86" s="16">
        <f>ENERO!E86+FEBRERO!E86+MARZO!E86+ABRIL!E86+MAYO!E86+JUNIO!E86+JULIO!E86+AGOSTO!E86+SEPTIEMBRE!E86+OCTUBRE!E86+NOVIEMBRE!E86+DICIEMBRE!E86</f>
        <v>1761197604.28</v>
      </c>
      <c r="F86" s="16">
        <f>ENERO!F86+FEBRERO!F86+MARZO!F86+ABRIL!F86+MAYO!F86+JUNIO!F86+JULIO!F86+AGOSTO!F86+SEPTIEMBRE!F86+OCTUBRE!F86+NOVIEMBRE!F86+DICIEMBRE!F86</f>
        <v>1671980650.0673771</v>
      </c>
      <c r="G86" s="16">
        <f>ENERO!G86+FEBRERO!G86+MARZO!G86+ABRIL!G86+MAYO!G86+JUNIO!G86+JULIO!G86+AGOSTO!G86+SEPTIEMBRE!G86+OCTUBRE!G86+NOVIEMBRE!G86+DICIEMBRE!G86</f>
        <v>547522318.85258293</v>
      </c>
      <c r="H86" s="16">
        <f>ENERO!H86+FEBRERO!H86+MARZO!H86+ABRIL!H86+MAYO!H86+JUNIO!H86+JULIO!H86+AGOSTO!H86+SEPTIEMBRE!H86+OCTUBRE!H86+NOVIEMBRE!H86+DICIEMBRE!H86</f>
        <v>6632858974.3899994</v>
      </c>
      <c r="I86" s="16">
        <f>ENERO!I86+FEBRERO!I86+MARZO!I86+ABRIL!I86+MAYO!I86+JUNIO!I86+JULIO!I86+AGOSTO!I86+SEPTIEMBRE!I86+OCTUBRE!I86+NOVIEMBRE!I86+DICIEMBRE!I86</f>
        <v>4458606500.9799995</v>
      </c>
      <c r="J86" s="16">
        <f>ENERO!J86+FEBRERO!J86+MARZO!J86+ABRIL!J86+MAYO!J86+JUNIO!J86+JULIO!J86+AGOSTO!J86+SEPTIEMBRE!J86+OCTUBRE!J86+NOVIEMBRE!J86+DICIEMBRE!J86</f>
        <v>6373689583.8800001</v>
      </c>
      <c r="K86" s="16">
        <f>ENERO!K86+FEBRERO!K86+MARZO!K86+ABRIL!K86+MAYO!K86+JUNIO!K86+JULIO!K86+AGOSTO!K86+SEPTIEMBRE!K86+OCTUBRE!K86+NOVIEMBRE!K86+DICIEMBRE!K86</f>
        <v>0</v>
      </c>
      <c r="L86" s="16">
        <f>ENERO!L86+FEBRERO!L86+MARZO!L86+ABRIL!L86+MAYO!L86+JUNIO!L86+JULIO!L86+AGOSTO!L86+SEPTIEMBRE!L86+OCTUBRE!L86+NOVIEMBRE!L86+DICIEMBRE!L86</f>
        <v>0</v>
      </c>
      <c r="M86" s="16">
        <f>ENERO!M86+FEBRERO!M86+MARZO!M86+ABRIL!M86+MAYO!M86+JUNIO!M86+JULIO!M86+AGOSTO!M86+SEPTIEMBRE!M86+OCTUBRE!M86+NOVIEMBRE!M86+DICIEMBRE!M86</f>
        <v>0</v>
      </c>
      <c r="N86" s="18">
        <f t="shared" si="2"/>
        <v>138818547190.73996</v>
      </c>
      <c r="O86" s="4"/>
      <c r="P86" s="4"/>
      <c r="Q86" s="4"/>
    </row>
    <row r="87" spans="1:17" ht="18" customHeight="1" x14ac:dyDescent="0.2">
      <c r="A87" s="17" t="s">
        <v>82</v>
      </c>
      <c r="B87" s="16">
        <f>ENERO!B87+FEBRERO!B87+MARZO!B87+ABRIL!B87+MAYO!B87+JUNIO!B87+JULIO!B87+AGOSTO!B87+SEPTIEMBRE!B87+OCTUBRE!B87+NOVIEMBRE!B87+DICIEMBRE!B87</f>
        <v>18210842176.329998</v>
      </c>
      <c r="C87" s="16">
        <f>ENERO!C87+FEBRERO!C87+MARZO!C87+ABRIL!C87+MAYO!C87+JUNIO!C87+JULIO!C87+AGOSTO!C87+SEPTIEMBRE!C87+OCTUBRE!C87+NOVIEMBRE!C87+DICIEMBRE!C87</f>
        <v>0</v>
      </c>
      <c r="D87" s="16">
        <f>ENERO!D87+FEBRERO!D87+MARZO!D87+ABRIL!D87+MAYO!D87+JUNIO!D87+JULIO!D87+AGOSTO!D87+SEPTIEMBRE!D87+OCTUBRE!D87+NOVIEMBRE!D87+DICIEMBRE!D87</f>
        <v>488711507.92535943</v>
      </c>
      <c r="E87" s="16">
        <f>ENERO!E87+FEBRERO!E87+MARZO!E87+ABRIL!E87+MAYO!E87+JUNIO!E87+JULIO!E87+AGOSTO!E87+SEPTIEMBRE!E87+OCTUBRE!E87+NOVIEMBRE!E87+DICIEMBRE!E87</f>
        <v>222167327.35000002</v>
      </c>
      <c r="F87" s="16">
        <f>ENERO!F87+FEBRERO!F87+MARZO!F87+ABRIL!F87+MAYO!F87+JUNIO!F87+JULIO!F87+AGOSTO!F87+SEPTIEMBRE!F87+OCTUBRE!F87+NOVIEMBRE!F87+DICIEMBRE!F87</f>
        <v>47469663.872561045</v>
      </c>
      <c r="G87" s="16">
        <f>ENERO!G87+FEBRERO!G87+MARZO!G87+ABRIL!G87+MAYO!G87+JUNIO!G87+JULIO!G87+AGOSTO!G87+SEPTIEMBRE!G87+OCTUBRE!G87+NOVIEMBRE!G87+DICIEMBRE!G87</f>
        <v>40920127.080000006</v>
      </c>
      <c r="H87" s="16">
        <f>ENERO!H87+FEBRERO!H87+MARZO!H87+ABRIL!H87+MAYO!H87+JUNIO!H87+JULIO!H87+AGOSTO!H87+SEPTIEMBRE!H87+OCTUBRE!H87+NOVIEMBRE!H87+DICIEMBRE!H87</f>
        <v>1029631044.72</v>
      </c>
      <c r="I87" s="16">
        <f>ENERO!I87+FEBRERO!I87+MARZO!I87+ABRIL!I87+MAYO!I87+JUNIO!I87+JULIO!I87+AGOSTO!I87+SEPTIEMBRE!I87+OCTUBRE!I87+NOVIEMBRE!I87+DICIEMBRE!I87</f>
        <v>126585527.24999999</v>
      </c>
      <c r="J87" s="16">
        <f>ENERO!J87+FEBRERO!J87+MARZO!J87+ABRIL!J87+MAYO!J87+JUNIO!J87+JULIO!J87+AGOSTO!J87+SEPTIEMBRE!J87+OCTUBRE!J87+NOVIEMBRE!J87+DICIEMBRE!J87</f>
        <v>1441214378.8700001</v>
      </c>
      <c r="K87" s="16">
        <f>ENERO!K87+FEBRERO!K87+MARZO!K87+ABRIL!K87+MAYO!K87+JUNIO!K87+JULIO!K87+AGOSTO!K87+SEPTIEMBRE!K87+OCTUBRE!K87+NOVIEMBRE!K87+DICIEMBRE!K87</f>
        <v>0</v>
      </c>
      <c r="L87" s="16">
        <f>ENERO!L87+FEBRERO!L87+MARZO!L87+ABRIL!L87+MAYO!L87+JUNIO!L87+JULIO!L87+AGOSTO!L87+SEPTIEMBRE!L87+OCTUBRE!L87+NOVIEMBRE!L87+DICIEMBRE!L87</f>
        <v>0</v>
      </c>
      <c r="M87" s="16">
        <f>ENERO!M87+FEBRERO!M87+MARZO!M87+ABRIL!M87+MAYO!M87+JUNIO!M87+JULIO!M87+AGOSTO!M87+SEPTIEMBRE!M87+OCTUBRE!M87+NOVIEMBRE!M87+DICIEMBRE!M87</f>
        <v>0</v>
      </c>
      <c r="N87" s="18">
        <f t="shared" si="2"/>
        <v>21607541753.397919</v>
      </c>
      <c r="O87" s="4"/>
      <c r="P87" s="4"/>
      <c r="Q87" s="4"/>
    </row>
    <row r="88" spans="1:17" ht="18" customHeight="1" x14ac:dyDescent="0.2">
      <c r="A88" s="17" t="s">
        <v>83</v>
      </c>
      <c r="B88" s="16">
        <f>ENERO!B88+FEBRERO!B88+MARZO!B88+ABRIL!B88+MAYO!B88+JUNIO!B88+JULIO!B88+AGOSTO!B88+SEPTIEMBRE!B88+OCTUBRE!B88+NOVIEMBRE!B88+DICIEMBRE!B88</f>
        <v>16727369632.380001</v>
      </c>
      <c r="C88" s="16">
        <f>ENERO!C88+FEBRERO!C88+MARZO!C88+ABRIL!C88+MAYO!C88+JUNIO!C88+JULIO!C88+AGOSTO!C88+SEPTIEMBRE!C88+OCTUBRE!C88+NOVIEMBRE!C88+DICIEMBRE!C88</f>
        <v>0</v>
      </c>
      <c r="D88" s="16">
        <f>ENERO!D88+FEBRERO!D88+MARZO!D88+ABRIL!D88+MAYO!D88+JUNIO!D88+JULIO!D88+AGOSTO!D88+SEPTIEMBRE!D88+OCTUBRE!D88+NOVIEMBRE!D88+DICIEMBRE!D88</f>
        <v>222158304.56013396</v>
      </c>
      <c r="E88" s="16">
        <f>ENERO!E88+FEBRERO!E88+MARZO!E88+ABRIL!E88+MAYO!E88+JUNIO!E88+JULIO!E88+AGOSTO!E88+SEPTIEMBRE!E88+OCTUBRE!E88+NOVIEMBRE!E88+DICIEMBRE!E88</f>
        <v>197043509.75999999</v>
      </c>
      <c r="F88" s="16">
        <f>ENERO!F88+FEBRERO!F88+MARZO!F88+ABRIL!F88+MAYO!F88+JUNIO!F88+JULIO!F88+AGOSTO!F88+SEPTIEMBRE!F88+OCTUBRE!F88+NOVIEMBRE!F88+DICIEMBRE!F88</f>
        <v>232970049.51844275</v>
      </c>
      <c r="G88" s="16">
        <f>ENERO!G88+FEBRERO!G88+MARZO!G88+ABRIL!G88+MAYO!G88+JUNIO!G88+JULIO!G88+AGOSTO!G88+SEPTIEMBRE!G88+OCTUBRE!G88+NOVIEMBRE!G88+DICIEMBRE!G88</f>
        <v>82706288.579999998</v>
      </c>
      <c r="H88" s="16">
        <f>ENERO!H88+FEBRERO!H88+MARZO!H88+ABRIL!H88+MAYO!H88+JUNIO!H88+JULIO!H88+AGOSTO!H88+SEPTIEMBRE!H88+OCTUBRE!H88+NOVIEMBRE!H88+DICIEMBRE!H88</f>
        <v>937190043</v>
      </c>
      <c r="I88" s="16">
        <f>ENERO!I88+FEBRERO!I88+MARZO!I88+ABRIL!I88+MAYO!I88+JUNIO!I88+JULIO!I88+AGOSTO!I88+SEPTIEMBRE!I88+OCTUBRE!I88+NOVIEMBRE!I88+DICIEMBRE!I88</f>
        <v>621252271.99000001</v>
      </c>
      <c r="J88" s="16">
        <f>ENERO!J88+FEBRERO!J88+MARZO!J88+ABRIL!J88+MAYO!J88+JUNIO!J88+JULIO!J88+AGOSTO!J88+SEPTIEMBRE!J88+OCTUBRE!J88+NOVIEMBRE!J88+DICIEMBRE!J88</f>
        <v>2193882443.4300003</v>
      </c>
      <c r="K88" s="16">
        <f>ENERO!K88+FEBRERO!K88+MARZO!K88+ABRIL!K88+MAYO!K88+JUNIO!K88+JULIO!K88+AGOSTO!K88+SEPTIEMBRE!K88+OCTUBRE!K88+NOVIEMBRE!K88+DICIEMBRE!K88</f>
        <v>0</v>
      </c>
      <c r="L88" s="16">
        <f>ENERO!L88+FEBRERO!L88+MARZO!L88+ABRIL!L88+MAYO!L88+JUNIO!L88+JULIO!L88+AGOSTO!L88+SEPTIEMBRE!L88+OCTUBRE!L88+NOVIEMBRE!L88+DICIEMBRE!L88</f>
        <v>0</v>
      </c>
      <c r="M88" s="16">
        <f>ENERO!M88+FEBRERO!M88+MARZO!M88+ABRIL!M88+MAYO!M88+JUNIO!M88+JULIO!M88+AGOSTO!M88+SEPTIEMBRE!M88+OCTUBRE!M88+NOVIEMBRE!M88+DICIEMBRE!M88</f>
        <v>0</v>
      </c>
      <c r="N88" s="18">
        <f t="shared" si="2"/>
        <v>21214572543.218582</v>
      </c>
      <c r="O88" s="4"/>
      <c r="P88" s="4"/>
      <c r="Q88" s="4"/>
    </row>
    <row r="89" spans="1:17" ht="18" customHeight="1" x14ac:dyDescent="0.2">
      <c r="A89" s="17" t="s">
        <v>84</v>
      </c>
      <c r="B89" s="16">
        <f>ENERO!B89+FEBRERO!B89+MARZO!B89+ABRIL!B89+MAYO!B89+JUNIO!B89+JULIO!B89+AGOSTO!B89+SEPTIEMBRE!B89+OCTUBRE!B89+NOVIEMBRE!B89+DICIEMBRE!B89</f>
        <v>23667425512.049999</v>
      </c>
      <c r="C89" s="16">
        <f>ENERO!C89+FEBRERO!C89+MARZO!C89+ABRIL!C89+MAYO!C89+JUNIO!C89+JULIO!C89+AGOSTO!C89+SEPTIEMBRE!C89+OCTUBRE!C89+NOVIEMBRE!C89+DICIEMBRE!C89</f>
        <v>0</v>
      </c>
      <c r="D89" s="16">
        <f>ENERO!D89+FEBRERO!D89+MARZO!D89+ABRIL!D89+MAYO!D89+JUNIO!D89+JULIO!D89+AGOSTO!D89+SEPTIEMBRE!D89+OCTUBRE!D89+NOVIEMBRE!D89+DICIEMBRE!D89</f>
        <v>545334642.24785781</v>
      </c>
      <c r="E89" s="16">
        <f>ENERO!E89+FEBRERO!E89+MARZO!E89+ABRIL!E89+MAYO!E89+JUNIO!E89+JULIO!E89+AGOSTO!E89+SEPTIEMBRE!E89+OCTUBRE!E89+NOVIEMBRE!E89+DICIEMBRE!E89</f>
        <v>294806352.99000001</v>
      </c>
      <c r="F89" s="16">
        <f>ENERO!F89+FEBRERO!F89+MARZO!F89+ABRIL!F89+MAYO!F89+JUNIO!F89+JULIO!F89+AGOSTO!F89+SEPTIEMBRE!F89+OCTUBRE!F89+NOVIEMBRE!F89+DICIEMBRE!F89</f>
        <v>195927581.21271855</v>
      </c>
      <c r="G89" s="16">
        <f>ENERO!G89+FEBRERO!G89+MARZO!G89+ABRIL!G89+MAYO!G89+JUNIO!G89+JULIO!G89+AGOSTO!G89+SEPTIEMBRE!G89+OCTUBRE!G89+NOVIEMBRE!G89+DICIEMBRE!G89</f>
        <v>90067581.279999986</v>
      </c>
      <c r="H89" s="16">
        <f>ENERO!H89+FEBRERO!H89+MARZO!H89+ABRIL!H89+MAYO!H89+JUNIO!H89+JULIO!H89+AGOSTO!H89+SEPTIEMBRE!H89+OCTUBRE!H89+NOVIEMBRE!H89+DICIEMBRE!H89</f>
        <v>1340924282.95</v>
      </c>
      <c r="I89" s="16">
        <f>ENERO!I89+FEBRERO!I89+MARZO!I89+ABRIL!I89+MAYO!I89+JUNIO!I89+JULIO!I89+AGOSTO!I89+SEPTIEMBRE!I89+OCTUBRE!I89+NOVIEMBRE!I89+DICIEMBRE!I89</f>
        <v>522472546.25999999</v>
      </c>
      <c r="J89" s="16">
        <f>ENERO!J89+FEBRERO!J89+MARZO!J89+ABRIL!J89+MAYO!J89+JUNIO!J89+JULIO!J89+AGOSTO!J89+SEPTIEMBRE!J89+OCTUBRE!J89+NOVIEMBRE!J89+DICIEMBRE!J89</f>
        <v>2252993432.3800001</v>
      </c>
      <c r="K89" s="16">
        <f>ENERO!K89+FEBRERO!K89+MARZO!K89+ABRIL!K89+MAYO!K89+JUNIO!K89+JULIO!K89+AGOSTO!K89+SEPTIEMBRE!K89+OCTUBRE!K89+NOVIEMBRE!K89+DICIEMBRE!K89</f>
        <v>0</v>
      </c>
      <c r="L89" s="16">
        <f>ENERO!L89+FEBRERO!L89+MARZO!L89+ABRIL!L89+MAYO!L89+JUNIO!L89+JULIO!L89+AGOSTO!L89+SEPTIEMBRE!L89+OCTUBRE!L89+NOVIEMBRE!L89+DICIEMBRE!L89</f>
        <v>0</v>
      </c>
      <c r="M89" s="16">
        <f>ENERO!M89+FEBRERO!M89+MARZO!M89+ABRIL!M89+MAYO!M89+JUNIO!M89+JULIO!M89+AGOSTO!M89+SEPTIEMBRE!M89+OCTUBRE!M89+NOVIEMBRE!M89+DICIEMBRE!M89</f>
        <v>0</v>
      </c>
      <c r="N89" s="18">
        <f t="shared" si="2"/>
        <v>28909951931.370575</v>
      </c>
      <c r="O89" s="4"/>
      <c r="P89" s="4"/>
      <c r="Q89" s="4"/>
    </row>
    <row r="90" spans="1:17" ht="18" customHeight="1" x14ac:dyDescent="0.2">
      <c r="A90" s="17" t="s">
        <v>85</v>
      </c>
      <c r="B90" s="16">
        <f>ENERO!B90+FEBRERO!B90+MARZO!B90+ABRIL!B90+MAYO!B90+JUNIO!B90+JULIO!B90+AGOSTO!B90+SEPTIEMBRE!B90+OCTUBRE!B90+NOVIEMBRE!B90+DICIEMBRE!B90</f>
        <v>107491735581.07999</v>
      </c>
      <c r="C90" s="16">
        <f>ENERO!C90+FEBRERO!C90+MARZO!C90+ABRIL!C90+MAYO!C90+JUNIO!C90+JULIO!C90+AGOSTO!C90+SEPTIEMBRE!C90+OCTUBRE!C90+NOVIEMBRE!C90+DICIEMBRE!C90</f>
        <v>0</v>
      </c>
      <c r="D90" s="16">
        <f>ENERO!D90+FEBRERO!D90+MARZO!D90+ABRIL!D90+MAYO!D90+JUNIO!D90+JULIO!D90+AGOSTO!D90+SEPTIEMBRE!D90+OCTUBRE!D90+NOVIEMBRE!D90+DICIEMBRE!D90</f>
        <v>535515148.69511002</v>
      </c>
      <c r="E90" s="16">
        <f>ENERO!E90+FEBRERO!E90+MARZO!E90+ABRIL!E90+MAYO!E90+JUNIO!E90+JULIO!E90+AGOSTO!E90+SEPTIEMBRE!E90+OCTUBRE!E90+NOVIEMBRE!E90+DICIEMBRE!E90</f>
        <v>1626690708.52</v>
      </c>
      <c r="F90" s="16">
        <f>ENERO!F90+FEBRERO!F90+MARZO!F90+ABRIL!F90+MAYO!F90+JUNIO!F90+JULIO!F90+AGOSTO!F90+SEPTIEMBRE!F90+OCTUBRE!F90+NOVIEMBRE!F90+DICIEMBRE!F90</f>
        <v>2657725090.8288965</v>
      </c>
      <c r="G90" s="16">
        <f>ENERO!G90+FEBRERO!G90+MARZO!G90+ABRIL!G90+MAYO!G90+JUNIO!G90+JULIO!G90+AGOSTO!G90+SEPTIEMBRE!G90+OCTUBRE!G90+NOVIEMBRE!G90+DICIEMBRE!G90</f>
        <v>822686468.80969799</v>
      </c>
      <c r="H90" s="16">
        <f>ENERO!H90+FEBRERO!H90+MARZO!H90+ABRIL!H90+MAYO!H90+JUNIO!H90+JULIO!H90+AGOSTO!H90+SEPTIEMBRE!H90+OCTUBRE!H90+NOVIEMBRE!H90+DICIEMBRE!H90</f>
        <v>6103821970.8199997</v>
      </c>
      <c r="I90" s="16">
        <f>ENERO!I90+FEBRERO!I90+MARZO!I90+ABRIL!I90+MAYO!I90+JUNIO!I90+JULIO!I90+AGOSTO!I90+SEPTIEMBRE!I90+OCTUBRE!I90+NOVIEMBRE!I90+DICIEMBRE!I90</f>
        <v>7087253292.7700005</v>
      </c>
      <c r="J90" s="16">
        <f>ENERO!J90+FEBRERO!J90+MARZO!J90+ABRIL!J90+MAYO!J90+JUNIO!J90+JULIO!J90+AGOSTO!J90+SEPTIEMBRE!J90+OCTUBRE!J90+NOVIEMBRE!J90+DICIEMBRE!J90</f>
        <v>13133545766.430002</v>
      </c>
      <c r="K90" s="16">
        <f>ENERO!K90+FEBRERO!K90+MARZO!K90+ABRIL!K90+MAYO!K90+JUNIO!K90+JULIO!K90+AGOSTO!K90+SEPTIEMBRE!K90+OCTUBRE!K90+NOVIEMBRE!K90+DICIEMBRE!K90</f>
        <v>0</v>
      </c>
      <c r="L90" s="16">
        <f>ENERO!L90+FEBRERO!L90+MARZO!L90+ABRIL!L90+MAYO!L90+JUNIO!L90+JULIO!L90+AGOSTO!L90+SEPTIEMBRE!L90+OCTUBRE!L90+NOVIEMBRE!L90+DICIEMBRE!L90</f>
        <v>0</v>
      </c>
      <c r="M90" s="16">
        <f>ENERO!M90+FEBRERO!M90+MARZO!M90+ABRIL!M90+MAYO!M90+JUNIO!M90+JULIO!M90+AGOSTO!M90+SEPTIEMBRE!M90+OCTUBRE!M90+NOVIEMBRE!M90+DICIEMBRE!M90</f>
        <v>0</v>
      </c>
      <c r="N90" s="18">
        <f t="shared" si="2"/>
        <v>139458974027.9537</v>
      </c>
      <c r="O90" s="4"/>
      <c r="P90" s="4"/>
      <c r="Q90" s="4"/>
    </row>
    <row r="91" spans="1:17" ht="18" customHeight="1" x14ac:dyDescent="0.2">
      <c r="A91" s="17" t="s">
        <v>86</v>
      </c>
      <c r="B91" s="16">
        <f>ENERO!B91+FEBRERO!B91+MARZO!B91+ABRIL!B91+MAYO!B91+JUNIO!B91+JULIO!B91+AGOSTO!B91+SEPTIEMBRE!B91+OCTUBRE!B91+NOVIEMBRE!B91+DICIEMBRE!B91</f>
        <v>4965577355.1300001</v>
      </c>
      <c r="C91" s="16">
        <f>ENERO!C91+FEBRERO!C91+MARZO!C91+ABRIL!C91+MAYO!C91+JUNIO!C91+JULIO!C91+AGOSTO!C91+SEPTIEMBRE!C91+OCTUBRE!C91+NOVIEMBRE!C91+DICIEMBRE!C91</f>
        <v>0</v>
      </c>
      <c r="D91" s="16">
        <f>ENERO!D91+FEBRERO!D91+MARZO!D91+ABRIL!D91+MAYO!D91+JUNIO!D91+JULIO!D91+AGOSTO!D91+SEPTIEMBRE!D91+OCTUBRE!D91+NOVIEMBRE!D91+DICIEMBRE!D91</f>
        <v>624784787.36011541</v>
      </c>
      <c r="E91" s="16">
        <f>ENERO!E91+FEBRERO!E91+MARZO!E91+ABRIL!E91+MAYO!E91+JUNIO!E91+JULIO!E91+AGOSTO!E91+SEPTIEMBRE!E91+OCTUBRE!E91+NOVIEMBRE!E91+DICIEMBRE!E91</f>
        <v>60726952.600000001</v>
      </c>
      <c r="F91" s="16">
        <f>ENERO!F91+FEBRERO!F91+MARZO!F91+ABRIL!F91+MAYO!F91+JUNIO!F91+JULIO!F91+AGOSTO!F91+SEPTIEMBRE!F91+OCTUBRE!F91+NOVIEMBRE!F91+DICIEMBRE!F91</f>
        <v>61699041.279238924</v>
      </c>
      <c r="G91" s="16">
        <f>ENERO!G91+FEBRERO!G91+MARZO!G91+ABRIL!G91+MAYO!G91+JUNIO!G91+JULIO!G91+AGOSTO!G91+SEPTIEMBRE!G91+OCTUBRE!G91+NOVIEMBRE!G91+DICIEMBRE!G91</f>
        <v>30744222.459999997</v>
      </c>
      <c r="H91" s="16">
        <f>ENERO!H91+FEBRERO!H91+MARZO!H91+ABRIL!H91+MAYO!H91+JUNIO!H91+JULIO!H91+AGOSTO!H91+SEPTIEMBRE!H91+OCTUBRE!H91+NOVIEMBRE!H91+DICIEMBRE!H91</f>
        <v>280752120.47999996</v>
      </c>
      <c r="I91" s="16">
        <f>ENERO!I91+FEBRERO!I91+MARZO!I91+ABRIL!I91+MAYO!I91+JUNIO!I91+JULIO!I91+AGOSTO!I91+SEPTIEMBRE!I91+OCTUBRE!I91+NOVIEMBRE!I91+DICIEMBRE!I91</f>
        <v>164530460.76999998</v>
      </c>
      <c r="J91" s="16">
        <f>ENERO!J91+FEBRERO!J91+MARZO!J91+ABRIL!J91+MAYO!J91+JUNIO!J91+JULIO!J91+AGOSTO!J91+SEPTIEMBRE!J91+OCTUBRE!J91+NOVIEMBRE!J91+DICIEMBRE!J91</f>
        <v>1012872012.5600001</v>
      </c>
      <c r="K91" s="16">
        <f>ENERO!K91+FEBRERO!K91+MARZO!K91+ABRIL!K91+MAYO!K91+JUNIO!K91+JULIO!K91+AGOSTO!K91+SEPTIEMBRE!K91+OCTUBRE!K91+NOVIEMBRE!K91+DICIEMBRE!K91</f>
        <v>0</v>
      </c>
      <c r="L91" s="16">
        <f>ENERO!L91+FEBRERO!L91+MARZO!L91+ABRIL!L91+MAYO!L91+JUNIO!L91+JULIO!L91+AGOSTO!L91+SEPTIEMBRE!L91+OCTUBRE!L91+NOVIEMBRE!L91+DICIEMBRE!L91</f>
        <v>0</v>
      </c>
      <c r="M91" s="16">
        <f>ENERO!M91+FEBRERO!M91+MARZO!M91+ABRIL!M91+MAYO!M91+JUNIO!M91+JULIO!M91+AGOSTO!M91+SEPTIEMBRE!M91+OCTUBRE!M91+NOVIEMBRE!M91+DICIEMBRE!M91</f>
        <v>0</v>
      </c>
      <c r="N91" s="18">
        <f t="shared" si="2"/>
        <v>7201686952.6393538</v>
      </c>
      <c r="O91" s="4"/>
      <c r="P91" s="4"/>
      <c r="Q91" s="4"/>
    </row>
    <row r="92" spans="1:17" ht="18" customHeight="1" x14ac:dyDescent="0.2">
      <c r="A92" s="17" t="s">
        <v>87</v>
      </c>
      <c r="B92" s="16">
        <f>ENERO!B92+FEBRERO!B92+MARZO!B92+ABRIL!B92+MAYO!B92+JUNIO!B92+JULIO!B92+AGOSTO!B92+SEPTIEMBRE!B92+OCTUBRE!B92+NOVIEMBRE!B92+DICIEMBRE!B92</f>
        <v>6884538315.5099993</v>
      </c>
      <c r="C92" s="16">
        <f>ENERO!C92+FEBRERO!C92+MARZO!C92+ABRIL!C92+MAYO!C92+JUNIO!C92+JULIO!C92+AGOSTO!C92+SEPTIEMBRE!C92+OCTUBRE!C92+NOVIEMBRE!C92+DICIEMBRE!C92</f>
        <v>0</v>
      </c>
      <c r="D92" s="16">
        <f>ENERO!D92+FEBRERO!D92+MARZO!D92+ABRIL!D92+MAYO!D92+JUNIO!D92+JULIO!D92+AGOSTO!D92+SEPTIEMBRE!D92+OCTUBRE!D92+NOVIEMBRE!D92+DICIEMBRE!D92</f>
        <v>23608677.479999997</v>
      </c>
      <c r="E92" s="16">
        <f>ENERO!E92+FEBRERO!E92+MARZO!E92+ABRIL!E92+MAYO!E92+JUNIO!E92+JULIO!E92+AGOSTO!E92+SEPTIEMBRE!E92+OCTUBRE!E92+NOVIEMBRE!E92+DICIEMBRE!E92</f>
        <v>83244372.139999986</v>
      </c>
      <c r="F92" s="16">
        <f>ENERO!F92+FEBRERO!F92+MARZO!F92+ABRIL!F92+MAYO!F92+JUNIO!F92+JULIO!F92+AGOSTO!F92+SEPTIEMBRE!F92+OCTUBRE!F92+NOVIEMBRE!F92+DICIEMBRE!F92</f>
        <v>13192418.658539416</v>
      </c>
      <c r="G92" s="16">
        <f>ENERO!G92+FEBRERO!G92+MARZO!G92+ABRIL!G92+MAYO!G92+JUNIO!G92+JULIO!G92+AGOSTO!G92+SEPTIEMBRE!G92+OCTUBRE!G92+NOVIEMBRE!G92+DICIEMBRE!G92</f>
        <v>10392413.219999999</v>
      </c>
      <c r="H92" s="16">
        <f>ENERO!H92+FEBRERO!H92+MARZO!H92+ABRIL!H92+MAYO!H92+JUNIO!H92+JULIO!H92+AGOSTO!H92+SEPTIEMBRE!H92+OCTUBRE!H92+NOVIEMBRE!H92+DICIEMBRE!H92</f>
        <v>391328674.60000002</v>
      </c>
      <c r="I92" s="16">
        <f>ENERO!I92+FEBRERO!I92+MARZO!I92+ABRIL!I92+MAYO!I92+JUNIO!I92+JULIO!I92+AGOSTO!I92+SEPTIEMBRE!I92+OCTUBRE!I92+NOVIEMBRE!I92+DICIEMBRE!I92</f>
        <v>35179715.689999998</v>
      </c>
      <c r="J92" s="16">
        <f>ENERO!J92+FEBRERO!J92+MARZO!J92+ABRIL!J92+MAYO!J92+JUNIO!J92+JULIO!J92+AGOSTO!J92+SEPTIEMBRE!J92+OCTUBRE!J92+NOVIEMBRE!J92+DICIEMBRE!J92</f>
        <v>393845022.94999993</v>
      </c>
      <c r="K92" s="16">
        <f>ENERO!K92+FEBRERO!K92+MARZO!K92+ABRIL!K92+MAYO!K92+JUNIO!K92+JULIO!K92+AGOSTO!K92+SEPTIEMBRE!K92+OCTUBRE!K92+NOVIEMBRE!K92+DICIEMBRE!K92</f>
        <v>0</v>
      </c>
      <c r="L92" s="16">
        <f>ENERO!L92+FEBRERO!L92+MARZO!L92+ABRIL!L92+MAYO!L92+JUNIO!L92+JULIO!L92+AGOSTO!L92+SEPTIEMBRE!L92+OCTUBRE!L92+NOVIEMBRE!L92+DICIEMBRE!L92</f>
        <v>0</v>
      </c>
      <c r="M92" s="16">
        <f>ENERO!M92+FEBRERO!M92+MARZO!M92+ABRIL!M92+MAYO!M92+JUNIO!M92+JULIO!M92+AGOSTO!M92+SEPTIEMBRE!M92+OCTUBRE!M92+NOVIEMBRE!M92+DICIEMBRE!M92</f>
        <v>0</v>
      </c>
      <c r="N92" s="18">
        <f t="shared" si="2"/>
        <v>7835329610.248539</v>
      </c>
      <c r="O92" s="4"/>
      <c r="P92" s="4"/>
      <c r="Q92" s="4"/>
    </row>
    <row r="93" spans="1:17" ht="18" customHeight="1" x14ac:dyDescent="0.2">
      <c r="A93" s="17" t="s">
        <v>88</v>
      </c>
      <c r="B93" s="16">
        <f>ENERO!B93+FEBRERO!B93+MARZO!B93+ABRIL!B93+MAYO!B93+JUNIO!B93+JULIO!B93+AGOSTO!B93+SEPTIEMBRE!B93+OCTUBRE!B93+NOVIEMBRE!B93+DICIEMBRE!B93</f>
        <v>77883570322.349991</v>
      </c>
      <c r="C93" s="16">
        <f>ENERO!C93+FEBRERO!C93+MARZO!C93+ABRIL!C93+MAYO!C93+JUNIO!C93+JULIO!C93+AGOSTO!C93+SEPTIEMBRE!C93+OCTUBRE!C93+NOVIEMBRE!C93+DICIEMBRE!C93</f>
        <v>0</v>
      </c>
      <c r="D93" s="16">
        <f>ENERO!D93+FEBRERO!D93+MARZO!D93+ABRIL!D93+MAYO!D93+JUNIO!D93+JULIO!D93+AGOSTO!D93+SEPTIEMBRE!D93+OCTUBRE!D93+NOVIEMBRE!D93+DICIEMBRE!D93</f>
        <v>654965021.82101548</v>
      </c>
      <c r="E93" s="16">
        <f>ENERO!E93+FEBRERO!E93+MARZO!E93+ABRIL!E93+MAYO!E93+JUNIO!E93+JULIO!E93+AGOSTO!E93+SEPTIEMBRE!E93+OCTUBRE!E93+NOVIEMBRE!E93+DICIEMBRE!E93</f>
        <v>1153478937.2499998</v>
      </c>
      <c r="F93" s="16">
        <f>ENERO!F93+FEBRERO!F93+MARZO!F93+ABRIL!F93+MAYO!F93+JUNIO!F93+JULIO!F93+AGOSTO!F93+SEPTIEMBRE!F93+OCTUBRE!F93+NOVIEMBRE!F93+DICIEMBRE!F93</f>
        <v>2153993608.745409</v>
      </c>
      <c r="G93" s="16">
        <f>ENERO!G93+FEBRERO!G93+MARZO!G93+ABRIL!G93+MAYO!G93+JUNIO!G93+JULIO!G93+AGOSTO!G93+SEPTIEMBRE!G93+OCTUBRE!G93+NOVIEMBRE!G93+DICIEMBRE!G93</f>
        <v>415068865.75048262</v>
      </c>
      <c r="H93" s="16">
        <f>ENERO!H93+FEBRERO!H93+MARZO!H93+ABRIL!H93+MAYO!H93+JUNIO!H93+JULIO!H93+AGOSTO!H93+SEPTIEMBRE!H93+OCTUBRE!H93+NOVIEMBRE!H93+DICIEMBRE!H93</f>
        <v>4398912811.8500004</v>
      </c>
      <c r="I93" s="16">
        <f>ENERO!I93+FEBRERO!I93+MARZO!I93+ABRIL!I93+MAYO!I93+JUNIO!I93+JULIO!I93+AGOSTO!I93+SEPTIEMBRE!I93+OCTUBRE!I93+NOVIEMBRE!I93+DICIEMBRE!I93</f>
        <v>5743971921.29</v>
      </c>
      <c r="J93" s="16">
        <f>ENERO!J93+FEBRERO!J93+MARZO!J93+ABRIL!J93+MAYO!J93+JUNIO!J93+JULIO!J93+AGOSTO!J93+SEPTIEMBRE!J93+OCTUBRE!J93+NOVIEMBRE!J93+DICIEMBRE!J93</f>
        <v>13558206756.059998</v>
      </c>
      <c r="K93" s="16">
        <f>ENERO!K93+FEBRERO!K93+MARZO!K93+ABRIL!K93+MAYO!K93+JUNIO!K93+JULIO!K93+AGOSTO!K93+SEPTIEMBRE!K93+OCTUBRE!K93+NOVIEMBRE!K93+DICIEMBRE!K93</f>
        <v>0</v>
      </c>
      <c r="L93" s="16">
        <f>ENERO!L93+FEBRERO!L93+MARZO!L93+ABRIL!L93+MAYO!L93+JUNIO!L93+JULIO!L93+AGOSTO!L93+SEPTIEMBRE!L93+OCTUBRE!L93+NOVIEMBRE!L93+DICIEMBRE!L93</f>
        <v>0</v>
      </c>
      <c r="M93" s="16">
        <f>ENERO!M93+FEBRERO!M93+MARZO!M93+ABRIL!M93+MAYO!M93+JUNIO!M93+JULIO!M93+AGOSTO!M93+SEPTIEMBRE!M93+OCTUBRE!M93+NOVIEMBRE!M93+DICIEMBRE!M93</f>
        <v>0</v>
      </c>
      <c r="N93" s="18">
        <f t="shared" si="2"/>
        <v>105962168245.1169</v>
      </c>
      <c r="O93" s="4"/>
      <c r="P93" s="4"/>
      <c r="Q93" s="4"/>
    </row>
    <row r="94" spans="1:17" ht="18" customHeight="1" x14ac:dyDescent="0.2">
      <c r="A94" s="17" t="s">
        <v>89</v>
      </c>
      <c r="B94" s="16">
        <f>ENERO!B94+FEBRERO!B94+MARZO!B94+ABRIL!B94+MAYO!B94+JUNIO!B94+JULIO!B94+AGOSTO!B94+SEPTIEMBRE!B94+OCTUBRE!B94+NOVIEMBRE!B94+DICIEMBRE!B94</f>
        <v>40051595665.209991</v>
      </c>
      <c r="C94" s="16">
        <f>ENERO!C94+FEBRERO!C94+MARZO!C94+ABRIL!C94+MAYO!C94+JUNIO!C94+JULIO!C94+AGOSTO!C94+SEPTIEMBRE!C94+OCTUBRE!C94+NOVIEMBRE!C94+DICIEMBRE!C94</f>
        <v>0</v>
      </c>
      <c r="D94" s="16">
        <f>ENERO!D94+FEBRERO!D94+MARZO!D94+ABRIL!D94+MAYO!D94+JUNIO!D94+JULIO!D94+AGOSTO!D94+SEPTIEMBRE!D94+OCTUBRE!D94+NOVIEMBRE!D94+DICIEMBRE!D94</f>
        <v>789980550.27999997</v>
      </c>
      <c r="E94" s="16">
        <f>ENERO!E94+FEBRERO!E94+MARZO!E94+ABRIL!E94+MAYO!E94+JUNIO!E94+JULIO!E94+AGOSTO!E94+SEPTIEMBRE!E94+OCTUBRE!E94+NOVIEMBRE!E94+DICIEMBRE!E94</f>
        <v>610940438.84000003</v>
      </c>
      <c r="F94" s="16">
        <f>ENERO!F94+FEBRERO!F94+MARZO!F94+ABRIL!F94+MAYO!F94+JUNIO!F94+JULIO!F94+AGOSTO!F94+SEPTIEMBRE!F94+OCTUBRE!F94+NOVIEMBRE!F94+DICIEMBRE!F94</f>
        <v>973992242.38928342</v>
      </c>
      <c r="G94" s="16">
        <f>ENERO!G94+FEBRERO!G94+MARZO!G94+ABRIL!G94+MAYO!G94+JUNIO!G94+JULIO!G94+AGOSTO!G94+SEPTIEMBRE!G94+OCTUBRE!G94+NOVIEMBRE!G94+DICIEMBRE!G94</f>
        <v>490607781.45750093</v>
      </c>
      <c r="H94" s="16">
        <f>ENERO!H94+FEBRERO!H94+MARZO!H94+ABRIL!H94+MAYO!H94+JUNIO!H94+JULIO!H94+AGOSTO!H94+SEPTIEMBRE!H94+OCTUBRE!H94+NOVIEMBRE!H94+DICIEMBRE!H94</f>
        <v>2278136308.1100001</v>
      </c>
      <c r="I94" s="16">
        <f>ENERO!I94+FEBRERO!I94+MARZO!I94+ABRIL!I94+MAYO!I94+JUNIO!I94+JULIO!I94+AGOSTO!I94+SEPTIEMBRE!I94+OCTUBRE!I94+NOVIEMBRE!I94+DICIEMBRE!I94</f>
        <v>2597307656.4000006</v>
      </c>
      <c r="J94" s="16">
        <f>ENERO!J94+FEBRERO!J94+MARZO!J94+ABRIL!J94+MAYO!J94+JUNIO!J94+JULIO!J94+AGOSTO!J94+SEPTIEMBRE!J94+OCTUBRE!J94+NOVIEMBRE!J94+DICIEMBRE!J94</f>
        <v>6403354007.9799986</v>
      </c>
      <c r="K94" s="16">
        <f>ENERO!K94+FEBRERO!K94+MARZO!K94+ABRIL!K94+MAYO!K94+JUNIO!K94+JULIO!K94+AGOSTO!K94+SEPTIEMBRE!K94+OCTUBRE!K94+NOVIEMBRE!K94+DICIEMBRE!K94</f>
        <v>0</v>
      </c>
      <c r="L94" s="16">
        <f>ENERO!L94+FEBRERO!L94+MARZO!L94+ABRIL!L94+MAYO!L94+JUNIO!L94+JULIO!L94+AGOSTO!L94+SEPTIEMBRE!L94+OCTUBRE!L94+NOVIEMBRE!L94+DICIEMBRE!L94</f>
        <v>0</v>
      </c>
      <c r="M94" s="16">
        <f>ENERO!M94+FEBRERO!M94+MARZO!M94+ABRIL!M94+MAYO!M94+JUNIO!M94+JULIO!M94+AGOSTO!M94+SEPTIEMBRE!M94+OCTUBRE!M94+NOVIEMBRE!M94+DICIEMBRE!M94</f>
        <v>0</v>
      </c>
      <c r="N94" s="18">
        <f t="shared" si="2"/>
        <v>54195914650.666771</v>
      </c>
      <c r="O94" s="4"/>
      <c r="P94" s="4"/>
      <c r="Q94" s="4"/>
    </row>
    <row r="95" spans="1:17" ht="18" customHeight="1" x14ac:dyDescent="0.2">
      <c r="A95" s="17" t="s">
        <v>90</v>
      </c>
      <c r="B95" s="16">
        <f>ENERO!B95+FEBRERO!B95+MARZO!B95+ABRIL!B95+MAYO!B95+JUNIO!B95+JULIO!B95+AGOSTO!B95+SEPTIEMBRE!B95+OCTUBRE!B95+NOVIEMBRE!B95+DICIEMBRE!B95</f>
        <v>8140172548.8699999</v>
      </c>
      <c r="C95" s="16">
        <f>ENERO!C95+FEBRERO!C95+MARZO!C95+ABRIL!C95+MAYO!C95+JUNIO!C95+JULIO!C95+AGOSTO!C95+SEPTIEMBRE!C95+OCTUBRE!C95+NOVIEMBRE!C95+DICIEMBRE!C95</f>
        <v>0</v>
      </c>
      <c r="D95" s="16">
        <f>ENERO!D95+FEBRERO!D95+MARZO!D95+ABRIL!D95+MAYO!D95+JUNIO!D95+JULIO!D95+AGOSTO!D95+SEPTIEMBRE!D95+OCTUBRE!D95+NOVIEMBRE!D95+DICIEMBRE!D95</f>
        <v>420465467.7444551</v>
      </c>
      <c r="E95" s="16">
        <f>ENERO!E95+FEBRERO!E95+MARZO!E95+ABRIL!E95+MAYO!E95+JUNIO!E95+JULIO!E95+AGOSTO!E95+SEPTIEMBRE!E95+OCTUBRE!E95+NOVIEMBRE!E95+DICIEMBRE!E95</f>
        <v>99319171.5</v>
      </c>
      <c r="F95" s="16">
        <f>ENERO!F95+FEBRERO!F95+MARZO!F95+ABRIL!F95+MAYO!F95+JUNIO!F95+JULIO!F95+AGOSTO!F95+SEPTIEMBRE!F95+OCTUBRE!F95+NOVIEMBRE!F95+DICIEMBRE!F95</f>
        <v>47757707.93982172</v>
      </c>
      <c r="G95" s="16">
        <f>ENERO!G95+FEBRERO!G95+MARZO!G95+ABRIL!G95+MAYO!G95+JUNIO!G95+JULIO!G95+AGOSTO!G95+SEPTIEMBRE!G95+OCTUBRE!G95+NOVIEMBRE!G95+DICIEMBRE!G95</f>
        <v>24681981.409999996</v>
      </c>
      <c r="H95" s="16">
        <f>ENERO!H95+FEBRERO!H95+MARZO!H95+ABRIL!H95+MAYO!H95+JUNIO!H95+JULIO!H95+AGOSTO!H95+SEPTIEMBRE!H95+OCTUBRE!H95+NOVIEMBRE!H95+DICIEMBRE!H95</f>
        <v>460035095.40999997</v>
      </c>
      <c r="I95" s="16">
        <f>ENERO!I95+FEBRERO!I95+MARZO!I95+ABRIL!I95+MAYO!I95+JUNIO!I95+JULIO!I95+AGOSTO!I95+SEPTIEMBRE!I95+OCTUBRE!I95+NOVIEMBRE!I95+DICIEMBRE!I95</f>
        <v>127353643.31</v>
      </c>
      <c r="J95" s="16">
        <f>ENERO!J95+FEBRERO!J95+MARZO!J95+ABRIL!J95+MAYO!J95+JUNIO!J95+JULIO!J95+AGOSTO!J95+SEPTIEMBRE!J95+OCTUBRE!J95+NOVIEMBRE!J95+DICIEMBRE!J95</f>
        <v>1023475977.77</v>
      </c>
      <c r="K95" s="16">
        <f>ENERO!K95+FEBRERO!K95+MARZO!K95+ABRIL!K95+MAYO!K95+JUNIO!K95+JULIO!K95+AGOSTO!K95+SEPTIEMBRE!K95+OCTUBRE!K95+NOVIEMBRE!K95+DICIEMBRE!K95</f>
        <v>0</v>
      </c>
      <c r="L95" s="16">
        <f>ENERO!L95+FEBRERO!L95+MARZO!L95+ABRIL!L95+MAYO!L95+JUNIO!L95+JULIO!L95+AGOSTO!L95+SEPTIEMBRE!L95+OCTUBRE!L95+NOVIEMBRE!L95+DICIEMBRE!L95</f>
        <v>0</v>
      </c>
      <c r="M95" s="16">
        <f>ENERO!M95+FEBRERO!M95+MARZO!M95+ABRIL!M95+MAYO!M95+JUNIO!M95+JULIO!M95+AGOSTO!M95+SEPTIEMBRE!M95+OCTUBRE!M95+NOVIEMBRE!M95+DICIEMBRE!M95</f>
        <v>0</v>
      </c>
      <c r="N95" s="18">
        <f t="shared" si="2"/>
        <v>10343261593.954277</v>
      </c>
      <c r="O95" s="4"/>
      <c r="P95" s="4"/>
      <c r="Q95" s="4"/>
    </row>
    <row r="96" spans="1:17" ht="18" customHeight="1" x14ac:dyDescent="0.2">
      <c r="A96" s="17" t="s">
        <v>91</v>
      </c>
      <c r="B96" s="16">
        <f>ENERO!B96+FEBRERO!B96+MARZO!B96+ABRIL!B96+MAYO!B96+JUNIO!B96+JULIO!B96+AGOSTO!B96+SEPTIEMBRE!B96+OCTUBRE!B96+NOVIEMBRE!B96+DICIEMBRE!B96</f>
        <v>25059690631.069996</v>
      </c>
      <c r="C96" s="16">
        <f>ENERO!C96+FEBRERO!C96+MARZO!C96+ABRIL!C96+MAYO!C96+JUNIO!C96+JULIO!C96+AGOSTO!C96+SEPTIEMBRE!C96+OCTUBRE!C96+NOVIEMBRE!C96+DICIEMBRE!C96</f>
        <v>0</v>
      </c>
      <c r="D96" s="16">
        <f>ENERO!D96+FEBRERO!D96+MARZO!D96+ABRIL!D96+MAYO!D96+JUNIO!D96+JULIO!D96+AGOSTO!D96+SEPTIEMBRE!D96+OCTUBRE!D96+NOVIEMBRE!D96+DICIEMBRE!D96</f>
        <v>1203183434.7919073</v>
      </c>
      <c r="E96" s="16">
        <f>ENERO!E96+FEBRERO!E96+MARZO!E96+ABRIL!E96+MAYO!E96+JUNIO!E96+JULIO!E96+AGOSTO!E96+SEPTIEMBRE!E96+OCTUBRE!E96+NOVIEMBRE!E96+DICIEMBRE!E96</f>
        <v>234328798.84999999</v>
      </c>
      <c r="F96" s="16">
        <f>ENERO!F96+FEBRERO!F96+MARZO!F96+ABRIL!F96+MAYO!F96+JUNIO!F96+JULIO!F96+AGOSTO!F96+SEPTIEMBRE!F96+OCTUBRE!F96+NOVIEMBRE!F96+DICIEMBRE!F96</f>
        <v>267650556.41062933</v>
      </c>
      <c r="G96" s="16">
        <f>ENERO!G96+FEBRERO!G96+MARZO!G96+ABRIL!G96+MAYO!G96+JUNIO!G96+JULIO!G96+AGOSTO!G96+SEPTIEMBRE!G96+OCTUBRE!G96+NOVIEMBRE!G96+DICIEMBRE!G96</f>
        <v>126224518.95999998</v>
      </c>
      <c r="H96" s="16">
        <f>ENERO!H96+FEBRERO!H96+MARZO!H96+ABRIL!H96+MAYO!H96+JUNIO!H96+JULIO!H96+AGOSTO!H96+SEPTIEMBRE!H96+OCTUBRE!H96+NOVIEMBRE!H96+DICIEMBRE!H96</f>
        <v>1417545570.05</v>
      </c>
      <c r="I96" s="16">
        <f>ENERO!I96+FEBRERO!I96+MARZO!I96+ABRIL!I96+MAYO!I96+JUNIO!I96+JULIO!I96+AGOSTO!I96+SEPTIEMBRE!I96+OCTUBRE!I96+NOVIEMBRE!I96+DICIEMBRE!I96</f>
        <v>713733446.03000009</v>
      </c>
      <c r="J96" s="16">
        <f>ENERO!J96+FEBRERO!J96+MARZO!J96+ABRIL!J96+MAYO!J96+JUNIO!J96+JULIO!J96+AGOSTO!J96+SEPTIEMBRE!J96+OCTUBRE!J96+NOVIEMBRE!J96+DICIEMBRE!J96</f>
        <v>3468327807.3199997</v>
      </c>
      <c r="K96" s="16">
        <f>ENERO!K96+FEBRERO!K96+MARZO!K96+ABRIL!K96+MAYO!K96+JUNIO!K96+JULIO!K96+AGOSTO!K96+SEPTIEMBRE!K96+OCTUBRE!K96+NOVIEMBRE!K96+DICIEMBRE!K96</f>
        <v>0</v>
      </c>
      <c r="L96" s="16">
        <f>ENERO!L96+FEBRERO!L96+MARZO!L96+ABRIL!L96+MAYO!L96+JUNIO!L96+JULIO!L96+AGOSTO!L96+SEPTIEMBRE!L96+OCTUBRE!L96+NOVIEMBRE!L96+DICIEMBRE!L96</f>
        <v>0</v>
      </c>
      <c r="M96" s="16">
        <f>ENERO!M96+FEBRERO!M96+MARZO!M96+ABRIL!M96+MAYO!M96+JUNIO!M96+JULIO!M96+AGOSTO!M96+SEPTIEMBRE!M96+OCTUBRE!M96+NOVIEMBRE!M96+DICIEMBRE!M96</f>
        <v>0</v>
      </c>
      <c r="N96" s="18">
        <f t="shared" si="2"/>
        <v>32490684763.482529</v>
      </c>
      <c r="O96" s="4"/>
      <c r="P96" s="4"/>
      <c r="Q96" s="4"/>
    </row>
    <row r="97" spans="1:17" ht="18" customHeight="1" x14ac:dyDescent="0.2">
      <c r="A97" s="17" t="s">
        <v>92</v>
      </c>
      <c r="B97" s="16">
        <f>ENERO!B97+FEBRERO!B97+MARZO!B97+ABRIL!B97+MAYO!B97+JUNIO!B97+JULIO!B97+AGOSTO!B97+SEPTIEMBRE!B97+OCTUBRE!B97+NOVIEMBRE!B97+DICIEMBRE!B97</f>
        <v>12721453008.09</v>
      </c>
      <c r="C97" s="16">
        <f>ENERO!C97+FEBRERO!C97+MARZO!C97+ABRIL!C97+MAYO!C97+JUNIO!C97+JULIO!C97+AGOSTO!C97+SEPTIEMBRE!C97+OCTUBRE!C97+NOVIEMBRE!C97+DICIEMBRE!C97</f>
        <v>0</v>
      </c>
      <c r="D97" s="16">
        <f>ENERO!D97+FEBRERO!D97+MARZO!D97+ABRIL!D97+MAYO!D97+JUNIO!D97+JULIO!D97+AGOSTO!D97+SEPTIEMBRE!D97+OCTUBRE!D97+NOVIEMBRE!D97+DICIEMBRE!D97</f>
        <v>1411628464.4703374</v>
      </c>
      <c r="E97" s="16">
        <f>ENERO!E97+FEBRERO!E97+MARZO!E97+ABRIL!E97+MAYO!E97+JUNIO!E97+JULIO!E97+AGOSTO!E97+SEPTIEMBRE!E97+OCTUBRE!E97+NOVIEMBRE!E97+DICIEMBRE!E97</f>
        <v>157922627.34</v>
      </c>
      <c r="F97" s="16">
        <f>ENERO!F97+FEBRERO!F97+MARZO!F97+ABRIL!F97+MAYO!F97+JUNIO!F97+JULIO!F97+AGOSTO!F97+SEPTIEMBRE!F97+OCTUBRE!F97+NOVIEMBRE!F97+DICIEMBRE!F97</f>
        <v>123570909.02483425</v>
      </c>
      <c r="G97" s="16">
        <f>ENERO!G97+FEBRERO!G97+MARZO!G97+ABRIL!G97+MAYO!G97+JUNIO!G97+JULIO!G97+AGOSTO!G97+SEPTIEMBRE!G97+OCTUBRE!G97+NOVIEMBRE!G97+DICIEMBRE!G97</f>
        <v>64952582.650000006</v>
      </c>
      <c r="H97" s="16">
        <f>ENERO!H97+FEBRERO!H97+MARZO!H97+ABRIL!H97+MAYO!H97+JUNIO!H97+JULIO!H97+AGOSTO!H97+SEPTIEMBRE!H97+OCTUBRE!H97+NOVIEMBRE!H97+DICIEMBRE!H97</f>
        <v>720863455.08000004</v>
      </c>
      <c r="I97" s="16">
        <f>ENERO!I97+FEBRERO!I97+MARZO!I97+ABRIL!I97+MAYO!I97+JUNIO!I97+JULIO!I97+AGOSTO!I97+SEPTIEMBRE!I97+OCTUBRE!I97+NOVIEMBRE!I97+DICIEMBRE!I97</f>
        <v>329521791.17000002</v>
      </c>
      <c r="J97" s="16">
        <f>ENERO!J97+FEBRERO!J97+MARZO!J97+ABRIL!J97+MAYO!J97+JUNIO!J97+JULIO!J97+AGOSTO!J97+SEPTIEMBRE!J97+OCTUBRE!J97+NOVIEMBRE!J97+DICIEMBRE!J97</f>
        <v>2357130143.9400005</v>
      </c>
      <c r="K97" s="16">
        <f>ENERO!K97+FEBRERO!K97+MARZO!K97+ABRIL!K97+MAYO!K97+JUNIO!K97+JULIO!K97+AGOSTO!K97+SEPTIEMBRE!K97+OCTUBRE!K97+NOVIEMBRE!K97+DICIEMBRE!K97</f>
        <v>0</v>
      </c>
      <c r="L97" s="16">
        <f>ENERO!L97+FEBRERO!L97+MARZO!L97+ABRIL!L97+MAYO!L97+JUNIO!L97+JULIO!L97+AGOSTO!L97+SEPTIEMBRE!L97+OCTUBRE!L97+NOVIEMBRE!L97+DICIEMBRE!L97</f>
        <v>0</v>
      </c>
      <c r="M97" s="16">
        <f>ENERO!M97+FEBRERO!M97+MARZO!M97+ABRIL!M97+MAYO!M97+JUNIO!M97+JULIO!M97+AGOSTO!M97+SEPTIEMBRE!M97+OCTUBRE!M97+NOVIEMBRE!M97+DICIEMBRE!M97</f>
        <v>0</v>
      </c>
      <c r="N97" s="18">
        <f t="shared" si="2"/>
        <v>17887042981.765171</v>
      </c>
      <c r="O97" s="4"/>
      <c r="P97" s="4"/>
      <c r="Q97" s="4"/>
    </row>
    <row r="98" spans="1:17" ht="18" customHeight="1" x14ac:dyDescent="0.2">
      <c r="A98" s="17" t="s">
        <v>93</v>
      </c>
      <c r="B98" s="16">
        <f>ENERO!B98+FEBRERO!B98+MARZO!B98+ABRIL!B98+MAYO!B98+JUNIO!B98+JULIO!B98+AGOSTO!B98+SEPTIEMBRE!B98+OCTUBRE!B98+NOVIEMBRE!B98+DICIEMBRE!B98</f>
        <v>36603017692.919998</v>
      </c>
      <c r="C98" s="16">
        <f>ENERO!C98+FEBRERO!C98+MARZO!C98+ABRIL!C98+MAYO!C98+JUNIO!C98+JULIO!C98+AGOSTO!C98+SEPTIEMBRE!C98+OCTUBRE!C98+NOVIEMBRE!C98+DICIEMBRE!C98</f>
        <v>0</v>
      </c>
      <c r="D98" s="16">
        <f>ENERO!D98+FEBRERO!D98+MARZO!D98+ABRIL!D98+MAYO!D98+JUNIO!D98+JULIO!D98+AGOSTO!D98+SEPTIEMBRE!D98+OCTUBRE!D98+NOVIEMBRE!D98+DICIEMBRE!D98</f>
        <v>1600412043.6148133</v>
      </c>
      <c r="E98" s="16">
        <f>ENERO!E98+FEBRERO!E98+MARZO!E98+ABRIL!E98+MAYO!E98+JUNIO!E98+JULIO!E98+AGOSTO!E98+SEPTIEMBRE!E98+OCTUBRE!E98+NOVIEMBRE!E98+DICIEMBRE!E98</f>
        <v>543441339.33999991</v>
      </c>
      <c r="F98" s="16">
        <f>ENERO!F98+FEBRERO!F98+MARZO!F98+ABRIL!F98+MAYO!F98+JUNIO!F98+JULIO!F98+AGOSTO!F98+SEPTIEMBRE!F98+OCTUBRE!F98+NOVIEMBRE!F98+DICIEMBRE!F98</f>
        <v>287352771.28526026</v>
      </c>
      <c r="G98" s="16">
        <f>ENERO!G98+FEBRERO!G98+MARZO!G98+ABRIL!G98+MAYO!G98+JUNIO!G98+JULIO!G98+AGOSTO!G98+SEPTIEMBRE!G98+OCTUBRE!G98+NOVIEMBRE!G98+DICIEMBRE!G98</f>
        <v>155453181.18000001</v>
      </c>
      <c r="H98" s="16">
        <f>ENERO!H98+FEBRERO!H98+MARZO!H98+ABRIL!H98+MAYO!H98+JUNIO!H98+JULIO!H98+AGOSTO!H98+SEPTIEMBRE!H98+OCTUBRE!H98+NOVIEMBRE!H98+DICIEMBRE!H98</f>
        <v>2070842199.5400004</v>
      </c>
      <c r="I98" s="16">
        <f>ENERO!I98+FEBRERO!I98+MARZO!I98+ABRIL!I98+MAYO!I98+JUNIO!I98+JULIO!I98+AGOSTO!I98+SEPTIEMBRE!I98+OCTUBRE!I98+NOVIEMBRE!I98+DICIEMBRE!I98</f>
        <v>766272584.74000001</v>
      </c>
      <c r="J98" s="16">
        <f>ENERO!J98+FEBRERO!J98+MARZO!J98+ABRIL!J98+MAYO!J98+JUNIO!J98+JULIO!J98+AGOSTO!J98+SEPTIEMBRE!J98+OCTUBRE!J98+NOVIEMBRE!J98+DICIEMBRE!J98</f>
        <v>4544632425.2200003</v>
      </c>
      <c r="K98" s="16">
        <f>ENERO!K98+FEBRERO!K98+MARZO!K98+ABRIL!K98+MAYO!K98+JUNIO!K98+JULIO!K98+AGOSTO!K98+SEPTIEMBRE!K98+OCTUBRE!K98+NOVIEMBRE!K98+DICIEMBRE!K98</f>
        <v>0</v>
      </c>
      <c r="L98" s="16">
        <f>ENERO!L98+FEBRERO!L98+MARZO!L98+ABRIL!L98+MAYO!L98+JUNIO!L98+JULIO!L98+AGOSTO!L98+SEPTIEMBRE!L98+OCTUBRE!L98+NOVIEMBRE!L98+DICIEMBRE!L98</f>
        <v>0</v>
      </c>
      <c r="M98" s="16">
        <f>ENERO!M98+FEBRERO!M98+MARZO!M98+ABRIL!M98+MAYO!M98+JUNIO!M98+JULIO!M98+AGOSTO!M98+SEPTIEMBRE!M98+OCTUBRE!M98+NOVIEMBRE!M98+DICIEMBRE!M98</f>
        <v>0</v>
      </c>
      <c r="N98" s="18">
        <f t="shared" si="2"/>
        <v>46571424237.840073</v>
      </c>
      <c r="O98" s="4"/>
      <c r="P98" s="4"/>
      <c r="Q98" s="4"/>
    </row>
    <row r="99" spans="1:17" ht="18" customHeight="1" x14ac:dyDescent="0.2">
      <c r="A99" s="17" t="s">
        <v>94</v>
      </c>
      <c r="B99" s="16">
        <f>ENERO!B99+FEBRERO!B99+MARZO!B99+ABRIL!B99+MAYO!B99+JUNIO!B99+JULIO!B99+AGOSTO!B99+SEPTIEMBRE!B99+OCTUBRE!B99+NOVIEMBRE!B99+DICIEMBRE!B99</f>
        <v>25961670778.129997</v>
      </c>
      <c r="C99" s="16">
        <f>ENERO!C99+FEBRERO!C99+MARZO!C99+ABRIL!C99+MAYO!C99+JUNIO!C99+JULIO!C99+AGOSTO!C99+SEPTIEMBRE!C99+OCTUBRE!C99+NOVIEMBRE!C99+DICIEMBRE!C99</f>
        <v>0</v>
      </c>
      <c r="D99" s="16">
        <f>ENERO!D99+FEBRERO!D99+MARZO!D99+ABRIL!D99+MAYO!D99+JUNIO!D99+JULIO!D99+AGOSTO!D99+SEPTIEMBRE!D99+OCTUBRE!D99+NOVIEMBRE!D99+DICIEMBRE!D99</f>
        <v>853118258.86846519</v>
      </c>
      <c r="E99" s="16">
        <f>ENERO!E99+FEBRERO!E99+MARZO!E99+ABRIL!E99+MAYO!E99+JUNIO!E99+JULIO!E99+AGOSTO!E99+SEPTIEMBRE!E99+OCTUBRE!E99+NOVIEMBRE!E99+DICIEMBRE!E99</f>
        <v>317265206.58000004</v>
      </c>
      <c r="F99" s="16">
        <f>ENERO!F99+FEBRERO!F99+MARZO!F99+ABRIL!F99+MAYO!F99+JUNIO!F99+JULIO!F99+AGOSTO!F99+SEPTIEMBRE!F99+OCTUBRE!F99+NOVIEMBRE!F99+DICIEMBRE!F99</f>
        <v>106518699.66100167</v>
      </c>
      <c r="G99" s="16">
        <f>ENERO!G99+FEBRERO!G99+MARZO!G99+ABRIL!G99+MAYO!G99+JUNIO!G99+JULIO!G99+AGOSTO!G99+SEPTIEMBRE!G99+OCTUBRE!G99+NOVIEMBRE!G99+DICIEMBRE!G99</f>
        <v>46549350.909999996</v>
      </c>
      <c r="H99" s="16">
        <f>ENERO!H99+FEBRERO!H99+MARZO!H99+ABRIL!H99+MAYO!H99+JUNIO!H99+JULIO!H99+AGOSTO!H99+SEPTIEMBRE!H99+OCTUBRE!H99+NOVIEMBRE!H99+DICIEMBRE!H99</f>
        <v>1468398691.55</v>
      </c>
      <c r="I99" s="16">
        <f>ENERO!I99+FEBRERO!I99+MARZO!I99+ABRIL!I99+MAYO!I99+JUNIO!I99+JULIO!I99+AGOSTO!I99+SEPTIEMBRE!I99+OCTUBRE!I99+NOVIEMBRE!I99+DICIEMBRE!I99</f>
        <v>284049320.22000003</v>
      </c>
      <c r="J99" s="16">
        <f>ENERO!J99+FEBRERO!J99+MARZO!J99+ABRIL!J99+MAYO!J99+JUNIO!J99+JULIO!J99+AGOSTO!J99+SEPTIEMBRE!J99+OCTUBRE!J99+NOVIEMBRE!J99+DICIEMBRE!J99</f>
        <v>2980016353.3799992</v>
      </c>
      <c r="K99" s="16">
        <f>ENERO!K99+FEBRERO!K99+MARZO!K99+ABRIL!K99+MAYO!K99+JUNIO!K99+JULIO!K99+AGOSTO!K99+SEPTIEMBRE!K99+OCTUBRE!K99+NOVIEMBRE!K99+DICIEMBRE!K99</f>
        <v>0</v>
      </c>
      <c r="L99" s="16">
        <f>ENERO!L99+FEBRERO!L99+MARZO!L99+ABRIL!L99+MAYO!L99+JUNIO!L99+JULIO!L99+AGOSTO!L99+SEPTIEMBRE!L99+OCTUBRE!L99+NOVIEMBRE!L99+DICIEMBRE!L99</f>
        <v>0</v>
      </c>
      <c r="M99" s="16">
        <f>ENERO!M99+FEBRERO!M99+MARZO!M99+ABRIL!M99+MAYO!M99+JUNIO!M99+JULIO!M99+AGOSTO!M99+SEPTIEMBRE!M99+OCTUBRE!M99+NOVIEMBRE!M99+DICIEMBRE!M99</f>
        <v>0</v>
      </c>
      <c r="N99" s="18">
        <f t="shared" si="2"/>
        <v>32017586659.299469</v>
      </c>
      <c r="O99" s="4"/>
      <c r="P99" s="4"/>
      <c r="Q99" s="4"/>
    </row>
    <row r="100" spans="1:17" ht="18" customHeight="1" x14ac:dyDescent="0.2">
      <c r="A100" s="17" t="s">
        <v>95</v>
      </c>
      <c r="B100" s="16">
        <f>ENERO!B100+FEBRERO!B100+MARZO!B100+ABRIL!B100+MAYO!B100+JUNIO!B100+JULIO!B100+AGOSTO!B100+SEPTIEMBRE!B100+OCTUBRE!B100+NOVIEMBRE!B100+DICIEMBRE!B100</f>
        <v>27430002168.640003</v>
      </c>
      <c r="C100" s="16">
        <f>ENERO!C100+FEBRERO!C100+MARZO!C100+ABRIL!C100+MAYO!C100+JUNIO!C100+JULIO!C100+AGOSTO!C100+SEPTIEMBRE!C100+OCTUBRE!C100+NOVIEMBRE!C100+DICIEMBRE!C100</f>
        <v>0</v>
      </c>
      <c r="D100" s="16">
        <f>ENERO!D100+FEBRERO!D100+MARZO!D100+ABRIL!D100+MAYO!D100+JUNIO!D100+JULIO!D100+AGOSTO!D100+SEPTIEMBRE!D100+OCTUBRE!D100+NOVIEMBRE!D100+DICIEMBRE!D100</f>
        <v>1362352468.7671432</v>
      </c>
      <c r="E100" s="16">
        <f>ENERO!E100+FEBRERO!E100+MARZO!E100+ABRIL!E100+MAYO!E100+JUNIO!E100+JULIO!E100+AGOSTO!E100+SEPTIEMBRE!E100+OCTUBRE!E100+NOVIEMBRE!E100+DICIEMBRE!E100</f>
        <v>338389766.48000002</v>
      </c>
      <c r="F100" s="16">
        <f>ENERO!F100+FEBRERO!F100+MARZO!F100+ABRIL!F100+MAYO!F100+JUNIO!F100+JULIO!F100+AGOSTO!F100+SEPTIEMBRE!F100+OCTUBRE!F100+NOVIEMBRE!F100+DICIEMBRE!F100</f>
        <v>119595900.77863678</v>
      </c>
      <c r="G100" s="16">
        <f>ENERO!G100+FEBRERO!G100+MARZO!G100+ABRIL!G100+MAYO!G100+JUNIO!G100+JULIO!G100+AGOSTO!G100+SEPTIEMBRE!G100+OCTUBRE!G100+NOVIEMBRE!G100+DICIEMBRE!G100</f>
        <v>55426203.869999997</v>
      </c>
      <c r="H100" s="16">
        <f>ENERO!H100+FEBRERO!H100+MARZO!H100+ABRIL!H100+MAYO!H100+JUNIO!H100+JULIO!H100+AGOSTO!H100+SEPTIEMBRE!H100+OCTUBRE!H100+NOVIEMBRE!H100+DICIEMBRE!H100</f>
        <v>1555057216.52</v>
      </c>
      <c r="I100" s="16">
        <f>ENERO!I100+FEBRERO!I100+MARZO!I100+ABRIL!I100+MAYO!I100+JUNIO!I100+JULIO!I100+AGOSTO!I100+SEPTIEMBRE!I100+OCTUBRE!I100+NOVIEMBRE!I100+DICIEMBRE!I100</f>
        <v>318921789.48000002</v>
      </c>
      <c r="J100" s="16">
        <f>ENERO!J100+FEBRERO!J100+MARZO!J100+ABRIL!J100+MAYO!J100+JUNIO!J100+JULIO!J100+AGOSTO!J100+SEPTIEMBRE!J100+OCTUBRE!J100+NOVIEMBRE!J100+DICIEMBRE!J100</f>
        <v>2304479348.4900002</v>
      </c>
      <c r="K100" s="16">
        <f>ENERO!K100+FEBRERO!K100+MARZO!K100+ABRIL!K100+MAYO!K100+JUNIO!K100+JULIO!K100+AGOSTO!K100+SEPTIEMBRE!K100+OCTUBRE!K100+NOVIEMBRE!K100+DICIEMBRE!K100</f>
        <v>0</v>
      </c>
      <c r="L100" s="16">
        <f>ENERO!L100+FEBRERO!L100+MARZO!L100+ABRIL!L100+MAYO!L100+JUNIO!L100+JULIO!L100+AGOSTO!L100+SEPTIEMBRE!L100+OCTUBRE!L100+NOVIEMBRE!L100+DICIEMBRE!L100</f>
        <v>0</v>
      </c>
      <c r="M100" s="16">
        <f>ENERO!M100+FEBRERO!M100+MARZO!M100+ABRIL!M100+MAYO!M100+JUNIO!M100+JULIO!M100+AGOSTO!M100+SEPTIEMBRE!M100+OCTUBRE!M100+NOVIEMBRE!M100+DICIEMBRE!M100</f>
        <v>0</v>
      </c>
      <c r="N100" s="18">
        <f t="shared" si="2"/>
        <v>33484224863.025784</v>
      </c>
      <c r="O100" s="4"/>
      <c r="P100" s="4"/>
      <c r="Q100" s="4"/>
    </row>
    <row r="101" spans="1:17" ht="18" customHeight="1" x14ac:dyDescent="0.2">
      <c r="A101" s="17" t="s">
        <v>96</v>
      </c>
      <c r="B101" s="16">
        <f>ENERO!B101+FEBRERO!B101+MARZO!B101+ABRIL!B101+MAYO!B101+JUNIO!B101+JULIO!B101+AGOSTO!B101+SEPTIEMBRE!B101+OCTUBRE!B101+NOVIEMBRE!B101+DICIEMBRE!B101</f>
        <v>5620612497.8800011</v>
      </c>
      <c r="C101" s="16">
        <f>ENERO!C101+FEBRERO!C101+MARZO!C101+ABRIL!C101+MAYO!C101+JUNIO!C101+JULIO!C101+AGOSTO!C101+SEPTIEMBRE!C101+OCTUBRE!C101+NOVIEMBRE!C101+DICIEMBRE!C101</f>
        <v>0</v>
      </c>
      <c r="D101" s="16">
        <f>ENERO!D101+FEBRERO!D101+MARZO!D101+ABRIL!D101+MAYO!D101+JUNIO!D101+JULIO!D101+AGOSTO!D101+SEPTIEMBRE!D101+OCTUBRE!D101+NOVIEMBRE!D101+DICIEMBRE!D101</f>
        <v>388322434.54299283</v>
      </c>
      <c r="E101" s="16">
        <f>ENERO!E101+FEBRERO!E101+MARZO!E101+ABRIL!E101+MAYO!E101+JUNIO!E101+JULIO!E101+AGOSTO!E101+SEPTIEMBRE!E101+OCTUBRE!E101+NOVIEMBRE!E101+DICIEMBRE!E101</f>
        <v>69335722.030000001</v>
      </c>
      <c r="F101" s="16">
        <f>ENERO!F101+FEBRERO!F101+MARZO!F101+ABRIL!F101+MAYO!F101+JUNIO!F101+JULIO!F101+AGOSTO!F101+SEPTIEMBRE!F101+OCTUBRE!F101+NOVIEMBRE!F101+DICIEMBRE!F101</f>
        <v>14286986.162130021</v>
      </c>
      <c r="G101" s="16">
        <f>ENERO!G101+FEBRERO!G101+MARZO!G101+ABRIL!G101+MAYO!G101+JUNIO!G101+JULIO!G101+AGOSTO!G101+SEPTIEMBRE!G101+OCTUBRE!G101+NOVIEMBRE!G101+DICIEMBRE!G101</f>
        <v>8876852.959999999</v>
      </c>
      <c r="H101" s="16">
        <f>ENERO!H101+FEBRERO!H101+MARZO!H101+ABRIL!H101+MAYO!H101+JUNIO!H101+JULIO!H101+AGOSTO!H101+SEPTIEMBRE!H101+OCTUBRE!H101+NOVIEMBRE!H101+DICIEMBRE!H101</f>
        <v>318645131.59000003</v>
      </c>
      <c r="I101" s="16">
        <f>ENERO!I101+FEBRERO!I101+MARZO!I101+ABRIL!I101+MAYO!I101+JUNIO!I101+JULIO!I101+AGOSTO!I101+SEPTIEMBRE!I101+OCTUBRE!I101+NOVIEMBRE!I101+DICIEMBRE!I101</f>
        <v>38098556.729999997</v>
      </c>
      <c r="J101" s="16">
        <f>ENERO!J101+FEBRERO!J101+MARZO!J101+ABRIL!J101+MAYO!J101+JUNIO!J101+JULIO!J101+AGOSTO!J101+SEPTIEMBRE!J101+OCTUBRE!J101+NOVIEMBRE!J101+DICIEMBRE!J101</f>
        <v>531847728.85000002</v>
      </c>
      <c r="K101" s="16">
        <f>ENERO!K101+FEBRERO!K101+MARZO!K101+ABRIL!K101+MAYO!K101+JUNIO!K101+JULIO!K101+AGOSTO!K101+SEPTIEMBRE!K101+OCTUBRE!K101+NOVIEMBRE!K101+DICIEMBRE!K101</f>
        <v>0</v>
      </c>
      <c r="L101" s="16">
        <f>ENERO!L101+FEBRERO!L101+MARZO!L101+ABRIL!L101+MAYO!L101+JUNIO!L101+JULIO!L101+AGOSTO!L101+SEPTIEMBRE!L101+OCTUBRE!L101+NOVIEMBRE!L101+DICIEMBRE!L101</f>
        <v>0</v>
      </c>
      <c r="M101" s="16">
        <f>ENERO!M101+FEBRERO!M101+MARZO!M101+ABRIL!M101+MAYO!M101+JUNIO!M101+JULIO!M101+AGOSTO!M101+SEPTIEMBRE!M101+OCTUBRE!M101+NOVIEMBRE!M101+DICIEMBRE!M101</f>
        <v>0</v>
      </c>
      <c r="N101" s="18">
        <f t="shared" si="2"/>
        <v>6990025910.7451239</v>
      </c>
      <c r="O101" s="4"/>
      <c r="P101" s="4"/>
      <c r="Q101" s="4"/>
    </row>
    <row r="102" spans="1:17" ht="18" customHeight="1" x14ac:dyDescent="0.2">
      <c r="A102" s="17" t="s">
        <v>97</v>
      </c>
      <c r="B102" s="16">
        <f>ENERO!B102+FEBRERO!B102+MARZO!B102+ABRIL!B102+MAYO!B102+JUNIO!B102+JULIO!B102+AGOSTO!B102+SEPTIEMBRE!B102+OCTUBRE!B102+NOVIEMBRE!B102+DICIEMBRE!B102</f>
        <v>15576641962.759998</v>
      </c>
      <c r="C102" s="16">
        <f>ENERO!C102+FEBRERO!C102+MARZO!C102+ABRIL!C102+MAYO!C102+JUNIO!C102+JULIO!C102+AGOSTO!C102+SEPTIEMBRE!C102+OCTUBRE!C102+NOVIEMBRE!C102+DICIEMBRE!C102</f>
        <v>0</v>
      </c>
      <c r="D102" s="16">
        <f>ENERO!D102+FEBRERO!D102+MARZO!D102+ABRIL!D102+MAYO!D102+JUNIO!D102+JULIO!D102+AGOSTO!D102+SEPTIEMBRE!D102+OCTUBRE!D102+NOVIEMBRE!D102+DICIEMBRE!D102</f>
        <v>1899439168.8177299</v>
      </c>
      <c r="E102" s="16">
        <f>ENERO!E102+FEBRERO!E102+MARZO!E102+ABRIL!E102+MAYO!E102+JUNIO!E102+JULIO!E102+AGOSTO!E102+SEPTIEMBRE!E102+OCTUBRE!E102+NOVIEMBRE!E102+DICIEMBRE!E102</f>
        <v>236351240.25999999</v>
      </c>
      <c r="F102" s="16">
        <f>ENERO!F102+FEBRERO!F102+MARZO!F102+ABRIL!F102+MAYO!F102+JUNIO!F102+JULIO!F102+AGOSTO!F102+SEPTIEMBRE!F102+OCTUBRE!F102+NOVIEMBRE!F102+DICIEMBRE!F102</f>
        <v>276637531.62116271</v>
      </c>
      <c r="G102" s="16">
        <f>ENERO!G102+FEBRERO!G102+MARZO!G102+ABRIL!G102+MAYO!G102+JUNIO!G102+JULIO!G102+AGOSTO!G102+SEPTIEMBRE!G102+OCTUBRE!G102+NOVIEMBRE!G102+DICIEMBRE!G102</f>
        <v>142462664.65000001</v>
      </c>
      <c r="H102" s="16">
        <f>ENERO!H102+FEBRERO!H102+MARZO!H102+ABRIL!H102+MAYO!H102+JUNIO!H102+JULIO!H102+AGOSTO!H102+SEPTIEMBRE!H102+OCTUBRE!H102+NOVIEMBRE!H102+DICIEMBRE!H102</f>
        <v>882497195.75000012</v>
      </c>
      <c r="I102" s="16">
        <f>ENERO!I102+FEBRERO!I102+MARZO!I102+ABRIL!I102+MAYO!I102+JUNIO!I102+JULIO!I102+AGOSTO!I102+SEPTIEMBRE!I102+OCTUBRE!I102+NOVIEMBRE!I102+DICIEMBRE!I102</f>
        <v>737698667.18000007</v>
      </c>
      <c r="J102" s="16">
        <f>ENERO!J102+FEBRERO!J102+MARZO!J102+ABRIL!J102+MAYO!J102+JUNIO!J102+JULIO!J102+AGOSTO!J102+SEPTIEMBRE!J102+OCTUBRE!J102+NOVIEMBRE!J102+DICIEMBRE!J102</f>
        <v>3425338401.000001</v>
      </c>
      <c r="K102" s="16">
        <f>ENERO!K102+FEBRERO!K102+MARZO!K102+ABRIL!K102+MAYO!K102+JUNIO!K102+JULIO!K102+AGOSTO!K102+SEPTIEMBRE!K102+OCTUBRE!K102+NOVIEMBRE!K102+DICIEMBRE!K102</f>
        <v>0</v>
      </c>
      <c r="L102" s="16">
        <f>ENERO!L102+FEBRERO!L102+MARZO!L102+ABRIL!L102+MAYO!L102+JUNIO!L102+JULIO!L102+AGOSTO!L102+SEPTIEMBRE!L102+OCTUBRE!L102+NOVIEMBRE!L102+DICIEMBRE!L102</f>
        <v>0</v>
      </c>
      <c r="M102" s="16">
        <f>ENERO!M102+FEBRERO!M102+MARZO!M102+ABRIL!M102+MAYO!M102+JUNIO!M102+JULIO!M102+AGOSTO!M102+SEPTIEMBRE!M102+OCTUBRE!M102+NOVIEMBRE!M102+DICIEMBRE!M102</f>
        <v>0</v>
      </c>
      <c r="N102" s="18">
        <f t="shared" si="2"/>
        <v>23177066832.038891</v>
      </c>
      <c r="O102" s="4"/>
      <c r="P102" s="4"/>
      <c r="Q102" s="4"/>
    </row>
    <row r="103" spans="1:17" ht="18" customHeight="1" x14ac:dyDescent="0.2">
      <c r="A103" s="17" t="s">
        <v>98</v>
      </c>
      <c r="B103" s="16">
        <f>ENERO!B103+FEBRERO!B103+MARZO!B103+ABRIL!B103+MAYO!B103+JUNIO!B103+JULIO!B103+AGOSTO!B103+SEPTIEMBRE!B103+OCTUBRE!B103+NOVIEMBRE!B103+DICIEMBRE!B103</f>
        <v>5781757632.0800009</v>
      </c>
      <c r="C103" s="16">
        <f>ENERO!C103+FEBRERO!C103+MARZO!C103+ABRIL!C103+MAYO!C103+JUNIO!C103+JULIO!C103+AGOSTO!C103+SEPTIEMBRE!C103+OCTUBRE!C103+NOVIEMBRE!C103+DICIEMBRE!C103</f>
        <v>0</v>
      </c>
      <c r="D103" s="16">
        <f>ENERO!D103+FEBRERO!D103+MARZO!D103+ABRIL!D103+MAYO!D103+JUNIO!D103+JULIO!D103+AGOSTO!D103+SEPTIEMBRE!D103+OCTUBRE!D103+NOVIEMBRE!D103+DICIEMBRE!D103</f>
        <v>499690598.32629031</v>
      </c>
      <c r="E103" s="16">
        <f>ENERO!E103+FEBRERO!E103+MARZO!E103+ABRIL!E103+MAYO!E103+JUNIO!E103+JULIO!E103+AGOSTO!E103+SEPTIEMBRE!E103+OCTUBRE!E103+NOVIEMBRE!E103+DICIEMBRE!E103</f>
        <v>70818303.200000003</v>
      </c>
      <c r="F103" s="16">
        <f>ENERO!F103+FEBRERO!F103+MARZO!F103+ABRIL!F103+MAYO!F103+JUNIO!F103+JULIO!F103+AGOSTO!F103+SEPTIEMBRE!F103+OCTUBRE!F103+NOVIEMBRE!F103+DICIEMBRE!F103</f>
        <v>6855448.968804325</v>
      </c>
      <c r="G103" s="16">
        <f>ENERO!G103+FEBRERO!G103+MARZO!G103+ABRIL!G103+MAYO!G103+JUNIO!G103+JULIO!G103+AGOSTO!G103+SEPTIEMBRE!G103+OCTUBRE!G103+NOVIEMBRE!G103+DICIEMBRE!G103</f>
        <v>5629223.8200000003</v>
      </c>
      <c r="H103" s="16">
        <f>ENERO!H103+FEBRERO!H103+MARZO!H103+ABRIL!H103+MAYO!H103+JUNIO!H103+JULIO!H103+AGOSTO!H103+SEPTIEMBRE!H103+OCTUBRE!H103+NOVIEMBRE!H103+DICIEMBRE!H103</f>
        <v>327207588.71999997</v>
      </c>
      <c r="I103" s="16">
        <f>ENERO!I103+FEBRERO!I103+MARZO!I103+ABRIL!I103+MAYO!I103+JUNIO!I103+JULIO!I103+AGOSTO!I103+SEPTIEMBRE!I103+OCTUBRE!I103+NOVIEMBRE!I103+DICIEMBRE!I103</f>
        <v>18281162.300000001</v>
      </c>
      <c r="J103" s="16">
        <f>ENERO!J103+FEBRERO!J103+MARZO!J103+ABRIL!J103+MAYO!J103+JUNIO!J103+JULIO!J103+AGOSTO!J103+SEPTIEMBRE!J103+OCTUBRE!J103+NOVIEMBRE!J103+DICIEMBRE!J103</f>
        <v>751818857.41999996</v>
      </c>
      <c r="K103" s="16">
        <f>ENERO!K103+FEBRERO!K103+MARZO!K103+ABRIL!K103+MAYO!K103+JUNIO!K103+JULIO!K103+AGOSTO!K103+SEPTIEMBRE!K103+OCTUBRE!K103+NOVIEMBRE!K103+DICIEMBRE!K103</f>
        <v>0</v>
      </c>
      <c r="L103" s="16">
        <f>ENERO!L103+FEBRERO!L103+MARZO!L103+ABRIL!L103+MAYO!L103+JUNIO!L103+JULIO!L103+AGOSTO!L103+SEPTIEMBRE!L103+OCTUBRE!L103+NOVIEMBRE!L103+DICIEMBRE!L103</f>
        <v>0</v>
      </c>
      <c r="M103" s="16">
        <f>ENERO!M103+FEBRERO!M103+MARZO!M103+ABRIL!M103+MAYO!M103+JUNIO!M103+JULIO!M103+AGOSTO!M103+SEPTIEMBRE!M103+OCTUBRE!M103+NOVIEMBRE!M103+DICIEMBRE!M103</f>
        <v>0</v>
      </c>
      <c r="N103" s="18">
        <f t="shared" si="2"/>
        <v>7462058814.8350954</v>
      </c>
      <c r="O103" s="4"/>
      <c r="P103" s="4"/>
      <c r="Q103" s="4"/>
    </row>
    <row r="104" spans="1:17" ht="18" customHeight="1" x14ac:dyDescent="0.2">
      <c r="A104" s="17" t="s">
        <v>99</v>
      </c>
      <c r="B104" s="16">
        <f>ENERO!B104+FEBRERO!B104+MARZO!B104+ABRIL!B104+MAYO!B104+JUNIO!B104+JULIO!B104+AGOSTO!B104+SEPTIEMBRE!B104+OCTUBRE!B104+NOVIEMBRE!B104+DICIEMBRE!B104</f>
        <v>86685627584.720016</v>
      </c>
      <c r="C104" s="16">
        <f>ENERO!C104+FEBRERO!C104+MARZO!C104+ABRIL!C104+MAYO!C104+JUNIO!C104+JULIO!C104+AGOSTO!C104+SEPTIEMBRE!C104+OCTUBRE!C104+NOVIEMBRE!C104+DICIEMBRE!C104</f>
        <v>0</v>
      </c>
      <c r="D104" s="16">
        <f>ENERO!D104+FEBRERO!D104+MARZO!D104+ABRIL!D104+MAYO!D104+JUNIO!D104+JULIO!D104+AGOSTO!D104+SEPTIEMBRE!D104+OCTUBRE!D104+NOVIEMBRE!D104+DICIEMBRE!D104</f>
        <v>824186201.10439932</v>
      </c>
      <c r="E104" s="16">
        <f>ENERO!E104+FEBRERO!E104+MARZO!E104+ABRIL!E104+MAYO!E104+JUNIO!E104+JULIO!E104+AGOSTO!E104+SEPTIEMBRE!E104+OCTUBRE!E104+NOVIEMBRE!E104+DICIEMBRE!E104</f>
        <v>1286905939.7499998</v>
      </c>
      <c r="F104" s="16">
        <f>ENERO!F104+FEBRERO!F104+MARZO!F104+ABRIL!F104+MAYO!F104+JUNIO!F104+JULIO!F104+AGOSTO!F104+SEPTIEMBRE!F104+OCTUBRE!F104+NOVIEMBRE!F104+DICIEMBRE!F104</f>
        <v>1404906181.7512696</v>
      </c>
      <c r="G104" s="16">
        <f>ENERO!G104+FEBRERO!G104+MARZO!G104+ABRIL!G104+MAYO!G104+JUNIO!G104+JULIO!G104+AGOSTO!G104+SEPTIEMBRE!G104+OCTUBRE!G104+NOVIEMBRE!G104+DICIEMBRE!G104</f>
        <v>281347397.7554583</v>
      </c>
      <c r="H104" s="16">
        <f>ENERO!H104+FEBRERO!H104+MARZO!H104+ABRIL!H104+MAYO!H104+JUNIO!H104+JULIO!H104+AGOSTO!H104+SEPTIEMBRE!H104+OCTUBRE!H104+NOVIEMBRE!H104+DICIEMBRE!H104</f>
        <v>4901331574.6100006</v>
      </c>
      <c r="I104" s="16">
        <f>ENERO!I104+FEBRERO!I104+MARZO!I104+ABRIL!I104+MAYO!I104+JUNIO!I104+JULIO!I104+AGOSTO!I104+SEPTIEMBRE!I104+OCTUBRE!I104+NOVIEMBRE!I104+DICIEMBRE!I104</f>
        <v>3746409287.0999999</v>
      </c>
      <c r="J104" s="16">
        <f>ENERO!J104+FEBRERO!J104+MARZO!J104+ABRIL!J104+MAYO!J104+JUNIO!J104+JULIO!J104+AGOSTO!J104+SEPTIEMBRE!J104+OCTUBRE!J104+NOVIEMBRE!J104+DICIEMBRE!J104</f>
        <v>8318438886.04</v>
      </c>
      <c r="K104" s="16">
        <f>ENERO!K104+FEBRERO!K104+MARZO!K104+ABRIL!K104+MAYO!K104+JUNIO!K104+JULIO!K104+AGOSTO!K104+SEPTIEMBRE!K104+OCTUBRE!K104+NOVIEMBRE!K104+DICIEMBRE!K104</f>
        <v>0</v>
      </c>
      <c r="L104" s="16">
        <f>ENERO!L104+FEBRERO!L104+MARZO!L104+ABRIL!L104+MAYO!L104+JUNIO!L104+JULIO!L104+AGOSTO!L104+SEPTIEMBRE!L104+OCTUBRE!L104+NOVIEMBRE!L104+DICIEMBRE!L104</f>
        <v>0</v>
      </c>
      <c r="M104" s="16">
        <f>ENERO!M104+FEBRERO!M104+MARZO!M104+ABRIL!M104+MAYO!M104+JUNIO!M104+JULIO!M104+AGOSTO!M104+SEPTIEMBRE!M104+OCTUBRE!M104+NOVIEMBRE!M104+DICIEMBRE!M104</f>
        <v>0</v>
      </c>
      <c r="N104" s="18">
        <f t="shared" ref="N104:N135" si="3">SUM(B104:M104)</f>
        <v>107449153052.83115</v>
      </c>
      <c r="O104" s="4"/>
      <c r="P104" s="4"/>
      <c r="Q104" s="4"/>
    </row>
    <row r="105" spans="1:17" ht="18" customHeight="1" x14ac:dyDescent="0.2">
      <c r="A105" s="17" t="s">
        <v>100</v>
      </c>
      <c r="B105" s="16">
        <f>ENERO!B105+FEBRERO!B105+MARZO!B105+ABRIL!B105+MAYO!B105+JUNIO!B105+JULIO!B105+AGOSTO!B105+SEPTIEMBRE!B105+OCTUBRE!B105+NOVIEMBRE!B105+DICIEMBRE!B105</f>
        <v>14857797672.879997</v>
      </c>
      <c r="C105" s="16">
        <f>ENERO!C105+FEBRERO!C105+MARZO!C105+ABRIL!C105+MAYO!C105+JUNIO!C105+JULIO!C105+AGOSTO!C105+SEPTIEMBRE!C105+OCTUBRE!C105+NOVIEMBRE!C105+DICIEMBRE!C105</f>
        <v>0</v>
      </c>
      <c r="D105" s="16">
        <f>ENERO!D105+FEBRERO!D105+MARZO!D105+ABRIL!D105+MAYO!D105+JUNIO!D105+JULIO!D105+AGOSTO!D105+SEPTIEMBRE!D105+OCTUBRE!D105+NOVIEMBRE!D105+DICIEMBRE!D105</f>
        <v>193991015.76000005</v>
      </c>
      <c r="E105" s="16">
        <f>ENERO!E105+FEBRERO!E105+MARZO!E105+ABRIL!E105+MAYO!E105+JUNIO!E105+JULIO!E105+AGOSTO!E105+SEPTIEMBRE!E105+OCTUBRE!E105+NOVIEMBRE!E105+DICIEMBRE!E105</f>
        <v>204920242.22999999</v>
      </c>
      <c r="F105" s="16">
        <f>ENERO!F105+FEBRERO!F105+MARZO!F105+ABRIL!F105+MAYO!F105+JUNIO!F105+JULIO!F105+AGOSTO!F105+SEPTIEMBRE!F105+OCTUBRE!F105+NOVIEMBRE!F105+DICIEMBRE!F105</f>
        <v>60546864.950196177</v>
      </c>
      <c r="G105" s="16">
        <f>ENERO!G105+FEBRERO!G105+MARZO!G105+ABRIL!G105+MAYO!G105+JUNIO!G105+JULIO!G105+AGOSTO!G105+SEPTIEMBRE!G105+OCTUBRE!G105+NOVIEMBRE!G105+DICIEMBRE!G105</f>
        <v>48714436.980000012</v>
      </c>
      <c r="H105" s="16">
        <f>ENERO!H105+FEBRERO!H105+MARZO!H105+ABRIL!H105+MAYO!H105+JUNIO!H105+JULIO!H105+AGOSTO!H105+SEPTIEMBRE!H105+OCTUBRE!H105+NOVIEMBRE!H105+DICIEMBRE!H105</f>
        <v>842307396.25</v>
      </c>
      <c r="I105" s="16">
        <f>ENERO!I105+FEBRERO!I105+MARZO!I105+ABRIL!I105+MAYO!I105+JUNIO!I105+JULIO!I105+AGOSTO!I105+SEPTIEMBRE!I105+OCTUBRE!I105+NOVIEMBRE!I105+DICIEMBRE!I105</f>
        <v>161457996.48000002</v>
      </c>
      <c r="J105" s="16">
        <f>ENERO!J105+FEBRERO!J105+MARZO!J105+ABRIL!J105+MAYO!J105+JUNIO!J105+JULIO!J105+AGOSTO!J105+SEPTIEMBRE!J105+OCTUBRE!J105+NOVIEMBRE!J105+DICIEMBRE!J105</f>
        <v>1086277234.0300002</v>
      </c>
      <c r="K105" s="16">
        <f>ENERO!K105+FEBRERO!K105+MARZO!K105+ABRIL!K105+MAYO!K105+JUNIO!K105+JULIO!K105+AGOSTO!K105+SEPTIEMBRE!K105+OCTUBRE!K105+NOVIEMBRE!K105+DICIEMBRE!K105</f>
        <v>0</v>
      </c>
      <c r="L105" s="16">
        <f>ENERO!L105+FEBRERO!L105+MARZO!L105+ABRIL!L105+MAYO!L105+JUNIO!L105+JULIO!L105+AGOSTO!L105+SEPTIEMBRE!L105+OCTUBRE!L105+NOVIEMBRE!L105+DICIEMBRE!L105</f>
        <v>0</v>
      </c>
      <c r="M105" s="16">
        <f>ENERO!M105+FEBRERO!M105+MARZO!M105+ABRIL!M105+MAYO!M105+JUNIO!M105+JULIO!M105+AGOSTO!M105+SEPTIEMBRE!M105+OCTUBRE!M105+NOVIEMBRE!M105+DICIEMBRE!M105</f>
        <v>0</v>
      </c>
      <c r="N105" s="18">
        <f t="shared" si="3"/>
        <v>17456012859.560192</v>
      </c>
      <c r="O105" s="4"/>
      <c r="P105" s="4"/>
      <c r="Q105" s="4"/>
    </row>
    <row r="106" spans="1:17" ht="18" customHeight="1" x14ac:dyDescent="0.2">
      <c r="A106" s="17" t="s">
        <v>101</v>
      </c>
      <c r="B106" s="16">
        <f>ENERO!B106+FEBRERO!B106+MARZO!B106+ABRIL!B106+MAYO!B106+JUNIO!B106+JULIO!B106+AGOSTO!B106+SEPTIEMBRE!B106+OCTUBRE!B106+NOVIEMBRE!B106+DICIEMBRE!B106</f>
        <v>15845217186.399998</v>
      </c>
      <c r="C106" s="16">
        <f>ENERO!C106+FEBRERO!C106+MARZO!C106+ABRIL!C106+MAYO!C106+JUNIO!C106+JULIO!C106+AGOSTO!C106+SEPTIEMBRE!C106+OCTUBRE!C106+NOVIEMBRE!C106+DICIEMBRE!C106</f>
        <v>0</v>
      </c>
      <c r="D106" s="16">
        <f>ENERO!D106+FEBRERO!D106+MARZO!D106+ABRIL!D106+MAYO!D106+JUNIO!D106+JULIO!D106+AGOSTO!D106+SEPTIEMBRE!D106+OCTUBRE!D106+NOVIEMBRE!D106+DICIEMBRE!D106</f>
        <v>102187735.86000001</v>
      </c>
      <c r="E106" s="16">
        <f>ENERO!E106+FEBRERO!E106+MARZO!E106+ABRIL!E106+MAYO!E106+JUNIO!E106+JULIO!E106+AGOSTO!E106+SEPTIEMBRE!E106+OCTUBRE!E106+NOVIEMBRE!E106+DICIEMBRE!E106</f>
        <v>194537981.85999998</v>
      </c>
      <c r="F106" s="16">
        <f>ENERO!F106+FEBRERO!F106+MARZO!F106+ABRIL!F106+MAYO!F106+JUNIO!F106+JULIO!F106+AGOSTO!F106+SEPTIEMBRE!F106+OCTUBRE!F106+NOVIEMBRE!F106+DICIEMBRE!F106</f>
        <v>429012848.43206555</v>
      </c>
      <c r="G106" s="16">
        <f>ENERO!G106+FEBRERO!G106+MARZO!G106+ABRIL!G106+MAYO!G106+JUNIO!G106+JULIO!G106+AGOSTO!G106+SEPTIEMBRE!G106+OCTUBRE!G106+NOVIEMBRE!G106+DICIEMBRE!G106</f>
        <v>146963510.3988077</v>
      </c>
      <c r="H106" s="16">
        <f>ENERO!H106+FEBRERO!H106+MARZO!H106+ABRIL!H106+MAYO!H106+JUNIO!H106+JULIO!H106+AGOSTO!H106+SEPTIEMBRE!H106+OCTUBRE!H106+NOVIEMBRE!H106+DICIEMBRE!H106</f>
        <v>895834069.38</v>
      </c>
      <c r="I106" s="16">
        <f>ENERO!I106+FEBRERO!I106+MARZO!I106+ABRIL!I106+MAYO!I106+JUNIO!I106+JULIO!I106+AGOSTO!I106+SEPTIEMBRE!I106+OCTUBRE!I106+NOVIEMBRE!I106+DICIEMBRE!I106</f>
        <v>1144032064.6599998</v>
      </c>
      <c r="J106" s="16">
        <f>ENERO!J106+FEBRERO!J106+MARZO!J106+ABRIL!J106+MAYO!J106+JUNIO!J106+JULIO!J106+AGOSTO!J106+SEPTIEMBRE!J106+OCTUBRE!J106+NOVIEMBRE!J106+DICIEMBRE!J106</f>
        <v>2854942926.2099996</v>
      </c>
      <c r="K106" s="16">
        <f>ENERO!K106+FEBRERO!K106+MARZO!K106+ABRIL!K106+MAYO!K106+JUNIO!K106+JULIO!K106+AGOSTO!K106+SEPTIEMBRE!K106+OCTUBRE!K106+NOVIEMBRE!K106+DICIEMBRE!K106</f>
        <v>0</v>
      </c>
      <c r="L106" s="16">
        <f>ENERO!L106+FEBRERO!L106+MARZO!L106+ABRIL!L106+MAYO!L106+JUNIO!L106+JULIO!L106+AGOSTO!L106+SEPTIEMBRE!L106+OCTUBRE!L106+NOVIEMBRE!L106+DICIEMBRE!L106</f>
        <v>0</v>
      </c>
      <c r="M106" s="16">
        <f>ENERO!M106+FEBRERO!M106+MARZO!M106+ABRIL!M106+MAYO!M106+JUNIO!M106+JULIO!M106+AGOSTO!M106+SEPTIEMBRE!M106+OCTUBRE!M106+NOVIEMBRE!M106+DICIEMBRE!M106</f>
        <v>0</v>
      </c>
      <c r="N106" s="18">
        <f t="shared" si="3"/>
        <v>21612728323.200871</v>
      </c>
      <c r="O106" s="4"/>
      <c r="P106" s="4"/>
      <c r="Q106" s="4"/>
    </row>
    <row r="107" spans="1:17" ht="18" customHeight="1" x14ac:dyDescent="0.2">
      <c r="A107" s="17" t="s">
        <v>102</v>
      </c>
      <c r="B107" s="16">
        <f>ENERO!B107+FEBRERO!B107+MARZO!B107+ABRIL!B107+MAYO!B107+JUNIO!B107+JULIO!B107+AGOSTO!B107+SEPTIEMBRE!B107+OCTUBRE!B107+NOVIEMBRE!B107+DICIEMBRE!B107</f>
        <v>21268634185.700001</v>
      </c>
      <c r="C107" s="16">
        <f>ENERO!C107+FEBRERO!C107+MARZO!C107+ABRIL!C107+MAYO!C107+JUNIO!C107+JULIO!C107+AGOSTO!C107+SEPTIEMBRE!C107+OCTUBRE!C107+NOVIEMBRE!C107+DICIEMBRE!C107</f>
        <v>0</v>
      </c>
      <c r="D107" s="16">
        <f>ENERO!D107+FEBRERO!D107+MARZO!D107+ABRIL!D107+MAYO!D107+JUNIO!D107+JULIO!D107+AGOSTO!D107+SEPTIEMBRE!D107+OCTUBRE!D107+NOVIEMBRE!D107+DICIEMBRE!D107</f>
        <v>589872764.62555087</v>
      </c>
      <c r="E107" s="16">
        <f>ENERO!E107+FEBRERO!E107+MARZO!E107+ABRIL!E107+MAYO!E107+JUNIO!E107+JULIO!E107+AGOSTO!E107+SEPTIEMBRE!E107+OCTUBRE!E107+NOVIEMBRE!E107+DICIEMBRE!E107</f>
        <v>261878566.57000002</v>
      </c>
      <c r="F107" s="16">
        <f>ENERO!F107+FEBRERO!F107+MARZO!F107+ABRIL!F107+MAYO!F107+JUNIO!F107+JULIO!F107+AGOSTO!F107+SEPTIEMBRE!F107+OCTUBRE!F107+NOVIEMBRE!F107+DICIEMBRE!F107</f>
        <v>23850049.547184795</v>
      </c>
      <c r="G107" s="16">
        <f>ENERO!G107+FEBRERO!G107+MARZO!G107+ABRIL!G107+MAYO!G107+JUNIO!G107+JULIO!G107+AGOSTO!G107+SEPTIEMBRE!G107+OCTUBRE!G107+NOVIEMBRE!G107+DICIEMBRE!G107</f>
        <v>20568317.830000002</v>
      </c>
      <c r="H107" s="16">
        <f>ENERO!H107+FEBRERO!H107+MARZO!H107+ABRIL!H107+MAYO!H107+JUNIO!H107+JULIO!H107+AGOSTO!H107+SEPTIEMBRE!H107+OCTUBRE!H107+NOVIEMBRE!H107+DICIEMBRE!H107</f>
        <v>1205234601.8399999</v>
      </c>
      <c r="I107" s="16">
        <f>ENERO!I107+FEBRERO!I107+MARZO!I107+ABRIL!I107+MAYO!I107+JUNIO!I107+JULIO!I107+AGOSTO!I107+SEPTIEMBRE!I107+OCTUBRE!I107+NOVIEMBRE!I107+DICIEMBRE!I107</f>
        <v>63600010.039999999</v>
      </c>
      <c r="J107" s="16">
        <f>ENERO!J107+FEBRERO!J107+MARZO!J107+ABRIL!J107+MAYO!J107+JUNIO!J107+JULIO!J107+AGOSTO!J107+SEPTIEMBRE!J107+OCTUBRE!J107+NOVIEMBRE!J107+DICIEMBRE!J107</f>
        <v>1322685620.21</v>
      </c>
      <c r="K107" s="16">
        <f>ENERO!K107+FEBRERO!K107+MARZO!K107+ABRIL!K107+MAYO!K107+JUNIO!K107+JULIO!K107+AGOSTO!K107+SEPTIEMBRE!K107+OCTUBRE!K107+NOVIEMBRE!K107+DICIEMBRE!K107</f>
        <v>0</v>
      </c>
      <c r="L107" s="16">
        <f>ENERO!L107+FEBRERO!L107+MARZO!L107+ABRIL!L107+MAYO!L107+JUNIO!L107+JULIO!L107+AGOSTO!L107+SEPTIEMBRE!L107+OCTUBRE!L107+NOVIEMBRE!L107+DICIEMBRE!L107</f>
        <v>0</v>
      </c>
      <c r="M107" s="16">
        <f>ENERO!M107+FEBRERO!M107+MARZO!M107+ABRIL!M107+MAYO!M107+JUNIO!M107+JULIO!M107+AGOSTO!M107+SEPTIEMBRE!M107+OCTUBRE!M107+NOVIEMBRE!M107+DICIEMBRE!M107</f>
        <v>0</v>
      </c>
      <c r="N107" s="18">
        <f t="shared" si="3"/>
        <v>24756324116.362736</v>
      </c>
      <c r="O107" s="4"/>
      <c r="P107" s="4"/>
      <c r="Q107" s="4"/>
    </row>
    <row r="108" spans="1:17" ht="18" customHeight="1" x14ac:dyDescent="0.2">
      <c r="A108" s="17" t="s">
        <v>103</v>
      </c>
      <c r="B108" s="16">
        <f>ENERO!B108+FEBRERO!B108+MARZO!B108+ABRIL!B108+MAYO!B108+JUNIO!B108+JULIO!B108+AGOSTO!B108+SEPTIEMBRE!B108+OCTUBRE!B108+NOVIEMBRE!B108+DICIEMBRE!B108</f>
        <v>7773179827.2200003</v>
      </c>
      <c r="C108" s="16">
        <f>ENERO!C108+FEBRERO!C108+MARZO!C108+ABRIL!C108+MAYO!C108+JUNIO!C108+JULIO!C108+AGOSTO!C108+SEPTIEMBRE!C108+OCTUBRE!C108+NOVIEMBRE!C108+DICIEMBRE!C108</f>
        <v>0</v>
      </c>
      <c r="D108" s="16">
        <f>ENERO!D108+FEBRERO!D108+MARZO!D108+ABRIL!D108+MAYO!D108+JUNIO!D108+JULIO!D108+AGOSTO!D108+SEPTIEMBRE!D108+OCTUBRE!D108+NOVIEMBRE!D108+DICIEMBRE!D108</f>
        <v>260379418.94218117</v>
      </c>
      <c r="E108" s="16">
        <f>ENERO!E108+FEBRERO!E108+MARZO!E108+ABRIL!E108+MAYO!E108+JUNIO!E108+JULIO!E108+AGOSTO!E108+SEPTIEMBRE!E108+OCTUBRE!E108+NOVIEMBRE!E108+DICIEMBRE!E108</f>
        <v>94901662.51000002</v>
      </c>
      <c r="F108" s="16">
        <f>ENERO!F108+FEBRERO!F108+MARZO!F108+ABRIL!F108+MAYO!F108+JUNIO!F108+JULIO!F108+AGOSTO!F108+SEPTIEMBRE!F108+OCTUBRE!F108+NOVIEMBRE!F108+DICIEMBRE!F108</f>
        <v>24195702.429897614</v>
      </c>
      <c r="G108" s="16">
        <f>ENERO!G108+FEBRERO!G108+MARZO!G108+ABRIL!G108+MAYO!G108+JUNIO!G108+JULIO!G108+AGOSTO!G108+SEPTIEMBRE!G108+OCTUBRE!G108+NOVIEMBRE!G108+DICIEMBRE!G108</f>
        <v>15155602.600000001</v>
      </c>
      <c r="H108" s="16">
        <f>ENERO!H108+FEBRERO!H108+MARZO!H108+ABRIL!H108+MAYO!H108+JUNIO!H108+JULIO!H108+AGOSTO!H108+SEPTIEMBRE!H108+OCTUBRE!H108+NOVIEMBRE!H108+DICIEMBRE!H108</f>
        <v>439523910.33000004</v>
      </c>
      <c r="I108" s="16">
        <f>ENERO!I108+FEBRERO!I108+MARZO!I108+ABRIL!I108+MAYO!I108+JUNIO!I108+JULIO!I108+AGOSTO!I108+SEPTIEMBRE!I108+OCTUBRE!I108+NOVIEMBRE!I108+DICIEMBRE!I108</f>
        <v>64521749.300000004</v>
      </c>
      <c r="J108" s="16">
        <f>ENERO!J108+FEBRERO!J108+MARZO!J108+ABRIL!J108+MAYO!J108+JUNIO!J108+JULIO!J108+AGOSTO!J108+SEPTIEMBRE!J108+OCTUBRE!J108+NOVIEMBRE!J108+DICIEMBRE!J108</f>
        <v>705601578.83000016</v>
      </c>
      <c r="K108" s="16">
        <f>ENERO!K108+FEBRERO!K108+MARZO!K108+ABRIL!K108+MAYO!K108+JUNIO!K108+JULIO!K108+AGOSTO!K108+SEPTIEMBRE!K108+OCTUBRE!K108+NOVIEMBRE!K108+DICIEMBRE!K108</f>
        <v>0</v>
      </c>
      <c r="L108" s="16">
        <f>ENERO!L108+FEBRERO!L108+MARZO!L108+ABRIL!L108+MAYO!L108+JUNIO!L108+JULIO!L108+AGOSTO!L108+SEPTIEMBRE!L108+OCTUBRE!L108+NOVIEMBRE!L108+DICIEMBRE!L108</f>
        <v>0</v>
      </c>
      <c r="M108" s="16">
        <f>ENERO!M108+FEBRERO!M108+MARZO!M108+ABRIL!M108+MAYO!M108+JUNIO!M108+JULIO!M108+AGOSTO!M108+SEPTIEMBRE!M108+OCTUBRE!M108+NOVIEMBRE!M108+DICIEMBRE!M108</f>
        <v>0</v>
      </c>
      <c r="N108" s="18">
        <f t="shared" si="3"/>
        <v>9377459452.1620789</v>
      </c>
      <c r="O108" s="4"/>
      <c r="P108" s="4"/>
      <c r="Q108" s="4"/>
    </row>
    <row r="109" spans="1:17" ht="18" customHeight="1" x14ac:dyDescent="0.2">
      <c r="A109" s="17" t="s">
        <v>104</v>
      </c>
      <c r="B109" s="16">
        <f>ENERO!B109+FEBRERO!B109+MARZO!B109+ABRIL!B109+MAYO!B109+JUNIO!B109+JULIO!B109+AGOSTO!B109+SEPTIEMBRE!B109+OCTUBRE!B109+NOVIEMBRE!B109+DICIEMBRE!B109</f>
        <v>71220381250.389999</v>
      </c>
      <c r="C109" s="16">
        <f>ENERO!C109+FEBRERO!C109+MARZO!C109+ABRIL!C109+MAYO!C109+JUNIO!C109+JULIO!C109+AGOSTO!C109+SEPTIEMBRE!C109+OCTUBRE!C109+NOVIEMBRE!C109+DICIEMBRE!C109</f>
        <v>0</v>
      </c>
      <c r="D109" s="16">
        <f>ENERO!D109+FEBRERO!D109+MARZO!D109+ABRIL!D109+MAYO!D109+JUNIO!D109+JULIO!D109+AGOSTO!D109+SEPTIEMBRE!D109+OCTUBRE!D109+NOVIEMBRE!D109+DICIEMBRE!D109</f>
        <v>1076338382.3049495</v>
      </c>
      <c r="E109" s="16">
        <f>ENERO!E109+FEBRERO!E109+MARZO!E109+ABRIL!E109+MAYO!E109+JUNIO!E109+JULIO!E109+AGOSTO!E109+SEPTIEMBRE!E109+OCTUBRE!E109+NOVIEMBRE!E109+DICIEMBRE!E109</f>
        <v>1076364194.03</v>
      </c>
      <c r="F109" s="16">
        <f>ENERO!F109+FEBRERO!F109+MARZO!F109+ABRIL!F109+MAYO!F109+JUNIO!F109+JULIO!F109+AGOSTO!F109+SEPTIEMBRE!F109+OCTUBRE!F109+NOVIEMBRE!F109+DICIEMBRE!F109</f>
        <v>2470381223.0785465</v>
      </c>
      <c r="G109" s="16">
        <f>ENERO!G109+FEBRERO!G109+MARZO!G109+ABRIL!G109+MAYO!G109+JUNIO!G109+JULIO!G109+AGOSTO!G109+SEPTIEMBRE!G109+OCTUBRE!G109+NOVIEMBRE!G109+DICIEMBRE!G109</f>
        <v>1253344148.6956372</v>
      </c>
      <c r="H109" s="16">
        <f>ENERO!H109+FEBRERO!H109+MARZO!H109+ABRIL!H109+MAYO!H109+JUNIO!H109+JULIO!H109+AGOSTO!H109+SEPTIEMBRE!H109+OCTUBRE!H109+NOVIEMBRE!H109+DICIEMBRE!H109</f>
        <v>4041128326.4400005</v>
      </c>
      <c r="I109" s="16">
        <f>ENERO!I109+FEBRERO!I109+MARZO!I109+ABRIL!I109+MAYO!I109+JUNIO!I109+JULIO!I109+AGOSTO!I109+SEPTIEMBRE!I109+OCTUBRE!I109+NOVIEMBRE!I109+DICIEMBRE!I109</f>
        <v>6587670605.21</v>
      </c>
      <c r="J109" s="16">
        <f>ENERO!J109+FEBRERO!J109+MARZO!J109+ABRIL!J109+MAYO!J109+JUNIO!J109+JULIO!J109+AGOSTO!J109+SEPTIEMBRE!J109+OCTUBRE!J109+NOVIEMBRE!J109+DICIEMBRE!J109</f>
        <v>12874248823.389999</v>
      </c>
      <c r="K109" s="16">
        <f>ENERO!K109+FEBRERO!K109+MARZO!K109+ABRIL!K109+MAYO!K109+JUNIO!K109+JULIO!K109+AGOSTO!K109+SEPTIEMBRE!K109+OCTUBRE!K109+NOVIEMBRE!K109+DICIEMBRE!K109</f>
        <v>0</v>
      </c>
      <c r="L109" s="16">
        <f>ENERO!L109+FEBRERO!L109+MARZO!L109+ABRIL!L109+MAYO!L109+JUNIO!L109+JULIO!L109+AGOSTO!L109+SEPTIEMBRE!L109+OCTUBRE!L109+NOVIEMBRE!L109+DICIEMBRE!L109</f>
        <v>0</v>
      </c>
      <c r="M109" s="16">
        <f>ENERO!M109+FEBRERO!M109+MARZO!M109+ABRIL!M109+MAYO!M109+JUNIO!M109+JULIO!M109+AGOSTO!M109+SEPTIEMBRE!M109+OCTUBRE!M109+NOVIEMBRE!M109+DICIEMBRE!M109</f>
        <v>0</v>
      </c>
      <c r="N109" s="18">
        <f t="shared" si="3"/>
        <v>100599856953.53914</v>
      </c>
      <c r="O109" s="4"/>
      <c r="P109" s="4"/>
      <c r="Q109" s="4"/>
    </row>
    <row r="110" spans="1:17" ht="18" customHeight="1" x14ac:dyDescent="0.2">
      <c r="A110" s="17" t="s">
        <v>105</v>
      </c>
      <c r="B110" s="16">
        <f>ENERO!B110+FEBRERO!B110+MARZO!B110+ABRIL!B110+MAYO!B110+JUNIO!B110+JULIO!B110+AGOSTO!B110+SEPTIEMBRE!B110+OCTUBRE!B110+NOVIEMBRE!B110+DICIEMBRE!B110</f>
        <v>8239671557.960001</v>
      </c>
      <c r="C110" s="16">
        <f>ENERO!C110+FEBRERO!C110+MARZO!C110+ABRIL!C110+MAYO!C110+JUNIO!C110+JULIO!C110+AGOSTO!C110+SEPTIEMBRE!C110+OCTUBRE!C110+NOVIEMBRE!C110+DICIEMBRE!C110</f>
        <v>0</v>
      </c>
      <c r="D110" s="16">
        <f>ENERO!D110+FEBRERO!D110+MARZO!D110+ABRIL!D110+MAYO!D110+JUNIO!D110+JULIO!D110+AGOSTO!D110+SEPTIEMBRE!D110+OCTUBRE!D110+NOVIEMBRE!D110+DICIEMBRE!D110</f>
        <v>592622857.82603908</v>
      </c>
      <c r="E110" s="16">
        <f>ENERO!E110+FEBRERO!E110+MARZO!E110+ABRIL!E110+MAYO!E110+JUNIO!E110+JULIO!E110+AGOSTO!E110+SEPTIEMBRE!E110+OCTUBRE!E110+NOVIEMBRE!E110+DICIEMBRE!E110</f>
        <v>124272747.82999998</v>
      </c>
      <c r="F110" s="16">
        <f>ENERO!F110+FEBRERO!F110+MARZO!F110+ABRIL!F110+MAYO!F110+JUNIO!F110+JULIO!F110+AGOSTO!F110+SEPTIEMBRE!F110+OCTUBRE!F110+NOVIEMBRE!F110+DICIEMBRE!F110</f>
        <v>94420848.446052849</v>
      </c>
      <c r="G110" s="16">
        <f>ENERO!G110+FEBRERO!G110+MARZO!G110+ABRIL!G110+MAYO!G110+JUNIO!G110+JULIO!G110+AGOSTO!G110+SEPTIEMBRE!G110+OCTUBRE!G110+NOVIEMBRE!G110+DICIEMBRE!G110</f>
        <v>49147454.230000004</v>
      </c>
      <c r="H110" s="16">
        <f>ENERO!H110+FEBRERO!H110+MARZO!H110+ABRIL!H110+MAYO!H110+JUNIO!H110+JULIO!H110+AGOSTO!H110+SEPTIEMBRE!H110+OCTUBRE!H110+NOVIEMBRE!H110+DICIEMBRE!H110</f>
        <v>467206538.78999996</v>
      </c>
      <c r="I110" s="16">
        <f>ENERO!I110+FEBRERO!I110+MARZO!I110+ABRIL!I110+MAYO!I110+JUNIO!I110+JULIO!I110+AGOSTO!I110+SEPTIEMBRE!I110+OCTUBRE!I110+NOVIEMBRE!I110+DICIEMBRE!I110</f>
        <v>251788445.54000002</v>
      </c>
      <c r="J110" s="16">
        <f>ENERO!J110+FEBRERO!J110+MARZO!J110+ABRIL!J110+MAYO!J110+JUNIO!J110+JULIO!J110+AGOSTO!J110+SEPTIEMBRE!J110+OCTUBRE!J110+NOVIEMBRE!J110+DICIEMBRE!J110</f>
        <v>1491735488.8299997</v>
      </c>
      <c r="K110" s="16">
        <f>ENERO!K110+FEBRERO!K110+MARZO!K110+ABRIL!K110+MAYO!K110+JUNIO!K110+JULIO!K110+AGOSTO!K110+SEPTIEMBRE!K110+OCTUBRE!K110+NOVIEMBRE!K110+DICIEMBRE!K110</f>
        <v>0</v>
      </c>
      <c r="L110" s="16">
        <f>ENERO!L110+FEBRERO!L110+MARZO!L110+ABRIL!L110+MAYO!L110+JUNIO!L110+JULIO!L110+AGOSTO!L110+SEPTIEMBRE!L110+OCTUBRE!L110+NOVIEMBRE!L110+DICIEMBRE!L110</f>
        <v>0</v>
      </c>
      <c r="M110" s="16">
        <f>ENERO!M110+FEBRERO!M110+MARZO!M110+ABRIL!M110+MAYO!M110+JUNIO!M110+JULIO!M110+AGOSTO!M110+SEPTIEMBRE!M110+OCTUBRE!M110+NOVIEMBRE!M110+DICIEMBRE!M110</f>
        <v>0</v>
      </c>
      <c r="N110" s="18">
        <f t="shared" si="3"/>
        <v>11310865939.452093</v>
      </c>
      <c r="O110" s="4"/>
      <c r="P110" s="4"/>
      <c r="Q110" s="4"/>
    </row>
    <row r="111" spans="1:17" ht="18" customHeight="1" x14ac:dyDescent="0.2">
      <c r="A111" s="17" t="s">
        <v>106</v>
      </c>
      <c r="B111" s="16">
        <f>ENERO!B111+FEBRERO!B111+MARZO!B111+ABRIL!B111+MAYO!B111+JUNIO!B111+JULIO!B111+AGOSTO!B111+SEPTIEMBRE!B111+OCTUBRE!B111+NOVIEMBRE!B111+DICIEMBRE!B111</f>
        <v>9837063257.210001</v>
      </c>
      <c r="C111" s="16">
        <f>ENERO!C111+FEBRERO!C111+MARZO!C111+ABRIL!C111+MAYO!C111+JUNIO!C111+JULIO!C111+AGOSTO!C111+SEPTIEMBRE!C111+OCTUBRE!C111+NOVIEMBRE!C111+DICIEMBRE!C111</f>
        <v>0</v>
      </c>
      <c r="D111" s="16">
        <f>ENERO!D111+FEBRERO!D111+MARZO!D111+ABRIL!D111+MAYO!D111+JUNIO!D111+JULIO!D111+AGOSTO!D111+SEPTIEMBRE!D111+OCTUBRE!D111+NOVIEMBRE!D111+DICIEMBRE!D111</f>
        <v>604304806.10899687</v>
      </c>
      <c r="E111" s="16">
        <f>ENERO!E111+FEBRERO!E111+MARZO!E111+ABRIL!E111+MAYO!E111+JUNIO!E111+JULIO!E111+AGOSTO!E111+SEPTIEMBRE!E111+OCTUBRE!E111+NOVIEMBRE!E111+DICIEMBRE!E111</f>
        <v>120079637.39999999</v>
      </c>
      <c r="F111" s="16">
        <f>ENERO!F111+FEBRERO!F111+MARZO!F111+ABRIL!F111+MAYO!F111+JUNIO!F111+JULIO!F111+AGOSTO!F111+SEPTIEMBRE!F111+OCTUBRE!F111+NOVIEMBRE!F111+DICIEMBRE!F111</f>
        <v>32894633.553170335</v>
      </c>
      <c r="G111" s="16">
        <f>ENERO!G111+FEBRERO!G111+MARZO!G111+ABRIL!G111+MAYO!G111+JUNIO!G111+JULIO!G111+AGOSTO!G111+SEPTIEMBRE!G111+OCTUBRE!G111+NOVIEMBRE!G111+DICIEMBRE!G111</f>
        <v>20568317.830000002</v>
      </c>
      <c r="H111" s="16">
        <f>ENERO!H111+FEBRERO!H111+MARZO!H111+ABRIL!H111+MAYO!H111+JUNIO!H111+JULIO!H111+AGOSTO!H111+SEPTIEMBRE!H111+OCTUBRE!H111+NOVIEMBRE!H111+DICIEMBRE!H111</f>
        <v>556304088.81000006</v>
      </c>
      <c r="I111" s="16">
        <f>ENERO!I111+FEBRERO!I111+MARZO!I111+ABRIL!I111+MAYO!I111+JUNIO!I111+JULIO!I111+AGOSTO!I111+SEPTIEMBRE!I111+OCTUBRE!I111+NOVIEMBRE!I111+DICIEMBRE!I111</f>
        <v>87718854.420000002</v>
      </c>
      <c r="J111" s="16">
        <f>ENERO!J111+FEBRERO!J111+MARZO!J111+ABRIL!J111+MAYO!J111+JUNIO!J111+JULIO!J111+AGOSTO!J111+SEPTIEMBRE!J111+OCTUBRE!J111+NOVIEMBRE!J111+DICIEMBRE!J111</f>
        <v>1162145599.6100001</v>
      </c>
      <c r="K111" s="16">
        <f>ENERO!K111+FEBRERO!K111+MARZO!K111+ABRIL!K111+MAYO!K111+JUNIO!K111+JULIO!K111+AGOSTO!K111+SEPTIEMBRE!K111+OCTUBRE!K111+NOVIEMBRE!K111+DICIEMBRE!K111</f>
        <v>0</v>
      </c>
      <c r="L111" s="16">
        <f>ENERO!L111+FEBRERO!L111+MARZO!L111+ABRIL!L111+MAYO!L111+JUNIO!L111+JULIO!L111+AGOSTO!L111+SEPTIEMBRE!L111+OCTUBRE!L111+NOVIEMBRE!L111+DICIEMBRE!L111</f>
        <v>0</v>
      </c>
      <c r="M111" s="16">
        <f>ENERO!M111+FEBRERO!M111+MARZO!M111+ABRIL!M111+MAYO!M111+JUNIO!M111+JULIO!M111+AGOSTO!M111+SEPTIEMBRE!M111+OCTUBRE!M111+NOVIEMBRE!M111+DICIEMBRE!M111</f>
        <v>0</v>
      </c>
      <c r="N111" s="18">
        <f t="shared" si="3"/>
        <v>12421079194.942169</v>
      </c>
      <c r="O111" s="4"/>
      <c r="P111" s="4"/>
      <c r="Q111" s="4"/>
    </row>
    <row r="112" spans="1:17" ht="18" customHeight="1" x14ac:dyDescent="0.2">
      <c r="A112" s="17" t="s">
        <v>107</v>
      </c>
      <c r="B112" s="16">
        <f>ENERO!B112+FEBRERO!B112+MARZO!B112+ABRIL!B112+MAYO!B112+JUNIO!B112+JULIO!B112+AGOSTO!B112+SEPTIEMBRE!B112+OCTUBRE!B112+NOVIEMBRE!B112+DICIEMBRE!B112</f>
        <v>14158781084.169998</v>
      </c>
      <c r="C112" s="16">
        <f>ENERO!C112+FEBRERO!C112+MARZO!C112+ABRIL!C112+MAYO!C112+JUNIO!C112+JULIO!C112+AGOSTO!C112+SEPTIEMBRE!C112+OCTUBRE!C112+NOVIEMBRE!C112+DICIEMBRE!C112</f>
        <v>0</v>
      </c>
      <c r="D112" s="16">
        <f>ENERO!D112+FEBRERO!D112+MARZO!D112+ABRIL!D112+MAYO!D112+JUNIO!D112+JULIO!D112+AGOSTO!D112+SEPTIEMBRE!D112+OCTUBRE!D112+NOVIEMBRE!D112+DICIEMBRE!D112</f>
        <v>1090180746.1976168</v>
      </c>
      <c r="E112" s="16">
        <f>ENERO!E112+FEBRERO!E112+MARZO!E112+ABRIL!E112+MAYO!E112+JUNIO!E112+JULIO!E112+AGOSTO!E112+SEPTIEMBRE!E112+OCTUBRE!E112+NOVIEMBRE!E112+DICIEMBRE!E112</f>
        <v>174134571.16999999</v>
      </c>
      <c r="F112" s="16">
        <f>ENERO!F112+FEBRERO!F112+MARZO!F112+ABRIL!F112+MAYO!F112+JUNIO!F112+JULIO!F112+AGOSTO!F112+SEPTIEMBRE!F112+OCTUBRE!F112+NOVIEMBRE!F112+DICIEMBRE!F112</f>
        <v>39980517.863783203</v>
      </c>
      <c r="G112" s="16">
        <f>ENERO!G112+FEBRERO!G112+MARZO!G112+ABRIL!G112+MAYO!G112+JUNIO!G112+JULIO!G112+AGOSTO!G112+SEPTIEMBRE!G112+OCTUBRE!G112+NOVIEMBRE!G112+DICIEMBRE!G112</f>
        <v>24465472.800000001</v>
      </c>
      <c r="H112" s="16">
        <f>ENERO!H112+FEBRERO!H112+MARZO!H112+ABRIL!H112+MAYO!H112+JUNIO!H112+JULIO!H112+AGOSTO!H112+SEPTIEMBRE!H112+OCTUBRE!H112+NOVIEMBRE!H112+DICIEMBRE!H112</f>
        <v>801726867.13999999</v>
      </c>
      <c r="I112" s="16">
        <f>ENERO!I112+FEBRERO!I112+MARZO!I112+ABRIL!I112+MAYO!I112+JUNIO!I112+JULIO!I112+AGOSTO!I112+SEPTIEMBRE!I112+OCTUBRE!I112+NOVIEMBRE!I112+DICIEMBRE!I112</f>
        <v>106614509.59999999</v>
      </c>
      <c r="J112" s="16">
        <f>ENERO!J112+FEBRERO!J112+MARZO!J112+ABRIL!J112+MAYO!J112+JUNIO!J112+JULIO!J112+AGOSTO!J112+SEPTIEMBRE!J112+OCTUBRE!J112+NOVIEMBRE!J112+DICIEMBRE!J112</f>
        <v>1219077995.1500001</v>
      </c>
      <c r="K112" s="16">
        <f>ENERO!K112+FEBRERO!K112+MARZO!K112+ABRIL!K112+MAYO!K112+JUNIO!K112+JULIO!K112+AGOSTO!K112+SEPTIEMBRE!K112+OCTUBRE!K112+NOVIEMBRE!K112+DICIEMBRE!K112</f>
        <v>0</v>
      </c>
      <c r="L112" s="16">
        <f>ENERO!L112+FEBRERO!L112+MARZO!L112+ABRIL!L112+MAYO!L112+JUNIO!L112+JULIO!L112+AGOSTO!L112+SEPTIEMBRE!L112+OCTUBRE!L112+NOVIEMBRE!L112+DICIEMBRE!L112</f>
        <v>0</v>
      </c>
      <c r="M112" s="16">
        <f>ENERO!M112+FEBRERO!M112+MARZO!M112+ABRIL!M112+MAYO!M112+JUNIO!M112+JULIO!M112+AGOSTO!M112+SEPTIEMBRE!M112+OCTUBRE!M112+NOVIEMBRE!M112+DICIEMBRE!M112</f>
        <v>0</v>
      </c>
      <c r="N112" s="18">
        <f t="shared" si="3"/>
        <v>17614961764.091396</v>
      </c>
      <c r="O112" s="4"/>
      <c r="P112" s="4"/>
      <c r="Q112" s="4"/>
    </row>
    <row r="113" spans="1:17" ht="18" customHeight="1" x14ac:dyDescent="0.2">
      <c r="A113" s="17" t="s">
        <v>108</v>
      </c>
      <c r="B113" s="16">
        <f>ENERO!B113+FEBRERO!B113+MARZO!B113+ABRIL!B113+MAYO!B113+JUNIO!B113+JULIO!B113+AGOSTO!B113+SEPTIEMBRE!B113+OCTUBRE!B113+NOVIEMBRE!B113+DICIEMBRE!B113</f>
        <v>11207337653.289999</v>
      </c>
      <c r="C113" s="16">
        <f>ENERO!C113+FEBRERO!C113+MARZO!C113+ABRIL!C113+MAYO!C113+JUNIO!C113+JULIO!C113+AGOSTO!C113+SEPTIEMBRE!C113+OCTUBRE!C113+NOVIEMBRE!C113+DICIEMBRE!C113</f>
        <v>0</v>
      </c>
      <c r="D113" s="16">
        <f>ENERO!D113+FEBRERO!D113+MARZO!D113+ABRIL!D113+MAYO!D113+JUNIO!D113+JULIO!D113+AGOSTO!D113+SEPTIEMBRE!D113+OCTUBRE!D113+NOVIEMBRE!D113+DICIEMBRE!D113</f>
        <v>1477346206.5744903</v>
      </c>
      <c r="E113" s="16">
        <f>ENERO!E113+FEBRERO!E113+MARZO!E113+ABRIL!E113+MAYO!E113+JUNIO!E113+JULIO!E113+AGOSTO!E113+SEPTIEMBRE!E113+OCTUBRE!E113+NOVIEMBRE!E113+DICIEMBRE!E113</f>
        <v>138186992.72999999</v>
      </c>
      <c r="F113" s="16">
        <f>ENERO!F113+FEBRERO!F113+MARZO!F113+ABRIL!F113+MAYO!F113+JUNIO!F113+JULIO!F113+AGOSTO!F113+SEPTIEMBRE!F113+OCTUBRE!F113+NOVIEMBRE!F113+DICIEMBRE!F113</f>
        <v>56341421.422190174</v>
      </c>
      <c r="G113" s="16">
        <f>ENERO!G113+FEBRERO!G113+MARZO!G113+ABRIL!G113+MAYO!G113+JUNIO!G113+JULIO!G113+AGOSTO!G113+SEPTIEMBRE!G113+OCTUBRE!G113+NOVIEMBRE!G113+DICIEMBRE!G113</f>
        <v>31610256.879999995</v>
      </c>
      <c r="H113" s="16">
        <f>ENERO!H113+FEBRERO!H113+MARZO!H113+ABRIL!H113+MAYO!H113+JUNIO!H113+JULIO!H113+AGOSTO!H113+SEPTIEMBRE!H113+OCTUBRE!H113+NOVIEMBRE!H113+DICIEMBRE!H113</f>
        <v>634598851.69999993</v>
      </c>
      <c r="I113" s="16">
        <f>ENERO!I113+FEBRERO!I113+MARZO!I113+ABRIL!I113+MAYO!I113+JUNIO!I113+JULIO!I113+AGOSTO!I113+SEPTIEMBRE!I113+OCTUBRE!I113+NOVIEMBRE!I113+DICIEMBRE!I113</f>
        <v>150243501.99000001</v>
      </c>
      <c r="J113" s="16">
        <f>ENERO!J113+FEBRERO!J113+MARZO!J113+ABRIL!J113+MAYO!J113+JUNIO!J113+JULIO!J113+AGOSTO!J113+SEPTIEMBRE!J113+OCTUBRE!J113+NOVIEMBRE!J113+DICIEMBRE!J113</f>
        <v>1190538436.79</v>
      </c>
      <c r="K113" s="16">
        <f>ENERO!K113+FEBRERO!K113+MARZO!K113+ABRIL!K113+MAYO!K113+JUNIO!K113+JULIO!K113+AGOSTO!K113+SEPTIEMBRE!K113+OCTUBRE!K113+NOVIEMBRE!K113+DICIEMBRE!K113</f>
        <v>0</v>
      </c>
      <c r="L113" s="16">
        <f>ENERO!L113+FEBRERO!L113+MARZO!L113+ABRIL!L113+MAYO!L113+JUNIO!L113+JULIO!L113+AGOSTO!L113+SEPTIEMBRE!L113+OCTUBRE!L113+NOVIEMBRE!L113+DICIEMBRE!L113</f>
        <v>0</v>
      </c>
      <c r="M113" s="16">
        <f>ENERO!M113+FEBRERO!M113+MARZO!M113+ABRIL!M113+MAYO!M113+JUNIO!M113+JULIO!M113+AGOSTO!M113+SEPTIEMBRE!M113+OCTUBRE!M113+NOVIEMBRE!M113+DICIEMBRE!M113</f>
        <v>0</v>
      </c>
      <c r="N113" s="18">
        <f t="shared" si="3"/>
        <v>14886203321.376678</v>
      </c>
      <c r="O113" s="4"/>
      <c r="P113" s="4"/>
      <c r="Q113" s="4"/>
    </row>
    <row r="114" spans="1:17" ht="18" customHeight="1" x14ac:dyDescent="0.2">
      <c r="A114" s="17" t="s">
        <v>109</v>
      </c>
      <c r="B114" s="16">
        <f>ENERO!B114+FEBRERO!B114+MARZO!B114+ABRIL!B114+MAYO!B114+JUNIO!B114+JULIO!B114+AGOSTO!B114+SEPTIEMBRE!B114+OCTUBRE!B114+NOVIEMBRE!B114+DICIEMBRE!B114</f>
        <v>6858942555.8799992</v>
      </c>
      <c r="C114" s="16">
        <f>ENERO!C114+FEBRERO!C114+MARZO!C114+ABRIL!C114+MAYO!C114+JUNIO!C114+JULIO!C114+AGOSTO!C114+SEPTIEMBRE!C114+OCTUBRE!C114+NOVIEMBRE!C114+DICIEMBRE!C114</f>
        <v>0</v>
      </c>
      <c r="D114" s="16">
        <f>ENERO!D114+FEBRERO!D114+MARZO!D114+ABRIL!D114+MAYO!D114+JUNIO!D114+JULIO!D114+AGOSTO!D114+SEPTIEMBRE!D114+OCTUBRE!D114+NOVIEMBRE!D114+DICIEMBRE!D114</f>
        <v>418664723.82140893</v>
      </c>
      <c r="E114" s="16">
        <f>ENERO!E114+FEBRERO!E114+MARZO!E114+ABRIL!E114+MAYO!E114+JUNIO!E114+JULIO!E114+AGOSTO!E114+SEPTIEMBRE!E114+OCTUBRE!E114+NOVIEMBRE!E114+DICIEMBRE!E114</f>
        <v>84488525.520000026</v>
      </c>
      <c r="F114" s="16">
        <f>ENERO!F114+FEBRERO!F114+MARZO!F114+ABRIL!F114+MAYO!F114+JUNIO!F114+JULIO!F114+AGOSTO!F114+SEPTIEMBRE!F114+OCTUBRE!F114+NOVIEMBRE!F114+DICIEMBRE!F114</f>
        <v>34104418.687665217</v>
      </c>
      <c r="G114" s="16">
        <f>ENERO!G114+FEBRERO!G114+MARZO!G114+ABRIL!G114+MAYO!G114+JUNIO!G114+JULIO!G114+AGOSTO!G114+SEPTIEMBRE!G114+OCTUBRE!G114+NOVIEMBRE!G114+DICIEMBRE!G114</f>
        <v>17320688.710000001</v>
      </c>
      <c r="H114" s="16">
        <f>ENERO!H114+FEBRERO!H114+MARZO!H114+ABRIL!H114+MAYO!H114+JUNIO!H114+JULIO!H114+AGOSTO!H114+SEPTIEMBRE!H114+OCTUBRE!H114+NOVIEMBRE!H114+DICIEMBRE!H114</f>
        <v>388711746.85000002</v>
      </c>
      <c r="I114" s="16">
        <f>ENERO!I114+FEBRERO!I114+MARZO!I114+ABRIL!I114+MAYO!I114+JUNIO!I114+JULIO!I114+AGOSTO!I114+SEPTIEMBRE!I114+OCTUBRE!I114+NOVIEMBRE!I114+DICIEMBRE!I114</f>
        <v>90944941.889999986</v>
      </c>
      <c r="J114" s="16">
        <f>ENERO!J114+FEBRERO!J114+MARZO!J114+ABRIL!J114+MAYO!J114+JUNIO!J114+JULIO!J114+AGOSTO!J114+SEPTIEMBRE!J114+OCTUBRE!J114+NOVIEMBRE!J114+DICIEMBRE!J114</f>
        <v>909455571.29999995</v>
      </c>
      <c r="K114" s="16">
        <f>ENERO!K114+FEBRERO!K114+MARZO!K114+ABRIL!K114+MAYO!K114+JUNIO!K114+JULIO!K114+AGOSTO!K114+SEPTIEMBRE!K114+OCTUBRE!K114+NOVIEMBRE!K114+DICIEMBRE!K114</f>
        <v>0</v>
      </c>
      <c r="L114" s="16">
        <f>ENERO!L114+FEBRERO!L114+MARZO!L114+ABRIL!L114+MAYO!L114+JUNIO!L114+JULIO!L114+AGOSTO!L114+SEPTIEMBRE!L114+OCTUBRE!L114+NOVIEMBRE!L114+DICIEMBRE!L114</f>
        <v>0</v>
      </c>
      <c r="M114" s="16">
        <f>ENERO!M114+FEBRERO!M114+MARZO!M114+ABRIL!M114+MAYO!M114+JUNIO!M114+JULIO!M114+AGOSTO!M114+SEPTIEMBRE!M114+OCTUBRE!M114+NOVIEMBRE!M114+DICIEMBRE!M114</f>
        <v>0</v>
      </c>
      <c r="N114" s="18">
        <f t="shared" si="3"/>
        <v>8802633172.6590748</v>
      </c>
      <c r="O114" s="4"/>
      <c r="P114" s="4"/>
      <c r="Q114" s="4"/>
    </row>
    <row r="115" spans="1:17" ht="18" customHeight="1" x14ac:dyDescent="0.2">
      <c r="A115" s="17" t="s">
        <v>110</v>
      </c>
      <c r="B115" s="16">
        <f>ENERO!B115+FEBRERO!B115+MARZO!B115+ABRIL!B115+MAYO!B115+JUNIO!B115+JULIO!B115+AGOSTO!B115+SEPTIEMBRE!B115+OCTUBRE!B115+NOVIEMBRE!B115+DICIEMBRE!B115</f>
        <v>17020819608.320002</v>
      </c>
      <c r="C115" s="16">
        <f>ENERO!C115+FEBRERO!C115+MARZO!C115+ABRIL!C115+MAYO!C115+JUNIO!C115+JULIO!C115+AGOSTO!C115+SEPTIEMBRE!C115+OCTUBRE!C115+NOVIEMBRE!C115+DICIEMBRE!C115</f>
        <v>0</v>
      </c>
      <c r="D115" s="16">
        <f>ENERO!D115+FEBRERO!D115+MARZO!D115+ABRIL!D115+MAYO!D115+JUNIO!D115+JULIO!D115+AGOSTO!D115+SEPTIEMBRE!D115+OCTUBRE!D115+NOVIEMBRE!D115+DICIEMBRE!D115</f>
        <v>393892488.3502512</v>
      </c>
      <c r="E115" s="16">
        <f>ENERO!E115+FEBRERO!E115+MARZO!E115+ABRIL!E115+MAYO!E115+JUNIO!E115+JULIO!E115+AGOSTO!E115+SEPTIEMBRE!E115+OCTUBRE!E115+NOVIEMBRE!E115+DICIEMBRE!E115</f>
        <v>212733461.72999999</v>
      </c>
      <c r="F115" s="16">
        <f>ENERO!F115+FEBRERO!F115+MARZO!F115+ABRIL!F115+MAYO!F115+JUNIO!F115+JULIO!F115+AGOSTO!F115+SEPTIEMBRE!F115+OCTUBRE!F115+NOVIEMBRE!F115+DICIEMBRE!F115</f>
        <v>35314203.802160092</v>
      </c>
      <c r="G115" s="16">
        <f>ENERO!G115+FEBRERO!G115+MARZO!G115+ABRIL!G115+MAYO!G115+JUNIO!G115+JULIO!G115+AGOSTO!G115+SEPTIEMBRE!G115+OCTUBRE!G115+NOVIEMBRE!G115+DICIEMBRE!G115</f>
        <v>27929610.539999995</v>
      </c>
      <c r="H115" s="16">
        <f>ENERO!H115+FEBRERO!H115+MARZO!H115+ABRIL!H115+MAYO!H115+JUNIO!H115+JULIO!H115+AGOSTO!H115+SEPTIEMBRE!H115+OCTUBRE!H115+NOVIEMBRE!H115+DICIEMBRE!H115</f>
        <v>968145155.38999999</v>
      </c>
      <c r="I115" s="16">
        <f>ENERO!I115+FEBRERO!I115+MARZO!I115+ABRIL!I115+MAYO!I115+JUNIO!I115+JULIO!I115+AGOSTO!I115+SEPTIEMBRE!I115+OCTUBRE!I115+NOVIEMBRE!I115+DICIEMBRE!I115</f>
        <v>94171029.359999985</v>
      </c>
      <c r="J115" s="16">
        <f>ENERO!J115+FEBRERO!J115+MARZO!J115+ABRIL!J115+MAYO!J115+JUNIO!J115+JULIO!J115+AGOSTO!J115+SEPTIEMBRE!J115+OCTUBRE!J115+NOVIEMBRE!J115+DICIEMBRE!J115</f>
        <v>1218584478.26</v>
      </c>
      <c r="K115" s="16">
        <f>ENERO!K115+FEBRERO!K115+MARZO!K115+ABRIL!K115+MAYO!K115+JUNIO!K115+JULIO!K115+AGOSTO!K115+SEPTIEMBRE!K115+OCTUBRE!K115+NOVIEMBRE!K115+DICIEMBRE!K115</f>
        <v>0</v>
      </c>
      <c r="L115" s="16">
        <f>ENERO!L115+FEBRERO!L115+MARZO!L115+ABRIL!L115+MAYO!L115+JUNIO!L115+JULIO!L115+AGOSTO!L115+SEPTIEMBRE!L115+OCTUBRE!L115+NOVIEMBRE!L115+DICIEMBRE!L115</f>
        <v>0</v>
      </c>
      <c r="M115" s="16">
        <f>ENERO!M115+FEBRERO!M115+MARZO!M115+ABRIL!M115+MAYO!M115+JUNIO!M115+JULIO!M115+AGOSTO!M115+SEPTIEMBRE!M115+OCTUBRE!M115+NOVIEMBRE!M115+DICIEMBRE!M115</f>
        <v>0</v>
      </c>
      <c r="N115" s="18">
        <f t="shared" si="3"/>
        <v>19971590035.752411</v>
      </c>
      <c r="O115" s="4"/>
      <c r="P115" s="4"/>
      <c r="Q115" s="4"/>
    </row>
    <row r="116" spans="1:17" ht="18" customHeight="1" x14ac:dyDescent="0.2">
      <c r="A116" s="17" t="s">
        <v>111</v>
      </c>
      <c r="B116" s="16">
        <f>ENERO!B116+FEBRERO!B116+MARZO!B116+ABRIL!B116+MAYO!B116+JUNIO!B116+JULIO!B116+AGOSTO!B116+SEPTIEMBRE!B116+OCTUBRE!B116+NOVIEMBRE!B116+DICIEMBRE!B116</f>
        <v>10721378725.140001</v>
      </c>
      <c r="C116" s="16">
        <f>ENERO!C116+FEBRERO!C116+MARZO!C116+ABRIL!C116+MAYO!C116+JUNIO!C116+JULIO!C116+AGOSTO!C116+SEPTIEMBRE!C116+OCTUBRE!C116+NOVIEMBRE!C116+DICIEMBRE!C116</f>
        <v>0</v>
      </c>
      <c r="D116" s="16">
        <f>ENERO!D116+FEBRERO!D116+MARZO!D116+ABRIL!D116+MAYO!D116+JUNIO!D116+JULIO!D116+AGOSTO!D116+SEPTIEMBRE!D116+OCTUBRE!D116+NOVIEMBRE!D116+DICIEMBRE!D116</f>
        <v>661982560.68985999</v>
      </c>
      <c r="E116" s="16">
        <f>ENERO!E116+FEBRERO!E116+MARZO!E116+ABRIL!E116+MAYO!E116+JUNIO!E116+JULIO!E116+AGOSTO!E116+SEPTIEMBRE!E116+OCTUBRE!E116+NOVIEMBRE!E116+DICIEMBRE!E116</f>
        <v>132644041.02999999</v>
      </c>
      <c r="F116" s="16">
        <f>ENERO!F116+FEBRERO!F116+MARZO!F116+ABRIL!F116+MAYO!F116+JUNIO!F116+JULIO!F116+AGOSTO!F116+SEPTIEMBRE!F116+OCTUBRE!F116+NOVIEMBRE!F116+DICIEMBRE!F116</f>
        <v>97474115.6650161</v>
      </c>
      <c r="G116" s="16">
        <f>ENERO!G116+FEBRERO!G116+MARZO!G116+ABRIL!G116+MAYO!G116+JUNIO!G116+JULIO!G116+AGOSTO!G116+SEPTIEMBRE!G116+OCTUBRE!G116+NOVIEMBRE!G116+DICIEMBRE!G116</f>
        <v>43951247.589999996</v>
      </c>
      <c r="H116" s="16">
        <f>ENERO!H116+FEBRERO!H116+MARZO!H116+ABRIL!H116+MAYO!H116+JUNIO!H116+JULIO!H116+AGOSTO!H116+SEPTIEMBRE!H116+OCTUBRE!H116+NOVIEMBRE!H116+DICIEMBRE!H116</f>
        <v>607733158.67999995</v>
      </c>
      <c r="I116" s="16">
        <f>ENERO!I116+FEBRERO!I116+MARZO!I116+ABRIL!I116+MAYO!I116+JUNIO!I116+JULIO!I116+AGOSTO!I116+SEPTIEMBRE!I116+OCTUBRE!I116+NOVIEMBRE!I116+DICIEMBRE!I116</f>
        <v>259930475.81999996</v>
      </c>
      <c r="J116" s="16">
        <f>ENERO!J116+FEBRERO!J116+MARZO!J116+ABRIL!J116+MAYO!J116+JUNIO!J116+JULIO!J116+AGOSTO!J116+SEPTIEMBRE!J116+OCTUBRE!J116+NOVIEMBRE!J116+DICIEMBRE!J116</f>
        <v>1653129162.6799998</v>
      </c>
      <c r="K116" s="16">
        <f>ENERO!K116+FEBRERO!K116+MARZO!K116+ABRIL!K116+MAYO!K116+JUNIO!K116+JULIO!K116+AGOSTO!K116+SEPTIEMBRE!K116+OCTUBRE!K116+NOVIEMBRE!K116+DICIEMBRE!K116</f>
        <v>0</v>
      </c>
      <c r="L116" s="16">
        <f>ENERO!L116+FEBRERO!L116+MARZO!L116+ABRIL!L116+MAYO!L116+JUNIO!L116+JULIO!L116+AGOSTO!L116+SEPTIEMBRE!L116+OCTUBRE!L116+NOVIEMBRE!L116+DICIEMBRE!L116</f>
        <v>0</v>
      </c>
      <c r="M116" s="16">
        <f>ENERO!M116+FEBRERO!M116+MARZO!M116+ABRIL!M116+MAYO!M116+JUNIO!M116+JULIO!M116+AGOSTO!M116+SEPTIEMBRE!M116+OCTUBRE!M116+NOVIEMBRE!M116+DICIEMBRE!M116</f>
        <v>0</v>
      </c>
      <c r="N116" s="18">
        <f t="shared" si="3"/>
        <v>14178223487.294878</v>
      </c>
      <c r="O116" s="4"/>
      <c r="P116" s="4"/>
      <c r="Q116" s="4"/>
    </row>
    <row r="117" spans="1:17" ht="18" customHeight="1" x14ac:dyDescent="0.2">
      <c r="A117" s="17" t="s">
        <v>112</v>
      </c>
      <c r="B117" s="16">
        <f>ENERO!B117+FEBRERO!B117+MARZO!B117+ABRIL!B117+MAYO!B117+JUNIO!B117+JULIO!B117+AGOSTO!B117+SEPTIEMBRE!B117+OCTUBRE!B117+NOVIEMBRE!B117+DICIEMBRE!B117</f>
        <v>5803748355.0299997</v>
      </c>
      <c r="C117" s="16">
        <f>ENERO!C117+FEBRERO!C117+MARZO!C117+ABRIL!C117+MAYO!C117+JUNIO!C117+JULIO!C117+AGOSTO!C117+SEPTIEMBRE!C117+OCTUBRE!C117+NOVIEMBRE!C117+DICIEMBRE!C117</f>
        <v>0</v>
      </c>
      <c r="D117" s="16">
        <f>ENERO!D117+FEBRERO!D117+MARZO!D117+ABRIL!D117+MAYO!D117+JUNIO!D117+JULIO!D117+AGOSTO!D117+SEPTIEMBRE!D117+OCTUBRE!D117+NOVIEMBRE!D117+DICIEMBRE!D117</f>
        <v>144325010.60676819</v>
      </c>
      <c r="E117" s="16">
        <f>ENERO!E117+FEBRERO!E117+MARZO!E117+ABRIL!E117+MAYO!E117+JUNIO!E117+JULIO!E117+AGOSTO!E117+SEPTIEMBRE!E117+OCTUBRE!E117+NOVIEMBRE!E117+DICIEMBRE!E117</f>
        <v>70719273.280000001</v>
      </c>
      <c r="F117" s="16">
        <f>ENERO!F117+FEBRERO!F117+MARZO!F117+ABRIL!F117+MAYO!F117+JUNIO!F117+JULIO!F117+AGOSTO!F117+SEPTIEMBRE!F117+OCTUBRE!F117+NOVIEMBRE!F117+DICIEMBRE!F117</f>
        <v>20508738.230960835</v>
      </c>
      <c r="G117" s="16">
        <f>ENERO!G117+FEBRERO!G117+MARZO!G117+ABRIL!G117+MAYO!G117+JUNIO!G117+JULIO!G117+AGOSTO!G117+SEPTIEMBRE!G117+OCTUBRE!G117+NOVIEMBRE!G117+DICIEMBRE!G117</f>
        <v>11691464.880000001</v>
      </c>
      <c r="H117" s="16">
        <f>ENERO!H117+FEBRERO!H117+MARZO!H117+ABRIL!H117+MAYO!H117+JUNIO!H117+JULIO!H117+AGOSTO!H117+SEPTIEMBRE!H117+OCTUBRE!H117+NOVIEMBRE!H117+DICIEMBRE!H117</f>
        <v>327710699.10000002</v>
      </c>
      <c r="I117" s="16">
        <f>ENERO!I117+FEBRERO!I117+MARZO!I117+ABRIL!I117+MAYO!I117+JUNIO!I117+JULIO!I117+AGOSTO!I117+SEPTIEMBRE!I117+OCTUBRE!I117+NOVIEMBRE!I117+DICIEMBRE!I117</f>
        <v>54689863.710000001</v>
      </c>
      <c r="J117" s="16">
        <f>ENERO!J117+FEBRERO!J117+MARZO!J117+ABRIL!J117+MAYO!J117+JUNIO!J117+JULIO!J117+AGOSTO!J117+SEPTIEMBRE!J117+OCTUBRE!J117+NOVIEMBRE!J117+DICIEMBRE!J117</f>
        <v>487222156.25000006</v>
      </c>
      <c r="K117" s="16">
        <f>ENERO!K117+FEBRERO!K117+MARZO!K117+ABRIL!K117+MAYO!K117+JUNIO!K117+JULIO!K117+AGOSTO!K117+SEPTIEMBRE!K117+OCTUBRE!K117+NOVIEMBRE!K117+DICIEMBRE!K117</f>
        <v>0</v>
      </c>
      <c r="L117" s="16">
        <f>ENERO!L117+FEBRERO!L117+MARZO!L117+ABRIL!L117+MAYO!L117+JUNIO!L117+JULIO!L117+AGOSTO!L117+SEPTIEMBRE!L117+OCTUBRE!L117+NOVIEMBRE!L117+DICIEMBRE!L117</f>
        <v>0</v>
      </c>
      <c r="M117" s="16">
        <f>ENERO!M117+FEBRERO!M117+MARZO!M117+ABRIL!M117+MAYO!M117+JUNIO!M117+JULIO!M117+AGOSTO!M117+SEPTIEMBRE!M117+OCTUBRE!M117+NOVIEMBRE!M117+DICIEMBRE!M117</f>
        <v>0</v>
      </c>
      <c r="N117" s="18">
        <f t="shared" si="3"/>
        <v>6920615561.0877295</v>
      </c>
      <c r="O117" s="4"/>
      <c r="P117" s="4"/>
      <c r="Q117" s="4"/>
    </row>
    <row r="118" spans="1:17" ht="18" customHeight="1" x14ac:dyDescent="0.2">
      <c r="A118" s="17" t="s">
        <v>113</v>
      </c>
      <c r="B118" s="16">
        <f>ENERO!B118+FEBRERO!B118+MARZO!B118+ABRIL!B118+MAYO!B118+JUNIO!B118+JULIO!B118+AGOSTO!B118+SEPTIEMBRE!B118+OCTUBRE!B118+NOVIEMBRE!B118+DICIEMBRE!B118</f>
        <v>9953866441.8400002</v>
      </c>
      <c r="C118" s="16">
        <f>ENERO!C118+FEBRERO!C118+MARZO!C118+ABRIL!C118+MAYO!C118+JUNIO!C118+JULIO!C118+AGOSTO!C118+SEPTIEMBRE!C118+OCTUBRE!C118+NOVIEMBRE!C118+DICIEMBRE!C118</f>
        <v>0</v>
      </c>
      <c r="D118" s="16">
        <f>ENERO!D118+FEBRERO!D118+MARZO!D118+ABRIL!D118+MAYO!D118+JUNIO!D118+JULIO!D118+AGOSTO!D118+SEPTIEMBRE!D118+OCTUBRE!D118+NOVIEMBRE!D118+DICIEMBRE!D118</f>
        <v>1092159021.492486</v>
      </c>
      <c r="E118" s="16">
        <f>ENERO!E118+FEBRERO!E118+MARZO!E118+ABRIL!E118+MAYO!E118+JUNIO!E118+JULIO!E118+AGOSTO!E118+SEPTIEMBRE!E118+OCTUBRE!E118+NOVIEMBRE!E118+DICIEMBRE!E118</f>
        <v>122476891.16999999</v>
      </c>
      <c r="F118" s="16">
        <f>ENERO!F118+FEBRERO!F118+MARZO!F118+ABRIL!F118+MAYO!F118+JUNIO!F118+JULIO!F118+AGOSTO!F118+SEPTIEMBRE!F118+OCTUBRE!F118+NOVIEMBRE!F118+DICIEMBRE!F118</f>
        <v>96725201.054138333</v>
      </c>
      <c r="G118" s="16">
        <f>ENERO!G118+FEBRERO!G118+MARZO!G118+ABRIL!G118+MAYO!G118+JUNIO!G118+JULIO!G118+AGOSTO!G118+SEPTIEMBRE!G118+OCTUBRE!G118+NOVIEMBRE!G118+DICIEMBRE!G118</f>
        <v>48714436.980000012</v>
      </c>
      <c r="H118" s="16">
        <f>ENERO!H118+FEBRERO!H118+MARZO!H118+ABRIL!H118+MAYO!H118+JUNIO!H118+JULIO!H118+AGOSTO!H118+SEPTIEMBRE!H118+OCTUBRE!H118+NOVIEMBRE!H118+DICIEMBRE!H118</f>
        <v>562926895.63999999</v>
      </c>
      <c r="I118" s="16">
        <f>ENERO!I118+FEBRERO!I118+MARZO!I118+ABRIL!I118+MAYO!I118+JUNIO!I118+JULIO!I118+AGOSTO!I118+SEPTIEMBRE!I118+OCTUBRE!I118+NOVIEMBRE!I118+DICIEMBRE!I118</f>
        <v>257933374.04000002</v>
      </c>
      <c r="J118" s="16">
        <f>ENERO!J118+FEBRERO!J118+MARZO!J118+ABRIL!J118+MAYO!J118+JUNIO!J118+JULIO!J118+AGOSTO!J118+SEPTIEMBRE!J118+OCTUBRE!J118+NOVIEMBRE!J118+DICIEMBRE!J118</f>
        <v>1342977651.1299999</v>
      </c>
      <c r="K118" s="16">
        <f>ENERO!K118+FEBRERO!K118+MARZO!K118+ABRIL!K118+MAYO!K118+JUNIO!K118+JULIO!K118+AGOSTO!K118+SEPTIEMBRE!K118+OCTUBRE!K118+NOVIEMBRE!K118+DICIEMBRE!K118</f>
        <v>0</v>
      </c>
      <c r="L118" s="16">
        <f>ENERO!L118+FEBRERO!L118+MARZO!L118+ABRIL!L118+MAYO!L118+JUNIO!L118+JULIO!L118+AGOSTO!L118+SEPTIEMBRE!L118+OCTUBRE!L118+NOVIEMBRE!L118+DICIEMBRE!L118</f>
        <v>0</v>
      </c>
      <c r="M118" s="16">
        <f>ENERO!M118+FEBRERO!M118+MARZO!M118+ABRIL!M118+MAYO!M118+JUNIO!M118+JULIO!M118+AGOSTO!M118+SEPTIEMBRE!M118+OCTUBRE!M118+NOVIEMBRE!M118+DICIEMBRE!M118</f>
        <v>0</v>
      </c>
      <c r="N118" s="18">
        <f t="shared" si="3"/>
        <v>13477779913.346622</v>
      </c>
      <c r="O118" s="4"/>
      <c r="P118" s="4"/>
      <c r="Q118" s="4"/>
    </row>
    <row r="119" spans="1:17" ht="18" customHeight="1" x14ac:dyDescent="0.2">
      <c r="A119" s="17" t="s">
        <v>114</v>
      </c>
      <c r="B119" s="16">
        <f>ENERO!B119+FEBRERO!B119+MARZO!B119+ABRIL!B119+MAYO!B119+JUNIO!B119+JULIO!B119+AGOSTO!B119+SEPTIEMBRE!B119+OCTUBRE!B119+NOVIEMBRE!B119+DICIEMBRE!B119</f>
        <v>13046266801.939999</v>
      </c>
      <c r="C119" s="16">
        <f>ENERO!C119+FEBRERO!C119+MARZO!C119+ABRIL!C119+MAYO!C119+JUNIO!C119+JULIO!C119+AGOSTO!C119+SEPTIEMBRE!C119+OCTUBRE!C119+NOVIEMBRE!C119+DICIEMBRE!C119</f>
        <v>0</v>
      </c>
      <c r="D119" s="16">
        <f>ENERO!D119+FEBRERO!D119+MARZO!D119+ABRIL!D119+MAYO!D119+JUNIO!D119+JULIO!D119+AGOSTO!D119+SEPTIEMBRE!D119+OCTUBRE!D119+NOVIEMBRE!D119+DICIEMBRE!D119</f>
        <v>530192932.11377949</v>
      </c>
      <c r="E119" s="16">
        <f>ENERO!E119+FEBRERO!E119+MARZO!E119+ABRIL!E119+MAYO!E119+JUNIO!E119+JULIO!E119+AGOSTO!E119+SEPTIEMBRE!E119+OCTUBRE!E119+NOVIEMBRE!E119+DICIEMBRE!E119</f>
        <v>161061756.34999999</v>
      </c>
      <c r="F119" s="16">
        <f>ENERO!F119+FEBRERO!F119+MARZO!F119+ABRIL!F119+MAYO!F119+JUNIO!F119+JULIO!F119+AGOSTO!F119+SEPTIEMBRE!F119+OCTUBRE!F119+NOVIEMBRE!F119+DICIEMBRE!F119</f>
        <v>77714291.974933058</v>
      </c>
      <c r="G119" s="16">
        <f>ENERO!G119+FEBRERO!G119+MARZO!G119+ABRIL!G119+MAYO!G119+JUNIO!G119+JULIO!G119+AGOSTO!G119+SEPTIEMBRE!G119+OCTUBRE!G119+NOVIEMBRE!G119+DICIEMBRE!G119</f>
        <v>32692799.93</v>
      </c>
      <c r="H119" s="16">
        <f>ENERO!H119+FEBRERO!H119+MARZO!H119+ABRIL!H119+MAYO!H119+JUNIO!H119+JULIO!H119+AGOSTO!H119+SEPTIEMBRE!H119+OCTUBRE!H119+NOVIEMBRE!H119+DICIEMBRE!H119</f>
        <v>739515780.19000006</v>
      </c>
      <c r="I119" s="16">
        <f>ENERO!I119+FEBRERO!I119+MARZO!I119+ABRIL!I119+MAYO!I119+JUNIO!I119+JULIO!I119+AGOSTO!I119+SEPTIEMBRE!I119+OCTUBRE!I119+NOVIEMBRE!I119+DICIEMBRE!I119</f>
        <v>207237713.87</v>
      </c>
      <c r="J119" s="16">
        <f>ENERO!J119+FEBRERO!J119+MARZO!J119+ABRIL!J119+MAYO!J119+JUNIO!J119+JULIO!J119+AGOSTO!J119+SEPTIEMBRE!J119+OCTUBRE!J119+NOVIEMBRE!J119+DICIEMBRE!J119</f>
        <v>1222465929.3799999</v>
      </c>
      <c r="K119" s="16">
        <f>ENERO!K119+FEBRERO!K119+MARZO!K119+ABRIL!K119+MAYO!K119+JUNIO!K119+JULIO!K119+AGOSTO!K119+SEPTIEMBRE!K119+OCTUBRE!K119+NOVIEMBRE!K119+DICIEMBRE!K119</f>
        <v>0</v>
      </c>
      <c r="L119" s="16">
        <f>ENERO!L119+FEBRERO!L119+MARZO!L119+ABRIL!L119+MAYO!L119+JUNIO!L119+JULIO!L119+AGOSTO!L119+SEPTIEMBRE!L119+OCTUBRE!L119+NOVIEMBRE!L119+DICIEMBRE!L119</f>
        <v>0</v>
      </c>
      <c r="M119" s="16">
        <f>ENERO!M119+FEBRERO!M119+MARZO!M119+ABRIL!M119+MAYO!M119+JUNIO!M119+JULIO!M119+AGOSTO!M119+SEPTIEMBRE!M119+OCTUBRE!M119+NOVIEMBRE!M119+DICIEMBRE!M119</f>
        <v>0</v>
      </c>
      <c r="N119" s="18">
        <f t="shared" si="3"/>
        <v>16017148005.748713</v>
      </c>
      <c r="O119" s="4"/>
      <c r="P119" s="4"/>
      <c r="Q119" s="4"/>
    </row>
    <row r="120" spans="1:17" ht="18" customHeight="1" x14ac:dyDescent="0.2">
      <c r="A120" s="17" t="s">
        <v>115</v>
      </c>
      <c r="B120" s="16">
        <f>ENERO!B120+FEBRERO!B120+MARZO!B120+ABRIL!B120+MAYO!B120+JUNIO!B120+JULIO!B120+AGOSTO!B120+SEPTIEMBRE!B120+OCTUBRE!B120+NOVIEMBRE!B120+DICIEMBRE!B120</f>
        <v>8067350810.4200001</v>
      </c>
      <c r="C120" s="16">
        <f>ENERO!C120+FEBRERO!C120+MARZO!C120+ABRIL!C120+MAYO!C120+JUNIO!C120+JULIO!C120+AGOSTO!C120+SEPTIEMBRE!C120+OCTUBRE!C120+NOVIEMBRE!C120+DICIEMBRE!C120</f>
        <v>0</v>
      </c>
      <c r="D120" s="16">
        <f>ENERO!D120+FEBRERO!D120+MARZO!D120+ABRIL!D120+MAYO!D120+JUNIO!D120+JULIO!D120+AGOSTO!D120+SEPTIEMBRE!D120+OCTUBRE!D120+NOVIEMBRE!D120+DICIEMBRE!D120</f>
        <v>589075834.26261175</v>
      </c>
      <c r="E120" s="16">
        <f>ENERO!E120+FEBRERO!E120+MARZO!E120+ABRIL!E120+MAYO!E120+JUNIO!E120+JULIO!E120+AGOSTO!E120+SEPTIEMBRE!E120+OCTUBRE!E120+NOVIEMBRE!E120+DICIEMBRE!E120</f>
        <v>100121584.43000002</v>
      </c>
      <c r="F120" s="16">
        <f>ENERO!F120+FEBRERO!F120+MARZO!F120+ABRIL!F120+MAYO!F120+JUNIO!F120+JULIO!F120+AGOSTO!F120+SEPTIEMBRE!F120+OCTUBRE!F120+NOVIEMBRE!F120+DICIEMBRE!F120</f>
        <v>52366413.1659927</v>
      </c>
      <c r="G120" s="16">
        <f>ENERO!G120+FEBRERO!G120+MARZO!G120+ABRIL!G120+MAYO!G120+JUNIO!G120+JULIO!G120+AGOSTO!G120+SEPTIEMBRE!G120+OCTUBRE!G120+NOVIEMBRE!G120+DICIEMBRE!G120</f>
        <v>33125817.190000005</v>
      </c>
      <c r="H120" s="16">
        <f>ENERO!H120+FEBRERO!H120+MARZO!H120+ABRIL!H120+MAYO!H120+JUNIO!H120+JULIO!H120+AGOSTO!H120+SEPTIEMBRE!H120+OCTUBRE!H120+NOVIEMBRE!H120+DICIEMBRE!H120</f>
        <v>457437981.93000013</v>
      </c>
      <c r="I120" s="16">
        <f>ENERO!I120+FEBRERO!I120+MARZO!I120+ABRIL!I120+MAYO!I120+JUNIO!I120+JULIO!I120+AGOSTO!I120+SEPTIEMBRE!I120+OCTUBRE!I120+NOVIEMBRE!I120+DICIEMBRE!I120</f>
        <v>139643500.31</v>
      </c>
      <c r="J120" s="16">
        <f>ENERO!J120+FEBRERO!J120+MARZO!J120+ABRIL!J120+MAYO!J120+JUNIO!J120+JULIO!J120+AGOSTO!J120+SEPTIEMBRE!J120+OCTUBRE!J120+NOVIEMBRE!J120+DICIEMBRE!J120</f>
        <v>1267393837.46</v>
      </c>
      <c r="K120" s="16">
        <f>ENERO!K120+FEBRERO!K120+MARZO!K120+ABRIL!K120+MAYO!K120+JUNIO!K120+JULIO!K120+AGOSTO!K120+SEPTIEMBRE!K120+OCTUBRE!K120+NOVIEMBRE!K120+DICIEMBRE!K120</f>
        <v>0</v>
      </c>
      <c r="L120" s="16">
        <f>ENERO!L120+FEBRERO!L120+MARZO!L120+ABRIL!L120+MAYO!L120+JUNIO!L120+JULIO!L120+AGOSTO!L120+SEPTIEMBRE!L120+OCTUBRE!L120+NOVIEMBRE!L120+DICIEMBRE!L120</f>
        <v>0</v>
      </c>
      <c r="M120" s="16">
        <f>ENERO!M120+FEBRERO!M120+MARZO!M120+ABRIL!M120+MAYO!M120+JUNIO!M120+JULIO!M120+AGOSTO!M120+SEPTIEMBRE!M120+OCTUBRE!M120+NOVIEMBRE!M120+DICIEMBRE!M120</f>
        <v>0</v>
      </c>
      <c r="N120" s="18">
        <f t="shared" si="3"/>
        <v>10706515779.168606</v>
      </c>
      <c r="O120" s="4"/>
      <c r="P120" s="4"/>
      <c r="Q120" s="4"/>
    </row>
    <row r="121" spans="1:17" ht="18" customHeight="1" x14ac:dyDescent="0.2">
      <c r="A121" s="17" t="s">
        <v>116</v>
      </c>
      <c r="B121" s="16">
        <f>ENERO!B121+FEBRERO!B121+MARZO!B121+ABRIL!B121+MAYO!B121+JUNIO!B121+JULIO!B121+AGOSTO!B121+SEPTIEMBRE!B121+OCTUBRE!B121+NOVIEMBRE!B121+DICIEMBRE!B121</f>
        <v>10350780966.939999</v>
      </c>
      <c r="C121" s="16">
        <f>ENERO!C121+FEBRERO!C121+MARZO!C121+ABRIL!C121+MAYO!C121+JUNIO!C121+JULIO!C121+AGOSTO!C121+SEPTIEMBRE!C121+OCTUBRE!C121+NOVIEMBRE!C121+DICIEMBRE!C121</f>
        <v>0</v>
      </c>
      <c r="D121" s="16">
        <f>ENERO!D121+FEBRERO!D121+MARZO!D121+ABRIL!D121+MAYO!D121+JUNIO!D121+JULIO!D121+AGOSTO!D121+SEPTIEMBRE!D121+OCTUBRE!D121+NOVIEMBRE!D121+DICIEMBRE!D121</f>
        <v>598290365.40777969</v>
      </c>
      <c r="E121" s="16">
        <f>ENERO!E121+FEBRERO!E121+MARZO!E121+ABRIL!E121+MAYO!E121+JUNIO!E121+JULIO!E121+AGOSTO!E121+SEPTIEMBRE!E121+OCTUBRE!E121+NOVIEMBRE!E121+DICIEMBRE!E121</f>
        <v>125892956.35000001</v>
      </c>
      <c r="F121" s="16">
        <f>ENERO!F121+FEBRERO!F121+MARZO!F121+ABRIL!F121+MAYO!F121+JUNIO!F121+JULIO!F121+AGOSTO!F121+SEPTIEMBRE!F121+OCTUBRE!F121+NOVIEMBRE!F121+DICIEMBRE!F121</f>
        <v>22006567.432716399</v>
      </c>
      <c r="G121" s="16">
        <f>ENERO!G121+FEBRERO!G121+MARZO!G121+ABRIL!G121+MAYO!G121+JUNIO!G121+JULIO!G121+AGOSTO!G121+SEPTIEMBRE!G121+OCTUBRE!G121+NOVIEMBRE!G121+DICIEMBRE!G121</f>
        <v>11041939.049999999</v>
      </c>
      <c r="H121" s="16">
        <f>ENERO!H121+FEBRERO!H121+MARZO!H121+ABRIL!H121+MAYO!H121+JUNIO!H121+JULIO!H121+AGOSTO!H121+SEPTIEMBRE!H121+OCTUBRE!H121+NOVIEMBRE!H121+DICIEMBRE!H121</f>
        <v>584869462.76000011</v>
      </c>
      <c r="I121" s="16">
        <f>ENERO!I121+FEBRERO!I121+MARZO!I121+ABRIL!I121+MAYO!I121+JUNIO!I121+JULIO!I121+AGOSTO!I121+SEPTIEMBRE!I121+OCTUBRE!I121+NOVIEMBRE!I121+DICIEMBRE!I121</f>
        <v>58684067.219999999</v>
      </c>
      <c r="J121" s="16">
        <f>ENERO!J121+FEBRERO!J121+MARZO!J121+ABRIL!J121+MAYO!J121+JUNIO!J121+JULIO!J121+AGOSTO!J121+SEPTIEMBRE!J121+OCTUBRE!J121+NOVIEMBRE!J121+DICIEMBRE!J121</f>
        <v>704249962.06000006</v>
      </c>
      <c r="K121" s="16">
        <f>ENERO!K121+FEBRERO!K121+MARZO!K121+ABRIL!K121+MAYO!K121+JUNIO!K121+JULIO!K121+AGOSTO!K121+SEPTIEMBRE!K121+OCTUBRE!K121+NOVIEMBRE!K121+DICIEMBRE!K121</f>
        <v>0</v>
      </c>
      <c r="L121" s="16">
        <f>ENERO!L121+FEBRERO!L121+MARZO!L121+ABRIL!L121+MAYO!L121+JUNIO!L121+JULIO!L121+AGOSTO!L121+SEPTIEMBRE!L121+OCTUBRE!L121+NOVIEMBRE!L121+DICIEMBRE!L121</f>
        <v>0</v>
      </c>
      <c r="M121" s="16">
        <f>ENERO!M121+FEBRERO!M121+MARZO!M121+ABRIL!M121+MAYO!M121+JUNIO!M121+JULIO!M121+AGOSTO!M121+SEPTIEMBRE!M121+OCTUBRE!M121+NOVIEMBRE!M121+DICIEMBRE!M121</f>
        <v>0</v>
      </c>
      <c r="N121" s="18">
        <f t="shared" si="3"/>
        <v>12455816287.220493</v>
      </c>
      <c r="O121" s="4"/>
      <c r="P121" s="4"/>
      <c r="Q121" s="4"/>
    </row>
    <row r="122" spans="1:17" ht="18" customHeight="1" x14ac:dyDescent="0.2">
      <c r="A122" s="17" t="s">
        <v>117</v>
      </c>
      <c r="B122" s="16">
        <f>ENERO!B122+FEBRERO!B122+MARZO!B122+ABRIL!B122+MAYO!B122+JUNIO!B122+JULIO!B122+AGOSTO!B122+SEPTIEMBRE!B122+OCTUBRE!B122+NOVIEMBRE!B122+DICIEMBRE!B122</f>
        <v>32140342936.580002</v>
      </c>
      <c r="C122" s="16">
        <f>ENERO!C122+FEBRERO!C122+MARZO!C122+ABRIL!C122+MAYO!C122+JUNIO!C122+JULIO!C122+AGOSTO!C122+SEPTIEMBRE!C122+OCTUBRE!C122+NOVIEMBRE!C122+DICIEMBRE!C122</f>
        <v>0</v>
      </c>
      <c r="D122" s="16">
        <f>ENERO!D122+FEBRERO!D122+MARZO!D122+ABRIL!D122+MAYO!D122+JUNIO!D122+JULIO!D122+AGOSTO!D122+SEPTIEMBRE!D122+OCTUBRE!D122+NOVIEMBRE!D122+DICIEMBRE!D122</f>
        <v>1176313420.3299999</v>
      </c>
      <c r="E122" s="16">
        <f>ENERO!E122+FEBRERO!E122+MARZO!E122+ABRIL!E122+MAYO!E122+JUNIO!E122+JULIO!E122+AGOSTO!E122+SEPTIEMBRE!E122+OCTUBRE!E122+NOVIEMBRE!E122+DICIEMBRE!E122</f>
        <v>483716172.19000006</v>
      </c>
      <c r="F122" s="16">
        <f>ENERO!F122+FEBRERO!F122+MARZO!F122+ABRIL!F122+MAYO!F122+JUNIO!F122+JULIO!F122+AGOSTO!F122+SEPTIEMBRE!F122+OCTUBRE!F122+NOVIEMBRE!F122+DICIEMBRE!F122</f>
        <v>662501377.35957766</v>
      </c>
      <c r="G122" s="16">
        <f>ENERO!G122+FEBRERO!G122+MARZO!G122+ABRIL!G122+MAYO!G122+JUNIO!G122+JULIO!G122+AGOSTO!G122+SEPTIEMBRE!G122+OCTUBRE!G122+NOVIEMBRE!G122+DICIEMBRE!G122</f>
        <v>303817859.26656288</v>
      </c>
      <c r="H122" s="16">
        <f>ENERO!H122+FEBRERO!H122+MARZO!H122+ABRIL!H122+MAYO!H122+JUNIO!H122+JULIO!H122+AGOSTO!H122+SEPTIEMBRE!H122+OCTUBRE!H122+NOVIEMBRE!H122+DICIEMBRE!H122</f>
        <v>1821993021.6899996</v>
      </c>
      <c r="I122" s="16">
        <f>ENERO!I122+FEBRERO!I122+MARZO!I122+ABRIL!I122+MAYO!I122+JUNIO!I122+JULIO!I122+AGOSTO!I122+SEPTIEMBRE!I122+OCTUBRE!I122+NOVIEMBRE!I122+DICIEMBRE!I122</f>
        <v>1766666945.5699999</v>
      </c>
      <c r="J122" s="16">
        <f>ENERO!J122+FEBRERO!J122+MARZO!J122+ABRIL!J122+MAYO!J122+JUNIO!J122+JULIO!J122+AGOSTO!J122+SEPTIEMBRE!J122+OCTUBRE!J122+NOVIEMBRE!J122+DICIEMBRE!J122</f>
        <v>3303590661.7800007</v>
      </c>
      <c r="K122" s="16">
        <f>ENERO!K122+FEBRERO!K122+MARZO!K122+ABRIL!K122+MAYO!K122+JUNIO!K122+JULIO!K122+AGOSTO!K122+SEPTIEMBRE!K122+OCTUBRE!K122+NOVIEMBRE!K122+DICIEMBRE!K122</f>
        <v>0</v>
      </c>
      <c r="L122" s="16">
        <f>ENERO!L122+FEBRERO!L122+MARZO!L122+ABRIL!L122+MAYO!L122+JUNIO!L122+JULIO!L122+AGOSTO!L122+SEPTIEMBRE!L122+OCTUBRE!L122+NOVIEMBRE!L122+DICIEMBRE!L122</f>
        <v>0</v>
      </c>
      <c r="M122" s="16">
        <f>ENERO!M122+FEBRERO!M122+MARZO!M122+ABRIL!M122+MAYO!M122+JUNIO!M122+JULIO!M122+AGOSTO!M122+SEPTIEMBRE!M122+OCTUBRE!M122+NOVIEMBRE!M122+DICIEMBRE!M122</f>
        <v>0</v>
      </c>
      <c r="N122" s="18">
        <f t="shared" si="3"/>
        <v>41658942394.766144</v>
      </c>
      <c r="O122" s="4"/>
      <c r="P122" s="4"/>
      <c r="Q122" s="4"/>
    </row>
    <row r="123" spans="1:17" ht="18" customHeight="1" x14ac:dyDescent="0.2">
      <c r="A123" s="17" t="s">
        <v>118</v>
      </c>
      <c r="B123" s="16">
        <f>ENERO!B123+FEBRERO!B123+MARZO!B123+ABRIL!B123+MAYO!B123+JUNIO!B123+JULIO!B123+AGOSTO!B123+SEPTIEMBRE!B123+OCTUBRE!B123+NOVIEMBRE!B123+DICIEMBRE!B123</f>
        <v>67808214147.399994</v>
      </c>
      <c r="C123" s="16">
        <f>ENERO!C123+FEBRERO!C123+MARZO!C123+ABRIL!C123+MAYO!C123+JUNIO!C123+JULIO!C123+AGOSTO!C123+SEPTIEMBRE!C123+OCTUBRE!C123+NOVIEMBRE!C123+DICIEMBRE!C123</f>
        <v>0</v>
      </c>
      <c r="D123" s="16">
        <f>ENERO!D123+FEBRERO!D123+MARZO!D123+ABRIL!D123+MAYO!D123+JUNIO!D123+JULIO!D123+AGOSTO!D123+SEPTIEMBRE!D123+OCTUBRE!D123+NOVIEMBRE!D123+DICIEMBRE!D123</f>
        <v>1337377279.5349998</v>
      </c>
      <c r="E123" s="16">
        <f>ENERO!E123+FEBRERO!E123+MARZO!E123+ABRIL!E123+MAYO!E123+JUNIO!E123+JULIO!E123+AGOSTO!E123+SEPTIEMBRE!E123+OCTUBRE!E123+NOVIEMBRE!E123+DICIEMBRE!E123</f>
        <v>852438697.45000005</v>
      </c>
      <c r="F123" s="16">
        <f>ENERO!F123+FEBRERO!F123+MARZO!F123+ABRIL!F123+MAYO!F123+JUNIO!F123+JULIO!F123+AGOSTO!F123+SEPTIEMBRE!F123+OCTUBRE!F123+NOVIEMBRE!F123+DICIEMBRE!F123</f>
        <v>920934523.35786498</v>
      </c>
      <c r="G123" s="16">
        <f>ENERO!G123+FEBRERO!G123+MARZO!G123+ABRIL!G123+MAYO!G123+JUNIO!G123+JULIO!G123+AGOSTO!G123+SEPTIEMBRE!G123+OCTUBRE!G123+NOVIEMBRE!G123+DICIEMBRE!G123</f>
        <v>726149774.06066215</v>
      </c>
      <c r="H123" s="16">
        <f>ENERO!H123+FEBRERO!H123+MARZO!H123+ABRIL!H123+MAYO!H123+JUNIO!H123+JULIO!H123+AGOSTO!H123+SEPTIEMBRE!H123+OCTUBRE!H123+NOVIEMBRE!H123+DICIEMBRE!H123</f>
        <v>3856935186.4700003</v>
      </c>
      <c r="I123" s="16">
        <f>ENERO!I123+FEBRERO!I123+MARZO!I123+ABRIL!I123+MAYO!I123+JUNIO!I123+JULIO!I123+AGOSTO!I123+SEPTIEMBRE!I123+OCTUBRE!I123+NOVIEMBRE!I123+DICIEMBRE!I123</f>
        <v>2455820677.5599999</v>
      </c>
      <c r="J123" s="16">
        <f>ENERO!J123+FEBRERO!J123+MARZO!J123+ABRIL!J123+MAYO!J123+JUNIO!J123+JULIO!J123+AGOSTO!J123+SEPTIEMBRE!J123+OCTUBRE!J123+NOVIEMBRE!J123+DICIEMBRE!J123</f>
        <v>4310553798.9899998</v>
      </c>
      <c r="K123" s="16">
        <f>ENERO!K123+FEBRERO!K123+MARZO!K123+ABRIL!K123+MAYO!K123+JUNIO!K123+JULIO!K123+AGOSTO!K123+SEPTIEMBRE!K123+OCTUBRE!K123+NOVIEMBRE!K123+DICIEMBRE!K123</f>
        <v>0</v>
      </c>
      <c r="L123" s="16">
        <f>ENERO!L123+FEBRERO!L123+MARZO!L123+ABRIL!L123+MAYO!L123+JUNIO!L123+JULIO!L123+AGOSTO!L123+SEPTIEMBRE!L123+OCTUBRE!L123+NOVIEMBRE!L123+DICIEMBRE!L123</f>
        <v>0</v>
      </c>
      <c r="M123" s="16">
        <f>ENERO!M123+FEBRERO!M123+MARZO!M123+ABRIL!M123+MAYO!M123+JUNIO!M123+JULIO!M123+AGOSTO!M123+SEPTIEMBRE!M123+OCTUBRE!M123+NOVIEMBRE!M123+DICIEMBRE!M123</f>
        <v>0</v>
      </c>
      <c r="N123" s="18">
        <f t="shared" si="3"/>
        <v>82268424084.823532</v>
      </c>
      <c r="O123" s="4"/>
      <c r="P123" s="4"/>
      <c r="Q123" s="4"/>
    </row>
    <row r="124" spans="1:17" ht="18" customHeight="1" x14ac:dyDescent="0.2">
      <c r="A124" s="17" t="s">
        <v>119</v>
      </c>
      <c r="B124" s="16">
        <f>ENERO!B124+FEBRERO!B124+MARZO!B124+ABRIL!B124+MAYO!B124+JUNIO!B124+JULIO!B124+AGOSTO!B124+SEPTIEMBRE!B124+OCTUBRE!B124+NOVIEMBRE!B124+DICIEMBRE!B124</f>
        <v>65290456614.57</v>
      </c>
      <c r="C124" s="16">
        <f>ENERO!C124+FEBRERO!C124+MARZO!C124+ABRIL!C124+MAYO!C124+JUNIO!C124+JULIO!C124+AGOSTO!C124+SEPTIEMBRE!C124+OCTUBRE!C124+NOVIEMBRE!C124+DICIEMBRE!C124</f>
        <v>0</v>
      </c>
      <c r="D124" s="16">
        <f>ENERO!D124+FEBRERO!D124+MARZO!D124+ABRIL!D124+MAYO!D124+JUNIO!D124+JULIO!D124+AGOSTO!D124+SEPTIEMBRE!D124+OCTUBRE!D124+NOVIEMBRE!D124+DICIEMBRE!D124</f>
        <v>491429636.79999995</v>
      </c>
      <c r="E124" s="16">
        <f>ENERO!E124+FEBRERO!E124+MARZO!E124+ABRIL!E124+MAYO!E124+JUNIO!E124+JULIO!E124+AGOSTO!E124+SEPTIEMBRE!E124+OCTUBRE!E124+NOVIEMBRE!E124+DICIEMBRE!E124</f>
        <v>966182023.48000002</v>
      </c>
      <c r="F124" s="16">
        <f>ENERO!F124+FEBRERO!F124+MARZO!F124+ABRIL!F124+MAYO!F124+JUNIO!F124+JULIO!F124+AGOSTO!F124+SEPTIEMBRE!F124+OCTUBRE!F124+NOVIEMBRE!F124+DICIEMBRE!F124</f>
        <v>1179310060.5407004</v>
      </c>
      <c r="G124" s="16">
        <f>ENERO!G124+FEBRERO!G124+MARZO!G124+ABRIL!G124+MAYO!G124+JUNIO!G124+JULIO!G124+AGOSTO!G124+SEPTIEMBRE!G124+OCTUBRE!G124+NOVIEMBRE!G124+DICIEMBRE!G124</f>
        <v>0</v>
      </c>
      <c r="H124" s="16">
        <f>ENERO!H124+FEBRERO!H124+MARZO!H124+ABRIL!H124+MAYO!H124+JUNIO!H124+JULIO!H124+AGOSTO!H124+SEPTIEMBRE!H124+OCTUBRE!H124+NOVIEMBRE!H124+DICIEMBRE!H124</f>
        <v>3688746601.9199996</v>
      </c>
      <c r="I124" s="16">
        <f>ENERO!I124+FEBRERO!I124+MARZO!I124+ABRIL!I124+MAYO!I124+JUNIO!I124+JULIO!I124+AGOSTO!I124+SEPTIEMBRE!I124+OCTUBRE!I124+NOVIEMBRE!I124+DICIEMBRE!I124</f>
        <v>3144820786.3099999</v>
      </c>
      <c r="J124" s="16">
        <f>ENERO!J124+FEBRERO!J124+MARZO!J124+ABRIL!J124+MAYO!J124+JUNIO!J124+JULIO!J124+AGOSTO!J124+SEPTIEMBRE!J124+OCTUBRE!J124+NOVIEMBRE!J124+DICIEMBRE!J124</f>
        <v>6166923391.6699991</v>
      </c>
      <c r="K124" s="16">
        <f>ENERO!K124+FEBRERO!K124+MARZO!K124+ABRIL!K124+MAYO!K124+JUNIO!K124+JULIO!K124+AGOSTO!K124+SEPTIEMBRE!K124+OCTUBRE!K124+NOVIEMBRE!K124+DICIEMBRE!K124</f>
        <v>0</v>
      </c>
      <c r="L124" s="16">
        <f>ENERO!L124+FEBRERO!L124+MARZO!L124+ABRIL!L124+MAYO!L124+JUNIO!L124+JULIO!L124+AGOSTO!L124+SEPTIEMBRE!L124+OCTUBRE!L124+NOVIEMBRE!L124+DICIEMBRE!L124</f>
        <v>0</v>
      </c>
      <c r="M124" s="16">
        <f>ENERO!M124+FEBRERO!M124+MARZO!M124+ABRIL!M124+MAYO!M124+JUNIO!M124+JULIO!M124+AGOSTO!M124+SEPTIEMBRE!M124+OCTUBRE!M124+NOVIEMBRE!M124+DICIEMBRE!M124</f>
        <v>0</v>
      </c>
      <c r="N124" s="18">
        <f t="shared" si="3"/>
        <v>80927869115.29071</v>
      </c>
      <c r="O124" s="4"/>
      <c r="P124" s="4"/>
      <c r="Q124" s="4"/>
    </row>
    <row r="125" spans="1:17" ht="18" customHeight="1" x14ac:dyDescent="0.2">
      <c r="A125" s="17" t="s">
        <v>120</v>
      </c>
      <c r="B125" s="16">
        <f>ENERO!B125+FEBRERO!B125+MARZO!B125+ABRIL!B125+MAYO!B125+JUNIO!B125+JULIO!B125+AGOSTO!B125+SEPTIEMBRE!B125+OCTUBRE!B125+NOVIEMBRE!B125+DICIEMBRE!B125</f>
        <v>20832424762.07</v>
      </c>
      <c r="C125" s="16">
        <f>ENERO!C125+FEBRERO!C125+MARZO!C125+ABRIL!C125+MAYO!C125+JUNIO!C125+JULIO!C125+AGOSTO!C125+SEPTIEMBRE!C125+OCTUBRE!C125+NOVIEMBRE!C125+DICIEMBRE!C125</f>
        <v>0</v>
      </c>
      <c r="D125" s="16">
        <f>ENERO!D125+FEBRERO!D125+MARZO!D125+ABRIL!D125+MAYO!D125+JUNIO!D125+JULIO!D125+AGOSTO!D125+SEPTIEMBRE!D125+OCTUBRE!D125+NOVIEMBRE!D125+DICIEMBRE!D125</f>
        <v>610129550.34980428</v>
      </c>
      <c r="E125" s="16">
        <f>ENERO!E125+FEBRERO!E125+MARZO!E125+ABRIL!E125+MAYO!E125+JUNIO!E125+JULIO!E125+AGOSTO!E125+SEPTIEMBRE!E125+OCTUBRE!E125+NOVIEMBRE!E125+DICIEMBRE!E125</f>
        <v>256311147.78</v>
      </c>
      <c r="F125" s="16">
        <f>ENERO!F125+FEBRERO!F125+MARZO!F125+ABRIL!F125+MAYO!F125+JUNIO!F125+JULIO!F125+AGOSTO!F125+SEPTIEMBRE!F125+OCTUBRE!F125+NOVIEMBRE!F125+DICIEMBRE!F125</f>
        <v>458566170.739012</v>
      </c>
      <c r="G125" s="16">
        <f>ENERO!G125+FEBRERO!G125+MARZO!G125+ABRIL!G125+MAYO!G125+JUNIO!G125+JULIO!G125+AGOSTO!G125+SEPTIEMBRE!G125+OCTUBRE!G125+NOVIEMBRE!G125+DICIEMBRE!G125</f>
        <v>207415247.31</v>
      </c>
      <c r="H125" s="16">
        <f>ENERO!H125+FEBRERO!H125+MARZO!H125+ABRIL!H125+MAYO!H125+JUNIO!H125+JULIO!H125+AGOSTO!H125+SEPTIEMBRE!H125+OCTUBRE!H125+NOVIEMBRE!H125+DICIEMBRE!H125</f>
        <v>1179527416.1699998</v>
      </c>
      <c r="I125" s="16">
        <f>ENERO!I125+FEBRERO!I125+MARZO!I125+ABRIL!I125+MAYO!I125+JUNIO!I125+JULIO!I125+AGOSTO!I125+SEPTIEMBRE!I125+OCTUBRE!I125+NOVIEMBRE!I125+DICIEMBRE!I125</f>
        <v>1222840772.77</v>
      </c>
      <c r="J125" s="16">
        <f>ENERO!J125+FEBRERO!J125+MARZO!J125+ABRIL!J125+MAYO!J125+JUNIO!J125+JULIO!J125+AGOSTO!J125+SEPTIEMBRE!J125+OCTUBRE!J125+NOVIEMBRE!J125+DICIEMBRE!J125</f>
        <v>3810927004.98</v>
      </c>
      <c r="K125" s="16">
        <f>ENERO!K125+FEBRERO!K125+MARZO!K125+ABRIL!K125+MAYO!K125+JUNIO!K125+JULIO!K125+AGOSTO!K125+SEPTIEMBRE!K125+OCTUBRE!K125+NOVIEMBRE!K125+DICIEMBRE!K125</f>
        <v>0</v>
      </c>
      <c r="L125" s="16">
        <f>ENERO!L125+FEBRERO!L125+MARZO!L125+ABRIL!L125+MAYO!L125+JUNIO!L125+JULIO!L125+AGOSTO!L125+SEPTIEMBRE!L125+OCTUBRE!L125+NOVIEMBRE!L125+DICIEMBRE!L125</f>
        <v>0</v>
      </c>
      <c r="M125" s="16">
        <f>ENERO!M125+FEBRERO!M125+MARZO!M125+ABRIL!M125+MAYO!M125+JUNIO!M125+JULIO!M125+AGOSTO!M125+SEPTIEMBRE!M125+OCTUBRE!M125+NOVIEMBRE!M125+DICIEMBRE!M125</f>
        <v>0</v>
      </c>
      <c r="N125" s="18">
        <f t="shared" si="3"/>
        <v>28578142072.168816</v>
      </c>
      <c r="O125" s="4"/>
      <c r="P125" s="4"/>
      <c r="Q125" s="4"/>
    </row>
    <row r="126" spans="1:17" ht="18" customHeight="1" x14ac:dyDescent="0.2">
      <c r="A126" s="17" t="s">
        <v>121</v>
      </c>
      <c r="B126" s="16">
        <f>ENERO!B126+FEBRERO!B126+MARZO!B126+ABRIL!B126+MAYO!B126+JUNIO!B126+JULIO!B126+AGOSTO!B126+SEPTIEMBRE!B126+OCTUBRE!B126+NOVIEMBRE!B126+DICIEMBRE!B126</f>
        <v>22638548078.169998</v>
      </c>
      <c r="C126" s="16">
        <f>ENERO!C126+FEBRERO!C126+MARZO!C126+ABRIL!C126+MAYO!C126+JUNIO!C126+JULIO!C126+AGOSTO!C126+SEPTIEMBRE!C126+OCTUBRE!C126+NOVIEMBRE!C126+DICIEMBRE!C126</f>
        <v>0</v>
      </c>
      <c r="D126" s="16">
        <f>ENERO!D126+FEBRERO!D126+MARZO!D126+ABRIL!D126+MAYO!D126+JUNIO!D126+JULIO!D126+AGOSTO!D126+SEPTIEMBRE!D126+OCTUBRE!D126+NOVIEMBRE!D126+DICIEMBRE!D126</f>
        <v>699795902.6387372</v>
      </c>
      <c r="E126" s="16">
        <f>ENERO!E126+FEBRERO!E126+MARZO!E126+ABRIL!E126+MAYO!E126+JUNIO!E126+JULIO!E126+AGOSTO!E126+SEPTIEMBRE!E126+OCTUBRE!E126+NOVIEMBRE!E126+DICIEMBRE!E126</f>
        <v>280553429.66999996</v>
      </c>
      <c r="F126" s="16">
        <f>ENERO!F126+FEBRERO!F126+MARZO!F126+ABRIL!F126+MAYO!F126+JUNIO!F126+JULIO!F126+AGOSTO!F126+SEPTIEMBRE!F126+OCTUBRE!F126+NOVIEMBRE!F126+DICIEMBRE!F126</f>
        <v>229571129.42676666</v>
      </c>
      <c r="G126" s="16">
        <f>ENERO!G126+FEBRERO!G126+MARZO!G126+ABRIL!G126+MAYO!G126+JUNIO!G126+JULIO!G126+AGOSTO!G126+SEPTIEMBRE!G126+OCTUBRE!G126+NOVIEMBRE!G126+DICIEMBRE!G126</f>
        <v>84871374.689999998</v>
      </c>
      <c r="H126" s="16">
        <f>ENERO!H126+FEBRERO!H126+MARZO!H126+ABRIL!H126+MAYO!H126+JUNIO!H126+JULIO!H126+AGOSTO!H126+SEPTIEMBRE!H126+OCTUBRE!H126+NOVIEMBRE!H126+DICIEMBRE!H126</f>
        <v>1284141475.51</v>
      </c>
      <c r="I126" s="16">
        <f>ENERO!I126+FEBRERO!I126+MARZO!I126+ABRIL!I126+MAYO!I126+JUNIO!I126+JULIO!I126+AGOSTO!I126+SEPTIEMBRE!I126+OCTUBRE!I126+NOVIEMBRE!I126+DICIEMBRE!I126</f>
        <v>612188502.43999994</v>
      </c>
      <c r="J126" s="16">
        <f>ENERO!J126+FEBRERO!J126+MARZO!J126+ABRIL!J126+MAYO!J126+JUNIO!J126+JULIO!J126+AGOSTO!J126+SEPTIEMBRE!J126+OCTUBRE!J126+NOVIEMBRE!J126+DICIEMBRE!J126</f>
        <v>2614844272.7200003</v>
      </c>
      <c r="K126" s="16">
        <f>ENERO!K126+FEBRERO!K126+MARZO!K126+ABRIL!K126+MAYO!K126+JUNIO!K126+JULIO!K126+AGOSTO!K126+SEPTIEMBRE!K126+OCTUBRE!K126+NOVIEMBRE!K126+DICIEMBRE!K126</f>
        <v>0</v>
      </c>
      <c r="L126" s="16">
        <f>ENERO!L126+FEBRERO!L126+MARZO!L126+ABRIL!L126+MAYO!L126+JUNIO!L126+JULIO!L126+AGOSTO!L126+SEPTIEMBRE!L126+OCTUBRE!L126+NOVIEMBRE!L126+DICIEMBRE!L126</f>
        <v>0</v>
      </c>
      <c r="M126" s="16">
        <f>ENERO!M126+FEBRERO!M126+MARZO!M126+ABRIL!M126+MAYO!M126+JUNIO!M126+JULIO!M126+AGOSTO!M126+SEPTIEMBRE!M126+OCTUBRE!M126+NOVIEMBRE!M126+DICIEMBRE!M126</f>
        <v>0</v>
      </c>
      <c r="N126" s="18">
        <f t="shared" si="3"/>
        <v>28444514165.265495</v>
      </c>
      <c r="O126" s="4"/>
      <c r="P126" s="4"/>
      <c r="Q126" s="4"/>
    </row>
    <row r="127" spans="1:17" ht="18" customHeight="1" x14ac:dyDescent="0.2">
      <c r="A127" s="17" t="s">
        <v>122</v>
      </c>
      <c r="B127" s="16">
        <f>ENERO!B127+FEBRERO!B127+MARZO!B127+ABRIL!B127+MAYO!B127+JUNIO!B127+JULIO!B127+AGOSTO!B127+SEPTIEMBRE!B127+OCTUBRE!B127+NOVIEMBRE!B127+DICIEMBRE!B127</f>
        <v>13286001733.18</v>
      </c>
      <c r="C127" s="16">
        <f>ENERO!C127+FEBRERO!C127+MARZO!C127+ABRIL!C127+MAYO!C127+JUNIO!C127+JULIO!C127+AGOSTO!C127+SEPTIEMBRE!C127+OCTUBRE!C127+NOVIEMBRE!C127+DICIEMBRE!C127</f>
        <v>0</v>
      </c>
      <c r="D127" s="16">
        <f>ENERO!D127+FEBRERO!D127+MARZO!D127+ABRIL!D127+MAYO!D127+JUNIO!D127+JULIO!D127+AGOSTO!D127+SEPTIEMBRE!D127+OCTUBRE!D127+NOVIEMBRE!D127+DICIEMBRE!D127</f>
        <v>317318124.0267415</v>
      </c>
      <c r="E127" s="16">
        <f>ENERO!E127+FEBRERO!E127+MARZO!E127+ABRIL!E127+MAYO!E127+JUNIO!E127+JULIO!E127+AGOSTO!E127+SEPTIEMBRE!E127+OCTUBRE!E127+NOVIEMBRE!E127+DICIEMBRE!E127</f>
        <v>163916055.86000001</v>
      </c>
      <c r="F127" s="16">
        <f>ENERO!F127+FEBRERO!F127+MARZO!F127+ABRIL!F127+MAYO!F127+JUNIO!F127+JULIO!F127+AGOSTO!F127+SEPTIEMBRE!F127+OCTUBRE!F127+NOVIEMBRE!F127+DICIEMBRE!F127</f>
        <v>243685289.21254027</v>
      </c>
      <c r="G127" s="16">
        <f>ENERO!G127+FEBRERO!G127+MARZO!G127+ABRIL!G127+MAYO!G127+JUNIO!G127+JULIO!G127+AGOSTO!G127+SEPTIEMBRE!G127+OCTUBRE!G127+NOVIEMBRE!G127+DICIEMBRE!G127</f>
        <v>121244820.96999998</v>
      </c>
      <c r="H127" s="16">
        <f>ENERO!H127+FEBRERO!H127+MARZO!H127+ABRIL!H127+MAYO!H127+JUNIO!H127+JULIO!H127+AGOSTO!H127+SEPTIEMBRE!H127+OCTUBRE!H127+NOVIEMBRE!H127+DICIEMBRE!H127</f>
        <v>751481060.76000011</v>
      </c>
      <c r="I127" s="16">
        <f>ENERO!I127+FEBRERO!I127+MARZO!I127+ABRIL!I127+MAYO!I127+JUNIO!I127+JULIO!I127+AGOSTO!I127+SEPTIEMBRE!I127+OCTUBRE!I127+NOVIEMBRE!I127+DICIEMBRE!I127</f>
        <v>649826189.51999998</v>
      </c>
      <c r="J127" s="16">
        <f>ENERO!J127+FEBRERO!J127+MARZO!J127+ABRIL!J127+MAYO!J127+JUNIO!J127+JULIO!J127+AGOSTO!J127+SEPTIEMBRE!J127+OCTUBRE!J127+NOVIEMBRE!J127+DICIEMBRE!J127</f>
        <v>2899270609.8400002</v>
      </c>
      <c r="K127" s="16">
        <f>ENERO!K127+FEBRERO!K127+MARZO!K127+ABRIL!K127+MAYO!K127+JUNIO!K127+JULIO!K127+AGOSTO!K127+SEPTIEMBRE!K127+OCTUBRE!K127+NOVIEMBRE!K127+DICIEMBRE!K127</f>
        <v>0</v>
      </c>
      <c r="L127" s="16">
        <f>ENERO!L127+FEBRERO!L127+MARZO!L127+ABRIL!L127+MAYO!L127+JUNIO!L127+JULIO!L127+AGOSTO!L127+SEPTIEMBRE!L127+OCTUBRE!L127+NOVIEMBRE!L127+DICIEMBRE!L127</f>
        <v>0</v>
      </c>
      <c r="M127" s="16">
        <f>ENERO!M127+FEBRERO!M127+MARZO!M127+ABRIL!M127+MAYO!M127+JUNIO!M127+JULIO!M127+AGOSTO!M127+SEPTIEMBRE!M127+OCTUBRE!M127+NOVIEMBRE!M127+DICIEMBRE!M127</f>
        <v>0</v>
      </c>
      <c r="N127" s="18">
        <f t="shared" si="3"/>
        <v>18432743883.369282</v>
      </c>
      <c r="O127" s="4"/>
      <c r="P127" s="4"/>
      <c r="Q127" s="4"/>
    </row>
    <row r="128" spans="1:17" ht="18" customHeight="1" x14ac:dyDescent="0.2">
      <c r="A128" s="17" t="s">
        <v>123</v>
      </c>
      <c r="B128" s="16">
        <f>ENERO!B128+FEBRERO!B128+MARZO!B128+ABRIL!B128+MAYO!B128+JUNIO!B128+JULIO!B128+AGOSTO!B128+SEPTIEMBRE!B128+OCTUBRE!B128+NOVIEMBRE!B128+DICIEMBRE!B128</f>
        <v>5755440865.1300001</v>
      </c>
      <c r="C128" s="16">
        <f>ENERO!C128+FEBRERO!C128+MARZO!C128+ABRIL!C128+MAYO!C128+JUNIO!C128+JULIO!C128+AGOSTO!C128+SEPTIEMBRE!C128+OCTUBRE!C128+NOVIEMBRE!C128+DICIEMBRE!C128</f>
        <v>0</v>
      </c>
      <c r="D128" s="16">
        <f>ENERO!D128+FEBRERO!D128+MARZO!D128+ABRIL!D128+MAYO!D128+JUNIO!D128+JULIO!D128+AGOSTO!D128+SEPTIEMBRE!D128+OCTUBRE!D128+NOVIEMBRE!D128+DICIEMBRE!D128</f>
        <v>269672745.53315353</v>
      </c>
      <c r="E128" s="16">
        <f>ENERO!E128+FEBRERO!E128+MARZO!E128+ABRIL!E128+MAYO!E128+JUNIO!E128+JULIO!E128+AGOSTO!E128+SEPTIEMBRE!E128+OCTUBRE!E128+NOVIEMBRE!E128+DICIEMBRE!E128</f>
        <v>72226884.159999996</v>
      </c>
      <c r="F128" s="16">
        <f>ENERO!F128+FEBRERO!F128+MARZO!F128+ABRIL!F128+MAYO!F128+JUNIO!F128+JULIO!F128+AGOSTO!F128+SEPTIEMBRE!F128+OCTUBRE!F128+NOVIEMBRE!F128+DICIEMBRE!F128</f>
        <v>22294611.509977087</v>
      </c>
      <c r="G128" s="16">
        <f>ENERO!G128+FEBRERO!G128+MARZO!G128+ABRIL!G128+MAYO!G128+JUNIO!G128+JULIO!G128+AGOSTO!G128+SEPTIEMBRE!G128+OCTUBRE!G128+NOVIEMBRE!G128+DICIEMBRE!G128</f>
        <v>14506076.800000003</v>
      </c>
      <c r="H128" s="16">
        <f>ENERO!H128+FEBRERO!H128+MARZO!H128+ABRIL!H128+MAYO!H128+JUNIO!H128+JULIO!H128+AGOSTO!H128+SEPTIEMBRE!H128+OCTUBRE!H128+NOVIEMBRE!H128+DICIEMBRE!H128</f>
        <v>327369373.83999997</v>
      </c>
      <c r="I128" s="16">
        <f>ENERO!I128+FEBRERO!I128+MARZO!I128+ABRIL!I128+MAYO!I128+JUNIO!I128+JULIO!I128+AGOSTO!I128+SEPTIEMBRE!I128+OCTUBRE!I128+NOVIEMBRE!I128+DICIEMBRE!I128</f>
        <v>59452183.31000001</v>
      </c>
      <c r="J128" s="16">
        <f>ENERO!J128+FEBRERO!J128+MARZO!J128+ABRIL!J128+MAYO!J128+JUNIO!J128+JULIO!J128+AGOSTO!J128+SEPTIEMBRE!J128+OCTUBRE!J128+NOVIEMBRE!J128+DICIEMBRE!J128</f>
        <v>623068500.0200001</v>
      </c>
      <c r="K128" s="16">
        <f>ENERO!K128+FEBRERO!K128+MARZO!K128+ABRIL!K128+MAYO!K128+JUNIO!K128+JULIO!K128+AGOSTO!K128+SEPTIEMBRE!K128+OCTUBRE!K128+NOVIEMBRE!K128+DICIEMBRE!K128</f>
        <v>0</v>
      </c>
      <c r="L128" s="16">
        <f>ENERO!L128+FEBRERO!L128+MARZO!L128+ABRIL!L128+MAYO!L128+JUNIO!L128+JULIO!L128+AGOSTO!L128+SEPTIEMBRE!L128+OCTUBRE!L128+NOVIEMBRE!L128+DICIEMBRE!L128</f>
        <v>0</v>
      </c>
      <c r="M128" s="16">
        <f>ENERO!M128+FEBRERO!M128+MARZO!M128+ABRIL!M128+MAYO!M128+JUNIO!M128+JULIO!M128+AGOSTO!M128+SEPTIEMBRE!M128+OCTUBRE!M128+NOVIEMBRE!M128+DICIEMBRE!M128</f>
        <v>0</v>
      </c>
      <c r="N128" s="18">
        <f t="shared" si="3"/>
        <v>7144031240.3031321</v>
      </c>
      <c r="O128" s="4"/>
      <c r="P128" s="4"/>
      <c r="Q128" s="4"/>
    </row>
    <row r="129" spans="1:17" ht="18" customHeight="1" x14ac:dyDescent="0.2">
      <c r="A129" s="17" t="s">
        <v>124</v>
      </c>
      <c r="B129" s="16">
        <f>ENERO!B129+FEBRERO!B129+MARZO!B129+ABRIL!B129+MAYO!B129+JUNIO!B129+JULIO!B129+AGOSTO!B129+SEPTIEMBRE!B129+OCTUBRE!B129+NOVIEMBRE!B129+DICIEMBRE!B129</f>
        <v>37983746694.989998</v>
      </c>
      <c r="C129" s="16">
        <f>ENERO!C129+FEBRERO!C129+MARZO!C129+ABRIL!C129+MAYO!C129+JUNIO!C129+JULIO!C129+AGOSTO!C129+SEPTIEMBRE!C129+OCTUBRE!C129+NOVIEMBRE!C129+DICIEMBRE!C129</f>
        <v>0</v>
      </c>
      <c r="D129" s="16">
        <f>ENERO!D129+FEBRERO!D129+MARZO!D129+ABRIL!D129+MAYO!D129+JUNIO!D129+JULIO!D129+AGOSTO!D129+SEPTIEMBRE!D129+OCTUBRE!D129+NOVIEMBRE!D129+DICIEMBRE!D129</f>
        <v>2558623311.9410295</v>
      </c>
      <c r="E129" s="16">
        <f>ENERO!E129+FEBRERO!E129+MARZO!E129+ABRIL!E129+MAYO!E129+JUNIO!E129+JULIO!E129+AGOSTO!E129+SEPTIEMBRE!E129+OCTUBRE!E129+NOVIEMBRE!E129+DICIEMBRE!E129</f>
        <v>376888357.35000002</v>
      </c>
      <c r="F129" s="16">
        <f>ENERO!F129+FEBRERO!F129+MARZO!F129+ABRIL!F129+MAYO!F129+JUNIO!F129+JULIO!F129+AGOSTO!F129+SEPTIEMBRE!F129+OCTUBRE!F129+NOVIEMBRE!F129+DICIEMBRE!F129</f>
        <v>283550589.47541922</v>
      </c>
      <c r="G129" s="16">
        <f>ENERO!G129+FEBRERO!G129+MARZO!G129+ABRIL!G129+MAYO!G129+JUNIO!G129+JULIO!G129+AGOSTO!G129+SEPTIEMBRE!G129+OCTUBRE!G129+NOVIEMBRE!G129+DICIEMBRE!G129</f>
        <v>179918653.97</v>
      </c>
      <c r="H129" s="16">
        <f>ENERO!H129+FEBRERO!H129+MARZO!H129+ABRIL!H129+MAYO!H129+JUNIO!H129+JULIO!H129+AGOSTO!H129+SEPTIEMBRE!H129+OCTUBRE!H129+NOVIEMBRE!H129+DICIEMBRE!H129</f>
        <v>2151288310.73</v>
      </c>
      <c r="I129" s="16">
        <f>ENERO!I129+FEBRERO!I129+MARZO!I129+ABRIL!I129+MAYO!I129+JUNIO!I129+JULIO!I129+AGOSTO!I129+SEPTIEMBRE!I129+OCTUBRE!I129+NOVIEMBRE!I129+DICIEMBRE!I129</f>
        <v>756133452.70000005</v>
      </c>
      <c r="J129" s="16">
        <f>ENERO!J129+FEBRERO!J129+MARZO!J129+ABRIL!J129+MAYO!J129+JUNIO!J129+JULIO!J129+AGOSTO!J129+SEPTIEMBRE!J129+OCTUBRE!J129+NOVIEMBRE!J129+DICIEMBRE!J129</f>
        <v>3904010694.5700002</v>
      </c>
      <c r="K129" s="16">
        <f>ENERO!K129+FEBRERO!K129+MARZO!K129+ABRIL!K129+MAYO!K129+JUNIO!K129+JULIO!K129+AGOSTO!K129+SEPTIEMBRE!K129+OCTUBRE!K129+NOVIEMBRE!K129+DICIEMBRE!K129</f>
        <v>0</v>
      </c>
      <c r="L129" s="16">
        <f>ENERO!L129+FEBRERO!L129+MARZO!L129+ABRIL!L129+MAYO!L129+JUNIO!L129+JULIO!L129+AGOSTO!L129+SEPTIEMBRE!L129+OCTUBRE!L129+NOVIEMBRE!L129+DICIEMBRE!L129</f>
        <v>0</v>
      </c>
      <c r="M129" s="16">
        <f>ENERO!M129+FEBRERO!M129+MARZO!M129+ABRIL!M129+MAYO!M129+JUNIO!M129+JULIO!M129+AGOSTO!M129+SEPTIEMBRE!M129+OCTUBRE!M129+NOVIEMBRE!M129+DICIEMBRE!M129</f>
        <v>0</v>
      </c>
      <c r="N129" s="18">
        <f t="shared" si="3"/>
        <v>48194160065.726448</v>
      </c>
      <c r="O129" s="4"/>
      <c r="P129" s="4"/>
      <c r="Q129" s="4"/>
    </row>
    <row r="130" spans="1:17" ht="18" customHeight="1" x14ac:dyDescent="0.2">
      <c r="A130" s="17" t="s">
        <v>125</v>
      </c>
      <c r="B130" s="16">
        <f>ENERO!B130+FEBRERO!B130+MARZO!B130+ABRIL!B130+MAYO!B130+JUNIO!B130+JULIO!B130+AGOSTO!B130+SEPTIEMBRE!B130+OCTUBRE!B130+NOVIEMBRE!B130+DICIEMBRE!B130</f>
        <v>9928631185.8199997</v>
      </c>
      <c r="C130" s="16">
        <f>ENERO!C130+FEBRERO!C130+MARZO!C130+ABRIL!C130+MAYO!C130+JUNIO!C130+JULIO!C130+AGOSTO!C130+SEPTIEMBRE!C130+OCTUBRE!C130+NOVIEMBRE!C130+DICIEMBRE!C130</f>
        <v>0</v>
      </c>
      <c r="D130" s="16">
        <f>ENERO!D130+FEBRERO!D130+MARZO!D130+ABRIL!D130+MAYO!D130+JUNIO!D130+JULIO!D130+AGOSTO!D130+SEPTIEMBRE!D130+OCTUBRE!D130+NOVIEMBRE!D130+DICIEMBRE!D130</f>
        <v>669940726.54215026</v>
      </c>
      <c r="E130" s="16">
        <f>ENERO!E130+FEBRERO!E130+MARZO!E130+ABRIL!E130+MAYO!E130+JUNIO!E130+JULIO!E130+AGOSTO!E130+SEPTIEMBRE!E130+OCTUBRE!E130+NOVIEMBRE!E130+DICIEMBRE!E130</f>
        <v>123224715.73</v>
      </c>
      <c r="F130" s="16">
        <f>ENERO!F130+FEBRERO!F130+MARZO!F130+ABRIL!F130+MAYO!F130+JUNIO!F130+JULIO!F130+AGOSTO!F130+SEPTIEMBRE!F130+OCTUBRE!F130+NOVIEMBRE!F130+DICIEMBRE!F130</f>
        <v>35083768.54035154</v>
      </c>
      <c r="G130" s="16">
        <f>ENERO!G130+FEBRERO!G130+MARZO!G130+ABRIL!G130+MAYO!G130+JUNIO!G130+JULIO!G130+AGOSTO!G130+SEPTIEMBRE!G130+OCTUBRE!G130+NOVIEMBRE!G130+DICIEMBRE!G130</f>
        <v>13423533.739999998</v>
      </c>
      <c r="H130" s="16">
        <f>ENERO!H130+FEBRERO!H130+MARZO!H130+ABRIL!H130+MAYO!H130+JUNIO!H130+JULIO!H130+AGOSTO!H130+SEPTIEMBRE!H130+OCTUBRE!H130+NOVIEMBRE!H130+DICIEMBRE!H130</f>
        <v>563736252.45000005</v>
      </c>
      <c r="I130" s="16">
        <f>ENERO!I130+FEBRERO!I130+MARZO!I130+ABRIL!I130+MAYO!I130+JUNIO!I130+JULIO!I130+AGOSTO!I130+SEPTIEMBRE!I130+OCTUBRE!I130+NOVIEMBRE!I130+DICIEMBRE!I130</f>
        <v>93556536.499999985</v>
      </c>
      <c r="J130" s="16">
        <f>ENERO!J130+FEBRERO!J130+MARZO!J130+ABRIL!J130+MAYO!J130+JUNIO!J130+JULIO!J130+AGOSTO!J130+SEPTIEMBRE!J130+OCTUBRE!J130+NOVIEMBRE!J130+DICIEMBRE!J130</f>
        <v>1073005606.1600001</v>
      </c>
      <c r="K130" s="16">
        <f>ENERO!K130+FEBRERO!K130+MARZO!K130+ABRIL!K130+MAYO!K130+JUNIO!K130+JULIO!K130+AGOSTO!K130+SEPTIEMBRE!K130+OCTUBRE!K130+NOVIEMBRE!K130+DICIEMBRE!K130</f>
        <v>0</v>
      </c>
      <c r="L130" s="16">
        <f>ENERO!L130+FEBRERO!L130+MARZO!L130+ABRIL!L130+MAYO!L130+JUNIO!L130+JULIO!L130+AGOSTO!L130+SEPTIEMBRE!L130+OCTUBRE!L130+NOVIEMBRE!L130+DICIEMBRE!L130</f>
        <v>0</v>
      </c>
      <c r="M130" s="16">
        <f>ENERO!M130+FEBRERO!M130+MARZO!M130+ABRIL!M130+MAYO!M130+JUNIO!M130+JULIO!M130+AGOSTO!M130+SEPTIEMBRE!M130+OCTUBRE!M130+NOVIEMBRE!M130+DICIEMBRE!M130</f>
        <v>0</v>
      </c>
      <c r="N130" s="18">
        <f t="shared" si="3"/>
        <v>12500602325.482502</v>
      </c>
      <c r="O130" s="4"/>
      <c r="P130" s="4"/>
      <c r="Q130" s="4"/>
    </row>
    <row r="131" spans="1:17" ht="18" customHeight="1" x14ac:dyDescent="0.2">
      <c r="A131" s="17" t="s">
        <v>126</v>
      </c>
      <c r="B131" s="16">
        <f>ENERO!B131+FEBRERO!B131+MARZO!B131+ABRIL!B131+MAYO!B131+JUNIO!B131+JULIO!B131+AGOSTO!B131+SEPTIEMBRE!B131+OCTUBRE!B131+NOVIEMBRE!B131+DICIEMBRE!B131</f>
        <v>64404338628.320007</v>
      </c>
      <c r="C131" s="16">
        <f>ENERO!C131+FEBRERO!C131+MARZO!C131+ABRIL!C131+MAYO!C131+JUNIO!C131+JULIO!C131+AGOSTO!C131+SEPTIEMBRE!C131+OCTUBRE!C131+NOVIEMBRE!C131+DICIEMBRE!C131</f>
        <v>0</v>
      </c>
      <c r="D131" s="16">
        <f>ENERO!D131+FEBRERO!D131+MARZO!D131+ABRIL!D131+MAYO!D131+JUNIO!D131+JULIO!D131+AGOSTO!D131+SEPTIEMBRE!D131+OCTUBRE!D131+NOVIEMBRE!D131+DICIEMBRE!D131</f>
        <v>1540749337.48</v>
      </c>
      <c r="E131" s="16">
        <f>ENERO!E131+FEBRERO!E131+MARZO!E131+ABRIL!E131+MAYO!E131+JUNIO!E131+JULIO!E131+AGOSTO!E131+SEPTIEMBRE!E131+OCTUBRE!E131+NOVIEMBRE!E131+DICIEMBRE!E131</f>
        <v>1228937281.8500001</v>
      </c>
      <c r="F131" s="16">
        <f>ENERO!F131+FEBRERO!F131+MARZO!F131+ABRIL!F131+MAYO!F131+JUNIO!F131+JULIO!F131+AGOSTO!F131+SEPTIEMBRE!F131+OCTUBRE!F131+NOVIEMBRE!F131+DICIEMBRE!F131</f>
        <v>1549158655.593421</v>
      </c>
      <c r="G131" s="16">
        <f>ENERO!G131+FEBRERO!G131+MARZO!G131+ABRIL!G131+MAYO!G131+JUNIO!G131+JULIO!G131+AGOSTO!G131+SEPTIEMBRE!G131+OCTUBRE!G131+NOVIEMBRE!G131+DICIEMBRE!G131</f>
        <v>91973600.922451079</v>
      </c>
      <c r="H131" s="16">
        <f>ENERO!H131+FEBRERO!H131+MARZO!H131+ABRIL!H131+MAYO!H131+JUNIO!H131+JULIO!H131+AGOSTO!H131+SEPTIEMBRE!H131+OCTUBRE!H131+NOVIEMBRE!H131+DICIEMBRE!H131</f>
        <v>3648120705.7599998</v>
      </c>
      <c r="I131" s="16">
        <f>ENERO!I131+FEBRERO!I131+MARZO!I131+ABRIL!I131+MAYO!I131+JUNIO!I131+JULIO!I131+AGOSTO!I131+SEPTIEMBRE!I131+OCTUBRE!I131+NOVIEMBRE!I131+DICIEMBRE!I131</f>
        <v>4131081811.5999994</v>
      </c>
      <c r="J131" s="16">
        <f>ENERO!J131+FEBRERO!J131+MARZO!J131+ABRIL!J131+MAYO!J131+JUNIO!J131+JULIO!J131+AGOSTO!J131+SEPTIEMBRE!J131+OCTUBRE!J131+NOVIEMBRE!J131+DICIEMBRE!J131</f>
        <v>8430623050.6699991</v>
      </c>
      <c r="K131" s="16">
        <f>ENERO!K131+FEBRERO!K131+MARZO!K131+ABRIL!K131+MAYO!K131+JUNIO!K131+JULIO!K131+AGOSTO!K131+SEPTIEMBRE!K131+OCTUBRE!K131+NOVIEMBRE!K131+DICIEMBRE!K131</f>
        <v>0</v>
      </c>
      <c r="L131" s="16">
        <f>ENERO!L131+FEBRERO!L131+MARZO!L131+ABRIL!L131+MAYO!L131+JUNIO!L131+JULIO!L131+AGOSTO!L131+SEPTIEMBRE!L131+OCTUBRE!L131+NOVIEMBRE!L131+DICIEMBRE!L131</f>
        <v>0</v>
      </c>
      <c r="M131" s="16">
        <f>ENERO!M131+FEBRERO!M131+MARZO!M131+ABRIL!M131+MAYO!M131+JUNIO!M131+JULIO!M131+AGOSTO!M131+SEPTIEMBRE!M131+OCTUBRE!M131+NOVIEMBRE!M131+DICIEMBRE!M131</f>
        <v>0</v>
      </c>
      <c r="N131" s="18">
        <f t="shared" si="3"/>
        <v>85024983072.195877</v>
      </c>
      <c r="O131" s="4"/>
      <c r="P131" s="4"/>
      <c r="Q131" s="4"/>
    </row>
    <row r="132" spans="1:17" ht="18" customHeight="1" x14ac:dyDescent="0.2">
      <c r="A132" s="17" t="s">
        <v>127</v>
      </c>
      <c r="B132" s="16">
        <f>ENERO!B132+FEBRERO!B132+MARZO!B132+ABRIL!B132+MAYO!B132+JUNIO!B132+JULIO!B132+AGOSTO!B132+SEPTIEMBRE!B132+OCTUBRE!B132+NOVIEMBRE!B132+DICIEMBRE!B132</f>
        <v>2400954347.0299997</v>
      </c>
      <c r="C132" s="16">
        <f>ENERO!C132+FEBRERO!C132+MARZO!C132+ABRIL!C132+MAYO!C132+JUNIO!C132+JULIO!C132+AGOSTO!C132+SEPTIEMBRE!C132+OCTUBRE!C132+NOVIEMBRE!C132+DICIEMBRE!C132</f>
        <v>0</v>
      </c>
      <c r="D132" s="16">
        <f>ENERO!D132+FEBRERO!D132+MARZO!D132+ABRIL!D132+MAYO!D132+JUNIO!D132+JULIO!D132+AGOSTO!D132+SEPTIEMBRE!D132+OCTUBRE!D132+NOVIEMBRE!D132+DICIEMBRE!D132</f>
        <v>66415558.801513925</v>
      </c>
      <c r="E132" s="16">
        <f>ENERO!E132+FEBRERO!E132+MARZO!E132+ABRIL!E132+MAYO!E132+JUNIO!E132+JULIO!E132+AGOSTO!E132+SEPTIEMBRE!E132+OCTUBRE!E132+NOVIEMBRE!E132+DICIEMBRE!E132</f>
        <v>30008449.039999999</v>
      </c>
      <c r="F132" s="16">
        <f>ENERO!F132+FEBRERO!F132+MARZO!F132+ABRIL!F132+MAYO!F132+JUNIO!F132+JULIO!F132+AGOSTO!F132+SEPTIEMBRE!F132+OCTUBRE!F132+NOVIEMBRE!F132+DICIEMBRE!F132</f>
        <v>6625013.7069957759</v>
      </c>
      <c r="G132" s="16">
        <f>ENERO!G132+FEBRERO!G132+MARZO!G132+ABRIL!G132+MAYO!G132+JUNIO!G132+JULIO!G132+AGOSTO!G132+SEPTIEMBRE!G132+OCTUBRE!G132+NOVIEMBRE!G132+DICIEMBRE!G132</f>
        <v>3247629.1199999996</v>
      </c>
      <c r="H132" s="16">
        <f>ENERO!H132+FEBRERO!H132+MARZO!H132+ABRIL!H132+MAYO!H132+JUNIO!H132+JULIO!H132+AGOSTO!H132+SEPTIEMBRE!H132+OCTUBRE!H132+NOVIEMBRE!H132+DICIEMBRE!H132</f>
        <v>136565619.11000001</v>
      </c>
      <c r="I132" s="16">
        <f>ENERO!I132+FEBRERO!I132+MARZO!I132+ABRIL!I132+MAYO!I132+JUNIO!I132+JULIO!I132+AGOSTO!I132+SEPTIEMBRE!I132+OCTUBRE!I132+NOVIEMBRE!I132+DICIEMBRE!I132</f>
        <v>17666669.449999999</v>
      </c>
      <c r="J132" s="16">
        <f>ENERO!J132+FEBRERO!J132+MARZO!J132+ABRIL!J132+MAYO!J132+JUNIO!J132+JULIO!J132+AGOSTO!J132+SEPTIEMBRE!J132+OCTUBRE!J132+NOVIEMBRE!J132+DICIEMBRE!J132</f>
        <v>302735404.61000007</v>
      </c>
      <c r="K132" s="16">
        <f>ENERO!K132+FEBRERO!K132+MARZO!K132+ABRIL!K132+MAYO!K132+JUNIO!K132+JULIO!K132+AGOSTO!K132+SEPTIEMBRE!K132+OCTUBRE!K132+NOVIEMBRE!K132+DICIEMBRE!K132</f>
        <v>0</v>
      </c>
      <c r="L132" s="16">
        <f>ENERO!L132+FEBRERO!L132+MARZO!L132+ABRIL!L132+MAYO!L132+JUNIO!L132+JULIO!L132+AGOSTO!L132+SEPTIEMBRE!L132+OCTUBRE!L132+NOVIEMBRE!L132+DICIEMBRE!L132</f>
        <v>0</v>
      </c>
      <c r="M132" s="16">
        <f>ENERO!M132+FEBRERO!M132+MARZO!M132+ABRIL!M132+MAYO!M132+JUNIO!M132+JULIO!M132+AGOSTO!M132+SEPTIEMBRE!M132+OCTUBRE!M132+NOVIEMBRE!M132+DICIEMBRE!M132</f>
        <v>0</v>
      </c>
      <c r="N132" s="18">
        <f t="shared" si="3"/>
        <v>2964218690.8685098</v>
      </c>
      <c r="O132" s="4"/>
      <c r="P132" s="4"/>
      <c r="Q132" s="4"/>
    </row>
    <row r="133" spans="1:17" ht="18" customHeight="1" x14ac:dyDescent="0.2">
      <c r="A133" s="17" t="s">
        <v>128</v>
      </c>
      <c r="B133" s="16">
        <f>ENERO!B133+FEBRERO!B133+MARZO!B133+ABRIL!B133+MAYO!B133+JUNIO!B133+JULIO!B133+AGOSTO!B133+SEPTIEMBRE!B133+OCTUBRE!B133+NOVIEMBRE!B133+DICIEMBRE!B133</f>
        <v>16155610834.170002</v>
      </c>
      <c r="C133" s="16">
        <f>ENERO!C133+FEBRERO!C133+MARZO!C133+ABRIL!C133+MAYO!C133+JUNIO!C133+JULIO!C133+AGOSTO!C133+SEPTIEMBRE!C133+OCTUBRE!C133+NOVIEMBRE!C133+DICIEMBRE!C133</f>
        <v>0</v>
      </c>
      <c r="D133" s="16">
        <f>ENERO!D133+FEBRERO!D133+MARZO!D133+ABRIL!D133+MAYO!D133+JUNIO!D133+JULIO!D133+AGOSTO!D133+SEPTIEMBRE!D133+OCTUBRE!D133+NOVIEMBRE!D133+DICIEMBRE!D133</f>
        <v>427223189.34986001</v>
      </c>
      <c r="E133" s="16">
        <f>ENERO!E133+FEBRERO!E133+MARZO!E133+ABRIL!E133+MAYO!E133+JUNIO!E133+JULIO!E133+AGOSTO!E133+SEPTIEMBRE!E133+OCTUBRE!E133+NOVIEMBRE!E133+DICIEMBRE!E133</f>
        <v>117498659.64999999</v>
      </c>
      <c r="F133" s="16">
        <f>ENERO!F133+FEBRERO!F133+MARZO!F133+ABRIL!F133+MAYO!F133+JUNIO!F133+JULIO!F133+AGOSTO!F133+SEPTIEMBRE!F133+OCTUBRE!F133+NOVIEMBRE!F133+DICIEMBRE!F133</f>
        <v>23965267.168089066</v>
      </c>
      <c r="G133" s="16">
        <f>ENERO!G133+FEBRERO!G133+MARZO!G133+ABRIL!G133+MAYO!G133+JUNIO!G133+JULIO!G133+AGOSTO!G133+SEPTIEMBRE!G133+OCTUBRE!G133+NOVIEMBRE!G133+DICIEMBRE!G133</f>
        <v>18403231.739999998</v>
      </c>
      <c r="H133" s="16">
        <f>ENERO!H133+FEBRERO!H133+MARZO!H133+ABRIL!H133+MAYO!H133+JUNIO!H133+JULIO!H133+AGOSTO!H133+SEPTIEMBRE!H133+OCTUBRE!H133+NOVIEMBRE!H133+DICIEMBRE!H133</f>
        <v>914054209.76999986</v>
      </c>
      <c r="I133" s="16">
        <f>ENERO!I133+FEBRERO!I133+MARZO!I133+ABRIL!I133+MAYO!I133+JUNIO!I133+JULIO!I133+AGOSTO!I133+SEPTIEMBRE!I133+OCTUBRE!I133+NOVIEMBRE!I133+DICIEMBRE!I133</f>
        <v>63907256.459999993</v>
      </c>
      <c r="J133" s="16">
        <f>ENERO!J133+FEBRERO!J133+MARZO!J133+ABRIL!J133+MAYO!J133+JUNIO!J133+JULIO!J133+AGOSTO!J133+SEPTIEMBRE!J133+OCTUBRE!J133+NOVIEMBRE!J133+DICIEMBRE!J133</f>
        <v>1116741956.9899998</v>
      </c>
      <c r="K133" s="16">
        <f>ENERO!K133+FEBRERO!K133+MARZO!K133+ABRIL!K133+MAYO!K133+JUNIO!K133+JULIO!K133+AGOSTO!K133+SEPTIEMBRE!K133+OCTUBRE!K133+NOVIEMBRE!K133+DICIEMBRE!K133</f>
        <v>0</v>
      </c>
      <c r="L133" s="16">
        <f>ENERO!L133+FEBRERO!L133+MARZO!L133+ABRIL!L133+MAYO!L133+JUNIO!L133+JULIO!L133+AGOSTO!L133+SEPTIEMBRE!L133+OCTUBRE!L133+NOVIEMBRE!L133+DICIEMBRE!L133</f>
        <v>0</v>
      </c>
      <c r="M133" s="16">
        <f>ENERO!M133+FEBRERO!M133+MARZO!M133+ABRIL!M133+MAYO!M133+JUNIO!M133+JULIO!M133+AGOSTO!M133+SEPTIEMBRE!M133+OCTUBRE!M133+NOVIEMBRE!M133+DICIEMBRE!M133</f>
        <v>0</v>
      </c>
      <c r="N133" s="18">
        <f t="shared" si="3"/>
        <v>18837404605.297951</v>
      </c>
      <c r="O133" s="4"/>
      <c r="P133" s="4"/>
      <c r="Q133" s="4"/>
    </row>
    <row r="134" spans="1:17" ht="18" customHeight="1" x14ac:dyDescent="0.2">
      <c r="A134" s="17" t="s">
        <v>129</v>
      </c>
      <c r="B134" s="16">
        <f>ENERO!B134+FEBRERO!B134+MARZO!B134+ABRIL!B134+MAYO!B134+JUNIO!B134+JULIO!B134+AGOSTO!B134+SEPTIEMBRE!B134+OCTUBRE!B134+NOVIEMBRE!B134+DICIEMBRE!B134</f>
        <v>27850349431.5</v>
      </c>
      <c r="C134" s="16">
        <f>ENERO!C134+FEBRERO!C134+MARZO!C134+ABRIL!C134+MAYO!C134+JUNIO!C134+JULIO!C134+AGOSTO!C134+SEPTIEMBRE!C134+OCTUBRE!C134+NOVIEMBRE!C134+DICIEMBRE!C134</f>
        <v>0</v>
      </c>
      <c r="D134" s="16">
        <f>ENERO!D134+FEBRERO!D134+MARZO!D134+ABRIL!D134+MAYO!D134+JUNIO!D134+JULIO!D134+AGOSTO!D134+SEPTIEMBRE!D134+OCTUBRE!D134+NOVIEMBRE!D134+DICIEMBRE!D134</f>
        <v>1437448247.5045807</v>
      </c>
      <c r="E134" s="16">
        <f>ENERO!E134+FEBRERO!E134+MARZO!E134+ABRIL!E134+MAYO!E134+JUNIO!E134+JULIO!E134+AGOSTO!E134+SEPTIEMBRE!E134+OCTUBRE!E134+NOVIEMBRE!E134+DICIEMBRE!E134</f>
        <v>341278023.76999998</v>
      </c>
      <c r="F134" s="16">
        <f>ENERO!F134+FEBRERO!F134+MARZO!F134+ABRIL!F134+MAYO!F134+JUNIO!F134+JULIO!F134+AGOSTO!F134+SEPTIEMBRE!F134+OCTUBRE!F134+NOVIEMBRE!F134+DICIEMBRE!F134</f>
        <v>111818710.67259829</v>
      </c>
      <c r="G134" s="16">
        <f>ENERO!G134+FEBRERO!G134+MARZO!G134+ABRIL!G134+MAYO!G134+JUNIO!G134+JULIO!G134+AGOSTO!G134+SEPTIEMBRE!G134+OCTUBRE!G134+NOVIEMBRE!G134+DICIEMBRE!G134</f>
        <v>60838919.089999996</v>
      </c>
      <c r="H134" s="16">
        <f>ENERO!H134+FEBRERO!H134+MARZO!H134+ABRIL!H134+MAYO!H134+JUNIO!H134+JULIO!H134+AGOSTO!H134+SEPTIEMBRE!H134+OCTUBRE!H134+NOVIEMBRE!H134+DICIEMBRE!H134</f>
        <v>1575962978</v>
      </c>
      <c r="I134" s="16">
        <f>ENERO!I134+FEBRERO!I134+MARZO!I134+ABRIL!I134+MAYO!I134+JUNIO!I134+JULIO!I134+AGOSTO!I134+SEPTIEMBRE!I134+OCTUBRE!I134+NOVIEMBRE!I134+DICIEMBRE!I134</f>
        <v>298182655.75999993</v>
      </c>
      <c r="J134" s="16">
        <f>ENERO!J134+FEBRERO!J134+MARZO!J134+ABRIL!J134+MAYO!J134+JUNIO!J134+JULIO!J134+AGOSTO!J134+SEPTIEMBRE!J134+OCTUBRE!J134+NOVIEMBRE!J134+DICIEMBRE!J134</f>
        <v>2521996225.9100003</v>
      </c>
      <c r="K134" s="16">
        <f>ENERO!K134+FEBRERO!K134+MARZO!K134+ABRIL!K134+MAYO!K134+JUNIO!K134+JULIO!K134+AGOSTO!K134+SEPTIEMBRE!K134+OCTUBRE!K134+NOVIEMBRE!K134+DICIEMBRE!K134</f>
        <v>0</v>
      </c>
      <c r="L134" s="16">
        <f>ENERO!L134+FEBRERO!L134+MARZO!L134+ABRIL!L134+MAYO!L134+JUNIO!L134+JULIO!L134+AGOSTO!L134+SEPTIEMBRE!L134+OCTUBRE!L134+NOVIEMBRE!L134+DICIEMBRE!L134</f>
        <v>0</v>
      </c>
      <c r="M134" s="16">
        <f>ENERO!M134+FEBRERO!M134+MARZO!M134+ABRIL!M134+MAYO!M134+JUNIO!M134+JULIO!M134+AGOSTO!M134+SEPTIEMBRE!M134+OCTUBRE!M134+NOVIEMBRE!M134+DICIEMBRE!M134</f>
        <v>0</v>
      </c>
      <c r="N134" s="18">
        <f t="shared" si="3"/>
        <v>34197875192.20718</v>
      </c>
      <c r="O134" s="4"/>
      <c r="P134" s="4"/>
      <c r="Q134" s="4"/>
    </row>
    <row r="135" spans="1:17" ht="18" customHeight="1" x14ac:dyDescent="0.2">
      <c r="A135" s="17" t="s">
        <v>130</v>
      </c>
      <c r="B135" s="16">
        <f>ENERO!B135+FEBRERO!B135+MARZO!B135+ABRIL!B135+MAYO!B135+JUNIO!B135+JULIO!B135+AGOSTO!B135+SEPTIEMBRE!B135+OCTUBRE!B135+NOVIEMBRE!B135+DICIEMBRE!B135</f>
        <v>23224727022.68</v>
      </c>
      <c r="C135" s="16">
        <f>ENERO!C135+FEBRERO!C135+MARZO!C135+ABRIL!C135+MAYO!C135+JUNIO!C135+JULIO!C135+AGOSTO!C135+SEPTIEMBRE!C135+OCTUBRE!C135+NOVIEMBRE!C135+DICIEMBRE!C135</f>
        <v>0</v>
      </c>
      <c r="D135" s="16">
        <f>ENERO!D135+FEBRERO!D135+MARZO!D135+ABRIL!D135+MAYO!D135+JUNIO!D135+JULIO!D135+AGOSTO!D135+SEPTIEMBRE!D135+OCTUBRE!D135+NOVIEMBRE!D135+DICIEMBRE!D135</f>
        <v>1727479091.7084532</v>
      </c>
      <c r="E135" s="16">
        <f>ENERO!E135+FEBRERO!E135+MARZO!E135+ABRIL!E135+MAYO!E135+JUNIO!E135+JULIO!E135+AGOSTO!E135+SEPTIEMBRE!E135+OCTUBRE!E135+NOVIEMBRE!E135+DICIEMBRE!E135</f>
        <v>344172914.78999996</v>
      </c>
      <c r="F135" s="16">
        <f>ENERO!F135+FEBRERO!F135+MARZO!F135+ABRIL!F135+MAYO!F135+JUNIO!F135+JULIO!F135+AGOSTO!F135+SEPTIEMBRE!F135+OCTUBRE!F135+NOVIEMBRE!F135+DICIEMBRE!F135</f>
        <v>168332958.63114485</v>
      </c>
      <c r="G135" s="16">
        <f>ENERO!G135+FEBRERO!G135+MARZO!G135+ABRIL!G135+MAYO!G135+JUNIO!G135+JULIO!G135+AGOSTO!G135+SEPTIEMBRE!G135+OCTUBRE!G135+NOVIEMBRE!G135+DICIEMBRE!G135</f>
        <v>77077064.760000005</v>
      </c>
      <c r="H135" s="16">
        <f>ENERO!H135+FEBRERO!H135+MARZO!H135+ABRIL!H135+MAYO!H135+JUNIO!H135+JULIO!H135+AGOSTO!H135+SEPTIEMBRE!H135+OCTUBRE!H135+NOVIEMBRE!H135+DICIEMBRE!H135</f>
        <v>1313445596.1700001</v>
      </c>
      <c r="I135" s="16">
        <f>ENERO!I135+FEBRERO!I135+MARZO!I135+ABRIL!I135+MAYO!I135+JUNIO!I135+JULIO!I135+AGOSTO!I135+SEPTIEMBRE!I135+OCTUBRE!I135+NOVIEMBRE!I135+DICIEMBRE!I135</f>
        <v>448887027.38</v>
      </c>
      <c r="J135" s="16">
        <f>ENERO!J135+FEBRERO!J135+MARZO!J135+ABRIL!J135+MAYO!J135+JUNIO!J135+JULIO!J135+AGOSTO!J135+SEPTIEMBRE!J135+OCTUBRE!J135+NOVIEMBRE!J135+DICIEMBRE!J135</f>
        <v>2600065413.8400002</v>
      </c>
      <c r="K135" s="16">
        <f>ENERO!K135+FEBRERO!K135+MARZO!K135+ABRIL!K135+MAYO!K135+JUNIO!K135+JULIO!K135+AGOSTO!K135+SEPTIEMBRE!K135+OCTUBRE!K135+NOVIEMBRE!K135+DICIEMBRE!K135</f>
        <v>0</v>
      </c>
      <c r="L135" s="16">
        <f>ENERO!L135+FEBRERO!L135+MARZO!L135+ABRIL!L135+MAYO!L135+JUNIO!L135+JULIO!L135+AGOSTO!L135+SEPTIEMBRE!L135+OCTUBRE!L135+NOVIEMBRE!L135+DICIEMBRE!L135</f>
        <v>0</v>
      </c>
      <c r="M135" s="16">
        <f>ENERO!M135+FEBRERO!M135+MARZO!M135+ABRIL!M135+MAYO!M135+JUNIO!M135+JULIO!M135+AGOSTO!M135+SEPTIEMBRE!M135+OCTUBRE!M135+NOVIEMBRE!M135+DICIEMBRE!M135</f>
        <v>0</v>
      </c>
      <c r="N135" s="18">
        <f t="shared" si="3"/>
        <v>29904187089.959602</v>
      </c>
      <c r="O135" s="4"/>
      <c r="P135" s="4"/>
      <c r="Q135" s="4"/>
    </row>
    <row r="136" spans="1:17" ht="18" customHeight="1" x14ac:dyDescent="0.2">
      <c r="A136" s="17" t="s">
        <v>131</v>
      </c>
      <c r="B136" s="16">
        <f>ENERO!B136+FEBRERO!B136+MARZO!B136+ABRIL!B136+MAYO!B136+JUNIO!B136+JULIO!B136+AGOSTO!B136+SEPTIEMBRE!B136+OCTUBRE!B136+NOVIEMBRE!B136+DICIEMBRE!B136</f>
        <v>36135444451.199997</v>
      </c>
      <c r="C136" s="16">
        <f>ENERO!C136+FEBRERO!C136+MARZO!C136+ABRIL!C136+MAYO!C136+JUNIO!C136+JULIO!C136+AGOSTO!C136+SEPTIEMBRE!C136+OCTUBRE!C136+NOVIEMBRE!C136+DICIEMBRE!C136</f>
        <v>0</v>
      </c>
      <c r="D136" s="16">
        <f>ENERO!D136+FEBRERO!D136+MARZO!D136+ABRIL!D136+MAYO!D136+JUNIO!D136+JULIO!D136+AGOSTO!D136+SEPTIEMBRE!D136+OCTUBRE!D136+NOVIEMBRE!D136+DICIEMBRE!D136</f>
        <v>580203042.25</v>
      </c>
      <c r="E136" s="16">
        <f>ENERO!E136+FEBRERO!E136+MARZO!E136+ABRIL!E136+MAYO!E136+JUNIO!E136+JULIO!E136+AGOSTO!E136+SEPTIEMBRE!E136+OCTUBRE!E136+NOVIEMBRE!E136+DICIEMBRE!E136</f>
        <v>548112599.15999997</v>
      </c>
      <c r="F136" s="16">
        <f>ENERO!F136+FEBRERO!F136+MARZO!F136+ABRIL!F136+MAYO!F136+JUNIO!F136+JULIO!F136+AGOSTO!F136+SEPTIEMBRE!F136+OCTUBRE!F136+NOVIEMBRE!F136+DICIEMBRE!F136</f>
        <v>1001529256.1354048</v>
      </c>
      <c r="G136" s="16">
        <f>ENERO!G136+FEBRERO!G136+MARZO!G136+ABRIL!G136+MAYO!G136+JUNIO!G136+JULIO!G136+AGOSTO!G136+SEPTIEMBRE!G136+OCTUBRE!G136+NOVIEMBRE!G136+DICIEMBRE!G136</f>
        <v>547684250.5904026</v>
      </c>
      <c r="H136" s="16">
        <f>ENERO!H136+FEBRERO!H136+MARZO!H136+ABRIL!H136+MAYO!H136+JUNIO!H136+JULIO!H136+AGOSTO!H136+SEPTIEMBRE!H136+OCTUBRE!H136+NOVIEMBRE!H136+DICIEMBRE!H136</f>
        <v>2048974625.3600001</v>
      </c>
      <c r="I136" s="16">
        <f>ENERO!I136+FEBRERO!I136+MARZO!I136+ABRIL!I136+MAYO!I136+JUNIO!I136+JULIO!I136+AGOSTO!I136+SEPTIEMBRE!I136+OCTUBRE!I136+NOVIEMBRE!I136+DICIEMBRE!I136</f>
        <v>2670739552.04</v>
      </c>
      <c r="J136" s="16">
        <f>ENERO!J136+FEBRERO!J136+MARZO!J136+ABRIL!J136+MAYO!J136+JUNIO!J136+JULIO!J136+AGOSTO!J136+SEPTIEMBRE!J136+OCTUBRE!J136+NOVIEMBRE!J136+DICIEMBRE!J136</f>
        <v>5911347840.2700005</v>
      </c>
      <c r="K136" s="16">
        <f>ENERO!K136+FEBRERO!K136+MARZO!K136+ABRIL!K136+MAYO!K136+JUNIO!K136+JULIO!K136+AGOSTO!K136+SEPTIEMBRE!K136+OCTUBRE!K136+NOVIEMBRE!K136+DICIEMBRE!K136</f>
        <v>0</v>
      </c>
      <c r="L136" s="16">
        <f>ENERO!L136+FEBRERO!L136+MARZO!L136+ABRIL!L136+MAYO!L136+JUNIO!L136+JULIO!L136+AGOSTO!L136+SEPTIEMBRE!L136+OCTUBRE!L136+NOVIEMBRE!L136+DICIEMBRE!L136</f>
        <v>0</v>
      </c>
      <c r="M136" s="16">
        <f>ENERO!M136+FEBRERO!M136+MARZO!M136+ABRIL!M136+MAYO!M136+JUNIO!M136+JULIO!M136+AGOSTO!M136+SEPTIEMBRE!M136+OCTUBRE!M136+NOVIEMBRE!M136+DICIEMBRE!M136</f>
        <v>0</v>
      </c>
      <c r="N136" s="18">
        <f t="shared" ref="N136:N142" si="4">SUM(B136:M136)</f>
        <v>49444035617.005814</v>
      </c>
      <c r="O136" s="4"/>
      <c r="P136" s="4"/>
      <c r="Q136" s="4"/>
    </row>
    <row r="137" spans="1:17" ht="18" customHeight="1" x14ac:dyDescent="0.2">
      <c r="A137" s="17" t="s">
        <v>132</v>
      </c>
      <c r="B137" s="16">
        <f>ENERO!B137+FEBRERO!B137+MARZO!B137+ABRIL!B137+MAYO!B137+JUNIO!B137+JULIO!B137+AGOSTO!B137+SEPTIEMBRE!B137+OCTUBRE!B137+NOVIEMBRE!B137+DICIEMBRE!B137</f>
        <v>5656302359.8700008</v>
      </c>
      <c r="C137" s="16">
        <f>ENERO!C137+FEBRERO!C137+MARZO!C137+ABRIL!C137+MAYO!C137+JUNIO!C137+JULIO!C137+AGOSTO!C137+SEPTIEMBRE!C137+OCTUBRE!C137+NOVIEMBRE!C137+DICIEMBRE!C137</f>
        <v>0</v>
      </c>
      <c r="D137" s="16">
        <f>ENERO!D137+FEBRERO!D137+MARZO!D137+ABRIL!D137+MAYO!D137+JUNIO!D137+JULIO!D137+AGOSTO!D137+SEPTIEMBRE!D137+OCTUBRE!D137+NOVIEMBRE!D137+DICIEMBRE!D137</f>
        <v>211029279.91280743</v>
      </c>
      <c r="E137" s="16">
        <f>ENERO!E137+FEBRERO!E137+MARZO!E137+ABRIL!E137+MAYO!E137+JUNIO!E137+JULIO!E137+AGOSTO!E137+SEPTIEMBRE!E137+OCTUBRE!E137+NOVIEMBRE!E137+DICIEMBRE!E137</f>
        <v>70424263.359999999</v>
      </c>
      <c r="F137" s="16">
        <f>ENERO!F137+FEBRERO!F137+MARZO!F137+ABRIL!F137+MAYO!F137+JUNIO!F137+JULIO!F137+AGOSTO!F137+SEPTIEMBRE!F137+OCTUBRE!F137+NOVIEMBRE!F137+DICIEMBRE!F137</f>
        <v>11982633.564044535</v>
      </c>
      <c r="G137" s="16">
        <f>ENERO!G137+FEBRERO!G137+MARZO!G137+ABRIL!G137+MAYO!G137+JUNIO!G137+JULIO!G137+AGOSTO!G137+SEPTIEMBRE!G137+OCTUBRE!G137+NOVIEMBRE!G137+DICIEMBRE!G137</f>
        <v>11258447.66</v>
      </c>
      <c r="H137" s="16">
        <f>ENERO!H137+FEBRERO!H137+MARZO!H137+ABRIL!H137+MAYO!H137+JUNIO!H137+JULIO!H137+AGOSTO!H137+SEPTIEMBRE!H137+OCTUBRE!H137+NOVIEMBRE!H137+DICIEMBRE!H137</f>
        <v>321268608.69999999</v>
      </c>
      <c r="I137" s="16">
        <f>ENERO!I137+FEBRERO!I137+MARZO!I137+ABRIL!I137+MAYO!I137+JUNIO!I137+JULIO!I137+AGOSTO!I137+SEPTIEMBRE!I137+OCTUBRE!I137+NOVIEMBRE!I137+DICIEMBRE!I137</f>
        <v>31953628.220000003</v>
      </c>
      <c r="J137" s="16">
        <f>ENERO!J137+FEBRERO!J137+MARZO!J137+ABRIL!J137+MAYO!J137+JUNIO!J137+JULIO!J137+AGOSTO!J137+SEPTIEMBRE!J137+OCTUBRE!J137+NOVIEMBRE!J137+DICIEMBRE!J137</f>
        <v>579892357.53999984</v>
      </c>
      <c r="K137" s="16">
        <f>ENERO!K137+FEBRERO!K137+MARZO!K137+ABRIL!K137+MAYO!K137+JUNIO!K137+JULIO!K137+AGOSTO!K137+SEPTIEMBRE!K137+OCTUBRE!K137+NOVIEMBRE!K137+DICIEMBRE!K137</f>
        <v>0</v>
      </c>
      <c r="L137" s="16">
        <f>ENERO!L137+FEBRERO!L137+MARZO!L137+ABRIL!L137+MAYO!L137+JUNIO!L137+JULIO!L137+AGOSTO!L137+SEPTIEMBRE!L137+OCTUBRE!L137+NOVIEMBRE!L137+DICIEMBRE!L137</f>
        <v>0</v>
      </c>
      <c r="M137" s="16">
        <f>ENERO!M137+FEBRERO!M137+MARZO!M137+ABRIL!M137+MAYO!M137+JUNIO!M137+JULIO!M137+AGOSTO!M137+SEPTIEMBRE!M137+OCTUBRE!M137+NOVIEMBRE!M137+DICIEMBRE!M137</f>
        <v>0</v>
      </c>
      <c r="N137" s="18">
        <f t="shared" si="4"/>
        <v>6894111578.8268528</v>
      </c>
      <c r="O137" s="4"/>
      <c r="P137" s="4"/>
      <c r="Q137" s="4"/>
    </row>
    <row r="138" spans="1:17" ht="18" customHeight="1" x14ac:dyDescent="0.2">
      <c r="A138" s="17" t="s">
        <v>133</v>
      </c>
      <c r="B138" s="16">
        <f>ENERO!B138+FEBRERO!B138+MARZO!B138+ABRIL!B138+MAYO!B138+JUNIO!B138+JULIO!B138+AGOSTO!B138+SEPTIEMBRE!B138+OCTUBRE!B138+NOVIEMBRE!B138+DICIEMBRE!B138</f>
        <v>16835520729.109999</v>
      </c>
      <c r="C138" s="16">
        <f>ENERO!C138+FEBRERO!C138+MARZO!C138+ABRIL!C138+MAYO!C138+JUNIO!C138+JULIO!C138+AGOSTO!C138+SEPTIEMBRE!C138+OCTUBRE!C138+NOVIEMBRE!C138+DICIEMBRE!C138</f>
        <v>0</v>
      </c>
      <c r="D138" s="16">
        <f>ENERO!D138+FEBRERO!D138+MARZO!D138+ABRIL!D138+MAYO!D138+JUNIO!D138+JULIO!D138+AGOSTO!D138+SEPTIEMBRE!D138+OCTUBRE!D138+NOVIEMBRE!D138+DICIEMBRE!D138</f>
        <v>1210822983.4249742</v>
      </c>
      <c r="E138" s="16">
        <f>ENERO!E138+FEBRERO!E138+MARZO!E138+ABRIL!E138+MAYO!E138+JUNIO!E138+JULIO!E138+AGOSTO!E138+SEPTIEMBRE!E138+OCTUBRE!E138+NOVIEMBRE!E138+DICIEMBRE!E138</f>
        <v>207453587.44</v>
      </c>
      <c r="F138" s="16">
        <f>ENERO!F138+FEBRERO!F138+MARZO!F138+ABRIL!F138+MAYO!F138+JUNIO!F138+JULIO!F138+AGOSTO!F138+SEPTIEMBRE!F138+OCTUBRE!F138+NOVIEMBRE!F138+DICIEMBRE!F138</f>
        <v>104329564.67382042</v>
      </c>
      <c r="G138" s="16">
        <f>ENERO!G138+FEBRERO!G138+MARZO!G138+ABRIL!G138+MAYO!G138+JUNIO!G138+JULIO!G138+AGOSTO!G138+SEPTIEMBRE!G138+OCTUBRE!G138+NOVIEMBRE!G138+DICIEMBRE!G138</f>
        <v>43951247.589999996</v>
      </c>
      <c r="H138" s="16">
        <f>ENERO!H138+FEBRERO!H138+MARZO!H138+ABRIL!H138+MAYO!H138+JUNIO!H138+JULIO!H138+AGOSTO!H138+SEPTIEMBRE!H138+OCTUBRE!H138+NOVIEMBRE!H138+DICIEMBRE!H138</f>
        <v>952527220.47000003</v>
      </c>
      <c r="I138" s="16">
        <f>ENERO!I138+FEBRERO!I138+MARZO!I138+ABRIL!I138+MAYO!I138+JUNIO!I138+JULIO!I138+AGOSTO!I138+SEPTIEMBRE!I138+OCTUBRE!I138+NOVIEMBRE!I138+DICIEMBRE!I138</f>
        <v>278211638.13</v>
      </c>
      <c r="J138" s="16">
        <f>ENERO!J138+FEBRERO!J138+MARZO!J138+ABRIL!J138+MAYO!J138+JUNIO!J138+JULIO!J138+AGOSTO!J138+SEPTIEMBRE!J138+OCTUBRE!J138+NOVIEMBRE!J138+DICIEMBRE!J138</f>
        <v>2107036641.5500004</v>
      </c>
      <c r="K138" s="16">
        <f>ENERO!K138+FEBRERO!K138+MARZO!K138+ABRIL!K138+MAYO!K138+JUNIO!K138+JULIO!K138+AGOSTO!K138+SEPTIEMBRE!K138+OCTUBRE!K138+NOVIEMBRE!K138+DICIEMBRE!K138</f>
        <v>0</v>
      </c>
      <c r="L138" s="16">
        <f>ENERO!L138+FEBRERO!L138+MARZO!L138+ABRIL!L138+MAYO!L138+JUNIO!L138+JULIO!L138+AGOSTO!L138+SEPTIEMBRE!L138+OCTUBRE!L138+NOVIEMBRE!L138+DICIEMBRE!L138</f>
        <v>0</v>
      </c>
      <c r="M138" s="16">
        <f>ENERO!M138+FEBRERO!M138+MARZO!M138+ABRIL!M138+MAYO!M138+JUNIO!M138+JULIO!M138+AGOSTO!M138+SEPTIEMBRE!M138+OCTUBRE!M138+NOVIEMBRE!M138+DICIEMBRE!M138</f>
        <v>0</v>
      </c>
      <c r="N138" s="18">
        <f t="shared" si="4"/>
        <v>21739853612.388794</v>
      </c>
      <c r="O138" s="4"/>
      <c r="P138" s="4"/>
      <c r="Q138" s="4"/>
    </row>
    <row r="139" spans="1:17" ht="18" customHeight="1" x14ac:dyDescent="0.2">
      <c r="A139" s="17" t="s">
        <v>134</v>
      </c>
      <c r="B139" s="16">
        <f>ENERO!B139+FEBRERO!B139+MARZO!B139+ABRIL!B139+MAYO!B139+JUNIO!B139+JULIO!B139+AGOSTO!B139+SEPTIEMBRE!B139+OCTUBRE!B139+NOVIEMBRE!B139+DICIEMBRE!B139</f>
        <v>57289438475.529999</v>
      </c>
      <c r="C139" s="16">
        <f>ENERO!C139+FEBRERO!C139+MARZO!C139+ABRIL!C139+MAYO!C139+JUNIO!C139+JULIO!C139+AGOSTO!C139+SEPTIEMBRE!C139+OCTUBRE!C139+NOVIEMBRE!C139+DICIEMBRE!C139</f>
        <v>0</v>
      </c>
      <c r="D139" s="16">
        <f>ENERO!D139+FEBRERO!D139+MARZO!D139+ABRIL!D139+MAYO!D139+JUNIO!D139+JULIO!D139+AGOSTO!D139+SEPTIEMBRE!D139+OCTUBRE!D139+NOVIEMBRE!D139+DICIEMBRE!D139</f>
        <v>799894533.03000009</v>
      </c>
      <c r="E139" s="16">
        <f>ENERO!E139+FEBRERO!E139+MARZO!E139+ABRIL!E139+MAYO!E139+JUNIO!E139+JULIO!E139+AGOSTO!E139+SEPTIEMBRE!E139+OCTUBRE!E139+NOVIEMBRE!E139+DICIEMBRE!E139</f>
        <v>714455687.42999995</v>
      </c>
      <c r="F139" s="16">
        <f>ENERO!F139+FEBRERO!F139+MARZO!F139+ABRIL!F139+MAYO!F139+JUNIO!F139+JULIO!F139+AGOSTO!F139+SEPTIEMBRE!F139+OCTUBRE!F139+NOVIEMBRE!F139+DICIEMBRE!F139</f>
        <v>536568506.83120579</v>
      </c>
      <c r="G139" s="16">
        <f>ENERO!G139+FEBRERO!G139+MARZO!G139+ABRIL!G139+MAYO!G139+JUNIO!G139+JULIO!G139+AGOSTO!G139+SEPTIEMBRE!G139+OCTUBRE!G139+NOVIEMBRE!G139+DICIEMBRE!G139</f>
        <v>496880356.36815464</v>
      </c>
      <c r="H139" s="16">
        <f>ENERO!H139+FEBRERO!H139+MARZO!H139+ABRIL!H139+MAYO!H139+JUNIO!H139+JULIO!H139+AGOSTO!H139+SEPTIEMBRE!H139+OCTUBRE!H139+NOVIEMBRE!H139+DICIEMBRE!H139</f>
        <v>3249051633.1399999</v>
      </c>
      <c r="I139" s="16">
        <f>ENERO!I139+FEBRERO!I139+MARZO!I139+ABRIL!I139+MAYO!I139+JUNIO!I139+JULIO!I139+AGOSTO!I139+SEPTIEMBRE!I139+OCTUBRE!I139+NOVIEMBRE!I139+DICIEMBRE!I139</f>
        <v>1430846602.6000001</v>
      </c>
      <c r="J139" s="16">
        <f>ENERO!J139+FEBRERO!J139+MARZO!J139+ABRIL!J139+MAYO!J139+JUNIO!J139+JULIO!J139+AGOSTO!J139+SEPTIEMBRE!J139+OCTUBRE!J139+NOVIEMBRE!J139+DICIEMBRE!J139</f>
        <v>3762233243.8499994</v>
      </c>
      <c r="K139" s="16">
        <f>ENERO!K139+FEBRERO!K139+MARZO!K139+ABRIL!K139+MAYO!K139+JUNIO!K139+JULIO!K139+AGOSTO!K139+SEPTIEMBRE!K139+OCTUBRE!K139+NOVIEMBRE!K139+DICIEMBRE!K139</f>
        <v>0</v>
      </c>
      <c r="L139" s="16">
        <f>ENERO!L139+FEBRERO!L139+MARZO!L139+ABRIL!L139+MAYO!L139+JUNIO!L139+JULIO!L139+AGOSTO!L139+SEPTIEMBRE!L139+OCTUBRE!L139+NOVIEMBRE!L139+DICIEMBRE!L139</f>
        <v>0</v>
      </c>
      <c r="M139" s="16">
        <f>ENERO!M139+FEBRERO!M139+MARZO!M139+ABRIL!M139+MAYO!M139+JUNIO!M139+JULIO!M139+AGOSTO!M139+SEPTIEMBRE!M139+OCTUBRE!M139+NOVIEMBRE!M139+DICIEMBRE!M139</f>
        <v>0</v>
      </c>
      <c r="N139" s="18">
        <f t="shared" si="4"/>
        <v>68279369038.779358</v>
      </c>
      <c r="O139" s="4"/>
      <c r="P139" s="4"/>
      <c r="Q139" s="4"/>
    </row>
    <row r="140" spans="1:17" ht="18" customHeight="1" x14ac:dyDescent="0.2">
      <c r="A140" s="17" t="s">
        <v>135</v>
      </c>
      <c r="B140" s="16">
        <f>ENERO!B140+FEBRERO!B140+MARZO!B140+ABRIL!B140+MAYO!B140+JUNIO!B140+JULIO!B140+AGOSTO!B140+SEPTIEMBRE!B140+OCTUBRE!B140+NOVIEMBRE!B140+DICIEMBRE!B140</f>
        <v>17173312654.720003</v>
      </c>
      <c r="C140" s="16">
        <f>ENERO!C140+FEBRERO!C140+MARZO!C140+ABRIL!C140+MAYO!C140+JUNIO!C140+JULIO!C140+AGOSTO!C140+SEPTIEMBRE!C140+OCTUBRE!C140+NOVIEMBRE!C140+DICIEMBRE!C140</f>
        <v>0</v>
      </c>
      <c r="D140" s="16">
        <f>ENERO!D140+FEBRERO!D140+MARZO!D140+ABRIL!D140+MAYO!D140+JUNIO!D140+JULIO!D140+AGOSTO!D140+SEPTIEMBRE!D140+OCTUBRE!D140+NOVIEMBRE!D140+DICIEMBRE!D140</f>
        <v>159691032.56</v>
      </c>
      <c r="E140" s="16">
        <f>ENERO!E140+FEBRERO!E140+MARZO!E140+ABRIL!E140+MAYO!E140+JUNIO!E140+JULIO!E140+AGOSTO!E140+SEPTIEMBRE!E140+OCTUBRE!E140+NOVIEMBRE!E140+DICIEMBRE!E140</f>
        <v>212133586.44</v>
      </c>
      <c r="F140" s="16">
        <f>ENERO!F140+FEBRERO!F140+MARZO!F140+ABRIL!F140+MAYO!F140+JUNIO!F140+JULIO!F140+AGOSTO!F140+SEPTIEMBRE!F140+OCTUBRE!F140+NOVIEMBRE!F140+DICIEMBRE!F140</f>
        <v>88487140.444482699</v>
      </c>
      <c r="G140" s="16">
        <f>ENERO!G140+FEBRERO!G140+MARZO!G140+ABRIL!G140+MAYO!G140+JUNIO!G140+JULIO!G140+AGOSTO!G140+SEPTIEMBRE!G140+OCTUBRE!G140+NOVIEMBRE!G140+DICIEMBRE!G140</f>
        <v>46332842.300000012</v>
      </c>
      <c r="H140" s="16">
        <f>ENERO!H140+FEBRERO!H140+MARZO!H140+ABRIL!H140+MAYO!H140+JUNIO!H140+JULIO!H140+AGOSTO!H140+SEPTIEMBRE!H140+OCTUBRE!H140+NOVIEMBRE!H140+DICIEMBRE!H140</f>
        <v>972748851.1400001</v>
      </c>
      <c r="I140" s="16">
        <f>ENERO!I140+FEBRERO!I140+MARZO!I140+ABRIL!I140+MAYO!I140+JUNIO!I140+JULIO!I140+AGOSTO!I140+SEPTIEMBRE!I140+OCTUBRE!I140+NOVIEMBRE!I140+DICIEMBRE!I140</f>
        <v>235965254.63</v>
      </c>
      <c r="J140" s="16">
        <f>ENERO!J140+FEBRERO!J140+MARZO!J140+ABRIL!J140+MAYO!J140+JUNIO!J140+JULIO!J140+AGOSTO!J140+SEPTIEMBRE!J140+OCTUBRE!J140+NOVIEMBRE!J140+DICIEMBRE!J140</f>
        <v>950986653.38999987</v>
      </c>
      <c r="K140" s="16">
        <f>ENERO!K140+FEBRERO!K140+MARZO!K140+ABRIL!K140+MAYO!K140+JUNIO!K140+JULIO!K140+AGOSTO!K140+SEPTIEMBRE!K140+OCTUBRE!K140+NOVIEMBRE!K140+DICIEMBRE!K140</f>
        <v>0</v>
      </c>
      <c r="L140" s="16">
        <f>ENERO!L140+FEBRERO!L140+MARZO!L140+ABRIL!L140+MAYO!L140+JUNIO!L140+JULIO!L140+AGOSTO!L140+SEPTIEMBRE!L140+OCTUBRE!L140+NOVIEMBRE!L140+DICIEMBRE!L140</f>
        <v>0</v>
      </c>
      <c r="M140" s="16">
        <f>ENERO!M140+FEBRERO!M140+MARZO!M140+ABRIL!M140+MAYO!M140+JUNIO!M140+JULIO!M140+AGOSTO!M140+SEPTIEMBRE!M140+OCTUBRE!M140+NOVIEMBRE!M140+DICIEMBRE!M140</f>
        <v>0</v>
      </c>
      <c r="N140" s="18">
        <f t="shared" si="4"/>
        <v>19839658015.624481</v>
      </c>
      <c r="O140" s="4"/>
      <c r="P140" s="4"/>
      <c r="Q140" s="4"/>
    </row>
    <row r="141" spans="1:17" ht="18" customHeight="1" x14ac:dyDescent="0.2">
      <c r="A141" s="17" t="s">
        <v>136</v>
      </c>
      <c r="B141" s="16">
        <f>ENERO!B141+FEBRERO!B141+MARZO!B141+ABRIL!B141+MAYO!B141+JUNIO!B141+JULIO!B141+AGOSTO!B141+SEPTIEMBRE!B141+OCTUBRE!B141+NOVIEMBRE!B141+DICIEMBRE!B141</f>
        <v>19400504240.849998</v>
      </c>
      <c r="C141" s="16">
        <f>ENERO!C141+FEBRERO!C141+MARZO!C141+ABRIL!C141+MAYO!C141+JUNIO!C141+JULIO!C141+AGOSTO!C141+SEPTIEMBRE!C141+OCTUBRE!C141+NOVIEMBRE!C141+DICIEMBRE!C141</f>
        <v>0</v>
      </c>
      <c r="D141" s="16">
        <f>ENERO!D141+FEBRERO!D141+MARZO!D141+ABRIL!D141+MAYO!D141+JUNIO!D141+JULIO!D141+AGOSTO!D141+SEPTIEMBRE!D141+OCTUBRE!D141+NOVIEMBRE!D141+DICIEMBRE!D141</f>
        <v>561177006.74177754</v>
      </c>
      <c r="E141" s="16">
        <f>ENERO!E141+FEBRERO!E141+MARZO!E141+ABRIL!E141+MAYO!E141+JUNIO!E141+JULIO!E141+AGOSTO!E141+SEPTIEMBRE!E141+OCTUBRE!E141+NOVIEMBRE!E141+DICIEMBRE!E141</f>
        <v>240622812.46000001</v>
      </c>
      <c r="F141" s="16">
        <f>ENERO!F141+FEBRERO!F141+MARZO!F141+ABRIL!F141+MAYO!F141+JUNIO!F141+JULIO!F141+AGOSTO!F141+SEPTIEMBRE!F141+OCTUBRE!F141+NOVIEMBRE!F141+DICIEMBRE!F141</f>
        <v>127603526.13648385</v>
      </c>
      <c r="G141" s="16">
        <f>ENERO!G141+FEBRERO!G141+MARZO!G141+ABRIL!G141+MAYO!G141+JUNIO!G141+JULIO!G141+AGOSTO!G141+SEPTIEMBRE!G141+OCTUBRE!G141+NOVIEMBRE!G141+DICIEMBRE!G141</f>
        <v>40487109.850000001</v>
      </c>
      <c r="H141" s="16">
        <f>ENERO!H141+FEBRERO!H141+MARZO!H141+ABRIL!H141+MAYO!H141+JUNIO!H141+JULIO!H141+AGOSTO!H141+SEPTIEMBRE!H141+OCTUBRE!H141+NOVIEMBRE!H141+DICIEMBRE!H141</f>
        <v>1100985876.46</v>
      </c>
      <c r="I141" s="16">
        <f>ENERO!I141+FEBRERO!I141+MARZO!I141+ABRIL!I141+MAYO!I141+JUNIO!I141+JULIO!I141+AGOSTO!I141+SEPTIEMBRE!I141+OCTUBRE!I141+NOVIEMBRE!I141+DICIEMBRE!I141</f>
        <v>340275416.04000008</v>
      </c>
      <c r="J141" s="16">
        <f>ENERO!J141+FEBRERO!J141+MARZO!J141+ABRIL!J141+MAYO!J141+JUNIO!J141+JULIO!J141+AGOSTO!J141+SEPTIEMBRE!J141+OCTUBRE!J141+NOVIEMBRE!J141+DICIEMBRE!J141</f>
        <v>2644788801.0299993</v>
      </c>
      <c r="K141" s="16">
        <f>ENERO!K141+FEBRERO!K141+MARZO!K141+ABRIL!K141+MAYO!K141+JUNIO!K141+JULIO!K141+AGOSTO!K141+SEPTIEMBRE!K141+OCTUBRE!K141+NOVIEMBRE!K141+DICIEMBRE!K141</f>
        <v>0</v>
      </c>
      <c r="L141" s="16">
        <f>ENERO!L141+FEBRERO!L141+MARZO!L141+ABRIL!L141+MAYO!L141+JUNIO!L141+JULIO!L141+AGOSTO!L141+SEPTIEMBRE!L141+OCTUBRE!L141+NOVIEMBRE!L141+DICIEMBRE!L141</f>
        <v>0</v>
      </c>
      <c r="M141" s="16">
        <f>ENERO!M141+FEBRERO!M141+MARZO!M141+ABRIL!M141+MAYO!M141+JUNIO!M141+JULIO!M141+AGOSTO!M141+SEPTIEMBRE!M141+OCTUBRE!M141+NOVIEMBRE!M141+DICIEMBRE!M141</f>
        <v>0</v>
      </c>
      <c r="N141" s="18">
        <f t="shared" si="4"/>
        <v>24456444789.568256</v>
      </c>
      <c r="O141" s="4"/>
      <c r="P141" s="4"/>
      <c r="Q141" s="4"/>
    </row>
    <row r="142" spans="1:17" ht="18" customHeight="1" x14ac:dyDescent="0.2">
      <c r="A142" s="17" t="s">
        <v>137</v>
      </c>
      <c r="B142" s="16">
        <f>ENERO!B142+FEBRERO!B142+MARZO!B142+ABRIL!B142+MAYO!B142+JUNIO!B142+JULIO!B142+AGOSTO!B142+SEPTIEMBRE!B142+OCTUBRE!B142+NOVIEMBRE!B142+DICIEMBRE!B142</f>
        <v>19718468465.369999</v>
      </c>
      <c r="C142" s="16">
        <f>ENERO!C142+FEBRERO!C142+MARZO!C142+ABRIL!C142+MAYO!C142+JUNIO!C142+JULIO!C142+AGOSTO!C142+SEPTIEMBRE!C142+OCTUBRE!C142+NOVIEMBRE!C142+DICIEMBRE!C142</f>
        <v>0</v>
      </c>
      <c r="D142" s="16">
        <f>ENERO!D142+FEBRERO!D142+MARZO!D142+ABRIL!D142+MAYO!D142+JUNIO!D142+JULIO!D142+AGOSTO!D142+SEPTIEMBRE!D142+OCTUBRE!D142+NOVIEMBRE!D142+DICIEMBRE!D142</f>
        <v>691362372.38742733</v>
      </c>
      <c r="E142" s="16">
        <f>ENERO!E142+FEBRERO!E142+MARZO!E142+ABRIL!E142+MAYO!E142+JUNIO!E142+JULIO!E142+AGOSTO!E142+SEPTIEMBRE!E142+OCTUBRE!E142+NOVIEMBRE!E142+DICIEMBRE!E142</f>
        <v>293802176.47999996</v>
      </c>
      <c r="F142" s="16">
        <f>ENERO!F142+FEBRERO!F142+MARZO!F142+ABRIL!F142+MAYO!F142+JUNIO!F142+JULIO!F142+AGOSTO!F142+SEPTIEMBRE!F142+OCTUBRE!F142+NOVIEMBRE!F142+DICIEMBRE!F142</f>
        <v>548608749.25070238</v>
      </c>
      <c r="G142" s="16">
        <f>ENERO!G142+FEBRERO!G142+MARZO!G142+ABRIL!G142+MAYO!G142+JUNIO!G142+JULIO!G142+AGOSTO!G142+SEPTIEMBRE!G142+OCTUBRE!G142+NOVIEMBRE!G142+DICIEMBRE!G142</f>
        <v>163463999.71000001</v>
      </c>
      <c r="H142" s="16">
        <f>ENERO!H142+FEBRERO!H142+MARZO!H142+ABRIL!H142+MAYO!H142+JUNIO!H142+JULIO!H142+AGOSTO!H142+SEPTIEMBRE!H142+OCTUBRE!H142+NOVIEMBRE!H142+DICIEMBRE!H142</f>
        <v>1115838264.5699999</v>
      </c>
      <c r="I142" s="16">
        <f>ENERO!I142+FEBRERO!I142+MARZO!I142+ABRIL!I142+MAYO!I142+JUNIO!I142+JULIO!I142+AGOSTO!I142+SEPTIEMBRE!I142+OCTUBRE!I142+NOVIEMBRE!I142+DICIEMBRE!I142</f>
        <v>1462953854.1600001</v>
      </c>
      <c r="J142" s="16">
        <f>ENERO!J142+FEBRERO!J142+MARZO!J142+ABRIL!J142+MAYO!J142+JUNIO!J142+JULIO!J142+AGOSTO!J142+SEPTIEMBRE!J142+OCTUBRE!J142+NOVIEMBRE!J142+DICIEMBRE!J142</f>
        <v>3585140368.8199997</v>
      </c>
      <c r="K142" s="16">
        <f>ENERO!K142+FEBRERO!K142+MARZO!K142+ABRIL!K142+MAYO!K142+JUNIO!K142+JULIO!K142+AGOSTO!K142+SEPTIEMBRE!K142+OCTUBRE!K142+NOVIEMBRE!K142+DICIEMBRE!K142</f>
        <v>0</v>
      </c>
      <c r="L142" s="16">
        <f>ENERO!L142+FEBRERO!L142+MARZO!L142+ABRIL!L142+MAYO!L142+JUNIO!L142+JULIO!L142+AGOSTO!L142+SEPTIEMBRE!L142+OCTUBRE!L142+NOVIEMBRE!L142+DICIEMBRE!L142</f>
        <v>0</v>
      </c>
      <c r="M142" s="16">
        <f>ENERO!M142+FEBRERO!M142+MARZO!M142+ABRIL!M142+MAYO!M142+JUNIO!M142+JULIO!M142+AGOSTO!M142+SEPTIEMBRE!M142+OCTUBRE!M142+NOVIEMBRE!M142+DICIEMBRE!M142</f>
        <v>0</v>
      </c>
      <c r="N142" s="18">
        <f t="shared" si="4"/>
        <v>27579638250.748127</v>
      </c>
      <c r="O142" s="4"/>
      <c r="P142" s="4"/>
      <c r="Q142" s="4"/>
    </row>
    <row r="143" spans="1:17" ht="27.75" customHeight="1" x14ac:dyDescent="0.2">
      <c r="A143" s="22" t="s">
        <v>138</v>
      </c>
      <c r="B143" s="23">
        <f>SUM(B8:B142)</f>
        <v>3605036558801.8882</v>
      </c>
      <c r="C143" s="23">
        <f>SUM(C8:C142)</f>
        <v>0</v>
      </c>
      <c r="D143" s="23">
        <f t="shared" ref="D143:J143" si="5">SUM(D8:D142)</f>
        <v>103209470739.51712</v>
      </c>
      <c r="E143" s="23">
        <f t="shared" si="5"/>
        <v>49746927537.320015</v>
      </c>
      <c r="F143" s="23">
        <f t="shared" si="5"/>
        <v>57608815426.657158</v>
      </c>
      <c r="G143" s="23">
        <f t="shared" si="5"/>
        <v>21650860887.399998</v>
      </c>
      <c r="H143" s="23">
        <f t="shared" si="5"/>
        <v>204269485160.52008</v>
      </c>
      <c r="I143" s="23">
        <f t="shared" si="5"/>
        <v>153623212658.1301</v>
      </c>
      <c r="J143" s="23">
        <f t="shared" si="5"/>
        <v>444610670011.06995</v>
      </c>
      <c r="K143" s="23">
        <f>SUM(K8:K142)</f>
        <v>0</v>
      </c>
      <c r="L143" s="23">
        <f>SUM(L8:L142)</f>
        <v>0</v>
      </c>
      <c r="M143" s="23">
        <f>SUM(M8:M142)</f>
        <v>0</v>
      </c>
      <c r="N143" s="23">
        <f>SUM(N8:N142)</f>
        <v>4639756001222.5029</v>
      </c>
      <c r="O143" s="4"/>
      <c r="P143" s="4"/>
      <c r="Q143" s="4"/>
    </row>
    <row r="144" spans="1:17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6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P145" s="4"/>
    </row>
    <row r="146" spans="1:16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6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6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6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6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6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"/>
    </row>
    <row r="152" spans="1:16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6" x14ac:dyDescent="0.2">
      <c r="B153" s="4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6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6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6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6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6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6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6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26</vt:i4>
      </vt:variant>
    </vt:vector>
  </HeadingPairs>
  <TitlesOfParts>
    <vt:vector size="40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Hoja1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2021-03-03T11:28:05Z</cp:lastPrinted>
  <dcterms:created xsi:type="dcterms:W3CDTF">2012-05-08T12:18:55Z</dcterms:created>
  <dcterms:modified xsi:type="dcterms:W3CDTF">2026-01-05T15:26:49Z</dcterms:modified>
</cp:coreProperties>
</file>